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3x" sheetId="4" r:id="rId7"/>
    <sheet state="visible" name="4x" sheetId="5" r:id="rId8"/>
    <sheet state="visible" name="5xa" sheetId="6" r:id="rId9"/>
    <sheet state="visible" name="5xb" sheetId="7" r:id="rId10"/>
    <sheet state="visible" name="6x" sheetId="8" r:id="rId11"/>
  </sheets>
  <definedNames/>
  <calcPr/>
</workbook>
</file>

<file path=xl/sharedStrings.xml><?xml version="1.0" encoding="utf-8"?>
<sst xmlns="http://schemas.openxmlformats.org/spreadsheetml/2006/main" count="2910" uniqueCount="83">
  <si>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</si>
  <si>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</si>
  <si>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Main Lifts</t>
  </si>
  <si>
    <t>Maxes</t>
  </si>
  <si>
    <t>Single @8 percentage</t>
  </si>
  <si>
    <t>Sets per week</t>
  </si>
  <si>
    <t>When above or below set range</t>
  </si>
  <si>
    <t>Squat</t>
  </si>
  <si>
    <t>Lower threshold</t>
  </si>
  <si>
    <t>Upper threshold</t>
  </si>
  <si>
    <t>Increases</t>
  </si>
  <si>
    <t>Decreases</t>
  </si>
  <si>
    <t>Bench Press</t>
  </si>
  <si>
    <t>Primary stance</t>
  </si>
  <si>
    <t>Deadlift</t>
  </si>
  <si>
    <t>OHP</t>
  </si>
  <si>
    <t>Variations: Note - if you don't know your max, you can estimate it.  When in doubt, estimate low to start with</t>
  </si>
  <si>
    <t>Squat auxiliary 1</t>
  </si>
  <si>
    <t>Front Squat</t>
  </si>
  <si>
    <t>Squat auxiliary 2</t>
  </si>
  <si>
    <t>Paused Squat</t>
  </si>
  <si>
    <t>Bench auxiliary 1</t>
  </si>
  <si>
    <t>Close Grip Bench</t>
  </si>
  <si>
    <t>Bench auxiliary 2</t>
  </si>
  <si>
    <t>Incline Press</t>
  </si>
  <si>
    <t>Deadlift auxiliary</t>
  </si>
  <si>
    <t>Sumo Deadlift</t>
  </si>
  <si>
    <t>OHP auxiliary</t>
  </si>
  <si>
    <t>Push Press</t>
  </si>
  <si>
    <t>Back exercises</t>
  </si>
  <si>
    <t>Barbell rows</t>
  </si>
  <si>
    <t>DB rows</t>
  </si>
  <si>
    <t>Chest supported rows</t>
  </si>
  <si>
    <t>T-bar rows</t>
  </si>
  <si>
    <t>Pull-ups</t>
  </si>
  <si>
    <t>Chin-ups</t>
  </si>
  <si>
    <t>Neutral grip pull-ups</t>
  </si>
  <si>
    <t>Pull-downs</t>
  </si>
  <si>
    <t>Reps at a given percent</t>
  </si>
  <si>
    <t>RIR cutoffs</t>
  </si>
  <si>
    <t>Intensity</t>
  </si>
  <si>
    <t>Week</t>
  </si>
  <si>
    <t>Lift</t>
  </si>
  <si>
    <t>Reps per set</t>
  </si>
  <si>
    <t>RIR Cutoff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</si>
  <si>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</si>
  <si>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</si>
  <si>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</si>
  <si>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</si>
  <si>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</si>
  <si>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</si>
  <si>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</si>
  <si>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</si>
  <si>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</si>
  <si>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</si>
  <si>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</si>
  <si>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</si>
  <si>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</si>
  <si>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</si>
  <si>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</si>
  <si>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</si>
  <si>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</si>
  <si>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</si>
  <si>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</si>
  <si>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</si>
  <si>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</si>
  <si>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</si>
  <si>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Reps</t>
  </si>
  <si>
    <t>RIR cutoff</t>
  </si>
  <si>
    <t>Set goal</t>
  </si>
  <si>
    <t>Sets completed</t>
  </si>
  <si>
    <t>Video</t>
  </si>
  <si>
    <t>Notes</t>
  </si>
  <si>
    <t>single @8</t>
  </si>
  <si>
    <t>Day 1</t>
  </si>
  <si>
    <t>See highlighted text in instructions document</t>
  </si>
  <si>
    <t>n/a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</si>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</sst>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0.0"/>
      <color rgb="FF000000"/>
      <name val="Arial"/>
    </font>
    <font/>
    <font>
      <color rgb="FFFF0000"/>
    </font>
    <font>
      <name val="Arial"/>
    </font>
    <font>
      <b/>
      <sz val="18.0"/>
    </font>
    <font>
      <b/>
      <sz val="12.0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1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1" fillId="0" fontId="3" numFmtId="0" xfId="0" applyAlignment="1" applyBorder="1" applyFont="1">
      <alignment horizontal="left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3" numFmtId="9" xfId="0" applyAlignment="1" applyFont="1" applyNumberFormat="1">
      <alignment horizontal="center" vertical="bottom"/>
    </xf>
    <xf borderId="0" fillId="2" fontId="1" numFmtId="9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4" fillId="0" fontId="1" numFmtId="0" xfId="0" applyBorder="1" applyFont="1"/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9" xfId="0" applyAlignment="1" applyFont="1" applyNumberFormat="1">
      <alignment readingOrder="0"/>
    </xf>
    <xf borderId="0" fillId="2" fontId="3" numFmtId="0" xfId="0" applyAlignment="1" applyFont="1">
      <alignment vertical="bottom"/>
    </xf>
    <xf borderId="0" fillId="0" fontId="5" numFmtId="0" xfId="0" applyAlignment="1" applyFont="1">
      <alignment horizontal="center"/>
    </xf>
    <xf borderId="6" fillId="0" fontId="5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7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6" fillId="0" fontId="1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 vertical="bottom"/>
    </xf>
    <xf borderId="0" fillId="2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0" fillId="2" fontId="6" numFmtId="0" xfId="0" applyAlignment="1" applyFont="1">
      <alignment horizontal="center"/>
    </xf>
    <xf borderId="9" fillId="2" fontId="6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75"/>
    <col customWidth="1" min="3" max="3" width="15.88"/>
    <col customWidth="1" min="4" max="4" width="8.13"/>
    <col customWidth="1" min="5" max="5" width="7.5"/>
    <col customWidth="1" min="6" max="6" width="8.13"/>
    <col customWidth="1" min="7" max="7" width="13.75"/>
    <col customWidth="1" min="8" max="9" width="12.38"/>
    <col customWidth="1" min="10" max="10" width="11.25"/>
    <col customWidth="1" min="11" max="11" width="12.5"/>
    <col customWidth="1" min="12" max="23" width="8.13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">
        <v>2.5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1" t="s">
        <v>2</v>
      </c>
      <c r="D4" s="1" t="s">
        <v>3</v>
      </c>
      <c r="E4" s="4" t="s">
        <v>4</v>
      </c>
      <c r="F4" s="2"/>
      <c r="G4" s="2"/>
      <c r="H4" s="1" t="s">
        <v>5</v>
      </c>
      <c r="J4" s="1" t="s">
        <v>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"/>
      <c r="B5" s="2"/>
      <c r="C5" s="5" t="s">
        <v>7</v>
      </c>
      <c r="D5" s="5">
        <v>490.0</v>
      </c>
      <c r="E5" s="6">
        <v>0.9</v>
      </c>
      <c r="F5" s="2"/>
      <c r="G5" s="2"/>
      <c r="H5" s="1" t="s">
        <v>8</v>
      </c>
      <c r="I5" s="1" t="s">
        <v>9</v>
      </c>
      <c r="J5" s="1" t="s">
        <v>10</v>
      </c>
      <c r="K5" s="1" t="s">
        <v>11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2"/>
      <c r="B6" s="2"/>
      <c r="C6" s="5" t="s">
        <v>12</v>
      </c>
      <c r="D6" s="5">
        <v>325.0</v>
      </c>
      <c r="E6" s="6">
        <v>0.9</v>
      </c>
      <c r="F6" s="2"/>
      <c r="G6" s="2" t="str">
        <f t="shared" ref="G6:G9" si="1">C5</f>
        <v>Squat</v>
      </c>
      <c r="H6" s="5">
        <v>4.0</v>
      </c>
      <c r="I6" s="5">
        <v>6.0</v>
      </c>
      <c r="J6" s="7">
        <v>0.02</v>
      </c>
      <c r="K6" s="7">
        <v>-0.05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/>
      <c r="B7" s="1" t="s">
        <v>13</v>
      </c>
      <c r="C7" s="5" t="s">
        <v>14</v>
      </c>
      <c r="D7" s="5">
        <v>525.0</v>
      </c>
      <c r="E7" s="6">
        <v>0.9</v>
      </c>
      <c r="F7" s="2"/>
      <c r="G7" s="2" t="str">
        <f t="shared" si="1"/>
        <v>Bench Press</v>
      </c>
      <c r="H7" s="5">
        <v>4.0</v>
      </c>
      <c r="I7" s="5">
        <v>6.0</v>
      </c>
      <c r="J7" s="7">
        <v>0.02</v>
      </c>
      <c r="K7" s="7">
        <v>-0.05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"/>
      <c r="B8" s="2"/>
      <c r="C8" s="5" t="s">
        <v>15</v>
      </c>
      <c r="D8" s="5">
        <v>200.0</v>
      </c>
      <c r="E8" s="6">
        <v>0.9</v>
      </c>
      <c r="F8" s="2"/>
      <c r="G8" s="2" t="str">
        <f t="shared" si="1"/>
        <v>Deadlift</v>
      </c>
      <c r="H8" s="5">
        <v>4.0</v>
      </c>
      <c r="I8" s="5">
        <v>6.0</v>
      </c>
      <c r="J8" s="7">
        <v>0.02</v>
      </c>
      <c r="K8" s="7">
        <v>-0.05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"/>
      <c r="B9" s="2"/>
      <c r="C9" s="2"/>
      <c r="D9" s="2"/>
      <c r="E9" s="8"/>
      <c r="F9" s="2"/>
      <c r="G9" s="2" t="str">
        <f t="shared" si="1"/>
        <v>OHP</v>
      </c>
      <c r="H9" s="5">
        <v>4.0</v>
      </c>
      <c r="I9" s="5">
        <v>6.0</v>
      </c>
      <c r="J9" s="7">
        <v>0.02</v>
      </c>
      <c r="K9" s="7">
        <v>-0.05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2"/>
      <c r="B10" s="2"/>
      <c r="C10" s="9" t="s">
        <v>16</v>
      </c>
      <c r="D10" s="1" t="s">
        <v>3</v>
      </c>
      <c r="E10" s="8"/>
      <c r="F10" s="2"/>
      <c r="G10" s="2" t="str">
        <f t="shared" ref="G10:G15" si="2">C11</f>
        <v>Front Squat</v>
      </c>
      <c r="H10" s="5">
        <v>4.0</v>
      </c>
      <c r="I10" s="5">
        <v>6.0</v>
      </c>
      <c r="J10" s="7">
        <v>0.02</v>
      </c>
      <c r="K10" s="7">
        <v>-0.05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"/>
      <c r="B11" s="1" t="s">
        <v>17</v>
      </c>
      <c r="C11" s="5" t="s">
        <v>18</v>
      </c>
      <c r="D11" s="5">
        <v>420.0</v>
      </c>
      <c r="E11" s="6">
        <v>0.9</v>
      </c>
      <c r="F11" s="2"/>
      <c r="G11" s="2" t="str">
        <f t="shared" si="2"/>
        <v>Paused Squat</v>
      </c>
      <c r="H11" s="5">
        <v>4.0</v>
      </c>
      <c r="I11" s="5">
        <v>6.0</v>
      </c>
      <c r="J11" s="7">
        <v>0.02</v>
      </c>
      <c r="K11" s="7">
        <v>-0.05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"/>
      <c r="B12" s="1" t="s">
        <v>19</v>
      </c>
      <c r="C12" s="5" t="s">
        <v>20</v>
      </c>
      <c r="D12" s="5">
        <v>460.0</v>
      </c>
      <c r="E12" s="6">
        <v>0.9</v>
      </c>
      <c r="F12" s="2"/>
      <c r="G12" s="2" t="str">
        <f t="shared" si="2"/>
        <v>Close Grip Bench</v>
      </c>
      <c r="H12" s="5">
        <v>4.0</v>
      </c>
      <c r="I12" s="5">
        <v>6.0</v>
      </c>
      <c r="J12" s="7">
        <v>0.02</v>
      </c>
      <c r="K12" s="7">
        <v>-0.05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"/>
      <c r="B13" s="1" t="s">
        <v>21</v>
      </c>
      <c r="C13" s="5" t="s">
        <v>22</v>
      </c>
      <c r="D13" s="5">
        <v>310.0</v>
      </c>
      <c r="E13" s="6">
        <v>0.9</v>
      </c>
      <c r="F13" s="2"/>
      <c r="G13" s="2" t="str">
        <f t="shared" si="2"/>
        <v>Incline Press</v>
      </c>
      <c r="H13" s="5">
        <v>4.0</v>
      </c>
      <c r="I13" s="5">
        <v>6.0</v>
      </c>
      <c r="J13" s="7">
        <v>0.02</v>
      </c>
      <c r="K13" s="7">
        <v>-0.05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"/>
      <c r="B14" s="1" t="s">
        <v>23</v>
      </c>
      <c r="C14" s="5" t="s">
        <v>24</v>
      </c>
      <c r="D14" s="5">
        <v>280.0</v>
      </c>
      <c r="E14" s="6">
        <v>0.9</v>
      </c>
      <c r="F14" s="2"/>
      <c r="G14" s="2" t="str">
        <f t="shared" si="2"/>
        <v>Sumo Deadlift</v>
      </c>
      <c r="H14" s="5">
        <v>4.0</v>
      </c>
      <c r="I14" s="5">
        <v>6.0</v>
      </c>
      <c r="J14" s="7">
        <v>0.02</v>
      </c>
      <c r="K14" s="7">
        <v>-0.05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"/>
      <c r="B15" s="1" t="s">
        <v>25</v>
      </c>
      <c r="C15" s="5" t="s">
        <v>26</v>
      </c>
      <c r="D15" s="5">
        <v>500.0</v>
      </c>
      <c r="E15" s="6">
        <v>0.9</v>
      </c>
      <c r="F15" s="2"/>
      <c r="G15" s="2" t="str">
        <f t="shared" si="2"/>
        <v>Push Press</v>
      </c>
      <c r="H15" s="5">
        <v>4.0</v>
      </c>
      <c r="I15" s="5">
        <v>6.0</v>
      </c>
      <c r="J15" s="7">
        <v>0.02</v>
      </c>
      <c r="K15" s="7">
        <v>-0.05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1" t="s">
        <v>27</v>
      </c>
      <c r="C16" s="5" t="s">
        <v>28</v>
      </c>
      <c r="D16" s="5">
        <v>245.0</v>
      </c>
      <c r="E16" s="6">
        <v>0.9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1" t="s">
        <v>29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5" t="s">
        <v>30</v>
      </c>
      <c r="C19" s="10"/>
      <c r="D19" s="1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5" t="s">
        <v>31</v>
      </c>
      <c r="C20" s="10"/>
      <c r="D20" s="1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5" t="s">
        <v>32</v>
      </c>
      <c r="C21" s="10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5" t="s">
        <v>33</v>
      </c>
      <c r="C22" s="10"/>
      <c r="D22" s="1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5" t="s">
        <v>34</v>
      </c>
      <c r="C23" s="10"/>
      <c r="D23" s="1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5" t="s">
        <v>35</v>
      </c>
      <c r="C24" s="10"/>
      <c r="D24" s="1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5" t="s">
        <v>36</v>
      </c>
      <c r="C25" s="10"/>
      <c r="D25" s="1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5" t="s">
        <v>37</v>
      </c>
      <c r="C26" s="10"/>
      <c r="D26" s="1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1"/>
      <c r="B32" s="11"/>
      <c r="C32" s="11" t="s">
        <v>38</v>
      </c>
    </row>
    <row r="33">
      <c r="A33" s="12"/>
      <c r="B33" s="2"/>
      <c r="C33" s="12">
        <v>0.5</v>
      </c>
      <c r="D33" s="12">
        <v>0.525</v>
      </c>
      <c r="E33" s="12">
        <v>0.55</v>
      </c>
      <c r="F33" s="12">
        <v>0.5750000000000001</v>
      </c>
      <c r="G33" s="12">
        <v>0.6000000000000001</v>
      </c>
      <c r="H33" s="12">
        <v>0.6250000000000001</v>
      </c>
      <c r="I33" s="12">
        <v>0.6500000000000001</v>
      </c>
      <c r="J33" s="12">
        <v>0.6750000000000002</v>
      </c>
      <c r="K33" s="12">
        <v>0.7000000000000002</v>
      </c>
      <c r="L33" s="12">
        <v>0.7250000000000002</v>
      </c>
      <c r="M33" s="12">
        <v>0.7500000000000002</v>
      </c>
      <c r="N33" s="12">
        <v>0.7750000000000002</v>
      </c>
      <c r="O33" s="12">
        <v>0.8000000000000003</v>
      </c>
      <c r="P33" s="12">
        <v>0.8250000000000003</v>
      </c>
      <c r="Q33" s="12">
        <v>0.8500000000000003</v>
      </c>
      <c r="R33" s="12">
        <v>0.8750000000000003</v>
      </c>
      <c r="S33" s="12">
        <v>0.9000000000000004</v>
      </c>
      <c r="T33" s="12">
        <v>0.9250000000000004</v>
      </c>
      <c r="U33" s="12">
        <v>0.9500000000000004</v>
      </c>
      <c r="V33" s="12">
        <v>0.9750000000000004</v>
      </c>
      <c r="W33" s="12">
        <v>1.0000000000000004</v>
      </c>
    </row>
    <row r="34">
      <c r="A34" s="2"/>
      <c r="B34" s="1" t="str">
        <f>'Quick Setup'!C5</f>
        <v>Squat</v>
      </c>
      <c r="C34" s="5">
        <v>8.0</v>
      </c>
      <c r="D34" s="5">
        <v>8.0</v>
      </c>
      <c r="E34" s="5">
        <v>8.0</v>
      </c>
      <c r="F34" s="5">
        <v>8.0</v>
      </c>
      <c r="G34" s="5">
        <v>7.0</v>
      </c>
      <c r="H34" s="5">
        <v>7.0</v>
      </c>
      <c r="I34" s="5">
        <v>6.0</v>
      </c>
      <c r="J34" s="5">
        <v>6.0</v>
      </c>
      <c r="K34" s="5">
        <v>5.0</v>
      </c>
      <c r="L34" s="5">
        <v>5.0</v>
      </c>
      <c r="M34" s="5">
        <v>4.0</v>
      </c>
      <c r="N34" s="5">
        <v>4.0</v>
      </c>
      <c r="O34" s="5">
        <v>3.0</v>
      </c>
      <c r="P34" s="5">
        <v>3.0</v>
      </c>
      <c r="Q34" s="5">
        <v>2.0</v>
      </c>
      <c r="R34" s="5">
        <v>2.0</v>
      </c>
      <c r="S34" s="5">
        <v>1.0</v>
      </c>
      <c r="T34" s="5">
        <v>1.0</v>
      </c>
      <c r="U34" s="5">
        <v>1.0</v>
      </c>
      <c r="V34" s="5">
        <v>1.0</v>
      </c>
      <c r="W34" s="5">
        <v>1.0</v>
      </c>
    </row>
    <row r="35">
      <c r="A35" s="2"/>
      <c r="B35" s="1" t="str">
        <f>'Quick Setup'!C6</f>
        <v>Bench Press</v>
      </c>
      <c r="C35" s="5">
        <f t="shared" ref="C35:W35" si="3">C34</f>
        <v>8</v>
      </c>
      <c r="D35" s="5">
        <f t="shared" si="3"/>
        <v>8</v>
      </c>
      <c r="E35" s="5">
        <f t="shared" si="3"/>
        <v>8</v>
      </c>
      <c r="F35" s="5">
        <f t="shared" si="3"/>
        <v>8</v>
      </c>
      <c r="G35" s="5">
        <f t="shared" si="3"/>
        <v>7</v>
      </c>
      <c r="H35" s="5">
        <f t="shared" si="3"/>
        <v>7</v>
      </c>
      <c r="I35" s="5">
        <f t="shared" si="3"/>
        <v>6</v>
      </c>
      <c r="J35" s="5">
        <f t="shared" si="3"/>
        <v>6</v>
      </c>
      <c r="K35" s="5">
        <f t="shared" si="3"/>
        <v>5</v>
      </c>
      <c r="L35" s="5">
        <f t="shared" si="3"/>
        <v>5</v>
      </c>
      <c r="M35" s="5">
        <f t="shared" si="3"/>
        <v>4</v>
      </c>
      <c r="N35" s="5">
        <f t="shared" si="3"/>
        <v>4</v>
      </c>
      <c r="O35" s="5">
        <f t="shared" si="3"/>
        <v>3</v>
      </c>
      <c r="P35" s="5">
        <f t="shared" si="3"/>
        <v>3</v>
      </c>
      <c r="Q35" s="5">
        <f t="shared" si="3"/>
        <v>2</v>
      </c>
      <c r="R35" s="5">
        <f t="shared" si="3"/>
        <v>2</v>
      </c>
      <c r="S35" s="5">
        <f t="shared" si="3"/>
        <v>1</v>
      </c>
      <c r="T35" s="5">
        <f t="shared" si="3"/>
        <v>1</v>
      </c>
      <c r="U35" s="5">
        <f t="shared" si="3"/>
        <v>1</v>
      </c>
      <c r="V35" s="5">
        <f t="shared" si="3"/>
        <v>1</v>
      </c>
      <c r="W35" s="5">
        <f t="shared" si="3"/>
        <v>1</v>
      </c>
    </row>
    <row r="36">
      <c r="A36" s="2"/>
      <c r="B36" s="1" t="str">
        <f>'Quick Setup'!C7</f>
        <v>Deadlift</v>
      </c>
      <c r="C36" s="5">
        <f t="shared" ref="C36:W36" si="4">C35</f>
        <v>8</v>
      </c>
      <c r="D36" s="5">
        <f t="shared" si="4"/>
        <v>8</v>
      </c>
      <c r="E36" s="5">
        <f t="shared" si="4"/>
        <v>8</v>
      </c>
      <c r="F36" s="5">
        <f t="shared" si="4"/>
        <v>8</v>
      </c>
      <c r="G36" s="5">
        <f t="shared" si="4"/>
        <v>7</v>
      </c>
      <c r="H36" s="5">
        <f t="shared" si="4"/>
        <v>7</v>
      </c>
      <c r="I36" s="5">
        <f t="shared" si="4"/>
        <v>6</v>
      </c>
      <c r="J36" s="5">
        <f t="shared" si="4"/>
        <v>6</v>
      </c>
      <c r="K36" s="5">
        <f t="shared" si="4"/>
        <v>5</v>
      </c>
      <c r="L36" s="5">
        <f t="shared" si="4"/>
        <v>5</v>
      </c>
      <c r="M36" s="5">
        <f t="shared" si="4"/>
        <v>4</v>
      </c>
      <c r="N36" s="5">
        <f t="shared" si="4"/>
        <v>4</v>
      </c>
      <c r="O36" s="5">
        <f t="shared" si="4"/>
        <v>3</v>
      </c>
      <c r="P36" s="5">
        <f t="shared" si="4"/>
        <v>3</v>
      </c>
      <c r="Q36" s="5">
        <f t="shared" si="4"/>
        <v>2</v>
      </c>
      <c r="R36" s="5">
        <f t="shared" si="4"/>
        <v>2</v>
      </c>
      <c r="S36" s="5">
        <f t="shared" si="4"/>
        <v>1</v>
      </c>
      <c r="T36" s="5">
        <f t="shared" si="4"/>
        <v>1</v>
      </c>
      <c r="U36" s="5">
        <f t="shared" si="4"/>
        <v>1</v>
      </c>
      <c r="V36" s="5">
        <f t="shared" si="4"/>
        <v>1</v>
      </c>
      <c r="W36" s="5">
        <f t="shared" si="4"/>
        <v>1</v>
      </c>
    </row>
    <row r="37">
      <c r="A37" s="2"/>
      <c r="B37" s="1" t="str">
        <f>'Quick Setup'!C8</f>
        <v>OHP</v>
      </c>
      <c r="C37" s="5">
        <f t="shared" ref="C37:W37" si="5">C36</f>
        <v>8</v>
      </c>
      <c r="D37" s="5">
        <f t="shared" si="5"/>
        <v>8</v>
      </c>
      <c r="E37" s="5">
        <f t="shared" si="5"/>
        <v>8</v>
      </c>
      <c r="F37" s="5">
        <f t="shared" si="5"/>
        <v>8</v>
      </c>
      <c r="G37" s="5">
        <f t="shared" si="5"/>
        <v>7</v>
      </c>
      <c r="H37" s="5">
        <f t="shared" si="5"/>
        <v>7</v>
      </c>
      <c r="I37" s="5">
        <f t="shared" si="5"/>
        <v>6</v>
      </c>
      <c r="J37" s="5">
        <f t="shared" si="5"/>
        <v>6</v>
      </c>
      <c r="K37" s="5">
        <f t="shared" si="5"/>
        <v>5</v>
      </c>
      <c r="L37" s="5">
        <f t="shared" si="5"/>
        <v>5</v>
      </c>
      <c r="M37" s="5">
        <f t="shared" si="5"/>
        <v>4</v>
      </c>
      <c r="N37" s="5">
        <f t="shared" si="5"/>
        <v>4</v>
      </c>
      <c r="O37" s="5">
        <f t="shared" si="5"/>
        <v>3</v>
      </c>
      <c r="P37" s="5">
        <f t="shared" si="5"/>
        <v>3</v>
      </c>
      <c r="Q37" s="5">
        <f t="shared" si="5"/>
        <v>2</v>
      </c>
      <c r="R37" s="5">
        <f t="shared" si="5"/>
        <v>2</v>
      </c>
      <c r="S37" s="5">
        <f t="shared" si="5"/>
        <v>1</v>
      </c>
      <c r="T37" s="5">
        <f t="shared" si="5"/>
        <v>1</v>
      </c>
      <c r="U37" s="5">
        <f t="shared" si="5"/>
        <v>1</v>
      </c>
      <c r="V37" s="5">
        <f t="shared" si="5"/>
        <v>1</v>
      </c>
      <c r="W37" s="5">
        <f t="shared" si="5"/>
        <v>1</v>
      </c>
    </row>
    <row r="38">
      <c r="A38" s="2"/>
      <c r="B38" s="2" t="str">
        <f>'Quick Setup'!C11</f>
        <v>Front Squat</v>
      </c>
      <c r="C38" s="5">
        <f t="shared" ref="C38:W38" si="6">C37</f>
        <v>8</v>
      </c>
      <c r="D38" s="5">
        <f t="shared" si="6"/>
        <v>8</v>
      </c>
      <c r="E38" s="5">
        <f t="shared" si="6"/>
        <v>8</v>
      </c>
      <c r="F38" s="5">
        <f t="shared" si="6"/>
        <v>8</v>
      </c>
      <c r="G38" s="5">
        <f t="shared" si="6"/>
        <v>7</v>
      </c>
      <c r="H38" s="5">
        <f t="shared" si="6"/>
        <v>7</v>
      </c>
      <c r="I38" s="5">
        <f t="shared" si="6"/>
        <v>6</v>
      </c>
      <c r="J38" s="5">
        <f t="shared" si="6"/>
        <v>6</v>
      </c>
      <c r="K38" s="5">
        <f t="shared" si="6"/>
        <v>5</v>
      </c>
      <c r="L38" s="5">
        <f t="shared" si="6"/>
        <v>5</v>
      </c>
      <c r="M38" s="5">
        <f t="shared" si="6"/>
        <v>4</v>
      </c>
      <c r="N38" s="5">
        <f t="shared" si="6"/>
        <v>4</v>
      </c>
      <c r="O38" s="5">
        <f t="shared" si="6"/>
        <v>3</v>
      </c>
      <c r="P38" s="5">
        <f t="shared" si="6"/>
        <v>3</v>
      </c>
      <c r="Q38" s="5">
        <f t="shared" si="6"/>
        <v>2</v>
      </c>
      <c r="R38" s="5">
        <f t="shared" si="6"/>
        <v>2</v>
      </c>
      <c r="S38" s="5">
        <f t="shared" si="6"/>
        <v>1</v>
      </c>
      <c r="T38" s="5">
        <f t="shared" si="6"/>
        <v>1</v>
      </c>
      <c r="U38" s="5">
        <f t="shared" si="6"/>
        <v>1</v>
      </c>
      <c r="V38" s="5">
        <f t="shared" si="6"/>
        <v>1</v>
      </c>
      <c r="W38" s="5">
        <f t="shared" si="6"/>
        <v>1</v>
      </c>
    </row>
    <row r="39">
      <c r="A39" s="2"/>
      <c r="B39" s="2" t="str">
        <f>'Quick Setup'!C12</f>
        <v>Paused Squat</v>
      </c>
      <c r="C39" s="5">
        <f t="shared" ref="C39:W39" si="7">C38</f>
        <v>8</v>
      </c>
      <c r="D39" s="5">
        <f t="shared" si="7"/>
        <v>8</v>
      </c>
      <c r="E39" s="5">
        <f t="shared" si="7"/>
        <v>8</v>
      </c>
      <c r="F39" s="5">
        <f t="shared" si="7"/>
        <v>8</v>
      </c>
      <c r="G39" s="5">
        <f t="shared" si="7"/>
        <v>7</v>
      </c>
      <c r="H39" s="5">
        <f t="shared" si="7"/>
        <v>7</v>
      </c>
      <c r="I39" s="5">
        <f t="shared" si="7"/>
        <v>6</v>
      </c>
      <c r="J39" s="5">
        <f t="shared" si="7"/>
        <v>6</v>
      </c>
      <c r="K39" s="5">
        <f t="shared" si="7"/>
        <v>5</v>
      </c>
      <c r="L39" s="5">
        <f t="shared" si="7"/>
        <v>5</v>
      </c>
      <c r="M39" s="5">
        <f t="shared" si="7"/>
        <v>4</v>
      </c>
      <c r="N39" s="5">
        <f t="shared" si="7"/>
        <v>4</v>
      </c>
      <c r="O39" s="5">
        <f t="shared" si="7"/>
        <v>3</v>
      </c>
      <c r="P39" s="5">
        <f t="shared" si="7"/>
        <v>3</v>
      </c>
      <c r="Q39" s="5">
        <f t="shared" si="7"/>
        <v>2</v>
      </c>
      <c r="R39" s="5">
        <f t="shared" si="7"/>
        <v>2</v>
      </c>
      <c r="S39" s="5">
        <f t="shared" si="7"/>
        <v>1</v>
      </c>
      <c r="T39" s="5">
        <f t="shared" si="7"/>
        <v>1</v>
      </c>
      <c r="U39" s="5">
        <f t="shared" si="7"/>
        <v>1</v>
      </c>
      <c r="V39" s="5">
        <f t="shared" si="7"/>
        <v>1</v>
      </c>
      <c r="W39" s="5">
        <f t="shared" si="7"/>
        <v>1</v>
      </c>
    </row>
    <row r="40">
      <c r="A40" s="2"/>
      <c r="B40" s="2" t="str">
        <f>'Quick Setup'!C13</f>
        <v>Close Grip Bench</v>
      </c>
      <c r="C40" s="5">
        <f t="shared" ref="C40:W40" si="8">C39</f>
        <v>8</v>
      </c>
      <c r="D40" s="5">
        <f t="shared" si="8"/>
        <v>8</v>
      </c>
      <c r="E40" s="5">
        <f t="shared" si="8"/>
        <v>8</v>
      </c>
      <c r="F40" s="5">
        <f t="shared" si="8"/>
        <v>8</v>
      </c>
      <c r="G40" s="5">
        <f t="shared" si="8"/>
        <v>7</v>
      </c>
      <c r="H40" s="5">
        <f t="shared" si="8"/>
        <v>7</v>
      </c>
      <c r="I40" s="5">
        <f t="shared" si="8"/>
        <v>6</v>
      </c>
      <c r="J40" s="5">
        <f t="shared" si="8"/>
        <v>6</v>
      </c>
      <c r="K40" s="5">
        <f t="shared" si="8"/>
        <v>5</v>
      </c>
      <c r="L40" s="5">
        <f t="shared" si="8"/>
        <v>5</v>
      </c>
      <c r="M40" s="5">
        <f t="shared" si="8"/>
        <v>4</v>
      </c>
      <c r="N40" s="5">
        <f t="shared" si="8"/>
        <v>4</v>
      </c>
      <c r="O40" s="5">
        <f t="shared" si="8"/>
        <v>3</v>
      </c>
      <c r="P40" s="5">
        <f t="shared" si="8"/>
        <v>3</v>
      </c>
      <c r="Q40" s="5">
        <f t="shared" si="8"/>
        <v>2</v>
      </c>
      <c r="R40" s="5">
        <f t="shared" si="8"/>
        <v>2</v>
      </c>
      <c r="S40" s="5">
        <f t="shared" si="8"/>
        <v>1</v>
      </c>
      <c r="T40" s="5">
        <f t="shared" si="8"/>
        <v>1</v>
      </c>
      <c r="U40" s="5">
        <f t="shared" si="8"/>
        <v>1</v>
      </c>
      <c r="V40" s="5">
        <f t="shared" si="8"/>
        <v>1</v>
      </c>
      <c r="W40" s="5">
        <f t="shared" si="8"/>
        <v>1</v>
      </c>
    </row>
    <row r="41">
      <c r="A41" s="2"/>
      <c r="B41" s="2" t="str">
        <f>'Quick Setup'!C14</f>
        <v>Incline Press</v>
      </c>
      <c r="C41" s="5">
        <f t="shared" ref="C41:W41" si="9">C40</f>
        <v>8</v>
      </c>
      <c r="D41" s="5">
        <f t="shared" si="9"/>
        <v>8</v>
      </c>
      <c r="E41" s="5">
        <f t="shared" si="9"/>
        <v>8</v>
      </c>
      <c r="F41" s="5">
        <f t="shared" si="9"/>
        <v>8</v>
      </c>
      <c r="G41" s="5">
        <f t="shared" si="9"/>
        <v>7</v>
      </c>
      <c r="H41" s="5">
        <f t="shared" si="9"/>
        <v>7</v>
      </c>
      <c r="I41" s="5">
        <f t="shared" si="9"/>
        <v>6</v>
      </c>
      <c r="J41" s="5">
        <f t="shared" si="9"/>
        <v>6</v>
      </c>
      <c r="K41" s="5">
        <f t="shared" si="9"/>
        <v>5</v>
      </c>
      <c r="L41" s="5">
        <f t="shared" si="9"/>
        <v>5</v>
      </c>
      <c r="M41" s="5">
        <f t="shared" si="9"/>
        <v>4</v>
      </c>
      <c r="N41" s="5">
        <f t="shared" si="9"/>
        <v>4</v>
      </c>
      <c r="O41" s="5">
        <f t="shared" si="9"/>
        <v>3</v>
      </c>
      <c r="P41" s="5">
        <f t="shared" si="9"/>
        <v>3</v>
      </c>
      <c r="Q41" s="5">
        <f t="shared" si="9"/>
        <v>2</v>
      </c>
      <c r="R41" s="5">
        <f t="shared" si="9"/>
        <v>2</v>
      </c>
      <c r="S41" s="5">
        <f t="shared" si="9"/>
        <v>1</v>
      </c>
      <c r="T41" s="5">
        <f t="shared" si="9"/>
        <v>1</v>
      </c>
      <c r="U41" s="5">
        <f t="shared" si="9"/>
        <v>1</v>
      </c>
      <c r="V41" s="5">
        <f t="shared" si="9"/>
        <v>1</v>
      </c>
      <c r="W41" s="5">
        <f t="shared" si="9"/>
        <v>1</v>
      </c>
    </row>
    <row r="42">
      <c r="A42" s="2"/>
      <c r="B42" s="2" t="str">
        <f>'Quick Setup'!C15</f>
        <v>Sumo Deadlift</v>
      </c>
      <c r="C42" s="5">
        <f t="shared" ref="C42:W42" si="10">C41</f>
        <v>8</v>
      </c>
      <c r="D42" s="5">
        <f t="shared" si="10"/>
        <v>8</v>
      </c>
      <c r="E42" s="5">
        <f t="shared" si="10"/>
        <v>8</v>
      </c>
      <c r="F42" s="5">
        <f t="shared" si="10"/>
        <v>8</v>
      </c>
      <c r="G42" s="5">
        <f t="shared" si="10"/>
        <v>7</v>
      </c>
      <c r="H42" s="5">
        <f t="shared" si="10"/>
        <v>7</v>
      </c>
      <c r="I42" s="5">
        <f t="shared" si="10"/>
        <v>6</v>
      </c>
      <c r="J42" s="5">
        <f t="shared" si="10"/>
        <v>6</v>
      </c>
      <c r="K42" s="5">
        <f t="shared" si="10"/>
        <v>5</v>
      </c>
      <c r="L42" s="5">
        <f t="shared" si="10"/>
        <v>5</v>
      </c>
      <c r="M42" s="5">
        <f t="shared" si="10"/>
        <v>4</v>
      </c>
      <c r="N42" s="5">
        <f t="shared" si="10"/>
        <v>4</v>
      </c>
      <c r="O42" s="5">
        <f t="shared" si="10"/>
        <v>3</v>
      </c>
      <c r="P42" s="5">
        <f t="shared" si="10"/>
        <v>3</v>
      </c>
      <c r="Q42" s="5">
        <f t="shared" si="10"/>
        <v>2</v>
      </c>
      <c r="R42" s="5">
        <f t="shared" si="10"/>
        <v>2</v>
      </c>
      <c r="S42" s="5">
        <f t="shared" si="10"/>
        <v>1</v>
      </c>
      <c r="T42" s="5">
        <f t="shared" si="10"/>
        <v>1</v>
      </c>
      <c r="U42" s="5">
        <f t="shared" si="10"/>
        <v>1</v>
      </c>
      <c r="V42" s="5">
        <f t="shared" si="10"/>
        <v>1</v>
      </c>
      <c r="W42" s="5">
        <f t="shared" si="10"/>
        <v>1</v>
      </c>
    </row>
    <row r="43">
      <c r="A43" s="2"/>
      <c r="B43" s="2" t="str">
        <f>'Quick Setup'!C16</f>
        <v>Push Press</v>
      </c>
      <c r="C43" s="5">
        <f t="shared" ref="C43:W43" si="11">C42</f>
        <v>8</v>
      </c>
      <c r="D43" s="5">
        <f t="shared" si="11"/>
        <v>8</v>
      </c>
      <c r="E43" s="5">
        <f t="shared" si="11"/>
        <v>8</v>
      </c>
      <c r="F43" s="5">
        <f t="shared" si="11"/>
        <v>8</v>
      </c>
      <c r="G43" s="5">
        <f t="shared" si="11"/>
        <v>7</v>
      </c>
      <c r="H43" s="5">
        <f t="shared" si="11"/>
        <v>7</v>
      </c>
      <c r="I43" s="5">
        <f t="shared" si="11"/>
        <v>6</v>
      </c>
      <c r="J43" s="5">
        <f t="shared" si="11"/>
        <v>6</v>
      </c>
      <c r="K43" s="5">
        <f t="shared" si="11"/>
        <v>5</v>
      </c>
      <c r="L43" s="5">
        <f t="shared" si="11"/>
        <v>5</v>
      </c>
      <c r="M43" s="5">
        <f t="shared" si="11"/>
        <v>4</v>
      </c>
      <c r="N43" s="5">
        <f t="shared" si="11"/>
        <v>4</v>
      </c>
      <c r="O43" s="5">
        <f t="shared" si="11"/>
        <v>3</v>
      </c>
      <c r="P43" s="5">
        <f t="shared" si="11"/>
        <v>3</v>
      </c>
      <c r="Q43" s="5">
        <f t="shared" si="11"/>
        <v>2</v>
      </c>
      <c r="R43" s="5">
        <f t="shared" si="11"/>
        <v>2</v>
      </c>
      <c r="S43" s="5">
        <f t="shared" si="11"/>
        <v>1</v>
      </c>
      <c r="T43" s="5">
        <f t="shared" si="11"/>
        <v>1</v>
      </c>
      <c r="U43" s="5">
        <f t="shared" si="11"/>
        <v>1</v>
      </c>
      <c r="V43" s="5">
        <f t="shared" si="11"/>
        <v>1</v>
      </c>
      <c r="W43" s="5">
        <f t="shared" si="11"/>
        <v>1</v>
      </c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11" t="s">
        <v>39</v>
      </c>
    </row>
    <row r="47">
      <c r="A47" s="2"/>
      <c r="B47" s="2"/>
      <c r="C47" s="12">
        <v>0.5</v>
      </c>
      <c r="D47" s="12">
        <v>0.525</v>
      </c>
      <c r="E47" s="12">
        <v>0.55</v>
      </c>
      <c r="F47" s="12">
        <v>0.5750000000000001</v>
      </c>
      <c r="G47" s="12">
        <v>0.6000000000000001</v>
      </c>
      <c r="H47" s="12">
        <v>0.6250000000000001</v>
      </c>
      <c r="I47" s="12">
        <v>0.6500000000000001</v>
      </c>
      <c r="J47" s="12">
        <v>0.6750000000000002</v>
      </c>
      <c r="K47" s="12">
        <v>0.7000000000000002</v>
      </c>
      <c r="L47" s="12">
        <v>0.7250000000000002</v>
      </c>
      <c r="M47" s="12">
        <v>0.7500000000000002</v>
      </c>
      <c r="N47" s="12">
        <v>0.7750000000000002</v>
      </c>
      <c r="O47" s="12">
        <v>0.8000000000000003</v>
      </c>
      <c r="P47" s="12">
        <v>0.8250000000000003</v>
      </c>
      <c r="Q47" s="12">
        <v>0.8500000000000003</v>
      </c>
      <c r="R47" s="12">
        <v>0.8750000000000003</v>
      </c>
      <c r="S47" s="12">
        <v>0.9000000000000004</v>
      </c>
      <c r="T47" s="12">
        <v>0.9250000000000004</v>
      </c>
      <c r="U47" s="12">
        <v>0.9500000000000004</v>
      </c>
      <c r="V47" s="12">
        <v>0.9750000000000004</v>
      </c>
      <c r="W47" s="12">
        <v>1.0000000000000004</v>
      </c>
    </row>
    <row r="48">
      <c r="A48" s="2"/>
      <c r="B48" s="1" t="str">
        <f>'Quick Setup'!C5</f>
        <v>Squat</v>
      </c>
      <c r="C48" s="5">
        <v>5.0</v>
      </c>
      <c r="D48" s="5">
        <v>5.0</v>
      </c>
      <c r="E48" s="5">
        <v>5.0</v>
      </c>
      <c r="F48" s="5">
        <v>5.0</v>
      </c>
      <c r="G48" s="5">
        <v>4.0</v>
      </c>
      <c r="H48" s="5">
        <v>4.0</v>
      </c>
      <c r="I48" s="5">
        <v>4.0</v>
      </c>
      <c r="J48" s="5">
        <v>4.0</v>
      </c>
      <c r="K48" s="5">
        <v>3.0</v>
      </c>
      <c r="L48" s="5">
        <v>3.0</v>
      </c>
      <c r="M48" s="5">
        <v>3.0</v>
      </c>
      <c r="N48" s="5">
        <v>3.0</v>
      </c>
      <c r="O48" s="5">
        <v>2.0</v>
      </c>
      <c r="P48" s="5">
        <v>2.0</v>
      </c>
      <c r="Q48" s="5">
        <v>2.0</v>
      </c>
      <c r="R48" s="5">
        <v>2.0</v>
      </c>
      <c r="S48" s="5">
        <v>1.0</v>
      </c>
      <c r="T48" s="5">
        <v>1.0</v>
      </c>
      <c r="U48" s="5">
        <v>1.0</v>
      </c>
      <c r="V48" s="5">
        <v>0.0</v>
      </c>
      <c r="W48" s="5">
        <v>0.0</v>
      </c>
    </row>
    <row r="49">
      <c r="A49" s="2"/>
      <c r="B49" s="1" t="str">
        <f>'Quick Setup'!C6</f>
        <v>Bench Press</v>
      </c>
      <c r="C49" s="5">
        <v>5.0</v>
      </c>
      <c r="D49" s="5">
        <v>5.0</v>
      </c>
      <c r="E49" s="5">
        <v>5.0</v>
      </c>
      <c r="F49" s="5">
        <v>5.0</v>
      </c>
      <c r="G49" s="5">
        <v>4.0</v>
      </c>
      <c r="H49" s="5">
        <v>4.0</v>
      </c>
      <c r="I49" s="5">
        <v>4.0</v>
      </c>
      <c r="J49" s="5">
        <v>4.0</v>
      </c>
      <c r="K49" s="5">
        <v>3.0</v>
      </c>
      <c r="L49" s="5">
        <v>3.0</v>
      </c>
      <c r="M49" s="5">
        <v>3.0</v>
      </c>
      <c r="N49" s="5">
        <v>3.0</v>
      </c>
      <c r="O49" s="5">
        <v>2.0</v>
      </c>
      <c r="P49" s="5">
        <v>2.0</v>
      </c>
      <c r="Q49" s="5">
        <v>2.0</v>
      </c>
      <c r="R49" s="5">
        <v>2.0</v>
      </c>
      <c r="S49" s="5">
        <v>1.0</v>
      </c>
      <c r="T49" s="5">
        <v>1.0</v>
      </c>
      <c r="U49" s="5">
        <v>1.0</v>
      </c>
      <c r="V49" s="5">
        <v>0.0</v>
      </c>
      <c r="W49" s="5">
        <v>0.0</v>
      </c>
    </row>
    <row r="50">
      <c r="A50" s="2"/>
      <c r="B50" s="1" t="str">
        <f>'Quick Setup'!C7</f>
        <v>Deadlift</v>
      </c>
      <c r="C50" s="5">
        <v>5.0</v>
      </c>
      <c r="D50" s="5">
        <v>5.0</v>
      </c>
      <c r="E50" s="5">
        <v>5.0</v>
      </c>
      <c r="F50" s="5">
        <v>5.0</v>
      </c>
      <c r="G50" s="5">
        <v>4.0</v>
      </c>
      <c r="H50" s="5">
        <v>4.0</v>
      </c>
      <c r="I50" s="5">
        <v>4.0</v>
      </c>
      <c r="J50" s="5">
        <v>4.0</v>
      </c>
      <c r="K50" s="5">
        <v>3.0</v>
      </c>
      <c r="L50" s="5">
        <v>3.0</v>
      </c>
      <c r="M50" s="5">
        <v>3.0</v>
      </c>
      <c r="N50" s="5">
        <v>3.0</v>
      </c>
      <c r="O50" s="5">
        <v>2.0</v>
      </c>
      <c r="P50" s="5">
        <v>2.0</v>
      </c>
      <c r="Q50" s="5">
        <v>2.0</v>
      </c>
      <c r="R50" s="5">
        <v>2.0</v>
      </c>
      <c r="S50" s="5">
        <v>1.0</v>
      </c>
      <c r="T50" s="5">
        <v>1.0</v>
      </c>
      <c r="U50" s="5">
        <v>1.0</v>
      </c>
      <c r="V50" s="5">
        <v>0.0</v>
      </c>
      <c r="W50" s="5">
        <v>0.0</v>
      </c>
    </row>
    <row r="51">
      <c r="A51" s="2"/>
      <c r="B51" s="1" t="str">
        <f>'Quick Setup'!C8</f>
        <v>OHP</v>
      </c>
      <c r="C51" s="5">
        <v>5.0</v>
      </c>
      <c r="D51" s="5">
        <v>5.0</v>
      </c>
      <c r="E51" s="5">
        <v>5.0</v>
      </c>
      <c r="F51" s="5">
        <v>5.0</v>
      </c>
      <c r="G51" s="5">
        <v>4.0</v>
      </c>
      <c r="H51" s="5">
        <v>4.0</v>
      </c>
      <c r="I51" s="5">
        <v>4.0</v>
      </c>
      <c r="J51" s="5">
        <v>4.0</v>
      </c>
      <c r="K51" s="5">
        <v>3.0</v>
      </c>
      <c r="L51" s="5">
        <v>3.0</v>
      </c>
      <c r="M51" s="5">
        <v>3.0</v>
      </c>
      <c r="N51" s="5">
        <v>3.0</v>
      </c>
      <c r="O51" s="5">
        <v>2.0</v>
      </c>
      <c r="P51" s="5">
        <v>2.0</v>
      </c>
      <c r="Q51" s="5">
        <v>2.0</v>
      </c>
      <c r="R51" s="5">
        <v>2.0</v>
      </c>
      <c r="S51" s="5">
        <v>1.0</v>
      </c>
      <c r="T51" s="5">
        <v>1.0</v>
      </c>
      <c r="U51" s="5">
        <v>1.0</v>
      </c>
      <c r="V51" s="5">
        <v>0.0</v>
      </c>
      <c r="W51" s="5">
        <v>0.0</v>
      </c>
    </row>
    <row r="52">
      <c r="A52" s="2"/>
      <c r="B52" s="2" t="str">
        <f>'Quick Setup'!C11</f>
        <v>Front Squat</v>
      </c>
      <c r="C52" s="5">
        <v>5.0</v>
      </c>
      <c r="D52" s="5">
        <v>5.0</v>
      </c>
      <c r="E52" s="5">
        <v>5.0</v>
      </c>
      <c r="F52" s="5">
        <v>5.0</v>
      </c>
      <c r="G52" s="5">
        <v>4.0</v>
      </c>
      <c r="H52" s="5">
        <v>4.0</v>
      </c>
      <c r="I52" s="5">
        <v>4.0</v>
      </c>
      <c r="J52" s="5">
        <v>4.0</v>
      </c>
      <c r="K52" s="5">
        <v>3.0</v>
      </c>
      <c r="L52" s="5">
        <v>3.0</v>
      </c>
      <c r="M52" s="5">
        <v>3.0</v>
      </c>
      <c r="N52" s="5">
        <v>3.0</v>
      </c>
      <c r="O52" s="5">
        <v>2.0</v>
      </c>
      <c r="P52" s="5">
        <v>2.0</v>
      </c>
      <c r="Q52" s="5">
        <v>2.0</v>
      </c>
      <c r="R52" s="5">
        <v>2.0</v>
      </c>
      <c r="S52" s="5">
        <v>1.0</v>
      </c>
      <c r="T52" s="5">
        <v>1.0</v>
      </c>
      <c r="U52" s="5">
        <v>1.0</v>
      </c>
      <c r="V52" s="5">
        <v>0.0</v>
      </c>
      <c r="W52" s="5">
        <v>0.0</v>
      </c>
    </row>
    <row r="53">
      <c r="A53" s="2"/>
      <c r="B53" s="2" t="str">
        <f>'Quick Setup'!C12</f>
        <v>Paused Squat</v>
      </c>
      <c r="C53" s="5">
        <v>5.0</v>
      </c>
      <c r="D53" s="5">
        <v>5.0</v>
      </c>
      <c r="E53" s="5">
        <v>5.0</v>
      </c>
      <c r="F53" s="5">
        <v>5.0</v>
      </c>
      <c r="G53" s="5">
        <v>4.0</v>
      </c>
      <c r="H53" s="5">
        <v>4.0</v>
      </c>
      <c r="I53" s="5">
        <v>4.0</v>
      </c>
      <c r="J53" s="5">
        <v>4.0</v>
      </c>
      <c r="K53" s="5">
        <v>3.0</v>
      </c>
      <c r="L53" s="5">
        <v>3.0</v>
      </c>
      <c r="M53" s="5">
        <v>3.0</v>
      </c>
      <c r="N53" s="5">
        <v>3.0</v>
      </c>
      <c r="O53" s="5">
        <v>2.0</v>
      </c>
      <c r="P53" s="5">
        <v>2.0</v>
      </c>
      <c r="Q53" s="5">
        <v>2.0</v>
      </c>
      <c r="R53" s="5">
        <v>2.0</v>
      </c>
      <c r="S53" s="5">
        <v>1.0</v>
      </c>
      <c r="T53" s="5">
        <v>1.0</v>
      </c>
      <c r="U53" s="5">
        <v>1.0</v>
      </c>
      <c r="V53" s="5">
        <v>0.0</v>
      </c>
      <c r="W53" s="5">
        <v>0.0</v>
      </c>
    </row>
    <row r="54">
      <c r="A54" s="2"/>
      <c r="B54" s="2" t="str">
        <f>'Quick Setup'!C13</f>
        <v>Close Grip Bench</v>
      </c>
      <c r="C54" s="5">
        <v>5.0</v>
      </c>
      <c r="D54" s="5">
        <v>5.0</v>
      </c>
      <c r="E54" s="5">
        <v>5.0</v>
      </c>
      <c r="F54" s="5">
        <v>5.0</v>
      </c>
      <c r="G54" s="5">
        <v>4.0</v>
      </c>
      <c r="H54" s="5">
        <v>4.0</v>
      </c>
      <c r="I54" s="5">
        <v>4.0</v>
      </c>
      <c r="J54" s="5">
        <v>4.0</v>
      </c>
      <c r="K54" s="5">
        <v>3.0</v>
      </c>
      <c r="L54" s="5">
        <v>3.0</v>
      </c>
      <c r="M54" s="5">
        <v>3.0</v>
      </c>
      <c r="N54" s="5">
        <v>3.0</v>
      </c>
      <c r="O54" s="5">
        <v>2.0</v>
      </c>
      <c r="P54" s="5">
        <v>2.0</v>
      </c>
      <c r="Q54" s="5">
        <v>2.0</v>
      </c>
      <c r="R54" s="5">
        <v>2.0</v>
      </c>
      <c r="S54" s="5">
        <v>1.0</v>
      </c>
      <c r="T54" s="5">
        <v>1.0</v>
      </c>
      <c r="U54" s="5">
        <v>1.0</v>
      </c>
      <c r="V54" s="5">
        <v>0.0</v>
      </c>
      <c r="W54" s="5">
        <v>0.0</v>
      </c>
    </row>
    <row r="55">
      <c r="A55" s="2"/>
      <c r="B55" s="2" t="str">
        <f>'Quick Setup'!C14</f>
        <v>Incline Press</v>
      </c>
      <c r="C55" s="5">
        <v>5.0</v>
      </c>
      <c r="D55" s="5">
        <v>5.0</v>
      </c>
      <c r="E55" s="5">
        <v>5.0</v>
      </c>
      <c r="F55" s="5">
        <v>5.0</v>
      </c>
      <c r="G55" s="5">
        <v>4.0</v>
      </c>
      <c r="H55" s="5">
        <v>4.0</v>
      </c>
      <c r="I55" s="5">
        <v>4.0</v>
      </c>
      <c r="J55" s="5">
        <v>4.0</v>
      </c>
      <c r="K55" s="5">
        <v>3.0</v>
      </c>
      <c r="L55" s="5">
        <v>3.0</v>
      </c>
      <c r="M55" s="5">
        <v>3.0</v>
      </c>
      <c r="N55" s="5">
        <v>3.0</v>
      </c>
      <c r="O55" s="5">
        <v>2.0</v>
      </c>
      <c r="P55" s="5">
        <v>2.0</v>
      </c>
      <c r="Q55" s="5">
        <v>2.0</v>
      </c>
      <c r="R55" s="5">
        <v>2.0</v>
      </c>
      <c r="S55" s="5">
        <v>1.0</v>
      </c>
      <c r="T55" s="5">
        <v>1.0</v>
      </c>
      <c r="U55" s="5">
        <v>1.0</v>
      </c>
      <c r="V55" s="5">
        <v>0.0</v>
      </c>
      <c r="W55" s="5">
        <v>0.0</v>
      </c>
    </row>
    <row r="56">
      <c r="A56" s="2"/>
      <c r="B56" s="2" t="str">
        <f>'Quick Setup'!C15</f>
        <v>Sumo Deadlift</v>
      </c>
      <c r="C56" s="5">
        <v>5.0</v>
      </c>
      <c r="D56" s="5">
        <v>5.0</v>
      </c>
      <c r="E56" s="5">
        <v>5.0</v>
      </c>
      <c r="F56" s="5">
        <v>5.0</v>
      </c>
      <c r="G56" s="5">
        <v>4.0</v>
      </c>
      <c r="H56" s="5">
        <v>4.0</v>
      </c>
      <c r="I56" s="5">
        <v>4.0</v>
      </c>
      <c r="J56" s="5">
        <v>4.0</v>
      </c>
      <c r="K56" s="5">
        <v>3.0</v>
      </c>
      <c r="L56" s="5">
        <v>3.0</v>
      </c>
      <c r="M56" s="5">
        <v>3.0</v>
      </c>
      <c r="N56" s="5">
        <v>3.0</v>
      </c>
      <c r="O56" s="5">
        <v>2.0</v>
      </c>
      <c r="P56" s="5">
        <v>2.0</v>
      </c>
      <c r="Q56" s="5">
        <v>2.0</v>
      </c>
      <c r="R56" s="5">
        <v>2.0</v>
      </c>
      <c r="S56" s="5">
        <v>1.0</v>
      </c>
      <c r="T56" s="5">
        <v>1.0</v>
      </c>
      <c r="U56" s="5">
        <v>1.0</v>
      </c>
      <c r="V56" s="5">
        <v>0.0</v>
      </c>
      <c r="W56" s="5">
        <v>0.0</v>
      </c>
    </row>
    <row r="57">
      <c r="A57" s="2"/>
      <c r="B57" s="2" t="str">
        <f>'Quick Setup'!C16</f>
        <v>Push Press</v>
      </c>
      <c r="C57" s="5">
        <v>5.0</v>
      </c>
      <c r="D57" s="5">
        <v>5.0</v>
      </c>
      <c r="E57" s="5">
        <v>5.0</v>
      </c>
      <c r="F57" s="5">
        <v>5.0</v>
      </c>
      <c r="G57" s="5">
        <v>4.0</v>
      </c>
      <c r="H57" s="5">
        <v>4.0</v>
      </c>
      <c r="I57" s="5">
        <v>4.0</v>
      </c>
      <c r="J57" s="5">
        <v>4.0</v>
      </c>
      <c r="K57" s="5">
        <v>3.0</v>
      </c>
      <c r="L57" s="5">
        <v>3.0</v>
      </c>
      <c r="M57" s="5">
        <v>3.0</v>
      </c>
      <c r="N57" s="5">
        <v>3.0</v>
      </c>
      <c r="O57" s="5">
        <v>2.0</v>
      </c>
      <c r="P57" s="5">
        <v>2.0</v>
      </c>
      <c r="Q57" s="5">
        <v>2.0</v>
      </c>
      <c r="R57" s="5">
        <v>2.0</v>
      </c>
      <c r="S57" s="5">
        <v>1.0</v>
      </c>
      <c r="T57" s="5">
        <v>1.0</v>
      </c>
      <c r="U57" s="5">
        <v>1.0</v>
      </c>
      <c r="V57" s="5">
        <v>0.0</v>
      </c>
      <c r="W57" s="5">
        <v>0.0</v>
      </c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11" t="s">
        <v>40</v>
      </c>
    </row>
    <row r="60">
      <c r="A60" s="2"/>
      <c r="B60" s="12" t="s">
        <v>41</v>
      </c>
      <c r="C60" s="1">
        <v>1.0</v>
      </c>
      <c r="D60" s="1">
        <f t="shared" ref="D60:W60" si="12">C60+1</f>
        <v>2</v>
      </c>
      <c r="E60" s="1">
        <f t="shared" si="12"/>
        <v>3</v>
      </c>
      <c r="F60" s="1">
        <f t="shared" si="12"/>
        <v>4</v>
      </c>
      <c r="G60" s="1">
        <f t="shared" si="12"/>
        <v>5</v>
      </c>
      <c r="H60" s="1">
        <f t="shared" si="12"/>
        <v>6</v>
      </c>
      <c r="I60" s="1">
        <f t="shared" si="12"/>
        <v>7</v>
      </c>
      <c r="J60" s="1">
        <f t="shared" si="12"/>
        <v>8</v>
      </c>
      <c r="K60" s="1">
        <f t="shared" si="12"/>
        <v>9</v>
      </c>
      <c r="L60" s="1">
        <f t="shared" si="12"/>
        <v>10</v>
      </c>
      <c r="M60" s="1">
        <f t="shared" si="12"/>
        <v>11</v>
      </c>
      <c r="N60" s="1">
        <f t="shared" si="12"/>
        <v>12</v>
      </c>
      <c r="O60" s="1">
        <f t="shared" si="12"/>
        <v>13</v>
      </c>
      <c r="P60" s="1">
        <f t="shared" si="12"/>
        <v>14</v>
      </c>
      <c r="Q60" s="1">
        <f t="shared" si="12"/>
        <v>15</v>
      </c>
      <c r="R60" s="1">
        <f t="shared" si="12"/>
        <v>16</v>
      </c>
      <c r="S60" s="1">
        <f t="shared" si="12"/>
        <v>17</v>
      </c>
      <c r="T60" s="1">
        <f t="shared" si="12"/>
        <v>18</v>
      </c>
      <c r="U60" s="1">
        <f t="shared" si="12"/>
        <v>19</v>
      </c>
      <c r="V60" s="1">
        <f t="shared" si="12"/>
        <v>20</v>
      </c>
      <c r="W60" s="1">
        <f t="shared" si="12"/>
        <v>21</v>
      </c>
    </row>
    <row r="61">
      <c r="A61" s="2"/>
      <c r="B61" s="13" t="str">
        <f>'Quick Setup'!C5</f>
        <v>Squat</v>
      </c>
      <c r="C61" s="14">
        <v>0.7</v>
      </c>
      <c r="D61" s="14">
        <v>0.75</v>
      </c>
      <c r="E61" s="14">
        <v>0.8</v>
      </c>
      <c r="F61" s="14">
        <v>0.725</v>
      </c>
      <c r="G61" s="14">
        <v>0.775</v>
      </c>
      <c r="H61" s="14">
        <v>0.825</v>
      </c>
      <c r="I61" s="14">
        <v>0.6</v>
      </c>
      <c r="J61" s="14">
        <v>0.75</v>
      </c>
      <c r="K61" s="14">
        <v>0.8</v>
      </c>
      <c r="L61" s="14">
        <v>0.85</v>
      </c>
      <c r="M61" s="14">
        <v>0.775</v>
      </c>
      <c r="N61" s="14">
        <v>0.825</v>
      </c>
      <c r="O61" s="14">
        <v>0.875</v>
      </c>
      <c r="P61" s="14">
        <v>0.6</v>
      </c>
      <c r="Q61" s="14">
        <v>0.8</v>
      </c>
      <c r="R61" s="14">
        <v>0.85</v>
      </c>
      <c r="S61" s="14">
        <v>0.9</v>
      </c>
      <c r="T61" s="14">
        <v>0.85</v>
      </c>
      <c r="U61" s="14">
        <v>0.9</v>
      </c>
      <c r="V61" s="14">
        <v>0.95</v>
      </c>
      <c r="W61" s="14">
        <v>0.6</v>
      </c>
    </row>
    <row r="62">
      <c r="A62" s="2"/>
      <c r="B62" s="13" t="str">
        <f>'Quick Setup'!C6</f>
        <v>Bench Press</v>
      </c>
      <c r="C62" s="14">
        <f t="shared" ref="C62:W62" si="13">C61</f>
        <v>0.7</v>
      </c>
      <c r="D62" s="14">
        <f t="shared" si="13"/>
        <v>0.75</v>
      </c>
      <c r="E62" s="14">
        <f t="shared" si="13"/>
        <v>0.8</v>
      </c>
      <c r="F62" s="14">
        <f t="shared" si="13"/>
        <v>0.725</v>
      </c>
      <c r="G62" s="14">
        <f t="shared" si="13"/>
        <v>0.775</v>
      </c>
      <c r="H62" s="14">
        <f t="shared" si="13"/>
        <v>0.825</v>
      </c>
      <c r="I62" s="14">
        <f t="shared" si="13"/>
        <v>0.6</v>
      </c>
      <c r="J62" s="14">
        <f t="shared" si="13"/>
        <v>0.75</v>
      </c>
      <c r="K62" s="14">
        <f t="shared" si="13"/>
        <v>0.8</v>
      </c>
      <c r="L62" s="14">
        <f t="shared" si="13"/>
        <v>0.85</v>
      </c>
      <c r="M62" s="14">
        <f t="shared" si="13"/>
        <v>0.775</v>
      </c>
      <c r="N62" s="14">
        <f t="shared" si="13"/>
        <v>0.825</v>
      </c>
      <c r="O62" s="14">
        <f t="shared" si="13"/>
        <v>0.875</v>
      </c>
      <c r="P62" s="14">
        <f t="shared" si="13"/>
        <v>0.6</v>
      </c>
      <c r="Q62" s="14">
        <f t="shared" si="13"/>
        <v>0.8</v>
      </c>
      <c r="R62" s="14">
        <f t="shared" si="13"/>
        <v>0.85</v>
      </c>
      <c r="S62" s="14">
        <f t="shared" si="13"/>
        <v>0.9</v>
      </c>
      <c r="T62" s="14">
        <f t="shared" si="13"/>
        <v>0.85</v>
      </c>
      <c r="U62" s="14">
        <f t="shared" si="13"/>
        <v>0.9</v>
      </c>
      <c r="V62" s="14">
        <f t="shared" si="13"/>
        <v>0.95</v>
      </c>
      <c r="W62" s="14">
        <f t="shared" si="13"/>
        <v>0.6</v>
      </c>
    </row>
    <row r="63">
      <c r="A63" s="2"/>
      <c r="B63" s="13" t="str">
        <f>'Quick Setup'!C7</f>
        <v>Deadlift</v>
      </c>
      <c r="C63" s="14">
        <f t="shared" ref="C63:W63" si="14">C62</f>
        <v>0.7</v>
      </c>
      <c r="D63" s="14">
        <f t="shared" si="14"/>
        <v>0.75</v>
      </c>
      <c r="E63" s="14">
        <f t="shared" si="14"/>
        <v>0.8</v>
      </c>
      <c r="F63" s="14">
        <f t="shared" si="14"/>
        <v>0.725</v>
      </c>
      <c r="G63" s="14">
        <f t="shared" si="14"/>
        <v>0.775</v>
      </c>
      <c r="H63" s="14">
        <f t="shared" si="14"/>
        <v>0.825</v>
      </c>
      <c r="I63" s="14">
        <f t="shared" si="14"/>
        <v>0.6</v>
      </c>
      <c r="J63" s="14">
        <f t="shared" si="14"/>
        <v>0.75</v>
      </c>
      <c r="K63" s="14">
        <f t="shared" si="14"/>
        <v>0.8</v>
      </c>
      <c r="L63" s="14">
        <f t="shared" si="14"/>
        <v>0.85</v>
      </c>
      <c r="M63" s="14">
        <f t="shared" si="14"/>
        <v>0.775</v>
      </c>
      <c r="N63" s="14">
        <f t="shared" si="14"/>
        <v>0.825</v>
      </c>
      <c r="O63" s="14">
        <f t="shared" si="14"/>
        <v>0.875</v>
      </c>
      <c r="P63" s="14">
        <f t="shared" si="14"/>
        <v>0.6</v>
      </c>
      <c r="Q63" s="14">
        <f t="shared" si="14"/>
        <v>0.8</v>
      </c>
      <c r="R63" s="14">
        <f t="shared" si="14"/>
        <v>0.85</v>
      </c>
      <c r="S63" s="14">
        <f t="shared" si="14"/>
        <v>0.9</v>
      </c>
      <c r="T63" s="14">
        <f t="shared" si="14"/>
        <v>0.85</v>
      </c>
      <c r="U63" s="14">
        <f t="shared" si="14"/>
        <v>0.9</v>
      </c>
      <c r="V63" s="14">
        <f t="shared" si="14"/>
        <v>0.95</v>
      </c>
      <c r="W63" s="14">
        <f t="shared" si="14"/>
        <v>0.6</v>
      </c>
    </row>
    <row r="64">
      <c r="A64" s="2"/>
      <c r="B64" s="13" t="str">
        <f>'Quick Setup'!C8</f>
        <v>OHP</v>
      </c>
      <c r="C64" s="14">
        <f t="shared" ref="C64:W64" si="15">C63</f>
        <v>0.7</v>
      </c>
      <c r="D64" s="14">
        <f t="shared" si="15"/>
        <v>0.75</v>
      </c>
      <c r="E64" s="14">
        <f t="shared" si="15"/>
        <v>0.8</v>
      </c>
      <c r="F64" s="14">
        <f t="shared" si="15"/>
        <v>0.725</v>
      </c>
      <c r="G64" s="14">
        <f t="shared" si="15"/>
        <v>0.775</v>
      </c>
      <c r="H64" s="14">
        <f t="shared" si="15"/>
        <v>0.825</v>
      </c>
      <c r="I64" s="14">
        <f t="shared" si="15"/>
        <v>0.6</v>
      </c>
      <c r="J64" s="14">
        <f t="shared" si="15"/>
        <v>0.75</v>
      </c>
      <c r="K64" s="14">
        <f t="shared" si="15"/>
        <v>0.8</v>
      </c>
      <c r="L64" s="14">
        <f t="shared" si="15"/>
        <v>0.85</v>
      </c>
      <c r="M64" s="14">
        <f t="shared" si="15"/>
        <v>0.775</v>
      </c>
      <c r="N64" s="14">
        <f t="shared" si="15"/>
        <v>0.825</v>
      </c>
      <c r="O64" s="14">
        <f t="shared" si="15"/>
        <v>0.875</v>
      </c>
      <c r="P64" s="14">
        <f t="shared" si="15"/>
        <v>0.6</v>
      </c>
      <c r="Q64" s="14">
        <f t="shared" si="15"/>
        <v>0.8</v>
      </c>
      <c r="R64" s="14">
        <f t="shared" si="15"/>
        <v>0.85</v>
      </c>
      <c r="S64" s="14">
        <f t="shared" si="15"/>
        <v>0.9</v>
      </c>
      <c r="T64" s="14">
        <f t="shared" si="15"/>
        <v>0.85</v>
      </c>
      <c r="U64" s="14">
        <f t="shared" si="15"/>
        <v>0.9</v>
      </c>
      <c r="V64" s="14">
        <f t="shared" si="15"/>
        <v>0.95</v>
      </c>
      <c r="W64" s="14">
        <f t="shared" si="15"/>
        <v>0.6</v>
      </c>
    </row>
    <row r="65">
      <c r="A65" s="2"/>
      <c r="B65" s="13" t="str">
        <f>'Quick Setup'!C11</f>
        <v>Front Squat</v>
      </c>
      <c r="C65" s="14">
        <f t="shared" ref="C65:W65" si="16">C61-0.1</f>
        <v>0.6</v>
      </c>
      <c r="D65" s="14">
        <f t="shared" si="16"/>
        <v>0.65</v>
      </c>
      <c r="E65" s="14">
        <f t="shared" si="16"/>
        <v>0.7</v>
      </c>
      <c r="F65" s="14">
        <f t="shared" si="16"/>
        <v>0.625</v>
      </c>
      <c r="G65" s="14">
        <f t="shared" si="16"/>
        <v>0.675</v>
      </c>
      <c r="H65" s="14">
        <f t="shared" si="16"/>
        <v>0.725</v>
      </c>
      <c r="I65" s="14">
        <f t="shared" si="16"/>
        <v>0.5</v>
      </c>
      <c r="J65" s="14">
        <f t="shared" si="16"/>
        <v>0.65</v>
      </c>
      <c r="K65" s="14">
        <f t="shared" si="16"/>
        <v>0.7</v>
      </c>
      <c r="L65" s="14">
        <f t="shared" si="16"/>
        <v>0.75</v>
      </c>
      <c r="M65" s="14">
        <f t="shared" si="16"/>
        <v>0.675</v>
      </c>
      <c r="N65" s="14">
        <f t="shared" si="16"/>
        <v>0.725</v>
      </c>
      <c r="O65" s="14">
        <f t="shared" si="16"/>
        <v>0.775</v>
      </c>
      <c r="P65" s="14">
        <f t="shared" si="16"/>
        <v>0.5</v>
      </c>
      <c r="Q65" s="14">
        <f t="shared" si="16"/>
        <v>0.7</v>
      </c>
      <c r="R65" s="14">
        <f t="shared" si="16"/>
        <v>0.75</v>
      </c>
      <c r="S65" s="14">
        <f t="shared" si="16"/>
        <v>0.8</v>
      </c>
      <c r="T65" s="14">
        <f t="shared" si="16"/>
        <v>0.75</v>
      </c>
      <c r="U65" s="14">
        <f t="shared" si="16"/>
        <v>0.8</v>
      </c>
      <c r="V65" s="14">
        <f t="shared" si="16"/>
        <v>0.85</v>
      </c>
      <c r="W65" s="14">
        <f t="shared" si="16"/>
        <v>0.5</v>
      </c>
    </row>
    <row r="66">
      <c r="A66" s="2"/>
      <c r="B66" s="13" t="str">
        <f>'Quick Setup'!C12</f>
        <v>Paused Squat</v>
      </c>
      <c r="C66" s="14">
        <f t="shared" ref="C66:W66" si="17">C65</f>
        <v>0.6</v>
      </c>
      <c r="D66" s="14">
        <f t="shared" si="17"/>
        <v>0.65</v>
      </c>
      <c r="E66" s="14">
        <f t="shared" si="17"/>
        <v>0.7</v>
      </c>
      <c r="F66" s="14">
        <f t="shared" si="17"/>
        <v>0.625</v>
      </c>
      <c r="G66" s="14">
        <f t="shared" si="17"/>
        <v>0.675</v>
      </c>
      <c r="H66" s="14">
        <f t="shared" si="17"/>
        <v>0.725</v>
      </c>
      <c r="I66" s="14">
        <f t="shared" si="17"/>
        <v>0.5</v>
      </c>
      <c r="J66" s="14">
        <f t="shared" si="17"/>
        <v>0.65</v>
      </c>
      <c r="K66" s="14">
        <f t="shared" si="17"/>
        <v>0.7</v>
      </c>
      <c r="L66" s="14">
        <f t="shared" si="17"/>
        <v>0.75</v>
      </c>
      <c r="M66" s="14">
        <f t="shared" si="17"/>
        <v>0.675</v>
      </c>
      <c r="N66" s="14">
        <f t="shared" si="17"/>
        <v>0.725</v>
      </c>
      <c r="O66" s="14">
        <f t="shared" si="17"/>
        <v>0.775</v>
      </c>
      <c r="P66" s="14">
        <f t="shared" si="17"/>
        <v>0.5</v>
      </c>
      <c r="Q66" s="14">
        <f t="shared" si="17"/>
        <v>0.7</v>
      </c>
      <c r="R66" s="14">
        <f t="shared" si="17"/>
        <v>0.75</v>
      </c>
      <c r="S66" s="14">
        <f t="shared" si="17"/>
        <v>0.8</v>
      </c>
      <c r="T66" s="14">
        <f t="shared" si="17"/>
        <v>0.75</v>
      </c>
      <c r="U66" s="14">
        <f t="shared" si="17"/>
        <v>0.8</v>
      </c>
      <c r="V66" s="14">
        <f t="shared" si="17"/>
        <v>0.85</v>
      </c>
      <c r="W66" s="14">
        <f t="shared" si="17"/>
        <v>0.5</v>
      </c>
    </row>
    <row r="67">
      <c r="A67" s="2"/>
      <c r="B67" s="13" t="str">
        <f>'Quick Setup'!C13</f>
        <v>Close Grip Bench</v>
      </c>
      <c r="C67" s="14">
        <f t="shared" ref="C67:W67" si="18">C66</f>
        <v>0.6</v>
      </c>
      <c r="D67" s="14">
        <f t="shared" si="18"/>
        <v>0.65</v>
      </c>
      <c r="E67" s="14">
        <f t="shared" si="18"/>
        <v>0.7</v>
      </c>
      <c r="F67" s="14">
        <f t="shared" si="18"/>
        <v>0.625</v>
      </c>
      <c r="G67" s="14">
        <f t="shared" si="18"/>
        <v>0.675</v>
      </c>
      <c r="H67" s="14">
        <f t="shared" si="18"/>
        <v>0.725</v>
      </c>
      <c r="I67" s="14">
        <f t="shared" si="18"/>
        <v>0.5</v>
      </c>
      <c r="J67" s="14">
        <f t="shared" si="18"/>
        <v>0.65</v>
      </c>
      <c r="K67" s="14">
        <f t="shared" si="18"/>
        <v>0.7</v>
      </c>
      <c r="L67" s="14">
        <f t="shared" si="18"/>
        <v>0.75</v>
      </c>
      <c r="M67" s="14">
        <f t="shared" si="18"/>
        <v>0.675</v>
      </c>
      <c r="N67" s="14">
        <f t="shared" si="18"/>
        <v>0.725</v>
      </c>
      <c r="O67" s="14">
        <f t="shared" si="18"/>
        <v>0.775</v>
      </c>
      <c r="P67" s="14">
        <f t="shared" si="18"/>
        <v>0.5</v>
      </c>
      <c r="Q67" s="14">
        <f t="shared" si="18"/>
        <v>0.7</v>
      </c>
      <c r="R67" s="14">
        <f t="shared" si="18"/>
        <v>0.75</v>
      </c>
      <c r="S67" s="14">
        <f t="shared" si="18"/>
        <v>0.8</v>
      </c>
      <c r="T67" s="14">
        <f t="shared" si="18"/>
        <v>0.75</v>
      </c>
      <c r="U67" s="14">
        <f t="shared" si="18"/>
        <v>0.8</v>
      </c>
      <c r="V67" s="14">
        <f t="shared" si="18"/>
        <v>0.85</v>
      </c>
      <c r="W67" s="14">
        <f t="shared" si="18"/>
        <v>0.5</v>
      </c>
    </row>
    <row r="68">
      <c r="A68" s="2"/>
      <c r="B68" s="13" t="str">
        <f>'Quick Setup'!C14</f>
        <v>Incline Press</v>
      </c>
      <c r="C68" s="14">
        <f t="shared" ref="C68:W68" si="19">C67</f>
        <v>0.6</v>
      </c>
      <c r="D68" s="14">
        <f t="shared" si="19"/>
        <v>0.65</v>
      </c>
      <c r="E68" s="14">
        <f t="shared" si="19"/>
        <v>0.7</v>
      </c>
      <c r="F68" s="14">
        <f t="shared" si="19"/>
        <v>0.625</v>
      </c>
      <c r="G68" s="14">
        <f t="shared" si="19"/>
        <v>0.675</v>
      </c>
      <c r="H68" s="14">
        <f t="shared" si="19"/>
        <v>0.725</v>
      </c>
      <c r="I68" s="14">
        <f t="shared" si="19"/>
        <v>0.5</v>
      </c>
      <c r="J68" s="14">
        <f t="shared" si="19"/>
        <v>0.65</v>
      </c>
      <c r="K68" s="14">
        <f t="shared" si="19"/>
        <v>0.7</v>
      </c>
      <c r="L68" s="14">
        <f t="shared" si="19"/>
        <v>0.75</v>
      </c>
      <c r="M68" s="14">
        <f t="shared" si="19"/>
        <v>0.675</v>
      </c>
      <c r="N68" s="14">
        <f t="shared" si="19"/>
        <v>0.725</v>
      </c>
      <c r="O68" s="14">
        <f t="shared" si="19"/>
        <v>0.775</v>
      </c>
      <c r="P68" s="14">
        <f t="shared" si="19"/>
        <v>0.5</v>
      </c>
      <c r="Q68" s="14">
        <f t="shared" si="19"/>
        <v>0.7</v>
      </c>
      <c r="R68" s="14">
        <f t="shared" si="19"/>
        <v>0.75</v>
      </c>
      <c r="S68" s="14">
        <f t="shared" si="19"/>
        <v>0.8</v>
      </c>
      <c r="T68" s="14">
        <f t="shared" si="19"/>
        <v>0.75</v>
      </c>
      <c r="U68" s="14">
        <f t="shared" si="19"/>
        <v>0.8</v>
      </c>
      <c r="V68" s="14">
        <f t="shared" si="19"/>
        <v>0.85</v>
      </c>
      <c r="W68" s="14">
        <f t="shared" si="19"/>
        <v>0.5</v>
      </c>
    </row>
    <row r="69">
      <c r="A69" s="2"/>
      <c r="B69" s="13" t="str">
        <f>'Quick Setup'!C15</f>
        <v>Sumo Deadlift</v>
      </c>
      <c r="C69" s="14">
        <f t="shared" ref="C69:W69" si="20">C68</f>
        <v>0.6</v>
      </c>
      <c r="D69" s="14">
        <f t="shared" si="20"/>
        <v>0.65</v>
      </c>
      <c r="E69" s="14">
        <f t="shared" si="20"/>
        <v>0.7</v>
      </c>
      <c r="F69" s="14">
        <f t="shared" si="20"/>
        <v>0.625</v>
      </c>
      <c r="G69" s="14">
        <f t="shared" si="20"/>
        <v>0.675</v>
      </c>
      <c r="H69" s="14">
        <f t="shared" si="20"/>
        <v>0.725</v>
      </c>
      <c r="I69" s="14">
        <f t="shared" si="20"/>
        <v>0.5</v>
      </c>
      <c r="J69" s="14">
        <f t="shared" si="20"/>
        <v>0.65</v>
      </c>
      <c r="K69" s="14">
        <f t="shared" si="20"/>
        <v>0.7</v>
      </c>
      <c r="L69" s="14">
        <f t="shared" si="20"/>
        <v>0.75</v>
      </c>
      <c r="M69" s="14">
        <f t="shared" si="20"/>
        <v>0.675</v>
      </c>
      <c r="N69" s="14">
        <f t="shared" si="20"/>
        <v>0.725</v>
      </c>
      <c r="O69" s="14">
        <f t="shared" si="20"/>
        <v>0.775</v>
      </c>
      <c r="P69" s="14">
        <f t="shared" si="20"/>
        <v>0.5</v>
      </c>
      <c r="Q69" s="14">
        <f t="shared" si="20"/>
        <v>0.7</v>
      </c>
      <c r="R69" s="14">
        <f t="shared" si="20"/>
        <v>0.75</v>
      </c>
      <c r="S69" s="14">
        <f t="shared" si="20"/>
        <v>0.8</v>
      </c>
      <c r="T69" s="14">
        <f t="shared" si="20"/>
        <v>0.75</v>
      </c>
      <c r="U69" s="14">
        <f t="shared" si="20"/>
        <v>0.8</v>
      </c>
      <c r="V69" s="14">
        <f t="shared" si="20"/>
        <v>0.85</v>
      </c>
      <c r="W69" s="14">
        <f t="shared" si="20"/>
        <v>0.5</v>
      </c>
    </row>
    <row r="70">
      <c r="A70" s="2"/>
      <c r="B70" s="13" t="str">
        <f>'Quick Setup'!C16</f>
        <v>Push Press</v>
      </c>
      <c r="C70" s="14">
        <f t="shared" ref="C70:W70" si="21">C69</f>
        <v>0.6</v>
      </c>
      <c r="D70" s="14">
        <f t="shared" si="21"/>
        <v>0.65</v>
      </c>
      <c r="E70" s="14">
        <f t="shared" si="21"/>
        <v>0.7</v>
      </c>
      <c r="F70" s="14">
        <f t="shared" si="21"/>
        <v>0.625</v>
      </c>
      <c r="G70" s="14">
        <f t="shared" si="21"/>
        <v>0.675</v>
      </c>
      <c r="H70" s="14">
        <f t="shared" si="21"/>
        <v>0.725</v>
      </c>
      <c r="I70" s="14">
        <f t="shared" si="21"/>
        <v>0.5</v>
      </c>
      <c r="J70" s="14">
        <f t="shared" si="21"/>
        <v>0.65</v>
      </c>
      <c r="K70" s="14">
        <f t="shared" si="21"/>
        <v>0.7</v>
      </c>
      <c r="L70" s="14">
        <f t="shared" si="21"/>
        <v>0.75</v>
      </c>
      <c r="M70" s="14">
        <f t="shared" si="21"/>
        <v>0.675</v>
      </c>
      <c r="N70" s="14">
        <f t="shared" si="21"/>
        <v>0.725</v>
      </c>
      <c r="O70" s="14">
        <f t="shared" si="21"/>
        <v>0.775</v>
      </c>
      <c r="P70" s="14">
        <f t="shared" si="21"/>
        <v>0.5</v>
      </c>
      <c r="Q70" s="14">
        <f t="shared" si="21"/>
        <v>0.7</v>
      </c>
      <c r="R70" s="14">
        <f t="shared" si="21"/>
        <v>0.75</v>
      </c>
      <c r="S70" s="14">
        <f t="shared" si="21"/>
        <v>0.8</v>
      </c>
      <c r="T70" s="14">
        <f t="shared" si="21"/>
        <v>0.75</v>
      </c>
      <c r="U70" s="14">
        <f t="shared" si="21"/>
        <v>0.8</v>
      </c>
      <c r="V70" s="14">
        <f t="shared" si="21"/>
        <v>0.85</v>
      </c>
      <c r="W70" s="14">
        <f t="shared" si="21"/>
        <v>0.5</v>
      </c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</sheetData>
  <mergeCells count="5">
    <mergeCell ref="H4:I4"/>
    <mergeCell ref="J4:K4"/>
    <mergeCell ref="C32:W32"/>
    <mergeCell ref="C46:W46"/>
    <mergeCell ref="C59:W59"/>
  </mergeCells>
  <dataValidations>
    <dataValidation type="list" allowBlank="1" sqref="A2">
      <formula1>"1,2,2.5,5"</formula1>
    </dataValidation>
    <dataValidation type="list" allowBlank="1" sqref="K6:K15">
      <formula1>"-10%,-7.5%,-5%,-4%,-3%,-2%,-1%"</formula1>
    </dataValidation>
    <dataValidation type="list" allowBlank="1" sqref="C16">
      <formula1>"Push Press,Behind The Neck OHP,Seated OHP,Incline Press,DB OHP"</formula1>
    </dataValidation>
    <dataValidation type="list" allowBlank="1" sqref="C61:W70">
      <formula1>"50.0%,52.5%,55.0%,57.5%,60.0%,62.5%,65.0%,67.5%,70.0%,72.5%,75.0%,77.5%,80.0%,82.5%,85.0%,87.5%,90.0%,92.5%,95.0%,97.5%,100.0%"</formula1>
    </dataValidation>
    <dataValidation type="list" allowBlank="1" sqref="J6:J15">
      <formula1>"0.25%,0.5%,0.75%,1%,1.25%,1.5%,1.75%,2%,2.5%,3%,4%,5%"</formula1>
    </dataValidation>
    <dataValidation type="list" allowBlank="1" sqref="C15">
      <formula1>"Sumo Deadlift,Conventional Deadlift,Block Pull,Rack Pull,Deficit Deadlift,Romanian Deadlift,Stiff Leg Deadlift,Snatch Grip Deadlift,Trap Bar Deadlift"</formula1>
    </dataValidation>
    <dataValidation type="list" allowBlank="1" sqref="H6:H15">
      <formula1>"1,2,3,4,5,6,7,8"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Press"</formula1>
    </dataValidation>
    <dataValidation type="list" allowBlank="1" sqref="I6:I15">
      <formula1>"2,3,4,5,6,7,8,9,10,11,12"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Bench"</formula1>
    </dataValidation>
    <dataValidation type="list" allowBlank="1" sqref="C34:W43">
      <formula1>"1,2,3,4,5,6,7,8,9,10,11,12,13,14,15,16,17,18,19,20"</formula1>
    </dataValidation>
    <dataValidation type="list" allowBlank="1" sqref="C48:W57">
      <formula1>"0,1,2,3,4,5"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5" t="s">
        <v>41</v>
      </c>
      <c r="B1" s="16">
        <v>1.0</v>
      </c>
      <c r="C1" s="17"/>
      <c r="D1" s="17"/>
      <c r="E1" s="17"/>
      <c r="F1" s="17"/>
      <c r="G1" s="17"/>
      <c r="H1" s="18"/>
      <c r="I1" s="16">
        <f>B1+1</f>
        <v>2</v>
      </c>
      <c r="J1" s="17"/>
      <c r="K1" s="17"/>
      <c r="L1" s="17"/>
      <c r="M1" s="17"/>
      <c r="N1" s="17"/>
      <c r="O1" s="18"/>
      <c r="P1" s="16">
        <f>I1+1</f>
        <v>3</v>
      </c>
      <c r="Q1" s="17"/>
      <c r="R1" s="17"/>
      <c r="S1" s="17"/>
      <c r="T1" s="17"/>
      <c r="U1" s="17"/>
      <c r="V1" s="18"/>
      <c r="W1" s="16">
        <f>P1+1</f>
        <v>4</v>
      </c>
      <c r="X1" s="17"/>
      <c r="Y1" s="17"/>
      <c r="Z1" s="17"/>
      <c r="AA1" s="17"/>
      <c r="AB1" s="17"/>
      <c r="AC1" s="18"/>
      <c r="AD1" s="16">
        <f>W1+1</f>
        <v>5</v>
      </c>
      <c r="AE1" s="17"/>
      <c r="AF1" s="17"/>
      <c r="AG1" s="17"/>
      <c r="AH1" s="17"/>
      <c r="AI1" s="17"/>
      <c r="AJ1" s="18"/>
      <c r="AK1" s="16">
        <f>AD1+1</f>
        <v>6</v>
      </c>
      <c r="AL1" s="17"/>
      <c r="AM1" s="17"/>
      <c r="AN1" s="17"/>
      <c r="AO1" s="17"/>
      <c r="AP1" s="17"/>
      <c r="AQ1" s="18"/>
      <c r="AR1" s="16">
        <f>AK1+1</f>
        <v>7</v>
      </c>
      <c r="AS1" s="17"/>
      <c r="AT1" s="17"/>
      <c r="AU1" s="17"/>
      <c r="AV1" s="17"/>
      <c r="AW1" s="17"/>
      <c r="AX1" s="18"/>
      <c r="AY1" s="16">
        <f>AR1+1</f>
        <v>8</v>
      </c>
      <c r="AZ1" s="17"/>
      <c r="BA1" s="17"/>
      <c r="BB1" s="17"/>
      <c r="BC1" s="17"/>
      <c r="BD1" s="17"/>
      <c r="BE1" s="18"/>
      <c r="BF1" s="16">
        <f>AY1+1</f>
        <v>9</v>
      </c>
      <c r="BG1" s="17"/>
      <c r="BH1" s="17"/>
      <c r="BI1" s="17"/>
      <c r="BJ1" s="17"/>
      <c r="BK1" s="17"/>
      <c r="BL1" s="18"/>
      <c r="BM1" s="16">
        <f>BF1+1</f>
        <v>10</v>
      </c>
      <c r="BN1" s="17"/>
      <c r="BO1" s="17"/>
      <c r="BP1" s="17"/>
      <c r="BQ1" s="17"/>
      <c r="BR1" s="17"/>
      <c r="BS1" s="18"/>
      <c r="BT1" s="16">
        <f>BM1+1</f>
        <v>11</v>
      </c>
      <c r="BU1" s="17"/>
      <c r="BV1" s="17"/>
      <c r="BW1" s="17"/>
      <c r="BX1" s="17"/>
      <c r="BY1" s="17"/>
      <c r="BZ1" s="18"/>
      <c r="CA1" s="16">
        <f>BT1+1</f>
        <v>12</v>
      </c>
      <c r="CB1" s="17"/>
      <c r="CC1" s="17"/>
      <c r="CD1" s="17"/>
      <c r="CE1" s="17"/>
      <c r="CF1" s="17"/>
      <c r="CG1" s="18"/>
      <c r="CH1" s="16">
        <f>CA1+1</f>
        <v>13</v>
      </c>
      <c r="CI1" s="17"/>
      <c r="CJ1" s="17"/>
      <c r="CK1" s="17"/>
      <c r="CL1" s="17"/>
      <c r="CM1" s="17"/>
      <c r="CN1" s="18"/>
      <c r="CO1" s="16">
        <f>CH1+1</f>
        <v>14</v>
      </c>
      <c r="CP1" s="17"/>
      <c r="CQ1" s="17"/>
      <c r="CR1" s="17"/>
      <c r="CS1" s="17"/>
      <c r="CT1" s="17"/>
      <c r="CU1" s="18"/>
      <c r="CV1" s="16">
        <f>CO1+1</f>
        <v>15</v>
      </c>
      <c r="CW1" s="17"/>
      <c r="CX1" s="17"/>
      <c r="CY1" s="17"/>
      <c r="CZ1" s="17"/>
      <c r="DA1" s="17"/>
      <c r="DB1" s="18"/>
      <c r="DC1" s="16">
        <f>CV1+1</f>
        <v>16</v>
      </c>
      <c r="DD1" s="17"/>
      <c r="DE1" s="17"/>
      <c r="DF1" s="17"/>
      <c r="DG1" s="17"/>
      <c r="DH1" s="17"/>
      <c r="DI1" s="18"/>
      <c r="DJ1" s="16">
        <f>DC1+1</f>
        <v>17</v>
      </c>
      <c r="DK1" s="17"/>
      <c r="DL1" s="17"/>
      <c r="DM1" s="17"/>
      <c r="DN1" s="17"/>
      <c r="DO1" s="17"/>
      <c r="DP1" s="18"/>
      <c r="DQ1" s="16">
        <f>DJ1+1</f>
        <v>18</v>
      </c>
      <c r="DR1" s="17"/>
      <c r="DS1" s="17"/>
      <c r="DT1" s="17"/>
      <c r="DU1" s="17"/>
      <c r="DV1" s="17"/>
      <c r="DW1" s="18"/>
      <c r="DX1" s="16">
        <f>DQ1+1</f>
        <v>19</v>
      </c>
      <c r="DY1" s="17"/>
      <c r="DZ1" s="17"/>
      <c r="EA1" s="17"/>
      <c r="EB1" s="17"/>
      <c r="EC1" s="17"/>
      <c r="ED1" s="18"/>
      <c r="EE1" s="16">
        <f>DX1+1</f>
        <v>20</v>
      </c>
      <c r="EF1" s="17"/>
      <c r="EG1" s="17"/>
      <c r="EH1" s="17"/>
      <c r="EI1" s="17"/>
      <c r="EJ1" s="17"/>
      <c r="EK1" s="18"/>
      <c r="EL1" s="16">
        <f>EE1+1</f>
        <v>21</v>
      </c>
      <c r="EM1" s="17"/>
      <c r="EN1" s="17"/>
      <c r="EO1" s="17"/>
      <c r="EP1" s="17"/>
      <c r="EQ1" s="17"/>
      <c r="ER1" s="18"/>
    </row>
    <row r="2">
      <c r="D2" s="1"/>
      <c r="E2" s="1" t="s">
        <v>5</v>
      </c>
      <c r="G2" s="19" t="s">
        <v>6</v>
      </c>
      <c r="K2" s="1"/>
      <c r="L2" s="1" t="s">
        <v>5</v>
      </c>
      <c r="N2" s="19" t="s">
        <v>6</v>
      </c>
      <c r="S2" s="1" t="s">
        <v>5</v>
      </c>
      <c r="U2" s="19" t="s">
        <v>6</v>
      </c>
      <c r="Z2" s="1" t="s">
        <v>5</v>
      </c>
      <c r="AB2" s="19" t="s">
        <v>6</v>
      </c>
      <c r="AG2" s="1" t="s">
        <v>5</v>
      </c>
      <c r="AI2" s="19" t="s">
        <v>6</v>
      </c>
      <c r="AN2" s="1" t="s">
        <v>5</v>
      </c>
      <c r="AP2" s="19" t="s">
        <v>6</v>
      </c>
      <c r="AU2" s="1" t="s">
        <v>5</v>
      </c>
      <c r="AW2" s="19" t="s">
        <v>6</v>
      </c>
      <c r="BB2" s="1" t="s">
        <v>5</v>
      </c>
      <c r="BD2" s="19" t="s">
        <v>6</v>
      </c>
      <c r="BI2" s="1" t="s">
        <v>5</v>
      </c>
      <c r="BK2" s="19" t="s">
        <v>6</v>
      </c>
      <c r="BP2" s="1" t="s">
        <v>5</v>
      </c>
      <c r="BR2" s="19" t="s">
        <v>6</v>
      </c>
      <c r="BW2" s="1" t="s">
        <v>5</v>
      </c>
      <c r="BY2" s="19" t="s">
        <v>6</v>
      </c>
      <c r="CD2" s="1" t="s">
        <v>5</v>
      </c>
      <c r="CF2" s="19" t="s">
        <v>6</v>
      </c>
      <c r="CK2" s="1" t="s">
        <v>5</v>
      </c>
      <c r="CM2" s="19" t="s">
        <v>6</v>
      </c>
      <c r="CR2" s="1" t="s">
        <v>5</v>
      </c>
      <c r="CT2" s="19" t="s">
        <v>6</v>
      </c>
      <c r="CY2" s="1" t="s">
        <v>5</v>
      </c>
      <c r="DA2" s="19" t="s">
        <v>6</v>
      </c>
      <c r="DF2" s="1" t="s">
        <v>5</v>
      </c>
      <c r="DH2" s="19" t="s">
        <v>6</v>
      </c>
      <c r="DM2" s="1" t="s">
        <v>5</v>
      </c>
      <c r="DO2" s="19" t="s">
        <v>6</v>
      </c>
      <c r="DT2" s="1" t="s">
        <v>5</v>
      </c>
      <c r="DV2" s="19" t="s">
        <v>6</v>
      </c>
      <c r="EA2" s="1" t="s">
        <v>5</v>
      </c>
      <c r="EC2" s="19" t="s">
        <v>6</v>
      </c>
      <c r="EH2" s="1" t="s">
        <v>5</v>
      </c>
      <c r="EJ2" s="19" t="s">
        <v>6</v>
      </c>
      <c r="EO2" s="1" t="s">
        <v>5</v>
      </c>
      <c r="EQ2" s="19" t="s">
        <v>6</v>
      </c>
    </row>
    <row r="3">
      <c r="A3" s="19" t="s">
        <v>42</v>
      </c>
      <c r="B3" s="19" t="s">
        <v>40</v>
      </c>
      <c r="C3" s="19" t="s">
        <v>43</v>
      </c>
      <c r="D3" s="19" t="s">
        <v>44</v>
      </c>
      <c r="E3" s="19" t="s">
        <v>8</v>
      </c>
      <c r="F3" s="19" t="s">
        <v>9</v>
      </c>
      <c r="G3" s="19" t="s">
        <v>10</v>
      </c>
      <c r="H3" s="19" t="s">
        <v>11</v>
      </c>
      <c r="I3" s="19" t="s">
        <v>40</v>
      </c>
      <c r="J3" s="19" t="s">
        <v>43</v>
      </c>
      <c r="K3" s="19" t="s">
        <v>44</v>
      </c>
      <c r="L3" s="19" t="s">
        <v>8</v>
      </c>
      <c r="M3" s="19" t="s">
        <v>9</v>
      </c>
      <c r="N3" s="19" t="s">
        <v>10</v>
      </c>
      <c r="O3" s="19" t="s">
        <v>11</v>
      </c>
      <c r="P3" s="19" t="s">
        <v>40</v>
      </c>
      <c r="Q3" s="20" t="s">
        <v>43</v>
      </c>
      <c r="R3" s="19" t="s">
        <v>44</v>
      </c>
      <c r="S3" s="19" t="s">
        <v>8</v>
      </c>
      <c r="T3" s="19" t="s">
        <v>9</v>
      </c>
      <c r="U3" s="19" t="s">
        <v>10</v>
      </c>
      <c r="V3" s="19" t="s">
        <v>11</v>
      </c>
      <c r="W3" s="19" t="s">
        <v>40</v>
      </c>
      <c r="X3" s="20" t="s">
        <v>43</v>
      </c>
      <c r="Y3" s="19" t="s">
        <v>44</v>
      </c>
      <c r="Z3" s="19" t="s">
        <v>8</v>
      </c>
      <c r="AA3" s="19" t="s">
        <v>9</v>
      </c>
      <c r="AB3" s="19" t="s">
        <v>10</v>
      </c>
      <c r="AC3" s="19" t="s">
        <v>11</v>
      </c>
      <c r="AD3" s="19" t="s">
        <v>40</v>
      </c>
      <c r="AE3" s="20" t="s">
        <v>43</v>
      </c>
      <c r="AF3" s="19" t="s">
        <v>44</v>
      </c>
      <c r="AG3" s="19" t="s">
        <v>8</v>
      </c>
      <c r="AH3" s="19" t="s">
        <v>9</v>
      </c>
      <c r="AI3" s="19" t="s">
        <v>10</v>
      </c>
      <c r="AJ3" s="19" t="s">
        <v>11</v>
      </c>
      <c r="AK3" s="19" t="s">
        <v>40</v>
      </c>
      <c r="AL3" s="20" t="s">
        <v>43</v>
      </c>
      <c r="AM3" s="19" t="s">
        <v>44</v>
      </c>
      <c r="AN3" s="19" t="s">
        <v>8</v>
      </c>
      <c r="AO3" s="19" t="s">
        <v>9</v>
      </c>
      <c r="AP3" s="19" t="s">
        <v>10</v>
      </c>
      <c r="AQ3" s="19" t="s">
        <v>11</v>
      </c>
      <c r="AR3" s="19" t="s">
        <v>40</v>
      </c>
      <c r="AS3" s="20" t="s">
        <v>43</v>
      </c>
      <c r="AT3" s="19" t="s">
        <v>44</v>
      </c>
      <c r="AU3" s="19" t="s">
        <v>8</v>
      </c>
      <c r="AV3" s="19" t="s">
        <v>9</v>
      </c>
      <c r="AW3" s="19" t="s">
        <v>10</v>
      </c>
      <c r="AX3" s="19" t="s">
        <v>11</v>
      </c>
      <c r="AY3" s="19" t="s">
        <v>40</v>
      </c>
      <c r="AZ3" s="20" t="s">
        <v>43</v>
      </c>
      <c r="BA3" s="19" t="s">
        <v>44</v>
      </c>
      <c r="BB3" s="19" t="s">
        <v>8</v>
      </c>
      <c r="BC3" s="19" t="s">
        <v>9</v>
      </c>
      <c r="BD3" s="19" t="s">
        <v>10</v>
      </c>
      <c r="BE3" s="19" t="s">
        <v>11</v>
      </c>
      <c r="BF3" s="19" t="s">
        <v>40</v>
      </c>
      <c r="BG3" s="20" t="s">
        <v>43</v>
      </c>
      <c r="BH3" s="19" t="s">
        <v>44</v>
      </c>
      <c r="BI3" s="19" t="s">
        <v>8</v>
      </c>
      <c r="BJ3" s="19" t="s">
        <v>9</v>
      </c>
      <c r="BK3" s="19" t="s">
        <v>10</v>
      </c>
      <c r="BL3" s="19" t="s">
        <v>11</v>
      </c>
      <c r="BM3" s="19" t="s">
        <v>40</v>
      </c>
      <c r="BN3" s="20" t="s">
        <v>43</v>
      </c>
      <c r="BO3" s="19" t="s">
        <v>44</v>
      </c>
      <c r="BP3" s="19" t="s">
        <v>8</v>
      </c>
      <c r="BQ3" s="19" t="s">
        <v>9</v>
      </c>
      <c r="BR3" s="19" t="s">
        <v>10</v>
      </c>
      <c r="BS3" s="19" t="s">
        <v>11</v>
      </c>
      <c r="BT3" s="19" t="s">
        <v>40</v>
      </c>
      <c r="BU3" s="20" t="s">
        <v>43</v>
      </c>
      <c r="BV3" s="19" t="s">
        <v>44</v>
      </c>
      <c r="BW3" s="19" t="s">
        <v>8</v>
      </c>
      <c r="BX3" s="19" t="s">
        <v>9</v>
      </c>
      <c r="BY3" s="19" t="s">
        <v>10</v>
      </c>
      <c r="BZ3" s="19" t="s">
        <v>11</v>
      </c>
      <c r="CA3" s="19" t="s">
        <v>40</v>
      </c>
      <c r="CB3" s="20" t="s">
        <v>43</v>
      </c>
      <c r="CC3" s="19" t="s">
        <v>44</v>
      </c>
      <c r="CD3" s="19" t="s">
        <v>8</v>
      </c>
      <c r="CE3" s="19" t="s">
        <v>9</v>
      </c>
      <c r="CF3" s="19" t="s">
        <v>10</v>
      </c>
      <c r="CG3" s="19" t="s">
        <v>11</v>
      </c>
      <c r="CH3" s="19" t="s">
        <v>40</v>
      </c>
      <c r="CI3" s="20" t="s">
        <v>43</v>
      </c>
      <c r="CJ3" s="19" t="s">
        <v>44</v>
      </c>
      <c r="CK3" s="19" t="s">
        <v>8</v>
      </c>
      <c r="CL3" s="19" t="s">
        <v>9</v>
      </c>
      <c r="CM3" s="19" t="s">
        <v>10</v>
      </c>
      <c r="CN3" s="19" t="s">
        <v>11</v>
      </c>
      <c r="CO3" s="19" t="s">
        <v>40</v>
      </c>
      <c r="CP3" s="20" t="s">
        <v>43</v>
      </c>
      <c r="CQ3" s="19" t="s">
        <v>44</v>
      </c>
      <c r="CR3" s="19" t="s">
        <v>8</v>
      </c>
      <c r="CS3" s="19" t="s">
        <v>9</v>
      </c>
      <c r="CT3" s="19" t="s">
        <v>10</v>
      </c>
      <c r="CU3" s="19" t="s">
        <v>11</v>
      </c>
      <c r="CV3" s="19" t="s">
        <v>40</v>
      </c>
      <c r="CW3" s="20" t="s">
        <v>43</v>
      </c>
      <c r="CX3" s="19" t="s">
        <v>44</v>
      </c>
      <c r="CY3" s="19" t="s">
        <v>8</v>
      </c>
      <c r="CZ3" s="19" t="s">
        <v>9</v>
      </c>
      <c r="DA3" s="19" t="s">
        <v>10</v>
      </c>
      <c r="DB3" s="19" t="s">
        <v>11</v>
      </c>
      <c r="DC3" s="19" t="s">
        <v>40</v>
      </c>
      <c r="DD3" s="20" t="s">
        <v>43</v>
      </c>
      <c r="DE3" s="19" t="s">
        <v>44</v>
      </c>
      <c r="DF3" s="19" t="s">
        <v>8</v>
      </c>
      <c r="DG3" s="19" t="s">
        <v>9</v>
      </c>
      <c r="DH3" s="19" t="s">
        <v>10</v>
      </c>
      <c r="DI3" s="19" t="s">
        <v>11</v>
      </c>
      <c r="DJ3" s="19" t="s">
        <v>40</v>
      </c>
      <c r="DK3" s="20" t="s">
        <v>43</v>
      </c>
      <c r="DL3" s="19" t="s">
        <v>44</v>
      </c>
      <c r="DM3" s="19" t="s">
        <v>8</v>
      </c>
      <c r="DN3" s="19" t="s">
        <v>9</v>
      </c>
      <c r="DO3" s="19" t="s">
        <v>10</v>
      </c>
      <c r="DP3" s="19" t="s">
        <v>11</v>
      </c>
      <c r="DQ3" s="19" t="s">
        <v>40</v>
      </c>
      <c r="DR3" s="20" t="s">
        <v>43</v>
      </c>
      <c r="DS3" s="19" t="s">
        <v>44</v>
      </c>
      <c r="DT3" s="19" t="s">
        <v>8</v>
      </c>
      <c r="DU3" s="19" t="s">
        <v>9</v>
      </c>
      <c r="DV3" s="19" t="s">
        <v>10</v>
      </c>
      <c r="DW3" s="19" t="s">
        <v>11</v>
      </c>
      <c r="DX3" s="19" t="s">
        <v>40</v>
      </c>
      <c r="DY3" s="20" t="s">
        <v>43</v>
      </c>
      <c r="DZ3" s="19" t="s">
        <v>44</v>
      </c>
      <c r="EA3" s="19" t="s">
        <v>8</v>
      </c>
      <c r="EB3" s="19" t="s">
        <v>9</v>
      </c>
      <c r="EC3" s="19" t="s">
        <v>10</v>
      </c>
      <c r="ED3" s="19" t="s">
        <v>11</v>
      </c>
      <c r="EE3" s="19" t="s">
        <v>40</v>
      </c>
      <c r="EF3" s="20" t="s">
        <v>43</v>
      </c>
      <c r="EG3" s="19" t="s">
        <v>44</v>
      </c>
      <c r="EH3" s="19" t="s">
        <v>8</v>
      </c>
      <c r="EI3" s="19" t="s">
        <v>9</v>
      </c>
      <c r="EJ3" s="19" t="s">
        <v>10</v>
      </c>
      <c r="EK3" s="19" t="s">
        <v>11</v>
      </c>
      <c r="EL3" s="19" t="s">
        <v>40</v>
      </c>
      <c r="EM3" s="20" t="s">
        <v>43</v>
      </c>
      <c r="EN3" s="19" t="s">
        <v>44</v>
      </c>
      <c r="EO3" s="19" t="s">
        <v>8</v>
      </c>
      <c r="EP3" s="19" t="s">
        <v>9</v>
      </c>
      <c r="EQ3" s="19" t="s">
        <v>10</v>
      </c>
      <c r="ER3" s="19" t="s">
        <v>11</v>
      </c>
    </row>
    <row r="4">
      <c r="A4" t="str">
        <f>'Quick Setup'!C5</f>
        <v>Squat</v>
      </c>
      <c r="B4" s="21">
        <f>'Quick Setup'!C61</f>
        <v>0.7</v>
      </c>
      <c r="C4" s="22">
        <f>if(B4='Quick Setup'!$C$33,'Quick Setup'!$C34,if(B4='Quick Setup'!$D$33,'Quick Setup'!$D34,if(B4='Quick Setup'!$E$33,'Quick Setup'!$E34,if(B4='Quick Setup'!$F$33,'Quick Setup'!$F34,if(B4='Quick Setup'!$G$33,'Quick Setup'!$G34,if(B4='Quick Setup'!$H$33,'Quick Setup'!$H34,if(B4='Quick Setup'!$I$33,'Quick Setup'!$I34,if(B4='Quick Setup'!$J$33,'Quick Setup'!$J34,if(B4='Quick Setup'!$K$33,'Quick Setup'!$K34,if(B4='Quick Setup'!$L$33,'Quick Setup'!$L34,if(B4='Quick Setup'!$M$33,'Quick Setup'!$M34,if(B4='Quick Setup'!$N$33,'Quick Setup'!$N34,if(B4='Quick Setup'!$O$33,'Quick Setup'!$O34,if(B4='Quick Setup'!$P$33,'Quick Setup'!$P34,if(B4='Quick Setup'!$Q$33,'Quick Setup'!$Q34,if(B4='Quick Setup'!$R$33,'Quick Setup'!$R34,if(B4='Quick Setup'!$S$33,'Quick Setup'!$S34,if(B4='Quick Setup'!$T$33,'Quick Setup'!$T34,if(B4='Quick Setup'!$U$33,'Quick Setup'!$U34,if(B4='Quick Setup'!$V$33,'Quick Setup'!$V34,'Quick Setup'!W34))))))))))))))))))))</f>
        <v>5</v>
      </c>
      <c r="D4" s="22">
        <f>if(B4='Quick Setup'!$C$47,'Quick Setup'!$C48,if(B4='Quick Setup'!$D$47,'Quick Setup'!$D48,if(B4='Quick Setup'!$E$47,'Quick Setup'!$E48,if(B4='Quick Setup'!$F$47,'Quick Setup'!$F48,if(B4='Quick Setup'!$G$47,'Quick Setup'!$G48,if(B4='Quick Setup'!$H$47,'Quick Setup'!$H48,if(B4='Quick Setup'!$I$47,'Quick Setup'!$I48,if(B4='Quick Setup'!$J$47,'Quick Setup'!$J48,if(B4='Quick Setup'!$K$47,'Quick Setup'!$K48,if(B4='Quick Setup'!$L$47,'Quick Setup'!$L48,if(B4='Quick Setup'!$M$47,'Quick Setup'!$M48,if(B4='Quick Setup'!$N$47,'Quick Setup'!$N48,if(B4='Quick Setup'!$O$47,'Quick Setup'!$O48,if(B4='Quick Setup'!$P$47,'Quick Setup'!$P48,if(B4='Quick Setup'!$Q$47,'Quick Setup'!$Q48,if(B4='Quick Setup'!$R$47,'Quick Setup'!$R48,if(B4='Quick Setup'!$S$47,'Quick Setup'!$S48,if(B4='Quick Setup'!$T$47,'Quick Setup'!$T48,if(B4='Quick Setup'!$U$47,'Quick Setup'!$U48,if(B4='Quick Setup'!$V$47,'Quick Setup'!$V48,if(B4='Quick Setup'!$W$47,'Quick Setup'!$W48)))))))))))))))))))))</f>
        <v>3</v>
      </c>
      <c r="E4" s="22">
        <f>'Quick Setup'!H6</f>
        <v>4</v>
      </c>
      <c r="F4" s="22">
        <f>'Quick Setup'!I6</f>
        <v>6</v>
      </c>
      <c r="G4" s="23">
        <f>'Quick Setup'!J6</f>
        <v>0.02</v>
      </c>
      <c r="H4" s="23">
        <f>'Quick Setup'!K6</f>
        <v>-0.05</v>
      </c>
      <c r="I4" s="21">
        <f>'Quick Setup'!D61</f>
        <v>0.75</v>
      </c>
      <c r="J4" s="22">
        <f>if(I4='Quick Setup'!$C$33,'Quick Setup'!$C34,if(I4='Quick Setup'!$D$33,'Quick Setup'!$D34,if(I4='Quick Setup'!$E$33,'Quick Setup'!$E34,if(I4='Quick Setup'!$F$33,'Quick Setup'!$F34,if(I4='Quick Setup'!$G$33,'Quick Setup'!$G34,if(I4='Quick Setup'!$H$33,'Quick Setup'!$H34,if(I4='Quick Setup'!$I$33,'Quick Setup'!$I34,if(I4='Quick Setup'!$J$33,'Quick Setup'!$J34,if(I4='Quick Setup'!$K$33,'Quick Setup'!$K34,if(I4='Quick Setup'!$L$33,'Quick Setup'!$L34,if(I4='Quick Setup'!$M$33,'Quick Setup'!$M34,if(I4='Quick Setup'!$N$33,'Quick Setup'!$N34,if(I4='Quick Setup'!$O$33,'Quick Setup'!$O34,if(I4='Quick Setup'!$P$33,'Quick Setup'!$P34,if(I4='Quick Setup'!$Q$33,'Quick Setup'!$Q34,if(I4='Quick Setup'!$R$33,'Quick Setup'!$R34,if(I4='Quick Setup'!$S$33,'Quick Setup'!$S34,if(I4='Quick Setup'!$T$33,'Quick Setup'!$T34,if(I4='Quick Setup'!$U$33,'Quick Setup'!$U34,if(I4='Quick Setup'!$V$33,'Quick Setup'!$V34,'2x'!AD5))))))))))))))))))))</f>
        <v>4</v>
      </c>
      <c r="K4" s="22">
        <f>if(I4='Quick Setup'!$C$47,'Quick Setup'!$C48,if(I4='Quick Setup'!$D$47,'Quick Setup'!$D48,if(I4='Quick Setup'!$E$47,'Quick Setup'!$E48,if(I4='Quick Setup'!$F$47,'Quick Setup'!$F48,if(I4='Quick Setup'!$G$47,'Quick Setup'!$G48,if(I4='Quick Setup'!$H$47,'Quick Setup'!$H48,if(I4='Quick Setup'!$I$47,'Quick Setup'!$I48,if(I4='Quick Setup'!$J$47,'Quick Setup'!$J48,if(I4='Quick Setup'!$K$47,'Quick Setup'!$K48,if(I4='Quick Setup'!$L$47,'Quick Setup'!$L48,if(I4='Quick Setup'!$M$47,'Quick Setup'!$M48,if(I4='Quick Setup'!$N$47,'Quick Setup'!$N48,if(I4='Quick Setup'!$O$47,'Quick Setup'!$O48,if(I4='Quick Setup'!$P$47,'Quick Setup'!$P48,if(I4='Quick Setup'!$Q$47,'Quick Setup'!$Q48,if(I4='Quick Setup'!$R$47,'Quick Setup'!$R48,if(I4='Quick Setup'!$S$47,'Quick Setup'!$S48,if(I4='Quick Setup'!$T$47,'Quick Setup'!$T48,if(I4='Quick Setup'!$U$47,'Quick Setup'!$U48,if(I4='Quick Setup'!$V$47,'Quick Setup'!$V48,if(I4='Quick Setup'!$W$47,'Quick Setup'!$W48)))))))))))))))))))))</f>
        <v>3</v>
      </c>
      <c r="L4" s="22">
        <f t="shared" ref="L4:O4" si="1">E4</f>
        <v>4</v>
      </c>
      <c r="M4" s="22">
        <f t="shared" si="1"/>
        <v>6</v>
      </c>
      <c r="N4" s="23">
        <f t="shared" si="1"/>
        <v>0.02</v>
      </c>
      <c r="O4" s="23">
        <f t="shared" si="1"/>
        <v>-0.05</v>
      </c>
      <c r="P4" s="21">
        <f>'Quick Setup'!E61</f>
        <v>0.8</v>
      </c>
      <c r="Q4" s="24">
        <f>if(P4='Quick Setup'!$C$33,'Quick Setup'!$C34,if(P4='Quick Setup'!$D$33,'Quick Setup'!$D34,if(P4='Quick Setup'!$E$33,'Quick Setup'!$E34,if(P4='Quick Setup'!$F$33,'Quick Setup'!$F34,if(P4='Quick Setup'!$G$33,'Quick Setup'!$G34,if(P4='Quick Setup'!$H$33,'Quick Setup'!$H34,if(P4='Quick Setup'!$I$33,'Quick Setup'!$I34,if(P4='Quick Setup'!$J$33,'Quick Setup'!$J34,if(P4='Quick Setup'!$K$33,'Quick Setup'!$K34,if(P4='Quick Setup'!$L$33,'Quick Setup'!$L34,if(P4='Quick Setup'!$M$33,'Quick Setup'!$M34,if(P4='Quick Setup'!$N$33,'Quick Setup'!$N34,if(P4='Quick Setup'!$O$33,'Quick Setup'!$O34,if(P4='Quick Setup'!$P$33,'Quick Setup'!$P34,if(P4='Quick Setup'!$Q$33,'Quick Setup'!$Q34,if(P4='Quick Setup'!$R$33,'Quick Setup'!$R34,if(P4='Quick Setup'!$S$33,'Quick Setup'!$S34,if(P4='Quick Setup'!$T$33,'Quick Setup'!$T34,if(P4='Quick Setup'!$U$33,'Quick Setup'!$U34,if(P4='Quick Setup'!$V$33,'Quick Setup'!$V34,'2x'!AK5))))))))))))))))))))</f>
        <v>3</v>
      </c>
      <c r="R4" s="22">
        <f>if(P4='Quick Setup'!$C$47,'Quick Setup'!$C48,if(P4='Quick Setup'!$D$47,'Quick Setup'!$D48,if(P4='Quick Setup'!$E$47,'Quick Setup'!$E48,if(P4='Quick Setup'!$F$47,'Quick Setup'!$F48,if(P4='Quick Setup'!$G$47,'Quick Setup'!$G48,if(P4='Quick Setup'!$H$47,'Quick Setup'!$H48,if(P4='Quick Setup'!$I$47,'Quick Setup'!$I48,if(P4='Quick Setup'!$J$47,'Quick Setup'!$J48,if(P4='Quick Setup'!$K$47,'Quick Setup'!$K48,if(P4='Quick Setup'!$L$47,'Quick Setup'!$L48,if(P4='Quick Setup'!$M$47,'Quick Setup'!$M48,if(P4='Quick Setup'!$N$47,'Quick Setup'!$N48,if(P4='Quick Setup'!$O$47,'Quick Setup'!$O48,if(P4='Quick Setup'!$P$47,'Quick Setup'!$P48,if(P4='Quick Setup'!$Q$47,'Quick Setup'!$Q48,if(P4='Quick Setup'!$R$47,'Quick Setup'!$R48,if(P4='Quick Setup'!$S$47,'Quick Setup'!$S48,if(P4='Quick Setup'!$T$47,'Quick Setup'!$T48,if(P4='Quick Setup'!$U$47,'Quick Setup'!$U48,if(P4='Quick Setup'!$V$47,'Quick Setup'!$V48,if(P4='Quick Setup'!$W$47,'Quick Setup'!$W48)))))))))))))))))))))</f>
        <v>2</v>
      </c>
      <c r="S4" s="22">
        <f t="shared" ref="S4:V4" si="2">L4</f>
        <v>4</v>
      </c>
      <c r="T4" s="22">
        <f t="shared" si="2"/>
        <v>6</v>
      </c>
      <c r="U4" s="23">
        <f t="shared" si="2"/>
        <v>0.02</v>
      </c>
      <c r="V4" s="23">
        <f t="shared" si="2"/>
        <v>-0.05</v>
      </c>
      <c r="W4" s="21">
        <f>'Quick Setup'!F61</f>
        <v>0.725</v>
      </c>
      <c r="X4" s="24">
        <f>if(W4='Quick Setup'!$C$33,'Quick Setup'!$C34,if(W4='Quick Setup'!$D$33,'Quick Setup'!$D34,if(W4='Quick Setup'!$E$33,'Quick Setup'!$E34,if(W4='Quick Setup'!$F$33,'Quick Setup'!$F34,if(W4='Quick Setup'!$G$33,'Quick Setup'!$G34,if(W4='Quick Setup'!$H$33,'Quick Setup'!$H34,if(W4='Quick Setup'!$I$33,'Quick Setup'!$I34,if(W4='Quick Setup'!$J$33,'Quick Setup'!$J34,if(W4='Quick Setup'!$K$33,'Quick Setup'!$K34,if(W4='Quick Setup'!$L$33,'Quick Setup'!$L34,if(W4='Quick Setup'!$M$33,'Quick Setup'!$M34,if(W4='Quick Setup'!$N$33,'Quick Setup'!$N34,if(W4='Quick Setup'!$O$33,'Quick Setup'!$O34,if(W4='Quick Setup'!$P$33,'Quick Setup'!$P34,if(W4='Quick Setup'!$Q$33,'Quick Setup'!$Q34,if(W4='Quick Setup'!$R$33,'Quick Setup'!$R34,if(W4='Quick Setup'!$S$33,'Quick Setup'!$S34,if(W4='Quick Setup'!$T$33,'Quick Setup'!$T34,if(W4='Quick Setup'!$U$33,'Quick Setup'!$U34,if(W4='Quick Setup'!$V$33,'Quick Setup'!$V34,'2x'!AR5))))))))))))))))))))</f>
        <v>5</v>
      </c>
      <c r="Y4" s="22">
        <f>if(W4='Quick Setup'!$C$47,'Quick Setup'!$C48,if(W4='Quick Setup'!$D$47,'Quick Setup'!$D48,if(W4='Quick Setup'!$E$47,'Quick Setup'!$E48,if(W4='Quick Setup'!$F$47,'Quick Setup'!$F48,if(W4='Quick Setup'!$G$47,'Quick Setup'!$G48,if(W4='Quick Setup'!$H$47,'Quick Setup'!$H48,if(W4='Quick Setup'!$I$47,'Quick Setup'!$I48,if(W4='Quick Setup'!$J$47,'Quick Setup'!$J48,if(W4='Quick Setup'!$K$47,'Quick Setup'!$K48,if(W4='Quick Setup'!$L$47,'Quick Setup'!$L48,if(W4='Quick Setup'!$M$47,'Quick Setup'!$M48,if(W4='Quick Setup'!$N$47,'Quick Setup'!$N48,if(W4='Quick Setup'!$O$47,'Quick Setup'!$O48,if(W4='Quick Setup'!$P$47,'Quick Setup'!$P48,if(W4='Quick Setup'!$Q$47,'Quick Setup'!$Q48,if(W4='Quick Setup'!$R$47,'Quick Setup'!$R48,if(W4='Quick Setup'!$S$47,'Quick Setup'!$S48,if(W4='Quick Setup'!$T$47,'Quick Setup'!$T48,if(W4='Quick Setup'!$U$47,'Quick Setup'!$U48,if(W4='Quick Setup'!$V$47,'Quick Setup'!$V48,if(W4='Quick Setup'!$W$47,'Quick Setup'!$W48)))))))))))))))))))))</f>
        <v>3</v>
      </c>
      <c r="Z4" s="22">
        <f t="shared" ref="Z4:AC4" si="3">S4</f>
        <v>4</v>
      </c>
      <c r="AA4" s="22">
        <f t="shared" si="3"/>
        <v>6</v>
      </c>
      <c r="AB4" s="23">
        <f t="shared" si="3"/>
        <v>0.02</v>
      </c>
      <c r="AC4" s="23">
        <f t="shared" si="3"/>
        <v>-0.05</v>
      </c>
      <c r="AD4" s="21">
        <f>'Quick Setup'!G61</f>
        <v>0.775</v>
      </c>
      <c r="AE4" s="24">
        <f>if(AD4='Quick Setup'!$C$33,'Quick Setup'!$C34,if(AD4='Quick Setup'!$D$33,'Quick Setup'!$D34,if(AD4='Quick Setup'!$E$33,'Quick Setup'!$E34,if(AD4='Quick Setup'!$F$33,'Quick Setup'!$F34,if(AD4='Quick Setup'!$G$33,'Quick Setup'!$G34,if(AD4='Quick Setup'!$H$33,'Quick Setup'!$H34,if(AD4='Quick Setup'!$I$33,'Quick Setup'!$I34,if(AD4='Quick Setup'!$J$33,'Quick Setup'!$J34,if(AD4='Quick Setup'!$K$33,'Quick Setup'!$K34,if(AD4='Quick Setup'!$L$33,'Quick Setup'!$L34,if(AD4='Quick Setup'!$M$33,'Quick Setup'!$M34,if(AD4='Quick Setup'!$N$33,'Quick Setup'!$N34,if(AD4='Quick Setup'!$O$33,'Quick Setup'!$O34,if(AD4='Quick Setup'!$P$33,'Quick Setup'!$P34,if(AD4='Quick Setup'!$Q$33,'Quick Setup'!$Q34,if(AD4='Quick Setup'!$R$33,'Quick Setup'!$R34,if(AD4='Quick Setup'!$S$33,'Quick Setup'!$S34,if(AD4='Quick Setup'!$T$33,'Quick Setup'!$T34,if(AD4='Quick Setup'!$U$33,'Quick Setup'!$U34,if(AD4='Quick Setup'!$V$33,'Quick Setup'!$V34,'2x'!AY5))))))))))))))))))))</f>
        <v>4</v>
      </c>
      <c r="AF4" s="22">
        <f>if(AD4='Quick Setup'!$C$47,'Quick Setup'!$C48,if(AD4='Quick Setup'!$D$47,'Quick Setup'!$D48,if(AD4='Quick Setup'!$E$47,'Quick Setup'!$E48,if(AD4='Quick Setup'!$F$47,'Quick Setup'!$F48,if(AD4='Quick Setup'!$G$47,'Quick Setup'!$G48,if(AD4='Quick Setup'!$H$47,'Quick Setup'!$H48,if(AD4='Quick Setup'!$I$47,'Quick Setup'!$I48,if(AD4='Quick Setup'!$J$47,'Quick Setup'!$J48,if(AD4='Quick Setup'!$K$47,'Quick Setup'!$K48,if(AD4='Quick Setup'!$L$47,'Quick Setup'!$L48,if(AD4='Quick Setup'!$M$47,'Quick Setup'!$M48,if(AD4='Quick Setup'!$N$47,'Quick Setup'!$N48,if(AD4='Quick Setup'!$O$47,'Quick Setup'!$O48,if(AD4='Quick Setup'!$P$47,'Quick Setup'!$P48,if(AD4='Quick Setup'!$Q$47,'Quick Setup'!$Q48,if(AD4='Quick Setup'!$R$47,'Quick Setup'!$R48,if(AD4='Quick Setup'!$S$47,'Quick Setup'!$S48,if(AD4='Quick Setup'!$T$47,'Quick Setup'!$T48,if(AD4='Quick Setup'!$U$47,'Quick Setup'!$U48,if(AD4='Quick Setup'!$V$47,'Quick Setup'!$V48,if(AD4='Quick Setup'!$W$47,'Quick Setup'!$W48)))))))))))))))))))))</f>
        <v>3</v>
      </c>
      <c r="AG4" s="22">
        <f t="shared" ref="AG4:AJ4" si="4">Z4</f>
        <v>4</v>
      </c>
      <c r="AH4" s="22">
        <f t="shared" si="4"/>
        <v>6</v>
      </c>
      <c r="AI4" s="23">
        <f t="shared" si="4"/>
        <v>0.02</v>
      </c>
      <c r="AJ4" s="23">
        <f t="shared" si="4"/>
        <v>-0.05</v>
      </c>
      <c r="AK4" s="21">
        <f>'Quick Setup'!H61</f>
        <v>0.825</v>
      </c>
      <c r="AL4" s="24">
        <f>if(AK4='Quick Setup'!$C$33,'Quick Setup'!$C34,if(AK4='Quick Setup'!$D$33,'Quick Setup'!$D34,if(AK4='Quick Setup'!$E$33,'Quick Setup'!$E34,if(AK4='Quick Setup'!$F$33,'Quick Setup'!$F34,if(AK4='Quick Setup'!$G$33,'Quick Setup'!$G34,if(AK4='Quick Setup'!$H$33,'Quick Setup'!$H34,if(AK4='Quick Setup'!$I$33,'Quick Setup'!$I34,if(AK4='Quick Setup'!$J$33,'Quick Setup'!$J34,if(AK4='Quick Setup'!$K$33,'Quick Setup'!$K34,if(AK4='Quick Setup'!$L$33,'Quick Setup'!$L34,if(AK4='Quick Setup'!$M$33,'Quick Setup'!$M34,if(AK4='Quick Setup'!$N$33,'Quick Setup'!$N34,if(AK4='Quick Setup'!$O$33,'Quick Setup'!$O34,if(AK4='Quick Setup'!$P$33,'Quick Setup'!$P34,if(AK4='Quick Setup'!$Q$33,'Quick Setup'!$Q34,if(AK4='Quick Setup'!$R$33,'Quick Setup'!$R34,if(AK4='Quick Setup'!$S$33,'Quick Setup'!$S34,if(AK4='Quick Setup'!$T$33,'Quick Setup'!$T34,if(AK4='Quick Setup'!$U$33,'Quick Setup'!$U34,if(AK4='Quick Setup'!$V$33,'Quick Setup'!$V34,'2x'!BF5))))))))))))))))))))</f>
        <v>3</v>
      </c>
      <c r="AM4" s="22">
        <f>if(AK4='Quick Setup'!$C$47,'Quick Setup'!$C48,if(AK4='Quick Setup'!$D$47,'Quick Setup'!$D48,if(AK4='Quick Setup'!$E$47,'Quick Setup'!$E48,if(AK4='Quick Setup'!$F$47,'Quick Setup'!$F48,if(AK4='Quick Setup'!$G$47,'Quick Setup'!$G48,if(AK4='Quick Setup'!$H$47,'Quick Setup'!$H48,if(AK4='Quick Setup'!$I$47,'Quick Setup'!$I48,if(AK4='Quick Setup'!$J$47,'Quick Setup'!$J48,if(AK4='Quick Setup'!$K$47,'Quick Setup'!$K48,if(AK4='Quick Setup'!$L$47,'Quick Setup'!$L48,if(AK4='Quick Setup'!$M$47,'Quick Setup'!$M48,if(AK4='Quick Setup'!$N$47,'Quick Setup'!$N48,if(AK4='Quick Setup'!$O$47,'Quick Setup'!$O48,if(AK4='Quick Setup'!$P$47,'Quick Setup'!$P48,if(AK4='Quick Setup'!$Q$47,'Quick Setup'!$Q48,if(AK4='Quick Setup'!$R$47,'Quick Setup'!$R48,if(AK4='Quick Setup'!$S$47,'Quick Setup'!$S48,if(AK4='Quick Setup'!$T$47,'Quick Setup'!$T48,if(AK4='Quick Setup'!$U$47,'Quick Setup'!$U48,if(AK4='Quick Setup'!$V$47,'Quick Setup'!$V48,if(AK4='Quick Setup'!$W$47,'Quick Setup'!$W48)))))))))))))))))))))</f>
        <v>2</v>
      </c>
      <c r="AN4" s="22">
        <f t="shared" ref="AN4:AQ4" si="5">AG4</f>
        <v>4</v>
      </c>
      <c r="AO4" s="22">
        <f t="shared" si="5"/>
        <v>6</v>
      </c>
      <c r="AP4" s="23">
        <f t="shared" si="5"/>
        <v>0.02</v>
      </c>
      <c r="AQ4" s="23">
        <f t="shared" si="5"/>
        <v>-0.05</v>
      </c>
      <c r="AR4" s="21">
        <f>'Quick Setup'!I61</f>
        <v>0.6</v>
      </c>
      <c r="AS4" s="24">
        <f>if(AR4='Quick Setup'!$C$33,'Quick Setup'!$C34,if(AR4='Quick Setup'!$D$33,'Quick Setup'!$D34,if(AR4='Quick Setup'!$E$33,'Quick Setup'!$E34,if(AR4='Quick Setup'!$F$33,'Quick Setup'!$F34,if(AR4='Quick Setup'!$G$33,'Quick Setup'!$G34,if(AR4='Quick Setup'!$H$33,'Quick Setup'!$H34,if(AR4='Quick Setup'!$I$33,'Quick Setup'!$I34,if(AR4='Quick Setup'!$J$33,'Quick Setup'!$J34,if(AR4='Quick Setup'!$K$33,'Quick Setup'!$K34,if(AR4='Quick Setup'!$L$33,'Quick Setup'!$L34,if(AR4='Quick Setup'!$M$33,'Quick Setup'!$M34,if(AR4='Quick Setup'!$N$33,'Quick Setup'!$N34,if(AR4='Quick Setup'!$O$33,'Quick Setup'!$O34,if(AR4='Quick Setup'!$P$33,'Quick Setup'!$P34,if(AR4='Quick Setup'!$Q$33,'Quick Setup'!$Q34,if(AR4='Quick Setup'!$R$33,'Quick Setup'!$R34,if(AR4='Quick Setup'!$S$33,'Quick Setup'!$S34,if(AR4='Quick Setup'!$T$33,'Quick Setup'!$T34,if(AR4='Quick Setup'!$U$33,'Quick Setup'!$U34,if(AR4='Quick Setup'!$V$33,'Quick Setup'!$V34,'2x'!BM5))))))))))))))))))))</f>
        <v>7</v>
      </c>
      <c r="AT4" s="22">
        <f>if(AR4='Quick Setup'!$C$47,'Quick Setup'!$C48,if(AR4='Quick Setup'!$D$47,'Quick Setup'!$D48,if(AR4='Quick Setup'!$E$47,'Quick Setup'!$E48,if(AR4='Quick Setup'!$F$47,'Quick Setup'!$F48,if(AR4='Quick Setup'!$G$47,'Quick Setup'!$G48,if(AR4='Quick Setup'!$H$47,'Quick Setup'!$H48,if(AR4='Quick Setup'!$I$47,'Quick Setup'!$I48,if(AR4='Quick Setup'!$J$47,'Quick Setup'!$J48,if(AR4='Quick Setup'!$K$47,'Quick Setup'!$K48,if(AR4='Quick Setup'!$L$47,'Quick Setup'!$L48,if(AR4='Quick Setup'!$M$47,'Quick Setup'!$M48,if(AR4='Quick Setup'!$N$47,'Quick Setup'!$N48,if(AR4='Quick Setup'!$O$47,'Quick Setup'!$O48,if(AR4='Quick Setup'!$P$47,'Quick Setup'!$P48,if(AR4='Quick Setup'!$Q$47,'Quick Setup'!$Q48,if(AR4='Quick Setup'!$R$47,'Quick Setup'!$R48,if(AR4='Quick Setup'!$S$47,'Quick Setup'!$S48,if(AR4='Quick Setup'!$T$47,'Quick Setup'!$T48,if(AR4='Quick Setup'!$U$47,'Quick Setup'!$U48,if(AR4='Quick Setup'!$V$47,'Quick Setup'!$V48,if(AR4='Quick Setup'!$W$47,'Quick Setup'!$W48)))))))))))))))))))))</f>
        <v>4</v>
      </c>
      <c r="AU4" s="22">
        <f t="shared" ref="AU4:AX4" si="6">AN4</f>
        <v>4</v>
      </c>
      <c r="AV4" s="22">
        <f t="shared" si="6"/>
        <v>6</v>
      </c>
      <c r="AW4" s="23">
        <f t="shared" si="6"/>
        <v>0.02</v>
      </c>
      <c r="AX4" s="23">
        <f t="shared" si="6"/>
        <v>-0.05</v>
      </c>
      <c r="AY4" s="21">
        <f>'Quick Setup'!J61</f>
        <v>0.75</v>
      </c>
      <c r="AZ4" s="24">
        <f>if(AY4='Quick Setup'!$C$33,'Quick Setup'!$C34,if(AY4='Quick Setup'!$D$33,'Quick Setup'!$D34,if(AY4='Quick Setup'!$E$33,'Quick Setup'!$E34,if(AY4='Quick Setup'!$F$33,'Quick Setup'!$F34,if(AY4='Quick Setup'!$G$33,'Quick Setup'!$G34,if(AY4='Quick Setup'!$H$33,'Quick Setup'!$H34,if(AY4='Quick Setup'!$I$33,'Quick Setup'!$I34,if(AY4='Quick Setup'!$J$33,'Quick Setup'!$J34,if(AY4='Quick Setup'!$K$33,'Quick Setup'!$K34,if(AY4='Quick Setup'!$L$33,'Quick Setup'!$L34,if(AY4='Quick Setup'!$M$33,'Quick Setup'!$M34,if(AY4='Quick Setup'!$N$33,'Quick Setup'!$N34,if(AY4='Quick Setup'!$O$33,'Quick Setup'!$O34,if(AY4='Quick Setup'!$P$33,'Quick Setup'!$P34,if(AY4='Quick Setup'!$Q$33,'Quick Setup'!$Q34,if(AY4='Quick Setup'!$R$33,'Quick Setup'!$R34,if(AY4='Quick Setup'!$S$33,'Quick Setup'!$S34,if(AY4='Quick Setup'!$T$33,'Quick Setup'!$T34,if(AY4='Quick Setup'!$U$33,'Quick Setup'!$U34,if(AY4='Quick Setup'!$V$33,'Quick Setup'!$V34,'2x'!BT5))))))))))))))))))))</f>
        <v>4</v>
      </c>
      <c r="BA4" s="22">
        <f>if(AY4='Quick Setup'!$C$47,'Quick Setup'!$C48,if(AY4='Quick Setup'!$D$47,'Quick Setup'!$D48,if(AY4='Quick Setup'!$E$47,'Quick Setup'!$E48,if(AY4='Quick Setup'!$F$47,'Quick Setup'!$F48,if(AY4='Quick Setup'!$G$47,'Quick Setup'!$G48,if(AY4='Quick Setup'!$H$47,'Quick Setup'!$H48,if(AY4='Quick Setup'!$I$47,'Quick Setup'!$I48,if(AY4='Quick Setup'!$J$47,'Quick Setup'!$J48,if(AY4='Quick Setup'!$K$47,'Quick Setup'!$K48,if(AY4='Quick Setup'!$L$47,'Quick Setup'!$L48,if(AY4='Quick Setup'!$M$47,'Quick Setup'!$M48,if(AY4='Quick Setup'!$N$47,'Quick Setup'!$N48,if(AY4='Quick Setup'!$O$47,'Quick Setup'!$O48,if(AY4='Quick Setup'!$P$47,'Quick Setup'!$P48,if(AY4='Quick Setup'!$Q$47,'Quick Setup'!$Q48,if(AY4='Quick Setup'!$R$47,'Quick Setup'!$R48,if(AY4='Quick Setup'!$S$47,'Quick Setup'!$S48,if(AY4='Quick Setup'!$T$47,'Quick Setup'!$T48,if(AY4='Quick Setup'!$U$47,'Quick Setup'!$U48,if(AY4='Quick Setup'!$V$47,'Quick Setup'!$V48,if(AY4='Quick Setup'!$W$47,'Quick Setup'!$W48)))))))))))))))))))))</f>
        <v>3</v>
      </c>
      <c r="BB4" s="22">
        <f t="shared" ref="BB4:BE4" si="7">AU4</f>
        <v>4</v>
      </c>
      <c r="BC4" s="22">
        <f t="shared" si="7"/>
        <v>6</v>
      </c>
      <c r="BD4" s="23">
        <f t="shared" si="7"/>
        <v>0.02</v>
      </c>
      <c r="BE4" s="23">
        <f t="shared" si="7"/>
        <v>-0.05</v>
      </c>
      <c r="BF4" s="21">
        <f>'Quick Setup'!K61</f>
        <v>0.8</v>
      </c>
      <c r="BG4" s="24">
        <f>if(BF4='Quick Setup'!$C$33,'Quick Setup'!$C34,if(BF4='Quick Setup'!$D$33,'Quick Setup'!$D34,if(BF4='Quick Setup'!$E$33,'Quick Setup'!$E34,if(BF4='Quick Setup'!$F$33,'Quick Setup'!$F34,if(BF4='Quick Setup'!$G$33,'Quick Setup'!$G34,if(BF4='Quick Setup'!$H$33,'Quick Setup'!$H34,if(BF4='Quick Setup'!$I$33,'Quick Setup'!$I34,if(BF4='Quick Setup'!$J$33,'Quick Setup'!$J34,if(BF4='Quick Setup'!$K$33,'Quick Setup'!$K34,if(BF4='Quick Setup'!$L$33,'Quick Setup'!$L34,if(BF4='Quick Setup'!$M$33,'Quick Setup'!$M34,if(BF4='Quick Setup'!$N$33,'Quick Setup'!$N34,if(BF4='Quick Setup'!$O$33,'Quick Setup'!$O34,if(BF4='Quick Setup'!$P$33,'Quick Setup'!$P34,if(BF4='Quick Setup'!$Q$33,'Quick Setup'!$Q34,if(BF4='Quick Setup'!$R$33,'Quick Setup'!$R34,if(BF4='Quick Setup'!$S$33,'Quick Setup'!$S34,if(BF4='Quick Setup'!$T$33,'Quick Setup'!$T34,if(BF4='Quick Setup'!$U$33,'Quick Setup'!$U34,if(BF4='Quick Setup'!$V$33,'Quick Setup'!$V34,'2x'!CA5))))))))))))))))))))</f>
        <v>3</v>
      </c>
      <c r="BH4" s="22">
        <f>if(BF4='Quick Setup'!$C$47,'Quick Setup'!$C48,if(BF4='Quick Setup'!$D$47,'Quick Setup'!$D48,if(BF4='Quick Setup'!$E$47,'Quick Setup'!$E48,if(BF4='Quick Setup'!$F$47,'Quick Setup'!$F48,if(BF4='Quick Setup'!$G$47,'Quick Setup'!$G48,if(BF4='Quick Setup'!$H$47,'Quick Setup'!$H48,if(BF4='Quick Setup'!$I$47,'Quick Setup'!$I48,if(BF4='Quick Setup'!$J$47,'Quick Setup'!$J48,if(BF4='Quick Setup'!$K$47,'Quick Setup'!$K48,if(BF4='Quick Setup'!$L$47,'Quick Setup'!$L48,if(BF4='Quick Setup'!$M$47,'Quick Setup'!$M48,if(BF4='Quick Setup'!$N$47,'Quick Setup'!$N48,if(BF4='Quick Setup'!$O$47,'Quick Setup'!$O48,if(BF4='Quick Setup'!$P$47,'Quick Setup'!$P48,if(BF4='Quick Setup'!$Q$47,'Quick Setup'!$Q48,if(BF4='Quick Setup'!$R$47,'Quick Setup'!$R48,if(BF4='Quick Setup'!$S$47,'Quick Setup'!$S48,if(BF4='Quick Setup'!$T$47,'Quick Setup'!$T48,if(BF4='Quick Setup'!$U$47,'Quick Setup'!$U48,if(BF4='Quick Setup'!$V$47,'Quick Setup'!$V48,if(BF4='Quick Setup'!$W$47,'Quick Setup'!$W48)))))))))))))))))))))</f>
        <v>2</v>
      </c>
      <c r="BI4" s="22">
        <f t="shared" ref="BI4:BL4" si="8">BB4</f>
        <v>4</v>
      </c>
      <c r="BJ4" s="22">
        <f t="shared" si="8"/>
        <v>6</v>
      </c>
      <c r="BK4" s="23">
        <f t="shared" si="8"/>
        <v>0.02</v>
      </c>
      <c r="BL4" s="23">
        <f t="shared" si="8"/>
        <v>-0.05</v>
      </c>
      <c r="BM4" s="21">
        <f>'Quick Setup'!L61</f>
        <v>0.85</v>
      </c>
      <c r="BN4" s="24">
        <f>if(BM4='Quick Setup'!$C$33,'Quick Setup'!$C34,if(BM4='Quick Setup'!$D$33,'Quick Setup'!$D34,if(BM4='Quick Setup'!$E$33,'Quick Setup'!$E34,if(BM4='Quick Setup'!$F$33,'Quick Setup'!$F34,if(BM4='Quick Setup'!$G$33,'Quick Setup'!$G34,if(BM4='Quick Setup'!$H$33,'Quick Setup'!$H34,if(BM4='Quick Setup'!$I$33,'Quick Setup'!$I34,if(BM4='Quick Setup'!$J$33,'Quick Setup'!$J34,if(BM4='Quick Setup'!$K$33,'Quick Setup'!$K34,if(BM4='Quick Setup'!$L$33,'Quick Setup'!$L34,if(BM4='Quick Setup'!$M$33,'Quick Setup'!$M34,if(BM4='Quick Setup'!$N$33,'Quick Setup'!$N34,if(BM4='Quick Setup'!$O$33,'Quick Setup'!$O34,if(BM4='Quick Setup'!$P$33,'Quick Setup'!$P34,if(BM4='Quick Setup'!$Q$33,'Quick Setup'!$Q34,if(BM4='Quick Setup'!$R$33,'Quick Setup'!$R34,if(BM4='Quick Setup'!$S$33,'Quick Setup'!$S34,if(BM4='Quick Setup'!$T$33,'Quick Setup'!$T34,if(BM4='Quick Setup'!$U$33,'Quick Setup'!$U34,if(BM4='Quick Setup'!$V$33,'Quick Setup'!$V34,'2x'!CH5))))))))))))))))))))</f>
        <v>2</v>
      </c>
      <c r="BO4" s="22">
        <f>if(BM4='Quick Setup'!$C$47,'Quick Setup'!$C48,if(BM4='Quick Setup'!$D$47,'Quick Setup'!$D48,if(BM4='Quick Setup'!$E$47,'Quick Setup'!$E48,if(BM4='Quick Setup'!$F$47,'Quick Setup'!$F48,if(BM4='Quick Setup'!$G$47,'Quick Setup'!$G48,if(BM4='Quick Setup'!$H$47,'Quick Setup'!$H48,if(BM4='Quick Setup'!$I$47,'Quick Setup'!$I48,if(BM4='Quick Setup'!$J$47,'Quick Setup'!$J48,if(BM4='Quick Setup'!$K$47,'Quick Setup'!$K48,if(BM4='Quick Setup'!$L$47,'Quick Setup'!$L48,if(BM4='Quick Setup'!$M$47,'Quick Setup'!$M48,if(BM4='Quick Setup'!$N$47,'Quick Setup'!$N48,if(BM4='Quick Setup'!$O$47,'Quick Setup'!$O48,if(BM4='Quick Setup'!$P$47,'Quick Setup'!$P48,if(BM4='Quick Setup'!$Q$47,'Quick Setup'!$Q48,if(BM4='Quick Setup'!$R$47,'Quick Setup'!$R48,if(BM4='Quick Setup'!$S$47,'Quick Setup'!$S48,if(BM4='Quick Setup'!$T$47,'Quick Setup'!$T48,if(BM4='Quick Setup'!$U$47,'Quick Setup'!$U48,if(BM4='Quick Setup'!$V$47,'Quick Setup'!$V48,if(BM4='Quick Setup'!$W$47,'Quick Setup'!$W48)))))))))))))))))))))</f>
        <v>2</v>
      </c>
      <c r="BP4" s="22">
        <f t="shared" ref="BP4:BS4" si="9">BI4</f>
        <v>4</v>
      </c>
      <c r="BQ4" s="22">
        <f t="shared" si="9"/>
        <v>6</v>
      </c>
      <c r="BR4" s="23">
        <f t="shared" si="9"/>
        <v>0.02</v>
      </c>
      <c r="BS4" s="23">
        <f t="shared" si="9"/>
        <v>-0.05</v>
      </c>
      <c r="BT4" s="21">
        <f>'Quick Setup'!M61</f>
        <v>0.775</v>
      </c>
      <c r="BU4" s="24">
        <f>if(BT4='Quick Setup'!$C$33,'Quick Setup'!$C34,if(BT4='Quick Setup'!$D$33,'Quick Setup'!$D34,if(BT4='Quick Setup'!$E$33,'Quick Setup'!$E34,if(BT4='Quick Setup'!$F$33,'Quick Setup'!$F34,if(BT4='Quick Setup'!$G$33,'Quick Setup'!$G34,if(BT4='Quick Setup'!$H$33,'Quick Setup'!$H34,if(BT4='Quick Setup'!$I$33,'Quick Setup'!$I34,if(BT4='Quick Setup'!$J$33,'Quick Setup'!$J34,if(BT4='Quick Setup'!$K$33,'Quick Setup'!$K34,if(BT4='Quick Setup'!$L$33,'Quick Setup'!$L34,if(BT4='Quick Setup'!$M$33,'Quick Setup'!$M34,if(BT4='Quick Setup'!$N$33,'Quick Setup'!$N34,if(BT4='Quick Setup'!$O$33,'Quick Setup'!$O34,if(BT4='Quick Setup'!$P$33,'Quick Setup'!$P34,if(BT4='Quick Setup'!$Q$33,'Quick Setup'!$Q34,if(BT4='Quick Setup'!$R$33,'Quick Setup'!$R34,if(BT4='Quick Setup'!$S$33,'Quick Setup'!$S34,if(BT4='Quick Setup'!$T$33,'Quick Setup'!$T34,if(BT4='Quick Setup'!$U$33,'Quick Setup'!$U34,if(BT4='Quick Setup'!$V$33,'Quick Setup'!$V34,'2x'!CO5))))))))))))))))))))</f>
        <v>4</v>
      </c>
      <c r="BV4" s="22">
        <f>if(BT4='Quick Setup'!$C$47,'Quick Setup'!$C48,if(BT4='Quick Setup'!$D$47,'Quick Setup'!$D48,if(BT4='Quick Setup'!$E$47,'Quick Setup'!$E48,if(BT4='Quick Setup'!$F$47,'Quick Setup'!$F48,if(BT4='Quick Setup'!$G$47,'Quick Setup'!$G48,if(BT4='Quick Setup'!$H$47,'Quick Setup'!$H48,if(BT4='Quick Setup'!$I$47,'Quick Setup'!$I48,if(BT4='Quick Setup'!$J$47,'Quick Setup'!$J48,if(BT4='Quick Setup'!$K$47,'Quick Setup'!$K48,if(BT4='Quick Setup'!$L$47,'Quick Setup'!$L48,if(BT4='Quick Setup'!$M$47,'Quick Setup'!$M48,if(BT4='Quick Setup'!$N$47,'Quick Setup'!$N48,if(BT4='Quick Setup'!$O$47,'Quick Setup'!$O48,if(BT4='Quick Setup'!$P$47,'Quick Setup'!$P48,if(BT4='Quick Setup'!$Q$47,'Quick Setup'!$Q48,if(BT4='Quick Setup'!$R$47,'Quick Setup'!$R48,if(BT4='Quick Setup'!$S$47,'Quick Setup'!$S48,if(BT4='Quick Setup'!$T$47,'Quick Setup'!$T48,if(BT4='Quick Setup'!$U$47,'Quick Setup'!$U48,if(BT4='Quick Setup'!$V$47,'Quick Setup'!$V48,if(BT4='Quick Setup'!$W$47,'Quick Setup'!$W48)))))))))))))))))))))</f>
        <v>3</v>
      </c>
      <c r="BW4" s="22">
        <f t="shared" ref="BW4:BZ4" si="10">BP4</f>
        <v>4</v>
      </c>
      <c r="BX4" s="22">
        <f t="shared" si="10"/>
        <v>6</v>
      </c>
      <c r="BY4" s="23">
        <f t="shared" si="10"/>
        <v>0.02</v>
      </c>
      <c r="BZ4" s="23">
        <f t="shared" si="10"/>
        <v>-0.05</v>
      </c>
      <c r="CA4" s="21">
        <f>'Quick Setup'!N61</f>
        <v>0.825</v>
      </c>
      <c r="CB4" s="24">
        <f>if(CA4='Quick Setup'!$C$33,'Quick Setup'!$C34,if(CA4='Quick Setup'!$D$33,'Quick Setup'!$D34,if(CA4='Quick Setup'!$E$33,'Quick Setup'!$E34,if(CA4='Quick Setup'!$F$33,'Quick Setup'!$F34,if(CA4='Quick Setup'!$G$33,'Quick Setup'!$G34,if(CA4='Quick Setup'!$H$33,'Quick Setup'!$H34,if(CA4='Quick Setup'!$I$33,'Quick Setup'!$I34,if(CA4='Quick Setup'!$J$33,'Quick Setup'!$J34,if(CA4='Quick Setup'!$K$33,'Quick Setup'!$K34,if(CA4='Quick Setup'!$L$33,'Quick Setup'!$L34,if(CA4='Quick Setup'!$M$33,'Quick Setup'!$M34,if(CA4='Quick Setup'!$N$33,'Quick Setup'!$N34,if(CA4='Quick Setup'!$O$33,'Quick Setup'!$O34,if(CA4='Quick Setup'!$P$33,'Quick Setup'!$P34,if(CA4='Quick Setup'!$Q$33,'Quick Setup'!$Q34,if(CA4='Quick Setup'!$R$33,'Quick Setup'!$R34,if(CA4='Quick Setup'!$S$33,'Quick Setup'!$S34,if(CA4='Quick Setup'!$T$33,'Quick Setup'!$T34,if(CA4='Quick Setup'!$U$33,'Quick Setup'!$U34,if(CA4='Quick Setup'!$V$33,'Quick Setup'!$V34,'2x'!CV5))))))))))))))))))))</f>
        <v>3</v>
      </c>
      <c r="CC4" s="22">
        <f>if(CA4='Quick Setup'!$C$47,'Quick Setup'!$C48,if(CA4='Quick Setup'!$D$47,'Quick Setup'!$D48,if(CA4='Quick Setup'!$E$47,'Quick Setup'!$E48,if(CA4='Quick Setup'!$F$47,'Quick Setup'!$F48,if(CA4='Quick Setup'!$G$47,'Quick Setup'!$G48,if(CA4='Quick Setup'!$H$47,'Quick Setup'!$H48,if(CA4='Quick Setup'!$I$47,'Quick Setup'!$I48,if(CA4='Quick Setup'!$J$47,'Quick Setup'!$J48,if(CA4='Quick Setup'!$K$47,'Quick Setup'!$K48,if(CA4='Quick Setup'!$L$47,'Quick Setup'!$L48,if(CA4='Quick Setup'!$M$47,'Quick Setup'!$M48,if(CA4='Quick Setup'!$N$47,'Quick Setup'!$N48,if(CA4='Quick Setup'!$O$47,'Quick Setup'!$O48,if(CA4='Quick Setup'!$P$47,'Quick Setup'!$P48,if(CA4='Quick Setup'!$Q$47,'Quick Setup'!$Q48,if(CA4='Quick Setup'!$R$47,'Quick Setup'!$R48,if(CA4='Quick Setup'!$S$47,'Quick Setup'!$S48,if(CA4='Quick Setup'!$T$47,'Quick Setup'!$T48,if(CA4='Quick Setup'!$U$47,'Quick Setup'!$U48,if(CA4='Quick Setup'!$V$47,'Quick Setup'!$V48,if(CA4='Quick Setup'!$W$47,'Quick Setup'!$W48)))))))))))))))))))))</f>
        <v>2</v>
      </c>
      <c r="CD4" s="22">
        <f t="shared" ref="CD4:CG4" si="11">BW4</f>
        <v>4</v>
      </c>
      <c r="CE4" s="22">
        <f t="shared" si="11"/>
        <v>6</v>
      </c>
      <c r="CF4" s="23">
        <f t="shared" si="11"/>
        <v>0.02</v>
      </c>
      <c r="CG4" s="23">
        <f t="shared" si="11"/>
        <v>-0.05</v>
      </c>
      <c r="CH4" s="21">
        <f>'Quick Setup'!O61</f>
        <v>0.875</v>
      </c>
      <c r="CI4" s="24">
        <f>if(CH4='Quick Setup'!$C$33,'Quick Setup'!$C34,if(CH4='Quick Setup'!$D$33,'Quick Setup'!$D34,if(CH4='Quick Setup'!$E$33,'Quick Setup'!$E34,if(CH4='Quick Setup'!$F$33,'Quick Setup'!$F34,if(CH4='Quick Setup'!$G$33,'Quick Setup'!$G34,if(CH4='Quick Setup'!$H$33,'Quick Setup'!$H34,if(CH4='Quick Setup'!$I$33,'Quick Setup'!$I34,if(CH4='Quick Setup'!$J$33,'Quick Setup'!$J34,if(CH4='Quick Setup'!$K$33,'Quick Setup'!$K34,if(CH4='Quick Setup'!$L$33,'Quick Setup'!$L34,if(CH4='Quick Setup'!$M$33,'Quick Setup'!$M34,if(CH4='Quick Setup'!$N$33,'Quick Setup'!$N34,if(CH4='Quick Setup'!$O$33,'Quick Setup'!$O34,if(CH4='Quick Setup'!$P$33,'Quick Setup'!$P34,if(CH4='Quick Setup'!$Q$33,'Quick Setup'!$Q34,if(CH4='Quick Setup'!$R$33,'Quick Setup'!$R34,if(CH4='Quick Setup'!$S$33,'Quick Setup'!$S34,if(CH4='Quick Setup'!$T$33,'Quick Setup'!$T34,if(CH4='Quick Setup'!$U$33,'Quick Setup'!$U34,if(CH4='Quick Setup'!$V$33,'Quick Setup'!$V34,'2x'!DC5))))))))))))))))))))</f>
        <v>2</v>
      </c>
      <c r="CJ4" s="22">
        <f>if(CH4='Quick Setup'!$C$47,'Quick Setup'!$C48,if(CH4='Quick Setup'!$D$47,'Quick Setup'!$D48,if(CH4='Quick Setup'!$E$47,'Quick Setup'!$E48,if(CH4='Quick Setup'!$F$47,'Quick Setup'!$F48,if(CH4='Quick Setup'!$G$47,'Quick Setup'!$G48,if(CH4='Quick Setup'!$H$47,'Quick Setup'!$H48,if(CH4='Quick Setup'!$I$47,'Quick Setup'!$I48,if(CH4='Quick Setup'!$J$47,'Quick Setup'!$J48,if(CH4='Quick Setup'!$K$47,'Quick Setup'!$K48,if(CH4='Quick Setup'!$L$47,'Quick Setup'!$L48,if(CH4='Quick Setup'!$M$47,'Quick Setup'!$M48,if(CH4='Quick Setup'!$N$47,'Quick Setup'!$N48,if(CH4='Quick Setup'!$O$47,'Quick Setup'!$O48,if(CH4='Quick Setup'!$P$47,'Quick Setup'!$P48,if(CH4='Quick Setup'!$Q$47,'Quick Setup'!$Q48,if(CH4='Quick Setup'!$R$47,'Quick Setup'!$R48,if(CH4='Quick Setup'!$S$47,'Quick Setup'!$S48,if(CH4='Quick Setup'!$T$47,'Quick Setup'!$T48,if(CH4='Quick Setup'!$U$47,'Quick Setup'!$U48,if(CH4='Quick Setup'!$V$47,'Quick Setup'!$V48,if(CH4='Quick Setup'!$W$47,'Quick Setup'!$W48)))))))))))))))))))))</f>
        <v>2</v>
      </c>
      <c r="CK4" s="22">
        <f t="shared" ref="CK4:CN4" si="12">CD4</f>
        <v>4</v>
      </c>
      <c r="CL4" s="22">
        <f t="shared" si="12"/>
        <v>6</v>
      </c>
      <c r="CM4" s="23">
        <f t="shared" si="12"/>
        <v>0.02</v>
      </c>
      <c r="CN4" s="23">
        <f t="shared" si="12"/>
        <v>-0.05</v>
      </c>
      <c r="CO4" s="21">
        <f>'Quick Setup'!P61</f>
        <v>0.6</v>
      </c>
      <c r="CP4" s="24">
        <f>if(CO4='Quick Setup'!$C$33,'Quick Setup'!$C34,if(CO4='Quick Setup'!$D$33,'Quick Setup'!$D34,if(CO4='Quick Setup'!$E$33,'Quick Setup'!$E34,if(CO4='Quick Setup'!$F$33,'Quick Setup'!$F34,if(CO4='Quick Setup'!$G$33,'Quick Setup'!$G34,if(CO4='Quick Setup'!$H$33,'Quick Setup'!$H34,if(CO4='Quick Setup'!$I$33,'Quick Setup'!$I34,if(CO4='Quick Setup'!$J$33,'Quick Setup'!$J34,if(CO4='Quick Setup'!$K$33,'Quick Setup'!$K34,if(CO4='Quick Setup'!$L$33,'Quick Setup'!$L34,if(CO4='Quick Setup'!$M$33,'Quick Setup'!$M34,if(CO4='Quick Setup'!$N$33,'Quick Setup'!$N34,if(CO4='Quick Setup'!$O$33,'Quick Setup'!$O34,if(CO4='Quick Setup'!$P$33,'Quick Setup'!$P34,if(CO4='Quick Setup'!$Q$33,'Quick Setup'!$Q34,if(CO4='Quick Setup'!$R$33,'Quick Setup'!$R34,if(CO4='Quick Setup'!$S$33,'Quick Setup'!$S34,if(CO4='Quick Setup'!$T$33,'Quick Setup'!$T34,if(CO4='Quick Setup'!$U$33,'Quick Setup'!$U34,if(CO4='Quick Setup'!$V$33,'Quick Setup'!$V34,'2x'!DJ5))))))))))))))))))))</f>
        <v>7</v>
      </c>
      <c r="CQ4" s="22">
        <f>if(CO4='Quick Setup'!$C$47,'Quick Setup'!$C48,if(CO4='Quick Setup'!$D$47,'Quick Setup'!$D48,if(CO4='Quick Setup'!$E$47,'Quick Setup'!$E48,if(CO4='Quick Setup'!$F$47,'Quick Setup'!$F48,if(CO4='Quick Setup'!$G$47,'Quick Setup'!$G48,if(CO4='Quick Setup'!$H$47,'Quick Setup'!$H48,if(CO4='Quick Setup'!$I$47,'Quick Setup'!$I48,if(CO4='Quick Setup'!$J$47,'Quick Setup'!$J48,if(CO4='Quick Setup'!$K$47,'Quick Setup'!$K48,if(CO4='Quick Setup'!$L$47,'Quick Setup'!$L48,if(CO4='Quick Setup'!$M$47,'Quick Setup'!$M48,if(CO4='Quick Setup'!$N$47,'Quick Setup'!$N48,if(CO4='Quick Setup'!$O$47,'Quick Setup'!$O48,if(CO4='Quick Setup'!$P$47,'Quick Setup'!$P48,if(CO4='Quick Setup'!$Q$47,'Quick Setup'!$Q48,if(CO4='Quick Setup'!$R$47,'Quick Setup'!$R48,if(CO4='Quick Setup'!$S$47,'Quick Setup'!$S48,if(CO4='Quick Setup'!$T$47,'Quick Setup'!$T48,if(CO4='Quick Setup'!$U$47,'Quick Setup'!$U48,if(CO4='Quick Setup'!$V$47,'Quick Setup'!$V48,if(CO4='Quick Setup'!$W$47,'Quick Setup'!$W48)))))))))))))))))))))</f>
        <v>4</v>
      </c>
      <c r="CR4" s="22">
        <f t="shared" ref="CR4:CU4" si="13">CK4</f>
        <v>4</v>
      </c>
      <c r="CS4" s="22">
        <f t="shared" si="13"/>
        <v>6</v>
      </c>
      <c r="CT4" s="23">
        <f t="shared" si="13"/>
        <v>0.02</v>
      </c>
      <c r="CU4" s="23">
        <f t="shared" si="13"/>
        <v>-0.05</v>
      </c>
      <c r="CV4" s="21">
        <f>'Quick Setup'!Q61</f>
        <v>0.8</v>
      </c>
      <c r="CW4" s="24">
        <f>if(CV4='Quick Setup'!$C$33,'Quick Setup'!$C34,if(CV4='Quick Setup'!$D$33,'Quick Setup'!$D34,if(CV4='Quick Setup'!$E$33,'Quick Setup'!$E34,if(CV4='Quick Setup'!$F$33,'Quick Setup'!$F34,if(CV4='Quick Setup'!$G$33,'Quick Setup'!$G34,if(CV4='Quick Setup'!$H$33,'Quick Setup'!$H34,if(CV4='Quick Setup'!$I$33,'Quick Setup'!$I34,if(CV4='Quick Setup'!$J$33,'Quick Setup'!$J34,if(CV4='Quick Setup'!$K$33,'Quick Setup'!$K34,if(CV4='Quick Setup'!$L$33,'Quick Setup'!$L34,if(CV4='Quick Setup'!$M$33,'Quick Setup'!$M34,if(CV4='Quick Setup'!$N$33,'Quick Setup'!$N34,if(CV4='Quick Setup'!$O$33,'Quick Setup'!$O34,if(CV4='Quick Setup'!$P$33,'Quick Setup'!$P34,if(CV4='Quick Setup'!$Q$33,'Quick Setup'!$Q34,if(CV4='Quick Setup'!$R$33,'Quick Setup'!$R34,if(CV4='Quick Setup'!$S$33,'Quick Setup'!$S34,if(CV4='Quick Setup'!$T$33,'Quick Setup'!$T34,if(CV4='Quick Setup'!$U$33,'Quick Setup'!$U34,if(CV4='Quick Setup'!$V$33,'Quick Setup'!$V34,'2x'!DQ5))))))))))))))))))))</f>
        <v>3</v>
      </c>
      <c r="CX4" s="22">
        <f>if(CV4='Quick Setup'!$C$47,'Quick Setup'!$C48,if(CV4='Quick Setup'!$D$47,'Quick Setup'!$D48,if(CV4='Quick Setup'!$E$47,'Quick Setup'!$E48,if(CV4='Quick Setup'!$F$47,'Quick Setup'!$F48,if(CV4='Quick Setup'!$G$47,'Quick Setup'!$G48,if(CV4='Quick Setup'!$H$47,'Quick Setup'!$H48,if(CV4='Quick Setup'!$I$47,'Quick Setup'!$I48,if(CV4='Quick Setup'!$J$47,'Quick Setup'!$J48,if(CV4='Quick Setup'!$K$47,'Quick Setup'!$K48,if(CV4='Quick Setup'!$L$47,'Quick Setup'!$L48,if(CV4='Quick Setup'!$M$47,'Quick Setup'!$M48,if(CV4='Quick Setup'!$N$47,'Quick Setup'!$N48,if(CV4='Quick Setup'!$O$47,'Quick Setup'!$O48,if(CV4='Quick Setup'!$P$47,'Quick Setup'!$P48,if(CV4='Quick Setup'!$Q$47,'Quick Setup'!$Q48,if(CV4='Quick Setup'!$R$47,'Quick Setup'!$R48,if(CV4='Quick Setup'!$S$47,'Quick Setup'!$S48,if(CV4='Quick Setup'!$T$47,'Quick Setup'!$T48,if(CV4='Quick Setup'!$U$47,'Quick Setup'!$U48,if(CV4='Quick Setup'!$V$47,'Quick Setup'!$V48,if(CV4='Quick Setup'!$W$47,'Quick Setup'!$W48)))))))))))))))))))))</f>
        <v>2</v>
      </c>
      <c r="CY4" s="22">
        <f t="shared" ref="CY4:DB4" si="14">CR4</f>
        <v>4</v>
      </c>
      <c r="CZ4" s="22">
        <f t="shared" si="14"/>
        <v>6</v>
      </c>
      <c r="DA4" s="23">
        <f t="shared" si="14"/>
        <v>0.02</v>
      </c>
      <c r="DB4" s="23">
        <f t="shared" si="14"/>
        <v>-0.05</v>
      </c>
      <c r="DC4" s="21">
        <f>'Quick Setup'!R61</f>
        <v>0.85</v>
      </c>
      <c r="DD4" s="24">
        <f>if(DC4='Quick Setup'!$C$33,'Quick Setup'!$C34,if(DC4='Quick Setup'!$D$33,'Quick Setup'!$D34,if(DC4='Quick Setup'!$E$33,'Quick Setup'!$E34,if(DC4='Quick Setup'!$F$33,'Quick Setup'!$F34,if(DC4='Quick Setup'!$G$33,'Quick Setup'!$G34,if(DC4='Quick Setup'!$H$33,'Quick Setup'!$H34,if(DC4='Quick Setup'!$I$33,'Quick Setup'!$I34,if(DC4='Quick Setup'!$J$33,'Quick Setup'!$J34,if(DC4='Quick Setup'!$K$33,'Quick Setup'!$K34,if(DC4='Quick Setup'!$L$33,'Quick Setup'!$L34,if(DC4='Quick Setup'!$M$33,'Quick Setup'!$M34,if(DC4='Quick Setup'!$N$33,'Quick Setup'!$N34,if(DC4='Quick Setup'!$O$33,'Quick Setup'!$O34,if(DC4='Quick Setup'!$P$33,'Quick Setup'!$P34,if(DC4='Quick Setup'!$Q$33,'Quick Setup'!$Q34,if(DC4='Quick Setup'!$R$33,'Quick Setup'!$R34,if(DC4='Quick Setup'!$S$33,'Quick Setup'!$S34,if(DC4='Quick Setup'!$T$33,'Quick Setup'!$T34,if(DC4='Quick Setup'!$U$33,'Quick Setup'!$U34,if(DC4='Quick Setup'!$V$33,'Quick Setup'!$V34,'2x'!DX5))))))))))))))))))))</f>
        <v>2</v>
      </c>
      <c r="DE4" s="22">
        <f>if(DC4='Quick Setup'!$C$47,'Quick Setup'!$C48,if(DC4='Quick Setup'!$D$47,'Quick Setup'!$D48,if(DC4='Quick Setup'!$E$47,'Quick Setup'!$E48,if(DC4='Quick Setup'!$F$47,'Quick Setup'!$F48,if(DC4='Quick Setup'!$G$47,'Quick Setup'!$G48,if(DC4='Quick Setup'!$H$47,'Quick Setup'!$H48,if(DC4='Quick Setup'!$I$47,'Quick Setup'!$I48,if(DC4='Quick Setup'!$J$47,'Quick Setup'!$J48,if(DC4='Quick Setup'!$K$47,'Quick Setup'!$K48,if(DC4='Quick Setup'!$L$47,'Quick Setup'!$L48,if(DC4='Quick Setup'!$M$47,'Quick Setup'!$M48,if(DC4='Quick Setup'!$N$47,'Quick Setup'!$N48,if(DC4='Quick Setup'!$O$47,'Quick Setup'!$O48,if(DC4='Quick Setup'!$P$47,'Quick Setup'!$P48,if(DC4='Quick Setup'!$Q$47,'Quick Setup'!$Q48,if(DC4='Quick Setup'!$R$47,'Quick Setup'!$R48,if(DC4='Quick Setup'!$S$47,'Quick Setup'!$S48,if(DC4='Quick Setup'!$T$47,'Quick Setup'!$T48,if(DC4='Quick Setup'!$U$47,'Quick Setup'!$U48,if(DC4='Quick Setup'!$V$47,'Quick Setup'!$V48,if(DC4='Quick Setup'!$W$47,'Quick Setup'!$W48)))))))))))))))))))))</f>
        <v>2</v>
      </c>
      <c r="DF4" s="22">
        <f t="shared" ref="DF4:DI4" si="15">CY4</f>
        <v>4</v>
      </c>
      <c r="DG4" s="22">
        <f t="shared" si="15"/>
        <v>6</v>
      </c>
      <c r="DH4" s="23">
        <f t="shared" si="15"/>
        <v>0.02</v>
      </c>
      <c r="DI4" s="23">
        <f t="shared" si="15"/>
        <v>-0.05</v>
      </c>
      <c r="DJ4" s="21">
        <f>'Quick Setup'!S61</f>
        <v>0.9</v>
      </c>
      <c r="DK4" s="24">
        <f>if(DJ4='Quick Setup'!$C$33,'Quick Setup'!$C34,if(DJ4='Quick Setup'!$D$33,'Quick Setup'!$D34,if(DJ4='Quick Setup'!$E$33,'Quick Setup'!$E34,if(DJ4='Quick Setup'!$F$33,'Quick Setup'!$F34,if(DJ4='Quick Setup'!$G$33,'Quick Setup'!$G34,if(DJ4='Quick Setup'!$H$33,'Quick Setup'!$H34,if(DJ4='Quick Setup'!$I$33,'Quick Setup'!$I34,if(DJ4='Quick Setup'!$J$33,'Quick Setup'!$J34,if(DJ4='Quick Setup'!$K$33,'Quick Setup'!$K34,if(DJ4='Quick Setup'!$L$33,'Quick Setup'!$L34,if(DJ4='Quick Setup'!$M$33,'Quick Setup'!$M34,if(DJ4='Quick Setup'!$N$33,'Quick Setup'!$N34,if(DJ4='Quick Setup'!$O$33,'Quick Setup'!$O34,if(DJ4='Quick Setup'!$P$33,'Quick Setup'!$P34,if(DJ4='Quick Setup'!$Q$33,'Quick Setup'!$Q34,if(DJ4='Quick Setup'!$R$33,'Quick Setup'!$R34,if(DJ4='Quick Setup'!$S$33,'Quick Setup'!$S34,if(DJ4='Quick Setup'!$T$33,'Quick Setup'!$T34,if(DJ4='Quick Setup'!$U$33,'Quick Setup'!$U34,if(DJ4='Quick Setup'!$V$33,'Quick Setup'!$V34,'2x'!EE5))))))))))))))))))))</f>
        <v>1</v>
      </c>
      <c r="DL4" s="22">
        <f>if(DJ4='Quick Setup'!$C$47,'Quick Setup'!$C48,if(DJ4='Quick Setup'!$D$47,'Quick Setup'!$D48,if(DJ4='Quick Setup'!$E$47,'Quick Setup'!$E48,if(DJ4='Quick Setup'!$F$47,'Quick Setup'!$F48,if(DJ4='Quick Setup'!$G$47,'Quick Setup'!$G48,if(DJ4='Quick Setup'!$H$47,'Quick Setup'!$H48,if(DJ4='Quick Setup'!$I$47,'Quick Setup'!$I48,if(DJ4='Quick Setup'!$J$47,'Quick Setup'!$J48,if(DJ4='Quick Setup'!$K$47,'Quick Setup'!$K48,if(DJ4='Quick Setup'!$L$47,'Quick Setup'!$L48,if(DJ4='Quick Setup'!$M$47,'Quick Setup'!$M48,if(DJ4='Quick Setup'!$N$47,'Quick Setup'!$N48,if(DJ4='Quick Setup'!$O$47,'Quick Setup'!$O48,if(DJ4='Quick Setup'!$P$47,'Quick Setup'!$P48,if(DJ4='Quick Setup'!$Q$47,'Quick Setup'!$Q48,if(DJ4='Quick Setup'!$R$47,'Quick Setup'!$R48,if(DJ4='Quick Setup'!$S$47,'Quick Setup'!$S48,if(DJ4='Quick Setup'!$T$47,'Quick Setup'!$T48,if(DJ4='Quick Setup'!$U$47,'Quick Setup'!$U48,if(DJ4='Quick Setup'!$V$47,'Quick Setup'!$V48,if(DJ4='Quick Setup'!$W$47,'Quick Setup'!$W48)))))))))))))))))))))</f>
        <v>1</v>
      </c>
      <c r="DM4" s="22">
        <f t="shared" ref="DM4:DP4" si="16">DF4</f>
        <v>4</v>
      </c>
      <c r="DN4" s="22">
        <f t="shared" si="16"/>
        <v>6</v>
      </c>
      <c r="DO4" s="23">
        <f t="shared" si="16"/>
        <v>0.02</v>
      </c>
      <c r="DP4" s="23">
        <f t="shared" si="16"/>
        <v>-0.05</v>
      </c>
      <c r="DQ4" s="21">
        <f>'Quick Setup'!T61</f>
        <v>0.85</v>
      </c>
      <c r="DR4" s="24">
        <f>if(DQ4='Quick Setup'!$C$33,'Quick Setup'!$C34,if(DQ4='Quick Setup'!$D$33,'Quick Setup'!$D34,if(DQ4='Quick Setup'!$E$33,'Quick Setup'!$E34,if(DQ4='Quick Setup'!$F$33,'Quick Setup'!$F34,if(DQ4='Quick Setup'!$G$33,'Quick Setup'!$G34,if(DQ4='Quick Setup'!$H$33,'Quick Setup'!$H34,if(DQ4='Quick Setup'!$I$33,'Quick Setup'!$I34,if(DQ4='Quick Setup'!$J$33,'Quick Setup'!$J34,if(DQ4='Quick Setup'!$K$33,'Quick Setup'!$K34,if(DQ4='Quick Setup'!$L$33,'Quick Setup'!$L34,if(DQ4='Quick Setup'!$M$33,'Quick Setup'!$M34,if(DQ4='Quick Setup'!$N$33,'Quick Setup'!$N34,if(DQ4='Quick Setup'!$O$33,'Quick Setup'!$O34,if(DQ4='Quick Setup'!$P$33,'Quick Setup'!$P34,if(DQ4='Quick Setup'!$Q$33,'Quick Setup'!$Q34,if(DQ4='Quick Setup'!$R$33,'Quick Setup'!$R34,if(DQ4='Quick Setup'!$S$33,'Quick Setup'!$S34,if(DQ4='Quick Setup'!$T$33,'Quick Setup'!$T34,if(DQ4='Quick Setup'!$U$33,'Quick Setup'!$U34,if(DQ4='Quick Setup'!$V$33,'Quick Setup'!$V34,'2x'!EL5))))))))))))))))))))</f>
        <v>2</v>
      </c>
      <c r="DS4" s="22">
        <f>if(DQ4='Quick Setup'!$C$47,'Quick Setup'!$C48,if(DQ4='Quick Setup'!$D$47,'Quick Setup'!$D48,if(DQ4='Quick Setup'!$E$47,'Quick Setup'!$E48,if(DQ4='Quick Setup'!$F$47,'Quick Setup'!$F48,if(DQ4='Quick Setup'!$G$47,'Quick Setup'!$G48,if(DQ4='Quick Setup'!$H$47,'Quick Setup'!$H48,if(DQ4='Quick Setup'!$I$47,'Quick Setup'!$I48,if(DQ4='Quick Setup'!$J$47,'Quick Setup'!$J48,if(DQ4='Quick Setup'!$K$47,'Quick Setup'!$K48,if(DQ4='Quick Setup'!$L$47,'Quick Setup'!$L48,if(DQ4='Quick Setup'!$M$47,'Quick Setup'!$M48,if(DQ4='Quick Setup'!$N$47,'Quick Setup'!$N48,if(DQ4='Quick Setup'!$O$47,'Quick Setup'!$O48,if(DQ4='Quick Setup'!$P$47,'Quick Setup'!$P48,if(DQ4='Quick Setup'!$Q$47,'Quick Setup'!$Q48,if(DQ4='Quick Setup'!$R$47,'Quick Setup'!$R48,if(DQ4='Quick Setup'!$S$47,'Quick Setup'!$S48,if(DQ4='Quick Setup'!$T$47,'Quick Setup'!$T48,if(DQ4='Quick Setup'!$U$47,'Quick Setup'!$U48,if(DQ4='Quick Setup'!$V$47,'Quick Setup'!$V48,if(DQ4='Quick Setup'!$W$47,'Quick Setup'!$W48)))))))))))))))))))))</f>
        <v>2</v>
      </c>
      <c r="DT4" s="22">
        <f t="shared" ref="DT4:DW4" si="17">DM4</f>
        <v>4</v>
      </c>
      <c r="DU4" s="22">
        <f t="shared" si="17"/>
        <v>6</v>
      </c>
      <c r="DV4" s="23">
        <f t="shared" si="17"/>
        <v>0.02</v>
      </c>
      <c r="DW4" s="23">
        <f t="shared" si="17"/>
        <v>-0.05</v>
      </c>
      <c r="DX4" s="21">
        <f>'Quick Setup'!U61</f>
        <v>0.9</v>
      </c>
      <c r="DY4" s="24">
        <f>if(DX4='Quick Setup'!$C$33,'Quick Setup'!$C34,if(DX4='Quick Setup'!$D$33,'Quick Setup'!$D34,if(DX4='Quick Setup'!$E$33,'Quick Setup'!$E34,if(DX4='Quick Setup'!$F$33,'Quick Setup'!$F34,if(DX4='Quick Setup'!$G$33,'Quick Setup'!$G34,if(DX4='Quick Setup'!$H$33,'Quick Setup'!$H34,if(DX4='Quick Setup'!$I$33,'Quick Setup'!$I34,if(DX4='Quick Setup'!$J$33,'Quick Setup'!$J34,if(DX4='Quick Setup'!$K$33,'Quick Setup'!$K34,if(DX4='Quick Setup'!$L$33,'Quick Setup'!$L34,if(DX4='Quick Setup'!$M$33,'Quick Setup'!$M34,if(DX4='Quick Setup'!$N$33,'Quick Setup'!$N34,if(DX4='Quick Setup'!$O$33,'Quick Setup'!$O34,if(DX4='Quick Setup'!$P$33,'Quick Setup'!$P34,if(DX4='Quick Setup'!$Q$33,'Quick Setup'!$Q34,if(DX4='Quick Setup'!$R$33,'Quick Setup'!$R34,if(DX4='Quick Setup'!$S$33,'Quick Setup'!$S34,if(DX4='Quick Setup'!$T$33,'Quick Setup'!$T34,if(DX4='Quick Setup'!$U$33,'Quick Setup'!$U34,if(DX4='Quick Setup'!$V$33,'Quick Setup'!$V34,'2x'!ES5))))))))))))))))))))</f>
        <v>1</v>
      </c>
      <c r="DZ4" s="22">
        <f>if(DX4='Quick Setup'!$C$47,'Quick Setup'!$C48,if(DX4='Quick Setup'!$D$47,'Quick Setup'!$D48,if(DX4='Quick Setup'!$E$47,'Quick Setup'!$E48,if(DX4='Quick Setup'!$F$47,'Quick Setup'!$F48,if(DX4='Quick Setup'!$G$47,'Quick Setup'!$G48,if(DX4='Quick Setup'!$H$47,'Quick Setup'!$H48,if(DX4='Quick Setup'!$I$47,'Quick Setup'!$I48,if(DX4='Quick Setup'!$J$47,'Quick Setup'!$J48,if(DX4='Quick Setup'!$K$47,'Quick Setup'!$K48,if(DX4='Quick Setup'!$L$47,'Quick Setup'!$L48,if(DX4='Quick Setup'!$M$47,'Quick Setup'!$M48,if(DX4='Quick Setup'!$N$47,'Quick Setup'!$N48,if(DX4='Quick Setup'!$O$47,'Quick Setup'!$O48,if(DX4='Quick Setup'!$P$47,'Quick Setup'!$P48,if(DX4='Quick Setup'!$Q$47,'Quick Setup'!$Q48,if(DX4='Quick Setup'!$R$47,'Quick Setup'!$R48,if(DX4='Quick Setup'!$S$47,'Quick Setup'!$S48,if(DX4='Quick Setup'!$T$47,'Quick Setup'!$T48,if(DX4='Quick Setup'!$U$47,'Quick Setup'!$U48,if(DX4='Quick Setup'!$V$47,'Quick Setup'!$V48,if(DX4='Quick Setup'!$W$47,'Quick Setup'!$W48)))))))))))))))))))))</f>
        <v>1</v>
      </c>
      <c r="EA4" s="22">
        <f t="shared" ref="EA4:ED4" si="18">DT4</f>
        <v>4</v>
      </c>
      <c r="EB4" s="22">
        <f t="shared" si="18"/>
        <v>6</v>
      </c>
      <c r="EC4" s="23">
        <f t="shared" si="18"/>
        <v>0.02</v>
      </c>
      <c r="ED4" s="23">
        <f t="shared" si="18"/>
        <v>-0.05</v>
      </c>
      <c r="EE4" s="21">
        <f>'Quick Setup'!V61</f>
        <v>0.95</v>
      </c>
      <c r="EF4" s="24">
        <f>if(EE4='Quick Setup'!$C$33,'Quick Setup'!$C34,if(EE4='Quick Setup'!$D$33,'Quick Setup'!$D34,if(EE4='Quick Setup'!$E$33,'Quick Setup'!$E34,if(EE4='Quick Setup'!$F$33,'Quick Setup'!$F34,if(EE4='Quick Setup'!$G$33,'Quick Setup'!$G34,if(EE4='Quick Setup'!$H$33,'Quick Setup'!$H34,if(EE4='Quick Setup'!$I$33,'Quick Setup'!$I34,if(EE4='Quick Setup'!$J$33,'Quick Setup'!$J34,if(EE4='Quick Setup'!$K$33,'Quick Setup'!$K34,if(EE4='Quick Setup'!$L$33,'Quick Setup'!$L34,if(EE4='Quick Setup'!$M$33,'Quick Setup'!$M34,if(EE4='Quick Setup'!$N$33,'Quick Setup'!$N34,if(EE4='Quick Setup'!$O$33,'Quick Setup'!$O34,if(EE4='Quick Setup'!$P$33,'Quick Setup'!$P34,if(EE4='Quick Setup'!$Q$33,'Quick Setup'!$Q34,if(EE4='Quick Setup'!$R$33,'Quick Setup'!$R34,if(EE4='Quick Setup'!$S$33,'Quick Setup'!$S34,if(EE4='Quick Setup'!$T$33,'Quick Setup'!$T34,if(EE4='Quick Setup'!$U$33,'Quick Setup'!$U34,if(EE4='Quick Setup'!$V$33,'Quick Setup'!$V34,'2x'!EZ5))))))))))))))))))))</f>
        <v>1</v>
      </c>
      <c r="EG4" s="22">
        <f>if(EE4='Quick Setup'!$C$47,'Quick Setup'!$C48,if(EE4='Quick Setup'!$D$47,'Quick Setup'!$D48,if(EE4='Quick Setup'!$E$47,'Quick Setup'!$E48,if(EE4='Quick Setup'!$F$47,'Quick Setup'!$F48,if(EE4='Quick Setup'!$G$47,'Quick Setup'!$G48,if(EE4='Quick Setup'!$H$47,'Quick Setup'!$H48,if(EE4='Quick Setup'!$I$47,'Quick Setup'!$I48,if(EE4='Quick Setup'!$J$47,'Quick Setup'!$J48,if(EE4='Quick Setup'!$K$47,'Quick Setup'!$K48,if(EE4='Quick Setup'!$L$47,'Quick Setup'!$L48,if(EE4='Quick Setup'!$M$47,'Quick Setup'!$M48,if(EE4='Quick Setup'!$N$47,'Quick Setup'!$N48,if(EE4='Quick Setup'!$O$47,'Quick Setup'!$O48,if(EE4='Quick Setup'!$P$47,'Quick Setup'!$P48,if(EE4='Quick Setup'!$Q$47,'Quick Setup'!$Q48,if(EE4='Quick Setup'!$R$47,'Quick Setup'!$R48,if(EE4='Quick Setup'!$S$47,'Quick Setup'!$S48,if(EE4='Quick Setup'!$T$47,'Quick Setup'!$T48,if(EE4='Quick Setup'!$U$47,'Quick Setup'!$U48,if(EE4='Quick Setup'!$V$47,'Quick Setup'!$V48,if(EE4='Quick Setup'!$W$47,'Quick Setup'!$W48)))))))))))))))))))))</f>
        <v>1</v>
      </c>
      <c r="EH4" s="22">
        <f t="shared" ref="EH4:EK4" si="19">EA4</f>
        <v>4</v>
      </c>
      <c r="EI4" s="22">
        <f t="shared" si="19"/>
        <v>6</v>
      </c>
      <c r="EJ4" s="23">
        <f t="shared" si="19"/>
        <v>0.02</v>
      </c>
      <c r="EK4" s="23">
        <f t="shared" si="19"/>
        <v>-0.05</v>
      </c>
      <c r="EL4" s="21">
        <f>'Quick Setup'!W61</f>
        <v>0.6</v>
      </c>
      <c r="EM4" s="24">
        <f>if(EL4='Quick Setup'!$C$33,'Quick Setup'!$C34,if(EL4='Quick Setup'!$D$33,'Quick Setup'!$D34,if(EL4='Quick Setup'!$E$33,'Quick Setup'!$E34,if(EL4='Quick Setup'!$F$33,'Quick Setup'!$F34,if(EL4='Quick Setup'!$G$33,'Quick Setup'!$G34,if(EL4='Quick Setup'!$H$33,'Quick Setup'!$H34,if(EL4='Quick Setup'!$I$33,'Quick Setup'!$I34,if(EL4='Quick Setup'!$J$33,'Quick Setup'!$J34,if(EL4='Quick Setup'!$K$33,'Quick Setup'!$K34,if(EL4='Quick Setup'!$L$33,'Quick Setup'!$L34,if(EL4='Quick Setup'!$M$33,'Quick Setup'!$M34,if(EL4='Quick Setup'!$N$33,'Quick Setup'!$N34,if(EL4='Quick Setup'!$O$33,'Quick Setup'!$O34,if(EL4='Quick Setup'!$P$33,'Quick Setup'!$P34,if(EL4='Quick Setup'!$Q$33,'Quick Setup'!$Q34,if(EL4='Quick Setup'!$R$33,'Quick Setup'!$R34,if(EL4='Quick Setup'!$S$33,'Quick Setup'!$S34,if(EL4='Quick Setup'!$T$33,'Quick Setup'!$T34,if(EL4='Quick Setup'!$U$33,'Quick Setup'!$U34,if(EL4='Quick Setup'!$V$33,'Quick Setup'!$V34,'2x'!FG5))))))))))))))))))))</f>
        <v>7</v>
      </c>
      <c r="EN4" s="22">
        <f>if(EL4='Quick Setup'!$C$47,'Quick Setup'!$C48,if(EL4='Quick Setup'!$D$47,'Quick Setup'!$D48,if(EL4='Quick Setup'!$E$47,'Quick Setup'!$E48,if(EL4='Quick Setup'!$F$47,'Quick Setup'!$F48,if(EL4='Quick Setup'!$G$47,'Quick Setup'!$G48,if(EL4='Quick Setup'!$H$47,'Quick Setup'!$H48,if(EL4='Quick Setup'!$I$47,'Quick Setup'!$I48,if(EL4='Quick Setup'!$J$47,'Quick Setup'!$J48,if(EL4='Quick Setup'!$K$47,'Quick Setup'!$K48,if(EL4='Quick Setup'!$L$47,'Quick Setup'!$L48,if(EL4='Quick Setup'!$M$47,'Quick Setup'!$M48,if(EL4='Quick Setup'!$N$47,'Quick Setup'!$N48,if(EL4='Quick Setup'!$O$47,'Quick Setup'!$O48,if(EL4='Quick Setup'!$P$47,'Quick Setup'!$P48,if(EL4='Quick Setup'!$Q$47,'Quick Setup'!$Q48,if(EL4='Quick Setup'!$R$47,'Quick Setup'!$R48,if(EL4='Quick Setup'!$S$47,'Quick Setup'!$S48,if(EL4='Quick Setup'!$T$47,'Quick Setup'!$T48,if(EL4='Quick Setup'!$U$47,'Quick Setup'!$U48,if(EL4='Quick Setup'!$V$47,'Quick Setup'!$V48,if(EL4='Quick Setup'!$W$47,'Quick Setup'!$W48)))))))))))))))))))))</f>
        <v>4</v>
      </c>
      <c r="EO4" s="22">
        <f t="shared" ref="EO4:ER4" si="20">EH4</f>
        <v>4</v>
      </c>
      <c r="EP4" s="22">
        <f t="shared" si="20"/>
        <v>6</v>
      </c>
      <c r="EQ4" s="23">
        <f t="shared" si="20"/>
        <v>0.02</v>
      </c>
      <c r="ER4" s="23">
        <f t="shared" si="20"/>
        <v>-0.05</v>
      </c>
    </row>
    <row r="5">
      <c r="A5" t="str">
        <f>'Quick Setup'!C6</f>
        <v>Bench Press</v>
      </c>
      <c r="B5" s="21">
        <f>'Quick Setup'!C62</f>
        <v>0.7</v>
      </c>
      <c r="C5" s="22">
        <f>if(B5='Quick Setup'!$C$33,'Quick Setup'!$C35,if(B5='Quick Setup'!$D$33,'Quick Setup'!$D35,if(B5='Quick Setup'!$E$33,'Quick Setup'!$E35,if(B5='Quick Setup'!$F$33,'Quick Setup'!$F35,if(B5='Quick Setup'!$G$33,'Quick Setup'!$G35,if(B5='Quick Setup'!$H$33,'Quick Setup'!$H35,if(B5='Quick Setup'!$I$33,'Quick Setup'!$I35,if(B5='Quick Setup'!$J$33,'Quick Setup'!$J35,if(B5='Quick Setup'!$K$33,'Quick Setup'!$K35,if(B5='Quick Setup'!$L$33,'Quick Setup'!$L35,if(B5='Quick Setup'!$M$33,'Quick Setup'!$M35,if(B5='Quick Setup'!$N$33,'Quick Setup'!$N35,if(B5='Quick Setup'!$O$33,'Quick Setup'!$O35,if(B5='Quick Setup'!$P$33,'Quick Setup'!$P35,if(B5='Quick Setup'!$Q$33,'Quick Setup'!$Q35,if(B5='Quick Setup'!$R$33,'Quick Setup'!$R35,if(B5='Quick Setup'!$S$33,'Quick Setup'!$S35,if(B5='Quick Setup'!$T$33,'Quick Setup'!$T35,if(B5='Quick Setup'!$U$33,'Quick Setup'!$U35,if(B5='Quick Setup'!$V$33,'Quick Setup'!$V35,'Quick Setup'!W35))))))))))))))))))))</f>
        <v>5</v>
      </c>
      <c r="D5" s="22">
        <f>if(B5='Quick Setup'!$C$47,'Quick Setup'!$C49,if(B5='Quick Setup'!$D$47,'Quick Setup'!$D49,if(B5='Quick Setup'!$E$47,'Quick Setup'!$E49,if(B5='Quick Setup'!$F$47,'Quick Setup'!$F49,if(B5='Quick Setup'!$G$47,'Quick Setup'!$G49,if(B5='Quick Setup'!$H$47,'Quick Setup'!$H49,if(B5='Quick Setup'!$I$47,'Quick Setup'!$I49,if(B5='Quick Setup'!$J$47,'Quick Setup'!$J49,if(B5='Quick Setup'!$K$47,'Quick Setup'!$K49,if(B5='Quick Setup'!$L$47,'Quick Setup'!$L49,if(B5='Quick Setup'!$M$47,'Quick Setup'!$M49,if(B5='Quick Setup'!$N$47,'Quick Setup'!$N49,if(B5='Quick Setup'!$O$47,'Quick Setup'!$O49,if(B5='Quick Setup'!$P$47,'Quick Setup'!$P49,if(B5='Quick Setup'!$Q$47,'Quick Setup'!$Q49,if(B5='Quick Setup'!$R$47,'Quick Setup'!$R49,if(B5='Quick Setup'!$S$47,'Quick Setup'!$S49,if(B5='Quick Setup'!$T$47,'Quick Setup'!$T49,if(B5='Quick Setup'!$U$47,'Quick Setup'!$U49,if(B5='Quick Setup'!$V$47,'Quick Setup'!$V49,if(B5='Quick Setup'!$W$47,'Quick Setup'!$W49)))))))))))))))))))))</f>
        <v>3</v>
      </c>
      <c r="E5" s="22">
        <f>'Quick Setup'!H7</f>
        <v>4</v>
      </c>
      <c r="F5" s="22">
        <f>'Quick Setup'!I7</f>
        <v>6</v>
      </c>
      <c r="G5" s="23">
        <f>'Quick Setup'!J7</f>
        <v>0.02</v>
      </c>
      <c r="H5" s="23">
        <f>'Quick Setup'!K7</f>
        <v>-0.05</v>
      </c>
      <c r="I5" s="21">
        <f>'Quick Setup'!D62</f>
        <v>0.75</v>
      </c>
      <c r="J5" s="22">
        <f>if(I5='Quick Setup'!$C$33,'Quick Setup'!$C35,if(I5='Quick Setup'!$D$33,'Quick Setup'!$D35,if(I5='Quick Setup'!$E$33,'Quick Setup'!$E35,if(I5='Quick Setup'!$F$33,'Quick Setup'!$F35,if(I5='Quick Setup'!$G$33,'Quick Setup'!$G35,if(I5='Quick Setup'!$H$33,'Quick Setup'!$H35,if(I5='Quick Setup'!$I$33,'Quick Setup'!$I35,if(I5='Quick Setup'!$J$33,'Quick Setup'!$J35,if(I5='Quick Setup'!$K$33,'Quick Setup'!$K35,if(I5='Quick Setup'!$L$33,'Quick Setup'!$L35,if(I5='Quick Setup'!$M$33,'Quick Setup'!$M35,if(I5='Quick Setup'!$N$33,'Quick Setup'!$N35,if(I5='Quick Setup'!$O$33,'Quick Setup'!$O35,if(I5='Quick Setup'!$P$33,'Quick Setup'!$P35,if(I5='Quick Setup'!$Q$33,'Quick Setup'!$Q35,if(I5='Quick Setup'!$R$33,'Quick Setup'!$R35,if(I5='Quick Setup'!$S$33,'Quick Setup'!$S35,if(I5='Quick Setup'!$T$33,'Quick Setup'!$T35,if(I5='Quick Setup'!$U$33,'Quick Setup'!$U35,if(I5='Quick Setup'!$V$33,'Quick Setup'!$V35,'2x'!AD6))))))))))))))))))))</f>
        <v>4</v>
      </c>
      <c r="K5" s="22">
        <f>if(I5='Quick Setup'!$C$47,'Quick Setup'!$C49,if(I5='Quick Setup'!$D$47,'Quick Setup'!$D49,if(I5='Quick Setup'!$E$47,'Quick Setup'!$E49,if(I5='Quick Setup'!$F$47,'Quick Setup'!$F49,if(I5='Quick Setup'!$G$47,'Quick Setup'!$G49,if(I5='Quick Setup'!$H$47,'Quick Setup'!$H49,if(I5='Quick Setup'!$I$47,'Quick Setup'!$I49,if(I5='Quick Setup'!$J$47,'Quick Setup'!$J49,if(I5='Quick Setup'!$K$47,'Quick Setup'!$K49,if(I5='Quick Setup'!$L$47,'Quick Setup'!$L49,if(I5='Quick Setup'!$M$47,'Quick Setup'!$M49,if(I5='Quick Setup'!$N$47,'Quick Setup'!$N49,if(I5='Quick Setup'!$O$47,'Quick Setup'!$O49,if(I5='Quick Setup'!$P$47,'Quick Setup'!$P49,if(I5='Quick Setup'!$Q$47,'Quick Setup'!$Q49,if(I5='Quick Setup'!$R$47,'Quick Setup'!$R49,if(I5='Quick Setup'!$S$47,'Quick Setup'!$S49,if(I5='Quick Setup'!$T$47,'Quick Setup'!$T49,if(I5='Quick Setup'!$U$47,'Quick Setup'!$U49,if(I5='Quick Setup'!$V$47,'Quick Setup'!$V49,if(I5='Quick Setup'!$W$47,'Quick Setup'!$W49)))))))))))))))))))))</f>
        <v>3</v>
      </c>
      <c r="L5" s="22">
        <f t="shared" ref="L5:O5" si="21">E5</f>
        <v>4</v>
      </c>
      <c r="M5" s="22">
        <f t="shared" si="21"/>
        <v>6</v>
      </c>
      <c r="N5" s="23">
        <f t="shared" si="21"/>
        <v>0.02</v>
      </c>
      <c r="O5" s="23">
        <f t="shared" si="21"/>
        <v>-0.05</v>
      </c>
      <c r="P5" s="21">
        <f>'Quick Setup'!E62</f>
        <v>0.8</v>
      </c>
      <c r="Q5" s="24">
        <f>if(P5='Quick Setup'!$C$33,'Quick Setup'!$C35,if(P5='Quick Setup'!$D$33,'Quick Setup'!$D35,if(P5='Quick Setup'!$E$33,'Quick Setup'!$E35,if(P5='Quick Setup'!$F$33,'Quick Setup'!$F35,if(P5='Quick Setup'!$G$33,'Quick Setup'!$G35,if(P5='Quick Setup'!$H$33,'Quick Setup'!$H35,if(P5='Quick Setup'!$I$33,'Quick Setup'!$I35,if(P5='Quick Setup'!$J$33,'Quick Setup'!$J35,if(P5='Quick Setup'!$K$33,'Quick Setup'!$K35,if(P5='Quick Setup'!$L$33,'Quick Setup'!$L35,if(P5='Quick Setup'!$M$33,'Quick Setup'!$M35,if(P5='Quick Setup'!$N$33,'Quick Setup'!$N35,if(P5='Quick Setup'!$O$33,'Quick Setup'!$O35,if(P5='Quick Setup'!$P$33,'Quick Setup'!$P35,if(P5='Quick Setup'!$Q$33,'Quick Setup'!$Q35,if(P5='Quick Setup'!$R$33,'Quick Setup'!$R35,if(P5='Quick Setup'!$S$33,'Quick Setup'!$S35,if(P5='Quick Setup'!$T$33,'Quick Setup'!$T35,if(P5='Quick Setup'!$U$33,'Quick Setup'!$U35,if(P5='Quick Setup'!$V$33,'Quick Setup'!$V35,'2x'!AK6))))))))))))))))))))</f>
        <v>3</v>
      </c>
      <c r="R5" s="22">
        <f>if(P5='Quick Setup'!$C$47,'Quick Setup'!$C49,if(P5='Quick Setup'!$D$47,'Quick Setup'!$D49,if(P5='Quick Setup'!$E$47,'Quick Setup'!$E49,if(P5='Quick Setup'!$F$47,'Quick Setup'!$F49,if(P5='Quick Setup'!$G$47,'Quick Setup'!$G49,if(P5='Quick Setup'!$H$47,'Quick Setup'!$H49,if(P5='Quick Setup'!$I$47,'Quick Setup'!$I49,if(P5='Quick Setup'!$J$47,'Quick Setup'!$J49,if(P5='Quick Setup'!$K$47,'Quick Setup'!$K49,if(P5='Quick Setup'!$L$47,'Quick Setup'!$L49,if(P5='Quick Setup'!$M$47,'Quick Setup'!$M49,if(P5='Quick Setup'!$N$47,'Quick Setup'!$N49,if(P5='Quick Setup'!$O$47,'Quick Setup'!$O49,if(P5='Quick Setup'!$P$47,'Quick Setup'!$P49,if(P5='Quick Setup'!$Q$47,'Quick Setup'!$Q49,if(P5='Quick Setup'!$R$47,'Quick Setup'!$R49,if(P5='Quick Setup'!$S$47,'Quick Setup'!$S49,if(P5='Quick Setup'!$T$47,'Quick Setup'!$T49,if(P5='Quick Setup'!$U$47,'Quick Setup'!$U49,if(P5='Quick Setup'!$V$47,'Quick Setup'!$V49,if(P5='Quick Setup'!$W$47,'Quick Setup'!$W49)))))))))))))))))))))</f>
        <v>2</v>
      </c>
      <c r="S5" s="22">
        <f t="shared" ref="S5:V5" si="22">L5</f>
        <v>4</v>
      </c>
      <c r="T5" s="22">
        <f t="shared" si="22"/>
        <v>6</v>
      </c>
      <c r="U5" s="23">
        <f t="shared" si="22"/>
        <v>0.02</v>
      </c>
      <c r="V5" s="23">
        <f t="shared" si="22"/>
        <v>-0.05</v>
      </c>
      <c r="W5" s="21">
        <f>'Quick Setup'!F62</f>
        <v>0.725</v>
      </c>
      <c r="X5" s="24">
        <f>if(W5='Quick Setup'!$C$33,'Quick Setup'!$C35,if(W5='Quick Setup'!$D$33,'Quick Setup'!$D35,if(W5='Quick Setup'!$E$33,'Quick Setup'!$E35,if(W5='Quick Setup'!$F$33,'Quick Setup'!$F35,if(W5='Quick Setup'!$G$33,'Quick Setup'!$G35,if(W5='Quick Setup'!$H$33,'Quick Setup'!$H35,if(W5='Quick Setup'!$I$33,'Quick Setup'!$I35,if(W5='Quick Setup'!$J$33,'Quick Setup'!$J35,if(W5='Quick Setup'!$K$33,'Quick Setup'!$K35,if(W5='Quick Setup'!$L$33,'Quick Setup'!$L35,if(W5='Quick Setup'!$M$33,'Quick Setup'!$M35,if(W5='Quick Setup'!$N$33,'Quick Setup'!$N35,if(W5='Quick Setup'!$O$33,'Quick Setup'!$O35,if(W5='Quick Setup'!$P$33,'Quick Setup'!$P35,if(W5='Quick Setup'!$Q$33,'Quick Setup'!$Q35,if(W5='Quick Setup'!$R$33,'Quick Setup'!$R35,if(W5='Quick Setup'!$S$33,'Quick Setup'!$S35,if(W5='Quick Setup'!$T$33,'Quick Setup'!$T35,if(W5='Quick Setup'!$U$33,'Quick Setup'!$U35,if(W5='Quick Setup'!$V$33,'Quick Setup'!$V35,'2x'!AR6))))))))))))))))))))</f>
        <v>5</v>
      </c>
      <c r="Y5" s="22">
        <f>if(W5='Quick Setup'!$C$47,'Quick Setup'!$C49,if(W5='Quick Setup'!$D$47,'Quick Setup'!$D49,if(W5='Quick Setup'!$E$47,'Quick Setup'!$E49,if(W5='Quick Setup'!$F$47,'Quick Setup'!$F49,if(W5='Quick Setup'!$G$47,'Quick Setup'!$G49,if(W5='Quick Setup'!$H$47,'Quick Setup'!$H49,if(W5='Quick Setup'!$I$47,'Quick Setup'!$I49,if(W5='Quick Setup'!$J$47,'Quick Setup'!$J49,if(W5='Quick Setup'!$K$47,'Quick Setup'!$K49,if(W5='Quick Setup'!$L$47,'Quick Setup'!$L49,if(W5='Quick Setup'!$M$47,'Quick Setup'!$M49,if(W5='Quick Setup'!$N$47,'Quick Setup'!$N49,if(W5='Quick Setup'!$O$47,'Quick Setup'!$O49,if(W5='Quick Setup'!$P$47,'Quick Setup'!$P49,if(W5='Quick Setup'!$Q$47,'Quick Setup'!$Q49,if(W5='Quick Setup'!$R$47,'Quick Setup'!$R49,if(W5='Quick Setup'!$S$47,'Quick Setup'!$S49,if(W5='Quick Setup'!$T$47,'Quick Setup'!$T49,if(W5='Quick Setup'!$U$47,'Quick Setup'!$U49,if(W5='Quick Setup'!$V$47,'Quick Setup'!$V49,if(W5='Quick Setup'!$W$47,'Quick Setup'!$W49)))))))))))))))))))))</f>
        <v>3</v>
      </c>
      <c r="Z5" s="22">
        <f t="shared" ref="Z5:AC5" si="23">S5</f>
        <v>4</v>
      </c>
      <c r="AA5" s="22">
        <f t="shared" si="23"/>
        <v>6</v>
      </c>
      <c r="AB5" s="23">
        <f t="shared" si="23"/>
        <v>0.02</v>
      </c>
      <c r="AC5" s="23">
        <f t="shared" si="23"/>
        <v>-0.05</v>
      </c>
      <c r="AD5" s="21">
        <f>'Quick Setup'!G62</f>
        <v>0.775</v>
      </c>
      <c r="AE5" s="24">
        <f>if(AD5='Quick Setup'!$C$33,'Quick Setup'!$C35,if(AD5='Quick Setup'!$D$33,'Quick Setup'!$D35,if(AD5='Quick Setup'!$E$33,'Quick Setup'!$E35,if(AD5='Quick Setup'!$F$33,'Quick Setup'!$F35,if(AD5='Quick Setup'!$G$33,'Quick Setup'!$G35,if(AD5='Quick Setup'!$H$33,'Quick Setup'!$H35,if(AD5='Quick Setup'!$I$33,'Quick Setup'!$I35,if(AD5='Quick Setup'!$J$33,'Quick Setup'!$J35,if(AD5='Quick Setup'!$K$33,'Quick Setup'!$K35,if(AD5='Quick Setup'!$L$33,'Quick Setup'!$L35,if(AD5='Quick Setup'!$M$33,'Quick Setup'!$M35,if(AD5='Quick Setup'!$N$33,'Quick Setup'!$N35,if(AD5='Quick Setup'!$O$33,'Quick Setup'!$O35,if(AD5='Quick Setup'!$P$33,'Quick Setup'!$P35,if(AD5='Quick Setup'!$Q$33,'Quick Setup'!$Q35,if(AD5='Quick Setup'!$R$33,'Quick Setup'!$R35,if(AD5='Quick Setup'!$S$33,'Quick Setup'!$S35,if(AD5='Quick Setup'!$T$33,'Quick Setup'!$T35,if(AD5='Quick Setup'!$U$33,'Quick Setup'!$U35,if(AD5='Quick Setup'!$V$33,'Quick Setup'!$V35,'2x'!AY6))))))))))))))))))))</f>
        <v>4</v>
      </c>
      <c r="AF5" s="22">
        <f>if(AD5='Quick Setup'!$C$47,'Quick Setup'!$C49,if(AD5='Quick Setup'!$D$47,'Quick Setup'!$D49,if(AD5='Quick Setup'!$E$47,'Quick Setup'!$E49,if(AD5='Quick Setup'!$F$47,'Quick Setup'!$F49,if(AD5='Quick Setup'!$G$47,'Quick Setup'!$G49,if(AD5='Quick Setup'!$H$47,'Quick Setup'!$H49,if(AD5='Quick Setup'!$I$47,'Quick Setup'!$I49,if(AD5='Quick Setup'!$J$47,'Quick Setup'!$J49,if(AD5='Quick Setup'!$K$47,'Quick Setup'!$K49,if(AD5='Quick Setup'!$L$47,'Quick Setup'!$L49,if(AD5='Quick Setup'!$M$47,'Quick Setup'!$M49,if(AD5='Quick Setup'!$N$47,'Quick Setup'!$N49,if(AD5='Quick Setup'!$O$47,'Quick Setup'!$O49,if(AD5='Quick Setup'!$P$47,'Quick Setup'!$P49,if(AD5='Quick Setup'!$Q$47,'Quick Setup'!$Q49,if(AD5='Quick Setup'!$R$47,'Quick Setup'!$R49,if(AD5='Quick Setup'!$S$47,'Quick Setup'!$S49,if(AD5='Quick Setup'!$T$47,'Quick Setup'!$T49,if(AD5='Quick Setup'!$U$47,'Quick Setup'!$U49,if(AD5='Quick Setup'!$V$47,'Quick Setup'!$V49,if(AD5='Quick Setup'!$W$47,'Quick Setup'!$W49)))))))))))))))))))))</f>
        <v>3</v>
      </c>
      <c r="AG5" s="22">
        <f t="shared" ref="AG5:AJ5" si="24">Z5</f>
        <v>4</v>
      </c>
      <c r="AH5" s="22">
        <f t="shared" si="24"/>
        <v>6</v>
      </c>
      <c r="AI5" s="23">
        <f t="shared" si="24"/>
        <v>0.02</v>
      </c>
      <c r="AJ5" s="23">
        <f t="shared" si="24"/>
        <v>-0.05</v>
      </c>
      <c r="AK5" s="21">
        <f>'Quick Setup'!H62</f>
        <v>0.825</v>
      </c>
      <c r="AL5" s="24">
        <f>if(AK5='Quick Setup'!$C$33,'Quick Setup'!$C35,if(AK5='Quick Setup'!$D$33,'Quick Setup'!$D35,if(AK5='Quick Setup'!$E$33,'Quick Setup'!$E35,if(AK5='Quick Setup'!$F$33,'Quick Setup'!$F35,if(AK5='Quick Setup'!$G$33,'Quick Setup'!$G35,if(AK5='Quick Setup'!$H$33,'Quick Setup'!$H35,if(AK5='Quick Setup'!$I$33,'Quick Setup'!$I35,if(AK5='Quick Setup'!$J$33,'Quick Setup'!$J35,if(AK5='Quick Setup'!$K$33,'Quick Setup'!$K35,if(AK5='Quick Setup'!$L$33,'Quick Setup'!$L35,if(AK5='Quick Setup'!$M$33,'Quick Setup'!$M35,if(AK5='Quick Setup'!$N$33,'Quick Setup'!$N35,if(AK5='Quick Setup'!$O$33,'Quick Setup'!$O35,if(AK5='Quick Setup'!$P$33,'Quick Setup'!$P35,if(AK5='Quick Setup'!$Q$33,'Quick Setup'!$Q35,if(AK5='Quick Setup'!$R$33,'Quick Setup'!$R35,if(AK5='Quick Setup'!$S$33,'Quick Setup'!$S35,if(AK5='Quick Setup'!$T$33,'Quick Setup'!$T35,if(AK5='Quick Setup'!$U$33,'Quick Setup'!$U35,if(AK5='Quick Setup'!$V$33,'Quick Setup'!$V35,'2x'!BF6))))))))))))))))))))</f>
        <v>3</v>
      </c>
      <c r="AM5" s="22">
        <f>if(AK5='Quick Setup'!$C$47,'Quick Setup'!$C49,if(AK5='Quick Setup'!$D$47,'Quick Setup'!$D49,if(AK5='Quick Setup'!$E$47,'Quick Setup'!$E49,if(AK5='Quick Setup'!$F$47,'Quick Setup'!$F49,if(AK5='Quick Setup'!$G$47,'Quick Setup'!$G49,if(AK5='Quick Setup'!$H$47,'Quick Setup'!$H49,if(AK5='Quick Setup'!$I$47,'Quick Setup'!$I49,if(AK5='Quick Setup'!$J$47,'Quick Setup'!$J49,if(AK5='Quick Setup'!$K$47,'Quick Setup'!$K49,if(AK5='Quick Setup'!$L$47,'Quick Setup'!$L49,if(AK5='Quick Setup'!$M$47,'Quick Setup'!$M49,if(AK5='Quick Setup'!$N$47,'Quick Setup'!$N49,if(AK5='Quick Setup'!$O$47,'Quick Setup'!$O49,if(AK5='Quick Setup'!$P$47,'Quick Setup'!$P49,if(AK5='Quick Setup'!$Q$47,'Quick Setup'!$Q49,if(AK5='Quick Setup'!$R$47,'Quick Setup'!$R49,if(AK5='Quick Setup'!$S$47,'Quick Setup'!$S49,if(AK5='Quick Setup'!$T$47,'Quick Setup'!$T49,if(AK5='Quick Setup'!$U$47,'Quick Setup'!$U49,if(AK5='Quick Setup'!$V$47,'Quick Setup'!$V49,if(AK5='Quick Setup'!$W$47,'Quick Setup'!$W49)))))))))))))))))))))</f>
        <v>2</v>
      </c>
      <c r="AN5" s="22">
        <f t="shared" ref="AN5:AQ5" si="25">AG5</f>
        <v>4</v>
      </c>
      <c r="AO5" s="22">
        <f t="shared" si="25"/>
        <v>6</v>
      </c>
      <c r="AP5" s="23">
        <f t="shared" si="25"/>
        <v>0.02</v>
      </c>
      <c r="AQ5" s="23">
        <f t="shared" si="25"/>
        <v>-0.05</v>
      </c>
      <c r="AR5" s="21">
        <f>'Quick Setup'!I62</f>
        <v>0.6</v>
      </c>
      <c r="AS5" s="24">
        <f>if(AR5='Quick Setup'!$C$33,'Quick Setup'!$C35,if(AR5='Quick Setup'!$D$33,'Quick Setup'!$D35,if(AR5='Quick Setup'!$E$33,'Quick Setup'!$E35,if(AR5='Quick Setup'!$F$33,'Quick Setup'!$F35,if(AR5='Quick Setup'!$G$33,'Quick Setup'!$G35,if(AR5='Quick Setup'!$H$33,'Quick Setup'!$H35,if(AR5='Quick Setup'!$I$33,'Quick Setup'!$I35,if(AR5='Quick Setup'!$J$33,'Quick Setup'!$J35,if(AR5='Quick Setup'!$K$33,'Quick Setup'!$K35,if(AR5='Quick Setup'!$L$33,'Quick Setup'!$L35,if(AR5='Quick Setup'!$M$33,'Quick Setup'!$M35,if(AR5='Quick Setup'!$N$33,'Quick Setup'!$N35,if(AR5='Quick Setup'!$O$33,'Quick Setup'!$O35,if(AR5='Quick Setup'!$P$33,'Quick Setup'!$P35,if(AR5='Quick Setup'!$Q$33,'Quick Setup'!$Q35,if(AR5='Quick Setup'!$R$33,'Quick Setup'!$R35,if(AR5='Quick Setup'!$S$33,'Quick Setup'!$S35,if(AR5='Quick Setup'!$T$33,'Quick Setup'!$T35,if(AR5='Quick Setup'!$U$33,'Quick Setup'!$U35,if(AR5='Quick Setup'!$V$33,'Quick Setup'!$V35,'2x'!BM6))))))))))))))))))))</f>
        <v>7</v>
      </c>
      <c r="AT5" s="22">
        <f>if(AR5='Quick Setup'!$C$47,'Quick Setup'!$C49,if(AR5='Quick Setup'!$D$47,'Quick Setup'!$D49,if(AR5='Quick Setup'!$E$47,'Quick Setup'!$E49,if(AR5='Quick Setup'!$F$47,'Quick Setup'!$F49,if(AR5='Quick Setup'!$G$47,'Quick Setup'!$G49,if(AR5='Quick Setup'!$H$47,'Quick Setup'!$H49,if(AR5='Quick Setup'!$I$47,'Quick Setup'!$I49,if(AR5='Quick Setup'!$J$47,'Quick Setup'!$J49,if(AR5='Quick Setup'!$K$47,'Quick Setup'!$K49,if(AR5='Quick Setup'!$L$47,'Quick Setup'!$L49,if(AR5='Quick Setup'!$M$47,'Quick Setup'!$M49,if(AR5='Quick Setup'!$N$47,'Quick Setup'!$N49,if(AR5='Quick Setup'!$O$47,'Quick Setup'!$O49,if(AR5='Quick Setup'!$P$47,'Quick Setup'!$P49,if(AR5='Quick Setup'!$Q$47,'Quick Setup'!$Q49,if(AR5='Quick Setup'!$R$47,'Quick Setup'!$R49,if(AR5='Quick Setup'!$S$47,'Quick Setup'!$S49,if(AR5='Quick Setup'!$T$47,'Quick Setup'!$T49,if(AR5='Quick Setup'!$U$47,'Quick Setup'!$U49,if(AR5='Quick Setup'!$V$47,'Quick Setup'!$V49,if(AR5='Quick Setup'!$W$47,'Quick Setup'!$W49)))))))))))))))))))))</f>
        <v>4</v>
      </c>
      <c r="AU5" s="22">
        <f t="shared" ref="AU5:AX5" si="26">AN5</f>
        <v>4</v>
      </c>
      <c r="AV5" s="22">
        <f t="shared" si="26"/>
        <v>6</v>
      </c>
      <c r="AW5" s="23">
        <f t="shared" si="26"/>
        <v>0.02</v>
      </c>
      <c r="AX5" s="23">
        <f t="shared" si="26"/>
        <v>-0.05</v>
      </c>
      <c r="AY5" s="21">
        <f>'Quick Setup'!J62</f>
        <v>0.75</v>
      </c>
      <c r="AZ5" s="24">
        <f>if(AY5='Quick Setup'!$C$33,'Quick Setup'!$C35,if(AY5='Quick Setup'!$D$33,'Quick Setup'!$D35,if(AY5='Quick Setup'!$E$33,'Quick Setup'!$E35,if(AY5='Quick Setup'!$F$33,'Quick Setup'!$F35,if(AY5='Quick Setup'!$G$33,'Quick Setup'!$G35,if(AY5='Quick Setup'!$H$33,'Quick Setup'!$H35,if(AY5='Quick Setup'!$I$33,'Quick Setup'!$I35,if(AY5='Quick Setup'!$J$33,'Quick Setup'!$J35,if(AY5='Quick Setup'!$K$33,'Quick Setup'!$K35,if(AY5='Quick Setup'!$L$33,'Quick Setup'!$L35,if(AY5='Quick Setup'!$M$33,'Quick Setup'!$M35,if(AY5='Quick Setup'!$N$33,'Quick Setup'!$N35,if(AY5='Quick Setup'!$O$33,'Quick Setup'!$O35,if(AY5='Quick Setup'!$P$33,'Quick Setup'!$P35,if(AY5='Quick Setup'!$Q$33,'Quick Setup'!$Q35,if(AY5='Quick Setup'!$R$33,'Quick Setup'!$R35,if(AY5='Quick Setup'!$S$33,'Quick Setup'!$S35,if(AY5='Quick Setup'!$T$33,'Quick Setup'!$T35,if(AY5='Quick Setup'!$U$33,'Quick Setup'!$U35,if(AY5='Quick Setup'!$V$33,'Quick Setup'!$V35,'2x'!BT6))))))))))))))))))))</f>
        <v>4</v>
      </c>
      <c r="BA5" s="22">
        <f>if(AY5='Quick Setup'!$C$47,'Quick Setup'!$C49,if(AY5='Quick Setup'!$D$47,'Quick Setup'!$D49,if(AY5='Quick Setup'!$E$47,'Quick Setup'!$E49,if(AY5='Quick Setup'!$F$47,'Quick Setup'!$F49,if(AY5='Quick Setup'!$G$47,'Quick Setup'!$G49,if(AY5='Quick Setup'!$H$47,'Quick Setup'!$H49,if(AY5='Quick Setup'!$I$47,'Quick Setup'!$I49,if(AY5='Quick Setup'!$J$47,'Quick Setup'!$J49,if(AY5='Quick Setup'!$K$47,'Quick Setup'!$K49,if(AY5='Quick Setup'!$L$47,'Quick Setup'!$L49,if(AY5='Quick Setup'!$M$47,'Quick Setup'!$M49,if(AY5='Quick Setup'!$N$47,'Quick Setup'!$N49,if(AY5='Quick Setup'!$O$47,'Quick Setup'!$O49,if(AY5='Quick Setup'!$P$47,'Quick Setup'!$P49,if(AY5='Quick Setup'!$Q$47,'Quick Setup'!$Q49,if(AY5='Quick Setup'!$R$47,'Quick Setup'!$R49,if(AY5='Quick Setup'!$S$47,'Quick Setup'!$S49,if(AY5='Quick Setup'!$T$47,'Quick Setup'!$T49,if(AY5='Quick Setup'!$U$47,'Quick Setup'!$U49,if(AY5='Quick Setup'!$V$47,'Quick Setup'!$V49,if(AY5='Quick Setup'!$W$47,'Quick Setup'!$W49)))))))))))))))))))))</f>
        <v>3</v>
      </c>
      <c r="BB5" s="22">
        <f t="shared" ref="BB5:BE5" si="27">AU5</f>
        <v>4</v>
      </c>
      <c r="BC5" s="22">
        <f t="shared" si="27"/>
        <v>6</v>
      </c>
      <c r="BD5" s="23">
        <f t="shared" si="27"/>
        <v>0.02</v>
      </c>
      <c r="BE5" s="23">
        <f t="shared" si="27"/>
        <v>-0.05</v>
      </c>
      <c r="BF5" s="21">
        <f>'Quick Setup'!K62</f>
        <v>0.8</v>
      </c>
      <c r="BG5" s="24">
        <f>if(BF5='Quick Setup'!$C$33,'Quick Setup'!$C35,if(BF5='Quick Setup'!$D$33,'Quick Setup'!$D35,if(BF5='Quick Setup'!$E$33,'Quick Setup'!$E35,if(BF5='Quick Setup'!$F$33,'Quick Setup'!$F35,if(BF5='Quick Setup'!$G$33,'Quick Setup'!$G35,if(BF5='Quick Setup'!$H$33,'Quick Setup'!$H35,if(BF5='Quick Setup'!$I$33,'Quick Setup'!$I35,if(BF5='Quick Setup'!$J$33,'Quick Setup'!$J35,if(BF5='Quick Setup'!$K$33,'Quick Setup'!$K35,if(BF5='Quick Setup'!$L$33,'Quick Setup'!$L35,if(BF5='Quick Setup'!$M$33,'Quick Setup'!$M35,if(BF5='Quick Setup'!$N$33,'Quick Setup'!$N35,if(BF5='Quick Setup'!$O$33,'Quick Setup'!$O35,if(BF5='Quick Setup'!$P$33,'Quick Setup'!$P35,if(BF5='Quick Setup'!$Q$33,'Quick Setup'!$Q35,if(BF5='Quick Setup'!$R$33,'Quick Setup'!$R35,if(BF5='Quick Setup'!$S$33,'Quick Setup'!$S35,if(BF5='Quick Setup'!$T$33,'Quick Setup'!$T35,if(BF5='Quick Setup'!$U$33,'Quick Setup'!$U35,if(BF5='Quick Setup'!$V$33,'Quick Setup'!$V35,'2x'!CA6))))))))))))))))))))</f>
        <v>3</v>
      </c>
      <c r="BH5" s="22">
        <f>if(BF5='Quick Setup'!$C$47,'Quick Setup'!$C49,if(BF5='Quick Setup'!$D$47,'Quick Setup'!$D49,if(BF5='Quick Setup'!$E$47,'Quick Setup'!$E49,if(BF5='Quick Setup'!$F$47,'Quick Setup'!$F49,if(BF5='Quick Setup'!$G$47,'Quick Setup'!$G49,if(BF5='Quick Setup'!$H$47,'Quick Setup'!$H49,if(BF5='Quick Setup'!$I$47,'Quick Setup'!$I49,if(BF5='Quick Setup'!$J$47,'Quick Setup'!$J49,if(BF5='Quick Setup'!$K$47,'Quick Setup'!$K49,if(BF5='Quick Setup'!$L$47,'Quick Setup'!$L49,if(BF5='Quick Setup'!$M$47,'Quick Setup'!$M49,if(BF5='Quick Setup'!$N$47,'Quick Setup'!$N49,if(BF5='Quick Setup'!$O$47,'Quick Setup'!$O49,if(BF5='Quick Setup'!$P$47,'Quick Setup'!$P49,if(BF5='Quick Setup'!$Q$47,'Quick Setup'!$Q49,if(BF5='Quick Setup'!$R$47,'Quick Setup'!$R49,if(BF5='Quick Setup'!$S$47,'Quick Setup'!$S49,if(BF5='Quick Setup'!$T$47,'Quick Setup'!$T49,if(BF5='Quick Setup'!$U$47,'Quick Setup'!$U49,if(BF5='Quick Setup'!$V$47,'Quick Setup'!$V49,if(BF5='Quick Setup'!$W$47,'Quick Setup'!$W49)))))))))))))))))))))</f>
        <v>2</v>
      </c>
      <c r="BI5" s="22">
        <f t="shared" ref="BI5:BL5" si="28">BB5</f>
        <v>4</v>
      </c>
      <c r="BJ5" s="22">
        <f t="shared" si="28"/>
        <v>6</v>
      </c>
      <c r="BK5" s="23">
        <f t="shared" si="28"/>
        <v>0.02</v>
      </c>
      <c r="BL5" s="23">
        <f t="shared" si="28"/>
        <v>-0.05</v>
      </c>
      <c r="BM5" s="21">
        <f>'Quick Setup'!L62</f>
        <v>0.85</v>
      </c>
      <c r="BN5" s="24">
        <f>if(BM5='Quick Setup'!$C$33,'Quick Setup'!$C35,if(BM5='Quick Setup'!$D$33,'Quick Setup'!$D35,if(BM5='Quick Setup'!$E$33,'Quick Setup'!$E35,if(BM5='Quick Setup'!$F$33,'Quick Setup'!$F35,if(BM5='Quick Setup'!$G$33,'Quick Setup'!$G35,if(BM5='Quick Setup'!$H$33,'Quick Setup'!$H35,if(BM5='Quick Setup'!$I$33,'Quick Setup'!$I35,if(BM5='Quick Setup'!$J$33,'Quick Setup'!$J35,if(BM5='Quick Setup'!$K$33,'Quick Setup'!$K35,if(BM5='Quick Setup'!$L$33,'Quick Setup'!$L35,if(BM5='Quick Setup'!$M$33,'Quick Setup'!$M35,if(BM5='Quick Setup'!$N$33,'Quick Setup'!$N35,if(BM5='Quick Setup'!$O$33,'Quick Setup'!$O35,if(BM5='Quick Setup'!$P$33,'Quick Setup'!$P35,if(BM5='Quick Setup'!$Q$33,'Quick Setup'!$Q35,if(BM5='Quick Setup'!$R$33,'Quick Setup'!$R35,if(BM5='Quick Setup'!$S$33,'Quick Setup'!$S35,if(BM5='Quick Setup'!$T$33,'Quick Setup'!$T35,if(BM5='Quick Setup'!$U$33,'Quick Setup'!$U35,if(BM5='Quick Setup'!$V$33,'Quick Setup'!$V35,'2x'!CH6))))))))))))))))))))</f>
        <v>2</v>
      </c>
      <c r="BO5" s="22">
        <f>if(BM5='Quick Setup'!$C$47,'Quick Setup'!$C49,if(BM5='Quick Setup'!$D$47,'Quick Setup'!$D49,if(BM5='Quick Setup'!$E$47,'Quick Setup'!$E49,if(BM5='Quick Setup'!$F$47,'Quick Setup'!$F49,if(BM5='Quick Setup'!$G$47,'Quick Setup'!$G49,if(BM5='Quick Setup'!$H$47,'Quick Setup'!$H49,if(BM5='Quick Setup'!$I$47,'Quick Setup'!$I49,if(BM5='Quick Setup'!$J$47,'Quick Setup'!$J49,if(BM5='Quick Setup'!$K$47,'Quick Setup'!$K49,if(BM5='Quick Setup'!$L$47,'Quick Setup'!$L49,if(BM5='Quick Setup'!$M$47,'Quick Setup'!$M49,if(BM5='Quick Setup'!$N$47,'Quick Setup'!$N49,if(BM5='Quick Setup'!$O$47,'Quick Setup'!$O49,if(BM5='Quick Setup'!$P$47,'Quick Setup'!$P49,if(BM5='Quick Setup'!$Q$47,'Quick Setup'!$Q49,if(BM5='Quick Setup'!$R$47,'Quick Setup'!$R49,if(BM5='Quick Setup'!$S$47,'Quick Setup'!$S49,if(BM5='Quick Setup'!$T$47,'Quick Setup'!$T49,if(BM5='Quick Setup'!$U$47,'Quick Setup'!$U49,if(BM5='Quick Setup'!$V$47,'Quick Setup'!$V49,if(BM5='Quick Setup'!$W$47,'Quick Setup'!$W49)))))))))))))))))))))</f>
        <v>2</v>
      </c>
      <c r="BP5" s="22">
        <f t="shared" ref="BP5:BS5" si="29">BI5</f>
        <v>4</v>
      </c>
      <c r="BQ5" s="22">
        <f t="shared" si="29"/>
        <v>6</v>
      </c>
      <c r="BR5" s="23">
        <f t="shared" si="29"/>
        <v>0.02</v>
      </c>
      <c r="BS5" s="23">
        <f t="shared" si="29"/>
        <v>-0.05</v>
      </c>
      <c r="BT5" s="21">
        <f>'Quick Setup'!M62</f>
        <v>0.775</v>
      </c>
      <c r="BU5" s="24">
        <f>if(BT5='Quick Setup'!$C$33,'Quick Setup'!$C35,if(BT5='Quick Setup'!$D$33,'Quick Setup'!$D35,if(BT5='Quick Setup'!$E$33,'Quick Setup'!$E35,if(BT5='Quick Setup'!$F$33,'Quick Setup'!$F35,if(BT5='Quick Setup'!$G$33,'Quick Setup'!$G35,if(BT5='Quick Setup'!$H$33,'Quick Setup'!$H35,if(BT5='Quick Setup'!$I$33,'Quick Setup'!$I35,if(BT5='Quick Setup'!$J$33,'Quick Setup'!$J35,if(BT5='Quick Setup'!$K$33,'Quick Setup'!$K35,if(BT5='Quick Setup'!$L$33,'Quick Setup'!$L35,if(BT5='Quick Setup'!$M$33,'Quick Setup'!$M35,if(BT5='Quick Setup'!$N$33,'Quick Setup'!$N35,if(BT5='Quick Setup'!$O$33,'Quick Setup'!$O35,if(BT5='Quick Setup'!$P$33,'Quick Setup'!$P35,if(BT5='Quick Setup'!$Q$33,'Quick Setup'!$Q35,if(BT5='Quick Setup'!$R$33,'Quick Setup'!$R35,if(BT5='Quick Setup'!$S$33,'Quick Setup'!$S35,if(BT5='Quick Setup'!$T$33,'Quick Setup'!$T35,if(BT5='Quick Setup'!$U$33,'Quick Setup'!$U35,if(BT5='Quick Setup'!$V$33,'Quick Setup'!$V35,'2x'!CO6))))))))))))))))))))</f>
        <v>4</v>
      </c>
      <c r="BV5" s="22">
        <f>if(BT5='Quick Setup'!$C$47,'Quick Setup'!$C49,if(BT5='Quick Setup'!$D$47,'Quick Setup'!$D49,if(BT5='Quick Setup'!$E$47,'Quick Setup'!$E49,if(BT5='Quick Setup'!$F$47,'Quick Setup'!$F49,if(BT5='Quick Setup'!$G$47,'Quick Setup'!$G49,if(BT5='Quick Setup'!$H$47,'Quick Setup'!$H49,if(BT5='Quick Setup'!$I$47,'Quick Setup'!$I49,if(BT5='Quick Setup'!$J$47,'Quick Setup'!$J49,if(BT5='Quick Setup'!$K$47,'Quick Setup'!$K49,if(BT5='Quick Setup'!$L$47,'Quick Setup'!$L49,if(BT5='Quick Setup'!$M$47,'Quick Setup'!$M49,if(BT5='Quick Setup'!$N$47,'Quick Setup'!$N49,if(BT5='Quick Setup'!$O$47,'Quick Setup'!$O49,if(BT5='Quick Setup'!$P$47,'Quick Setup'!$P49,if(BT5='Quick Setup'!$Q$47,'Quick Setup'!$Q49,if(BT5='Quick Setup'!$R$47,'Quick Setup'!$R49,if(BT5='Quick Setup'!$S$47,'Quick Setup'!$S49,if(BT5='Quick Setup'!$T$47,'Quick Setup'!$T49,if(BT5='Quick Setup'!$U$47,'Quick Setup'!$U49,if(BT5='Quick Setup'!$V$47,'Quick Setup'!$V49,if(BT5='Quick Setup'!$W$47,'Quick Setup'!$W49)))))))))))))))))))))</f>
        <v>3</v>
      </c>
      <c r="BW5" s="22">
        <f t="shared" ref="BW5:BZ5" si="30">BP5</f>
        <v>4</v>
      </c>
      <c r="BX5" s="22">
        <f t="shared" si="30"/>
        <v>6</v>
      </c>
      <c r="BY5" s="23">
        <f t="shared" si="30"/>
        <v>0.02</v>
      </c>
      <c r="BZ5" s="23">
        <f t="shared" si="30"/>
        <v>-0.05</v>
      </c>
      <c r="CA5" s="21">
        <f>'Quick Setup'!N62</f>
        <v>0.825</v>
      </c>
      <c r="CB5" s="24">
        <f>if(CA5='Quick Setup'!$C$33,'Quick Setup'!$C35,if(CA5='Quick Setup'!$D$33,'Quick Setup'!$D35,if(CA5='Quick Setup'!$E$33,'Quick Setup'!$E35,if(CA5='Quick Setup'!$F$33,'Quick Setup'!$F35,if(CA5='Quick Setup'!$G$33,'Quick Setup'!$G35,if(CA5='Quick Setup'!$H$33,'Quick Setup'!$H35,if(CA5='Quick Setup'!$I$33,'Quick Setup'!$I35,if(CA5='Quick Setup'!$J$33,'Quick Setup'!$J35,if(CA5='Quick Setup'!$K$33,'Quick Setup'!$K35,if(CA5='Quick Setup'!$L$33,'Quick Setup'!$L35,if(CA5='Quick Setup'!$M$33,'Quick Setup'!$M35,if(CA5='Quick Setup'!$N$33,'Quick Setup'!$N35,if(CA5='Quick Setup'!$O$33,'Quick Setup'!$O35,if(CA5='Quick Setup'!$P$33,'Quick Setup'!$P35,if(CA5='Quick Setup'!$Q$33,'Quick Setup'!$Q35,if(CA5='Quick Setup'!$R$33,'Quick Setup'!$R35,if(CA5='Quick Setup'!$S$33,'Quick Setup'!$S35,if(CA5='Quick Setup'!$T$33,'Quick Setup'!$T35,if(CA5='Quick Setup'!$U$33,'Quick Setup'!$U35,if(CA5='Quick Setup'!$V$33,'Quick Setup'!$V35,'2x'!CV6))))))))))))))))))))</f>
        <v>3</v>
      </c>
      <c r="CC5" s="22">
        <f>if(CA5='Quick Setup'!$C$47,'Quick Setup'!$C49,if(CA5='Quick Setup'!$D$47,'Quick Setup'!$D49,if(CA5='Quick Setup'!$E$47,'Quick Setup'!$E49,if(CA5='Quick Setup'!$F$47,'Quick Setup'!$F49,if(CA5='Quick Setup'!$G$47,'Quick Setup'!$G49,if(CA5='Quick Setup'!$H$47,'Quick Setup'!$H49,if(CA5='Quick Setup'!$I$47,'Quick Setup'!$I49,if(CA5='Quick Setup'!$J$47,'Quick Setup'!$J49,if(CA5='Quick Setup'!$K$47,'Quick Setup'!$K49,if(CA5='Quick Setup'!$L$47,'Quick Setup'!$L49,if(CA5='Quick Setup'!$M$47,'Quick Setup'!$M49,if(CA5='Quick Setup'!$N$47,'Quick Setup'!$N49,if(CA5='Quick Setup'!$O$47,'Quick Setup'!$O49,if(CA5='Quick Setup'!$P$47,'Quick Setup'!$P49,if(CA5='Quick Setup'!$Q$47,'Quick Setup'!$Q49,if(CA5='Quick Setup'!$R$47,'Quick Setup'!$R49,if(CA5='Quick Setup'!$S$47,'Quick Setup'!$S49,if(CA5='Quick Setup'!$T$47,'Quick Setup'!$T49,if(CA5='Quick Setup'!$U$47,'Quick Setup'!$U49,if(CA5='Quick Setup'!$V$47,'Quick Setup'!$V49,if(CA5='Quick Setup'!$W$47,'Quick Setup'!$W49)))))))))))))))))))))</f>
        <v>2</v>
      </c>
      <c r="CD5" s="22">
        <f t="shared" ref="CD5:CG5" si="31">BW5</f>
        <v>4</v>
      </c>
      <c r="CE5" s="22">
        <f t="shared" si="31"/>
        <v>6</v>
      </c>
      <c r="CF5" s="23">
        <f t="shared" si="31"/>
        <v>0.02</v>
      </c>
      <c r="CG5" s="23">
        <f t="shared" si="31"/>
        <v>-0.05</v>
      </c>
      <c r="CH5" s="21">
        <f>'Quick Setup'!O62</f>
        <v>0.875</v>
      </c>
      <c r="CI5" s="24">
        <f>if(CH5='Quick Setup'!$C$33,'Quick Setup'!$C35,if(CH5='Quick Setup'!$D$33,'Quick Setup'!$D35,if(CH5='Quick Setup'!$E$33,'Quick Setup'!$E35,if(CH5='Quick Setup'!$F$33,'Quick Setup'!$F35,if(CH5='Quick Setup'!$G$33,'Quick Setup'!$G35,if(CH5='Quick Setup'!$H$33,'Quick Setup'!$H35,if(CH5='Quick Setup'!$I$33,'Quick Setup'!$I35,if(CH5='Quick Setup'!$J$33,'Quick Setup'!$J35,if(CH5='Quick Setup'!$K$33,'Quick Setup'!$K35,if(CH5='Quick Setup'!$L$33,'Quick Setup'!$L35,if(CH5='Quick Setup'!$M$33,'Quick Setup'!$M35,if(CH5='Quick Setup'!$N$33,'Quick Setup'!$N35,if(CH5='Quick Setup'!$O$33,'Quick Setup'!$O35,if(CH5='Quick Setup'!$P$33,'Quick Setup'!$P35,if(CH5='Quick Setup'!$Q$33,'Quick Setup'!$Q35,if(CH5='Quick Setup'!$R$33,'Quick Setup'!$R35,if(CH5='Quick Setup'!$S$33,'Quick Setup'!$S35,if(CH5='Quick Setup'!$T$33,'Quick Setup'!$T35,if(CH5='Quick Setup'!$U$33,'Quick Setup'!$U35,if(CH5='Quick Setup'!$V$33,'Quick Setup'!$V35,'2x'!DC6))))))))))))))))))))</f>
        <v>2</v>
      </c>
      <c r="CJ5" s="22">
        <f>if(CH5='Quick Setup'!$C$47,'Quick Setup'!$C49,if(CH5='Quick Setup'!$D$47,'Quick Setup'!$D49,if(CH5='Quick Setup'!$E$47,'Quick Setup'!$E49,if(CH5='Quick Setup'!$F$47,'Quick Setup'!$F49,if(CH5='Quick Setup'!$G$47,'Quick Setup'!$G49,if(CH5='Quick Setup'!$H$47,'Quick Setup'!$H49,if(CH5='Quick Setup'!$I$47,'Quick Setup'!$I49,if(CH5='Quick Setup'!$J$47,'Quick Setup'!$J49,if(CH5='Quick Setup'!$K$47,'Quick Setup'!$K49,if(CH5='Quick Setup'!$L$47,'Quick Setup'!$L49,if(CH5='Quick Setup'!$M$47,'Quick Setup'!$M49,if(CH5='Quick Setup'!$N$47,'Quick Setup'!$N49,if(CH5='Quick Setup'!$O$47,'Quick Setup'!$O49,if(CH5='Quick Setup'!$P$47,'Quick Setup'!$P49,if(CH5='Quick Setup'!$Q$47,'Quick Setup'!$Q49,if(CH5='Quick Setup'!$R$47,'Quick Setup'!$R49,if(CH5='Quick Setup'!$S$47,'Quick Setup'!$S49,if(CH5='Quick Setup'!$T$47,'Quick Setup'!$T49,if(CH5='Quick Setup'!$U$47,'Quick Setup'!$U49,if(CH5='Quick Setup'!$V$47,'Quick Setup'!$V49,if(CH5='Quick Setup'!$W$47,'Quick Setup'!$W49)))))))))))))))))))))</f>
        <v>2</v>
      </c>
      <c r="CK5" s="22">
        <f t="shared" ref="CK5:CN5" si="32">CD5</f>
        <v>4</v>
      </c>
      <c r="CL5" s="22">
        <f t="shared" si="32"/>
        <v>6</v>
      </c>
      <c r="CM5" s="23">
        <f t="shared" si="32"/>
        <v>0.02</v>
      </c>
      <c r="CN5" s="23">
        <f t="shared" si="32"/>
        <v>-0.05</v>
      </c>
      <c r="CO5" s="21">
        <f>'Quick Setup'!P62</f>
        <v>0.6</v>
      </c>
      <c r="CP5" s="24">
        <f>if(CO5='Quick Setup'!$C$33,'Quick Setup'!$C35,if(CO5='Quick Setup'!$D$33,'Quick Setup'!$D35,if(CO5='Quick Setup'!$E$33,'Quick Setup'!$E35,if(CO5='Quick Setup'!$F$33,'Quick Setup'!$F35,if(CO5='Quick Setup'!$G$33,'Quick Setup'!$G35,if(CO5='Quick Setup'!$H$33,'Quick Setup'!$H35,if(CO5='Quick Setup'!$I$33,'Quick Setup'!$I35,if(CO5='Quick Setup'!$J$33,'Quick Setup'!$J35,if(CO5='Quick Setup'!$K$33,'Quick Setup'!$K35,if(CO5='Quick Setup'!$L$33,'Quick Setup'!$L35,if(CO5='Quick Setup'!$M$33,'Quick Setup'!$M35,if(CO5='Quick Setup'!$N$33,'Quick Setup'!$N35,if(CO5='Quick Setup'!$O$33,'Quick Setup'!$O35,if(CO5='Quick Setup'!$P$33,'Quick Setup'!$P35,if(CO5='Quick Setup'!$Q$33,'Quick Setup'!$Q35,if(CO5='Quick Setup'!$R$33,'Quick Setup'!$R35,if(CO5='Quick Setup'!$S$33,'Quick Setup'!$S35,if(CO5='Quick Setup'!$T$33,'Quick Setup'!$T35,if(CO5='Quick Setup'!$U$33,'Quick Setup'!$U35,if(CO5='Quick Setup'!$V$33,'Quick Setup'!$V35,'2x'!DJ6))))))))))))))))))))</f>
        <v>7</v>
      </c>
      <c r="CQ5" s="22">
        <f>if(CO5='Quick Setup'!$C$47,'Quick Setup'!$C49,if(CO5='Quick Setup'!$D$47,'Quick Setup'!$D49,if(CO5='Quick Setup'!$E$47,'Quick Setup'!$E49,if(CO5='Quick Setup'!$F$47,'Quick Setup'!$F49,if(CO5='Quick Setup'!$G$47,'Quick Setup'!$G49,if(CO5='Quick Setup'!$H$47,'Quick Setup'!$H49,if(CO5='Quick Setup'!$I$47,'Quick Setup'!$I49,if(CO5='Quick Setup'!$J$47,'Quick Setup'!$J49,if(CO5='Quick Setup'!$K$47,'Quick Setup'!$K49,if(CO5='Quick Setup'!$L$47,'Quick Setup'!$L49,if(CO5='Quick Setup'!$M$47,'Quick Setup'!$M49,if(CO5='Quick Setup'!$N$47,'Quick Setup'!$N49,if(CO5='Quick Setup'!$O$47,'Quick Setup'!$O49,if(CO5='Quick Setup'!$P$47,'Quick Setup'!$P49,if(CO5='Quick Setup'!$Q$47,'Quick Setup'!$Q49,if(CO5='Quick Setup'!$R$47,'Quick Setup'!$R49,if(CO5='Quick Setup'!$S$47,'Quick Setup'!$S49,if(CO5='Quick Setup'!$T$47,'Quick Setup'!$T49,if(CO5='Quick Setup'!$U$47,'Quick Setup'!$U49,if(CO5='Quick Setup'!$V$47,'Quick Setup'!$V49,if(CO5='Quick Setup'!$W$47,'Quick Setup'!$W49)))))))))))))))))))))</f>
        <v>4</v>
      </c>
      <c r="CR5" s="22">
        <f t="shared" ref="CR5:CU5" si="33">CK5</f>
        <v>4</v>
      </c>
      <c r="CS5" s="22">
        <f t="shared" si="33"/>
        <v>6</v>
      </c>
      <c r="CT5" s="23">
        <f t="shared" si="33"/>
        <v>0.02</v>
      </c>
      <c r="CU5" s="23">
        <f t="shared" si="33"/>
        <v>-0.05</v>
      </c>
      <c r="CV5" s="21">
        <f>'Quick Setup'!Q62</f>
        <v>0.8</v>
      </c>
      <c r="CW5" s="24">
        <f>if(CV5='Quick Setup'!$C$33,'Quick Setup'!$C35,if(CV5='Quick Setup'!$D$33,'Quick Setup'!$D35,if(CV5='Quick Setup'!$E$33,'Quick Setup'!$E35,if(CV5='Quick Setup'!$F$33,'Quick Setup'!$F35,if(CV5='Quick Setup'!$G$33,'Quick Setup'!$G35,if(CV5='Quick Setup'!$H$33,'Quick Setup'!$H35,if(CV5='Quick Setup'!$I$33,'Quick Setup'!$I35,if(CV5='Quick Setup'!$J$33,'Quick Setup'!$J35,if(CV5='Quick Setup'!$K$33,'Quick Setup'!$K35,if(CV5='Quick Setup'!$L$33,'Quick Setup'!$L35,if(CV5='Quick Setup'!$M$33,'Quick Setup'!$M35,if(CV5='Quick Setup'!$N$33,'Quick Setup'!$N35,if(CV5='Quick Setup'!$O$33,'Quick Setup'!$O35,if(CV5='Quick Setup'!$P$33,'Quick Setup'!$P35,if(CV5='Quick Setup'!$Q$33,'Quick Setup'!$Q35,if(CV5='Quick Setup'!$R$33,'Quick Setup'!$R35,if(CV5='Quick Setup'!$S$33,'Quick Setup'!$S35,if(CV5='Quick Setup'!$T$33,'Quick Setup'!$T35,if(CV5='Quick Setup'!$U$33,'Quick Setup'!$U35,if(CV5='Quick Setup'!$V$33,'Quick Setup'!$V35,'2x'!DQ6))))))))))))))))))))</f>
        <v>3</v>
      </c>
      <c r="CX5" s="22">
        <f>if(CV5='Quick Setup'!$C$47,'Quick Setup'!$C49,if(CV5='Quick Setup'!$D$47,'Quick Setup'!$D49,if(CV5='Quick Setup'!$E$47,'Quick Setup'!$E49,if(CV5='Quick Setup'!$F$47,'Quick Setup'!$F49,if(CV5='Quick Setup'!$G$47,'Quick Setup'!$G49,if(CV5='Quick Setup'!$H$47,'Quick Setup'!$H49,if(CV5='Quick Setup'!$I$47,'Quick Setup'!$I49,if(CV5='Quick Setup'!$J$47,'Quick Setup'!$J49,if(CV5='Quick Setup'!$K$47,'Quick Setup'!$K49,if(CV5='Quick Setup'!$L$47,'Quick Setup'!$L49,if(CV5='Quick Setup'!$M$47,'Quick Setup'!$M49,if(CV5='Quick Setup'!$N$47,'Quick Setup'!$N49,if(CV5='Quick Setup'!$O$47,'Quick Setup'!$O49,if(CV5='Quick Setup'!$P$47,'Quick Setup'!$P49,if(CV5='Quick Setup'!$Q$47,'Quick Setup'!$Q49,if(CV5='Quick Setup'!$R$47,'Quick Setup'!$R49,if(CV5='Quick Setup'!$S$47,'Quick Setup'!$S49,if(CV5='Quick Setup'!$T$47,'Quick Setup'!$T49,if(CV5='Quick Setup'!$U$47,'Quick Setup'!$U49,if(CV5='Quick Setup'!$V$47,'Quick Setup'!$V49,if(CV5='Quick Setup'!$W$47,'Quick Setup'!$W49)))))))))))))))))))))</f>
        <v>2</v>
      </c>
      <c r="CY5" s="22">
        <f t="shared" ref="CY5:DB5" si="34">CR5</f>
        <v>4</v>
      </c>
      <c r="CZ5" s="22">
        <f t="shared" si="34"/>
        <v>6</v>
      </c>
      <c r="DA5" s="23">
        <f t="shared" si="34"/>
        <v>0.02</v>
      </c>
      <c r="DB5" s="23">
        <f t="shared" si="34"/>
        <v>-0.05</v>
      </c>
      <c r="DC5" s="21">
        <f>'Quick Setup'!R62</f>
        <v>0.85</v>
      </c>
      <c r="DD5" s="24">
        <f>if(DC5='Quick Setup'!$C$33,'Quick Setup'!$C35,if(DC5='Quick Setup'!$D$33,'Quick Setup'!$D35,if(DC5='Quick Setup'!$E$33,'Quick Setup'!$E35,if(DC5='Quick Setup'!$F$33,'Quick Setup'!$F35,if(DC5='Quick Setup'!$G$33,'Quick Setup'!$G35,if(DC5='Quick Setup'!$H$33,'Quick Setup'!$H35,if(DC5='Quick Setup'!$I$33,'Quick Setup'!$I35,if(DC5='Quick Setup'!$J$33,'Quick Setup'!$J35,if(DC5='Quick Setup'!$K$33,'Quick Setup'!$K35,if(DC5='Quick Setup'!$L$33,'Quick Setup'!$L35,if(DC5='Quick Setup'!$M$33,'Quick Setup'!$M35,if(DC5='Quick Setup'!$N$33,'Quick Setup'!$N35,if(DC5='Quick Setup'!$O$33,'Quick Setup'!$O35,if(DC5='Quick Setup'!$P$33,'Quick Setup'!$P35,if(DC5='Quick Setup'!$Q$33,'Quick Setup'!$Q35,if(DC5='Quick Setup'!$R$33,'Quick Setup'!$R35,if(DC5='Quick Setup'!$S$33,'Quick Setup'!$S35,if(DC5='Quick Setup'!$T$33,'Quick Setup'!$T35,if(DC5='Quick Setup'!$U$33,'Quick Setup'!$U35,if(DC5='Quick Setup'!$V$33,'Quick Setup'!$V35,'2x'!DX6))))))))))))))))))))</f>
        <v>2</v>
      </c>
      <c r="DE5" s="22">
        <f>if(DC5='Quick Setup'!$C$47,'Quick Setup'!$C49,if(DC5='Quick Setup'!$D$47,'Quick Setup'!$D49,if(DC5='Quick Setup'!$E$47,'Quick Setup'!$E49,if(DC5='Quick Setup'!$F$47,'Quick Setup'!$F49,if(DC5='Quick Setup'!$G$47,'Quick Setup'!$G49,if(DC5='Quick Setup'!$H$47,'Quick Setup'!$H49,if(DC5='Quick Setup'!$I$47,'Quick Setup'!$I49,if(DC5='Quick Setup'!$J$47,'Quick Setup'!$J49,if(DC5='Quick Setup'!$K$47,'Quick Setup'!$K49,if(DC5='Quick Setup'!$L$47,'Quick Setup'!$L49,if(DC5='Quick Setup'!$M$47,'Quick Setup'!$M49,if(DC5='Quick Setup'!$N$47,'Quick Setup'!$N49,if(DC5='Quick Setup'!$O$47,'Quick Setup'!$O49,if(DC5='Quick Setup'!$P$47,'Quick Setup'!$P49,if(DC5='Quick Setup'!$Q$47,'Quick Setup'!$Q49,if(DC5='Quick Setup'!$R$47,'Quick Setup'!$R49,if(DC5='Quick Setup'!$S$47,'Quick Setup'!$S49,if(DC5='Quick Setup'!$T$47,'Quick Setup'!$T49,if(DC5='Quick Setup'!$U$47,'Quick Setup'!$U49,if(DC5='Quick Setup'!$V$47,'Quick Setup'!$V49,if(DC5='Quick Setup'!$W$47,'Quick Setup'!$W49)))))))))))))))))))))</f>
        <v>2</v>
      </c>
      <c r="DF5" s="22">
        <f t="shared" ref="DF5:DI5" si="35">CY5</f>
        <v>4</v>
      </c>
      <c r="DG5" s="22">
        <f t="shared" si="35"/>
        <v>6</v>
      </c>
      <c r="DH5" s="23">
        <f t="shared" si="35"/>
        <v>0.02</v>
      </c>
      <c r="DI5" s="23">
        <f t="shared" si="35"/>
        <v>-0.05</v>
      </c>
      <c r="DJ5" s="21">
        <f>'Quick Setup'!S62</f>
        <v>0.9</v>
      </c>
      <c r="DK5" s="24">
        <f>if(DJ5='Quick Setup'!$C$33,'Quick Setup'!$C35,if(DJ5='Quick Setup'!$D$33,'Quick Setup'!$D35,if(DJ5='Quick Setup'!$E$33,'Quick Setup'!$E35,if(DJ5='Quick Setup'!$F$33,'Quick Setup'!$F35,if(DJ5='Quick Setup'!$G$33,'Quick Setup'!$G35,if(DJ5='Quick Setup'!$H$33,'Quick Setup'!$H35,if(DJ5='Quick Setup'!$I$33,'Quick Setup'!$I35,if(DJ5='Quick Setup'!$J$33,'Quick Setup'!$J35,if(DJ5='Quick Setup'!$K$33,'Quick Setup'!$K35,if(DJ5='Quick Setup'!$L$33,'Quick Setup'!$L35,if(DJ5='Quick Setup'!$M$33,'Quick Setup'!$M35,if(DJ5='Quick Setup'!$N$33,'Quick Setup'!$N35,if(DJ5='Quick Setup'!$O$33,'Quick Setup'!$O35,if(DJ5='Quick Setup'!$P$33,'Quick Setup'!$P35,if(DJ5='Quick Setup'!$Q$33,'Quick Setup'!$Q35,if(DJ5='Quick Setup'!$R$33,'Quick Setup'!$R35,if(DJ5='Quick Setup'!$S$33,'Quick Setup'!$S35,if(DJ5='Quick Setup'!$T$33,'Quick Setup'!$T35,if(DJ5='Quick Setup'!$U$33,'Quick Setup'!$U35,if(DJ5='Quick Setup'!$V$33,'Quick Setup'!$V35,'2x'!EE6))))))))))))))))))))</f>
        <v>1</v>
      </c>
      <c r="DL5" s="22">
        <f>if(DJ5='Quick Setup'!$C$47,'Quick Setup'!$C49,if(DJ5='Quick Setup'!$D$47,'Quick Setup'!$D49,if(DJ5='Quick Setup'!$E$47,'Quick Setup'!$E49,if(DJ5='Quick Setup'!$F$47,'Quick Setup'!$F49,if(DJ5='Quick Setup'!$G$47,'Quick Setup'!$G49,if(DJ5='Quick Setup'!$H$47,'Quick Setup'!$H49,if(DJ5='Quick Setup'!$I$47,'Quick Setup'!$I49,if(DJ5='Quick Setup'!$J$47,'Quick Setup'!$J49,if(DJ5='Quick Setup'!$K$47,'Quick Setup'!$K49,if(DJ5='Quick Setup'!$L$47,'Quick Setup'!$L49,if(DJ5='Quick Setup'!$M$47,'Quick Setup'!$M49,if(DJ5='Quick Setup'!$N$47,'Quick Setup'!$N49,if(DJ5='Quick Setup'!$O$47,'Quick Setup'!$O49,if(DJ5='Quick Setup'!$P$47,'Quick Setup'!$P49,if(DJ5='Quick Setup'!$Q$47,'Quick Setup'!$Q49,if(DJ5='Quick Setup'!$R$47,'Quick Setup'!$R49,if(DJ5='Quick Setup'!$S$47,'Quick Setup'!$S49,if(DJ5='Quick Setup'!$T$47,'Quick Setup'!$T49,if(DJ5='Quick Setup'!$U$47,'Quick Setup'!$U49,if(DJ5='Quick Setup'!$V$47,'Quick Setup'!$V49,if(DJ5='Quick Setup'!$W$47,'Quick Setup'!$W49)))))))))))))))))))))</f>
        <v>1</v>
      </c>
      <c r="DM5" s="22">
        <f t="shared" ref="DM5:DP5" si="36">DF5</f>
        <v>4</v>
      </c>
      <c r="DN5" s="22">
        <f t="shared" si="36"/>
        <v>6</v>
      </c>
      <c r="DO5" s="23">
        <f t="shared" si="36"/>
        <v>0.02</v>
      </c>
      <c r="DP5" s="23">
        <f t="shared" si="36"/>
        <v>-0.05</v>
      </c>
      <c r="DQ5" s="21">
        <f>'Quick Setup'!T62</f>
        <v>0.85</v>
      </c>
      <c r="DR5" s="24">
        <f>if(DQ5='Quick Setup'!$C$33,'Quick Setup'!$C35,if(DQ5='Quick Setup'!$D$33,'Quick Setup'!$D35,if(DQ5='Quick Setup'!$E$33,'Quick Setup'!$E35,if(DQ5='Quick Setup'!$F$33,'Quick Setup'!$F35,if(DQ5='Quick Setup'!$G$33,'Quick Setup'!$G35,if(DQ5='Quick Setup'!$H$33,'Quick Setup'!$H35,if(DQ5='Quick Setup'!$I$33,'Quick Setup'!$I35,if(DQ5='Quick Setup'!$J$33,'Quick Setup'!$J35,if(DQ5='Quick Setup'!$K$33,'Quick Setup'!$K35,if(DQ5='Quick Setup'!$L$33,'Quick Setup'!$L35,if(DQ5='Quick Setup'!$M$33,'Quick Setup'!$M35,if(DQ5='Quick Setup'!$N$33,'Quick Setup'!$N35,if(DQ5='Quick Setup'!$O$33,'Quick Setup'!$O35,if(DQ5='Quick Setup'!$P$33,'Quick Setup'!$P35,if(DQ5='Quick Setup'!$Q$33,'Quick Setup'!$Q35,if(DQ5='Quick Setup'!$R$33,'Quick Setup'!$R35,if(DQ5='Quick Setup'!$S$33,'Quick Setup'!$S35,if(DQ5='Quick Setup'!$T$33,'Quick Setup'!$T35,if(DQ5='Quick Setup'!$U$33,'Quick Setup'!$U35,if(DQ5='Quick Setup'!$V$33,'Quick Setup'!$V35,'2x'!EL6))))))))))))))))))))</f>
        <v>2</v>
      </c>
      <c r="DS5" s="22">
        <f>if(DQ5='Quick Setup'!$C$47,'Quick Setup'!$C49,if(DQ5='Quick Setup'!$D$47,'Quick Setup'!$D49,if(DQ5='Quick Setup'!$E$47,'Quick Setup'!$E49,if(DQ5='Quick Setup'!$F$47,'Quick Setup'!$F49,if(DQ5='Quick Setup'!$G$47,'Quick Setup'!$G49,if(DQ5='Quick Setup'!$H$47,'Quick Setup'!$H49,if(DQ5='Quick Setup'!$I$47,'Quick Setup'!$I49,if(DQ5='Quick Setup'!$J$47,'Quick Setup'!$J49,if(DQ5='Quick Setup'!$K$47,'Quick Setup'!$K49,if(DQ5='Quick Setup'!$L$47,'Quick Setup'!$L49,if(DQ5='Quick Setup'!$M$47,'Quick Setup'!$M49,if(DQ5='Quick Setup'!$N$47,'Quick Setup'!$N49,if(DQ5='Quick Setup'!$O$47,'Quick Setup'!$O49,if(DQ5='Quick Setup'!$P$47,'Quick Setup'!$P49,if(DQ5='Quick Setup'!$Q$47,'Quick Setup'!$Q49,if(DQ5='Quick Setup'!$R$47,'Quick Setup'!$R49,if(DQ5='Quick Setup'!$S$47,'Quick Setup'!$S49,if(DQ5='Quick Setup'!$T$47,'Quick Setup'!$T49,if(DQ5='Quick Setup'!$U$47,'Quick Setup'!$U49,if(DQ5='Quick Setup'!$V$47,'Quick Setup'!$V49,if(DQ5='Quick Setup'!$W$47,'Quick Setup'!$W49)))))))))))))))))))))</f>
        <v>2</v>
      </c>
      <c r="DT5" s="22">
        <f t="shared" ref="DT5:DW5" si="37">DM5</f>
        <v>4</v>
      </c>
      <c r="DU5" s="22">
        <f t="shared" si="37"/>
        <v>6</v>
      </c>
      <c r="DV5" s="23">
        <f t="shared" si="37"/>
        <v>0.02</v>
      </c>
      <c r="DW5" s="23">
        <f t="shared" si="37"/>
        <v>-0.05</v>
      </c>
      <c r="DX5" s="21">
        <f>'Quick Setup'!U62</f>
        <v>0.9</v>
      </c>
      <c r="DY5" s="24">
        <f>if(DX5='Quick Setup'!$C$33,'Quick Setup'!$C35,if(DX5='Quick Setup'!$D$33,'Quick Setup'!$D35,if(DX5='Quick Setup'!$E$33,'Quick Setup'!$E35,if(DX5='Quick Setup'!$F$33,'Quick Setup'!$F35,if(DX5='Quick Setup'!$G$33,'Quick Setup'!$G35,if(DX5='Quick Setup'!$H$33,'Quick Setup'!$H35,if(DX5='Quick Setup'!$I$33,'Quick Setup'!$I35,if(DX5='Quick Setup'!$J$33,'Quick Setup'!$J35,if(DX5='Quick Setup'!$K$33,'Quick Setup'!$K35,if(DX5='Quick Setup'!$L$33,'Quick Setup'!$L35,if(DX5='Quick Setup'!$M$33,'Quick Setup'!$M35,if(DX5='Quick Setup'!$N$33,'Quick Setup'!$N35,if(DX5='Quick Setup'!$O$33,'Quick Setup'!$O35,if(DX5='Quick Setup'!$P$33,'Quick Setup'!$P35,if(DX5='Quick Setup'!$Q$33,'Quick Setup'!$Q35,if(DX5='Quick Setup'!$R$33,'Quick Setup'!$R35,if(DX5='Quick Setup'!$S$33,'Quick Setup'!$S35,if(DX5='Quick Setup'!$T$33,'Quick Setup'!$T35,if(DX5='Quick Setup'!$U$33,'Quick Setup'!$U35,if(DX5='Quick Setup'!$V$33,'Quick Setup'!$V35,'2x'!ES6))))))))))))))))))))</f>
        <v>1</v>
      </c>
      <c r="DZ5" s="22">
        <f>if(DX5='Quick Setup'!$C$47,'Quick Setup'!$C49,if(DX5='Quick Setup'!$D$47,'Quick Setup'!$D49,if(DX5='Quick Setup'!$E$47,'Quick Setup'!$E49,if(DX5='Quick Setup'!$F$47,'Quick Setup'!$F49,if(DX5='Quick Setup'!$G$47,'Quick Setup'!$G49,if(DX5='Quick Setup'!$H$47,'Quick Setup'!$H49,if(DX5='Quick Setup'!$I$47,'Quick Setup'!$I49,if(DX5='Quick Setup'!$J$47,'Quick Setup'!$J49,if(DX5='Quick Setup'!$K$47,'Quick Setup'!$K49,if(DX5='Quick Setup'!$L$47,'Quick Setup'!$L49,if(DX5='Quick Setup'!$M$47,'Quick Setup'!$M49,if(DX5='Quick Setup'!$N$47,'Quick Setup'!$N49,if(DX5='Quick Setup'!$O$47,'Quick Setup'!$O49,if(DX5='Quick Setup'!$P$47,'Quick Setup'!$P49,if(DX5='Quick Setup'!$Q$47,'Quick Setup'!$Q49,if(DX5='Quick Setup'!$R$47,'Quick Setup'!$R49,if(DX5='Quick Setup'!$S$47,'Quick Setup'!$S49,if(DX5='Quick Setup'!$T$47,'Quick Setup'!$T49,if(DX5='Quick Setup'!$U$47,'Quick Setup'!$U49,if(DX5='Quick Setup'!$V$47,'Quick Setup'!$V49,if(DX5='Quick Setup'!$W$47,'Quick Setup'!$W49)))))))))))))))))))))</f>
        <v>1</v>
      </c>
      <c r="EA5" s="22">
        <f t="shared" ref="EA5:ED5" si="38">DT5</f>
        <v>4</v>
      </c>
      <c r="EB5" s="22">
        <f t="shared" si="38"/>
        <v>6</v>
      </c>
      <c r="EC5" s="23">
        <f t="shared" si="38"/>
        <v>0.02</v>
      </c>
      <c r="ED5" s="23">
        <f t="shared" si="38"/>
        <v>-0.05</v>
      </c>
      <c r="EE5" s="21">
        <f>'Quick Setup'!V62</f>
        <v>0.95</v>
      </c>
      <c r="EF5" s="24">
        <f>if(EE5='Quick Setup'!$C$33,'Quick Setup'!$C35,if(EE5='Quick Setup'!$D$33,'Quick Setup'!$D35,if(EE5='Quick Setup'!$E$33,'Quick Setup'!$E35,if(EE5='Quick Setup'!$F$33,'Quick Setup'!$F35,if(EE5='Quick Setup'!$G$33,'Quick Setup'!$G35,if(EE5='Quick Setup'!$H$33,'Quick Setup'!$H35,if(EE5='Quick Setup'!$I$33,'Quick Setup'!$I35,if(EE5='Quick Setup'!$J$33,'Quick Setup'!$J35,if(EE5='Quick Setup'!$K$33,'Quick Setup'!$K35,if(EE5='Quick Setup'!$L$33,'Quick Setup'!$L35,if(EE5='Quick Setup'!$M$33,'Quick Setup'!$M35,if(EE5='Quick Setup'!$N$33,'Quick Setup'!$N35,if(EE5='Quick Setup'!$O$33,'Quick Setup'!$O35,if(EE5='Quick Setup'!$P$33,'Quick Setup'!$P35,if(EE5='Quick Setup'!$Q$33,'Quick Setup'!$Q35,if(EE5='Quick Setup'!$R$33,'Quick Setup'!$R35,if(EE5='Quick Setup'!$S$33,'Quick Setup'!$S35,if(EE5='Quick Setup'!$T$33,'Quick Setup'!$T35,if(EE5='Quick Setup'!$U$33,'Quick Setup'!$U35,if(EE5='Quick Setup'!$V$33,'Quick Setup'!$V35,'2x'!EZ6))))))))))))))))))))</f>
        <v>1</v>
      </c>
      <c r="EG5" s="22">
        <f>if(EE5='Quick Setup'!$C$47,'Quick Setup'!$C49,if(EE5='Quick Setup'!$D$47,'Quick Setup'!$D49,if(EE5='Quick Setup'!$E$47,'Quick Setup'!$E49,if(EE5='Quick Setup'!$F$47,'Quick Setup'!$F49,if(EE5='Quick Setup'!$G$47,'Quick Setup'!$G49,if(EE5='Quick Setup'!$H$47,'Quick Setup'!$H49,if(EE5='Quick Setup'!$I$47,'Quick Setup'!$I49,if(EE5='Quick Setup'!$J$47,'Quick Setup'!$J49,if(EE5='Quick Setup'!$K$47,'Quick Setup'!$K49,if(EE5='Quick Setup'!$L$47,'Quick Setup'!$L49,if(EE5='Quick Setup'!$M$47,'Quick Setup'!$M49,if(EE5='Quick Setup'!$N$47,'Quick Setup'!$N49,if(EE5='Quick Setup'!$O$47,'Quick Setup'!$O49,if(EE5='Quick Setup'!$P$47,'Quick Setup'!$P49,if(EE5='Quick Setup'!$Q$47,'Quick Setup'!$Q49,if(EE5='Quick Setup'!$R$47,'Quick Setup'!$R49,if(EE5='Quick Setup'!$S$47,'Quick Setup'!$S49,if(EE5='Quick Setup'!$T$47,'Quick Setup'!$T49,if(EE5='Quick Setup'!$U$47,'Quick Setup'!$U49,if(EE5='Quick Setup'!$V$47,'Quick Setup'!$V49,if(EE5='Quick Setup'!$W$47,'Quick Setup'!$W49)))))))))))))))))))))</f>
        <v>1</v>
      </c>
      <c r="EH5" s="22">
        <f t="shared" ref="EH5:EK5" si="39">EA5</f>
        <v>4</v>
      </c>
      <c r="EI5" s="22">
        <f t="shared" si="39"/>
        <v>6</v>
      </c>
      <c r="EJ5" s="23">
        <f t="shared" si="39"/>
        <v>0.02</v>
      </c>
      <c r="EK5" s="23">
        <f t="shared" si="39"/>
        <v>-0.05</v>
      </c>
      <c r="EL5" s="21">
        <f>'Quick Setup'!W62</f>
        <v>0.6</v>
      </c>
      <c r="EM5" s="24">
        <f>if(EL5='Quick Setup'!$C$33,'Quick Setup'!$C35,if(EL5='Quick Setup'!$D$33,'Quick Setup'!$D35,if(EL5='Quick Setup'!$E$33,'Quick Setup'!$E35,if(EL5='Quick Setup'!$F$33,'Quick Setup'!$F35,if(EL5='Quick Setup'!$G$33,'Quick Setup'!$G35,if(EL5='Quick Setup'!$H$33,'Quick Setup'!$H35,if(EL5='Quick Setup'!$I$33,'Quick Setup'!$I35,if(EL5='Quick Setup'!$J$33,'Quick Setup'!$J35,if(EL5='Quick Setup'!$K$33,'Quick Setup'!$K35,if(EL5='Quick Setup'!$L$33,'Quick Setup'!$L35,if(EL5='Quick Setup'!$M$33,'Quick Setup'!$M35,if(EL5='Quick Setup'!$N$33,'Quick Setup'!$N35,if(EL5='Quick Setup'!$O$33,'Quick Setup'!$O35,if(EL5='Quick Setup'!$P$33,'Quick Setup'!$P35,if(EL5='Quick Setup'!$Q$33,'Quick Setup'!$Q35,if(EL5='Quick Setup'!$R$33,'Quick Setup'!$R35,if(EL5='Quick Setup'!$S$33,'Quick Setup'!$S35,if(EL5='Quick Setup'!$T$33,'Quick Setup'!$T35,if(EL5='Quick Setup'!$U$33,'Quick Setup'!$U35,if(EL5='Quick Setup'!$V$33,'Quick Setup'!$V35,'2x'!FG6))))))))))))))))))))</f>
        <v>7</v>
      </c>
      <c r="EN5" s="22">
        <f>if(EL5='Quick Setup'!$C$47,'Quick Setup'!$C49,if(EL5='Quick Setup'!$D$47,'Quick Setup'!$D49,if(EL5='Quick Setup'!$E$47,'Quick Setup'!$E49,if(EL5='Quick Setup'!$F$47,'Quick Setup'!$F49,if(EL5='Quick Setup'!$G$47,'Quick Setup'!$G49,if(EL5='Quick Setup'!$H$47,'Quick Setup'!$H49,if(EL5='Quick Setup'!$I$47,'Quick Setup'!$I49,if(EL5='Quick Setup'!$J$47,'Quick Setup'!$J49,if(EL5='Quick Setup'!$K$47,'Quick Setup'!$K49,if(EL5='Quick Setup'!$L$47,'Quick Setup'!$L49,if(EL5='Quick Setup'!$M$47,'Quick Setup'!$M49,if(EL5='Quick Setup'!$N$47,'Quick Setup'!$N49,if(EL5='Quick Setup'!$O$47,'Quick Setup'!$O49,if(EL5='Quick Setup'!$P$47,'Quick Setup'!$P49,if(EL5='Quick Setup'!$Q$47,'Quick Setup'!$Q49,if(EL5='Quick Setup'!$R$47,'Quick Setup'!$R49,if(EL5='Quick Setup'!$S$47,'Quick Setup'!$S49,if(EL5='Quick Setup'!$T$47,'Quick Setup'!$T49,if(EL5='Quick Setup'!$U$47,'Quick Setup'!$U49,if(EL5='Quick Setup'!$V$47,'Quick Setup'!$V49,if(EL5='Quick Setup'!$W$47,'Quick Setup'!$W49)))))))))))))))))))))</f>
        <v>4</v>
      </c>
      <c r="EO5" s="22">
        <f t="shared" ref="EO5:ER5" si="40">EH5</f>
        <v>4</v>
      </c>
      <c r="EP5" s="22">
        <f t="shared" si="40"/>
        <v>6</v>
      </c>
      <c r="EQ5" s="23">
        <f t="shared" si="40"/>
        <v>0.02</v>
      </c>
      <c r="ER5" s="23">
        <f t="shared" si="40"/>
        <v>-0.05</v>
      </c>
    </row>
    <row r="6">
      <c r="A6" t="str">
        <f>'Quick Setup'!C7</f>
        <v>Deadlift</v>
      </c>
      <c r="B6" s="21">
        <f>'Quick Setup'!C63</f>
        <v>0.7</v>
      </c>
      <c r="C6" s="22">
        <f>if(B6='Quick Setup'!$C$33,'Quick Setup'!$C36,if(B6='Quick Setup'!$D$33,'Quick Setup'!$D36,if(B6='Quick Setup'!$E$33,'Quick Setup'!$E36,if(B6='Quick Setup'!$F$33,'Quick Setup'!$F36,if(B6='Quick Setup'!$G$33,'Quick Setup'!$G36,if(B6='Quick Setup'!$H$33,'Quick Setup'!$H36,if(B6='Quick Setup'!$I$33,'Quick Setup'!$I36,if(B6='Quick Setup'!$J$33,'Quick Setup'!$J36,if(B6='Quick Setup'!$K$33,'Quick Setup'!$K36,if(B6='Quick Setup'!$L$33,'Quick Setup'!$L36,if(B6='Quick Setup'!$M$33,'Quick Setup'!$M36,if(B6='Quick Setup'!$N$33,'Quick Setup'!$N36,if(B6='Quick Setup'!$O$33,'Quick Setup'!$O36,if(B6='Quick Setup'!$P$33,'Quick Setup'!$P36,if(B6='Quick Setup'!$Q$33,'Quick Setup'!$Q36,if(B6='Quick Setup'!$R$33,'Quick Setup'!$R36,if(B6='Quick Setup'!$S$33,'Quick Setup'!$S36,if(B6='Quick Setup'!$T$33,'Quick Setup'!$T36,if(B6='Quick Setup'!$U$33,'Quick Setup'!$U36,if(B6='Quick Setup'!$V$33,'Quick Setup'!$V36,'Quick Setup'!W36))))))))))))))))))))</f>
        <v>5</v>
      </c>
      <c r="D6" s="22">
        <f>if(B6='Quick Setup'!$C$47,'Quick Setup'!$C50,if(B6='Quick Setup'!$D$47,'Quick Setup'!$D50,if(B6='Quick Setup'!$E$47,'Quick Setup'!$E50,if(B6='Quick Setup'!$F$47,'Quick Setup'!$F50,if(B6='Quick Setup'!$G$47,'Quick Setup'!$G50,if(B6='Quick Setup'!$H$47,'Quick Setup'!$H50,if(B6='Quick Setup'!$I$47,'Quick Setup'!$I50,if(B6='Quick Setup'!$J$47,'Quick Setup'!$J50,if(B6='Quick Setup'!$K$47,'Quick Setup'!$K50,if(B6='Quick Setup'!$L$47,'Quick Setup'!$L50,if(B6='Quick Setup'!$M$47,'Quick Setup'!$M50,if(B6='Quick Setup'!$N$47,'Quick Setup'!$N50,if(B6='Quick Setup'!$O$47,'Quick Setup'!$O50,if(B6='Quick Setup'!$P$47,'Quick Setup'!$P50,if(B6='Quick Setup'!$Q$47,'Quick Setup'!$Q50,if(B6='Quick Setup'!$R$47,'Quick Setup'!$R50,if(B6='Quick Setup'!$S$47,'Quick Setup'!$S50,if(B6='Quick Setup'!$T$47,'Quick Setup'!$T50,if(B6='Quick Setup'!$U$47,'Quick Setup'!$U50,if(B6='Quick Setup'!$V$47,'Quick Setup'!$V50,if(B6='Quick Setup'!$W$47,'Quick Setup'!$W50)))))))))))))))))))))</f>
        <v>3</v>
      </c>
      <c r="E6" s="22">
        <f>'Quick Setup'!H8</f>
        <v>4</v>
      </c>
      <c r="F6" s="22">
        <f>'Quick Setup'!I8</f>
        <v>6</v>
      </c>
      <c r="G6" s="23">
        <f>'Quick Setup'!J8</f>
        <v>0.02</v>
      </c>
      <c r="H6" s="23">
        <f>'Quick Setup'!K8</f>
        <v>-0.05</v>
      </c>
      <c r="I6" s="21">
        <f>'Quick Setup'!D63</f>
        <v>0.75</v>
      </c>
      <c r="J6" s="22">
        <f>if(I6='Quick Setup'!$C$33,'Quick Setup'!$C36,if(I6='Quick Setup'!$D$33,'Quick Setup'!$D36,if(I6='Quick Setup'!$E$33,'Quick Setup'!$E36,if(I6='Quick Setup'!$F$33,'Quick Setup'!$F36,if(I6='Quick Setup'!$G$33,'Quick Setup'!$G36,if(I6='Quick Setup'!$H$33,'Quick Setup'!$H36,if(I6='Quick Setup'!$I$33,'Quick Setup'!$I36,if(I6='Quick Setup'!$J$33,'Quick Setup'!$J36,if(I6='Quick Setup'!$K$33,'Quick Setup'!$K36,if(I6='Quick Setup'!$L$33,'Quick Setup'!$L36,if(I6='Quick Setup'!$M$33,'Quick Setup'!$M36,if(I6='Quick Setup'!$N$33,'Quick Setup'!$N36,if(I6='Quick Setup'!$O$33,'Quick Setup'!$O36,if(I6='Quick Setup'!$P$33,'Quick Setup'!$P36,if(I6='Quick Setup'!$Q$33,'Quick Setup'!$Q36,if(I6='Quick Setup'!$R$33,'Quick Setup'!$R36,if(I6='Quick Setup'!$S$33,'Quick Setup'!$S36,if(I6='Quick Setup'!$T$33,'Quick Setup'!$T36,if(I6='Quick Setup'!$U$33,'Quick Setup'!$U36,if(I6='Quick Setup'!$V$33,'Quick Setup'!$V36,'2x'!AD7))))))))))))))))))))</f>
        <v>4</v>
      </c>
      <c r="K6" s="22">
        <f>if(I6='Quick Setup'!$C$47,'Quick Setup'!$C50,if(I6='Quick Setup'!$D$47,'Quick Setup'!$D50,if(I6='Quick Setup'!$E$47,'Quick Setup'!$E50,if(I6='Quick Setup'!$F$47,'Quick Setup'!$F50,if(I6='Quick Setup'!$G$47,'Quick Setup'!$G50,if(I6='Quick Setup'!$H$47,'Quick Setup'!$H50,if(I6='Quick Setup'!$I$47,'Quick Setup'!$I50,if(I6='Quick Setup'!$J$47,'Quick Setup'!$J50,if(I6='Quick Setup'!$K$47,'Quick Setup'!$K50,if(I6='Quick Setup'!$L$47,'Quick Setup'!$L50,if(I6='Quick Setup'!$M$47,'Quick Setup'!$M50,if(I6='Quick Setup'!$N$47,'Quick Setup'!$N50,if(I6='Quick Setup'!$O$47,'Quick Setup'!$O50,if(I6='Quick Setup'!$P$47,'Quick Setup'!$P50,if(I6='Quick Setup'!$Q$47,'Quick Setup'!$Q50,if(I6='Quick Setup'!$R$47,'Quick Setup'!$R50,if(I6='Quick Setup'!$S$47,'Quick Setup'!$S50,if(I6='Quick Setup'!$T$47,'Quick Setup'!$T50,if(I6='Quick Setup'!$U$47,'Quick Setup'!$U50,if(I6='Quick Setup'!$V$47,'Quick Setup'!$V50,if(I6='Quick Setup'!$W$47,'Quick Setup'!$W50)))))))))))))))))))))</f>
        <v>3</v>
      </c>
      <c r="L6" s="22">
        <f t="shared" ref="L6:O6" si="41">E6</f>
        <v>4</v>
      </c>
      <c r="M6" s="22">
        <f t="shared" si="41"/>
        <v>6</v>
      </c>
      <c r="N6" s="23">
        <f t="shared" si="41"/>
        <v>0.02</v>
      </c>
      <c r="O6" s="23">
        <f t="shared" si="41"/>
        <v>-0.05</v>
      </c>
      <c r="P6" s="21">
        <f>'Quick Setup'!E63</f>
        <v>0.8</v>
      </c>
      <c r="Q6" s="24">
        <f>if(P6='Quick Setup'!$C$33,'Quick Setup'!$C36,if(P6='Quick Setup'!$D$33,'Quick Setup'!$D36,if(P6='Quick Setup'!$E$33,'Quick Setup'!$E36,if(P6='Quick Setup'!$F$33,'Quick Setup'!$F36,if(P6='Quick Setup'!$G$33,'Quick Setup'!$G36,if(P6='Quick Setup'!$H$33,'Quick Setup'!$H36,if(P6='Quick Setup'!$I$33,'Quick Setup'!$I36,if(P6='Quick Setup'!$J$33,'Quick Setup'!$J36,if(P6='Quick Setup'!$K$33,'Quick Setup'!$K36,if(P6='Quick Setup'!$L$33,'Quick Setup'!$L36,if(P6='Quick Setup'!$M$33,'Quick Setup'!$M36,if(P6='Quick Setup'!$N$33,'Quick Setup'!$N36,if(P6='Quick Setup'!$O$33,'Quick Setup'!$O36,if(P6='Quick Setup'!$P$33,'Quick Setup'!$P36,if(P6='Quick Setup'!$Q$33,'Quick Setup'!$Q36,if(P6='Quick Setup'!$R$33,'Quick Setup'!$R36,if(P6='Quick Setup'!$S$33,'Quick Setup'!$S36,if(P6='Quick Setup'!$T$33,'Quick Setup'!$T36,if(P6='Quick Setup'!$U$33,'Quick Setup'!$U36,if(P6='Quick Setup'!$V$33,'Quick Setup'!$V36,'2x'!AK7))))))))))))))))))))</f>
        <v>3</v>
      </c>
      <c r="R6" s="22">
        <f>if(P6='Quick Setup'!$C$47,'Quick Setup'!$C50,if(P6='Quick Setup'!$D$47,'Quick Setup'!$D50,if(P6='Quick Setup'!$E$47,'Quick Setup'!$E50,if(P6='Quick Setup'!$F$47,'Quick Setup'!$F50,if(P6='Quick Setup'!$G$47,'Quick Setup'!$G50,if(P6='Quick Setup'!$H$47,'Quick Setup'!$H50,if(P6='Quick Setup'!$I$47,'Quick Setup'!$I50,if(P6='Quick Setup'!$J$47,'Quick Setup'!$J50,if(P6='Quick Setup'!$K$47,'Quick Setup'!$K50,if(P6='Quick Setup'!$L$47,'Quick Setup'!$L50,if(P6='Quick Setup'!$M$47,'Quick Setup'!$M50,if(P6='Quick Setup'!$N$47,'Quick Setup'!$N50,if(P6='Quick Setup'!$O$47,'Quick Setup'!$O50,if(P6='Quick Setup'!$P$47,'Quick Setup'!$P50,if(P6='Quick Setup'!$Q$47,'Quick Setup'!$Q50,if(P6='Quick Setup'!$R$47,'Quick Setup'!$R50,if(P6='Quick Setup'!$S$47,'Quick Setup'!$S50,if(P6='Quick Setup'!$T$47,'Quick Setup'!$T50,if(P6='Quick Setup'!$U$47,'Quick Setup'!$U50,if(P6='Quick Setup'!$V$47,'Quick Setup'!$V50,if(P6='Quick Setup'!$W$47,'Quick Setup'!$W50)))))))))))))))))))))</f>
        <v>2</v>
      </c>
      <c r="S6" s="22">
        <f t="shared" ref="S6:V6" si="42">L6</f>
        <v>4</v>
      </c>
      <c r="T6" s="22">
        <f t="shared" si="42"/>
        <v>6</v>
      </c>
      <c r="U6" s="23">
        <f t="shared" si="42"/>
        <v>0.02</v>
      </c>
      <c r="V6" s="23">
        <f t="shared" si="42"/>
        <v>-0.05</v>
      </c>
      <c r="W6" s="21">
        <f>'Quick Setup'!F63</f>
        <v>0.725</v>
      </c>
      <c r="X6" s="24">
        <f>if(W6='Quick Setup'!$C$33,'Quick Setup'!$C36,if(W6='Quick Setup'!$D$33,'Quick Setup'!$D36,if(W6='Quick Setup'!$E$33,'Quick Setup'!$E36,if(W6='Quick Setup'!$F$33,'Quick Setup'!$F36,if(W6='Quick Setup'!$G$33,'Quick Setup'!$G36,if(W6='Quick Setup'!$H$33,'Quick Setup'!$H36,if(W6='Quick Setup'!$I$33,'Quick Setup'!$I36,if(W6='Quick Setup'!$J$33,'Quick Setup'!$J36,if(W6='Quick Setup'!$K$33,'Quick Setup'!$K36,if(W6='Quick Setup'!$L$33,'Quick Setup'!$L36,if(W6='Quick Setup'!$M$33,'Quick Setup'!$M36,if(W6='Quick Setup'!$N$33,'Quick Setup'!$N36,if(W6='Quick Setup'!$O$33,'Quick Setup'!$O36,if(W6='Quick Setup'!$P$33,'Quick Setup'!$P36,if(W6='Quick Setup'!$Q$33,'Quick Setup'!$Q36,if(W6='Quick Setup'!$R$33,'Quick Setup'!$R36,if(W6='Quick Setup'!$S$33,'Quick Setup'!$S36,if(W6='Quick Setup'!$T$33,'Quick Setup'!$T36,if(W6='Quick Setup'!$U$33,'Quick Setup'!$U36,if(W6='Quick Setup'!$V$33,'Quick Setup'!$V36,'2x'!AR7))))))))))))))))))))</f>
        <v>5</v>
      </c>
      <c r="Y6" s="22">
        <f>if(W6='Quick Setup'!$C$47,'Quick Setup'!$C50,if(W6='Quick Setup'!$D$47,'Quick Setup'!$D50,if(W6='Quick Setup'!$E$47,'Quick Setup'!$E50,if(W6='Quick Setup'!$F$47,'Quick Setup'!$F50,if(W6='Quick Setup'!$G$47,'Quick Setup'!$G50,if(W6='Quick Setup'!$H$47,'Quick Setup'!$H50,if(W6='Quick Setup'!$I$47,'Quick Setup'!$I50,if(W6='Quick Setup'!$J$47,'Quick Setup'!$J50,if(W6='Quick Setup'!$K$47,'Quick Setup'!$K50,if(W6='Quick Setup'!$L$47,'Quick Setup'!$L50,if(W6='Quick Setup'!$M$47,'Quick Setup'!$M50,if(W6='Quick Setup'!$N$47,'Quick Setup'!$N50,if(W6='Quick Setup'!$O$47,'Quick Setup'!$O50,if(W6='Quick Setup'!$P$47,'Quick Setup'!$P50,if(W6='Quick Setup'!$Q$47,'Quick Setup'!$Q50,if(W6='Quick Setup'!$R$47,'Quick Setup'!$R50,if(W6='Quick Setup'!$S$47,'Quick Setup'!$S50,if(W6='Quick Setup'!$T$47,'Quick Setup'!$T50,if(W6='Quick Setup'!$U$47,'Quick Setup'!$U50,if(W6='Quick Setup'!$V$47,'Quick Setup'!$V50,if(W6='Quick Setup'!$W$47,'Quick Setup'!$W50)))))))))))))))))))))</f>
        <v>3</v>
      </c>
      <c r="Z6" s="22">
        <f t="shared" ref="Z6:AC6" si="43">S6</f>
        <v>4</v>
      </c>
      <c r="AA6" s="22">
        <f t="shared" si="43"/>
        <v>6</v>
      </c>
      <c r="AB6" s="23">
        <f t="shared" si="43"/>
        <v>0.02</v>
      </c>
      <c r="AC6" s="23">
        <f t="shared" si="43"/>
        <v>-0.05</v>
      </c>
      <c r="AD6" s="21">
        <f>'Quick Setup'!G63</f>
        <v>0.775</v>
      </c>
      <c r="AE6" s="24">
        <f>if(AD6='Quick Setup'!$C$33,'Quick Setup'!$C36,if(AD6='Quick Setup'!$D$33,'Quick Setup'!$D36,if(AD6='Quick Setup'!$E$33,'Quick Setup'!$E36,if(AD6='Quick Setup'!$F$33,'Quick Setup'!$F36,if(AD6='Quick Setup'!$G$33,'Quick Setup'!$G36,if(AD6='Quick Setup'!$H$33,'Quick Setup'!$H36,if(AD6='Quick Setup'!$I$33,'Quick Setup'!$I36,if(AD6='Quick Setup'!$J$33,'Quick Setup'!$J36,if(AD6='Quick Setup'!$K$33,'Quick Setup'!$K36,if(AD6='Quick Setup'!$L$33,'Quick Setup'!$L36,if(AD6='Quick Setup'!$M$33,'Quick Setup'!$M36,if(AD6='Quick Setup'!$N$33,'Quick Setup'!$N36,if(AD6='Quick Setup'!$O$33,'Quick Setup'!$O36,if(AD6='Quick Setup'!$P$33,'Quick Setup'!$P36,if(AD6='Quick Setup'!$Q$33,'Quick Setup'!$Q36,if(AD6='Quick Setup'!$R$33,'Quick Setup'!$R36,if(AD6='Quick Setup'!$S$33,'Quick Setup'!$S36,if(AD6='Quick Setup'!$T$33,'Quick Setup'!$T36,if(AD6='Quick Setup'!$U$33,'Quick Setup'!$U36,if(AD6='Quick Setup'!$V$33,'Quick Setup'!$V36,'2x'!AY7))))))))))))))))))))</f>
        <v>4</v>
      </c>
      <c r="AF6" s="22">
        <f>if(AD6='Quick Setup'!$C$47,'Quick Setup'!$C50,if(AD6='Quick Setup'!$D$47,'Quick Setup'!$D50,if(AD6='Quick Setup'!$E$47,'Quick Setup'!$E50,if(AD6='Quick Setup'!$F$47,'Quick Setup'!$F50,if(AD6='Quick Setup'!$G$47,'Quick Setup'!$G50,if(AD6='Quick Setup'!$H$47,'Quick Setup'!$H50,if(AD6='Quick Setup'!$I$47,'Quick Setup'!$I50,if(AD6='Quick Setup'!$J$47,'Quick Setup'!$J50,if(AD6='Quick Setup'!$K$47,'Quick Setup'!$K50,if(AD6='Quick Setup'!$L$47,'Quick Setup'!$L50,if(AD6='Quick Setup'!$M$47,'Quick Setup'!$M50,if(AD6='Quick Setup'!$N$47,'Quick Setup'!$N50,if(AD6='Quick Setup'!$O$47,'Quick Setup'!$O50,if(AD6='Quick Setup'!$P$47,'Quick Setup'!$P50,if(AD6='Quick Setup'!$Q$47,'Quick Setup'!$Q50,if(AD6='Quick Setup'!$R$47,'Quick Setup'!$R50,if(AD6='Quick Setup'!$S$47,'Quick Setup'!$S50,if(AD6='Quick Setup'!$T$47,'Quick Setup'!$T50,if(AD6='Quick Setup'!$U$47,'Quick Setup'!$U50,if(AD6='Quick Setup'!$V$47,'Quick Setup'!$V50,if(AD6='Quick Setup'!$W$47,'Quick Setup'!$W50)))))))))))))))))))))</f>
        <v>3</v>
      </c>
      <c r="AG6" s="22">
        <f t="shared" ref="AG6:AJ6" si="44">Z6</f>
        <v>4</v>
      </c>
      <c r="AH6" s="22">
        <f t="shared" si="44"/>
        <v>6</v>
      </c>
      <c r="AI6" s="23">
        <f t="shared" si="44"/>
        <v>0.02</v>
      </c>
      <c r="AJ6" s="23">
        <f t="shared" si="44"/>
        <v>-0.05</v>
      </c>
      <c r="AK6" s="21">
        <f>'Quick Setup'!H63</f>
        <v>0.825</v>
      </c>
      <c r="AL6" s="24">
        <f>if(AK6='Quick Setup'!$C$33,'Quick Setup'!$C36,if(AK6='Quick Setup'!$D$33,'Quick Setup'!$D36,if(AK6='Quick Setup'!$E$33,'Quick Setup'!$E36,if(AK6='Quick Setup'!$F$33,'Quick Setup'!$F36,if(AK6='Quick Setup'!$G$33,'Quick Setup'!$G36,if(AK6='Quick Setup'!$H$33,'Quick Setup'!$H36,if(AK6='Quick Setup'!$I$33,'Quick Setup'!$I36,if(AK6='Quick Setup'!$J$33,'Quick Setup'!$J36,if(AK6='Quick Setup'!$K$33,'Quick Setup'!$K36,if(AK6='Quick Setup'!$L$33,'Quick Setup'!$L36,if(AK6='Quick Setup'!$M$33,'Quick Setup'!$M36,if(AK6='Quick Setup'!$N$33,'Quick Setup'!$N36,if(AK6='Quick Setup'!$O$33,'Quick Setup'!$O36,if(AK6='Quick Setup'!$P$33,'Quick Setup'!$P36,if(AK6='Quick Setup'!$Q$33,'Quick Setup'!$Q36,if(AK6='Quick Setup'!$R$33,'Quick Setup'!$R36,if(AK6='Quick Setup'!$S$33,'Quick Setup'!$S36,if(AK6='Quick Setup'!$T$33,'Quick Setup'!$T36,if(AK6='Quick Setup'!$U$33,'Quick Setup'!$U36,if(AK6='Quick Setup'!$V$33,'Quick Setup'!$V36,'2x'!BF7))))))))))))))))))))</f>
        <v>3</v>
      </c>
      <c r="AM6" s="22">
        <f>if(AK6='Quick Setup'!$C$47,'Quick Setup'!$C50,if(AK6='Quick Setup'!$D$47,'Quick Setup'!$D50,if(AK6='Quick Setup'!$E$47,'Quick Setup'!$E50,if(AK6='Quick Setup'!$F$47,'Quick Setup'!$F50,if(AK6='Quick Setup'!$G$47,'Quick Setup'!$G50,if(AK6='Quick Setup'!$H$47,'Quick Setup'!$H50,if(AK6='Quick Setup'!$I$47,'Quick Setup'!$I50,if(AK6='Quick Setup'!$J$47,'Quick Setup'!$J50,if(AK6='Quick Setup'!$K$47,'Quick Setup'!$K50,if(AK6='Quick Setup'!$L$47,'Quick Setup'!$L50,if(AK6='Quick Setup'!$M$47,'Quick Setup'!$M50,if(AK6='Quick Setup'!$N$47,'Quick Setup'!$N50,if(AK6='Quick Setup'!$O$47,'Quick Setup'!$O50,if(AK6='Quick Setup'!$P$47,'Quick Setup'!$P50,if(AK6='Quick Setup'!$Q$47,'Quick Setup'!$Q50,if(AK6='Quick Setup'!$R$47,'Quick Setup'!$R50,if(AK6='Quick Setup'!$S$47,'Quick Setup'!$S50,if(AK6='Quick Setup'!$T$47,'Quick Setup'!$T50,if(AK6='Quick Setup'!$U$47,'Quick Setup'!$U50,if(AK6='Quick Setup'!$V$47,'Quick Setup'!$V50,if(AK6='Quick Setup'!$W$47,'Quick Setup'!$W50)))))))))))))))))))))</f>
        <v>2</v>
      </c>
      <c r="AN6" s="22">
        <f t="shared" ref="AN6:AQ6" si="45">AG6</f>
        <v>4</v>
      </c>
      <c r="AO6" s="22">
        <f t="shared" si="45"/>
        <v>6</v>
      </c>
      <c r="AP6" s="23">
        <f t="shared" si="45"/>
        <v>0.02</v>
      </c>
      <c r="AQ6" s="23">
        <f t="shared" si="45"/>
        <v>-0.05</v>
      </c>
      <c r="AR6" s="21">
        <f>'Quick Setup'!I63</f>
        <v>0.6</v>
      </c>
      <c r="AS6" s="24">
        <f>if(AR6='Quick Setup'!$C$33,'Quick Setup'!$C36,if(AR6='Quick Setup'!$D$33,'Quick Setup'!$D36,if(AR6='Quick Setup'!$E$33,'Quick Setup'!$E36,if(AR6='Quick Setup'!$F$33,'Quick Setup'!$F36,if(AR6='Quick Setup'!$G$33,'Quick Setup'!$G36,if(AR6='Quick Setup'!$H$33,'Quick Setup'!$H36,if(AR6='Quick Setup'!$I$33,'Quick Setup'!$I36,if(AR6='Quick Setup'!$J$33,'Quick Setup'!$J36,if(AR6='Quick Setup'!$K$33,'Quick Setup'!$K36,if(AR6='Quick Setup'!$L$33,'Quick Setup'!$L36,if(AR6='Quick Setup'!$M$33,'Quick Setup'!$M36,if(AR6='Quick Setup'!$N$33,'Quick Setup'!$N36,if(AR6='Quick Setup'!$O$33,'Quick Setup'!$O36,if(AR6='Quick Setup'!$P$33,'Quick Setup'!$P36,if(AR6='Quick Setup'!$Q$33,'Quick Setup'!$Q36,if(AR6='Quick Setup'!$R$33,'Quick Setup'!$R36,if(AR6='Quick Setup'!$S$33,'Quick Setup'!$S36,if(AR6='Quick Setup'!$T$33,'Quick Setup'!$T36,if(AR6='Quick Setup'!$U$33,'Quick Setup'!$U36,if(AR6='Quick Setup'!$V$33,'Quick Setup'!$V36,'2x'!BM7))))))))))))))))))))</f>
        <v>7</v>
      </c>
      <c r="AT6" s="22">
        <f>if(AR6='Quick Setup'!$C$47,'Quick Setup'!$C50,if(AR6='Quick Setup'!$D$47,'Quick Setup'!$D50,if(AR6='Quick Setup'!$E$47,'Quick Setup'!$E50,if(AR6='Quick Setup'!$F$47,'Quick Setup'!$F50,if(AR6='Quick Setup'!$G$47,'Quick Setup'!$G50,if(AR6='Quick Setup'!$H$47,'Quick Setup'!$H50,if(AR6='Quick Setup'!$I$47,'Quick Setup'!$I50,if(AR6='Quick Setup'!$J$47,'Quick Setup'!$J50,if(AR6='Quick Setup'!$K$47,'Quick Setup'!$K50,if(AR6='Quick Setup'!$L$47,'Quick Setup'!$L50,if(AR6='Quick Setup'!$M$47,'Quick Setup'!$M50,if(AR6='Quick Setup'!$N$47,'Quick Setup'!$N50,if(AR6='Quick Setup'!$O$47,'Quick Setup'!$O50,if(AR6='Quick Setup'!$P$47,'Quick Setup'!$P50,if(AR6='Quick Setup'!$Q$47,'Quick Setup'!$Q50,if(AR6='Quick Setup'!$R$47,'Quick Setup'!$R50,if(AR6='Quick Setup'!$S$47,'Quick Setup'!$S50,if(AR6='Quick Setup'!$T$47,'Quick Setup'!$T50,if(AR6='Quick Setup'!$U$47,'Quick Setup'!$U50,if(AR6='Quick Setup'!$V$47,'Quick Setup'!$V50,if(AR6='Quick Setup'!$W$47,'Quick Setup'!$W50)))))))))))))))))))))</f>
        <v>4</v>
      </c>
      <c r="AU6" s="22">
        <f t="shared" ref="AU6:AX6" si="46">AN6</f>
        <v>4</v>
      </c>
      <c r="AV6" s="22">
        <f t="shared" si="46"/>
        <v>6</v>
      </c>
      <c r="AW6" s="23">
        <f t="shared" si="46"/>
        <v>0.02</v>
      </c>
      <c r="AX6" s="23">
        <f t="shared" si="46"/>
        <v>-0.05</v>
      </c>
      <c r="AY6" s="21">
        <f>'Quick Setup'!J63</f>
        <v>0.75</v>
      </c>
      <c r="AZ6" s="24">
        <f>if(AY6='Quick Setup'!$C$33,'Quick Setup'!$C36,if(AY6='Quick Setup'!$D$33,'Quick Setup'!$D36,if(AY6='Quick Setup'!$E$33,'Quick Setup'!$E36,if(AY6='Quick Setup'!$F$33,'Quick Setup'!$F36,if(AY6='Quick Setup'!$G$33,'Quick Setup'!$G36,if(AY6='Quick Setup'!$H$33,'Quick Setup'!$H36,if(AY6='Quick Setup'!$I$33,'Quick Setup'!$I36,if(AY6='Quick Setup'!$J$33,'Quick Setup'!$J36,if(AY6='Quick Setup'!$K$33,'Quick Setup'!$K36,if(AY6='Quick Setup'!$L$33,'Quick Setup'!$L36,if(AY6='Quick Setup'!$M$33,'Quick Setup'!$M36,if(AY6='Quick Setup'!$N$33,'Quick Setup'!$N36,if(AY6='Quick Setup'!$O$33,'Quick Setup'!$O36,if(AY6='Quick Setup'!$P$33,'Quick Setup'!$P36,if(AY6='Quick Setup'!$Q$33,'Quick Setup'!$Q36,if(AY6='Quick Setup'!$R$33,'Quick Setup'!$R36,if(AY6='Quick Setup'!$S$33,'Quick Setup'!$S36,if(AY6='Quick Setup'!$T$33,'Quick Setup'!$T36,if(AY6='Quick Setup'!$U$33,'Quick Setup'!$U36,if(AY6='Quick Setup'!$V$33,'Quick Setup'!$V36,'2x'!BT7))))))))))))))))))))</f>
        <v>4</v>
      </c>
      <c r="BA6" s="22">
        <f>if(AY6='Quick Setup'!$C$47,'Quick Setup'!$C50,if(AY6='Quick Setup'!$D$47,'Quick Setup'!$D50,if(AY6='Quick Setup'!$E$47,'Quick Setup'!$E50,if(AY6='Quick Setup'!$F$47,'Quick Setup'!$F50,if(AY6='Quick Setup'!$G$47,'Quick Setup'!$G50,if(AY6='Quick Setup'!$H$47,'Quick Setup'!$H50,if(AY6='Quick Setup'!$I$47,'Quick Setup'!$I50,if(AY6='Quick Setup'!$J$47,'Quick Setup'!$J50,if(AY6='Quick Setup'!$K$47,'Quick Setup'!$K50,if(AY6='Quick Setup'!$L$47,'Quick Setup'!$L50,if(AY6='Quick Setup'!$M$47,'Quick Setup'!$M50,if(AY6='Quick Setup'!$N$47,'Quick Setup'!$N50,if(AY6='Quick Setup'!$O$47,'Quick Setup'!$O50,if(AY6='Quick Setup'!$P$47,'Quick Setup'!$P50,if(AY6='Quick Setup'!$Q$47,'Quick Setup'!$Q50,if(AY6='Quick Setup'!$R$47,'Quick Setup'!$R50,if(AY6='Quick Setup'!$S$47,'Quick Setup'!$S50,if(AY6='Quick Setup'!$T$47,'Quick Setup'!$T50,if(AY6='Quick Setup'!$U$47,'Quick Setup'!$U50,if(AY6='Quick Setup'!$V$47,'Quick Setup'!$V50,if(AY6='Quick Setup'!$W$47,'Quick Setup'!$W50)))))))))))))))))))))</f>
        <v>3</v>
      </c>
      <c r="BB6" s="22">
        <f t="shared" ref="BB6:BE6" si="47">AU6</f>
        <v>4</v>
      </c>
      <c r="BC6" s="22">
        <f t="shared" si="47"/>
        <v>6</v>
      </c>
      <c r="BD6" s="23">
        <f t="shared" si="47"/>
        <v>0.02</v>
      </c>
      <c r="BE6" s="23">
        <f t="shared" si="47"/>
        <v>-0.05</v>
      </c>
      <c r="BF6" s="21">
        <f>'Quick Setup'!K63</f>
        <v>0.8</v>
      </c>
      <c r="BG6" s="24">
        <f>if(BF6='Quick Setup'!$C$33,'Quick Setup'!$C36,if(BF6='Quick Setup'!$D$33,'Quick Setup'!$D36,if(BF6='Quick Setup'!$E$33,'Quick Setup'!$E36,if(BF6='Quick Setup'!$F$33,'Quick Setup'!$F36,if(BF6='Quick Setup'!$G$33,'Quick Setup'!$G36,if(BF6='Quick Setup'!$H$33,'Quick Setup'!$H36,if(BF6='Quick Setup'!$I$33,'Quick Setup'!$I36,if(BF6='Quick Setup'!$J$33,'Quick Setup'!$J36,if(BF6='Quick Setup'!$K$33,'Quick Setup'!$K36,if(BF6='Quick Setup'!$L$33,'Quick Setup'!$L36,if(BF6='Quick Setup'!$M$33,'Quick Setup'!$M36,if(BF6='Quick Setup'!$N$33,'Quick Setup'!$N36,if(BF6='Quick Setup'!$O$33,'Quick Setup'!$O36,if(BF6='Quick Setup'!$P$33,'Quick Setup'!$P36,if(BF6='Quick Setup'!$Q$33,'Quick Setup'!$Q36,if(BF6='Quick Setup'!$R$33,'Quick Setup'!$R36,if(BF6='Quick Setup'!$S$33,'Quick Setup'!$S36,if(BF6='Quick Setup'!$T$33,'Quick Setup'!$T36,if(BF6='Quick Setup'!$U$33,'Quick Setup'!$U36,if(BF6='Quick Setup'!$V$33,'Quick Setup'!$V36,'2x'!CA7))))))))))))))))))))</f>
        <v>3</v>
      </c>
      <c r="BH6" s="22">
        <f>if(BF6='Quick Setup'!$C$47,'Quick Setup'!$C50,if(BF6='Quick Setup'!$D$47,'Quick Setup'!$D50,if(BF6='Quick Setup'!$E$47,'Quick Setup'!$E50,if(BF6='Quick Setup'!$F$47,'Quick Setup'!$F50,if(BF6='Quick Setup'!$G$47,'Quick Setup'!$G50,if(BF6='Quick Setup'!$H$47,'Quick Setup'!$H50,if(BF6='Quick Setup'!$I$47,'Quick Setup'!$I50,if(BF6='Quick Setup'!$J$47,'Quick Setup'!$J50,if(BF6='Quick Setup'!$K$47,'Quick Setup'!$K50,if(BF6='Quick Setup'!$L$47,'Quick Setup'!$L50,if(BF6='Quick Setup'!$M$47,'Quick Setup'!$M50,if(BF6='Quick Setup'!$N$47,'Quick Setup'!$N50,if(BF6='Quick Setup'!$O$47,'Quick Setup'!$O50,if(BF6='Quick Setup'!$P$47,'Quick Setup'!$P50,if(BF6='Quick Setup'!$Q$47,'Quick Setup'!$Q50,if(BF6='Quick Setup'!$R$47,'Quick Setup'!$R50,if(BF6='Quick Setup'!$S$47,'Quick Setup'!$S50,if(BF6='Quick Setup'!$T$47,'Quick Setup'!$T50,if(BF6='Quick Setup'!$U$47,'Quick Setup'!$U50,if(BF6='Quick Setup'!$V$47,'Quick Setup'!$V50,if(BF6='Quick Setup'!$W$47,'Quick Setup'!$W50)))))))))))))))))))))</f>
        <v>2</v>
      </c>
      <c r="BI6" s="22">
        <f t="shared" ref="BI6:BL6" si="48">BB6</f>
        <v>4</v>
      </c>
      <c r="BJ6" s="22">
        <f t="shared" si="48"/>
        <v>6</v>
      </c>
      <c r="BK6" s="23">
        <f t="shared" si="48"/>
        <v>0.02</v>
      </c>
      <c r="BL6" s="23">
        <f t="shared" si="48"/>
        <v>-0.05</v>
      </c>
      <c r="BM6" s="21">
        <f>'Quick Setup'!L63</f>
        <v>0.85</v>
      </c>
      <c r="BN6" s="24">
        <f>if(BM6='Quick Setup'!$C$33,'Quick Setup'!$C36,if(BM6='Quick Setup'!$D$33,'Quick Setup'!$D36,if(BM6='Quick Setup'!$E$33,'Quick Setup'!$E36,if(BM6='Quick Setup'!$F$33,'Quick Setup'!$F36,if(BM6='Quick Setup'!$G$33,'Quick Setup'!$G36,if(BM6='Quick Setup'!$H$33,'Quick Setup'!$H36,if(BM6='Quick Setup'!$I$33,'Quick Setup'!$I36,if(BM6='Quick Setup'!$J$33,'Quick Setup'!$J36,if(BM6='Quick Setup'!$K$33,'Quick Setup'!$K36,if(BM6='Quick Setup'!$L$33,'Quick Setup'!$L36,if(BM6='Quick Setup'!$M$33,'Quick Setup'!$M36,if(BM6='Quick Setup'!$N$33,'Quick Setup'!$N36,if(BM6='Quick Setup'!$O$33,'Quick Setup'!$O36,if(BM6='Quick Setup'!$P$33,'Quick Setup'!$P36,if(BM6='Quick Setup'!$Q$33,'Quick Setup'!$Q36,if(BM6='Quick Setup'!$R$33,'Quick Setup'!$R36,if(BM6='Quick Setup'!$S$33,'Quick Setup'!$S36,if(BM6='Quick Setup'!$T$33,'Quick Setup'!$T36,if(BM6='Quick Setup'!$U$33,'Quick Setup'!$U36,if(BM6='Quick Setup'!$V$33,'Quick Setup'!$V36,'2x'!CH7))))))))))))))))))))</f>
        <v>2</v>
      </c>
      <c r="BO6" s="22">
        <f>if(BM6='Quick Setup'!$C$47,'Quick Setup'!$C50,if(BM6='Quick Setup'!$D$47,'Quick Setup'!$D50,if(BM6='Quick Setup'!$E$47,'Quick Setup'!$E50,if(BM6='Quick Setup'!$F$47,'Quick Setup'!$F50,if(BM6='Quick Setup'!$G$47,'Quick Setup'!$G50,if(BM6='Quick Setup'!$H$47,'Quick Setup'!$H50,if(BM6='Quick Setup'!$I$47,'Quick Setup'!$I50,if(BM6='Quick Setup'!$J$47,'Quick Setup'!$J50,if(BM6='Quick Setup'!$K$47,'Quick Setup'!$K50,if(BM6='Quick Setup'!$L$47,'Quick Setup'!$L50,if(BM6='Quick Setup'!$M$47,'Quick Setup'!$M50,if(BM6='Quick Setup'!$N$47,'Quick Setup'!$N50,if(BM6='Quick Setup'!$O$47,'Quick Setup'!$O50,if(BM6='Quick Setup'!$P$47,'Quick Setup'!$P50,if(BM6='Quick Setup'!$Q$47,'Quick Setup'!$Q50,if(BM6='Quick Setup'!$R$47,'Quick Setup'!$R50,if(BM6='Quick Setup'!$S$47,'Quick Setup'!$S50,if(BM6='Quick Setup'!$T$47,'Quick Setup'!$T50,if(BM6='Quick Setup'!$U$47,'Quick Setup'!$U50,if(BM6='Quick Setup'!$V$47,'Quick Setup'!$V50,if(BM6='Quick Setup'!$W$47,'Quick Setup'!$W50)))))))))))))))))))))</f>
        <v>2</v>
      </c>
      <c r="BP6" s="22">
        <f t="shared" ref="BP6:BS6" si="49">BI6</f>
        <v>4</v>
      </c>
      <c r="BQ6" s="22">
        <f t="shared" si="49"/>
        <v>6</v>
      </c>
      <c r="BR6" s="23">
        <f t="shared" si="49"/>
        <v>0.02</v>
      </c>
      <c r="BS6" s="23">
        <f t="shared" si="49"/>
        <v>-0.05</v>
      </c>
      <c r="BT6" s="21">
        <f>'Quick Setup'!M63</f>
        <v>0.775</v>
      </c>
      <c r="BU6" s="24">
        <f>if(BT6='Quick Setup'!$C$33,'Quick Setup'!$C36,if(BT6='Quick Setup'!$D$33,'Quick Setup'!$D36,if(BT6='Quick Setup'!$E$33,'Quick Setup'!$E36,if(BT6='Quick Setup'!$F$33,'Quick Setup'!$F36,if(BT6='Quick Setup'!$G$33,'Quick Setup'!$G36,if(BT6='Quick Setup'!$H$33,'Quick Setup'!$H36,if(BT6='Quick Setup'!$I$33,'Quick Setup'!$I36,if(BT6='Quick Setup'!$J$33,'Quick Setup'!$J36,if(BT6='Quick Setup'!$K$33,'Quick Setup'!$K36,if(BT6='Quick Setup'!$L$33,'Quick Setup'!$L36,if(BT6='Quick Setup'!$M$33,'Quick Setup'!$M36,if(BT6='Quick Setup'!$N$33,'Quick Setup'!$N36,if(BT6='Quick Setup'!$O$33,'Quick Setup'!$O36,if(BT6='Quick Setup'!$P$33,'Quick Setup'!$P36,if(BT6='Quick Setup'!$Q$33,'Quick Setup'!$Q36,if(BT6='Quick Setup'!$R$33,'Quick Setup'!$R36,if(BT6='Quick Setup'!$S$33,'Quick Setup'!$S36,if(BT6='Quick Setup'!$T$33,'Quick Setup'!$T36,if(BT6='Quick Setup'!$U$33,'Quick Setup'!$U36,if(BT6='Quick Setup'!$V$33,'Quick Setup'!$V36,'2x'!CO7))))))))))))))))))))</f>
        <v>4</v>
      </c>
      <c r="BV6" s="22">
        <f>if(BT6='Quick Setup'!$C$47,'Quick Setup'!$C50,if(BT6='Quick Setup'!$D$47,'Quick Setup'!$D50,if(BT6='Quick Setup'!$E$47,'Quick Setup'!$E50,if(BT6='Quick Setup'!$F$47,'Quick Setup'!$F50,if(BT6='Quick Setup'!$G$47,'Quick Setup'!$G50,if(BT6='Quick Setup'!$H$47,'Quick Setup'!$H50,if(BT6='Quick Setup'!$I$47,'Quick Setup'!$I50,if(BT6='Quick Setup'!$J$47,'Quick Setup'!$J50,if(BT6='Quick Setup'!$K$47,'Quick Setup'!$K50,if(BT6='Quick Setup'!$L$47,'Quick Setup'!$L50,if(BT6='Quick Setup'!$M$47,'Quick Setup'!$M50,if(BT6='Quick Setup'!$N$47,'Quick Setup'!$N50,if(BT6='Quick Setup'!$O$47,'Quick Setup'!$O50,if(BT6='Quick Setup'!$P$47,'Quick Setup'!$P50,if(BT6='Quick Setup'!$Q$47,'Quick Setup'!$Q50,if(BT6='Quick Setup'!$R$47,'Quick Setup'!$R50,if(BT6='Quick Setup'!$S$47,'Quick Setup'!$S50,if(BT6='Quick Setup'!$T$47,'Quick Setup'!$T50,if(BT6='Quick Setup'!$U$47,'Quick Setup'!$U50,if(BT6='Quick Setup'!$V$47,'Quick Setup'!$V50,if(BT6='Quick Setup'!$W$47,'Quick Setup'!$W50)))))))))))))))))))))</f>
        <v>3</v>
      </c>
      <c r="BW6" s="22">
        <f t="shared" ref="BW6:BZ6" si="50">BP6</f>
        <v>4</v>
      </c>
      <c r="BX6" s="22">
        <f t="shared" si="50"/>
        <v>6</v>
      </c>
      <c r="BY6" s="23">
        <f t="shared" si="50"/>
        <v>0.02</v>
      </c>
      <c r="BZ6" s="23">
        <f t="shared" si="50"/>
        <v>-0.05</v>
      </c>
      <c r="CA6" s="21">
        <f>'Quick Setup'!N63</f>
        <v>0.825</v>
      </c>
      <c r="CB6" s="24">
        <f>if(CA6='Quick Setup'!$C$33,'Quick Setup'!$C36,if(CA6='Quick Setup'!$D$33,'Quick Setup'!$D36,if(CA6='Quick Setup'!$E$33,'Quick Setup'!$E36,if(CA6='Quick Setup'!$F$33,'Quick Setup'!$F36,if(CA6='Quick Setup'!$G$33,'Quick Setup'!$G36,if(CA6='Quick Setup'!$H$33,'Quick Setup'!$H36,if(CA6='Quick Setup'!$I$33,'Quick Setup'!$I36,if(CA6='Quick Setup'!$J$33,'Quick Setup'!$J36,if(CA6='Quick Setup'!$K$33,'Quick Setup'!$K36,if(CA6='Quick Setup'!$L$33,'Quick Setup'!$L36,if(CA6='Quick Setup'!$M$33,'Quick Setup'!$M36,if(CA6='Quick Setup'!$N$33,'Quick Setup'!$N36,if(CA6='Quick Setup'!$O$33,'Quick Setup'!$O36,if(CA6='Quick Setup'!$P$33,'Quick Setup'!$P36,if(CA6='Quick Setup'!$Q$33,'Quick Setup'!$Q36,if(CA6='Quick Setup'!$R$33,'Quick Setup'!$R36,if(CA6='Quick Setup'!$S$33,'Quick Setup'!$S36,if(CA6='Quick Setup'!$T$33,'Quick Setup'!$T36,if(CA6='Quick Setup'!$U$33,'Quick Setup'!$U36,if(CA6='Quick Setup'!$V$33,'Quick Setup'!$V36,'2x'!CV7))))))))))))))))))))</f>
        <v>3</v>
      </c>
      <c r="CC6" s="22">
        <f>if(CA6='Quick Setup'!$C$47,'Quick Setup'!$C50,if(CA6='Quick Setup'!$D$47,'Quick Setup'!$D50,if(CA6='Quick Setup'!$E$47,'Quick Setup'!$E50,if(CA6='Quick Setup'!$F$47,'Quick Setup'!$F50,if(CA6='Quick Setup'!$G$47,'Quick Setup'!$G50,if(CA6='Quick Setup'!$H$47,'Quick Setup'!$H50,if(CA6='Quick Setup'!$I$47,'Quick Setup'!$I50,if(CA6='Quick Setup'!$J$47,'Quick Setup'!$J50,if(CA6='Quick Setup'!$K$47,'Quick Setup'!$K50,if(CA6='Quick Setup'!$L$47,'Quick Setup'!$L50,if(CA6='Quick Setup'!$M$47,'Quick Setup'!$M50,if(CA6='Quick Setup'!$N$47,'Quick Setup'!$N50,if(CA6='Quick Setup'!$O$47,'Quick Setup'!$O50,if(CA6='Quick Setup'!$P$47,'Quick Setup'!$P50,if(CA6='Quick Setup'!$Q$47,'Quick Setup'!$Q50,if(CA6='Quick Setup'!$R$47,'Quick Setup'!$R50,if(CA6='Quick Setup'!$S$47,'Quick Setup'!$S50,if(CA6='Quick Setup'!$T$47,'Quick Setup'!$T50,if(CA6='Quick Setup'!$U$47,'Quick Setup'!$U50,if(CA6='Quick Setup'!$V$47,'Quick Setup'!$V50,if(CA6='Quick Setup'!$W$47,'Quick Setup'!$W50)))))))))))))))))))))</f>
        <v>2</v>
      </c>
      <c r="CD6" s="22">
        <f t="shared" ref="CD6:CG6" si="51">BW6</f>
        <v>4</v>
      </c>
      <c r="CE6" s="22">
        <f t="shared" si="51"/>
        <v>6</v>
      </c>
      <c r="CF6" s="23">
        <f t="shared" si="51"/>
        <v>0.02</v>
      </c>
      <c r="CG6" s="23">
        <f t="shared" si="51"/>
        <v>-0.05</v>
      </c>
      <c r="CH6" s="21">
        <f>'Quick Setup'!O63</f>
        <v>0.875</v>
      </c>
      <c r="CI6" s="24">
        <f>if(CH6='Quick Setup'!$C$33,'Quick Setup'!$C36,if(CH6='Quick Setup'!$D$33,'Quick Setup'!$D36,if(CH6='Quick Setup'!$E$33,'Quick Setup'!$E36,if(CH6='Quick Setup'!$F$33,'Quick Setup'!$F36,if(CH6='Quick Setup'!$G$33,'Quick Setup'!$G36,if(CH6='Quick Setup'!$H$33,'Quick Setup'!$H36,if(CH6='Quick Setup'!$I$33,'Quick Setup'!$I36,if(CH6='Quick Setup'!$J$33,'Quick Setup'!$J36,if(CH6='Quick Setup'!$K$33,'Quick Setup'!$K36,if(CH6='Quick Setup'!$L$33,'Quick Setup'!$L36,if(CH6='Quick Setup'!$M$33,'Quick Setup'!$M36,if(CH6='Quick Setup'!$N$33,'Quick Setup'!$N36,if(CH6='Quick Setup'!$O$33,'Quick Setup'!$O36,if(CH6='Quick Setup'!$P$33,'Quick Setup'!$P36,if(CH6='Quick Setup'!$Q$33,'Quick Setup'!$Q36,if(CH6='Quick Setup'!$R$33,'Quick Setup'!$R36,if(CH6='Quick Setup'!$S$33,'Quick Setup'!$S36,if(CH6='Quick Setup'!$T$33,'Quick Setup'!$T36,if(CH6='Quick Setup'!$U$33,'Quick Setup'!$U36,if(CH6='Quick Setup'!$V$33,'Quick Setup'!$V36,'2x'!DC7))))))))))))))))))))</f>
        <v>2</v>
      </c>
      <c r="CJ6" s="22">
        <f>if(CH6='Quick Setup'!$C$47,'Quick Setup'!$C50,if(CH6='Quick Setup'!$D$47,'Quick Setup'!$D50,if(CH6='Quick Setup'!$E$47,'Quick Setup'!$E50,if(CH6='Quick Setup'!$F$47,'Quick Setup'!$F50,if(CH6='Quick Setup'!$G$47,'Quick Setup'!$G50,if(CH6='Quick Setup'!$H$47,'Quick Setup'!$H50,if(CH6='Quick Setup'!$I$47,'Quick Setup'!$I50,if(CH6='Quick Setup'!$J$47,'Quick Setup'!$J50,if(CH6='Quick Setup'!$K$47,'Quick Setup'!$K50,if(CH6='Quick Setup'!$L$47,'Quick Setup'!$L50,if(CH6='Quick Setup'!$M$47,'Quick Setup'!$M50,if(CH6='Quick Setup'!$N$47,'Quick Setup'!$N50,if(CH6='Quick Setup'!$O$47,'Quick Setup'!$O50,if(CH6='Quick Setup'!$P$47,'Quick Setup'!$P50,if(CH6='Quick Setup'!$Q$47,'Quick Setup'!$Q50,if(CH6='Quick Setup'!$R$47,'Quick Setup'!$R50,if(CH6='Quick Setup'!$S$47,'Quick Setup'!$S50,if(CH6='Quick Setup'!$T$47,'Quick Setup'!$T50,if(CH6='Quick Setup'!$U$47,'Quick Setup'!$U50,if(CH6='Quick Setup'!$V$47,'Quick Setup'!$V50,if(CH6='Quick Setup'!$W$47,'Quick Setup'!$W50)))))))))))))))))))))</f>
        <v>2</v>
      </c>
      <c r="CK6" s="22">
        <f t="shared" ref="CK6:CN6" si="52">CD6</f>
        <v>4</v>
      </c>
      <c r="CL6" s="22">
        <f t="shared" si="52"/>
        <v>6</v>
      </c>
      <c r="CM6" s="23">
        <f t="shared" si="52"/>
        <v>0.02</v>
      </c>
      <c r="CN6" s="23">
        <f t="shared" si="52"/>
        <v>-0.05</v>
      </c>
      <c r="CO6" s="21">
        <f>'Quick Setup'!P63</f>
        <v>0.6</v>
      </c>
      <c r="CP6" s="24">
        <f>if(CO6='Quick Setup'!$C$33,'Quick Setup'!$C36,if(CO6='Quick Setup'!$D$33,'Quick Setup'!$D36,if(CO6='Quick Setup'!$E$33,'Quick Setup'!$E36,if(CO6='Quick Setup'!$F$33,'Quick Setup'!$F36,if(CO6='Quick Setup'!$G$33,'Quick Setup'!$G36,if(CO6='Quick Setup'!$H$33,'Quick Setup'!$H36,if(CO6='Quick Setup'!$I$33,'Quick Setup'!$I36,if(CO6='Quick Setup'!$J$33,'Quick Setup'!$J36,if(CO6='Quick Setup'!$K$33,'Quick Setup'!$K36,if(CO6='Quick Setup'!$L$33,'Quick Setup'!$L36,if(CO6='Quick Setup'!$M$33,'Quick Setup'!$M36,if(CO6='Quick Setup'!$N$33,'Quick Setup'!$N36,if(CO6='Quick Setup'!$O$33,'Quick Setup'!$O36,if(CO6='Quick Setup'!$P$33,'Quick Setup'!$P36,if(CO6='Quick Setup'!$Q$33,'Quick Setup'!$Q36,if(CO6='Quick Setup'!$R$33,'Quick Setup'!$R36,if(CO6='Quick Setup'!$S$33,'Quick Setup'!$S36,if(CO6='Quick Setup'!$T$33,'Quick Setup'!$T36,if(CO6='Quick Setup'!$U$33,'Quick Setup'!$U36,if(CO6='Quick Setup'!$V$33,'Quick Setup'!$V36,'2x'!DJ7))))))))))))))))))))</f>
        <v>7</v>
      </c>
      <c r="CQ6" s="22">
        <f>if(CO6='Quick Setup'!$C$47,'Quick Setup'!$C50,if(CO6='Quick Setup'!$D$47,'Quick Setup'!$D50,if(CO6='Quick Setup'!$E$47,'Quick Setup'!$E50,if(CO6='Quick Setup'!$F$47,'Quick Setup'!$F50,if(CO6='Quick Setup'!$G$47,'Quick Setup'!$G50,if(CO6='Quick Setup'!$H$47,'Quick Setup'!$H50,if(CO6='Quick Setup'!$I$47,'Quick Setup'!$I50,if(CO6='Quick Setup'!$J$47,'Quick Setup'!$J50,if(CO6='Quick Setup'!$K$47,'Quick Setup'!$K50,if(CO6='Quick Setup'!$L$47,'Quick Setup'!$L50,if(CO6='Quick Setup'!$M$47,'Quick Setup'!$M50,if(CO6='Quick Setup'!$N$47,'Quick Setup'!$N50,if(CO6='Quick Setup'!$O$47,'Quick Setup'!$O50,if(CO6='Quick Setup'!$P$47,'Quick Setup'!$P50,if(CO6='Quick Setup'!$Q$47,'Quick Setup'!$Q50,if(CO6='Quick Setup'!$R$47,'Quick Setup'!$R50,if(CO6='Quick Setup'!$S$47,'Quick Setup'!$S50,if(CO6='Quick Setup'!$T$47,'Quick Setup'!$T50,if(CO6='Quick Setup'!$U$47,'Quick Setup'!$U50,if(CO6='Quick Setup'!$V$47,'Quick Setup'!$V50,if(CO6='Quick Setup'!$W$47,'Quick Setup'!$W50)))))))))))))))))))))</f>
        <v>4</v>
      </c>
      <c r="CR6" s="22">
        <f t="shared" ref="CR6:CU6" si="53">CK6</f>
        <v>4</v>
      </c>
      <c r="CS6" s="22">
        <f t="shared" si="53"/>
        <v>6</v>
      </c>
      <c r="CT6" s="23">
        <f t="shared" si="53"/>
        <v>0.02</v>
      </c>
      <c r="CU6" s="23">
        <f t="shared" si="53"/>
        <v>-0.05</v>
      </c>
      <c r="CV6" s="21">
        <f>'Quick Setup'!Q63</f>
        <v>0.8</v>
      </c>
      <c r="CW6" s="24">
        <f>if(CV6='Quick Setup'!$C$33,'Quick Setup'!$C36,if(CV6='Quick Setup'!$D$33,'Quick Setup'!$D36,if(CV6='Quick Setup'!$E$33,'Quick Setup'!$E36,if(CV6='Quick Setup'!$F$33,'Quick Setup'!$F36,if(CV6='Quick Setup'!$G$33,'Quick Setup'!$G36,if(CV6='Quick Setup'!$H$33,'Quick Setup'!$H36,if(CV6='Quick Setup'!$I$33,'Quick Setup'!$I36,if(CV6='Quick Setup'!$J$33,'Quick Setup'!$J36,if(CV6='Quick Setup'!$K$33,'Quick Setup'!$K36,if(CV6='Quick Setup'!$L$33,'Quick Setup'!$L36,if(CV6='Quick Setup'!$M$33,'Quick Setup'!$M36,if(CV6='Quick Setup'!$N$33,'Quick Setup'!$N36,if(CV6='Quick Setup'!$O$33,'Quick Setup'!$O36,if(CV6='Quick Setup'!$P$33,'Quick Setup'!$P36,if(CV6='Quick Setup'!$Q$33,'Quick Setup'!$Q36,if(CV6='Quick Setup'!$R$33,'Quick Setup'!$R36,if(CV6='Quick Setup'!$S$33,'Quick Setup'!$S36,if(CV6='Quick Setup'!$T$33,'Quick Setup'!$T36,if(CV6='Quick Setup'!$U$33,'Quick Setup'!$U36,if(CV6='Quick Setup'!$V$33,'Quick Setup'!$V36,'2x'!DQ7))))))))))))))))))))</f>
        <v>3</v>
      </c>
      <c r="CX6" s="22">
        <f>if(CV6='Quick Setup'!$C$47,'Quick Setup'!$C50,if(CV6='Quick Setup'!$D$47,'Quick Setup'!$D50,if(CV6='Quick Setup'!$E$47,'Quick Setup'!$E50,if(CV6='Quick Setup'!$F$47,'Quick Setup'!$F50,if(CV6='Quick Setup'!$G$47,'Quick Setup'!$G50,if(CV6='Quick Setup'!$H$47,'Quick Setup'!$H50,if(CV6='Quick Setup'!$I$47,'Quick Setup'!$I50,if(CV6='Quick Setup'!$J$47,'Quick Setup'!$J50,if(CV6='Quick Setup'!$K$47,'Quick Setup'!$K50,if(CV6='Quick Setup'!$L$47,'Quick Setup'!$L50,if(CV6='Quick Setup'!$M$47,'Quick Setup'!$M50,if(CV6='Quick Setup'!$N$47,'Quick Setup'!$N50,if(CV6='Quick Setup'!$O$47,'Quick Setup'!$O50,if(CV6='Quick Setup'!$P$47,'Quick Setup'!$P50,if(CV6='Quick Setup'!$Q$47,'Quick Setup'!$Q50,if(CV6='Quick Setup'!$R$47,'Quick Setup'!$R50,if(CV6='Quick Setup'!$S$47,'Quick Setup'!$S50,if(CV6='Quick Setup'!$T$47,'Quick Setup'!$T50,if(CV6='Quick Setup'!$U$47,'Quick Setup'!$U50,if(CV6='Quick Setup'!$V$47,'Quick Setup'!$V50,if(CV6='Quick Setup'!$W$47,'Quick Setup'!$W50)))))))))))))))))))))</f>
        <v>2</v>
      </c>
      <c r="CY6" s="22">
        <f t="shared" ref="CY6:DB6" si="54">CR6</f>
        <v>4</v>
      </c>
      <c r="CZ6" s="22">
        <f t="shared" si="54"/>
        <v>6</v>
      </c>
      <c r="DA6" s="23">
        <f t="shared" si="54"/>
        <v>0.02</v>
      </c>
      <c r="DB6" s="23">
        <f t="shared" si="54"/>
        <v>-0.05</v>
      </c>
      <c r="DC6" s="21">
        <f>'Quick Setup'!R63</f>
        <v>0.85</v>
      </c>
      <c r="DD6" s="24">
        <f>if(DC6='Quick Setup'!$C$33,'Quick Setup'!$C36,if(DC6='Quick Setup'!$D$33,'Quick Setup'!$D36,if(DC6='Quick Setup'!$E$33,'Quick Setup'!$E36,if(DC6='Quick Setup'!$F$33,'Quick Setup'!$F36,if(DC6='Quick Setup'!$G$33,'Quick Setup'!$G36,if(DC6='Quick Setup'!$H$33,'Quick Setup'!$H36,if(DC6='Quick Setup'!$I$33,'Quick Setup'!$I36,if(DC6='Quick Setup'!$J$33,'Quick Setup'!$J36,if(DC6='Quick Setup'!$K$33,'Quick Setup'!$K36,if(DC6='Quick Setup'!$L$33,'Quick Setup'!$L36,if(DC6='Quick Setup'!$M$33,'Quick Setup'!$M36,if(DC6='Quick Setup'!$N$33,'Quick Setup'!$N36,if(DC6='Quick Setup'!$O$33,'Quick Setup'!$O36,if(DC6='Quick Setup'!$P$33,'Quick Setup'!$P36,if(DC6='Quick Setup'!$Q$33,'Quick Setup'!$Q36,if(DC6='Quick Setup'!$R$33,'Quick Setup'!$R36,if(DC6='Quick Setup'!$S$33,'Quick Setup'!$S36,if(DC6='Quick Setup'!$T$33,'Quick Setup'!$T36,if(DC6='Quick Setup'!$U$33,'Quick Setup'!$U36,if(DC6='Quick Setup'!$V$33,'Quick Setup'!$V36,'2x'!DX7))))))))))))))))))))</f>
        <v>2</v>
      </c>
      <c r="DE6" s="22">
        <f>if(DC6='Quick Setup'!$C$47,'Quick Setup'!$C50,if(DC6='Quick Setup'!$D$47,'Quick Setup'!$D50,if(DC6='Quick Setup'!$E$47,'Quick Setup'!$E50,if(DC6='Quick Setup'!$F$47,'Quick Setup'!$F50,if(DC6='Quick Setup'!$G$47,'Quick Setup'!$G50,if(DC6='Quick Setup'!$H$47,'Quick Setup'!$H50,if(DC6='Quick Setup'!$I$47,'Quick Setup'!$I50,if(DC6='Quick Setup'!$J$47,'Quick Setup'!$J50,if(DC6='Quick Setup'!$K$47,'Quick Setup'!$K50,if(DC6='Quick Setup'!$L$47,'Quick Setup'!$L50,if(DC6='Quick Setup'!$M$47,'Quick Setup'!$M50,if(DC6='Quick Setup'!$N$47,'Quick Setup'!$N50,if(DC6='Quick Setup'!$O$47,'Quick Setup'!$O50,if(DC6='Quick Setup'!$P$47,'Quick Setup'!$P50,if(DC6='Quick Setup'!$Q$47,'Quick Setup'!$Q50,if(DC6='Quick Setup'!$R$47,'Quick Setup'!$R50,if(DC6='Quick Setup'!$S$47,'Quick Setup'!$S50,if(DC6='Quick Setup'!$T$47,'Quick Setup'!$T50,if(DC6='Quick Setup'!$U$47,'Quick Setup'!$U50,if(DC6='Quick Setup'!$V$47,'Quick Setup'!$V50,if(DC6='Quick Setup'!$W$47,'Quick Setup'!$W50)))))))))))))))))))))</f>
        <v>2</v>
      </c>
      <c r="DF6" s="22">
        <f t="shared" ref="DF6:DI6" si="55">CY6</f>
        <v>4</v>
      </c>
      <c r="DG6" s="22">
        <f t="shared" si="55"/>
        <v>6</v>
      </c>
      <c r="DH6" s="23">
        <f t="shared" si="55"/>
        <v>0.02</v>
      </c>
      <c r="DI6" s="23">
        <f t="shared" si="55"/>
        <v>-0.05</v>
      </c>
      <c r="DJ6" s="21">
        <f>'Quick Setup'!S63</f>
        <v>0.9</v>
      </c>
      <c r="DK6" s="24">
        <f>if(DJ6='Quick Setup'!$C$33,'Quick Setup'!$C36,if(DJ6='Quick Setup'!$D$33,'Quick Setup'!$D36,if(DJ6='Quick Setup'!$E$33,'Quick Setup'!$E36,if(DJ6='Quick Setup'!$F$33,'Quick Setup'!$F36,if(DJ6='Quick Setup'!$G$33,'Quick Setup'!$G36,if(DJ6='Quick Setup'!$H$33,'Quick Setup'!$H36,if(DJ6='Quick Setup'!$I$33,'Quick Setup'!$I36,if(DJ6='Quick Setup'!$J$33,'Quick Setup'!$J36,if(DJ6='Quick Setup'!$K$33,'Quick Setup'!$K36,if(DJ6='Quick Setup'!$L$33,'Quick Setup'!$L36,if(DJ6='Quick Setup'!$M$33,'Quick Setup'!$M36,if(DJ6='Quick Setup'!$N$33,'Quick Setup'!$N36,if(DJ6='Quick Setup'!$O$33,'Quick Setup'!$O36,if(DJ6='Quick Setup'!$P$33,'Quick Setup'!$P36,if(DJ6='Quick Setup'!$Q$33,'Quick Setup'!$Q36,if(DJ6='Quick Setup'!$R$33,'Quick Setup'!$R36,if(DJ6='Quick Setup'!$S$33,'Quick Setup'!$S36,if(DJ6='Quick Setup'!$T$33,'Quick Setup'!$T36,if(DJ6='Quick Setup'!$U$33,'Quick Setup'!$U36,if(DJ6='Quick Setup'!$V$33,'Quick Setup'!$V36,'2x'!EE7))))))))))))))))))))</f>
        <v>1</v>
      </c>
      <c r="DL6" s="22">
        <f>if(DJ6='Quick Setup'!$C$47,'Quick Setup'!$C50,if(DJ6='Quick Setup'!$D$47,'Quick Setup'!$D50,if(DJ6='Quick Setup'!$E$47,'Quick Setup'!$E50,if(DJ6='Quick Setup'!$F$47,'Quick Setup'!$F50,if(DJ6='Quick Setup'!$G$47,'Quick Setup'!$G50,if(DJ6='Quick Setup'!$H$47,'Quick Setup'!$H50,if(DJ6='Quick Setup'!$I$47,'Quick Setup'!$I50,if(DJ6='Quick Setup'!$J$47,'Quick Setup'!$J50,if(DJ6='Quick Setup'!$K$47,'Quick Setup'!$K50,if(DJ6='Quick Setup'!$L$47,'Quick Setup'!$L50,if(DJ6='Quick Setup'!$M$47,'Quick Setup'!$M50,if(DJ6='Quick Setup'!$N$47,'Quick Setup'!$N50,if(DJ6='Quick Setup'!$O$47,'Quick Setup'!$O50,if(DJ6='Quick Setup'!$P$47,'Quick Setup'!$P50,if(DJ6='Quick Setup'!$Q$47,'Quick Setup'!$Q50,if(DJ6='Quick Setup'!$R$47,'Quick Setup'!$R50,if(DJ6='Quick Setup'!$S$47,'Quick Setup'!$S50,if(DJ6='Quick Setup'!$T$47,'Quick Setup'!$T50,if(DJ6='Quick Setup'!$U$47,'Quick Setup'!$U50,if(DJ6='Quick Setup'!$V$47,'Quick Setup'!$V50,if(DJ6='Quick Setup'!$W$47,'Quick Setup'!$W50)))))))))))))))))))))</f>
        <v>1</v>
      </c>
      <c r="DM6" s="22">
        <f t="shared" ref="DM6:DP6" si="56">DF6</f>
        <v>4</v>
      </c>
      <c r="DN6" s="22">
        <f t="shared" si="56"/>
        <v>6</v>
      </c>
      <c r="DO6" s="23">
        <f t="shared" si="56"/>
        <v>0.02</v>
      </c>
      <c r="DP6" s="23">
        <f t="shared" si="56"/>
        <v>-0.05</v>
      </c>
      <c r="DQ6" s="21">
        <f>'Quick Setup'!T63</f>
        <v>0.85</v>
      </c>
      <c r="DR6" s="24">
        <f>if(DQ6='Quick Setup'!$C$33,'Quick Setup'!$C36,if(DQ6='Quick Setup'!$D$33,'Quick Setup'!$D36,if(DQ6='Quick Setup'!$E$33,'Quick Setup'!$E36,if(DQ6='Quick Setup'!$F$33,'Quick Setup'!$F36,if(DQ6='Quick Setup'!$G$33,'Quick Setup'!$G36,if(DQ6='Quick Setup'!$H$33,'Quick Setup'!$H36,if(DQ6='Quick Setup'!$I$33,'Quick Setup'!$I36,if(DQ6='Quick Setup'!$J$33,'Quick Setup'!$J36,if(DQ6='Quick Setup'!$K$33,'Quick Setup'!$K36,if(DQ6='Quick Setup'!$L$33,'Quick Setup'!$L36,if(DQ6='Quick Setup'!$M$33,'Quick Setup'!$M36,if(DQ6='Quick Setup'!$N$33,'Quick Setup'!$N36,if(DQ6='Quick Setup'!$O$33,'Quick Setup'!$O36,if(DQ6='Quick Setup'!$P$33,'Quick Setup'!$P36,if(DQ6='Quick Setup'!$Q$33,'Quick Setup'!$Q36,if(DQ6='Quick Setup'!$R$33,'Quick Setup'!$R36,if(DQ6='Quick Setup'!$S$33,'Quick Setup'!$S36,if(DQ6='Quick Setup'!$T$33,'Quick Setup'!$T36,if(DQ6='Quick Setup'!$U$33,'Quick Setup'!$U36,if(DQ6='Quick Setup'!$V$33,'Quick Setup'!$V36,'2x'!EL7))))))))))))))))))))</f>
        <v>2</v>
      </c>
      <c r="DS6" s="22">
        <f>if(DQ6='Quick Setup'!$C$47,'Quick Setup'!$C50,if(DQ6='Quick Setup'!$D$47,'Quick Setup'!$D50,if(DQ6='Quick Setup'!$E$47,'Quick Setup'!$E50,if(DQ6='Quick Setup'!$F$47,'Quick Setup'!$F50,if(DQ6='Quick Setup'!$G$47,'Quick Setup'!$G50,if(DQ6='Quick Setup'!$H$47,'Quick Setup'!$H50,if(DQ6='Quick Setup'!$I$47,'Quick Setup'!$I50,if(DQ6='Quick Setup'!$J$47,'Quick Setup'!$J50,if(DQ6='Quick Setup'!$K$47,'Quick Setup'!$K50,if(DQ6='Quick Setup'!$L$47,'Quick Setup'!$L50,if(DQ6='Quick Setup'!$M$47,'Quick Setup'!$M50,if(DQ6='Quick Setup'!$N$47,'Quick Setup'!$N50,if(DQ6='Quick Setup'!$O$47,'Quick Setup'!$O50,if(DQ6='Quick Setup'!$P$47,'Quick Setup'!$P50,if(DQ6='Quick Setup'!$Q$47,'Quick Setup'!$Q50,if(DQ6='Quick Setup'!$R$47,'Quick Setup'!$R50,if(DQ6='Quick Setup'!$S$47,'Quick Setup'!$S50,if(DQ6='Quick Setup'!$T$47,'Quick Setup'!$T50,if(DQ6='Quick Setup'!$U$47,'Quick Setup'!$U50,if(DQ6='Quick Setup'!$V$47,'Quick Setup'!$V50,if(DQ6='Quick Setup'!$W$47,'Quick Setup'!$W50)))))))))))))))))))))</f>
        <v>2</v>
      </c>
      <c r="DT6" s="22">
        <f t="shared" ref="DT6:DW6" si="57">DM6</f>
        <v>4</v>
      </c>
      <c r="DU6" s="22">
        <f t="shared" si="57"/>
        <v>6</v>
      </c>
      <c r="DV6" s="23">
        <f t="shared" si="57"/>
        <v>0.02</v>
      </c>
      <c r="DW6" s="23">
        <f t="shared" si="57"/>
        <v>-0.05</v>
      </c>
      <c r="DX6" s="21">
        <f>'Quick Setup'!U63</f>
        <v>0.9</v>
      </c>
      <c r="DY6" s="24">
        <f>if(DX6='Quick Setup'!$C$33,'Quick Setup'!$C36,if(DX6='Quick Setup'!$D$33,'Quick Setup'!$D36,if(DX6='Quick Setup'!$E$33,'Quick Setup'!$E36,if(DX6='Quick Setup'!$F$33,'Quick Setup'!$F36,if(DX6='Quick Setup'!$G$33,'Quick Setup'!$G36,if(DX6='Quick Setup'!$H$33,'Quick Setup'!$H36,if(DX6='Quick Setup'!$I$33,'Quick Setup'!$I36,if(DX6='Quick Setup'!$J$33,'Quick Setup'!$J36,if(DX6='Quick Setup'!$K$33,'Quick Setup'!$K36,if(DX6='Quick Setup'!$L$33,'Quick Setup'!$L36,if(DX6='Quick Setup'!$M$33,'Quick Setup'!$M36,if(DX6='Quick Setup'!$N$33,'Quick Setup'!$N36,if(DX6='Quick Setup'!$O$33,'Quick Setup'!$O36,if(DX6='Quick Setup'!$P$33,'Quick Setup'!$P36,if(DX6='Quick Setup'!$Q$33,'Quick Setup'!$Q36,if(DX6='Quick Setup'!$R$33,'Quick Setup'!$R36,if(DX6='Quick Setup'!$S$33,'Quick Setup'!$S36,if(DX6='Quick Setup'!$T$33,'Quick Setup'!$T36,if(DX6='Quick Setup'!$U$33,'Quick Setup'!$U36,if(DX6='Quick Setup'!$V$33,'Quick Setup'!$V36,'2x'!ES7))))))))))))))))))))</f>
        <v>1</v>
      </c>
      <c r="DZ6" s="22">
        <f>if(DX6='Quick Setup'!$C$47,'Quick Setup'!$C50,if(DX6='Quick Setup'!$D$47,'Quick Setup'!$D50,if(DX6='Quick Setup'!$E$47,'Quick Setup'!$E50,if(DX6='Quick Setup'!$F$47,'Quick Setup'!$F50,if(DX6='Quick Setup'!$G$47,'Quick Setup'!$G50,if(DX6='Quick Setup'!$H$47,'Quick Setup'!$H50,if(DX6='Quick Setup'!$I$47,'Quick Setup'!$I50,if(DX6='Quick Setup'!$J$47,'Quick Setup'!$J50,if(DX6='Quick Setup'!$K$47,'Quick Setup'!$K50,if(DX6='Quick Setup'!$L$47,'Quick Setup'!$L50,if(DX6='Quick Setup'!$M$47,'Quick Setup'!$M50,if(DX6='Quick Setup'!$N$47,'Quick Setup'!$N50,if(DX6='Quick Setup'!$O$47,'Quick Setup'!$O50,if(DX6='Quick Setup'!$P$47,'Quick Setup'!$P50,if(DX6='Quick Setup'!$Q$47,'Quick Setup'!$Q50,if(DX6='Quick Setup'!$R$47,'Quick Setup'!$R50,if(DX6='Quick Setup'!$S$47,'Quick Setup'!$S50,if(DX6='Quick Setup'!$T$47,'Quick Setup'!$T50,if(DX6='Quick Setup'!$U$47,'Quick Setup'!$U50,if(DX6='Quick Setup'!$V$47,'Quick Setup'!$V50,if(DX6='Quick Setup'!$W$47,'Quick Setup'!$W50)))))))))))))))))))))</f>
        <v>1</v>
      </c>
      <c r="EA6" s="22">
        <f t="shared" ref="EA6:ED6" si="58">DT6</f>
        <v>4</v>
      </c>
      <c r="EB6" s="22">
        <f t="shared" si="58"/>
        <v>6</v>
      </c>
      <c r="EC6" s="23">
        <f t="shared" si="58"/>
        <v>0.02</v>
      </c>
      <c r="ED6" s="23">
        <f t="shared" si="58"/>
        <v>-0.05</v>
      </c>
      <c r="EE6" s="21">
        <f>'Quick Setup'!V63</f>
        <v>0.95</v>
      </c>
      <c r="EF6" s="24">
        <f>if(EE6='Quick Setup'!$C$33,'Quick Setup'!$C36,if(EE6='Quick Setup'!$D$33,'Quick Setup'!$D36,if(EE6='Quick Setup'!$E$33,'Quick Setup'!$E36,if(EE6='Quick Setup'!$F$33,'Quick Setup'!$F36,if(EE6='Quick Setup'!$G$33,'Quick Setup'!$G36,if(EE6='Quick Setup'!$H$33,'Quick Setup'!$H36,if(EE6='Quick Setup'!$I$33,'Quick Setup'!$I36,if(EE6='Quick Setup'!$J$33,'Quick Setup'!$J36,if(EE6='Quick Setup'!$K$33,'Quick Setup'!$K36,if(EE6='Quick Setup'!$L$33,'Quick Setup'!$L36,if(EE6='Quick Setup'!$M$33,'Quick Setup'!$M36,if(EE6='Quick Setup'!$N$33,'Quick Setup'!$N36,if(EE6='Quick Setup'!$O$33,'Quick Setup'!$O36,if(EE6='Quick Setup'!$P$33,'Quick Setup'!$P36,if(EE6='Quick Setup'!$Q$33,'Quick Setup'!$Q36,if(EE6='Quick Setup'!$R$33,'Quick Setup'!$R36,if(EE6='Quick Setup'!$S$33,'Quick Setup'!$S36,if(EE6='Quick Setup'!$T$33,'Quick Setup'!$T36,if(EE6='Quick Setup'!$U$33,'Quick Setup'!$U36,if(EE6='Quick Setup'!$V$33,'Quick Setup'!$V36,'2x'!EZ7))))))))))))))))))))</f>
        <v>1</v>
      </c>
      <c r="EG6" s="22">
        <f>if(EE6='Quick Setup'!$C$47,'Quick Setup'!$C50,if(EE6='Quick Setup'!$D$47,'Quick Setup'!$D50,if(EE6='Quick Setup'!$E$47,'Quick Setup'!$E50,if(EE6='Quick Setup'!$F$47,'Quick Setup'!$F50,if(EE6='Quick Setup'!$G$47,'Quick Setup'!$G50,if(EE6='Quick Setup'!$H$47,'Quick Setup'!$H50,if(EE6='Quick Setup'!$I$47,'Quick Setup'!$I50,if(EE6='Quick Setup'!$J$47,'Quick Setup'!$J50,if(EE6='Quick Setup'!$K$47,'Quick Setup'!$K50,if(EE6='Quick Setup'!$L$47,'Quick Setup'!$L50,if(EE6='Quick Setup'!$M$47,'Quick Setup'!$M50,if(EE6='Quick Setup'!$N$47,'Quick Setup'!$N50,if(EE6='Quick Setup'!$O$47,'Quick Setup'!$O50,if(EE6='Quick Setup'!$P$47,'Quick Setup'!$P50,if(EE6='Quick Setup'!$Q$47,'Quick Setup'!$Q50,if(EE6='Quick Setup'!$R$47,'Quick Setup'!$R50,if(EE6='Quick Setup'!$S$47,'Quick Setup'!$S50,if(EE6='Quick Setup'!$T$47,'Quick Setup'!$T50,if(EE6='Quick Setup'!$U$47,'Quick Setup'!$U50,if(EE6='Quick Setup'!$V$47,'Quick Setup'!$V50,if(EE6='Quick Setup'!$W$47,'Quick Setup'!$W50)))))))))))))))))))))</f>
        <v>1</v>
      </c>
      <c r="EH6" s="22">
        <f t="shared" ref="EH6:EK6" si="59">EA6</f>
        <v>4</v>
      </c>
      <c r="EI6" s="22">
        <f t="shared" si="59"/>
        <v>6</v>
      </c>
      <c r="EJ6" s="23">
        <f t="shared" si="59"/>
        <v>0.02</v>
      </c>
      <c r="EK6" s="23">
        <f t="shared" si="59"/>
        <v>-0.05</v>
      </c>
      <c r="EL6" s="21">
        <f>'Quick Setup'!W63</f>
        <v>0.6</v>
      </c>
      <c r="EM6" s="24">
        <f>if(EL6='Quick Setup'!$C$33,'Quick Setup'!$C36,if(EL6='Quick Setup'!$D$33,'Quick Setup'!$D36,if(EL6='Quick Setup'!$E$33,'Quick Setup'!$E36,if(EL6='Quick Setup'!$F$33,'Quick Setup'!$F36,if(EL6='Quick Setup'!$G$33,'Quick Setup'!$G36,if(EL6='Quick Setup'!$H$33,'Quick Setup'!$H36,if(EL6='Quick Setup'!$I$33,'Quick Setup'!$I36,if(EL6='Quick Setup'!$J$33,'Quick Setup'!$J36,if(EL6='Quick Setup'!$K$33,'Quick Setup'!$K36,if(EL6='Quick Setup'!$L$33,'Quick Setup'!$L36,if(EL6='Quick Setup'!$M$33,'Quick Setup'!$M36,if(EL6='Quick Setup'!$N$33,'Quick Setup'!$N36,if(EL6='Quick Setup'!$O$33,'Quick Setup'!$O36,if(EL6='Quick Setup'!$P$33,'Quick Setup'!$P36,if(EL6='Quick Setup'!$Q$33,'Quick Setup'!$Q36,if(EL6='Quick Setup'!$R$33,'Quick Setup'!$R36,if(EL6='Quick Setup'!$S$33,'Quick Setup'!$S36,if(EL6='Quick Setup'!$T$33,'Quick Setup'!$T36,if(EL6='Quick Setup'!$U$33,'Quick Setup'!$U36,if(EL6='Quick Setup'!$V$33,'Quick Setup'!$V36,'2x'!FG7))))))))))))))))))))</f>
        <v>7</v>
      </c>
      <c r="EN6" s="22">
        <f>if(EL6='Quick Setup'!$C$47,'Quick Setup'!$C50,if(EL6='Quick Setup'!$D$47,'Quick Setup'!$D50,if(EL6='Quick Setup'!$E$47,'Quick Setup'!$E50,if(EL6='Quick Setup'!$F$47,'Quick Setup'!$F50,if(EL6='Quick Setup'!$G$47,'Quick Setup'!$G50,if(EL6='Quick Setup'!$H$47,'Quick Setup'!$H50,if(EL6='Quick Setup'!$I$47,'Quick Setup'!$I50,if(EL6='Quick Setup'!$J$47,'Quick Setup'!$J50,if(EL6='Quick Setup'!$K$47,'Quick Setup'!$K50,if(EL6='Quick Setup'!$L$47,'Quick Setup'!$L50,if(EL6='Quick Setup'!$M$47,'Quick Setup'!$M50,if(EL6='Quick Setup'!$N$47,'Quick Setup'!$N50,if(EL6='Quick Setup'!$O$47,'Quick Setup'!$O50,if(EL6='Quick Setup'!$P$47,'Quick Setup'!$P50,if(EL6='Quick Setup'!$Q$47,'Quick Setup'!$Q50,if(EL6='Quick Setup'!$R$47,'Quick Setup'!$R50,if(EL6='Quick Setup'!$S$47,'Quick Setup'!$S50,if(EL6='Quick Setup'!$T$47,'Quick Setup'!$T50,if(EL6='Quick Setup'!$U$47,'Quick Setup'!$U50,if(EL6='Quick Setup'!$V$47,'Quick Setup'!$V50,if(EL6='Quick Setup'!$W$47,'Quick Setup'!$W50)))))))))))))))))))))</f>
        <v>4</v>
      </c>
      <c r="EO6" s="22">
        <f t="shared" ref="EO6:ER6" si="60">EH6</f>
        <v>4</v>
      </c>
      <c r="EP6" s="22">
        <f t="shared" si="60"/>
        <v>6</v>
      </c>
      <c r="EQ6" s="23">
        <f t="shared" si="60"/>
        <v>0.02</v>
      </c>
      <c r="ER6" s="23">
        <f t="shared" si="60"/>
        <v>-0.05</v>
      </c>
    </row>
    <row r="7">
      <c r="A7" t="str">
        <f>'Quick Setup'!C8</f>
        <v>OHP</v>
      </c>
      <c r="B7" s="21">
        <f>'Quick Setup'!C64</f>
        <v>0.7</v>
      </c>
      <c r="C7" s="22">
        <f>if(B7='Quick Setup'!$C$33,'Quick Setup'!$C37,if(B7='Quick Setup'!$D$33,'Quick Setup'!$D37,if(B7='Quick Setup'!$E$33,'Quick Setup'!$E37,if(B7='Quick Setup'!$F$33,'Quick Setup'!$F37,if(B7='Quick Setup'!$G$33,'Quick Setup'!$G37,if(B7='Quick Setup'!$H$33,'Quick Setup'!$H37,if(B7='Quick Setup'!$I$33,'Quick Setup'!$I37,if(B7='Quick Setup'!$J$33,'Quick Setup'!$J37,if(B7='Quick Setup'!$K$33,'Quick Setup'!$K37,if(B7='Quick Setup'!$L$33,'Quick Setup'!$L37,if(B7='Quick Setup'!$M$33,'Quick Setup'!$M37,if(B7='Quick Setup'!$N$33,'Quick Setup'!$N37,if(B7='Quick Setup'!$O$33,'Quick Setup'!$O37,if(B7='Quick Setup'!$P$33,'Quick Setup'!$P37,if(B7='Quick Setup'!$Q$33,'Quick Setup'!$Q37,if(B7='Quick Setup'!$R$33,'Quick Setup'!$R37,if(B7='Quick Setup'!$S$33,'Quick Setup'!$S37,if(B7='Quick Setup'!$T$33,'Quick Setup'!$T37,if(B7='Quick Setup'!$U$33,'Quick Setup'!$U37,if(B7='Quick Setup'!$V$33,'Quick Setup'!$V37,'Quick Setup'!W37))))))))))))))))))))</f>
        <v>5</v>
      </c>
      <c r="D7" s="22">
        <f>if(B7='Quick Setup'!$C$47,'Quick Setup'!$C51,if(B7='Quick Setup'!$D$47,'Quick Setup'!$D51,if(B7='Quick Setup'!$E$47,'Quick Setup'!$E51,if(B7='Quick Setup'!$F$47,'Quick Setup'!$F51,if(B7='Quick Setup'!$G$47,'Quick Setup'!$G51,if(B7='Quick Setup'!$H$47,'Quick Setup'!$H51,if(B7='Quick Setup'!$I$47,'Quick Setup'!$I51,if(B7='Quick Setup'!$J$47,'Quick Setup'!$J51,if(B7='Quick Setup'!$K$47,'Quick Setup'!$K51,if(B7='Quick Setup'!$L$47,'Quick Setup'!$L51,if(B7='Quick Setup'!$M$47,'Quick Setup'!$M51,if(B7='Quick Setup'!$N$47,'Quick Setup'!$N51,if(B7='Quick Setup'!$O$47,'Quick Setup'!$O51,if(B7='Quick Setup'!$P$47,'Quick Setup'!$P51,if(B7='Quick Setup'!$Q$47,'Quick Setup'!$Q51,if(B7='Quick Setup'!$R$47,'Quick Setup'!$R51,if(B7='Quick Setup'!$S$47,'Quick Setup'!$S51,if(B7='Quick Setup'!$T$47,'Quick Setup'!$T51,if(B7='Quick Setup'!$U$47,'Quick Setup'!$U51,if(B7='Quick Setup'!$V$47,'Quick Setup'!$V51,if(B7='Quick Setup'!$W$47,'Quick Setup'!$W51)))))))))))))))))))))</f>
        <v>3</v>
      </c>
      <c r="E7" s="22">
        <f>'Quick Setup'!H9</f>
        <v>4</v>
      </c>
      <c r="F7" s="22">
        <f>'Quick Setup'!I9</f>
        <v>6</v>
      </c>
      <c r="G7" s="23">
        <f>'Quick Setup'!J9</f>
        <v>0.02</v>
      </c>
      <c r="H7" s="23">
        <f>'Quick Setup'!K9</f>
        <v>-0.05</v>
      </c>
      <c r="I7" s="21">
        <f>'Quick Setup'!D64</f>
        <v>0.75</v>
      </c>
      <c r="J7" s="22">
        <f>if(I7='Quick Setup'!$C$33,'Quick Setup'!$C37,if(I7='Quick Setup'!$D$33,'Quick Setup'!$D37,if(I7='Quick Setup'!$E$33,'Quick Setup'!$E37,if(I7='Quick Setup'!$F$33,'Quick Setup'!$F37,if(I7='Quick Setup'!$G$33,'Quick Setup'!$G37,if(I7='Quick Setup'!$H$33,'Quick Setup'!$H37,if(I7='Quick Setup'!$I$33,'Quick Setup'!$I37,if(I7='Quick Setup'!$J$33,'Quick Setup'!$J37,if(I7='Quick Setup'!$K$33,'Quick Setup'!$K37,if(I7='Quick Setup'!$L$33,'Quick Setup'!$L37,if(I7='Quick Setup'!$M$33,'Quick Setup'!$M37,if(I7='Quick Setup'!$N$33,'Quick Setup'!$N37,if(I7='Quick Setup'!$O$33,'Quick Setup'!$O37,if(I7='Quick Setup'!$P$33,'Quick Setup'!$P37,if(I7='Quick Setup'!$Q$33,'Quick Setup'!$Q37,if(I7='Quick Setup'!$R$33,'Quick Setup'!$R37,if(I7='Quick Setup'!$S$33,'Quick Setup'!$S37,if(I7='Quick Setup'!$T$33,'Quick Setup'!$T37,if(I7='Quick Setup'!$U$33,'Quick Setup'!$U37,if(I7='Quick Setup'!$V$33,'Quick Setup'!$V37,'2x'!AD20))))))))))))))))))))</f>
        <v>4</v>
      </c>
      <c r="K7" s="22">
        <f>if(I7='Quick Setup'!$C$47,'Quick Setup'!$C51,if(I7='Quick Setup'!$D$47,'Quick Setup'!$D51,if(I7='Quick Setup'!$E$47,'Quick Setup'!$E51,if(I7='Quick Setup'!$F$47,'Quick Setup'!$F51,if(I7='Quick Setup'!$G$47,'Quick Setup'!$G51,if(I7='Quick Setup'!$H$47,'Quick Setup'!$H51,if(I7='Quick Setup'!$I$47,'Quick Setup'!$I51,if(I7='Quick Setup'!$J$47,'Quick Setup'!$J51,if(I7='Quick Setup'!$K$47,'Quick Setup'!$K51,if(I7='Quick Setup'!$L$47,'Quick Setup'!$L51,if(I7='Quick Setup'!$M$47,'Quick Setup'!$M51,if(I7='Quick Setup'!$N$47,'Quick Setup'!$N51,if(I7='Quick Setup'!$O$47,'Quick Setup'!$O51,if(I7='Quick Setup'!$P$47,'Quick Setup'!$P51,if(I7='Quick Setup'!$Q$47,'Quick Setup'!$Q51,if(I7='Quick Setup'!$R$47,'Quick Setup'!$R51,if(I7='Quick Setup'!$S$47,'Quick Setup'!$S51,if(I7='Quick Setup'!$T$47,'Quick Setup'!$T51,if(I7='Quick Setup'!$U$47,'Quick Setup'!$U51,if(I7='Quick Setup'!$V$47,'Quick Setup'!$V51,if(I7='Quick Setup'!$W$47,'Quick Setup'!$W51)))))))))))))))))))))</f>
        <v>3</v>
      </c>
      <c r="L7" s="22">
        <f t="shared" ref="L7:O7" si="61">E7</f>
        <v>4</v>
      </c>
      <c r="M7" s="22">
        <f t="shared" si="61"/>
        <v>6</v>
      </c>
      <c r="N7" s="23">
        <f t="shared" si="61"/>
        <v>0.02</v>
      </c>
      <c r="O7" s="23">
        <f t="shared" si="61"/>
        <v>-0.05</v>
      </c>
      <c r="P7" s="21">
        <f>'Quick Setup'!E64</f>
        <v>0.8</v>
      </c>
      <c r="Q7" s="24">
        <f>if(P7='Quick Setup'!$C$33,'Quick Setup'!$C37,if(P7='Quick Setup'!$D$33,'Quick Setup'!$D37,if(P7='Quick Setup'!$E$33,'Quick Setup'!$E37,if(P7='Quick Setup'!$F$33,'Quick Setup'!$F37,if(P7='Quick Setup'!$G$33,'Quick Setup'!$G37,if(P7='Quick Setup'!$H$33,'Quick Setup'!$H37,if(P7='Quick Setup'!$I$33,'Quick Setup'!$I37,if(P7='Quick Setup'!$J$33,'Quick Setup'!$J37,if(P7='Quick Setup'!$K$33,'Quick Setup'!$K37,if(P7='Quick Setup'!$L$33,'Quick Setup'!$L37,if(P7='Quick Setup'!$M$33,'Quick Setup'!$M37,if(P7='Quick Setup'!$N$33,'Quick Setup'!$N37,if(P7='Quick Setup'!$O$33,'Quick Setup'!$O37,if(P7='Quick Setup'!$P$33,'Quick Setup'!$P37,if(P7='Quick Setup'!$Q$33,'Quick Setup'!$Q37,if(P7='Quick Setup'!$R$33,'Quick Setup'!$R37,if(P7='Quick Setup'!$S$33,'Quick Setup'!$S37,if(P7='Quick Setup'!$T$33,'Quick Setup'!$T37,if(P7='Quick Setup'!$U$33,'Quick Setup'!$U37,if(P7='Quick Setup'!$V$33,'Quick Setup'!$V37,'2x'!AK20))))))))))))))))))))</f>
        <v>3</v>
      </c>
      <c r="R7" s="22">
        <f>if(P7='Quick Setup'!$C$47,'Quick Setup'!$C51,if(P7='Quick Setup'!$D$47,'Quick Setup'!$D51,if(P7='Quick Setup'!$E$47,'Quick Setup'!$E51,if(P7='Quick Setup'!$F$47,'Quick Setup'!$F51,if(P7='Quick Setup'!$G$47,'Quick Setup'!$G51,if(P7='Quick Setup'!$H$47,'Quick Setup'!$H51,if(P7='Quick Setup'!$I$47,'Quick Setup'!$I51,if(P7='Quick Setup'!$J$47,'Quick Setup'!$J51,if(P7='Quick Setup'!$K$47,'Quick Setup'!$K51,if(P7='Quick Setup'!$L$47,'Quick Setup'!$L51,if(P7='Quick Setup'!$M$47,'Quick Setup'!$M51,if(P7='Quick Setup'!$N$47,'Quick Setup'!$N51,if(P7='Quick Setup'!$O$47,'Quick Setup'!$O51,if(P7='Quick Setup'!$P$47,'Quick Setup'!$P51,if(P7='Quick Setup'!$Q$47,'Quick Setup'!$Q51,if(P7='Quick Setup'!$R$47,'Quick Setup'!$R51,if(P7='Quick Setup'!$S$47,'Quick Setup'!$S51,if(P7='Quick Setup'!$T$47,'Quick Setup'!$T51,if(P7='Quick Setup'!$U$47,'Quick Setup'!$U51,if(P7='Quick Setup'!$V$47,'Quick Setup'!$V51,if(P7='Quick Setup'!$W$47,'Quick Setup'!$W51)))))))))))))))))))))</f>
        <v>2</v>
      </c>
      <c r="S7" s="22">
        <f t="shared" ref="S7:V7" si="62">L7</f>
        <v>4</v>
      </c>
      <c r="T7" s="22">
        <f t="shared" si="62"/>
        <v>6</v>
      </c>
      <c r="U7" s="23">
        <f t="shared" si="62"/>
        <v>0.02</v>
      </c>
      <c r="V7" s="23">
        <f t="shared" si="62"/>
        <v>-0.05</v>
      </c>
      <c r="W7" s="21">
        <f>'Quick Setup'!F64</f>
        <v>0.725</v>
      </c>
      <c r="X7" s="24">
        <f>if(W7='Quick Setup'!$C$33,'Quick Setup'!$C37,if(W7='Quick Setup'!$D$33,'Quick Setup'!$D37,if(W7='Quick Setup'!$E$33,'Quick Setup'!$E37,if(W7='Quick Setup'!$F$33,'Quick Setup'!$F37,if(W7='Quick Setup'!$G$33,'Quick Setup'!$G37,if(W7='Quick Setup'!$H$33,'Quick Setup'!$H37,if(W7='Quick Setup'!$I$33,'Quick Setup'!$I37,if(W7='Quick Setup'!$J$33,'Quick Setup'!$J37,if(W7='Quick Setup'!$K$33,'Quick Setup'!$K37,if(W7='Quick Setup'!$L$33,'Quick Setup'!$L37,if(W7='Quick Setup'!$M$33,'Quick Setup'!$M37,if(W7='Quick Setup'!$N$33,'Quick Setup'!$N37,if(W7='Quick Setup'!$O$33,'Quick Setup'!$O37,if(W7='Quick Setup'!$P$33,'Quick Setup'!$P37,if(W7='Quick Setup'!$Q$33,'Quick Setup'!$Q37,if(W7='Quick Setup'!$R$33,'Quick Setup'!$R37,if(W7='Quick Setup'!$S$33,'Quick Setup'!$S37,if(W7='Quick Setup'!$T$33,'Quick Setup'!$T37,if(W7='Quick Setup'!$U$33,'Quick Setup'!$U37,if(W7='Quick Setup'!$V$33,'Quick Setup'!$V37,'2x'!AR20))))))))))))))))))))</f>
        <v>5</v>
      </c>
      <c r="Y7" s="22">
        <f>if(W7='Quick Setup'!$C$47,'Quick Setup'!$C51,if(W7='Quick Setup'!$D$47,'Quick Setup'!$D51,if(W7='Quick Setup'!$E$47,'Quick Setup'!$E51,if(W7='Quick Setup'!$F$47,'Quick Setup'!$F51,if(W7='Quick Setup'!$G$47,'Quick Setup'!$G51,if(W7='Quick Setup'!$H$47,'Quick Setup'!$H51,if(W7='Quick Setup'!$I$47,'Quick Setup'!$I51,if(W7='Quick Setup'!$J$47,'Quick Setup'!$J51,if(W7='Quick Setup'!$K$47,'Quick Setup'!$K51,if(W7='Quick Setup'!$L$47,'Quick Setup'!$L51,if(W7='Quick Setup'!$M$47,'Quick Setup'!$M51,if(W7='Quick Setup'!$N$47,'Quick Setup'!$N51,if(W7='Quick Setup'!$O$47,'Quick Setup'!$O51,if(W7='Quick Setup'!$P$47,'Quick Setup'!$P51,if(W7='Quick Setup'!$Q$47,'Quick Setup'!$Q51,if(W7='Quick Setup'!$R$47,'Quick Setup'!$R51,if(W7='Quick Setup'!$S$47,'Quick Setup'!$S51,if(W7='Quick Setup'!$T$47,'Quick Setup'!$T51,if(W7='Quick Setup'!$U$47,'Quick Setup'!$U51,if(W7='Quick Setup'!$V$47,'Quick Setup'!$V51,if(W7='Quick Setup'!$W$47,'Quick Setup'!$W51)))))))))))))))))))))</f>
        <v>3</v>
      </c>
      <c r="Z7" s="22">
        <f t="shared" ref="Z7:AC7" si="63">S7</f>
        <v>4</v>
      </c>
      <c r="AA7" s="22">
        <f t="shared" si="63"/>
        <v>6</v>
      </c>
      <c r="AB7" s="23">
        <f t="shared" si="63"/>
        <v>0.02</v>
      </c>
      <c r="AC7" s="23">
        <f t="shared" si="63"/>
        <v>-0.05</v>
      </c>
      <c r="AD7" s="21">
        <f>'Quick Setup'!G64</f>
        <v>0.775</v>
      </c>
      <c r="AE7" s="24">
        <f>if(AD7='Quick Setup'!$C$33,'Quick Setup'!$C37,if(AD7='Quick Setup'!$D$33,'Quick Setup'!$D37,if(AD7='Quick Setup'!$E$33,'Quick Setup'!$E37,if(AD7='Quick Setup'!$F$33,'Quick Setup'!$F37,if(AD7='Quick Setup'!$G$33,'Quick Setup'!$G37,if(AD7='Quick Setup'!$H$33,'Quick Setup'!$H37,if(AD7='Quick Setup'!$I$33,'Quick Setup'!$I37,if(AD7='Quick Setup'!$J$33,'Quick Setup'!$J37,if(AD7='Quick Setup'!$K$33,'Quick Setup'!$K37,if(AD7='Quick Setup'!$L$33,'Quick Setup'!$L37,if(AD7='Quick Setup'!$M$33,'Quick Setup'!$M37,if(AD7='Quick Setup'!$N$33,'Quick Setup'!$N37,if(AD7='Quick Setup'!$O$33,'Quick Setup'!$O37,if(AD7='Quick Setup'!$P$33,'Quick Setup'!$P37,if(AD7='Quick Setup'!$Q$33,'Quick Setup'!$Q37,if(AD7='Quick Setup'!$R$33,'Quick Setup'!$R37,if(AD7='Quick Setup'!$S$33,'Quick Setup'!$S37,if(AD7='Quick Setup'!$T$33,'Quick Setup'!$T37,if(AD7='Quick Setup'!$U$33,'Quick Setup'!$U37,if(AD7='Quick Setup'!$V$33,'Quick Setup'!$V37,'2x'!AY20))))))))))))))))))))</f>
        <v>4</v>
      </c>
      <c r="AF7" s="22">
        <f>if(AD7='Quick Setup'!$C$47,'Quick Setup'!$C51,if(AD7='Quick Setup'!$D$47,'Quick Setup'!$D51,if(AD7='Quick Setup'!$E$47,'Quick Setup'!$E51,if(AD7='Quick Setup'!$F$47,'Quick Setup'!$F51,if(AD7='Quick Setup'!$G$47,'Quick Setup'!$G51,if(AD7='Quick Setup'!$H$47,'Quick Setup'!$H51,if(AD7='Quick Setup'!$I$47,'Quick Setup'!$I51,if(AD7='Quick Setup'!$J$47,'Quick Setup'!$J51,if(AD7='Quick Setup'!$K$47,'Quick Setup'!$K51,if(AD7='Quick Setup'!$L$47,'Quick Setup'!$L51,if(AD7='Quick Setup'!$M$47,'Quick Setup'!$M51,if(AD7='Quick Setup'!$N$47,'Quick Setup'!$N51,if(AD7='Quick Setup'!$O$47,'Quick Setup'!$O51,if(AD7='Quick Setup'!$P$47,'Quick Setup'!$P51,if(AD7='Quick Setup'!$Q$47,'Quick Setup'!$Q51,if(AD7='Quick Setup'!$R$47,'Quick Setup'!$R51,if(AD7='Quick Setup'!$S$47,'Quick Setup'!$S51,if(AD7='Quick Setup'!$T$47,'Quick Setup'!$T51,if(AD7='Quick Setup'!$U$47,'Quick Setup'!$U51,if(AD7='Quick Setup'!$V$47,'Quick Setup'!$V51,if(AD7='Quick Setup'!$W$47,'Quick Setup'!$W51)))))))))))))))))))))</f>
        <v>3</v>
      </c>
      <c r="AG7" s="22">
        <f t="shared" ref="AG7:AJ7" si="64">Z7</f>
        <v>4</v>
      </c>
      <c r="AH7" s="22">
        <f t="shared" si="64"/>
        <v>6</v>
      </c>
      <c r="AI7" s="23">
        <f t="shared" si="64"/>
        <v>0.02</v>
      </c>
      <c r="AJ7" s="23">
        <f t="shared" si="64"/>
        <v>-0.05</v>
      </c>
      <c r="AK7" s="21">
        <f>'Quick Setup'!H64</f>
        <v>0.825</v>
      </c>
      <c r="AL7" s="24">
        <f>if(AK7='Quick Setup'!$C$33,'Quick Setup'!$C37,if(AK7='Quick Setup'!$D$33,'Quick Setup'!$D37,if(AK7='Quick Setup'!$E$33,'Quick Setup'!$E37,if(AK7='Quick Setup'!$F$33,'Quick Setup'!$F37,if(AK7='Quick Setup'!$G$33,'Quick Setup'!$G37,if(AK7='Quick Setup'!$H$33,'Quick Setup'!$H37,if(AK7='Quick Setup'!$I$33,'Quick Setup'!$I37,if(AK7='Quick Setup'!$J$33,'Quick Setup'!$J37,if(AK7='Quick Setup'!$K$33,'Quick Setup'!$K37,if(AK7='Quick Setup'!$L$33,'Quick Setup'!$L37,if(AK7='Quick Setup'!$M$33,'Quick Setup'!$M37,if(AK7='Quick Setup'!$N$33,'Quick Setup'!$N37,if(AK7='Quick Setup'!$O$33,'Quick Setup'!$O37,if(AK7='Quick Setup'!$P$33,'Quick Setup'!$P37,if(AK7='Quick Setup'!$Q$33,'Quick Setup'!$Q37,if(AK7='Quick Setup'!$R$33,'Quick Setup'!$R37,if(AK7='Quick Setup'!$S$33,'Quick Setup'!$S37,if(AK7='Quick Setup'!$T$33,'Quick Setup'!$T37,if(AK7='Quick Setup'!$U$33,'Quick Setup'!$U37,if(AK7='Quick Setup'!$V$33,'Quick Setup'!$V37,'2x'!BF20))))))))))))))))))))</f>
        <v>3</v>
      </c>
      <c r="AM7" s="22">
        <f>if(AK7='Quick Setup'!$C$47,'Quick Setup'!$C51,if(AK7='Quick Setup'!$D$47,'Quick Setup'!$D51,if(AK7='Quick Setup'!$E$47,'Quick Setup'!$E51,if(AK7='Quick Setup'!$F$47,'Quick Setup'!$F51,if(AK7='Quick Setup'!$G$47,'Quick Setup'!$G51,if(AK7='Quick Setup'!$H$47,'Quick Setup'!$H51,if(AK7='Quick Setup'!$I$47,'Quick Setup'!$I51,if(AK7='Quick Setup'!$J$47,'Quick Setup'!$J51,if(AK7='Quick Setup'!$K$47,'Quick Setup'!$K51,if(AK7='Quick Setup'!$L$47,'Quick Setup'!$L51,if(AK7='Quick Setup'!$M$47,'Quick Setup'!$M51,if(AK7='Quick Setup'!$N$47,'Quick Setup'!$N51,if(AK7='Quick Setup'!$O$47,'Quick Setup'!$O51,if(AK7='Quick Setup'!$P$47,'Quick Setup'!$P51,if(AK7='Quick Setup'!$Q$47,'Quick Setup'!$Q51,if(AK7='Quick Setup'!$R$47,'Quick Setup'!$R51,if(AK7='Quick Setup'!$S$47,'Quick Setup'!$S51,if(AK7='Quick Setup'!$T$47,'Quick Setup'!$T51,if(AK7='Quick Setup'!$U$47,'Quick Setup'!$U51,if(AK7='Quick Setup'!$V$47,'Quick Setup'!$V51,if(AK7='Quick Setup'!$W$47,'Quick Setup'!$W51)))))))))))))))))))))</f>
        <v>2</v>
      </c>
      <c r="AN7" s="22">
        <f t="shared" ref="AN7:AQ7" si="65">AG7</f>
        <v>4</v>
      </c>
      <c r="AO7" s="22">
        <f t="shared" si="65"/>
        <v>6</v>
      </c>
      <c r="AP7" s="23">
        <f t="shared" si="65"/>
        <v>0.02</v>
      </c>
      <c r="AQ7" s="23">
        <f t="shared" si="65"/>
        <v>-0.05</v>
      </c>
      <c r="AR7" s="21">
        <f>'Quick Setup'!I64</f>
        <v>0.6</v>
      </c>
      <c r="AS7" s="24">
        <f>if(AR7='Quick Setup'!$C$33,'Quick Setup'!$C37,if(AR7='Quick Setup'!$D$33,'Quick Setup'!$D37,if(AR7='Quick Setup'!$E$33,'Quick Setup'!$E37,if(AR7='Quick Setup'!$F$33,'Quick Setup'!$F37,if(AR7='Quick Setup'!$G$33,'Quick Setup'!$G37,if(AR7='Quick Setup'!$H$33,'Quick Setup'!$H37,if(AR7='Quick Setup'!$I$33,'Quick Setup'!$I37,if(AR7='Quick Setup'!$J$33,'Quick Setup'!$J37,if(AR7='Quick Setup'!$K$33,'Quick Setup'!$K37,if(AR7='Quick Setup'!$L$33,'Quick Setup'!$L37,if(AR7='Quick Setup'!$M$33,'Quick Setup'!$M37,if(AR7='Quick Setup'!$N$33,'Quick Setup'!$N37,if(AR7='Quick Setup'!$O$33,'Quick Setup'!$O37,if(AR7='Quick Setup'!$P$33,'Quick Setup'!$P37,if(AR7='Quick Setup'!$Q$33,'Quick Setup'!$Q37,if(AR7='Quick Setup'!$R$33,'Quick Setup'!$R37,if(AR7='Quick Setup'!$S$33,'Quick Setup'!$S37,if(AR7='Quick Setup'!$T$33,'Quick Setup'!$T37,if(AR7='Quick Setup'!$U$33,'Quick Setup'!$U37,if(AR7='Quick Setup'!$V$33,'Quick Setup'!$V37,'2x'!BM20))))))))))))))))))))</f>
        <v>7</v>
      </c>
      <c r="AT7" s="22">
        <f>if(AR7='Quick Setup'!$C$47,'Quick Setup'!$C51,if(AR7='Quick Setup'!$D$47,'Quick Setup'!$D51,if(AR7='Quick Setup'!$E$47,'Quick Setup'!$E51,if(AR7='Quick Setup'!$F$47,'Quick Setup'!$F51,if(AR7='Quick Setup'!$G$47,'Quick Setup'!$G51,if(AR7='Quick Setup'!$H$47,'Quick Setup'!$H51,if(AR7='Quick Setup'!$I$47,'Quick Setup'!$I51,if(AR7='Quick Setup'!$J$47,'Quick Setup'!$J51,if(AR7='Quick Setup'!$K$47,'Quick Setup'!$K51,if(AR7='Quick Setup'!$L$47,'Quick Setup'!$L51,if(AR7='Quick Setup'!$M$47,'Quick Setup'!$M51,if(AR7='Quick Setup'!$N$47,'Quick Setup'!$N51,if(AR7='Quick Setup'!$O$47,'Quick Setup'!$O51,if(AR7='Quick Setup'!$P$47,'Quick Setup'!$P51,if(AR7='Quick Setup'!$Q$47,'Quick Setup'!$Q51,if(AR7='Quick Setup'!$R$47,'Quick Setup'!$R51,if(AR7='Quick Setup'!$S$47,'Quick Setup'!$S51,if(AR7='Quick Setup'!$T$47,'Quick Setup'!$T51,if(AR7='Quick Setup'!$U$47,'Quick Setup'!$U51,if(AR7='Quick Setup'!$V$47,'Quick Setup'!$V51,if(AR7='Quick Setup'!$W$47,'Quick Setup'!$W51)))))))))))))))))))))</f>
        <v>4</v>
      </c>
      <c r="AU7" s="22">
        <f t="shared" ref="AU7:AX7" si="66">AN7</f>
        <v>4</v>
      </c>
      <c r="AV7" s="22">
        <f t="shared" si="66"/>
        <v>6</v>
      </c>
      <c r="AW7" s="23">
        <f t="shared" si="66"/>
        <v>0.02</v>
      </c>
      <c r="AX7" s="23">
        <f t="shared" si="66"/>
        <v>-0.05</v>
      </c>
      <c r="AY7" s="21">
        <f>'Quick Setup'!J64</f>
        <v>0.75</v>
      </c>
      <c r="AZ7" s="24">
        <f>if(AY7='Quick Setup'!$C$33,'Quick Setup'!$C37,if(AY7='Quick Setup'!$D$33,'Quick Setup'!$D37,if(AY7='Quick Setup'!$E$33,'Quick Setup'!$E37,if(AY7='Quick Setup'!$F$33,'Quick Setup'!$F37,if(AY7='Quick Setup'!$G$33,'Quick Setup'!$G37,if(AY7='Quick Setup'!$H$33,'Quick Setup'!$H37,if(AY7='Quick Setup'!$I$33,'Quick Setup'!$I37,if(AY7='Quick Setup'!$J$33,'Quick Setup'!$J37,if(AY7='Quick Setup'!$K$33,'Quick Setup'!$K37,if(AY7='Quick Setup'!$L$33,'Quick Setup'!$L37,if(AY7='Quick Setup'!$M$33,'Quick Setup'!$M37,if(AY7='Quick Setup'!$N$33,'Quick Setup'!$N37,if(AY7='Quick Setup'!$O$33,'Quick Setup'!$O37,if(AY7='Quick Setup'!$P$33,'Quick Setup'!$P37,if(AY7='Quick Setup'!$Q$33,'Quick Setup'!$Q37,if(AY7='Quick Setup'!$R$33,'Quick Setup'!$R37,if(AY7='Quick Setup'!$S$33,'Quick Setup'!$S37,if(AY7='Quick Setup'!$T$33,'Quick Setup'!$T37,if(AY7='Quick Setup'!$U$33,'Quick Setup'!$U37,if(AY7='Quick Setup'!$V$33,'Quick Setup'!$V37,'2x'!BT20))))))))))))))))))))</f>
        <v>4</v>
      </c>
      <c r="BA7" s="22">
        <f>if(AY7='Quick Setup'!$C$47,'Quick Setup'!$C51,if(AY7='Quick Setup'!$D$47,'Quick Setup'!$D51,if(AY7='Quick Setup'!$E$47,'Quick Setup'!$E51,if(AY7='Quick Setup'!$F$47,'Quick Setup'!$F51,if(AY7='Quick Setup'!$G$47,'Quick Setup'!$G51,if(AY7='Quick Setup'!$H$47,'Quick Setup'!$H51,if(AY7='Quick Setup'!$I$47,'Quick Setup'!$I51,if(AY7='Quick Setup'!$J$47,'Quick Setup'!$J51,if(AY7='Quick Setup'!$K$47,'Quick Setup'!$K51,if(AY7='Quick Setup'!$L$47,'Quick Setup'!$L51,if(AY7='Quick Setup'!$M$47,'Quick Setup'!$M51,if(AY7='Quick Setup'!$N$47,'Quick Setup'!$N51,if(AY7='Quick Setup'!$O$47,'Quick Setup'!$O51,if(AY7='Quick Setup'!$P$47,'Quick Setup'!$P51,if(AY7='Quick Setup'!$Q$47,'Quick Setup'!$Q51,if(AY7='Quick Setup'!$R$47,'Quick Setup'!$R51,if(AY7='Quick Setup'!$S$47,'Quick Setup'!$S51,if(AY7='Quick Setup'!$T$47,'Quick Setup'!$T51,if(AY7='Quick Setup'!$U$47,'Quick Setup'!$U51,if(AY7='Quick Setup'!$V$47,'Quick Setup'!$V51,if(AY7='Quick Setup'!$W$47,'Quick Setup'!$W51)))))))))))))))))))))</f>
        <v>3</v>
      </c>
      <c r="BB7" s="22">
        <f t="shared" ref="BB7:BE7" si="67">AU7</f>
        <v>4</v>
      </c>
      <c r="BC7" s="22">
        <f t="shared" si="67"/>
        <v>6</v>
      </c>
      <c r="BD7" s="23">
        <f t="shared" si="67"/>
        <v>0.02</v>
      </c>
      <c r="BE7" s="23">
        <f t="shared" si="67"/>
        <v>-0.05</v>
      </c>
      <c r="BF7" s="21">
        <f>'Quick Setup'!K64</f>
        <v>0.8</v>
      </c>
      <c r="BG7" s="24">
        <f>if(BF7='Quick Setup'!$C$33,'Quick Setup'!$C37,if(BF7='Quick Setup'!$D$33,'Quick Setup'!$D37,if(BF7='Quick Setup'!$E$33,'Quick Setup'!$E37,if(BF7='Quick Setup'!$F$33,'Quick Setup'!$F37,if(BF7='Quick Setup'!$G$33,'Quick Setup'!$G37,if(BF7='Quick Setup'!$H$33,'Quick Setup'!$H37,if(BF7='Quick Setup'!$I$33,'Quick Setup'!$I37,if(BF7='Quick Setup'!$J$33,'Quick Setup'!$J37,if(BF7='Quick Setup'!$K$33,'Quick Setup'!$K37,if(BF7='Quick Setup'!$L$33,'Quick Setup'!$L37,if(BF7='Quick Setup'!$M$33,'Quick Setup'!$M37,if(BF7='Quick Setup'!$N$33,'Quick Setup'!$N37,if(BF7='Quick Setup'!$O$33,'Quick Setup'!$O37,if(BF7='Quick Setup'!$P$33,'Quick Setup'!$P37,if(BF7='Quick Setup'!$Q$33,'Quick Setup'!$Q37,if(BF7='Quick Setup'!$R$33,'Quick Setup'!$R37,if(BF7='Quick Setup'!$S$33,'Quick Setup'!$S37,if(BF7='Quick Setup'!$T$33,'Quick Setup'!$T37,if(BF7='Quick Setup'!$U$33,'Quick Setup'!$U37,if(BF7='Quick Setup'!$V$33,'Quick Setup'!$V37,'2x'!CA20))))))))))))))))))))</f>
        <v>3</v>
      </c>
      <c r="BH7" s="22">
        <f>if(BF7='Quick Setup'!$C$47,'Quick Setup'!$C51,if(BF7='Quick Setup'!$D$47,'Quick Setup'!$D51,if(BF7='Quick Setup'!$E$47,'Quick Setup'!$E51,if(BF7='Quick Setup'!$F$47,'Quick Setup'!$F51,if(BF7='Quick Setup'!$G$47,'Quick Setup'!$G51,if(BF7='Quick Setup'!$H$47,'Quick Setup'!$H51,if(BF7='Quick Setup'!$I$47,'Quick Setup'!$I51,if(BF7='Quick Setup'!$J$47,'Quick Setup'!$J51,if(BF7='Quick Setup'!$K$47,'Quick Setup'!$K51,if(BF7='Quick Setup'!$L$47,'Quick Setup'!$L51,if(BF7='Quick Setup'!$M$47,'Quick Setup'!$M51,if(BF7='Quick Setup'!$N$47,'Quick Setup'!$N51,if(BF7='Quick Setup'!$O$47,'Quick Setup'!$O51,if(BF7='Quick Setup'!$P$47,'Quick Setup'!$P51,if(BF7='Quick Setup'!$Q$47,'Quick Setup'!$Q51,if(BF7='Quick Setup'!$R$47,'Quick Setup'!$R51,if(BF7='Quick Setup'!$S$47,'Quick Setup'!$S51,if(BF7='Quick Setup'!$T$47,'Quick Setup'!$T51,if(BF7='Quick Setup'!$U$47,'Quick Setup'!$U51,if(BF7='Quick Setup'!$V$47,'Quick Setup'!$V51,if(BF7='Quick Setup'!$W$47,'Quick Setup'!$W51)))))))))))))))))))))</f>
        <v>2</v>
      </c>
      <c r="BI7" s="22">
        <f t="shared" ref="BI7:BL7" si="68">BB7</f>
        <v>4</v>
      </c>
      <c r="BJ7" s="22">
        <f t="shared" si="68"/>
        <v>6</v>
      </c>
      <c r="BK7" s="23">
        <f t="shared" si="68"/>
        <v>0.02</v>
      </c>
      <c r="BL7" s="23">
        <f t="shared" si="68"/>
        <v>-0.05</v>
      </c>
      <c r="BM7" s="21">
        <f>'Quick Setup'!L64</f>
        <v>0.85</v>
      </c>
      <c r="BN7" s="24">
        <f>if(BM7='Quick Setup'!$C$33,'Quick Setup'!$C37,if(BM7='Quick Setup'!$D$33,'Quick Setup'!$D37,if(BM7='Quick Setup'!$E$33,'Quick Setup'!$E37,if(BM7='Quick Setup'!$F$33,'Quick Setup'!$F37,if(BM7='Quick Setup'!$G$33,'Quick Setup'!$G37,if(BM7='Quick Setup'!$H$33,'Quick Setup'!$H37,if(BM7='Quick Setup'!$I$33,'Quick Setup'!$I37,if(BM7='Quick Setup'!$J$33,'Quick Setup'!$J37,if(BM7='Quick Setup'!$K$33,'Quick Setup'!$K37,if(BM7='Quick Setup'!$L$33,'Quick Setup'!$L37,if(BM7='Quick Setup'!$M$33,'Quick Setup'!$M37,if(BM7='Quick Setup'!$N$33,'Quick Setup'!$N37,if(BM7='Quick Setup'!$O$33,'Quick Setup'!$O37,if(BM7='Quick Setup'!$P$33,'Quick Setup'!$P37,if(BM7='Quick Setup'!$Q$33,'Quick Setup'!$Q37,if(BM7='Quick Setup'!$R$33,'Quick Setup'!$R37,if(BM7='Quick Setup'!$S$33,'Quick Setup'!$S37,if(BM7='Quick Setup'!$T$33,'Quick Setup'!$T37,if(BM7='Quick Setup'!$U$33,'Quick Setup'!$U37,if(BM7='Quick Setup'!$V$33,'Quick Setup'!$V37,'2x'!CH20))))))))))))))))))))</f>
        <v>2</v>
      </c>
      <c r="BO7" s="22">
        <f>if(BM7='Quick Setup'!$C$47,'Quick Setup'!$C51,if(BM7='Quick Setup'!$D$47,'Quick Setup'!$D51,if(BM7='Quick Setup'!$E$47,'Quick Setup'!$E51,if(BM7='Quick Setup'!$F$47,'Quick Setup'!$F51,if(BM7='Quick Setup'!$G$47,'Quick Setup'!$G51,if(BM7='Quick Setup'!$H$47,'Quick Setup'!$H51,if(BM7='Quick Setup'!$I$47,'Quick Setup'!$I51,if(BM7='Quick Setup'!$J$47,'Quick Setup'!$J51,if(BM7='Quick Setup'!$K$47,'Quick Setup'!$K51,if(BM7='Quick Setup'!$L$47,'Quick Setup'!$L51,if(BM7='Quick Setup'!$M$47,'Quick Setup'!$M51,if(BM7='Quick Setup'!$N$47,'Quick Setup'!$N51,if(BM7='Quick Setup'!$O$47,'Quick Setup'!$O51,if(BM7='Quick Setup'!$P$47,'Quick Setup'!$P51,if(BM7='Quick Setup'!$Q$47,'Quick Setup'!$Q51,if(BM7='Quick Setup'!$R$47,'Quick Setup'!$R51,if(BM7='Quick Setup'!$S$47,'Quick Setup'!$S51,if(BM7='Quick Setup'!$T$47,'Quick Setup'!$T51,if(BM7='Quick Setup'!$U$47,'Quick Setup'!$U51,if(BM7='Quick Setup'!$V$47,'Quick Setup'!$V51,if(BM7='Quick Setup'!$W$47,'Quick Setup'!$W51)))))))))))))))))))))</f>
        <v>2</v>
      </c>
      <c r="BP7" s="22">
        <f t="shared" ref="BP7:BS7" si="69">BI7</f>
        <v>4</v>
      </c>
      <c r="BQ7" s="22">
        <f t="shared" si="69"/>
        <v>6</v>
      </c>
      <c r="BR7" s="23">
        <f t="shared" si="69"/>
        <v>0.02</v>
      </c>
      <c r="BS7" s="23">
        <f t="shared" si="69"/>
        <v>-0.05</v>
      </c>
      <c r="BT7" s="21">
        <f>'Quick Setup'!M64</f>
        <v>0.775</v>
      </c>
      <c r="BU7" s="24">
        <f>if(BT7='Quick Setup'!$C$33,'Quick Setup'!$C37,if(BT7='Quick Setup'!$D$33,'Quick Setup'!$D37,if(BT7='Quick Setup'!$E$33,'Quick Setup'!$E37,if(BT7='Quick Setup'!$F$33,'Quick Setup'!$F37,if(BT7='Quick Setup'!$G$33,'Quick Setup'!$G37,if(BT7='Quick Setup'!$H$33,'Quick Setup'!$H37,if(BT7='Quick Setup'!$I$33,'Quick Setup'!$I37,if(BT7='Quick Setup'!$J$33,'Quick Setup'!$J37,if(BT7='Quick Setup'!$K$33,'Quick Setup'!$K37,if(BT7='Quick Setup'!$L$33,'Quick Setup'!$L37,if(BT7='Quick Setup'!$M$33,'Quick Setup'!$M37,if(BT7='Quick Setup'!$N$33,'Quick Setup'!$N37,if(BT7='Quick Setup'!$O$33,'Quick Setup'!$O37,if(BT7='Quick Setup'!$P$33,'Quick Setup'!$P37,if(BT7='Quick Setup'!$Q$33,'Quick Setup'!$Q37,if(BT7='Quick Setup'!$R$33,'Quick Setup'!$R37,if(BT7='Quick Setup'!$S$33,'Quick Setup'!$S37,if(BT7='Quick Setup'!$T$33,'Quick Setup'!$T37,if(BT7='Quick Setup'!$U$33,'Quick Setup'!$U37,if(BT7='Quick Setup'!$V$33,'Quick Setup'!$V37,'2x'!CO20))))))))))))))))))))</f>
        <v>4</v>
      </c>
      <c r="BV7" s="22">
        <f>if(BT7='Quick Setup'!$C$47,'Quick Setup'!$C51,if(BT7='Quick Setup'!$D$47,'Quick Setup'!$D51,if(BT7='Quick Setup'!$E$47,'Quick Setup'!$E51,if(BT7='Quick Setup'!$F$47,'Quick Setup'!$F51,if(BT7='Quick Setup'!$G$47,'Quick Setup'!$G51,if(BT7='Quick Setup'!$H$47,'Quick Setup'!$H51,if(BT7='Quick Setup'!$I$47,'Quick Setup'!$I51,if(BT7='Quick Setup'!$J$47,'Quick Setup'!$J51,if(BT7='Quick Setup'!$K$47,'Quick Setup'!$K51,if(BT7='Quick Setup'!$L$47,'Quick Setup'!$L51,if(BT7='Quick Setup'!$M$47,'Quick Setup'!$M51,if(BT7='Quick Setup'!$N$47,'Quick Setup'!$N51,if(BT7='Quick Setup'!$O$47,'Quick Setup'!$O51,if(BT7='Quick Setup'!$P$47,'Quick Setup'!$P51,if(BT7='Quick Setup'!$Q$47,'Quick Setup'!$Q51,if(BT7='Quick Setup'!$R$47,'Quick Setup'!$R51,if(BT7='Quick Setup'!$S$47,'Quick Setup'!$S51,if(BT7='Quick Setup'!$T$47,'Quick Setup'!$T51,if(BT7='Quick Setup'!$U$47,'Quick Setup'!$U51,if(BT7='Quick Setup'!$V$47,'Quick Setup'!$V51,if(BT7='Quick Setup'!$W$47,'Quick Setup'!$W51)))))))))))))))))))))</f>
        <v>3</v>
      </c>
      <c r="BW7" s="22">
        <f t="shared" ref="BW7:BZ7" si="70">BP7</f>
        <v>4</v>
      </c>
      <c r="BX7" s="22">
        <f t="shared" si="70"/>
        <v>6</v>
      </c>
      <c r="BY7" s="23">
        <f t="shared" si="70"/>
        <v>0.02</v>
      </c>
      <c r="BZ7" s="23">
        <f t="shared" si="70"/>
        <v>-0.05</v>
      </c>
      <c r="CA7" s="21">
        <f>'Quick Setup'!N64</f>
        <v>0.825</v>
      </c>
      <c r="CB7" s="24">
        <f>if(CA7='Quick Setup'!$C$33,'Quick Setup'!$C37,if(CA7='Quick Setup'!$D$33,'Quick Setup'!$D37,if(CA7='Quick Setup'!$E$33,'Quick Setup'!$E37,if(CA7='Quick Setup'!$F$33,'Quick Setup'!$F37,if(CA7='Quick Setup'!$G$33,'Quick Setup'!$G37,if(CA7='Quick Setup'!$H$33,'Quick Setup'!$H37,if(CA7='Quick Setup'!$I$33,'Quick Setup'!$I37,if(CA7='Quick Setup'!$J$33,'Quick Setup'!$J37,if(CA7='Quick Setup'!$K$33,'Quick Setup'!$K37,if(CA7='Quick Setup'!$L$33,'Quick Setup'!$L37,if(CA7='Quick Setup'!$M$33,'Quick Setup'!$M37,if(CA7='Quick Setup'!$N$33,'Quick Setup'!$N37,if(CA7='Quick Setup'!$O$33,'Quick Setup'!$O37,if(CA7='Quick Setup'!$P$33,'Quick Setup'!$P37,if(CA7='Quick Setup'!$Q$33,'Quick Setup'!$Q37,if(CA7='Quick Setup'!$R$33,'Quick Setup'!$R37,if(CA7='Quick Setup'!$S$33,'Quick Setup'!$S37,if(CA7='Quick Setup'!$T$33,'Quick Setup'!$T37,if(CA7='Quick Setup'!$U$33,'Quick Setup'!$U37,if(CA7='Quick Setup'!$V$33,'Quick Setup'!$V37,'2x'!CV20))))))))))))))))))))</f>
        <v>3</v>
      </c>
      <c r="CC7" s="22">
        <f>if(CA7='Quick Setup'!$C$47,'Quick Setup'!$C51,if(CA7='Quick Setup'!$D$47,'Quick Setup'!$D51,if(CA7='Quick Setup'!$E$47,'Quick Setup'!$E51,if(CA7='Quick Setup'!$F$47,'Quick Setup'!$F51,if(CA7='Quick Setup'!$G$47,'Quick Setup'!$G51,if(CA7='Quick Setup'!$H$47,'Quick Setup'!$H51,if(CA7='Quick Setup'!$I$47,'Quick Setup'!$I51,if(CA7='Quick Setup'!$J$47,'Quick Setup'!$J51,if(CA7='Quick Setup'!$K$47,'Quick Setup'!$K51,if(CA7='Quick Setup'!$L$47,'Quick Setup'!$L51,if(CA7='Quick Setup'!$M$47,'Quick Setup'!$M51,if(CA7='Quick Setup'!$N$47,'Quick Setup'!$N51,if(CA7='Quick Setup'!$O$47,'Quick Setup'!$O51,if(CA7='Quick Setup'!$P$47,'Quick Setup'!$P51,if(CA7='Quick Setup'!$Q$47,'Quick Setup'!$Q51,if(CA7='Quick Setup'!$R$47,'Quick Setup'!$R51,if(CA7='Quick Setup'!$S$47,'Quick Setup'!$S51,if(CA7='Quick Setup'!$T$47,'Quick Setup'!$T51,if(CA7='Quick Setup'!$U$47,'Quick Setup'!$U51,if(CA7='Quick Setup'!$V$47,'Quick Setup'!$V51,if(CA7='Quick Setup'!$W$47,'Quick Setup'!$W51)))))))))))))))))))))</f>
        <v>2</v>
      </c>
      <c r="CD7" s="22">
        <f t="shared" ref="CD7:CG7" si="71">BW7</f>
        <v>4</v>
      </c>
      <c r="CE7" s="22">
        <f t="shared" si="71"/>
        <v>6</v>
      </c>
      <c r="CF7" s="23">
        <f t="shared" si="71"/>
        <v>0.02</v>
      </c>
      <c r="CG7" s="23">
        <f t="shared" si="71"/>
        <v>-0.05</v>
      </c>
      <c r="CH7" s="21">
        <f>'Quick Setup'!O64</f>
        <v>0.875</v>
      </c>
      <c r="CI7" s="24">
        <f>if(CH7='Quick Setup'!$C$33,'Quick Setup'!$C37,if(CH7='Quick Setup'!$D$33,'Quick Setup'!$D37,if(CH7='Quick Setup'!$E$33,'Quick Setup'!$E37,if(CH7='Quick Setup'!$F$33,'Quick Setup'!$F37,if(CH7='Quick Setup'!$G$33,'Quick Setup'!$G37,if(CH7='Quick Setup'!$H$33,'Quick Setup'!$H37,if(CH7='Quick Setup'!$I$33,'Quick Setup'!$I37,if(CH7='Quick Setup'!$J$33,'Quick Setup'!$J37,if(CH7='Quick Setup'!$K$33,'Quick Setup'!$K37,if(CH7='Quick Setup'!$L$33,'Quick Setup'!$L37,if(CH7='Quick Setup'!$M$33,'Quick Setup'!$M37,if(CH7='Quick Setup'!$N$33,'Quick Setup'!$N37,if(CH7='Quick Setup'!$O$33,'Quick Setup'!$O37,if(CH7='Quick Setup'!$P$33,'Quick Setup'!$P37,if(CH7='Quick Setup'!$Q$33,'Quick Setup'!$Q37,if(CH7='Quick Setup'!$R$33,'Quick Setup'!$R37,if(CH7='Quick Setup'!$S$33,'Quick Setup'!$S37,if(CH7='Quick Setup'!$T$33,'Quick Setup'!$T37,if(CH7='Quick Setup'!$U$33,'Quick Setup'!$U37,if(CH7='Quick Setup'!$V$33,'Quick Setup'!$V37,'2x'!DC20))))))))))))))))))))</f>
        <v>2</v>
      </c>
      <c r="CJ7" s="22">
        <f>if(CH7='Quick Setup'!$C$47,'Quick Setup'!$C51,if(CH7='Quick Setup'!$D$47,'Quick Setup'!$D51,if(CH7='Quick Setup'!$E$47,'Quick Setup'!$E51,if(CH7='Quick Setup'!$F$47,'Quick Setup'!$F51,if(CH7='Quick Setup'!$G$47,'Quick Setup'!$G51,if(CH7='Quick Setup'!$H$47,'Quick Setup'!$H51,if(CH7='Quick Setup'!$I$47,'Quick Setup'!$I51,if(CH7='Quick Setup'!$J$47,'Quick Setup'!$J51,if(CH7='Quick Setup'!$K$47,'Quick Setup'!$K51,if(CH7='Quick Setup'!$L$47,'Quick Setup'!$L51,if(CH7='Quick Setup'!$M$47,'Quick Setup'!$M51,if(CH7='Quick Setup'!$N$47,'Quick Setup'!$N51,if(CH7='Quick Setup'!$O$47,'Quick Setup'!$O51,if(CH7='Quick Setup'!$P$47,'Quick Setup'!$P51,if(CH7='Quick Setup'!$Q$47,'Quick Setup'!$Q51,if(CH7='Quick Setup'!$R$47,'Quick Setup'!$R51,if(CH7='Quick Setup'!$S$47,'Quick Setup'!$S51,if(CH7='Quick Setup'!$T$47,'Quick Setup'!$T51,if(CH7='Quick Setup'!$U$47,'Quick Setup'!$U51,if(CH7='Quick Setup'!$V$47,'Quick Setup'!$V51,if(CH7='Quick Setup'!$W$47,'Quick Setup'!$W51)))))))))))))))))))))</f>
        <v>2</v>
      </c>
      <c r="CK7" s="22">
        <f t="shared" ref="CK7:CN7" si="72">CD7</f>
        <v>4</v>
      </c>
      <c r="CL7" s="22">
        <f t="shared" si="72"/>
        <v>6</v>
      </c>
      <c r="CM7" s="23">
        <f t="shared" si="72"/>
        <v>0.02</v>
      </c>
      <c r="CN7" s="23">
        <f t="shared" si="72"/>
        <v>-0.05</v>
      </c>
      <c r="CO7" s="21">
        <f>'Quick Setup'!P64</f>
        <v>0.6</v>
      </c>
      <c r="CP7" s="24">
        <f>if(CO7='Quick Setup'!$C$33,'Quick Setup'!$C37,if(CO7='Quick Setup'!$D$33,'Quick Setup'!$D37,if(CO7='Quick Setup'!$E$33,'Quick Setup'!$E37,if(CO7='Quick Setup'!$F$33,'Quick Setup'!$F37,if(CO7='Quick Setup'!$G$33,'Quick Setup'!$G37,if(CO7='Quick Setup'!$H$33,'Quick Setup'!$H37,if(CO7='Quick Setup'!$I$33,'Quick Setup'!$I37,if(CO7='Quick Setup'!$J$33,'Quick Setup'!$J37,if(CO7='Quick Setup'!$K$33,'Quick Setup'!$K37,if(CO7='Quick Setup'!$L$33,'Quick Setup'!$L37,if(CO7='Quick Setup'!$M$33,'Quick Setup'!$M37,if(CO7='Quick Setup'!$N$33,'Quick Setup'!$N37,if(CO7='Quick Setup'!$O$33,'Quick Setup'!$O37,if(CO7='Quick Setup'!$P$33,'Quick Setup'!$P37,if(CO7='Quick Setup'!$Q$33,'Quick Setup'!$Q37,if(CO7='Quick Setup'!$R$33,'Quick Setup'!$R37,if(CO7='Quick Setup'!$S$33,'Quick Setup'!$S37,if(CO7='Quick Setup'!$T$33,'Quick Setup'!$T37,if(CO7='Quick Setup'!$U$33,'Quick Setup'!$U37,if(CO7='Quick Setup'!$V$33,'Quick Setup'!$V37,'2x'!DJ20))))))))))))))))))))</f>
        <v>7</v>
      </c>
      <c r="CQ7" s="22">
        <f>if(CO7='Quick Setup'!$C$47,'Quick Setup'!$C51,if(CO7='Quick Setup'!$D$47,'Quick Setup'!$D51,if(CO7='Quick Setup'!$E$47,'Quick Setup'!$E51,if(CO7='Quick Setup'!$F$47,'Quick Setup'!$F51,if(CO7='Quick Setup'!$G$47,'Quick Setup'!$G51,if(CO7='Quick Setup'!$H$47,'Quick Setup'!$H51,if(CO7='Quick Setup'!$I$47,'Quick Setup'!$I51,if(CO7='Quick Setup'!$J$47,'Quick Setup'!$J51,if(CO7='Quick Setup'!$K$47,'Quick Setup'!$K51,if(CO7='Quick Setup'!$L$47,'Quick Setup'!$L51,if(CO7='Quick Setup'!$M$47,'Quick Setup'!$M51,if(CO7='Quick Setup'!$N$47,'Quick Setup'!$N51,if(CO7='Quick Setup'!$O$47,'Quick Setup'!$O51,if(CO7='Quick Setup'!$P$47,'Quick Setup'!$P51,if(CO7='Quick Setup'!$Q$47,'Quick Setup'!$Q51,if(CO7='Quick Setup'!$R$47,'Quick Setup'!$R51,if(CO7='Quick Setup'!$S$47,'Quick Setup'!$S51,if(CO7='Quick Setup'!$T$47,'Quick Setup'!$T51,if(CO7='Quick Setup'!$U$47,'Quick Setup'!$U51,if(CO7='Quick Setup'!$V$47,'Quick Setup'!$V51,if(CO7='Quick Setup'!$W$47,'Quick Setup'!$W51)))))))))))))))))))))</f>
        <v>4</v>
      </c>
      <c r="CR7" s="22">
        <f t="shared" ref="CR7:CU7" si="73">CK7</f>
        <v>4</v>
      </c>
      <c r="CS7" s="22">
        <f t="shared" si="73"/>
        <v>6</v>
      </c>
      <c r="CT7" s="23">
        <f t="shared" si="73"/>
        <v>0.02</v>
      </c>
      <c r="CU7" s="23">
        <f t="shared" si="73"/>
        <v>-0.05</v>
      </c>
      <c r="CV7" s="21">
        <f>'Quick Setup'!Q64</f>
        <v>0.8</v>
      </c>
      <c r="CW7" s="24">
        <f>if(CV7='Quick Setup'!$C$33,'Quick Setup'!$C37,if(CV7='Quick Setup'!$D$33,'Quick Setup'!$D37,if(CV7='Quick Setup'!$E$33,'Quick Setup'!$E37,if(CV7='Quick Setup'!$F$33,'Quick Setup'!$F37,if(CV7='Quick Setup'!$G$33,'Quick Setup'!$G37,if(CV7='Quick Setup'!$H$33,'Quick Setup'!$H37,if(CV7='Quick Setup'!$I$33,'Quick Setup'!$I37,if(CV7='Quick Setup'!$J$33,'Quick Setup'!$J37,if(CV7='Quick Setup'!$K$33,'Quick Setup'!$K37,if(CV7='Quick Setup'!$L$33,'Quick Setup'!$L37,if(CV7='Quick Setup'!$M$33,'Quick Setup'!$M37,if(CV7='Quick Setup'!$N$33,'Quick Setup'!$N37,if(CV7='Quick Setup'!$O$33,'Quick Setup'!$O37,if(CV7='Quick Setup'!$P$33,'Quick Setup'!$P37,if(CV7='Quick Setup'!$Q$33,'Quick Setup'!$Q37,if(CV7='Quick Setup'!$R$33,'Quick Setup'!$R37,if(CV7='Quick Setup'!$S$33,'Quick Setup'!$S37,if(CV7='Quick Setup'!$T$33,'Quick Setup'!$T37,if(CV7='Quick Setup'!$U$33,'Quick Setup'!$U37,if(CV7='Quick Setup'!$V$33,'Quick Setup'!$V37,'2x'!DQ20))))))))))))))))))))</f>
        <v>3</v>
      </c>
      <c r="CX7" s="22">
        <f>if(CV7='Quick Setup'!$C$47,'Quick Setup'!$C51,if(CV7='Quick Setup'!$D$47,'Quick Setup'!$D51,if(CV7='Quick Setup'!$E$47,'Quick Setup'!$E51,if(CV7='Quick Setup'!$F$47,'Quick Setup'!$F51,if(CV7='Quick Setup'!$G$47,'Quick Setup'!$G51,if(CV7='Quick Setup'!$H$47,'Quick Setup'!$H51,if(CV7='Quick Setup'!$I$47,'Quick Setup'!$I51,if(CV7='Quick Setup'!$J$47,'Quick Setup'!$J51,if(CV7='Quick Setup'!$K$47,'Quick Setup'!$K51,if(CV7='Quick Setup'!$L$47,'Quick Setup'!$L51,if(CV7='Quick Setup'!$M$47,'Quick Setup'!$M51,if(CV7='Quick Setup'!$N$47,'Quick Setup'!$N51,if(CV7='Quick Setup'!$O$47,'Quick Setup'!$O51,if(CV7='Quick Setup'!$P$47,'Quick Setup'!$P51,if(CV7='Quick Setup'!$Q$47,'Quick Setup'!$Q51,if(CV7='Quick Setup'!$R$47,'Quick Setup'!$R51,if(CV7='Quick Setup'!$S$47,'Quick Setup'!$S51,if(CV7='Quick Setup'!$T$47,'Quick Setup'!$T51,if(CV7='Quick Setup'!$U$47,'Quick Setup'!$U51,if(CV7='Quick Setup'!$V$47,'Quick Setup'!$V51,if(CV7='Quick Setup'!$W$47,'Quick Setup'!$W51)))))))))))))))))))))</f>
        <v>2</v>
      </c>
      <c r="CY7" s="22">
        <f t="shared" ref="CY7:DB7" si="74">CR7</f>
        <v>4</v>
      </c>
      <c r="CZ7" s="22">
        <f t="shared" si="74"/>
        <v>6</v>
      </c>
      <c r="DA7" s="23">
        <f t="shared" si="74"/>
        <v>0.02</v>
      </c>
      <c r="DB7" s="23">
        <f t="shared" si="74"/>
        <v>-0.05</v>
      </c>
      <c r="DC7" s="21">
        <f>'Quick Setup'!R64</f>
        <v>0.85</v>
      </c>
      <c r="DD7" s="24">
        <f>if(DC7='Quick Setup'!$C$33,'Quick Setup'!$C37,if(DC7='Quick Setup'!$D$33,'Quick Setup'!$D37,if(DC7='Quick Setup'!$E$33,'Quick Setup'!$E37,if(DC7='Quick Setup'!$F$33,'Quick Setup'!$F37,if(DC7='Quick Setup'!$G$33,'Quick Setup'!$G37,if(DC7='Quick Setup'!$H$33,'Quick Setup'!$H37,if(DC7='Quick Setup'!$I$33,'Quick Setup'!$I37,if(DC7='Quick Setup'!$J$33,'Quick Setup'!$J37,if(DC7='Quick Setup'!$K$33,'Quick Setup'!$K37,if(DC7='Quick Setup'!$L$33,'Quick Setup'!$L37,if(DC7='Quick Setup'!$M$33,'Quick Setup'!$M37,if(DC7='Quick Setup'!$N$33,'Quick Setup'!$N37,if(DC7='Quick Setup'!$O$33,'Quick Setup'!$O37,if(DC7='Quick Setup'!$P$33,'Quick Setup'!$P37,if(DC7='Quick Setup'!$Q$33,'Quick Setup'!$Q37,if(DC7='Quick Setup'!$R$33,'Quick Setup'!$R37,if(DC7='Quick Setup'!$S$33,'Quick Setup'!$S37,if(DC7='Quick Setup'!$T$33,'Quick Setup'!$T37,if(DC7='Quick Setup'!$U$33,'Quick Setup'!$U37,if(DC7='Quick Setup'!$V$33,'Quick Setup'!$V37,'2x'!DX20))))))))))))))))))))</f>
        <v>2</v>
      </c>
      <c r="DE7" s="22">
        <f>if(DC7='Quick Setup'!$C$47,'Quick Setup'!$C51,if(DC7='Quick Setup'!$D$47,'Quick Setup'!$D51,if(DC7='Quick Setup'!$E$47,'Quick Setup'!$E51,if(DC7='Quick Setup'!$F$47,'Quick Setup'!$F51,if(DC7='Quick Setup'!$G$47,'Quick Setup'!$G51,if(DC7='Quick Setup'!$H$47,'Quick Setup'!$H51,if(DC7='Quick Setup'!$I$47,'Quick Setup'!$I51,if(DC7='Quick Setup'!$J$47,'Quick Setup'!$J51,if(DC7='Quick Setup'!$K$47,'Quick Setup'!$K51,if(DC7='Quick Setup'!$L$47,'Quick Setup'!$L51,if(DC7='Quick Setup'!$M$47,'Quick Setup'!$M51,if(DC7='Quick Setup'!$N$47,'Quick Setup'!$N51,if(DC7='Quick Setup'!$O$47,'Quick Setup'!$O51,if(DC7='Quick Setup'!$P$47,'Quick Setup'!$P51,if(DC7='Quick Setup'!$Q$47,'Quick Setup'!$Q51,if(DC7='Quick Setup'!$R$47,'Quick Setup'!$R51,if(DC7='Quick Setup'!$S$47,'Quick Setup'!$S51,if(DC7='Quick Setup'!$T$47,'Quick Setup'!$T51,if(DC7='Quick Setup'!$U$47,'Quick Setup'!$U51,if(DC7='Quick Setup'!$V$47,'Quick Setup'!$V51,if(DC7='Quick Setup'!$W$47,'Quick Setup'!$W51)))))))))))))))))))))</f>
        <v>2</v>
      </c>
      <c r="DF7" s="22">
        <f t="shared" ref="DF7:DI7" si="75">CY7</f>
        <v>4</v>
      </c>
      <c r="DG7" s="22">
        <f t="shared" si="75"/>
        <v>6</v>
      </c>
      <c r="DH7" s="23">
        <f t="shared" si="75"/>
        <v>0.02</v>
      </c>
      <c r="DI7" s="23">
        <f t="shared" si="75"/>
        <v>-0.05</v>
      </c>
      <c r="DJ7" s="21">
        <f>'Quick Setup'!S64</f>
        <v>0.9</v>
      </c>
      <c r="DK7" s="24">
        <f>if(DJ7='Quick Setup'!$C$33,'Quick Setup'!$C37,if(DJ7='Quick Setup'!$D$33,'Quick Setup'!$D37,if(DJ7='Quick Setup'!$E$33,'Quick Setup'!$E37,if(DJ7='Quick Setup'!$F$33,'Quick Setup'!$F37,if(DJ7='Quick Setup'!$G$33,'Quick Setup'!$G37,if(DJ7='Quick Setup'!$H$33,'Quick Setup'!$H37,if(DJ7='Quick Setup'!$I$33,'Quick Setup'!$I37,if(DJ7='Quick Setup'!$J$33,'Quick Setup'!$J37,if(DJ7='Quick Setup'!$K$33,'Quick Setup'!$K37,if(DJ7='Quick Setup'!$L$33,'Quick Setup'!$L37,if(DJ7='Quick Setup'!$M$33,'Quick Setup'!$M37,if(DJ7='Quick Setup'!$N$33,'Quick Setup'!$N37,if(DJ7='Quick Setup'!$O$33,'Quick Setup'!$O37,if(DJ7='Quick Setup'!$P$33,'Quick Setup'!$P37,if(DJ7='Quick Setup'!$Q$33,'Quick Setup'!$Q37,if(DJ7='Quick Setup'!$R$33,'Quick Setup'!$R37,if(DJ7='Quick Setup'!$S$33,'Quick Setup'!$S37,if(DJ7='Quick Setup'!$T$33,'Quick Setup'!$T37,if(DJ7='Quick Setup'!$U$33,'Quick Setup'!$U37,if(DJ7='Quick Setup'!$V$33,'Quick Setup'!$V37,'2x'!EE20))))))))))))))))))))</f>
        <v>1</v>
      </c>
      <c r="DL7" s="22">
        <f>if(DJ7='Quick Setup'!$C$47,'Quick Setup'!$C51,if(DJ7='Quick Setup'!$D$47,'Quick Setup'!$D51,if(DJ7='Quick Setup'!$E$47,'Quick Setup'!$E51,if(DJ7='Quick Setup'!$F$47,'Quick Setup'!$F51,if(DJ7='Quick Setup'!$G$47,'Quick Setup'!$G51,if(DJ7='Quick Setup'!$H$47,'Quick Setup'!$H51,if(DJ7='Quick Setup'!$I$47,'Quick Setup'!$I51,if(DJ7='Quick Setup'!$J$47,'Quick Setup'!$J51,if(DJ7='Quick Setup'!$K$47,'Quick Setup'!$K51,if(DJ7='Quick Setup'!$L$47,'Quick Setup'!$L51,if(DJ7='Quick Setup'!$M$47,'Quick Setup'!$M51,if(DJ7='Quick Setup'!$N$47,'Quick Setup'!$N51,if(DJ7='Quick Setup'!$O$47,'Quick Setup'!$O51,if(DJ7='Quick Setup'!$P$47,'Quick Setup'!$P51,if(DJ7='Quick Setup'!$Q$47,'Quick Setup'!$Q51,if(DJ7='Quick Setup'!$R$47,'Quick Setup'!$R51,if(DJ7='Quick Setup'!$S$47,'Quick Setup'!$S51,if(DJ7='Quick Setup'!$T$47,'Quick Setup'!$T51,if(DJ7='Quick Setup'!$U$47,'Quick Setup'!$U51,if(DJ7='Quick Setup'!$V$47,'Quick Setup'!$V51,if(DJ7='Quick Setup'!$W$47,'Quick Setup'!$W51)))))))))))))))))))))</f>
        <v>1</v>
      </c>
      <c r="DM7" s="22">
        <f t="shared" ref="DM7:DP7" si="76">DF7</f>
        <v>4</v>
      </c>
      <c r="DN7" s="22">
        <f t="shared" si="76"/>
        <v>6</v>
      </c>
      <c r="DO7" s="23">
        <f t="shared" si="76"/>
        <v>0.02</v>
      </c>
      <c r="DP7" s="23">
        <f t="shared" si="76"/>
        <v>-0.05</v>
      </c>
      <c r="DQ7" s="21">
        <f>'Quick Setup'!T64</f>
        <v>0.85</v>
      </c>
      <c r="DR7" s="24">
        <f>if(DQ7='Quick Setup'!$C$33,'Quick Setup'!$C37,if(DQ7='Quick Setup'!$D$33,'Quick Setup'!$D37,if(DQ7='Quick Setup'!$E$33,'Quick Setup'!$E37,if(DQ7='Quick Setup'!$F$33,'Quick Setup'!$F37,if(DQ7='Quick Setup'!$G$33,'Quick Setup'!$G37,if(DQ7='Quick Setup'!$H$33,'Quick Setup'!$H37,if(DQ7='Quick Setup'!$I$33,'Quick Setup'!$I37,if(DQ7='Quick Setup'!$J$33,'Quick Setup'!$J37,if(DQ7='Quick Setup'!$K$33,'Quick Setup'!$K37,if(DQ7='Quick Setup'!$L$33,'Quick Setup'!$L37,if(DQ7='Quick Setup'!$M$33,'Quick Setup'!$M37,if(DQ7='Quick Setup'!$N$33,'Quick Setup'!$N37,if(DQ7='Quick Setup'!$O$33,'Quick Setup'!$O37,if(DQ7='Quick Setup'!$P$33,'Quick Setup'!$P37,if(DQ7='Quick Setup'!$Q$33,'Quick Setup'!$Q37,if(DQ7='Quick Setup'!$R$33,'Quick Setup'!$R37,if(DQ7='Quick Setup'!$S$33,'Quick Setup'!$S37,if(DQ7='Quick Setup'!$T$33,'Quick Setup'!$T37,if(DQ7='Quick Setup'!$U$33,'Quick Setup'!$U37,if(DQ7='Quick Setup'!$V$33,'Quick Setup'!$V37,'2x'!EL20))))))))))))))))))))</f>
        <v>2</v>
      </c>
      <c r="DS7" s="22">
        <f>if(DQ7='Quick Setup'!$C$47,'Quick Setup'!$C51,if(DQ7='Quick Setup'!$D$47,'Quick Setup'!$D51,if(DQ7='Quick Setup'!$E$47,'Quick Setup'!$E51,if(DQ7='Quick Setup'!$F$47,'Quick Setup'!$F51,if(DQ7='Quick Setup'!$G$47,'Quick Setup'!$G51,if(DQ7='Quick Setup'!$H$47,'Quick Setup'!$H51,if(DQ7='Quick Setup'!$I$47,'Quick Setup'!$I51,if(DQ7='Quick Setup'!$J$47,'Quick Setup'!$J51,if(DQ7='Quick Setup'!$K$47,'Quick Setup'!$K51,if(DQ7='Quick Setup'!$L$47,'Quick Setup'!$L51,if(DQ7='Quick Setup'!$M$47,'Quick Setup'!$M51,if(DQ7='Quick Setup'!$N$47,'Quick Setup'!$N51,if(DQ7='Quick Setup'!$O$47,'Quick Setup'!$O51,if(DQ7='Quick Setup'!$P$47,'Quick Setup'!$P51,if(DQ7='Quick Setup'!$Q$47,'Quick Setup'!$Q51,if(DQ7='Quick Setup'!$R$47,'Quick Setup'!$R51,if(DQ7='Quick Setup'!$S$47,'Quick Setup'!$S51,if(DQ7='Quick Setup'!$T$47,'Quick Setup'!$T51,if(DQ7='Quick Setup'!$U$47,'Quick Setup'!$U51,if(DQ7='Quick Setup'!$V$47,'Quick Setup'!$V51,if(DQ7='Quick Setup'!$W$47,'Quick Setup'!$W51)))))))))))))))))))))</f>
        <v>2</v>
      </c>
      <c r="DT7" s="22">
        <f t="shared" ref="DT7:DW7" si="77">DM7</f>
        <v>4</v>
      </c>
      <c r="DU7" s="22">
        <f t="shared" si="77"/>
        <v>6</v>
      </c>
      <c r="DV7" s="23">
        <f t="shared" si="77"/>
        <v>0.02</v>
      </c>
      <c r="DW7" s="23">
        <f t="shared" si="77"/>
        <v>-0.05</v>
      </c>
      <c r="DX7" s="21">
        <f>'Quick Setup'!U64</f>
        <v>0.9</v>
      </c>
      <c r="DY7" s="24">
        <f>if(DX7='Quick Setup'!$C$33,'Quick Setup'!$C37,if(DX7='Quick Setup'!$D$33,'Quick Setup'!$D37,if(DX7='Quick Setup'!$E$33,'Quick Setup'!$E37,if(DX7='Quick Setup'!$F$33,'Quick Setup'!$F37,if(DX7='Quick Setup'!$G$33,'Quick Setup'!$G37,if(DX7='Quick Setup'!$H$33,'Quick Setup'!$H37,if(DX7='Quick Setup'!$I$33,'Quick Setup'!$I37,if(DX7='Quick Setup'!$J$33,'Quick Setup'!$J37,if(DX7='Quick Setup'!$K$33,'Quick Setup'!$K37,if(DX7='Quick Setup'!$L$33,'Quick Setup'!$L37,if(DX7='Quick Setup'!$M$33,'Quick Setup'!$M37,if(DX7='Quick Setup'!$N$33,'Quick Setup'!$N37,if(DX7='Quick Setup'!$O$33,'Quick Setup'!$O37,if(DX7='Quick Setup'!$P$33,'Quick Setup'!$P37,if(DX7='Quick Setup'!$Q$33,'Quick Setup'!$Q37,if(DX7='Quick Setup'!$R$33,'Quick Setup'!$R37,if(DX7='Quick Setup'!$S$33,'Quick Setup'!$S37,if(DX7='Quick Setup'!$T$33,'Quick Setup'!$T37,if(DX7='Quick Setup'!$U$33,'Quick Setup'!$U37,if(DX7='Quick Setup'!$V$33,'Quick Setup'!$V37,'2x'!ES20))))))))))))))))))))</f>
        <v>1</v>
      </c>
      <c r="DZ7" s="22">
        <f>if(DX7='Quick Setup'!$C$47,'Quick Setup'!$C51,if(DX7='Quick Setup'!$D$47,'Quick Setup'!$D51,if(DX7='Quick Setup'!$E$47,'Quick Setup'!$E51,if(DX7='Quick Setup'!$F$47,'Quick Setup'!$F51,if(DX7='Quick Setup'!$G$47,'Quick Setup'!$G51,if(DX7='Quick Setup'!$H$47,'Quick Setup'!$H51,if(DX7='Quick Setup'!$I$47,'Quick Setup'!$I51,if(DX7='Quick Setup'!$J$47,'Quick Setup'!$J51,if(DX7='Quick Setup'!$K$47,'Quick Setup'!$K51,if(DX7='Quick Setup'!$L$47,'Quick Setup'!$L51,if(DX7='Quick Setup'!$M$47,'Quick Setup'!$M51,if(DX7='Quick Setup'!$N$47,'Quick Setup'!$N51,if(DX7='Quick Setup'!$O$47,'Quick Setup'!$O51,if(DX7='Quick Setup'!$P$47,'Quick Setup'!$P51,if(DX7='Quick Setup'!$Q$47,'Quick Setup'!$Q51,if(DX7='Quick Setup'!$R$47,'Quick Setup'!$R51,if(DX7='Quick Setup'!$S$47,'Quick Setup'!$S51,if(DX7='Quick Setup'!$T$47,'Quick Setup'!$T51,if(DX7='Quick Setup'!$U$47,'Quick Setup'!$U51,if(DX7='Quick Setup'!$V$47,'Quick Setup'!$V51,if(DX7='Quick Setup'!$W$47,'Quick Setup'!$W51)))))))))))))))))))))</f>
        <v>1</v>
      </c>
      <c r="EA7" s="22">
        <f t="shared" ref="EA7:ED7" si="78">DT7</f>
        <v>4</v>
      </c>
      <c r="EB7" s="22">
        <f t="shared" si="78"/>
        <v>6</v>
      </c>
      <c r="EC7" s="23">
        <f t="shared" si="78"/>
        <v>0.02</v>
      </c>
      <c r="ED7" s="23">
        <f t="shared" si="78"/>
        <v>-0.05</v>
      </c>
      <c r="EE7" s="21">
        <f>'Quick Setup'!V64</f>
        <v>0.95</v>
      </c>
      <c r="EF7" s="24">
        <f>if(EE7='Quick Setup'!$C$33,'Quick Setup'!$C37,if(EE7='Quick Setup'!$D$33,'Quick Setup'!$D37,if(EE7='Quick Setup'!$E$33,'Quick Setup'!$E37,if(EE7='Quick Setup'!$F$33,'Quick Setup'!$F37,if(EE7='Quick Setup'!$G$33,'Quick Setup'!$G37,if(EE7='Quick Setup'!$H$33,'Quick Setup'!$H37,if(EE7='Quick Setup'!$I$33,'Quick Setup'!$I37,if(EE7='Quick Setup'!$J$33,'Quick Setup'!$J37,if(EE7='Quick Setup'!$K$33,'Quick Setup'!$K37,if(EE7='Quick Setup'!$L$33,'Quick Setup'!$L37,if(EE7='Quick Setup'!$M$33,'Quick Setup'!$M37,if(EE7='Quick Setup'!$N$33,'Quick Setup'!$N37,if(EE7='Quick Setup'!$O$33,'Quick Setup'!$O37,if(EE7='Quick Setup'!$P$33,'Quick Setup'!$P37,if(EE7='Quick Setup'!$Q$33,'Quick Setup'!$Q37,if(EE7='Quick Setup'!$R$33,'Quick Setup'!$R37,if(EE7='Quick Setup'!$S$33,'Quick Setup'!$S37,if(EE7='Quick Setup'!$T$33,'Quick Setup'!$T37,if(EE7='Quick Setup'!$U$33,'Quick Setup'!$U37,if(EE7='Quick Setup'!$V$33,'Quick Setup'!$V37,'2x'!EZ20))))))))))))))))))))</f>
        <v>1</v>
      </c>
      <c r="EG7" s="22">
        <f>if(EE7='Quick Setup'!$C$47,'Quick Setup'!$C51,if(EE7='Quick Setup'!$D$47,'Quick Setup'!$D51,if(EE7='Quick Setup'!$E$47,'Quick Setup'!$E51,if(EE7='Quick Setup'!$F$47,'Quick Setup'!$F51,if(EE7='Quick Setup'!$G$47,'Quick Setup'!$G51,if(EE7='Quick Setup'!$H$47,'Quick Setup'!$H51,if(EE7='Quick Setup'!$I$47,'Quick Setup'!$I51,if(EE7='Quick Setup'!$J$47,'Quick Setup'!$J51,if(EE7='Quick Setup'!$K$47,'Quick Setup'!$K51,if(EE7='Quick Setup'!$L$47,'Quick Setup'!$L51,if(EE7='Quick Setup'!$M$47,'Quick Setup'!$M51,if(EE7='Quick Setup'!$N$47,'Quick Setup'!$N51,if(EE7='Quick Setup'!$O$47,'Quick Setup'!$O51,if(EE7='Quick Setup'!$P$47,'Quick Setup'!$P51,if(EE7='Quick Setup'!$Q$47,'Quick Setup'!$Q51,if(EE7='Quick Setup'!$R$47,'Quick Setup'!$R51,if(EE7='Quick Setup'!$S$47,'Quick Setup'!$S51,if(EE7='Quick Setup'!$T$47,'Quick Setup'!$T51,if(EE7='Quick Setup'!$U$47,'Quick Setup'!$U51,if(EE7='Quick Setup'!$V$47,'Quick Setup'!$V51,if(EE7='Quick Setup'!$W$47,'Quick Setup'!$W51)))))))))))))))))))))</f>
        <v>1</v>
      </c>
      <c r="EH7" s="22">
        <f t="shared" ref="EH7:EK7" si="79">EA7</f>
        <v>4</v>
      </c>
      <c r="EI7" s="22">
        <f t="shared" si="79"/>
        <v>6</v>
      </c>
      <c r="EJ7" s="23">
        <f t="shared" si="79"/>
        <v>0.02</v>
      </c>
      <c r="EK7" s="23">
        <f t="shared" si="79"/>
        <v>-0.05</v>
      </c>
      <c r="EL7" s="21">
        <f>'Quick Setup'!W64</f>
        <v>0.6</v>
      </c>
      <c r="EM7" s="24">
        <f>if(EL7='Quick Setup'!$C$33,'Quick Setup'!$C37,if(EL7='Quick Setup'!$D$33,'Quick Setup'!$D37,if(EL7='Quick Setup'!$E$33,'Quick Setup'!$E37,if(EL7='Quick Setup'!$F$33,'Quick Setup'!$F37,if(EL7='Quick Setup'!$G$33,'Quick Setup'!$G37,if(EL7='Quick Setup'!$H$33,'Quick Setup'!$H37,if(EL7='Quick Setup'!$I$33,'Quick Setup'!$I37,if(EL7='Quick Setup'!$J$33,'Quick Setup'!$J37,if(EL7='Quick Setup'!$K$33,'Quick Setup'!$K37,if(EL7='Quick Setup'!$L$33,'Quick Setup'!$L37,if(EL7='Quick Setup'!$M$33,'Quick Setup'!$M37,if(EL7='Quick Setup'!$N$33,'Quick Setup'!$N37,if(EL7='Quick Setup'!$O$33,'Quick Setup'!$O37,if(EL7='Quick Setup'!$P$33,'Quick Setup'!$P37,if(EL7='Quick Setup'!$Q$33,'Quick Setup'!$Q37,if(EL7='Quick Setup'!$R$33,'Quick Setup'!$R37,if(EL7='Quick Setup'!$S$33,'Quick Setup'!$S37,if(EL7='Quick Setup'!$T$33,'Quick Setup'!$T37,if(EL7='Quick Setup'!$U$33,'Quick Setup'!$U37,if(EL7='Quick Setup'!$V$33,'Quick Setup'!$V37,'2x'!FG20))))))))))))))))))))</f>
        <v>7</v>
      </c>
      <c r="EN7" s="22">
        <f>if(EL7='Quick Setup'!$C$47,'Quick Setup'!$C51,if(EL7='Quick Setup'!$D$47,'Quick Setup'!$D51,if(EL7='Quick Setup'!$E$47,'Quick Setup'!$E51,if(EL7='Quick Setup'!$F$47,'Quick Setup'!$F51,if(EL7='Quick Setup'!$G$47,'Quick Setup'!$G51,if(EL7='Quick Setup'!$H$47,'Quick Setup'!$H51,if(EL7='Quick Setup'!$I$47,'Quick Setup'!$I51,if(EL7='Quick Setup'!$J$47,'Quick Setup'!$J51,if(EL7='Quick Setup'!$K$47,'Quick Setup'!$K51,if(EL7='Quick Setup'!$L$47,'Quick Setup'!$L51,if(EL7='Quick Setup'!$M$47,'Quick Setup'!$M51,if(EL7='Quick Setup'!$N$47,'Quick Setup'!$N51,if(EL7='Quick Setup'!$O$47,'Quick Setup'!$O51,if(EL7='Quick Setup'!$P$47,'Quick Setup'!$P51,if(EL7='Quick Setup'!$Q$47,'Quick Setup'!$Q51,if(EL7='Quick Setup'!$R$47,'Quick Setup'!$R51,if(EL7='Quick Setup'!$S$47,'Quick Setup'!$S51,if(EL7='Quick Setup'!$T$47,'Quick Setup'!$T51,if(EL7='Quick Setup'!$U$47,'Quick Setup'!$U51,if(EL7='Quick Setup'!$V$47,'Quick Setup'!$V51,if(EL7='Quick Setup'!$W$47,'Quick Setup'!$W51)))))))))))))))))))))</f>
        <v>4</v>
      </c>
      <c r="EO7" s="22">
        <f t="shared" ref="EO7:ER7" si="80">EH7</f>
        <v>4</v>
      </c>
      <c r="EP7" s="22">
        <f t="shared" si="80"/>
        <v>6</v>
      </c>
      <c r="EQ7" s="23">
        <f t="shared" si="80"/>
        <v>0.02</v>
      </c>
      <c r="ER7" s="23">
        <f t="shared" si="80"/>
        <v>-0.05</v>
      </c>
    </row>
    <row r="8">
      <c r="A8" t="str">
        <f>'Quick Setup'!C9</f>
        <v/>
      </c>
      <c r="C8" s="1"/>
      <c r="E8" s="1" t="s">
        <v>5</v>
      </c>
      <c r="G8" s="19" t="s">
        <v>6</v>
      </c>
      <c r="J8" s="1"/>
      <c r="L8" s="1" t="s">
        <v>5</v>
      </c>
      <c r="N8" s="19" t="s">
        <v>6</v>
      </c>
      <c r="Q8" s="20"/>
      <c r="S8" s="1" t="s">
        <v>5</v>
      </c>
      <c r="U8" s="19" t="s">
        <v>6</v>
      </c>
      <c r="X8" s="20"/>
      <c r="Z8" s="1" t="s">
        <v>5</v>
      </c>
      <c r="AB8" s="19" t="s">
        <v>6</v>
      </c>
      <c r="AE8" s="20"/>
      <c r="AG8" s="1" t="s">
        <v>5</v>
      </c>
      <c r="AI8" s="19" t="s">
        <v>6</v>
      </c>
      <c r="AL8" s="20"/>
      <c r="AN8" s="1" t="s">
        <v>5</v>
      </c>
      <c r="AP8" s="19" t="s">
        <v>6</v>
      </c>
      <c r="AS8" s="20"/>
      <c r="AU8" s="1" t="s">
        <v>5</v>
      </c>
      <c r="AW8" s="19" t="s">
        <v>6</v>
      </c>
      <c r="AZ8" s="20"/>
      <c r="BB8" s="1" t="s">
        <v>5</v>
      </c>
      <c r="BD8" s="19" t="s">
        <v>6</v>
      </c>
      <c r="BG8" s="20"/>
      <c r="BI8" s="1" t="s">
        <v>5</v>
      </c>
      <c r="BK8" s="19" t="s">
        <v>6</v>
      </c>
      <c r="BN8" s="20"/>
      <c r="BP8" s="1" t="s">
        <v>5</v>
      </c>
      <c r="BR8" s="19" t="s">
        <v>6</v>
      </c>
      <c r="BU8" s="20"/>
      <c r="BW8" s="1" t="s">
        <v>5</v>
      </c>
      <c r="BY8" s="19" t="s">
        <v>6</v>
      </c>
      <c r="CB8" s="20"/>
      <c r="CD8" s="1" t="s">
        <v>5</v>
      </c>
      <c r="CF8" s="19" t="s">
        <v>6</v>
      </c>
      <c r="CI8" s="20"/>
      <c r="CK8" s="1" t="s">
        <v>5</v>
      </c>
      <c r="CM8" s="19" t="s">
        <v>6</v>
      </c>
      <c r="CP8" s="20"/>
      <c r="CR8" s="1" t="s">
        <v>5</v>
      </c>
      <c r="CT8" s="19" t="s">
        <v>6</v>
      </c>
      <c r="CW8" s="20"/>
      <c r="CY8" s="1" t="s">
        <v>5</v>
      </c>
      <c r="DA8" s="19" t="s">
        <v>6</v>
      </c>
      <c r="DD8" s="20"/>
      <c r="DF8" s="1" t="s">
        <v>5</v>
      </c>
      <c r="DH8" s="19" t="s">
        <v>6</v>
      </c>
      <c r="DK8" s="20"/>
      <c r="DM8" s="1" t="s">
        <v>5</v>
      </c>
      <c r="DO8" s="19" t="s">
        <v>6</v>
      </c>
      <c r="DR8" s="20"/>
      <c r="DT8" s="1" t="s">
        <v>5</v>
      </c>
      <c r="DV8" s="19" t="s">
        <v>6</v>
      </c>
      <c r="DY8" s="20"/>
      <c r="EA8" s="1" t="s">
        <v>5</v>
      </c>
      <c r="EC8" s="19" t="s">
        <v>6</v>
      </c>
      <c r="EF8" s="20"/>
      <c r="EH8" s="1" t="s">
        <v>5</v>
      </c>
      <c r="EJ8" s="19" t="s">
        <v>6</v>
      </c>
      <c r="EM8" s="20"/>
      <c r="EO8" s="1" t="s">
        <v>5</v>
      </c>
      <c r="EQ8" s="19" t="s">
        <v>6</v>
      </c>
    </row>
    <row r="9">
      <c r="B9" s="19" t="s">
        <v>40</v>
      </c>
      <c r="C9" s="19" t="s">
        <v>43</v>
      </c>
      <c r="D9" s="19" t="s">
        <v>44</v>
      </c>
      <c r="E9" s="19" t="s">
        <v>8</v>
      </c>
      <c r="F9" s="19" t="s">
        <v>9</v>
      </c>
      <c r="G9" s="19" t="s">
        <v>10</v>
      </c>
      <c r="H9" s="19" t="s">
        <v>11</v>
      </c>
      <c r="I9" s="19" t="s">
        <v>40</v>
      </c>
      <c r="J9" s="19" t="s">
        <v>43</v>
      </c>
      <c r="K9" s="19" t="s">
        <v>44</v>
      </c>
      <c r="L9" s="19" t="s">
        <v>8</v>
      </c>
      <c r="M9" s="19" t="s">
        <v>9</v>
      </c>
      <c r="N9" s="19" t="s">
        <v>10</v>
      </c>
      <c r="O9" s="19" t="s">
        <v>11</v>
      </c>
      <c r="P9" s="19" t="s">
        <v>40</v>
      </c>
      <c r="Q9" s="20" t="s">
        <v>43</v>
      </c>
      <c r="R9" s="19" t="s">
        <v>44</v>
      </c>
      <c r="S9" s="19" t="s">
        <v>8</v>
      </c>
      <c r="T9" s="19" t="s">
        <v>9</v>
      </c>
      <c r="U9" s="19" t="s">
        <v>10</v>
      </c>
      <c r="V9" s="19" t="s">
        <v>11</v>
      </c>
      <c r="W9" s="19" t="s">
        <v>40</v>
      </c>
      <c r="X9" s="20" t="s">
        <v>43</v>
      </c>
      <c r="Y9" s="19" t="s">
        <v>44</v>
      </c>
      <c r="Z9" s="19" t="s">
        <v>8</v>
      </c>
      <c r="AA9" s="19" t="s">
        <v>9</v>
      </c>
      <c r="AB9" s="19" t="s">
        <v>10</v>
      </c>
      <c r="AC9" s="19" t="s">
        <v>11</v>
      </c>
      <c r="AD9" s="19" t="s">
        <v>40</v>
      </c>
      <c r="AE9" s="20" t="s">
        <v>43</v>
      </c>
      <c r="AF9" s="19" t="s">
        <v>44</v>
      </c>
      <c r="AG9" s="19" t="s">
        <v>8</v>
      </c>
      <c r="AH9" s="19" t="s">
        <v>9</v>
      </c>
      <c r="AI9" s="19" t="s">
        <v>10</v>
      </c>
      <c r="AJ9" s="19" t="s">
        <v>11</v>
      </c>
      <c r="AK9" s="19" t="s">
        <v>40</v>
      </c>
      <c r="AL9" s="20" t="s">
        <v>43</v>
      </c>
      <c r="AM9" s="19" t="s">
        <v>44</v>
      </c>
      <c r="AN9" s="19" t="s">
        <v>8</v>
      </c>
      <c r="AO9" s="19" t="s">
        <v>9</v>
      </c>
      <c r="AP9" s="19" t="s">
        <v>10</v>
      </c>
      <c r="AQ9" s="19" t="s">
        <v>11</v>
      </c>
      <c r="AR9" s="19" t="s">
        <v>40</v>
      </c>
      <c r="AS9" s="20" t="s">
        <v>43</v>
      </c>
      <c r="AT9" s="19" t="s">
        <v>44</v>
      </c>
      <c r="AU9" s="19" t="s">
        <v>8</v>
      </c>
      <c r="AV9" s="19" t="s">
        <v>9</v>
      </c>
      <c r="AW9" s="19" t="s">
        <v>10</v>
      </c>
      <c r="AX9" s="19" t="s">
        <v>11</v>
      </c>
      <c r="AY9" s="19" t="s">
        <v>40</v>
      </c>
      <c r="AZ9" s="20" t="s">
        <v>43</v>
      </c>
      <c r="BA9" s="19" t="s">
        <v>44</v>
      </c>
      <c r="BB9" s="19" t="s">
        <v>8</v>
      </c>
      <c r="BC9" s="19" t="s">
        <v>9</v>
      </c>
      <c r="BD9" s="19" t="s">
        <v>10</v>
      </c>
      <c r="BE9" s="19" t="s">
        <v>11</v>
      </c>
      <c r="BF9" s="19" t="s">
        <v>40</v>
      </c>
      <c r="BG9" s="20" t="s">
        <v>43</v>
      </c>
      <c r="BH9" s="19" t="s">
        <v>44</v>
      </c>
      <c r="BI9" s="19" t="s">
        <v>8</v>
      </c>
      <c r="BJ9" s="19" t="s">
        <v>9</v>
      </c>
      <c r="BK9" s="19" t="s">
        <v>10</v>
      </c>
      <c r="BL9" s="19" t="s">
        <v>11</v>
      </c>
      <c r="BM9" s="19" t="s">
        <v>40</v>
      </c>
      <c r="BN9" s="20" t="s">
        <v>43</v>
      </c>
      <c r="BO9" s="19" t="s">
        <v>44</v>
      </c>
      <c r="BP9" s="19" t="s">
        <v>8</v>
      </c>
      <c r="BQ9" s="19" t="s">
        <v>9</v>
      </c>
      <c r="BR9" s="19" t="s">
        <v>10</v>
      </c>
      <c r="BS9" s="19" t="s">
        <v>11</v>
      </c>
      <c r="BT9" s="19" t="s">
        <v>40</v>
      </c>
      <c r="BU9" s="20" t="s">
        <v>43</v>
      </c>
      <c r="BV9" s="19" t="s">
        <v>44</v>
      </c>
      <c r="BW9" s="19" t="s">
        <v>8</v>
      </c>
      <c r="BX9" s="19" t="s">
        <v>9</v>
      </c>
      <c r="BY9" s="19" t="s">
        <v>10</v>
      </c>
      <c r="BZ9" s="19" t="s">
        <v>11</v>
      </c>
      <c r="CA9" s="19" t="s">
        <v>40</v>
      </c>
      <c r="CB9" s="20" t="s">
        <v>43</v>
      </c>
      <c r="CC9" s="19" t="s">
        <v>44</v>
      </c>
      <c r="CD9" s="19" t="s">
        <v>8</v>
      </c>
      <c r="CE9" s="19" t="s">
        <v>9</v>
      </c>
      <c r="CF9" s="19" t="s">
        <v>10</v>
      </c>
      <c r="CG9" s="19" t="s">
        <v>11</v>
      </c>
      <c r="CH9" s="19" t="s">
        <v>40</v>
      </c>
      <c r="CI9" s="20" t="s">
        <v>43</v>
      </c>
      <c r="CJ9" s="19" t="s">
        <v>44</v>
      </c>
      <c r="CK9" s="19" t="s">
        <v>8</v>
      </c>
      <c r="CL9" s="19" t="s">
        <v>9</v>
      </c>
      <c r="CM9" s="19" t="s">
        <v>10</v>
      </c>
      <c r="CN9" s="19" t="s">
        <v>11</v>
      </c>
      <c r="CO9" s="19" t="s">
        <v>40</v>
      </c>
      <c r="CP9" s="20" t="s">
        <v>43</v>
      </c>
      <c r="CQ9" s="19" t="s">
        <v>44</v>
      </c>
      <c r="CR9" s="19" t="s">
        <v>8</v>
      </c>
      <c r="CS9" s="19" t="s">
        <v>9</v>
      </c>
      <c r="CT9" s="19" t="s">
        <v>10</v>
      </c>
      <c r="CU9" s="19" t="s">
        <v>11</v>
      </c>
      <c r="CV9" s="19" t="s">
        <v>40</v>
      </c>
      <c r="CW9" s="20" t="s">
        <v>43</v>
      </c>
      <c r="CX9" s="19" t="s">
        <v>44</v>
      </c>
      <c r="CY9" s="19" t="s">
        <v>8</v>
      </c>
      <c r="CZ9" s="19" t="s">
        <v>9</v>
      </c>
      <c r="DA9" s="19" t="s">
        <v>10</v>
      </c>
      <c r="DB9" s="19" t="s">
        <v>11</v>
      </c>
      <c r="DC9" s="19" t="s">
        <v>40</v>
      </c>
      <c r="DD9" s="20" t="s">
        <v>43</v>
      </c>
      <c r="DE9" s="19" t="s">
        <v>44</v>
      </c>
      <c r="DF9" s="19" t="s">
        <v>8</v>
      </c>
      <c r="DG9" s="19" t="s">
        <v>9</v>
      </c>
      <c r="DH9" s="19" t="s">
        <v>10</v>
      </c>
      <c r="DI9" s="19" t="s">
        <v>11</v>
      </c>
      <c r="DJ9" s="19" t="s">
        <v>40</v>
      </c>
      <c r="DK9" s="20" t="s">
        <v>43</v>
      </c>
      <c r="DL9" s="19" t="s">
        <v>44</v>
      </c>
      <c r="DM9" s="19" t="s">
        <v>8</v>
      </c>
      <c r="DN9" s="19" t="s">
        <v>9</v>
      </c>
      <c r="DO9" s="19" t="s">
        <v>10</v>
      </c>
      <c r="DP9" s="19" t="s">
        <v>11</v>
      </c>
      <c r="DQ9" s="19" t="s">
        <v>40</v>
      </c>
      <c r="DR9" s="20" t="s">
        <v>43</v>
      </c>
      <c r="DS9" s="19" t="s">
        <v>44</v>
      </c>
      <c r="DT9" s="19" t="s">
        <v>8</v>
      </c>
      <c r="DU9" s="19" t="s">
        <v>9</v>
      </c>
      <c r="DV9" s="19" t="s">
        <v>10</v>
      </c>
      <c r="DW9" s="19" t="s">
        <v>11</v>
      </c>
      <c r="DX9" s="19" t="s">
        <v>40</v>
      </c>
      <c r="DY9" s="20" t="s">
        <v>43</v>
      </c>
      <c r="DZ9" s="19" t="s">
        <v>44</v>
      </c>
      <c r="EA9" s="19" t="s">
        <v>8</v>
      </c>
      <c r="EB9" s="19" t="s">
        <v>9</v>
      </c>
      <c r="EC9" s="19" t="s">
        <v>10</v>
      </c>
      <c r="ED9" s="19" t="s">
        <v>11</v>
      </c>
      <c r="EE9" s="19" t="s">
        <v>40</v>
      </c>
      <c r="EF9" s="20" t="s">
        <v>43</v>
      </c>
      <c r="EG9" s="19" t="s">
        <v>44</v>
      </c>
      <c r="EH9" s="19" t="s">
        <v>8</v>
      </c>
      <c r="EI9" s="19" t="s">
        <v>9</v>
      </c>
      <c r="EJ9" s="19" t="s">
        <v>10</v>
      </c>
      <c r="EK9" s="19" t="s">
        <v>11</v>
      </c>
      <c r="EL9" s="19" t="s">
        <v>40</v>
      </c>
      <c r="EM9" s="20" t="s">
        <v>43</v>
      </c>
      <c r="EN9" s="19" t="s">
        <v>44</v>
      </c>
      <c r="EO9" s="19" t="s">
        <v>8</v>
      </c>
      <c r="EP9" s="19" t="s">
        <v>9</v>
      </c>
      <c r="EQ9" s="19" t="s">
        <v>10</v>
      </c>
      <c r="ER9" s="19" t="s">
        <v>11</v>
      </c>
    </row>
    <row r="10">
      <c r="A10" t="str">
        <f>'Quick Setup'!C11</f>
        <v>Front Squat</v>
      </c>
      <c r="B10" s="21">
        <f>'Quick Setup'!C65</f>
        <v>0.6</v>
      </c>
      <c r="C10" s="22">
        <f>if(B10='Quick Setup'!$C$33,'Quick Setup'!$C38,if(B10='Quick Setup'!$D$33,'Quick Setup'!$D38,if(B10='Quick Setup'!$E$33,'Quick Setup'!$E38,if(B10='Quick Setup'!$F$33,'Quick Setup'!$F38,if(B10='Quick Setup'!$G$33,'Quick Setup'!$G38,if(B10='Quick Setup'!$H$33,'Quick Setup'!$H38,if(B10='Quick Setup'!$I$33,'Quick Setup'!$I38,if(B10='Quick Setup'!$J$33,'Quick Setup'!$J38,if(B10='Quick Setup'!$K$33,'Quick Setup'!$K38,if(B10='Quick Setup'!$L$33,'Quick Setup'!$L38,if(B10='Quick Setup'!$M$33,'Quick Setup'!$M38,if(B10='Quick Setup'!$N$33,'Quick Setup'!$N38,if(B10='Quick Setup'!$O$33,'Quick Setup'!$O38,if(B10='Quick Setup'!$P$33,'Quick Setup'!$P38,if(B10='Quick Setup'!$Q$33,'Quick Setup'!$Q38,if(B10='Quick Setup'!$R$33,'Quick Setup'!$R38,if(B10='Quick Setup'!$S$33,'Quick Setup'!$S38,if(B10='Quick Setup'!$T$33,'Quick Setup'!$T38,if(B10='Quick Setup'!$U$33,'Quick Setup'!$U38,if(B10='Quick Setup'!$V$33,'Quick Setup'!$V38,'Quick Setup'!W38))))))))))))))))))))</f>
        <v>7</v>
      </c>
      <c r="D10" s="22">
        <f>if(B10='Quick Setup'!$C$47,'Quick Setup'!$C52,if(B10='Quick Setup'!$D$47,'Quick Setup'!$D52,if(B10='Quick Setup'!$E$47,'Quick Setup'!$E52,if(B10='Quick Setup'!$F$47,'Quick Setup'!$F52,if(B10='Quick Setup'!$G$47,'Quick Setup'!$G52,if(B10='Quick Setup'!$H$47,'Quick Setup'!$H52,if(B10='Quick Setup'!$I$47,'Quick Setup'!$I52,if(B10='Quick Setup'!$J$47,'Quick Setup'!$J52,if(B10='Quick Setup'!$K$47,'Quick Setup'!$K52,if(B10='Quick Setup'!$L$47,'Quick Setup'!$L52,if(B10='Quick Setup'!$M$47,'Quick Setup'!$M52,if(B10='Quick Setup'!$N$47,'Quick Setup'!$N52,if(B10='Quick Setup'!$O$47,'Quick Setup'!$O52,if(B10='Quick Setup'!$P$47,'Quick Setup'!$P52,if(B10='Quick Setup'!$Q$47,'Quick Setup'!$Q52,if(B10='Quick Setup'!$R$47,'Quick Setup'!$R52,if(B10='Quick Setup'!$S$47,'Quick Setup'!$S52,if(B10='Quick Setup'!$T$47,'Quick Setup'!$T52,if(B10='Quick Setup'!$U$47,'Quick Setup'!$U52,if(B10='Quick Setup'!$V$47,'Quick Setup'!$V52,if(B10='Quick Setup'!$W$47,'Quick Setup'!$W52)))))))))))))))))))))</f>
        <v>4</v>
      </c>
      <c r="E10" s="22">
        <f>'Quick Setup'!H10</f>
        <v>4</v>
      </c>
      <c r="F10" s="22">
        <f>'Quick Setup'!I10</f>
        <v>6</v>
      </c>
      <c r="G10" s="23">
        <f>'Quick Setup'!J10</f>
        <v>0.02</v>
      </c>
      <c r="H10" s="23">
        <f>'Quick Setup'!K10</f>
        <v>-0.05</v>
      </c>
      <c r="I10" s="21">
        <f>'Quick Setup'!D65</f>
        <v>0.65</v>
      </c>
      <c r="J10" s="22">
        <f>if(I10='Quick Setup'!$C$33,'Quick Setup'!$C38,if(I10='Quick Setup'!$D$33,'Quick Setup'!$D38,if(I10='Quick Setup'!$E$33,'Quick Setup'!$E38,if(I10='Quick Setup'!$F$33,'Quick Setup'!$F38,if(I10='Quick Setup'!$G$33,'Quick Setup'!$G38,if(I10='Quick Setup'!$H$33,'Quick Setup'!$H38,if(I10='Quick Setup'!$I$33,'Quick Setup'!$I38,if(I10='Quick Setup'!$J$33,'Quick Setup'!$J38,if(I10='Quick Setup'!$K$33,'Quick Setup'!$K38,if(I10='Quick Setup'!$L$33,'Quick Setup'!$L38,if(I10='Quick Setup'!$M$33,'Quick Setup'!$M38,if(I10='Quick Setup'!$N$33,'Quick Setup'!$N38,if(I10='Quick Setup'!$O$33,'Quick Setup'!$O38,if(I10='Quick Setup'!$P$33,'Quick Setup'!$P38,if(I10='Quick Setup'!$Q$33,'Quick Setup'!$Q38,if(I10='Quick Setup'!$R$33,'Quick Setup'!$R38,if(I10='Quick Setup'!$S$33,'Quick Setup'!$S38,if(I10='Quick Setup'!$T$33,'Quick Setup'!$T38,if(I10='Quick Setup'!$U$33,'Quick Setup'!$U38,if(I10='Quick Setup'!$V$33,'Quick Setup'!$V38,'2x'!AD23))))))))))))))))))))</f>
        <v>6</v>
      </c>
      <c r="K10" s="22">
        <f>if(I10='Quick Setup'!$C$47,'Quick Setup'!$C52,if(I10='Quick Setup'!$D$47,'Quick Setup'!$D52,if(I10='Quick Setup'!$E$47,'Quick Setup'!$E52,if(I10='Quick Setup'!$F$47,'Quick Setup'!$F52,if(I10='Quick Setup'!$G$47,'Quick Setup'!$G52,if(I10='Quick Setup'!$H$47,'Quick Setup'!$H52,if(I10='Quick Setup'!$I$47,'Quick Setup'!$I52,if(I10='Quick Setup'!$J$47,'Quick Setup'!$J52,if(I10='Quick Setup'!$K$47,'Quick Setup'!$K52,if(I10='Quick Setup'!$L$47,'Quick Setup'!$L52,if(I10='Quick Setup'!$M$47,'Quick Setup'!$M52,if(I10='Quick Setup'!$N$47,'Quick Setup'!$N52,if(I10='Quick Setup'!$O$47,'Quick Setup'!$O52,if(I10='Quick Setup'!$P$47,'Quick Setup'!$P52,if(I10='Quick Setup'!$Q$47,'Quick Setup'!$Q52,if(I10='Quick Setup'!$R$47,'Quick Setup'!$R52,if(I10='Quick Setup'!$S$47,'Quick Setup'!$S52,if(I10='Quick Setup'!$T$47,'Quick Setup'!$T52,if(I10='Quick Setup'!$U$47,'Quick Setup'!$U52,if(I10='Quick Setup'!$V$47,'Quick Setup'!$V52,if(I10='Quick Setup'!$W$47,'Quick Setup'!$W52)))))))))))))))))))))</f>
        <v>4</v>
      </c>
      <c r="L10" s="22">
        <f t="shared" ref="L10:O10" si="81">E10</f>
        <v>4</v>
      </c>
      <c r="M10" s="22">
        <f t="shared" si="81"/>
        <v>6</v>
      </c>
      <c r="N10" s="23">
        <f t="shared" si="81"/>
        <v>0.02</v>
      </c>
      <c r="O10" s="23">
        <f t="shared" si="81"/>
        <v>-0.05</v>
      </c>
      <c r="P10" s="21">
        <f>'Quick Setup'!E65</f>
        <v>0.7</v>
      </c>
      <c r="Q10" s="24">
        <f>if(P10='Quick Setup'!$C$33,'Quick Setup'!$C38,if(P10='Quick Setup'!$D$33,'Quick Setup'!$D38,if(P10='Quick Setup'!$E$33,'Quick Setup'!$E38,if(P10='Quick Setup'!$F$33,'Quick Setup'!$F38,if(P10='Quick Setup'!$G$33,'Quick Setup'!$G38,if(P10='Quick Setup'!$H$33,'Quick Setup'!$H38,if(P10='Quick Setup'!$I$33,'Quick Setup'!$I38,if(P10='Quick Setup'!$J$33,'Quick Setup'!$J38,if(P10='Quick Setup'!$K$33,'Quick Setup'!$K38,if(P10='Quick Setup'!$L$33,'Quick Setup'!$L38,if(P10='Quick Setup'!$M$33,'Quick Setup'!$M38,if(P10='Quick Setup'!$N$33,'Quick Setup'!$N38,if(P10='Quick Setup'!$O$33,'Quick Setup'!$O38,if(P10='Quick Setup'!$P$33,'Quick Setup'!$P38,if(P10='Quick Setup'!$Q$33,'Quick Setup'!$Q38,if(P10='Quick Setup'!$R$33,'Quick Setup'!$R38,if(P10='Quick Setup'!$S$33,'Quick Setup'!$S38,if(P10='Quick Setup'!$T$33,'Quick Setup'!$T38,if(P10='Quick Setup'!$U$33,'Quick Setup'!$U38,if(P10='Quick Setup'!$V$33,'Quick Setup'!$V38,'2x'!AK23))))))))))))))))))))</f>
        <v>5</v>
      </c>
      <c r="R10" s="22">
        <f>if(P10='Quick Setup'!$C$47,'Quick Setup'!$C52,if(P10='Quick Setup'!$D$47,'Quick Setup'!$D52,if(P10='Quick Setup'!$E$47,'Quick Setup'!$E52,if(P10='Quick Setup'!$F$47,'Quick Setup'!$F52,if(P10='Quick Setup'!$G$47,'Quick Setup'!$G52,if(P10='Quick Setup'!$H$47,'Quick Setup'!$H52,if(P10='Quick Setup'!$I$47,'Quick Setup'!$I52,if(P10='Quick Setup'!$J$47,'Quick Setup'!$J52,if(P10='Quick Setup'!$K$47,'Quick Setup'!$K52,if(P10='Quick Setup'!$L$47,'Quick Setup'!$L52,if(P10='Quick Setup'!$M$47,'Quick Setup'!$M52,if(P10='Quick Setup'!$N$47,'Quick Setup'!$N52,if(P10='Quick Setup'!$O$47,'Quick Setup'!$O52,if(P10='Quick Setup'!$P$47,'Quick Setup'!$P52,if(P10='Quick Setup'!$Q$47,'Quick Setup'!$Q52,if(P10='Quick Setup'!$R$47,'Quick Setup'!$R52,if(P10='Quick Setup'!$S$47,'Quick Setup'!$S52,if(P10='Quick Setup'!$T$47,'Quick Setup'!$T52,if(P10='Quick Setup'!$U$47,'Quick Setup'!$U52,if(P10='Quick Setup'!$V$47,'Quick Setup'!$V52,if(P10='Quick Setup'!$W$47,'Quick Setup'!$W52)))))))))))))))))))))</f>
        <v>3</v>
      </c>
      <c r="S10" s="22">
        <f t="shared" ref="S10:V10" si="82">L10</f>
        <v>4</v>
      </c>
      <c r="T10" s="22">
        <f t="shared" si="82"/>
        <v>6</v>
      </c>
      <c r="U10" s="23">
        <f t="shared" si="82"/>
        <v>0.02</v>
      </c>
      <c r="V10" s="23">
        <f t="shared" si="82"/>
        <v>-0.05</v>
      </c>
      <c r="W10" s="21">
        <f>'Quick Setup'!F65</f>
        <v>0.625</v>
      </c>
      <c r="X10" s="24">
        <f>if(W10='Quick Setup'!$C$33,'Quick Setup'!$C38,if(W10='Quick Setup'!$D$33,'Quick Setup'!$D38,if(W10='Quick Setup'!$E$33,'Quick Setup'!$E38,if(W10='Quick Setup'!$F$33,'Quick Setup'!$F38,if(W10='Quick Setup'!$G$33,'Quick Setup'!$G38,if(W10='Quick Setup'!$H$33,'Quick Setup'!$H38,if(W10='Quick Setup'!$I$33,'Quick Setup'!$I38,if(W10='Quick Setup'!$J$33,'Quick Setup'!$J38,if(W10='Quick Setup'!$K$33,'Quick Setup'!$K38,if(W10='Quick Setup'!$L$33,'Quick Setup'!$L38,if(W10='Quick Setup'!$M$33,'Quick Setup'!$M38,if(W10='Quick Setup'!$N$33,'Quick Setup'!$N38,if(W10='Quick Setup'!$O$33,'Quick Setup'!$O38,if(W10='Quick Setup'!$P$33,'Quick Setup'!$P38,if(W10='Quick Setup'!$Q$33,'Quick Setup'!$Q38,if(W10='Quick Setup'!$R$33,'Quick Setup'!$R38,if(W10='Quick Setup'!$S$33,'Quick Setup'!$S38,if(W10='Quick Setup'!$T$33,'Quick Setup'!$T38,if(W10='Quick Setup'!$U$33,'Quick Setup'!$U38,if(W10='Quick Setup'!$V$33,'Quick Setup'!$V38,'2x'!AR23))))))))))))))))))))</f>
        <v>7</v>
      </c>
      <c r="Y10" s="22">
        <f>if(W10='Quick Setup'!$C$47,'Quick Setup'!$C52,if(W10='Quick Setup'!$D$47,'Quick Setup'!$D52,if(W10='Quick Setup'!$E$47,'Quick Setup'!$E52,if(W10='Quick Setup'!$F$47,'Quick Setup'!$F52,if(W10='Quick Setup'!$G$47,'Quick Setup'!$G52,if(W10='Quick Setup'!$H$47,'Quick Setup'!$H52,if(W10='Quick Setup'!$I$47,'Quick Setup'!$I52,if(W10='Quick Setup'!$J$47,'Quick Setup'!$J52,if(W10='Quick Setup'!$K$47,'Quick Setup'!$K52,if(W10='Quick Setup'!$L$47,'Quick Setup'!$L52,if(W10='Quick Setup'!$M$47,'Quick Setup'!$M52,if(W10='Quick Setup'!$N$47,'Quick Setup'!$N52,if(W10='Quick Setup'!$O$47,'Quick Setup'!$O52,if(W10='Quick Setup'!$P$47,'Quick Setup'!$P52,if(W10='Quick Setup'!$Q$47,'Quick Setup'!$Q52,if(W10='Quick Setup'!$R$47,'Quick Setup'!$R52,if(W10='Quick Setup'!$S$47,'Quick Setup'!$S52,if(W10='Quick Setup'!$T$47,'Quick Setup'!$T52,if(W10='Quick Setup'!$U$47,'Quick Setup'!$U52,if(W10='Quick Setup'!$V$47,'Quick Setup'!$V52,if(W10='Quick Setup'!$W$47,'Quick Setup'!$W52)))))))))))))))))))))</f>
        <v>4</v>
      </c>
      <c r="Z10" s="22">
        <f t="shared" ref="Z10:AC10" si="83">S10</f>
        <v>4</v>
      </c>
      <c r="AA10" s="22">
        <f t="shared" si="83"/>
        <v>6</v>
      </c>
      <c r="AB10" s="23">
        <f t="shared" si="83"/>
        <v>0.02</v>
      </c>
      <c r="AC10" s="23">
        <f t="shared" si="83"/>
        <v>-0.05</v>
      </c>
      <c r="AD10" s="21">
        <f>'Quick Setup'!G65</f>
        <v>0.675</v>
      </c>
      <c r="AE10" s="24">
        <f>if(AD10='Quick Setup'!$C$33,'Quick Setup'!$C38,if(AD10='Quick Setup'!$D$33,'Quick Setup'!$D38,if(AD10='Quick Setup'!$E$33,'Quick Setup'!$E38,if(AD10='Quick Setup'!$F$33,'Quick Setup'!$F38,if(AD10='Quick Setup'!$G$33,'Quick Setup'!$G38,if(AD10='Quick Setup'!$H$33,'Quick Setup'!$H38,if(AD10='Quick Setup'!$I$33,'Quick Setup'!$I38,if(AD10='Quick Setup'!$J$33,'Quick Setup'!$J38,if(AD10='Quick Setup'!$K$33,'Quick Setup'!$K38,if(AD10='Quick Setup'!$L$33,'Quick Setup'!$L38,if(AD10='Quick Setup'!$M$33,'Quick Setup'!$M38,if(AD10='Quick Setup'!$N$33,'Quick Setup'!$N38,if(AD10='Quick Setup'!$O$33,'Quick Setup'!$O38,if(AD10='Quick Setup'!$P$33,'Quick Setup'!$P38,if(AD10='Quick Setup'!$Q$33,'Quick Setup'!$Q38,if(AD10='Quick Setup'!$R$33,'Quick Setup'!$R38,if(AD10='Quick Setup'!$S$33,'Quick Setup'!$S38,if(AD10='Quick Setup'!$T$33,'Quick Setup'!$T38,if(AD10='Quick Setup'!$U$33,'Quick Setup'!$U38,if(AD10='Quick Setup'!$V$33,'Quick Setup'!$V38,'2x'!AY23))))))))))))))))))))</f>
        <v>6</v>
      </c>
      <c r="AF10" s="22">
        <f>if(AD10='Quick Setup'!$C$47,'Quick Setup'!$C52,if(AD10='Quick Setup'!$D$47,'Quick Setup'!$D52,if(AD10='Quick Setup'!$E$47,'Quick Setup'!$E52,if(AD10='Quick Setup'!$F$47,'Quick Setup'!$F52,if(AD10='Quick Setup'!$G$47,'Quick Setup'!$G52,if(AD10='Quick Setup'!$H$47,'Quick Setup'!$H52,if(AD10='Quick Setup'!$I$47,'Quick Setup'!$I52,if(AD10='Quick Setup'!$J$47,'Quick Setup'!$J52,if(AD10='Quick Setup'!$K$47,'Quick Setup'!$K52,if(AD10='Quick Setup'!$L$47,'Quick Setup'!$L52,if(AD10='Quick Setup'!$M$47,'Quick Setup'!$M52,if(AD10='Quick Setup'!$N$47,'Quick Setup'!$N52,if(AD10='Quick Setup'!$O$47,'Quick Setup'!$O52,if(AD10='Quick Setup'!$P$47,'Quick Setup'!$P52,if(AD10='Quick Setup'!$Q$47,'Quick Setup'!$Q52,if(AD10='Quick Setup'!$R$47,'Quick Setup'!$R52,if(AD10='Quick Setup'!$S$47,'Quick Setup'!$S52,if(AD10='Quick Setup'!$T$47,'Quick Setup'!$T52,if(AD10='Quick Setup'!$U$47,'Quick Setup'!$U52,if(AD10='Quick Setup'!$V$47,'Quick Setup'!$V52,if(AD10='Quick Setup'!$W$47,'Quick Setup'!$W52)))))))))))))))))))))</f>
        <v>4</v>
      </c>
      <c r="AG10" s="22">
        <f t="shared" ref="AG10:AJ10" si="84">Z10</f>
        <v>4</v>
      </c>
      <c r="AH10" s="22">
        <f t="shared" si="84"/>
        <v>6</v>
      </c>
      <c r="AI10" s="23">
        <f t="shared" si="84"/>
        <v>0.02</v>
      </c>
      <c r="AJ10" s="23">
        <f t="shared" si="84"/>
        <v>-0.05</v>
      </c>
      <c r="AK10" s="21">
        <f>'Quick Setup'!H65</f>
        <v>0.725</v>
      </c>
      <c r="AL10" s="24">
        <f>if(AK10='Quick Setup'!$C$33,'Quick Setup'!$C38,if(AK10='Quick Setup'!$D$33,'Quick Setup'!$D38,if(AK10='Quick Setup'!$E$33,'Quick Setup'!$E38,if(AK10='Quick Setup'!$F$33,'Quick Setup'!$F38,if(AK10='Quick Setup'!$G$33,'Quick Setup'!$G38,if(AK10='Quick Setup'!$H$33,'Quick Setup'!$H38,if(AK10='Quick Setup'!$I$33,'Quick Setup'!$I38,if(AK10='Quick Setup'!$J$33,'Quick Setup'!$J38,if(AK10='Quick Setup'!$K$33,'Quick Setup'!$K38,if(AK10='Quick Setup'!$L$33,'Quick Setup'!$L38,if(AK10='Quick Setup'!$M$33,'Quick Setup'!$M38,if(AK10='Quick Setup'!$N$33,'Quick Setup'!$N38,if(AK10='Quick Setup'!$O$33,'Quick Setup'!$O38,if(AK10='Quick Setup'!$P$33,'Quick Setup'!$P38,if(AK10='Quick Setup'!$Q$33,'Quick Setup'!$Q38,if(AK10='Quick Setup'!$R$33,'Quick Setup'!$R38,if(AK10='Quick Setup'!$S$33,'Quick Setup'!$S38,if(AK10='Quick Setup'!$T$33,'Quick Setup'!$T38,if(AK10='Quick Setup'!$U$33,'Quick Setup'!$U38,if(AK10='Quick Setup'!$V$33,'Quick Setup'!$V38,'2x'!BF23))))))))))))))))))))</f>
        <v>5</v>
      </c>
      <c r="AM10" s="22">
        <f>if(AK10='Quick Setup'!$C$47,'Quick Setup'!$C52,if(AK10='Quick Setup'!$D$47,'Quick Setup'!$D52,if(AK10='Quick Setup'!$E$47,'Quick Setup'!$E52,if(AK10='Quick Setup'!$F$47,'Quick Setup'!$F52,if(AK10='Quick Setup'!$G$47,'Quick Setup'!$G52,if(AK10='Quick Setup'!$H$47,'Quick Setup'!$H52,if(AK10='Quick Setup'!$I$47,'Quick Setup'!$I52,if(AK10='Quick Setup'!$J$47,'Quick Setup'!$J52,if(AK10='Quick Setup'!$K$47,'Quick Setup'!$K52,if(AK10='Quick Setup'!$L$47,'Quick Setup'!$L52,if(AK10='Quick Setup'!$M$47,'Quick Setup'!$M52,if(AK10='Quick Setup'!$N$47,'Quick Setup'!$N52,if(AK10='Quick Setup'!$O$47,'Quick Setup'!$O52,if(AK10='Quick Setup'!$P$47,'Quick Setup'!$P52,if(AK10='Quick Setup'!$Q$47,'Quick Setup'!$Q52,if(AK10='Quick Setup'!$R$47,'Quick Setup'!$R52,if(AK10='Quick Setup'!$S$47,'Quick Setup'!$S52,if(AK10='Quick Setup'!$T$47,'Quick Setup'!$T52,if(AK10='Quick Setup'!$U$47,'Quick Setup'!$U52,if(AK10='Quick Setup'!$V$47,'Quick Setup'!$V52,if(AK10='Quick Setup'!$W$47,'Quick Setup'!$W52)))))))))))))))))))))</f>
        <v>3</v>
      </c>
      <c r="AN10" s="22">
        <f t="shared" ref="AN10:AQ10" si="85">AG10</f>
        <v>4</v>
      </c>
      <c r="AO10" s="22">
        <f t="shared" si="85"/>
        <v>6</v>
      </c>
      <c r="AP10" s="23">
        <f t="shared" si="85"/>
        <v>0.02</v>
      </c>
      <c r="AQ10" s="23">
        <f t="shared" si="85"/>
        <v>-0.05</v>
      </c>
      <c r="AR10" s="21">
        <f>'Quick Setup'!I65</f>
        <v>0.5</v>
      </c>
      <c r="AS10" s="24">
        <f>if(AR10='Quick Setup'!$C$33,'Quick Setup'!$C38,if(AR10='Quick Setup'!$D$33,'Quick Setup'!$D38,if(AR10='Quick Setup'!$E$33,'Quick Setup'!$E38,if(AR10='Quick Setup'!$F$33,'Quick Setup'!$F38,if(AR10='Quick Setup'!$G$33,'Quick Setup'!$G38,if(AR10='Quick Setup'!$H$33,'Quick Setup'!$H38,if(AR10='Quick Setup'!$I$33,'Quick Setup'!$I38,if(AR10='Quick Setup'!$J$33,'Quick Setup'!$J38,if(AR10='Quick Setup'!$K$33,'Quick Setup'!$K38,if(AR10='Quick Setup'!$L$33,'Quick Setup'!$L38,if(AR10='Quick Setup'!$M$33,'Quick Setup'!$M38,if(AR10='Quick Setup'!$N$33,'Quick Setup'!$N38,if(AR10='Quick Setup'!$O$33,'Quick Setup'!$O38,if(AR10='Quick Setup'!$P$33,'Quick Setup'!$P38,if(AR10='Quick Setup'!$Q$33,'Quick Setup'!$Q38,if(AR10='Quick Setup'!$R$33,'Quick Setup'!$R38,if(AR10='Quick Setup'!$S$33,'Quick Setup'!$S38,if(AR10='Quick Setup'!$T$33,'Quick Setup'!$T38,if(AR10='Quick Setup'!$U$33,'Quick Setup'!$U38,if(AR10='Quick Setup'!$V$33,'Quick Setup'!$V38,'2x'!BM23))))))))))))))))))))</f>
        <v>8</v>
      </c>
      <c r="AT10" s="22">
        <f>if(AR10='Quick Setup'!$C$47,'Quick Setup'!$C52,if(AR10='Quick Setup'!$D$47,'Quick Setup'!$D52,if(AR10='Quick Setup'!$E$47,'Quick Setup'!$E52,if(AR10='Quick Setup'!$F$47,'Quick Setup'!$F52,if(AR10='Quick Setup'!$G$47,'Quick Setup'!$G52,if(AR10='Quick Setup'!$H$47,'Quick Setup'!$H52,if(AR10='Quick Setup'!$I$47,'Quick Setup'!$I52,if(AR10='Quick Setup'!$J$47,'Quick Setup'!$J52,if(AR10='Quick Setup'!$K$47,'Quick Setup'!$K52,if(AR10='Quick Setup'!$L$47,'Quick Setup'!$L52,if(AR10='Quick Setup'!$M$47,'Quick Setup'!$M52,if(AR10='Quick Setup'!$N$47,'Quick Setup'!$N52,if(AR10='Quick Setup'!$O$47,'Quick Setup'!$O52,if(AR10='Quick Setup'!$P$47,'Quick Setup'!$P52,if(AR10='Quick Setup'!$Q$47,'Quick Setup'!$Q52,if(AR10='Quick Setup'!$R$47,'Quick Setup'!$R52,if(AR10='Quick Setup'!$S$47,'Quick Setup'!$S52,if(AR10='Quick Setup'!$T$47,'Quick Setup'!$T52,if(AR10='Quick Setup'!$U$47,'Quick Setup'!$U52,if(AR10='Quick Setup'!$V$47,'Quick Setup'!$V52,if(AR10='Quick Setup'!$W$47,'Quick Setup'!$W52)))))))))))))))))))))</f>
        <v>5</v>
      </c>
      <c r="AU10" s="22">
        <f t="shared" ref="AU10:AX10" si="86">AN10</f>
        <v>4</v>
      </c>
      <c r="AV10" s="22">
        <f t="shared" si="86"/>
        <v>6</v>
      </c>
      <c r="AW10" s="23">
        <f t="shared" si="86"/>
        <v>0.02</v>
      </c>
      <c r="AX10" s="23">
        <f t="shared" si="86"/>
        <v>-0.05</v>
      </c>
      <c r="AY10" s="21">
        <f>'Quick Setup'!J65</f>
        <v>0.65</v>
      </c>
      <c r="AZ10" s="24">
        <f>if(AY10='Quick Setup'!$C$33,'Quick Setup'!$C38,if(AY10='Quick Setup'!$D$33,'Quick Setup'!$D38,if(AY10='Quick Setup'!$E$33,'Quick Setup'!$E38,if(AY10='Quick Setup'!$F$33,'Quick Setup'!$F38,if(AY10='Quick Setup'!$G$33,'Quick Setup'!$G38,if(AY10='Quick Setup'!$H$33,'Quick Setup'!$H38,if(AY10='Quick Setup'!$I$33,'Quick Setup'!$I38,if(AY10='Quick Setup'!$J$33,'Quick Setup'!$J38,if(AY10='Quick Setup'!$K$33,'Quick Setup'!$K38,if(AY10='Quick Setup'!$L$33,'Quick Setup'!$L38,if(AY10='Quick Setup'!$M$33,'Quick Setup'!$M38,if(AY10='Quick Setup'!$N$33,'Quick Setup'!$N38,if(AY10='Quick Setup'!$O$33,'Quick Setup'!$O38,if(AY10='Quick Setup'!$P$33,'Quick Setup'!$P38,if(AY10='Quick Setup'!$Q$33,'Quick Setup'!$Q38,if(AY10='Quick Setup'!$R$33,'Quick Setup'!$R38,if(AY10='Quick Setup'!$S$33,'Quick Setup'!$S38,if(AY10='Quick Setup'!$T$33,'Quick Setup'!$T38,if(AY10='Quick Setup'!$U$33,'Quick Setup'!$U38,if(AY10='Quick Setup'!$V$33,'Quick Setup'!$V38,'2x'!BT23))))))))))))))))))))</f>
        <v>6</v>
      </c>
      <c r="BA10" s="22">
        <f>if(AY10='Quick Setup'!$C$47,'Quick Setup'!$C52,if(AY10='Quick Setup'!$D$47,'Quick Setup'!$D52,if(AY10='Quick Setup'!$E$47,'Quick Setup'!$E52,if(AY10='Quick Setup'!$F$47,'Quick Setup'!$F52,if(AY10='Quick Setup'!$G$47,'Quick Setup'!$G52,if(AY10='Quick Setup'!$H$47,'Quick Setup'!$H52,if(AY10='Quick Setup'!$I$47,'Quick Setup'!$I52,if(AY10='Quick Setup'!$J$47,'Quick Setup'!$J52,if(AY10='Quick Setup'!$K$47,'Quick Setup'!$K52,if(AY10='Quick Setup'!$L$47,'Quick Setup'!$L52,if(AY10='Quick Setup'!$M$47,'Quick Setup'!$M52,if(AY10='Quick Setup'!$N$47,'Quick Setup'!$N52,if(AY10='Quick Setup'!$O$47,'Quick Setup'!$O52,if(AY10='Quick Setup'!$P$47,'Quick Setup'!$P52,if(AY10='Quick Setup'!$Q$47,'Quick Setup'!$Q52,if(AY10='Quick Setup'!$R$47,'Quick Setup'!$R52,if(AY10='Quick Setup'!$S$47,'Quick Setup'!$S52,if(AY10='Quick Setup'!$T$47,'Quick Setup'!$T52,if(AY10='Quick Setup'!$U$47,'Quick Setup'!$U52,if(AY10='Quick Setup'!$V$47,'Quick Setup'!$V52,if(AY10='Quick Setup'!$W$47,'Quick Setup'!$W52)))))))))))))))))))))</f>
        <v>4</v>
      </c>
      <c r="BB10" s="22">
        <f t="shared" ref="BB10:BE10" si="87">AU10</f>
        <v>4</v>
      </c>
      <c r="BC10" s="22">
        <f t="shared" si="87"/>
        <v>6</v>
      </c>
      <c r="BD10" s="23">
        <f t="shared" si="87"/>
        <v>0.02</v>
      </c>
      <c r="BE10" s="23">
        <f t="shared" si="87"/>
        <v>-0.05</v>
      </c>
      <c r="BF10" s="21">
        <f>'Quick Setup'!K65</f>
        <v>0.7</v>
      </c>
      <c r="BG10" s="24">
        <f>if(BF10='Quick Setup'!$C$33,'Quick Setup'!$C38,if(BF10='Quick Setup'!$D$33,'Quick Setup'!$D38,if(BF10='Quick Setup'!$E$33,'Quick Setup'!$E38,if(BF10='Quick Setup'!$F$33,'Quick Setup'!$F38,if(BF10='Quick Setup'!$G$33,'Quick Setup'!$G38,if(BF10='Quick Setup'!$H$33,'Quick Setup'!$H38,if(BF10='Quick Setup'!$I$33,'Quick Setup'!$I38,if(BF10='Quick Setup'!$J$33,'Quick Setup'!$J38,if(BF10='Quick Setup'!$K$33,'Quick Setup'!$K38,if(BF10='Quick Setup'!$L$33,'Quick Setup'!$L38,if(BF10='Quick Setup'!$M$33,'Quick Setup'!$M38,if(BF10='Quick Setup'!$N$33,'Quick Setup'!$N38,if(BF10='Quick Setup'!$O$33,'Quick Setup'!$O38,if(BF10='Quick Setup'!$P$33,'Quick Setup'!$P38,if(BF10='Quick Setup'!$Q$33,'Quick Setup'!$Q38,if(BF10='Quick Setup'!$R$33,'Quick Setup'!$R38,if(BF10='Quick Setup'!$S$33,'Quick Setup'!$S38,if(BF10='Quick Setup'!$T$33,'Quick Setup'!$T38,if(BF10='Quick Setup'!$U$33,'Quick Setup'!$U38,if(BF10='Quick Setup'!$V$33,'Quick Setup'!$V38,'2x'!CA23))))))))))))))))))))</f>
        <v>5</v>
      </c>
      <c r="BH10" s="22">
        <f>if(BF10='Quick Setup'!$C$47,'Quick Setup'!$C52,if(BF10='Quick Setup'!$D$47,'Quick Setup'!$D52,if(BF10='Quick Setup'!$E$47,'Quick Setup'!$E52,if(BF10='Quick Setup'!$F$47,'Quick Setup'!$F52,if(BF10='Quick Setup'!$G$47,'Quick Setup'!$G52,if(BF10='Quick Setup'!$H$47,'Quick Setup'!$H52,if(BF10='Quick Setup'!$I$47,'Quick Setup'!$I52,if(BF10='Quick Setup'!$J$47,'Quick Setup'!$J52,if(BF10='Quick Setup'!$K$47,'Quick Setup'!$K52,if(BF10='Quick Setup'!$L$47,'Quick Setup'!$L52,if(BF10='Quick Setup'!$M$47,'Quick Setup'!$M52,if(BF10='Quick Setup'!$N$47,'Quick Setup'!$N52,if(BF10='Quick Setup'!$O$47,'Quick Setup'!$O52,if(BF10='Quick Setup'!$P$47,'Quick Setup'!$P52,if(BF10='Quick Setup'!$Q$47,'Quick Setup'!$Q52,if(BF10='Quick Setup'!$R$47,'Quick Setup'!$R52,if(BF10='Quick Setup'!$S$47,'Quick Setup'!$S52,if(BF10='Quick Setup'!$T$47,'Quick Setup'!$T52,if(BF10='Quick Setup'!$U$47,'Quick Setup'!$U52,if(BF10='Quick Setup'!$V$47,'Quick Setup'!$V52,if(BF10='Quick Setup'!$W$47,'Quick Setup'!$W52)))))))))))))))))))))</f>
        <v>3</v>
      </c>
      <c r="BI10" s="22">
        <f t="shared" ref="BI10:BL10" si="88">BB10</f>
        <v>4</v>
      </c>
      <c r="BJ10" s="22">
        <f t="shared" si="88"/>
        <v>6</v>
      </c>
      <c r="BK10" s="23">
        <f t="shared" si="88"/>
        <v>0.02</v>
      </c>
      <c r="BL10" s="23">
        <f t="shared" si="88"/>
        <v>-0.05</v>
      </c>
      <c r="BM10" s="21">
        <f>'Quick Setup'!L65</f>
        <v>0.75</v>
      </c>
      <c r="BN10" s="24">
        <f>if(BM10='Quick Setup'!$C$33,'Quick Setup'!$C38,if(BM10='Quick Setup'!$D$33,'Quick Setup'!$D38,if(BM10='Quick Setup'!$E$33,'Quick Setup'!$E38,if(BM10='Quick Setup'!$F$33,'Quick Setup'!$F38,if(BM10='Quick Setup'!$G$33,'Quick Setup'!$G38,if(BM10='Quick Setup'!$H$33,'Quick Setup'!$H38,if(BM10='Quick Setup'!$I$33,'Quick Setup'!$I38,if(BM10='Quick Setup'!$J$33,'Quick Setup'!$J38,if(BM10='Quick Setup'!$K$33,'Quick Setup'!$K38,if(BM10='Quick Setup'!$L$33,'Quick Setup'!$L38,if(BM10='Quick Setup'!$M$33,'Quick Setup'!$M38,if(BM10='Quick Setup'!$N$33,'Quick Setup'!$N38,if(BM10='Quick Setup'!$O$33,'Quick Setup'!$O38,if(BM10='Quick Setup'!$P$33,'Quick Setup'!$P38,if(BM10='Quick Setup'!$Q$33,'Quick Setup'!$Q38,if(BM10='Quick Setup'!$R$33,'Quick Setup'!$R38,if(BM10='Quick Setup'!$S$33,'Quick Setup'!$S38,if(BM10='Quick Setup'!$T$33,'Quick Setup'!$T38,if(BM10='Quick Setup'!$U$33,'Quick Setup'!$U38,if(BM10='Quick Setup'!$V$33,'Quick Setup'!$V38,'2x'!CH23))))))))))))))))))))</f>
        <v>4</v>
      </c>
      <c r="BO10" s="22">
        <f>if(BM10='Quick Setup'!$C$47,'Quick Setup'!$C52,if(BM10='Quick Setup'!$D$47,'Quick Setup'!$D52,if(BM10='Quick Setup'!$E$47,'Quick Setup'!$E52,if(BM10='Quick Setup'!$F$47,'Quick Setup'!$F52,if(BM10='Quick Setup'!$G$47,'Quick Setup'!$G52,if(BM10='Quick Setup'!$H$47,'Quick Setup'!$H52,if(BM10='Quick Setup'!$I$47,'Quick Setup'!$I52,if(BM10='Quick Setup'!$J$47,'Quick Setup'!$J52,if(BM10='Quick Setup'!$K$47,'Quick Setup'!$K52,if(BM10='Quick Setup'!$L$47,'Quick Setup'!$L52,if(BM10='Quick Setup'!$M$47,'Quick Setup'!$M52,if(BM10='Quick Setup'!$N$47,'Quick Setup'!$N52,if(BM10='Quick Setup'!$O$47,'Quick Setup'!$O52,if(BM10='Quick Setup'!$P$47,'Quick Setup'!$P52,if(BM10='Quick Setup'!$Q$47,'Quick Setup'!$Q52,if(BM10='Quick Setup'!$R$47,'Quick Setup'!$R52,if(BM10='Quick Setup'!$S$47,'Quick Setup'!$S52,if(BM10='Quick Setup'!$T$47,'Quick Setup'!$T52,if(BM10='Quick Setup'!$U$47,'Quick Setup'!$U52,if(BM10='Quick Setup'!$V$47,'Quick Setup'!$V52,if(BM10='Quick Setup'!$W$47,'Quick Setup'!$W52)))))))))))))))))))))</f>
        <v>3</v>
      </c>
      <c r="BP10" s="22">
        <f t="shared" ref="BP10:BS10" si="89">BI10</f>
        <v>4</v>
      </c>
      <c r="BQ10" s="22">
        <f t="shared" si="89"/>
        <v>6</v>
      </c>
      <c r="BR10" s="23">
        <f t="shared" si="89"/>
        <v>0.02</v>
      </c>
      <c r="BS10" s="23">
        <f t="shared" si="89"/>
        <v>-0.05</v>
      </c>
      <c r="BT10" s="21">
        <f>'Quick Setup'!M65</f>
        <v>0.675</v>
      </c>
      <c r="BU10" s="24">
        <f>if(BT10='Quick Setup'!$C$33,'Quick Setup'!$C38,if(BT10='Quick Setup'!$D$33,'Quick Setup'!$D38,if(BT10='Quick Setup'!$E$33,'Quick Setup'!$E38,if(BT10='Quick Setup'!$F$33,'Quick Setup'!$F38,if(BT10='Quick Setup'!$G$33,'Quick Setup'!$G38,if(BT10='Quick Setup'!$H$33,'Quick Setup'!$H38,if(BT10='Quick Setup'!$I$33,'Quick Setup'!$I38,if(BT10='Quick Setup'!$J$33,'Quick Setup'!$J38,if(BT10='Quick Setup'!$K$33,'Quick Setup'!$K38,if(BT10='Quick Setup'!$L$33,'Quick Setup'!$L38,if(BT10='Quick Setup'!$M$33,'Quick Setup'!$M38,if(BT10='Quick Setup'!$N$33,'Quick Setup'!$N38,if(BT10='Quick Setup'!$O$33,'Quick Setup'!$O38,if(BT10='Quick Setup'!$P$33,'Quick Setup'!$P38,if(BT10='Quick Setup'!$Q$33,'Quick Setup'!$Q38,if(BT10='Quick Setup'!$R$33,'Quick Setup'!$R38,if(BT10='Quick Setup'!$S$33,'Quick Setup'!$S38,if(BT10='Quick Setup'!$T$33,'Quick Setup'!$T38,if(BT10='Quick Setup'!$U$33,'Quick Setup'!$U38,if(BT10='Quick Setup'!$V$33,'Quick Setup'!$V38,'2x'!CO23))))))))))))))))))))</f>
        <v>6</v>
      </c>
      <c r="BV10" s="22">
        <f>if(BT10='Quick Setup'!$C$47,'Quick Setup'!$C52,if(BT10='Quick Setup'!$D$47,'Quick Setup'!$D52,if(BT10='Quick Setup'!$E$47,'Quick Setup'!$E52,if(BT10='Quick Setup'!$F$47,'Quick Setup'!$F52,if(BT10='Quick Setup'!$G$47,'Quick Setup'!$G52,if(BT10='Quick Setup'!$H$47,'Quick Setup'!$H52,if(BT10='Quick Setup'!$I$47,'Quick Setup'!$I52,if(BT10='Quick Setup'!$J$47,'Quick Setup'!$J52,if(BT10='Quick Setup'!$K$47,'Quick Setup'!$K52,if(BT10='Quick Setup'!$L$47,'Quick Setup'!$L52,if(BT10='Quick Setup'!$M$47,'Quick Setup'!$M52,if(BT10='Quick Setup'!$N$47,'Quick Setup'!$N52,if(BT10='Quick Setup'!$O$47,'Quick Setup'!$O52,if(BT10='Quick Setup'!$P$47,'Quick Setup'!$P52,if(BT10='Quick Setup'!$Q$47,'Quick Setup'!$Q52,if(BT10='Quick Setup'!$R$47,'Quick Setup'!$R52,if(BT10='Quick Setup'!$S$47,'Quick Setup'!$S52,if(BT10='Quick Setup'!$T$47,'Quick Setup'!$T52,if(BT10='Quick Setup'!$U$47,'Quick Setup'!$U52,if(BT10='Quick Setup'!$V$47,'Quick Setup'!$V52,if(BT10='Quick Setup'!$W$47,'Quick Setup'!$W52)))))))))))))))))))))</f>
        <v>4</v>
      </c>
      <c r="BW10" s="22">
        <f t="shared" ref="BW10:BZ10" si="90">BP10</f>
        <v>4</v>
      </c>
      <c r="BX10" s="22">
        <f t="shared" si="90"/>
        <v>6</v>
      </c>
      <c r="BY10" s="23">
        <f t="shared" si="90"/>
        <v>0.02</v>
      </c>
      <c r="BZ10" s="23">
        <f t="shared" si="90"/>
        <v>-0.05</v>
      </c>
      <c r="CA10" s="21">
        <f>'Quick Setup'!N65</f>
        <v>0.725</v>
      </c>
      <c r="CB10" s="24">
        <f>if(CA10='Quick Setup'!$C$33,'Quick Setup'!$C38,if(CA10='Quick Setup'!$D$33,'Quick Setup'!$D38,if(CA10='Quick Setup'!$E$33,'Quick Setup'!$E38,if(CA10='Quick Setup'!$F$33,'Quick Setup'!$F38,if(CA10='Quick Setup'!$G$33,'Quick Setup'!$G38,if(CA10='Quick Setup'!$H$33,'Quick Setup'!$H38,if(CA10='Quick Setup'!$I$33,'Quick Setup'!$I38,if(CA10='Quick Setup'!$J$33,'Quick Setup'!$J38,if(CA10='Quick Setup'!$K$33,'Quick Setup'!$K38,if(CA10='Quick Setup'!$L$33,'Quick Setup'!$L38,if(CA10='Quick Setup'!$M$33,'Quick Setup'!$M38,if(CA10='Quick Setup'!$N$33,'Quick Setup'!$N38,if(CA10='Quick Setup'!$O$33,'Quick Setup'!$O38,if(CA10='Quick Setup'!$P$33,'Quick Setup'!$P38,if(CA10='Quick Setup'!$Q$33,'Quick Setup'!$Q38,if(CA10='Quick Setup'!$R$33,'Quick Setup'!$R38,if(CA10='Quick Setup'!$S$33,'Quick Setup'!$S38,if(CA10='Quick Setup'!$T$33,'Quick Setup'!$T38,if(CA10='Quick Setup'!$U$33,'Quick Setup'!$U38,if(CA10='Quick Setup'!$V$33,'Quick Setup'!$V38,'2x'!CV23))))))))))))))))))))</f>
        <v>5</v>
      </c>
      <c r="CC10" s="22">
        <f>if(CA10='Quick Setup'!$C$47,'Quick Setup'!$C52,if(CA10='Quick Setup'!$D$47,'Quick Setup'!$D52,if(CA10='Quick Setup'!$E$47,'Quick Setup'!$E52,if(CA10='Quick Setup'!$F$47,'Quick Setup'!$F52,if(CA10='Quick Setup'!$G$47,'Quick Setup'!$G52,if(CA10='Quick Setup'!$H$47,'Quick Setup'!$H52,if(CA10='Quick Setup'!$I$47,'Quick Setup'!$I52,if(CA10='Quick Setup'!$J$47,'Quick Setup'!$J52,if(CA10='Quick Setup'!$K$47,'Quick Setup'!$K52,if(CA10='Quick Setup'!$L$47,'Quick Setup'!$L52,if(CA10='Quick Setup'!$M$47,'Quick Setup'!$M52,if(CA10='Quick Setup'!$N$47,'Quick Setup'!$N52,if(CA10='Quick Setup'!$O$47,'Quick Setup'!$O52,if(CA10='Quick Setup'!$P$47,'Quick Setup'!$P52,if(CA10='Quick Setup'!$Q$47,'Quick Setup'!$Q52,if(CA10='Quick Setup'!$R$47,'Quick Setup'!$R52,if(CA10='Quick Setup'!$S$47,'Quick Setup'!$S52,if(CA10='Quick Setup'!$T$47,'Quick Setup'!$T52,if(CA10='Quick Setup'!$U$47,'Quick Setup'!$U52,if(CA10='Quick Setup'!$V$47,'Quick Setup'!$V52,if(CA10='Quick Setup'!$W$47,'Quick Setup'!$W52)))))))))))))))))))))</f>
        <v>3</v>
      </c>
      <c r="CD10" s="22">
        <f t="shared" ref="CD10:CG10" si="91">BW10</f>
        <v>4</v>
      </c>
      <c r="CE10" s="22">
        <f t="shared" si="91"/>
        <v>6</v>
      </c>
      <c r="CF10" s="23">
        <f t="shared" si="91"/>
        <v>0.02</v>
      </c>
      <c r="CG10" s="23">
        <f t="shared" si="91"/>
        <v>-0.05</v>
      </c>
      <c r="CH10" s="21">
        <f>'Quick Setup'!O65</f>
        <v>0.775</v>
      </c>
      <c r="CI10" s="24">
        <f>if(CH10='Quick Setup'!$C$33,'Quick Setup'!$C38,if(CH10='Quick Setup'!$D$33,'Quick Setup'!$D38,if(CH10='Quick Setup'!$E$33,'Quick Setup'!$E38,if(CH10='Quick Setup'!$F$33,'Quick Setup'!$F38,if(CH10='Quick Setup'!$G$33,'Quick Setup'!$G38,if(CH10='Quick Setup'!$H$33,'Quick Setup'!$H38,if(CH10='Quick Setup'!$I$33,'Quick Setup'!$I38,if(CH10='Quick Setup'!$J$33,'Quick Setup'!$J38,if(CH10='Quick Setup'!$K$33,'Quick Setup'!$K38,if(CH10='Quick Setup'!$L$33,'Quick Setup'!$L38,if(CH10='Quick Setup'!$M$33,'Quick Setup'!$M38,if(CH10='Quick Setup'!$N$33,'Quick Setup'!$N38,if(CH10='Quick Setup'!$O$33,'Quick Setup'!$O38,if(CH10='Quick Setup'!$P$33,'Quick Setup'!$P38,if(CH10='Quick Setup'!$Q$33,'Quick Setup'!$Q38,if(CH10='Quick Setup'!$R$33,'Quick Setup'!$R38,if(CH10='Quick Setup'!$S$33,'Quick Setup'!$S38,if(CH10='Quick Setup'!$T$33,'Quick Setup'!$T38,if(CH10='Quick Setup'!$U$33,'Quick Setup'!$U38,if(CH10='Quick Setup'!$V$33,'Quick Setup'!$V38,'2x'!DC23))))))))))))))))))))</f>
        <v>4</v>
      </c>
      <c r="CJ10" s="22">
        <f>if(CH10='Quick Setup'!$C$47,'Quick Setup'!$C52,if(CH10='Quick Setup'!$D$47,'Quick Setup'!$D52,if(CH10='Quick Setup'!$E$47,'Quick Setup'!$E52,if(CH10='Quick Setup'!$F$47,'Quick Setup'!$F52,if(CH10='Quick Setup'!$G$47,'Quick Setup'!$G52,if(CH10='Quick Setup'!$H$47,'Quick Setup'!$H52,if(CH10='Quick Setup'!$I$47,'Quick Setup'!$I52,if(CH10='Quick Setup'!$J$47,'Quick Setup'!$J52,if(CH10='Quick Setup'!$K$47,'Quick Setup'!$K52,if(CH10='Quick Setup'!$L$47,'Quick Setup'!$L52,if(CH10='Quick Setup'!$M$47,'Quick Setup'!$M52,if(CH10='Quick Setup'!$N$47,'Quick Setup'!$N52,if(CH10='Quick Setup'!$O$47,'Quick Setup'!$O52,if(CH10='Quick Setup'!$P$47,'Quick Setup'!$P52,if(CH10='Quick Setup'!$Q$47,'Quick Setup'!$Q52,if(CH10='Quick Setup'!$R$47,'Quick Setup'!$R52,if(CH10='Quick Setup'!$S$47,'Quick Setup'!$S52,if(CH10='Quick Setup'!$T$47,'Quick Setup'!$T52,if(CH10='Quick Setup'!$U$47,'Quick Setup'!$U52,if(CH10='Quick Setup'!$V$47,'Quick Setup'!$V52,if(CH10='Quick Setup'!$W$47,'Quick Setup'!$W52)))))))))))))))))))))</f>
        <v>3</v>
      </c>
      <c r="CK10" s="22">
        <f t="shared" ref="CK10:CN10" si="92">CD10</f>
        <v>4</v>
      </c>
      <c r="CL10" s="22">
        <f t="shared" si="92"/>
        <v>6</v>
      </c>
      <c r="CM10" s="23">
        <f t="shared" si="92"/>
        <v>0.02</v>
      </c>
      <c r="CN10" s="23">
        <f t="shared" si="92"/>
        <v>-0.05</v>
      </c>
      <c r="CO10" s="21">
        <f>'Quick Setup'!P65</f>
        <v>0.5</v>
      </c>
      <c r="CP10" s="24">
        <f>if(CO10='Quick Setup'!$C$33,'Quick Setup'!$C38,if(CO10='Quick Setup'!$D$33,'Quick Setup'!$D38,if(CO10='Quick Setup'!$E$33,'Quick Setup'!$E38,if(CO10='Quick Setup'!$F$33,'Quick Setup'!$F38,if(CO10='Quick Setup'!$G$33,'Quick Setup'!$G38,if(CO10='Quick Setup'!$H$33,'Quick Setup'!$H38,if(CO10='Quick Setup'!$I$33,'Quick Setup'!$I38,if(CO10='Quick Setup'!$J$33,'Quick Setup'!$J38,if(CO10='Quick Setup'!$K$33,'Quick Setup'!$K38,if(CO10='Quick Setup'!$L$33,'Quick Setup'!$L38,if(CO10='Quick Setup'!$M$33,'Quick Setup'!$M38,if(CO10='Quick Setup'!$N$33,'Quick Setup'!$N38,if(CO10='Quick Setup'!$O$33,'Quick Setup'!$O38,if(CO10='Quick Setup'!$P$33,'Quick Setup'!$P38,if(CO10='Quick Setup'!$Q$33,'Quick Setup'!$Q38,if(CO10='Quick Setup'!$R$33,'Quick Setup'!$R38,if(CO10='Quick Setup'!$S$33,'Quick Setup'!$S38,if(CO10='Quick Setup'!$T$33,'Quick Setup'!$T38,if(CO10='Quick Setup'!$U$33,'Quick Setup'!$U38,if(CO10='Quick Setup'!$V$33,'Quick Setup'!$V38,'2x'!DJ23))))))))))))))))))))</f>
        <v>8</v>
      </c>
      <c r="CQ10" s="22">
        <f>if(CO10='Quick Setup'!$C$47,'Quick Setup'!$C52,if(CO10='Quick Setup'!$D$47,'Quick Setup'!$D52,if(CO10='Quick Setup'!$E$47,'Quick Setup'!$E52,if(CO10='Quick Setup'!$F$47,'Quick Setup'!$F52,if(CO10='Quick Setup'!$G$47,'Quick Setup'!$G52,if(CO10='Quick Setup'!$H$47,'Quick Setup'!$H52,if(CO10='Quick Setup'!$I$47,'Quick Setup'!$I52,if(CO10='Quick Setup'!$J$47,'Quick Setup'!$J52,if(CO10='Quick Setup'!$K$47,'Quick Setup'!$K52,if(CO10='Quick Setup'!$L$47,'Quick Setup'!$L52,if(CO10='Quick Setup'!$M$47,'Quick Setup'!$M52,if(CO10='Quick Setup'!$N$47,'Quick Setup'!$N52,if(CO10='Quick Setup'!$O$47,'Quick Setup'!$O52,if(CO10='Quick Setup'!$P$47,'Quick Setup'!$P52,if(CO10='Quick Setup'!$Q$47,'Quick Setup'!$Q52,if(CO10='Quick Setup'!$R$47,'Quick Setup'!$R52,if(CO10='Quick Setup'!$S$47,'Quick Setup'!$S52,if(CO10='Quick Setup'!$T$47,'Quick Setup'!$T52,if(CO10='Quick Setup'!$U$47,'Quick Setup'!$U52,if(CO10='Quick Setup'!$V$47,'Quick Setup'!$V52,if(CO10='Quick Setup'!$W$47,'Quick Setup'!$W52)))))))))))))))))))))</f>
        <v>5</v>
      </c>
      <c r="CR10" s="22">
        <f t="shared" ref="CR10:CU10" si="93">CK10</f>
        <v>4</v>
      </c>
      <c r="CS10" s="22">
        <f t="shared" si="93"/>
        <v>6</v>
      </c>
      <c r="CT10" s="23">
        <f t="shared" si="93"/>
        <v>0.02</v>
      </c>
      <c r="CU10" s="23">
        <f t="shared" si="93"/>
        <v>-0.05</v>
      </c>
      <c r="CV10" s="21">
        <f>'Quick Setup'!Q65</f>
        <v>0.7</v>
      </c>
      <c r="CW10" s="24">
        <f>if(CV10='Quick Setup'!$C$33,'Quick Setup'!$C38,if(CV10='Quick Setup'!$D$33,'Quick Setup'!$D38,if(CV10='Quick Setup'!$E$33,'Quick Setup'!$E38,if(CV10='Quick Setup'!$F$33,'Quick Setup'!$F38,if(CV10='Quick Setup'!$G$33,'Quick Setup'!$G38,if(CV10='Quick Setup'!$H$33,'Quick Setup'!$H38,if(CV10='Quick Setup'!$I$33,'Quick Setup'!$I38,if(CV10='Quick Setup'!$J$33,'Quick Setup'!$J38,if(CV10='Quick Setup'!$K$33,'Quick Setup'!$K38,if(CV10='Quick Setup'!$L$33,'Quick Setup'!$L38,if(CV10='Quick Setup'!$M$33,'Quick Setup'!$M38,if(CV10='Quick Setup'!$N$33,'Quick Setup'!$N38,if(CV10='Quick Setup'!$O$33,'Quick Setup'!$O38,if(CV10='Quick Setup'!$P$33,'Quick Setup'!$P38,if(CV10='Quick Setup'!$Q$33,'Quick Setup'!$Q38,if(CV10='Quick Setup'!$R$33,'Quick Setup'!$R38,if(CV10='Quick Setup'!$S$33,'Quick Setup'!$S38,if(CV10='Quick Setup'!$T$33,'Quick Setup'!$T38,if(CV10='Quick Setup'!$U$33,'Quick Setup'!$U38,if(CV10='Quick Setup'!$V$33,'Quick Setup'!$V38,'2x'!DQ23))))))))))))))))))))</f>
        <v>5</v>
      </c>
      <c r="CX10" s="22">
        <f>if(CV10='Quick Setup'!$C$47,'Quick Setup'!$C52,if(CV10='Quick Setup'!$D$47,'Quick Setup'!$D52,if(CV10='Quick Setup'!$E$47,'Quick Setup'!$E52,if(CV10='Quick Setup'!$F$47,'Quick Setup'!$F52,if(CV10='Quick Setup'!$G$47,'Quick Setup'!$G52,if(CV10='Quick Setup'!$H$47,'Quick Setup'!$H52,if(CV10='Quick Setup'!$I$47,'Quick Setup'!$I52,if(CV10='Quick Setup'!$J$47,'Quick Setup'!$J52,if(CV10='Quick Setup'!$K$47,'Quick Setup'!$K52,if(CV10='Quick Setup'!$L$47,'Quick Setup'!$L52,if(CV10='Quick Setup'!$M$47,'Quick Setup'!$M52,if(CV10='Quick Setup'!$N$47,'Quick Setup'!$N52,if(CV10='Quick Setup'!$O$47,'Quick Setup'!$O52,if(CV10='Quick Setup'!$P$47,'Quick Setup'!$P52,if(CV10='Quick Setup'!$Q$47,'Quick Setup'!$Q52,if(CV10='Quick Setup'!$R$47,'Quick Setup'!$R52,if(CV10='Quick Setup'!$S$47,'Quick Setup'!$S52,if(CV10='Quick Setup'!$T$47,'Quick Setup'!$T52,if(CV10='Quick Setup'!$U$47,'Quick Setup'!$U52,if(CV10='Quick Setup'!$V$47,'Quick Setup'!$V52,if(CV10='Quick Setup'!$W$47,'Quick Setup'!$W52)))))))))))))))))))))</f>
        <v>3</v>
      </c>
      <c r="CY10" s="22">
        <f t="shared" ref="CY10:DB10" si="94">CR10</f>
        <v>4</v>
      </c>
      <c r="CZ10" s="22">
        <f t="shared" si="94"/>
        <v>6</v>
      </c>
      <c r="DA10" s="23">
        <f t="shared" si="94"/>
        <v>0.02</v>
      </c>
      <c r="DB10" s="23">
        <f t="shared" si="94"/>
        <v>-0.05</v>
      </c>
      <c r="DC10" s="21">
        <f>'Quick Setup'!R65</f>
        <v>0.75</v>
      </c>
      <c r="DD10" s="24">
        <f>if(DC10='Quick Setup'!$C$33,'Quick Setup'!$C38,if(DC10='Quick Setup'!$D$33,'Quick Setup'!$D38,if(DC10='Quick Setup'!$E$33,'Quick Setup'!$E38,if(DC10='Quick Setup'!$F$33,'Quick Setup'!$F38,if(DC10='Quick Setup'!$G$33,'Quick Setup'!$G38,if(DC10='Quick Setup'!$H$33,'Quick Setup'!$H38,if(DC10='Quick Setup'!$I$33,'Quick Setup'!$I38,if(DC10='Quick Setup'!$J$33,'Quick Setup'!$J38,if(DC10='Quick Setup'!$K$33,'Quick Setup'!$K38,if(DC10='Quick Setup'!$L$33,'Quick Setup'!$L38,if(DC10='Quick Setup'!$M$33,'Quick Setup'!$M38,if(DC10='Quick Setup'!$N$33,'Quick Setup'!$N38,if(DC10='Quick Setup'!$O$33,'Quick Setup'!$O38,if(DC10='Quick Setup'!$P$33,'Quick Setup'!$P38,if(DC10='Quick Setup'!$Q$33,'Quick Setup'!$Q38,if(DC10='Quick Setup'!$R$33,'Quick Setup'!$R38,if(DC10='Quick Setup'!$S$33,'Quick Setup'!$S38,if(DC10='Quick Setup'!$T$33,'Quick Setup'!$T38,if(DC10='Quick Setup'!$U$33,'Quick Setup'!$U38,if(DC10='Quick Setup'!$V$33,'Quick Setup'!$V38,'2x'!DX23))))))))))))))))))))</f>
        <v>4</v>
      </c>
      <c r="DE10" s="22">
        <f>if(DC10='Quick Setup'!$C$47,'Quick Setup'!$C52,if(DC10='Quick Setup'!$D$47,'Quick Setup'!$D52,if(DC10='Quick Setup'!$E$47,'Quick Setup'!$E52,if(DC10='Quick Setup'!$F$47,'Quick Setup'!$F52,if(DC10='Quick Setup'!$G$47,'Quick Setup'!$G52,if(DC10='Quick Setup'!$H$47,'Quick Setup'!$H52,if(DC10='Quick Setup'!$I$47,'Quick Setup'!$I52,if(DC10='Quick Setup'!$J$47,'Quick Setup'!$J52,if(DC10='Quick Setup'!$K$47,'Quick Setup'!$K52,if(DC10='Quick Setup'!$L$47,'Quick Setup'!$L52,if(DC10='Quick Setup'!$M$47,'Quick Setup'!$M52,if(DC10='Quick Setup'!$N$47,'Quick Setup'!$N52,if(DC10='Quick Setup'!$O$47,'Quick Setup'!$O52,if(DC10='Quick Setup'!$P$47,'Quick Setup'!$P52,if(DC10='Quick Setup'!$Q$47,'Quick Setup'!$Q52,if(DC10='Quick Setup'!$R$47,'Quick Setup'!$R52,if(DC10='Quick Setup'!$S$47,'Quick Setup'!$S52,if(DC10='Quick Setup'!$T$47,'Quick Setup'!$T52,if(DC10='Quick Setup'!$U$47,'Quick Setup'!$U52,if(DC10='Quick Setup'!$V$47,'Quick Setup'!$V52,if(DC10='Quick Setup'!$W$47,'Quick Setup'!$W52)))))))))))))))))))))</f>
        <v>3</v>
      </c>
      <c r="DF10" s="22">
        <f t="shared" ref="DF10:DI10" si="95">CY10</f>
        <v>4</v>
      </c>
      <c r="DG10" s="22">
        <f t="shared" si="95"/>
        <v>6</v>
      </c>
      <c r="DH10" s="23">
        <f t="shared" si="95"/>
        <v>0.02</v>
      </c>
      <c r="DI10" s="23">
        <f t="shared" si="95"/>
        <v>-0.05</v>
      </c>
      <c r="DJ10" s="21">
        <f>'Quick Setup'!S65</f>
        <v>0.8</v>
      </c>
      <c r="DK10" s="24">
        <f>if(DJ10='Quick Setup'!$C$33,'Quick Setup'!$C38,if(DJ10='Quick Setup'!$D$33,'Quick Setup'!$D38,if(DJ10='Quick Setup'!$E$33,'Quick Setup'!$E38,if(DJ10='Quick Setup'!$F$33,'Quick Setup'!$F38,if(DJ10='Quick Setup'!$G$33,'Quick Setup'!$G38,if(DJ10='Quick Setup'!$H$33,'Quick Setup'!$H38,if(DJ10='Quick Setup'!$I$33,'Quick Setup'!$I38,if(DJ10='Quick Setup'!$J$33,'Quick Setup'!$J38,if(DJ10='Quick Setup'!$K$33,'Quick Setup'!$K38,if(DJ10='Quick Setup'!$L$33,'Quick Setup'!$L38,if(DJ10='Quick Setup'!$M$33,'Quick Setup'!$M38,if(DJ10='Quick Setup'!$N$33,'Quick Setup'!$N38,if(DJ10='Quick Setup'!$O$33,'Quick Setup'!$O38,if(DJ10='Quick Setup'!$P$33,'Quick Setup'!$P38,if(DJ10='Quick Setup'!$Q$33,'Quick Setup'!$Q38,if(DJ10='Quick Setup'!$R$33,'Quick Setup'!$R38,if(DJ10='Quick Setup'!$S$33,'Quick Setup'!$S38,if(DJ10='Quick Setup'!$T$33,'Quick Setup'!$T38,if(DJ10='Quick Setup'!$U$33,'Quick Setup'!$U38,if(DJ10='Quick Setup'!$V$33,'Quick Setup'!$V38,'2x'!EE23))))))))))))))))))))</f>
        <v>3</v>
      </c>
      <c r="DL10" s="22">
        <f>if(DJ10='Quick Setup'!$C$47,'Quick Setup'!$C52,if(DJ10='Quick Setup'!$D$47,'Quick Setup'!$D52,if(DJ10='Quick Setup'!$E$47,'Quick Setup'!$E52,if(DJ10='Quick Setup'!$F$47,'Quick Setup'!$F52,if(DJ10='Quick Setup'!$G$47,'Quick Setup'!$G52,if(DJ10='Quick Setup'!$H$47,'Quick Setup'!$H52,if(DJ10='Quick Setup'!$I$47,'Quick Setup'!$I52,if(DJ10='Quick Setup'!$J$47,'Quick Setup'!$J52,if(DJ10='Quick Setup'!$K$47,'Quick Setup'!$K52,if(DJ10='Quick Setup'!$L$47,'Quick Setup'!$L52,if(DJ10='Quick Setup'!$M$47,'Quick Setup'!$M52,if(DJ10='Quick Setup'!$N$47,'Quick Setup'!$N52,if(DJ10='Quick Setup'!$O$47,'Quick Setup'!$O52,if(DJ10='Quick Setup'!$P$47,'Quick Setup'!$P52,if(DJ10='Quick Setup'!$Q$47,'Quick Setup'!$Q52,if(DJ10='Quick Setup'!$R$47,'Quick Setup'!$R52,if(DJ10='Quick Setup'!$S$47,'Quick Setup'!$S52,if(DJ10='Quick Setup'!$T$47,'Quick Setup'!$T52,if(DJ10='Quick Setup'!$U$47,'Quick Setup'!$U52,if(DJ10='Quick Setup'!$V$47,'Quick Setup'!$V52,if(DJ10='Quick Setup'!$W$47,'Quick Setup'!$W52)))))))))))))))))))))</f>
        <v>2</v>
      </c>
      <c r="DM10" s="22">
        <f t="shared" ref="DM10:DP10" si="96">DF10</f>
        <v>4</v>
      </c>
      <c r="DN10" s="22">
        <f t="shared" si="96"/>
        <v>6</v>
      </c>
      <c r="DO10" s="23">
        <f t="shared" si="96"/>
        <v>0.02</v>
      </c>
      <c r="DP10" s="23">
        <f t="shared" si="96"/>
        <v>-0.05</v>
      </c>
      <c r="DQ10" s="21">
        <f>'Quick Setup'!T65</f>
        <v>0.75</v>
      </c>
      <c r="DR10" s="24">
        <f>if(DQ10='Quick Setup'!$C$33,'Quick Setup'!$C38,if(DQ10='Quick Setup'!$D$33,'Quick Setup'!$D38,if(DQ10='Quick Setup'!$E$33,'Quick Setup'!$E38,if(DQ10='Quick Setup'!$F$33,'Quick Setup'!$F38,if(DQ10='Quick Setup'!$G$33,'Quick Setup'!$G38,if(DQ10='Quick Setup'!$H$33,'Quick Setup'!$H38,if(DQ10='Quick Setup'!$I$33,'Quick Setup'!$I38,if(DQ10='Quick Setup'!$J$33,'Quick Setup'!$J38,if(DQ10='Quick Setup'!$K$33,'Quick Setup'!$K38,if(DQ10='Quick Setup'!$L$33,'Quick Setup'!$L38,if(DQ10='Quick Setup'!$M$33,'Quick Setup'!$M38,if(DQ10='Quick Setup'!$N$33,'Quick Setup'!$N38,if(DQ10='Quick Setup'!$O$33,'Quick Setup'!$O38,if(DQ10='Quick Setup'!$P$33,'Quick Setup'!$P38,if(DQ10='Quick Setup'!$Q$33,'Quick Setup'!$Q38,if(DQ10='Quick Setup'!$R$33,'Quick Setup'!$R38,if(DQ10='Quick Setup'!$S$33,'Quick Setup'!$S38,if(DQ10='Quick Setup'!$T$33,'Quick Setup'!$T38,if(DQ10='Quick Setup'!$U$33,'Quick Setup'!$U38,if(DQ10='Quick Setup'!$V$33,'Quick Setup'!$V38,'2x'!EL23))))))))))))))))))))</f>
        <v>4</v>
      </c>
      <c r="DS10" s="22">
        <f>if(DQ10='Quick Setup'!$C$47,'Quick Setup'!$C52,if(DQ10='Quick Setup'!$D$47,'Quick Setup'!$D52,if(DQ10='Quick Setup'!$E$47,'Quick Setup'!$E52,if(DQ10='Quick Setup'!$F$47,'Quick Setup'!$F52,if(DQ10='Quick Setup'!$G$47,'Quick Setup'!$G52,if(DQ10='Quick Setup'!$H$47,'Quick Setup'!$H52,if(DQ10='Quick Setup'!$I$47,'Quick Setup'!$I52,if(DQ10='Quick Setup'!$J$47,'Quick Setup'!$J52,if(DQ10='Quick Setup'!$K$47,'Quick Setup'!$K52,if(DQ10='Quick Setup'!$L$47,'Quick Setup'!$L52,if(DQ10='Quick Setup'!$M$47,'Quick Setup'!$M52,if(DQ10='Quick Setup'!$N$47,'Quick Setup'!$N52,if(DQ10='Quick Setup'!$O$47,'Quick Setup'!$O52,if(DQ10='Quick Setup'!$P$47,'Quick Setup'!$P52,if(DQ10='Quick Setup'!$Q$47,'Quick Setup'!$Q52,if(DQ10='Quick Setup'!$R$47,'Quick Setup'!$R52,if(DQ10='Quick Setup'!$S$47,'Quick Setup'!$S52,if(DQ10='Quick Setup'!$T$47,'Quick Setup'!$T52,if(DQ10='Quick Setup'!$U$47,'Quick Setup'!$U52,if(DQ10='Quick Setup'!$V$47,'Quick Setup'!$V52,if(DQ10='Quick Setup'!$W$47,'Quick Setup'!$W52)))))))))))))))))))))</f>
        <v>3</v>
      </c>
      <c r="DT10" s="22">
        <f t="shared" ref="DT10:DW10" si="97">DM10</f>
        <v>4</v>
      </c>
      <c r="DU10" s="22">
        <f t="shared" si="97"/>
        <v>6</v>
      </c>
      <c r="DV10" s="23">
        <f t="shared" si="97"/>
        <v>0.02</v>
      </c>
      <c r="DW10" s="23">
        <f t="shared" si="97"/>
        <v>-0.05</v>
      </c>
      <c r="DX10" s="21">
        <f>'Quick Setup'!U65</f>
        <v>0.8</v>
      </c>
      <c r="DY10" s="24">
        <f>if(DX10='Quick Setup'!$C$33,'Quick Setup'!$C38,if(DX10='Quick Setup'!$D$33,'Quick Setup'!$D38,if(DX10='Quick Setup'!$E$33,'Quick Setup'!$E38,if(DX10='Quick Setup'!$F$33,'Quick Setup'!$F38,if(DX10='Quick Setup'!$G$33,'Quick Setup'!$G38,if(DX10='Quick Setup'!$H$33,'Quick Setup'!$H38,if(DX10='Quick Setup'!$I$33,'Quick Setup'!$I38,if(DX10='Quick Setup'!$J$33,'Quick Setup'!$J38,if(DX10='Quick Setup'!$K$33,'Quick Setup'!$K38,if(DX10='Quick Setup'!$L$33,'Quick Setup'!$L38,if(DX10='Quick Setup'!$M$33,'Quick Setup'!$M38,if(DX10='Quick Setup'!$N$33,'Quick Setup'!$N38,if(DX10='Quick Setup'!$O$33,'Quick Setup'!$O38,if(DX10='Quick Setup'!$P$33,'Quick Setup'!$P38,if(DX10='Quick Setup'!$Q$33,'Quick Setup'!$Q38,if(DX10='Quick Setup'!$R$33,'Quick Setup'!$R38,if(DX10='Quick Setup'!$S$33,'Quick Setup'!$S38,if(DX10='Quick Setup'!$T$33,'Quick Setup'!$T38,if(DX10='Quick Setup'!$U$33,'Quick Setup'!$U38,if(DX10='Quick Setup'!$V$33,'Quick Setup'!$V38,'2x'!ES23))))))))))))))))))))</f>
        <v>3</v>
      </c>
      <c r="DZ10" s="22">
        <f>if(DX10='Quick Setup'!$C$47,'Quick Setup'!$C52,if(DX10='Quick Setup'!$D$47,'Quick Setup'!$D52,if(DX10='Quick Setup'!$E$47,'Quick Setup'!$E52,if(DX10='Quick Setup'!$F$47,'Quick Setup'!$F52,if(DX10='Quick Setup'!$G$47,'Quick Setup'!$G52,if(DX10='Quick Setup'!$H$47,'Quick Setup'!$H52,if(DX10='Quick Setup'!$I$47,'Quick Setup'!$I52,if(DX10='Quick Setup'!$J$47,'Quick Setup'!$J52,if(DX10='Quick Setup'!$K$47,'Quick Setup'!$K52,if(DX10='Quick Setup'!$L$47,'Quick Setup'!$L52,if(DX10='Quick Setup'!$M$47,'Quick Setup'!$M52,if(DX10='Quick Setup'!$N$47,'Quick Setup'!$N52,if(DX10='Quick Setup'!$O$47,'Quick Setup'!$O52,if(DX10='Quick Setup'!$P$47,'Quick Setup'!$P52,if(DX10='Quick Setup'!$Q$47,'Quick Setup'!$Q52,if(DX10='Quick Setup'!$R$47,'Quick Setup'!$R52,if(DX10='Quick Setup'!$S$47,'Quick Setup'!$S52,if(DX10='Quick Setup'!$T$47,'Quick Setup'!$T52,if(DX10='Quick Setup'!$U$47,'Quick Setup'!$U52,if(DX10='Quick Setup'!$V$47,'Quick Setup'!$V52,if(DX10='Quick Setup'!$W$47,'Quick Setup'!$W52)))))))))))))))))))))</f>
        <v>2</v>
      </c>
      <c r="EA10" s="22">
        <f t="shared" ref="EA10:ED10" si="98">DT10</f>
        <v>4</v>
      </c>
      <c r="EB10" s="22">
        <f t="shared" si="98"/>
        <v>6</v>
      </c>
      <c r="EC10" s="23">
        <f t="shared" si="98"/>
        <v>0.02</v>
      </c>
      <c r="ED10" s="23">
        <f t="shared" si="98"/>
        <v>-0.05</v>
      </c>
      <c r="EE10" s="21">
        <f>'Quick Setup'!V65</f>
        <v>0.85</v>
      </c>
      <c r="EF10" s="24">
        <f>if(EE10='Quick Setup'!$C$33,'Quick Setup'!$C38,if(EE10='Quick Setup'!$D$33,'Quick Setup'!$D38,if(EE10='Quick Setup'!$E$33,'Quick Setup'!$E38,if(EE10='Quick Setup'!$F$33,'Quick Setup'!$F38,if(EE10='Quick Setup'!$G$33,'Quick Setup'!$G38,if(EE10='Quick Setup'!$H$33,'Quick Setup'!$H38,if(EE10='Quick Setup'!$I$33,'Quick Setup'!$I38,if(EE10='Quick Setup'!$J$33,'Quick Setup'!$J38,if(EE10='Quick Setup'!$K$33,'Quick Setup'!$K38,if(EE10='Quick Setup'!$L$33,'Quick Setup'!$L38,if(EE10='Quick Setup'!$M$33,'Quick Setup'!$M38,if(EE10='Quick Setup'!$N$33,'Quick Setup'!$N38,if(EE10='Quick Setup'!$O$33,'Quick Setup'!$O38,if(EE10='Quick Setup'!$P$33,'Quick Setup'!$P38,if(EE10='Quick Setup'!$Q$33,'Quick Setup'!$Q38,if(EE10='Quick Setup'!$R$33,'Quick Setup'!$R38,if(EE10='Quick Setup'!$S$33,'Quick Setup'!$S38,if(EE10='Quick Setup'!$T$33,'Quick Setup'!$T38,if(EE10='Quick Setup'!$U$33,'Quick Setup'!$U38,if(EE10='Quick Setup'!$V$33,'Quick Setup'!$V38,'2x'!EZ23))))))))))))))))))))</f>
        <v>2</v>
      </c>
      <c r="EG10" s="22">
        <f>if(EE10='Quick Setup'!$C$47,'Quick Setup'!$C52,if(EE10='Quick Setup'!$D$47,'Quick Setup'!$D52,if(EE10='Quick Setup'!$E$47,'Quick Setup'!$E52,if(EE10='Quick Setup'!$F$47,'Quick Setup'!$F52,if(EE10='Quick Setup'!$G$47,'Quick Setup'!$G52,if(EE10='Quick Setup'!$H$47,'Quick Setup'!$H52,if(EE10='Quick Setup'!$I$47,'Quick Setup'!$I52,if(EE10='Quick Setup'!$J$47,'Quick Setup'!$J52,if(EE10='Quick Setup'!$K$47,'Quick Setup'!$K52,if(EE10='Quick Setup'!$L$47,'Quick Setup'!$L52,if(EE10='Quick Setup'!$M$47,'Quick Setup'!$M52,if(EE10='Quick Setup'!$N$47,'Quick Setup'!$N52,if(EE10='Quick Setup'!$O$47,'Quick Setup'!$O52,if(EE10='Quick Setup'!$P$47,'Quick Setup'!$P52,if(EE10='Quick Setup'!$Q$47,'Quick Setup'!$Q52,if(EE10='Quick Setup'!$R$47,'Quick Setup'!$R52,if(EE10='Quick Setup'!$S$47,'Quick Setup'!$S52,if(EE10='Quick Setup'!$T$47,'Quick Setup'!$T52,if(EE10='Quick Setup'!$U$47,'Quick Setup'!$U52,if(EE10='Quick Setup'!$V$47,'Quick Setup'!$V52,if(EE10='Quick Setup'!$W$47,'Quick Setup'!$W52)))))))))))))))))))))</f>
        <v>2</v>
      </c>
      <c r="EH10" s="22">
        <f t="shared" ref="EH10:EK10" si="99">EA10</f>
        <v>4</v>
      </c>
      <c r="EI10" s="22">
        <f t="shared" si="99"/>
        <v>6</v>
      </c>
      <c r="EJ10" s="23">
        <f t="shared" si="99"/>
        <v>0.02</v>
      </c>
      <c r="EK10" s="23">
        <f t="shared" si="99"/>
        <v>-0.05</v>
      </c>
      <c r="EL10" s="21">
        <f>'Quick Setup'!W65</f>
        <v>0.5</v>
      </c>
      <c r="EM10" s="24">
        <f>if(EL10='Quick Setup'!$C$33,'Quick Setup'!$C38,if(EL10='Quick Setup'!$D$33,'Quick Setup'!$D38,if(EL10='Quick Setup'!$E$33,'Quick Setup'!$E38,if(EL10='Quick Setup'!$F$33,'Quick Setup'!$F38,if(EL10='Quick Setup'!$G$33,'Quick Setup'!$G38,if(EL10='Quick Setup'!$H$33,'Quick Setup'!$H38,if(EL10='Quick Setup'!$I$33,'Quick Setup'!$I38,if(EL10='Quick Setup'!$J$33,'Quick Setup'!$J38,if(EL10='Quick Setup'!$K$33,'Quick Setup'!$K38,if(EL10='Quick Setup'!$L$33,'Quick Setup'!$L38,if(EL10='Quick Setup'!$M$33,'Quick Setup'!$M38,if(EL10='Quick Setup'!$N$33,'Quick Setup'!$N38,if(EL10='Quick Setup'!$O$33,'Quick Setup'!$O38,if(EL10='Quick Setup'!$P$33,'Quick Setup'!$P38,if(EL10='Quick Setup'!$Q$33,'Quick Setup'!$Q38,if(EL10='Quick Setup'!$R$33,'Quick Setup'!$R38,if(EL10='Quick Setup'!$S$33,'Quick Setup'!$S38,if(EL10='Quick Setup'!$T$33,'Quick Setup'!$T38,if(EL10='Quick Setup'!$U$33,'Quick Setup'!$U38,if(EL10='Quick Setup'!$V$33,'Quick Setup'!$V38,'2x'!FG23))))))))))))))))))))</f>
        <v>8</v>
      </c>
      <c r="EN10" s="22">
        <f>if(EL10='Quick Setup'!$C$47,'Quick Setup'!$C52,if(EL10='Quick Setup'!$D$47,'Quick Setup'!$D52,if(EL10='Quick Setup'!$E$47,'Quick Setup'!$E52,if(EL10='Quick Setup'!$F$47,'Quick Setup'!$F52,if(EL10='Quick Setup'!$G$47,'Quick Setup'!$G52,if(EL10='Quick Setup'!$H$47,'Quick Setup'!$H52,if(EL10='Quick Setup'!$I$47,'Quick Setup'!$I52,if(EL10='Quick Setup'!$J$47,'Quick Setup'!$J52,if(EL10='Quick Setup'!$K$47,'Quick Setup'!$K52,if(EL10='Quick Setup'!$L$47,'Quick Setup'!$L52,if(EL10='Quick Setup'!$M$47,'Quick Setup'!$M52,if(EL10='Quick Setup'!$N$47,'Quick Setup'!$N52,if(EL10='Quick Setup'!$O$47,'Quick Setup'!$O52,if(EL10='Quick Setup'!$P$47,'Quick Setup'!$P52,if(EL10='Quick Setup'!$Q$47,'Quick Setup'!$Q52,if(EL10='Quick Setup'!$R$47,'Quick Setup'!$R52,if(EL10='Quick Setup'!$S$47,'Quick Setup'!$S52,if(EL10='Quick Setup'!$T$47,'Quick Setup'!$T52,if(EL10='Quick Setup'!$U$47,'Quick Setup'!$U52,if(EL10='Quick Setup'!$V$47,'Quick Setup'!$V52,if(EL10='Quick Setup'!$W$47,'Quick Setup'!$W52)))))))))))))))))))))</f>
        <v>5</v>
      </c>
      <c r="EO10" s="22">
        <f t="shared" ref="EO10:ER10" si="100">EH10</f>
        <v>4</v>
      </c>
      <c r="EP10" s="22">
        <f t="shared" si="100"/>
        <v>6</v>
      </c>
      <c r="EQ10" s="23">
        <f t="shared" si="100"/>
        <v>0.02</v>
      </c>
      <c r="ER10" s="23">
        <f t="shared" si="100"/>
        <v>-0.05</v>
      </c>
    </row>
    <row r="11">
      <c r="A11" t="str">
        <f>'Quick Setup'!C12</f>
        <v>Paused Squat</v>
      </c>
      <c r="B11" s="21">
        <f>'Quick Setup'!C66</f>
        <v>0.6</v>
      </c>
      <c r="C11" s="22">
        <f>if(B11='Quick Setup'!$C$33,'Quick Setup'!$C39,if(B11='Quick Setup'!$D$33,'Quick Setup'!$D39,if(B11='Quick Setup'!$E$33,'Quick Setup'!$E39,if(B11='Quick Setup'!$F$33,'Quick Setup'!$F39,if(B11='Quick Setup'!$G$33,'Quick Setup'!$G39,if(B11='Quick Setup'!$H$33,'Quick Setup'!$H39,if(B11='Quick Setup'!$I$33,'Quick Setup'!$I39,if(B11='Quick Setup'!$J$33,'Quick Setup'!$J39,if(B11='Quick Setup'!$K$33,'Quick Setup'!$K39,if(B11='Quick Setup'!$L$33,'Quick Setup'!$L39,if(B11='Quick Setup'!$M$33,'Quick Setup'!$M39,if(B11='Quick Setup'!$N$33,'Quick Setup'!$N39,if(B11='Quick Setup'!$O$33,'Quick Setup'!$O39,if(B11='Quick Setup'!$P$33,'Quick Setup'!$P39,if(B11='Quick Setup'!$Q$33,'Quick Setup'!$Q39,if(B11='Quick Setup'!$R$33,'Quick Setup'!$R39,if(B11='Quick Setup'!$S$33,'Quick Setup'!$S39,if(B11='Quick Setup'!$T$33,'Quick Setup'!$T39,if(B11='Quick Setup'!$U$33,'Quick Setup'!$U39,if(B11='Quick Setup'!$V$33,'Quick Setup'!$V39,'Quick Setup'!W39))))))))))))))))))))</f>
        <v>7</v>
      </c>
      <c r="D11" s="22">
        <f>if(B11='Quick Setup'!$C$47,'Quick Setup'!$C53,if(B11='Quick Setup'!$D$47,'Quick Setup'!$D53,if(B11='Quick Setup'!$E$47,'Quick Setup'!$E53,if(B11='Quick Setup'!$F$47,'Quick Setup'!$F53,if(B11='Quick Setup'!$G$47,'Quick Setup'!$G53,if(B11='Quick Setup'!$H$47,'Quick Setup'!$H53,if(B11='Quick Setup'!$I$47,'Quick Setup'!$I53,if(B11='Quick Setup'!$J$47,'Quick Setup'!$J53,if(B11='Quick Setup'!$K$47,'Quick Setup'!$K53,if(B11='Quick Setup'!$L$47,'Quick Setup'!$L53,if(B11='Quick Setup'!$M$47,'Quick Setup'!$M53,if(B11='Quick Setup'!$N$47,'Quick Setup'!$N53,if(B11='Quick Setup'!$O$47,'Quick Setup'!$O53,if(B11='Quick Setup'!$P$47,'Quick Setup'!$P53,if(B11='Quick Setup'!$Q$47,'Quick Setup'!$Q53,if(B11='Quick Setup'!$R$47,'Quick Setup'!$R53,if(B11='Quick Setup'!$S$47,'Quick Setup'!$S53,if(B11='Quick Setup'!$T$47,'Quick Setup'!$T53,if(B11='Quick Setup'!$U$47,'Quick Setup'!$U53,if(B11='Quick Setup'!$V$47,'Quick Setup'!$V53,if(B11='Quick Setup'!$W$47,'Quick Setup'!$W53)))))))))))))))))))))</f>
        <v>4</v>
      </c>
      <c r="E11" s="22">
        <f>'Quick Setup'!H11</f>
        <v>4</v>
      </c>
      <c r="F11" s="22">
        <f>'Quick Setup'!I11</f>
        <v>6</v>
      </c>
      <c r="G11" s="23">
        <f>'Quick Setup'!J11</f>
        <v>0.02</v>
      </c>
      <c r="H11" s="23">
        <f>'Quick Setup'!K11</f>
        <v>-0.05</v>
      </c>
      <c r="I11" s="21">
        <f>'Quick Setup'!D66</f>
        <v>0.65</v>
      </c>
      <c r="J11" s="22">
        <f>if(I11='Quick Setup'!$C$33,'Quick Setup'!$C39,if(I11='Quick Setup'!$D$33,'Quick Setup'!$D39,if(I11='Quick Setup'!$E$33,'Quick Setup'!$E39,if(I11='Quick Setup'!$F$33,'Quick Setup'!$F39,if(I11='Quick Setup'!$G$33,'Quick Setup'!$G39,if(I11='Quick Setup'!$H$33,'Quick Setup'!$H39,if(I11='Quick Setup'!$I$33,'Quick Setup'!$I39,if(I11='Quick Setup'!$J$33,'Quick Setup'!$J39,if(I11='Quick Setup'!$K$33,'Quick Setup'!$K39,if(I11='Quick Setup'!$L$33,'Quick Setup'!$L39,if(I11='Quick Setup'!$M$33,'Quick Setup'!$M39,if(I11='Quick Setup'!$N$33,'Quick Setup'!$N39,if(I11='Quick Setup'!$O$33,'Quick Setup'!$O39,if(I11='Quick Setup'!$P$33,'Quick Setup'!$P39,if(I11='Quick Setup'!$Q$33,'Quick Setup'!$Q39,if(I11='Quick Setup'!$R$33,'Quick Setup'!$R39,if(I11='Quick Setup'!$S$33,'Quick Setup'!$S39,if(I11='Quick Setup'!$T$33,'Quick Setup'!$T39,if(I11='Quick Setup'!$U$33,'Quick Setup'!$U39,if(I11='Quick Setup'!$V$33,'Quick Setup'!$V39,'2x'!AD24))))))))))))))))))))</f>
        <v>6</v>
      </c>
      <c r="K11" s="22">
        <f>if(I11='Quick Setup'!$C$47,'Quick Setup'!$C53,if(I11='Quick Setup'!$D$47,'Quick Setup'!$D53,if(I11='Quick Setup'!$E$47,'Quick Setup'!$E53,if(I11='Quick Setup'!$F$47,'Quick Setup'!$F53,if(I11='Quick Setup'!$G$47,'Quick Setup'!$G53,if(I11='Quick Setup'!$H$47,'Quick Setup'!$H53,if(I11='Quick Setup'!$I$47,'Quick Setup'!$I53,if(I11='Quick Setup'!$J$47,'Quick Setup'!$J53,if(I11='Quick Setup'!$K$47,'Quick Setup'!$K53,if(I11='Quick Setup'!$L$47,'Quick Setup'!$L53,if(I11='Quick Setup'!$M$47,'Quick Setup'!$M53,if(I11='Quick Setup'!$N$47,'Quick Setup'!$N53,if(I11='Quick Setup'!$O$47,'Quick Setup'!$O53,if(I11='Quick Setup'!$P$47,'Quick Setup'!$P53,if(I11='Quick Setup'!$Q$47,'Quick Setup'!$Q53,if(I11='Quick Setup'!$R$47,'Quick Setup'!$R53,if(I11='Quick Setup'!$S$47,'Quick Setup'!$S53,if(I11='Quick Setup'!$T$47,'Quick Setup'!$T53,if(I11='Quick Setup'!$U$47,'Quick Setup'!$U53,if(I11='Quick Setup'!$V$47,'Quick Setup'!$V53,if(I11='Quick Setup'!$W$47,'Quick Setup'!$W53)))))))))))))))))))))</f>
        <v>4</v>
      </c>
      <c r="L11" s="22">
        <f t="shared" ref="L11:O11" si="101">E11</f>
        <v>4</v>
      </c>
      <c r="M11" s="22">
        <f t="shared" si="101"/>
        <v>6</v>
      </c>
      <c r="N11" s="23">
        <f t="shared" si="101"/>
        <v>0.02</v>
      </c>
      <c r="O11" s="23">
        <f t="shared" si="101"/>
        <v>-0.05</v>
      </c>
      <c r="P11" s="21">
        <f>'Quick Setup'!E66</f>
        <v>0.7</v>
      </c>
      <c r="Q11" s="24">
        <f>if(P11='Quick Setup'!$C$33,'Quick Setup'!$C39,if(P11='Quick Setup'!$D$33,'Quick Setup'!$D39,if(P11='Quick Setup'!$E$33,'Quick Setup'!$E39,if(P11='Quick Setup'!$F$33,'Quick Setup'!$F39,if(P11='Quick Setup'!$G$33,'Quick Setup'!$G39,if(P11='Quick Setup'!$H$33,'Quick Setup'!$H39,if(P11='Quick Setup'!$I$33,'Quick Setup'!$I39,if(P11='Quick Setup'!$J$33,'Quick Setup'!$J39,if(P11='Quick Setup'!$K$33,'Quick Setup'!$K39,if(P11='Quick Setup'!$L$33,'Quick Setup'!$L39,if(P11='Quick Setup'!$M$33,'Quick Setup'!$M39,if(P11='Quick Setup'!$N$33,'Quick Setup'!$N39,if(P11='Quick Setup'!$O$33,'Quick Setup'!$O39,if(P11='Quick Setup'!$P$33,'Quick Setup'!$P39,if(P11='Quick Setup'!$Q$33,'Quick Setup'!$Q39,if(P11='Quick Setup'!$R$33,'Quick Setup'!$R39,if(P11='Quick Setup'!$S$33,'Quick Setup'!$S39,if(P11='Quick Setup'!$T$33,'Quick Setup'!$T39,if(P11='Quick Setup'!$U$33,'Quick Setup'!$U39,if(P11='Quick Setup'!$V$33,'Quick Setup'!$V39,'2x'!AK24))))))))))))))))))))</f>
        <v>5</v>
      </c>
      <c r="R11" s="22">
        <f>if(P11='Quick Setup'!$C$47,'Quick Setup'!$C53,if(P11='Quick Setup'!$D$47,'Quick Setup'!$D53,if(P11='Quick Setup'!$E$47,'Quick Setup'!$E53,if(P11='Quick Setup'!$F$47,'Quick Setup'!$F53,if(P11='Quick Setup'!$G$47,'Quick Setup'!$G53,if(P11='Quick Setup'!$H$47,'Quick Setup'!$H53,if(P11='Quick Setup'!$I$47,'Quick Setup'!$I53,if(P11='Quick Setup'!$J$47,'Quick Setup'!$J53,if(P11='Quick Setup'!$K$47,'Quick Setup'!$K53,if(P11='Quick Setup'!$L$47,'Quick Setup'!$L53,if(P11='Quick Setup'!$M$47,'Quick Setup'!$M53,if(P11='Quick Setup'!$N$47,'Quick Setup'!$N53,if(P11='Quick Setup'!$O$47,'Quick Setup'!$O53,if(P11='Quick Setup'!$P$47,'Quick Setup'!$P53,if(P11='Quick Setup'!$Q$47,'Quick Setup'!$Q53,if(P11='Quick Setup'!$R$47,'Quick Setup'!$R53,if(P11='Quick Setup'!$S$47,'Quick Setup'!$S53,if(P11='Quick Setup'!$T$47,'Quick Setup'!$T53,if(P11='Quick Setup'!$U$47,'Quick Setup'!$U53,if(P11='Quick Setup'!$V$47,'Quick Setup'!$V53,if(P11='Quick Setup'!$W$47,'Quick Setup'!$W53)))))))))))))))))))))</f>
        <v>3</v>
      </c>
      <c r="S11" s="22">
        <f t="shared" ref="S11:V11" si="102">L11</f>
        <v>4</v>
      </c>
      <c r="T11" s="22">
        <f t="shared" si="102"/>
        <v>6</v>
      </c>
      <c r="U11" s="23">
        <f t="shared" si="102"/>
        <v>0.02</v>
      </c>
      <c r="V11" s="23">
        <f t="shared" si="102"/>
        <v>-0.05</v>
      </c>
      <c r="W11" s="21">
        <f>'Quick Setup'!F66</f>
        <v>0.625</v>
      </c>
      <c r="X11" s="24">
        <f>if(W11='Quick Setup'!$C$33,'Quick Setup'!$C39,if(W11='Quick Setup'!$D$33,'Quick Setup'!$D39,if(W11='Quick Setup'!$E$33,'Quick Setup'!$E39,if(W11='Quick Setup'!$F$33,'Quick Setup'!$F39,if(W11='Quick Setup'!$G$33,'Quick Setup'!$G39,if(W11='Quick Setup'!$H$33,'Quick Setup'!$H39,if(W11='Quick Setup'!$I$33,'Quick Setup'!$I39,if(W11='Quick Setup'!$J$33,'Quick Setup'!$J39,if(W11='Quick Setup'!$K$33,'Quick Setup'!$K39,if(W11='Quick Setup'!$L$33,'Quick Setup'!$L39,if(W11='Quick Setup'!$M$33,'Quick Setup'!$M39,if(W11='Quick Setup'!$N$33,'Quick Setup'!$N39,if(W11='Quick Setup'!$O$33,'Quick Setup'!$O39,if(W11='Quick Setup'!$P$33,'Quick Setup'!$P39,if(W11='Quick Setup'!$Q$33,'Quick Setup'!$Q39,if(W11='Quick Setup'!$R$33,'Quick Setup'!$R39,if(W11='Quick Setup'!$S$33,'Quick Setup'!$S39,if(W11='Quick Setup'!$T$33,'Quick Setup'!$T39,if(W11='Quick Setup'!$U$33,'Quick Setup'!$U39,if(W11='Quick Setup'!$V$33,'Quick Setup'!$V39,'2x'!AR24))))))))))))))))))))</f>
        <v>7</v>
      </c>
      <c r="Y11" s="22">
        <f>if(W11='Quick Setup'!$C$47,'Quick Setup'!$C53,if(W11='Quick Setup'!$D$47,'Quick Setup'!$D53,if(W11='Quick Setup'!$E$47,'Quick Setup'!$E53,if(W11='Quick Setup'!$F$47,'Quick Setup'!$F53,if(W11='Quick Setup'!$G$47,'Quick Setup'!$G53,if(W11='Quick Setup'!$H$47,'Quick Setup'!$H53,if(W11='Quick Setup'!$I$47,'Quick Setup'!$I53,if(W11='Quick Setup'!$J$47,'Quick Setup'!$J53,if(W11='Quick Setup'!$K$47,'Quick Setup'!$K53,if(W11='Quick Setup'!$L$47,'Quick Setup'!$L53,if(W11='Quick Setup'!$M$47,'Quick Setup'!$M53,if(W11='Quick Setup'!$N$47,'Quick Setup'!$N53,if(W11='Quick Setup'!$O$47,'Quick Setup'!$O53,if(W11='Quick Setup'!$P$47,'Quick Setup'!$P53,if(W11='Quick Setup'!$Q$47,'Quick Setup'!$Q53,if(W11='Quick Setup'!$R$47,'Quick Setup'!$R53,if(W11='Quick Setup'!$S$47,'Quick Setup'!$S53,if(W11='Quick Setup'!$T$47,'Quick Setup'!$T53,if(W11='Quick Setup'!$U$47,'Quick Setup'!$U53,if(W11='Quick Setup'!$V$47,'Quick Setup'!$V53,if(W11='Quick Setup'!$W$47,'Quick Setup'!$W53)))))))))))))))))))))</f>
        <v>4</v>
      </c>
      <c r="Z11" s="22">
        <f t="shared" ref="Z11:AC11" si="103">S11</f>
        <v>4</v>
      </c>
      <c r="AA11" s="22">
        <f t="shared" si="103"/>
        <v>6</v>
      </c>
      <c r="AB11" s="23">
        <f t="shared" si="103"/>
        <v>0.02</v>
      </c>
      <c r="AC11" s="23">
        <f t="shared" si="103"/>
        <v>-0.05</v>
      </c>
      <c r="AD11" s="21">
        <f>'Quick Setup'!G66</f>
        <v>0.675</v>
      </c>
      <c r="AE11" s="24">
        <f>if(AD11='Quick Setup'!$C$33,'Quick Setup'!$C39,if(AD11='Quick Setup'!$D$33,'Quick Setup'!$D39,if(AD11='Quick Setup'!$E$33,'Quick Setup'!$E39,if(AD11='Quick Setup'!$F$33,'Quick Setup'!$F39,if(AD11='Quick Setup'!$G$33,'Quick Setup'!$G39,if(AD11='Quick Setup'!$H$33,'Quick Setup'!$H39,if(AD11='Quick Setup'!$I$33,'Quick Setup'!$I39,if(AD11='Quick Setup'!$J$33,'Quick Setup'!$J39,if(AD11='Quick Setup'!$K$33,'Quick Setup'!$K39,if(AD11='Quick Setup'!$L$33,'Quick Setup'!$L39,if(AD11='Quick Setup'!$M$33,'Quick Setup'!$M39,if(AD11='Quick Setup'!$N$33,'Quick Setup'!$N39,if(AD11='Quick Setup'!$O$33,'Quick Setup'!$O39,if(AD11='Quick Setup'!$P$33,'Quick Setup'!$P39,if(AD11='Quick Setup'!$Q$33,'Quick Setup'!$Q39,if(AD11='Quick Setup'!$R$33,'Quick Setup'!$R39,if(AD11='Quick Setup'!$S$33,'Quick Setup'!$S39,if(AD11='Quick Setup'!$T$33,'Quick Setup'!$T39,if(AD11='Quick Setup'!$U$33,'Quick Setup'!$U39,if(AD11='Quick Setup'!$V$33,'Quick Setup'!$V39,'2x'!AY24))))))))))))))))))))</f>
        <v>6</v>
      </c>
      <c r="AF11" s="22">
        <f>if(AD11='Quick Setup'!$C$47,'Quick Setup'!$C53,if(AD11='Quick Setup'!$D$47,'Quick Setup'!$D53,if(AD11='Quick Setup'!$E$47,'Quick Setup'!$E53,if(AD11='Quick Setup'!$F$47,'Quick Setup'!$F53,if(AD11='Quick Setup'!$G$47,'Quick Setup'!$G53,if(AD11='Quick Setup'!$H$47,'Quick Setup'!$H53,if(AD11='Quick Setup'!$I$47,'Quick Setup'!$I53,if(AD11='Quick Setup'!$J$47,'Quick Setup'!$J53,if(AD11='Quick Setup'!$K$47,'Quick Setup'!$K53,if(AD11='Quick Setup'!$L$47,'Quick Setup'!$L53,if(AD11='Quick Setup'!$M$47,'Quick Setup'!$M53,if(AD11='Quick Setup'!$N$47,'Quick Setup'!$N53,if(AD11='Quick Setup'!$O$47,'Quick Setup'!$O53,if(AD11='Quick Setup'!$P$47,'Quick Setup'!$P53,if(AD11='Quick Setup'!$Q$47,'Quick Setup'!$Q53,if(AD11='Quick Setup'!$R$47,'Quick Setup'!$R53,if(AD11='Quick Setup'!$S$47,'Quick Setup'!$S53,if(AD11='Quick Setup'!$T$47,'Quick Setup'!$T53,if(AD11='Quick Setup'!$U$47,'Quick Setup'!$U53,if(AD11='Quick Setup'!$V$47,'Quick Setup'!$V53,if(AD11='Quick Setup'!$W$47,'Quick Setup'!$W53)))))))))))))))))))))</f>
        <v>4</v>
      </c>
      <c r="AG11" s="22">
        <f t="shared" ref="AG11:AJ11" si="104">Z11</f>
        <v>4</v>
      </c>
      <c r="AH11" s="22">
        <f t="shared" si="104"/>
        <v>6</v>
      </c>
      <c r="AI11" s="23">
        <f t="shared" si="104"/>
        <v>0.02</v>
      </c>
      <c r="AJ11" s="23">
        <f t="shared" si="104"/>
        <v>-0.05</v>
      </c>
      <c r="AK11" s="21">
        <f>'Quick Setup'!H66</f>
        <v>0.725</v>
      </c>
      <c r="AL11" s="24">
        <f>if(AK11='Quick Setup'!$C$33,'Quick Setup'!$C39,if(AK11='Quick Setup'!$D$33,'Quick Setup'!$D39,if(AK11='Quick Setup'!$E$33,'Quick Setup'!$E39,if(AK11='Quick Setup'!$F$33,'Quick Setup'!$F39,if(AK11='Quick Setup'!$G$33,'Quick Setup'!$G39,if(AK11='Quick Setup'!$H$33,'Quick Setup'!$H39,if(AK11='Quick Setup'!$I$33,'Quick Setup'!$I39,if(AK11='Quick Setup'!$J$33,'Quick Setup'!$J39,if(AK11='Quick Setup'!$K$33,'Quick Setup'!$K39,if(AK11='Quick Setup'!$L$33,'Quick Setup'!$L39,if(AK11='Quick Setup'!$M$33,'Quick Setup'!$M39,if(AK11='Quick Setup'!$N$33,'Quick Setup'!$N39,if(AK11='Quick Setup'!$O$33,'Quick Setup'!$O39,if(AK11='Quick Setup'!$P$33,'Quick Setup'!$P39,if(AK11='Quick Setup'!$Q$33,'Quick Setup'!$Q39,if(AK11='Quick Setup'!$R$33,'Quick Setup'!$R39,if(AK11='Quick Setup'!$S$33,'Quick Setup'!$S39,if(AK11='Quick Setup'!$T$33,'Quick Setup'!$T39,if(AK11='Quick Setup'!$U$33,'Quick Setup'!$U39,if(AK11='Quick Setup'!$V$33,'Quick Setup'!$V39,'2x'!BF24))))))))))))))))))))</f>
        <v>5</v>
      </c>
      <c r="AM11" s="22">
        <f>if(AK11='Quick Setup'!$C$47,'Quick Setup'!$C53,if(AK11='Quick Setup'!$D$47,'Quick Setup'!$D53,if(AK11='Quick Setup'!$E$47,'Quick Setup'!$E53,if(AK11='Quick Setup'!$F$47,'Quick Setup'!$F53,if(AK11='Quick Setup'!$G$47,'Quick Setup'!$G53,if(AK11='Quick Setup'!$H$47,'Quick Setup'!$H53,if(AK11='Quick Setup'!$I$47,'Quick Setup'!$I53,if(AK11='Quick Setup'!$J$47,'Quick Setup'!$J53,if(AK11='Quick Setup'!$K$47,'Quick Setup'!$K53,if(AK11='Quick Setup'!$L$47,'Quick Setup'!$L53,if(AK11='Quick Setup'!$M$47,'Quick Setup'!$M53,if(AK11='Quick Setup'!$N$47,'Quick Setup'!$N53,if(AK11='Quick Setup'!$O$47,'Quick Setup'!$O53,if(AK11='Quick Setup'!$P$47,'Quick Setup'!$P53,if(AK11='Quick Setup'!$Q$47,'Quick Setup'!$Q53,if(AK11='Quick Setup'!$R$47,'Quick Setup'!$R53,if(AK11='Quick Setup'!$S$47,'Quick Setup'!$S53,if(AK11='Quick Setup'!$T$47,'Quick Setup'!$T53,if(AK11='Quick Setup'!$U$47,'Quick Setup'!$U53,if(AK11='Quick Setup'!$V$47,'Quick Setup'!$V53,if(AK11='Quick Setup'!$W$47,'Quick Setup'!$W53)))))))))))))))))))))</f>
        <v>3</v>
      </c>
      <c r="AN11" s="22">
        <f t="shared" ref="AN11:AQ11" si="105">AG11</f>
        <v>4</v>
      </c>
      <c r="AO11" s="22">
        <f t="shared" si="105"/>
        <v>6</v>
      </c>
      <c r="AP11" s="23">
        <f t="shared" si="105"/>
        <v>0.02</v>
      </c>
      <c r="AQ11" s="23">
        <f t="shared" si="105"/>
        <v>-0.05</v>
      </c>
      <c r="AR11" s="21">
        <f>'Quick Setup'!I66</f>
        <v>0.5</v>
      </c>
      <c r="AS11" s="24">
        <f>if(AR11='Quick Setup'!$C$33,'Quick Setup'!$C39,if(AR11='Quick Setup'!$D$33,'Quick Setup'!$D39,if(AR11='Quick Setup'!$E$33,'Quick Setup'!$E39,if(AR11='Quick Setup'!$F$33,'Quick Setup'!$F39,if(AR11='Quick Setup'!$G$33,'Quick Setup'!$G39,if(AR11='Quick Setup'!$H$33,'Quick Setup'!$H39,if(AR11='Quick Setup'!$I$33,'Quick Setup'!$I39,if(AR11='Quick Setup'!$J$33,'Quick Setup'!$J39,if(AR11='Quick Setup'!$K$33,'Quick Setup'!$K39,if(AR11='Quick Setup'!$L$33,'Quick Setup'!$L39,if(AR11='Quick Setup'!$M$33,'Quick Setup'!$M39,if(AR11='Quick Setup'!$N$33,'Quick Setup'!$N39,if(AR11='Quick Setup'!$O$33,'Quick Setup'!$O39,if(AR11='Quick Setup'!$P$33,'Quick Setup'!$P39,if(AR11='Quick Setup'!$Q$33,'Quick Setup'!$Q39,if(AR11='Quick Setup'!$R$33,'Quick Setup'!$R39,if(AR11='Quick Setup'!$S$33,'Quick Setup'!$S39,if(AR11='Quick Setup'!$T$33,'Quick Setup'!$T39,if(AR11='Quick Setup'!$U$33,'Quick Setup'!$U39,if(AR11='Quick Setup'!$V$33,'Quick Setup'!$V39,'2x'!BM24))))))))))))))))))))</f>
        <v>8</v>
      </c>
      <c r="AT11" s="22">
        <f>if(AR11='Quick Setup'!$C$47,'Quick Setup'!$C53,if(AR11='Quick Setup'!$D$47,'Quick Setup'!$D53,if(AR11='Quick Setup'!$E$47,'Quick Setup'!$E53,if(AR11='Quick Setup'!$F$47,'Quick Setup'!$F53,if(AR11='Quick Setup'!$G$47,'Quick Setup'!$G53,if(AR11='Quick Setup'!$H$47,'Quick Setup'!$H53,if(AR11='Quick Setup'!$I$47,'Quick Setup'!$I53,if(AR11='Quick Setup'!$J$47,'Quick Setup'!$J53,if(AR11='Quick Setup'!$K$47,'Quick Setup'!$K53,if(AR11='Quick Setup'!$L$47,'Quick Setup'!$L53,if(AR11='Quick Setup'!$M$47,'Quick Setup'!$M53,if(AR11='Quick Setup'!$N$47,'Quick Setup'!$N53,if(AR11='Quick Setup'!$O$47,'Quick Setup'!$O53,if(AR11='Quick Setup'!$P$47,'Quick Setup'!$P53,if(AR11='Quick Setup'!$Q$47,'Quick Setup'!$Q53,if(AR11='Quick Setup'!$R$47,'Quick Setup'!$R53,if(AR11='Quick Setup'!$S$47,'Quick Setup'!$S53,if(AR11='Quick Setup'!$T$47,'Quick Setup'!$T53,if(AR11='Quick Setup'!$U$47,'Quick Setup'!$U53,if(AR11='Quick Setup'!$V$47,'Quick Setup'!$V53,if(AR11='Quick Setup'!$W$47,'Quick Setup'!$W53)))))))))))))))))))))</f>
        <v>5</v>
      </c>
      <c r="AU11" s="22">
        <f t="shared" ref="AU11:AX11" si="106">AN11</f>
        <v>4</v>
      </c>
      <c r="AV11" s="22">
        <f t="shared" si="106"/>
        <v>6</v>
      </c>
      <c r="AW11" s="23">
        <f t="shared" si="106"/>
        <v>0.02</v>
      </c>
      <c r="AX11" s="23">
        <f t="shared" si="106"/>
        <v>-0.05</v>
      </c>
      <c r="AY11" s="21">
        <f>'Quick Setup'!J66</f>
        <v>0.65</v>
      </c>
      <c r="AZ11" s="24">
        <f>if(AY11='Quick Setup'!$C$33,'Quick Setup'!$C39,if(AY11='Quick Setup'!$D$33,'Quick Setup'!$D39,if(AY11='Quick Setup'!$E$33,'Quick Setup'!$E39,if(AY11='Quick Setup'!$F$33,'Quick Setup'!$F39,if(AY11='Quick Setup'!$G$33,'Quick Setup'!$G39,if(AY11='Quick Setup'!$H$33,'Quick Setup'!$H39,if(AY11='Quick Setup'!$I$33,'Quick Setup'!$I39,if(AY11='Quick Setup'!$J$33,'Quick Setup'!$J39,if(AY11='Quick Setup'!$K$33,'Quick Setup'!$K39,if(AY11='Quick Setup'!$L$33,'Quick Setup'!$L39,if(AY11='Quick Setup'!$M$33,'Quick Setup'!$M39,if(AY11='Quick Setup'!$N$33,'Quick Setup'!$N39,if(AY11='Quick Setup'!$O$33,'Quick Setup'!$O39,if(AY11='Quick Setup'!$P$33,'Quick Setup'!$P39,if(AY11='Quick Setup'!$Q$33,'Quick Setup'!$Q39,if(AY11='Quick Setup'!$R$33,'Quick Setup'!$R39,if(AY11='Quick Setup'!$S$33,'Quick Setup'!$S39,if(AY11='Quick Setup'!$T$33,'Quick Setup'!$T39,if(AY11='Quick Setup'!$U$33,'Quick Setup'!$U39,if(AY11='Quick Setup'!$V$33,'Quick Setup'!$V39,'2x'!BT24))))))))))))))))))))</f>
        <v>6</v>
      </c>
      <c r="BA11" s="22">
        <f>if(AY11='Quick Setup'!$C$47,'Quick Setup'!$C53,if(AY11='Quick Setup'!$D$47,'Quick Setup'!$D53,if(AY11='Quick Setup'!$E$47,'Quick Setup'!$E53,if(AY11='Quick Setup'!$F$47,'Quick Setup'!$F53,if(AY11='Quick Setup'!$G$47,'Quick Setup'!$G53,if(AY11='Quick Setup'!$H$47,'Quick Setup'!$H53,if(AY11='Quick Setup'!$I$47,'Quick Setup'!$I53,if(AY11='Quick Setup'!$J$47,'Quick Setup'!$J53,if(AY11='Quick Setup'!$K$47,'Quick Setup'!$K53,if(AY11='Quick Setup'!$L$47,'Quick Setup'!$L53,if(AY11='Quick Setup'!$M$47,'Quick Setup'!$M53,if(AY11='Quick Setup'!$N$47,'Quick Setup'!$N53,if(AY11='Quick Setup'!$O$47,'Quick Setup'!$O53,if(AY11='Quick Setup'!$P$47,'Quick Setup'!$P53,if(AY11='Quick Setup'!$Q$47,'Quick Setup'!$Q53,if(AY11='Quick Setup'!$R$47,'Quick Setup'!$R53,if(AY11='Quick Setup'!$S$47,'Quick Setup'!$S53,if(AY11='Quick Setup'!$T$47,'Quick Setup'!$T53,if(AY11='Quick Setup'!$U$47,'Quick Setup'!$U53,if(AY11='Quick Setup'!$V$47,'Quick Setup'!$V53,if(AY11='Quick Setup'!$W$47,'Quick Setup'!$W53)))))))))))))))))))))</f>
        <v>4</v>
      </c>
      <c r="BB11" s="22">
        <f t="shared" ref="BB11:BE11" si="107">AU11</f>
        <v>4</v>
      </c>
      <c r="BC11" s="22">
        <f t="shared" si="107"/>
        <v>6</v>
      </c>
      <c r="BD11" s="23">
        <f t="shared" si="107"/>
        <v>0.02</v>
      </c>
      <c r="BE11" s="23">
        <f t="shared" si="107"/>
        <v>-0.05</v>
      </c>
      <c r="BF11" s="21">
        <f>'Quick Setup'!K66</f>
        <v>0.7</v>
      </c>
      <c r="BG11" s="24">
        <f>if(BF11='Quick Setup'!$C$33,'Quick Setup'!$C39,if(BF11='Quick Setup'!$D$33,'Quick Setup'!$D39,if(BF11='Quick Setup'!$E$33,'Quick Setup'!$E39,if(BF11='Quick Setup'!$F$33,'Quick Setup'!$F39,if(BF11='Quick Setup'!$G$33,'Quick Setup'!$G39,if(BF11='Quick Setup'!$H$33,'Quick Setup'!$H39,if(BF11='Quick Setup'!$I$33,'Quick Setup'!$I39,if(BF11='Quick Setup'!$J$33,'Quick Setup'!$J39,if(BF11='Quick Setup'!$K$33,'Quick Setup'!$K39,if(BF11='Quick Setup'!$L$33,'Quick Setup'!$L39,if(BF11='Quick Setup'!$M$33,'Quick Setup'!$M39,if(BF11='Quick Setup'!$N$33,'Quick Setup'!$N39,if(BF11='Quick Setup'!$O$33,'Quick Setup'!$O39,if(BF11='Quick Setup'!$P$33,'Quick Setup'!$P39,if(BF11='Quick Setup'!$Q$33,'Quick Setup'!$Q39,if(BF11='Quick Setup'!$R$33,'Quick Setup'!$R39,if(BF11='Quick Setup'!$S$33,'Quick Setup'!$S39,if(BF11='Quick Setup'!$T$33,'Quick Setup'!$T39,if(BF11='Quick Setup'!$U$33,'Quick Setup'!$U39,if(BF11='Quick Setup'!$V$33,'Quick Setup'!$V39,'2x'!CA24))))))))))))))))))))</f>
        <v>5</v>
      </c>
      <c r="BH11" s="22">
        <f>if(BF11='Quick Setup'!$C$47,'Quick Setup'!$C53,if(BF11='Quick Setup'!$D$47,'Quick Setup'!$D53,if(BF11='Quick Setup'!$E$47,'Quick Setup'!$E53,if(BF11='Quick Setup'!$F$47,'Quick Setup'!$F53,if(BF11='Quick Setup'!$G$47,'Quick Setup'!$G53,if(BF11='Quick Setup'!$H$47,'Quick Setup'!$H53,if(BF11='Quick Setup'!$I$47,'Quick Setup'!$I53,if(BF11='Quick Setup'!$J$47,'Quick Setup'!$J53,if(BF11='Quick Setup'!$K$47,'Quick Setup'!$K53,if(BF11='Quick Setup'!$L$47,'Quick Setup'!$L53,if(BF11='Quick Setup'!$M$47,'Quick Setup'!$M53,if(BF11='Quick Setup'!$N$47,'Quick Setup'!$N53,if(BF11='Quick Setup'!$O$47,'Quick Setup'!$O53,if(BF11='Quick Setup'!$P$47,'Quick Setup'!$P53,if(BF11='Quick Setup'!$Q$47,'Quick Setup'!$Q53,if(BF11='Quick Setup'!$R$47,'Quick Setup'!$R53,if(BF11='Quick Setup'!$S$47,'Quick Setup'!$S53,if(BF11='Quick Setup'!$T$47,'Quick Setup'!$T53,if(BF11='Quick Setup'!$U$47,'Quick Setup'!$U53,if(BF11='Quick Setup'!$V$47,'Quick Setup'!$V53,if(BF11='Quick Setup'!$W$47,'Quick Setup'!$W53)))))))))))))))))))))</f>
        <v>3</v>
      </c>
      <c r="BI11" s="22">
        <f t="shared" ref="BI11:BL11" si="108">BB11</f>
        <v>4</v>
      </c>
      <c r="BJ11" s="22">
        <f t="shared" si="108"/>
        <v>6</v>
      </c>
      <c r="BK11" s="23">
        <f t="shared" si="108"/>
        <v>0.02</v>
      </c>
      <c r="BL11" s="23">
        <f t="shared" si="108"/>
        <v>-0.05</v>
      </c>
      <c r="BM11" s="21">
        <f>'Quick Setup'!L66</f>
        <v>0.75</v>
      </c>
      <c r="BN11" s="24">
        <f>if(BM11='Quick Setup'!$C$33,'Quick Setup'!$C39,if(BM11='Quick Setup'!$D$33,'Quick Setup'!$D39,if(BM11='Quick Setup'!$E$33,'Quick Setup'!$E39,if(BM11='Quick Setup'!$F$33,'Quick Setup'!$F39,if(BM11='Quick Setup'!$G$33,'Quick Setup'!$G39,if(BM11='Quick Setup'!$H$33,'Quick Setup'!$H39,if(BM11='Quick Setup'!$I$33,'Quick Setup'!$I39,if(BM11='Quick Setup'!$J$33,'Quick Setup'!$J39,if(BM11='Quick Setup'!$K$33,'Quick Setup'!$K39,if(BM11='Quick Setup'!$L$33,'Quick Setup'!$L39,if(BM11='Quick Setup'!$M$33,'Quick Setup'!$M39,if(BM11='Quick Setup'!$N$33,'Quick Setup'!$N39,if(BM11='Quick Setup'!$O$33,'Quick Setup'!$O39,if(BM11='Quick Setup'!$P$33,'Quick Setup'!$P39,if(BM11='Quick Setup'!$Q$33,'Quick Setup'!$Q39,if(BM11='Quick Setup'!$R$33,'Quick Setup'!$R39,if(BM11='Quick Setup'!$S$33,'Quick Setup'!$S39,if(BM11='Quick Setup'!$T$33,'Quick Setup'!$T39,if(BM11='Quick Setup'!$U$33,'Quick Setup'!$U39,if(BM11='Quick Setup'!$V$33,'Quick Setup'!$V39,'2x'!CH24))))))))))))))))))))</f>
        <v>4</v>
      </c>
      <c r="BO11" s="22">
        <f>if(BM11='Quick Setup'!$C$47,'Quick Setup'!$C53,if(BM11='Quick Setup'!$D$47,'Quick Setup'!$D53,if(BM11='Quick Setup'!$E$47,'Quick Setup'!$E53,if(BM11='Quick Setup'!$F$47,'Quick Setup'!$F53,if(BM11='Quick Setup'!$G$47,'Quick Setup'!$G53,if(BM11='Quick Setup'!$H$47,'Quick Setup'!$H53,if(BM11='Quick Setup'!$I$47,'Quick Setup'!$I53,if(BM11='Quick Setup'!$J$47,'Quick Setup'!$J53,if(BM11='Quick Setup'!$K$47,'Quick Setup'!$K53,if(BM11='Quick Setup'!$L$47,'Quick Setup'!$L53,if(BM11='Quick Setup'!$M$47,'Quick Setup'!$M53,if(BM11='Quick Setup'!$N$47,'Quick Setup'!$N53,if(BM11='Quick Setup'!$O$47,'Quick Setup'!$O53,if(BM11='Quick Setup'!$P$47,'Quick Setup'!$P53,if(BM11='Quick Setup'!$Q$47,'Quick Setup'!$Q53,if(BM11='Quick Setup'!$R$47,'Quick Setup'!$R53,if(BM11='Quick Setup'!$S$47,'Quick Setup'!$S53,if(BM11='Quick Setup'!$T$47,'Quick Setup'!$T53,if(BM11='Quick Setup'!$U$47,'Quick Setup'!$U53,if(BM11='Quick Setup'!$V$47,'Quick Setup'!$V53,if(BM11='Quick Setup'!$W$47,'Quick Setup'!$W53)))))))))))))))))))))</f>
        <v>3</v>
      </c>
      <c r="BP11" s="22">
        <f t="shared" ref="BP11:BS11" si="109">BI11</f>
        <v>4</v>
      </c>
      <c r="BQ11" s="22">
        <f t="shared" si="109"/>
        <v>6</v>
      </c>
      <c r="BR11" s="23">
        <f t="shared" si="109"/>
        <v>0.02</v>
      </c>
      <c r="BS11" s="23">
        <f t="shared" si="109"/>
        <v>-0.05</v>
      </c>
      <c r="BT11" s="21">
        <f>'Quick Setup'!M66</f>
        <v>0.675</v>
      </c>
      <c r="BU11" s="24">
        <f>if(BT11='Quick Setup'!$C$33,'Quick Setup'!$C39,if(BT11='Quick Setup'!$D$33,'Quick Setup'!$D39,if(BT11='Quick Setup'!$E$33,'Quick Setup'!$E39,if(BT11='Quick Setup'!$F$33,'Quick Setup'!$F39,if(BT11='Quick Setup'!$G$33,'Quick Setup'!$G39,if(BT11='Quick Setup'!$H$33,'Quick Setup'!$H39,if(BT11='Quick Setup'!$I$33,'Quick Setup'!$I39,if(BT11='Quick Setup'!$J$33,'Quick Setup'!$J39,if(BT11='Quick Setup'!$K$33,'Quick Setup'!$K39,if(BT11='Quick Setup'!$L$33,'Quick Setup'!$L39,if(BT11='Quick Setup'!$M$33,'Quick Setup'!$M39,if(BT11='Quick Setup'!$N$33,'Quick Setup'!$N39,if(BT11='Quick Setup'!$O$33,'Quick Setup'!$O39,if(BT11='Quick Setup'!$P$33,'Quick Setup'!$P39,if(BT11='Quick Setup'!$Q$33,'Quick Setup'!$Q39,if(BT11='Quick Setup'!$R$33,'Quick Setup'!$R39,if(BT11='Quick Setup'!$S$33,'Quick Setup'!$S39,if(BT11='Quick Setup'!$T$33,'Quick Setup'!$T39,if(BT11='Quick Setup'!$U$33,'Quick Setup'!$U39,if(BT11='Quick Setup'!$V$33,'Quick Setup'!$V39,'2x'!CO24))))))))))))))))))))</f>
        <v>6</v>
      </c>
      <c r="BV11" s="22">
        <f>if(BT11='Quick Setup'!$C$47,'Quick Setup'!$C53,if(BT11='Quick Setup'!$D$47,'Quick Setup'!$D53,if(BT11='Quick Setup'!$E$47,'Quick Setup'!$E53,if(BT11='Quick Setup'!$F$47,'Quick Setup'!$F53,if(BT11='Quick Setup'!$G$47,'Quick Setup'!$G53,if(BT11='Quick Setup'!$H$47,'Quick Setup'!$H53,if(BT11='Quick Setup'!$I$47,'Quick Setup'!$I53,if(BT11='Quick Setup'!$J$47,'Quick Setup'!$J53,if(BT11='Quick Setup'!$K$47,'Quick Setup'!$K53,if(BT11='Quick Setup'!$L$47,'Quick Setup'!$L53,if(BT11='Quick Setup'!$M$47,'Quick Setup'!$M53,if(BT11='Quick Setup'!$N$47,'Quick Setup'!$N53,if(BT11='Quick Setup'!$O$47,'Quick Setup'!$O53,if(BT11='Quick Setup'!$P$47,'Quick Setup'!$P53,if(BT11='Quick Setup'!$Q$47,'Quick Setup'!$Q53,if(BT11='Quick Setup'!$R$47,'Quick Setup'!$R53,if(BT11='Quick Setup'!$S$47,'Quick Setup'!$S53,if(BT11='Quick Setup'!$T$47,'Quick Setup'!$T53,if(BT11='Quick Setup'!$U$47,'Quick Setup'!$U53,if(BT11='Quick Setup'!$V$47,'Quick Setup'!$V53,if(BT11='Quick Setup'!$W$47,'Quick Setup'!$W53)))))))))))))))))))))</f>
        <v>4</v>
      </c>
      <c r="BW11" s="22">
        <f t="shared" ref="BW11:BZ11" si="110">BP11</f>
        <v>4</v>
      </c>
      <c r="BX11" s="22">
        <f t="shared" si="110"/>
        <v>6</v>
      </c>
      <c r="BY11" s="23">
        <f t="shared" si="110"/>
        <v>0.02</v>
      </c>
      <c r="BZ11" s="23">
        <f t="shared" si="110"/>
        <v>-0.05</v>
      </c>
      <c r="CA11" s="21">
        <f>'Quick Setup'!N66</f>
        <v>0.725</v>
      </c>
      <c r="CB11" s="24">
        <f>if(CA11='Quick Setup'!$C$33,'Quick Setup'!$C39,if(CA11='Quick Setup'!$D$33,'Quick Setup'!$D39,if(CA11='Quick Setup'!$E$33,'Quick Setup'!$E39,if(CA11='Quick Setup'!$F$33,'Quick Setup'!$F39,if(CA11='Quick Setup'!$G$33,'Quick Setup'!$G39,if(CA11='Quick Setup'!$H$33,'Quick Setup'!$H39,if(CA11='Quick Setup'!$I$33,'Quick Setup'!$I39,if(CA11='Quick Setup'!$J$33,'Quick Setup'!$J39,if(CA11='Quick Setup'!$K$33,'Quick Setup'!$K39,if(CA11='Quick Setup'!$L$33,'Quick Setup'!$L39,if(CA11='Quick Setup'!$M$33,'Quick Setup'!$M39,if(CA11='Quick Setup'!$N$33,'Quick Setup'!$N39,if(CA11='Quick Setup'!$O$33,'Quick Setup'!$O39,if(CA11='Quick Setup'!$P$33,'Quick Setup'!$P39,if(CA11='Quick Setup'!$Q$33,'Quick Setup'!$Q39,if(CA11='Quick Setup'!$R$33,'Quick Setup'!$R39,if(CA11='Quick Setup'!$S$33,'Quick Setup'!$S39,if(CA11='Quick Setup'!$T$33,'Quick Setup'!$T39,if(CA11='Quick Setup'!$U$33,'Quick Setup'!$U39,if(CA11='Quick Setup'!$V$33,'Quick Setup'!$V39,'2x'!CV24))))))))))))))))))))</f>
        <v>5</v>
      </c>
      <c r="CC11" s="22">
        <f>if(CA11='Quick Setup'!$C$47,'Quick Setup'!$C53,if(CA11='Quick Setup'!$D$47,'Quick Setup'!$D53,if(CA11='Quick Setup'!$E$47,'Quick Setup'!$E53,if(CA11='Quick Setup'!$F$47,'Quick Setup'!$F53,if(CA11='Quick Setup'!$G$47,'Quick Setup'!$G53,if(CA11='Quick Setup'!$H$47,'Quick Setup'!$H53,if(CA11='Quick Setup'!$I$47,'Quick Setup'!$I53,if(CA11='Quick Setup'!$J$47,'Quick Setup'!$J53,if(CA11='Quick Setup'!$K$47,'Quick Setup'!$K53,if(CA11='Quick Setup'!$L$47,'Quick Setup'!$L53,if(CA11='Quick Setup'!$M$47,'Quick Setup'!$M53,if(CA11='Quick Setup'!$N$47,'Quick Setup'!$N53,if(CA11='Quick Setup'!$O$47,'Quick Setup'!$O53,if(CA11='Quick Setup'!$P$47,'Quick Setup'!$P53,if(CA11='Quick Setup'!$Q$47,'Quick Setup'!$Q53,if(CA11='Quick Setup'!$R$47,'Quick Setup'!$R53,if(CA11='Quick Setup'!$S$47,'Quick Setup'!$S53,if(CA11='Quick Setup'!$T$47,'Quick Setup'!$T53,if(CA11='Quick Setup'!$U$47,'Quick Setup'!$U53,if(CA11='Quick Setup'!$V$47,'Quick Setup'!$V53,if(CA11='Quick Setup'!$W$47,'Quick Setup'!$W53)))))))))))))))))))))</f>
        <v>3</v>
      </c>
      <c r="CD11" s="22">
        <f t="shared" ref="CD11:CG11" si="111">BW11</f>
        <v>4</v>
      </c>
      <c r="CE11" s="22">
        <f t="shared" si="111"/>
        <v>6</v>
      </c>
      <c r="CF11" s="23">
        <f t="shared" si="111"/>
        <v>0.02</v>
      </c>
      <c r="CG11" s="23">
        <f t="shared" si="111"/>
        <v>-0.05</v>
      </c>
      <c r="CH11" s="21">
        <f>'Quick Setup'!O66</f>
        <v>0.775</v>
      </c>
      <c r="CI11" s="24">
        <f>if(CH11='Quick Setup'!$C$33,'Quick Setup'!$C39,if(CH11='Quick Setup'!$D$33,'Quick Setup'!$D39,if(CH11='Quick Setup'!$E$33,'Quick Setup'!$E39,if(CH11='Quick Setup'!$F$33,'Quick Setup'!$F39,if(CH11='Quick Setup'!$G$33,'Quick Setup'!$G39,if(CH11='Quick Setup'!$H$33,'Quick Setup'!$H39,if(CH11='Quick Setup'!$I$33,'Quick Setup'!$I39,if(CH11='Quick Setup'!$J$33,'Quick Setup'!$J39,if(CH11='Quick Setup'!$K$33,'Quick Setup'!$K39,if(CH11='Quick Setup'!$L$33,'Quick Setup'!$L39,if(CH11='Quick Setup'!$M$33,'Quick Setup'!$M39,if(CH11='Quick Setup'!$N$33,'Quick Setup'!$N39,if(CH11='Quick Setup'!$O$33,'Quick Setup'!$O39,if(CH11='Quick Setup'!$P$33,'Quick Setup'!$P39,if(CH11='Quick Setup'!$Q$33,'Quick Setup'!$Q39,if(CH11='Quick Setup'!$R$33,'Quick Setup'!$R39,if(CH11='Quick Setup'!$S$33,'Quick Setup'!$S39,if(CH11='Quick Setup'!$T$33,'Quick Setup'!$T39,if(CH11='Quick Setup'!$U$33,'Quick Setup'!$U39,if(CH11='Quick Setup'!$V$33,'Quick Setup'!$V39,'2x'!DC24))))))))))))))))))))</f>
        <v>4</v>
      </c>
      <c r="CJ11" s="22">
        <f>if(CH11='Quick Setup'!$C$47,'Quick Setup'!$C53,if(CH11='Quick Setup'!$D$47,'Quick Setup'!$D53,if(CH11='Quick Setup'!$E$47,'Quick Setup'!$E53,if(CH11='Quick Setup'!$F$47,'Quick Setup'!$F53,if(CH11='Quick Setup'!$G$47,'Quick Setup'!$G53,if(CH11='Quick Setup'!$H$47,'Quick Setup'!$H53,if(CH11='Quick Setup'!$I$47,'Quick Setup'!$I53,if(CH11='Quick Setup'!$J$47,'Quick Setup'!$J53,if(CH11='Quick Setup'!$K$47,'Quick Setup'!$K53,if(CH11='Quick Setup'!$L$47,'Quick Setup'!$L53,if(CH11='Quick Setup'!$M$47,'Quick Setup'!$M53,if(CH11='Quick Setup'!$N$47,'Quick Setup'!$N53,if(CH11='Quick Setup'!$O$47,'Quick Setup'!$O53,if(CH11='Quick Setup'!$P$47,'Quick Setup'!$P53,if(CH11='Quick Setup'!$Q$47,'Quick Setup'!$Q53,if(CH11='Quick Setup'!$R$47,'Quick Setup'!$R53,if(CH11='Quick Setup'!$S$47,'Quick Setup'!$S53,if(CH11='Quick Setup'!$T$47,'Quick Setup'!$T53,if(CH11='Quick Setup'!$U$47,'Quick Setup'!$U53,if(CH11='Quick Setup'!$V$47,'Quick Setup'!$V53,if(CH11='Quick Setup'!$W$47,'Quick Setup'!$W53)))))))))))))))))))))</f>
        <v>3</v>
      </c>
      <c r="CK11" s="22">
        <f t="shared" ref="CK11:CN11" si="112">CD11</f>
        <v>4</v>
      </c>
      <c r="CL11" s="22">
        <f t="shared" si="112"/>
        <v>6</v>
      </c>
      <c r="CM11" s="23">
        <f t="shared" si="112"/>
        <v>0.02</v>
      </c>
      <c r="CN11" s="23">
        <f t="shared" si="112"/>
        <v>-0.05</v>
      </c>
      <c r="CO11" s="21">
        <f>'Quick Setup'!P66</f>
        <v>0.5</v>
      </c>
      <c r="CP11" s="24">
        <f>if(CO11='Quick Setup'!$C$33,'Quick Setup'!$C39,if(CO11='Quick Setup'!$D$33,'Quick Setup'!$D39,if(CO11='Quick Setup'!$E$33,'Quick Setup'!$E39,if(CO11='Quick Setup'!$F$33,'Quick Setup'!$F39,if(CO11='Quick Setup'!$G$33,'Quick Setup'!$G39,if(CO11='Quick Setup'!$H$33,'Quick Setup'!$H39,if(CO11='Quick Setup'!$I$33,'Quick Setup'!$I39,if(CO11='Quick Setup'!$J$33,'Quick Setup'!$J39,if(CO11='Quick Setup'!$K$33,'Quick Setup'!$K39,if(CO11='Quick Setup'!$L$33,'Quick Setup'!$L39,if(CO11='Quick Setup'!$M$33,'Quick Setup'!$M39,if(CO11='Quick Setup'!$N$33,'Quick Setup'!$N39,if(CO11='Quick Setup'!$O$33,'Quick Setup'!$O39,if(CO11='Quick Setup'!$P$33,'Quick Setup'!$P39,if(CO11='Quick Setup'!$Q$33,'Quick Setup'!$Q39,if(CO11='Quick Setup'!$R$33,'Quick Setup'!$R39,if(CO11='Quick Setup'!$S$33,'Quick Setup'!$S39,if(CO11='Quick Setup'!$T$33,'Quick Setup'!$T39,if(CO11='Quick Setup'!$U$33,'Quick Setup'!$U39,if(CO11='Quick Setup'!$V$33,'Quick Setup'!$V39,'2x'!DJ24))))))))))))))))))))</f>
        <v>8</v>
      </c>
      <c r="CQ11" s="22">
        <f>if(CO11='Quick Setup'!$C$47,'Quick Setup'!$C53,if(CO11='Quick Setup'!$D$47,'Quick Setup'!$D53,if(CO11='Quick Setup'!$E$47,'Quick Setup'!$E53,if(CO11='Quick Setup'!$F$47,'Quick Setup'!$F53,if(CO11='Quick Setup'!$G$47,'Quick Setup'!$G53,if(CO11='Quick Setup'!$H$47,'Quick Setup'!$H53,if(CO11='Quick Setup'!$I$47,'Quick Setup'!$I53,if(CO11='Quick Setup'!$J$47,'Quick Setup'!$J53,if(CO11='Quick Setup'!$K$47,'Quick Setup'!$K53,if(CO11='Quick Setup'!$L$47,'Quick Setup'!$L53,if(CO11='Quick Setup'!$M$47,'Quick Setup'!$M53,if(CO11='Quick Setup'!$N$47,'Quick Setup'!$N53,if(CO11='Quick Setup'!$O$47,'Quick Setup'!$O53,if(CO11='Quick Setup'!$P$47,'Quick Setup'!$P53,if(CO11='Quick Setup'!$Q$47,'Quick Setup'!$Q53,if(CO11='Quick Setup'!$R$47,'Quick Setup'!$R53,if(CO11='Quick Setup'!$S$47,'Quick Setup'!$S53,if(CO11='Quick Setup'!$T$47,'Quick Setup'!$T53,if(CO11='Quick Setup'!$U$47,'Quick Setup'!$U53,if(CO11='Quick Setup'!$V$47,'Quick Setup'!$V53,if(CO11='Quick Setup'!$W$47,'Quick Setup'!$W53)))))))))))))))))))))</f>
        <v>5</v>
      </c>
      <c r="CR11" s="22">
        <f t="shared" ref="CR11:CU11" si="113">CK11</f>
        <v>4</v>
      </c>
      <c r="CS11" s="22">
        <f t="shared" si="113"/>
        <v>6</v>
      </c>
      <c r="CT11" s="23">
        <f t="shared" si="113"/>
        <v>0.02</v>
      </c>
      <c r="CU11" s="23">
        <f t="shared" si="113"/>
        <v>-0.05</v>
      </c>
      <c r="CV11" s="21">
        <f>'Quick Setup'!Q66</f>
        <v>0.7</v>
      </c>
      <c r="CW11" s="24">
        <f>if(CV11='Quick Setup'!$C$33,'Quick Setup'!$C39,if(CV11='Quick Setup'!$D$33,'Quick Setup'!$D39,if(CV11='Quick Setup'!$E$33,'Quick Setup'!$E39,if(CV11='Quick Setup'!$F$33,'Quick Setup'!$F39,if(CV11='Quick Setup'!$G$33,'Quick Setup'!$G39,if(CV11='Quick Setup'!$H$33,'Quick Setup'!$H39,if(CV11='Quick Setup'!$I$33,'Quick Setup'!$I39,if(CV11='Quick Setup'!$J$33,'Quick Setup'!$J39,if(CV11='Quick Setup'!$K$33,'Quick Setup'!$K39,if(CV11='Quick Setup'!$L$33,'Quick Setup'!$L39,if(CV11='Quick Setup'!$M$33,'Quick Setup'!$M39,if(CV11='Quick Setup'!$N$33,'Quick Setup'!$N39,if(CV11='Quick Setup'!$O$33,'Quick Setup'!$O39,if(CV11='Quick Setup'!$P$33,'Quick Setup'!$P39,if(CV11='Quick Setup'!$Q$33,'Quick Setup'!$Q39,if(CV11='Quick Setup'!$R$33,'Quick Setup'!$R39,if(CV11='Quick Setup'!$S$33,'Quick Setup'!$S39,if(CV11='Quick Setup'!$T$33,'Quick Setup'!$T39,if(CV11='Quick Setup'!$U$33,'Quick Setup'!$U39,if(CV11='Quick Setup'!$V$33,'Quick Setup'!$V39,'2x'!DQ24))))))))))))))))))))</f>
        <v>5</v>
      </c>
      <c r="CX11" s="22">
        <f>if(CV11='Quick Setup'!$C$47,'Quick Setup'!$C53,if(CV11='Quick Setup'!$D$47,'Quick Setup'!$D53,if(CV11='Quick Setup'!$E$47,'Quick Setup'!$E53,if(CV11='Quick Setup'!$F$47,'Quick Setup'!$F53,if(CV11='Quick Setup'!$G$47,'Quick Setup'!$G53,if(CV11='Quick Setup'!$H$47,'Quick Setup'!$H53,if(CV11='Quick Setup'!$I$47,'Quick Setup'!$I53,if(CV11='Quick Setup'!$J$47,'Quick Setup'!$J53,if(CV11='Quick Setup'!$K$47,'Quick Setup'!$K53,if(CV11='Quick Setup'!$L$47,'Quick Setup'!$L53,if(CV11='Quick Setup'!$M$47,'Quick Setup'!$M53,if(CV11='Quick Setup'!$N$47,'Quick Setup'!$N53,if(CV11='Quick Setup'!$O$47,'Quick Setup'!$O53,if(CV11='Quick Setup'!$P$47,'Quick Setup'!$P53,if(CV11='Quick Setup'!$Q$47,'Quick Setup'!$Q53,if(CV11='Quick Setup'!$R$47,'Quick Setup'!$R53,if(CV11='Quick Setup'!$S$47,'Quick Setup'!$S53,if(CV11='Quick Setup'!$T$47,'Quick Setup'!$T53,if(CV11='Quick Setup'!$U$47,'Quick Setup'!$U53,if(CV11='Quick Setup'!$V$47,'Quick Setup'!$V53,if(CV11='Quick Setup'!$W$47,'Quick Setup'!$W53)))))))))))))))))))))</f>
        <v>3</v>
      </c>
      <c r="CY11" s="22">
        <f t="shared" ref="CY11:DB11" si="114">CR11</f>
        <v>4</v>
      </c>
      <c r="CZ11" s="22">
        <f t="shared" si="114"/>
        <v>6</v>
      </c>
      <c r="DA11" s="23">
        <f t="shared" si="114"/>
        <v>0.02</v>
      </c>
      <c r="DB11" s="23">
        <f t="shared" si="114"/>
        <v>-0.05</v>
      </c>
      <c r="DC11" s="21">
        <f>'Quick Setup'!R66</f>
        <v>0.75</v>
      </c>
      <c r="DD11" s="24">
        <f>if(DC11='Quick Setup'!$C$33,'Quick Setup'!$C39,if(DC11='Quick Setup'!$D$33,'Quick Setup'!$D39,if(DC11='Quick Setup'!$E$33,'Quick Setup'!$E39,if(DC11='Quick Setup'!$F$33,'Quick Setup'!$F39,if(DC11='Quick Setup'!$G$33,'Quick Setup'!$G39,if(DC11='Quick Setup'!$H$33,'Quick Setup'!$H39,if(DC11='Quick Setup'!$I$33,'Quick Setup'!$I39,if(DC11='Quick Setup'!$J$33,'Quick Setup'!$J39,if(DC11='Quick Setup'!$K$33,'Quick Setup'!$K39,if(DC11='Quick Setup'!$L$33,'Quick Setup'!$L39,if(DC11='Quick Setup'!$M$33,'Quick Setup'!$M39,if(DC11='Quick Setup'!$N$33,'Quick Setup'!$N39,if(DC11='Quick Setup'!$O$33,'Quick Setup'!$O39,if(DC11='Quick Setup'!$P$33,'Quick Setup'!$P39,if(DC11='Quick Setup'!$Q$33,'Quick Setup'!$Q39,if(DC11='Quick Setup'!$R$33,'Quick Setup'!$R39,if(DC11='Quick Setup'!$S$33,'Quick Setup'!$S39,if(DC11='Quick Setup'!$T$33,'Quick Setup'!$T39,if(DC11='Quick Setup'!$U$33,'Quick Setup'!$U39,if(DC11='Quick Setup'!$V$33,'Quick Setup'!$V39,'2x'!DX24))))))))))))))))))))</f>
        <v>4</v>
      </c>
      <c r="DE11" s="22">
        <f>if(DC11='Quick Setup'!$C$47,'Quick Setup'!$C53,if(DC11='Quick Setup'!$D$47,'Quick Setup'!$D53,if(DC11='Quick Setup'!$E$47,'Quick Setup'!$E53,if(DC11='Quick Setup'!$F$47,'Quick Setup'!$F53,if(DC11='Quick Setup'!$G$47,'Quick Setup'!$G53,if(DC11='Quick Setup'!$H$47,'Quick Setup'!$H53,if(DC11='Quick Setup'!$I$47,'Quick Setup'!$I53,if(DC11='Quick Setup'!$J$47,'Quick Setup'!$J53,if(DC11='Quick Setup'!$K$47,'Quick Setup'!$K53,if(DC11='Quick Setup'!$L$47,'Quick Setup'!$L53,if(DC11='Quick Setup'!$M$47,'Quick Setup'!$M53,if(DC11='Quick Setup'!$N$47,'Quick Setup'!$N53,if(DC11='Quick Setup'!$O$47,'Quick Setup'!$O53,if(DC11='Quick Setup'!$P$47,'Quick Setup'!$P53,if(DC11='Quick Setup'!$Q$47,'Quick Setup'!$Q53,if(DC11='Quick Setup'!$R$47,'Quick Setup'!$R53,if(DC11='Quick Setup'!$S$47,'Quick Setup'!$S53,if(DC11='Quick Setup'!$T$47,'Quick Setup'!$T53,if(DC11='Quick Setup'!$U$47,'Quick Setup'!$U53,if(DC11='Quick Setup'!$V$47,'Quick Setup'!$V53,if(DC11='Quick Setup'!$W$47,'Quick Setup'!$W53)))))))))))))))))))))</f>
        <v>3</v>
      </c>
      <c r="DF11" s="22">
        <f t="shared" ref="DF11:DI11" si="115">CY11</f>
        <v>4</v>
      </c>
      <c r="DG11" s="22">
        <f t="shared" si="115"/>
        <v>6</v>
      </c>
      <c r="DH11" s="23">
        <f t="shared" si="115"/>
        <v>0.02</v>
      </c>
      <c r="DI11" s="23">
        <f t="shared" si="115"/>
        <v>-0.05</v>
      </c>
      <c r="DJ11" s="21">
        <f>'Quick Setup'!S66</f>
        <v>0.8</v>
      </c>
      <c r="DK11" s="24">
        <f>if(DJ11='Quick Setup'!$C$33,'Quick Setup'!$C39,if(DJ11='Quick Setup'!$D$33,'Quick Setup'!$D39,if(DJ11='Quick Setup'!$E$33,'Quick Setup'!$E39,if(DJ11='Quick Setup'!$F$33,'Quick Setup'!$F39,if(DJ11='Quick Setup'!$G$33,'Quick Setup'!$G39,if(DJ11='Quick Setup'!$H$33,'Quick Setup'!$H39,if(DJ11='Quick Setup'!$I$33,'Quick Setup'!$I39,if(DJ11='Quick Setup'!$J$33,'Quick Setup'!$J39,if(DJ11='Quick Setup'!$K$33,'Quick Setup'!$K39,if(DJ11='Quick Setup'!$L$33,'Quick Setup'!$L39,if(DJ11='Quick Setup'!$M$33,'Quick Setup'!$M39,if(DJ11='Quick Setup'!$N$33,'Quick Setup'!$N39,if(DJ11='Quick Setup'!$O$33,'Quick Setup'!$O39,if(DJ11='Quick Setup'!$P$33,'Quick Setup'!$P39,if(DJ11='Quick Setup'!$Q$33,'Quick Setup'!$Q39,if(DJ11='Quick Setup'!$R$33,'Quick Setup'!$R39,if(DJ11='Quick Setup'!$S$33,'Quick Setup'!$S39,if(DJ11='Quick Setup'!$T$33,'Quick Setup'!$T39,if(DJ11='Quick Setup'!$U$33,'Quick Setup'!$U39,if(DJ11='Quick Setup'!$V$33,'Quick Setup'!$V39,'2x'!EE24))))))))))))))))))))</f>
        <v>3</v>
      </c>
      <c r="DL11" s="22">
        <f>if(DJ11='Quick Setup'!$C$47,'Quick Setup'!$C53,if(DJ11='Quick Setup'!$D$47,'Quick Setup'!$D53,if(DJ11='Quick Setup'!$E$47,'Quick Setup'!$E53,if(DJ11='Quick Setup'!$F$47,'Quick Setup'!$F53,if(DJ11='Quick Setup'!$G$47,'Quick Setup'!$G53,if(DJ11='Quick Setup'!$H$47,'Quick Setup'!$H53,if(DJ11='Quick Setup'!$I$47,'Quick Setup'!$I53,if(DJ11='Quick Setup'!$J$47,'Quick Setup'!$J53,if(DJ11='Quick Setup'!$K$47,'Quick Setup'!$K53,if(DJ11='Quick Setup'!$L$47,'Quick Setup'!$L53,if(DJ11='Quick Setup'!$M$47,'Quick Setup'!$M53,if(DJ11='Quick Setup'!$N$47,'Quick Setup'!$N53,if(DJ11='Quick Setup'!$O$47,'Quick Setup'!$O53,if(DJ11='Quick Setup'!$P$47,'Quick Setup'!$P53,if(DJ11='Quick Setup'!$Q$47,'Quick Setup'!$Q53,if(DJ11='Quick Setup'!$R$47,'Quick Setup'!$R53,if(DJ11='Quick Setup'!$S$47,'Quick Setup'!$S53,if(DJ11='Quick Setup'!$T$47,'Quick Setup'!$T53,if(DJ11='Quick Setup'!$U$47,'Quick Setup'!$U53,if(DJ11='Quick Setup'!$V$47,'Quick Setup'!$V53,if(DJ11='Quick Setup'!$W$47,'Quick Setup'!$W53)))))))))))))))))))))</f>
        <v>2</v>
      </c>
      <c r="DM11" s="22">
        <f t="shared" ref="DM11:DP11" si="116">DF11</f>
        <v>4</v>
      </c>
      <c r="DN11" s="22">
        <f t="shared" si="116"/>
        <v>6</v>
      </c>
      <c r="DO11" s="23">
        <f t="shared" si="116"/>
        <v>0.02</v>
      </c>
      <c r="DP11" s="23">
        <f t="shared" si="116"/>
        <v>-0.05</v>
      </c>
      <c r="DQ11" s="21">
        <f>'Quick Setup'!T66</f>
        <v>0.75</v>
      </c>
      <c r="DR11" s="24">
        <f>if(DQ11='Quick Setup'!$C$33,'Quick Setup'!$C39,if(DQ11='Quick Setup'!$D$33,'Quick Setup'!$D39,if(DQ11='Quick Setup'!$E$33,'Quick Setup'!$E39,if(DQ11='Quick Setup'!$F$33,'Quick Setup'!$F39,if(DQ11='Quick Setup'!$G$33,'Quick Setup'!$G39,if(DQ11='Quick Setup'!$H$33,'Quick Setup'!$H39,if(DQ11='Quick Setup'!$I$33,'Quick Setup'!$I39,if(DQ11='Quick Setup'!$J$33,'Quick Setup'!$J39,if(DQ11='Quick Setup'!$K$33,'Quick Setup'!$K39,if(DQ11='Quick Setup'!$L$33,'Quick Setup'!$L39,if(DQ11='Quick Setup'!$M$33,'Quick Setup'!$M39,if(DQ11='Quick Setup'!$N$33,'Quick Setup'!$N39,if(DQ11='Quick Setup'!$O$33,'Quick Setup'!$O39,if(DQ11='Quick Setup'!$P$33,'Quick Setup'!$P39,if(DQ11='Quick Setup'!$Q$33,'Quick Setup'!$Q39,if(DQ11='Quick Setup'!$R$33,'Quick Setup'!$R39,if(DQ11='Quick Setup'!$S$33,'Quick Setup'!$S39,if(DQ11='Quick Setup'!$T$33,'Quick Setup'!$T39,if(DQ11='Quick Setup'!$U$33,'Quick Setup'!$U39,if(DQ11='Quick Setup'!$V$33,'Quick Setup'!$V39,'2x'!EL24))))))))))))))))))))</f>
        <v>4</v>
      </c>
      <c r="DS11" s="22">
        <f>if(DQ11='Quick Setup'!$C$47,'Quick Setup'!$C53,if(DQ11='Quick Setup'!$D$47,'Quick Setup'!$D53,if(DQ11='Quick Setup'!$E$47,'Quick Setup'!$E53,if(DQ11='Quick Setup'!$F$47,'Quick Setup'!$F53,if(DQ11='Quick Setup'!$G$47,'Quick Setup'!$G53,if(DQ11='Quick Setup'!$H$47,'Quick Setup'!$H53,if(DQ11='Quick Setup'!$I$47,'Quick Setup'!$I53,if(DQ11='Quick Setup'!$J$47,'Quick Setup'!$J53,if(DQ11='Quick Setup'!$K$47,'Quick Setup'!$K53,if(DQ11='Quick Setup'!$L$47,'Quick Setup'!$L53,if(DQ11='Quick Setup'!$M$47,'Quick Setup'!$M53,if(DQ11='Quick Setup'!$N$47,'Quick Setup'!$N53,if(DQ11='Quick Setup'!$O$47,'Quick Setup'!$O53,if(DQ11='Quick Setup'!$P$47,'Quick Setup'!$P53,if(DQ11='Quick Setup'!$Q$47,'Quick Setup'!$Q53,if(DQ11='Quick Setup'!$R$47,'Quick Setup'!$R53,if(DQ11='Quick Setup'!$S$47,'Quick Setup'!$S53,if(DQ11='Quick Setup'!$T$47,'Quick Setup'!$T53,if(DQ11='Quick Setup'!$U$47,'Quick Setup'!$U53,if(DQ11='Quick Setup'!$V$47,'Quick Setup'!$V53,if(DQ11='Quick Setup'!$W$47,'Quick Setup'!$W53)))))))))))))))))))))</f>
        <v>3</v>
      </c>
      <c r="DT11" s="22">
        <f t="shared" ref="DT11:DW11" si="117">DM11</f>
        <v>4</v>
      </c>
      <c r="DU11" s="22">
        <f t="shared" si="117"/>
        <v>6</v>
      </c>
      <c r="DV11" s="23">
        <f t="shared" si="117"/>
        <v>0.02</v>
      </c>
      <c r="DW11" s="23">
        <f t="shared" si="117"/>
        <v>-0.05</v>
      </c>
      <c r="DX11" s="21">
        <f>'Quick Setup'!U66</f>
        <v>0.8</v>
      </c>
      <c r="DY11" s="24">
        <f>if(DX11='Quick Setup'!$C$33,'Quick Setup'!$C39,if(DX11='Quick Setup'!$D$33,'Quick Setup'!$D39,if(DX11='Quick Setup'!$E$33,'Quick Setup'!$E39,if(DX11='Quick Setup'!$F$33,'Quick Setup'!$F39,if(DX11='Quick Setup'!$G$33,'Quick Setup'!$G39,if(DX11='Quick Setup'!$H$33,'Quick Setup'!$H39,if(DX11='Quick Setup'!$I$33,'Quick Setup'!$I39,if(DX11='Quick Setup'!$J$33,'Quick Setup'!$J39,if(DX11='Quick Setup'!$K$33,'Quick Setup'!$K39,if(DX11='Quick Setup'!$L$33,'Quick Setup'!$L39,if(DX11='Quick Setup'!$M$33,'Quick Setup'!$M39,if(DX11='Quick Setup'!$N$33,'Quick Setup'!$N39,if(DX11='Quick Setup'!$O$33,'Quick Setup'!$O39,if(DX11='Quick Setup'!$P$33,'Quick Setup'!$P39,if(DX11='Quick Setup'!$Q$33,'Quick Setup'!$Q39,if(DX11='Quick Setup'!$R$33,'Quick Setup'!$R39,if(DX11='Quick Setup'!$S$33,'Quick Setup'!$S39,if(DX11='Quick Setup'!$T$33,'Quick Setup'!$T39,if(DX11='Quick Setup'!$U$33,'Quick Setup'!$U39,if(DX11='Quick Setup'!$V$33,'Quick Setup'!$V39,'2x'!ES24))))))))))))))))))))</f>
        <v>3</v>
      </c>
      <c r="DZ11" s="22">
        <f>if(DX11='Quick Setup'!$C$47,'Quick Setup'!$C53,if(DX11='Quick Setup'!$D$47,'Quick Setup'!$D53,if(DX11='Quick Setup'!$E$47,'Quick Setup'!$E53,if(DX11='Quick Setup'!$F$47,'Quick Setup'!$F53,if(DX11='Quick Setup'!$G$47,'Quick Setup'!$G53,if(DX11='Quick Setup'!$H$47,'Quick Setup'!$H53,if(DX11='Quick Setup'!$I$47,'Quick Setup'!$I53,if(DX11='Quick Setup'!$J$47,'Quick Setup'!$J53,if(DX11='Quick Setup'!$K$47,'Quick Setup'!$K53,if(DX11='Quick Setup'!$L$47,'Quick Setup'!$L53,if(DX11='Quick Setup'!$M$47,'Quick Setup'!$M53,if(DX11='Quick Setup'!$N$47,'Quick Setup'!$N53,if(DX11='Quick Setup'!$O$47,'Quick Setup'!$O53,if(DX11='Quick Setup'!$P$47,'Quick Setup'!$P53,if(DX11='Quick Setup'!$Q$47,'Quick Setup'!$Q53,if(DX11='Quick Setup'!$R$47,'Quick Setup'!$R53,if(DX11='Quick Setup'!$S$47,'Quick Setup'!$S53,if(DX11='Quick Setup'!$T$47,'Quick Setup'!$T53,if(DX11='Quick Setup'!$U$47,'Quick Setup'!$U53,if(DX11='Quick Setup'!$V$47,'Quick Setup'!$V53,if(DX11='Quick Setup'!$W$47,'Quick Setup'!$W53)))))))))))))))))))))</f>
        <v>2</v>
      </c>
      <c r="EA11" s="22">
        <f t="shared" ref="EA11:ED11" si="118">DT11</f>
        <v>4</v>
      </c>
      <c r="EB11" s="22">
        <f t="shared" si="118"/>
        <v>6</v>
      </c>
      <c r="EC11" s="23">
        <f t="shared" si="118"/>
        <v>0.02</v>
      </c>
      <c r="ED11" s="23">
        <f t="shared" si="118"/>
        <v>-0.05</v>
      </c>
      <c r="EE11" s="21">
        <f>'Quick Setup'!V66</f>
        <v>0.85</v>
      </c>
      <c r="EF11" s="24">
        <f>if(EE11='Quick Setup'!$C$33,'Quick Setup'!$C39,if(EE11='Quick Setup'!$D$33,'Quick Setup'!$D39,if(EE11='Quick Setup'!$E$33,'Quick Setup'!$E39,if(EE11='Quick Setup'!$F$33,'Quick Setup'!$F39,if(EE11='Quick Setup'!$G$33,'Quick Setup'!$G39,if(EE11='Quick Setup'!$H$33,'Quick Setup'!$H39,if(EE11='Quick Setup'!$I$33,'Quick Setup'!$I39,if(EE11='Quick Setup'!$J$33,'Quick Setup'!$J39,if(EE11='Quick Setup'!$K$33,'Quick Setup'!$K39,if(EE11='Quick Setup'!$L$33,'Quick Setup'!$L39,if(EE11='Quick Setup'!$M$33,'Quick Setup'!$M39,if(EE11='Quick Setup'!$N$33,'Quick Setup'!$N39,if(EE11='Quick Setup'!$O$33,'Quick Setup'!$O39,if(EE11='Quick Setup'!$P$33,'Quick Setup'!$P39,if(EE11='Quick Setup'!$Q$33,'Quick Setup'!$Q39,if(EE11='Quick Setup'!$R$33,'Quick Setup'!$R39,if(EE11='Quick Setup'!$S$33,'Quick Setup'!$S39,if(EE11='Quick Setup'!$T$33,'Quick Setup'!$T39,if(EE11='Quick Setup'!$U$33,'Quick Setup'!$U39,if(EE11='Quick Setup'!$V$33,'Quick Setup'!$V39,'2x'!EZ24))))))))))))))))))))</f>
        <v>2</v>
      </c>
      <c r="EG11" s="22">
        <f>if(EE11='Quick Setup'!$C$47,'Quick Setup'!$C53,if(EE11='Quick Setup'!$D$47,'Quick Setup'!$D53,if(EE11='Quick Setup'!$E$47,'Quick Setup'!$E53,if(EE11='Quick Setup'!$F$47,'Quick Setup'!$F53,if(EE11='Quick Setup'!$G$47,'Quick Setup'!$G53,if(EE11='Quick Setup'!$H$47,'Quick Setup'!$H53,if(EE11='Quick Setup'!$I$47,'Quick Setup'!$I53,if(EE11='Quick Setup'!$J$47,'Quick Setup'!$J53,if(EE11='Quick Setup'!$K$47,'Quick Setup'!$K53,if(EE11='Quick Setup'!$L$47,'Quick Setup'!$L53,if(EE11='Quick Setup'!$M$47,'Quick Setup'!$M53,if(EE11='Quick Setup'!$N$47,'Quick Setup'!$N53,if(EE11='Quick Setup'!$O$47,'Quick Setup'!$O53,if(EE11='Quick Setup'!$P$47,'Quick Setup'!$P53,if(EE11='Quick Setup'!$Q$47,'Quick Setup'!$Q53,if(EE11='Quick Setup'!$R$47,'Quick Setup'!$R53,if(EE11='Quick Setup'!$S$47,'Quick Setup'!$S53,if(EE11='Quick Setup'!$T$47,'Quick Setup'!$T53,if(EE11='Quick Setup'!$U$47,'Quick Setup'!$U53,if(EE11='Quick Setup'!$V$47,'Quick Setup'!$V53,if(EE11='Quick Setup'!$W$47,'Quick Setup'!$W53)))))))))))))))))))))</f>
        <v>2</v>
      </c>
      <c r="EH11" s="22">
        <f t="shared" ref="EH11:EK11" si="119">EA11</f>
        <v>4</v>
      </c>
      <c r="EI11" s="22">
        <f t="shared" si="119"/>
        <v>6</v>
      </c>
      <c r="EJ11" s="23">
        <f t="shared" si="119"/>
        <v>0.02</v>
      </c>
      <c r="EK11" s="23">
        <f t="shared" si="119"/>
        <v>-0.05</v>
      </c>
      <c r="EL11" s="21">
        <f>'Quick Setup'!W66</f>
        <v>0.5</v>
      </c>
      <c r="EM11" s="24">
        <f>if(EL11='Quick Setup'!$C$33,'Quick Setup'!$C39,if(EL11='Quick Setup'!$D$33,'Quick Setup'!$D39,if(EL11='Quick Setup'!$E$33,'Quick Setup'!$E39,if(EL11='Quick Setup'!$F$33,'Quick Setup'!$F39,if(EL11='Quick Setup'!$G$33,'Quick Setup'!$G39,if(EL11='Quick Setup'!$H$33,'Quick Setup'!$H39,if(EL11='Quick Setup'!$I$33,'Quick Setup'!$I39,if(EL11='Quick Setup'!$J$33,'Quick Setup'!$J39,if(EL11='Quick Setup'!$K$33,'Quick Setup'!$K39,if(EL11='Quick Setup'!$L$33,'Quick Setup'!$L39,if(EL11='Quick Setup'!$M$33,'Quick Setup'!$M39,if(EL11='Quick Setup'!$N$33,'Quick Setup'!$N39,if(EL11='Quick Setup'!$O$33,'Quick Setup'!$O39,if(EL11='Quick Setup'!$P$33,'Quick Setup'!$P39,if(EL11='Quick Setup'!$Q$33,'Quick Setup'!$Q39,if(EL11='Quick Setup'!$R$33,'Quick Setup'!$R39,if(EL11='Quick Setup'!$S$33,'Quick Setup'!$S39,if(EL11='Quick Setup'!$T$33,'Quick Setup'!$T39,if(EL11='Quick Setup'!$U$33,'Quick Setup'!$U39,if(EL11='Quick Setup'!$V$33,'Quick Setup'!$V39,'2x'!FG24))))))))))))))))))))</f>
        <v>8</v>
      </c>
      <c r="EN11" s="22">
        <f>if(EL11='Quick Setup'!$C$47,'Quick Setup'!$C53,if(EL11='Quick Setup'!$D$47,'Quick Setup'!$D53,if(EL11='Quick Setup'!$E$47,'Quick Setup'!$E53,if(EL11='Quick Setup'!$F$47,'Quick Setup'!$F53,if(EL11='Quick Setup'!$G$47,'Quick Setup'!$G53,if(EL11='Quick Setup'!$H$47,'Quick Setup'!$H53,if(EL11='Quick Setup'!$I$47,'Quick Setup'!$I53,if(EL11='Quick Setup'!$J$47,'Quick Setup'!$J53,if(EL11='Quick Setup'!$K$47,'Quick Setup'!$K53,if(EL11='Quick Setup'!$L$47,'Quick Setup'!$L53,if(EL11='Quick Setup'!$M$47,'Quick Setup'!$M53,if(EL11='Quick Setup'!$N$47,'Quick Setup'!$N53,if(EL11='Quick Setup'!$O$47,'Quick Setup'!$O53,if(EL11='Quick Setup'!$P$47,'Quick Setup'!$P53,if(EL11='Quick Setup'!$Q$47,'Quick Setup'!$Q53,if(EL11='Quick Setup'!$R$47,'Quick Setup'!$R53,if(EL11='Quick Setup'!$S$47,'Quick Setup'!$S53,if(EL11='Quick Setup'!$T$47,'Quick Setup'!$T53,if(EL11='Quick Setup'!$U$47,'Quick Setup'!$U53,if(EL11='Quick Setup'!$V$47,'Quick Setup'!$V53,if(EL11='Quick Setup'!$W$47,'Quick Setup'!$W53)))))))))))))))))))))</f>
        <v>5</v>
      </c>
      <c r="EO11" s="22">
        <f t="shared" ref="EO11:ER11" si="120">EH11</f>
        <v>4</v>
      </c>
      <c r="EP11" s="22">
        <f t="shared" si="120"/>
        <v>6</v>
      </c>
      <c r="EQ11" s="23">
        <f t="shared" si="120"/>
        <v>0.02</v>
      </c>
      <c r="ER11" s="23">
        <f t="shared" si="120"/>
        <v>-0.05</v>
      </c>
    </row>
    <row r="12">
      <c r="A12" t="str">
        <f>'Quick Setup'!C13</f>
        <v>Close Grip Bench</v>
      </c>
      <c r="B12" s="21">
        <f>'Quick Setup'!C67</f>
        <v>0.6</v>
      </c>
      <c r="C12" s="22">
        <f>if(B12='Quick Setup'!$C$33,'Quick Setup'!$C40,if(B12='Quick Setup'!$D$33,'Quick Setup'!$D40,if(B12='Quick Setup'!$E$33,'Quick Setup'!$E40,if(B12='Quick Setup'!$F$33,'Quick Setup'!$F40,if(B12='Quick Setup'!$G$33,'Quick Setup'!$G40,if(B12='Quick Setup'!$H$33,'Quick Setup'!$H40,if(B12='Quick Setup'!$I$33,'Quick Setup'!$I40,if(B12='Quick Setup'!$J$33,'Quick Setup'!$J40,if(B12='Quick Setup'!$K$33,'Quick Setup'!$K40,if(B12='Quick Setup'!$L$33,'Quick Setup'!$L40,if(B12='Quick Setup'!$M$33,'Quick Setup'!$M40,if(B12='Quick Setup'!$N$33,'Quick Setup'!$N40,if(B12='Quick Setup'!$O$33,'Quick Setup'!$O40,if(B12='Quick Setup'!$P$33,'Quick Setup'!$P40,if(B12='Quick Setup'!$Q$33,'Quick Setup'!$Q40,if(B12='Quick Setup'!$R$33,'Quick Setup'!$R40,if(B12='Quick Setup'!$S$33,'Quick Setup'!$S40,if(B12='Quick Setup'!$T$33,'Quick Setup'!$T40,if(B12='Quick Setup'!$U$33,'Quick Setup'!$U40,if(B12='Quick Setup'!$V$33,'Quick Setup'!$V40,'Quick Setup'!W40))))))))))))))))))))</f>
        <v>7</v>
      </c>
      <c r="D12" s="22">
        <f>if(B12='Quick Setup'!$C$47,'Quick Setup'!$C54,if(B12='Quick Setup'!$D$47,'Quick Setup'!$D54,if(B12='Quick Setup'!$E$47,'Quick Setup'!$E54,if(B12='Quick Setup'!$F$47,'Quick Setup'!$F54,if(B12='Quick Setup'!$G$47,'Quick Setup'!$G54,if(B12='Quick Setup'!$H$47,'Quick Setup'!$H54,if(B12='Quick Setup'!$I$47,'Quick Setup'!$I54,if(B12='Quick Setup'!$J$47,'Quick Setup'!$J54,if(B12='Quick Setup'!$K$47,'Quick Setup'!$K54,if(B12='Quick Setup'!$L$47,'Quick Setup'!$L54,if(B12='Quick Setup'!$M$47,'Quick Setup'!$M54,if(B12='Quick Setup'!$N$47,'Quick Setup'!$N54,if(B12='Quick Setup'!$O$47,'Quick Setup'!$O54,if(B12='Quick Setup'!$P$47,'Quick Setup'!$P54,if(B12='Quick Setup'!$Q$47,'Quick Setup'!$Q54,if(B12='Quick Setup'!$R$47,'Quick Setup'!$R54,if(B12='Quick Setup'!$S$47,'Quick Setup'!$S54,if(B12='Quick Setup'!$T$47,'Quick Setup'!$T54,if(B12='Quick Setup'!$U$47,'Quick Setup'!$U54,if(B12='Quick Setup'!$V$47,'Quick Setup'!$V54,if(B12='Quick Setup'!$W$47,'Quick Setup'!$W54)))))))))))))))))))))</f>
        <v>4</v>
      </c>
      <c r="E12" s="22">
        <f>'Quick Setup'!H12</f>
        <v>4</v>
      </c>
      <c r="F12" s="22">
        <f>'Quick Setup'!I12</f>
        <v>6</v>
      </c>
      <c r="G12" s="23">
        <f>'Quick Setup'!J12</f>
        <v>0.02</v>
      </c>
      <c r="H12" s="23">
        <f>'Quick Setup'!K12</f>
        <v>-0.05</v>
      </c>
      <c r="I12" s="21">
        <f>'Quick Setup'!D67</f>
        <v>0.65</v>
      </c>
      <c r="J12" s="22">
        <f>if(I12='Quick Setup'!$C$33,'Quick Setup'!$C40,if(I12='Quick Setup'!$D$33,'Quick Setup'!$D40,if(I12='Quick Setup'!$E$33,'Quick Setup'!$E40,if(I12='Quick Setup'!$F$33,'Quick Setup'!$F40,if(I12='Quick Setup'!$G$33,'Quick Setup'!$G40,if(I12='Quick Setup'!$H$33,'Quick Setup'!$H40,if(I12='Quick Setup'!$I$33,'Quick Setup'!$I40,if(I12='Quick Setup'!$J$33,'Quick Setup'!$J40,if(I12='Quick Setup'!$K$33,'Quick Setup'!$K40,if(I12='Quick Setup'!$L$33,'Quick Setup'!$L40,if(I12='Quick Setup'!$M$33,'Quick Setup'!$M40,if(I12='Quick Setup'!$N$33,'Quick Setup'!$N40,if(I12='Quick Setup'!$O$33,'Quick Setup'!$O40,if(I12='Quick Setup'!$P$33,'Quick Setup'!$P40,if(I12='Quick Setup'!$Q$33,'Quick Setup'!$Q40,if(I12='Quick Setup'!$R$33,'Quick Setup'!$R40,if(I12='Quick Setup'!$S$33,'Quick Setup'!$S40,if(I12='Quick Setup'!$T$33,'Quick Setup'!$T40,if(I12='Quick Setup'!$U$33,'Quick Setup'!$U40,if(I12='Quick Setup'!$V$33,'Quick Setup'!$V40,'2x'!AD39))))))))))))))))))))</f>
        <v>6</v>
      </c>
      <c r="K12" s="22">
        <f>if(I12='Quick Setup'!$C$47,'Quick Setup'!$C54,if(I12='Quick Setup'!$D$47,'Quick Setup'!$D54,if(I12='Quick Setup'!$E$47,'Quick Setup'!$E54,if(I12='Quick Setup'!$F$47,'Quick Setup'!$F54,if(I12='Quick Setup'!$G$47,'Quick Setup'!$G54,if(I12='Quick Setup'!$H$47,'Quick Setup'!$H54,if(I12='Quick Setup'!$I$47,'Quick Setup'!$I54,if(I12='Quick Setup'!$J$47,'Quick Setup'!$J54,if(I12='Quick Setup'!$K$47,'Quick Setup'!$K54,if(I12='Quick Setup'!$L$47,'Quick Setup'!$L54,if(I12='Quick Setup'!$M$47,'Quick Setup'!$M54,if(I12='Quick Setup'!$N$47,'Quick Setup'!$N54,if(I12='Quick Setup'!$O$47,'Quick Setup'!$O54,if(I12='Quick Setup'!$P$47,'Quick Setup'!$P54,if(I12='Quick Setup'!$Q$47,'Quick Setup'!$Q54,if(I12='Quick Setup'!$R$47,'Quick Setup'!$R54,if(I12='Quick Setup'!$S$47,'Quick Setup'!$S54,if(I12='Quick Setup'!$T$47,'Quick Setup'!$T54,if(I12='Quick Setup'!$U$47,'Quick Setup'!$U54,if(I12='Quick Setup'!$V$47,'Quick Setup'!$V54,if(I12='Quick Setup'!$W$47,'Quick Setup'!$W54)))))))))))))))))))))</f>
        <v>4</v>
      </c>
      <c r="L12" s="22">
        <f t="shared" ref="L12:O12" si="121">E12</f>
        <v>4</v>
      </c>
      <c r="M12" s="22">
        <f t="shared" si="121"/>
        <v>6</v>
      </c>
      <c r="N12" s="23">
        <f t="shared" si="121"/>
        <v>0.02</v>
      </c>
      <c r="O12" s="23">
        <f t="shared" si="121"/>
        <v>-0.05</v>
      </c>
      <c r="P12" s="21">
        <f>'Quick Setup'!E67</f>
        <v>0.7</v>
      </c>
      <c r="Q12" s="24">
        <f>if(P12='Quick Setup'!$C$33,'Quick Setup'!$C40,if(P12='Quick Setup'!$D$33,'Quick Setup'!$D40,if(P12='Quick Setup'!$E$33,'Quick Setup'!$E40,if(P12='Quick Setup'!$F$33,'Quick Setup'!$F40,if(P12='Quick Setup'!$G$33,'Quick Setup'!$G40,if(P12='Quick Setup'!$H$33,'Quick Setup'!$H40,if(P12='Quick Setup'!$I$33,'Quick Setup'!$I40,if(P12='Quick Setup'!$J$33,'Quick Setup'!$J40,if(P12='Quick Setup'!$K$33,'Quick Setup'!$K40,if(P12='Quick Setup'!$L$33,'Quick Setup'!$L40,if(P12='Quick Setup'!$M$33,'Quick Setup'!$M40,if(P12='Quick Setup'!$N$33,'Quick Setup'!$N40,if(P12='Quick Setup'!$O$33,'Quick Setup'!$O40,if(P12='Quick Setup'!$P$33,'Quick Setup'!$P40,if(P12='Quick Setup'!$Q$33,'Quick Setup'!$Q40,if(P12='Quick Setup'!$R$33,'Quick Setup'!$R40,if(P12='Quick Setup'!$S$33,'Quick Setup'!$S40,if(P12='Quick Setup'!$T$33,'Quick Setup'!$T40,if(P12='Quick Setup'!$U$33,'Quick Setup'!$U40,if(P12='Quick Setup'!$V$33,'Quick Setup'!$V40,'2x'!AK39))))))))))))))))))))</f>
        <v>5</v>
      </c>
      <c r="R12" s="22">
        <f>if(P12='Quick Setup'!$C$47,'Quick Setup'!$C54,if(P12='Quick Setup'!$D$47,'Quick Setup'!$D54,if(P12='Quick Setup'!$E$47,'Quick Setup'!$E54,if(P12='Quick Setup'!$F$47,'Quick Setup'!$F54,if(P12='Quick Setup'!$G$47,'Quick Setup'!$G54,if(P12='Quick Setup'!$H$47,'Quick Setup'!$H54,if(P12='Quick Setup'!$I$47,'Quick Setup'!$I54,if(P12='Quick Setup'!$J$47,'Quick Setup'!$J54,if(P12='Quick Setup'!$K$47,'Quick Setup'!$K54,if(P12='Quick Setup'!$L$47,'Quick Setup'!$L54,if(P12='Quick Setup'!$M$47,'Quick Setup'!$M54,if(P12='Quick Setup'!$N$47,'Quick Setup'!$N54,if(P12='Quick Setup'!$O$47,'Quick Setup'!$O54,if(P12='Quick Setup'!$P$47,'Quick Setup'!$P54,if(P12='Quick Setup'!$Q$47,'Quick Setup'!$Q54,if(P12='Quick Setup'!$R$47,'Quick Setup'!$R54,if(P12='Quick Setup'!$S$47,'Quick Setup'!$S54,if(P12='Quick Setup'!$T$47,'Quick Setup'!$T54,if(P12='Quick Setup'!$U$47,'Quick Setup'!$U54,if(P12='Quick Setup'!$V$47,'Quick Setup'!$V54,if(P12='Quick Setup'!$W$47,'Quick Setup'!$W54)))))))))))))))))))))</f>
        <v>3</v>
      </c>
      <c r="S12" s="22">
        <f t="shared" ref="S12:V12" si="122">L12</f>
        <v>4</v>
      </c>
      <c r="T12" s="22">
        <f t="shared" si="122"/>
        <v>6</v>
      </c>
      <c r="U12" s="23">
        <f t="shared" si="122"/>
        <v>0.02</v>
      </c>
      <c r="V12" s="23">
        <f t="shared" si="122"/>
        <v>-0.05</v>
      </c>
      <c r="W12" s="21">
        <f>'Quick Setup'!F67</f>
        <v>0.625</v>
      </c>
      <c r="X12" s="24">
        <f>if(W12='Quick Setup'!$C$33,'Quick Setup'!$C40,if(W12='Quick Setup'!$D$33,'Quick Setup'!$D40,if(W12='Quick Setup'!$E$33,'Quick Setup'!$E40,if(W12='Quick Setup'!$F$33,'Quick Setup'!$F40,if(W12='Quick Setup'!$G$33,'Quick Setup'!$G40,if(W12='Quick Setup'!$H$33,'Quick Setup'!$H40,if(W12='Quick Setup'!$I$33,'Quick Setup'!$I40,if(W12='Quick Setup'!$J$33,'Quick Setup'!$J40,if(W12='Quick Setup'!$K$33,'Quick Setup'!$K40,if(W12='Quick Setup'!$L$33,'Quick Setup'!$L40,if(W12='Quick Setup'!$M$33,'Quick Setup'!$M40,if(W12='Quick Setup'!$N$33,'Quick Setup'!$N40,if(W12='Quick Setup'!$O$33,'Quick Setup'!$O40,if(W12='Quick Setup'!$P$33,'Quick Setup'!$P40,if(W12='Quick Setup'!$Q$33,'Quick Setup'!$Q40,if(W12='Quick Setup'!$R$33,'Quick Setup'!$R40,if(W12='Quick Setup'!$S$33,'Quick Setup'!$S40,if(W12='Quick Setup'!$T$33,'Quick Setup'!$T40,if(W12='Quick Setup'!$U$33,'Quick Setup'!$U40,if(W12='Quick Setup'!$V$33,'Quick Setup'!$V40,'2x'!AR39))))))))))))))))))))</f>
        <v>7</v>
      </c>
      <c r="Y12" s="22">
        <f>if(W12='Quick Setup'!$C$47,'Quick Setup'!$C54,if(W12='Quick Setup'!$D$47,'Quick Setup'!$D54,if(W12='Quick Setup'!$E$47,'Quick Setup'!$E54,if(W12='Quick Setup'!$F$47,'Quick Setup'!$F54,if(W12='Quick Setup'!$G$47,'Quick Setup'!$G54,if(W12='Quick Setup'!$H$47,'Quick Setup'!$H54,if(W12='Quick Setup'!$I$47,'Quick Setup'!$I54,if(W12='Quick Setup'!$J$47,'Quick Setup'!$J54,if(W12='Quick Setup'!$K$47,'Quick Setup'!$K54,if(W12='Quick Setup'!$L$47,'Quick Setup'!$L54,if(W12='Quick Setup'!$M$47,'Quick Setup'!$M54,if(W12='Quick Setup'!$N$47,'Quick Setup'!$N54,if(W12='Quick Setup'!$O$47,'Quick Setup'!$O54,if(W12='Quick Setup'!$P$47,'Quick Setup'!$P54,if(W12='Quick Setup'!$Q$47,'Quick Setup'!$Q54,if(W12='Quick Setup'!$R$47,'Quick Setup'!$R54,if(W12='Quick Setup'!$S$47,'Quick Setup'!$S54,if(W12='Quick Setup'!$T$47,'Quick Setup'!$T54,if(W12='Quick Setup'!$U$47,'Quick Setup'!$U54,if(W12='Quick Setup'!$V$47,'Quick Setup'!$V54,if(W12='Quick Setup'!$W$47,'Quick Setup'!$W54)))))))))))))))))))))</f>
        <v>4</v>
      </c>
      <c r="Z12" s="22">
        <f t="shared" ref="Z12:AC12" si="123">S12</f>
        <v>4</v>
      </c>
      <c r="AA12" s="22">
        <f t="shared" si="123"/>
        <v>6</v>
      </c>
      <c r="AB12" s="23">
        <f t="shared" si="123"/>
        <v>0.02</v>
      </c>
      <c r="AC12" s="23">
        <f t="shared" si="123"/>
        <v>-0.05</v>
      </c>
      <c r="AD12" s="21">
        <f>'Quick Setup'!G67</f>
        <v>0.675</v>
      </c>
      <c r="AE12" s="24">
        <f>if(AD12='Quick Setup'!$C$33,'Quick Setup'!$C40,if(AD12='Quick Setup'!$D$33,'Quick Setup'!$D40,if(AD12='Quick Setup'!$E$33,'Quick Setup'!$E40,if(AD12='Quick Setup'!$F$33,'Quick Setup'!$F40,if(AD12='Quick Setup'!$G$33,'Quick Setup'!$G40,if(AD12='Quick Setup'!$H$33,'Quick Setup'!$H40,if(AD12='Quick Setup'!$I$33,'Quick Setup'!$I40,if(AD12='Quick Setup'!$J$33,'Quick Setup'!$J40,if(AD12='Quick Setup'!$K$33,'Quick Setup'!$K40,if(AD12='Quick Setup'!$L$33,'Quick Setup'!$L40,if(AD12='Quick Setup'!$M$33,'Quick Setup'!$M40,if(AD12='Quick Setup'!$N$33,'Quick Setup'!$N40,if(AD12='Quick Setup'!$O$33,'Quick Setup'!$O40,if(AD12='Quick Setup'!$P$33,'Quick Setup'!$P40,if(AD12='Quick Setup'!$Q$33,'Quick Setup'!$Q40,if(AD12='Quick Setup'!$R$33,'Quick Setup'!$R40,if(AD12='Quick Setup'!$S$33,'Quick Setup'!$S40,if(AD12='Quick Setup'!$T$33,'Quick Setup'!$T40,if(AD12='Quick Setup'!$U$33,'Quick Setup'!$U40,if(AD12='Quick Setup'!$V$33,'Quick Setup'!$V40,'2x'!AY39))))))))))))))))))))</f>
        <v>6</v>
      </c>
      <c r="AF12" s="22">
        <f>if(AD12='Quick Setup'!$C$47,'Quick Setup'!$C54,if(AD12='Quick Setup'!$D$47,'Quick Setup'!$D54,if(AD12='Quick Setup'!$E$47,'Quick Setup'!$E54,if(AD12='Quick Setup'!$F$47,'Quick Setup'!$F54,if(AD12='Quick Setup'!$G$47,'Quick Setup'!$G54,if(AD12='Quick Setup'!$H$47,'Quick Setup'!$H54,if(AD12='Quick Setup'!$I$47,'Quick Setup'!$I54,if(AD12='Quick Setup'!$J$47,'Quick Setup'!$J54,if(AD12='Quick Setup'!$K$47,'Quick Setup'!$K54,if(AD12='Quick Setup'!$L$47,'Quick Setup'!$L54,if(AD12='Quick Setup'!$M$47,'Quick Setup'!$M54,if(AD12='Quick Setup'!$N$47,'Quick Setup'!$N54,if(AD12='Quick Setup'!$O$47,'Quick Setup'!$O54,if(AD12='Quick Setup'!$P$47,'Quick Setup'!$P54,if(AD12='Quick Setup'!$Q$47,'Quick Setup'!$Q54,if(AD12='Quick Setup'!$R$47,'Quick Setup'!$R54,if(AD12='Quick Setup'!$S$47,'Quick Setup'!$S54,if(AD12='Quick Setup'!$T$47,'Quick Setup'!$T54,if(AD12='Quick Setup'!$U$47,'Quick Setup'!$U54,if(AD12='Quick Setup'!$V$47,'Quick Setup'!$V54,if(AD12='Quick Setup'!$W$47,'Quick Setup'!$W54)))))))))))))))))))))</f>
        <v>4</v>
      </c>
      <c r="AG12" s="22">
        <f t="shared" ref="AG12:AJ12" si="124">Z12</f>
        <v>4</v>
      </c>
      <c r="AH12" s="22">
        <f t="shared" si="124"/>
        <v>6</v>
      </c>
      <c r="AI12" s="23">
        <f t="shared" si="124"/>
        <v>0.02</v>
      </c>
      <c r="AJ12" s="23">
        <f t="shared" si="124"/>
        <v>-0.05</v>
      </c>
      <c r="AK12" s="21">
        <f>'Quick Setup'!H67</f>
        <v>0.725</v>
      </c>
      <c r="AL12" s="24">
        <f>if(AK12='Quick Setup'!$C$33,'Quick Setup'!$C40,if(AK12='Quick Setup'!$D$33,'Quick Setup'!$D40,if(AK12='Quick Setup'!$E$33,'Quick Setup'!$E40,if(AK12='Quick Setup'!$F$33,'Quick Setup'!$F40,if(AK12='Quick Setup'!$G$33,'Quick Setup'!$G40,if(AK12='Quick Setup'!$H$33,'Quick Setup'!$H40,if(AK12='Quick Setup'!$I$33,'Quick Setup'!$I40,if(AK12='Quick Setup'!$J$33,'Quick Setup'!$J40,if(AK12='Quick Setup'!$K$33,'Quick Setup'!$K40,if(AK12='Quick Setup'!$L$33,'Quick Setup'!$L40,if(AK12='Quick Setup'!$M$33,'Quick Setup'!$M40,if(AK12='Quick Setup'!$N$33,'Quick Setup'!$N40,if(AK12='Quick Setup'!$O$33,'Quick Setup'!$O40,if(AK12='Quick Setup'!$P$33,'Quick Setup'!$P40,if(AK12='Quick Setup'!$Q$33,'Quick Setup'!$Q40,if(AK12='Quick Setup'!$R$33,'Quick Setup'!$R40,if(AK12='Quick Setup'!$S$33,'Quick Setup'!$S40,if(AK12='Quick Setup'!$T$33,'Quick Setup'!$T40,if(AK12='Quick Setup'!$U$33,'Quick Setup'!$U40,if(AK12='Quick Setup'!$V$33,'Quick Setup'!$V40,'2x'!BF39))))))))))))))))))))</f>
        <v>5</v>
      </c>
      <c r="AM12" s="22">
        <f>if(AK12='Quick Setup'!$C$47,'Quick Setup'!$C54,if(AK12='Quick Setup'!$D$47,'Quick Setup'!$D54,if(AK12='Quick Setup'!$E$47,'Quick Setup'!$E54,if(AK12='Quick Setup'!$F$47,'Quick Setup'!$F54,if(AK12='Quick Setup'!$G$47,'Quick Setup'!$G54,if(AK12='Quick Setup'!$H$47,'Quick Setup'!$H54,if(AK12='Quick Setup'!$I$47,'Quick Setup'!$I54,if(AK12='Quick Setup'!$J$47,'Quick Setup'!$J54,if(AK12='Quick Setup'!$K$47,'Quick Setup'!$K54,if(AK12='Quick Setup'!$L$47,'Quick Setup'!$L54,if(AK12='Quick Setup'!$M$47,'Quick Setup'!$M54,if(AK12='Quick Setup'!$N$47,'Quick Setup'!$N54,if(AK12='Quick Setup'!$O$47,'Quick Setup'!$O54,if(AK12='Quick Setup'!$P$47,'Quick Setup'!$P54,if(AK12='Quick Setup'!$Q$47,'Quick Setup'!$Q54,if(AK12='Quick Setup'!$R$47,'Quick Setup'!$R54,if(AK12='Quick Setup'!$S$47,'Quick Setup'!$S54,if(AK12='Quick Setup'!$T$47,'Quick Setup'!$T54,if(AK12='Quick Setup'!$U$47,'Quick Setup'!$U54,if(AK12='Quick Setup'!$V$47,'Quick Setup'!$V54,if(AK12='Quick Setup'!$W$47,'Quick Setup'!$W54)))))))))))))))))))))</f>
        <v>3</v>
      </c>
      <c r="AN12" s="22">
        <f t="shared" ref="AN12:AQ12" si="125">AG12</f>
        <v>4</v>
      </c>
      <c r="AO12" s="22">
        <f t="shared" si="125"/>
        <v>6</v>
      </c>
      <c r="AP12" s="23">
        <f t="shared" si="125"/>
        <v>0.02</v>
      </c>
      <c r="AQ12" s="23">
        <f t="shared" si="125"/>
        <v>-0.05</v>
      </c>
      <c r="AR12" s="21">
        <f>'Quick Setup'!I67</f>
        <v>0.5</v>
      </c>
      <c r="AS12" s="24">
        <f>if(AR12='Quick Setup'!$C$33,'Quick Setup'!$C40,if(AR12='Quick Setup'!$D$33,'Quick Setup'!$D40,if(AR12='Quick Setup'!$E$33,'Quick Setup'!$E40,if(AR12='Quick Setup'!$F$33,'Quick Setup'!$F40,if(AR12='Quick Setup'!$G$33,'Quick Setup'!$G40,if(AR12='Quick Setup'!$H$33,'Quick Setup'!$H40,if(AR12='Quick Setup'!$I$33,'Quick Setup'!$I40,if(AR12='Quick Setup'!$J$33,'Quick Setup'!$J40,if(AR12='Quick Setup'!$K$33,'Quick Setup'!$K40,if(AR12='Quick Setup'!$L$33,'Quick Setup'!$L40,if(AR12='Quick Setup'!$M$33,'Quick Setup'!$M40,if(AR12='Quick Setup'!$N$33,'Quick Setup'!$N40,if(AR12='Quick Setup'!$O$33,'Quick Setup'!$O40,if(AR12='Quick Setup'!$P$33,'Quick Setup'!$P40,if(AR12='Quick Setup'!$Q$33,'Quick Setup'!$Q40,if(AR12='Quick Setup'!$R$33,'Quick Setup'!$R40,if(AR12='Quick Setup'!$S$33,'Quick Setup'!$S40,if(AR12='Quick Setup'!$T$33,'Quick Setup'!$T40,if(AR12='Quick Setup'!$U$33,'Quick Setup'!$U40,if(AR12='Quick Setup'!$V$33,'Quick Setup'!$V40,'2x'!BM39))))))))))))))))))))</f>
        <v>8</v>
      </c>
      <c r="AT12" s="22">
        <f>if(AR12='Quick Setup'!$C$47,'Quick Setup'!$C54,if(AR12='Quick Setup'!$D$47,'Quick Setup'!$D54,if(AR12='Quick Setup'!$E$47,'Quick Setup'!$E54,if(AR12='Quick Setup'!$F$47,'Quick Setup'!$F54,if(AR12='Quick Setup'!$G$47,'Quick Setup'!$G54,if(AR12='Quick Setup'!$H$47,'Quick Setup'!$H54,if(AR12='Quick Setup'!$I$47,'Quick Setup'!$I54,if(AR12='Quick Setup'!$J$47,'Quick Setup'!$J54,if(AR12='Quick Setup'!$K$47,'Quick Setup'!$K54,if(AR12='Quick Setup'!$L$47,'Quick Setup'!$L54,if(AR12='Quick Setup'!$M$47,'Quick Setup'!$M54,if(AR12='Quick Setup'!$N$47,'Quick Setup'!$N54,if(AR12='Quick Setup'!$O$47,'Quick Setup'!$O54,if(AR12='Quick Setup'!$P$47,'Quick Setup'!$P54,if(AR12='Quick Setup'!$Q$47,'Quick Setup'!$Q54,if(AR12='Quick Setup'!$R$47,'Quick Setup'!$R54,if(AR12='Quick Setup'!$S$47,'Quick Setup'!$S54,if(AR12='Quick Setup'!$T$47,'Quick Setup'!$T54,if(AR12='Quick Setup'!$U$47,'Quick Setup'!$U54,if(AR12='Quick Setup'!$V$47,'Quick Setup'!$V54,if(AR12='Quick Setup'!$W$47,'Quick Setup'!$W54)))))))))))))))))))))</f>
        <v>5</v>
      </c>
      <c r="AU12" s="22">
        <f t="shared" ref="AU12:AX12" si="126">AN12</f>
        <v>4</v>
      </c>
      <c r="AV12" s="22">
        <f t="shared" si="126"/>
        <v>6</v>
      </c>
      <c r="AW12" s="23">
        <f t="shared" si="126"/>
        <v>0.02</v>
      </c>
      <c r="AX12" s="23">
        <f t="shared" si="126"/>
        <v>-0.05</v>
      </c>
      <c r="AY12" s="21">
        <f>'Quick Setup'!J67</f>
        <v>0.65</v>
      </c>
      <c r="AZ12" s="24">
        <f>if(AY12='Quick Setup'!$C$33,'Quick Setup'!$C40,if(AY12='Quick Setup'!$D$33,'Quick Setup'!$D40,if(AY12='Quick Setup'!$E$33,'Quick Setup'!$E40,if(AY12='Quick Setup'!$F$33,'Quick Setup'!$F40,if(AY12='Quick Setup'!$G$33,'Quick Setup'!$G40,if(AY12='Quick Setup'!$H$33,'Quick Setup'!$H40,if(AY12='Quick Setup'!$I$33,'Quick Setup'!$I40,if(AY12='Quick Setup'!$J$33,'Quick Setup'!$J40,if(AY12='Quick Setup'!$K$33,'Quick Setup'!$K40,if(AY12='Quick Setup'!$L$33,'Quick Setup'!$L40,if(AY12='Quick Setup'!$M$33,'Quick Setup'!$M40,if(AY12='Quick Setup'!$N$33,'Quick Setup'!$N40,if(AY12='Quick Setup'!$O$33,'Quick Setup'!$O40,if(AY12='Quick Setup'!$P$33,'Quick Setup'!$P40,if(AY12='Quick Setup'!$Q$33,'Quick Setup'!$Q40,if(AY12='Quick Setup'!$R$33,'Quick Setup'!$R40,if(AY12='Quick Setup'!$S$33,'Quick Setup'!$S40,if(AY12='Quick Setup'!$T$33,'Quick Setup'!$T40,if(AY12='Quick Setup'!$U$33,'Quick Setup'!$U40,if(AY12='Quick Setup'!$V$33,'Quick Setup'!$V40,'2x'!BT39))))))))))))))))))))</f>
        <v>6</v>
      </c>
      <c r="BA12" s="22">
        <f>if(AY12='Quick Setup'!$C$47,'Quick Setup'!$C54,if(AY12='Quick Setup'!$D$47,'Quick Setup'!$D54,if(AY12='Quick Setup'!$E$47,'Quick Setup'!$E54,if(AY12='Quick Setup'!$F$47,'Quick Setup'!$F54,if(AY12='Quick Setup'!$G$47,'Quick Setup'!$G54,if(AY12='Quick Setup'!$H$47,'Quick Setup'!$H54,if(AY12='Quick Setup'!$I$47,'Quick Setup'!$I54,if(AY12='Quick Setup'!$J$47,'Quick Setup'!$J54,if(AY12='Quick Setup'!$K$47,'Quick Setup'!$K54,if(AY12='Quick Setup'!$L$47,'Quick Setup'!$L54,if(AY12='Quick Setup'!$M$47,'Quick Setup'!$M54,if(AY12='Quick Setup'!$N$47,'Quick Setup'!$N54,if(AY12='Quick Setup'!$O$47,'Quick Setup'!$O54,if(AY12='Quick Setup'!$P$47,'Quick Setup'!$P54,if(AY12='Quick Setup'!$Q$47,'Quick Setup'!$Q54,if(AY12='Quick Setup'!$R$47,'Quick Setup'!$R54,if(AY12='Quick Setup'!$S$47,'Quick Setup'!$S54,if(AY12='Quick Setup'!$T$47,'Quick Setup'!$T54,if(AY12='Quick Setup'!$U$47,'Quick Setup'!$U54,if(AY12='Quick Setup'!$V$47,'Quick Setup'!$V54,if(AY12='Quick Setup'!$W$47,'Quick Setup'!$W54)))))))))))))))))))))</f>
        <v>4</v>
      </c>
      <c r="BB12" s="22">
        <f t="shared" ref="BB12:BE12" si="127">AU12</f>
        <v>4</v>
      </c>
      <c r="BC12" s="22">
        <f t="shared" si="127"/>
        <v>6</v>
      </c>
      <c r="BD12" s="23">
        <f t="shared" si="127"/>
        <v>0.02</v>
      </c>
      <c r="BE12" s="23">
        <f t="shared" si="127"/>
        <v>-0.05</v>
      </c>
      <c r="BF12" s="21">
        <f>'Quick Setup'!K67</f>
        <v>0.7</v>
      </c>
      <c r="BG12" s="24">
        <f>if(BF12='Quick Setup'!$C$33,'Quick Setup'!$C40,if(BF12='Quick Setup'!$D$33,'Quick Setup'!$D40,if(BF12='Quick Setup'!$E$33,'Quick Setup'!$E40,if(BF12='Quick Setup'!$F$33,'Quick Setup'!$F40,if(BF12='Quick Setup'!$G$33,'Quick Setup'!$G40,if(BF12='Quick Setup'!$H$33,'Quick Setup'!$H40,if(BF12='Quick Setup'!$I$33,'Quick Setup'!$I40,if(BF12='Quick Setup'!$J$33,'Quick Setup'!$J40,if(BF12='Quick Setup'!$K$33,'Quick Setup'!$K40,if(BF12='Quick Setup'!$L$33,'Quick Setup'!$L40,if(BF12='Quick Setup'!$M$33,'Quick Setup'!$M40,if(BF12='Quick Setup'!$N$33,'Quick Setup'!$N40,if(BF12='Quick Setup'!$O$33,'Quick Setup'!$O40,if(BF12='Quick Setup'!$P$33,'Quick Setup'!$P40,if(BF12='Quick Setup'!$Q$33,'Quick Setup'!$Q40,if(BF12='Quick Setup'!$R$33,'Quick Setup'!$R40,if(BF12='Quick Setup'!$S$33,'Quick Setup'!$S40,if(BF12='Quick Setup'!$T$33,'Quick Setup'!$T40,if(BF12='Quick Setup'!$U$33,'Quick Setup'!$U40,if(BF12='Quick Setup'!$V$33,'Quick Setup'!$V40,'2x'!CA39))))))))))))))))))))</f>
        <v>5</v>
      </c>
      <c r="BH12" s="22">
        <f>if(BF12='Quick Setup'!$C$47,'Quick Setup'!$C54,if(BF12='Quick Setup'!$D$47,'Quick Setup'!$D54,if(BF12='Quick Setup'!$E$47,'Quick Setup'!$E54,if(BF12='Quick Setup'!$F$47,'Quick Setup'!$F54,if(BF12='Quick Setup'!$G$47,'Quick Setup'!$G54,if(BF12='Quick Setup'!$H$47,'Quick Setup'!$H54,if(BF12='Quick Setup'!$I$47,'Quick Setup'!$I54,if(BF12='Quick Setup'!$J$47,'Quick Setup'!$J54,if(BF12='Quick Setup'!$K$47,'Quick Setup'!$K54,if(BF12='Quick Setup'!$L$47,'Quick Setup'!$L54,if(BF12='Quick Setup'!$M$47,'Quick Setup'!$M54,if(BF12='Quick Setup'!$N$47,'Quick Setup'!$N54,if(BF12='Quick Setup'!$O$47,'Quick Setup'!$O54,if(BF12='Quick Setup'!$P$47,'Quick Setup'!$P54,if(BF12='Quick Setup'!$Q$47,'Quick Setup'!$Q54,if(BF12='Quick Setup'!$R$47,'Quick Setup'!$R54,if(BF12='Quick Setup'!$S$47,'Quick Setup'!$S54,if(BF12='Quick Setup'!$T$47,'Quick Setup'!$T54,if(BF12='Quick Setup'!$U$47,'Quick Setup'!$U54,if(BF12='Quick Setup'!$V$47,'Quick Setup'!$V54,if(BF12='Quick Setup'!$W$47,'Quick Setup'!$W54)))))))))))))))))))))</f>
        <v>3</v>
      </c>
      <c r="BI12" s="22">
        <f t="shared" ref="BI12:BL12" si="128">BB12</f>
        <v>4</v>
      </c>
      <c r="BJ12" s="22">
        <f t="shared" si="128"/>
        <v>6</v>
      </c>
      <c r="BK12" s="23">
        <f t="shared" si="128"/>
        <v>0.02</v>
      </c>
      <c r="BL12" s="23">
        <f t="shared" si="128"/>
        <v>-0.05</v>
      </c>
      <c r="BM12" s="21">
        <f>'Quick Setup'!L67</f>
        <v>0.75</v>
      </c>
      <c r="BN12" s="24">
        <f>if(BM12='Quick Setup'!$C$33,'Quick Setup'!$C40,if(BM12='Quick Setup'!$D$33,'Quick Setup'!$D40,if(BM12='Quick Setup'!$E$33,'Quick Setup'!$E40,if(BM12='Quick Setup'!$F$33,'Quick Setup'!$F40,if(BM12='Quick Setup'!$G$33,'Quick Setup'!$G40,if(BM12='Quick Setup'!$H$33,'Quick Setup'!$H40,if(BM12='Quick Setup'!$I$33,'Quick Setup'!$I40,if(BM12='Quick Setup'!$J$33,'Quick Setup'!$J40,if(BM12='Quick Setup'!$K$33,'Quick Setup'!$K40,if(BM12='Quick Setup'!$L$33,'Quick Setup'!$L40,if(BM12='Quick Setup'!$M$33,'Quick Setup'!$M40,if(BM12='Quick Setup'!$N$33,'Quick Setup'!$N40,if(BM12='Quick Setup'!$O$33,'Quick Setup'!$O40,if(BM12='Quick Setup'!$P$33,'Quick Setup'!$P40,if(BM12='Quick Setup'!$Q$33,'Quick Setup'!$Q40,if(BM12='Quick Setup'!$R$33,'Quick Setup'!$R40,if(BM12='Quick Setup'!$S$33,'Quick Setup'!$S40,if(BM12='Quick Setup'!$T$33,'Quick Setup'!$T40,if(BM12='Quick Setup'!$U$33,'Quick Setup'!$U40,if(BM12='Quick Setup'!$V$33,'Quick Setup'!$V40,'2x'!CH39))))))))))))))))))))</f>
        <v>4</v>
      </c>
      <c r="BO12" s="22">
        <f>if(BM12='Quick Setup'!$C$47,'Quick Setup'!$C54,if(BM12='Quick Setup'!$D$47,'Quick Setup'!$D54,if(BM12='Quick Setup'!$E$47,'Quick Setup'!$E54,if(BM12='Quick Setup'!$F$47,'Quick Setup'!$F54,if(BM12='Quick Setup'!$G$47,'Quick Setup'!$G54,if(BM12='Quick Setup'!$H$47,'Quick Setup'!$H54,if(BM12='Quick Setup'!$I$47,'Quick Setup'!$I54,if(BM12='Quick Setup'!$J$47,'Quick Setup'!$J54,if(BM12='Quick Setup'!$K$47,'Quick Setup'!$K54,if(BM12='Quick Setup'!$L$47,'Quick Setup'!$L54,if(BM12='Quick Setup'!$M$47,'Quick Setup'!$M54,if(BM12='Quick Setup'!$N$47,'Quick Setup'!$N54,if(BM12='Quick Setup'!$O$47,'Quick Setup'!$O54,if(BM12='Quick Setup'!$P$47,'Quick Setup'!$P54,if(BM12='Quick Setup'!$Q$47,'Quick Setup'!$Q54,if(BM12='Quick Setup'!$R$47,'Quick Setup'!$R54,if(BM12='Quick Setup'!$S$47,'Quick Setup'!$S54,if(BM12='Quick Setup'!$T$47,'Quick Setup'!$T54,if(BM12='Quick Setup'!$U$47,'Quick Setup'!$U54,if(BM12='Quick Setup'!$V$47,'Quick Setup'!$V54,if(BM12='Quick Setup'!$W$47,'Quick Setup'!$W54)))))))))))))))))))))</f>
        <v>3</v>
      </c>
      <c r="BP12" s="22">
        <f t="shared" ref="BP12:BS12" si="129">BI12</f>
        <v>4</v>
      </c>
      <c r="BQ12" s="22">
        <f t="shared" si="129"/>
        <v>6</v>
      </c>
      <c r="BR12" s="23">
        <f t="shared" si="129"/>
        <v>0.02</v>
      </c>
      <c r="BS12" s="23">
        <f t="shared" si="129"/>
        <v>-0.05</v>
      </c>
      <c r="BT12" s="21">
        <f>'Quick Setup'!M67</f>
        <v>0.675</v>
      </c>
      <c r="BU12" s="24">
        <f>if(BT12='Quick Setup'!$C$33,'Quick Setup'!$C40,if(BT12='Quick Setup'!$D$33,'Quick Setup'!$D40,if(BT12='Quick Setup'!$E$33,'Quick Setup'!$E40,if(BT12='Quick Setup'!$F$33,'Quick Setup'!$F40,if(BT12='Quick Setup'!$G$33,'Quick Setup'!$G40,if(BT12='Quick Setup'!$H$33,'Quick Setup'!$H40,if(BT12='Quick Setup'!$I$33,'Quick Setup'!$I40,if(BT12='Quick Setup'!$J$33,'Quick Setup'!$J40,if(BT12='Quick Setup'!$K$33,'Quick Setup'!$K40,if(BT12='Quick Setup'!$L$33,'Quick Setup'!$L40,if(BT12='Quick Setup'!$M$33,'Quick Setup'!$M40,if(BT12='Quick Setup'!$N$33,'Quick Setup'!$N40,if(BT12='Quick Setup'!$O$33,'Quick Setup'!$O40,if(BT12='Quick Setup'!$P$33,'Quick Setup'!$P40,if(BT12='Quick Setup'!$Q$33,'Quick Setup'!$Q40,if(BT12='Quick Setup'!$R$33,'Quick Setup'!$R40,if(BT12='Quick Setup'!$S$33,'Quick Setup'!$S40,if(BT12='Quick Setup'!$T$33,'Quick Setup'!$T40,if(BT12='Quick Setup'!$U$33,'Quick Setup'!$U40,if(BT12='Quick Setup'!$V$33,'Quick Setup'!$V40,'2x'!CO39))))))))))))))))))))</f>
        <v>6</v>
      </c>
      <c r="BV12" s="22">
        <f>if(BT12='Quick Setup'!$C$47,'Quick Setup'!$C54,if(BT12='Quick Setup'!$D$47,'Quick Setup'!$D54,if(BT12='Quick Setup'!$E$47,'Quick Setup'!$E54,if(BT12='Quick Setup'!$F$47,'Quick Setup'!$F54,if(BT12='Quick Setup'!$G$47,'Quick Setup'!$G54,if(BT12='Quick Setup'!$H$47,'Quick Setup'!$H54,if(BT12='Quick Setup'!$I$47,'Quick Setup'!$I54,if(BT12='Quick Setup'!$J$47,'Quick Setup'!$J54,if(BT12='Quick Setup'!$K$47,'Quick Setup'!$K54,if(BT12='Quick Setup'!$L$47,'Quick Setup'!$L54,if(BT12='Quick Setup'!$M$47,'Quick Setup'!$M54,if(BT12='Quick Setup'!$N$47,'Quick Setup'!$N54,if(BT12='Quick Setup'!$O$47,'Quick Setup'!$O54,if(BT12='Quick Setup'!$P$47,'Quick Setup'!$P54,if(BT12='Quick Setup'!$Q$47,'Quick Setup'!$Q54,if(BT12='Quick Setup'!$R$47,'Quick Setup'!$R54,if(BT12='Quick Setup'!$S$47,'Quick Setup'!$S54,if(BT12='Quick Setup'!$T$47,'Quick Setup'!$T54,if(BT12='Quick Setup'!$U$47,'Quick Setup'!$U54,if(BT12='Quick Setup'!$V$47,'Quick Setup'!$V54,if(BT12='Quick Setup'!$W$47,'Quick Setup'!$W54)))))))))))))))))))))</f>
        <v>4</v>
      </c>
      <c r="BW12" s="22">
        <f t="shared" ref="BW12:BZ12" si="130">BP12</f>
        <v>4</v>
      </c>
      <c r="BX12" s="22">
        <f t="shared" si="130"/>
        <v>6</v>
      </c>
      <c r="BY12" s="23">
        <f t="shared" si="130"/>
        <v>0.02</v>
      </c>
      <c r="BZ12" s="23">
        <f t="shared" si="130"/>
        <v>-0.05</v>
      </c>
      <c r="CA12" s="21">
        <f>'Quick Setup'!N67</f>
        <v>0.725</v>
      </c>
      <c r="CB12" s="24">
        <f>if(CA12='Quick Setup'!$C$33,'Quick Setup'!$C40,if(CA12='Quick Setup'!$D$33,'Quick Setup'!$D40,if(CA12='Quick Setup'!$E$33,'Quick Setup'!$E40,if(CA12='Quick Setup'!$F$33,'Quick Setup'!$F40,if(CA12='Quick Setup'!$G$33,'Quick Setup'!$G40,if(CA12='Quick Setup'!$H$33,'Quick Setup'!$H40,if(CA12='Quick Setup'!$I$33,'Quick Setup'!$I40,if(CA12='Quick Setup'!$J$33,'Quick Setup'!$J40,if(CA12='Quick Setup'!$K$33,'Quick Setup'!$K40,if(CA12='Quick Setup'!$L$33,'Quick Setup'!$L40,if(CA12='Quick Setup'!$M$33,'Quick Setup'!$M40,if(CA12='Quick Setup'!$N$33,'Quick Setup'!$N40,if(CA12='Quick Setup'!$O$33,'Quick Setup'!$O40,if(CA12='Quick Setup'!$P$33,'Quick Setup'!$P40,if(CA12='Quick Setup'!$Q$33,'Quick Setup'!$Q40,if(CA12='Quick Setup'!$R$33,'Quick Setup'!$R40,if(CA12='Quick Setup'!$S$33,'Quick Setup'!$S40,if(CA12='Quick Setup'!$T$33,'Quick Setup'!$T40,if(CA12='Quick Setup'!$U$33,'Quick Setup'!$U40,if(CA12='Quick Setup'!$V$33,'Quick Setup'!$V40,'2x'!CV39))))))))))))))))))))</f>
        <v>5</v>
      </c>
      <c r="CC12" s="22">
        <f>if(CA12='Quick Setup'!$C$47,'Quick Setup'!$C54,if(CA12='Quick Setup'!$D$47,'Quick Setup'!$D54,if(CA12='Quick Setup'!$E$47,'Quick Setup'!$E54,if(CA12='Quick Setup'!$F$47,'Quick Setup'!$F54,if(CA12='Quick Setup'!$G$47,'Quick Setup'!$G54,if(CA12='Quick Setup'!$H$47,'Quick Setup'!$H54,if(CA12='Quick Setup'!$I$47,'Quick Setup'!$I54,if(CA12='Quick Setup'!$J$47,'Quick Setup'!$J54,if(CA12='Quick Setup'!$K$47,'Quick Setup'!$K54,if(CA12='Quick Setup'!$L$47,'Quick Setup'!$L54,if(CA12='Quick Setup'!$M$47,'Quick Setup'!$M54,if(CA12='Quick Setup'!$N$47,'Quick Setup'!$N54,if(CA12='Quick Setup'!$O$47,'Quick Setup'!$O54,if(CA12='Quick Setup'!$P$47,'Quick Setup'!$P54,if(CA12='Quick Setup'!$Q$47,'Quick Setup'!$Q54,if(CA12='Quick Setup'!$R$47,'Quick Setup'!$R54,if(CA12='Quick Setup'!$S$47,'Quick Setup'!$S54,if(CA12='Quick Setup'!$T$47,'Quick Setup'!$T54,if(CA12='Quick Setup'!$U$47,'Quick Setup'!$U54,if(CA12='Quick Setup'!$V$47,'Quick Setup'!$V54,if(CA12='Quick Setup'!$W$47,'Quick Setup'!$W54)))))))))))))))))))))</f>
        <v>3</v>
      </c>
      <c r="CD12" s="22">
        <f t="shared" ref="CD12:CG12" si="131">BW12</f>
        <v>4</v>
      </c>
      <c r="CE12" s="22">
        <f t="shared" si="131"/>
        <v>6</v>
      </c>
      <c r="CF12" s="23">
        <f t="shared" si="131"/>
        <v>0.02</v>
      </c>
      <c r="CG12" s="23">
        <f t="shared" si="131"/>
        <v>-0.05</v>
      </c>
      <c r="CH12" s="21">
        <f>'Quick Setup'!O67</f>
        <v>0.775</v>
      </c>
      <c r="CI12" s="24">
        <f>if(CH12='Quick Setup'!$C$33,'Quick Setup'!$C40,if(CH12='Quick Setup'!$D$33,'Quick Setup'!$D40,if(CH12='Quick Setup'!$E$33,'Quick Setup'!$E40,if(CH12='Quick Setup'!$F$33,'Quick Setup'!$F40,if(CH12='Quick Setup'!$G$33,'Quick Setup'!$G40,if(CH12='Quick Setup'!$H$33,'Quick Setup'!$H40,if(CH12='Quick Setup'!$I$33,'Quick Setup'!$I40,if(CH12='Quick Setup'!$J$33,'Quick Setup'!$J40,if(CH12='Quick Setup'!$K$33,'Quick Setup'!$K40,if(CH12='Quick Setup'!$L$33,'Quick Setup'!$L40,if(CH12='Quick Setup'!$M$33,'Quick Setup'!$M40,if(CH12='Quick Setup'!$N$33,'Quick Setup'!$N40,if(CH12='Quick Setup'!$O$33,'Quick Setup'!$O40,if(CH12='Quick Setup'!$P$33,'Quick Setup'!$P40,if(CH12='Quick Setup'!$Q$33,'Quick Setup'!$Q40,if(CH12='Quick Setup'!$R$33,'Quick Setup'!$R40,if(CH12='Quick Setup'!$S$33,'Quick Setup'!$S40,if(CH12='Quick Setup'!$T$33,'Quick Setup'!$T40,if(CH12='Quick Setup'!$U$33,'Quick Setup'!$U40,if(CH12='Quick Setup'!$V$33,'Quick Setup'!$V40,'2x'!DC39))))))))))))))))))))</f>
        <v>4</v>
      </c>
      <c r="CJ12" s="22">
        <f>if(CH12='Quick Setup'!$C$47,'Quick Setup'!$C54,if(CH12='Quick Setup'!$D$47,'Quick Setup'!$D54,if(CH12='Quick Setup'!$E$47,'Quick Setup'!$E54,if(CH12='Quick Setup'!$F$47,'Quick Setup'!$F54,if(CH12='Quick Setup'!$G$47,'Quick Setup'!$G54,if(CH12='Quick Setup'!$H$47,'Quick Setup'!$H54,if(CH12='Quick Setup'!$I$47,'Quick Setup'!$I54,if(CH12='Quick Setup'!$J$47,'Quick Setup'!$J54,if(CH12='Quick Setup'!$K$47,'Quick Setup'!$K54,if(CH12='Quick Setup'!$L$47,'Quick Setup'!$L54,if(CH12='Quick Setup'!$M$47,'Quick Setup'!$M54,if(CH12='Quick Setup'!$N$47,'Quick Setup'!$N54,if(CH12='Quick Setup'!$O$47,'Quick Setup'!$O54,if(CH12='Quick Setup'!$P$47,'Quick Setup'!$P54,if(CH12='Quick Setup'!$Q$47,'Quick Setup'!$Q54,if(CH12='Quick Setup'!$R$47,'Quick Setup'!$R54,if(CH12='Quick Setup'!$S$47,'Quick Setup'!$S54,if(CH12='Quick Setup'!$T$47,'Quick Setup'!$T54,if(CH12='Quick Setup'!$U$47,'Quick Setup'!$U54,if(CH12='Quick Setup'!$V$47,'Quick Setup'!$V54,if(CH12='Quick Setup'!$W$47,'Quick Setup'!$W54)))))))))))))))))))))</f>
        <v>3</v>
      </c>
      <c r="CK12" s="22">
        <f t="shared" ref="CK12:CN12" si="132">CD12</f>
        <v>4</v>
      </c>
      <c r="CL12" s="22">
        <f t="shared" si="132"/>
        <v>6</v>
      </c>
      <c r="CM12" s="23">
        <f t="shared" si="132"/>
        <v>0.02</v>
      </c>
      <c r="CN12" s="23">
        <f t="shared" si="132"/>
        <v>-0.05</v>
      </c>
      <c r="CO12" s="21">
        <f>'Quick Setup'!P67</f>
        <v>0.5</v>
      </c>
      <c r="CP12" s="24">
        <f>if(CO12='Quick Setup'!$C$33,'Quick Setup'!$C40,if(CO12='Quick Setup'!$D$33,'Quick Setup'!$D40,if(CO12='Quick Setup'!$E$33,'Quick Setup'!$E40,if(CO12='Quick Setup'!$F$33,'Quick Setup'!$F40,if(CO12='Quick Setup'!$G$33,'Quick Setup'!$G40,if(CO12='Quick Setup'!$H$33,'Quick Setup'!$H40,if(CO12='Quick Setup'!$I$33,'Quick Setup'!$I40,if(CO12='Quick Setup'!$J$33,'Quick Setup'!$J40,if(CO12='Quick Setup'!$K$33,'Quick Setup'!$K40,if(CO12='Quick Setup'!$L$33,'Quick Setup'!$L40,if(CO12='Quick Setup'!$M$33,'Quick Setup'!$M40,if(CO12='Quick Setup'!$N$33,'Quick Setup'!$N40,if(CO12='Quick Setup'!$O$33,'Quick Setup'!$O40,if(CO12='Quick Setup'!$P$33,'Quick Setup'!$P40,if(CO12='Quick Setup'!$Q$33,'Quick Setup'!$Q40,if(CO12='Quick Setup'!$R$33,'Quick Setup'!$R40,if(CO12='Quick Setup'!$S$33,'Quick Setup'!$S40,if(CO12='Quick Setup'!$T$33,'Quick Setup'!$T40,if(CO12='Quick Setup'!$U$33,'Quick Setup'!$U40,if(CO12='Quick Setup'!$V$33,'Quick Setup'!$V40,'2x'!DJ39))))))))))))))))))))</f>
        <v>8</v>
      </c>
      <c r="CQ12" s="22">
        <f>if(CO12='Quick Setup'!$C$47,'Quick Setup'!$C54,if(CO12='Quick Setup'!$D$47,'Quick Setup'!$D54,if(CO12='Quick Setup'!$E$47,'Quick Setup'!$E54,if(CO12='Quick Setup'!$F$47,'Quick Setup'!$F54,if(CO12='Quick Setup'!$G$47,'Quick Setup'!$G54,if(CO12='Quick Setup'!$H$47,'Quick Setup'!$H54,if(CO12='Quick Setup'!$I$47,'Quick Setup'!$I54,if(CO12='Quick Setup'!$J$47,'Quick Setup'!$J54,if(CO12='Quick Setup'!$K$47,'Quick Setup'!$K54,if(CO12='Quick Setup'!$L$47,'Quick Setup'!$L54,if(CO12='Quick Setup'!$M$47,'Quick Setup'!$M54,if(CO12='Quick Setup'!$N$47,'Quick Setup'!$N54,if(CO12='Quick Setup'!$O$47,'Quick Setup'!$O54,if(CO12='Quick Setup'!$P$47,'Quick Setup'!$P54,if(CO12='Quick Setup'!$Q$47,'Quick Setup'!$Q54,if(CO12='Quick Setup'!$R$47,'Quick Setup'!$R54,if(CO12='Quick Setup'!$S$47,'Quick Setup'!$S54,if(CO12='Quick Setup'!$T$47,'Quick Setup'!$T54,if(CO12='Quick Setup'!$U$47,'Quick Setup'!$U54,if(CO12='Quick Setup'!$V$47,'Quick Setup'!$V54,if(CO12='Quick Setup'!$W$47,'Quick Setup'!$W54)))))))))))))))))))))</f>
        <v>5</v>
      </c>
      <c r="CR12" s="22">
        <f t="shared" ref="CR12:CU12" si="133">CK12</f>
        <v>4</v>
      </c>
      <c r="CS12" s="22">
        <f t="shared" si="133"/>
        <v>6</v>
      </c>
      <c r="CT12" s="23">
        <f t="shared" si="133"/>
        <v>0.02</v>
      </c>
      <c r="CU12" s="23">
        <f t="shared" si="133"/>
        <v>-0.05</v>
      </c>
      <c r="CV12" s="21">
        <f>'Quick Setup'!Q67</f>
        <v>0.7</v>
      </c>
      <c r="CW12" s="24">
        <f>if(CV12='Quick Setup'!$C$33,'Quick Setup'!$C40,if(CV12='Quick Setup'!$D$33,'Quick Setup'!$D40,if(CV12='Quick Setup'!$E$33,'Quick Setup'!$E40,if(CV12='Quick Setup'!$F$33,'Quick Setup'!$F40,if(CV12='Quick Setup'!$G$33,'Quick Setup'!$G40,if(CV12='Quick Setup'!$H$33,'Quick Setup'!$H40,if(CV12='Quick Setup'!$I$33,'Quick Setup'!$I40,if(CV12='Quick Setup'!$J$33,'Quick Setup'!$J40,if(CV12='Quick Setup'!$K$33,'Quick Setup'!$K40,if(CV12='Quick Setup'!$L$33,'Quick Setup'!$L40,if(CV12='Quick Setup'!$M$33,'Quick Setup'!$M40,if(CV12='Quick Setup'!$N$33,'Quick Setup'!$N40,if(CV12='Quick Setup'!$O$33,'Quick Setup'!$O40,if(CV12='Quick Setup'!$P$33,'Quick Setup'!$P40,if(CV12='Quick Setup'!$Q$33,'Quick Setup'!$Q40,if(CV12='Quick Setup'!$R$33,'Quick Setup'!$R40,if(CV12='Quick Setup'!$S$33,'Quick Setup'!$S40,if(CV12='Quick Setup'!$T$33,'Quick Setup'!$T40,if(CV12='Quick Setup'!$U$33,'Quick Setup'!$U40,if(CV12='Quick Setup'!$V$33,'Quick Setup'!$V40,'2x'!DQ39))))))))))))))))))))</f>
        <v>5</v>
      </c>
      <c r="CX12" s="22">
        <f>if(CV12='Quick Setup'!$C$47,'Quick Setup'!$C54,if(CV12='Quick Setup'!$D$47,'Quick Setup'!$D54,if(CV12='Quick Setup'!$E$47,'Quick Setup'!$E54,if(CV12='Quick Setup'!$F$47,'Quick Setup'!$F54,if(CV12='Quick Setup'!$G$47,'Quick Setup'!$G54,if(CV12='Quick Setup'!$H$47,'Quick Setup'!$H54,if(CV12='Quick Setup'!$I$47,'Quick Setup'!$I54,if(CV12='Quick Setup'!$J$47,'Quick Setup'!$J54,if(CV12='Quick Setup'!$K$47,'Quick Setup'!$K54,if(CV12='Quick Setup'!$L$47,'Quick Setup'!$L54,if(CV12='Quick Setup'!$M$47,'Quick Setup'!$M54,if(CV12='Quick Setup'!$N$47,'Quick Setup'!$N54,if(CV12='Quick Setup'!$O$47,'Quick Setup'!$O54,if(CV12='Quick Setup'!$P$47,'Quick Setup'!$P54,if(CV12='Quick Setup'!$Q$47,'Quick Setup'!$Q54,if(CV12='Quick Setup'!$R$47,'Quick Setup'!$R54,if(CV12='Quick Setup'!$S$47,'Quick Setup'!$S54,if(CV12='Quick Setup'!$T$47,'Quick Setup'!$T54,if(CV12='Quick Setup'!$U$47,'Quick Setup'!$U54,if(CV12='Quick Setup'!$V$47,'Quick Setup'!$V54,if(CV12='Quick Setup'!$W$47,'Quick Setup'!$W54)))))))))))))))))))))</f>
        <v>3</v>
      </c>
      <c r="CY12" s="22">
        <f t="shared" ref="CY12:DB12" si="134">CR12</f>
        <v>4</v>
      </c>
      <c r="CZ12" s="22">
        <f t="shared" si="134"/>
        <v>6</v>
      </c>
      <c r="DA12" s="23">
        <f t="shared" si="134"/>
        <v>0.02</v>
      </c>
      <c r="DB12" s="23">
        <f t="shared" si="134"/>
        <v>-0.05</v>
      </c>
      <c r="DC12" s="21">
        <f>'Quick Setup'!R67</f>
        <v>0.75</v>
      </c>
      <c r="DD12" s="24">
        <f>if(DC12='Quick Setup'!$C$33,'Quick Setup'!$C40,if(DC12='Quick Setup'!$D$33,'Quick Setup'!$D40,if(DC12='Quick Setup'!$E$33,'Quick Setup'!$E40,if(DC12='Quick Setup'!$F$33,'Quick Setup'!$F40,if(DC12='Quick Setup'!$G$33,'Quick Setup'!$G40,if(DC12='Quick Setup'!$H$33,'Quick Setup'!$H40,if(DC12='Quick Setup'!$I$33,'Quick Setup'!$I40,if(DC12='Quick Setup'!$J$33,'Quick Setup'!$J40,if(DC12='Quick Setup'!$K$33,'Quick Setup'!$K40,if(DC12='Quick Setup'!$L$33,'Quick Setup'!$L40,if(DC12='Quick Setup'!$M$33,'Quick Setup'!$M40,if(DC12='Quick Setup'!$N$33,'Quick Setup'!$N40,if(DC12='Quick Setup'!$O$33,'Quick Setup'!$O40,if(DC12='Quick Setup'!$P$33,'Quick Setup'!$P40,if(DC12='Quick Setup'!$Q$33,'Quick Setup'!$Q40,if(DC12='Quick Setup'!$R$33,'Quick Setup'!$R40,if(DC12='Quick Setup'!$S$33,'Quick Setup'!$S40,if(DC12='Quick Setup'!$T$33,'Quick Setup'!$T40,if(DC12='Quick Setup'!$U$33,'Quick Setup'!$U40,if(DC12='Quick Setup'!$V$33,'Quick Setup'!$V40,'2x'!DX39))))))))))))))))))))</f>
        <v>4</v>
      </c>
      <c r="DE12" s="22">
        <f>if(DC12='Quick Setup'!$C$47,'Quick Setup'!$C54,if(DC12='Quick Setup'!$D$47,'Quick Setup'!$D54,if(DC12='Quick Setup'!$E$47,'Quick Setup'!$E54,if(DC12='Quick Setup'!$F$47,'Quick Setup'!$F54,if(DC12='Quick Setup'!$G$47,'Quick Setup'!$G54,if(DC12='Quick Setup'!$H$47,'Quick Setup'!$H54,if(DC12='Quick Setup'!$I$47,'Quick Setup'!$I54,if(DC12='Quick Setup'!$J$47,'Quick Setup'!$J54,if(DC12='Quick Setup'!$K$47,'Quick Setup'!$K54,if(DC12='Quick Setup'!$L$47,'Quick Setup'!$L54,if(DC12='Quick Setup'!$M$47,'Quick Setup'!$M54,if(DC12='Quick Setup'!$N$47,'Quick Setup'!$N54,if(DC12='Quick Setup'!$O$47,'Quick Setup'!$O54,if(DC12='Quick Setup'!$P$47,'Quick Setup'!$P54,if(DC12='Quick Setup'!$Q$47,'Quick Setup'!$Q54,if(DC12='Quick Setup'!$R$47,'Quick Setup'!$R54,if(DC12='Quick Setup'!$S$47,'Quick Setup'!$S54,if(DC12='Quick Setup'!$T$47,'Quick Setup'!$T54,if(DC12='Quick Setup'!$U$47,'Quick Setup'!$U54,if(DC12='Quick Setup'!$V$47,'Quick Setup'!$V54,if(DC12='Quick Setup'!$W$47,'Quick Setup'!$W54)))))))))))))))))))))</f>
        <v>3</v>
      </c>
      <c r="DF12" s="22">
        <f t="shared" ref="DF12:DI12" si="135">CY12</f>
        <v>4</v>
      </c>
      <c r="DG12" s="22">
        <f t="shared" si="135"/>
        <v>6</v>
      </c>
      <c r="DH12" s="23">
        <f t="shared" si="135"/>
        <v>0.02</v>
      </c>
      <c r="DI12" s="23">
        <f t="shared" si="135"/>
        <v>-0.05</v>
      </c>
      <c r="DJ12" s="21">
        <f>'Quick Setup'!S67</f>
        <v>0.8</v>
      </c>
      <c r="DK12" s="24">
        <f>if(DJ12='Quick Setup'!$C$33,'Quick Setup'!$C40,if(DJ12='Quick Setup'!$D$33,'Quick Setup'!$D40,if(DJ12='Quick Setup'!$E$33,'Quick Setup'!$E40,if(DJ12='Quick Setup'!$F$33,'Quick Setup'!$F40,if(DJ12='Quick Setup'!$G$33,'Quick Setup'!$G40,if(DJ12='Quick Setup'!$H$33,'Quick Setup'!$H40,if(DJ12='Quick Setup'!$I$33,'Quick Setup'!$I40,if(DJ12='Quick Setup'!$J$33,'Quick Setup'!$J40,if(DJ12='Quick Setup'!$K$33,'Quick Setup'!$K40,if(DJ12='Quick Setup'!$L$33,'Quick Setup'!$L40,if(DJ12='Quick Setup'!$M$33,'Quick Setup'!$M40,if(DJ12='Quick Setup'!$N$33,'Quick Setup'!$N40,if(DJ12='Quick Setup'!$O$33,'Quick Setup'!$O40,if(DJ12='Quick Setup'!$P$33,'Quick Setup'!$P40,if(DJ12='Quick Setup'!$Q$33,'Quick Setup'!$Q40,if(DJ12='Quick Setup'!$R$33,'Quick Setup'!$R40,if(DJ12='Quick Setup'!$S$33,'Quick Setup'!$S40,if(DJ12='Quick Setup'!$T$33,'Quick Setup'!$T40,if(DJ12='Quick Setup'!$U$33,'Quick Setup'!$U40,if(DJ12='Quick Setup'!$V$33,'Quick Setup'!$V40,'2x'!EE39))))))))))))))))))))</f>
        <v>3</v>
      </c>
      <c r="DL12" s="22">
        <f>if(DJ12='Quick Setup'!$C$47,'Quick Setup'!$C54,if(DJ12='Quick Setup'!$D$47,'Quick Setup'!$D54,if(DJ12='Quick Setup'!$E$47,'Quick Setup'!$E54,if(DJ12='Quick Setup'!$F$47,'Quick Setup'!$F54,if(DJ12='Quick Setup'!$G$47,'Quick Setup'!$G54,if(DJ12='Quick Setup'!$H$47,'Quick Setup'!$H54,if(DJ12='Quick Setup'!$I$47,'Quick Setup'!$I54,if(DJ12='Quick Setup'!$J$47,'Quick Setup'!$J54,if(DJ12='Quick Setup'!$K$47,'Quick Setup'!$K54,if(DJ12='Quick Setup'!$L$47,'Quick Setup'!$L54,if(DJ12='Quick Setup'!$M$47,'Quick Setup'!$M54,if(DJ12='Quick Setup'!$N$47,'Quick Setup'!$N54,if(DJ12='Quick Setup'!$O$47,'Quick Setup'!$O54,if(DJ12='Quick Setup'!$P$47,'Quick Setup'!$P54,if(DJ12='Quick Setup'!$Q$47,'Quick Setup'!$Q54,if(DJ12='Quick Setup'!$R$47,'Quick Setup'!$R54,if(DJ12='Quick Setup'!$S$47,'Quick Setup'!$S54,if(DJ12='Quick Setup'!$T$47,'Quick Setup'!$T54,if(DJ12='Quick Setup'!$U$47,'Quick Setup'!$U54,if(DJ12='Quick Setup'!$V$47,'Quick Setup'!$V54,if(DJ12='Quick Setup'!$W$47,'Quick Setup'!$W54)))))))))))))))))))))</f>
        <v>2</v>
      </c>
      <c r="DM12" s="22">
        <f t="shared" ref="DM12:DP12" si="136">DF12</f>
        <v>4</v>
      </c>
      <c r="DN12" s="22">
        <f t="shared" si="136"/>
        <v>6</v>
      </c>
      <c r="DO12" s="23">
        <f t="shared" si="136"/>
        <v>0.02</v>
      </c>
      <c r="DP12" s="23">
        <f t="shared" si="136"/>
        <v>-0.05</v>
      </c>
      <c r="DQ12" s="21">
        <f>'Quick Setup'!T67</f>
        <v>0.75</v>
      </c>
      <c r="DR12" s="24">
        <f>if(DQ12='Quick Setup'!$C$33,'Quick Setup'!$C40,if(DQ12='Quick Setup'!$D$33,'Quick Setup'!$D40,if(DQ12='Quick Setup'!$E$33,'Quick Setup'!$E40,if(DQ12='Quick Setup'!$F$33,'Quick Setup'!$F40,if(DQ12='Quick Setup'!$G$33,'Quick Setup'!$G40,if(DQ12='Quick Setup'!$H$33,'Quick Setup'!$H40,if(DQ12='Quick Setup'!$I$33,'Quick Setup'!$I40,if(DQ12='Quick Setup'!$J$33,'Quick Setup'!$J40,if(DQ12='Quick Setup'!$K$33,'Quick Setup'!$K40,if(DQ12='Quick Setup'!$L$33,'Quick Setup'!$L40,if(DQ12='Quick Setup'!$M$33,'Quick Setup'!$M40,if(DQ12='Quick Setup'!$N$33,'Quick Setup'!$N40,if(DQ12='Quick Setup'!$O$33,'Quick Setup'!$O40,if(DQ12='Quick Setup'!$P$33,'Quick Setup'!$P40,if(DQ12='Quick Setup'!$Q$33,'Quick Setup'!$Q40,if(DQ12='Quick Setup'!$R$33,'Quick Setup'!$R40,if(DQ12='Quick Setup'!$S$33,'Quick Setup'!$S40,if(DQ12='Quick Setup'!$T$33,'Quick Setup'!$T40,if(DQ12='Quick Setup'!$U$33,'Quick Setup'!$U40,if(DQ12='Quick Setup'!$V$33,'Quick Setup'!$V40,'2x'!EL39))))))))))))))))))))</f>
        <v>4</v>
      </c>
      <c r="DS12" s="22">
        <f>if(DQ12='Quick Setup'!$C$47,'Quick Setup'!$C54,if(DQ12='Quick Setup'!$D$47,'Quick Setup'!$D54,if(DQ12='Quick Setup'!$E$47,'Quick Setup'!$E54,if(DQ12='Quick Setup'!$F$47,'Quick Setup'!$F54,if(DQ12='Quick Setup'!$G$47,'Quick Setup'!$G54,if(DQ12='Quick Setup'!$H$47,'Quick Setup'!$H54,if(DQ12='Quick Setup'!$I$47,'Quick Setup'!$I54,if(DQ12='Quick Setup'!$J$47,'Quick Setup'!$J54,if(DQ12='Quick Setup'!$K$47,'Quick Setup'!$K54,if(DQ12='Quick Setup'!$L$47,'Quick Setup'!$L54,if(DQ12='Quick Setup'!$M$47,'Quick Setup'!$M54,if(DQ12='Quick Setup'!$N$47,'Quick Setup'!$N54,if(DQ12='Quick Setup'!$O$47,'Quick Setup'!$O54,if(DQ12='Quick Setup'!$P$47,'Quick Setup'!$P54,if(DQ12='Quick Setup'!$Q$47,'Quick Setup'!$Q54,if(DQ12='Quick Setup'!$R$47,'Quick Setup'!$R54,if(DQ12='Quick Setup'!$S$47,'Quick Setup'!$S54,if(DQ12='Quick Setup'!$T$47,'Quick Setup'!$T54,if(DQ12='Quick Setup'!$U$47,'Quick Setup'!$U54,if(DQ12='Quick Setup'!$V$47,'Quick Setup'!$V54,if(DQ12='Quick Setup'!$W$47,'Quick Setup'!$W54)))))))))))))))))))))</f>
        <v>3</v>
      </c>
      <c r="DT12" s="22">
        <f t="shared" ref="DT12:DW12" si="137">DM12</f>
        <v>4</v>
      </c>
      <c r="DU12" s="22">
        <f t="shared" si="137"/>
        <v>6</v>
      </c>
      <c r="DV12" s="23">
        <f t="shared" si="137"/>
        <v>0.02</v>
      </c>
      <c r="DW12" s="23">
        <f t="shared" si="137"/>
        <v>-0.05</v>
      </c>
      <c r="DX12" s="21">
        <f>'Quick Setup'!U67</f>
        <v>0.8</v>
      </c>
      <c r="DY12" s="24">
        <f>if(DX12='Quick Setup'!$C$33,'Quick Setup'!$C40,if(DX12='Quick Setup'!$D$33,'Quick Setup'!$D40,if(DX12='Quick Setup'!$E$33,'Quick Setup'!$E40,if(DX12='Quick Setup'!$F$33,'Quick Setup'!$F40,if(DX12='Quick Setup'!$G$33,'Quick Setup'!$G40,if(DX12='Quick Setup'!$H$33,'Quick Setup'!$H40,if(DX12='Quick Setup'!$I$33,'Quick Setup'!$I40,if(DX12='Quick Setup'!$J$33,'Quick Setup'!$J40,if(DX12='Quick Setup'!$K$33,'Quick Setup'!$K40,if(DX12='Quick Setup'!$L$33,'Quick Setup'!$L40,if(DX12='Quick Setup'!$M$33,'Quick Setup'!$M40,if(DX12='Quick Setup'!$N$33,'Quick Setup'!$N40,if(DX12='Quick Setup'!$O$33,'Quick Setup'!$O40,if(DX12='Quick Setup'!$P$33,'Quick Setup'!$P40,if(DX12='Quick Setup'!$Q$33,'Quick Setup'!$Q40,if(DX12='Quick Setup'!$R$33,'Quick Setup'!$R40,if(DX12='Quick Setup'!$S$33,'Quick Setup'!$S40,if(DX12='Quick Setup'!$T$33,'Quick Setup'!$T40,if(DX12='Quick Setup'!$U$33,'Quick Setup'!$U40,if(DX12='Quick Setup'!$V$33,'Quick Setup'!$V40,'2x'!ES39))))))))))))))))))))</f>
        <v>3</v>
      </c>
      <c r="DZ12" s="22">
        <f>if(DX12='Quick Setup'!$C$47,'Quick Setup'!$C54,if(DX12='Quick Setup'!$D$47,'Quick Setup'!$D54,if(DX12='Quick Setup'!$E$47,'Quick Setup'!$E54,if(DX12='Quick Setup'!$F$47,'Quick Setup'!$F54,if(DX12='Quick Setup'!$G$47,'Quick Setup'!$G54,if(DX12='Quick Setup'!$H$47,'Quick Setup'!$H54,if(DX12='Quick Setup'!$I$47,'Quick Setup'!$I54,if(DX12='Quick Setup'!$J$47,'Quick Setup'!$J54,if(DX12='Quick Setup'!$K$47,'Quick Setup'!$K54,if(DX12='Quick Setup'!$L$47,'Quick Setup'!$L54,if(DX12='Quick Setup'!$M$47,'Quick Setup'!$M54,if(DX12='Quick Setup'!$N$47,'Quick Setup'!$N54,if(DX12='Quick Setup'!$O$47,'Quick Setup'!$O54,if(DX12='Quick Setup'!$P$47,'Quick Setup'!$P54,if(DX12='Quick Setup'!$Q$47,'Quick Setup'!$Q54,if(DX12='Quick Setup'!$R$47,'Quick Setup'!$R54,if(DX12='Quick Setup'!$S$47,'Quick Setup'!$S54,if(DX12='Quick Setup'!$T$47,'Quick Setup'!$T54,if(DX12='Quick Setup'!$U$47,'Quick Setup'!$U54,if(DX12='Quick Setup'!$V$47,'Quick Setup'!$V54,if(DX12='Quick Setup'!$W$47,'Quick Setup'!$W54)))))))))))))))))))))</f>
        <v>2</v>
      </c>
      <c r="EA12" s="22">
        <f t="shared" ref="EA12:ED12" si="138">DT12</f>
        <v>4</v>
      </c>
      <c r="EB12" s="22">
        <f t="shared" si="138"/>
        <v>6</v>
      </c>
      <c r="EC12" s="23">
        <f t="shared" si="138"/>
        <v>0.02</v>
      </c>
      <c r="ED12" s="23">
        <f t="shared" si="138"/>
        <v>-0.05</v>
      </c>
      <c r="EE12" s="21">
        <f>'Quick Setup'!V67</f>
        <v>0.85</v>
      </c>
      <c r="EF12" s="24">
        <f>if(EE12='Quick Setup'!$C$33,'Quick Setup'!$C40,if(EE12='Quick Setup'!$D$33,'Quick Setup'!$D40,if(EE12='Quick Setup'!$E$33,'Quick Setup'!$E40,if(EE12='Quick Setup'!$F$33,'Quick Setup'!$F40,if(EE12='Quick Setup'!$G$33,'Quick Setup'!$G40,if(EE12='Quick Setup'!$H$33,'Quick Setup'!$H40,if(EE12='Quick Setup'!$I$33,'Quick Setup'!$I40,if(EE12='Quick Setup'!$J$33,'Quick Setup'!$J40,if(EE12='Quick Setup'!$K$33,'Quick Setup'!$K40,if(EE12='Quick Setup'!$L$33,'Quick Setup'!$L40,if(EE12='Quick Setup'!$M$33,'Quick Setup'!$M40,if(EE12='Quick Setup'!$N$33,'Quick Setup'!$N40,if(EE12='Quick Setup'!$O$33,'Quick Setup'!$O40,if(EE12='Quick Setup'!$P$33,'Quick Setup'!$P40,if(EE12='Quick Setup'!$Q$33,'Quick Setup'!$Q40,if(EE12='Quick Setup'!$R$33,'Quick Setup'!$R40,if(EE12='Quick Setup'!$S$33,'Quick Setup'!$S40,if(EE12='Quick Setup'!$T$33,'Quick Setup'!$T40,if(EE12='Quick Setup'!$U$33,'Quick Setup'!$U40,if(EE12='Quick Setup'!$V$33,'Quick Setup'!$V40,'2x'!EZ39))))))))))))))))))))</f>
        <v>2</v>
      </c>
      <c r="EG12" s="22">
        <f>if(EE12='Quick Setup'!$C$47,'Quick Setup'!$C54,if(EE12='Quick Setup'!$D$47,'Quick Setup'!$D54,if(EE12='Quick Setup'!$E$47,'Quick Setup'!$E54,if(EE12='Quick Setup'!$F$47,'Quick Setup'!$F54,if(EE12='Quick Setup'!$G$47,'Quick Setup'!$G54,if(EE12='Quick Setup'!$H$47,'Quick Setup'!$H54,if(EE12='Quick Setup'!$I$47,'Quick Setup'!$I54,if(EE12='Quick Setup'!$J$47,'Quick Setup'!$J54,if(EE12='Quick Setup'!$K$47,'Quick Setup'!$K54,if(EE12='Quick Setup'!$L$47,'Quick Setup'!$L54,if(EE12='Quick Setup'!$M$47,'Quick Setup'!$M54,if(EE12='Quick Setup'!$N$47,'Quick Setup'!$N54,if(EE12='Quick Setup'!$O$47,'Quick Setup'!$O54,if(EE12='Quick Setup'!$P$47,'Quick Setup'!$P54,if(EE12='Quick Setup'!$Q$47,'Quick Setup'!$Q54,if(EE12='Quick Setup'!$R$47,'Quick Setup'!$R54,if(EE12='Quick Setup'!$S$47,'Quick Setup'!$S54,if(EE12='Quick Setup'!$T$47,'Quick Setup'!$T54,if(EE12='Quick Setup'!$U$47,'Quick Setup'!$U54,if(EE12='Quick Setup'!$V$47,'Quick Setup'!$V54,if(EE12='Quick Setup'!$W$47,'Quick Setup'!$W54)))))))))))))))))))))</f>
        <v>2</v>
      </c>
      <c r="EH12" s="22">
        <f t="shared" ref="EH12:EK12" si="139">EA12</f>
        <v>4</v>
      </c>
      <c r="EI12" s="22">
        <f t="shared" si="139"/>
        <v>6</v>
      </c>
      <c r="EJ12" s="23">
        <f t="shared" si="139"/>
        <v>0.02</v>
      </c>
      <c r="EK12" s="23">
        <f t="shared" si="139"/>
        <v>-0.05</v>
      </c>
      <c r="EL12" s="21">
        <f>'Quick Setup'!W67</f>
        <v>0.5</v>
      </c>
      <c r="EM12" s="24">
        <f>if(EL12='Quick Setup'!$C$33,'Quick Setup'!$C40,if(EL12='Quick Setup'!$D$33,'Quick Setup'!$D40,if(EL12='Quick Setup'!$E$33,'Quick Setup'!$E40,if(EL12='Quick Setup'!$F$33,'Quick Setup'!$F40,if(EL12='Quick Setup'!$G$33,'Quick Setup'!$G40,if(EL12='Quick Setup'!$H$33,'Quick Setup'!$H40,if(EL12='Quick Setup'!$I$33,'Quick Setup'!$I40,if(EL12='Quick Setup'!$J$33,'Quick Setup'!$J40,if(EL12='Quick Setup'!$K$33,'Quick Setup'!$K40,if(EL12='Quick Setup'!$L$33,'Quick Setup'!$L40,if(EL12='Quick Setup'!$M$33,'Quick Setup'!$M40,if(EL12='Quick Setup'!$N$33,'Quick Setup'!$N40,if(EL12='Quick Setup'!$O$33,'Quick Setup'!$O40,if(EL12='Quick Setup'!$P$33,'Quick Setup'!$P40,if(EL12='Quick Setup'!$Q$33,'Quick Setup'!$Q40,if(EL12='Quick Setup'!$R$33,'Quick Setup'!$R40,if(EL12='Quick Setup'!$S$33,'Quick Setup'!$S40,if(EL12='Quick Setup'!$T$33,'Quick Setup'!$T40,if(EL12='Quick Setup'!$U$33,'Quick Setup'!$U40,if(EL12='Quick Setup'!$V$33,'Quick Setup'!$V40,'2x'!FG39))))))))))))))))))))</f>
        <v>8</v>
      </c>
      <c r="EN12" s="22">
        <f>if(EL12='Quick Setup'!$C$47,'Quick Setup'!$C54,if(EL12='Quick Setup'!$D$47,'Quick Setup'!$D54,if(EL12='Quick Setup'!$E$47,'Quick Setup'!$E54,if(EL12='Quick Setup'!$F$47,'Quick Setup'!$F54,if(EL12='Quick Setup'!$G$47,'Quick Setup'!$G54,if(EL12='Quick Setup'!$H$47,'Quick Setup'!$H54,if(EL12='Quick Setup'!$I$47,'Quick Setup'!$I54,if(EL12='Quick Setup'!$J$47,'Quick Setup'!$J54,if(EL12='Quick Setup'!$K$47,'Quick Setup'!$K54,if(EL12='Quick Setup'!$L$47,'Quick Setup'!$L54,if(EL12='Quick Setup'!$M$47,'Quick Setup'!$M54,if(EL12='Quick Setup'!$N$47,'Quick Setup'!$N54,if(EL12='Quick Setup'!$O$47,'Quick Setup'!$O54,if(EL12='Quick Setup'!$P$47,'Quick Setup'!$P54,if(EL12='Quick Setup'!$Q$47,'Quick Setup'!$Q54,if(EL12='Quick Setup'!$R$47,'Quick Setup'!$R54,if(EL12='Quick Setup'!$S$47,'Quick Setup'!$S54,if(EL12='Quick Setup'!$T$47,'Quick Setup'!$T54,if(EL12='Quick Setup'!$U$47,'Quick Setup'!$U54,if(EL12='Quick Setup'!$V$47,'Quick Setup'!$V54,if(EL12='Quick Setup'!$W$47,'Quick Setup'!$W54)))))))))))))))))))))</f>
        <v>5</v>
      </c>
      <c r="EO12" s="22">
        <f t="shared" ref="EO12:ER12" si="140">EH12</f>
        <v>4</v>
      </c>
      <c r="EP12" s="22">
        <f t="shared" si="140"/>
        <v>6</v>
      </c>
      <c r="EQ12" s="23">
        <f t="shared" si="140"/>
        <v>0.02</v>
      </c>
      <c r="ER12" s="23">
        <f t="shared" si="140"/>
        <v>-0.05</v>
      </c>
    </row>
    <row r="13">
      <c r="A13" t="str">
        <f>'Quick Setup'!C14</f>
        <v>Incline Press</v>
      </c>
      <c r="B13" s="21">
        <f>'Quick Setup'!C68</f>
        <v>0.6</v>
      </c>
      <c r="C13" s="22">
        <f>if(B13='Quick Setup'!$C$33,'Quick Setup'!$C41,if(B13='Quick Setup'!$D$33,'Quick Setup'!$D41,if(B13='Quick Setup'!$E$33,'Quick Setup'!$E41,if(B13='Quick Setup'!$F$33,'Quick Setup'!$F41,if(B13='Quick Setup'!$G$33,'Quick Setup'!$G41,if(B13='Quick Setup'!$H$33,'Quick Setup'!$H41,if(B13='Quick Setup'!$I$33,'Quick Setup'!$I41,if(B13='Quick Setup'!$J$33,'Quick Setup'!$J41,if(B13='Quick Setup'!$K$33,'Quick Setup'!$K41,if(B13='Quick Setup'!$L$33,'Quick Setup'!$L41,if(B13='Quick Setup'!$M$33,'Quick Setup'!$M41,if(B13='Quick Setup'!$N$33,'Quick Setup'!$N41,if(B13='Quick Setup'!$O$33,'Quick Setup'!$O41,if(B13='Quick Setup'!$P$33,'Quick Setup'!$P41,if(B13='Quick Setup'!$Q$33,'Quick Setup'!$Q41,if(B13='Quick Setup'!$R$33,'Quick Setup'!$R41,if(B13='Quick Setup'!$S$33,'Quick Setup'!$S41,if(B13='Quick Setup'!$T$33,'Quick Setup'!$T41,if(B13='Quick Setup'!$U$33,'Quick Setup'!$U41,if(B13='Quick Setup'!$V$33,'Quick Setup'!$V41,'Quick Setup'!W41))))))))))))))))))))</f>
        <v>7</v>
      </c>
      <c r="D13" s="22">
        <f>if(B13='Quick Setup'!$C$47,'Quick Setup'!$C55,if(B13='Quick Setup'!$D$47,'Quick Setup'!$D55,if(B13='Quick Setup'!$E$47,'Quick Setup'!$E55,if(B13='Quick Setup'!$F$47,'Quick Setup'!$F55,if(B13='Quick Setup'!$G$47,'Quick Setup'!$G55,if(B13='Quick Setup'!$H$47,'Quick Setup'!$H55,if(B13='Quick Setup'!$I$47,'Quick Setup'!$I55,if(B13='Quick Setup'!$J$47,'Quick Setup'!$J55,if(B13='Quick Setup'!$K$47,'Quick Setup'!$K55,if(B13='Quick Setup'!$L$47,'Quick Setup'!$L55,if(B13='Quick Setup'!$M$47,'Quick Setup'!$M55,if(B13='Quick Setup'!$N$47,'Quick Setup'!$N55,if(B13='Quick Setup'!$O$47,'Quick Setup'!$O55,if(B13='Quick Setup'!$P$47,'Quick Setup'!$P55,if(B13='Quick Setup'!$Q$47,'Quick Setup'!$Q55,if(B13='Quick Setup'!$R$47,'Quick Setup'!$R55,if(B13='Quick Setup'!$S$47,'Quick Setup'!$S55,if(B13='Quick Setup'!$T$47,'Quick Setup'!$T55,if(B13='Quick Setup'!$U$47,'Quick Setup'!$U55,if(B13='Quick Setup'!$V$47,'Quick Setup'!$V55,if(B13='Quick Setup'!$W$47,'Quick Setup'!$W55)))))))))))))))))))))</f>
        <v>4</v>
      </c>
      <c r="E13" s="22">
        <f>'Quick Setup'!H13</f>
        <v>4</v>
      </c>
      <c r="F13" s="22">
        <f>'Quick Setup'!I13</f>
        <v>6</v>
      </c>
      <c r="G13" s="23">
        <f>'Quick Setup'!J13</f>
        <v>0.02</v>
      </c>
      <c r="H13" s="23">
        <f>'Quick Setup'!K13</f>
        <v>-0.05</v>
      </c>
      <c r="I13" s="21">
        <f>'Quick Setup'!D68</f>
        <v>0.65</v>
      </c>
      <c r="J13" s="22">
        <f>if(I13='Quick Setup'!$C$33,'Quick Setup'!$C41,if(I13='Quick Setup'!$D$33,'Quick Setup'!$D41,if(I13='Quick Setup'!$E$33,'Quick Setup'!$E41,if(I13='Quick Setup'!$F$33,'Quick Setup'!$F41,if(I13='Quick Setup'!$G$33,'Quick Setup'!$G41,if(I13='Quick Setup'!$H$33,'Quick Setup'!$H41,if(I13='Quick Setup'!$I$33,'Quick Setup'!$I41,if(I13='Quick Setup'!$J$33,'Quick Setup'!$J41,if(I13='Quick Setup'!$K$33,'Quick Setup'!$K41,if(I13='Quick Setup'!$L$33,'Quick Setup'!$L41,if(I13='Quick Setup'!$M$33,'Quick Setup'!$M41,if(I13='Quick Setup'!$N$33,'Quick Setup'!$N41,if(I13='Quick Setup'!$O$33,'Quick Setup'!$O41,if(I13='Quick Setup'!$P$33,'Quick Setup'!$P41,if(I13='Quick Setup'!$Q$33,'Quick Setup'!$Q41,if(I13='Quick Setup'!$R$33,'Quick Setup'!$R41,if(I13='Quick Setup'!$S$33,'Quick Setup'!$S41,if(I13='Quick Setup'!$T$33,'Quick Setup'!$T41,if(I13='Quick Setup'!$U$33,'Quick Setup'!$U41,if(I13='Quick Setup'!$V$33,'Quick Setup'!$V41,'2x'!AD26))))))))))))))))))))</f>
        <v>6</v>
      </c>
      <c r="K13" s="22">
        <f>if(I13='Quick Setup'!$C$47,'Quick Setup'!$C55,if(I13='Quick Setup'!$D$47,'Quick Setup'!$D55,if(I13='Quick Setup'!$E$47,'Quick Setup'!$E55,if(I13='Quick Setup'!$F$47,'Quick Setup'!$F55,if(I13='Quick Setup'!$G$47,'Quick Setup'!$G55,if(I13='Quick Setup'!$H$47,'Quick Setup'!$H55,if(I13='Quick Setup'!$I$47,'Quick Setup'!$I55,if(I13='Quick Setup'!$J$47,'Quick Setup'!$J55,if(I13='Quick Setup'!$K$47,'Quick Setup'!$K55,if(I13='Quick Setup'!$L$47,'Quick Setup'!$L55,if(I13='Quick Setup'!$M$47,'Quick Setup'!$M55,if(I13='Quick Setup'!$N$47,'Quick Setup'!$N55,if(I13='Quick Setup'!$O$47,'Quick Setup'!$O55,if(I13='Quick Setup'!$P$47,'Quick Setup'!$P55,if(I13='Quick Setup'!$Q$47,'Quick Setup'!$Q55,if(I13='Quick Setup'!$R$47,'Quick Setup'!$R55,if(I13='Quick Setup'!$S$47,'Quick Setup'!$S55,if(I13='Quick Setup'!$T$47,'Quick Setup'!$T55,if(I13='Quick Setup'!$U$47,'Quick Setup'!$U55,if(I13='Quick Setup'!$V$47,'Quick Setup'!$V55,if(I13='Quick Setup'!$W$47,'Quick Setup'!$W55)))))))))))))))))))))</f>
        <v>4</v>
      </c>
      <c r="L13" s="22">
        <f t="shared" ref="L13:O13" si="141">E13</f>
        <v>4</v>
      </c>
      <c r="M13" s="22">
        <f t="shared" si="141"/>
        <v>6</v>
      </c>
      <c r="N13" s="23">
        <f t="shared" si="141"/>
        <v>0.02</v>
      </c>
      <c r="O13" s="23">
        <f t="shared" si="141"/>
        <v>-0.05</v>
      </c>
      <c r="P13" s="21">
        <f>'Quick Setup'!E68</f>
        <v>0.7</v>
      </c>
      <c r="Q13" s="24">
        <f>if(P13='Quick Setup'!$C$33,'Quick Setup'!$C41,if(P13='Quick Setup'!$D$33,'Quick Setup'!$D41,if(P13='Quick Setup'!$E$33,'Quick Setup'!$E41,if(P13='Quick Setup'!$F$33,'Quick Setup'!$F41,if(P13='Quick Setup'!$G$33,'Quick Setup'!$G41,if(P13='Quick Setup'!$H$33,'Quick Setup'!$H41,if(P13='Quick Setup'!$I$33,'Quick Setup'!$I41,if(P13='Quick Setup'!$J$33,'Quick Setup'!$J41,if(P13='Quick Setup'!$K$33,'Quick Setup'!$K41,if(P13='Quick Setup'!$L$33,'Quick Setup'!$L41,if(P13='Quick Setup'!$M$33,'Quick Setup'!$M41,if(P13='Quick Setup'!$N$33,'Quick Setup'!$N41,if(P13='Quick Setup'!$O$33,'Quick Setup'!$O41,if(P13='Quick Setup'!$P$33,'Quick Setup'!$P41,if(P13='Quick Setup'!$Q$33,'Quick Setup'!$Q41,if(P13='Quick Setup'!$R$33,'Quick Setup'!$R41,if(P13='Quick Setup'!$S$33,'Quick Setup'!$S41,if(P13='Quick Setup'!$T$33,'Quick Setup'!$T41,if(P13='Quick Setup'!$U$33,'Quick Setup'!$U41,if(P13='Quick Setup'!$V$33,'Quick Setup'!$V41,'2x'!AK26))))))))))))))))))))</f>
        <v>5</v>
      </c>
      <c r="R13" s="22">
        <f>if(P13='Quick Setup'!$C$47,'Quick Setup'!$C55,if(P13='Quick Setup'!$D$47,'Quick Setup'!$D55,if(P13='Quick Setup'!$E$47,'Quick Setup'!$E55,if(P13='Quick Setup'!$F$47,'Quick Setup'!$F55,if(P13='Quick Setup'!$G$47,'Quick Setup'!$G55,if(P13='Quick Setup'!$H$47,'Quick Setup'!$H55,if(P13='Quick Setup'!$I$47,'Quick Setup'!$I55,if(P13='Quick Setup'!$J$47,'Quick Setup'!$J55,if(P13='Quick Setup'!$K$47,'Quick Setup'!$K55,if(P13='Quick Setup'!$L$47,'Quick Setup'!$L55,if(P13='Quick Setup'!$M$47,'Quick Setup'!$M55,if(P13='Quick Setup'!$N$47,'Quick Setup'!$N55,if(P13='Quick Setup'!$O$47,'Quick Setup'!$O55,if(P13='Quick Setup'!$P$47,'Quick Setup'!$P55,if(P13='Quick Setup'!$Q$47,'Quick Setup'!$Q55,if(P13='Quick Setup'!$R$47,'Quick Setup'!$R55,if(P13='Quick Setup'!$S$47,'Quick Setup'!$S55,if(P13='Quick Setup'!$T$47,'Quick Setup'!$T55,if(P13='Quick Setup'!$U$47,'Quick Setup'!$U55,if(P13='Quick Setup'!$V$47,'Quick Setup'!$V55,if(P13='Quick Setup'!$W$47,'Quick Setup'!$W55)))))))))))))))))))))</f>
        <v>3</v>
      </c>
      <c r="S13" s="22">
        <f t="shared" ref="S13:V13" si="142">L13</f>
        <v>4</v>
      </c>
      <c r="T13" s="22">
        <f t="shared" si="142"/>
        <v>6</v>
      </c>
      <c r="U13" s="23">
        <f t="shared" si="142"/>
        <v>0.02</v>
      </c>
      <c r="V13" s="23">
        <f t="shared" si="142"/>
        <v>-0.05</v>
      </c>
      <c r="W13" s="21">
        <f>'Quick Setup'!F68</f>
        <v>0.625</v>
      </c>
      <c r="X13" s="24">
        <f>if(W13='Quick Setup'!$C$33,'Quick Setup'!$C41,if(W13='Quick Setup'!$D$33,'Quick Setup'!$D41,if(W13='Quick Setup'!$E$33,'Quick Setup'!$E41,if(W13='Quick Setup'!$F$33,'Quick Setup'!$F41,if(W13='Quick Setup'!$G$33,'Quick Setup'!$G41,if(W13='Quick Setup'!$H$33,'Quick Setup'!$H41,if(W13='Quick Setup'!$I$33,'Quick Setup'!$I41,if(W13='Quick Setup'!$J$33,'Quick Setup'!$J41,if(W13='Quick Setup'!$K$33,'Quick Setup'!$K41,if(W13='Quick Setup'!$L$33,'Quick Setup'!$L41,if(W13='Quick Setup'!$M$33,'Quick Setup'!$M41,if(W13='Quick Setup'!$N$33,'Quick Setup'!$N41,if(W13='Quick Setup'!$O$33,'Quick Setup'!$O41,if(W13='Quick Setup'!$P$33,'Quick Setup'!$P41,if(W13='Quick Setup'!$Q$33,'Quick Setup'!$Q41,if(W13='Quick Setup'!$R$33,'Quick Setup'!$R41,if(W13='Quick Setup'!$S$33,'Quick Setup'!$S41,if(W13='Quick Setup'!$T$33,'Quick Setup'!$T41,if(W13='Quick Setup'!$U$33,'Quick Setup'!$U41,if(W13='Quick Setup'!$V$33,'Quick Setup'!$V41,'2x'!AR26))))))))))))))))))))</f>
        <v>7</v>
      </c>
      <c r="Y13" s="22">
        <f>if(W13='Quick Setup'!$C$47,'Quick Setup'!$C55,if(W13='Quick Setup'!$D$47,'Quick Setup'!$D55,if(W13='Quick Setup'!$E$47,'Quick Setup'!$E55,if(W13='Quick Setup'!$F$47,'Quick Setup'!$F55,if(W13='Quick Setup'!$G$47,'Quick Setup'!$G55,if(W13='Quick Setup'!$H$47,'Quick Setup'!$H55,if(W13='Quick Setup'!$I$47,'Quick Setup'!$I55,if(W13='Quick Setup'!$J$47,'Quick Setup'!$J55,if(W13='Quick Setup'!$K$47,'Quick Setup'!$K55,if(W13='Quick Setup'!$L$47,'Quick Setup'!$L55,if(W13='Quick Setup'!$M$47,'Quick Setup'!$M55,if(W13='Quick Setup'!$N$47,'Quick Setup'!$N55,if(W13='Quick Setup'!$O$47,'Quick Setup'!$O55,if(W13='Quick Setup'!$P$47,'Quick Setup'!$P55,if(W13='Quick Setup'!$Q$47,'Quick Setup'!$Q55,if(W13='Quick Setup'!$R$47,'Quick Setup'!$R55,if(W13='Quick Setup'!$S$47,'Quick Setup'!$S55,if(W13='Quick Setup'!$T$47,'Quick Setup'!$T55,if(W13='Quick Setup'!$U$47,'Quick Setup'!$U55,if(W13='Quick Setup'!$V$47,'Quick Setup'!$V55,if(W13='Quick Setup'!$W$47,'Quick Setup'!$W55)))))))))))))))))))))</f>
        <v>4</v>
      </c>
      <c r="Z13" s="22">
        <f t="shared" ref="Z13:AC13" si="143">S13</f>
        <v>4</v>
      </c>
      <c r="AA13" s="22">
        <f t="shared" si="143"/>
        <v>6</v>
      </c>
      <c r="AB13" s="23">
        <f t="shared" si="143"/>
        <v>0.02</v>
      </c>
      <c r="AC13" s="23">
        <f t="shared" si="143"/>
        <v>-0.05</v>
      </c>
      <c r="AD13" s="21">
        <f>'Quick Setup'!G68</f>
        <v>0.675</v>
      </c>
      <c r="AE13" s="24">
        <f>if(AD13='Quick Setup'!$C$33,'Quick Setup'!$C41,if(AD13='Quick Setup'!$D$33,'Quick Setup'!$D41,if(AD13='Quick Setup'!$E$33,'Quick Setup'!$E41,if(AD13='Quick Setup'!$F$33,'Quick Setup'!$F41,if(AD13='Quick Setup'!$G$33,'Quick Setup'!$G41,if(AD13='Quick Setup'!$H$33,'Quick Setup'!$H41,if(AD13='Quick Setup'!$I$33,'Quick Setup'!$I41,if(AD13='Quick Setup'!$J$33,'Quick Setup'!$J41,if(AD13='Quick Setup'!$K$33,'Quick Setup'!$K41,if(AD13='Quick Setup'!$L$33,'Quick Setup'!$L41,if(AD13='Quick Setup'!$M$33,'Quick Setup'!$M41,if(AD13='Quick Setup'!$N$33,'Quick Setup'!$N41,if(AD13='Quick Setup'!$O$33,'Quick Setup'!$O41,if(AD13='Quick Setup'!$P$33,'Quick Setup'!$P41,if(AD13='Quick Setup'!$Q$33,'Quick Setup'!$Q41,if(AD13='Quick Setup'!$R$33,'Quick Setup'!$R41,if(AD13='Quick Setup'!$S$33,'Quick Setup'!$S41,if(AD13='Quick Setup'!$T$33,'Quick Setup'!$T41,if(AD13='Quick Setup'!$U$33,'Quick Setup'!$U41,if(AD13='Quick Setup'!$V$33,'Quick Setup'!$V41,'2x'!AY26))))))))))))))))))))</f>
        <v>6</v>
      </c>
      <c r="AF13" s="22">
        <f>if(AD13='Quick Setup'!$C$47,'Quick Setup'!$C55,if(AD13='Quick Setup'!$D$47,'Quick Setup'!$D55,if(AD13='Quick Setup'!$E$47,'Quick Setup'!$E55,if(AD13='Quick Setup'!$F$47,'Quick Setup'!$F55,if(AD13='Quick Setup'!$G$47,'Quick Setup'!$G55,if(AD13='Quick Setup'!$H$47,'Quick Setup'!$H55,if(AD13='Quick Setup'!$I$47,'Quick Setup'!$I55,if(AD13='Quick Setup'!$J$47,'Quick Setup'!$J55,if(AD13='Quick Setup'!$K$47,'Quick Setup'!$K55,if(AD13='Quick Setup'!$L$47,'Quick Setup'!$L55,if(AD13='Quick Setup'!$M$47,'Quick Setup'!$M55,if(AD13='Quick Setup'!$N$47,'Quick Setup'!$N55,if(AD13='Quick Setup'!$O$47,'Quick Setup'!$O55,if(AD13='Quick Setup'!$P$47,'Quick Setup'!$P55,if(AD13='Quick Setup'!$Q$47,'Quick Setup'!$Q55,if(AD13='Quick Setup'!$R$47,'Quick Setup'!$R55,if(AD13='Quick Setup'!$S$47,'Quick Setup'!$S55,if(AD13='Quick Setup'!$T$47,'Quick Setup'!$T55,if(AD13='Quick Setup'!$U$47,'Quick Setup'!$U55,if(AD13='Quick Setup'!$V$47,'Quick Setup'!$V55,if(AD13='Quick Setup'!$W$47,'Quick Setup'!$W55)))))))))))))))))))))</f>
        <v>4</v>
      </c>
      <c r="AG13" s="22">
        <f t="shared" ref="AG13:AJ13" si="144">Z13</f>
        <v>4</v>
      </c>
      <c r="AH13" s="22">
        <f t="shared" si="144"/>
        <v>6</v>
      </c>
      <c r="AI13" s="23">
        <f t="shared" si="144"/>
        <v>0.02</v>
      </c>
      <c r="AJ13" s="23">
        <f t="shared" si="144"/>
        <v>-0.05</v>
      </c>
      <c r="AK13" s="21">
        <f>'Quick Setup'!H68</f>
        <v>0.725</v>
      </c>
      <c r="AL13" s="24">
        <f>if(AK13='Quick Setup'!$C$33,'Quick Setup'!$C41,if(AK13='Quick Setup'!$D$33,'Quick Setup'!$D41,if(AK13='Quick Setup'!$E$33,'Quick Setup'!$E41,if(AK13='Quick Setup'!$F$33,'Quick Setup'!$F41,if(AK13='Quick Setup'!$G$33,'Quick Setup'!$G41,if(AK13='Quick Setup'!$H$33,'Quick Setup'!$H41,if(AK13='Quick Setup'!$I$33,'Quick Setup'!$I41,if(AK13='Quick Setup'!$J$33,'Quick Setup'!$J41,if(AK13='Quick Setup'!$K$33,'Quick Setup'!$K41,if(AK13='Quick Setup'!$L$33,'Quick Setup'!$L41,if(AK13='Quick Setup'!$M$33,'Quick Setup'!$M41,if(AK13='Quick Setup'!$N$33,'Quick Setup'!$N41,if(AK13='Quick Setup'!$O$33,'Quick Setup'!$O41,if(AK13='Quick Setup'!$P$33,'Quick Setup'!$P41,if(AK13='Quick Setup'!$Q$33,'Quick Setup'!$Q41,if(AK13='Quick Setup'!$R$33,'Quick Setup'!$R41,if(AK13='Quick Setup'!$S$33,'Quick Setup'!$S41,if(AK13='Quick Setup'!$T$33,'Quick Setup'!$T41,if(AK13='Quick Setup'!$U$33,'Quick Setup'!$U41,if(AK13='Quick Setup'!$V$33,'Quick Setup'!$V41,'2x'!BF26))))))))))))))))))))</f>
        <v>5</v>
      </c>
      <c r="AM13" s="22">
        <f>if(AK13='Quick Setup'!$C$47,'Quick Setup'!$C55,if(AK13='Quick Setup'!$D$47,'Quick Setup'!$D55,if(AK13='Quick Setup'!$E$47,'Quick Setup'!$E55,if(AK13='Quick Setup'!$F$47,'Quick Setup'!$F55,if(AK13='Quick Setup'!$G$47,'Quick Setup'!$G55,if(AK13='Quick Setup'!$H$47,'Quick Setup'!$H55,if(AK13='Quick Setup'!$I$47,'Quick Setup'!$I55,if(AK13='Quick Setup'!$J$47,'Quick Setup'!$J55,if(AK13='Quick Setup'!$K$47,'Quick Setup'!$K55,if(AK13='Quick Setup'!$L$47,'Quick Setup'!$L55,if(AK13='Quick Setup'!$M$47,'Quick Setup'!$M55,if(AK13='Quick Setup'!$N$47,'Quick Setup'!$N55,if(AK13='Quick Setup'!$O$47,'Quick Setup'!$O55,if(AK13='Quick Setup'!$P$47,'Quick Setup'!$P55,if(AK13='Quick Setup'!$Q$47,'Quick Setup'!$Q55,if(AK13='Quick Setup'!$R$47,'Quick Setup'!$R55,if(AK13='Quick Setup'!$S$47,'Quick Setup'!$S55,if(AK13='Quick Setup'!$T$47,'Quick Setup'!$T55,if(AK13='Quick Setup'!$U$47,'Quick Setup'!$U55,if(AK13='Quick Setup'!$V$47,'Quick Setup'!$V55,if(AK13='Quick Setup'!$W$47,'Quick Setup'!$W55)))))))))))))))))))))</f>
        <v>3</v>
      </c>
      <c r="AN13" s="22">
        <f t="shared" ref="AN13:AQ13" si="145">AG13</f>
        <v>4</v>
      </c>
      <c r="AO13" s="22">
        <f t="shared" si="145"/>
        <v>6</v>
      </c>
      <c r="AP13" s="23">
        <f t="shared" si="145"/>
        <v>0.02</v>
      </c>
      <c r="AQ13" s="23">
        <f t="shared" si="145"/>
        <v>-0.05</v>
      </c>
      <c r="AR13" s="21">
        <f>'Quick Setup'!I68</f>
        <v>0.5</v>
      </c>
      <c r="AS13" s="24">
        <f>if(AR13='Quick Setup'!$C$33,'Quick Setup'!$C41,if(AR13='Quick Setup'!$D$33,'Quick Setup'!$D41,if(AR13='Quick Setup'!$E$33,'Quick Setup'!$E41,if(AR13='Quick Setup'!$F$33,'Quick Setup'!$F41,if(AR13='Quick Setup'!$G$33,'Quick Setup'!$G41,if(AR13='Quick Setup'!$H$33,'Quick Setup'!$H41,if(AR13='Quick Setup'!$I$33,'Quick Setup'!$I41,if(AR13='Quick Setup'!$J$33,'Quick Setup'!$J41,if(AR13='Quick Setup'!$K$33,'Quick Setup'!$K41,if(AR13='Quick Setup'!$L$33,'Quick Setup'!$L41,if(AR13='Quick Setup'!$M$33,'Quick Setup'!$M41,if(AR13='Quick Setup'!$N$33,'Quick Setup'!$N41,if(AR13='Quick Setup'!$O$33,'Quick Setup'!$O41,if(AR13='Quick Setup'!$P$33,'Quick Setup'!$P41,if(AR13='Quick Setup'!$Q$33,'Quick Setup'!$Q41,if(AR13='Quick Setup'!$R$33,'Quick Setup'!$R41,if(AR13='Quick Setup'!$S$33,'Quick Setup'!$S41,if(AR13='Quick Setup'!$T$33,'Quick Setup'!$T41,if(AR13='Quick Setup'!$U$33,'Quick Setup'!$U41,if(AR13='Quick Setup'!$V$33,'Quick Setup'!$V41,'2x'!BM26))))))))))))))))))))</f>
        <v>8</v>
      </c>
      <c r="AT13" s="22">
        <f>if(AR13='Quick Setup'!$C$47,'Quick Setup'!$C55,if(AR13='Quick Setup'!$D$47,'Quick Setup'!$D55,if(AR13='Quick Setup'!$E$47,'Quick Setup'!$E55,if(AR13='Quick Setup'!$F$47,'Quick Setup'!$F55,if(AR13='Quick Setup'!$G$47,'Quick Setup'!$G55,if(AR13='Quick Setup'!$H$47,'Quick Setup'!$H55,if(AR13='Quick Setup'!$I$47,'Quick Setup'!$I55,if(AR13='Quick Setup'!$J$47,'Quick Setup'!$J55,if(AR13='Quick Setup'!$K$47,'Quick Setup'!$K55,if(AR13='Quick Setup'!$L$47,'Quick Setup'!$L55,if(AR13='Quick Setup'!$M$47,'Quick Setup'!$M55,if(AR13='Quick Setup'!$N$47,'Quick Setup'!$N55,if(AR13='Quick Setup'!$O$47,'Quick Setup'!$O55,if(AR13='Quick Setup'!$P$47,'Quick Setup'!$P55,if(AR13='Quick Setup'!$Q$47,'Quick Setup'!$Q55,if(AR13='Quick Setup'!$R$47,'Quick Setup'!$R55,if(AR13='Quick Setup'!$S$47,'Quick Setup'!$S55,if(AR13='Quick Setup'!$T$47,'Quick Setup'!$T55,if(AR13='Quick Setup'!$U$47,'Quick Setup'!$U55,if(AR13='Quick Setup'!$V$47,'Quick Setup'!$V55,if(AR13='Quick Setup'!$W$47,'Quick Setup'!$W55)))))))))))))))))))))</f>
        <v>5</v>
      </c>
      <c r="AU13" s="22">
        <f t="shared" ref="AU13:AX13" si="146">AN13</f>
        <v>4</v>
      </c>
      <c r="AV13" s="22">
        <f t="shared" si="146"/>
        <v>6</v>
      </c>
      <c r="AW13" s="23">
        <f t="shared" si="146"/>
        <v>0.02</v>
      </c>
      <c r="AX13" s="23">
        <f t="shared" si="146"/>
        <v>-0.05</v>
      </c>
      <c r="AY13" s="21">
        <f>'Quick Setup'!J68</f>
        <v>0.65</v>
      </c>
      <c r="AZ13" s="24">
        <f>if(AY13='Quick Setup'!$C$33,'Quick Setup'!$C41,if(AY13='Quick Setup'!$D$33,'Quick Setup'!$D41,if(AY13='Quick Setup'!$E$33,'Quick Setup'!$E41,if(AY13='Quick Setup'!$F$33,'Quick Setup'!$F41,if(AY13='Quick Setup'!$G$33,'Quick Setup'!$G41,if(AY13='Quick Setup'!$H$33,'Quick Setup'!$H41,if(AY13='Quick Setup'!$I$33,'Quick Setup'!$I41,if(AY13='Quick Setup'!$J$33,'Quick Setup'!$J41,if(AY13='Quick Setup'!$K$33,'Quick Setup'!$K41,if(AY13='Quick Setup'!$L$33,'Quick Setup'!$L41,if(AY13='Quick Setup'!$M$33,'Quick Setup'!$M41,if(AY13='Quick Setup'!$N$33,'Quick Setup'!$N41,if(AY13='Quick Setup'!$O$33,'Quick Setup'!$O41,if(AY13='Quick Setup'!$P$33,'Quick Setup'!$P41,if(AY13='Quick Setup'!$Q$33,'Quick Setup'!$Q41,if(AY13='Quick Setup'!$R$33,'Quick Setup'!$R41,if(AY13='Quick Setup'!$S$33,'Quick Setup'!$S41,if(AY13='Quick Setup'!$T$33,'Quick Setup'!$T41,if(AY13='Quick Setup'!$U$33,'Quick Setup'!$U41,if(AY13='Quick Setup'!$V$33,'Quick Setup'!$V41,'2x'!BT26))))))))))))))))))))</f>
        <v>6</v>
      </c>
      <c r="BA13" s="22">
        <f>if(AY13='Quick Setup'!$C$47,'Quick Setup'!$C55,if(AY13='Quick Setup'!$D$47,'Quick Setup'!$D55,if(AY13='Quick Setup'!$E$47,'Quick Setup'!$E55,if(AY13='Quick Setup'!$F$47,'Quick Setup'!$F55,if(AY13='Quick Setup'!$G$47,'Quick Setup'!$G55,if(AY13='Quick Setup'!$H$47,'Quick Setup'!$H55,if(AY13='Quick Setup'!$I$47,'Quick Setup'!$I55,if(AY13='Quick Setup'!$J$47,'Quick Setup'!$J55,if(AY13='Quick Setup'!$K$47,'Quick Setup'!$K55,if(AY13='Quick Setup'!$L$47,'Quick Setup'!$L55,if(AY13='Quick Setup'!$M$47,'Quick Setup'!$M55,if(AY13='Quick Setup'!$N$47,'Quick Setup'!$N55,if(AY13='Quick Setup'!$O$47,'Quick Setup'!$O55,if(AY13='Quick Setup'!$P$47,'Quick Setup'!$P55,if(AY13='Quick Setup'!$Q$47,'Quick Setup'!$Q55,if(AY13='Quick Setup'!$R$47,'Quick Setup'!$R55,if(AY13='Quick Setup'!$S$47,'Quick Setup'!$S55,if(AY13='Quick Setup'!$T$47,'Quick Setup'!$T55,if(AY13='Quick Setup'!$U$47,'Quick Setup'!$U55,if(AY13='Quick Setup'!$V$47,'Quick Setup'!$V55,if(AY13='Quick Setup'!$W$47,'Quick Setup'!$W55)))))))))))))))))))))</f>
        <v>4</v>
      </c>
      <c r="BB13" s="22">
        <f t="shared" ref="BB13:BE13" si="147">AU13</f>
        <v>4</v>
      </c>
      <c r="BC13" s="22">
        <f t="shared" si="147"/>
        <v>6</v>
      </c>
      <c r="BD13" s="23">
        <f t="shared" si="147"/>
        <v>0.02</v>
      </c>
      <c r="BE13" s="23">
        <f t="shared" si="147"/>
        <v>-0.05</v>
      </c>
      <c r="BF13" s="21">
        <f>'Quick Setup'!K68</f>
        <v>0.7</v>
      </c>
      <c r="BG13" s="24">
        <f>if(BF13='Quick Setup'!$C$33,'Quick Setup'!$C41,if(BF13='Quick Setup'!$D$33,'Quick Setup'!$D41,if(BF13='Quick Setup'!$E$33,'Quick Setup'!$E41,if(BF13='Quick Setup'!$F$33,'Quick Setup'!$F41,if(BF13='Quick Setup'!$G$33,'Quick Setup'!$G41,if(BF13='Quick Setup'!$H$33,'Quick Setup'!$H41,if(BF13='Quick Setup'!$I$33,'Quick Setup'!$I41,if(BF13='Quick Setup'!$J$33,'Quick Setup'!$J41,if(BF13='Quick Setup'!$K$33,'Quick Setup'!$K41,if(BF13='Quick Setup'!$L$33,'Quick Setup'!$L41,if(BF13='Quick Setup'!$M$33,'Quick Setup'!$M41,if(BF13='Quick Setup'!$N$33,'Quick Setup'!$N41,if(BF13='Quick Setup'!$O$33,'Quick Setup'!$O41,if(BF13='Quick Setup'!$P$33,'Quick Setup'!$P41,if(BF13='Quick Setup'!$Q$33,'Quick Setup'!$Q41,if(BF13='Quick Setup'!$R$33,'Quick Setup'!$R41,if(BF13='Quick Setup'!$S$33,'Quick Setup'!$S41,if(BF13='Quick Setup'!$T$33,'Quick Setup'!$T41,if(BF13='Quick Setup'!$U$33,'Quick Setup'!$U41,if(BF13='Quick Setup'!$V$33,'Quick Setup'!$V41,'2x'!CA26))))))))))))))))))))</f>
        <v>5</v>
      </c>
      <c r="BH13" s="22">
        <f>if(BF13='Quick Setup'!$C$47,'Quick Setup'!$C55,if(BF13='Quick Setup'!$D$47,'Quick Setup'!$D55,if(BF13='Quick Setup'!$E$47,'Quick Setup'!$E55,if(BF13='Quick Setup'!$F$47,'Quick Setup'!$F55,if(BF13='Quick Setup'!$G$47,'Quick Setup'!$G55,if(BF13='Quick Setup'!$H$47,'Quick Setup'!$H55,if(BF13='Quick Setup'!$I$47,'Quick Setup'!$I55,if(BF13='Quick Setup'!$J$47,'Quick Setup'!$J55,if(BF13='Quick Setup'!$K$47,'Quick Setup'!$K55,if(BF13='Quick Setup'!$L$47,'Quick Setup'!$L55,if(BF13='Quick Setup'!$M$47,'Quick Setup'!$M55,if(BF13='Quick Setup'!$N$47,'Quick Setup'!$N55,if(BF13='Quick Setup'!$O$47,'Quick Setup'!$O55,if(BF13='Quick Setup'!$P$47,'Quick Setup'!$P55,if(BF13='Quick Setup'!$Q$47,'Quick Setup'!$Q55,if(BF13='Quick Setup'!$R$47,'Quick Setup'!$R55,if(BF13='Quick Setup'!$S$47,'Quick Setup'!$S55,if(BF13='Quick Setup'!$T$47,'Quick Setup'!$T55,if(BF13='Quick Setup'!$U$47,'Quick Setup'!$U55,if(BF13='Quick Setup'!$V$47,'Quick Setup'!$V55,if(BF13='Quick Setup'!$W$47,'Quick Setup'!$W55)))))))))))))))))))))</f>
        <v>3</v>
      </c>
      <c r="BI13" s="22">
        <f t="shared" ref="BI13:BL13" si="148">BB13</f>
        <v>4</v>
      </c>
      <c r="BJ13" s="22">
        <f t="shared" si="148"/>
        <v>6</v>
      </c>
      <c r="BK13" s="23">
        <f t="shared" si="148"/>
        <v>0.02</v>
      </c>
      <c r="BL13" s="23">
        <f t="shared" si="148"/>
        <v>-0.05</v>
      </c>
      <c r="BM13" s="21">
        <f>'Quick Setup'!L68</f>
        <v>0.75</v>
      </c>
      <c r="BN13" s="24">
        <f>if(BM13='Quick Setup'!$C$33,'Quick Setup'!$C41,if(BM13='Quick Setup'!$D$33,'Quick Setup'!$D41,if(BM13='Quick Setup'!$E$33,'Quick Setup'!$E41,if(BM13='Quick Setup'!$F$33,'Quick Setup'!$F41,if(BM13='Quick Setup'!$G$33,'Quick Setup'!$G41,if(BM13='Quick Setup'!$H$33,'Quick Setup'!$H41,if(BM13='Quick Setup'!$I$33,'Quick Setup'!$I41,if(BM13='Quick Setup'!$J$33,'Quick Setup'!$J41,if(BM13='Quick Setup'!$K$33,'Quick Setup'!$K41,if(BM13='Quick Setup'!$L$33,'Quick Setup'!$L41,if(BM13='Quick Setup'!$M$33,'Quick Setup'!$M41,if(BM13='Quick Setup'!$N$33,'Quick Setup'!$N41,if(BM13='Quick Setup'!$O$33,'Quick Setup'!$O41,if(BM13='Quick Setup'!$P$33,'Quick Setup'!$P41,if(BM13='Quick Setup'!$Q$33,'Quick Setup'!$Q41,if(BM13='Quick Setup'!$R$33,'Quick Setup'!$R41,if(BM13='Quick Setup'!$S$33,'Quick Setup'!$S41,if(BM13='Quick Setup'!$T$33,'Quick Setup'!$T41,if(BM13='Quick Setup'!$U$33,'Quick Setup'!$U41,if(BM13='Quick Setup'!$V$33,'Quick Setup'!$V41,'2x'!CH26))))))))))))))))))))</f>
        <v>4</v>
      </c>
      <c r="BO13" s="22">
        <f>if(BM13='Quick Setup'!$C$47,'Quick Setup'!$C55,if(BM13='Quick Setup'!$D$47,'Quick Setup'!$D55,if(BM13='Quick Setup'!$E$47,'Quick Setup'!$E55,if(BM13='Quick Setup'!$F$47,'Quick Setup'!$F55,if(BM13='Quick Setup'!$G$47,'Quick Setup'!$G55,if(BM13='Quick Setup'!$H$47,'Quick Setup'!$H55,if(BM13='Quick Setup'!$I$47,'Quick Setup'!$I55,if(BM13='Quick Setup'!$J$47,'Quick Setup'!$J55,if(BM13='Quick Setup'!$K$47,'Quick Setup'!$K55,if(BM13='Quick Setup'!$L$47,'Quick Setup'!$L55,if(BM13='Quick Setup'!$M$47,'Quick Setup'!$M55,if(BM13='Quick Setup'!$N$47,'Quick Setup'!$N55,if(BM13='Quick Setup'!$O$47,'Quick Setup'!$O55,if(BM13='Quick Setup'!$P$47,'Quick Setup'!$P55,if(BM13='Quick Setup'!$Q$47,'Quick Setup'!$Q55,if(BM13='Quick Setup'!$R$47,'Quick Setup'!$R55,if(BM13='Quick Setup'!$S$47,'Quick Setup'!$S55,if(BM13='Quick Setup'!$T$47,'Quick Setup'!$T55,if(BM13='Quick Setup'!$U$47,'Quick Setup'!$U55,if(BM13='Quick Setup'!$V$47,'Quick Setup'!$V55,if(BM13='Quick Setup'!$W$47,'Quick Setup'!$W55)))))))))))))))))))))</f>
        <v>3</v>
      </c>
      <c r="BP13" s="22">
        <f t="shared" ref="BP13:BS13" si="149">BI13</f>
        <v>4</v>
      </c>
      <c r="BQ13" s="22">
        <f t="shared" si="149"/>
        <v>6</v>
      </c>
      <c r="BR13" s="23">
        <f t="shared" si="149"/>
        <v>0.02</v>
      </c>
      <c r="BS13" s="23">
        <f t="shared" si="149"/>
        <v>-0.05</v>
      </c>
      <c r="BT13" s="21">
        <f>'Quick Setup'!M68</f>
        <v>0.675</v>
      </c>
      <c r="BU13" s="24">
        <f>if(BT13='Quick Setup'!$C$33,'Quick Setup'!$C41,if(BT13='Quick Setup'!$D$33,'Quick Setup'!$D41,if(BT13='Quick Setup'!$E$33,'Quick Setup'!$E41,if(BT13='Quick Setup'!$F$33,'Quick Setup'!$F41,if(BT13='Quick Setup'!$G$33,'Quick Setup'!$G41,if(BT13='Quick Setup'!$H$33,'Quick Setup'!$H41,if(BT13='Quick Setup'!$I$33,'Quick Setup'!$I41,if(BT13='Quick Setup'!$J$33,'Quick Setup'!$J41,if(BT13='Quick Setup'!$K$33,'Quick Setup'!$K41,if(BT13='Quick Setup'!$L$33,'Quick Setup'!$L41,if(BT13='Quick Setup'!$M$33,'Quick Setup'!$M41,if(BT13='Quick Setup'!$N$33,'Quick Setup'!$N41,if(BT13='Quick Setup'!$O$33,'Quick Setup'!$O41,if(BT13='Quick Setup'!$P$33,'Quick Setup'!$P41,if(BT13='Quick Setup'!$Q$33,'Quick Setup'!$Q41,if(BT13='Quick Setup'!$R$33,'Quick Setup'!$R41,if(BT13='Quick Setup'!$S$33,'Quick Setup'!$S41,if(BT13='Quick Setup'!$T$33,'Quick Setup'!$T41,if(BT13='Quick Setup'!$U$33,'Quick Setup'!$U41,if(BT13='Quick Setup'!$V$33,'Quick Setup'!$V41,'2x'!CO26))))))))))))))))))))</f>
        <v>6</v>
      </c>
      <c r="BV13" s="22">
        <f>if(BT13='Quick Setup'!$C$47,'Quick Setup'!$C55,if(BT13='Quick Setup'!$D$47,'Quick Setup'!$D55,if(BT13='Quick Setup'!$E$47,'Quick Setup'!$E55,if(BT13='Quick Setup'!$F$47,'Quick Setup'!$F55,if(BT13='Quick Setup'!$G$47,'Quick Setup'!$G55,if(BT13='Quick Setup'!$H$47,'Quick Setup'!$H55,if(BT13='Quick Setup'!$I$47,'Quick Setup'!$I55,if(BT13='Quick Setup'!$J$47,'Quick Setup'!$J55,if(BT13='Quick Setup'!$K$47,'Quick Setup'!$K55,if(BT13='Quick Setup'!$L$47,'Quick Setup'!$L55,if(BT13='Quick Setup'!$M$47,'Quick Setup'!$M55,if(BT13='Quick Setup'!$N$47,'Quick Setup'!$N55,if(BT13='Quick Setup'!$O$47,'Quick Setup'!$O55,if(BT13='Quick Setup'!$P$47,'Quick Setup'!$P55,if(BT13='Quick Setup'!$Q$47,'Quick Setup'!$Q55,if(BT13='Quick Setup'!$R$47,'Quick Setup'!$R55,if(BT13='Quick Setup'!$S$47,'Quick Setup'!$S55,if(BT13='Quick Setup'!$T$47,'Quick Setup'!$T55,if(BT13='Quick Setup'!$U$47,'Quick Setup'!$U55,if(BT13='Quick Setup'!$V$47,'Quick Setup'!$V55,if(BT13='Quick Setup'!$W$47,'Quick Setup'!$W55)))))))))))))))))))))</f>
        <v>4</v>
      </c>
      <c r="BW13" s="22">
        <f t="shared" ref="BW13:BZ13" si="150">BP13</f>
        <v>4</v>
      </c>
      <c r="BX13" s="22">
        <f t="shared" si="150"/>
        <v>6</v>
      </c>
      <c r="BY13" s="23">
        <f t="shared" si="150"/>
        <v>0.02</v>
      </c>
      <c r="BZ13" s="23">
        <f t="shared" si="150"/>
        <v>-0.05</v>
      </c>
      <c r="CA13" s="21">
        <f>'Quick Setup'!N68</f>
        <v>0.725</v>
      </c>
      <c r="CB13" s="24">
        <f>if(CA13='Quick Setup'!$C$33,'Quick Setup'!$C41,if(CA13='Quick Setup'!$D$33,'Quick Setup'!$D41,if(CA13='Quick Setup'!$E$33,'Quick Setup'!$E41,if(CA13='Quick Setup'!$F$33,'Quick Setup'!$F41,if(CA13='Quick Setup'!$G$33,'Quick Setup'!$G41,if(CA13='Quick Setup'!$H$33,'Quick Setup'!$H41,if(CA13='Quick Setup'!$I$33,'Quick Setup'!$I41,if(CA13='Quick Setup'!$J$33,'Quick Setup'!$J41,if(CA13='Quick Setup'!$K$33,'Quick Setup'!$K41,if(CA13='Quick Setup'!$L$33,'Quick Setup'!$L41,if(CA13='Quick Setup'!$M$33,'Quick Setup'!$M41,if(CA13='Quick Setup'!$N$33,'Quick Setup'!$N41,if(CA13='Quick Setup'!$O$33,'Quick Setup'!$O41,if(CA13='Quick Setup'!$P$33,'Quick Setup'!$P41,if(CA13='Quick Setup'!$Q$33,'Quick Setup'!$Q41,if(CA13='Quick Setup'!$R$33,'Quick Setup'!$R41,if(CA13='Quick Setup'!$S$33,'Quick Setup'!$S41,if(CA13='Quick Setup'!$T$33,'Quick Setup'!$T41,if(CA13='Quick Setup'!$U$33,'Quick Setup'!$U41,if(CA13='Quick Setup'!$V$33,'Quick Setup'!$V41,'2x'!CV26))))))))))))))))))))</f>
        <v>5</v>
      </c>
      <c r="CC13" s="22">
        <f>if(CA13='Quick Setup'!$C$47,'Quick Setup'!$C55,if(CA13='Quick Setup'!$D$47,'Quick Setup'!$D55,if(CA13='Quick Setup'!$E$47,'Quick Setup'!$E55,if(CA13='Quick Setup'!$F$47,'Quick Setup'!$F55,if(CA13='Quick Setup'!$G$47,'Quick Setup'!$G55,if(CA13='Quick Setup'!$H$47,'Quick Setup'!$H55,if(CA13='Quick Setup'!$I$47,'Quick Setup'!$I55,if(CA13='Quick Setup'!$J$47,'Quick Setup'!$J55,if(CA13='Quick Setup'!$K$47,'Quick Setup'!$K55,if(CA13='Quick Setup'!$L$47,'Quick Setup'!$L55,if(CA13='Quick Setup'!$M$47,'Quick Setup'!$M55,if(CA13='Quick Setup'!$N$47,'Quick Setup'!$N55,if(CA13='Quick Setup'!$O$47,'Quick Setup'!$O55,if(CA13='Quick Setup'!$P$47,'Quick Setup'!$P55,if(CA13='Quick Setup'!$Q$47,'Quick Setup'!$Q55,if(CA13='Quick Setup'!$R$47,'Quick Setup'!$R55,if(CA13='Quick Setup'!$S$47,'Quick Setup'!$S55,if(CA13='Quick Setup'!$T$47,'Quick Setup'!$T55,if(CA13='Quick Setup'!$U$47,'Quick Setup'!$U55,if(CA13='Quick Setup'!$V$47,'Quick Setup'!$V55,if(CA13='Quick Setup'!$W$47,'Quick Setup'!$W55)))))))))))))))))))))</f>
        <v>3</v>
      </c>
      <c r="CD13" s="22">
        <f t="shared" ref="CD13:CG13" si="151">BW13</f>
        <v>4</v>
      </c>
      <c r="CE13" s="22">
        <f t="shared" si="151"/>
        <v>6</v>
      </c>
      <c r="CF13" s="23">
        <f t="shared" si="151"/>
        <v>0.02</v>
      </c>
      <c r="CG13" s="23">
        <f t="shared" si="151"/>
        <v>-0.05</v>
      </c>
      <c r="CH13" s="21">
        <f>'Quick Setup'!O68</f>
        <v>0.775</v>
      </c>
      <c r="CI13" s="24">
        <f>if(CH13='Quick Setup'!$C$33,'Quick Setup'!$C41,if(CH13='Quick Setup'!$D$33,'Quick Setup'!$D41,if(CH13='Quick Setup'!$E$33,'Quick Setup'!$E41,if(CH13='Quick Setup'!$F$33,'Quick Setup'!$F41,if(CH13='Quick Setup'!$G$33,'Quick Setup'!$G41,if(CH13='Quick Setup'!$H$33,'Quick Setup'!$H41,if(CH13='Quick Setup'!$I$33,'Quick Setup'!$I41,if(CH13='Quick Setup'!$J$33,'Quick Setup'!$J41,if(CH13='Quick Setup'!$K$33,'Quick Setup'!$K41,if(CH13='Quick Setup'!$L$33,'Quick Setup'!$L41,if(CH13='Quick Setup'!$M$33,'Quick Setup'!$M41,if(CH13='Quick Setup'!$N$33,'Quick Setup'!$N41,if(CH13='Quick Setup'!$O$33,'Quick Setup'!$O41,if(CH13='Quick Setup'!$P$33,'Quick Setup'!$P41,if(CH13='Quick Setup'!$Q$33,'Quick Setup'!$Q41,if(CH13='Quick Setup'!$R$33,'Quick Setup'!$R41,if(CH13='Quick Setup'!$S$33,'Quick Setup'!$S41,if(CH13='Quick Setup'!$T$33,'Quick Setup'!$T41,if(CH13='Quick Setup'!$U$33,'Quick Setup'!$U41,if(CH13='Quick Setup'!$V$33,'Quick Setup'!$V41,'2x'!DC26))))))))))))))))))))</f>
        <v>4</v>
      </c>
      <c r="CJ13" s="22">
        <f>if(CH13='Quick Setup'!$C$47,'Quick Setup'!$C55,if(CH13='Quick Setup'!$D$47,'Quick Setup'!$D55,if(CH13='Quick Setup'!$E$47,'Quick Setup'!$E55,if(CH13='Quick Setup'!$F$47,'Quick Setup'!$F55,if(CH13='Quick Setup'!$G$47,'Quick Setup'!$G55,if(CH13='Quick Setup'!$H$47,'Quick Setup'!$H55,if(CH13='Quick Setup'!$I$47,'Quick Setup'!$I55,if(CH13='Quick Setup'!$J$47,'Quick Setup'!$J55,if(CH13='Quick Setup'!$K$47,'Quick Setup'!$K55,if(CH13='Quick Setup'!$L$47,'Quick Setup'!$L55,if(CH13='Quick Setup'!$M$47,'Quick Setup'!$M55,if(CH13='Quick Setup'!$N$47,'Quick Setup'!$N55,if(CH13='Quick Setup'!$O$47,'Quick Setup'!$O55,if(CH13='Quick Setup'!$P$47,'Quick Setup'!$P55,if(CH13='Quick Setup'!$Q$47,'Quick Setup'!$Q55,if(CH13='Quick Setup'!$R$47,'Quick Setup'!$R55,if(CH13='Quick Setup'!$S$47,'Quick Setup'!$S55,if(CH13='Quick Setup'!$T$47,'Quick Setup'!$T55,if(CH13='Quick Setup'!$U$47,'Quick Setup'!$U55,if(CH13='Quick Setup'!$V$47,'Quick Setup'!$V55,if(CH13='Quick Setup'!$W$47,'Quick Setup'!$W55)))))))))))))))))))))</f>
        <v>3</v>
      </c>
      <c r="CK13" s="22">
        <f t="shared" ref="CK13:CN13" si="152">CD13</f>
        <v>4</v>
      </c>
      <c r="CL13" s="22">
        <f t="shared" si="152"/>
        <v>6</v>
      </c>
      <c r="CM13" s="23">
        <f t="shared" si="152"/>
        <v>0.02</v>
      </c>
      <c r="CN13" s="23">
        <f t="shared" si="152"/>
        <v>-0.05</v>
      </c>
      <c r="CO13" s="21">
        <f>'Quick Setup'!P68</f>
        <v>0.5</v>
      </c>
      <c r="CP13" s="24">
        <f>if(CO13='Quick Setup'!$C$33,'Quick Setup'!$C41,if(CO13='Quick Setup'!$D$33,'Quick Setup'!$D41,if(CO13='Quick Setup'!$E$33,'Quick Setup'!$E41,if(CO13='Quick Setup'!$F$33,'Quick Setup'!$F41,if(CO13='Quick Setup'!$G$33,'Quick Setup'!$G41,if(CO13='Quick Setup'!$H$33,'Quick Setup'!$H41,if(CO13='Quick Setup'!$I$33,'Quick Setup'!$I41,if(CO13='Quick Setup'!$J$33,'Quick Setup'!$J41,if(CO13='Quick Setup'!$K$33,'Quick Setup'!$K41,if(CO13='Quick Setup'!$L$33,'Quick Setup'!$L41,if(CO13='Quick Setup'!$M$33,'Quick Setup'!$M41,if(CO13='Quick Setup'!$N$33,'Quick Setup'!$N41,if(CO13='Quick Setup'!$O$33,'Quick Setup'!$O41,if(CO13='Quick Setup'!$P$33,'Quick Setup'!$P41,if(CO13='Quick Setup'!$Q$33,'Quick Setup'!$Q41,if(CO13='Quick Setup'!$R$33,'Quick Setup'!$R41,if(CO13='Quick Setup'!$S$33,'Quick Setup'!$S41,if(CO13='Quick Setup'!$T$33,'Quick Setup'!$T41,if(CO13='Quick Setup'!$U$33,'Quick Setup'!$U41,if(CO13='Quick Setup'!$V$33,'Quick Setup'!$V41,'2x'!DJ26))))))))))))))))))))</f>
        <v>8</v>
      </c>
      <c r="CQ13" s="22">
        <f>if(CO13='Quick Setup'!$C$47,'Quick Setup'!$C55,if(CO13='Quick Setup'!$D$47,'Quick Setup'!$D55,if(CO13='Quick Setup'!$E$47,'Quick Setup'!$E55,if(CO13='Quick Setup'!$F$47,'Quick Setup'!$F55,if(CO13='Quick Setup'!$G$47,'Quick Setup'!$G55,if(CO13='Quick Setup'!$H$47,'Quick Setup'!$H55,if(CO13='Quick Setup'!$I$47,'Quick Setup'!$I55,if(CO13='Quick Setup'!$J$47,'Quick Setup'!$J55,if(CO13='Quick Setup'!$K$47,'Quick Setup'!$K55,if(CO13='Quick Setup'!$L$47,'Quick Setup'!$L55,if(CO13='Quick Setup'!$M$47,'Quick Setup'!$M55,if(CO13='Quick Setup'!$N$47,'Quick Setup'!$N55,if(CO13='Quick Setup'!$O$47,'Quick Setup'!$O55,if(CO13='Quick Setup'!$P$47,'Quick Setup'!$P55,if(CO13='Quick Setup'!$Q$47,'Quick Setup'!$Q55,if(CO13='Quick Setup'!$R$47,'Quick Setup'!$R55,if(CO13='Quick Setup'!$S$47,'Quick Setup'!$S55,if(CO13='Quick Setup'!$T$47,'Quick Setup'!$T55,if(CO13='Quick Setup'!$U$47,'Quick Setup'!$U55,if(CO13='Quick Setup'!$V$47,'Quick Setup'!$V55,if(CO13='Quick Setup'!$W$47,'Quick Setup'!$W55)))))))))))))))))))))</f>
        <v>5</v>
      </c>
      <c r="CR13" s="22">
        <f t="shared" ref="CR13:CU13" si="153">CK13</f>
        <v>4</v>
      </c>
      <c r="CS13" s="22">
        <f t="shared" si="153"/>
        <v>6</v>
      </c>
      <c r="CT13" s="23">
        <f t="shared" si="153"/>
        <v>0.02</v>
      </c>
      <c r="CU13" s="23">
        <f t="shared" si="153"/>
        <v>-0.05</v>
      </c>
      <c r="CV13" s="21">
        <f>'Quick Setup'!Q68</f>
        <v>0.7</v>
      </c>
      <c r="CW13" s="24">
        <f>if(CV13='Quick Setup'!$C$33,'Quick Setup'!$C41,if(CV13='Quick Setup'!$D$33,'Quick Setup'!$D41,if(CV13='Quick Setup'!$E$33,'Quick Setup'!$E41,if(CV13='Quick Setup'!$F$33,'Quick Setup'!$F41,if(CV13='Quick Setup'!$G$33,'Quick Setup'!$G41,if(CV13='Quick Setup'!$H$33,'Quick Setup'!$H41,if(CV13='Quick Setup'!$I$33,'Quick Setup'!$I41,if(CV13='Quick Setup'!$J$33,'Quick Setup'!$J41,if(CV13='Quick Setup'!$K$33,'Quick Setup'!$K41,if(CV13='Quick Setup'!$L$33,'Quick Setup'!$L41,if(CV13='Quick Setup'!$M$33,'Quick Setup'!$M41,if(CV13='Quick Setup'!$N$33,'Quick Setup'!$N41,if(CV13='Quick Setup'!$O$33,'Quick Setup'!$O41,if(CV13='Quick Setup'!$P$33,'Quick Setup'!$P41,if(CV13='Quick Setup'!$Q$33,'Quick Setup'!$Q41,if(CV13='Quick Setup'!$R$33,'Quick Setup'!$R41,if(CV13='Quick Setup'!$S$33,'Quick Setup'!$S41,if(CV13='Quick Setup'!$T$33,'Quick Setup'!$T41,if(CV13='Quick Setup'!$U$33,'Quick Setup'!$U41,if(CV13='Quick Setup'!$V$33,'Quick Setup'!$V41,'2x'!DQ26))))))))))))))))))))</f>
        <v>5</v>
      </c>
      <c r="CX13" s="22">
        <f>if(CV13='Quick Setup'!$C$47,'Quick Setup'!$C55,if(CV13='Quick Setup'!$D$47,'Quick Setup'!$D55,if(CV13='Quick Setup'!$E$47,'Quick Setup'!$E55,if(CV13='Quick Setup'!$F$47,'Quick Setup'!$F55,if(CV13='Quick Setup'!$G$47,'Quick Setup'!$G55,if(CV13='Quick Setup'!$H$47,'Quick Setup'!$H55,if(CV13='Quick Setup'!$I$47,'Quick Setup'!$I55,if(CV13='Quick Setup'!$J$47,'Quick Setup'!$J55,if(CV13='Quick Setup'!$K$47,'Quick Setup'!$K55,if(CV13='Quick Setup'!$L$47,'Quick Setup'!$L55,if(CV13='Quick Setup'!$M$47,'Quick Setup'!$M55,if(CV13='Quick Setup'!$N$47,'Quick Setup'!$N55,if(CV13='Quick Setup'!$O$47,'Quick Setup'!$O55,if(CV13='Quick Setup'!$P$47,'Quick Setup'!$P55,if(CV13='Quick Setup'!$Q$47,'Quick Setup'!$Q55,if(CV13='Quick Setup'!$R$47,'Quick Setup'!$R55,if(CV13='Quick Setup'!$S$47,'Quick Setup'!$S55,if(CV13='Quick Setup'!$T$47,'Quick Setup'!$T55,if(CV13='Quick Setup'!$U$47,'Quick Setup'!$U55,if(CV13='Quick Setup'!$V$47,'Quick Setup'!$V55,if(CV13='Quick Setup'!$W$47,'Quick Setup'!$W55)))))))))))))))))))))</f>
        <v>3</v>
      </c>
      <c r="CY13" s="22">
        <f t="shared" ref="CY13:DB13" si="154">CR13</f>
        <v>4</v>
      </c>
      <c r="CZ13" s="22">
        <f t="shared" si="154"/>
        <v>6</v>
      </c>
      <c r="DA13" s="23">
        <f t="shared" si="154"/>
        <v>0.02</v>
      </c>
      <c r="DB13" s="23">
        <f t="shared" si="154"/>
        <v>-0.05</v>
      </c>
      <c r="DC13" s="21">
        <f>'Quick Setup'!R68</f>
        <v>0.75</v>
      </c>
      <c r="DD13" s="24">
        <f>if(DC13='Quick Setup'!$C$33,'Quick Setup'!$C41,if(DC13='Quick Setup'!$D$33,'Quick Setup'!$D41,if(DC13='Quick Setup'!$E$33,'Quick Setup'!$E41,if(DC13='Quick Setup'!$F$33,'Quick Setup'!$F41,if(DC13='Quick Setup'!$G$33,'Quick Setup'!$G41,if(DC13='Quick Setup'!$H$33,'Quick Setup'!$H41,if(DC13='Quick Setup'!$I$33,'Quick Setup'!$I41,if(DC13='Quick Setup'!$J$33,'Quick Setup'!$J41,if(DC13='Quick Setup'!$K$33,'Quick Setup'!$K41,if(DC13='Quick Setup'!$L$33,'Quick Setup'!$L41,if(DC13='Quick Setup'!$M$33,'Quick Setup'!$M41,if(DC13='Quick Setup'!$N$33,'Quick Setup'!$N41,if(DC13='Quick Setup'!$O$33,'Quick Setup'!$O41,if(DC13='Quick Setup'!$P$33,'Quick Setup'!$P41,if(DC13='Quick Setup'!$Q$33,'Quick Setup'!$Q41,if(DC13='Quick Setup'!$R$33,'Quick Setup'!$R41,if(DC13='Quick Setup'!$S$33,'Quick Setup'!$S41,if(DC13='Quick Setup'!$T$33,'Quick Setup'!$T41,if(DC13='Quick Setup'!$U$33,'Quick Setup'!$U41,if(DC13='Quick Setup'!$V$33,'Quick Setup'!$V41,'2x'!DX26))))))))))))))))))))</f>
        <v>4</v>
      </c>
      <c r="DE13" s="22">
        <f>if(DC13='Quick Setup'!$C$47,'Quick Setup'!$C55,if(DC13='Quick Setup'!$D$47,'Quick Setup'!$D55,if(DC13='Quick Setup'!$E$47,'Quick Setup'!$E55,if(DC13='Quick Setup'!$F$47,'Quick Setup'!$F55,if(DC13='Quick Setup'!$G$47,'Quick Setup'!$G55,if(DC13='Quick Setup'!$H$47,'Quick Setup'!$H55,if(DC13='Quick Setup'!$I$47,'Quick Setup'!$I55,if(DC13='Quick Setup'!$J$47,'Quick Setup'!$J55,if(DC13='Quick Setup'!$K$47,'Quick Setup'!$K55,if(DC13='Quick Setup'!$L$47,'Quick Setup'!$L55,if(DC13='Quick Setup'!$M$47,'Quick Setup'!$M55,if(DC13='Quick Setup'!$N$47,'Quick Setup'!$N55,if(DC13='Quick Setup'!$O$47,'Quick Setup'!$O55,if(DC13='Quick Setup'!$P$47,'Quick Setup'!$P55,if(DC13='Quick Setup'!$Q$47,'Quick Setup'!$Q55,if(DC13='Quick Setup'!$R$47,'Quick Setup'!$R55,if(DC13='Quick Setup'!$S$47,'Quick Setup'!$S55,if(DC13='Quick Setup'!$T$47,'Quick Setup'!$T55,if(DC13='Quick Setup'!$U$47,'Quick Setup'!$U55,if(DC13='Quick Setup'!$V$47,'Quick Setup'!$V55,if(DC13='Quick Setup'!$W$47,'Quick Setup'!$W55)))))))))))))))))))))</f>
        <v>3</v>
      </c>
      <c r="DF13" s="22">
        <f t="shared" ref="DF13:DI13" si="155">CY13</f>
        <v>4</v>
      </c>
      <c r="DG13" s="22">
        <f t="shared" si="155"/>
        <v>6</v>
      </c>
      <c r="DH13" s="23">
        <f t="shared" si="155"/>
        <v>0.02</v>
      </c>
      <c r="DI13" s="23">
        <f t="shared" si="155"/>
        <v>-0.05</v>
      </c>
      <c r="DJ13" s="21">
        <f>'Quick Setup'!S68</f>
        <v>0.8</v>
      </c>
      <c r="DK13" s="24">
        <f>if(DJ13='Quick Setup'!$C$33,'Quick Setup'!$C41,if(DJ13='Quick Setup'!$D$33,'Quick Setup'!$D41,if(DJ13='Quick Setup'!$E$33,'Quick Setup'!$E41,if(DJ13='Quick Setup'!$F$33,'Quick Setup'!$F41,if(DJ13='Quick Setup'!$G$33,'Quick Setup'!$G41,if(DJ13='Quick Setup'!$H$33,'Quick Setup'!$H41,if(DJ13='Quick Setup'!$I$33,'Quick Setup'!$I41,if(DJ13='Quick Setup'!$J$33,'Quick Setup'!$J41,if(DJ13='Quick Setup'!$K$33,'Quick Setup'!$K41,if(DJ13='Quick Setup'!$L$33,'Quick Setup'!$L41,if(DJ13='Quick Setup'!$M$33,'Quick Setup'!$M41,if(DJ13='Quick Setup'!$N$33,'Quick Setup'!$N41,if(DJ13='Quick Setup'!$O$33,'Quick Setup'!$O41,if(DJ13='Quick Setup'!$P$33,'Quick Setup'!$P41,if(DJ13='Quick Setup'!$Q$33,'Quick Setup'!$Q41,if(DJ13='Quick Setup'!$R$33,'Quick Setup'!$R41,if(DJ13='Quick Setup'!$S$33,'Quick Setup'!$S41,if(DJ13='Quick Setup'!$T$33,'Quick Setup'!$T41,if(DJ13='Quick Setup'!$U$33,'Quick Setup'!$U41,if(DJ13='Quick Setup'!$V$33,'Quick Setup'!$V41,'2x'!EE26))))))))))))))))))))</f>
        <v>3</v>
      </c>
      <c r="DL13" s="22">
        <f>if(DJ13='Quick Setup'!$C$47,'Quick Setup'!$C55,if(DJ13='Quick Setup'!$D$47,'Quick Setup'!$D55,if(DJ13='Quick Setup'!$E$47,'Quick Setup'!$E55,if(DJ13='Quick Setup'!$F$47,'Quick Setup'!$F55,if(DJ13='Quick Setup'!$G$47,'Quick Setup'!$G55,if(DJ13='Quick Setup'!$H$47,'Quick Setup'!$H55,if(DJ13='Quick Setup'!$I$47,'Quick Setup'!$I55,if(DJ13='Quick Setup'!$J$47,'Quick Setup'!$J55,if(DJ13='Quick Setup'!$K$47,'Quick Setup'!$K55,if(DJ13='Quick Setup'!$L$47,'Quick Setup'!$L55,if(DJ13='Quick Setup'!$M$47,'Quick Setup'!$M55,if(DJ13='Quick Setup'!$N$47,'Quick Setup'!$N55,if(DJ13='Quick Setup'!$O$47,'Quick Setup'!$O55,if(DJ13='Quick Setup'!$P$47,'Quick Setup'!$P55,if(DJ13='Quick Setup'!$Q$47,'Quick Setup'!$Q55,if(DJ13='Quick Setup'!$R$47,'Quick Setup'!$R55,if(DJ13='Quick Setup'!$S$47,'Quick Setup'!$S55,if(DJ13='Quick Setup'!$T$47,'Quick Setup'!$T55,if(DJ13='Quick Setup'!$U$47,'Quick Setup'!$U55,if(DJ13='Quick Setup'!$V$47,'Quick Setup'!$V55,if(DJ13='Quick Setup'!$W$47,'Quick Setup'!$W55)))))))))))))))))))))</f>
        <v>2</v>
      </c>
      <c r="DM13" s="22">
        <f t="shared" ref="DM13:DP13" si="156">DF13</f>
        <v>4</v>
      </c>
      <c r="DN13" s="22">
        <f t="shared" si="156"/>
        <v>6</v>
      </c>
      <c r="DO13" s="23">
        <f t="shared" si="156"/>
        <v>0.02</v>
      </c>
      <c r="DP13" s="23">
        <f t="shared" si="156"/>
        <v>-0.05</v>
      </c>
      <c r="DQ13" s="21">
        <f>'Quick Setup'!T68</f>
        <v>0.75</v>
      </c>
      <c r="DR13" s="24">
        <f>if(DQ13='Quick Setup'!$C$33,'Quick Setup'!$C41,if(DQ13='Quick Setup'!$D$33,'Quick Setup'!$D41,if(DQ13='Quick Setup'!$E$33,'Quick Setup'!$E41,if(DQ13='Quick Setup'!$F$33,'Quick Setup'!$F41,if(DQ13='Quick Setup'!$G$33,'Quick Setup'!$G41,if(DQ13='Quick Setup'!$H$33,'Quick Setup'!$H41,if(DQ13='Quick Setup'!$I$33,'Quick Setup'!$I41,if(DQ13='Quick Setup'!$J$33,'Quick Setup'!$J41,if(DQ13='Quick Setup'!$K$33,'Quick Setup'!$K41,if(DQ13='Quick Setup'!$L$33,'Quick Setup'!$L41,if(DQ13='Quick Setup'!$M$33,'Quick Setup'!$M41,if(DQ13='Quick Setup'!$N$33,'Quick Setup'!$N41,if(DQ13='Quick Setup'!$O$33,'Quick Setup'!$O41,if(DQ13='Quick Setup'!$P$33,'Quick Setup'!$P41,if(DQ13='Quick Setup'!$Q$33,'Quick Setup'!$Q41,if(DQ13='Quick Setup'!$R$33,'Quick Setup'!$R41,if(DQ13='Quick Setup'!$S$33,'Quick Setup'!$S41,if(DQ13='Quick Setup'!$T$33,'Quick Setup'!$T41,if(DQ13='Quick Setup'!$U$33,'Quick Setup'!$U41,if(DQ13='Quick Setup'!$V$33,'Quick Setup'!$V41,'2x'!EL26))))))))))))))))))))</f>
        <v>4</v>
      </c>
      <c r="DS13" s="22">
        <f>if(DQ13='Quick Setup'!$C$47,'Quick Setup'!$C55,if(DQ13='Quick Setup'!$D$47,'Quick Setup'!$D55,if(DQ13='Quick Setup'!$E$47,'Quick Setup'!$E55,if(DQ13='Quick Setup'!$F$47,'Quick Setup'!$F55,if(DQ13='Quick Setup'!$G$47,'Quick Setup'!$G55,if(DQ13='Quick Setup'!$H$47,'Quick Setup'!$H55,if(DQ13='Quick Setup'!$I$47,'Quick Setup'!$I55,if(DQ13='Quick Setup'!$J$47,'Quick Setup'!$J55,if(DQ13='Quick Setup'!$K$47,'Quick Setup'!$K55,if(DQ13='Quick Setup'!$L$47,'Quick Setup'!$L55,if(DQ13='Quick Setup'!$M$47,'Quick Setup'!$M55,if(DQ13='Quick Setup'!$N$47,'Quick Setup'!$N55,if(DQ13='Quick Setup'!$O$47,'Quick Setup'!$O55,if(DQ13='Quick Setup'!$P$47,'Quick Setup'!$P55,if(DQ13='Quick Setup'!$Q$47,'Quick Setup'!$Q55,if(DQ13='Quick Setup'!$R$47,'Quick Setup'!$R55,if(DQ13='Quick Setup'!$S$47,'Quick Setup'!$S55,if(DQ13='Quick Setup'!$T$47,'Quick Setup'!$T55,if(DQ13='Quick Setup'!$U$47,'Quick Setup'!$U55,if(DQ13='Quick Setup'!$V$47,'Quick Setup'!$V55,if(DQ13='Quick Setup'!$W$47,'Quick Setup'!$W55)))))))))))))))))))))</f>
        <v>3</v>
      </c>
      <c r="DT13" s="22">
        <f t="shared" ref="DT13:DW13" si="157">DM13</f>
        <v>4</v>
      </c>
      <c r="DU13" s="22">
        <f t="shared" si="157"/>
        <v>6</v>
      </c>
      <c r="DV13" s="23">
        <f t="shared" si="157"/>
        <v>0.02</v>
      </c>
      <c r="DW13" s="23">
        <f t="shared" si="157"/>
        <v>-0.05</v>
      </c>
      <c r="DX13" s="21">
        <f>'Quick Setup'!U68</f>
        <v>0.8</v>
      </c>
      <c r="DY13" s="24">
        <f>if(DX13='Quick Setup'!$C$33,'Quick Setup'!$C41,if(DX13='Quick Setup'!$D$33,'Quick Setup'!$D41,if(DX13='Quick Setup'!$E$33,'Quick Setup'!$E41,if(DX13='Quick Setup'!$F$33,'Quick Setup'!$F41,if(DX13='Quick Setup'!$G$33,'Quick Setup'!$G41,if(DX13='Quick Setup'!$H$33,'Quick Setup'!$H41,if(DX13='Quick Setup'!$I$33,'Quick Setup'!$I41,if(DX13='Quick Setup'!$J$33,'Quick Setup'!$J41,if(DX13='Quick Setup'!$K$33,'Quick Setup'!$K41,if(DX13='Quick Setup'!$L$33,'Quick Setup'!$L41,if(DX13='Quick Setup'!$M$33,'Quick Setup'!$M41,if(DX13='Quick Setup'!$N$33,'Quick Setup'!$N41,if(DX13='Quick Setup'!$O$33,'Quick Setup'!$O41,if(DX13='Quick Setup'!$P$33,'Quick Setup'!$P41,if(DX13='Quick Setup'!$Q$33,'Quick Setup'!$Q41,if(DX13='Quick Setup'!$R$33,'Quick Setup'!$R41,if(DX13='Quick Setup'!$S$33,'Quick Setup'!$S41,if(DX13='Quick Setup'!$T$33,'Quick Setup'!$T41,if(DX13='Quick Setup'!$U$33,'Quick Setup'!$U41,if(DX13='Quick Setup'!$V$33,'Quick Setup'!$V41,'2x'!ES26))))))))))))))))))))</f>
        <v>3</v>
      </c>
      <c r="DZ13" s="22">
        <f>if(DX13='Quick Setup'!$C$47,'Quick Setup'!$C55,if(DX13='Quick Setup'!$D$47,'Quick Setup'!$D55,if(DX13='Quick Setup'!$E$47,'Quick Setup'!$E55,if(DX13='Quick Setup'!$F$47,'Quick Setup'!$F55,if(DX13='Quick Setup'!$G$47,'Quick Setup'!$G55,if(DX13='Quick Setup'!$H$47,'Quick Setup'!$H55,if(DX13='Quick Setup'!$I$47,'Quick Setup'!$I55,if(DX13='Quick Setup'!$J$47,'Quick Setup'!$J55,if(DX13='Quick Setup'!$K$47,'Quick Setup'!$K55,if(DX13='Quick Setup'!$L$47,'Quick Setup'!$L55,if(DX13='Quick Setup'!$M$47,'Quick Setup'!$M55,if(DX13='Quick Setup'!$N$47,'Quick Setup'!$N55,if(DX13='Quick Setup'!$O$47,'Quick Setup'!$O55,if(DX13='Quick Setup'!$P$47,'Quick Setup'!$P55,if(DX13='Quick Setup'!$Q$47,'Quick Setup'!$Q55,if(DX13='Quick Setup'!$R$47,'Quick Setup'!$R55,if(DX13='Quick Setup'!$S$47,'Quick Setup'!$S55,if(DX13='Quick Setup'!$T$47,'Quick Setup'!$T55,if(DX13='Quick Setup'!$U$47,'Quick Setup'!$U55,if(DX13='Quick Setup'!$V$47,'Quick Setup'!$V55,if(DX13='Quick Setup'!$W$47,'Quick Setup'!$W55)))))))))))))))))))))</f>
        <v>2</v>
      </c>
      <c r="EA13" s="22">
        <f t="shared" ref="EA13:ED13" si="158">DT13</f>
        <v>4</v>
      </c>
      <c r="EB13" s="22">
        <f t="shared" si="158"/>
        <v>6</v>
      </c>
      <c r="EC13" s="23">
        <f t="shared" si="158"/>
        <v>0.02</v>
      </c>
      <c r="ED13" s="23">
        <f t="shared" si="158"/>
        <v>-0.05</v>
      </c>
      <c r="EE13" s="21">
        <f>'Quick Setup'!V68</f>
        <v>0.85</v>
      </c>
      <c r="EF13" s="24">
        <f>if(EE13='Quick Setup'!$C$33,'Quick Setup'!$C41,if(EE13='Quick Setup'!$D$33,'Quick Setup'!$D41,if(EE13='Quick Setup'!$E$33,'Quick Setup'!$E41,if(EE13='Quick Setup'!$F$33,'Quick Setup'!$F41,if(EE13='Quick Setup'!$G$33,'Quick Setup'!$G41,if(EE13='Quick Setup'!$H$33,'Quick Setup'!$H41,if(EE13='Quick Setup'!$I$33,'Quick Setup'!$I41,if(EE13='Quick Setup'!$J$33,'Quick Setup'!$J41,if(EE13='Quick Setup'!$K$33,'Quick Setup'!$K41,if(EE13='Quick Setup'!$L$33,'Quick Setup'!$L41,if(EE13='Quick Setup'!$M$33,'Quick Setup'!$M41,if(EE13='Quick Setup'!$N$33,'Quick Setup'!$N41,if(EE13='Quick Setup'!$O$33,'Quick Setup'!$O41,if(EE13='Quick Setup'!$P$33,'Quick Setup'!$P41,if(EE13='Quick Setup'!$Q$33,'Quick Setup'!$Q41,if(EE13='Quick Setup'!$R$33,'Quick Setup'!$R41,if(EE13='Quick Setup'!$S$33,'Quick Setup'!$S41,if(EE13='Quick Setup'!$T$33,'Quick Setup'!$T41,if(EE13='Quick Setup'!$U$33,'Quick Setup'!$U41,if(EE13='Quick Setup'!$V$33,'Quick Setup'!$V41,'2x'!EZ26))))))))))))))))))))</f>
        <v>2</v>
      </c>
      <c r="EG13" s="22">
        <f>if(EE13='Quick Setup'!$C$47,'Quick Setup'!$C55,if(EE13='Quick Setup'!$D$47,'Quick Setup'!$D55,if(EE13='Quick Setup'!$E$47,'Quick Setup'!$E55,if(EE13='Quick Setup'!$F$47,'Quick Setup'!$F55,if(EE13='Quick Setup'!$G$47,'Quick Setup'!$G55,if(EE13='Quick Setup'!$H$47,'Quick Setup'!$H55,if(EE13='Quick Setup'!$I$47,'Quick Setup'!$I55,if(EE13='Quick Setup'!$J$47,'Quick Setup'!$J55,if(EE13='Quick Setup'!$K$47,'Quick Setup'!$K55,if(EE13='Quick Setup'!$L$47,'Quick Setup'!$L55,if(EE13='Quick Setup'!$M$47,'Quick Setup'!$M55,if(EE13='Quick Setup'!$N$47,'Quick Setup'!$N55,if(EE13='Quick Setup'!$O$47,'Quick Setup'!$O55,if(EE13='Quick Setup'!$P$47,'Quick Setup'!$P55,if(EE13='Quick Setup'!$Q$47,'Quick Setup'!$Q55,if(EE13='Quick Setup'!$R$47,'Quick Setup'!$R55,if(EE13='Quick Setup'!$S$47,'Quick Setup'!$S55,if(EE13='Quick Setup'!$T$47,'Quick Setup'!$T55,if(EE13='Quick Setup'!$U$47,'Quick Setup'!$U55,if(EE13='Quick Setup'!$V$47,'Quick Setup'!$V55,if(EE13='Quick Setup'!$W$47,'Quick Setup'!$W55)))))))))))))))))))))</f>
        <v>2</v>
      </c>
      <c r="EH13" s="22">
        <f t="shared" ref="EH13:EK13" si="159">EA13</f>
        <v>4</v>
      </c>
      <c r="EI13" s="22">
        <f t="shared" si="159"/>
        <v>6</v>
      </c>
      <c r="EJ13" s="23">
        <f t="shared" si="159"/>
        <v>0.02</v>
      </c>
      <c r="EK13" s="23">
        <f t="shared" si="159"/>
        <v>-0.05</v>
      </c>
      <c r="EL13" s="21">
        <f>'Quick Setup'!W68</f>
        <v>0.5</v>
      </c>
      <c r="EM13" s="24">
        <f>if(EL13='Quick Setup'!$C$33,'Quick Setup'!$C41,if(EL13='Quick Setup'!$D$33,'Quick Setup'!$D41,if(EL13='Quick Setup'!$E$33,'Quick Setup'!$E41,if(EL13='Quick Setup'!$F$33,'Quick Setup'!$F41,if(EL13='Quick Setup'!$G$33,'Quick Setup'!$G41,if(EL13='Quick Setup'!$H$33,'Quick Setup'!$H41,if(EL13='Quick Setup'!$I$33,'Quick Setup'!$I41,if(EL13='Quick Setup'!$J$33,'Quick Setup'!$J41,if(EL13='Quick Setup'!$K$33,'Quick Setup'!$K41,if(EL13='Quick Setup'!$L$33,'Quick Setup'!$L41,if(EL13='Quick Setup'!$M$33,'Quick Setup'!$M41,if(EL13='Quick Setup'!$N$33,'Quick Setup'!$N41,if(EL13='Quick Setup'!$O$33,'Quick Setup'!$O41,if(EL13='Quick Setup'!$P$33,'Quick Setup'!$P41,if(EL13='Quick Setup'!$Q$33,'Quick Setup'!$Q41,if(EL13='Quick Setup'!$R$33,'Quick Setup'!$R41,if(EL13='Quick Setup'!$S$33,'Quick Setup'!$S41,if(EL13='Quick Setup'!$T$33,'Quick Setup'!$T41,if(EL13='Quick Setup'!$U$33,'Quick Setup'!$U41,if(EL13='Quick Setup'!$V$33,'Quick Setup'!$V41,'2x'!FG26))))))))))))))))))))</f>
        <v>8</v>
      </c>
      <c r="EN13" s="22">
        <f>if(EL13='Quick Setup'!$C$47,'Quick Setup'!$C55,if(EL13='Quick Setup'!$D$47,'Quick Setup'!$D55,if(EL13='Quick Setup'!$E$47,'Quick Setup'!$E55,if(EL13='Quick Setup'!$F$47,'Quick Setup'!$F55,if(EL13='Quick Setup'!$G$47,'Quick Setup'!$G55,if(EL13='Quick Setup'!$H$47,'Quick Setup'!$H55,if(EL13='Quick Setup'!$I$47,'Quick Setup'!$I55,if(EL13='Quick Setup'!$J$47,'Quick Setup'!$J55,if(EL13='Quick Setup'!$K$47,'Quick Setup'!$K55,if(EL13='Quick Setup'!$L$47,'Quick Setup'!$L55,if(EL13='Quick Setup'!$M$47,'Quick Setup'!$M55,if(EL13='Quick Setup'!$N$47,'Quick Setup'!$N55,if(EL13='Quick Setup'!$O$47,'Quick Setup'!$O55,if(EL13='Quick Setup'!$P$47,'Quick Setup'!$P55,if(EL13='Quick Setup'!$Q$47,'Quick Setup'!$Q55,if(EL13='Quick Setup'!$R$47,'Quick Setup'!$R55,if(EL13='Quick Setup'!$S$47,'Quick Setup'!$S55,if(EL13='Quick Setup'!$T$47,'Quick Setup'!$T55,if(EL13='Quick Setup'!$U$47,'Quick Setup'!$U55,if(EL13='Quick Setup'!$V$47,'Quick Setup'!$V55,if(EL13='Quick Setup'!$W$47,'Quick Setup'!$W55)))))))))))))))))))))</f>
        <v>5</v>
      </c>
      <c r="EO13" s="22">
        <f t="shared" ref="EO13:ER13" si="160">EH13</f>
        <v>4</v>
      </c>
      <c r="EP13" s="22">
        <f t="shared" si="160"/>
        <v>6</v>
      </c>
      <c r="EQ13" s="23">
        <f t="shared" si="160"/>
        <v>0.02</v>
      </c>
      <c r="ER13" s="23">
        <f t="shared" si="160"/>
        <v>-0.05</v>
      </c>
    </row>
    <row r="14">
      <c r="A14" t="str">
        <f>'Quick Setup'!C15</f>
        <v>Sumo Deadlift</v>
      </c>
      <c r="B14" s="21">
        <f>'Quick Setup'!C69</f>
        <v>0.6</v>
      </c>
      <c r="C14" s="22">
        <f>if(B14='Quick Setup'!$C$33,'Quick Setup'!$C42,if(B14='Quick Setup'!$D$33,'Quick Setup'!$D42,if(B14='Quick Setup'!$E$33,'Quick Setup'!$E42,if(B14='Quick Setup'!$F$33,'Quick Setup'!$F42,if(B14='Quick Setup'!$G$33,'Quick Setup'!$G42,if(B14='Quick Setup'!$H$33,'Quick Setup'!$H42,if(B14='Quick Setup'!$I$33,'Quick Setup'!$I42,if(B14='Quick Setup'!$J$33,'Quick Setup'!$J42,if(B14='Quick Setup'!$K$33,'Quick Setup'!$K42,if(B14='Quick Setup'!$L$33,'Quick Setup'!$L42,if(B14='Quick Setup'!$M$33,'Quick Setup'!$M42,if(B14='Quick Setup'!$N$33,'Quick Setup'!$N42,if(B14='Quick Setup'!$O$33,'Quick Setup'!$O42,if(B14='Quick Setup'!$P$33,'Quick Setup'!$P42,if(B14='Quick Setup'!$Q$33,'Quick Setup'!$Q42,if(B14='Quick Setup'!$R$33,'Quick Setup'!$R42,if(B14='Quick Setup'!$S$33,'Quick Setup'!$S42,if(B14='Quick Setup'!$T$33,'Quick Setup'!$T42,if(B14='Quick Setup'!$U$33,'Quick Setup'!$U42,if(B14='Quick Setup'!$V$33,'Quick Setup'!$V42,'Quick Setup'!W42))))))))))))))))))))</f>
        <v>7</v>
      </c>
      <c r="D14" s="22">
        <f>if(B14='Quick Setup'!$C$47,'Quick Setup'!$C56,if(B14='Quick Setup'!$D$47,'Quick Setup'!$D56,if(B14='Quick Setup'!$E$47,'Quick Setup'!$E56,if(B14='Quick Setup'!$F$47,'Quick Setup'!$F56,if(B14='Quick Setup'!$G$47,'Quick Setup'!$G56,if(B14='Quick Setup'!$H$47,'Quick Setup'!$H56,if(B14='Quick Setup'!$I$47,'Quick Setup'!$I56,if(B14='Quick Setup'!$J$47,'Quick Setup'!$J56,if(B14='Quick Setup'!$K$47,'Quick Setup'!$K56,if(B14='Quick Setup'!$L$47,'Quick Setup'!$L56,if(B14='Quick Setup'!$M$47,'Quick Setup'!$M56,if(B14='Quick Setup'!$N$47,'Quick Setup'!$N56,if(B14='Quick Setup'!$O$47,'Quick Setup'!$O56,if(B14='Quick Setup'!$P$47,'Quick Setup'!$P56,if(B14='Quick Setup'!$Q$47,'Quick Setup'!$Q56,if(B14='Quick Setup'!$R$47,'Quick Setup'!$R56,if(B14='Quick Setup'!$S$47,'Quick Setup'!$S56,if(B14='Quick Setup'!$T$47,'Quick Setup'!$T56,if(B14='Quick Setup'!$U$47,'Quick Setup'!$U56,if(B14='Quick Setup'!$V$47,'Quick Setup'!$V56,if(B14='Quick Setup'!$W$47,'Quick Setup'!$W56)))))))))))))))))))))</f>
        <v>4</v>
      </c>
      <c r="E14" s="22">
        <f>'Quick Setup'!H14</f>
        <v>4</v>
      </c>
      <c r="F14" s="22">
        <f>'Quick Setup'!I14</f>
        <v>6</v>
      </c>
      <c r="G14" s="23">
        <f>'Quick Setup'!J14</f>
        <v>0.02</v>
      </c>
      <c r="H14" s="23">
        <f>'Quick Setup'!K14</f>
        <v>-0.05</v>
      </c>
      <c r="I14" s="21">
        <f>'Quick Setup'!D69</f>
        <v>0.65</v>
      </c>
      <c r="J14" s="22">
        <f>if(I14='Quick Setup'!$C$33,'Quick Setup'!$C42,if(I14='Quick Setup'!$D$33,'Quick Setup'!$D42,if(I14='Quick Setup'!$E$33,'Quick Setup'!$E42,if(I14='Quick Setup'!$F$33,'Quick Setup'!$F42,if(I14='Quick Setup'!$G$33,'Quick Setup'!$G42,if(I14='Quick Setup'!$H$33,'Quick Setup'!$H42,if(I14='Quick Setup'!$I$33,'Quick Setup'!$I42,if(I14='Quick Setup'!$J$33,'Quick Setup'!$J42,if(I14='Quick Setup'!$K$33,'Quick Setup'!$K42,if(I14='Quick Setup'!$L$33,'Quick Setup'!$L42,if(I14='Quick Setup'!$M$33,'Quick Setup'!$M42,if(I14='Quick Setup'!$N$33,'Quick Setup'!$N42,if(I14='Quick Setup'!$O$33,'Quick Setup'!$O42,if(I14='Quick Setup'!$P$33,'Quick Setup'!$P42,if(I14='Quick Setup'!$Q$33,'Quick Setup'!$Q42,if(I14='Quick Setup'!$R$33,'Quick Setup'!$R42,if(I14='Quick Setup'!$S$33,'Quick Setup'!$S42,if(I14='Quick Setup'!$T$33,'Quick Setup'!$T42,if(I14='Quick Setup'!$U$33,'Quick Setup'!$U42,if(I14='Quick Setup'!$V$33,'Quick Setup'!$V42,'2x'!AD41))))))))))))))))))))</f>
        <v>6</v>
      </c>
      <c r="K14" s="22">
        <f>if(I14='Quick Setup'!$C$47,'Quick Setup'!$C56,if(I14='Quick Setup'!$D$47,'Quick Setup'!$D56,if(I14='Quick Setup'!$E$47,'Quick Setup'!$E56,if(I14='Quick Setup'!$F$47,'Quick Setup'!$F56,if(I14='Quick Setup'!$G$47,'Quick Setup'!$G56,if(I14='Quick Setup'!$H$47,'Quick Setup'!$H56,if(I14='Quick Setup'!$I$47,'Quick Setup'!$I56,if(I14='Quick Setup'!$J$47,'Quick Setup'!$J56,if(I14='Quick Setup'!$K$47,'Quick Setup'!$K56,if(I14='Quick Setup'!$L$47,'Quick Setup'!$L56,if(I14='Quick Setup'!$M$47,'Quick Setup'!$M56,if(I14='Quick Setup'!$N$47,'Quick Setup'!$N56,if(I14='Quick Setup'!$O$47,'Quick Setup'!$O56,if(I14='Quick Setup'!$P$47,'Quick Setup'!$P56,if(I14='Quick Setup'!$Q$47,'Quick Setup'!$Q56,if(I14='Quick Setup'!$R$47,'Quick Setup'!$R56,if(I14='Quick Setup'!$S$47,'Quick Setup'!$S56,if(I14='Quick Setup'!$T$47,'Quick Setup'!$T56,if(I14='Quick Setup'!$U$47,'Quick Setup'!$U56,if(I14='Quick Setup'!$V$47,'Quick Setup'!$V56,if(I14='Quick Setup'!$W$47,'Quick Setup'!$W56)))))))))))))))))))))</f>
        <v>4</v>
      </c>
      <c r="L14" s="22">
        <f t="shared" ref="L14:O14" si="161">E14</f>
        <v>4</v>
      </c>
      <c r="M14" s="22">
        <f t="shared" si="161"/>
        <v>6</v>
      </c>
      <c r="N14" s="23">
        <f t="shared" si="161"/>
        <v>0.02</v>
      </c>
      <c r="O14" s="23">
        <f t="shared" si="161"/>
        <v>-0.05</v>
      </c>
      <c r="P14" s="21">
        <f>'Quick Setup'!E69</f>
        <v>0.7</v>
      </c>
      <c r="Q14" s="24">
        <f>if(P14='Quick Setup'!$C$33,'Quick Setup'!$C42,if(P14='Quick Setup'!$D$33,'Quick Setup'!$D42,if(P14='Quick Setup'!$E$33,'Quick Setup'!$E42,if(P14='Quick Setup'!$F$33,'Quick Setup'!$F42,if(P14='Quick Setup'!$G$33,'Quick Setup'!$G42,if(P14='Quick Setup'!$H$33,'Quick Setup'!$H42,if(P14='Quick Setup'!$I$33,'Quick Setup'!$I42,if(P14='Quick Setup'!$J$33,'Quick Setup'!$J42,if(P14='Quick Setup'!$K$33,'Quick Setup'!$K42,if(P14='Quick Setup'!$L$33,'Quick Setup'!$L42,if(P14='Quick Setup'!$M$33,'Quick Setup'!$M42,if(P14='Quick Setup'!$N$33,'Quick Setup'!$N42,if(P14='Quick Setup'!$O$33,'Quick Setup'!$O42,if(P14='Quick Setup'!$P$33,'Quick Setup'!$P42,if(P14='Quick Setup'!$Q$33,'Quick Setup'!$Q42,if(P14='Quick Setup'!$R$33,'Quick Setup'!$R42,if(P14='Quick Setup'!$S$33,'Quick Setup'!$S42,if(P14='Quick Setup'!$T$33,'Quick Setup'!$T42,if(P14='Quick Setup'!$U$33,'Quick Setup'!$U42,if(P14='Quick Setup'!$V$33,'Quick Setup'!$V42,'2x'!AK41))))))))))))))))))))</f>
        <v>5</v>
      </c>
      <c r="R14" s="22">
        <f>if(P14='Quick Setup'!$C$47,'Quick Setup'!$C56,if(P14='Quick Setup'!$D$47,'Quick Setup'!$D56,if(P14='Quick Setup'!$E$47,'Quick Setup'!$E56,if(P14='Quick Setup'!$F$47,'Quick Setup'!$F56,if(P14='Quick Setup'!$G$47,'Quick Setup'!$G56,if(P14='Quick Setup'!$H$47,'Quick Setup'!$H56,if(P14='Quick Setup'!$I$47,'Quick Setup'!$I56,if(P14='Quick Setup'!$J$47,'Quick Setup'!$J56,if(P14='Quick Setup'!$K$47,'Quick Setup'!$K56,if(P14='Quick Setup'!$L$47,'Quick Setup'!$L56,if(P14='Quick Setup'!$M$47,'Quick Setup'!$M56,if(P14='Quick Setup'!$N$47,'Quick Setup'!$N56,if(P14='Quick Setup'!$O$47,'Quick Setup'!$O56,if(P14='Quick Setup'!$P$47,'Quick Setup'!$P56,if(P14='Quick Setup'!$Q$47,'Quick Setup'!$Q56,if(P14='Quick Setup'!$R$47,'Quick Setup'!$R56,if(P14='Quick Setup'!$S$47,'Quick Setup'!$S56,if(P14='Quick Setup'!$T$47,'Quick Setup'!$T56,if(P14='Quick Setup'!$U$47,'Quick Setup'!$U56,if(P14='Quick Setup'!$V$47,'Quick Setup'!$V56,if(P14='Quick Setup'!$W$47,'Quick Setup'!$W56)))))))))))))))))))))</f>
        <v>3</v>
      </c>
      <c r="S14" s="22">
        <f t="shared" ref="S14:V14" si="162">L14</f>
        <v>4</v>
      </c>
      <c r="T14" s="22">
        <f t="shared" si="162"/>
        <v>6</v>
      </c>
      <c r="U14" s="23">
        <f t="shared" si="162"/>
        <v>0.02</v>
      </c>
      <c r="V14" s="23">
        <f t="shared" si="162"/>
        <v>-0.05</v>
      </c>
      <c r="W14" s="21">
        <f>'Quick Setup'!F69</f>
        <v>0.625</v>
      </c>
      <c r="X14" s="24">
        <f>if(W14='Quick Setup'!$C$33,'Quick Setup'!$C42,if(W14='Quick Setup'!$D$33,'Quick Setup'!$D42,if(W14='Quick Setup'!$E$33,'Quick Setup'!$E42,if(W14='Quick Setup'!$F$33,'Quick Setup'!$F42,if(W14='Quick Setup'!$G$33,'Quick Setup'!$G42,if(W14='Quick Setup'!$H$33,'Quick Setup'!$H42,if(W14='Quick Setup'!$I$33,'Quick Setup'!$I42,if(W14='Quick Setup'!$J$33,'Quick Setup'!$J42,if(W14='Quick Setup'!$K$33,'Quick Setup'!$K42,if(W14='Quick Setup'!$L$33,'Quick Setup'!$L42,if(W14='Quick Setup'!$M$33,'Quick Setup'!$M42,if(W14='Quick Setup'!$N$33,'Quick Setup'!$N42,if(W14='Quick Setup'!$O$33,'Quick Setup'!$O42,if(W14='Quick Setup'!$P$33,'Quick Setup'!$P42,if(W14='Quick Setup'!$Q$33,'Quick Setup'!$Q42,if(W14='Quick Setup'!$R$33,'Quick Setup'!$R42,if(W14='Quick Setup'!$S$33,'Quick Setup'!$S42,if(W14='Quick Setup'!$T$33,'Quick Setup'!$T42,if(W14='Quick Setup'!$U$33,'Quick Setup'!$U42,if(W14='Quick Setup'!$V$33,'Quick Setup'!$V42,'2x'!AR41))))))))))))))))))))</f>
        <v>7</v>
      </c>
      <c r="Y14" s="22">
        <f>if(W14='Quick Setup'!$C$47,'Quick Setup'!$C56,if(W14='Quick Setup'!$D$47,'Quick Setup'!$D56,if(W14='Quick Setup'!$E$47,'Quick Setup'!$E56,if(W14='Quick Setup'!$F$47,'Quick Setup'!$F56,if(W14='Quick Setup'!$G$47,'Quick Setup'!$G56,if(W14='Quick Setup'!$H$47,'Quick Setup'!$H56,if(W14='Quick Setup'!$I$47,'Quick Setup'!$I56,if(W14='Quick Setup'!$J$47,'Quick Setup'!$J56,if(W14='Quick Setup'!$K$47,'Quick Setup'!$K56,if(W14='Quick Setup'!$L$47,'Quick Setup'!$L56,if(W14='Quick Setup'!$M$47,'Quick Setup'!$M56,if(W14='Quick Setup'!$N$47,'Quick Setup'!$N56,if(W14='Quick Setup'!$O$47,'Quick Setup'!$O56,if(W14='Quick Setup'!$P$47,'Quick Setup'!$P56,if(W14='Quick Setup'!$Q$47,'Quick Setup'!$Q56,if(W14='Quick Setup'!$R$47,'Quick Setup'!$R56,if(W14='Quick Setup'!$S$47,'Quick Setup'!$S56,if(W14='Quick Setup'!$T$47,'Quick Setup'!$T56,if(W14='Quick Setup'!$U$47,'Quick Setup'!$U56,if(W14='Quick Setup'!$V$47,'Quick Setup'!$V56,if(W14='Quick Setup'!$W$47,'Quick Setup'!$W56)))))))))))))))))))))</f>
        <v>4</v>
      </c>
      <c r="Z14" s="22">
        <f t="shared" ref="Z14:AC14" si="163">S14</f>
        <v>4</v>
      </c>
      <c r="AA14" s="22">
        <f t="shared" si="163"/>
        <v>6</v>
      </c>
      <c r="AB14" s="23">
        <f t="shared" si="163"/>
        <v>0.02</v>
      </c>
      <c r="AC14" s="23">
        <f t="shared" si="163"/>
        <v>-0.05</v>
      </c>
      <c r="AD14" s="21">
        <f>'Quick Setup'!G69</f>
        <v>0.675</v>
      </c>
      <c r="AE14" s="24">
        <f>if(AD14='Quick Setup'!$C$33,'Quick Setup'!$C42,if(AD14='Quick Setup'!$D$33,'Quick Setup'!$D42,if(AD14='Quick Setup'!$E$33,'Quick Setup'!$E42,if(AD14='Quick Setup'!$F$33,'Quick Setup'!$F42,if(AD14='Quick Setup'!$G$33,'Quick Setup'!$G42,if(AD14='Quick Setup'!$H$33,'Quick Setup'!$H42,if(AD14='Quick Setup'!$I$33,'Quick Setup'!$I42,if(AD14='Quick Setup'!$J$33,'Quick Setup'!$J42,if(AD14='Quick Setup'!$K$33,'Quick Setup'!$K42,if(AD14='Quick Setup'!$L$33,'Quick Setup'!$L42,if(AD14='Quick Setup'!$M$33,'Quick Setup'!$M42,if(AD14='Quick Setup'!$N$33,'Quick Setup'!$N42,if(AD14='Quick Setup'!$O$33,'Quick Setup'!$O42,if(AD14='Quick Setup'!$P$33,'Quick Setup'!$P42,if(AD14='Quick Setup'!$Q$33,'Quick Setup'!$Q42,if(AD14='Quick Setup'!$R$33,'Quick Setup'!$R42,if(AD14='Quick Setup'!$S$33,'Quick Setup'!$S42,if(AD14='Quick Setup'!$T$33,'Quick Setup'!$T42,if(AD14='Quick Setup'!$U$33,'Quick Setup'!$U42,if(AD14='Quick Setup'!$V$33,'Quick Setup'!$V42,'2x'!AY41))))))))))))))))))))</f>
        <v>6</v>
      </c>
      <c r="AF14" s="22">
        <f>if(AD14='Quick Setup'!$C$47,'Quick Setup'!$C56,if(AD14='Quick Setup'!$D$47,'Quick Setup'!$D56,if(AD14='Quick Setup'!$E$47,'Quick Setup'!$E56,if(AD14='Quick Setup'!$F$47,'Quick Setup'!$F56,if(AD14='Quick Setup'!$G$47,'Quick Setup'!$G56,if(AD14='Quick Setup'!$H$47,'Quick Setup'!$H56,if(AD14='Quick Setup'!$I$47,'Quick Setup'!$I56,if(AD14='Quick Setup'!$J$47,'Quick Setup'!$J56,if(AD14='Quick Setup'!$K$47,'Quick Setup'!$K56,if(AD14='Quick Setup'!$L$47,'Quick Setup'!$L56,if(AD14='Quick Setup'!$M$47,'Quick Setup'!$M56,if(AD14='Quick Setup'!$N$47,'Quick Setup'!$N56,if(AD14='Quick Setup'!$O$47,'Quick Setup'!$O56,if(AD14='Quick Setup'!$P$47,'Quick Setup'!$P56,if(AD14='Quick Setup'!$Q$47,'Quick Setup'!$Q56,if(AD14='Quick Setup'!$R$47,'Quick Setup'!$R56,if(AD14='Quick Setup'!$S$47,'Quick Setup'!$S56,if(AD14='Quick Setup'!$T$47,'Quick Setup'!$T56,if(AD14='Quick Setup'!$U$47,'Quick Setup'!$U56,if(AD14='Quick Setup'!$V$47,'Quick Setup'!$V56,if(AD14='Quick Setup'!$W$47,'Quick Setup'!$W56)))))))))))))))))))))</f>
        <v>4</v>
      </c>
      <c r="AG14" s="22">
        <f t="shared" ref="AG14:AJ14" si="164">Z14</f>
        <v>4</v>
      </c>
      <c r="AH14" s="22">
        <f t="shared" si="164"/>
        <v>6</v>
      </c>
      <c r="AI14" s="23">
        <f t="shared" si="164"/>
        <v>0.02</v>
      </c>
      <c r="AJ14" s="23">
        <f t="shared" si="164"/>
        <v>-0.05</v>
      </c>
      <c r="AK14" s="21">
        <f>'Quick Setup'!H69</f>
        <v>0.725</v>
      </c>
      <c r="AL14" s="24">
        <f>if(AK14='Quick Setup'!$C$33,'Quick Setup'!$C42,if(AK14='Quick Setup'!$D$33,'Quick Setup'!$D42,if(AK14='Quick Setup'!$E$33,'Quick Setup'!$E42,if(AK14='Quick Setup'!$F$33,'Quick Setup'!$F42,if(AK14='Quick Setup'!$G$33,'Quick Setup'!$G42,if(AK14='Quick Setup'!$H$33,'Quick Setup'!$H42,if(AK14='Quick Setup'!$I$33,'Quick Setup'!$I42,if(AK14='Quick Setup'!$J$33,'Quick Setup'!$J42,if(AK14='Quick Setup'!$K$33,'Quick Setup'!$K42,if(AK14='Quick Setup'!$L$33,'Quick Setup'!$L42,if(AK14='Quick Setup'!$M$33,'Quick Setup'!$M42,if(AK14='Quick Setup'!$N$33,'Quick Setup'!$N42,if(AK14='Quick Setup'!$O$33,'Quick Setup'!$O42,if(AK14='Quick Setup'!$P$33,'Quick Setup'!$P42,if(AK14='Quick Setup'!$Q$33,'Quick Setup'!$Q42,if(AK14='Quick Setup'!$R$33,'Quick Setup'!$R42,if(AK14='Quick Setup'!$S$33,'Quick Setup'!$S42,if(AK14='Quick Setup'!$T$33,'Quick Setup'!$T42,if(AK14='Quick Setup'!$U$33,'Quick Setup'!$U42,if(AK14='Quick Setup'!$V$33,'Quick Setup'!$V42,'2x'!BF41))))))))))))))))))))</f>
        <v>5</v>
      </c>
      <c r="AM14" s="22">
        <f>if(AK14='Quick Setup'!$C$47,'Quick Setup'!$C56,if(AK14='Quick Setup'!$D$47,'Quick Setup'!$D56,if(AK14='Quick Setup'!$E$47,'Quick Setup'!$E56,if(AK14='Quick Setup'!$F$47,'Quick Setup'!$F56,if(AK14='Quick Setup'!$G$47,'Quick Setup'!$G56,if(AK14='Quick Setup'!$H$47,'Quick Setup'!$H56,if(AK14='Quick Setup'!$I$47,'Quick Setup'!$I56,if(AK14='Quick Setup'!$J$47,'Quick Setup'!$J56,if(AK14='Quick Setup'!$K$47,'Quick Setup'!$K56,if(AK14='Quick Setup'!$L$47,'Quick Setup'!$L56,if(AK14='Quick Setup'!$M$47,'Quick Setup'!$M56,if(AK14='Quick Setup'!$N$47,'Quick Setup'!$N56,if(AK14='Quick Setup'!$O$47,'Quick Setup'!$O56,if(AK14='Quick Setup'!$P$47,'Quick Setup'!$P56,if(AK14='Quick Setup'!$Q$47,'Quick Setup'!$Q56,if(AK14='Quick Setup'!$R$47,'Quick Setup'!$R56,if(AK14='Quick Setup'!$S$47,'Quick Setup'!$S56,if(AK14='Quick Setup'!$T$47,'Quick Setup'!$T56,if(AK14='Quick Setup'!$U$47,'Quick Setup'!$U56,if(AK14='Quick Setup'!$V$47,'Quick Setup'!$V56,if(AK14='Quick Setup'!$W$47,'Quick Setup'!$W56)))))))))))))))))))))</f>
        <v>3</v>
      </c>
      <c r="AN14" s="22">
        <f t="shared" ref="AN14:AQ14" si="165">AG14</f>
        <v>4</v>
      </c>
      <c r="AO14" s="22">
        <f t="shared" si="165"/>
        <v>6</v>
      </c>
      <c r="AP14" s="23">
        <f t="shared" si="165"/>
        <v>0.02</v>
      </c>
      <c r="AQ14" s="23">
        <f t="shared" si="165"/>
        <v>-0.05</v>
      </c>
      <c r="AR14" s="21">
        <f>'Quick Setup'!I69</f>
        <v>0.5</v>
      </c>
      <c r="AS14" s="24">
        <f>if(AR14='Quick Setup'!$C$33,'Quick Setup'!$C42,if(AR14='Quick Setup'!$D$33,'Quick Setup'!$D42,if(AR14='Quick Setup'!$E$33,'Quick Setup'!$E42,if(AR14='Quick Setup'!$F$33,'Quick Setup'!$F42,if(AR14='Quick Setup'!$G$33,'Quick Setup'!$G42,if(AR14='Quick Setup'!$H$33,'Quick Setup'!$H42,if(AR14='Quick Setup'!$I$33,'Quick Setup'!$I42,if(AR14='Quick Setup'!$J$33,'Quick Setup'!$J42,if(AR14='Quick Setup'!$K$33,'Quick Setup'!$K42,if(AR14='Quick Setup'!$L$33,'Quick Setup'!$L42,if(AR14='Quick Setup'!$M$33,'Quick Setup'!$M42,if(AR14='Quick Setup'!$N$33,'Quick Setup'!$N42,if(AR14='Quick Setup'!$O$33,'Quick Setup'!$O42,if(AR14='Quick Setup'!$P$33,'Quick Setup'!$P42,if(AR14='Quick Setup'!$Q$33,'Quick Setup'!$Q42,if(AR14='Quick Setup'!$R$33,'Quick Setup'!$R42,if(AR14='Quick Setup'!$S$33,'Quick Setup'!$S42,if(AR14='Quick Setup'!$T$33,'Quick Setup'!$T42,if(AR14='Quick Setup'!$U$33,'Quick Setup'!$U42,if(AR14='Quick Setup'!$V$33,'Quick Setup'!$V42,'2x'!BM41))))))))))))))))))))</f>
        <v>8</v>
      </c>
      <c r="AT14" s="22">
        <f>if(AR14='Quick Setup'!$C$47,'Quick Setup'!$C56,if(AR14='Quick Setup'!$D$47,'Quick Setup'!$D56,if(AR14='Quick Setup'!$E$47,'Quick Setup'!$E56,if(AR14='Quick Setup'!$F$47,'Quick Setup'!$F56,if(AR14='Quick Setup'!$G$47,'Quick Setup'!$G56,if(AR14='Quick Setup'!$H$47,'Quick Setup'!$H56,if(AR14='Quick Setup'!$I$47,'Quick Setup'!$I56,if(AR14='Quick Setup'!$J$47,'Quick Setup'!$J56,if(AR14='Quick Setup'!$K$47,'Quick Setup'!$K56,if(AR14='Quick Setup'!$L$47,'Quick Setup'!$L56,if(AR14='Quick Setup'!$M$47,'Quick Setup'!$M56,if(AR14='Quick Setup'!$N$47,'Quick Setup'!$N56,if(AR14='Quick Setup'!$O$47,'Quick Setup'!$O56,if(AR14='Quick Setup'!$P$47,'Quick Setup'!$P56,if(AR14='Quick Setup'!$Q$47,'Quick Setup'!$Q56,if(AR14='Quick Setup'!$R$47,'Quick Setup'!$R56,if(AR14='Quick Setup'!$S$47,'Quick Setup'!$S56,if(AR14='Quick Setup'!$T$47,'Quick Setup'!$T56,if(AR14='Quick Setup'!$U$47,'Quick Setup'!$U56,if(AR14='Quick Setup'!$V$47,'Quick Setup'!$V56,if(AR14='Quick Setup'!$W$47,'Quick Setup'!$W56)))))))))))))))))))))</f>
        <v>5</v>
      </c>
      <c r="AU14" s="22">
        <f t="shared" ref="AU14:AX14" si="166">AN14</f>
        <v>4</v>
      </c>
      <c r="AV14" s="22">
        <f t="shared" si="166"/>
        <v>6</v>
      </c>
      <c r="AW14" s="23">
        <f t="shared" si="166"/>
        <v>0.02</v>
      </c>
      <c r="AX14" s="23">
        <f t="shared" si="166"/>
        <v>-0.05</v>
      </c>
      <c r="AY14" s="21">
        <f>'Quick Setup'!J69</f>
        <v>0.65</v>
      </c>
      <c r="AZ14" s="24">
        <f>if(AY14='Quick Setup'!$C$33,'Quick Setup'!$C42,if(AY14='Quick Setup'!$D$33,'Quick Setup'!$D42,if(AY14='Quick Setup'!$E$33,'Quick Setup'!$E42,if(AY14='Quick Setup'!$F$33,'Quick Setup'!$F42,if(AY14='Quick Setup'!$G$33,'Quick Setup'!$G42,if(AY14='Quick Setup'!$H$33,'Quick Setup'!$H42,if(AY14='Quick Setup'!$I$33,'Quick Setup'!$I42,if(AY14='Quick Setup'!$J$33,'Quick Setup'!$J42,if(AY14='Quick Setup'!$K$33,'Quick Setup'!$K42,if(AY14='Quick Setup'!$L$33,'Quick Setup'!$L42,if(AY14='Quick Setup'!$M$33,'Quick Setup'!$M42,if(AY14='Quick Setup'!$N$33,'Quick Setup'!$N42,if(AY14='Quick Setup'!$O$33,'Quick Setup'!$O42,if(AY14='Quick Setup'!$P$33,'Quick Setup'!$P42,if(AY14='Quick Setup'!$Q$33,'Quick Setup'!$Q42,if(AY14='Quick Setup'!$R$33,'Quick Setup'!$R42,if(AY14='Quick Setup'!$S$33,'Quick Setup'!$S42,if(AY14='Quick Setup'!$T$33,'Quick Setup'!$T42,if(AY14='Quick Setup'!$U$33,'Quick Setup'!$U42,if(AY14='Quick Setup'!$V$33,'Quick Setup'!$V42,'2x'!BT41))))))))))))))))))))</f>
        <v>6</v>
      </c>
      <c r="BA14" s="22">
        <f>if(AY14='Quick Setup'!$C$47,'Quick Setup'!$C56,if(AY14='Quick Setup'!$D$47,'Quick Setup'!$D56,if(AY14='Quick Setup'!$E$47,'Quick Setup'!$E56,if(AY14='Quick Setup'!$F$47,'Quick Setup'!$F56,if(AY14='Quick Setup'!$G$47,'Quick Setup'!$G56,if(AY14='Quick Setup'!$H$47,'Quick Setup'!$H56,if(AY14='Quick Setup'!$I$47,'Quick Setup'!$I56,if(AY14='Quick Setup'!$J$47,'Quick Setup'!$J56,if(AY14='Quick Setup'!$K$47,'Quick Setup'!$K56,if(AY14='Quick Setup'!$L$47,'Quick Setup'!$L56,if(AY14='Quick Setup'!$M$47,'Quick Setup'!$M56,if(AY14='Quick Setup'!$N$47,'Quick Setup'!$N56,if(AY14='Quick Setup'!$O$47,'Quick Setup'!$O56,if(AY14='Quick Setup'!$P$47,'Quick Setup'!$P56,if(AY14='Quick Setup'!$Q$47,'Quick Setup'!$Q56,if(AY14='Quick Setup'!$R$47,'Quick Setup'!$R56,if(AY14='Quick Setup'!$S$47,'Quick Setup'!$S56,if(AY14='Quick Setup'!$T$47,'Quick Setup'!$T56,if(AY14='Quick Setup'!$U$47,'Quick Setup'!$U56,if(AY14='Quick Setup'!$V$47,'Quick Setup'!$V56,if(AY14='Quick Setup'!$W$47,'Quick Setup'!$W56)))))))))))))))))))))</f>
        <v>4</v>
      </c>
      <c r="BB14" s="22">
        <f t="shared" ref="BB14:BE14" si="167">AU14</f>
        <v>4</v>
      </c>
      <c r="BC14" s="22">
        <f t="shared" si="167"/>
        <v>6</v>
      </c>
      <c r="BD14" s="23">
        <f t="shared" si="167"/>
        <v>0.02</v>
      </c>
      <c r="BE14" s="23">
        <f t="shared" si="167"/>
        <v>-0.05</v>
      </c>
      <c r="BF14" s="21">
        <f>'Quick Setup'!K69</f>
        <v>0.7</v>
      </c>
      <c r="BG14" s="24">
        <f>if(BF14='Quick Setup'!$C$33,'Quick Setup'!$C42,if(BF14='Quick Setup'!$D$33,'Quick Setup'!$D42,if(BF14='Quick Setup'!$E$33,'Quick Setup'!$E42,if(BF14='Quick Setup'!$F$33,'Quick Setup'!$F42,if(BF14='Quick Setup'!$G$33,'Quick Setup'!$G42,if(BF14='Quick Setup'!$H$33,'Quick Setup'!$H42,if(BF14='Quick Setup'!$I$33,'Quick Setup'!$I42,if(BF14='Quick Setup'!$J$33,'Quick Setup'!$J42,if(BF14='Quick Setup'!$K$33,'Quick Setup'!$K42,if(BF14='Quick Setup'!$L$33,'Quick Setup'!$L42,if(BF14='Quick Setup'!$M$33,'Quick Setup'!$M42,if(BF14='Quick Setup'!$N$33,'Quick Setup'!$N42,if(BF14='Quick Setup'!$O$33,'Quick Setup'!$O42,if(BF14='Quick Setup'!$P$33,'Quick Setup'!$P42,if(BF14='Quick Setup'!$Q$33,'Quick Setup'!$Q42,if(BF14='Quick Setup'!$R$33,'Quick Setup'!$R42,if(BF14='Quick Setup'!$S$33,'Quick Setup'!$S42,if(BF14='Quick Setup'!$T$33,'Quick Setup'!$T42,if(BF14='Quick Setup'!$U$33,'Quick Setup'!$U42,if(BF14='Quick Setup'!$V$33,'Quick Setup'!$V42,'2x'!CA41))))))))))))))))))))</f>
        <v>5</v>
      </c>
      <c r="BH14" s="22">
        <f>if(BF14='Quick Setup'!$C$47,'Quick Setup'!$C56,if(BF14='Quick Setup'!$D$47,'Quick Setup'!$D56,if(BF14='Quick Setup'!$E$47,'Quick Setup'!$E56,if(BF14='Quick Setup'!$F$47,'Quick Setup'!$F56,if(BF14='Quick Setup'!$G$47,'Quick Setup'!$G56,if(BF14='Quick Setup'!$H$47,'Quick Setup'!$H56,if(BF14='Quick Setup'!$I$47,'Quick Setup'!$I56,if(BF14='Quick Setup'!$J$47,'Quick Setup'!$J56,if(BF14='Quick Setup'!$K$47,'Quick Setup'!$K56,if(BF14='Quick Setup'!$L$47,'Quick Setup'!$L56,if(BF14='Quick Setup'!$M$47,'Quick Setup'!$M56,if(BF14='Quick Setup'!$N$47,'Quick Setup'!$N56,if(BF14='Quick Setup'!$O$47,'Quick Setup'!$O56,if(BF14='Quick Setup'!$P$47,'Quick Setup'!$P56,if(BF14='Quick Setup'!$Q$47,'Quick Setup'!$Q56,if(BF14='Quick Setup'!$R$47,'Quick Setup'!$R56,if(BF14='Quick Setup'!$S$47,'Quick Setup'!$S56,if(BF14='Quick Setup'!$T$47,'Quick Setup'!$T56,if(BF14='Quick Setup'!$U$47,'Quick Setup'!$U56,if(BF14='Quick Setup'!$V$47,'Quick Setup'!$V56,if(BF14='Quick Setup'!$W$47,'Quick Setup'!$W56)))))))))))))))))))))</f>
        <v>3</v>
      </c>
      <c r="BI14" s="22">
        <f t="shared" ref="BI14:BL14" si="168">BB14</f>
        <v>4</v>
      </c>
      <c r="BJ14" s="22">
        <f t="shared" si="168"/>
        <v>6</v>
      </c>
      <c r="BK14" s="23">
        <f t="shared" si="168"/>
        <v>0.02</v>
      </c>
      <c r="BL14" s="23">
        <f t="shared" si="168"/>
        <v>-0.05</v>
      </c>
      <c r="BM14" s="21">
        <f>'Quick Setup'!L69</f>
        <v>0.75</v>
      </c>
      <c r="BN14" s="24">
        <f>if(BM14='Quick Setup'!$C$33,'Quick Setup'!$C42,if(BM14='Quick Setup'!$D$33,'Quick Setup'!$D42,if(BM14='Quick Setup'!$E$33,'Quick Setup'!$E42,if(BM14='Quick Setup'!$F$33,'Quick Setup'!$F42,if(BM14='Quick Setup'!$G$33,'Quick Setup'!$G42,if(BM14='Quick Setup'!$H$33,'Quick Setup'!$H42,if(BM14='Quick Setup'!$I$33,'Quick Setup'!$I42,if(BM14='Quick Setup'!$J$33,'Quick Setup'!$J42,if(BM14='Quick Setup'!$K$33,'Quick Setup'!$K42,if(BM14='Quick Setup'!$L$33,'Quick Setup'!$L42,if(BM14='Quick Setup'!$M$33,'Quick Setup'!$M42,if(BM14='Quick Setup'!$N$33,'Quick Setup'!$N42,if(BM14='Quick Setup'!$O$33,'Quick Setup'!$O42,if(BM14='Quick Setup'!$P$33,'Quick Setup'!$P42,if(BM14='Quick Setup'!$Q$33,'Quick Setup'!$Q42,if(BM14='Quick Setup'!$R$33,'Quick Setup'!$R42,if(BM14='Quick Setup'!$S$33,'Quick Setup'!$S42,if(BM14='Quick Setup'!$T$33,'Quick Setup'!$T42,if(BM14='Quick Setup'!$U$33,'Quick Setup'!$U42,if(BM14='Quick Setup'!$V$33,'Quick Setup'!$V42,'2x'!CH41))))))))))))))))))))</f>
        <v>4</v>
      </c>
      <c r="BO14" s="22">
        <f>if(BM14='Quick Setup'!$C$47,'Quick Setup'!$C56,if(BM14='Quick Setup'!$D$47,'Quick Setup'!$D56,if(BM14='Quick Setup'!$E$47,'Quick Setup'!$E56,if(BM14='Quick Setup'!$F$47,'Quick Setup'!$F56,if(BM14='Quick Setup'!$G$47,'Quick Setup'!$G56,if(BM14='Quick Setup'!$H$47,'Quick Setup'!$H56,if(BM14='Quick Setup'!$I$47,'Quick Setup'!$I56,if(BM14='Quick Setup'!$J$47,'Quick Setup'!$J56,if(BM14='Quick Setup'!$K$47,'Quick Setup'!$K56,if(BM14='Quick Setup'!$L$47,'Quick Setup'!$L56,if(BM14='Quick Setup'!$M$47,'Quick Setup'!$M56,if(BM14='Quick Setup'!$N$47,'Quick Setup'!$N56,if(BM14='Quick Setup'!$O$47,'Quick Setup'!$O56,if(BM14='Quick Setup'!$P$47,'Quick Setup'!$P56,if(BM14='Quick Setup'!$Q$47,'Quick Setup'!$Q56,if(BM14='Quick Setup'!$R$47,'Quick Setup'!$R56,if(BM14='Quick Setup'!$S$47,'Quick Setup'!$S56,if(BM14='Quick Setup'!$T$47,'Quick Setup'!$T56,if(BM14='Quick Setup'!$U$47,'Quick Setup'!$U56,if(BM14='Quick Setup'!$V$47,'Quick Setup'!$V56,if(BM14='Quick Setup'!$W$47,'Quick Setup'!$W56)))))))))))))))))))))</f>
        <v>3</v>
      </c>
      <c r="BP14" s="22">
        <f t="shared" ref="BP14:BS14" si="169">BI14</f>
        <v>4</v>
      </c>
      <c r="BQ14" s="22">
        <f t="shared" si="169"/>
        <v>6</v>
      </c>
      <c r="BR14" s="23">
        <f t="shared" si="169"/>
        <v>0.02</v>
      </c>
      <c r="BS14" s="23">
        <f t="shared" si="169"/>
        <v>-0.05</v>
      </c>
      <c r="BT14" s="21">
        <f>'Quick Setup'!M69</f>
        <v>0.675</v>
      </c>
      <c r="BU14" s="24">
        <f>if(BT14='Quick Setup'!$C$33,'Quick Setup'!$C42,if(BT14='Quick Setup'!$D$33,'Quick Setup'!$D42,if(BT14='Quick Setup'!$E$33,'Quick Setup'!$E42,if(BT14='Quick Setup'!$F$33,'Quick Setup'!$F42,if(BT14='Quick Setup'!$G$33,'Quick Setup'!$G42,if(BT14='Quick Setup'!$H$33,'Quick Setup'!$H42,if(BT14='Quick Setup'!$I$33,'Quick Setup'!$I42,if(BT14='Quick Setup'!$J$33,'Quick Setup'!$J42,if(BT14='Quick Setup'!$K$33,'Quick Setup'!$K42,if(BT14='Quick Setup'!$L$33,'Quick Setup'!$L42,if(BT14='Quick Setup'!$M$33,'Quick Setup'!$M42,if(BT14='Quick Setup'!$N$33,'Quick Setup'!$N42,if(BT14='Quick Setup'!$O$33,'Quick Setup'!$O42,if(BT14='Quick Setup'!$P$33,'Quick Setup'!$P42,if(BT14='Quick Setup'!$Q$33,'Quick Setup'!$Q42,if(BT14='Quick Setup'!$R$33,'Quick Setup'!$R42,if(BT14='Quick Setup'!$S$33,'Quick Setup'!$S42,if(BT14='Quick Setup'!$T$33,'Quick Setup'!$T42,if(BT14='Quick Setup'!$U$33,'Quick Setup'!$U42,if(BT14='Quick Setup'!$V$33,'Quick Setup'!$V42,'2x'!CO41))))))))))))))))))))</f>
        <v>6</v>
      </c>
      <c r="BV14" s="22">
        <f>if(BT14='Quick Setup'!$C$47,'Quick Setup'!$C56,if(BT14='Quick Setup'!$D$47,'Quick Setup'!$D56,if(BT14='Quick Setup'!$E$47,'Quick Setup'!$E56,if(BT14='Quick Setup'!$F$47,'Quick Setup'!$F56,if(BT14='Quick Setup'!$G$47,'Quick Setup'!$G56,if(BT14='Quick Setup'!$H$47,'Quick Setup'!$H56,if(BT14='Quick Setup'!$I$47,'Quick Setup'!$I56,if(BT14='Quick Setup'!$J$47,'Quick Setup'!$J56,if(BT14='Quick Setup'!$K$47,'Quick Setup'!$K56,if(BT14='Quick Setup'!$L$47,'Quick Setup'!$L56,if(BT14='Quick Setup'!$M$47,'Quick Setup'!$M56,if(BT14='Quick Setup'!$N$47,'Quick Setup'!$N56,if(BT14='Quick Setup'!$O$47,'Quick Setup'!$O56,if(BT14='Quick Setup'!$P$47,'Quick Setup'!$P56,if(BT14='Quick Setup'!$Q$47,'Quick Setup'!$Q56,if(BT14='Quick Setup'!$R$47,'Quick Setup'!$R56,if(BT14='Quick Setup'!$S$47,'Quick Setup'!$S56,if(BT14='Quick Setup'!$T$47,'Quick Setup'!$T56,if(BT14='Quick Setup'!$U$47,'Quick Setup'!$U56,if(BT14='Quick Setup'!$V$47,'Quick Setup'!$V56,if(BT14='Quick Setup'!$W$47,'Quick Setup'!$W56)))))))))))))))))))))</f>
        <v>4</v>
      </c>
      <c r="BW14" s="22">
        <f t="shared" ref="BW14:BZ14" si="170">BP14</f>
        <v>4</v>
      </c>
      <c r="BX14" s="22">
        <f t="shared" si="170"/>
        <v>6</v>
      </c>
      <c r="BY14" s="23">
        <f t="shared" si="170"/>
        <v>0.02</v>
      </c>
      <c r="BZ14" s="23">
        <f t="shared" si="170"/>
        <v>-0.05</v>
      </c>
      <c r="CA14" s="21">
        <f>'Quick Setup'!N69</f>
        <v>0.725</v>
      </c>
      <c r="CB14" s="24">
        <f>if(CA14='Quick Setup'!$C$33,'Quick Setup'!$C42,if(CA14='Quick Setup'!$D$33,'Quick Setup'!$D42,if(CA14='Quick Setup'!$E$33,'Quick Setup'!$E42,if(CA14='Quick Setup'!$F$33,'Quick Setup'!$F42,if(CA14='Quick Setup'!$G$33,'Quick Setup'!$G42,if(CA14='Quick Setup'!$H$33,'Quick Setup'!$H42,if(CA14='Quick Setup'!$I$33,'Quick Setup'!$I42,if(CA14='Quick Setup'!$J$33,'Quick Setup'!$J42,if(CA14='Quick Setup'!$K$33,'Quick Setup'!$K42,if(CA14='Quick Setup'!$L$33,'Quick Setup'!$L42,if(CA14='Quick Setup'!$M$33,'Quick Setup'!$M42,if(CA14='Quick Setup'!$N$33,'Quick Setup'!$N42,if(CA14='Quick Setup'!$O$33,'Quick Setup'!$O42,if(CA14='Quick Setup'!$P$33,'Quick Setup'!$P42,if(CA14='Quick Setup'!$Q$33,'Quick Setup'!$Q42,if(CA14='Quick Setup'!$R$33,'Quick Setup'!$R42,if(CA14='Quick Setup'!$S$33,'Quick Setup'!$S42,if(CA14='Quick Setup'!$T$33,'Quick Setup'!$T42,if(CA14='Quick Setup'!$U$33,'Quick Setup'!$U42,if(CA14='Quick Setup'!$V$33,'Quick Setup'!$V42,'2x'!CV41))))))))))))))))))))</f>
        <v>5</v>
      </c>
      <c r="CC14" s="22">
        <f>if(CA14='Quick Setup'!$C$47,'Quick Setup'!$C56,if(CA14='Quick Setup'!$D$47,'Quick Setup'!$D56,if(CA14='Quick Setup'!$E$47,'Quick Setup'!$E56,if(CA14='Quick Setup'!$F$47,'Quick Setup'!$F56,if(CA14='Quick Setup'!$G$47,'Quick Setup'!$G56,if(CA14='Quick Setup'!$H$47,'Quick Setup'!$H56,if(CA14='Quick Setup'!$I$47,'Quick Setup'!$I56,if(CA14='Quick Setup'!$J$47,'Quick Setup'!$J56,if(CA14='Quick Setup'!$K$47,'Quick Setup'!$K56,if(CA14='Quick Setup'!$L$47,'Quick Setup'!$L56,if(CA14='Quick Setup'!$M$47,'Quick Setup'!$M56,if(CA14='Quick Setup'!$N$47,'Quick Setup'!$N56,if(CA14='Quick Setup'!$O$47,'Quick Setup'!$O56,if(CA14='Quick Setup'!$P$47,'Quick Setup'!$P56,if(CA14='Quick Setup'!$Q$47,'Quick Setup'!$Q56,if(CA14='Quick Setup'!$R$47,'Quick Setup'!$R56,if(CA14='Quick Setup'!$S$47,'Quick Setup'!$S56,if(CA14='Quick Setup'!$T$47,'Quick Setup'!$T56,if(CA14='Quick Setup'!$U$47,'Quick Setup'!$U56,if(CA14='Quick Setup'!$V$47,'Quick Setup'!$V56,if(CA14='Quick Setup'!$W$47,'Quick Setup'!$W56)))))))))))))))))))))</f>
        <v>3</v>
      </c>
      <c r="CD14" s="22">
        <f t="shared" ref="CD14:CG14" si="171">BW14</f>
        <v>4</v>
      </c>
      <c r="CE14" s="22">
        <f t="shared" si="171"/>
        <v>6</v>
      </c>
      <c r="CF14" s="23">
        <f t="shared" si="171"/>
        <v>0.02</v>
      </c>
      <c r="CG14" s="23">
        <f t="shared" si="171"/>
        <v>-0.05</v>
      </c>
      <c r="CH14" s="21">
        <f>'Quick Setup'!O69</f>
        <v>0.775</v>
      </c>
      <c r="CI14" s="24">
        <f>if(CH14='Quick Setup'!$C$33,'Quick Setup'!$C42,if(CH14='Quick Setup'!$D$33,'Quick Setup'!$D42,if(CH14='Quick Setup'!$E$33,'Quick Setup'!$E42,if(CH14='Quick Setup'!$F$33,'Quick Setup'!$F42,if(CH14='Quick Setup'!$G$33,'Quick Setup'!$G42,if(CH14='Quick Setup'!$H$33,'Quick Setup'!$H42,if(CH14='Quick Setup'!$I$33,'Quick Setup'!$I42,if(CH14='Quick Setup'!$J$33,'Quick Setup'!$J42,if(CH14='Quick Setup'!$K$33,'Quick Setup'!$K42,if(CH14='Quick Setup'!$L$33,'Quick Setup'!$L42,if(CH14='Quick Setup'!$M$33,'Quick Setup'!$M42,if(CH14='Quick Setup'!$N$33,'Quick Setup'!$N42,if(CH14='Quick Setup'!$O$33,'Quick Setup'!$O42,if(CH14='Quick Setup'!$P$33,'Quick Setup'!$P42,if(CH14='Quick Setup'!$Q$33,'Quick Setup'!$Q42,if(CH14='Quick Setup'!$R$33,'Quick Setup'!$R42,if(CH14='Quick Setup'!$S$33,'Quick Setup'!$S42,if(CH14='Quick Setup'!$T$33,'Quick Setup'!$T42,if(CH14='Quick Setup'!$U$33,'Quick Setup'!$U42,if(CH14='Quick Setup'!$V$33,'Quick Setup'!$V42,'2x'!DC41))))))))))))))))))))</f>
        <v>4</v>
      </c>
      <c r="CJ14" s="22">
        <f>if(CH14='Quick Setup'!$C$47,'Quick Setup'!$C56,if(CH14='Quick Setup'!$D$47,'Quick Setup'!$D56,if(CH14='Quick Setup'!$E$47,'Quick Setup'!$E56,if(CH14='Quick Setup'!$F$47,'Quick Setup'!$F56,if(CH14='Quick Setup'!$G$47,'Quick Setup'!$G56,if(CH14='Quick Setup'!$H$47,'Quick Setup'!$H56,if(CH14='Quick Setup'!$I$47,'Quick Setup'!$I56,if(CH14='Quick Setup'!$J$47,'Quick Setup'!$J56,if(CH14='Quick Setup'!$K$47,'Quick Setup'!$K56,if(CH14='Quick Setup'!$L$47,'Quick Setup'!$L56,if(CH14='Quick Setup'!$M$47,'Quick Setup'!$M56,if(CH14='Quick Setup'!$N$47,'Quick Setup'!$N56,if(CH14='Quick Setup'!$O$47,'Quick Setup'!$O56,if(CH14='Quick Setup'!$P$47,'Quick Setup'!$P56,if(CH14='Quick Setup'!$Q$47,'Quick Setup'!$Q56,if(CH14='Quick Setup'!$R$47,'Quick Setup'!$R56,if(CH14='Quick Setup'!$S$47,'Quick Setup'!$S56,if(CH14='Quick Setup'!$T$47,'Quick Setup'!$T56,if(CH14='Quick Setup'!$U$47,'Quick Setup'!$U56,if(CH14='Quick Setup'!$V$47,'Quick Setup'!$V56,if(CH14='Quick Setup'!$W$47,'Quick Setup'!$W56)))))))))))))))))))))</f>
        <v>3</v>
      </c>
      <c r="CK14" s="22">
        <f t="shared" ref="CK14:CN14" si="172">CD14</f>
        <v>4</v>
      </c>
      <c r="CL14" s="22">
        <f t="shared" si="172"/>
        <v>6</v>
      </c>
      <c r="CM14" s="23">
        <f t="shared" si="172"/>
        <v>0.02</v>
      </c>
      <c r="CN14" s="23">
        <f t="shared" si="172"/>
        <v>-0.05</v>
      </c>
      <c r="CO14" s="21">
        <f>'Quick Setup'!P69</f>
        <v>0.5</v>
      </c>
      <c r="CP14" s="24">
        <f>if(CO14='Quick Setup'!$C$33,'Quick Setup'!$C42,if(CO14='Quick Setup'!$D$33,'Quick Setup'!$D42,if(CO14='Quick Setup'!$E$33,'Quick Setup'!$E42,if(CO14='Quick Setup'!$F$33,'Quick Setup'!$F42,if(CO14='Quick Setup'!$G$33,'Quick Setup'!$G42,if(CO14='Quick Setup'!$H$33,'Quick Setup'!$H42,if(CO14='Quick Setup'!$I$33,'Quick Setup'!$I42,if(CO14='Quick Setup'!$J$33,'Quick Setup'!$J42,if(CO14='Quick Setup'!$K$33,'Quick Setup'!$K42,if(CO14='Quick Setup'!$L$33,'Quick Setup'!$L42,if(CO14='Quick Setup'!$M$33,'Quick Setup'!$M42,if(CO14='Quick Setup'!$N$33,'Quick Setup'!$N42,if(CO14='Quick Setup'!$O$33,'Quick Setup'!$O42,if(CO14='Quick Setup'!$P$33,'Quick Setup'!$P42,if(CO14='Quick Setup'!$Q$33,'Quick Setup'!$Q42,if(CO14='Quick Setup'!$R$33,'Quick Setup'!$R42,if(CO14='Quick Setup'!$S$33,'Quick Setup'!$S42,if(CO14='Quick Setup'!$T$33,'Quick Setup'!$T42,if(CO14='Quick Setup'!$U$33,'Quick Setup'!$U42,if(CO14='Quick Setup'!$V$33,'Quick Setup'!$V42,'2x'!DJ41))))))))))))))))))))</f>
        <v>8</v>
      </c>
      <c r="CQ14" s="22">
        <f>if(CO14='Quick Setup'!$C$47,'Quick Setup'!$C56,if(CO14='Quick Setup'!$D$47,'Quick Setup'!$D56,if(CO14='Quick Setup'!$E$47,'Quick Setup'!$E56,if(CO14='Quick Setup'!$F$47,'Quick Setup'!$F56,if(CO14='Quick Setup'!$G$47,'Quick Setup'!$G56,if(CO14='Quick Setup'!$H$47,'Quick Setup'!$H56,if(CO14='Quick Setup'!$I$47,'Quick Setup'!$I56,if(CO14='Quick Setup'!$J$47,'Quick Setup'!$J56,if(CO14='Quick Setup'!$K$47,'Quick Setup'!$K56,if(CO14='Quick Setup'!$L$47,'Quick Setup'!$L56,if(CO14='Quick Setup'!$M$47,'Quick Setup'!$M56,if(CO14='Quick Setup'!$N$47,'Quick Setup'!$N56,if(CO14='Quick Setup'!$O$47,'Quick Setup'!$O56,if(CO14='Quick Setup'!$P$47,'Quick Setup'!$P56,if(CO14='Quick Setup'!$Q$47,'Quick Setup'!$Q56,if(CO14='Quick Setup'!$R$47,'Quick Setup'!$R56,if(CO14='Quick Setup'!$S$47,'Quick Setup'!$S56,if(CO14='Quick Setup'!$T$47,'Quick Setup'!$T56,if(CO14='Quick Setup'!$U$47,'Quick Setup'!$U56,if(CO14='Quick Setup'!$V$47,'Quick Setup'!$V56,if(CO14='Quick Setup'!$W$47,'Quick Setup'!$W56)))))))))))))))))))))</f>
        <v>5</v>
      </c>
      <c r="CR14" s="22">
        <f t="shared" ref="CR14:CU14" si="173">CK14</f>
        <v>4</v>
      </c>
      <c r="CS14" s="22">
        <f t="shared" si="173"/>
        <v>6</v>
      </c>
      <c r="CT14" s="23">
        <f t="shared" si="173"/>
        <v>0.02</v>
      </c>
      <c r="CU14" s="23">
        <f t="shared" si="173"/>
        <v>-0.05</v>
      </c>
      <c r="CV14" s="21">
        <f>'Quick Setup'!Q69</f>
        <v>0.7</v>
      </c>
      <c r="CW14" s="24">
        <f>if(CV14='Quick Setup'!$C$33,'Quick Setup'!$C42,if(CV14='Quick Setup'!$D$33,'Quick Setup'!$D42,if(CV14='Quick Setup'!$E$33,'Quick Setup'!$E42,if(CV14='Quick Setup'!$F$33,'Quick Setup'!$F42,if(CV14='Quick Setup'!$G$33,'Quick Setup'!$G42,if(CV14='Quick Setup'!$H$33,'Quick Setup'!$H42,if(CV14='Quick Setup'!$I$33,'Quick Setup'!$I42,if(CV14='Quick Setup'!$J$33,'Quick Setup'!$J42,if(CV14='Quick Setup'!$K$33,'Quick Setup'!$K42,if(CV14='Quick Setup'!$L$33,'Quick Setup'!$L42,if(CV14='Quick Setup'!$M$33,'Quick Setup'!$M42,if(CV14='Quick Setup'!$N$33,'Quick Setup'!$N42,if(CV14='Quick Setup'!$O$33,'Quick Setup'!$O42,if(CV14='Quick Setup'!$P$33,'Quick Setup'!$P42,if(CV14='Quick Setup'!$Q$33,'Quick Setup'!$Q42,if(CV14='Quick Setup'!$R$33,'Quick Setup'!$R42,if(CV14='Quick Setup'!$S$33,'Quick Setup'!$S42,if(CV14='Quick Setup'!$T$33,'Quick Setup'!$T42,if(CV14='Quick Setup'!$U$33,'Quick Setup'!$U42,if(CV14='Quick Setup'!$V$33,'Quick Setup'!$V42,'2x'!DQ41))))))))))))))))))))</f>
        <v>5</v>
      </c>
      <c r="CX14" s="22">
        <f>if(CV14='Quick Setup'!$C$47,'Quick Setup'!$C56,if(CV14='Quick Setup'!$D$47,'Quick Setup'!$D56,if(CV14='Quick Setup'!$E$47,'Quick Setup'!$E56,if(CV14='Quick Setup'!$F$47,'Quick Setup'!$F56,if(CV14='Quick Setup'!$G$47,'Quick Setup'!$G56,if(CV14='Quick Setup'!$H$47,'Quick Setup'!$H56,if(CV14='Quick Setup'!$I$47,'Quick Setup'!$I56,if(CV14='Quick Setup'!$J$47,'Quick Setup'!$J56,if(CV14='Quick Setup'!$K$47,'Quick Setup'!$K56,if(CV14='Quick Setup'!$L$47,'Quick Setup'!$L56,if(CV14='Quick Setup'!$M$47,'Quick Setup'!$M56,if(CV14='Quick Setup'!$N$47,'Quick Setup'!$N56,if(CV14='Quick Setup'!$O$47,'Quick Setup'!$O56,if(CV14='Quick Setup'!$P$47,'Quick Setup'!$P56,if(CV14='Quick Setup'!$Q$47,'Quick Setup'!$Q56,if(CV14='Quick Setup'!$R$47,'Quick Setup'!$R56,if(CV14='Quick Setup'!$S$47,'Quick Setup'!$S56,if(CV14='Quick Setup'!$T$47,'Quick Setup'!$T56,if(CV14='Quick Setup'!$U$47,'Quick Setup'!$U56,if(CV14='Quick Setup'!$V$47,'Quick Setup'!$V56,if(CV14='Quick Setup'!$W$47,'Quick Setup'!$W56)))))))))))))))))))))</f>
        <v>3</v>
      </c>
      <c r="CY14" s="22">
        <f t="shared" ref="CY14:DB14" si="174">CR14</f>
        <v>4</v>
      </c>
      <c r="CZ14" s="22">
        <f t="shared" si="174"/>
        <v>6</v>
      </c>
      <c r="DA14" s="23">
        <f t="shared" si="174"/>
        <v>0.02</v>
      </c>
      <c r="DB14" s="23">
        <f t="shared" si="174"/>
        <v>-0.05</v>
      </c>
      <c r="DC14" s="21">
        <f>'Quick Setup'!R69</f>
        <v>0.75</v>
      </c>
      <c r="DD14" s="24">
        <f>if(DC14='Quick Setup'!$C$33,'Quick Setup'!$C42,if(DC14='Quick Setup'!$D$33,'Quick Setup'!$D42,if(DC14='Quick Setup'!$E$33,'Quick Setup'!$E42,if(DC14='Quick Setup'!$F$33,'Quick Setup'!$F42,if(DC14='Quick Setup'!$G$33,'Quick Setup'!$G42,if(DC14='Quick Setup'!$H$33,'Quick Setup'!$H42,if(DC14='Quick Setup'!$I$33,'Quick Setup'!$I42,if(DC14='Quick Setup'!$J$33,'Quick Setup'!$J42,if(DC14='Quick Setup'!$K$33,'Quick Setup'!$K42,if(DC14='Quick Setup'!$L$33,'Quick Setup'!$L42,if(DC14='Quick Setup'!$M$33,'Quick Setup'!$M42,if(DC14='Quick Setup'!$N$33,'Quick Setup'!$N42,if(DC14='Quick Setup'!$O$33,'Quick Setup'!$O42,if(DC14='Quick Setup'!$P$33,'Quick Setup'!$P42,if(DC14='Quick Setup'!$Q$33,'Quick Setup'!$Q42,if(DC14='Quick Setup'!$R$33,'Quick Setup'!$R42,if(DC14='Quick Setup'!$S$33,'Quick Setup'!$S42,if(DC14='Quick Setup'!$T$33,'Quick Setup'!$T42,if(DC14='Quick Setup'!$U$33,'Quick Setup'!$U42,if(DC14='Quick Setup'!$V$33,'Quick Setup'!$V42,'2x'!DX41))))))))))))))))))))</f>
        <v>4</v>
      </c>
      <c r="DE14" s="22">
        <f>if(DC14='Quick Setup'!$C$47,'Quick Setup'!$C56,if(DC14='Quick Setup'!$D$47,'Quick Setup'!$D56,if(DC14='Quick Setup'!$E$47,'Quick Setup'!$E56,if(DC14='Quick Setup'!$F$47,'Quick Setup'!$F56,if(DC14='Quick Setup'!$G$47,'Quick Setup'!$G56,if(DC14='Quick Setup'!$H$47,'Quick Setup'!$H56,if(DC14='Quick Setup'!$I$47,'Quick Setup'!$I56,if(DC14='Quick Setup'!$J$47,'Quick Setup'!$J56,if(DC14='Quick Setup'!$K$47,'Quick Setup'!$K56,if(DC14='Quick Setup'!$L$47,'Quick Setup'!$L56,if(DC14='Quick Setup'!$M$47,'Quick Setup'!$M56,if(DC14='Quick Setup'!$N$47,'Quick Setup'!$N56,if(DC14='Quick Setup'!$O$47,'Quick Setup'!$O56,if(DC14='Quick Setup'!$P$47,'Quick Setup'!$P56,if(DC14='Quick Setup'!$Q$47,'Quick Setup'!$Q56,if(DC14='Quick Setup'!$R$47,'Quick Setup'!$R56,if(DC14='Quick Setup'!$S$47,'Quick Setup'!$S56,if(DC14='Quick Setup'!$T$47,'Quick Setup'!$T56,if(DC14='Quick Setup'!$U$47,'Quick Setup'!$U56,if(DC14='Quick Setup'!$V$47,'Quick Setup'!$V56,if(DC14='Quick Setup'!$W$47,'Quick Setup'!$W56)))))))))))))))))))))</f>
        <v>3</v>
      </c>
      <c r="DF14" s="22">
        <f t="shared" ref="DF14:DI14" si="175">CY14</f>
        <v>4</v>
      </c>
      <c r="DG14" s="22">
        <f t="shared" si="175"/>
        <v>6</v>
      </c>
      <c r="DH14" s="23">
        <f t="shared" si="175"/>
        <v>0.02</v>
      </c>
      <c r="DI14" s="23">
        <f t="shared" si="175"/>
        <v>-0.05</v>
      </c>
      <c r="DJ14" s="21">
        <f>'Quick Setup'!S69</f>
        <v>0.8</v>
      </c>
      <c r="DK14" s="24">
        <f>if(DJ14='Quick Setup'!$C$33,'Quick Setup'!$C42,if(DJ14='Quick Setup'!$D$33,'Quick Setup'!$D42,if(DJ14='Quick Setup'!$E$33,'Quick Setup'!$E42,if(DJ14='Quick Setup'!$F$33,'Quick Setup'!$F42,if(DJ14='Quick Setup'!$G$33,'Quick Setup'!$G42,if(DJ14='Quick Setup'!$H$33,'Quick Setup'!$H42,if(DJ14='Quick Setup'!$I$33,'Quick Setup'!$I42,if(DJ14='Quick Setup'!$J$33,'Quick Setup'!$J42,if(DJ14='Quick Setup'!$K$33,'Quick Setup'!$K42,if(DJ14='Quick Setup'!$L$33,'Quick Setup'!$L42,if(DJ14='Quick Setup'!$M$33,'Quick Setup'!$M42,if(DJ14='Quick Setup'!$N$33,'Quick Setup'!$N42,if(DJ14='Quick Setup'!$O$33,'Quick Setup'!$O42,if(DJ14='Quick Setup'!$P$33,'Quick Setup'!$P42,if(DJ14='Quick Setup'!$Q$33,'Quick Setup'!$Q42,if(DJ14='Quick Setup'!$R$33,'Quick Setup'!$R42,if(DJ14='Quick Setup'!$S$33,'Quick Setup'!$S42,if(DJ14='Quick Setup'!$T$33,'Quick Setup'!$T42,if(DJ14='Quick Setup'!$U$33,'Quick Setup'!$U42,if(DJ14='Quick Setup'!$V$33,'Quick Setup'!$V42,'2x'!EE41))))))))))))))))))))</f>
        <v>3</v>
      </c>
      <c r="DL14" s="22">
        <f>if(DJ14='Quick Setup'!$C$47,'Quick Setup'!$C56,if(DJ14='Quick Setup'!$D$47,'Quick Setup'!$D56,if(DJ14='Quick Setup'!$E$47,'Quick Setup'!$E56,if(DJ14='Quick Setup'!$F$47,'Quick Setup'!$F56,if(DJ14='Quick Setup'!$G$47,'Quick Setup'!$G56,if(DJ14='Quick Setup'!$H$47,'Quick Setup'!$H56,if(DJ14='Quick Setup'!$I$47,'Quick Setup'!$I56,if(DJ14='Quick Setup'!$J$47,'Quick Setup'!$J56,if(DJ14='Quick Setup'!$K$47,'Quick Setup'!$K56,if(DJ14='Quick Setup'!$L$47,'Quick Setup'!$L56,if(DJ14='Quick Setup'!$M$47,'Quick Setup'!$M56,if(DJ14='Quick Setup'!$N$47,'Quick Setup'!$N56,if(DJ14='Quick Setup'!$O$47,'Quick Setup'!$O56,if(DJ14='Quick Setup'!$P$47,'Quick Setup'!$P56,if(DJ14='Quick Setup'!$Q$47,'Quick Setup'!$Q56,if(DJ14='Quick Setup'!$R$47,'Quick Setup'!$R56,if(DJ14='Quick Setup'!$S$47,'Quick Setup'!$S56,if(DJ14='Quick Setup'!$T$47,'Quick Setup'!$T56,if(DJ14='Quick Setup'!$U$47,'Quick Setup'!$U56,if(DJ14='Quick Setup'!$V$47,'Quick Setup'!$V56,if(DJ14='Quick Setup'!$W$47,'Quick Setup'!$W56)))))))))))))))))))))</f>
        <v>2</v>
      </c>
      <c r="DM14" s="22">
        <f t="shared" ref="DM14:DP14" si="176">DF14</f>
        <v>4</v>
      </c>
      <c r="DN14" s="22">
        <f t="shared" si="176"/>
        <v>6</v>
      </c>
      <c r="DO14" s="23">
        <f t="shared" si="176"/>
        <v>0.02</v>
      </c>
      <c r="DP14" s="23">
        <f t="shared" si="176"/>
        <v>-0.05</v>
      </c>
      <c r="DQ14" s="21">
        <f>'Quick Setup'!T69</f>
        <v>0.75</v>
      </c>
      <c r="DR14" s="24">
        <f>if(DQ14='Quick Setup'!$C$33,'Quick Setup'!$C42,if(DQ14='Quick Setup'!$D$33,'Quick Setup'!$D42,if(DQ14='Quick Setup'!$E$33,'Quick Setup'!$E42,if(DQ14='Quick Setup'!$F$33,'Quick Setup'!$F42,if(DQ14='Quick Setup'!$G$33,'Quick Setup'!$G42,if(DQ14='Quick Setup'!$H$33,'Quick Setup'!$H42,if(DQ14='Quick Setup'!$I$33,'Quick Setup'!$I42,if(DQ14='Quick Setup'!$J$33,'Quick Setup'!$J42,if(DQ14='Quick Setup'!$K$33,'Quick Setup'!$K42,if(DQ14='Quick Setup'!$L$33,'Quick Setup'!$L42,if(DQ14='Quick Setup'!$M$33,'Quick Setup'!$M42,if(DQ14='Quick Setup'!$N$33,'Quick Setup'!$N42,if(DQ14='Quick Setup'!$O$33,'Quick Setup'!$O42,if(DQ14='Quick Setup'!$P$33,'Quick Setup'!$P42,if(DQ14='Quick Setup'!$Q$33,'Quick Setup'!$Q42,if(DQ14='Quick Setup'!$R$33,'Quick Setup'!$R42,if(DQ14='Quick Setup'!$S$33,'Quick Setup'!$S42,if(DQ14='Quick Setup'!$T$33,'Quick Setup'!$T42,if(DQ14='Quick Setup'!$U$33,'Quick Setup'!$U42,if(DQ14='Quick Setup'!$V$33,'Quick Setup'!$V42,'2x'!EL41))))))))))))))))))))</f>
        <v>4</v>
      </c>
      <c r="DS14" s="22">
        <f>if(DQ14='Quick Setup'!$C$47,'Quick Setup'!$C56,if(DQ14='Quick Setup'!$D$47,'Quick Setup'!$D56,if(DQ14='Quick Setup'!$E$47,'Quick Setup'!$E56,if(DQ14='Quick Setup'!$F$47,'Quick Setup'!$F56,if(DQ14='Quick Setup'!$G$47,'Quick Setup'!$G56,if(DQ14='Quick Setup'!$H$47,'Quick Setup'!$H56,if(DQ14='Quick Setup'!$I$47,'Quick Setup'!$I56,if(DQ14='Quick Setup'!$J$47,'Quick Setup'!$J56,if(DQ14='Quick Setup'!$K$47,'Quick Setup'!$K56,if(DQ14='Quick Setup'!$L$47,'Quick Setup'!$L56,if(DQ14='Quick Setup'!$M$47,'Quick Setup'!$M56,if(DQ14='Quick Setup'!$N$47,'Quick Setup'!$N56,if(DQ14='Quick Setup'!$O$47,'Quick Setup'!$O56,if(DQ14='Quick Setup'!$P$47,'Quick Setup'!$P56,if(DQ14='Quick Setup'!$Q$47,'Quick Setup'!$Q56,if(DQ14='Quick Setup'!$R$47,'Quick Setup'!$R56,if(DQ14='Quick Setup'!$S$47,'Quick Setup'!$S56,if(DQ14='Quick Setup'!$T$47,'Quick Setup'!$T56,if(DQ14='Quick Setup'!$U$47,'Quick Setup'!$U56,if(DQ14='Quick Setup'!$V$47,'Quick Setup'!$V56,if(DQ14='Quick Setup'!$W$47,'Quick Setup'!$W56)))))))))))))))))))))</f>
        <v>3</v>
      </c>
      <c r="DT14" s="22">
        <f t="shared" ref="DT14:DW14" si="177">DM14</f>
        <v>4</v>
      </c>
      <c r="DU14" s="22">
        <f t="shared" si="177"/>
        <v>6</v>
      </c>
      <c r="DV14" s="23">
        <f t="shared" si="177"/>
        <v>0.02</v>
      </c>
      <c r="DW14" s="23">
        <f t="shared" si="177"/>
        <v>-0.05</v>
      </c>
      <c r="DX14" s="21">
        <f>'Quick Setup'!U69</f>
        <v>0.8</v>
      </c>
      <c r="DY14" s="24">
        <f>if(DX14='Quick Setup'!$C$33,'Quick Setup'!$C42,if(DX14='Quick Setup'!$D$33,'Quick Setup'!$D42,if(DX14='Quick Setup'!$E$33,'Quick Setup'!$E42,if(DX14='Quick Setup'!$F$33,'Quick Setup'!$F42,if(DX14='Quick Setup'!$G$33,'Quick Setup'!$G42,if(DX14='Quick Setup'!$H$33,'Quick Setup'!$H42,if(DX14='Quick Setup'!$I$33,'Quick Setup'!$I42,if(DX14='Quick Setup'!$J$33,'Quick Setup'!$J42,if(DX14='Quick Setup'!$K$33,'Quick Setup'!$K42,if(DX14='Quick Setup'!$L$33,'Quick Setup'!$L42,if(DX14='Quick Setup'!$M$33,'Quick Setup'!$M42,if(DX14='Quick Setup'!$N$33,'Quick Setup'!$N42,if(DX14='Quick Setup'!$O$33,'Quick Setup'!$O42,if(DX14='Quick Setup'!$P$33,'Quick Setup'!$P42,if(DX14='Quick Setup'!$Q$33,'Quick Setup'!$Q42,if(DX14='Quick Setup'!$R$33,'Quick Setup'!$R42,if(DX14='Quick Setup'!$S$33,'Quick Setup'!$S42,if(DX14='Quick Setup'!$T$33,'Quick Setup'!$T42,if(DX14='Quick Setup'!$U$33,'Quick Setup'!$U42,if(DX14='Quick Setup'!$V$33,'Quick Setup'!$V42,'2x'!ES41))))))))))))))))))))</f>
        <v>3</v>
      </c>
      <c r="DZ14" s="22">
        <f>if(DX14='Quick Setup'!$C$47,'Quick Setup'!$C56,if(DX14='Quick Setup'!$D$47,'Quick Setup'!$D56,if(DX14='Quick Setup'!$E$47,'Quick Setup'!$E56,if(DX14='Quick Setup'!$F$47,'Quick Setup'!$F56,if(DX14='Quick Setup'!$G$47,'Quick Setup'!$G56,if(DX14='Quick Setup'!$H$47,'Quick Setup'!$H56,if(DX14='Quick Setup'!$I$47,'Quick Setup'!$I56,if(DX14='Quick Setup'!$J$47,'Quick Setup'!$J56,if(DX14='Quick Setup'!$K$47,'Quick Setup'!$K56,if(DX14='Quick Setup'!$L$47,'Quick Setup'!$L56,if(DX14='Quick Setup'!$M$47,'Quick Setup'!$M56,if(DX14='Quick Setup'!$N$47,'Quick Setup'!$N56,if(DX14='Quick Setup'!$O$47,'Quick Setup'!$O56,if(DX14='Quick Setup'!$P$47,'Quick Setup'!$P56,if(DX14='Quick Setup'!$Q$47,'Quick Setup'!$Q56,if(DX14='Quick Setup'!$R$47,'Quick Setup'!$R56,if(DX14='Quick Setup'!$S$47,'Quick Setup'!$S56,if(DX14='Quick Setup'!$T$47,'Quick Setup'!$T56,if(DX14='Quick Setup'!$U$47,'Quick Setup'!$U56,if(DX14='Quick Setup'!$V$47,'Quick Setup'!$V56,if(DX14='Quick Setup'!$W$47,'Quick Setup'!$W56)))))))))))))))))))))</f>
        <v>2</v>
      </c>
      <c r="EA14" s="22">
        <f t="shared" ref="EA14:ED14" si="178">DT14</f>
        <v>4</v>
      </c>
      <c r="EB14" s="22">
        <f t="shared" si="178"/>
        <v>6</v>
      </c>
      <c r="EC14" s="23">
        <f t="shared" si="178"/>
        <v>0.02</v>
      </c>
      <c r="ED14" s="23">
        <f t="shared" si="178"/>
        <v>-0.05</v>
      </c>
      <c r="EE14" s="21">
        <f>'Quick Setup'!V69</f>
        <v>0.85</v>
      </c>
      <c r="EF14" s="24">
        <f>if(EE14='Quick Setup'!$C$33,'Quick Setup'!$C42,if(EE14='Quick Setup'!$D$33,'Quick Setup'!$D42,if(EE14='Quick Setup'!$E$33,'Quick Setup'!$E42,if(EE14='Quick Setup'!$F$33,'Quick Setup'!$F42,if(EE14='Quick Setup'!$G$33,'Quick Setup'!$G42,if(EE14='Quick Setup'!$H$33,'Quick Setup'!$H42,if(EE14='Quick Setup'!$I$33,'Quick Setup'!$I42,if(EE14='Quick Setup'!$J$33,'Quick Setup'!$J42,if(EE14='Quick Setup'!$K$33,'Quick Setup'!$K42,if(EE14='Quick Setup'!$L$33,'Quick Setup'!$L42,if(EE14='Quick Setup'!$M$33,'Quick Setup'!$M42,if(EE14='Quick Setup'!$N$33,'Quick Setup'!$N42,if(EE14='Quick Setup'!$O$33,'Quick Setup'!$O42,if(EE14='Quick Setup'!$P$33,'Quick Setup'!$P42,if(EE14='Quick Setup'!$Q$33,'Quick Setup'!$Q42,if(EE14='Quick Setup'!$R$33,'Quick Setup'!$R42,if(EE14='Quick Setup'!$S$33,'Quick Setup'!$S42,if(EE14='Quick Setup'!$T$33,'Quick Setup'!$T42,if(EE14='Quick Setup'!$U$33,'Quick Setup'!$U42,if(EE14='Quick Setup'!$V$33,'Quick Setup'!$V42,'2x'!EZ41))))))))))))))))))))</f>
        <v>2</v>
      </c>
      <c r="EG14" s="22">
        <f>if(EE14='Quick Setup'!$C$47,'Quick Setup'!$C56,if(EE14='Quick Setup'!$D$47,'Quick Setup'!$D56,if(EE14='Quick Setup'!$E$47,'Quick Setup'!$E56,if(EE14='Quick Setup'!$F$47,'Quick Setup'!$F56,if(EE14='Quick Setup'!$G$47,'Quick Setup'!$G56,if(EE14='Quick Setup'!$H$47,'Quick Setup'!$H56,if(EE14='Quick Setup'!$I$47,'Quick Setup'!$I56,if(EE14='Quick Setup'!$J$47,'Quick Setup'!$J56,if(EE14='Quick Setup'!$K$47,'Quick Setup'!$K56,if(EE14='Quick Setup'!$L$47,'Quick Setup'!$L56,if(EE14='Quick Setup'!$M$47,'Quick Setup'!$M56,if(EE14='Quick Setup'!$N$47,'Quick Setup'!$N56,if(EE14='Quick Setup'!$O$47,'Quick Setup'!$O56,if(EE14='Quick Setup'!$P$47,'Quick Setup'!$P56,if(EE14='Quick Setup'!$Q$47,'Quick Setup'!$Q56,if(EE14='Quick Setup'!$R$47,'Quick Setup'!$R56,if(EE14='Quick Setup'!$S$47,'Quick Setup'!$S56,if(EE14='Quick Setup'!$T$47,'Quick Setup'!$T56,if(EE14='Quick Setup'!$U$47,'Quick Setup'!$U56,if(EE14='Quick Setup'!$V$47,'Quick Setup'!$V56,if(EE14='Quick Setup'!$W$47,'Quick Setup'!$W56)))))))))))))))))))))</f>
        <v>2</v>
      </c>
      <c r="EH14" s="22">
        <f t="shared" ref="EH14:EK14" si="179">EA14</f>
        <v>4</v>
      </c>
      <c r="EI14" s="22">
        <f t="shared" si="179"/>
        <v>6</v>
      </c>
      <c r="EJ14" s="23">
        <f t="shared" si="179"/>
        <v>0.02</v>
      </c>
      <c r="EK14" s="23">
        <f t="shared" si="179"/>
        <v>-0.05</v>
      </c>
      <c r="EL14" s="21">
        <f>'Quick Setup'!W69</f>
        <v>0.5</v>
      </c>
      <c r="EM14" s="24">
        <f>if(EL14='Quick Setup'!$C$33,'Quick Setup'!$C42,if(EL14='Quick Setup'!$D$33,'Quick Setup'!$D42,if(EL14='Quick Setup'!$E$33,'Quick Setup'!$E42,if(EL14='Quick Setup'!$F$33,'Quick Setup'!$F42,if(EL14='Quick Setup'!$G$33,'Quick Setup'!$G42,if(EL14='Quick Setup'!$H$33,'Quick Setup'!$H42,if(EL14='Quick Setup'!$I$33,'Quick Setup'!$I42,if(EL14='Quick Setup'!$J$33,'Quick Setup'!$J42,if(EL14='Quick Setup'!$K$33,'Quick Setup'!$K42,if(EL14='Quick Setup'!$L$33,'Quick Setup'!$L42,if(EL14='Quick Setup'!$M$33,'Quick Setup'!$M42,if(EL14='Quick Setup'!$N$33,'Quick Setup'!$N42,if(EL14='Quick Setup'!$O$33,'Quick Setup'!$O42,if(EL14='Quick Setup'!$P$33,'Quick Setup'!$P42,if(EL14='Quick Setup'!$Q$33,'Quick Setup'!$Q42,if(EL14='Quick Setup'!$R$33,'Quick Setup'!$R42,if(EL14='Quick Setup'!$S$33,'Quick Setup'!$S42,if(EL14='Quick Setup'!$T$33,'Quick Setup'!$T42,if(EL14='Quick Setup'!$U$33,'Quick Setup'!$U42,if(EL14='Quick Setup'!$V$33,'Quick Setup'!$V42,'2x'!FG41))))))))))))))))))))</f>
        <v>8</v>
      </c>
      <c r="EN14" s="22">
        <f>if(EL14='Quick Setup'!$C$47,'Quick Setup'!$C56,if(EL14='Quick Setup'!$D$47,'Quick Setup'!$D56,if(EL14='Quick Setup'!$E$47,'Quick Setup'!$E56,if(EL14='Quick Setup'!$F$47,'Quick Setup'!$F56,if(EL14='Quick Setup'!$G$47,'Quick Setup'!$G56,if(EL14='Quick Setup'!$H$47,'Quick Setup'!$H56,if(EL14='Quick Setup'!$I$47,'Quick Setup'!$I56,if(EL14='Quick Setup'!$J$47,'Quick Setup'!$J56,if(EL14='Quick Setup'!$K$47,'Quick Setup'!$K56,if(EL14='Quick Setup'!$L$47,'Quick Setup'!$L56,if(EL14='Quick Setup'!$M$47,'Quick Setup'!$M56,if(EL14='Quick Setup'!$N$47,'Quick Setup'!$N56,if(EL14='Quick Setup'!$O$47,'Quick Setup'!$O56,if(EL14='Quick Setup'!$P$47,'Quick Setup'!$P56,if(EL14='Quick Setup'!$Q$47,'Quick Setup'!$Q56,if(EL14='Quick Setup'!$R$47,'Quick Setup'!$R56,if(EL14='Quick Setup'!$S$47,'Quick Setup'!$S56,if(EL14='Quick Setup'!$T$47,'Quick Setup'!$T56,if(EL14='Quick Setup'!$U$47,'Quick Setup'!$U56,if(EL14='Quick Setup'!$V$47,'Quick Setup'!$V56,if(EL14='Quick Setup'!$W$47,'Quick Setup'!$W56)))))))))))))))))))))</f>
        <v>5</v>
      </c>
      <c r="EO14" s="22">
        <f t="shared" ref="EO14:ER14" si="180">EH14</f>
        <v>4</v>
      </c>
      <c r="EP14" s="22">
        <f t="shared" si="180"/>
        <v>6</v>
      </c>
      <c r="EQ14" s="23">
        <f t="shared" si="180"/>
        <v>0.02</v>
      </c>
      <c r="ER14" s="23">
        <f t="shared" si="180"/>
        <v>-0.05</v>
      </c>
    </row>
    <row r="15">
      <c r="A15" t="str">
        <f>'Quick Setup'!C16</f>
        <v>Push Press</v>
      </c>
      <c r="B15" s="21">
        <f>'Quick Setup'!C70</f>
        <v>0.6</v>
      </c>
      <c r="C15" s="22">
        <f>if(B15='Quick Setup'!$C$33,'Quick Setup'!$C43,if(B15='Quick Setup'!$D$33,'Quick Setup'!$D43,if(B15='Quick Setup'!$E$33,'Quick Setup'!$E43,if(B15='Quick Setup'!$F$33,'Quick Setup'!$F43,if(B15='Quick Setup'!$G$33,'Quick Setup'!$G43,if(B15='Quick Setup'!$H$33,'Quick Setup'!$H43,if(B15='Quick Setup'!$I$33,'Quick Setup'!$I43,if(B15='Quick Setup'!$J$33,'Quick Setup'!$J43,if(B15='Quick Setup'!$K$33,'Quick Setup'!$K43,if(B15='Quick Setup'!$L$33,'Quick Setup'!$L43,if(B15='Quick Setup'!$M$33,'Quick Setup'!$M43,if(B15='Quick Setup'!$N$33,'Quick Setup'!$N43,if(B15='Quick Setup'!$O$33,'Quick Setup'!$O43,if(B15='Quick Setup'!$P$33,'Quick Setup'!$P43,if(B15='Quick Setup'!$Q$33,'Quick Setup'!$Q43,if(B15='Quick Setup'!$R$33,'Quick Setup'!$R43,if(B15='Quick Setup'!$S$33,'Quick Setup'!$S43,if(B15='Quick Setup'!$T$33,'Quick Setup'!$T43,if(B15='Quick Setup'!$U$33,'Quick Setup'!$U43,if(B15='Quick Setup'!$V$33,'Quick Setup'!$V43,'Quick Setup'!W43))))))))))))))))))))</f>
        <v>7</v>
      </c>
      <c r="D15" s="22">
        <f>if(B15='Quick Setup'!$C$47,'Quick Setup'!$C57,if(B15='Quick Setup'!$D$47,'Quick Setup'!$D57,if(B15='Quick Setup'!$E$47,'Quick Setup'!$E57,if(B15='Quick Setup'!$F$47,'Quick Setup'!$F57,if(B15='Quick Setup'!$G$47,'Quick Setup'!$G57,if(B15='Quick Setup'!$H$47,'Quick Setup'!$H57,if(B15='Quick Setup'!$I$47,'Quick Setup'!$I57,if(B15='Quick Setup'!$J$47,'Quick Setup'!$J57,if(B15='Quick Setup'!$K$47,'Quick Setup'!$K57,if(B15='Quick Setup'!$L$47,'Quick Setup'!$L57,if(B15='Quick Setup'!$M$47,'Quick Setup'!$M57,if(B15='Quick Setup'!$N$47,'Quick Setup'!$N57,if(B15='Quick Setup'!$O$47,'Quick Setup'!$O57,if(B15='Quick Setup'!$P$47,'Quick Setup'!$P57,if(B15='Quick Setup'!$Q$47,'Quick Setup'!$Q57,if(B15='Quick Setup'!$R$47,'Quick Setup'!$R57,if(B15='Quick Setup'!$S$47,'Quick Setup'!$S57,if(B15='Quick Setup'!$T$47,'Quick Setup'!$T57,if(B15='Quick Setup'!$U$47,'Quick Setup'!$U57,if(B15='Quick Setup'!$V$47,'Quick Setup'!$V57,if(B15='Quick Setup'!$W$47,'Quick Setup'!$W57)))))))))))))))))))))</f>
        <v>4</v>
      </c>
      <c r="E15" s="22">
        <f>'Quick Setup'!H15</f>
        <v>4</v>
      </c>
      <c r="F15" s="22">
        <f>'Quick Setup'!I15</f>
        <v>6</v>
      </c>
      <c r="G15" s="23">
        <f>'Quick Setup'!J15</f>
        <v>0.02</v>
      </c>
      <c r="H15" s="23">
        <f>'Quick Setup'!K15</f>
        <v>-0.05</v>
      </c>
      <c r="I15" s="21">
        <f>'Quick Setup'!D70</f>
        <v>0.65</v>
      </c>
      <c r="J15" s="22">
        <f>if(I15='Quick Setup'!$C$33,'Quick Setup'!$C43,if(I15='Quick Setup'!$D$33,'Quick Setup'!$D43,if(I15='Quick Setup'!$E$33,'Quick Setup'!$E43,if(I15='Quick Setup'!$F$33,'Quick Setup'!$F43,if(I15='Quick Setup'!$G$33,'Quick Setup'!$G43,if(I15='Quick Setup'!$H$33,'Quick Setup'!$H43,if(I15='Quick Setup'!$I$33,'Quick Setup'!$I43,if(I15='Quick Setup'!$J$33,'Quick Setup'!$J43,if(I15='Quick Setup'!$K$33,'Quick Setup'!$K43,if(I15='Quick Setup'!$L$33,'Quick Setup'!$L43,if(I15='Quick Setup'!$M$33,'Quick Setup'!$M43,if(I15='Quick Setup'!$N$33,'Quick Setup'!$N43,if(I15='Quick Setup'!$O$33,'Quick Setup'!$O43,if(I15='Quick Setup'!$P$33,'Quick Setup'!$P43,if(I15='Quick Setup'!$Q$33,'Quick Setup'!$Q43,if(I15='Quick Setup'!$R$33,'Quick Setup'!$R43,if(I15='Quick Setup'!$S$33,'Quick Setup'!$S43,if(I15='Quick Setup'!$T$33,'Quick Setup'!$T43,if(I15='Quick Setup'!$U$33,'Quick Setup'!$U43,if(I15='Quick Setup'!$V$33,'Quick Setup'!$V43,'2x'!AD9))))))))))))))))))))</f>
        <v>6</v>
      </c>
      <c r="K15" s="22">
        <f>if(I15='Quick Setup'!$C$47,'Quick Setup'!$C57,if(I15='Quick Setup'!$D$47,'Quick Setup'!$D57,if(I15='Quick Setup'!$E$47,'Quick Setup'!$E57,if(I15='Quick Setup'!$F$47,'Quick Setup'!$F57,if(I15='Quick Setup'!$G$47,'Quick Setup'!$G57,if(I15='Quick Setup'!$H$47,'Quick Setup'!$H57,if(I15='Quick Setup'!$I$47,'Quick Setup'!$I57,if(I15='Quick Setup'!$J$47,'Quick Setup'!$J57,if(I15='Quick Setup'!$K$47,'Quick Setup'!$K57,if(I15='Quick Setup'!$L$47,'Quick Setup'!$L57,if(I15='Quick Setup'!$M$47,'Quick Setup'!$M57,if(I15='Quick Setup'!$N$47,'Quick Setup'!$N57,if(I15='Quick Setup'!$O$47,'Quick Setup'!$O57,if(I15='Quick Setup'!$P$47,'Quick Setup'!$P57,if(I15='Quick Setup'!$Q$47,'Quick Setup'!$Q57,if(I15='Quick Setup'!$R$47,'Quick Setup'!$R57,if(I15='Quick Setup'!$S$47,'Quick Setup'!$S57,if(I15='Quick Setup'!$T$47,'Quick Setup'!$T57,if(I15='Quick Setup'!$U$47,'Quick Setup'!$U57,if(I15='Quick Setup'!$V$47,'Quick Setup'!$V57,if(I15='Quick Setup'!$W$47,'Quick Setup'!$W57)))))))))))))))))))))</f>
        <v>4</v>
      </c>
      <c r="L15" s="22">
        <f t="shared" ref="L15:O15" si="181">E15</f>
        <v>4</v>
      </c>
      <c r="M15" s="22">
        <f t="shared" si="181"/>
        <v>6</v>
      </c>
      <c r="N15" s="23">
        <f t="shared" si="181"/>
        <v>0.02</v>
      </c>
      <c r="O15" s="23">
        <f t="shared" si="181"/>
        <v>-0.05</v>
      </c>
      <c r="P15" s="21">
        <f>'Quick Setup'!E70</f>
        <v>0.7</v>
      </c>
      <c r="Q15" s="24">
        <f>if(P15='Quick Setup'!$C$33,'Quick Setup'!$C43,if(P15='Quick Setup'!$D$33,'Quick Setup'!$D43,if(P15='Quick Setup'!$E$33,'Quick Setup'!$E43,if(P15='Quick Setup'!$F$33,'Quick Setup'!$F43,if(P15='Quick Setup'!$G$33,'Quick Setup'!$G43,if(P15='Quick Setup'!$H$33,'Quick Setup'!$H43,if(P15='Quick Setup'!$I$33,'Quick Setup'!$I43,if(P15='Quick Setup'!$J$33,'Quick Setup'!$J43,if(P15='Quick Setup'!$K$33,'Quick Setup'!$K43,if(P15='Quick Setup'!$L$33,'Quick Setup'!$L43,if(P15='Quick Setup'!$M$33,'Quick Setup'!$M43,if(P15='Quick Setup'!$N$33,'Quick Setup'!$N43,if(P15='Quick Setup'!$O$33,'Quick Setup'!$O43,if(P15='Quick Setup'!$P$33,'Quick Setup'!$P43,if(P15='Quick Setup'!$Q$33,'Quick Setup'!$Q43,if(P15='Quick Setup'!$R$33,'Quick Setup'!$R43,if(P15='Quick Setup'!$S$33,'Quick Setup'!$S43,if(P15='Quick Setup'!$T$33,'Quick Setup'!$T43,if(P15='Quick Setup'!$U$33,'Quick Setup'!$U43,if(P15='Quick Setup'!$V$33,'Quick Setup'!$V43,'2x'!AK9))))))))))))))))))))</f>
        <v>5</v>
      </c>
      <c r="R15" s="22">
        <f>if(P15='Quick Setup'!$C$47,'Quick Setup'!$C57,if(P15='Quick Setup'!$D$47,'Quick Setup'!$D57,if(P15='Quick Setup'!$E$47,'Quick Setup'!$E57,if(P15='Quick Setup'!$F$47,'Quick Setup'!$F57,if(P15='Quick Setup'!$G$47,'Quick Setup'!$G57,if(P15='Quick Setup'!$H$47,'Quick Setup'!$H57,if(P15='Quick Setup'!$I$47,'Quick Setup'!$I57,if(P15='Quick Setup'!$J$47,'Quick Setup'!$J57,if(P15='Quick Setup'!$K$47,'Quick Setup'!$K57,if(P15='Quick Setup'!$L$47,'Quick Setup'!$L57,if(P15='Quick Setup'!$M$47,'Quick Setup'!$M57,if(P15='Quick Setup'!$N$47,'Quick Setup'!$N57,if(P15='Quick Setup'!$O$47,'Quick Setup'!$O57,if(P15='Quick Setup'!$P$47,'Quick Setup'!$P57,if(P15='Quick Setup'!$Q$47,'Quick Setup'!$Q57,if(P15='Quick Setup'!$R$47,'Quick Setup'!$R57,if(P15='Quick Setup'!$S$47,'Quick Setup'!$S57,if(P15='Quick Setup'!$T$47,'Quick Setup'!$T57,if(P15='Quick Setup'!$U$47,'Quick Setup'!$U57,if(P15='Quick Setup'!$V$47,'Quick Setup'!$V57,if(P15='Quick Setup'!$W$47,'Quick Setup'!$W57)))))))))))))))))))))</f>
        <v>3</v>
      </c>
      <c r="S15" s="22">
        <f t="shared" ref="S15:V15" si="182">L15</f>
        <v>4</v>
      </c>
      <c r="T15" s="22">
        <f t="shared" si="182"/>
        <v>6</v>
      </c>
      <c r="U15" s="23">
        <f t="shared" si="182"/>
        <v>0.02</v>
      </c>
      <c r="V15" s="23">
        <f t="shared" si="182"/>
        <v>-0.05</v>
      </c>
      <c r="W15" s="21">
        <f>'Quick Setup'!F70</f>
        <v>0.625</v>
      </c>
      <c r="X15" s="24">
        <f>if(W15='Quick Setup'!$C$33,'Quick Setup'!$C43,if(W15='Quick Setup'!$D$33,'Quick Setup'!$D43,if(W15='Quick Setup'!$E$33,'Quick Setup'!$E43,if(W15='Quick Setup'!$F$33,'Quick Setup'!$F43,if(W15='Quick Setup'!$G$33,'Quick Setup'!$G43,if(W15='Quick Setup'!$H$33,'Quick Setup'!$H43,if(W15='Quick Setup'!$I$33,'Quick Setup'!$I43,if(W15='Quick Setup'!$J$33,'Quick Setup'!$J43,if(W15='Quick Setup'!$K$33,'Quick Setup'!$K43,if(W15='Quick Setup'!$L$33,'Quick Setup'!$L43,if(W15='Quick Setup'!$M$33,'Quick Setup'!$M43,if(W15='Quick Setup'!$N$33,'Quick Setup'!$N43,if(W15='Quick Setup'!$O$33,'Quick Setup'!$O43,if(W15='Quick Setup'!$P$33,'Quick Setup'!$P43,if(W15='Quick Setup'!$Q$33,'Quick Setup'!$Q43,if(W15='Quick Setup'!$R$33,'Quick Setup'!$R43,if(W15='Quick Setup'!$S$33,'Quick Setup'!$S43,if(W15='Quick Setup'!$T$33,'Quick Setup'!$T43,if(W15='Quick Setup'!$U$33,'Quick Setup'!$U43,if(W15='Quick Setup'!$V$33,'Quick Setup'!$V43,'2x'!AR9))))))))))))))))))))</f>
        <v>7</v>
      </c>
      <c r="Y15" s="22">
        <f>if(W15='Quick Setup'!$C$47,'Quick Setup'!$C57,if(W15='Quick Setup'!$D$47,'Quick Setup'!$D57,if(W15='Quick Setup'!$E$47,'Quick Setup'!$E57,if(W15='Quick Setup'!$F$47,'Quick Setup'!$F57,if(W15='Quick Setup'!$G$47,'Quick Setup'!$G57,if(W15='Quick Setup'!$H$47,'Quick Setup'!$H57,if(W15='Quick Setup'!$I$47,'Quick Setup'!$I57,if(W15='Quick Setup'!$J$47,'Quick Setup'!$J57,if(W15='Quick Setup'!$K$47,'Quick Setup'!$K57,if(W15='Quick Setup'!$L$47,'Quick Setup'!$L57,if(W15='Quick Setup'!$M$47,'Quick Setup'!$M57,if(W15='Quick Setup'!$N$47,'Quick Setup'!$N57,if(W15='Quick Setup'!$O$47,'Quick Setup'!$O57,if(W15='Quick Setup'!$P$47,'Quick Setup'!$P57,if(W15='Quick Setup'!$Q$47,'Quick Setup'!$Q57,if(W15='Quick Setup'!$R$47,'Quick Setup'!$R57,if(W15='Quick Setup'!$S$47,'Quick Setup'!$S57,if(W15='Quick Setup'!$T$47,'Quick Setup'!$T57,if(W15='Quick Setup'!$U$47,'Quick Setup'!$U57,if(W15='Quick Setup'!$V$47,'Quick Setup'!$V57,if(W15='Quick Setup'!$W$47,'Quick Setup'!$W57)))))))))))))))))))))</f>
        <v>4</v>
      </c>
      <c r="Z15" s="22">
        <f t="shared" ref="Z15:AC15" si="183">S15</f>
        <v>4</v>
      </c>
      <c r="AA15" s="22">
        <f t="shared" si="183"/>
        <v>6</v>
      </c>
      <c r="AB15" s="23">
        <f t="shared" si="183"/>
        <v>0.02</v>
      </c>
      <c r="AC15" s="23">
        <f t="shared" si="183"/>
        <v>-0.05</v>
      </c>
      <c r="AD15" s="21">
        <f>'Quick Setup'!G70</f>
        <v>0.675</v>
      </c>
      <c r="AE15" s="24">
        <f>if(AD15='Quick Setup'!$C$33,'Quick Setup'!$C43,if(AD15='Quick Setup'!$D$33,'Quick Setup'!$D43,if(AD15='Quick Setup'!$E$33,'Quick Setup'!$E43,if(AD15='Quick Setup'!$F$33,'Quick Setup'!$F43,if(AD15='Quick Setup'!$G$33,'Quick Setup'!$G43,if(AD15='Quick Setup'!$H$33,'Quick Setup'!$H43,if(AD15='Quick Setup'!$I$33,'Quick Setup'!$I43,if(AD15='Quick Setup'!$J$33,'Quick Setup'!$J43,if(AD15='Quick Setup'!$K$33,'Quick Setup'!$K43,if(AD15='Quick Setup'!$L$33,'Quick Setup'!$L43,if(AD15='Quick Setup'!$M$33,'Quick Setup'!$M43,if(AD15='Quick Setup'!$N$33,'Quick Setup'!$N43,if(AD15='Quick Setup'!$O$33,'Quick Setup'!$O43,if(AD15='Quick Setup'!$P$33,'Quick Setup'!$P43,if(AD15='Quick Setup'!$Q$33,'Quick Setup'!$Q43,if(AD15='Quick Setup'!$R$33,'Quick Setup'!$R43,if(AD15='Quick Setup'!$S$33,'Quick Setup'!$S43,if(AD15='Quick Setup'!$T$33,'Quick Setup'!$T43,if(AD15='Quick Setup'!$U$33,'Quick Setup'!$U43,if(AD15='Quick Setup'!$V$33,'Quick Setup'!$V43,'2x'!AY9))))))))))))))))))))</f>
        <v>6</v>
      </c>
      <c r="AF15" s="22">
        <f>if(AD15='Quick Setup'!$C$47,'Quick Setup'!$C57,if(AD15='Quick Setup'!$D$47,'Quick Setup'!$D57,if(AD15='Quick Setup'!$E$47,'Quick Setup'!$E57,if(AD15='Quick Setup'!$F$47,'Quick Setup'!$F57,if(AD15='Quick Setup'!$G$47,'Quick Setup'!$G57,if(AD15='Quick Setup'!$H$47,'Quick Setup'!$H57,if(AD15='Quick Setup'!$I$47,'Quick Setup'!$I57,if(AD15='Quick Setup'!$J$47,'Quick Setup'!$J57,if(AD15='Quick Setup'!$K$47,'Quick Setup'!$K57,if(AD15='Quick Setup'!$L$47,'Quick Setup'!$L57,if(AD15='Quick Setup'!$M$47,'Quick Setup'!$M57,if(AD15='Quick Setup'!$N$47,'Quick Setup'!$N57,if(AD15='Quick Setup'!$O$47,'Quick Setup'!$O57,if(AD15='Quick Setup'!$P$47,'Quick Setup'!$P57,if(AD15='Quick Setup'!$Q$47,'Quick Setup'!$Q57,if(AD15='Quick Setup'!$R$47,'Quick Setup'!$R57,if(AD15='Quick Setup'!$S$47,'Quick Setup'!$S57,if(AD15='Quick Setup'!$T$47,'Quick Setup'!$T57,if(AD15='Quick Setup'!$U$47,'Quick Setup'!$U57,if(AD15='Quick Setup'!$V$47,'Quick Setup'!$V57,if(AD15='Quick Setup'!$W$47,'Quick Setup'!$W57)))))))))))))))))))))</f>
        <v>4</v>
      </c>
      <c r="AG15" s="22">
        <f t="shared" ref="AG15:AJ15" si="184">Z15</f>
        <v>4</v>
      </c>
      <c r="AH15" s="22">
        <f t="shared" si="184"/>
        <v>6</v>
      </c>
      <c r="AI15" s="23">
        <f t="shared" si="184"/>
        <v>0.02</v>
      </c>
      <c r="AJ15" s="23">
        <f t="shared" si="184"/>
        <v>-0.05</v>
      </c>
      <c r="AK15" s="21">
        <f>'Quick Setup'!H70</f>
        <v>0.725</v>
      </c>
      <c r="AL15" s="24">
        <f>if(AK15='Quick Setup'!$C$33,'Quick Setup'!$C43,if(AK15='Quick Setup'!$D$33,'Quick Setup'!$D43,if(AK15='Quick Setup'!$E$33,'Quick Setup'!$E43,if(AK15='Quick Setup'!$F$33,'Quick Setup'!$F43,if(AK15='Quick Setup'!$G$33,'Quick Setup'!$G43,if(AK15='Quick Setup'!$H$33,'Quick Setup'!$H43,if(AK15='Quick Setup'!$I$33,'Quick Setup'!$I43,if(AK15='Quick Setup'!$J$33,'Quick Setup'!$J43,if(AK15='Quick Setup'!$K$33,'Quick Setup'!$K43,if(AK15='Quick Setup'!$L$33,'Quick Setup'!$L43,if(AK15='Quick Setup'!$M$33,'Quick Setup'!$M43,if(AK15='Quick Setup'!$N$33,'Quick Setup'!$N43,if(AK15='Quick Setup'!$O$33,'Quick Setup'!$O43,if(AK15='Quick Setup'!$P$33,'Quick Setup'!$P43,if(AK15='Quick Setup'!$Q$33,'Quick Setup'!$Q43,if(AK15='Quick Setup'!$R$33,'Quick Setup'!$R43,if(AK15='Quick Setup'!$S$33,'Quick Setup'!$S43,if(AK15='Quick Setup'!$T$33,'Quick Setup'!$T43,if(AK15='Quick Setup'!$U$33,'Quick Setup'!$U43,if(AK15='Quick Setup'!$V$33,'Quick Setup'!$V43,'2x'!BF9))))))))))))))))))))</f>
        <v>5</v>
      </c>
      <c r="AM15" s="22">
        <f>if(AK15='Quick Setup'!$C$47,'Quick Setup'!$C57,if(AK15='Quick Setup'!$D$47,'Quick Setup'!$D57,if(AK15='Quick Setup'!$E$47,'Quick Setup'!$E57,if(AK15='Quick Setup'!$F$47,'Quick Setup'!$F57,if(AK15='Quick Setup'!$G$47,'Quick Setup'!$G57,if(AK15='Quick Setup'!$H$47,'Quick Setup'!$H57,if(AK15='Quick Setup'!$I$47,'Quick Setup'!$I57,if(AK15='Quick Setup'!$J$47,'Quick Setup'!$J57,if(AK15='Quick Setup'!$K$47,'Quick Setup'!$K57,if(AK15='Quick Setup'!$L$47,'Quick Setup'!$L57,if(AK15='Quick Setup'!$M$47,'Quick Setup'!$M57,if(AK15='Quick Setup'!$N$47,'Quick Setup'!$N57,if(AK15='Quick Setup'!$O$47,'Quick Setup'!$O57,if(AK15='Quick Setup'!$P$47,'Quick Setup'!$P57,if(AK15='Quick Setup'!$Q$47,'Quick Setup'!$Q57,if(AK15='Quick Setup'!$R$47,'Quick Setup'!$R57,if(AK15='Quick Setup'!$S$47,'Quick Setup'!$S57,if(AK15='Quick Setup'!$T$47,'Quick Setup'!$T57,if(AK15='Quick Setup'!$U$47,'Quick Setup'!$U57,if(AK15='Quick Setup'!$V$47,'Quick Setup'!$V57,if(AK15='Quick Setup'!$W$47,'Quick Setup'!$W57)))))))))))))))))))))</f>
        <v>3</v>
      </c>
      <c r="AN15" s="22">
        <f t="shared" ref="AN15:AQ15" si="185">AG15</f>
        <v>4</v>
      </c>
      <c r="AO15" s="22">
        <f t="shared" si="185"/>
        <v>6</v>
      </c>
      <c r="AP15" s="23">
        <f t="shared" si="185"/>
        <v>0.02</v>
      </c>
      <c r="AQ15" s="23">
        <f t="shared" si="185"/>
        <v>-0.05</v>
      </c>
      <c r="AR15" s="21">
        <f>'Quick Setup'!I70</f>
        <v>0.5</v>
      </c>
      <c r="AS15" s="24">
        <f>if(AR15='Quick Setup'!$C$33,'Quick Setup'!$C43,if(AR15='Quick Setup'!$D$33,'Quick Setup'!$D43,if(AR15='Quick Setup'!$E$33,'Quick Setup'!$E43,if(AR15='Quick Setup'!$F$33,'Quick Setup'!$F43,if(AR15='Quick Setup'!$G$33,'Quick Setup'!$G43,if(AR15='Quick Setup'!$H$33,'Quick Setup'!$H43,if(AR15='Quick Setup'!$I$33,'Quick Setup'!$I43,if(AR15='Quick Setup'!$J$33,'Quick Setup'!$J43,if(AR15='Quick Setup'!$K$33,'Quick Setup'!$K43,if(AR15='Quick Setup'!$L$33,'Quick Setup'!$L43,if(AR15='Quick Setup'!$M$33,'Quick Setup'!$M43,if(AR15='Quick Setup'!$N$33,'Quick Setup'!$N43,if(AR15='Quick Setup'!$O$33,'Quick Setup'!$O43,if(AR15='Quick Setup'!$P$33,'Quick Setup'!$P43,if(AR15='Quick Setup'!$Q$33,'Quick Setup'!$Q43,if(AR15='Quick Setup'!$R$33,'Quick Setup'!$R43,if(AR15='Quick Setup'!$S$33,'Quick Setup'!$S43,if(AR15='Quick Setup'!$T$33,'Quick Setup'!$T43,if(AR15='Quick Setup'!$U$33,'Quick Setup'!$U43,if(AR15='Quick Setup'!$V$33,'Quick Setup'!$V43,'2x'!BM9))))))))))))))))))))</f>
        <v>8</v>
      </c>
      <c r="AT15" s="22">
        <f>if(AR15='Quick Setup'!$C$47,'Quick Setup'!$C57,if(AR15='Quick Setup'!$D$47,'Quick Setup'!$D57,if(AR15='Quick Setup'!$E$47,'Quick Setup'!$E57,if(AR15='Quick Setup'!$F$47,'Quick Setup'!$F57,if(AR15='Quick Setup'!$G$47,'Quick Setup'!$G57,if(AR15='Quick Setup'!$H$47,'Quick Setup'!$H57,if(AR15='Quick Setup'!$I$47,'Quick Setup'!$I57,if(AR15='Quick Setup'!$J$47,'Quick Setup'!$J57,if(AR15='Quick Setup'!$K$47,'Quick Setup'!$K57,if(AR15='Quick Setup'!$L$47,'Quick Setup'!$L57,if(AR15='Quick Setup'!$M$47,'Quick Setup'!$M57,if(AR15='Quick Setup'!$N$47,'Quick Setup'!$N57,if(AR15='Quick Setup'!$O$47,'Quick Setup'!$O57,if(AR15='Quick Setup'!$P$47,'Quick Setup'!$P57,if(AR15='Quick Setup'!$Q$47,'Quick Setup'!$Q57,if(AR15='Quick Setup'!$R$47,'Quick Setup'!$R57,if(AR15='Quick Setup'!$S$47,'Quick Setup'!$S57,if(AR15='Quick Setup'!$T$47,'Quick Setup'!$T57,if(AR15='Quick Setup'!$U$47,'Quick Setup'!$U57,if(AR15='Quick Setup'!$V$47,'Quick Setup'!$V57,if(AR15='Quick Setup'!$W$47,'Quick Setup'!$W57)))))))))))))))))))))</f>
        <v>5</v>
      </c>
      <c r="AU15" s="22">
        <f t="shared" ref="AU15:AX15" si="186">AN15</f>
        <v>4</v>
      </c>
      <c r="AV15" s="22">
        <f t="shared" si="186"/>
        <v>6</v>
      </c>
      <c r="AW15" s="23">
        <f t="shared" si="186"/>
        <v>0.02</v>
      </c>
      <c r="AX15" s="23">
        <f t="shared" si="186"/>
        <v>-0.05</v>
      </c>
      <c r="AY15" s="21">
        <f>'Quick Setup'!J70</f>
        <v>0.65</v>
      </c>
      <c r="AZ15" s="24">
        <f>if(AY15='Quick Setup'!$C$33,'Quick Setup'!$C43,if(AY15='Quick Setup'!$D$33,'Quick Setup'!$D43,if(AY15='Quick Setup'!$E$33,'Quick Setup'!$E43,if(AY15='Quick Setup'!$F$33,'Quick Setup'!$F43,if(AY15='Quick Setup'!$G$33,'Quick Setup'!$G43,if(AY15='Quick Setup'!$H$33,'Quick Setup'!$H43,if(AY15='Quick Setup'!$I$33,'Quick Setup'!$I43,if(AY15='Quick Setup'!$J$33,'Quick Setup'!$J43,if(AY15='Quick Setup'!$K$33,'Quick Setup'!$K43,if(AY15='Quick Setup'!$L$33,'Quick Setup'!$L43,if(AY15='Quick Setup'!$M$33,'Quick Setup'!$M43,if(AY15='Quick Setup'!$N$33,'Quick Setup'!$N43,if(AY15='Quick Setup'!$O$33,'Quick Setup'!$O43,if(AY15='Quick Setup'!$P$33,'Quick Setup'!$P43,if(AY15='Quick Setup'!$Q$33,'Quick Setup'!$Q43,if(AY15='Quick Setup'!$R$33,'Quick Setup'!$R43,if(AY15='Quick Setup'!$S$33,'Quick Setup'!$S43,if(AY15='Quick Setup'!$T$33,'Quick Setup'!$T43,if(AY15='Quick Setup'!$U$33,'Quick Setup'!$U43,if(AY15='Quick Setup'!$V$33,'Quick Setup'!$V43,'2x'!BT9))))))))))))))))))))</f>
        <v>6</v>
      </c>
      <c r="BA15" s="22">
        <f>if(AY15='Quick Setup'!$C$47,'Quick Setup'!$C57,if(AY15='Quick Setup'!$D$47,'Quick Setup'!$D57,if(AY15='Quick Setup'!$E$47,'Quick Setup'!$E57,if(AY15='Quick Setup'!$F$47,'Quick Setup'!$F57,if(AY15='Quick Setup'!$G$47,'Quick Setup'!$G57,if(AY15='Quick Setup'!$H$47,'Quick Setup'!$H57,if(AY15='Quick Setup'!$I$47,'Quick Setup'!$I57,if(AY15='Quick Setup'!$J$47,'Quick Setup'!$J57,if(AY15='Quick Setup'!$K$47,'Quick Setup'!$K57,if(AY15='Quick Setup'!$L$47,'Quick Setup'!$L57,if(AY15='Quick Setup'!$M$47,'Quick Setup'!$M57,if(AY15='Quick Setup'!$N$47,'Quick Setup'!$N57,if(AY15='Quick Setup'!$O$47,'Quick Setup'!$O57,if(AY15='Quick Setup'!$P$47,'Quick Setup'!$P57,if(AY15='Quick Setup'!$Q$47,'Quick Setup'!$Q57,if(AY15='Quick Setup'!$R$47,'Quick Setup'!$R57,if(AY15='Quick Setup'!$S$47,'Quick Setup'!$S57,if(AY15='Quick Setup'!$T$47,'Quick Setup'!$T57,if(AY15='Quick Setup'!$U$47,'Quick Setup'!$U57,if(AY15='Quick Setup'!$V$47,'Quick Setup'!$V57,if(AY15='Quick Setup'!$W$47,'Quick Setup'!$W57)))))))))))))))))))))</f>
        <v>4</v>
      </c>
      <c r="BB15" s="22">
        <f t="shared" ref="BB15:BE15" si="187">AU15</f>
        <v>4</v>
      </c>
      <c r="BC15" s="22">
        <f t="shared" si="187"/>
        <v>6</v>
      </c>
      <c r="BD15" s="23">
        <f t="shared" si="187"/>
        <v>0.02</v>
      </c>
      <c r="BE15" s="23">
        <f t="shared" si="187"/>
        <v>-0.05</v>
      </c>
      <c r="BF15" s="21">
        <f>'Quick Setup'!K70</f>
        <v>0.7</v>
      </c>
      <c r="BG15" s="24">
        <f>if(BF15='Quick Setup'!$C$33,'Quick Setup'!$C43,if(BF15='Quick Setup'!$D$33,'Quick Setup'!$D43,if(BF15='Quick Setup'!$E$33,'Quick Setup'!$E43,if(BF15='Quick Setup'!$F$33,'Quick Setup'!$F43,if(BF15='Quick Setup'!$G$33,'Quick Setup'!$G43,if(BF15='Quick Setup'!$H$33,'Quick Setup'!$H43,if(BF15='Quick Setup'!$I$33,'Quick Setup'!$I43,if(BF15='Quick Setup'!$J$33,'Quick Setup'!$J43,if(BF15='Quick Setup'!$K$33,'Quick Setup'!$K43,if(BF15='Quick Setup'!$L$33,'Quick Setup'!$L43,if(BF15='Quick Setup'!$M$33,'Quick Setup'!$M43,if(BF15='Quick Setup'!$N$33,'Quick Setup'!$N43,if(BF15='Quick Setup'!$O$33,'Quick Setup'!$O43,if(BF15='Quick Setup'!$P$33,'Quick Setup'!$P43,if(BF15='Quick Setup'!$Q$33,'Quick Setup'!$Q43,if(BF15='Quick Setup'!$R$33,'Quick Setup'!$R43,if(BF15='Quick Setup'!$S$33,'Quick Setup'!$S43,if(BF15='Quick Setup'!$T$33,'Quick Setup'!$T43,if(BF15='Quick Setup'!$U$33,'Quick Setup'!$U43,if(BF15='Quick Setup'!$V$33,'Quick Setup'!$V43,'2x'!CA9))))))))))))))))))))</f>
        <v>5</v>
      </c>
      <c r="BH15" s="22">
        <f>if(BF15='Quick Setup'!$C$47,'Quick Setup'!$C57,if(BF15='Quick Setup'!$D$47,'Quick Setup'!$D57,if(BF15='Quick Setup'!$E$47,'Quick Setup'!$E57,if(BF15='Quick Setup'!$F$47,'Quick Setup'!$F57,if(BF15='Quick Setup'!$G$47,'Quick Setup'!$G57,if(BF15='Quick Setup'!$H$47,'Quick Setup'!$H57,if(BF15='Quick Setup'!$I$47,'Quick Setup'!$I57,if(BF15='Quick Setup'!$J$47,'Quick Setup'!$J57,if(BF15='Quick Setup'!$K$47,'Quick Setup'!$K57,if(BF15='Quick Setup'!$L$47,'Quick Setup'!$L57,if(BF15='Quick Setup'!$M$47,'Quick Setup'!$M57,if(BF15='Quick Setup'!$N$47,'Quick Setup'!$N57,if(BF15='Quick Setup'!$O$47,'Quick Setup'!$O57,if(BF15='Quick Setup'!$P$47,'Quick Setup'!$P57,if(BF15='Quick Setup'!$Q$47,'Quick Setup'!$Q57,if(BF15='Quick Setup'!$R$47,'Quick Setup'!$R57,if(BF15='Quick Setup'!$S$47,'Quick Setup'!$S57,if(BF15='Quick Setup'!$T$47,'Quick Setup'!$T57,if(BF15='Quick Setup'!$U$47,'Quick Setup'!$U57,if(BF15='Quick Setup'!$V$47,'Quick Setup'!$V57,if(BF15='Quick Setup'!$W$47,'Quick Setup'!$W57)))))))))))))))))))))</f>
        <v>3</v>
      </c>
      <c r="BI15" s="22">
        <f t="shared" ref="BI15:BL15" si="188">BB15</f>
        <v>4</v>
      </c>
      <c r="BJ15" s="22">
        <f t="shared" si="188"/>
        <v>6</v>
      </c>
      <c r="BK15" s="23">
        <f t="shared" si="188"/>
        <v>0.02</v>
      </c>
      <c r="BL15" s="23">
        <f t="shared" si="188"/>
        <v>-0.05</v>
      </c>
      <c r="BM15" s="21">
        <f>'Quick Setup'!L70</f>
        <v>0.75</v>
      </c>
      <c r="BN15" s="24">
        <f>if(BM15='Quick Setup'!$C$33,'Quick Setup'!$C43,if(BM15='Quick Setup'!$D$33,'Quick Setup'!$D43,if(BM15='Quick Setup'!$E$33,'Quick Setup'!$E43,if(BM15='Quick Setup'!$F$33,'Quick Setup'!$F43,if(BM15='Quick Setup'!$G$33,'Quick Setup'!$G43,if(BM15='Quick Setup'!$H$33,'Quick Setup'!$H43,if(BM15='Quick Setup'!$I$33,'Quick Setup'!$I43,if(BM15='Quick Setup'!$J$33,'Quick Setup'!$J43,if(BM15='Quick Setup'!$K$33,'Quick Setup'!$K43,if(BM15='Quick Setup'!$L$33,'Quick Setup'!$L43,if(BM15='Quick Setup'!$M$33,'Quick Setup'!$M43,if(BM15='Quick Setup'!$N$33,'Quick Setup'!$N43,if(BM15='Quick Setup'!$O$33,'Quick Setup'!$O43,if(BM15='Quick Setup'!$P$33,'Quick Setup'!$P43,if(BM15='Quick Setup'!$Q$33,'Quick Setup'!$Q43,if(BM15='Quick Setup'!$R$33,'Quick Setup'!$R43,if(BM15='Quick Setup'!$S$33,'Quick Setup'!$S43,if(BM15='Quick Setup'!$T$33,'Quick Setup'!$T43,if(BM15='Quick Setup'!$U$33,'Quick Setup'!$U43,if(BM15='Quick Setup'!$V$33,'Quick Setup'!$V43,'2x'!CH9))))))))))))))))))))</f>
        <v>4</v>
      </c>
      <c r="BO15" s="22">
        <f>if(BM15='Quick Setup'!$C$47,'Quick Setup'!$C57,if(BM15='Quick Setup'!$D$47,'Quick Setup'!$D57,if(BM15='Quick Setup'!$E$47,'Quick Setup'!$E57,if(BM15='Quick Setup'!$F$47,'Quick Setup'!$F57,if(BM15='Quick Setup'!$G$47,'Quick Setup'!$G57,if(BM15='Quick Setup'!$H$47,'Quick Setup'!$H57,if(BM15='Quick Setup'!$I$47,'Quick Setup'!$I57,if(BM15='Quick Setup'!$J$47,'Quick Setup'!$J57,if(BM15='Quick Setup'!$K$47,'Quick Setup'!$K57,if(BM15='Quick Setup'!$L$47,'Quick Setup'!$L57,if(BM15='Quick Setup'!$M$47,'Quick Setup'!$M57,if(BM15='Quick Setup'!$N$47,'Quick Setup'!$N57,if(BM15='Quick Setup'!$O$47,'Quick Setup'!$O57,if(BM15='Quick Setup'!$P$47,'Quick Setup'!$P57,if(BM15='Quick Setup'!$Q$47,'Quick Setup'!$Q57,if(BM15='Quick Setup'!$R$47,'Quick Setup'!$R57,if(BM15='Quick Setup'!$S$47,'Quick Setup'!$S57,if(BM15='Quick Setup'!$T$47,'Quick Setup'!$T57,if(BM15='Quick Setup'!$U$47,'Quick Setup'!$U57,if(BM15='Quick Setup'!$V$47,'Quick Setup'!$V57,if(BM15='Quick Setup'!$W$47,'Quick Setup'!$W57)))))))))))))))))))))</f>
        <v>3</v>
      </c>
      <c r="BP15" s="22">
        <f t="shared" ref="BP15:BS15" si="189">BI15</f>
        <v>4</v>
      </c>
      <c r="BQ15" s="22">
        <f t="shared" si="189"/>
        <v>6</v>
      </c>
      <c r="BR15" s="23">
        <f t="shared" si="189"/>
        <v>0.02</v>
      </c>
      <c r="BS15" s="23">
        <f t="shared" si="189"/>
        <v>-0.05</v>
      </c>
      <c r="BT15" s="21">
        <f>'Quick Setup'!M70</f>
        <v>0.675</v>
      </c>
      <c r="BU15" s="24">
        <f>if(BT15='Quick Setup'!$C$33,'Quick Setup'!$C43,if(BT15='Quick Setup'!$D$33,'Quick Setup'!$D43,if(BT15='Quick Setup'!$E$33,'Quick Setup'!$E43,if(BT15='Quick Setup'!$F$33,'Quick Setup'!$F43,if(BT15='Quick Setup'!$G$33,'Quick Setup'!$G43,if(BT15='Quick Setup'!$H$33,'Quick Setup'!$H43,if(BT15='Quick Setup'!$I$33,'Quick Setup'!$I43,if(BT15='Quick Setup'!$J$33,'Quick Setup'!$J43,if(BT15='Quick Setup'!$K$33,'Quick Setup'!$K43,if(BT15='Quick Setup'!$L$33,'Quick Setup'!$L43,if(BT15='Quick Setup'!$M$33,'Quick Setup'!$M43,if(BT15='Quick Setup'!$N$33,'Quick Setup'!$N43,if(BT15='Quick Setup'!$O$33,'Quick Setup'!$O43,if(BT15='Quick Setup'!$P$33,'Quick Setup'!$P43,if(BT15='Quick Setup'!$Q$33,'Quick Setup'!$Q43,if(BT15='Quick Setup'!$R$33,'Quick Setup'!$R43,if(BT15='Quick Setup'!$S$33,'Quick Setup'!$S43,if(BT15='Quick Setup'!$T$33,'Quick Setup'!$T43,if(BT15='Quick Setup'!$U$33,'Quick Setup'!$U43,if(BT15='Quick Setup'!$V$33,'Quick Setup'!$V43,'2x'!CO9))))))))))))))))))))</f>
        <v>6</v>
      </c>
      <c r="BV15" s="22">
        <f>if(BT15='Quick Setup'!$C$47,'Quick Setup'!$C57,if(BT15='Quick Setup'!$D$47,'Quick Setup'!$D57,if(BT15='Quick Setup'!$E$47,'Quick Setup'!$E57,if(BT15='Quick Setup'!$F$47,'Quick Setup'!$F57,if(BT15='Quick Setup'!$G$47,'Quick Setup'!$G57,if(BT15='Quick Setup'!$H$47,'Quick Setup'!$H57,if(BT15='Quick Setup'!$I$47,'Quick Setup'!$I57,if(BT15='Quick Setup'!$J$47,'Quick Setup'!$J57,if(BT15='Quick Setup'!$K$47,'Quick Setup'!$K57,if(BT15='Quick Setup'!$L$47,'Quick Setup'!$L57,if(BT15='Quick Setup'!$M$47,'Quick Setup'!$M57,if(BT15='Quick Setup'!$N$47,'Quick Setup'!$N57,if(BT15='Quick Setup'!$O$47,'Quick Setup'!$O57,if(BT15='Quick Setup'!$P$47,'Quick Setup'!$P57,if(BT15='Quick Setup'!$Q$47,'Quick Setup'!$Q57,if(BT15='Quick Setup'!$R$47,'Quick Setup'!$R57,if(BT15='Quick Setup'!$S$47,'Quick Setup'!$S57,if(BT15='Quick Setup'!$T$47,'Quick Setup'!$T57,if(BT15='Quick Setup'!$U$47,'Quick Setup'!$U57,if(BT15='Quick Setup'!$V$47,'Quick Setup'!$V57,if(BT15='Quick Setup'!$W$47,'Quick Setup'!$W57)))))))))))))))))))))</f>
        <v>4</v>
      </c>
      <c r="BW15" s="22">
        <f t="shared" ref="BW15:BZ15" si="190">BP15</f>
        <v>4</v>
      </c>
      <c r="BX15" s="22">
        <f t="shared" si="190"/>
        <v>6</v>
      </c>
      <c r="BY15" s="23">
        <f t="shared" si="190"/>
        <v>0.02</v>
      </c>
      <c r="BZ15" s="23">
        <f t="shared" si="190"/>
        <v>-0.05</v>
      </c>
      <c r="CA15" s="21">
        <f>'Quick Setup'!N70</f>
        <v>0.725</v>
      </c>
      <c r="CB15" s="24">
        <f>if(CA15='Quick Setup'!$C$33,'Quick Setup'!$C43,if(CA15='Quick Setup'!$D$33,'Quick Setup'!$D43,if(CA15='Quick Setup'!$E$33,'Quick Setup'!$E43,if(CA15='Quick Setup'!$F$33,'Quick Setup'!$F43,if(CA15='Quick Setup'!$G$33,'Quick Setup'!$G43,if(CA15='Quick Setup'!$H$33,'Quick Setup'!$H43,if(CA15='Quick Setup'!$I$33,'Quick Setup'!$I43,if(CA15='Quick Setup'!$J$33,'Quick Setup'!$J43,if(CA15='Quick Setup'!$K$33,'Quick Setup'!$K43,if(CA15='Quick Setup'!$L$33,'Quick Setup'!$L43,if(CA15='Quick Setup'!$M$33,'Quick Setup'!$M43,if(CA15='Quick Setup'!$N$33,'Quick Setup'!$N43,if(CA15='Quick Setup'!$O$33,'Quick Setup'!$O43,if(CA15='Quick Setup'!$P$33,'Quick Setup'!$P43,if(CA15='Quick Setup'!$Q$33,'Quick Setup'!$Q43,if(CA15='Quick Setup'!$R$33,'Quick Setup'!$R43,if(CA15='Quick Setup'!$S$33,'Quick Setup'!$S43,if(CA15='Quick Setup'!$T$33,'Quick Setup'!$T43,if(CA15='Quick Setup'!$U$33,'Quick Setup'!$U43,if(CA15='Quick Setup'!$V$33,'Quick Setup'!$V43,'2x'!CV9))))))))))))))))))))</f>
        <v>5</v>
      </c>
      <c r="CC15" s="22">
        <f>if(CA15='Quick Setup'!$C$47,'Quick Setup'!$C57,if(CA15='Quick Setup'!$D$47,'Quick Setup'!$D57,if(CA15='Quick Setup'!$E$47,'Quick Setup'!$E57,if(CA15='Quick Setup'!$F$47,'Quick Setup'!$F57,if(CA15='Quick Setup'!$G$47,'Quick Setup'!$G57,if(CA15='Quick Setup'!$H$47,'Quick Setup'!$H57,if(CA15='Quick Setup'!$I$47,'Quick Setup'!$I57,if(CA15='Quick Setup'!$J$47,'Quick Setup'!$J57,if(CA15='Quick Setup'!$K$47,'Quick Setup'!$K57,if(CA15='Quick Setup'!$L$47,'Quick Setup'!$L57,if(CA15='Quick Setup'!$M$47,'Quick Setup'!$M57,if(CA15='Quick Setup'!$N$47,'Quick Setup'!$N57,if(CA15='Quick Setup'!$O$47,'Quick Setup'!$O57,if(CA15='Quick Setup'!$P$47,'Quick Setup'!$P57,if(CA15='Quick Setup'!$Q$47,'Quick Setup'!$Q57,if(CA15='Quick Setup'!$R$47,'Quick Setup'!$R57,if(CA15='Quick Setup'!$S$47,'Quick Setup'!$S57,if(CA15='Quick Setup'!$T$47,'Quick Setup'!$T57,if(CA15='Quick Setup'!$U$47,'Quick Setup'!$U57,if(CA15='Quick Setup'!$V$47,'Quick Setup'!$V57,if(CA15='Quick Setup'!$W$47,'Quick Setup'!$W57)))))))))))))))))))))</f>
        <v>3</v>
      </c>
      <c r="CD15" s="22">
        <f t="shared" ref="CD15:CG15" si="191">BW15</f>
        <v>4</v>
      </c>
      <c r="CE15" s="22">
        <f t="shared" si="191"/>
        <v>6</v>
      </c>
      <c r="CF15" s="23">
        <f t="shared" si="191"/>
        <v>0.02</v>
      </c>
      <c r="CG15" s="23">
        <f t="shared" si="191"/>
        <v>-0.05</v>
      </c>
      <c r="CH15" s="21">
        <f>'Quick Setup'!O70</f>
        <v>0.775</v>
      </c>
      <c r="CI15" s="24">
        <f>if(CH15='Quick Setup'!$C$33,'Quick Setup'!$C43,if(CH15='Quick Setup'!$D$33,'Quick Setup'!$D43,if(CH15='Quick Setup'!$E$33,'Quick Setup'!$E43,if(CH15='Quick Setup'!$F$33,'Quick Setup'!$F43,if(CH15='Quick Setup'!$G$33,'Quick Setup'!$G43,if(CH15='Quick Setup'!$H$33,'Quick Setup'!$H43,if(CH15='Quick Setup'!$I$33,'Quick Setup'!$I43,if(CH15='Quick Setup'!$J$33,'Quick Setup'!$J43,if(CH15='Quick Setup'!$K$33,'Quick Setup'!$K43,if(CH15='Quick Setup'!$L$33,'Quick Setup'!$L43,if(CH15='Quick Setup'!$M$33,'Quick Setup'!$M43,if(CH15='Quick Setup'!$N$33,'Quick Setup'!$N43,if(CH15='Quick Setup'!$O$33,'Quick Setup'!$O43,if(CH15='Quick Setup'!$P$33,'Quick Setup'!$P43,if(CH15='Quick Setup'!$Q$33,'Quick Setup'!$Q43,if(CH15='Quick Setup'!$R$33,'Quick Setup'!$R43,if(CH15='Quick Setup'!$S$33,'Quick Setup'!$S43,if(CH15='Quick Setup'!$T$33,'Quick Setup'!$T43,if(CH15='Quick Setup'!$U$33,'Quick Setup'!$U43,if(CH15='Quick Setup'!$V$33,'Quick Setup'!$V43,'2x'!DC9))))))))))))))))))))</f>
        <v>4</v>
      </c>
      <c r="CJ15" s="22">
        <f>if(CH15='Quick Setup'!$C$47,'Quick Setup'!$C57,if(CH15='Quick Setup'!$D$47,'Quick Setup'!$D57,if(CH15='Quick Setup'!$E$47,'Quick Setup'!$E57,if(CH15='Quick Setup'!$F$47,'Quick Setup'!$F57,if(CH15='Quick Setup'!$G$47,'Quick Setup'!$G57,if(CH15='Quick Setup'!$H$47,'Quick Setup'!$H57,if(CH15='Quick Setup'!$I$47,'Quick Setup'!$I57,if(CH15='Quick Setup'!$J$47,'Quick Setup'!$J57,if(CH15='Quick Setup'!$K$47,'Quick Setup'!$K57,if(CH15='Quick Setup'!$L$47,'Quick Setup'!$L57,if(CH15='Quick Setup'!$M$47,'Quick Setup'!$M57,if(CH15='Quick Setup'!$N$47,'Quick Setup'!$N57,if(CH15='Quick Setup'!$O$47,'Quick Setup'!$O57,if(CH15='Quick Setup'!$P$47,'Quick Setup'!$P57,if(CH15='Quick Setup'!$Q$47,'Quick Setup'!$Q57,if(CH15='Quick Setup'!$R$47,'Quick Setup'!$R57,if(CH15='Quick Setup'!$S$47,'Quick Setup'!$S57,if(CH15='Quick Setup'!$T$47,'Quick Setup'!$T57,if(CH15='Quick Setup'!$U$47,'Quick Setup'!$U57,if(CH15='Quick Setup'!$V$47,'Quick Setup'!$V57,if(CH15='Quick Setup'!$W$47,'Quick Setup'!$W57)))))))))))))))))))))</f>
        <v>3</v>
      </c>
      <c r="CK15" s="22">
        <f t="shared" ref="CK15:CN15" si="192">CD15</f>
        <v>4</v>
      </c>
      <c r="CL15" s="22">
        <f t="shared" si="192"/>
        <v>6</v>
      </c>
      <c r="CM15" s="23">
        <f t="shared" si="192"/>
        <v>0.02</v>
      </c>
      <c r="CN15" s="23">
        <f t="shared" si="192"/>
        <v>-0.05</v>
      </c>
      <c r="CO15" s="21">
        <f>'Quick Setup'!P70</f>
        <v>0.5</v>
      </c>
      <c r="CP15" s="24">
        <f>if(CO15='Quick Setup'!$C$33,'Quick Setup'!$C43,if(CO15='Quick Setup'!$D$33,'Quick Setup'!$D43,if(CO15='Quick Setup'!$E$33,'Quick Setup'!$E43,if(CO15='Quick Setup'!$F$33,'Quick Setup'!$F43,if(CO15='Quick Setup'!$G$33,'Quick Setup'!$G43,if(CO15='Quick Setup'!$H$33,'Quick Setup'!$H43,if(CO15='Quick Setup'!$I$33,'Quick Setup'!$I43,if(CO15='Quick Setup'!$J$33,'Quick Setup'!$J43,if(CO15='Quick Setup'!$K$33,'Quick Setup'!$K43,if(CO15='Quick Setup'!$L$33,'Quick Setup'!$L43,if(CO15='Quick Setup'!$M$33,'Quick Setup'!$M43,if(CO15='Quick Setup'!$N$33,'Quick Setup'!$N43,if(CO15='Quick Setup'!$O$33,'Quick Setup'!$O43,if(CO15='Quick Setup'!$P$33,'Quick Setup'!$P43,if(CO15='Quick Setup'!$Q$33,'Quick Setup'!$Q43,if(CO15='Quick Setup'!$R$33,'Quick Setup'!$R43,if(CO15='Quick Setup'!$S$33,'Quick Setup'!$S43,if(CO15='Quick Setup'!$T$33,'Quick Setup'!$T43,if(CO15='Quick Setup'!$U$33,'Quick Setup'!$U43,if(CO15='Quick Setup'!$V$33,'Quick Setup'!$V43,'2x'!DJ9))))))))))))))))))))</f>
        <v>8</v>
      </c>
      <c r="CQ15" s="22">
        <f>if(CO15='Quick Setup'!$C$47,'Quick Setup'!$C57,if(CO15='Quick Setup'!$D$47,'Quick Setup'!$D57,if(CO15='Quick Setup'!$E$47,'Quick Setup'!$E57,if(CO15='Quick Setup'!$F$47,'Quick Setup'!$F57,if(CO15='Quick Setup'!$G$47,'Quick Setup'!$G57,if(CO15='Quick Setup'!$H$47,'Quick Setup'!$H57,if(CO15='Quick Setup'!$I$47,'Quick Setup'!$I57,if(CO15='Quick Setup'!$J$47,'Quick Setup'!$J57,if(CO15='Quick Setup'!$K$47,'Quick Setup'!$K57,if(CO15='Quick Setup'!$L$47,'Quick Setup'!$L57,if(CO15='Quick Setup'!$M$47,'Quick Setup'!$M57,if(CO15='Quick Setup'!$N$47,'Quick Setup'!$N57,if(CO15='Quick Setup'!$O$47,'Quick Setup'!$O57,if(CO15='Quick Setup'!$P$47,'Quick Setup'!$P57,if(CO15='Quick Setup'!$Q$47,'Quick Setup'!$Q57,if(CO15='Quick Setup'!$R$47,'Quick Setup'!$R57,if(CO15='Quick Setup'!$S$47,'Quick Setup'!$S57,if(CO15='Quick Setup'!$T$47,'Quick Setup'!$T57,if(CO15='Quick Setup'!$U$47,'Quick Setup'!$U57,if(CO15='Quick Setup'!$V$47,'Quick Setup'!$V57,if(CO15='Quick Setup'!$W$47,'Quick Setup'!$W57)))))))))))))))))))))</f>
        <v>5</v>
      </c>
      <c r="CR15" s="22">
        <f t="shared" ref="CR15:CU15" si="193">CK15</f>
        <v>4</v>
      </c>
      <c r="CS15" s="22">
        <f t="shared" si="193"/>
        <v>6</v>
      </c>
      <c r="CT15" s="23">
        <f t="shared" si="193"/>
        <v>0.02</v>
      </c>
      <c r="CU15" s="23">
        <f t="shared" si="193"/>
        <v>-0.05</v>
      </c>
      <c r="CV15" s="21">
        <f>'Quick Setup'!Q70</f>
        <v>0.7</v>
      </c>
      <c r="CW15" s="24">
        <f>if(CV15='Quick Setup'!$C$33,'Quick Setup'!$C43,if(CV15='Quick Setup'!$D$33,'Quick Setup'!$D43,if(CV15='Quick Setup'!$E$33,'Quick Setup'!$E43,if(CV15='Quick Setup'!$F$33,'Quick Setup'!$F43,if(CV15='Quick Setup'!$G$33,'Quick Setup'!$G43,if(CV15='Quick Setup'!$H$33,'Quick Setup'!$H43,if(CV15='Quick Setup'!$I$33,'Quick Setup'!$I43,if(CV15='Quick Setup'!$J$33,'Quick Setup'!$J43,if(CV15='Quick Setup'!$K$33,'Quick Setup'!$K43,if(CV15='Quick Setup'!$L$33,'Quick Setup'!$L43,if(CV15='Quick Setup'!$M$33,'Quick Setup'!$M43,if(CV15='Quick Setup'!$N$33,'Quick Setup'!$N43,if(CV15='Quick Setup'!$O$33,'Quick Setup'!$O43,if(CV15='Quick Setup'!$P$33,'Quick Setup'!$P43,if(CV15='Quick Setup'!$Q$33,'Quick Setup'!$Q43,if(CV15='Quick Setup'!$R$33,'Quick Setup'!$R43,if(CV15='Quick Setup'!$S$33,'Quick Setup'!$S43,if(CV15='Quick Setup'!$T$33,'Quick Setup'!$T43,if(CV15='Quick Setup'!$U$33,'Quick Setup'!$U43,if(CV15='Quick Setup'!$V$33,'Quick Setup'!$V43,'2x'!DQ9))))))))))))))))))))</f>
        <v>5</v>
      </c>
      <c r="CX15" s="22">
        <f>if(CV15='Quick Setup'!$C$47,'Quick Setup'!$C57,if(CV15='Quick Setup'!$D$47,'Quick Setup'!$D57,if(CV15='Quick Setup'!$E$47,'Quick Setup'!$E57,if(CV15='Quick Setup'!$F$47,'Quick Setup'!$F57,if(CV15='Quick Setup'!$G$47,'Quick Setup'!$G57,if(CV15='Quick Setup'!$H$47,'Quick Setup'!$H57,if(CV15='Quick Setup'!$I$47,'Quick Setup'!$I57,if(CV15='Quick Setup'!$J$47,'Quick Setup'!$J57,if(CV15='Quick Setup'!$K$47,'Quick Setup'!$K57,if(CV15='Quick Setup'!$L$47,'Quick Setup'!$L57,if(CV15='Quick Setup'!$M$47,'Quick Setup'!$M57,if(CV15='Quick Setup'!$N$47,'Quick Setup'!$N57,if(CV15='Quick Setup'!$O$47,'Quick Setup'!$O57,if(CV15='Quick Setup'!$P$47,'Quick Setup'!$P57,if(CV15='Quick Setup'!$Q$47,'Quick Setup'!$Q57,if(CV15='Quick Setup'!$R$47,'Quick Setup'!$R57,if(CV15='Quick Setup'!$S$47,'Quick Setup'!$S57,if(CV15='Quick Setup'!$T$47,'Quick Setup'!$T57,if(CV15='Quick Setup'!$U$47,'Quick Setup'!$U57,if(CV15='Quick Setup'!$V$47,'Quick Setup'!$V57,if(CV15='Quick Setup'!$W$47,'Quick Setup'!$W57)))))))))))))))))))))</f>
        <v>3</v>
      </c>
      <c r="CY15" s="22">
        <f t="shared" ref="CY15:DB15" si="194">CR15</f>
        <v>4</v>
      </c>
      <c r="CZ15" s="22">
        <f t="shared" si="194"/>
        <v>6</v>
      </c>
      <c r="DA15" s="23">
        <f t="shared" si="194"/>
        <v>0.02</v>
      </c>
      <c r="DB15" s="23">
        <f t="shared" si="194"/>
        <v>-0.05</v>
      </c>
      <c r="DC15" s="21">
        <f>'Quick Setup'!R70</f>
        <v>0.75</v>
      </c>
      <c r="DD15" s="24">
        <f>if(DC15='Quick Setup'!$C$33,'Quick Setup'!$C43,if(DC15='Quick Setup'!$D$33,'Quick Setup'!$D43,if(DC15='Quick Setup'!$E$33,'Quick Setup'!$E43,if(DC15='Quick Setup'!$F$33,'Quick Setup'!$F43,if(DC15='Quick Setup'!$G$33,'Quick Setup'!$G43,if(DC15='Quick Setup'!$H$33,'Quick Setup'!$H43,if(DC15='Quick Setup'!$I$33,'Quick Setup'!$I43,if(DC15='Quick Setup'!$J$33,'Quick Setup'!$J43,if(DC15='Quick Setup'!$K$33,'Quick Setup'!$K43,if(DC15='Quick Setup'!$L$33,'Quick Setup'!$L43,if(DC15='Quick Setup'!$M$33,'Quick Setup'!$M43,if(DC15='Quick Setup'!$N$33,'Quick Setup'!$N43,if(DC15='Quick Setup'!$O$33,'Quick Setup'!$O43,if(DC15='Quick Setup'!$P$33,'Quick Setup'!$P43,if(DC15='Quick Setup'!$Q$33,'Quick Setup'!$Q43,if(DC15='Quick Setup'!$R$33,'Quick Setup'!$R43,if(DC15='Quick Setup'!$S$33,'Quick Setup'!$S43,if(DC15='Quick Setup'!$T$33,'Quick Setup'!$T43,if(DC15='Quick Setup'!$U$33,'Quick Setup'!$U43,if(DC15='Quick Setup'!$V$33,'Quick Setup'!$V43,'2x'!DX9))))))))))))))))))))</f>
        <v>4</v>
      </c>
      <c r="DE15" s="22">
        <f>if(DC15='Quick Setup'!$C$47,'Quick Setup'!$C57,if(DC15='Quick Setup'!$D$47,'Quick Setup'!$D57,if(DC15='Quick Setup'!$E$47,'Quick Setup'!$E57,if(DC15='Quick Setup'!$F$47,'Quick Setup'!$F57,if(DC15='Quick Setup'!$G$47,'Quick Setup'!$G57,if(DC15='Quick Setup'!$H$47,'Quick Setup'!$H57,if(DC15='Quick Setup'!$I$47,'Quick Setup'!$I57,if(DC15='Quick Setup'!$J$47,'Quick Setup'!$J57,if(DC15='Quick Setup'!$K$47,'Quick Setup'!$K57,if(DC15='Quick Setup'!$L$47,'Quick Setup'!$L57,if(DC15='Quick Setup'!$M$47,'Quick Setup'!$M57,if(DC15='Quick Setup'!$N$47,'Quick Setup'!$N57,if(DC15='Quick Setup'!$O$47,'Quick Setup'!$O57,if(DC15='Quick Setup'!$P$47,'Quick Setup'!$P57,if(DC15='Quick Setup'!$Q$47,'Quick Setup'!$Q57,if(DC15='Quick Setup'!$R$47,'Quick Setup'!$R57,if(DC15='Quick Setup'!$S$47,'Quick Setup'!$S57,if(DC15='Quick Setup'!$T$47,'Quick Setup'!$T57,if(DC15='Quick Setup'!$U$47,'Quick Setup'!$U57,if(DC15='Quick Setup'!$V$47,'Quick Setup'!$V57,if(DC15='Quick Setup'!$W$47,'Quick Setup'!$W57)))))))))))))))))))))</f>
        <v>3</v>
      </c>
      <c r="DF15" s="22">
        <f t="shared" ref="DF15:DI15" si="195">CY15</f>
        <v>4</v>
      </c>
      <c r="DG15" s="22">
        <f t="shared" si="195"/>
        <v>6</v>
      </c>
      <c r="DH15" s="23">
        <f t="shared" si="195"/>
        <v>0.02</v>
      </c>
      <c r="DI15" s="23">
        <f t="shared" si="195"/>
        <v>-0.05</v>
      </c>
      <c r="DJ15" s="21">
        <f>'Quick Setup'!S70</f>
        <v>0.8</v>
      </c>
      <c r="DK15" s="24">
        <f>if(DJ15='Quick Setup'!$C$33,'Quick Setup'!$C43,if(DJ15='Quick Setup'!$D$33,'Quick Setup'!$D43,if(DJ15='Quick Setup'!$E$33,'Quick Setup'!$E43,if(DJ15='Quick Setup'!$F$33,'Quick Setup'!$F43,if(DJ15='Quick Setup'!$G$33,'Quick Setup'!$G43,if(DJ15='Quick Setup'!$H$33,'Quick Setup'!$H43,if(DJ15='Quick Setup'!$I$33,'Quick Setup'!$I43,if(DJ15='Quick Setup'!$J$33,'Quick Setup'!$J43,if(DJ15='Quick Setup'!$K$33,'Quick Setup'!$K43,if(DJ15='Quick Setup'!$L$33,'Quick Setup'!$L43,if(DJ15='Quick Setup'!$M$33,'Quick Setup'!$M43,if(DJ15='Quick Setup'!$N$33,'Quick Setup'!$N43,if(DJ15='Quick Setup'!$O$33,'Quick Setup'!$O43,if(DJ15='Quick Setup'!$P$33,'Quick Setup'!$P43,if(DJ15='Quick Setup'!$Q$33,'Quick Setup'!$Q43,if(DJ15='Quick Setup'!$R$33,'Quick Setup'!$R43,if(DJ15='Quick Setup'!$S$33,'Quick Setup'!$S43,if(DJ15='Quick Setup'!$T$33,'Quick Setup'!$T43,if(DJ15='Quick Setup'!$U$33,'Quick Setup'!$U43,if(DJ15='Quick Setup'!$V$33,'Quick Setup'!$V43,'2x'!EE9))))))))))))))))))))</f>
        <v>3</v>
      </c>
      <c r="DL15" s="22">
        <f>if(DJ15='Quick Setup'!$C$47,'Quick Setup'!$C57,if(DJ15='Quick Setup'!$D$47,'Quick Setup'!$D57,if(DJ15='Quick Setup'!$E$47,'Quick Setup'!$E57,if(DJ15='Quick Setup'!$F$47,'Quick Setup'!$F57,if(DJ15='Quick Setup'!$G$47,'Quick Setup'!$G57,if(DJ15='Quick Setup'!$H$47,'Quick Setup'!$H57,if(DJ15='Quick Setup'!$I$47,'Quick Setup'!$I57,if(DJ15='Quick Setup'!$J$47,'Quick Setup'!$J57,if(DJ15='Quick Setup'!$K$47,'Quick Setup'!$K57,if(DJ15='Quick Setup'!$L$47,'Quick Setup'!$L57,if(DJ15='Quick Setup'!$M$47,'Quick Setup'!$M57,if(DJ15='Quick Setup'!$N$47,'Quick Setup'!$N57,if(DJ15='Quick Setup'!$O$47,'Quick Setup'!$O57,if(DJ15='Quick Setup'!$P$47,'Quick Setup'!$P57,if(DJ15='Quick Setup'!$Q$47,'Quick Setup'!$Q57,if(DJ15='Quick Setup'!$R$47,'Quick Setup'!$R57,if(DJ15='Quick Setup'!$S$47,'Quick Setup'!$S57,if(DJ15='Quick Setup'!$T$47,'Quick Setup'!$T57,if(DJ15='Quick Setup'!$U$47,'Quick Setup'!$U57,if(DJ15='Quick Setup'!$V$47,'Quick Setup'!$V57,if(DJ15='Quick Setup'!$W$47,'Quick Setup'!$W57)))))))))))))))))))))</f>
        <v>2</v>
      </c>
      <c r="DM15" s="22">
        <f t="shared" ref="DM15:DP15" si="196">DF15</f>
        <v>4</v>
      </c>
      <c r="DN15" s="22">
        <f t="shared" si="196"/>
        <v>6</v>
      </c>
      <c r="DO15" s="23">
        <f t="shared" si="196"/>
        <v>0.02</v>
      </c>
      <c r="DP15" s="23">
        <f t="shared" si="196"/>
        <v>-0.05</v>
      </c>
      <c r="DQ15" s="21">
        <f>'Quick Setup'!T70</f>
        <v>0.75</v>
      </c>
      <c r="DR15" s="24">
        <f>if(DQ15='Quick Setup'!$C$33,'Quick Setup'!$C43,if(DQ15='Quick Setup'!$D$33,'Quick Setup'!$D43,if(DQ15='Quick Setup'!$E$33,'Quick Setup'!$E43,if(DQ15='Quick Setup'!$F$33,'Quick Setup'!$F43,if(DQ15='Quick Setup'!$G$33,'Quick Setup'!$G43,if(DQ15='Quick Setup'!$H$33,'Quick Setup'!$H43,if(DQ15='Quick Setup'!$I$33,'Quick Setup'!$I43,if(DQ15='Quick Setup'!$J$33,'Quick Setup'!$J43,if(DQ15='Quick Setup'!$K$33,'Quick Setup'!$K43,if(DQ15='Quick Setup'!$L$33,'Quick Setup'!$L43,if(DQ15='Quick Setup'!$M$33,'Quick Setup'!$M43,if(DQ15='Quick Setup'!$N$33,'Quick Setup'!$N43,if(DQ15='Quick Setup'!$O$33,'Quick Setup'!$O43,if(DQ15='Quick Setup'!$P$33,'Quick Setup'!$P43,if(DQ15='Quick Setup'!$Q$33,'Quick Setup'!$Q43,if(DQ15='Quick Setup'!$R$33,'Quick Setup'!$R43,if(DQ15='Quick Setup'!$S$33,'Quick Setup'!$S43,if(DQ15='Quick Setup'!$T$33,'Quick Setup'!$T43,if(DQ15='Quick Setup'!$U$33,'Quick Setup'!$U43,if(DQ15='Quick Setup'!$V$33,'Quick Setup'!$V43,'2x'!EL9))))))))))))))))))))</f>
        <v>4</v>
      </c>
      <c r="DS15" s="22">
        <f>if(DQ15='Quick Setup'!$C$47,'Quick Setup'!$C57,if(DQ15='Quick Setup'!$D$47,'Quick Setup'!$D57,if(DQ15='Quick Setup'!$E$47,'Quick Setup'!$E57,if(DQ15='Quick Setup'!$F$47,'Quick Setup'!$F57,if(DQ15='Quick Setup'!$G$47,'Quick Setup'!$G57,if(DQ15='Quick Setup'!$H$47,'Quick Setup'!$H57,if(DQ15='Quick Setup'!$I$47,'Quick Setup'!$I57,if(DQ15='Quick Setup'!$J$47,'Quick Setup'!$J57,if(DQ15='Quick Setup'!$K$47,'Quick Setup'!$K57,if(DQ15='Quick Setup'!$L$47,'Quick Setup'!$L57,if(DQ15='Quick Setup'!$M$47,'Quick Setup'!$M57,if(DQ15='Quick Setup'!$N$47,'Quick Setup'!$N57,if(DQ15='Quick Setup'!$O$47,'Quick Setup'!$O57,if(DQ15='Quick Setup'!$P$47,'Quick Setup'!$P57,if(DQ15='Quick Setup'!$Q$47,'Quick Setup'!$Q57,if(DQ15='Quick Setup'!$R$47,'Quick Setup'!$R57,if(DQ15='Quick Setup'!$S$47,'Quick Setup'!$S57,if(DQ15='Quick Setup'!$T$47,'Quick Setup'!$T57,if(DQ15='Quick Setup'!$U$47,'Quick Setup'!$U57,if(DQ15='Quick Setup'!$V$47,'Quick Setup'!$V57,if(DQ15='Quick Setup'!$W$47,'Quick Setup'!$W57)))))))))))))))))))))</f>
        <v>3</v>
      </c>
      <c r="DT15" s="22">
        <f t="shared" ref="DT15:DW15" si="197">DM15</f>
        <v>4</v>
      </c>
      <c r="DU15" s="22">
        <f t="shared" si="197"/>
        <v>6</v>
      </c>
      <c r="DV15" s="23">
        <f t="shared" si="197"/>
        <v>0.02</v>
      </c>
      <c r="DW15" s="23">
        <f t="shared" si="197"/>
        <v>-0.05</v>
      </c>
      <c r="DX15" s="21">
        <f>'Quick Setup'!U70</f>
        <v>0.8</v>
      </c>
      <c r="DY15" s="24">
        <f>if(DX15='Quick Setup'!$C$33,'Quick Setup'!$C43,if(DX15='Quick Setup'!$D$33,'Quick Setup'!$D43,if(DX15='Quick Setup'!$E$33,'Quick Setup'!$E43,if(DX15='Quick Setup'!$F$33,'Quick Setup'!$F43,if(DX15='Quick Setup'!$G$33,'Quick Setup'!$G43,if(DX15='Quick Setup'!$H$33,'Quick Setup'!$H43,if(DX15='Quick Setup'!$I$33,'Quick Setup'!$I43,if(DX15='Quick Setup'!$J$33,'Quick Setup'!$J43,if(DX15='Quick Setup'!$K$33,'Quick Setup'!$K43,if(DX15='Quick Setup'!$L$33,'Quick Setup'!$L43,if(DX15='Quick Setup'!$M$33,'Quick Setup'!$M43,if(DX15='Quick Setup'!$N$33,'Quick Setup'!$N43,if(DX15='Quick Setup'!$O$33,'Quick Setup'!$O43,if(DX15='Quick Setup'!$P$33,'Quick Setup'!$P43,if(DX15='Quick Setup'!$Q$33,'Quick Setup'!$Q43,if(DX15='Quick Setup'!$R$33,'Quick Setup'!$R43,if(DX15='Quick Setup'!$S$33,'Quick Setup'!$S43,if(DX15='Quick Setup'!$T$33,'Quick Setup'!$T43,if(DX15='Quick Setup'!$U$33,'Quick Setup'!$U43,if(DX15='Quick Setup'!$V$33,'Quick Setup'!$V43,'2x'!ES9))))))))))))))))))))</f>
        <v>3</v>
      </c>
      <c r="DZ15" s="22">
        <f>if(DX15='Quick Setup'!$C$47,'Quick Setup'!$C57,if(DX15='Quick Setup'!$D$47,'Quick Setup'!$D57,if(DX15='Quick Setup'!$E$47,'Quick Setup'!$E57,if(DX15='Quick Setup'!$F$47,'Quick Setup'!$F57,if(DX15='Quick Setup'!$G$47,'Quick Setup'!$G57,if(DX15='Quick Setup'!$H$47,'Quick Setup'!$H57,if(DX15='Quick Setup'!$I$47,'Quick Setup'!$I57,if(DX15='Quick Setup'!$J$47,'Quick Setup'!$J57,if(DX15='Quick Setup'!$K$47,'Quick Setup'!$K57,if(DX15='Quick Setup'!$L$47,'Quick Setup'!$L57,if(DX15='Quick Setup'!$M$47,'Quick Setup'!$M57,if(DX15='Quick Setup'!$N$47,'Quick Setup'!$N57,if(DX15='Quick Setup'!$O$47,'Quick Setup'!$O57,if(DX15='Quick Setup'!$P$47,'Quick Setup'!$P57,if(DX15='Quick Setup'!$Q$47,'Quick Setup'!$Q57,if(DX15='Quick Setup'!$R$47,'Quick Setup'!$R57,if(DX15='Quick Setup'!$S$47,'Quick Setup'!$S57,if(DX15='Quick Setup'!$T$47,'Quick Setup'!$T57,if(DX15='Quick Setup'!$U$47,'Quick Setup'!$U57,if(DX15='Quick Setup'!$V$47,'Quick Setup'!$V57,if(DX15='Quick Setup'!$W$47,'Quick Setup'!$W57)))))))))))))))))))))</f>
        <v>2</v>
      </c>
      <c r="EA15" s="22">
        <f t="shared" ref="EA15:ED15" si="198">DT15</f>
        <v>4</v>
      </c>
      <c r="EB15" s="22">
        <f t="shared" si="198"/>
        <v>6</v>
      </c>
      <c r="EC15" s="23">
        <f t="shared" si="198"/>
        <v>0.02</v>
      </c>
      <c r="ED15" s="23">
        <f t="shared" si="198"/>
        <v>-0.05</v>
      </c>
      <c r="EE15" s="21">
        <f>'Quick Setup'!V70</f>
        <v>0.85</v>
      </c>
      <c r="EF15" s="24">
        <f>if(EE15='Quick Setup'!$C$33,'Quick Setup'!$C43,if(EE15='Quick Setup'!$D$33,'Quick Setup'!$D43,if(EE15='Quick Setup'!$E$33,'Quick Setup'!$E43,if(EE15='Quick Setup'!$F$33,'Quick Setup'!$F43,if(EE15='Quick Setup'!$G$33,'Quick Setup'!$G43,if(EE15='Quick Setup'!$H$33,'Quick Setup'!$H43,if(EE15='Quick Setup'!$I$33,'Quick Setup'!$I43,if(EE15='Quick Setup'!$J$33,'Quick Setup'!$J43,if(EE15='Quick Setup'!$K$33,'Quick Setup'!$K43,if(EE15='Quick Setup'!$L$33,'Quick Setup'!$L43,if(EE15='Quick Setup'!$M$33,'Quick Setup'!$M43,if(EE15='Quick Setup'!$N$33,'Quick Setup'!$N43,if(EE15='Quick Setup'!$O$33,'Quick Setup'!$O43,if(EE15='Quick Setup'!$P$33,'Quick Setup'!$P43,if(EE15='Quick Setup'!$Q$33,'Quick Setup'!$Q43,if(EE15='Quick Setup'!$R$33,'Quick Setup'!$R43,if(EE15='Quick Setup'!$S$33,'Quick Setup'!$S43,if(EE15='Quick Setup'!$T$33,'Quick Setup'!$T43,if(EE15='Quick Setup'!$U$33,'Quick Setup'!$U43,if(EE15='Quick Setup'!$V$33,'Quick Setup'!$V43,'2x'!EZ9))))))))))))))))))))</f>
        <v>2</v>
      </c>
      <c r="EG15" s="22">
        <f>if(EE15='Quick Setup'!$C$47,'Quick Setup'!$C57,if(EE15='Quick Setup'!$D$47,'Quick Setup'!$D57,if(EE15='Quick Setup'!$E$47,'Quick Setup'!$E57,if(EE15='Quick Setup'!$F$47,'Quick Setup'!$F57,if(EE15='Quick Setup'!$G$47,'Quick Setup'!$G57,if(EE15='Quick Setup'!$H$47,'Quick Setup'!$H57,if(EE15='Quick Setup'!$I$47,'Quick Setup'!$I57,if(EE15='Quick Setup'!$J$47,'Quick Setup'!$J57,if(EE15='Quick Setup'!$K$47,'Quick Setup'!$K57,if(EE15='Quick Setup'!$L$47,'Quick Setup'!$L57,if(EE15='Quick Setup'!$M$47,'Quick Setup'!$M57,if(EE15='Quick Setup'!$N$47,'Quick Setup'!$N57,if(EE15='Quick Setup'!$O$47,'Quick Setup'!$O57,if(EE15='Quick Setup'!$P$47,'Quick Setup'!$P57,if(EE15='Quick Setup'!$Q$47,'Quick Setup'!$Q57,if(EE15='Quick Setup'!$R$47,'Quick Setup'!$R57,if(EE15='Quick Setup'!$S$47,'Quick Setup'!$S57,if(EE15='Quick Setup'!$T$47,'Quick Setup'!$T57,if(EE15='Quick Setup'!$U$47,'Quick Setup'!$U57,if(EE15='Quick Setup'!$V$47,'Quick Setup'!$V57,if(EE15='Quick Setup'!$W$47,'Quick Setup'!$W57)))))))))))))))))))))</f>
        <v>2</v>
      </c>
      <c r="EH15" s="22">
        <f t="shared" ref="EH15:EK15" si="199">EA15</f>
        <v>4</v>
      </c>
      <c r="EI15" s="22">
        <f t="shared" si="199"/>
        <v>6</v>
      </c>
      <c r="EJ15" s="23">
        <f t="shared" si="199"/>
        <v>0.02</v>
      </c>
      <c r="EK15" s="23">
        <f t="shared" si="199"/>
        <v>-0.05</v>
      </c>
      <c r="EL15" s="21">
        <f>'Quick Setup'!W70</f>
        <v>0.5</v>
      </c>
      <c r="EM15" s="24">
        <f>if(EL15='Quick Setup'!$C$33,'Quick Setup'!$C43,if(EL15='Quick Setup'!$D$33,'Quick Setup'!$D43,if(EL15='Quick Setup'!$E$33,'Quick Setup'!$E43,if(EL15='Quick Setup'!$F$33,'Quick Setup'!$F43,if(EL15='Quick Setup'!$G$33,'Quick Setup'!$G43,if(EL15='Quick Setup'!$H$33,'Quick Setup'!$H43,if(EL15='Quick Setup'!$I$33,'Quick Setup'!$I43,if(EL15='Quick Setup'!$J$33,'Quick Setup'!$J43,if(EL15='Quick Setup'!$K$33,'Quick Setup'!$K43,if(EL15='Quick Setup'!$L$33,'Quick Setup'!$L43,if(EL15='Quick Setup'!$M$33,'Quick Setup'!$M43,if(EL15='Quick Setup'!$N$33,'Quick Setup'!$N43,if(EL15='Quick Setup'!$O$33,'Quick Setup'!$O43,if(EL15='Quick Setup'!$P$33,'Quick Setup'!$P43,if(EL15='Quick Setup'!$Q$33,'Quick Setup'!$Q43,if(EL15='Quick Setup'!$R$33,'Quick Setup'!$R43,if(EL15='Quick Setup'!$S$33,'Quick Setup'!$S43,if(EL15='Quick Setup'!$T$33,'Quick Setup'!$T43,if(EL15='Quick Setup'!$U$33,'Quick Setup'!$U43,if(EL15='Quick Setup'!$V$33,'Quick Setup'!$V43,'2x'!FG9))))))))))))))))))))</f>
        <v>8</v>
      </c>
      <c r="EN15" s="22">
        <f>if(EL15='Quick Setup'!$C$47,'Quick Setup'!$C57,if(EL15='Quick Setup'!$D$47,'Quick Setup'!$D57,if(EL15='Quick Setup'!$E$47,'Quick Setup'!$E57,if(EL15='Quick Setup'!$F$47,'Quick Setup'!$F57,if(EL15='Quick Setup'!$G$47,'Quick Setup'!$G57,if(EL15='Quick Setup'!$H$47,'Quick Setup'!$H57,if(EL15='Quick Setup'!$I$47,'Quick Setup'!$I57,if(EL15='Quick Setup'!$J$47,'Quick Setup'!$J57,if(EL15='Quick Setup'!$K$47,'Quick Setup'!$K57,if(EL15='Quick Setup'!$L$47,'Quick Setup'!$L57,if(EL15='Quick Setup'!$M$47,'Quick Setup'!$M57,if(EL15='Quick Setup'!$N$47,'Quick Setup'!$N57,if(EL15='Quick Setup'!$O$47,'Quick Setup'!$O57,if(EL15='Quick Setup'!$P$47,'Quick Setup'!$P57,if(EL15='Quick Setup'!$Q$47,'Quick Setup'!$Q57,if(EL15='Quick Setup'!$R$47,'Quick Setup'!$R57,if(EL15='Quick Setup'!$S$47,'Quick Setup'!$S57,if(EL15='Quick Setup'!$T$47,'Quick Setup'!$T57,if(EL15='Quick Setup'!$U$47,'Quick Setup'!$U57,if(EL15='Quick Setup'!$V$47,'Quick Setup'!$V57,if(EL15='Quick Setup'!$W$47,'Quick Setup'!$W57)))))))))))))))))))))</f>
        <v>5</v>
      </c>
      <c r="EO15" s="22">
        <f t="shared" ref="EO15:ER15" si="200">EH15</f>
        <v>4</v>
      </c>
      <c r="EP15" s="22">
        <f t="shared" si="200"/>
        <v>6</v>
      </c>
      <c r="EQ15" s="23">
        <f t="shared" si="200"/>
        <v>0.02</v>
      </c>
      <c r="ER15" s="23">
        <f t="shared" si="200"/>
        <v>-0.05</v>
      </c>
    </row>
  </sheetData>
  <mergeCells count="105">
    <mergeCell ref="DV2:DW2"/>
    <mergeCell ref="EA2:EB2"/>
    <mergeCell ref="CY2:CZ2"/>
    <mergeCell ref="DA2:DB2"/>
    <mergeCell ref="DF2:DG2"/>
    <mergeCell ref="DH2:DI2"/>
    <mergeCell ref="DM2:DN2"/>
    <mergeCell ref="DO2:DP2"/>
    <mergeCell ref="DT2:DU2"/>
    <mergeCell ref="E8:F8"/>
    <mergeCell ref="G8:H8"/>
    <mergeCell ref="L8:M8"/>
    <mergeCell ref="N8:O8"/>
    <mergeCell ref="S8:T8"/>
    <mergeCell ref="U8:V8"/>
    <mergeCell ref="Z8:AA8"/>
    <mergeCell ref="AB8:AC8"/>
    <mergeCell ref="AG8:AH8"/>
    <mergeCell ref="AI8:AJ8"/>
    <mergeCell ref="AN8:AO8"/>
    <mergeCell ref="AP8:AQ8"/>
    <mergeCell ref="AU8:AV8"/>
    <mergeCell ref="AW8:AX8"/>
    <mergeCell ref="BB8:BC8"/>
    <mergeCell ref="BD8:BE8"/>
    <mergeCell ref="BI8:BJ8"/>
    <mergeCell ref="BK8:BL8"/>
    <mergeCell ref="BP8:BQ8"/>
    <mergeCell ref="BR8:BS8"/>
    <mergeCell ref="BW8:BX8"/>
    <mergeCell ref="BY8:BZ8"/>
    <mergeCell ref="CD8:CE8"/>
    <mergeCell ref="CF8:CG8"/>
    <mergeCell ref="CK8:CL8"/>
    <mergeCell ref="CM8:CN8"/>
    <mergeCell ref="CR8:CS8"/>
    <mergeCell ref="CT8:CU8"/>
    <mergeCell ref="DV8:DW8"/>
    <mergeCell ref="EA8:EB8"/>
    <mergeCell ref="EC8:ED8"/>
    <mergeCell ref="EH8:EI8"/>
    <mergeCell ref="EJ8:EK8"/>
    <mergeCell ref="EO8:EP8"/>
    <mergeCell ref="EQ8:ER8"/>
    <mergeCell ref="CY8:CZ8"/>
    <mergeCell ref="DA8:DB8"/>
    <mergeCell ref="DF8:DG8"/>
    <mergeCell ref="DH8:DI8"/>
    <mergeCell ref="DM8:DN8"/>
    <mergeCell ref="DO8:DP8"/>
    <mergeCell ref="DT8:DU8"/>
    <mergeCell ref="CV1:DB1"/>
    <mergeCell ref="DC1:DI1"/>
    <mergeCell ref="DJ1:DP1"/>
    <mergeCell ref="DQ1:DW1"/>
    <mergeCell ref="DX1:ED1"/>
    <mergeCell ref="EE1:EK1"/>
    <mergeCell ref="EL1:ER1"/>
    <mergeCell ref="AY1:BE1"/>
    <mergeCell ref="BF1:BL1"/>
    <mergeCell ref="BM1:BS1"/>
    <mergeCell ref="BT1:BZ1"/>
    <mergeCell ref="CA1:CG1"/>
    <mergeCell ref="CH1:CN1"/>
    <mergeCell ref="CO1:CU1"/>
    <mergeCell ref="B1:H1"/>
    <mergeCell ref="I1:O1"/>
    <mergeCell ref="P1:V1"/>
    <mergeCell ref="W1:AC1"/>
    <mergeCell ref="AD1:AJ1"/>
    <mergeCell ref="AK1:AQ1"/>
    <mergeCell ref="AR1:AX1"/>
    <mergeCell ref="E2:F2"/>
    <mergeCell ref="G2:H2"/>
    <mergeCell ref="L2:M2"/>
    <mergeCell ref="N2:O2"/>
    <mergeCell ref="S2:T2"/>
    <mergeCell ref="U2:V2"/>
    <mergeCell ref="Z2:AA2"/>
    <mergeCell ref="AB2:AC2"/>
    <mergeCell ref="AG2:AH2"/>
    <mergeCell ref="AI2:AJ2"/>
    <mergeCell ref="AN2:AO2"/>
    <mergeCell ref="AP2:AQ2"/>
    <mergeCell ref="AU2:AV2"/>
    <mergeCell ref="AW2:AX2"/>
    <mergeCell ref="BB2:BC2"/>
    <mergeCell ref="BD2:BE2"/>
    <mergeCell ref="BI2:BJ2"/>
    <mergeCell ref="BK2:BL2"/>
    <mergeCell ref="BP2:BQ2"/>
    <mergeCell ref="BR2:BS2"/>
    <mergeCell ref="BW2:BX2"/>
    <mergeCell ref="EC2:ED2"/>
    <mergeCell ref="EH2:EI2"/>
    <mergeCell ref="EJ2:EK2"/>
    <mergeCell ref="EO2:EP2"/>
    <mergeCell ref="EQ2:ER2"/>
    <mergeCell ref="BY2:BZ2"/>
    <mergeCell ref="CD2:CE2"/>
    <mergeCell ref="CF2:CG2"/>
    <mergeCell ref="CK2:CL2"/>
    <mergeCell ref="CM2:CN2"/>
    <mergeCell ref="CR2:CS2"/>
    <mergeCell ref="CT2:CU2"/>
  </mergeCells>
  <dataValidations>
    <dataValidation type="list" allowBlank="1" sqref="H4:H7 O4:O7 V4:V7 AC4:AC7 AJ4:AJ7 AQ4:AQ7 AX4:AX7 BE4:BE7 BL4:BL7 BS4:BS7 BZ4:BZ7 CG4:CG7 CN4:CN7 CU4:CU7 DB4:DB7 DI4:DI7 DP4:DP7 DW4:DW7 ED4:ED7 EK4:EK7 ER4:ER7 H10:H15 O10:O15 V10:V15 AC10:AC15 AJ10:AJ15 AQ10:AQ15 AX10:AX15 BE10:BE15 BL10:BL15 BS10:BS15 BZ10:BZ15 CG10:CG15 CN10:CN15 CU10:CU15 DB10:DB15 DI10:DI15 DP10:DP15 DW10:DW15 ED10:ED15 EK10:EK15 ER10:ER15">
      <formula1>"-10%,-7.5%,-5%,-4%,-3%,-2%,-1%"</formula1>
    </dataValidation>
    <dataValidation type="list" allowBlank="1" sqref="B4:B7 I4:I7 P4:P7 W4:W7 AD4:AD7 AK4:AK7 AR4:AR7 AY4:AY7 BF4:BF7 BM4:BM7 BT4:BT7 CA4:CA7 CH4:CH7 CO4:CO7 CV4:CV7 DC4:DC7 DJ4:DJ7 DQ4:DQ7 DX4:DX7 EE4:EE7 EL4:EL7 B10:B15 I10:I15 P10:P15 W10:W15 AD10:AD15 AK10:AK15 AR10:AR15 AY10:AY15 BF10:BF15 BM10:BM15 BT10:BT15 CA10:CA15 CH10:CH15 CO10:CO15 CV10:CV15 DC10:DC15 DJ10:DJ15 DQ10:DQ15 DX10:DX15 EE10:EE15 EL10:EL15">
      <formula1>"50.0%,52.5%,55.0%,57.5%,60.0%,62.5%,65.0%,67.5%,70.0%,72.5%,75.0%,77.5%,80.0%,82.5%,85.0%,87.5%,90.0%,92.5%,95.0%,97.5%,100.0%"</formula1>
    </dataValidation>
    <dataValidation type="list" allowBlank="1" sqref="G4:G7 N4:N7 U4:U7 AB4:AB7 AI4:AI7 AP4:AP7 AW4:AW7 BD4:BD7 BK4:BK7 BR4:BR7 BY4:BY7 CF4:CF7 CM4:CM7 CT4:CT7 DA4:DA7 DH4:DH7 DO4:DO7 DV4:DV7 EC4:EC7 EJ4:EJ7 EQ4:EQ7 G10:G15 N10:N15 U10:U15 AB10:AB15 AI10:AI15 AP10:AP15 AW10:AW15 BD10:BD15 BK10:BK15 BR10:BR15 BY10:BY15 CF10:CF15 CM10:CM15 CT10:CT15 DA10:DA15 DH10:DH15 DO10:DO15 DV10:DV15 EC10:EC15 EJ10:EJ15 EQ10:EQ15">
      <formula1>"0.25%,0.5%,0.75%,1%,1.25%,1.5%,1.75%,2%,2.5%,3%,4%,5%"</formula1>
    </dataValidation>
    <dataValidation type="list" allowBlank="1" sqref="E4:E7 L4:L7 S4:S7 Z4:Z7 AG4:AG7 AN4:AN7 AU4:AU7 BB4:BB7 BI4:BI7 BP4:BP7 BW4:BW7 CD4:CD7 CK4:CK7 CR4:CR7 CY4:CY7 DF4:DF7 DM4:DM7 DT4:DT7 EA4:EA7 EH4:EH7 EO4:EO7 E10:E15 L10:L15 S10:S15 Z10:Z15 AG10:AG15 AN10:AN15 AU10:AU15 BB10:BB15 BI10:BI15 BP10:BP15 BW10:BW15 CD10:CD15 CK10:CK15 CR10:CR15 CY10:CY15 DF10:DF15 DM10:DM15 DT10:DT15 EA10:EA15 EH10:EH15 EO10:EO15">
      <formula1>"1,2,3,4,5,6,7,8"</formula1>
    </dataValidation>
    <dataValidation type="list" allowBlank="1" sqref="C4:C7 J4:J7 Q4:Q7 X4:X7 AE4:AE7 AL4:AL7 AS4:AS7 AZ4:AZ7 BG4:BG7 BN4:BN7 BU4:BU7 CB4:CB7 CI4:CI7 CP4:CP7 CW4:CW7 DD4:DD7 DK4:DK7 DR4:DR7 DY4:DY7 EF4:EF7 EM4:EM7 C10:C15 J10:J15 Q10:Q15 X10:X15 AE10:AE15 AL10:AL15 AS10:AS15 AZ10:AZ15 BG10:BG15 BN10:BN15 BU10:BU15 CB10:CB15 CI10:CI15 CP10:CP15 CW10:CW15 DD10:DD15 DK10:DK15 DR10:DR15 DY10:DY15 EF10:EF15 EM10:EM15">
      <formula1>"1,2,3,4,5,6,7,8,9,10,11,12,13,14,15,16,17,18,19,20"</formula1>
    </dataValidation>
    <dataValidation type="list" allowBlank="1" sqref="D4:D7 K4:K7 R4:R7 Y4:Y7 AF4:AF7 AM4:AM7 AT4:AT7 BA4:BA7 BH4:BH7 BO4:BO7 BV4:BV7 CC4:CC7 CJ4:CJ7 CQ4:CQ7 CX4:CX7 DE4:DE7 DL4:DL7 DS4:DS7 DZ4:DZ7 EG4:EG7 EN4:EN7 D10:D15 K10:K15 R10:R15 Y10:Y15 AF10:AF15 AM10:AM15 AT10:AT15 BA10:BA15 BH10:BH15 BO10:BO15 BV10:BV15 CC10:CC15 CJ10:CJ15 CQ10:CQ15 CX10:CX15 DE10:DE15 DL10:DL15 DS10:DS15 DZ10:DZ15 EG10:EG15 EN10:EN15">
      <formula1>"0,1,2,3,4,5"</formula1>
    </dataValidation>
    <dataValidation type="list" allowBlank="1" sqref="F4:F7 M4:M7 T4:T7 AA4:AA7 AH4:AH7 AO4:AO7 AV4:AV7 BC4:BC7 BJ4:BJ7 BQ4:BQ7 BX4:BX7 CE4:CE7 CL4:CL7 CS4:CS7 CZ4:CZ7 DG4:DG7 DN4:DN7 DU4:DU7 EB4:EB7 EI4:EI7 EP4:EP7 F10:F15 M10:M15 T10:T15 AA10:AA15 AH10:AH15 AO10:AO15 AV10:AV15 BC10:BC15 BJ10:BJ15 BQ10:BQ15 BX10:BX15 CE10:CE15 CL10:CL15 CS10:CS15 CZ10:CZ15 DG10:DG15 DN10:DN15 DU10:DU15 EB10:EB15 EI10:EI15 EP10:EP15">
      <formula1>"2,3,4,5,6,7,8,9,10,11,12"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2"/>
      <c r="B1" s="1" t="s">
        <v>45</v>
      </c>
      <c r="I1" s="1" t="s">
        <v>46</v>
      </c>
      <c r="P1" s="1" t="s">
        <v>47</v>
      </c>
      <c r="W1" s="1" t="s">
        <v>48</v>
      </c>
      <c r="AD1" s="1" t="s">
        <v>49</v>
      </c>
      <c r="AK1" s="1" t="s">
        <v>50</v>
      </c>
      <c r="AR1" s="1" t="s">
        <v>51</v>
      </c>
      <c r="AY1" s="1" t="s">
        <v>52</v>
      </c>
      <c r="BF1" s="1" t="s">
        <v>53</v>
      </c>
      <c r="BM1" s="1" t="s">
        <v>54</v>
      </c>
      <c r="BT1" s="1" t="s">
        <v>55</v>
      </c>
      <c r="CA1" s="1" t="s">
        <v>56</v>
      </c>
      <c r="CH1" s="1" t="s">
        <v>57</v>
      </c>
      <c r="CO1" s="1" t="s">
        <v>58</v>
      </c>
      <c r="CV1" s="1" t="s">
        <v>59</v>
      </c>
      <c r="DC1" s="1" t="s">
        <v>60</v>
      </c>
      <c r="DJ1" s="1" t="s">
        <v>61</v>
      </c>
      <c r="DQ1" s="1" t="s">
        <v>62</v>
      </c>
      <c r="DX1" s="1" t="s">
        <v>63</v>
      </c>
      <c r="EE1" s="1" t="s">
        <v>64</v>
      </c>
      <c r="EL1" s="1" t="s">
        <v>65</v>
      </c>
    </row>
    <row r="2">
      <c r="A2" s="2"/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1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1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1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1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1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1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1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1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1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1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1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1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1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1" t="str">
        <f>CONCATENATE(A4," TM")</f>
        <v>Squat TM</v>
      </c>
      <c r="B3" s="2">
        <f>if(D3="",'Quick Setup'!D5,D3/'Quick Setup'!E5)</f>
        <v>490</v>
      </c>
      <c r="C3" s="8" t="s">
        <v>73</v>
      </c>
      <c r="D3" s="10"/>
      <c r="E3" s="2"/>
      <c r="F3" s="2"/>
      <c r="G3" s="2"/>
      <c r="H3" s="2"/>
      <c r="I3" s="2">
        <f>if(K3="", if(F4&lt;&gt;"", if(F4&gt;Setup!F4,B3*(1+Setup!G4),if(F4&lt;Setup!E4,B3*(1+Setup!H4),B3)),B3),K3/'Quick Setup'!$E5)</f>
        <v>490</v>
      </c>
      <c r="J3" s="8" t="s">
        <v>73</v>
      </c>
      <c r="K3" s="10"/>
      <c r="L3" s="2"/>
      <c r="M3" s="2"/>
      <c r="N3" s="2"/>
      <c r="O3" s="2"/>
      <c r="P3" s="2">
        <f>if(R3="", if(M4&lt;&gt;"", if(M4&gt;Setup!M4,I3*(1+Setup!N4),if(M4&lt;Setup!L4,I3*(1+Setup!O4),I3)),I3),R3/'Quick Setup'!$E5)</f>
        <v>490</v>
      </c>
      <c r="Q3" s="8" t="s">
        <v>73</v>
      </c>
      <c r="R3" s="10"/>
      <c r="S3" s="2"/>
      <c r="T3" s="2"/>
      <c r="U3" s="2"/>
      <c r="V3" s="2"/>
      <c r="W3" s="2">
        <f>if(Y3="", if(T4&lt;&gt;"", if(T4&gt;Setup!T4,P3*(1+Setup!U4),if(T4&lt;Setup!S4,P3*(1+Setup!V4),P3)),P3),Y3/'Quick Setup'!$E5)</f>
        <v>490</v>
      </c>
      <c r="X3" s="8" t="s">
        <v>73</v>
      </c>
      <c r="Y3" s="10"/>
      <c r="Z3" s="2"/>
      <c r="AA3" s="2"/>
      <c r="AB3" s="2"/>
      <c r="AC3" s="2"/>
      <c r="AD3" s="2">
        <f>if(AF3="", if(AA4&lt;&gt;"", if(AA4&gt;Setup!AA4,W3*(1+Setup!AB4),if(AA4&lt;Setup!Z4,W3*(1+Setup!AC4),W3)),W3),AF3/'Quick Setup'!$E5)</f>
        <v>490</v>
      </c>
      <c r="AE3" s="8" t="s">
        <v>73</v>
      </c>
      <c r="AF3" s="10"/>
      <c r="AG3" s="2"/>
      <c r="AH3" s="2"/>
      <c r="AI3" s="2"/>
      <c r="AJ3" s="2"/>
      <c r="AK3" s="2">
        <f>if(AM3="", if(AH4&lt;&gt;"", if(AH4&gt;Setup!AH4,AD3*(1+Setup!AI4),if(AH4&lt;Setup!AG4,AD3*(1+Setup!AJ4),AD3)),AD3),AM3/'Quick Setup'!$E5)</f>
        <v>490</v>
      </c>
      <c r="AL3" s="8" t="s">
        <v>73</v>
      </c>
      <c r="AM3" s="10"/>
      <c r="AN3" s="2"/>
      <c r="AO3" s="2"/>
      <c r="AP3" s="2"/>
      <c r="AQ3" s="2"/>
      <c r="AR3" s="2">
        <f>if(AT3="", if(AO4&lt;&gt;"", if(AO4&gt;Setup!AO4,AK3*(1+Setup!AP4),if(AO4&lt;Setup!AN4,AK3*(1+Setup!AQ4),AK3)),AK3),AT3/'Quick Setup'!$E5)</f>
        <v>490</v>
      </c>
      <c r="AS3" s="8" t="s">
        <v>73</v>
      </c>
      <c r="AT3" s="10"/>
      <c r="AU3" s="2"/>
      <c r="AV3" s="2"/>
      <c r="AW3" s="2"/>
      <c r="AX3" s="2"/>
      <c r="AY3" s="2">
        <f>if(BA3="", if(AV4&lt;&gt;"", if(AV4&gt;Setup!AV4,AR3*(1+Setup!AW4),if(AV4&lt;Setup!AU4,AR3*(1+Setup!AX4),AR3)),AR3),BA3/'Quick Setup'!$E5)</f>
        <v>490</v>
      </c>
      <c r="AZ3" s="8" t="s">
        <v>73</v>
      </c>
      <c r="BA3" s="10"/>
      <c r="BB3" s="2"/>
      <c r="BC3" s="2"/>
      <c r="BD3" s="2"/>
      <c r="BE3" s="2"/>
      <c r="BF3" s="2">
        <f>if(BH3="", if(BC4&lt;&gt;"", if(BC4&gt;Setup!BC4,AY3*(1+Setup!BD4),if(BC4&lt;Setup!BB4,AY3*(1+Setup!BE4),AY3)),AY3),BH3/'Quick Setup'!$E5)</f>
        <v>490</v>
      </c>
      <c r="BG3" s="8" t="s">
        <v>73</v>
      </c>
      <c r="BH3" s="10"/>
      <c r="BI3" s="2"/>
      <c r="BJ3" s="2"/>
      <c r="BK3" s="2"/>
      <c r="BL3" s="2"/>
      <c r="BM3" s="2">
        <f>if(BO3="", if(BJ4&lt;&gt;"", if(BJ4&gt;Setup!BJ4,BF3*(1+Setup!BK4),if(BJ4&lt;Setup!BI4,BF3*(1+Setup!BL4),BF3)),BF3),BO3/'Quick Setup'!$E5)</f>
        <v>490</v>
      </c>
      <c r="BN3" s="8" t="s">
        <v>73</v>
      </c>
      <c r="BO3" s="10"/>
      <c r="BP3" s="2"/>
      <c r="BQ3" s="2"/>
      <c r="BR3" s="2"/>
      <c r="BS3" s="2"/>
      <c r="BT3" s="2">
        <f>if(BV3="", if(BQ4&lt;&gt;"", if(BQ4&gt;Setup!BQ4,BM3*(1+Setup!BR4),if(BQ4&lt;Setup!BP4,BM3*(1+Setup!BS4),BM3)),BM3),BV3/'Quick Setup'!$E5)</f>
        <v>490</v>
      </c>
      <c r="BU3" s="8" t="s">
        <v>73</v>
      </c>
      <c r="BV3" s="10"/>
      <c r="BW3" s="2"/>
      <c r="BX3" s="2"/>
      <c r="BY3" s="2"/>
      <c r="BZ3" s="2"/>
      <c r="CA3" s="2">
        <f>if(CC3="", if(BX4&lt;&gt;"", if(BX4&gt;Setup!BX4,BT3*(1+Setup!BY4),if(BX4&lt;Setup!BW4,BT3*(1+Setup!BZ4),BT3)),BT3),CC3/'Quick Setup'!$E5)</f>
        <v>490</v>
      </c>
      <c r="CB3" s="8" t="s">
        <v>73</v>
      </c>
      <c r="CC3" s="10"/>
      <c r="CD3" s="2"/>
      <c r="CE3" s="2"/>
      <c r="CF3" s="2"/>
      <c r="CG3" s="2"/>
      <c r="CH3" s="2">
        <f>if(CJ3="", if(CE4&lt;&gt;"", if(CE4&gt;Setup!CE4,CA3*(1+Setup!CF4),if(CE4&lt;Setup!CD4,CA3*(1+Setup!CG4),CA3)),CA3),CJ3/'Quick Setup'!$E5)</f>
        <v>490</v>
      </c>
      <c r="CI3" s="8" t="s">
        <v>73</v>
      </c>
      <c r="CJ3" s="10"/>
      <c r="CK3" s="2"/>
      <c r="CL3" s="2"/>
      <c r="CM3" s="2"/>
      <c r="CN3" s="2"/>
      <c r="CO3" s="2">
        <f>if(CQ3="", if(CL4&lt;&gt;"", if(CL4&gt;Setup!CL4,CH3*(1+Setup!CM4),if(CL4&lt;Setup!CK4,CH3*(1+Setup!CN4),CH3)),CH3),CQ3/'Quick Setup'!$E5)</f>
        <v>490</v>
      </c>
      <c r="CP3" s="8" t="s">
        <v>73</v>
      </c>
      <c r="CQ3" s="10"/>
      <c r="CR3" s="2"/>
      <c r="CS3" s="2"/>
      <c r="CT3" s="2"/>
      <c r="CU3" s="2"/>
      <c r="CV3" s="2">
        <f>if(CX3="", if(CS4&lt;&gt;"", if(CS4&gt;Setup!CS4,CO3*(1+Setup!CT4),if(CS4&lt;Setup!CR4,CO3*(1+Setup!CU4),CO3)),CO3),CX3/'Quick Setup'!$E5)</f>
        <v>490</v>
      </c>
      <c r="CW3" s="8" t="s">
        <v>73</v>
      </c>
      <c r="CX3" s="10"/>
      <c r="CY3" s="2"/>
      <c r="CZ3" s="2"/>
      <c r="DA3" s="2"/>
      <c r="DB3" s="2"/>
      <c r="DC3" s="2">
        <f>if(DE3="", if(CZ4&lt;&gt;"", if(CZ4&gt;Setup!CZ4,CV3*(1+Setup!DA4),if(CZ4&lt;Setup!CY4,CV3*(1+Setup!DB4),CV3)),CV3),DE3/'Quick Setup'!$E5)</f>
        <v>490</v>
      </c>
      <c r="DD3" s="8" t="s">
        <v>73</v>
      </c>
      <c r="DE3" s="10"/>
      <c r="DF3" s="2"/>
      <c r="DG3" s="2"/>
      <c r="DH3" s="2"/>
      <c r="DI3" s="2"/>
      <c r="DJ3" s="2">
        <f>if(DL3="", if(DG4&lt;&gt;"", if(DG4&gt;Setup!DG4,DC3*(1+Setup!DH4),if(DG4&lt;Setup!DF4,DC3*(1+Setup!DI4),DC3)),DC3),DL3/'Quick Setup'!$E5)</f>
        <v>490</v>
      </c>
      <c r="DK3" s="8" t="s">
        <v>73</v>
      </c>
      <c r="DL3" s="10"/>
      <c r="DM3" s="2"/>
      <c r="DN3" s="2"/>
      <c r="DO3" s="2"/>
      <c r="DP3" s="2"/>
      <c r="DQ3" s="2">
        <f>if(DS3="", if(DN4&lt;&gt;"", if(DN4&gt;Setup!DN4,DJ3*(1+Setup!DO4),if(DN4&lt;Setup!DM4,DJ3*(1+Setup!DP4),DJ3)),DJ3),DS3/'Quick Setup'!$E5)</f>
        <v>490</v>
      </c>
      <c r="DR3" s="8" t="s">
        <v>73</v>
      </c>
      <c r="DS3" s="10"/>
      <c r="DT3" s="2"/>
      <c r="DU3" s="2"/>
      <c r="DV3" s="2"/>
      <c r="DW3" s="2"/>
      <c r="DX3" s="2">
        <f>if(DZ3="", if(DU4&lt;&gt;"", if(DU4&gt;Setup!DU4,DQ3*(1+Setup!DV4),if(DU4&lt;Setup!DT4,DQ3*(1+Setup!DW4),DQ3)),DQ3),DZ3/'Quick Setup'!$E5)</f>
        <v>490</v>
      </c>
      <c r="DY3" s="8" t="s">
        <v>73</v>
      </c>
      <c r="DZ3" s="10"/>
      <c r="EA3" s="2"/>
      <c r="EB3" s="2"/>
      <c r="EC3" s="2"/>
      <c r="ED3" s="2"/>
      <c r="EE3" s="2">
        <f>if(EG3="", if(EB4&lt;&gt;"", if(EB4&gt;Setup!EB4,DX3*(1+Setup!EC4),if(EB4&lt;Setup!EA4,DX3*(1+Setup!ED4),DX3)),DX3),EG3/'Quick Setup'!$E5)</f>
        <v>490</v>
      </c>
      <c r="EF3" s="8" t="s">
        <v>73</v>
      </c>
      <c r="EG3" s="10"/>
      <c r="EH3" s="2"/>
      <c r="EI3" s="2"/>
      <c r="EJ3" s="2"/>
      <c r="EK3" s="2"/>
      <c r="EL3" s="2">
        <f>if(EN3="", if(EI4&lt;&gt;"", if(EI4&gt;Setup!EI4,EE3*(1+Setup!EJ4),if(EI4&lt;Setup!EH4,EE3*(1+Setup!EK4),EE3)),EE3),EN3/'Quick Setup'!$E5)</f>
        <v>490</v>
      </c>
      <c r="EM3" s="8" t="s">
        <v>73</v>
      </c>
      <c r="EN3" s="10"/>
      <c r="EO3" s="2"/>
      <c r="EP3" s="2"/>
      <c r="EQ3" s="2"/>
      <c r="ER3" s="2"/>
    </row>
    <row r="4">
      <c r="A4" s="1" t="str">
        <f>Setup!A4</f>
        <v>Squat</v>
      </c>
      <c r="B4" s="2">
        <f>mround(B3*Setup!B4,'Quick Setup'!$A$2)</f>
        <v>342.5</v>
      </c>
      <c r="C4" s="2">
        <f>Setup!C4</f>
        <v>5</v>
      </c>
      <c r="D4" s="2">
        <f>Setup!D4</f>
        <v>3</v>
      </c>
      <c r="E4" s="2" t="str">
        <f>CONCATENATE(Setup!E4,"-",Setup!F4)</f>
        <v>4-6</v>
      </c>
      <c r="F4" s="10"/>
      <c r="G4" s="10"/>
      <c r="H4" s="10"/>
      <c r="I4" s="2">
        <f>mround(I3*Setup!I4,'Quick Setup'!$A$2)</f>
        <v>367.5</v>
      </c>
      <c r="J4" s="2">
        <f>Setup!J4</f>
        <v>4</v>
      </c>
      <c r="K4" s="2">
        <f>Setup!K4</f>
        <v>3</v>
      </c>
      <c r="L4" s="2" t="str">
        <f>CONCATENATE(Setup!L4,"-",Setup!M4)</f>
        <v>4-6</v>
      </c>
      <c r="M4" s="10"/>
      <c r="N4" s="10"/>
      <c r="O4" s="10"/>
      <c r="P4" s="2">
        <f>mround(P3*Setup!P4,'Quick Setup'!$A$2)</f>
        <v>392.5</v>
      </c>
      <c r="Q4" s="2">
        <f>Setup!Q4</f>
        <v>3</v>
      </c>
      <c r="R4" s="2">
        <f>Setup!R4</f>
        <v>2</v>
      </c>
      <c r="S4" s="2" t="str">
        <f>CONCATENATE(Setup!S4,"-",Setup!T4)</f>
        <v>4-6</v>
      </c>
      <c r="T4" s="10"/>
      <c r="U4" s="10"/>
      <c r="V4" s="10"/>
      <c r="W4" s="2">
        <f>mround(W3*Setup!W4,'Quick Setup'!$A$2)</f>
        <v>355</v>
      </c>
      <c r="X4" s="2">
        <f>Setup!X4</f>
        <v>5</v>
      </c>
      <c r="Y4" s="2">
        <f>Setup!Y4</f>
        <v>3</v>
      </c>
      <c r="Z4" s="2" t="str">
        <f>CONCATENATE(Setup!Z4,"-",Setup!AA4)</f>
        <v>4-6</v>
      </c>
      <c r="AA4" s="10"/>
      <c r="AB4" s="10"/>
      <c r="AC4" s="10"/>
      <c r="AD4" s="2">
        <f>mround(AD3*Setup!AD4,'Quick Setup'!$A$2)</f>
        <v>380</v>
      </c>
      <c r="AE4" s="2">
        <f>Setup!AE4</f>
        <v>4</v>
      </c>
      <c r="AF4" s="2">
        <f>Setup!AF4</f>
        <v>3</v>
      </c>
      <c r="AG4" s="2" t="str">
        <f>CONCATENATE(Setup!AG4,"-",Setup!AH4)</f>
        <v>4-6</v>
      </c>
      <c r="AH4" s="10"/>
      <c r="AI4" s="10"/>
      <c r="AJ4" s="10"/>
      <c r="AK4" s="2">
        <f>mround(AK3*Setup!AK4,'Quick Setup'!$A$2)</f>
        <v>405</v>
      </c>
      <c r="AL4" s="2">
        <f>Setup!AL4</f>
        <v>3</v>
      </c>
      <c r="AM4" s="2">
        <f>Setup!AM4</f>
        <v>2</v>
      </c>
      <c r="AN4" s="2" t="str">
        <f>CONCATENATE(Setup!AN4,"-",Setup!AO4)</f>
        <v>4-6</v>
      </c>
      <c r="AO4" s="10"/>
      <c r="AP4" s="10"/>
      <c r="AQ4" s="10"/>
      <c r="AR4" s="2">
        <f>mround(AR3*Setup!AR4,'Quick Setup'!$A$2)</f>
        <v>295</v>
      </c>
      <c r="AS4" s="2">
        <f>Setup!AS4</f>
        <v>7</v>
      </c>
      <c r="AT4" s="2">
        <f>Setup!AT4</f>
        <v>4</v>
      </c>
      <c r="AU4" s="2" t="str">
        <f>CONCATENATE(Setup!AU4,"-",Setup!AV4)</f>
        <v>4-6</v>
      </c>
      <c r="AV4" s="10"/>
      <c r="AW4" s="10"/>
      <c r="AX4" s="10"/>
      <c r="AY4" s="2">
        <f>mround(AY3*Setup!AY4,'Quick Setup'!$A$2)</f>
        <v>367.5</v>
      </c>
      <c r="AZ4" s="2">
        <f>Setup!AZ4</f>
        <v>4</v>
      </c>
      <c r="BA4" s="2">
        <f>Setup!BA4</f>
        <v>3</v>
      </c>
      <c r="BB4" s="2" t="str">
        <f>CONCATENATE(Setup!BB4,"-",Setup!BC4)</f>
        <v>4-6</v>
      </c>
      <c r="BC4" s="10"/>
      <c r="BD4" s="10"/>
      <c r="BE4" s="10"/>
      <c r="BF4" s="2">
        <f>mround(BF3*Setup!BF4,'Quick Setup'!$A$2)</f>
        <v>392.5</v>
      </c>
      <c r="BG4" s="2">
        <f>Setup!BG4</f>
        <v>3</v>
      </c>
      <c r="BH4" s="2">
        <f>Setup!BH4</f>
        <v>2</v>
      </c>
      <c r="BI4" s="2" t="str">
        <f>CONCATENATE(Setup!BI4,"-",Setup!BJ4)</f>
        <v>4-6</v>
      </c>
      <c r="BJ4" s="10"/>
      <c r="BK4" s="10"/>
      <c r="BL4" s="10"/>
      <c r="BM4" s="2">
        <f>mround(BM3*Setup!BM4,'Quick Setup'!$A$2)</f>
        <v>417.5</v>
      </c>
      <c r="BN4" s="2">
        <f>Setup!BN4</f>
        <v>2</v>
      </c>
      <c r="BO4" s="2">
        <f>Setup!BO4</f>
        <v>2</v>
      </c>
      <c r="BP4" s="2" t="str">
        <f>CONCATENATE(Setup!BP4,"-",Setup!BQ4)</f>
        <v>4-6</v>
      </c>
      <c r="BQ4" s="10"/>
      <c r="BR4" s="10"/>
      <c r="BS4" s="10"/>
      <c r="BT4" s="2">
        <f>mround(BT3*Setup!BT4,'Quick Setup'!$A$2)</f>
        <v>380</v>
      </c>
      <c r="BU4" s="2">
        <f>Setup!BU4</f>
        <v>4</v>
      </c>
      <c r="BV4" s="2">
        <f>Setup!BV4</f>
        <v>3</v>
      </c>
      <c r="BW4" s="2" t="str">
        <f>CONCATENATE(Setup!BW4,"-",Setup!BX4)</f>
        <v>4-6</v>
      </c>
      <c r="BX4" s="10"/>
      <c r="BY4" s="10"/>
      <c r="BZ4" s="10"/>
      <c r="CA4" s="2">
        <f>mround(CA3*Setup!CA4,'Quick Setup'!$A$2)</f>
        <v>405</v>
      </c>
      <c r="CB4" s="2">
        <f>Setup!CB4</f>
        <v>3</v>
      </c>
      <c r="CC4" s="2">
        <f>Setup!CC4</f>
        <v>2</v>
      </c>
      <c r="CD4" s="2" t="str">
        <f>CONCATENATE(Setup!CD4,"-",Setup!CE4)</f>
        <v>4-6</v>
      </c>
      <c r="CE4" s="10"/>
      <c r="CF4" s="10"/>
      <c r="CG4" s="10"/>
      <c r="CH4" s="2">
        <f>mround(CH3*Setup!CH4,'Quick Setup'!$A$2)</f>
        <v>430</v>
      </c>
      <c r="CI4" s="2">
        <f>Setup!CI4</f>
        <v>2</v>
      </c>
      <c r="CJ4" s="2">
        <f>Setup!CJ4</f>
        <v>2</v>
      </c>
      <c r="CK4" s="2" t="str">
        <f>CONCATENATE(Setup!CK4,"-",Setup!CL4)</f>
        <v>4-6</v>
      </c>
      <c r="CL4" s="10"/>
      <c r="CM4" s="10"/>
      <c r="CN4" s="10"/>
      <c r="CO4" s="2">
        <f>mround(CO3*Setup!CO4,'Quick Setup'!$A$2)</f>
        <v>295</v>
      </c>
      <c r="CP4" s="2">
        <f>Setup!CP4</f>
        <v>7</v>
      </c>
      <c r="CQ4" s="2">
        <f>Setup!CQ4</f>
        <v>4</v>
      </c>
      <c r="CR4" s="2" t="str">
        <f>CONCATENATE(Setup!CR4,"-",Setup!CS4)</f>
        <v>4-6</v>
      </c>
      <c r="CS4" s="10"/>
      <c r="CT4" s="10"/>
      <c r="CU4" s="10"/>
      <c r="CV4" s="2">
        <f>mround(CV3*Setup!CV4,'Quick Setup'!$A$2)</f>
        <v>392.5</v>
      </c>
      <c r="CW4" s="2">
        <f>Setup!CW4</f>
        <v>3</v>
      </c>
      <c r="CX4" s="2">
        <f>Setup!CX4</f>
        <v>2</v>
      </c>
      <c r="CY4" s="2" t="str">
        <f>CONCATENATE(Setup!CY4,"-",Setup!CZ4)</f>
        <v>4-6</v>
      </c>
      <c r="CZ4" s="10"/>
      <c r="DA4" s="10"/>
      <c r="DB4" s="10"/>
      <c r="DC4" s="2">
        <f>mround(DC3*Setup!DC4,'Quick Setup'!$A$2)</f>
        <v>417.5</v>
      </c>
      <c r="DD4" s="2">
        <f>Setup!DD4</f>
        <v>2</v>
      </c>
      <c r="DE4" s="2">
        <f>Setup!DE4</f>
        <v>2</v>
      </c>
      <c r="DF4" s="2" t="str">
        <f>CONCATENATE(Setup!DF4,"-",Setup!DG4)</f>
        <v>4-6</v>
      </c>
      <c r="DG4" s="10"/>
      <c r="DH4" s="10"/>
      <c r="DI4" s="10"/>
      <c r="DJ4" s="2">
        <f>mround(DJ3*Setup!DJ4,'Quick Setup'!$A$2)</f>
        <v>440</v>
      </c>
      <c r="DK4" s="2">
        <f>Setup!DK4</f>
        <v>1</v>
      </c>
      <c r="DL4" s="2">
        <f>Setup!DL4</f>
        <v>1</v>
      </c>
      <c r="DM4" s="2" t="str">
        <f>CONCATENATE(Setup!DM4,"-",Setup!DN4)</f>
        <v>4-6</v>
      </c>
      <c r="DN4" s="10"/>
      <c r="DO4" s="10"/>
      <c r="DP4" s="10"/>
      <c r="DQ4" s="2">
        <f>mround(DQ3*Setup!DQ4,'Quick Setup'!$A$2)</f>
        <v>417.5</v>
      </c>
      <c r="DR4" s="2">
        <f>Setup!DR4</f>
        <v>2</v>
      </c>
      <c r="DS4" s="2">
        <f>Setup!DS4</f>
        <v>2</v>
      </c>
      <c r="DT4" s="2" t="str">
        <f>CONCATENATE(Setup!DT4,"-",Setup!DU4)</f>
        <v>4-6</v>
      </c>
      <c r="DU4" s="10"/>
      <c r="DV4" s="10"/>
      <c r="DW4" s="10"/>
      <c r="DX4" s="2">
        <f>mround(DX3*Setup!DX4,'Quick Setup'!$A$2)</f>
        <v>440</v>
      </c>
      <c r="DY4" s="2">
        <f>Setup!DY4</f>
        <v>1</v>
      </c>
      <c r="DZ4" s="2">
        <f>Setup!DZ4</f>
        <v>1</v>
      </c>
      <c r="EA4" s="2" t="str">
        <f>CONCATENATE(Setup!EA4,"-",Setup!EB4)</f>
        <v>4-6</v>
      </c>
      <c r="EB4" s="10"/>
      <c r="EC4" s="10"/>
      <c r="ED4" s="10"/>
      <c r="EE4" s="2">
        <f>mround(EE3*Setup!EE4,'Quick Setup'!$A$2)</f>
        <v>465</v>
      </c>
      <c r="EF4" s="2">
        <f>Setup!EF4</f>
        <v>1</v>
      </c>
      <c r="EG4" s="2">
        <f>Setup!EG4</f>
        <v>1</v>
      </c>
      <c r="EH4" s="2" t="str">
        <f>CONCATENATE(Setup!EH4,"-",Setup!EI4)</f>
        <v>4-6</v>
      </c>
      <c r="EI4" s="10"/>
      <c r="EJ4" s="10"/>
      <c r="EK4" s="10"/>
      <c r="EL4" s="2">
        <f>mround(EL3*Setup!EL4,'Quick Setup'!$A$2)</f>
        <v>295</v>
      </c>
      <c r="EM4" s="2">
        <f>Setup!EM4</f>
        <v>7</v>
      </c>
      <c r="EN4" s="2">
        <f>Setup!EN4</f>
        <v>4</v>
      </c>
      <c r="EO4" s="2" t="str">
        <f>CONCATENATE(Setup!EO4,"-",Setup!EP4)</f>
        <v>4-6</v>
      </c>
      <c r="EP4" s="10"/>
      <c r="EQ4" s="10"/>
      <c r="ER4" s="10"/>
    </row>
    <row r="5">
      <c r="A5" s="1" t="str">
        <f>CONCATENATE(A6," TM")</f>
        <v>Bench Press TM</v>
      </c>
      <c r="B5" s="2">
        <f>if(D5="",'Quick Setup'!D6,D5/'Quick Setup'!E6)</f>
        <v>325</v>
      </c>
      <c r="C5" s="8" t="s">
        <v>73</v>
      </c>
      <c r="D5" s="10"/>
      <c r="E5" s="2"/>
      <c r="F5" s="2"/>
      <c r="G5" s="2"/>
      <c r="H5" s="2"/>
      <c r="I5" s="2">
        <f>if(K5="", if(F6&lt;&gt;"", if(F6&gt;Setup!F5,B5*(1+Setup!G5),if(F6&lt;Setup!E5,B5*(1+Setup!H5),B5)),B5),K5/'Quick Setup'!$E6)</f>
        <v>325</v>
      </c>
      <c r="J5" s="8" t="s">
        <v>73</v>
      </c>
      <c r="K5" s="10"/>
      <c r="L5" s="2"/>
      <c r="M5" s="2"/>
      <c r="N5" s="2"/>
      <c r="O5" s="2"/>
      <c r="P5" s="2">
        <f>if(R5="", if(M6&lt;&gt;"", if(M6&gt;Setup!M5,I5*(1+Setup!N5),if(M6&lt;Setup!L5,I5*(1+Setup!O5),I5)),I5),R5/'Quick Setup'!$E6)</f>
        <v>325</v>
      </c>
      <c r="Q5" s="8" t="s">
        <v>73</v>
      </c>
      <c r="R5" s="10"/>
      <c r="S5" s="2"/>
      <c r="T5" s="2"/>
      <c r="U5" s="2"/>
      <c r="V5" s="2"/>
      <c r="W5" s="2">
        <f>if(Y5="", if(T6&lt;&gt;"", if(T6&gt;Setup!T5,P5*(1+Setup!U5),if(T6&lt;Setup!S5,P5*(1+Setup!V5),P5)),P5),Y5/'Quick Setup'!$E6)</f>
        <v>325</v>
      </c>
      <c r="X5" s="8" t="s">
        <v>73</v>
      </c>
      <c r="Y5" s="10"/>
      <c r="Z5" s="2"/>
      <c r="AA5" s="2"/>
      <c r="AB5" s="2"/>
      <c r="AC5" s="2"/>
      <c r="AD5" s="2">
        <f>if(AF5="", if(AA6&lt;&gt;"", if(AA6&gt;Setup!AA5,W5*(1+Setup!AB5),if(AA6&lt;Setup!Z5,W5*(1+Setup!AC5),W5)),W5),AF5/'Quick Setup'!$E6)</f>
        <v>325</v>
      </c>
      <c r="AE5" s="8" t="s">
        <v>73</v>
      </c>
      <c r="AF5" s="10"/>
      <c r="AG5" s="2"/>
      <c r="AH5" s="2"/>
      <c r="AI5" s="2"/>
      <c r="AJ5" s="2"/>
      <c r="AK5" s="2">
        <f>if(AM5="", if(AH6&lt;&gt;"", if(AH6&gt;Setup!AH5,AD5*(1+Setup!AI5),if(AH6&lt;Setup!AG5,AD5*(1+Setup!AJ5),AD5)),AD5),AM5/'Quick Setup'!$E6)</f>
        <v>325</v>
      </c>
      <c r="AL5" s="8" t="s">
        <v>73</v>
      </c>
      <c r="AM5" s="10"/>
      <c r="AN5" s="2"/>
      <c r="AO5" s="2"/>
      <c r="AP5" s="2"/>
      <c r="AQ5" s="2"/>
      <c r="AR5" s="2">
        <f>if(AT5="", if(AO6&lt;&gt;"", if(AO6&gt;Setup!AO5,AK5*(1+Setup!AP5),if(AO6&lt;Setup!AN5,AK5*(1+Setup!AQ5),AK5)),AK5),AT5/'Quick Setup'!$E6)</f>
        <v>325</v>
      </c>
      <c r="AS5" s="8" t="s">
        <v>73</v>
      </c>
      <c r="AT5" s="10"/>
      <c r="AU5" s="2"/>
      <c r="AV5" s="2"/>
      <c r="AW5" s="2"/>
      <c r="AX5" s="2"/>
      <c r="AY5" s="2">
        <f>if(BA5="", if(AV6&lt;&gt;"", if(AV6&gt;Setup!AV5,AR5*(1+Setup!AW5),if(AV6&lt;Setup!AU5,AR5*(1+Setup!AX5),AR5)),AR5),BA5/'Quick Setup'!$E6)</f>
        <v>325</v>
      </c>
      <c r="AZ5" s="8" t="s">
        <v>73</v>
      </c>
      <c r="BA5" s="10"/>
      <c r="BB5" s="2"/>
      <c r="BC5" s="2"/>
      <c r="BD5" s="2"/>
      <c r="BE5" s="2"/>
      <c r="BF5" s="2">
        <f>if(BH5="", if(BC6&lt;&gt;"", if(BC6&gt;Setup!BC5,AY5*(1+Setup!BD5),if(BC6&lt;Setup!BB5,AY5*(1+Setup!BE5),AY5)),AY5),BH5/'Quick Setup'!$E6)</f>
        <v>325</v>
      </c>
      <c r="BG5" s="8" t="s">
        <v>73</v>
      </c>
      <c r="BH5" s="10"/>
      <c r="BI5" s="2"/>
      <c r="BJ5" s="2"/>
      <c r="BK5" s="2"/>
      <c r="BL5" s="2"/>
      <c r="BM5" s="2">
        <f>if(BO5="", if(BJ6&lt;&gt;"", if(BJ6&gt;Setup!BJ5,BF5*(1+Setup!BK5),if(BJ6&lt;Setup!BI5,BF5*(1+Setup!BL5),BF5)),BF5),BO5/'Quick Setup'!$E6)</f>
        <v>325</v>
      </c>
      <c r="BN5" s="8" t="s">
        <v>73</v>
      </c>
      <c r="BO5" s="10"/>
      <c r="BP5" s="2"/>
      <c r="BQ5" s="2"/>
      <c r="BR5" s="2"/>
      <c r="BS5" s="2"/>
      <c r="BT5" s="2">
        <f>if(BV5="", if(BQ6&lt;&gt;"", if(BQ6&gt;Setup!BQ5,BM5*(1+Setup!BR5),if(BQ6&lt;Setup!BP5,BM5*(1+Setup!BS5),BM5)),BM5),BV5/'Quick Setup'!$E6)</f>
        <v>325</v>
      </c>
      <c r="BU5" s="8" t="s">
        <v>73</v>
      </c>
      <c r="BV5" s="10"/>
      <c r="BW5" s="2"/>
      <c r="BX5" s="2"/>
      <c r="BY5" s="2"/>
      <c r="BZ5" s="2"/>
      <c r="CA5" s="2">
        <f>if(CC5="", if(BX6&lt;&gt;"", if(BX6&gt;Setup!BX5,BT5*(1+Setup!BY5),if(BX6&lt;Setup!BW5,BT5*(1+Setup!BZ5),BT5)),BT5),CC5/'Quick Setup'!$E6)</f>
        <v>325</v>
      </c>
      <c r="CB5" s="8" t="s">
        <v>73</v>
      </c>
      <c r="CC5" s="10"/>
      <c r="CD5" s="2"/>
      <c r="CE5" s="2"/>
      <c r="CF5" s="2"/>
      <c r="CG5" s="2"/>
      <c r="CH5" s="2">
        <f>if(CJ5="", if(CE6&lt;&gt;"", if(CE6&gt;Setup!CE5,CA5*(1+Setup!CF5),if(CE6&lt;Setup!CD5,CA5*(1+Setup!CG5),CA5)),CA5),CJ5/'Quick Setup'!$E6)</f>
        <v>325</v>
      </c>
      <c r="CI5" s="8" t="s">
        <v>73</v>
      </c>
      <c r="CJ5" s="10"/>
      <c r="CK5" s="2"/>
      <c r="CL5" s="2"/>
      <c r="CM5" s="2"/>
      <c r="CN5" s="2"/>
      <c r="CO5" s="2">
        <f>if(CQ5="", if(CL6&lt;&gt;"", if(CL6&gt;Setup!CL5,CH5*(1+Setup!CM5),if(CL6&lt;Setup!CK5,CH5*(1+Setup!CN5),CH5)),CH5),CQ5/'Quick Setup'!$E6)</f>
        <v>325</v>
      </c>
      <c r="CP5" s="8" t="s">
        <v>73</v>
      </c>
      <c r="CQ5" s="10"/>
      <c r="CR5" s="2"/>
      <c r="CS5" s="2"/>
      <c r="CT5" s="2"/>
      <c r="CU5" s="2"/>
      <c r="CV5" s="2">
        <f>if(CX5="", if(CS6&lt;&gt;"", if(CS6&gt;Setup!CS5,CO5*(1+Setup!CT5),if(CS6&lt;Setup!CR5,CO5*(1+Setup!CU5),CO5)),CO5),CX5/'Quick Setup'!$E6)</f>
        <v>325</v>
      </c>
      <c r="CW5" s="8" t="s">
        <v>73</v>
      </c>
      <c r="CX5" s="10"/>
      <c r="CY5" s="2"/>
      <c r="CZ5" s="2"/>
      <c r="DA5" s="2"/>
      <c r="DB5" s="2"/>
      <c r="DC5" s="2">
        <f>if(DE5="", if(CZ6&lt;&gt;"", if(CZ6&gt;Setup!CZ5,CV5*(1+Setup!DA5),if(CZ6&lt;Setup!CY5,CV5*(1+Setup!DB5),CV5)),CV5),DE5/'Quick Setup'!$E6)</f>
        <v>325</v>
      </c>
      <c r="DD5" s="8" t="s">
        <v>73</v>
      </c>
      <c r="DE5" s="10"/>
      <c r="DF5" s="2"/>
      <c r="DG5" s="2"/>
      <c r="DH5" s="2"/>
      <c r="DI5" s="2"/>
      <c r="DJ5" s="2">
        <f>if(DL5="", if(DG6&lt;&gt;"", if(DG6&gt;Setup!DG5,DC5*(1+Setup!DH5),if(DG6&lt;Setup!DF5,DC5*(1+Setup!DI5),DC5)),DC5),DL5/'Quick Setup'!$E6)</f>
        <v>325</v>
      </c>
      <c r="DK5" s="8" t="s">
        <v>73</v>
      </c>
      <c r="DL5" s="10"/>
      <c r="DM5" s="2"/>
      <c r="DN5" s="2"/>
      <c r="DO5" s="2"/>
      <c r="DP5" s="2"/>
      <c r="DQ5" s="2">
        <f>if(DS5="", if(DN6&lt;&gt;"", if(DN6&gt;Setup!DN5,DJ5*(1+Setup!DO5),if(DN6&lt;Setup!DM5,DJ5*(1+Setup!DP5),DJ5)),DJ5),DS5/'Quick Setup'!$E6)</f>
        <v>325</v>
      </c>
      <c r="DR5" s="8" t="s">
        <v>73</v>
      </c>
      <c r="DS5" s="10"/>
      <c r="DT5" s="2"/>
      <c r="DU5" s="2"/>
      <c r="DV5" s="2"/>
      <c r="DW5" s="2"/>
      <c r="DX5" s="2">
        <f>if(DZ5="", if(DU6&lt;&gt;"", if(DU6&gt;Setup!DU5,DQ5*(1+Setup!DV5),if(DU6&lt;Setup!DT5,DQ5*(1+Setup!DW5),DQ5)),DQ5),DZ5/'Quick Setup'!$E6)</f>
        <v>325</v>
      </c>
      <c r="DY5" s="8" t="s">
        <v>73</v>
      </c>
      <c r="DZ5" s="10"/>
      <c r="EA5" s="2"/>
      <c r="EB5" s="2"/>
      <c r="EC5" s="2"/>
      <c r="ED5" s="2"/>
      <c r="EE5" s="2">
        <f>if(EG5="", if(EB6&lt;&gt;"", if(EB6&gt;Setup!EB5,DX5*(1+Setup!EC5),if(EB6&lt;Setup!EA5,DX5*(1+Setup!ED5),DX5)),DX5),EG5/'Quick Setup'!$E6)</f>
        <v>325</v>
      </c>
      <c r="EF5" s="8" t="s">
        <v>73</v>
      </c>
      <c r="EG5" s="10"/>
      <c r="EH5" s="2"/>
      <c r="EI5" s="2"/>
      <c r="EJ5" s="2"/>
      <c r="EK5" s="2"/>
      <c r="EL5" s="2">
        <f>if(EN5="", if(EI6&lt;&gt;"", if(EI6&gt;Setup!EI5,EE5*(1+Setup!EJ5),if(EI6&lt;Setup!EH5,EE5*(1+Setup!EK5),EE5)),EE5),EN5/'Quick Setup'!$E6)</f>
        <v>325</v>
      </c>
      <c r="EM5" s="8" t="s">
        <v>73</v>
      </c>
      <c r="EN5" s="10"/>
      <c r="EO5" s="2"/>
      <c r="EP5" s="2"/>
      <c r="EQ5" s="2"/>
      <c r="ER5" s="2"/>
    </row>
    <row r="6">
      <c r="A6" s="1" t="str">
        <f>Setup!A5</f>
        <v>Bench Press</v>
      </c>
      <c r="B6" s="2">
        <f>mround(B5*Setup!B5,'Quick Setup'!$A$2)</f>
        <v>227.5</v>
      </c>
      <c r="C6" s="2">
        <f>Setup!C5</f>
        <v>5</v>
      </c>
      <c r="D6" s="2">
        <f>Setup!D5</f>
        <v>3</v>
      </c>
      <c r="E6" s="2" t="str">
        <f>CONCATENATE(Setup!E5,"-",Setup!F5)</f>
        <v>4-6</v>
      </c>
      <c r="F6" s="10"/>
      <c r="G6" s="10"/>
      <c r="H6" s="10"/>
      <c r="I6" s="2">
        <f>mround(I5*Setup!I5,'Quick Setup'!$A$2)</f>
        <v>245</v>
      </c>
      <c r="J6" s="2">
        <f>Setup!J5</f>
        <v>4</v>
      </c>
      <c r="K6" s="2">
        <f>Setup!K5</f>
        <v>3</v>
      </c>
      <c r="L6" s="2" t="str">
        <f>CONCATENATE(Setup!L5,"-",Setup!M5)</f>
        <v>4-6</v>
      </c>
      <c r="M6" s="10"/>
      <c r="N6" s="10"/>
      <c r="O6" s="10"/>
      <c r="P6" s="2">
        <f>mround(P5*Setup!P5,'Quick Setup'!$A$2)</f>
        <v>260</v>
      </c>
      <c r="Q6" s="2">
        <f>Setup!Q5</f>
        <v>3</v>
      </c>
      <c r="R6" s="2">
        <f>Setup!R5</f>
        <v>2</v>
      </c>
      <c r="S6" s="2" t="str">
        <f>CONCATENATE(Setup!S5,"-",Setup!T5)</f>
        <v>4-6</v>
      </c>
      <c r="T6" s="10"/>
      <c r="U6" s="10"/>
      <c r="V6" s="10"/>
      <c r="W6" s="2">
        <f>mround(W5*Setup!W5,'Quick Setup'!$A$2)</f>
        <v>235</v>
      </c>
      <c r="X6" s="2">
        <f>Setup!X5</f>
        <v>5</v>
      </c>
      <c r="Y6" s="2">
        <f>Setup!Y5</f>
        <v>3</v>
      </c>
      <c r="Z6" s="2" t="str">
        <f>CONCATENATE(Setup!Z5,"-",Setup!AA5)</f>
        <v>4-6</v>
      </c>
      <c r="AA6" s="10"/>
      <c r="AB6" s="10"/>
      <c r="AC6" s="10"/>
      <c r="AD6" s="2">
        <f>mround(AD5*Setup!AD5,'Quick Setup'!$A$2)</f>
        <v>252.5</v>
      </c>
      <c r="AE6" s="2">
        <f>Setup!AE5</f>
        <v>4</v>
      </c>
      <c r="AF6" s="2">
        <f>Setup!AF5</f>
        <v>3</v>
      </c>
      <c r="AG6" s="2" t="str">
        <f>CONCATENATE(Setup!AG5,"-",Setup!AH5)</f>
        <v>4-6</v>
      </c>
      <c r="AH6" s="10"/>
      <c r="AI6" s="10"/>
      <c r="AJ6" s="10"/>
      <c r="AK6" s="2">
        <f>mround(AK5*Setup!AK5,'Quick Setup'!$A$2)</f>
        <v>267.5</v>
      </c>
      <c r="AL6" s="2">
        <f>Setup!AL5</f>
        <v>3</v>
      </c>
      <c r="AM6" s="2">
        <f>Setup!AM5</f>
        <v>2</v>
      </c>
      <c r="AN6" s="2" t="str">
        <f>CONCATENATE(Setup!AN5,"-",Setup!AO5)</f>
        <v>4-6</v>
      </c>
      <c r="AO6" s="10"/>
      <c r="AP6" s="10"/>
      <c r="AQ6" s="10"/>
      <c r="AR6" s="2">
        <f>mround(AR5*Setup!AR5,'Quick Setup'!$A$2)</f>
        <v>195</v>
      </c>
      <c r="AS6" s="2">
        <f>Setup!AS5</f>
        <v>7</v>
      </c>
      <c r="AT6" s="2">
        <f>Setup!AT5</f>
        <v>4</v>
      </c>
      <c r="AU6" s="2" t="str">
        <f>CONCATENATE(Setup!AU5,"-",Setup!AV5)</f>
        <v>4-6</v>
      </c>
      <c r="AV6" s="10"/>
      <c r="AW6" s="10"/>
      <c r="AX6" s="10"/>
      <c r="AY6" s="2">
        <f>mround(AY5*Setup!AY5,'Quick Setup'!$A$2)</f>
        <v>245</v>
      </c>
      <c r="AZ6" s="2">
        <f>Setup!AZ5</f>
        <v>4</v>
      </c>
      <c r="BA6" s="2">
        <f>Setup!BA5</f>
        <v>3</v>
      </c>
      <c r="BB6" s="2" t="str">
        <f>CONCATENATE(Setup!BB5,"-",Setup!BC5)</f>
        <v>4-6</v>
      </c>
      <c r="BC6" s="10"/>
      <c r="BD6" s="10"/>
      <c r="BE6" s="10"/>
      <c r="BF6" s="2">
        <f>mround(BF5*Setup!BF5,'Quick Setup'!$A$2)</f>
        <v>260</v>
      </c>
      <c r="BG6" s="2">
        <f>Setup!BG5</f>
        <v>3</v>
      </c>
      <c r="BH6" s="2">
        <f>Setup!BH5</f>
        <v>2</v>
      </c>
      <c r="BI6" s="2" t="str">
        <f>CONCATENATE(Setup!BI5,"-",Setup!BJ5)</f>
        <v>4-6</v>
      </c>
      <c r="BJ6" s="10"/>
      <c r="BK6" s="10"/>
      <c r="BL6" s="10"/>
      <c r="BM6" s="2">
        <f>mround(BM5*Setup!BM5,'Quick Setup'!$A$2)</f>
        <v>277.5</v>
      </c>
      <c r="BN6" s="2">
        <f>Setup!BN5</f>
        <v>2</v>
      </c>
      <c r="BO6" s="2">
        <f>Setup!BO5</f>
        <v>2</v>
      </c>
      <c r="BP6" s="2" t="str">
        <f>CONCATENATE(Setup!BP5,"-",Setup!BQ5)</f>
        <v>4-6</v>
      </c>
      <c r="BQ6" s="10"/>
      <c r="BR6" s="10"/>
      <c r="BS6" s="10"/>
      <c r="BT6" s="2">
        <f>mround(BT5*Setup!BT5,'Quick Setup'!$A$2)</f>
        <v>252.5</v>
      </c>
      <c r="BU6" s="2">
        <f>Setup!BU5</f>
        <v>4</v>
      </c>
      <c r="BV6" s="2">
        <f>Setup!BV5</f>
        <v>3</v>
      </c>
      <c r="BW6" s="2" t="str">
        <f>CONCATENATE(Setup!BW5,"-",Setup!BX5)</f>
        <v>4-6</v>
      </c>
      <c r="BX6" s="10"/>
      <c r="BY6" s="10"/>
      <c r="BZ6" s="10"/>
      <c r="CA6" s="2">
        <f>mround(CA5*Setup!CA5,'Quick Setup'!$A$2)</f>
        <v>267.5</v>
      </c>
      <c r="CB6" s="2">
        <f>Setup!CB5</f>
        <v>3</v>
      </c>
      <c r="CC6" s="2">
        <f>Setup!CC5</f>
        <v>2</v>
      </c>
      <c r="CD6" s="2" t="str">
        <f>CONCATENATE(Setup!CD5,"-",Setup!CE5)</f>
        <v>4-6</v>
      </c>
      <c r="CE6" s="10"/>
      <c r="CF6" s="10"/>
      <c r="CG6" s="10"/>
      <c r="CH6" s="2">
        <f>mround(CH5*Setup!CH5,'Quick Setup'!$A$2)</f>
        <v>285</v>
      </c>
      <c r="CI6" s="2">
        <f>Setup!CI5</f>
        <v>2</v>
      </c>
      <c r="CJ6" s="2">
        <f>Setup!CJ5</f>
        <v>2</v>
      </c>
      <c r="CK6" s="2" t="str">
        <f>CONCATENATE(Setup!CK5,"-",Setup!CL5)</f>
        <v>4-6</v>
      </c>
      <c r="CL6" s="10"/>
      <c r="CM6" s="10"/>
      <c r="CN6" s="10"/>
      <c r="CO6" s="2">
        <f>mround(CO5*Setup!CO5,'Quick Setup'!$A$2)</f>
        <v>195</v>
      </c>
      <c r="CP6" s="2">
        <f>Setup!CP5</f>
        <v>7</v>
      </c>
      <c r="CQ6" s="2">
        <f>Setup!CQ5</f>
        <v>4</v>
      </c>
      <c r="CR6" s="2" t="str">
        <f>CONCATENATE(Setup!CR5,"-",Setup!CS5)</f>
        <v>4-6</v>
      </c>
      <c r="CS6" s="10"/>
      <c r="CT6" s="10"/>
      <c r="CU6" s="10"/>
      <c r="CV6" s="2">
        <f>mround(CV5*Setup!CV5,'Quick Setup'!$A$2)</f>
        <v>260</v>
      </c>
      <c r="CW6" s="2">
        <f>Setup!CW5</f>
        <v>3</v>
      </c>
      <c r="CX6" s="2">
        <f>Setup!CX5</f>
        <v>2</v>
      </c>
      <c r="CY6" s="2" t="str">
        <f>CONCATENATE(Setup!CY5,"-",Setup!CZ5)</f>
        <v>4-6</v>
      </c>
      <c r="CZ6" s="10"/>
      <c r="DA6" s="10"/>
      <c r="DB6" s="10"/>
      <c r="DC6" s="2">
        <f>mround(DC5*Setup!DC5,'Quick Setup'!$A$2)</f>
        <v>277.5</v>
      </c>
      <c r="DD6" s="2">
        <f>Setup!DD5</f>
        <v>2</v>
      </c>
      <c r="DE6" s="2">
        <f>Setup!DE5</f>
        <v>2</v>
      </c>
      <c r="DF6" s="2" t="str">
        <f>CONCATENATE(Setup!DF5,"-",Setup!DG5)</f>
        <v>4-6</v>
      </c>
      <c r="DG6" s="10"/>
      <c r="DH6" s="10"/>
      <c r="DI6" s="10"/>
      <c r="DJ6" s="2">
        <f>mround(DJ5*Setup!DJ5,'Quick Setup'!$A$2)</f>
        <v>292.5</v>
      </c>
      <c r="DK6" s="2">
        <f>Setup!DK5</f>
        <v>1</v>
      </c>
      <c r="DL6" s="2">
        <f>Setup!DL5</f>
        <v>1</v>
      </c>
      <c r="DM6" s="2" t="str">
        <f>CONCATENATE(Setup!DM5,"-",Setup!DN5)</f>
        <v>4-6</v>
      </c>
      <c r="DN6" s="10"/>
      <c r="DO6" s="10"/>
      <c r="DP6" s="10"/>
      <c r="DQ6" s="2">
        <f>mround(DQ5*Setup!DQ5,'Quick Setup'!$A$2)</f>
        <v>277.5</v>
      </c>
      <c r="DR6" s="2">
        <f>Setup!DR5</f>
        <v>2</v>
      </c>
      <c r="DS6" s="2">
        <f>Setup!DS5</f>
        <v>2</v>
      </c>
      <c r="DT6" s="2" t="str">
        <f>CONCATENATE(Setup!DT5,"-",Setup!DU5)</f>
        <v>4-6</v>
      </c>
      <c r="DU6" s="10"/>
      <c r="DV6" s="10"/>
      <c r="DW6" s="10"/>
      <c r="DX6" s="2">
        <f>mround(DX5*Setup!DX5,'Quick Setup'!$A$2)</f>
        <v>292.5</v>
      </c>
      <c r="DY6" s="2">
        <f>Setup!DY5</f>
        <v>1</v>
      </c>
      <c r="DZ6" s="2">
        <f>Setup!DZ5</f>
        <v>1</v>
      </c>
      <c r="EA6" s="2" t="str">
        <f>CONCATENATE(Setup!EA5,"-",Setup!EB5)</f>
        <v>4-6</v>
      </c>
      <c r="EB6" s="10"/>
      <c r="EC6" s="10"/>
      <c r="ED6" s="10"/>
      <c r="EE6" s="2">
        <f>mround(EE5*Setup!EE5,'Quick Setup'!$A$2)</f>
        <v>310</v>
      </c>
      <c r="EF6" s="2">
        <f>Setup!EF5</f>
        <v>1</v>
      </c>
      <c r="EG6" s="2">
        <f>Setup!EG5</f>
        <v>1</v>
      </c>
      <c r="EH6" s="2" t="str">
        <f>CONCATENATE(Setup!EH5,"-",Setup!EI5)</f>
        <v>4-6</v>
      </c>
      <c r="EI6" s="10"/>
      <c r="EJ6" s="10"/>
      <c r="EK6" s="10"/>
      <c r="EL6" s="2">
        <f>mround(EL5*Setup!EL5,'Quick Setup'!$A$2)</f>
        <v>195</v>
      </c>
      <c r="EM6" s="2">
        <f>Setup!EM5</f>
        <v>7</v>
      </c>
      <c r="EN6" s="2">
        <f>Setup!EN5</f>
        <v>4</v>
      </c>
      <c r="EO6" s="2" t="str">
        <f>CONCATENATE(Setup!EO5,"-",Setup!EP5)</f>
        <v>4-6</v>
      </c>
      <c r="EP6" s="10"/>
      <c r="EQ6" s="10"/>
      <c r="ER6" s="10"/>
    </row>
    <row r="7">
      <c r="A7" s="1" t="str">
        <f>CONCATENATE(A8," TM")</f>
        <v>Deadlift TM</v>
      </c>
      <c r="B7" s="2">
        <f>if(D7="",'Quick Setup'!D7,D7/'Quick Setup'!E7)</f>
        <v>525</v>
      </c>
      <c r="C7" s="8" t="s">
        <v>73</v>
      </c>
      <c r="D7" s="10"/>
      <c r="E7" s="2"/>
      <c r="F7" s="2"/>
      <c r="G7" s="2"/>
      <c r="H7" s="2"/>
      <c r="I7" s="2">
        <f>if(K7="", if(F8&lt;&gt;"", if(F8&gt;Setup!F6,B7*(1+Setup!G6),if(F8&lt;Setup!E6,B7*(1+Setup!H6),B7)),B7),K7/'Quick Setup'!$E7)</f>
        <v>525</v>
      </c>
      <c r="J7" s="8" t="s">
        <v>73</v>
      </c>
      <c r="K7" s="10"/>
      <c r="L7" s="2"/>
      <c r="M7" s="2"/>
      <c r="N7" s="2"/>
      <c r="O7" s="2"/>
      <c r="P7" s="2">
        <f>if(R7="", if(M8&lt;&gt;"", if(M8&gt;Setup!M6,I7*(1+Setup!N6),if(M8&lt;Setup!L6,I7*(1+Setup!O6),I7)),I7),R7/'Quick Setup'!$E7)</f>
        <v>525</v>
      </c>
      <c r="Q7" s="8" t="s">
        <v>73</v>
      </c>
      <c r="R7" s="10"/>
      <c r="S7" s="2"/>
      <c r="T7" s="2"/>
      <c r="U7" s="2"/>
      <c r="V7" s="2"/>
      <c r="W7" s="2">
        <f>if(Y7="", if(T8&lt;&gt;"", if(T8&gt;Setup!T6,P7*(1+Setup!U6),if(T8&lt;Setup!S6,P7*(1+Setup!V6),P7)),P7),Y7/'Quick Setup'!$E7)</f>
        <v>525</v>
      </c>
      <c r="X7" s="8" t="s">
        <v>73</v>
      </c>
      <c r="Y7" s="10"/>
      <c r="Z7" s="2"/>
      <c r="AA7" s="2"/>
      <c r="AB7" s="2"/>
      <c r="AC7" s="2"/>
      <c r="AD7" s="2">
        <f>if(AF7="", if(AA8&lt;&gt;"", if(AA8&gt;Setup!AA6,W7*(1+Setup!AB6),if(AA8&lt;Setup!Z6,W7*(1+Setup!AC6),W7)),W7),AF7/'Quick Setup'!$E7)</f>
        <v>525</v>
      </c>
      <c r="AE7" s="8" t="s">
        <v>73</v>
      </c>
      <c r="AF7" s="10"/>
      <c r="AG7" s="2"/>
      <c r="AH7" s="2"/>
      <c r="AI7" s="2"/>
      <c r="AJ7" s="2"/>
      <c r="AK7" s="2">
        <f>if(AM7="", if(AH8&lt;&gt;"", if(AH8&gt;Setup!AH6,AD7*(1+Setup!AI6),if(AH8&lt;Setup!AG6,AD7*(1+Setup!AJ6),AD7)),AD7),AM7/'Quick Setup'!$E7)</f>
        <v>525</v>
      </c>
      <c r="AL7" s="8" t="s">
        <v>73</v>
      </c>
      <c r="AM7" s="10"/>
      <c r="AN7" s="2"/>
      <c r="AO7" s="2"/>
      <c r="AP7" s="2"/>
      <c r="AQ7" s="2"/>
      <c r="AR7" s="2">
        <f>if(AT7="", if(AO8&lt;&gt;"", if(AO8&gt;Setup!AO6,AK7*(1+Setup!AP6),if(AO8&lt;Setup!AN6,AK7*(1+Setup!AQ6),AK7)),AK7),AT7/'Quick Setup'!$E7)</f>
        <v>525</v>
      </c>
      <c r="AS7" s="8" t="s">
        <v>73</v>
      </c>
      <c r="AT7" s="10"/>
      <c r="AU7" s="2"/>
      <c r="AV7" s="2"/>
      <c r="AW7" s="2"/>
      <c r="AX7" s="2"/>
      <c r="AY7" s="2">
        <f>if(BA7="", if(AV8&lt;&gt;"", if(AV8&gt;Setup!AV6,AR7*(1+Setup!AW6),if(AV8&lt;Setup!AU6,AR7*(1+Setup!AX6),AR7)),AR7),BA7/'Quick Setup'!$E7)</f>
        <v>525</v>
      </c>
      <c r="AZ7" s="8" t="s">
        <v>73</v>
      </c>
      <c r="BA7" s="10"/>
      <c r="BB7" s="2"/>
      <c r="BC7" s="2"/>
      <c r="BD7" s="2"/>
      <c r="BE7" s="2"/>
      <c r="BF7" s="2">
        <f>if(BH7="", if(BC8&lt;&gt;"", if(BC8&gt;Setup!BC6,AY7*(1+Setup!BD6),if(BC8&lt;Setup!BB6,AY7*(1+Setup!BE6),AY7)),AY7),BH7/'Quick Setup'!$E7)</f>
        <v>525</v>
      </c>
      <c r="BG7" s="8" t="s">
        <v>73</v>
      </c>
      <c r="BH7" s="10"/>
      <c r="BI7" s="2"/>
      <c r="BJ7" s="2"/>
      <c r="BK7" s="2"/>
      <c r="BL7" s="2"/>
      <c r="BM7" s="2">
        <f>if(BO7="", if(BJ8&lt;&gt;"", if(BJ8&gt;Setup!BJ6,BF7*(1+Setup!BK6),if(BJ8&lt;Setup!BI6,BF7*(1+Setup!BL6),BF7)),BF7),BO7/'Quick Setup'!$E7)</f>
        <v>525</v>
      </c>
      <c r="BN7" s="8" t="s">
        <v>73</v>
      </c>
      <c r="BO7" s="10"/>
      <c r="BP7" s="2"/>
      <c r="BQ7" s="2"/>
      <c r="BR7" s="2"/>
      <c r="BS7" s="2"/>
      <c r="BT7" s="2">
        <f>if(BV7="", if(BQ8&lt;&gt;"", if(BQ8&gt;Setup!BQ6,BM7*(1+Setup!BR6),if(BQ8&lt;Setup!BP6,BM7*(1+Setup!BS6),BM7)),BM7),BV7/'Quick Setup'!$E7)</f>
        <v>525</v>
      </c>
      <c r="BU7" s="8" t="s">
        <v>73</v>
      </c>
      <c r="BV7" s="10"/>
      <c r="BW7" s="2"/>
      <c r="BX7" s="2"/>
      <c r="BY7" s="2"/>
      <c r="BZ7" s="2"/>
      <c r="CA7" s="2">
        <f>if(CC7="", if(BX8&lt;&gt;"", if(BX8&gt;Setup!BX6,BT7*(1+Setup!BY6),if(BX8&lt;Setup!BW6,BT7*(1+Setup!BZ6),BT7)),BT7),CC7/'Quick Setup'!$E7)</f>
        <v>525</v>
      </c>
      <c r="CB7" s="8" t="s">
        <v>73</v>
      </c>
      <c r="CC7" s="10"/>
      <c r="CD7" s="2"/>
      <c r="CE7" s="2"/>
      <c r="CF7" s="2"/>
      <c r="CG7" s="2"/>
      <c r="CH7" s="2">
        <f>if(CJ7="", if(CE8&lt;&gt;"", if(CE8&gt;Setup!CE6,CA7*(1+Setup!CF6),if(CE8&lt;Setup!CD6,CA7*(1+Setup!CG6),CA7)),CA7),CJ7/'Quick Setup'!$E7)</f>
        <v>525</v>
      </c>
      <c r="CI7" s="8" t="s">
        <v>73</v>
      </c>
      <c r="CJ7" s="10"/>
      <c r="CK7" s="2"/>
      <c r="CL7" s="2"/>
      <c r="CM7" s="2"/>
      <c r="CN7" s="2"/>
      <c r="CO7" s="2">
        <f>if(CQ7="", if(CL8&lt;&gt;"", if(CL8&gt;Setup!CL6,CH7*(1+Setup!CM6),if(CL8&lt;Setup!CK6,CH7*(1+Setup!CN6),CH7)),CH7),CQ7/'Quick Setup'!$E7)</f>
        <v>525</v>
      </c>
      <c r="CP7" s="8" t="s">
        <v>73</v>
      </c>
      <c r="CQ7" s="10"/>
      <c r="CR7" s="2"/>
      <c r="CS7" s="2"/>
      <c r="CT7" s="2"/>
      <c r="CU7" s="2"/>
      <c r="CV7" s="2">
        <f>if(CX7="", if(CS8&lt;&gt;"", if(CS8&gt;Setup!CS6,CO7*(1+Setup!CT6),if(CS8&lt;Setup!CR6,CO7*(1+Setup!CU6),CO7)),CO7),CX7/'Quick Setup'!$E7)</f>
        <v>525</v>
      </c>
      <c r="CW7" s="8" t="s">
        <v>73</v>
      </c>
      <c r="CX7" s="10"/>
      <c r="CY7" s="2"/>
      <c r="CZ7" s="2"/>
      <c r="DA7" s="2"/>
      <c r="DB7" s="2"/>
      <c r="DC7" s="2">
        <f>if(DE7="", if(CZ8&lt;&gt;"", if(CZ8&gt;Setup!CZ6,CV7*(1+Setup!DA6),if(CZ8&lt;Setup!CY6,CV7*(1+Setup!DB6),CV7)),CV7),DE7/'Quick Setup'!$E7)</f>
        <v>525</v>
      </c>
      <c r="DD7" s="8" t="s">
        <v>73</v>
      </c>
      <c r="DE7" s="10"/>
      <c r="DF7" s="2"/>
      <c r="DG7" s="2"/>
      <c r="DH7" s="2"/>
      <c r="DI7" s="2"/>
      <c r="DJ7" s="2">
        <f>if(DL7="", if(DG8&lt;&gt;"", if(DG8&gt;Setup!DG6,DC7*(1+Setup!DH6),if(DG8&lt;Setup!DF6,DC7*(1+Setup!DI6),DC7)),DC7),DL7/'Quick Setup'!$E7)</f>
        <v>525</v>
      </c>
      <c r="DK7" s="8" t="s">
        <v>73</v>
      </c>
      <c r="DL7" s="10"/>
      <c r="DM7" s="2"/>
      <c r="DN7" s="2"/>
      <c r="DO7" s="2"/>
      <c r="DP7" s="2"/>
      <c r="DQ7" s="2">
        <f>if(DS7="", if(DN8&lt;&gt;"", if(DN8&gt;Setup!DN6,DJ7*(1+Setup!DO6),if(DN8&lt;Setup!DM6,DJ7*(1+Setup!DP6),DJ7)),DJ7),DS7/'Quick Setup'!$E7)</f>
        <v>525</v>
      </c>
      <c r="DR7" s="8" t="s">
        <v>73</v>
      </c>
      <c r="DS7" s="10"/>
      <c r="DT7" s="2"/>
      <c r="DU7" s="2"/>
      <c r="DV7" s="2"/>
      <c r="DW7" s="2"/>
      <c r="DX7" s="2">
        <f>if(DZ7="", if(DU8&lt;&gt;"", if(DU8&gt;Setup!DU6,DQ7*(1+Setup!DV6),if(DU8&lt;Setup!DT6,DQ7*(1+Setup!DW6),DQ7)),DQ7),DZ7/'Quick Setup'!$E7)</f>
        <v>525</v>
      </c>
      <c r="DY7" s="8" t="s">
        <v>73</v>
      </c>
      <c r="DZ7" s="10"/>
      <c r="EA7" s="2"/>
      <c r="EB7" s="2"/>
      <c r="EC7" s="2"/>
      <c r="ED7" s="2"/>
      <c r="EE7" s="2">
        <f>if(EG7="", if(EB8&lt;&gt;"", if(EB8&gt;Setup!EB6,DX7*(1+Setup!EC6),if(EB8&lt;Setup!EA6,DX7*(1+Setup!ED6),DX7)),DX7),EG7/'Quick Setup'!$E7)</f>
        <v>525</v>
      </c>
      <c r="EF7" s="8" t="s">
        <v>73</v>
      </c>
      <c r="EG7" s="10"/>
      <c r="EH7" s="2"/>
      <c r="EI7" s="2"/>
      <c r="EJ7" s="2"/>
      <c r="EK7" s="2"/>
      <c r="EL7" s="2">
        <f>if(EN7="", if(EI8&lt;&gt;"", if(EI8&gt;Setup!EI6,EE7*(1+Setup!EJ6),if(EI8&lt;Setup!EH6,EE7*(1+Setup!EK6),EE7)),EE7),EN7/'Quick Setup'!$E7)</f>
        <v>525</v>
      </c>
      <c r="EM7" s="8" t="s">
        <v>73</v>
      </c>
      <c r="EN7" s="10"/>
      <c r="EO7" s="2"/>
      <c r="EP7" s="2"/>
      <c r="EQ7" s="2"/>
      <c r="ER7" s="2"/>
    </row>
    <row r="8">
      <c r="A8" s="1" t="str">
        <f>Setup!A6</f>
        <v>Deadlift</v>
      </c>
      <c r="B8" s="2">
        <f>mround(B7*Setup!B6,'Quick Setup'!$A$2)</f>
        <v>367.5</v>
      </c>
      <c r="C8" s="2">
        <f>Setup!C6</f>
        <v>5</v>
      </c>
      <c r="D8" s="2">
        <f>Setup!D6</f>
        <v>3</v>
      </c>
      <c r="E8" s="2" t="str">
        <f>CONCATENATE(Setup!E6,"-",Setup!F6)</f>
        <v>4-6</v>
      </c>
      <c r="F8" s="10"/>
      <c r="G8" s="10"/>
      <c r="H8" s="10"/>
      <c r="I8" s="2">
        <f>mround(I7*Setup!I6,'Quick Setup'!$A$2)</f>
        <v>395</v>
      </c>
      <c r="J8" s="2">
        <f>Setup!J6</f>
        <v>4</v>
      </c>
      <c r="K8" s="2">
        <f>Setup!K6</f>
        <v>3</v>
      </c>
      <c r="L8" s="2" t="str">
        <f>CONCATENATE(Setup!L6,"-",Setup!M6)</f>
        <v>4-6</v>
      </c>
      <c r="M8" s="10"/>
      <c r="N8" s="10"/>
      <c r="O8" s="10"/>
      <c r="P8" s="2">
        <f>mround(P7*Setup!P6,'Quick Setup'!$A$2)</f>
        <v>420</v>
      </c>
      <c r="Q8" s="2">
        <f>Setup!Q6</f>
        <v>3</v>
      </c>
      <c r="R8" s="2">
        <f>Setup!R6</f>
        <v>2</v>
      </c>
      <c r="S8" s="2" t="str">
        <f>CONCATENATE(Setup!S6,"-",Setup!T6)</f>
        <v>4-6</v>
      </c>
      <c r="T8" s="10"/>
      <c r="U8" s="10"/>
      <c r="V8" s="10"/>
      <c r="W8" s="2">
        <f>mround(W7*Setup!W6,'Quick Setup'!$A$2)</f>
        <v>380</v>
      </c>
      <c r="X8" s="2">
        <f>Setup!X6</f>
        <v>5</v>
      </c>
      <c r="Y8" s="2">
        <f>Setup!Y6</f>
        <v>3</v>
      </c>
      <c r="Z8" s="2" t="str">
        <f>CONCATENATE(Setup!Z6,"-",Setup!AA6)</f>
        <v>4-6</v>
      </c>
      <c r="AA8" s="10"/>
      <c r="AB8" s="10"/>
      <c r="AC8" s="10"/>
      <c r="AD8" s="2">
        <f>mround(AD7*Setup!AD6,'Quick Setup'!$A$2)</f>
        <v>407.5</v>
      </c>
      <c r="AE8" s="2">
        <f>Setup!AE6</f>
        <v>4</v>
      </c>
      <c r="AF8" s="2">
        <f>Setup!AF6</f>
        <v>3</v>
      </c>
      <c r="AG8" s="2" t="str">
        <f>CONCATENATE(Setup!AG6,"-",Setup!AH6)</f>
        <v>4-6</v>
      </c>
      <c r="AH8" s="10"/>
      <c r="AI8" s="10"/>
      <c r="AJ8" s="10"/>
      <c r="AK8" s="2">
        <f>mround(AK7*Setup!AK6,'Quick Setup'!$A$2)</f>
        <v>432.5</v>
      </c>
      <c r="AL8" s="2">
        <f>Setup!AL6</f>
        <v>3</v>
      </c>
      <c r="AM8" s="2">
        <f>Setup!AM6</f>
        <v>2</v>
      </c>
      <c r="AN8" s="2" t="str">
        <f>CONCATENATE(Setup!AN6,"-",Setup!AO6)</f>
        <v>4-6</v>
      </c>
      <c r="AO8" s="10"/>
      <c r="AP8" s="10"/>
      <c r="AQ8" s="10"/>
      <c r="AR8" s="2">
        <f>mround(AR7*Setup!AR6,'Quick Setup'!$A$2)</f>
        <v>315</v>
      </c>
      <c r="AS8" s="2">
        <f>Setup!AS6</f>
        <v>7</v>
      </c>
      <c r="AT8" s="2">
        <f>Setup!AT6</f>
        <v>4</v>
      </c>
      <c r="AU8" s="2" t="str">
        <f>CONCATENATE(Setup!AU6,"-",Setup!AV6)</f>
        <v>4-6</v>
      </c>
      <c r="AV8" s="10"/>
      <c r="AW8" s="10"/>
      <c r="AX8" s="10"/>
      <c r="AY8" s="2">
        <f>mround(AY7*Setup!AY6,'Quick Setup'!$A$2)</f>
        <v>395</v>
      </c>
      <c r="AZ8" s="2">
        <f>Setup!AZ6</f>
        <v>4</v>
      </c>
      <c r="BA8" s="2">
        <f>Setup!BA6</f>
        <v>3</v>
      </c>
      <c r="BB8" s="2" t="str">
        <f>CONCATENATE(Setup!BB6,"-",Setup!BC6)</f>
        <v>4-6</v>
      </c>
      <c r="BC8" s="10"/>
      <c r="BD8" s="10"/>
      <c r="BE8" s="10"/>
      <c r="BF8" s="2">
        <f>mround(BF7*Setup!BF6,'Quick Setup'!$A$2)</f>
        <v>420</v>
      </c>
      <c r="BG8" s="2">
        <f>Setup!BG6</f>
        <v>3</v>
      </c>
      <c r="BH8" s="2">
        <f>Setup!BH6</f>
        <v>2</v>
      </c>
      <c r="BI8" s="2" t="str">
        <f>CONCATENATE(Setup!BI6,"-",Setup!BJ6)</f>
        <v>4-6</v>
      </c>
      <c r="BJ8" s="10"/>
      <c r="BK8" s="10"/>
      <c r="BL8" s="10"/>
      <c r="BM8" s="2">
        <f>mround(BM7*Setup!BM6,'Quick Setup'!$A$2)</f>
        <v>447.5</v>
      </c>
      <c r="BN8" s="2">
        <f>Setup!BN6</f>
        <v>2</v>
      </c>
      <c r="BO8" s="2">
        <f>Setup!BO6</f>
        <v>2</v>
      </c>
      <c r="BP8" s="2" t="str">
        <f>CONCATENATE(Setup!BP6,"-",Setup!BQ6)</f>
        <v>4-6</v>
      </c>
      <c r="BQ8" s="10"/>
      <c r="BR8" s="10"/>
      <c r="BS8" s="10"/>
      <c r="BT8" s="2">
        <f>mround(BT7*Setup!BT6,'Quick Setup'!$A$2)</f>
        <v>407.5</v>
      </c>
      <c r="BU8" s="2">
        <f>Setup!BU6</f>
        <v>4</v>
      </c>
      <c r="BV8" s="2">
        <f>Setup!BV6</f>
        <v>3</v>
      </c>
      <c r="BW8" s="2" t="str">
        <f>CONCATENATE(Setup!BW6,"-",Setup!BX6)</f>
        <v>4-6</v>
      </c>
      <c r="BX8" s="10"/>
      <c r="BY8" s="10"/>
      <c r="BZ8" s="10"/>
      <c r="CA8" s="2">
        <f>mround(CA7*Setup!CA6,'Quick Setup'!$A$2)</f>
        <v>432.5</v>
      </c>
      <c r="CB8" s="2">
        <f>Setup!CB6</f>
        <v>3</v>
      </c>
      <c r="CC8" s="2">
        <f>Setup!CC6</f>
        <v>2</v>
      </c>
      <c r="CD8" s="2" t="str">
        <f>CONCATENATE(Setup!CD6,"-",Setup!CE6)</f>
        <v>4-6</v>
      </c>
      <c r="CE8" s="10"/>
      <c r="CF8" s="10"/>
      <c r="CG8" s="10"/>
      <c r="CH8" s="2">
        <f>mround(CH7*Setup!CH6,'Quick Setup'!$A$2)</f>
        <v>460</v>
      </c>
      <c r="CI8" s="2">
        <f>Setup!CI6</f>
        <v>2</v>
      </c>
      <c r="CJ8" s="2">
        <f>Setup!CJ6</f>
        <v>2</v>
      </c>
      <c r="CK8" s="2" t="str">
        <f>CONCATENATE(Setup!CK6,"-",Setup!CL6)</f>
        <v>4-6</v>
      </c>
      <c r="CL8" s="10"/>
      <c r="CM8" s="10"/>
      <c r="CN8" s="10"/>
      <c r="CO8" s="2">
        <f>mround(CO7*Setup!CO6,'Quick Setup'!$A$2)</f>
        <v>315</v>
      </c>
      <c r="CP8" s="2">
        <f>Setup!CP6</f>
        <v>7</v>
      </c>
      <c r="CQ8" s="2">
        <f>Setup!CQ6</f>
        <v>4</v>
      </c>
      <c r="CR8" s="2" t="str">
        <f>CONCATENATE(Setup!CR6,"-",Setup!CS6)</f>
        <v>4-6</v>
      </c>
      <c r="CS8" s="10"/>
      <c r="CT8" s="10"/>
      <c r="CU8" s="10"/>
      <c r="CV8" s="2">
        <f>mround(CV7*Setup!CV6,'Quick Setup'!$A$2)</f>
        <v>420</v>
      </c>
      <c r="CW8" s="2">
        <f>Setup!CW6</f>
        <v>3</v>
      </c>
      <c r="CX8" s="2">
        <f>Setup!CX6</f>
        <v>2</v>
      </c>
      <c r="CY8" s="2" t="str">
        <f>CONCATENATE(Setup!CY6,"-",Setup!CZ6)</f>
        <v>4-6</v>
      </c>
      <c r="CZ8" s="10"/>
      <c r="DA8" s="10"/>
      <c r="DB8" s="10"/>
      <c r="DC8" s="2">
        <f>mround(DC7*Setup!DC6,'Quick Setup'!$A$2)</f>
        <v>447.5</v>
      </c>
      <c r="DD8" s="2">
        <f>Setup!DD6</f>
        <v>2</v>
      </c>
      <c r="DE8" s="2">
        <f>Setup!DE6</f>
        <v>2</v>
      </c>
      <c r="DF8" s="2" t="str">
        <f>CONCATENATE(Setup!DF6,"-",Setup!DG6)</f>
        <v>4-6</v>
      </c>
      <c r="DG8" s="10"/>
      <c r="DH8" s="10"/>
      <c r="DI8" s="10"/>
      <c r="DJ8" s="2">
        <f>mround(DJ7*Setup!DJ6,'Quick Setup'!$A$2)</f>
        <v>472.5</v>
      </c>
      <c r="DK8" s="2">
        <f>Setup!DK6</f>
        <v>1</v>
      </c>
      <c r="DL8" s="2">
        <f>Setup!DL6</f>
        <v>1</v>
      </c>
      <c r="DM8" s="2" t="str">
        <f>CONCATENATE(Setup!DM6,"-",Setup!DN6)</f>
        <v>4-6</v>
      </c>
      <c r="DN8" s="10"/>
      <c r="DO8" s="10"/>
      <c r="DP8" s="10"/>
      <c r="DQ8" s="2">
        <f>mround(DQ7*Setup!DQ6,'Quick Setup'!$A$2)</f>
        <v>447.5</v>
      </c>
      <c r="DR8" s="2">
        <f>Setup!DR6</f>
        <v>2</v>
      </c>
      <c r="DS8" s="2">
        <f>Setup!DS6</f>
        <v>2</v>
      </c>
      <c r="DT8" s="2" t="str">
        <f>CONCATENATE(Setup!DT6,"-",Setup!DU6)</f>
        <v>4-6</v>
      </c>
      <c r="DU8" s="10"/>
      <c r="DV8" s="10"/>
      <c r="DW8" s="10"/>
      <c r="DX8" s="2">
        <f>mround(DX7*Setup!DX6,'Quick Setup'!$A$2)</f>
        <v>472.5</v>
      </c>
      <c r="DY8" s="2">
        <f>Setup!DY6</f>
        <v>1</v>
      </c>
      <c r="DZ8" s="2">
        <f>Setup!DZ6</f>
        <v>1</v>
      </c>
      <c r="EA8" s="2" t="str">
        <f>CONCATENATE(Setup!EA6,"-",Setup!EB6)</f>
        <v>4-6</v>
      </c>
      <c r="EB8" s="10"/>
      <c r="EC8" s="10"/>
      <c r="ED8" s="10"/>
      <c r="EE8" s="2">
        <f>mround(EE7*Setup!EE6,'Quick Setup'!$A$2)</f>
        <v>500</v>
      </c>
      <c r="EF8" s="2">
        <f>Setup!EF6</f>
        <v>1</v>
      </c>
      <c r="EG8" s="2">
        <f>Setup!EG6</f>
        <v>1</v>
      </c>
      <c r="EH8" s="2" t="str">
        <f>CONCATENATE(Setup!EH6,"-",Setup!EI6)</f>
        <v>4-6</v>
      </c>
      <c r="EI8" s="10"/>
      <c r="EJ8" s="10"/>
      <c r="EK8" s="10"/>
      <c r="EL8" s="2">
        <f>mround(EL7*Setup!EL6,'Quick Setup'!$A$2)</f>
        <v>315</v>
      </c>
      <c r="EM8" s="2">
        <f>Setup!EM6</f>
        <v>7</v>
      </c>
      <c r="EN8" s="2">
        <f>Setup!EN6</f>
        <v>4</v>
      </c>
      <c r="EO8" s="2" t="str">
        <f>CONCATENATE(Setup!EO6,"-",Setup!EP6)</f>
        <v>4-6</v>
      </c>
      <c r="EP8" s="10"/>
      <c r="EQ8" s="10"/>
      <c r="ER8" s="10"/>
    </row>
    <row r="9">
      <c r="A9" s="1" t="str">
        <f>CONCATENATE(A10," TM")</f>
        <v>OHP TM</v>
      </c>
      <c r="B9" s="2">
        <f>if(D9="",'Quick Setup'!D8,D9/'Quick Setup'!E8)</f>
        <v>200</v>
      </c>
      <c r="C9" s="8" t="s">
        <v>73</v>
      </c>
      <c r="D9" s="10"/>
      <c r="E9" s="2"/>
      <c r="F9" s="2"/>
      <c r="G9" s="2"/>
      <c r="H9" s="2"/>
      <c r="I9" s="2">
        <f>if(K9="", if(F10&lt;&gt;"", if(F10&gt;Setup!F7,B9*(1+Setup!G7),if(F10&lt;Setup!E7,B9*(1+Setup!H7),B9)),B9),K9/'Quick Setup'!$E8)</f>
        <v>200</v>
      </c>
      <c r="J9" s="8" t="s">
        <v>73</v>
      </c>
      <c r="K9" s="10"/>
      <c r="L9" s="2"/>
      <c r="M9" s="2"/>
      <c r="N9" s="2"/>
      <c r="O9" s="2"/>
      <c r="P9" s="2">
        <f>if(R9="", if(M10&lt;&gt;"", if(M10&gt;Setup!M7,I9*(1+Setup!N7),if(M10&lt;Setup!L7,I9*(1+Setup!O7),I9)),I9),R9/'Quick Setup'!$E8)</f>
        <v>200</v>
      </c>
      <c r="Q9" s="8" t="s">
        <v>73</v>
      </c>
      <c r="R9" s="10"/>
      <c r="S9" s="2"/>
      <c r="T9" s="2"/>
      <c r="U9" s="2"/>
      <c r="V9" s="2"/>
      <c r="W9" s="2">
        <f>if(Y9="", if(T10&lt;&gt;"", if(T10&gt;Setup!T7,P9*(1+Setup!U7),if(T10&lt;Setup!S7,P9*(1+Setup!V7),P9)),P9),Y9/'Quick Setup'!$E8)</f>
        <v>200</v>
      </c>
      <c r="X9" s="8" t="s">
        <v>73</v>
      </c>
      <c r="Y9" s="10"/>
      <c r="Z9" s="2"/>
      <c r="AA9" s="2"/>
      <c r="AB9" s="2"/>
      <c r="AC9" s="2"/>
      <c r="AD9" s="2">
        <f>if(AF9="", if(AA10&lt;&gt;"", if(AA10&gt;Setup!AA7,W9*(1+Setup!AB7),if(AA10&lt;Setup!Z7,W9*(1+Setup!AC7),W9)),W9),AF9/'Quick Setup'!$E8)</f>
        <v>200</v>
      </c>
      <c r="AE9" s="8" t="s">
        <v>73</v>
      </c>
      <c r="AF9" s="10"/>
      <c r="AG9" s="2"/>
      <c r="AH9" s="2"/>
      <c r="AI9" s="2"/>
      <c r="AJ9" s="2"/>
      <c r="AK9" s="2">
        <f>if(AM9="", if(AH10&lt;&gt;"", if(AH10&gt;Setup!AH7,AD9*(1+Setup!AI7),if(AH10&lt;Setup!AG7,AD9*(1+Setup!AJ7),AD9)),AD9),AM9/'Quick Setup'!$E8)</f>
        <v>200</v>
      </c>
      <c r="AL9" s="8" t="s">
        <v>73</v>
      </c>
      <c r="AM9" s="10"/>
      <c r="AN9" s="2"/>
      <c r="AO9" s="2"/>
      <c r="AP9" s="2"/>
      <c r="AQ9" s="2"/>
      <c r="AR9" s="2">
        <f>if(AT9="", if(AO10&lt;&gt;"", if(AO10&gt;Setup!AO7,AK9*(1+Setup!AP7),if(AO10&lt;Setup!AN7,AK9*(1+Setup!AQ7),AK9)),AK9),AT9/'Quick Setup'!$E8)</f>
        <v>200</v>
      </c>
      <c r="AS9" s="8" t="s">
        <v>73</v>
      </c>
      <c r="AT9" s="10"/>
      <c r="AU9" s="2"/>
      <c r="AV9" s="2"/>
      <c r="AW9" s="2"/>
      <c r="AX9" s="2"/>
      <c r="AY9" s="2">
        <f>if(BA9="", if(AV10&lt;&gt;"", if(AV10&gt;Setup!AV7,AR9*(1+Setup!AW7),if(AV10&lt;Setup!AU7,AR9*(1+Setup!AX7),AR9)),AR9),BA9/'Quick Setup'!$E8)</f>
        <v>200</v>
      </c>
      <c r="AZ9" s="8" t="s">
        <v>73</v>
      </c>
      <c r="BA9" s="10"/>
      <c r="BB9" s="2"/>
      <c r="BC9" s="2"/>
      <c r="BD9" s="2"/>
      <c r="BE9" s="2"/>
      <c r="BF9" s="2">
        <f>if(BH9="", if(BC10&lt;&gt;"", if(BC10&gt;Setup!BC7,AY9*(1+Setup!BD7),if(BC10&lt;Setup!BB7,AY9*(1+Setup!BE7),AY9)),AY9),BH9/'Quick Setup'!$E8)</f>
        <v>200</v>
      </c>
      <c r="BG9" s="8" t="s">
        <v>73</v>
      </c>
      <c r="BH9" s="10"/>
      <c r="BI9" s="2"/>
      <c r="BJ9" s="2"/>
      <c r="BK9" s="2"/>
      <c r="BL9" s="2"/>
      <c r="BM9" s="2">
        <f>if(BO9="", if(BJ10&lt;&gt;"", if(BJ10&gt;Setup!BJ7,BF9*(1+Setup!BK7),if(BJ10&lt;Setup!BI7,BF9*(1+Setup!BL7),BF9)),BF9),BO9/'Quick Setup'!$E8)</f>
        <v>200</v>
      </c>
      <c r="BN9" s="8" t="s">
        <v>73</v>
      </c>
      <c r="BO9" s="10"/>
      <c r="BP9" s="2"/>
      <c r="BQ9" s="2"/>
      <c r="BR9" s="2"/>
      <c r="BS9" s="2"/>
      <c r="BT9" s="2">
        <f>if(BV9="", if(BQ10&lt;&gt;"", if(BQ10&gt;Setup!BQ7,BM9*(1+Setup!BR7),if(BQ10&lt;Setup!BP7,BM9*(1+Setup!BS7),BM9)),BM9),BV9/'Quick Setup'!$E8)</f>
        <v>200</v>
      </c>
      <c r="BU9" s="8" t="s">
        <v>73</v>
      </c>
      <c r="BV9" s="10"/>
      <c r="BW9" s="2"/>
      <c r="BX9" s="2"/>
      <c r="BY9" s="2"/>
      <c r="BZ9" s="2"/>
      <c r="CA9" s="2">
        <f>if(CC9="", if(BX10&lt;&gt;"", if(BX10&gt;Setup!BX7,BT9*(1+Setup!BY7),if(BX10&lt;Setup!BW7,BT9*(1+Setup!BZ7),BT9)),BT9),CC9/'Quick Setup'!$E8)</f>
        <v>200</v>
      </c>
      <c r="CB9" s="8" t="s">
        <v>73</v>
      </c>
      <c r="CC9" s="10"/>
      <c r="CD9" s="2"/>
      <c r="CE9" s="2"/>
      <c r="CF9" s="2"/>
      <c r="CG9" s="2"/>
      <c r="CH9" s="2">
        <f>if(CJ9="", if(CE10&lt;&gt;"", if(CE10&gt;Setup!CE7,CA9*(1+Setup!CF7),if(CE10&lt;Setup!CD7,CA9*(1+Setup!CG7),CA9)),CA9),CJ9/'Quick Setup'!$E8)</f>
        <v>200</v>
      </c>
      <c r="CI9" s="8" t="s">
        <v>73</v>
      </c>
      <c r="CJ9" s="10"/>
      <c r="CK9" s="2"/>
      <c r="CL9" s="2"/>
      <c r="CM9" s="2"/>
      <c r="CN9" s="2"/>
      <c r="CO9" s="2">
        <f>if(CQ9="", if(CL10&lt;&gt;"", if(CL10&gt;Setup!CL7,CH9*(1+Setup!CM7),if(CL10&lt;Setup!CK7,CH9*(1+Setup!CN7),CH9)),CH9),CQ9/'Quick Setup'!$E8)</f>
        <v>200</v>
      </c>
      <c r="CP9" s="8" t="s">
        <v>73</v>
      </c>
      <c r="CQ9" s="10"/>
      <c r="CR9" s="2"/>
      <c r="CS9" s="2"/>
      <c r="CT9" s="2"/>
      <c r="CU9" s="2"/>
      <c r="CV9" s="2">
        <f>if(CX9="", if(CS10&lt;&gt;"", if(CS10&gt;Setup!CS7,CO9*(1+Setup!CT7),if(CS10&lt;Setup!CR7,CO9*(1+Setup!CU7),CO9)),CO9),CX9/'Quick Setup'!$E8)</f>
        <v>200</v>
      </c>
      <c r="CW9" s="8" t="s">
        <v>73</v>
      </c>
      <c r="CX9" s="10"/>
      <c r="CY9" s="2"/>
      <c r="CZ9" s="2"/>
      <c r="DA9" s="2"/>
      <c r="DB9" s="2"/>
      <c r="DC9" s="2">
        <f>if(DE9="", if(CZ10&lt;&gt;"", if(CZ10&gt;Setup!CZ7,CV9*(1+Setup!DA7),if(CZ10&lt;Setup!CY7,CV9*(1+Setup!DB7),CV9)),CV9),DE9/'Quick Setup'!$E8)</f>
        <v>200</v>
      </c>
      <c r="DD9" s="8" t="s">
        <v>73</v>
      </c>
      <c r="DE9" s="10"/>
      <c r="DF9" s="2"/>
      <c r="DG9" s="2"/>
      <c r="DH9" s="2"/>
      <c r="DI9" s="2"/>
      <c r="DJ9" s="2">
        <f>if(DL9="", if(DG10&lt;&gt;"", if(DG10&gt;Setup!DG7,DC9*(1+Setup!DH7),if(DG10&lt;Setup!DF7,DC9*(1+Setup!DI7),DC9)),DC9),DL9/'Quick Setup'!$E8)</f>
        <v>200</v>
      </c>
      <c r="DK9" s="8" t="s">
        <v>73</v>
      </c>
      <c r="DL9" s="10"/>
      <c r="DM9" s="2"/>
      <c r="DN9" s="2"/>
      <c r="DO9" s="2"/>
      <c r="DP9" s="2"/>
      <c r="DQ9" s="2">
        <f>if(DS9="", if(DN10&lt;&gt;"", if(DN10&gt;Setup!DN7,DJ9*(1+Setup!DO7),if(DN10&lt;Setup!DM7,DJ9*(1+Setup!DP7),DJ9)),DJ9),DS9/'Quick Setup'!$E8)</f>
        <v>200</v>
      </c>
      <c r="DR9" s="8" t="s">
        <v>73</v>
      </c>
      <c r="DS9" s="10"/>
      <c r="DT9" s="2"/>
      <c r="DU9" s="2"/>
      <c r="DV9" s="2"/>
      <c r="DW9" s="2"/>
      <c r="DX9" s="2">
        <f>if(DZ9="", if(DU10&lt;&gt;"", if(DU10&gt;Setup!DU7,DQ9*(1+Setup!DV7),if(DU10&lt;Setup!DT7,DQ9*(1+Setup!DW7),DQ9)),DQ9),DZ9/'Quick Setup'!$E8)</f>
        <v>200</v>
      </c>
      <c r="DY9" s="8" t="s">
        <v>73</v>
      </c>
      <c r="DZ9" s="10"/>
      <c r="EA9" s="2"/>
      <c r="EB9" s="2"/>
      <c r="EC9" s="2"/>
      <c r="ED9" s="2"/>
      <c r="EE9" s="2">
        <f>if(EG9="", if(EB10&lt;&gt;"", if(EB10&gt;Setup!EB7,DX9*(1+Setup!EC7),if(EB10&lt;Setup!EA7,DX9*(1+Setup!ED7),DX9)),DX9),EG9/'Quick Setup'!$E8)</f>
        <v>200</v>
      </c>
      <c r="EF9" s="8" t="s">
        <v>73</v>
      </c>
      <c r="EG9" s="10"/>
      <c r="EH9" s="2"/>
      <c r="EI9" s="2"/>
      <c r="EJ9" s="2"/>
      <c r="EK9" s="2"/>
      <c r="EL9" s="2">
        <f>if(EN9="", if(EI10&lt;&gt;"", if(EI10&gt;Setup!EI7,EE9*(1+Setup!EJ7),if(EI10&lt;Setup!EH7,EE9*(1+Setup!EK7),EE9)),EE9),EN9/'Quick Setup'!$E8)</f>
        <v>200</v>
      </c>
      <c r="EM9" s="8" t="s">
        <v>73</v>
      </c>
      <c r="EN9" s="10"/>
      <c r="EO9" s="2"/>
      <c r="EP9" s="2"/>
      <c r="EQ9" s="2"/>
      <c r="ER9" s="2"/>
    </row>
    <row r="10">
      <c r="A10" s="1" t="str">
        <f>Setup!A7</f>
        <v>OHP</v>
      </c>
      <c r="B10" s="2">
        <f>mround(B9*Setup!B7,'Quick Setup'!$A$2)</f>
        <v>140</v>
      </c>
      <c r="C10" s="2">
        <f>Setup!C7</f>
        <v>5</v>
      </c>
      <c r="D10" s="2">
        <f>Setup!D7</f>
        <v>3</v>
      </c>
      <c r="E10" s="2" t="str">
        <f>CONCATENATE(Setup!E7,"-",Setup!F7)</f>
        <v>4-6</v>
      </c>
      <c r="F10" s="10"/>
      <c r="G10" s="10"/>
      <c r="H10" s="10"/>
      <c r="I10" s="2">
        <f>mround(I9*Setup!I7,'Quick Setup'!$A$2)</f>
        <v>150</v>
      </c>
      <c r="J10" s="2">
        <f>Setup!J7</f>
        <v>4</v>
      </c>
      <c r="K10" s="2">
        <f>Setup!K7</f>
        <v>3</v>
      </c>
      <c r="L10" s="2" t="str">
        <f>CONCATENATE(Setup!L7,"-",Setup!M7)</f>
        <v>4-6</v>
      </c>
      <c r="M10" s="10"/>
      <c r="N10" s="10"/>
      <c r="O10" s="10"/>
      <c r="P10" s="2">
        <f>mround(P9*Setup!P7,'Quick Setup'!$A$2)</f>
        <v>160</v>
      </c>
      <c r="Q10" s="2">
        <f>Setup!Q7</f>
        <v>3</v>
      </c>
      <c r="R10" s="2">
        <f>Setup!R7</f>
        <v>2</v>
      </c>
      <c r="S10" s="2" t="str">
        <f>CONCATENATE(Setup!S7,"-",Setup!T7)</f>
        <v>4-6</v>
      </c>
      <c r="T10" s="10"/>
      <c r="U10" s="10"/>
      <c r="V10" s="10"/>
      <c r="W10" s="2">
        <f>mround(W9*Setup!W7,'Quick Setup'!$A$2)</f>
        <v>145</v>
      </c>
      <c r="X10" s="2">
        <f>Setup!X7</f>
        <v>5</v>
      </c>
      <c r="Y10" s="2">
        <f>Setup!Y7</f>
        <v>3</v>
      </c>
      <c r="Z10" s="2" t="str">
        <f>CONCATENATE(Setup!Z7,"-",Setup!AA7)</f>
        <v>4-6</v>
      </c>
      <c r="AA10" s="10"/>
      <c r="AB10" s="10"/>
      <c r="AC10" s="10"/>
      <c r="AD10" s="2">
        <f>mround(AD9*Setup!AD7,'Quick Setup'!$A$2)</f>
        <v>155</v>
      </c>
      <c r="AE10" s="2">
        <f>Setup!AE7</f>
        <v>4</v>
      </c>
      <c r="AF10" s="2">
        <f>Setup!AF7</f>
        <v>3</v>
      </c>
      <c r="AG10" s="2" t="str">
        <f>CONCATENATE(Setup!AG7,"-",Setup!AH7)</f>
        <v>4-6</v>
      </c>
      <c r="AH10" s="10"/>
      <c r="AI10" s="10"/>
      <c r="AJ10" s="10"/>
      <c r="AK10" s="2">
        <f>mround(AK9*Setup!AK7,'Quick Setup'!$A$2)</f>
        <v>165</v>
      </c>
      <c r="AL10" s="2">
        <f>Setup!AL7</f>
        <v>3</v>
      </c>
      <c r="AM10" s="2">
        <f>Setup!AM7</f>
        <v>2</v>
      </c>
      <c r="AN10" s="2" t="str">
        <f>CONCATENATE(Setup!AN7,"-",Setup!AO7)</f>
        <v>4-6</v>
      </c>
      <c r="AO10" s="10"/>
      <c r="AP10" s="10"/>
      <c r="AQ10" s="10"/>
      <c r="AR10" s="2">
        <f>mround(AR9*Setup!AR7,'Quick Setup'!$A$2)</f>
        <v>120</v>
      </c>
      <c r="AS10" s="2">
        <f>Setup!AS7</f>
        <v>7</v>
      </c>
      <c r="AT10" s="2">
        <f>Setup!AT7</f>
        <v>4</v>
      </c>
      <c r="AU10" s="2" t="str">
        <f>CONCATENATE(Setup!AU7,"-",Setup!AV7)</f>
        <v>4-6</v>
      </c>
      <c r="AV10" s="10"/>
      <c r="AW10" s="10"/>
      <c r="AX10" s="10"/>
      <c r="AY10" s="2">
        <f>mround(AY9*Setup!AY7,'Quick Setup'!$A$2)</f>
        <v>150</v>
      </c>
      <c r="AZ10" s="2">
        <f>Setup!AZ7</f>
        <v>4</v>
      </c>
      <c r="BA10" s="2">
        <f>Setup!BA7</f>
        <v>3</v>
      </c>
      <c r="BB10" s="2" t="str">
        <f>CONCATENATE(Setup!BB7,"-",Setup!BC7)</f>
        <v>4-6</v>
      </c>
      <c r="BC10" s="10"/>
      <c r="BD10" s="10"/>
      <c r="BE10" s="10"/>
      <c r="BF10" s="2">
        <f>mround(BF9*Setup!BF7,'Quick Setup'!$A$2)</f>
        <v>160</v>
      </c>
      <c r="BG10" s="2">
        <f>Setup!BG7</f>
        <v>3</v>
      </c>
      <c r="BH10" s="2">
        <f>Setup!BH7</f>
        <v>2</v>
      </c>
      <c r="BI10" s="2" t="str">
        <f>CONCATENATE(Setup!BI7,"-",Setup!BJ7)</f>
        <v>4-6</v>
      </c>
      <c r="BJ10" s="10"/>
      <c r="BK10" s="10"/>
      <c r="BL10" s="10"/>
      <c r="BM10" s="2">
        <f>mround(BM9*Setup!BM7,'Quick Setup'!$A$2)</f>
        <v>170</v>
      </c>
      <c r="BN10" s="2">
        <f>Setup!BN7</f>
        <v>2</v>
      </c>
      <c r="BO10" s="2">
        <f>Setup!BO7</f>
        <v>2</v>
      </c>
      <c r="BP10" s="2" t="str">
        <f>CONCATENATE(Setup!BP7,"-",Setup!BQ7)</f>
        <v>4-6</v>
      </c>
      <c r="BQ10" s="10"/>
      <c r="BR10" s="10"/>
      <c r="BS10" s="10"/>
      <c r="BT10" s="2">
        <f>mround(BT9*Setup!BT7,'Quick Setup'!$A$2)</f>
        <v>155</v>
      </c>
      <c r="BU10" s="2">
        <f>Setup!BU7</f>
        <v>4</v>
      </c>
      <c r="BV10" s="2">
        <f>Setup!BV7</f>
        <v>3</v>
      </c>
      <c r="BW10" s="2" t="str">
        <f>CONCATENATE(Setup!BW7,"-",Setup!BX7)</f>
        <v>4-6</v>
      </c>
      <c r="BX10" s="10"/>
      <c r="BY10" s="10"/>
      <c r="BZ10" s="10"/>
      <c r="CA10" s="2">
        <f>mround(CA9*Setup!CA7,'Quick Setup'!$A$2)</f>
        <v>165</v>
      </c>
      <c r="CB10" s="2">
        <f>Setup!CB7</f>
        <v>3</v>
      </c>
      <c r="CC10" s="2">
        <f>Setup!CC7</f>
        <v>2</v>
      </c>
      <c r="CD10" s="2" t="str">
        <f>CONCATENATE(Setup!CD7,"-",Setup!CE7)</f>
        <v>4-6</v>
      </c>
      <c r="CE10" s="10"/>
      <c r="CF10" s="10"/>
      <c r="CG10" s="10"/>
      <c r="CH10" s="2">
        <f>mround(CH9*Setup!CH7,'Quick Setup'!$A$2)</f>
        <v>175</v>
      </c>
      <c r="CI10" s="2">
        <f>Setup!CI7</f>
        <v>2</v>
      </c>
      <c r="CJ10" s="2">
        <f>Setup!CJ7</f>
        <v>2</v>
      </c>
      <c r="CK10" s="2" t="str">
        <f>CONCATENATE(Setup!CK7,"-",Setup!CL7)</f>
        <v>4-6</v>
      </c>
      <c r="CL10" s="10"/>
      <c r="CM10" s="10"/>
      <c r="CN10" s="10"/>
      <c r="CO10" s="2">
        <f>mround(CO9*Setup!CO7,'Quick Setup'!$A$2)</f>
        <v>120</v>
      </c>
      <c r="CP10" s="2">
        <f>Setup!CP7</f>
        <v>7</v>
      </c>
      <c r="CQ10" s="2">
        <f>Setup!CQ7</f>
        <v>4</v>
      </c>
      <c r="CR10" s="2" t="str">
        <f>CONCATENATE(Setup!CR7,"-",Setup!CS7)</f>
        <v>4-6</v>
      </c>
      <c r="CS10" s="10"/>
      <c r="CT10" s="10"/>
      <c r="CU10" s="10"/>
      <c r="CV10" s="2">
        <f>mround(CV9*Setup!CV7,'Quick Setup'!$A$2)</f>
        <v>160</v>
      </c>
      <c r="CW10" s="2">
        <f>Setup!CW7</f>
        <v>3</v>
      </c>
      <c r="CX10" s="2">
        <f>Setup!CX7</f>
        <v>2</v>
      </c>
      <c r="CY10" s="2" t="str">
        <f>CONCATENATE(Setup!CY7,"-",Setup!CZ7)</f>
        <v>4-6</v>
      </c>
      <c r="CZ10" s="10"/>
      <c r="DA10" s="10"/>
      <c r="DB10" s="10"/>
      <c r="DC10" s="2">
        <f>mround(DC9*Setup!DC7,'Quick Setup'!$A$2)</f>
        <v>170</v>
      </c>
      <c r="DD10" s="2">
        <f>Setup!DD7</f>
        <v>2</v>
      </c>
      <c r="DE10" s="2">
        <f>Setup!DE7</f>
        <v>2</v>
      </c>
      <c r="DF10" s="2" t="str">
        <f>CONCATENATE(Setup!DF7,"-",Setup!DG7)</f>
        <v>4-6</v>
      </c>
      <c r="DG10" s="10"/>
      <c r="DH10" s="10"/>
      <c r="DI10" s="10"/>
      <c r="DJ10" s="2">
        <f>mround(DJ9*Setup!DJ7,'Quick Setup'!$A$2)</f>
        <v>180</v>
      </c>
      <c r="DK10" s="2">
        <f>Setup!DK7</f>
        <v>1</v>
      </c>
      <c r="DL10" s="2">
        <f>Setup!DL7</f>
        <v>1</v>
      </c>
      <c r="DM10" s="2" t="str">
        <f>CONCATENATE(Setup!DM7,"-",Setup!DN7)</f>
        <v>4-6</v>
      </c>
      <c r="DN10" s="10"/>
      <c r="DO10" s="10"/>
      <c r="DP10" s="10"/>
      <c r="DQ10" s="2">
        <f>mround(DQ9*Setup!DQ7,'Quick Setup'!$A$2)</f>
        <v>170</v>
      </c>
      <c r="DR10" s="2">
        <f>Setup!DR7</f>
        <v>2</v>
      </c>
      <c r="DS10" s="2">
        <f>Setup!DS7</f>
        <v>2</v>
      </c>
      <c r="DT10" s="2" t="str">
        <f>CONCATENATE(Setup!DT7,"-",Setup!DU7)</f>
        <v>4-6</v>
      </c>
      <c r="DU10" s="10"/>
      <c r="DV10" s="10"/>
      <c r="DW10" s="10"/>
      <c r="DX10" s="2">
        <f>mround(DX9*Setup!DX7,'Quick Setup'!$A$2)</f>
        <v>180</v>
      </c>
      <c r="DY10" s="2">
        <f>Setup!DY7</f>
        <v>1</v>
      </c>
      <c r="DZ10" s="2">
        <f>Setup!DZ7</f>
        <v>1</v>
      </c>
      <c r="EA10" s="2" t="str">
        <f>CONCATENATE(Setup!EA7,"-",Setup!EB7)</f>
        <v>4-6</v>
      </c>
      <c r="EB10" s="10"/>
      <c r="EC10" s="10"/>
      <c r="ED10" s="10"/>
      <c r="EE10" s="2">
        <f>mround(EE9*Setup!EE7,'Quick Setup'!$A$2)</f>
        <v>190</v>
      </c>
      <c r="EF10" s="2">
        <f>Setup!EF7</f>
        <v>1</v>
      </c>
      <c r="EG10" s="2">
        <f>Setup!EG7</f>
        <v>1</v>
      </c>
      <c r="EH10" s="2" t="str">
        <f>CONCATENATE(Setup!EH7,"-",Setup!EI7)</f>
        <v>4-6</v>
      </c>
      <c r="EI10" s="10"/>
      <c r="EJ10" s="10"/>
      <c r="EK10" s="10"/>
      <c r="EL10" s="2">
        <f>mround(EL9*Setup!EL7,'Quick Setup'!$A$2)</f>
        <v>120</v>
      </c>
      <c r="EM10" s="2">
        <f>Setup!EM7</f>
        <v>7</v>
      </c>
      <c r="EN10" s="2">
        <f>Setup!EN7</f>
        <v>4</v>
      </c>
      <c r="EO10" s="2" t="str">
        <f>CONCATENATE(Setup!EO7,"-",Setup!EP7)</f>
        <v>4-6</v>
      </c>
      <c r="EP10" s="10"/>
      <c r="EQ10" s="10"/>
      <c r="ER10" s="10"/>
    </row>
    <row r="11">
      <c r="A11" s="1" t="str">
        <f>CONCATENATE(A12," TM")</f>
        <v>Front Squat TM</v>
      </c>
      <c r="B11" s="2">
        <f>if(D11="",'Quick Setup'!D11,D11/'Quick Setup'!E11)</f>
        <v>420</v>
      </c>
      <c r="C11" s="8" t="s">
        <v>73</v>
      </c>
      <c r="D11" s="10"/>
      <c r="E11" s="2"/>
      <c r="F11" s="2"/>
      <c r="G11" s="2"/>
      <c r="H11" s="2"/>
      <c r="I11" s="2">
        <f>if(K11="", if(F12&lt;&gt;"", if(F12&gt;Setup!F10,B11*(1+Setup!G10),if(F12&lt;Setup!E10,B11*(1+Setup!H10),B11)),B11),K11/'Quick Setup'!$E11)</f>
        <v>420</v>
      </c>
      <c r="J11" s="8" t="s">
        <v>73</v>
      </c>
      <c r="K11" s="10"/>
      <c r="L11" s="2"/>
      <c r="M11" s="2"/>
      <c r="N11" s="2"/>
      <c r="O11" s="2"/>
      <c r="P11" s="2">
        <f>if(R11="", if(M12&lt;&gt;"", if(M12&gt;Setup!M10,I11*(1+Setup!N10),if(M12&lt;Setup!L10,I11*(1+Setup!O10),I11)),I11),R11/'Quick Setup'!$E11)</f>
        <v>420</v>
      </c>
      <c r="Q11" s="8" t="s">
        <v>73</v>
      </c>
      <c r="R11" s="10"/>
      <c r="S11" s="2"/>
      <c r="T11" s="2"/>
      <c r="U11" s="2"/>
      <c r="V11" s="2"/>
      <c r="W11" s="2">
        <f>if(Y11="", if(T12&lt;&gt;"", if(T12&gt;Setup!T10,P11*(1+Setup!U10),if(T12&lt;Setup!S10,P11*(1+Setup!V10),P11)),P11),Y11/'Quick Setup'!$E11)</f>
        <v>420</v>
      </c>
      <c r="X11" s="8" t="s">
        <v>73</v>
      </c>
      <c r="Y11" s="10"/>
      <c r="Z11" s="2"/>
      <c r="AA11" s="2"/>
      <c r="AB11" s="2"/>
      <c r="AC11" s="2"/>
      <c r="AD11" s="2">
        <f>if(AF11="", if(AA12&lt;&gt;"", if(AA12&gt;Setup!AA10,W11*(1+Setup!AB10),if(AA12&lt;Setup!Z10,W11*(1+Setup!AC10),W11)),W11),AF11/'Quick Setup'!$E11)</f>
        <v>420</v>
      </c>
      <c r="AE11" s="8" t="s">
        <v>73</v>
      </c>
      <c r="AF11" s="10"/>
      <c r="AG11" s="2"/>
      <c r="AH11" s="2"/>
      <c r="AI11" s="2"/>
      <c r="AJ11" s="2"/>
      <c r="AK11" s="2">
        <f>if(AM11="", if(AH12&lt;&gt;"", if(AH12&gt;Setup!AH10,AD11*(1+Setup!AI10),if(AH12&lt;Setup!AG10,AD11*(1+Setup!AJ10),AD11)),AD11),AM11/'Quick Setup'!$E11)</f>
        <v>420</v>
      </c>
      <c r="AL11" s="8" t="s">
        <v>73</v>
      </c>
      <c r="AM11" s="10"/>
      <c r="AN11" s="2"/>
      <c r="AO11" s="2"/>
      <c r="AP11" s="2"/>
      <c r="AQ11" s="2"/>
      <c r="AR11" s="2">
        <f>if(AT11="", if(AO12&lt;&gt;"", if(AO12&gt;Setup!AO10,AK11*(1+Setup!AP10),if(AO12&lt;Setup!AN10,AK11*(1+Setup!AQ10),AK11)),AK11),AT11/'Quick Setup'!$E11)</f>
        <v>420</v>
      </c>
      <c r="AS11" s="8" t="s">
        <v>73</v>
      </c>
      <c r="AT11" s="10"/>
      <c r="AU11" s="2"/>
      <c r="AV11" s="2"/>
      <c r="AW11" s="2"/>
      <c r="AX11" s="2"/>
      <c r="AY11" s="2">
        <f>if(BA11="", if(AV12&lt;&gt;"", if(AV12&gt;Setup!AV10,AR11*(1+Setup!AW10),if(AV12&lt;Setup!AU10,AR11*(1+Setup!AX10),AR11)),AR11),BA11/'Quick Setup'!$E11)</f>
        <v>420</v>
      </c>
      <c r="AZ11" s="8" t="s">
        <v>73</v>
      </c>
      <c r="BA11" s="10"/>
      <c r="BB11" s="2"/>
      <c r="BC11" s="2"/>
      <c r="BD11" s="2"/>
      <c r="BE11" s="2"/>
      <c r="BF11" s="2">
        <f>if(BH11="", if(BC12&lt;&gt;"", if(BC12&gt;Setup!BC10,AY11*(1+Setup!BD10),if(BC12&lt;Setup!BB10,AY11*(1+Setup!BE10),AY11)),AY11),BH11/'Quick Setup'!$E11)</f>
        <v>420</v>
      </c>
      <c r="BG11" s="8" t="s">
        <v>73</v>
      </c>
      <c r="BH11" s="10"/>
      <c r="BI11" s="2"/>
      <c r="BJ11" s="2"/>
      <c r="BK11" s="2"/>
      <c r="BL11" s="2"/>
      <c r="BM11" s="2">
        <f>if(BO11="", if(BJ12&lt;&gt;"", if(BJ12&gt;Setup!BJ10,BF11*(1+Setup!BK10),if(BJ12&lt;Setup!BI10,BF11*(1+Setup!BL10),BF11)),BF11),BO11/'Quick Setup'!$E11)</f>
        <v>420</v>
      </c>
      <c r="BN11" s="8" t="s">
        <v>73</v>
      </c>
      <c r="BO11" s="10"/>
      <c r="BP11" s="2"/>
      <c r="BQ11" s="2"/>
      <c r="BR11" s="2"/>
      <c r="BS11" s="2"/>
      <c r="BT11" s="2">
        <f>if(BV11="", if(BQ12&lt;&gt;"", if(BQ12&gt;Setup!BQ10,BM11*(1+Setup!BR10),if(BQ12&lt;Setup!BP10,BM11*(1+Setup!BS10),BM11)),BM11),BV11/'Quick Setup'!$E11)</f>
        <v>420</v>
      </c>
      <c r="BU11" s="8" t="s">
        <v>73</v>
      </c>
      <c r="BV11" s="10"/>
      <c r="BW11" s="2"/>
      <c r="BX11" s="2"/>
      <c r="BY11" s="2"/>
      <c r="BZ11" s="2"/>
      <c r="CA11" s="2">
        <f>if(CC11="", if(BX12&lt;&gt;"", if(BX12&gt;Setup!BX10,BT11*(1+Setup!BY10),if(BX12&lt;Setup!BW10,BT11*(1+Setup!BZ10),BT11)),BT11),CC11/'Quick Setup'!$E11)</f>
        <v>420</v>
      </c>
      <c r="CB11" s="8" t="s">
        <v>73</v>
      </c>
      <c r="CC11" s="10"/>
      <c r="CD11" s="2"/>
      <c r="CE11" s="2"/>
      <c r="CF11" s="2"/>
      <c r="CG11" s="2"/>
      <c r="CH11" s="2">
        <f>if(CJ11="", if(CE12&lt;&gt;"", if(CE12&gt;Setup!CE10,CA11*(1+Setup!CF10),if(CE12&lt;Setup!CD10,CA11*(1+Setup!CG10),CA11)),CA11),CJ11/'Quick Setup'!$E11)</f>
        <v>420</v>
      </c>
      <c r="CI11" s="8" t="s">
        <v>73</v>
      </c>
      <c r="CJ11" s="10"/>
      <c r="CK11" s="2"/>
      <c r="CL11" s="2"/>
      <c r="CM11" s="2"/>
      <c r="CN11" s="2"/>
      <c r="CO11" s="2">
        <f>if(CQ11="", if(CL12&lt;&gt;"", if(CL12&gt;Setup!CL10,CH11*(1+Setup!CM10),if(CL12&lt;Setup!CK10,CH11*(1+Setup!CN10),CH11)),CH11),CQ11/'Quick Setup'!$E11)</f>
        <v>420</v>
      </c>
      <c r="CP11" s="8" t="s">
        <v>73</v>
      </c>
      <c r="CQ11" s="10"/>
      <c r="CR11" s="2"/>
      <c r="CS11" s="2"/>
      <c r="CT11" s="2"/>
      <c r="CU11" s="2"/>
      <c r="CV11" s="2">
        <f>if(CX11="", if(CS12&lt;&gt;"", if(CS12&gt;Setup!CS10,CO11*(1+Setup!CT10),if(CS12&lt;Setup!CR10,CO11*(1+Setup!CU10),CO11)),CO11),CX11/'Quick Setup'!$E11)</f>
        <v>420</v>
      </c>
      <c r="CW11" s="8" t="s">
        <v>73</v>
      </c>
      <c r="CX11" s="10"/>
      <c r="CY11" s="2"/>
      <c r="CZ11" s="2"/>
      <c r="DA11" s="2"/>
      <c r="DB11" s="2"/>
      <c r="DC11" s="2">
        <f>if(DE11="", if(CZ12&lt;&gt;"", if(CZ12&gt;Setup!CZ10,CV11*(1+Setup!DA10),if(CZ12&lt;Setup!CY10,CV11*(1+Setup!DB10),CV11)),CV11),DE11/'Quick Setup'!$E11)</f>
        <v>420</v>
      </c>
      <c r="DD11" s="8" t="s">
        <v>73</v>
      </c>
      <c r="DE11" s="10"/>
      <c r="DF11" s="2"/>
      <c r="DG11" s="2"/>
      <c r="DH11" s="2"/>
      <c r="DI11" s="2"/>
      <c r="DJ11" s="2">
        <f>if(DL11="", if(DG12&lt;&gt;"", if(DG12&gt;Setup!DG10,DC11*(1+Setup!DH10),if(DG12&lt;Setup!DF10,DC11*(1+Setup!DI10),DC11)),DC11),DL11/'Quick Setup'!$E11)</f>
        <v>420</v>
      </c>
      <c r="DK11" s="8" t="s">
        <v>73</v>
      </c>
      <c r="DL11" s="10"/>
      <c r="DM11" s="2"/>
      <c r="DN11" s="2"/>
      <c r="DO11" s="2"/>
      <c r="DP11" s="2"/>
      <c r="DQ11" s="2">
        <f>if(DS11="", if(DN12&lt;&gt;"", if(DN12&gt;Setup!DN10,DJ11*(1+Setup!DO10),if(DN12&lt;Setup!DM10,DJ11*(1+Setup!DP10),DJ11)),DJ11),DS11/'Quick Setup'!$E11)</f>
        <v>420</v>
      </c>
      <c r="DR11" s="8" t="s">
        <v>73</v>
      </c>
      <c r="DS11" s="10"/>
      <c r="DT11" s="2"/>
      <c r="DU11" s="2"/>
      <c r="DV11" s="2"/>
      <c r="DW11" s="2"/>
      <c r="DX11" s="2">
        <f>if(DZ11="", if(DU12&lt;&gt;"", if(DU12&gt;Setup!DU10,DQ11*(1+Setup!DV10),if(DU12&lt;Setup!DT10,DQ11*(1+Setup!DW10),DQ11)),DQ11),DZ11/'Quick Setup'!$E11)</f>
        <v>420</v>
      </c>
      <c r="DY11" s="8" t="s">
        <v>73</v>
      </c>
      <c r="DZ11" s="10"/>
      <c r="EA11" s="2"/>
      <c r="EB11" s="2"/>
      <c r="EC11" s="2"/>
      <c r="ED11" s="2"/>
      <c r="EE11" s="2">
        <f>if(EG11="", if(EB12&lt;&gt;"", if(EB12&gt;Setup!EB10,DX11*(1+Setup!EC10),if(EB12&lt;Setup!EA10,DX11*(1+Setup!ED10),DX11)),DX11),EG11/'Quick Setup'!$E11)</f>
        <v>420</v>
      </c>
      <c r="EF11" s="8" t="s">
        <v>73</v>
      </c>
      <c r="EG11" s="10"/>
      <c r="EH11" s="2"/>
      <c r="EI11" s="2"/>
      <c r="EJ11" s="2"/>
      <c r="EK11" s="2"/>
      <c r="EL11" s="2">
        <f>if(EN11="", if(EI12&lt;&gt;"", if(EI12&gt;Setup!EI10,EE11*(1+Setup!EJ10),if(EI12&lt;Setup!EH10,EE11*(1+Setup!EK10),EE11)),EE11),EN11/'Quick Setup'!$E11)</f>
        <v>420</v>
      </c>
      <c r="EM11" s="8" t="s">
        <v>73</v>
      </c>
      <c r="EN11" s="10"/>
      <c r="EO11" s="2"/>
      <c r="EP11" s="2"/>
      <c r="EQ11" s="2"/>
      <c r="ER11" s="2"/>
    </row>
    <row r="12">
      <c r="A12" s="1" t="str">
        <f>Setup!A10</f>
        <v>Front Squat</v>
      </c>
      <c r="B12" s="2">
        <f>mround(B11*Setup!B10,'Quick Setup'!$A$2)</f>
        <v>252.5</v>
      </c>
      <c r="C12" s="2">
        <f>Setup!C10</f>
        <v>7</v>
      </c>
      <c r="D12" s="2">
        <f>Setup!D10</f>
        <v>4</v>
      </c>
      <c r="E12" s="2" t="str">
        <f>CONCATENATE(Setup!E10,"-",Setup!F10)</f>
        <v>4-6</v>
      </c>
      <c r="F12" s="10"/>
      <c r="G12" s="10"/>
      <c r="H12" s="10"/>
      <c r="I12" s="2">
        <f>mround(I11*Setup!I10,'Quick Setup'!$A$2)</f>
        <v>272.5</v>
      </c>
      <c r="J12" s="2">
        <f>Setup!J10</f>
        <v>6</v>
      </c>
      <c r="K12" s="2">
        <f>Setup!K10</f>
        <v>4</v>
      </c>
      <c r="L12" s="2" t="str">
        <f>CONCATENATE(Setup!L10,"-",Setup!M10)</f>
        <v>4-6</v>
      </c>
      <c r="M12" s="10"/>
      <c r="N12" s="10"/>
      <c r="O12" s="10"/>
      <c r="P12" s="2">
        <f>mround(P11*Setup!P10,'Quick Setup'!$A$2)</f>
        <v>295</v>
      </c>
      <c r="Q12" s="2">
        <f>Setup!Q10</f>
        <v>5</v>
      </c>
      <c r="R12" s="2">
        <f>Setup!R10</f>
        <v>3</v>
      </c>
      <c r="S12" s="2" t="str">
        <f>CONCATENATE(Setup!S10,"-",Setup!T10)</f>
        <v>4-6</v>
      </c>
      <c r="T12" s="10"/>
      <c r="U12" s="10"/>
      <c r="V12" s="10"/>
      <c r="W12" s="2">
        <f>mround(W11*Setup!W10,'Quick Setup'!$A$2)</f>
        <v>262.5</v>
      </c>
      <c r="X12" s="2">
        <f>Setup!X10</f>
        <v>7</v>
      </c>
      <c r="Y12" s="2">
        <f>Setup!Y10</f>
        <v>4</v>
      </c>
      <c r="Z12" s="2" t="str">
        <f>CONCATENATE(Setup!Z10,"-",Setup!AA10)</f>
        <v>4-6</v>
      </c>
      <c r="AA12" s="10"/>
      <c r="AB12" s="10"/>
      <c r="AC12" s="10"/>
      <c r="AD12" s="2">
        <f>mround(AD11*Setup!AD10,'Quick Setup'!$A$2)</f>
        <v>282.5</v>
      </c>
      <c r="AE12" s="2">
        <f>Setup!AE10</f>
        <v>6</v>
      </c>
      <c r="AF12" s="2">
        <f>Setup!AF10</f>
        <v>4</v>
      </c>
      <c r="AG12" s="2" t="str">
        <f>CONCATENATE(Setup!AG10,"-",Setup!AH10)</f>
        <v>4-6</v>
      </c>
      <c r="AH12" s="10"/>
      <c r="AI12" s="10"/>
      <c r="AJ12" s="10"/>
      <c r="AK12" s="2">
        <f>mround(AK11*Setup!AK10,'Quick Setup'!$A$2)</f>
        <v>305</v>
      </c>
      <c r="AL12" s="2">
        <f>Setup!AL10</f>
        <v>5</v>
      </c>
      <c r="AM12" s="2">
        <f>Setup!AM10</f>
        <v>3</v>
      </c>
      <c r="AN12" s="2" t="str">
        <f>CONCATENATE(Setup!AN10,"-",Setup!AO10)</f>
        <v>4-6</v>
      </c>
      <c r="AO12" s="10"/>
      <c r="AP12" s="10"/>
      <c r="AQ12" s="10"/>
      <c r="AR12" s="2">
        <f>mround(AR11*Setup!AR10,'Quick Setup'!$A$2)</f>
        <v>210</v>
      </c>
      <c r="AS12" s="2">
        <f>Setup!AS10</f>
        <v>8</v>
      </c>
      <c r="AT12" s="2">
        <f>Setup!AT10</f>
        <v>5</v>
      </c>
      <c r="AU12" s="2" t="str">
        <f>CONCATENATE(Setup!AU10,"-",Setup!AV10)</f>
        <v>4-6</v>
      </c>
      <c r="AV12" s="10"/>
      <c r="AW12" s="10"/>
      <c r="AX12" s="10"/>
      <c r="AY12" s="2">
        <f>mround(AY11*Setup!AY10,'Quick Setup'!$A$2)</f>
        <v>272.5</v>
      </c>
      <c r="AZ12" s="2">
        <f>Setup!AZ10</f>
        <v>6</v>
      </c>
      <c r="BA12" s="2">
        <f>Setup!BA10</f>
        <v>4</v>
      </c>
      <c r="BB12" s="2" t="str">
        <f>CONCATENATE(Setup!BB10,"-",Setup!BC10)</f>
        <v>4-6</v>
      </c>
      <c r="BC12" s="10"/>
      <c r="BD12" s="10"/>
      <c r="BE12" s="10"/>
      <c r="BF12" s="2">
        <f>mround(BF11*Setup!BF10,'Quick Setup'!$A$2)</f>
        <v>295</v>
      </c>
      <c r="BG12" s="2">
        <f>Setup!BG10</f>
        <v>5</v>
      </c>
      <c r="BH12" s="2">
        <f>Setup!BH10</f>
        <v>3</v>
      </c>
      <c r="BI12" s="2" t="str">
        <f>CONCATENATE(Setup!BI10,"-",Setup!BJ10)</f>
        <v>4-6</v>
      </c>
      <c r="BJ12" s="10"/>
      <c r="BK12" s="10"/>
      <c r="BL12" s="10"/>
      <c r="BM12" s="2">
        <f>mround(BM11*Setup!BM10,'Quick Setup'!$A$2)</f>
        <v>315</v>
      </c>
      <c r="BN12" s="2">
        <f>Setup!BN10</f>
        <v>4</v>
      </c>
      <c r="BO12" s="2">
        <f>Setup!BO10</f>
        <v>3</v>
      </c>
      <c r="BP12" s="2" t="str">
        <f>CONCATENATE(Setup!BP10,"-",Setup!BQ10)</f>
        <v>4-6</v>
      </c>
      <c r="BQ12" s="10"/>
      <c r="BR12" s="10"/>
      <c r="BS12" s="10"/>
      <c r="BT12" s="2">
        <f>mround(BT11*Setup!BT10,'Quick Setup'!$A$2)</f>
        <v>282.5</v>
      </c>
      <c r="BU12" s="2">
        <f>Setup!BU10</f>
        <v>6</v>
      </c>
      <c r="BV12" s="2">
        <f>Setup!BV10</f>
        <v>4</v>
      </c>
      <c r="BW12" s="2" t="str">
        <f>CONCATENATE(Setup!BW10,"-",Setup!BX10)</f>
        <v>4-6</v>
      </c>
      <c r="BX12" s="10"/>
      <c r="BY12" s="10"/>
      <c r="BZ12" s="10"/>
      <c r="CA12" s="2">
        <f>mround(CA11*Setup!CA10,'Quick Setup'!$A$2)</f>
        <v>305</v>
      </c>
      <c r="CB12" s="2">
        <f>Setup!CB10</f>
        <v>5</v>
      </c>
      <c r="CC12" s="2">
        <f>Setup!CC10</f>
        <v>3</v>
      </c>
      <c r="CD12" s="2" t="str">
        <f>CONCATENATE(Setup!CD10,"-",Setup!CE10)</f>
        <v>4-6</v>
      </c>
      <c r="CE12" s="10"/>
      <c r="CF12" s="10"/>
      <c r="CG12" s="10"/>
      <c r="CH12" s="2">
        <f>mround(CH11*Setup!CH10,'Quick Setup'!$A$2)</f>
        <v>325</v>
      </c>
      <c r="CI12" s="2">
        <f>Setup!CI10</f>
        <v>4</v>
      </c>
      <c r="CJ12" s="2">
        <f>Setup!CJ10</f>
        <v>3</v>
      </c>
      <c r="CK12" s="2" t="str">
        <f>CONCATENATE(Setup!CK10,"-",Setup!CL10)</f>
        <v>4-6</v>
      </c>
      <c r="CL12" s="10"/>
      <c r="CM12" s="10"/>
      <c r="CN12" s="10"/>
      <c r="CO12" s="2">
        <f>mround(CO11*Setup!CO10,'Quick Setup'!$A$2)</f>
        <v>210</v>
      </c>
      <c r="CP12" s="2">
        <f>Setup!CP10</f>
        <v>8</v>
      </c>
      <c r="CQ12" s="2">
        <f>Setup!CQ10</f>
        <v>5</v>
      </c>
      <c r="CR12" s="2" t="str">
        <f>CONCATENATE(Setup!CR10,"-",Setup!CS10)</f>
        <v>4-6</v>
      </c>
      <c r="CS12" s="10"/>
      <c r="CT12" s="10"/>
      <c r="CU12" s="10"/>
      <c r="CV12" s="2">
        <f>mround(CV11*Setup!CV10,'Quick Setup'!$A$2)</f>
        <v>295</v>
      </c>
      <c r="CW12" s="2">
        <f>Setup!CW10</f>
        <v>5</v>
      </c>
      <c r="CX12" s="2">
        <f>Setup!CX10</f>
        <v>3</v>
      </c>
      <c r="CY12" s="2" t="str">
        <f>CONCATENATE(Setup!CY10,"-",Setup!CZ10)</f>
        <v>4-6</v>
      </c>
      <c r="CZ12" s="10"/>
      <c r="DA12" s="10"/>
      <c r="DB12" s="10"/>
      <c r="DC12" s="2">
        <f>mround(DC11*Setup!DC10,'Quick Setup'!$A$2)</f>
        <v>315</v>
      </c>
      <c r="DD12" s="2">
        <f>Setup!DD10</f>
        <v>4</v>
      </c>
      <c r="DE12" s="2">
        <f>Setup!DE10</f>
        <v>3</v>
      </c>
      <c r="DF12" s="2" t="str">
        <f>CONCATENATE(Setup!DF10,"-",Setup!DG10)</f>
        <v>4-6</v>
      </c>
      <c r="DG12" s="10"/>
      <c r="DH12" s="10"/>
      <c r="DI12" s="10"/>
      <c r="DJ12" s="2">
        <f>mround(DJ11*Setup!DJ10,'Quick Setup'!$A$2)</f>
        <v>335</v>
      </c>
      <c r="DK12" s="2">
        <f>Setup!DK10</f>
        <v>3</v>
      </c>
      <c r="DL12" s="2">
        <f>Setup!DL10</f>
        <v>2</v>
      </c>
      <c r="DM12" s="2" t="str">
        <f>CONCATENATE(Setup!DM10,"-",Setup!DN10)</f>
        <v>4-6</v>
      </c>
      <c r="DN12" s="10"/>
      <c r="DO12" s="10"/>
      <c r="DP12" s="10"/>
      <c r="DQ12" s="2">
        <f>mround(DQ11*Setup!DQ10,'Quick Setup'!$A$2)</f>
        <v>315</v>
      </c>
      <c r="DR12" s="2">
        <f>Setup!DR10</f>
        <v>4</v>
      </c>
      <c r="DS12" s="2">
        <f>Setup!DS10</f>
        <v>3</v>
      </c>
      <c r="DT12" s="2" t="str">
        <f>CONCATENATE(Setup!DT10,"-",Setup!DU10)</f>
        <v>4-6</v>
      </c>
      <c r="DU12" s="10"/>
      <c r="DV12" s="10"/>
      <c r="DW12" s="10"/>
      <c r="DX12" s="2">
        <f>mround(DX11*Setup!DX10,'Quick Setup'!$A$2)</f>
        <v>335</v>
      </c>
      <c r="DY12" s="2">
        <f>Setup!DY10</f>
        <v>3</v>
      </c>
      <c r="DZ12" s="2">
        <f>Setup!DZ10</f>
        <v>2</v>
      </c>
      <c r="EA12" s="2" t="str">
        <f>CONCATENATE(Setup!EA10,"-",Setup!EB10)</f>
        <v>4-6</v>
      </c>
      <c r="EB12" s="10"/>
      <c r="EC12" s="10"/>
      <c r="ED12" s="10"/>
      <c r="EE12" s="2">
        <f>mround(EE11*Setup!EE10,'Quick Setup'!$A$2)</f>
        <v>357.5</v>
      </c>
      <c r="EF12" s="2">
        <f>Setup!EF10</f>
        <v>2</v>
      </c>
      <c r="EG12" s="2">
        <f>Setup!EG10</f>
        <v>2</v>
      </c>
      <c r="EH12" s="2" t="str">
        <f>CONCATENATE(Setup!EH10,"-",Setup!EI10)</f>
        <v>4-6</v>
      </c>
      <c r="EI12" s="10"/>
      <c r="EJ12" s="10"/>
      <c r="EK12" s="10"/>
      <c r="EL12" s="2">
        <f>mround(EL11*Setup!EL10,'Quick Setup'!$A$2)</f>
        <v>210</v>
      </c>
      <c r="EM12" s="2">
        <f>Setup!EM10</f>
        <v>8</v>
      </c>
      <c r="EN12" s="2">
        <f>Setup!EN10</f>
        <v>5</v>
      </c>
      <c r="EO12" s="2" t="str">
        <f>CONCATENATE(Setup!EO10,"-",Setup!EP10)</f>
        <v>4-6</v>
      </c>
      <c r="EP12" s="10"/>
      <c r="EQ12" s="10"/>
      <c r="ER12" s="10"/>
    </row>
    <row r="13">
      <c r="A13" s="1" t="str">
        <f>CONCATENATE(A14," TM")</f>
        <v>Paused Squat TM</v>
      </c>
      <c r="B13" s="2">
        <f>if(D13="",'Quick Setup'!D12,D13/'Quick Setup'!E12)</f>
        <v>460</v>
      </c>
      <c r="C13" s="8" t="s">
        <v>73</v>
      </c>
      <c r="D13" s="10"/>
      <c r="E13" s="2"/>
      <c r="F13" s="2"/>
      <c r="G13" s="2"/>
      <c r="H13" s="2"/>
      <c r="I13" s="2">
        <f>if(K13="", if(F14&lt;&gt;"", if(F14&gt;Setup!F11,B13*(1+Setup!G11),if(F14&lt;Setup!E11,B13*(1+Setup!H11),B13)),B13),K13/'Quick Setup'!$E12)</f>
        <v>460</v>
      </c>
      <c r="J13" s="8" t="s">
        <v>73</v>
      </c>
      <c r="K13" s="10"/>
      <c r="L13" s="2"/>
      <c r="M13" s="2"/>
      <c r="N13" s="2"/>
      <c r="O13" s="2"/>
      <c r="P13" s="2">
        <f>if(R13="", if(M14&lt;&gt;"", if(M14&gt;Setup!M11,I13*(1+Setup!N11),if(M14&lt;Setup!L11,I13*(1+Setup!O11),I13)),I13),R13/'Quick Setup'!$E12)</f>
        <v>460</v>
      </c>
      <c r="Q13" s="8" t="s">
        <v>73</v>
      </c>
      <c r="R13" s="10"/>
      <c r="S13" s="2"/>
      <c r="T13" s="2"/>
      <c r="U13" s="2"/>
      <c r="V13" s="2"/>
      <c r="W13" s="2">
        <f>if(Y13="", if(T14&lt;&gt;"", if(T14&gt;Setup!T11,P13*(1+Setup!U11),if(T14&lt;Setup!S11,P13*(1+Setup!V11),P13)),P13),Y13/'Quick Setup'!$E12)</f>
        <v>460</v>
      </c>
      <c r="X13" s="8" t="s">
        <v>73</v>
      </c>
      <c r="Y13" s="10"/>
      <c r="Z13" s="2"/>
      <c r="AA13" s="2"/>
      <c r="AB13" s="2"/>
      <c r="AC13" s="2"/>
      <c r="AD13" s="2">
        <f>if(AF13="", if(AA14&lt;&gt;"", if(AA14&gt;Setup!AA11,W13*(1+Setup!AB11),if(AA14&lt;Setup!Z11,W13*(1+Setup!AC11),W13)),W13),AF13/'Quick Setup'!$E12)</f>
        <v>460</v>
      </c>
      <c r="AE13" s="8" t="s">
        <v>73</v>
      </c>
      <c r="AF13" s="10"/>
      <c r="AG13" s="2"/>
      <c r="AH13" s="2"/>
      <c r="AI13" s="2"/>
      <c r="AJ13" s="2"/>
      <c r="AK13" s="2">
        <f>if(AM13="", if(AH14&lt;&gt;"", if(AH14&gt;Setup!AH11,AD13*(1+Setup!AI11),if(AH14&lt;Setup!AG11,AD13*(1+Setup!AJ11),AD13)),AD13),AM13/'Quick Setup'!$E12)</f>
        <v>460</v>
      </c>
      <c r="AL13" s="8" t="s">
        <v>73</v>
      </c>
      <c r="AM13" s="10"/>
      <c r="AN13" s="2"/>
      <c r="AO13" s="2"/>
      <c r="AP13" s="2"/>
      <c r="AQ13" s="2"/>
      <c r="AR13" s="2">
        <f>if(AT13="", if(AO14&lt;&gt;"", if(AO14&gt;Setup!AO11,AK13*(1+Setup!AP11),if(AO14&lt;Setup!AN11,AK13*(1+Setup!AQ11),AK13)),AK13),AT13/'Quick Setup'!$E12)</f>
        <v>460</v>
      </c>
      <c r="AS13" s="8" t="s">
        <v>73</v>
      </c>
      <c r="AT13" s="10"/>
      <c r="AU13" s="2"/>
      <c r="AV13" s="2"/>
      <c r="AW13" s="2"/>
      <c r="AX13" s="2"/>
      <c r="AY13" s="2">
        <f>if(BA13="", if(AV14&lt;&gt;"", if(AV14&gt;Setup!AV11,AR13*(1+Setup!AW11),if(AV14&lt;Setup!AU11,AR13*(1+Setup!AX11),AR13)),AR13),BA13/'Quick Setup'!$E12)</f>
        <v>460</v>
      </c>
      <c r="AZ13" s="8" t="s">
        <v>73</v>
      </c>
      <c r="BA13" s="10"/>
      <c r="BB13" s="2"/>
      <c r="BC13" s="2"/>
      <c r="BD13" s="2"/>
      <c r="BE13" s="2"/>
      <c r="BF13" s="2">
        <f>if(BH13="", if(BC14&lt;&gt;"", if(BC14&gt;Setup!BC11,AY13*(1+Setup!BD11),if(BC14&lt;Setup!BB11,AY13*(1+Setup!BE11),AY13)),AY13),BH13/'Quick Setup'!$E12)</f>
        <v>460</v>
      </c>
      <c r="BG13" s="8" t="s">
        <v>73</v>
      </c>
      <c r="BH13" s="10"/>
      <c r="BI13" s="2"/>
      <c r="BJ13" s="2"/>
      <c r="BK13" s="2"/>
      <c r="BL13" s="2"/>
      <c r="BM13" s="2">
        <f>if(BO13="", if(BJ14&lt;&gt;"", if(BJ14&gt;Setup!BJ11,BF13*(1+Setup!BK11),if(BJ14&lt;Setup!BI11,BF13*(1+Setup!BL11),BF13)),BF13),BO13/'Quick Setup'!$E12)</f>
        <v>460</v>
      </c>
      <c r="BN13" s="8" t="s">
        <v>73</v>
      </c>
      <c r="BO13" s="10"/>
      <c r="BP13" s="2"/>
      <c r="BQ13" s="2"/>
      <c r="BR13" s="2"/>
      <c r="BS13" s="2"/>
      <c r="BT13" s="2">
        <f>if(BV13="", if(BQ14&lt;&gt;"", if(BQ14&gt;Setup!BQ11,BM13*(1+Setup!BR11),if(BQ14&lt;Setup!BP11,BM13*(1+Setup!BS11),BM13)),BM13),BV13/'Quick Setup'!$E12)</f>
        <v>460</v>
      </c>
      <c r="BU13" s="8" t="s">
        <v>73</v>
      </c>
      <c r="BV13" s="10"/>
      <c r="BW13" s="2"/>
      <c r="BX13" s="2"/>
      <c r="BY13" s="2"/>
      <c r="BZ13" s="2"/>
      <c r="CA13" s="2">
        <f>if(CC13="", if(BX14&lt;&gt;"", if(BX14&gt;Setup!BX11,BT13*(1+Setup!BY11),if(BX14&lt;Setup!BW11,BT13*(1+Setup!BZ11),BT13)),BT13),CC13/'Quick Setup'!$E12)</f>
        <v>460</v>
      </c>
      <c r="CB13" s="8" t="s">
        <v>73</v>
      </c>
      <c r="CC13" s="10"/>
      <c r="CD13" s="2"/>
      <c r="CE13" s="2"/>
      <c r="CF13" s="2"/>
      <c r="CG13" s="2"/>
      <c r="CH13" s="2">
        <f>if(CJ13="", if(CE14&lt;&gt;"", if(CE14&gt;Setup!CE11,CA13*(1+Setup!CF11),if(CE14&lt;Setup!CD11,CA13*(1+Setup!CG11),CA13)),CA13),CJ13/'Quick Setup'!$E12)</f>
        <v>460</v>
      </c>
      <c r="CI13" s="8" t="s">
        <v>73</v>
      </c>
      <c r="CJ13" s="10"/>
      <c r="CK13" s="2"/>
      <c r="CL13" s="2"/>
      <c r="CM13" s="2"/>
      <c r="CN13" s="2"/>
      <c r="CO13" s="2">
        <f>if(CQ13="", if(CL14&lt;&gt;"", if(CL14&gt;Setup!CL11,CH13*(1+Setup!CM11),if(CL14&lt;Setup!CK11,CH13*(1+Setup!CN11),CH13)),CH13),CQ13/'Quick Setup'!$E12)</f>
        <v>460</v>
      </c>
      <c r="CP13" s="8" t="s">
        <v>73</v>
      </c>
      <c r="CQ13" s="10"/>
      <c r="CR13" s="2"/>
      <c r="CS13" s="2"/>
      <c r="CT13" s="2"/>
      <c r="CU13" s="2"/>
      <c r="CV13" s="2">
        <f>if(CX13="", if(CS14&lt;&gt;"", if(CS14&gt;Setup!CS11,CO13*(1+Setup!CT11),if(CS14&lt;Setup!CR11,CO13*(1+Setup!CU11),CO13)),CO13),CX13/'Quick Setup'!$E12)</f>
        <v>460</v>
      </c>
      <c r="CW13" s="8" t="s">
        <v>73</v>
      </c>
      <c r="CX13" s="10"/>
      <c r="CY13" s="2"/>
      <c r="CZ13" s="2"/>
      <c r="DA13" s="2"/>
      <c r="DB13" s="2"/>
      <c r="DC13" s="2">
        <f>if(DE13="", if(CZ14&lt;&gt;"", if(CZ14&gt;Setup!CZ11,CV13*(1+Setup!DA11),if(CZ14&lt;Setup!CY11,CV13*(1+Setup!DB11),CV13)),CV13),DE13/'Quick Setup'!$E12)</f>
        <v>460</v>
      </c>
      <c r="DD13" s="8" t="s">
        <v>73</v>
      </c>
      <c r="DE13" s="10"/>
      <c r="DF13" s="2"/>
      <c r="DG13" s="2"/>
      <c r="DH13" s="2"/>
      <c r="DI13" s="2"/>
      <c r="DJ13" s="2">
        <f>if(DL13="", if(DG14&lt;&gt;"", if(DG14&gt;Setup!DG11,DC13*(1+Setup!DH11),if(DG14&lt;Setup!DF11,DC13*(1+Setup!DI11),DC13)),DC13),DL13/'Quick Setup'!$E12)</f>
        <v>460</v>
      </c>
      <c r="DK13" s="8" t="s">
        <v>73</v>
      </c>
      <c r="DL13" s="10"/>
      <c r="DM13" s="2"/>
      <c r="DN13" s="2"/>
      <c r="DO13" s="2"/>
      <c r="DP13" s="2"/>
      <c r="DQ13" s="2">
        <f>if(DS13="", if(DN14&lt;&gt;"", if(DN14&gt;Setup!DN11,DJ13*(1+Setup!DO11),if(DN14&lt;Setup!DM11,DJ13*(1+Setup!DP11),DJ13)),DJ13),DS13/'Quick Setup'!$E12)</f>
        <v>460</v>
      </c>
      <c r="DR13" s="8" t="s">
        <v>73</v>
      </c>
      <c r="DS13" s="10"/>
      <c r="DT13" s="2"/>
      <c r="DU13" s="2"/>
      <c r="DV13" s="2"/>
      <c r="DW13" s="2"/>
      <c r="DX13" s="2">
        <f>if(DZ13="", if(DU14&lt;&gt;"", if(DU14&gt;Setup!DU11,DQ13*(1+Setup!DV11),if(DU14&lt;Setup!DT11,DQ13*(1+Setup!DW11),DQ13)),DQ13),DZ13/'Quick Setup'!$E12)</f>
        <v>460</v>
      </c>
      <c r="DY13" s="8" t="s">
        <v>73</v>
      </c>
      <c r="DZ13" s="10"/>
      <c r="EA13" s="2"/>
      <c r="EB13" s="2"/>
      <c r="EC13" s="2"/>
      <c r="ED13" s="2"/>
      <c r="EE13" s="2">
        <f>if(EG13="", if(EB14&lt;&gt;"", if(EB14&gt;Setup!EB11,DX13*(1+Setup!EC11),if(EB14&lt;Setup!EA11,DX13*(1+Setup!ED11),DX13)),DX13),EG13/'Quick Setup'!$E12)</f>
        <v>460</v>
      </c>
      <c r="EF13" s="8" t="s">
        <v>73</v>
      </c>
      <c r="EG13" s="10"/>
      <c r="EH13" s="2"/>
      <c r="EI13" s="2"/>
      <c r="EJ13" s="2"/>
      <c r="EK13" s="2"/>
      <c r="EL13" s="2">
        <f>if(EN13="", if(EI14&lt;&gt;"", if(EI14&gt;Setup!EI11,EE13*(1+Setup!EJ11),if(EI14&lt;Setup!EH11,EE13*(1+Setup!EK11),EE13)),EE13),EN13/'Quick Setup'!$E12)</f>
        <v>460</v>
      </c>
      <c r="EM13" s="8" t="s">
        <v>73</v>
      </c>
      <c r="EN13" s="10"/>
      <c r="EO13" s="2"/>
      <c r="EP13" s="2"/>
      <c r="EQ13" s="2"/>
      <c r="ER13" s="2"/>
    </row>
    <row r="14">
      <c r="A14" s="1" t="str">
        <f>Setup!A11</f>
        <v>Paused Squat</v>
      </c>
      <c r="B14" s="2">
        <f>mround(B13*Setup!B11,'Quick Setup'!$A$2)</f>
        <v>275</v>
      </c>
      <c r="C14" s="2">
        <f>Setup!C11</f>
        <v>7</v>
      </c>
      <c r="D14" s="2">
        <f>Setup!D11</f>
        <v>4</v>
      </c>
      <c r="E14" s="2" t="str">
        <f>CONCATENATE(Setup!E11,"-",Setup!F11)</f>
        <v>4-6</v>
      </c>
      <c r="F14" s="10"/>
      <c r="G14" s="10"/>
      <c r="H14" s="10"/>
      <c r="I14" s="2">
        <f>mround(I13*Setup!I11,'Quick Setup'!$A$2)</f>
        <v>300</v>
      </c>
      <c r="J14" s="2">
        <f>Setup!J11</f>
        <v>6</v>
      </c>
      <c r="K14" s="2">
        <f>Setup!K11</f>
        <v>4</v>
      </c>
      <c r="L14" s="2" t="str">
        <f>CONCATENATE(Setup!L11,"-",Setup!M11)</f>
        <v>4-6</v>
      </c>
      <c r="M14" s="10"/>
      <c r="N14" s="10"/>
      <c r="O14" s="10"/>
      <c r="P14" s="2">
        <f>mround(P13*Setup!P11,'Quick Setup'!$A$2)</f>
        <v>322.5</v>
      </c>
      <c r="Q14" s="2">
        <f>Setup!Q11</f>
        <v>5</v>
      </c>
      <c r="R14" s="2">
        <f>Setup!R11</f>
        <v>3</v>
      </c>
      <c r="S14" s="2" t="str">
        <f>CONCATENATE(Setup!S11,"-",Setup!T11)</f>
        <v>4-6</v>
      </c>
      <c r="T14" s="10"/>
      <c r="U14" s="10"/>
      <c r="V14" s="10"/>
      <c r="W14" s="2">
        <f>mround(W13*Setup!W11,'Quick Setup'!$A$2)</f>
        <v>287.5</v>
      </c>
      <c r="X14" s="2">
        <f>Setup!X11</f>
        <v>7</v>
      </c>
      <c r="Y14" s="2">
        <f>Setup!Y11</f>
        <v>4</v>
      </c>
      <c r="Z14" s="2" t="str">
        <f>CONCATENATE(Setup!Z11,"-",Setup!AA11)</f>
        <v>4-6</v>
      </c>
      <c r="AA14" s="10"/>
      <c r="AB14" s="10"/>
      <c r="AC14" s="10"/>
      <c r="AD14" s="2">
        <f>mround(AD13*Setup!AD11,'Quick Setup'!$A$2)</f>
        <v>310</v>
      </c>
      <c r="AE14" s="2">
        <f>Setup!AE11</f>
        <v>6</v>
      </c>
      <c r="AF14" s="2">
        <f>Setup!AF11</f>
        <v>4</v>
      </c>
      <c r="AG14" s="2" t="str">
        <f>CONCATENATE(Setup!AG11,"-",Setup!AH11)</f>
        <v>4-6</v>
      </c>
      <c r="AH14" s="10"/>
      <c r="AI14" s="10"/>
      <c r="AJ14" s="10"/>
      <c r="AK14" s="2">
        <f>mround(AK13*Setup!AK11,'Quick Setup'!$A$2)</f>
        <v>332.5</v>
      </c>
      <c r="AL14" s="2">
        <f>Setup!AL11</f>
        <v>5</v>
      </c>
      <c r="AM14" s="2">
        <f>Setup!AM11</f>
        <v>3</v>
      </c>
      <c r="AN14" s="2" t="str">
        <f>CONCATENATE(Setup!AN11,"-",Setup!AO11)</f>
        <v>4-6</v>
      </c>
      <c r="AO14" s="10"/>
      <c r="AP14" s="10"/>
      <c r="AQ14" s="10"/>
      <c r="AR14" s="2">
        <f>mround(AR13*Setup!AR11,'Quick Setup'!$A$2)</f>
        <v>230</v>
      </c>
      <c r="AS14" s="2">
        <f>Setup!AS11</f>
        <v>8</v>
      </c>
      <c r="AT14" s="2">
        <f>Setup!AT11</f>
        <v>5</v>
      </c>
      <c r="AU14" s="2" t="str">
        <f>CONCATENATE(Setup!AU11,"-",Setup!AV11)</f>
        <v>4-6</v>
      </c>
      <c r="AV14" s="10"/>
      <c r="AW14" s="10"/>
      <c r="AX14" s="10"/>
      <c r="AY14" s="2">
        <f>mround(AY13*Setup!AY11,'Quick Setup'!$A$2)</f>
        <v>300</v>
      </c>
      <c r="AZ14" s="2">
        <f>Setup!AZ11</f>
        <v>6</v>
      </c>
      <c r="BA14" s="2">
        <f>Setup!BA11</f>
        <v>4</v>
      </c>
      <c r="BB14" s="2" t="str">
        <f>CONCATENATE(Setup!BB11,"-",Setup!BC11)</f>
        <v>4-6</v>
      </c>
      <c r="BC14" s="10"/>
      <c r="BD14" s="10"/>
      <c r="BE14" s="10"/>
      <c r="BF14" s="2">
        <f>mround(BF13*Setup!BF11,'Quick Setup'!$A$2)</f>
        <v>322.5</v>
      </c>
      <c r="BG14" s="2">
        <f>Setup!BG11</f>
        <v>5</v>
      </c>
      <c r="BH14" s="2">
        <f>Setup!BH11</f>
        <v>3</v>
      </c>
      <c r="BI14" s="2" t="str">
        <f>CONCATENATE(Setup!BI11,"-",Setup!BJ11)</f>
        <v>4-6</v>
      </c>
      <c r="BJ14" s="10"/>
      <c r="BK14" s="10"/>
      <c r="BL14" s="10"/>
      <c r="BM14" s="2">
        <f>mround(BM13*Setup!BM11,'Quick Setup'!$A$2)</f>
        <v>345</v>
      </c>
      <c r="BN14" s="2">
        <f>Setup!BN11</f>
        <v>4</v>
      </c>
      <c r="BO14" s="2">
        <f>Setup!BO11</f>
        <v>3</v>
      </c>
      <c r="BP14" s="2" t="str">
        <f>CONCATENATE(Setup!BP11,"-",Setup!BQ11)</f>
        <v>4-6</v>
      </c>
      <c r="BQ14" s="10"/>
      <c r="BR14" s="10"/>
      <c r="BS14" s="10"/>
      <c r="BT14" s="2">
        <f>mround(BT13*Setup!BT11,'Quick Setup'!$A$2)</f>
        <v>310</v>
      </c>
      <c r="BU14" s="2">
        <f>Setup!BU11</f>
        <v>6</v>
      </c>
      <c r="BV14" s="2">
        <f>Setup!BV11</f>
        <v>4</v>
      </c>
      <c r="BW14" s="2" t="str">
        <f>CONCATENATE(Setup!BW11,"-",Setup!BX11)</f>
        <v>4-6</v>
      </c>
      <c r="BX14" s="10"/>
      <c r="BY14" s="10"/>
      <c r="BZ14" s="10"/>
      <c r="CA14" s="2">
        <f>mround(CA13*Setup!CA11,'Quick Setup'!$A$2)</f>
        <v>332.5</v>
      </c>
      <c r="CB14" s="2">
        <f>Setup!CB11</f>
        <v>5</v>
      </c>
      <c r="CC14" s="2">
        <f>Setup!CC11</f>
        <v>3</v>
      </c>
      <c r="CD14" s="2" t="str">
        <f>CONCATENATE(Setup!CD11,"-",Setup!CE11)</f>
        <v>4-6</v>
      </c>
      <c r="CE14" s="10"/>
      <c r="CF14" s="10"/>
      <c r="CG14" s="10"/>
      <c r="CH14" s="2">
        <f>mround(CH13*Setup!CH11,'Quick Setup'!$A$2)</f>
        <v>357.5</v>
      </c>
      <c r="CI14" s="2">
        <f>Setup!CI11</f>
        <v>4</v>
      </c>
      <c r="CJ14" s="2">
        <f>Setup!CJ11</f>
        <v>3</v>
      </c>
      <c r="CK14" s="2" t="str">
        <f>CONCATENATE(Setup!CK11,"-",Setup!CL11)</f>
        <v>4-6</v>
      </c>
      <c r="CL14" s="10"/>
      <c r="CM14" s="10"/>
      <c r="CN14" s="10"/>
      <c r="CO14" s="2">
        <f>mround(CO13*Setup!CO11,'Quick Setup'!$A$2)</f>
        <v>230</v>
      </c>
      <c r="CP14" s="2">
        <f>Setup!CP11</f>
        <v>8</v>
      </c>
      <c r="CQ14" s="2">
        <f>Setup!CQ11</f>
        <v>5</v>
      </c>
      <c r="CR14" s="2" t="str">
        <f>CONCATENATE(Setup!CR11,"-",Setup!CS11)</f>
        <v>4-6</v>
      </c>
      <c r="CS14" s="10"/>
      <c r="CT14" s="10"/>
      <c r="CU14" s="10"/>
      <c r="CV14" s="2">
        <f>mround(CV13*Setup!CV11,'Quick Setup'!$A$2)</f>
        <v>322.5</v>
      </c>
      <c r="CW14" s="2">
        <f>Setup!CW11</f>
        <v>5</v>
      </c>
      <c r="CX14" s="2">
        <f>Setup!CX11</f>
        <v>3</v>
      </c>
      <c r="CY14" s="2" t="str">
        <f>CONCATENATE(Setup!CY11,"-",Setup!CZ11)</f>
        <v>4-6</v>
      </c>
      <c r="CZ14" s="10"/>
      <c r="DA14" s="10"/>
      <c r="DB14" s="10"/>
      <c r="DC14" s="2">
        <f>mround(DC13*Setup!DC11,'Quick Setup'!$A$2)</f>
        <v>345</v>
      </c>
      <c r="DD14" s="2">
        <f>Setup!DD11</f>
        <v>4</v>
      </c>
      <c r="DE14" s="2">
        <f>Setup!DE11</f>
        <v>3</v>
      </c>
      <c r="DF14" s="2" t="str">
        <f>CONCATENATE(Setup!DF11,"-",Setup!DG11)</f>
        <v>4-6</v>
      </c>
      <c r="DG14" s="10"/>
      <c r="DH14" s="10"/>
      <c r="DI14" s="10"/>
      <c r="DJ14" s="2">
        <f>mround(DJ13*Setup!DJ11,'Quick Setup'!$A$2)</f>
        <v>367.5</v>
      </c>
      <c r="DK14" s="2">
        <f>Setup!DK11</f>
        <v>3</v>
      </c>
      <c r="DL14" s="2">
        <f>Setup!DL11</f>
        <v>2</v>
      </c>
      <c r="DM14" s="2" t="str">
        <f>CONCATENATE(Setup!DM11,"-",Setup!DN11)</f>
        <v>4-6</v>
      </c>
      <c r="DN14" s="10"/>
      <c r="DO14" s="10"/>
      <c r="DP14" s="10"/>
      <c r="DQ14" s="2">
        <f>mround(DQ13*Setup!DQ11,'Quick Setup'!$A$2)</f>
        <v>345</v>
      </c>
      <c r="DR14" s="2">
        <f>Setup!DR11</f>
        <v>4</v>
      </c>
      <c r="DS14" s="2">
        <f>Setup!DS11</f>
        <v>3</v>
      </c>
      <c r="DT14" s="2" t="str">
        <f>CONCATENATE(Setup!DT11,"-",Setup!DU11)</f>
        <v>4-6</v>
      </c>
      <c r="DU14" s="10"/>
      <c r="DV14" s="10"/>
      <c r="DW14" s="10"/>
      <c r="DX14" s="2">
        <f>mround(DX13*Setup!DX11,'Quick Setup'!$A$2)</f>
        <v>367.5</v>
      </c>
      <c r="DY14" s="2">
        <f>Setup!DY11</f>
        <v>3</v>
      </c>
      <c r="DZ14" s="2">
        <f>Setup!DZ11</f>
        <v>2</v>
      </c>
      <c r="EA14" s="2" t="str">
        <f>CONCATENATE(Setup!EA11,"-",Setup!EB11)</f>
        <v>4-6</v>
      </c>
      <c r="EB14" s="10"/>
      <c r="EC14" s="10"/>
      <c r="ED14" s="10"/>
      <c r="EE14" s="2">
        <f>mround(EE13*Setup!EE11,'Quick Setup'!$A$2)</f>
        <v>390</v>
      </c>
      <c r="EF14" s="2">
        <f>Setup!EF11</f>
        <v>2</v>
      </c>
      <c r="EG14" s="2">
        <f>Setup!EG11</f>
        <v>2</v>
      </c>
      <c r="EH14" s="2" t="str">
        <f>CONCATENATE(Setup!EH11,"-",Setup!EI11)</f>
        <v>4-6</v>
      </c>
      <c r="EI14" s="10"/>
      <c r="EJ14" s="10"/>
      <c r="EK14" s="10"/>
      <c r="EL14" s="2">
        <f>mround(EL13*Setup!EL11,'Quick Setup'!$A$2)</f>
        <v>230</v>
      </c>
      <c r="EM14" s="2">
        <f>Setup!EM11</f>
        <v>8</v>
      </c>
      <c r="EN14" s="2">
        <f>Setup!EN11</f>
        <v>5</v>
      </c>
      <c r="EO14" s="2" t="str">
        <f>CONCATENATE(Setup!EO11,"-",Setup!EP11)</f>
        <v>4-6</v>
      </c>
      <c r="EP14" s="10"/>
      <c r="EQ14" s="10"/>
      <c r="ER14" s="10"/>
    </row>
    <row r="15">
      <c r="A15" s="1" t="str">
        <f>CONCATENATE(A16," TM")</f>
        <v>Close Grip Bench TM</v>
      </c>
      <c r="B15" s="2">
        <f>if(D15="",'Quick Setup'!D13,D15/'Quick Setup'!E13)</f>
        <v>310</v>
      </c>
      <c r="C15" s="8" t="s">
        <v>73</v>
      </c>
      <c r="D15" s="10"/>
      <c r="E15" s="2"/>
      <c r="F15" s="2"/>
      <c r="G15" s="2"/>
      <c r="H15" s="2"/>
      <c r="I15" s="2">
        <f>if(K15="", if(F16&lt;&gt;"", if(F16&gt;Setup!F12,B15*(1+Setup!G12),if(F16&lt;Setup!E12,B15*(1+Setup!H12),B15)),B15),K15/'Quick Setup'!$E13)</f>
        <v>310</v>
      </c>
      <c r="J15" s="8" t="s">
        <v>73</v>
      </c>
      <c r="K15" s="10"/>
      <c r="L15" s="2"/>
      <c r="M15" s="2"/>
      <c r="N15" s="2"/>
      <c r="O15" s="2"/>
      <c r="P15" s="2">
        <f>if(R15="", if(M16&lt;&gt;"", if(M16&gt;Setup!M12,I15*(1+Setup!N12),if(M16&lt;Setup!L12,I15*(1+Setup!O12),I15)),I15),R15/'Quick Setup'!$E13)</f>
        <v>310</v>
      </c>
      <c r="Q15" s="8" t="s">
        <v>73</v>
      </c>
      <c r="R15" s="10"/>
      <c r="S15" s="2"/>
      <c r="T15" s="2"/>
      <c r="U15" s="2"/>
      <c r="V15" s="2"/>
      <c r="W15" s="2">
        <f>if(Y15="", if(T16&lt;&gt;"", if(T16&gt;Setup!T12,P15*(1+Setup!U12),if(T16&lt;Setup!S12,P15*(1+Setup!V12),P15)),P15),Y15/'Quick Setup'!$E13)</f>
        <v>310</v>
      </c>
      <c r="X15" s="8" t="s">
        <v>73</v>
      </c>
      <c r="Y15" s="10"/>
      <c r="Z15" s="2"/>
      <c r="AA15" s="2"/>
      <c r="AB15" s="2"/>
      <c r="AC15" s="2"/>
      <c r="AD15" s="2">
        <f>if(AF15="", if(AA16&lt;&gt;"", if(AA16&gt;Setup!AA12,W15*(1+Setup!AB12),if(AA16&lt;Setup!Z12,W15*(1+Setup!AC12),W15)),W15),AF15/'Quick Setup'!$E13)</f>
        <v>310</v>
      </c>
      <c r="AE15" s="8" t="s">
        <v>73</v>
      </c>
      <c r="AF15" s="10"/>
      <c r="AG15" s="2"/>
      <c r="AH15" s="2"/>
      <c r="AI15" s="2"/>
      <c r="AJ15" s="2"/>
      <c r="AK15" s="2">
        <f>if(AM15="", if(AH16&lt;&gt;"", if(AH16&gt;Setup!AH12,AD15*(1+Setup!AI12),if(AH16&lt;Setup!AG12,AD15*(1+Setup!AJ12),AD15)),AD15),AM15/'Quick Setup'!$E13)</f>
        <v>310</v>
      </c>
      <c r="AL15" s="8" t="s">
        <v>73</v>
      </c>
      <c r="AM15" s="10"/>
      <c r="AN15" s="2"/>
      <c r="AO15" s="2"/>
      <c r="AP15" s="2"/>
      <c r="AQ15" s="2"/>
      <c r="AR15" s="2">
        <f>if(AT15="", if(AO16&lt;&gt;"", if(AO16&gt;Setup!AO12,AK15*(1+Setup!AP12),if(AO16&lt;Setup!AN12,AK15*(1+Setup!AQ12),AK15)),AK15),AT15/'Quick Setup'!$E13)</f>
        <v>310</v>
      </c>
      <c r="AS15" s="8" t="s">
        <v>73</v>
      </c>
      <c r="AT15" s="10"/>
      <c r="AU15" s="2"/>
      <c r="AV15" s="2"/>
      <c r="AW15" s="2"/>
      <c r="AX15" s="2"/>
      <c r="AY15" s="2">
        <f>if(BA15="", if(AV16&lt;&gt;"", if(AV16&gt;Setup!AV12,AR15*(1+Setup!AW12),if(AV16&lt;Setup!AU12,AR15*(1+Setup!AX12),AR15)),AR15),BA15/'Quick Setup'!$E13)</f>
        <v>310</v>
      </c>
      <c r="AZ15" s="8" t="s">
        <v>73</v>
      </c>
      <c r="BA15" s="10"/>
      <c r="BB15" s="2"/>
      <c r="BC15" s="2"/>
      <c r="BD15" s="2"/>
      <c r="BE15" s="2"/>
      <c r="BF15" s="2">
        <f>if(BH15="", if(BC16&lt;&gt;"", if(BC16&gt;Setup!BC12,AY15*(1+Setup!BD12),if(BC16&lt;Setup!BB12,AY15*(1+Setup!BE12),AY15)),AY15),BH15/'Quick Setup'!$E13)</f>
        <v>310</v>
      </c>
      <c r="BG15" s="8" t="s">
        <v>73</v>
      </c>
      <c r="BH15" s="10"/>
      <c r="BI15" s="2"/>
      <c r="BJ15" s="2"/>
      <c r="BK15" s="2"/>
      <c r="BL15" s="2"/>
      <c r="BM15" s="2">
        <f>if(BO15="", if(BJ16&lt;&gt;"", if(BJ16&gt;Setup!BJ12,BF15*(1+Setup!BK12),if(BJ16&lt;Setup!BI12,BF15*(1+Setup!BL12),BF15)),BF15),BO15/'Quick Setup'!$E13)</f>
        <v>310</v>
      </c>
      <c r="BN15" s="8" t="s">
        <v>73</v>
      </c>
      <c r="BO15" s="10"/>
      <c r="BP15" s="2"/>
      <c r="BQ15" s="2"/>
      <c r="BR15" s="2"/>
      <c r="BS15" s="2"/>
      <c r="BT15" s="2">
        <f>if(BV15="", if(BQ16&lt;&gt;"", if(BQ16&gt;Setup!BQ12,BM15*(1+Setup!BR12),if(BQ16&lt;Setup!BP12,BM15*(1+Setup!BS12),BM15)),BM15),BV15/'Quick Setup'!$E13)</f>
        <v>310</v>
      </c>
      <c r="BU15" s="8" t="s">
        <v>73</v>
      </c>
      <c r="BV15" s="10"/>
      <c r="BW15" s="2"/>
      <c r="BX15" s="2"/>
      <c r="BY15" s="2"/>
      <c r="BZ15" s="2"/>
      <c r="CA15" s="2">
        <f>if(CC15="", if(BX16&lt;&gt;"", if(BX16&gt;Setup!BX12,BT15*(1+Setup!BY12),if(BX16&lt;Setup!BW12,BT15*(1+Setup!BZ12),BT15)),BT15),CC15/'Quick Setup'!$E13)</f>
        <v>310</v>
      </c>
      <c r="CB15" s="8" t="s">
        <v>73</v>
      </c>
      <c r="CC15" s="10"/>
      <c r="CD15" s="2"/>
      <c r="CE15" s="2"/>
      <c r="CF15" s="2"/>
      <c r="CG15" s="2"/>
      <c r="CH15" s="2">
        <f>if(CJ15="", if(CE16&lt;&gt;"", if(CE16&gt;Setup!CE12,CA15*(1+Setup!CF12),if(CE16&lt;Setup!CD12,CA15*(1+Setup!CG12),CA15)),CA15),CJ15/'Quick Setup'!$E13)</f>
        <v>310</v>
      </c>
      <c r="CI15" s="8" t="s">
        <v>73</v>
      </c>
      <c r="CJ15" s="10"/>
      <c r="CK15" s="2"/>
      <c r="CL15" s="2"/>
      <c r="CM15" s="2"/>
      <c r="CN15" s="2"/>
      <c r="CO15" s="2">
        <f>if(CQ15="", if(CL16&lt;&gt;"", if(CL16&gt;Setup!CL12,CH15*(1+Setup!CM12),if(CL16&lt;Setup!CK12,CH15*(1+Setup!CN12),CH15)),CH15),CQ15/'Quick Setup'!$E13)</f>
        <v>310</v>
      </c>
      <c r="CP15" s="8" t="s">
        <v>73</v>
      </c>
      <c r="CQ15" s="10"/>
      <c r="CR15" s="2"/>
      <c r="CS15" s="2"/>
      <c r="CT15" s="2"/>
      <c r="CU15" s="2"/>
      <c r="CV15" s="2">
        <f>if(CX15="", if(CS16&lt;&gt;"", if(CS16&gt;Setup!CS12,CO15*(1+Setup!CT12),if(CS16&lt;Setup!CR12,CO15*(1+Setup!CU12),CO15)),CO15),CX15/'Quick Setup'!$E13)</f>
        <v>310</v>
      </c>
      <c r="CW15" s="8" t="s">
        <v>73</v>
      </c>
      <c r="CX15" s="10"/>
      <c r="CY15" s="2"/>
      <c r="CZ15" s="2"/>
      <c r="DA15" s="2"/>
      <c r="DB15" s="2"/>
      <c r="DC15" s="2">
        <f>if(DE15="", if(CZ16&lt;&gt;"", if(CZ16&gt;Setup!CZ12,CV15*(1+Setup!DA12),if(CZ16&lt;Setup!CY12,CV15*(1+Setup!DB12),CV15)),CV15),DE15/'Quick Setup'!$E13)</f>
        <v>310</v>
      </c>
      <c r="DD15" s="8" t="s">
        <v>73</v>
      </c>
      <c r="DE15" s="10"/>
      <c r="DF15" s="2"/>
      <c r="DG15" s="2"/>
      <c r="DH15" s="2"/>
      <c r="DI15" s="2"/>
      <c r="DJ15" s="2">
        <f>if(DL15="", if(DG16&lt;&gt;"", if(DG16&gt;Setup!DG12,DC15*(1+Setup!DH12),if(DG16&lt;Setup!DF12,DC15*(1+Setup!DI12),DC15)),DC15),DL15/'Quick Setup'!$E13)</f>
        <v>310</v>
      </c>
      <c r="DK15" s="8" t="s">
        <v>73</v>
      </c>
      <c r="DL15" s="10"/>
      <c r="DM15" s="2"/>
      <c r="DN15" s="2"/>
      <c r="DO15" s="2"/>
      <c r="DP15" s="2"/>
      <c r="DQ15" s="2">
        <f>if(DS15="", if(DN16&lt;&gt;"", if(DN16&gt;Setup!DN12,DJ15*(1+Setup!DO12),if(DN16&lt;Setup!DM12,DJ15*(1+Setup!DP12),DJ15)),DJ15),DS15/'Quick Setup'!$E13)</f>
        <v>310</v>
      </c>
      <c r="DR15" s="8" t="s">
        <v>73</v>
      </c>
      <c r="DS15" s="10"/>
      <c r="DT15" s="2"/>
      <c r="DU15" s="2"/>
      <c r="DV15" s="2"/>
      <c r="DW15" s="2"/>
      <c r="DX15" s="2">
        <f>if(DZ15="", if(DU16&lt;&gt;"", if(DU16&gt;Setup!DU12,DQ15*(1+Setup!DV12),if(DU16&lt;Setup!DT12,DQ15*(1+Setup!DW12),DQ15)),DQ15),DZ15/'Quick Setup'!$E13)</f>
        <v>310</v>
      </c>
      <c r="DY15" s="8" t="s">
        <v>73</v>
      </c>
      <c r="DZ15" s="10"/>
      <c r="EA15" s="2"/>
      <c r="EB15" s="2"/>
      <c r="EC15" s="2"/>
      <c r="ED15" s="2"/>
      <c r="EE15" s="2">
        <f>if(EG15="", if(EB16&lt;&gt;"", if(EB16&gt;Setup!EB12,DX15*(1+Setup!EC12),if(EB16&lt;Setup!EA12,DX15*(1+Setup!ED12),DX15)),DX15),EG15/'Quick Setup'!$E13)</f>
        <v>310</v>
      </c>
      <c r="EF15" s="8" t="s">
        <v>73</v>
      </c>
      <c r="EG15" s="10"/>
      <c r="EH15" s="2"/>
      <c r="EI15" s="2"/>
      <c r="EJ15" s="2"/>
      <c r="EK15" s="2"/>
      <c r="EL15" s="2">
        <f>if(EN15="", if(EI16&lt;&gt;"", if(EI16&gt;Setup!EI12,EE15*(1+Setup!EJ12),if(EI16&lt;Setup!EH12,EE15*(1+Setup!EK12),EE15)),EE15),EN15/'Quick Setup'!$E13)</f>
        <v>310</v>
      </c>
      <c r="EM15" s="8" t="s">
        <v>73</v>
      </c>
      <c r="EN15" s="10"/>
      <c r="EO15" s="2"/>
      <c r="EP15" s="2"/>
      <c r="EQ15" s="2"/>
      <c r="ER15" s="2"/>
    </row>
    <row r="16">
      <c r="A16" s="1" t="str">
        <f>Setup!A12</f>
        <v>Close Grip Bench</v>
      </c>
      <c r="B16" s="2">
        <f>mround(B15*Setup!B12,'Quick Setup'!$A$2)</f>
        <v>185</v>
      </c>
      <c r="C16" s="2">
        <f>Setup!C12</f>
        <v>7</v>
      </c>
      <c r="D16" s="2">
        <f>Setup!D12</f>
        <v>4</v>
      </c>
      <c r="E16" s="2" t="str">
        <f>CONCATENATE(Setup!E12,"-",Setup!F12)</f>
        <v>4-6</v>
      </c>
      <c r="F16" s="10"/>
      <c r="G16" s="10"/>
      <c r="H16" s="10"/>
      <c r="I16" s="2">
        <f>mround(I15*Setup!I12,'Quick Setup'!$A$2)</f>
        <v>202.5</v>
      </c>
      <c r="J16" s="2">
        <f>Setup!J12</f>
        <v>6</v>
      </c>
      <c r="K16" s="2">
        <f>Setup!K12</f>
        <v>4</v>
      </c>
      <c r="L16" s="2" t="str">
        <f>CONCATENATE(Setup!L12,"-",Setup!M12)</f>
        <v>4-6</v>
      </c>
      <c r="M16" s="10"/>
      <c r="N16" s="10"/>
      <c r="O16" s="10"/>
      <c r="P16" s="2">
        <f>mround(P15*Setup!P12,'Quick Setup'!$A$2)</f>
        <v>217.5</v>
      </c>
      <c r="Q16" s="2">
        <f>Setup!Q12</f>
        <v>5</v>
      </c>
      <c r="R16" s="2">
        <f>Setup!R12</f>
        <v>3</v>
      </c>
      <c r="S16" s="2" t="str">
        <f>CONCATENATE(Setup!S12,"-",Setup!T12)</f>
        <v>4-6</v>
      </c>
      <c r="T16" s="10"/>
      <c r="U16" s="10"/>
      <c r="V16" s="10"/>
      <c r="W16" s="2">
        <f>mround(W15*Setup!W12,'Quick Setup'!$A$2)</f>
        <v>195</v>
      </c>
      <c r="X16" s="2">
        <f>Setup!X12</f>
        <v>7</v>
      </c>
      <c r="Y16" s="2">
        <f>Setup!Y12</f>
        <v>4</v>
      </c>
      <c r="Z16" s="2" t="str">
        <f>CONCATENATE(Setup!Z12,"-",Setup!AA12)</f>
        <v>4-6</v>
      </c>
      <c r="AA16" s="10"/>
      <c r="AB16" s="10"/>
      <c r="AC16" s="10"/>
      <c r="AD16" s="2">
        <f>mround(AD15*Setup!AD12,'Quick Setup'!$A$2)</f>
        <v>210</v>
      </c>
      <c r="AE16" s="2">
        <f>Setup!AE12</f>
        <v>6</v>
      </c>
      <c r="AF16" s="2">
        <f>Setup!AF12</f>
        <v>4</v>
      </c>
      <c r="AG16" s="2" t="str">
        <f>CONCATENATE(Setup!AG12,"-",Setup!AH12)</f>
        <v>4-6</v>
      </c>
      <c r="AH16" s="10"/>
      <c r="AI16" s="10"/>
      <c r="AJ16" s="10"/>
      <c r="AK16" s="2">
        <f>mround(AK15*Setup!AK12,'Quick Setup'!$A$2)</f>
        <v>225</v>
      </c>
      <c r="AL16" s="2">
        <f>Setup!AL12</f>
        <v>5</v>
      </c>
      <c r="AM16" s="2">
        <f>Setup!AM12</f>
        <v>3</v>
      </c>
      <c r="AN16" s="2" t="str">
        <f>CONCATENATE(Setup!AN12,"-",Setup!AO12)</f>
        <v>4-6</v>
      </c>
      <c r="AO16" s="10"/>
      <c r="AP16" s="10"/>
      <c r="AQ16" s="10"/>
      <c r="AR16" s="2">
        <f>mround(AR15*Setup!AR12,'Quick Setup'!$A$2)</f>
        <v>155</v>
      </c>
      <c r="AS16" s="2">
        <f>Setup!AS12</f>
        <v>8</v>
      </c>
      <c r="AT16" s="2">
        <f>Setup!AT12</f>
        <v>5</v>
      </c>
      <c r="AU16" s="2" t="str">
        <f>CONCATENATE(Setup!AU12,"-",Setup!AV12)</f>
        <v>4-6</v>
      </c>
      <c r="AV16" s="10"/>
      <c r="AW16" s="10"/>
      <c r="AX16" s="10"/>
      <c r="AY16" s="2">
        <f>mround(AY15*Setup!AY12,'Quick Setup'!$A$2)</f>
        <v>202.5</v>
      </c>
      <c r="AZ16" s="2">
        <f>Setup!AZ12</f>
        <v>6</v>
      </c>
      <c r="BA16" s="2">
        <f>Setup!BA12</f>
        <v>4</v>
      </c>
      <c r="BB16" s="2" t="str">
        <f>CONCATENATE(Setup!BB12,"-",Setup!BC12)</f>
        <v>4-6</v>
      </c>
      <c r="BC16" s="10"/>
      <c r="BD16" s="10"/>
      <c r="BE16" s="10"/>
      <c r="BF16" s="2">
        <f>mround(BF15*Setup!BF12,'Quick Setup'!$A$2)</f>
        <v>217.5</v>
      </c>
      <c r="BG16" s="2">
        <f>Setup!BG12</f>
        <v>5</v>
      </c>
      <c r="BH16" s="2">
        <f>Setup!BH12</f>
        <v>3</v>
      </c>
      <c r="BI16" s="2" t="str">
        <f>CONCATENATE(Setup!BI12,"-",Setup!BJ12)</f>
        <v>4-6</v>
      </c>
      <c r="BJ16" s="10"/>
      <c r="BK16" s="10"/>
      <c r="BL16" s="10"/>
      <c r="BM16" s="2">
        <f>mround(BM15*Setup!BM12,'Quick Setup'!$A$2)</f>
        <v>232.5</v>
      </c>
      <c r="BN16" s="2">
        <f>Setup!BN12</f>
        <v>4</v>
      </c>
      <c r="BO16" s="2">
        <f>Setup!BO12</f>
        <v>3</v>
      </c>
      <c r="BP16" s="2" t="str">
        <f>CONCATENATE(Setup!BP12,"-",Setup!BQ12)</f>
        <v>4-6</v>
      </c>
      <c r="BQ16" s="10"/>
      <c r="BR16" s="10"/>
      <c r="BS16" s="10"/>
      <c r="BT16" s="2">
        <f>mround(BT15*Setup!BT12,'Quick Setup'!$A$2)</f>
        <v>210</v>
      </c>
      <c r="BU16" s="2">
        <f>Setup!BU12</f>
        <v>6</v>
      </c>
      <c r="BV16" s="2">
        <f>Setup!BV12</f>
        <v>4</v>
      </c>
      <c r="BW16" s="2" t="str">
        <f>CONCATENATE(Setup!BW12,"-",Setup!BX12)</f>
        <v>4-6</v>
      </c>
      <c r="BX16" s="10"/>
      <c r="BY16" s="10"/>
      <c r="BZ16" s="10"/>
      <c r="CA16" s="2">
        <f>mround(CA15*Setup!CA12,'Quick Setup'!$A$2)</f>
        <v>225</v>
      </c>
      <c r="CB16" s="2">
        <f>Setup!CB12</f>
        <v>5</v>
      </c>
      <c r="CC16" s="2">
        <f>Setup!CC12</f>
        <v>3</v>
      </c>
      <c r="CD16" s="2" t="str">
        <f>CONCATENATE(Setup!CD12,"-",Setup!CE12)</f>
        <v>4-6</v>
      </c>
      <c r="CE16" s="10"/>
      <c r="CF16" s="10"/>
      <c r="CG16" s="10"/>
      <c r="CH16" s="2">
        <f>mround(CH15*Setup!CH12,'Quick Setup'!$A$2)</f>
        <v>240</v>
      </c>
      <c r="CI16" s="2">
        <f>Setup!CI12</f>
        <v>4</v>
      </c>
      <c r="CJ16" s="2">
        <f>Setup!CJ12</f>
        <v>3</v>
      </c>
      <c r="CK16" s="2" t="str">
        <f>CONCATENATE(Setup!CK12,"-",Setup!CL12)</f>
        <v>4-6</v>
      </c>
      <c r="CL16" s="10"/>
      <c r="CM16" s="10"/>
      <c r="CN16" s="10"/>
      <c r="CO16" s="2">
        <f>mround(CO15*Setup!CO12,'Quick Setup'!$A$2)</f>
        <v>155</v>
      </c>
      <c r="CP16" s="2">
        <f>Setup!CP12</f>
        <v>8</v>
      </c>
      <c r="CQ16" s="2">
        <f>Setup!CQ12</f>
        <v>5</v>
      </c>
      <c r="CR16" s="2" t="str">
        <f>CONCATENATE(Setup!CR12,"-",Setup!CS12)</f>
        <v>4-6</v>
      </c>
      <c r="CS16" s="10"/>
      <c r="CT16" s="10"/>
      <c r="CU16" s="10"/>
      <c r="CV16" s="2">
        <f>mround(CV15*Setup!CV12,'Quick Setup'!$A$2)</f>
        <v>217.5</v>
      </c>
      <c r="CW16" s="2">
        <f>Setup!CW12</f>
        <v>5</v>
      </c>
      <c r="CX16" s="2">
        <f>Setup!CX12</f>
        <v>3</v>
      </c>
      <c r="CY16" s="2" t="str">
        <f>CONCATENATE(Setup!CY12,"-",Setup!CZ12)</f>
        <v>4-6</v>
      </c>
      <c r="CZ16" s="10"/>
      <c r="DA16" s="10"/>
      <c r="DB16" s="10"/>
      <c r="DC16" s="2">
        <f>mround(DC15*Setup!DC12,'Quick Setup'!$A$2)</f>
        <v>232.5</v>
      </c>
      <c r="DD16" s="2">
        <f>Setup!DD12</f>
        <v>4</v>
      </c>
      <c r="DE16" s="2">
        <f>Setup!DE12</f>
        <v>3</v>
      </c>
      <c r="DF16" s="2" t="str">
        <f>CONCATENATE(Setup!DF12,"-",Setup!DG12)</f>
        <v>4-6</v>
      </c>
      <c r="DG16" s="10"/>
      <c r="DH16" s="10"/>
      <c r="DI16" s="10"/>
      <c r="DJ16" s="2">
        <f>mround(DJ15*Setup!DJ12,'Quick Setup'!$A$2)</f>
        <v>247.5</v>
      </c>
      <c r="DK16" s="2">
        <f>Setup!DK12</f>
        <v>3</v>
      </c>
      <c r="DL16" s="2">
        <f>Setup!DL12</f>
        <v>2</v>
      </c>
      <c r="DM16" s="2" t="str">
        <f>CONCATENATE(Setup!DM12,"-",Setup!DN12)</f>
        <v>4-6</v>
      </c>
      <c r="DN16" s="10"/>
      <c r="DO16" s="10"/>
      <c r="DP16" s="10"/>
      <c r="DQ16" s="2">
        <f>mround(DQ15*Setup!DQ12,'Quick Setup'!$A$2)</f>
        <v>232.5</v>
      </c>
      <c r="DR16" s="2">
        <f>Setup!DR12</f>
        <v>4</v>
      </c>
      <c r="DS16" s="2">
        <f>Setup!DS12</f>
        <v>3</v>
      </c>
      <c r="DT16" s="2" t="str">
        <f>CONCATENATE(Setup!DT12,"-",Setup!DU12)</f>
        <v>4-6</v>
      </c>
      <c r="DU16" s="10"/>
      <c r="DV16" s="10"/>
      <c r="DW16" s="10"/>
      <c r="DX16" s="2">
        <f>mround(DX15*Setup!DX12,'Quick Setup'!$A$2)</f>
        <v>247.5</v>
      </c>
      <c r="DY16" s="2">
        <f>Setup!DY12</f>
        <v>3</v>
      </c>
      <c r="DZ16" s="2">
        <f>Setup!DZ12</f>
        <v>2</v>
      </c>
      <c r="EA16" s="2" t="str">
        <f>CONCATENATE(Setup!EA12,"-",Setup!EB12)</f>
        <v>4-6</v>
      </c>
      <c r="EB16" s="10"/>
      <c r="EC16" s="10"/>
      <c r="ED16" s="10"/>
      <c r="EE16" s="2">
        <f>mround(EE15*Setup!EE12,'Quick Setup'!$A$2)</f>
        <v>262.5</v>
      </c>
      <c r="EF16" s="2">
        <f>Setup!EF12</f>
        <v>2</v>
      </c>
      <c r="EG16" s="2">
        <f>Setup!EG12</f>
        <v>2</v>
      </c>
      <c r="EH16" s="2" t="str">
        <f>CONCATENATE(Setup!EH12,"-",Setup!EI12)</f>
        <v>4-6</v>
      </c>
      <c r="EI16" s="10"/>
      <c r="EJ16" s="10"/>
      <c r="EK16" s="10"/>
      <c r="EL16" s="2">
        <f>mround(EL15*Setup!EL12,'Quick Setup'!$A$2)</f>
        <v>155</v>
      </c>
      <c r="EM16" s="2">
        <f>Setup!EM12</f>
        <v>8</v>
      </c>
      <c r="EN16" s="2">
        <f>Setup!EN12</f>
        <v>5</v>
      </c>
      <c r="EO16" s="2" t="str">
        <f>CONCATENATE(Setup!EO12,"-",Setup!EP12)</f>
        <v>4-6</v>
      </c>
      <c r="EP16" s="10"/>
      <c r="EQ16" s="10"/>
      <c r="ER16" s="10"/>
    </row>
    <row r="17">
      <c r="A17" s="1" t="str">
        <f>CONCATENATE(A18," TM")</f>
        <v>Incline Press TM</v>
      </c>
      <c r="B17" s="2">
        <f>if(D17="",'Quick Setup'!D14,D17/'Quick Setup'!E14)</f>
        <v>280</v>
      </c>
      <c r="C17" s="8" t="s">
        <v>73</v>
      </c>
      <c r="D17" s="10"/>
      <c r="E17" s="2"/>
      <c r="F17" s="2"/>
      <c r="G17" s="2"/>
      <c r="H17" s="2"/>
      <c r="I17" s="2">
        <f>if(K17="", if(F18&lt;&gt;"", if(F18&gt;Setup!F13,B17*(1+Setup!G13),if(F18&lt;Setup!E13,B17*(1+Setup!H13),B17)),B17),K17/'Quick Setup'!$E14)</f>
        <v>280</v>
      </c>
      <c r="J17" s="8" t="s">
        <v>73</v>
      </c>
      <c r="K17" s="10"/>
      <c r="L17" s="2"/>
      <c r="M17" s="2"/>
      <c r="N17" s="2"/>
      <c r="O17" s="2"/>
      <c r="P17" s="2">
        <f>if(R17="", if(M18&lt;&gt;"", if(M18&gt;Setup!M13,I17*(1+Setup!N13),if(M18&lt;Setup!L13,I17*(1+Setup!O13),I17)),I17),R17/'Quick Setup'!$E14)</f>
        <v>280</v>
      </c>
      <c r="Q17" s="8" t="s">
        <v>73</v>
      </c>
      <c r="R17" s="10"/>
      <c r="S17" s="2"/>
      <c r="T17" s="2"/>
      <c r="U17" s="2"/>
      <c r="V17" s="2"/>
      <c r="W17" s="2">
        <f>if(Y17="", if(T18&lt;&gt;"", if(T18&gt;Setup!T13,P17*(1+Setup!U13),if(T18&lt;Setup!S13,P17*(1+Setup!V13),P17)),P17),Y17/'Quick Setup'!$E14)</f>
        <v>280</v>
      </c>
      <c r="X17" s="8" t="s">
        <v>73</v>
      </c>
      <c r="Y17" s="10"/>
      <c r="Z17" s="2"/>
      <c r="AA17" s="2"/>
      <c r="AB17" s="2"/>
      <c r="AC17" s="2"/>
      <c r="AD17" s="2">
        <f>if(AF17="", if(AA18&lt;&gt;"", if(AA18&gt;Setup!AA13,W17*(1+Setup!AB13),if(AA18&lt;Setup!Z13,W17*(1+Setup!AC13),W17)),W17),AF17/'Quick Setup'!$E14)</f>
        <v>280</v>
      </c>
      <c r="AE17" s="8" t="s">
        <v>73</v>
      </c>
      <c r="AF17" s="10"/>
      <c r="AG17" s="2"/>
      <c r="AH17" s="2"/>
      <c r="AI17" s="2"/>
      <c r="AJ17" s="2"/>
      <c r="AK17" s="2">
        <f>if(AM17="", if(AH18&lt;&gt;"", if(AH18&gt;Setup!AH13,AD17*(1+Setup!AI13),if(AH18&lt;Setup!AG13,AD17*(1+Setup!AJ13),AD17)),AD17),AM17/'Quick Setup'!$E14)</f>
        <v>280</v>
      </c>
      <c r="AL17" s="8" t="s">
        <v>73</v>
      </c>
      <c r="AM17" s="10"/>
      <c r="AN17" s="2"/>
      <c r="AO17" s="2"/>
      <c r="AP17" s="2"/>
      <c r="AQ17" s="2"/>
      <c r="AR17" s="2">
        <f>if(AT17="", if(AO18&lt;&gt;"", if(AO18&gt;Setup!AO13,AK17*(1+Setup!AP13),if(AO18&lt;Setup!AN13,AK17*(1+Setup!AQ13),AK17)),AK17),AT17/'Quick Setup'!$E14)</f>
        <v>280</v>
      </c>
      <c r="AS17" s="8" t="s">
        <v>73</v>
      </c>
      <c r="AT17" s="10"/>
      <c r="AU17" s="2"/>
      <c r="AV17" s="2"/>
      <c r="AW17" s="2"/>
      <c r="AX17" s="2"/>
      <c r="AY17" s="2">
        <f>if(BA17="", if(AV18&lt;&gt;"", if(AV18&gt;Setup!AV13,AR17*(1+Setup!AW13),if(AV18&lt;Setup!AU13,AR17*(1+Setup!AX13),AR17)),AR17),BA17/'Quick Setup'!$E14)</f>
        <v>280</v>
      </c>
      <c r="AZ17" s="8" t="s">
        <v>73</v>
      </c>
      <c r="BA17" s="10"/>
      <c r="BB17" s="2"/>
      <c r="BC17" s="2"/>
      <c r="BD17" s="2"/>
      <c r="BE17" s="2"/>
      <c r="BF17" s="2">
        <f>if(BH17="", if(BC18&lt;&gt;"", if(BC18&gt;Setup!BC13,AY17*(1+Setup!BD13),if(BC18&lt;Setup!BB13,AY17*(1+Setup!BE13),AY17)),AY17),BH17/'Quick Setup'!$E14)</f>
        <v>280</v>
      </c>
      <c r="BG17" s="8" t="s">
        <v>73</v>
      </c>
      <c r="BH17" s="10"/>
      <c r="BI17" s="2"/>
      <c r="BJ17" s="2"/>
      <c r="BK17" s="2"/>
      <c r="BL17" s="2"/>
      <c r="BM17" s="2">
        <f>if(BO17="", if(BJ18&lt;&gt;"", if(BJ18&gt;Setup!BJ13,BF17*(1+Setup!BK13),if(BJ18&lt;Setup!BI13,BF17*(1+Setup!BL13),BF17)),BF17),BO17/'Quick Setup'!$E14)</f>
        <v>280</v>
      </c>
      <c r="BN17" s="8" t="s">
        <v>73</v>
      </c>
      <c r="BO17" s="10"/>
      <c r="BP17" s="2"/>
      <c r="BQ17" s="2"/>
      <c r="BR17" s="2"/>
      <c r="BS17" s="2"/>
      <c r="BT17" s="2">
        <f>if(BV17="", if(BQ18&lt;&gt;"", if(BQ18&gt;Setup!BQ13,BM17*(1+Setup!BR13),if(BQ18&lt;Setup!BP13,BM17*(1+Setup!BS13),BM17)),BM17),BV17/'Quick Setup'!$E14)</f>
        <v>280</v>
      </c>
      <c r="BU17" s="8" t="s">
        <v>73</v>
      </c>
      <c r="BV17" s="10"/>
      <c r="BW17" s="2"/>
      <c r="BX17" s="2"/>
      <c r="BY17" s="2"/>
      <c r="BZ17" s="2"/>
      <c r="CA17" s="2">
        <f>if(CC17="", if(BX18&lt;&gt;"", if(BX18&gt;Setup!BX13,BT17*(1+Setup!BY13),if(BX18&lt;Setup!BW13,BT17*(1+Setup!BZ13),BT17)),BT17),CC17/'Quick Setup'!$E14)</f>
        <v>280</v>
      </c>
      <c r="CB17" s="8" t="s">
        <v>73</v>
      </c>
      <c r="CC17" s="10"/>
      <c r="CD17" s="2"/>
      <c r="CE17" s="2"/>
      <c r="CF17" s="2"/>
      <c r="CG17" s="2"/>
      <c r="CH17" s="2">
        <f>if(CJ17="", if(CE18&lt;&gt;"", if(CE18&gt;Setup!CE13,CA17*(1+Setup!CF13),if(CE18&lt;Setup!CD13,CA17*(1+Setup!CG13),CA17)),CA17),CJ17/'Quick Setup'!$E14)</f>
        <v>280</v>
      </c>
      <c r="CI17" s="8" t="s">
        <v>73</v>
      </c>
      <c r="CJ17" s="10"/>
      <c r="CK17" s="2"/>
      <c r="CL17" s="2"/>
      <c r="CM17" s="2"/>
      <c r="CN17" s="2"/>
      <c r="CO17" s="2">
        <f>if(CQ17="", if(CL18&lt;&gt;"", if(CL18&gt;Setup!CL13,CH17*(1+Setup!CM13),if(CL18&lt;Setup!CK13,CH17*(1+Setup!CN13),CH17)),CH17),CQ17/'Quick Setup'!$E14)</f>
        <v>280</v>
      </c>
      <c r="CP17" s="8" t="s">
        <v>73</v>
      </c>
      <c r="CQ17" s="10"/>
      <c r="CR17" s="2"/>
      <c r="CS17" s="2"/>
      <c r="CT17" s="2"/>
      <c r="CU17" s="2"/>
      <c r="CV17" s="2">
        <f>if(CX17="", if(CS18&lt;&gt;"", if(CS18&gt;Setup!CS13,CO17*(1+Setup!CT13),if(CS18&lt;Setup!CR13,CO17*(1+Setup!CU13),CO17)),CO17),CX17/'Quick Setup'!$E14)</f>
        <v>280</v>
      </c>
      <c r="CW17" s="8" t="s">
        <v>73</v>
      </c>
      <c r="CX17" s="10"/>
      <c r="CY17" s="2"/>
      <c r="CZ17" s="2"/>
      <c r="DA17" s="2"/>
      <c r="DB17" s="2"/>
      <c r="DC17" s="2">
        <f>if(DE17="", if(CZ18&lt;&gt;"", if(CZ18&gt;Setup!CZ13,CV17*(1+Setup!DA13),if(CZ18&lt;Setup!CY13,CV17*(1+Setup!DB13),CV17)),CV17),DE17/'Quick Setup'!$E14)</f>
        <v>280</v>
      </c>
      <c r="DD17" s="8" t="s">
        <v>73</v>
      </c>
      <c r="DE17" s="10"/>
      <c r="DF17" s="2"/>
      <c r="DG17" s="2"/>
      <c r="DH17" s="2"/>
      <c r="DI17" s="2"/>
      <c r="DJ17" s="2">
        <f>if(DL17="", if(DG18&lt;&gt;"", if(DG18&gt;Setup!DG13,DC17*(1+Setup!DH13),if(DG18&lt;Setup!DF13,DC17*(1+Setup!DI13),DC17)),DC17),DL17/'Quick Setup'!$E14)</f>
        <v>280</v>
      </c>
      <c r="DK17" s="8" t="s">
        <v>73</v>
      </c>
      <c r="DL17" s="10"/>
      <c r="DM17" s="2"/>
      <c r="DN17" s="2"/>
      <c r="DO17" s="2"/>
      <c r="DP17" s="2"/>
      <c r="DQ17" s="2">
        <f>if(DS17="", if(DN18&lt;&gt;"", if(DN18&gt;Setup!DN13,DJ17*(1+Setup!DO13),if(DN18&lt;Setup!DM13,DJ17*(1+Setup!DP13),DJ17)),DJ17),DS17/'Quick Setup'!$E14)</f>
        <v>280</v>
      </c>
      <c r="DR17" s="8" t="s">
        <v>73</v>
      </c>
      <c r="DS17" s="10"/>
      <c r="DT17" s="2"/>
      <c r="DU17" s="2"/>
      <c r="DV17" s="2"/>
      <c r="DW17" s="2"/>
      <c r="DX17" s="2">
        <f>if(DZ17="", if(DU18&lt;&gt;"", if(DU18&gt;Setup!DU13,DQ17*(1+Setup!DV13),if(DU18&lt;Setup!DT13,DQ17*(1+Setup!DW13),DQ17)),DQ17),DZ17/'Quick Setup'!$E14)</f>
        <v>280</v>
      </c>
      <c r="DY17" s="8" t="s">
        <v>73</v>
      </c>
      <c r="DZ17" s="10"/>
      <c r="EA17" s="2"/>
      <c r="EB17" s="2"/>
      <c r="EC17" s="2"/>
      <c r="ED17" s="2"/>
      <c r="EE17" s="2">
        <f>if(EG17="", if(EB18&lt;&gt;"", if(EB18&gt;Setup!EB13,DX17*(1+Setup!EC13),if(EB18&lt;Setup!EA13,DX17*(1+Setup!ED13),DX17)),DX17),EG17/'Quick Setup'!$E14)</f>
        <v>280</v>
      </c>
      <c r="EF17" s="8" t="s">
        <v>73</v>
      </c>
      <c r="EG17" s="10"/>
      <c r="EH17" s="2"/>
      <c r="EI17" s="2"/>
      <c r="EJ17" s="2"/>
      <c r="EK17" s="2"/>
      <c r="EL17" s="2">
        <f>if(EN17="", if(EI18&lt;&gt;"", if(EI18&gt;Setup!EI13,EE17*(1+Setup!EJ13),if(EI18&lt;Setup!EH13,EE17*(1+Setup!EK13),EE17)),EE17),EN17/'Quick Setup'!$E14)</f>
        <v>280</v>
      </c>
      <c r="EM17" s="8" t="s">
        <v>73</v>
      </c>
      <c r="EN17" s="10"/>
      <c r="EO17" s="2"/>
      <c r="EP17" s="2"/>
      <c r="EQ17" s="2"/>
      <c r="ER17" s="2"/>
    </row>
    <row r="18">
      <c r="A18" s="1" t="str">
        <f>Setup!A13</f>
        <v>Incline Press</v>
      </c>
      <c r="B18" s="2">
        <f>mround(B17*Setup!B13,'Quick Setup'!$A$2)</f>
        <v>167.5</v>
      </c>
      <c r="C18" s="2">
        <f>Setup!C13</f>
        <v>7</v>
      </c>
      <c r="D18" s="2">
        <f>Setup!D13</f>
        <v>4</v>
      </c>
      <c r="E18" s="2" t="str">
        <f>CONCATENATE(Setup!E13,"-",Setup!F13)</f>
        <v>4-6</v>
      </c>
      <c r="F18" s="10"/>
      <c r="G18" s="10"/>
      <c r="H18" s="10"/>
      <c r="I18" s="2">
        <f>mround(I17*Setup!I13,'Quick Setup'!$A$2)</f>
        <v>182.5</v>
      </c>
      <c r="J18" s="2">
        <f>Setup!J13</f>
        <v>6</v>
      </c>
      <c r="K18" s="2">
        <f>Setup!K13</f>
        <v>4</v>
      </c>
      <c r="L18" s="2" t="str">
        <f>CONCATENATE(Setup!L13,"-",Setup!M13)</f>
        <v>4-6</v>
      </c>
      <c r="M18" s="10"/>
      <c r="N18" s="10"/>
      <c r="O18" s="10"/>
      <c r="P18" s="2">
        <f>mround(P17*Setup!P13,'Quick Setup'!$A$2)</f>
        <v>195</v>
      </c>
      <c r="Q18" s="2">
        <f>Setup!Q13</f>
        <v>5</v>
      </c>
      <c r="R18" s="2">
        <f>Setup!R13</f>
        <v>3</v>
      </c>
      <c r="S18" s="2" t="str">
        <f>CONCATENATE(Setup!S13,"-",Setup!T13)</f>
        <v>4-6</v>
      </c>
      <c r="T18" s="10"/>
      <c r="U18" s="10"/>
      <c r="V18" s="10"/>
      <c r="W18" s="2">
        <f>mround(W17*Setup!W13,'Quick Setup'!$A$2)</f>
        <v>175</v>
      </c>
      <c r="X18" s="2">
        <f>Setup!X13</f>
        <v>7</v>
      </c>
      <c r="Y18" s="2">
        <f>Setup!Y13</f>
        <v>4</v>
      </c>
      <c r="Z18" s="2" t="str">
        <f>CONCATENATE(Setup!Z13,"-",Setup!AA13)</f>
        <v>4-6</v>
      </c>
      <c r="AA18" s="10"/>
      <c r="AB18" s="10"/>
      <c r="AC18" s="10"/>
      <c r="AD18" s="2">
        <f>mround(AD17*Setup!AD13,'Quick Setup'!$A$2)</f>
        <v>190</v>
      </c>
      <c r="AE18" s="2">
        <f>Setup!AE13</f>
        <v>6</v>
      </c>
      <c r="AF18" s="2">
        <f>Setup!AF13</f>
        <v>4</v>
      </c>
      <c r="AG18" s="2" t="str">
        <f>CONCATENATE(Setup!AG13,"-",Setup!AH13)</f>
        <v>4-6</v>
      </c>
      <c r="AH18" s="10"/>
      <c r="AI18" s="10"/>
      <c r="AJ18" s="10"/>
      <c r="AK18" s="2">
        <f>mround(AK17*Setup!AK13,'Quick Setup'!$A$2)</f>
        <v>202.5</v>
      </c>
      <c r="AL18" s="2">
        <f>Setup!AL13</f>
        <v>5</v>
      </c>
      <c r="AM18" s="2">
        <f>Setup!AM13</f>
        <v>3</v>
      </c>
      <c r="AN18" s="2" t="str">
        <f>CONCATENATE(Setup!AN13,"-",Setup!AO13)</f>
        <v>4-6</v>
      </c>
      <c r="AO18" s="10"/>
      <c r="AP18" s="10"/>
      <c r="AQ18" s="10"/>
      <c r="AR18" s="2">
        <f>mround(AR17*Setup!AR13,'Quick Setup'!$A$2)</f>
        <v>140</v>
      </c>
      <c r="AS18" s="2">
        <f>Setup!AS13</f>
        <v>8</v>
      </c>
      <c r="AT18" s="2">
        <f>Setup!AT13</f>
        <v>5</v>
      </c>
      <c r="AU18" s="2" t="str">
        <f>CONCATENATE(Setup!AU13,"-",Setup!AV13)</f>
        <v>4-6</v>
      </c>
      <c r="AV18" s="10"/>
      <c r="AW18" s="10"/>
      <c r="AX18" s="10"/>
      <c r="AY18" s="2">
        <f>mround(AY17*Setup!AY13,'Quick Setup'!$A$2)</f>
        <v>182.5</v>
      </c>
      <c r="AZ18" s="2">
        <f>Setup!AZ13</f>
        <v>6</v>
      </c>
      <c r="BA18" s="2">
        <f>Setup!BA13</f>
        <v>4</v>
      </c>
      <c r="BB18" s="2" t="str">
        <f>CONCATENATE(Setup!BB13,"-",Setup!BC13)</f>
        <v>4-6</v>
      </c>
      <c r="BC18" s="10"/>
      <c r="BD18" s="10"/>
      <c r="BE18" s="10"/>
      <c r="BF18" s="2">
        <f>mround(BF17*Setup!BF13,'Quick Setup'!$A$2)</f>
        <v>195</v>
      </c>
      <c r="BG18" s="2">
        <f>Setup!BG13</f>
        <v>5</v>
      </c>
      <c r="BH18" s="2">
        <f>Setup!BH13</f>
        <v>3</v>
      </c>
      <c r="BI18" s="2" t="str">
        <f>CONCATENATE(Setup!BI13,"-",Setup!BJ13)</f>
        <v>4-6</v>
      </c>
      <c r="BJ18" s="10"/>
      <c r="BK18" s="10"/>
      <c r="BL18" s="10"/>
      <c r="BM18" s="2">
        <f>mround(BM17*Setup!BM13,'Quick Setup'!$A$2)</f>
        <v>210</v>
      </c>
      <c r="BN18" s="2">
        <f>Setup!BN13</f>
        <v>4</v>
      </c>
      <c r="BO18" s="2">
        <f>Setup!BO13</f>
        <v>3</v>
      </c>
      <c r="BP18" s="2" t="str">
        <f>CONCATENATE(Setup!BP13,"-",Setup!BQ13)</f>
        <v>4-6</v>
      </c>
      <c r="BQ18" s="10"/>
      <c r="BR18" s="10"/>
      <c r="BS18" s="10"/>
      <c r="BT18" s="2">
        <f>mround(BT17*Setup!BT13,'Quick Setup'!$A$2)</f>
        <v>190</v>
      </c>
      <c r="BU18" s="2">
        <f>Setup!BU13</f>
        <v>6</v>
      </c>
      <c r="BV18" s="2">
        <f>Setup!BV13</f>
        <v>4</v>
      </c>
      <c r="BW18" s="2" t="str">
        <f>CONCATENATE(Setup!BW13,"-",Setup!BX13)</f>
        <v>4-6</v>
      </c>
      <c r="BX18" s="10"/>
      <c r="BY18" s="10"/>
      <c r="BZ18" s="10"/>
      <c r="CA18" s="2">
        <f>mround(CA17*Setup!CA13,'Quick Setup'!$A$2)</f>
        <v>202.5</v>
      </c>
      <c r="CB18" s="2">
        <f>Setup!CB13</f>
        <v>5</v>
      </c>
      <c r="CC18" s="2">
        <f>Setup!CC13</f>
        <v>3</v>
      </c>
      <c r="CD18" s="2" t="str">
        <f>CONCATENATE(Setup!CD13,"-",Setup!CE13)</f>
        <v>4-6</v>
      </c>
      <c r="CE18" s="10"/>
      <c r="CF18" s="10"/>
      <c r="CG18" s="10"/>
      <c r="CH18" s="2">
        <f>mround(CH17*Setup!CH13,'Quick Setup'!$A$2)</f>
        <v>217.5</v>
      </c>
      <c r="CI18" s="2">
        <f>Setup!CI13</f>
        <v>4</v>
      </c>
      <c r="CJ18" s="2">
        <f>Setup!CJ13</f>
        <v>3</v>
      </c>
      <c r="CK18" s="2" t="str">
        <f>CONCATENATE(Setup!CK13,"-",Setup!CL13)</f>
        <v>4-6</v>
      </c>
      <c r="CL18" s="10"/>
      <c r="CM18" s="10"/>
      <c r="CN18" s="10"/>
      <c r="CO18" s="2">
        <f>mround(CO17*Setup!CO13,'Quick Setup'!$A$2)</f>
        <v>140</v>
      </c>
      <c r="CP18" s="2">
        <f>Setup!CP13</f>
        <v>8</v>
      </c>
      <c r="CQ18" s="2">
        <f>Setup!CQ13</f>
        <v>5</v>
      </c>
      <c r="CR18" s="2" t="str">
        <f>CONCATENATE(Setup!CR13,"-",Setup!CS13)</f>
        <v>4-6</v>
      </c>
      <c r="CS18" s="10"/>
      <c r="CT18" s="10"/>
      <c r="CU18" s="10"/>
      <c r="CV18" s="2">
        <f>mround(CV17*Setup!CV13,'Quick Setup'!$A$2)</f>
        <v>195</v>
      </c>
      <c r="CW18" s="2">
        <f>Setup!CW13</f>
        <v>5</v>
      </c>
      <c r="CX18" s="2">
        <f>Setup!CX13</f>
        <v>3</v>
      </c>
      <c r="CY18" s="2" t="str">
        <f>CONCATENATE(Setup!CY13,"-",Setup!CZ13)</f>
        <v>4-6</v>
      </c>
      <c r="CZ18" s="10"/>
      <c r="DA18" s="10"/>
      <c r="DB18" s="10"/>
      <c r="DC18" s="2">
        <f>mround(DC17*Setup!DC13,'Quick Setup'!$A$2)</f>
        <v>210</v>
      </c>
      <c r="DD18" s="2">
        <f>Setup!DD13</f>
        <v>4</v>
      </c>
      <c r="DE18" s="2">
        <f>Setup!DE13</f>
        <v>3</v>
      </c>
      <c r="DF18" s="2" t="str">
        <f>CONCATENATE(Setup!DF13,"-",Setup!DG13)</f>
        <v>4-6</v>
      </c>
      <c r="DG18" s="10"/>
      <c r="DH18" s="10"/>
      <c r="DI18" s="10"/>
      <c r="DJ18" s="2">
        <f>mround(DJ17*Setup!DJ13,'Quick Setup'!$A$2)</f>
        <v>225</v>
      </c>
      <c r="DK18" s="2">
        <f>Setup!DK13</f>
        <v>3</v>
      </c>
      <c r="DL18" s="2">
        <f>Setup!DL13</f>
        <v>2</v>
      </c>
      <c r="DM18" s="2" t="str">
        <f>CONCATENATE(Setup!DM13,"-",Setup!DN13)</f>
        <v>4-6</v>
      </c>
      <c r="DN18" s="10"/>
      <c r="DO18" s="10"/>
      <c r="DP18" s="10"/>
      <c r="DQ18" s="2">
        <f>mround(DQ17*Setup!DQ13,'Quick Setup'!$A$2)</f>
        <v>210</v>
      </c>
      <c r="DR18" s="2">
        <f>Setup!DR13</f>
        <v>4</v>
      </c>
      <c r="DS18" s="2">
        <f>Setup!DS13</f>
        <v>3</v>
      </c>
      <c r="DT18" s="2" t="str">
        <f>CONCATENATE(Setup!DT13,"-",Setup!DU13)</f>
        <v>4-6</v>
      </c>
      <c r="DU18" s="10"/>
      <c r="DV18" s="10"/>
      <c r="DW18" s="10"/>
      <c r="DX18" s="2">
        <f>mround(DX17*Setup!DX13,'Quick Setup'!$A$2)</f>
        <v>225</v>
      </c>
      <c r="DY18" s="2">
        <f>Setup!DY13</f>
        <v>3</v>
      </c>
      <c r="DZ18" s="2">
        <f>Setup!DZ13</f>
        <v>2</v>
      </c>
      <c r="EA18" s="2" t="str">
        <f>CONCATENATE(Setup!EA13,"-",Setup!EB13)</f>
        <v>4-6</v>
      </c>
      <c r="EB18" s="10"/>
      <c r="EC18" s="10"/>
      <c r="ED18" s="10"/>
      <c r="EE18" s="2">
        <f>mround(EE17*Setup!EE13,'Quick Setup'!$A$2)</f>
        <v>237.5</v>
      </c>
      <c r="EF18" s="2">
        <f>Setup!EF13</f>
        <v>2</v>
      </c>
      <c r="EG18" s="2">
        <f>Setup!EG13</f>
        <v>2</v>
      </c>
      <c r="EH18" s="2" t="str">
        <f>CONCATENATE(Setup!EH13,"-",Setup!EI13)</f>
        <v>4-6</v>
      </c>
      <c r="EI18" s="10"/>
      <c r="EJ18" s="10"/>
      <c r="EK18" s="10"/>
      <c r="EL18" s="2">
        <f>mround(EL17*Setup!EL13,'Quick Setup'!$A$2)</f>
        <v>140</v>
      </c>
      <c r="EM18" s="2">
        <f>Setup!EM13</f>
        <v>8</v>
      </c>
      <c r="EN18" s="2">
        <f>Setup!EN13</f>
        <v>5</v>
      </c>
      <c r="EO18" s="2" t="str">
        <f>CONCATENATE(Setup!EO13,"-",Setup!EP13)</f>
        <v>4-6</v>
      </c>
      <c r="EP18" s="10"/>
      <c r="EQ18" s="10"/>
      <c r="ER18" s="10"/>
    </row>
    <row r="19">
      <c r="A19" s="1" t="str">
        <f>CONCATENATE(A20," TM")</f>
        <v>Sumo Deadlift TM</v>
      </c>
      <c r="B19" s="2">
        <f>if(D19="",'Quick Setup'!D15,D19/'Quick Setup'!E15)</f>
        <v>500</v>
      </c>
      <c r="C19" s="8" t="s">
        <v>73</v>
      </c>
      <c r="D19" s="10"/>
      <c r="E19" s="2"/>
      <c r="F19" s="2"/>
      <c r="G19" s="2"/>
      <c r="H19" s="2"/>
      <c r="I19" s="2">
        <f>if(K19="", if(F20&lt;&gt;"", if(F20&gt;Setup!F14,B19*(1+Setup!G14),if(F20&lt;Setup!E14,B19*(1+Setup!H14),B19)),B19),K19/'Quick Setup'!$E15)</f>
        <v>500</v>
      </c>
      <c r="J19" s="8" t="s">
        <v>73</v>
      </c>
      <c r="K19" s="10"/>
      <c r="L19" s="2"/>
      <c r="M19" s="2"/>
      <c r="N19" s="2"/>
      <c r="O19" s="2"/>
      <c r="P19" s="2">
        <f>if(R19="", if(M20&lt;&gt;"", if(M20&gt;Setup!M14,I19*(1+Setup!N14),if(M20&lt;Setup!L14,I19*(1+Setup!O14),I19)),I19),R19/'Quick Setup'!$E15)</f>
        <v>500</v>
      </c>
      <c r="Q19" s="8" t="s">
        <v>73</v>
      </c>
      <c r="R19" s="10"/>
      <c r="S19" s="2"/>
      <c r="T19" s="2"/>
      <c r="U19" s="2"/>
      <c r="V19" s="2"/>
      <c r="W19" s="2">
        <f>if(Y19="", if(T20&lt;&gt;"", if(T20&gt;Setup!T14,P19*(1+Setup!U14),if(T20&lt;Setup!S14,P19*(1+Setup!V14),P19)),P19),Y19/'Quick Setup'!$E15)</f>
        <v>500</v>
      </c>
      <c r="X19" s="8" t="s">
        <v>73</v>
      </c>
      <c r="Y19" s="10"/>
      <c r="Z19" s="2"/>
      <c r="AA19" s="2"/>
      <c r="AB19" s="2"/>
      <c r="AC19" s="2"/>
      <c r="AD19" s="2">
        <f>if(AF19="", if(AA20&lt;&gt;"", if(AA20&gt;Setup!AA14,W19*(1+Setup!AB14),if(AA20&lt;Setup!Z14,W19*(1+Setup!AC14),W19)),W19),AF19/'Quick Setup'!$E15)</f>
        <v>500</v>
      </c>
      <c r="AE19" s="8" t="s">
        <v>73</v>
      </c>
      <c r="AF19" s="10"/>
      <c r="AG19" s="2"/>
      <c r="AH19" s="2"/>
      <c r="AI19" s="2"/>
      <c r="AJ19" s="2"/>
      <c r="AK19" s="2">
        <f>if(AM19="", if(AH20&lt;&gt;"", if(AH20&gt;Setup!AH14,AD19*(1+Setup!AI14),if(AH20&lt;Setup!AG14,AD19*(1+Setup!AJ14),AD19)),AD19),AM19/'Quick Setup'!$E15)</f>
        <v>500</v>
      </c>
      <c r="AL19" s="8" t="s">
        <v>73</v>
      </c>
      <c r="AM19" s="10"/>
      <c r="AN19" s="2"/>
      <c r="AO19" s="2"/>
      <c r="AP19" s="2"/>
      <c r="AQ19" s="2"/>
      <c r="AR19" s="2">
        <f>if(AT19="", if(AO20&lt;&gt;"", if(AO20&gt;Setup!AO14,AK19*(1+Setup!AP14),if(AO20&lt;Setup!AN14,AK19*(1+Setup!AQ14),AK19)),AK19),AT19/'Quick Setup'!$E15)</f>
        <v>500</v>
      </c>
      <c r="AS19" s="8" t="s">
        <v>73</v>
      </c>
      <c r="AT19" s="10"/>
      <c r="AU19" s="2"/>
      <c r="AV19" s="2"/>
      <c r="AW19" s="2"/>
      <c r="AX19" s="2"/>
      <c r="AY19" s="2">
        <f>if(BA19="", if(AV20&lt;&gt;"", if(AV20&gt;Setup!AV14,AR19*(1+Setup!AW14),if(AV20&lt;Setup!AU14,AR19*(1+Setup!AX14),AR19)),AR19),BA19/'Quick Setup'!$E15)</f>
        <v>500</v>
      </c>
      <c r="AZ19" s="8" t="s">
        <v>73</v>
      </c>
      <c r="BA19" s="10"/>
      <c r="BB19" s="2"/>
      <c r="BC19" s="2"/>
      <c r="BD19" s="2"/>
      <c r="BE19" s="2"/>
      <c r="BF19" s="2">
        <f>if(BH19="", if(BC20&lt;&gt;"", if(BC20&gt;Setup!BC14,AY19*(1+Setup!BD14),if(BC20&lt;Setup!BB14,AY19*(1+Setup!BE14),AY19)),AY19),BH19/'Quick Setup'!$E15)</f>
        <v>500</v>
      </c>
      <c r="BG19" s="8" t="s">
        <v>73</v>
      </c>
      <c r="BH19" s="10"/>
      <c r="BI19" s="2"/>
      <c r="BJ19" s="2"/>
      <c r="BK19" s="2"/>
      <c r="BL19" s="2"/>
      <c r="BM19" s="2">
        <f>if(BO19="", if(BJ20&lt;&gt;"", if(BJ20&gt;Setup!BJ14,BF19*(1+Setup!BK14),if(BJ20&lt;Setup!BI14,BF19*(1+Setup!BL14),BF19)),BF19),BO19/'Quick Setup'!$E15)</f>
        <v>500</v>
      </c>
      <c r="BN19" s="8" t="s">
        <v>73</v>
      </c>
      <c r="BO19" s="10"/>
      <c r="BP19" s="2"/>
      <c r="BQ19" s="2"/>
      <c r="BR19" s="2"/>
      <c r="BS19" s="2"/>
      <c r="BT19" s="2">
        <f>if(BV19="", if(BQ20&lt;&gt;"", if(BQ20&gt;Setup!BQ14,BM19*(1+Setup!BR14),if(BQ20&lt;Setup!BP14,BM19*(1+Setup!BS14),BM19)),BM19),BV19/'Quick Setup'!$E15)</f>
        <v>500</v>
      </c>
      <c r="BU19" s="8" t="s">
        <v>73</v>
      </c>
      <c r="BV19" s="10"/>
      <c r="BW19" s="2"/>
      <c r="BX19" s="2"/>
      <c r="BY19" s="2"/>
      <c r="BZ19" s="2"/>
      <c r="CA19" s="2">
        <f>if(CC19="", if(BX20&lt;&gt;"", if(BX20&gt;Setup!BX14,BT19*(1+Setup!BY14),if(BX20&lt;Setup!BW14,BT19*(1+Setup!BZ14),BT19)),BT19),CC19/'Quick Setup'!$E15)</f>
        <v>500</v>
      </c>
      <c r="CB19" s="8" t="s">
        <v>73</v>
      </c>
      <c r="CC19" s="10"/>
      <c r="CD19" s="2"/>
      <c r="CE19" s="2"/>
      <c r="CF19" s="2"/>
      <c r="CG19" s="2"/>
      <c r="CH19" s="2">
        <f>if(CJ19="", if(CE20&lt;&gt;"", if(CE20&gt;Setup!CE14,CA19*(1+Setup!CF14),if(CE20&lt;Setup!CD14,CA19*(1+Setup!CG14),CA19)),CA19),CJ19/'Quick Setup'!$E15)</f>
        <v>500</v>
      </c>
      <c r="CI19" s="8" t="s">
        <v>73</v>
      </c>
      <c r="CJ19" s="10"/>
      <c r="CK19" s="2"/>
      <c r="CL19" s="2"/>
      <c r="CM19" s="2"/>
      <c r="CN19" s="2"/>
      <c r="CO19" s="2">
        <f>if(CQ19="", if(CL20&lt;&gt;"", if(CL20&gt;Setup!CL14,CH19*(1+Setup!CM14),if(CL20&lt;Setup!CK14,CH19*(1+Setup!CN14),CH19)),CH19),CQ19/'Quick Setup'!$E15)</f>
        <v>500</v>
      </c>
      <c r="CP19" s="8" t="s">
        <v>73</v>
      </c>
      <c r="CQ19" s="10"/>
      <c r="CR19" s="2"/>
      <c r="CS19" s="2"/>
      <c r="CT19" s="2"/>
      <c r="CU19" s="2"/>
      <c r="CV19" s="2">
        <f>if(CX19="", if(CS20&lt;&gt;"", if(CS20&gt;Setup!CS14,CO19*(1+Setup!CT14),if(CS20&lt;Setup!CR14,CO19*(1+Setup!CU14),CO19)),CO19),CX19/'Quick Setup'!$E15)</f>
        <v>500</v>
      </c>
      <c r="CW19" s="8" t="s">
        <v>73</v>
      </c>
      <c r="CX19" s="10"/>
      <c r="CY19" s="2"/>
      <c r="CZ19" s="2"/>
      <c r="DA19" s="2"/>
      <c r="DB19" s="2"/>
      <c r="DC19" s="2">
        <f>if(DE19="", if(CZ20&lt;&gt;"", if(CZ20&gt;Setup!CZ14,CV19*(1+Setup!DA14),if(CZ20&lt;Setup!CY14,CV19*(1+Setup!DB14),CV19)),CV19),DE19/'Quick Setup'!$E15)</f>
        <v>500</v>
      </c>
      <c r="DD19" s="8" t="s">
        <v>73</v>
      </c>
      <c r="DE19" s="10"/>
      <c r="DF19" s="2"/>
      <c r="DG19" s="2"/>
      <c r="DH19" s="2"/>
      <c r="DI19" s="2"/>
      <c r="DJ19" s="2">
        <f>if(DL19="", if(DG20&lt;&gt;"", if(DG20&gt;Setup!DG14,DC19*(1+Setup!DH14),if(DG20&lt;Setup!DF14,DC19*(1+Setup!DI14),DC19)),DC19),DL19/'Quick Setup'!$E15)</f>
        <v>500</v>
      </c>
      <c r="DK19" s="8" t="s">
        <v>73</v>
      </c>
      <c r="DL19" s="10"/>
      <c r="DM19" s="2"/>
      <c r="DN19" s="2"/>
      <c r="DO19" s="2"/>
      <c r="DP19" s="2"/>
      <c r="DQ19" s="2">
        <f>if(DS19="", if(DN20&lt;&gt;"", if(DN20&gt;Setup!DN14,DJ19*(1+Setup!DO14),if(DN20&lt;Setup!DM14,DJ19*(1+Setup!DP14),DJ19)),DJ19),DS19/'Quick Setup'!$E15)</f>
        <v>500</v>
      </c>
      <c r="DR19" s="8" t="s">
        <v>73</v>
      </c>
      <c r="DS19" s="10"/>
      <c r="DT19" s="2"/>
      <c r="DU19" s="2"/>
      <c r="DV19" s="2"/>
      <c r="DW19" s="2"/>
      <c r="DX19" s="2">
        <f>if(DZ19="", if(DU20&lt;&gt;"", if(DU20&gt;Setup!DU14,DQ19*(1+Setup!DV14),if(DU20&lt;Setup!DT14,DQ19*(1+Setup!DW14),DQ19)),DQ19),DZ19/'Quick Setup'!$E15)</f>
        <v>500</v>
      </c>
      <c r="DY19" s="8" t="s">
        <v>73</v>
      </c>
      <c r="DZ19" s="10"/>
      <c r="EA19" s="2"/>
      <c r="EB19" s="2"/>
      <c r="EC19" s="2"/>
      <c r="ED19" s="2"/>
      <c r="EE19" s="2">
        <f>if(EG19="", if(EB20&lt;&gt;"", if(EB20&gt;Setup!EB14,DX19*(1+Setup!EC14),if(EB20&lt;Setup!EA14,DX19*(1+Setup!ED14),DX19)),DX19),EG19/'Quick Setup'!$E15)</f>
        <v>500</v>
      </c>
      <c r="EF19" s="8" t="s">
        <v>73</v>
      </c>
      <c r="EG19" s="10"/>
      <c r="EH19" s="2"/>
      <c r="EI19" s="2"/>
      <c r="EJ19" s="2"/>
      <c r="EK19" s="2"/>
      <c r="EL19" s="2">
        <f>if(EN19="", if(EI20&lt;&gt;"", if(EI20&gt;Setup!EI14,EE19*(1+Setup!EJ14),if(EI20&lt;Setup!EH14,EE19*(1+Setup!EK14),EE19)),EE19),EN19/'Quick Setup'!$E15)</f>
        <v>500</v>
      </c>
      <c r="EM19" s="8" t="s">
        <v>73</v>
      </c>
      <c r="EN19" s="10"/>
      <c r="EO19" s="2"/>
      <c r="EP19" s="2"/>
      <c r="EQ19" s="2"/>
      <c r="ER19" s="2"/>
    </row>
    <row r="20">
      <c r="A20" s="1" t="str">
        <f>Setup!A14</f>
        <v>Sumo Deadlift</v>
      </c>
      <c r="B20" s="2">
        <f>mround(B19*Setup!B14,'Quick Setup'!$A$2)</f>
        <v>300</v>
      </c>
      <c r="C20" s="2">
        <f>Setup!C14</f>
        <v>7</v>
      </c>
      <c r="D20" s="2">
        <f>Setup!D14</f>
        <v>4</v>
      </c>
      <c r="E20" s="2" t="str">
        <f>CONCATENATE(Setup!E14,"-",Setup!F14)</f>
        <v>4-6</v>
      </c>
      <c r="F20" s="10"/>
      <c r="G20" s="10"/>
      <c r="H20" s="10"/>
      <c r="I20" s="2">
        <f>mround(I19*Setup!I14,'Quick Setup'!$A$2)</f>
        <v>325</v>
      </c>
      <c r="J20" s="2">
        <f>Setup!J14</f>
        <v>6</v>
      </c>
      <c r="K20" s="2">
        <f>Setup!K14</f>
        <v>4</v>
      </c>
      <c r="L20" s="2" t="str">
        <f>CONCATENATE(Setup!L14,"-",Setup!M14)</f>
        <v>4-6</v>
      </c>
      <c r="M20" s="10"/>
      <c r="N20" s="10"/>
      <c r="O20" s="10"/>
      <c r="P20" s="2">
        <f>mround(P19*Setup!P14,'Quick Setup'!$A$2)</f>
        <v>350</v>
      </c>
      <c r="Q20" s="2">
        <f>Setup!Q14</f>
        <v>5</v>
      </c>
      <c r="R20" s="2">
        <f>Setup!R14</f>
        <v>3</v>
      </c>
      <c r="S20" s="2" t="str">
        <f>CONCATENATE(Setup!S14,"-",Setup!T14)</f>
        <v>4-6</v>
      </c>
      <c r="T20" s="10"/>
      <c r="U20" s="10"/>
      <c r="V20" s="10"/>
      <c r="W20" s="2">
        <f>mround(W19*Setup!W14,'Quick Setup'!$A$2)</f>
        <v>312.5</v>
      </c>
      <c r="X20" s="2">
        <f>Setup!X14</f>
        <v>7</v>
      </c>
      <c r="Y20" s="2">
        <f>Setup!Y14</f>
        <v>4</v>
      </c>
      <c r="Z20" s="2" t="str">
        <f>CONCATENATE(Setup!Z14,"-",Setup!AA14)</f>
        <v>4-6</v>
      </c>
      <c r="AA20" s="10"/>
      <c r="AB20" s="10"/>
      <c r="AC20" s="10"/>
      <c r="AD20" s="2">
        <f>mround(AD19*Setup!AD14,'Quick Setup'!$A$2)</f>
        <v>337.5</v>
      </c>
      <c r="AE20" s="2">
        <f>Setup!AE14</f>
        <v>6</v>
      </c>
      <c r="AF20" s="2">
        <f>Setup!AF14</f>
        <v>4</v>
      </c>
      <c r="AG20" s="2" t="str">
        <f>CONCATENATE(Setup!AG14,"-",Setup!AH14)</f>
        <v>4-6</v>
      </c>
      <c r="AH20" s="10"/>
      <c r="AI20" s="10"/>
      <c r="AJ20" s="10"/>
      <c r="AK20" s="2">
        <f>mround(AK19*Setup!AK14,'Quick Setup'!$A$2)</f>
        <v>362.5</v>
      </c>
      <c r="AL20" s="2">
        <f>Setup!AL14</f>
        <v>5</v>
      </c>
      <c r="AM20" s="2">
        <f>Setup!AM14</f>
        <v>3</v>
      </c>
      <c r="AN20" s="2" t="str">
        <f>CONCATENATE(Setup!AN14,"-",Setup!AO14)</f>
        <v>4-6</v>
      </c>
      <c r="AO20" s="10"/>
      <c r="AP20" s="10"/>
      <c r="AQ20" s="10"/>
      <c r="AR20" s="2">
        <f>mround(AR19*Setup!AR14,'Quick Setup'!$A$2)</f>
        <v>250</v>
      </c>
      <c r="AS20" s="2">
        <f>Setup!AS14</f>
        <v>8</v>
      </c>
      <c r="AT20" s="2">
        <f>Setup!AT14</f>
        <v>5</v>
      </c>
      <c r="AU20" s="2" t="str">
        <f>CONCATENATE(Setup!AU14,"-",Setup!AV14)</f>
        <v>4-6</v>
      </c>
      <c r="AV20" s="10"/>
      <c r="AW20" s="10"/>
      <c r="AX20" s="10"/>
      <c r="AY20" s="2">
        <f>mround(AY19*Setup!AY14,'Quick Setup'!$A$2)</f>
        <v>325</v>
      </c>
      <c r="AZ20" s="2">
        <f>Setup!AZ14</f>
        <v>6</v>
      </c>
      <c r="BA20" s="2">
        <f>Setup!BA14</f>
        <v>4</v>
      </c>
      <c r="BB20" s="2" t="str">
        <f>CONCATENATE(Setup!BB14,"-",Setup!BC14)</f>
        <v>4-6</v>
      </c>
      <c r="BC20" s="10"/>
      <c r="BD20" s="10"/>
      <c r="BE20" s="10"/>
      <c r="BF20" s="2">
        <f>mround(BF19*Setup!BF14,'Quick Setup'!$A$2)</f>
        <v>350</v>
      </c>
      <c r="BG20" s="2">
        <f>Setup!BG14</f>
        <v>5</v>
      </c>
      <c r="BH20" s="2">
        <f>Setup!BH14</f>
        <v>3</v>
      </c>
      <c r="BI20" s="2" t="str">
        <f>CONCATENATE(Setup!BI14,"-",Setup!BJ14)</f>
        <v>4-6</v>
      </c>
      <c r="BJ20" s="10"/>
      <c r="BK20" s="10"/>
      <c r="BL20" s="10"/>
      <c r="BM20" s="2">
        <f>mround(BM19*Setup!BM14,'Quick Setup'!$A$2)</f>
        <v>375</v>
      </c>
      <c r="BN20" s="2">
        <f>Setup!BN14</f>
        <v>4</v>
      </c>
      <c r="BO20" s="2">
        <f>Setup!BO14</f>
        <v>3</v>
      </c>
      <c r="BP20" s="2" t="str">
        <f>CONCATENATE(Setup!BP14,"-",Setup!BQ14)</f>
        <v>4-6</v>
      </c>
      <c r="BQ20" s="10"/>
      <c r="BR20" s="10"/>
      <c r="BS20" s="10"/>
      <c r="BT20" s="2">
        <f>mround(BT19*Setup!BT14,'Quick Setup'!$A$2)</f>
        <v>337.5</v>
      </c>
      <c r="BU20" s="2">
        <f>Setup!BU14</f>
        <v>6</v>
      </c>
      <c r="BV20" s="2">
        <f>Setup!BV14</f>
        <v>4</v>
      </c>
      <c r="BW20" s="2" t="str">
        <f>CONCATENATE(Setup!BW14,"-",Setup!BX14)</f>
        <v>4-6</v>
      </c>
      <c r="BX20" s="10"/>
      <c r="BY20" s="10"/>
      <c r="BZ20" s="10"/>
      <c r="CA20" s="2">
        <f>mround(CA19*Setup!CA14,'Quick Setup'!$A$2)</f>
        <v>362.5</v>
      </c>
      <c r="CB20" s="2">
        <f>Setup!CB14</f>
        <v>5</v>
      </c>
      <c r="CC20" s="2">
        <f>Setup!CC14</f>
        <v>3</v>
      </c>
      <c r="CD20" s="2" t="str">
        <f>CONCATENATE(Setup!CD14,"-",Setup!CE14)</f>
        <v>4-6</v>
      </c>
      <c r="CE20" s="10"/>
      <c r="CF20" s="10"/>
      <c r="CG20" s="10"/>
      <c r="CH20" s="2">
        <f>mround(CH19*Setup!CH14,'Quick Setup'!$A$2)</f>
        <v>387.5</v>
      </c>
      <c r="CI20" s="2">
        <f>Setup!CI14</f>
        <v>4</v>
      </c>
      <c r="CJ20" s="2">
        <f>Setup!CJ14</f>
        <v>3</v>
      </c>
      <c r="CK20" s="2" t="str">
        <f>CONCATENATE(Setup!CK14,"-",Setup!CL14)</f>
        <v>4-6</v>
      </c>
      <c r="CL20" s="10"/>
      <c r="CM20" s="10"/>
      <c r="CN20" s="10"/>
      <c r="CO20" s="2">
        <f>mround(CO19*Setup!CO14,'Quick Setup'!$A$2)</f>
        <v>250</v>
      </c>
      <c r="CP20" s="2">
        <f>Setup!CP14</f>
        <v>8</v>
      </c>
      <c r="CQ20" s="2">
        <f>Setup!CQ14</f>
        <v>5</v>
      </c>
      <c r="CR20" s="2" t="str">
        <f>CONCATENATE(Setup!CR14,"-",Setup!CS14)</f>
        <v>4-6</v>
      </c>
      <c r="CS20" s="10"/>
      <c r="CT20" s="10"/>
      <c r="CU20" s="10"/>
      <c r="CV20" s="2">
        <f>mround(CV19*Setup!CV14,'Quick Setup'!$A$2)</f>
        <v>350</v>
      </c>
      <c r="CW20" s="2">
        <f>Setup!CW14</f>
        <v>5</v>
      </c>
      <c r="CX20" s="2">
        <f>Setup!CX14</f>
        <v>3</v>
      </c>
      <c r="CY20" s="2" t="str">
        <f>CONCATENATE(Setup!CY14,"-",Setup!CZ14)</f>
        <v>4-6</v>
      </c>
      <c r="CZ20" s="10"/>
      <c r="DA20" s="10"/>
      <c r="DB20" s="10"/>
      <c r="DC20" s="2">
        <f>mround(DC19*Setup!DC14,'Quick Setup'!$A$2)</f>
        <v>375</v>
      </c>
      <c r="DD20" s="2">
        <f>Setup!DD14</f>
        <v>4</v>
      </c>
      <c r="DE20" s="2">
        <f>Setup!DE14</f>
        <v>3</v>
      </c>
      <c r="DF20" s="2" t="str">
        <f>CONCATENATE(Setup!DF14,"-",Setup!DG14)</f>
        <v>4-6</v>
      </c>
      <c r="DG20" s="10"/>
      <c r="DH20" s="10"/>
      <c r="DI20" s="10"/>
      <c r="DJ20" s="2">
        <f>mround(DJ19*Setup!DJ14,'Quick Setup'!$A$2)</f>
        <v>400</v>
      </c>
      <c r="DK20" s="2">
        <f>Setup!DK14</f>
        <v>3</v>
      </c>
      <c r="DL20" s="2">
        <f>Setup!DL14</f>
        <v>2</v>
      </c>
      <c r="DM20" s="2" t="str">
        <f>CONCATENATE(Setup!DM14,"-",Setup!DN14)</f>
        <v>4-6</v>
      </c>
      <c r="DN20" s="10"/>
      <c r="DO20" s="10"/>
      <c r="DP20" s="10"/>
      <c r="DQ20" s="2">
        <f>mround(DQ19*Setup!DQ14,'Quick Setup'!$A$2)</f>
        <v>375</v>
      </c>
      <c r="DR20" s="2">
        <f>Setup!DR14</f>
        <v>4</v>
      </c>
      <c r="DS20" s="2">
        <f>Setup!DS14</f>
        <v>3</v>
      </c>
      <c r="DT20" s="2" t="str">
        <f>CONCATENATE(Setup!DT14,"-",Setup!DU14)</f>
        <v>4-6</v>
      </c>
      <c r="DU20" s="10"/>
      <c r="DV20" s="10"/>
      <c r="DW20" s="10"/>
      <c r="DX20" s="2">
        <f>mround(DX19*Setup!DX14,'Quick Setup'!$A$2)</f>
        <v>400</v>
      </c>
      <c r="DY20" s="2">
        <f>Setup!DY14</f>
        <v>3</v>
      </c>
      <c r="DZ20" s="2">
        <f>Setup!DZ14</f>
        <v>2</v>
      </c>
      <c r="EA20" s="2" t="str">
        <f>CONCATENATE(Setup!EA14,"-",Setup!EB14)</f>
        <v>4-6</v>
      </c>
      <c r="EB20" s="10"/>
      <c r="EC20" s="10"/>
      <c r="ED20" s="10"/>
      <c r="EE20" s="2">
        <f>mround(EE19*Setup!EE14,'Quick Setup'!$A$2)</f>
        <v>425</v>
      </c>
      <c r="EF20" s="2">
        <f>Setup!EF14</f>
        <v>2</v>
      </c>
      <c r="EG20" s="2">
        <f>Setup!EG14</f>
        <v>2</v>
      </c>
      <c r="EH20" s="2" t="str">
        <f>CONCATENATE(Setup!EH14,"-",Setup!EI14)</f>
        <v>4-6</v>
      </c>
      <c r="EI20" s="10"/>
      <c r="EJ20" s="10"/>
      <c r="EK20" s="10"/>
      <c r="EL20" s="2">
        <f>mround(EL19*Setup!EL14,'Quick Setup'!$A$2)</f>
        <v>250</v>
      </c>
      <c r="EM20" s="2">
        <f>Setup!EM14</f>
        <v>8</v>
      </c>
      <c r="EN20" s="2">
        <f>Setup!EN14</f>
        <v>5</v>
      </c>
      <c r="EO20" s="2" t="str">
        <f>CONCATENATE(Setup!EO14,"-",Setup!EP14)</f>
        <v>4-6</v>
      </c>
      <c r="EP20" s="10"/>
      <c r="EQ20" s="10"/>
      <c r="ER20" s="10"/>
    </row>
    <row r="21">
      <c r="A21" s="1" t="str">
        <f>CONCATENATE(A22," TM")</f>
        <v>Push Press TM</v>
      </c>
      <c r="B21" s="2">
        <f>if(D21="",'Quick Setup'!D16,D21/'Quick Setup'!E16)</f>
        <v>245</v>
      </c>
      <c r="C21" s="8" t="s">
        <v>73</v>
      </c>
      <c r="D21" s="10"/>
      <c r="E21" s="2"/>
      <c r="F21" s="2"/>
      <c r="G21" s="2"/>
      <c r="H21" s="2"/>
      <c r="I21" s="2">
        <f>if(K21="", if(F22&lt;&gt;"", if(F22&gt;Setup!F15,B21*(1+Setup!G15),if(F22&lt;Setup!E15,B21*(1+Setup!H15),B21)),B21),K21/'Quick Setup'!$E16)</f>
        <v>245</v>
      </c>
      <c r="J21" s="8" t="s">
        <v>73</v>
      </c>
      <c r="K21" s="10"/>
      <c r="L21" s="2"/>
      <c r="M21" s="2"/>
      <c r="N21" s="2"/>
      <c r="O21" s="2"/>
      <c r="P21" s="2">
        <f>if(R21="", if(M22&lt;&gt;"", if(M22&gt;Setup!M15,I21*(1+Setup!N15),if(M22&lt;Setup!L15,I21*(1+Setup!O15),I21)),I21),R21/'Quick Setup'!$E16)</f>
        <v>245</v>
      </c>
      <c r="Q21" s="8" t="s">
        <v>73</v>
      </c>
      <c r="R21" s="10"/>
      <c r="S21" s="2"/>
      <c r="T21" s="2"/>
      <c r="U21" s="2"/>
      <c r="V21" s="2"/>
      <c r="W21" s="2">
        <f>if(Y21="", if(T22&lt;&gt;"", if(T22&gt;Setup!T15,P21*(1+Setup!U15),if(T22&lt;Setup!S15,P21*(1+Setup!V15),P21)),P21),Y21/'Quick Setup'!$E16)</f>
        <v>245</v>
      </c>
      <c r="X21" s="8" t="s">
        <v>73</v>
      </c>
      <c r="Y21" s="10"/>
      <c r="Z21" s="2"/>
      <c r="AA21" s="2"/>
      <c r="AB21" s="2"/>
      <c r="AC21" s="2"/>
      <c r="AD21" s="2">
        <f>if(AF21="", if(AA22&lt;&gt;"", if(AA22&gt;Setup!AA15,W21*(1+Setup!AB15),if(AA22&lt;Setup!Z15,W21*(1+Setup!AC15),W21)),W21),AF21/'Quick Setup'!$E16)</f>
        <v>245</v>
      </c>
      <c r="AE21" s="8" t="s">
        <v>73</v>
      </c>
      <c r="AF21" s="10"/>
      <c r="AG21" s="2"/>
      <c r="AH21" s="2"/>
      <c r="AI21" s="2"/>
      <c r="AJ21" s="2"/>
      <c r="AK21" s="2">
        <f>if(AM21="", if(AH22&lt;&gt;"", if(AH22&gt;Setup!AH15,AD21*(1+Setup!AI15),if(AH22&lt;Setup!AG15,AD21*(1+Setup!AJ15),AD21)),AD21),AM21/'Quick Setup'!$E16)</f>
        <v>245</v>
      </c>
      <c r="AL21" s="8" t="s">
        <v>73</v>
      </c>
      <c r="AM21" s="10"/>
      <c r="AN21" s="2"/>
      <c r="AO21" s="2"/>
      <c r="AP21" s="2"/>
      <c r="AQ21" s="2"/>
      <c r="AR21" s="2">
        <f>if(AT21="", if(AO22&lt;&gt;"", if(AO22&gt;Setup!AO15,AK21*(1+Setup!AP15),if(AO22&lt;Setup!AN15,AK21*(1+Setup!AQ15),AK21)),AK21),AT21/'Quick Setup'!$E16)</f>
        <v>245</v>
      </c>
      <c r="AS21" s="8" t="s">
        <v>73</v>
      </c>
      <c r="AT21" s="10"/>
      <c r="AU21" s="2"/>
      <c r="AV21" s="2"/>
      <c r="AW21" s="2"/>
      <c r="AX21" s="2"/>
      <c r="AY21" s="2">
        <f>if(BA21="", if(AV22&lt;&gt;"", if(AV22&gt;Setup!AV15,AR21*(1+Setup!AW15),if(AV22&lt;Setup!AU15,AR21*(1+Setup!AX15),AR21)),AR21),BA21/'Quick Setup'!$E16)</f>
        <v>245</v>
      </c>
      <c r="AZ21" s="8" t="s">
        <v>73</v>
      </c>
      <c r="BA21" s="10"/>
      <c r="BB21" s="2"/>
      <c r="BC21" s="2"/>
      <c r="BD21" s="2"/>
      <c r="BE21" s="2"/>
      <c r="BF21" s="2">
        <f>if(BH21="", if(BC22&lt;&gt;"", if(BC22&gt;Setup!BC15,AY21*(1+Setup!BD15),if(BC22&lt;Setup!BB15,AY21*(1+Setup!BE15),AY21)),AY21),BH21/'Quick Setup'!$E16)</f>
        <v>245</v>
      </c>
      <c r="BG21" s="8" t="s">
        <v>73</v>
      </c>
      <c r="BH21" s="10"/>
      <c r="BI21" s="2"/>
      <c r="BJ21" s="2"/>
      <c r="BK21" s="2"/>
      <c r="BL21" s="2"/>
      <c r="BM21" s="2">
        <f>if(BO21="", if(BJ22&lt;&gt;"", if(BJ22&gt;Setup!BJ15,BF21*(1+Setup!BK15),if(BJ22&lt;Setup!BI15,BF21*(1+Setup!BL15),BF21)),BF21),BO21/'Quick Setup'!$E16)</f>
        <v>245</v>
      </c>
      <c r="BN21" s="8" t="s">
        <v>73</v>
      </c>
      <c r="BO21" s="10"/>
      <c r="BP21" s="2"/>
      <c r="BQ21" s="2"/>
      <c r="BR21" s="2"/>
      <c r="BS21" s="2"/>
      <c r="BT21" s="2">
        <f>if(BV21="", if(BQ22&lt;&gt;"", if(BQ22&gt;Setup!BQ15,BM21*(1+Setup!BR15),if(BQ22&lt;Setup!BP15,BM21*(1+Setup!BS15),BM21)),BM21),BV21/'Quick Setup'!$E16)</f>
        <v>245</v>
      </c>
      <c r="BU21" s="8" t="s">
        <v>73</v>
      </c>
      <c r="BV21" s="10"/>
      <c r="BW21" s="2"/>
      <c r="BX21" s="2"/>
      <c r="BY21" s="2"/>
      <c r="BZ21" s="2"/>
      <c r="CA21" s="2">
        <f>if(CC21="", if(BX22&lt;&gt;"", if(BX22&gt;Setup!BX15,BT21*(1+Setup!BY15),if(BX22&lt;Setup!BW15,BT21*(1+Setup!BZ15),BT21)),BT21),CC21/'Quick Setup'!$E16)</f>
        <v>245</v>
      </c>
      <c r="CB21" s="8" t="s">
        <v>73</v>
      </c>
      <c r="CC21" s="10"/>
      <c r="CD21" s="2"/>
      <c r="CE21" s="2"/>
      <c r="CF21" s="2"/>
      <c r="CG21" s="2"/>
      <c r="CH21" s="2">
        <f>if(CJ21="", if(CE22&lt;&gt;"", if(CE22&gt;Setup!CE15,CA21*(1+Setup!CF15),if(CE22&lt;Setup!CD15,CA21*(1+Setup!CG15),CA21)),CA21),CJ21/'Quick Setup'!$E16)</f>
        <v>245</v>
      </c>
      <c r="CI21" s="8" t="s">
        <v>73</v>
      </c>
      <c r="CJ21" s="10"/>
      <c r="CK21" s="2"/>
      <c r="CL21" s="2"/>
      <c r="CM21" s="2"/>
      <c r="CN21" s="2"/>
      <c r="CO21" s="2">
        <f>if(CQ21="", if(CL22&lt;&gt;"", if(CL22&gt;Setup!CL15,CH21*(1+Setup!CM15),if(CL22&lt;Setup!CK15,CH21*(1+Setup!CN15),CH21)),CH21),CQ21/'Quick Setup'!$E16)</f>
        <v>245</v>
      </c>
      <c r="CP21" s="8" t="s">
        <v>73</v>
      </c>
      <c r="CQ21" s="10"/>
      <c r="CR21" s="2"/>
      <c r="CS21" s="2"/>
      <c r="CT21" s="2"/>
      <c r="CU21" s="2"/>
      <c r="CV21" s="2">
        <f>if(CX21="", if(CS22&lt;&gt;"", if(CS22&gt;Setup!CS15,CO21*(1+Setup!CT15),if(CS22&lt;Setup!CR15,CO21*(1+Setup!CU15),CO21)),CO21),CX21/'Quick Setup'!$E16)</f>
        <v>245</v>
      </c>
      <c r="CW21" s="8" t="s">
        <v>73</v>
      </c>
      <c r="CX21" s="10"/>
      <c r="CY21" s="2"/>
      <c r="CZ21" s="2"/>
      <c r="DA21" s="2"/>
      <c r="DB21" s="2"/>
      <c r="DC21" s="2">
        <f>if(DE21="", if(CZ22&lt;&gt;"", if(CZ22&gt;Setup!CZ15,CV21*(1+Setup!DA15),if(CZ22&lt;Setup!CY15,CV21*(1+Setup!DB15),CV21)),CV21),DE21/'Quick Setup'!$E16)</f>
        <v>245</v>
      </c>
      <c r="DD21" s="8" t="s">
        <v>73</v>
      </c>
      <c r="DE21" s="10"/>
      <c r="DF21" s="2"/>
      <c r="DG21" s="2"/>
      <c r="DH21" s="2"/>
      <c r="DI21" s="2"/>
      <c r="DJ21" s="2">
        <f>if(DL21="", if(DG22&lt;&gt;"", if(DG22&gt;Setup!DG15,DC21*(1+Setup!DH15),if(DG22&lt;Setup!DF15,DC21*(1+Setup!DI15),DC21)),DC21),DL21/'Quick Setup'!$E16)</f>
        <v>245</v>
      </c>
      <c r="DK21" s="8" t="s">
        <v>73</v>
      </c>
      <c r="DL21" s="10"/>
      <c r="DM21" s="2"/>
      <c r="DN21" s="2"/>
      <c r="DO21" s="2"/>
      <c r="DP21" s="2"/>
      <c r="DQ21" s="2">
        <f>if(DS21="", if(DN22&lt;&gt;"", if(DN22&gt;Setup!DN15,DJ21*(1+Setup!DO15),if(DN22&lt;Setup!DM15,DJ21*(1+Setup!DP15),DJ21)),DJ21),DS21/'Quick Setup'!$E16)</f>
        <v>245</v>
      </c>
      <c r="DR21" s="8" t="s">
        <v>73</v>
      </c>
      <c r="DS21" s="10"/>
      <c r="DT21" s="2"/>
      <c r="DU21" s="2"/>
      <c r="DV21" s="2"/>
      <c r="DW21" s="2"/>
      <c r="DX21" s="2">
        <f>if(DZ21="", if(DU22&lt;&gt;"", if(DU22&gt;Setup!DU15,DQ21*(1+Setup!DV15),if(DU22&lt;Setup!DT15,DQ21*(1+Setup!DW15),DQ21)),DQ21),DZ21/'Quick Setup'!$E16)</f>
        <v>245</v>
      </c>
      <c r="DY21" s="8" t="s">
        <v>73</v>
      </c>
      <c r="DZ21" s="10"/>
      <c r="EA21" s="2"/>
      <c r="EB21" s="2"/>
      <c r="EC21" s="2"/>
      <c r="ED21" s="2"/>
      <c r="EE21" s="2">
        <f>if(EG21="", if(EB22&lt;&gt;"", if(EB22&gt;Setup!EB15,DX21*(1+Setup!EC15),if(EB22&lt;Setup!EA15,DX21*(1+Setup!ED15),DX21)),DX21),EG21/'Quick Setup'!$E16)</f>
        <v>245</v>
      </c>
      <c r="EF21" s="8" t="s">
        <v>73</v>
      </c>
      <c r="EG21" s="10"/>
      <c r="EH21" s="2"/>
      <c r="EI21" s="2"/>
      <c r="EJ21" s="2"/>
      <c r="EK21" s="2"/>
      <c r="EL21" s="2">
        <f>if(EN21="", if(EI22&lt;&gt;"", if(EI22&gt;Setup!EI15,EE21*(1+Setup!EJ15),if(EI22&lt;Setup!EH15,EE21*(1+Setup!EK15),EE21)),EE21),EN21/'Quick Setup'!$E16)</f>
        <v>245</v>
      </c>
      <c r="EM21" s="8" t="s">
        <v>73</v>
      </c>
      <c r="EN21" s="10"/>
      <c r="EO21" s="2"/>
      <c r="EP21" s="2"/>
      <c r="EQ21" s="2"/>
      <c r="ER21" s="2"/>
    </row>
    <row r="22">
      <c r="A22" s="1" t="str">
        <f>Setup!A15</f>
        <v>Push Press</v>
      </c>
      <c r="B22" s="2">
        <f>mround(B21*Setup!B15,'Quick Setup'!$A$2)</f>
        <v>147.5</v>
      </c>
      <c r="C22" s="2">
        <f>Setup!C15</f>
        <v>7</v>
      </c>
      <c r="D22" s="2">
        <f>Setup!D15</f>
        <v>4</v>
      </c>
      <c r="E22" s="2" t="str">
        <f>CONCATENATE(Setup!E15,"-",Setup!F15)</f>
        <v>4-6</v>
      </c>
      <c r="F22" s="10"/>
      <c r="G22" s="10"/>
      <c r="H22" s="10"/>
      <c r="I22" s="2">
        <f>mround(I21*Setup!I15,'Quick Setup'!$A$2)</f>
        <v>160</v>
      </c>
      <c r="J22" s="2">
        <f>Setup!J15</f>
        <v>6</v>
      </c>
      <c r="K22" s="2">
        <f>Setup!K15</f>
        <v>4</v>
      </c>
      <c r="L22" s="2" t="str">
        <f>CONCATENATE(Setup!L15,"-",Setup!M15)</f>
        <v>4-6</v>
      </c>
      <c r="M22" s="10"/>
      <c r="N22" s="10"/>
      <c r="O22" s="10"/>
      <c r="P22" s="2">
        <f>mround(P21*Setup!P15,'Quick Setup'!$A$2)</f>
        <v>172.5</v>
      </c>
      <c r="Q22" s="2">
        <f>Setup!Q15</f>
        <v>5</v>
      </c>
      <c r="R22" s="2">
        <f>Setup!R15</f>
        <v>3</v>
      </c>
      <c r="S22" s="2" t="str">
        <f>CONCATENATE(Setup!S15,"-",Setup!T15)</f>
        <v>4-6</v>
      </c>
      <c r="T22" s="10"/>
      <c r="U22" s="10"/>
      <c r="V22" s="10"/>
      <c r="W22" s="2">
        <f>mround(W21*Setup!W15,'Quick Setup'!$A$2)</f>
        <v>152.5</v>
      </c>
      <c r="X22" s="2">
        <f>Setup!X15</f>
        <v>7</v>
      </c>
      <c r="Y22" s="2">
        <f>Setup!Y15</f>
        <v>4</v>
      </c>
      <c r="Z22" s="2" t="str">
        <f>CONCATENATE(Setup!Z15,"-",Setup!AA15)</f>
        <v>4-6</v>
      </c>
      <c r="AA22" s="10"/>
      <c r="AB22" s="10"/>
      <c r="AC22" s="10"/>
      <c r="AD22" s="2">
        <f>mround(AD21*Setup!AD15,'Quick Setup'!$A$2)</f>
        <v>165</v>
      </c>
      <c r="AE22" s="2">
        <f>Setup!AE15</f>
        <v>6</v>
      </c>
      <c r="AF22" s="2">
        <f>Setup!AF15</f>
        <v>4</v>
      </c>
      <c r="AG22" s="2" t="str">
        <f>CONCATENATE(Setup!AG15,"-",Setup!AH15)</f>
        <v>4-6</v>
      </c>
      <c r="AH22" s="10"/>
      <c r="AI22" s="10"/>
      <c r="AJ22" s="10"/>
      <c r="AK22" s="2">
        <f>mround(AK21*Setup!AK15,'Quick Setup'!$A$2)</f>
        <v>177.5</v>
      </c>
      <c r="AL22" s="2">
        <f>Setup!AL15</f>
        <v>5</v>
      </c>
      <c r="AM22" s="2">
        <f>Setup!AM15</f>
        <v>3</v>
      </c>
      <c r="AN22" s="2" t="str">
        <f>CONCATENATE(Setup!AN15,"-",Setup!AO15)</f>
        <v>4-6</v>
      </c>
      <c r="AO22" s="10"/>
      <c r="AP22" s="10"/>
      <c r="AQ22" s="10"/>
      <c r="AR22" s="2">
        <f>mround(AR21*Setup!AR15,'Quick Setup'!$A$2)</f>
        <v>122.5</v>
      </c>
      <c r="AS22" s="2">
        <f>Setup!AS15</f>
        <v>8</v>
      </c>
      <c r="AT22" s="2">
        <f>Setup!AT15</f>
        <v>5</v>
      </c>
      <c r="AU22" s="2" t="str">
        <f>CONCATENATE(Setup!AU15,"-",Setup!AV15)</f>
        <v>4-6</v>
      </c>
      <c r="AV22" s="10"/>
      <c r="AW22" s="10"/>
      <c r="AX22" s="10"/>
      <c r="AY22" s="2">
        <f>mround(AY21*Setup!AY15,'Quick Setup'!$A$2)</f>
        <v>160</v>
      </c>
      <c r="AZ22" s="2">
        <f>Setup!AZ15</f>
        <v>6</v>
      </c>
      <c r="BA22" s="2">
        <f>Setup!BA15</f>
        <v>4</v>
      </c>
      <c r="BB22" s="2" t="str">
        <f>CONCATENATE(Setup!BB15,"-",Setup!BC15)</f>
        <v>4-6</v>
      </c>
      <c r="BC22" s="10"/>
      <c r="BD22" s="10"/>
      <c r="BE22" s="10"/>
      <c r="BF22" s="2">
        <f>mround(BF21*Setup!BF15,'Quick Setup'!$A$2)</f>
        <v>172.5</v>
      </c>
      <c r="BG22" s="2">
        <f>Setup!BG15</f>
        <v>5</v>
      </c>
      <c r="BH22" s="2">
        <f>Setup!BH15</f>
        <v>3</v>
      </c>
      <c r="BI22" s="2" t="str">
        <f>CONCATENATE(Setup!BI15,"-",Setup!BJ15)</f>
        <v>4-6</v>
      </c>
      <c r="BJ22" s="10"/>
      <c r="BK22" s="10"/>
      <c r="BL22" s="10"/>
      <c r="BM22" s="2">
        <f>mround(BM21*Setup!BM15,'Quick Setup'!$A$2)</f>
        <v>185</v>
      </c>
      <c r="BN22" s="2">
        <f>Setup!BN15</f>
        <v>4</v>
      </c>
      <c r="BO22" s="2">
        <f>Setup!BO15</f>
        <v>3</v>
      </c>
      <c r="BP22" s="2" t="str">
        <f>CONCATENATE(Setup!BP15,"-",Setup!BQ15)</f>
        <v>4-6</v>
      </c>
      <c r="BQ22" s="10"/>
      <c r="BR22" s="10"/>
      <c r="BS22" s="10"/>
      <c r="BT22" s="2">
        <f>mround(BT21*Setup!BT15,'Quick Setup'!$A$2)</f>
        <v>165</v>
      </c>
      <c r="BU22" s="2">
        <f>Setup!BU15</f>
        <v>6</v>
      </c>
      <c r="BV22" s="2">
        <f>Setup!BV15</f>
        <v>4</v>
      </c>
      <c r="BW22" s="2" t="str">
        <f>CONCATENATE(Setup!BW15,"-",Setup!BX15)</f>
        <v>4-6</v>
      </c>
      <c r="BX22" s="10"/>
      <c r="BY22" s="10"/>
      <c r="BZ22" s="10"/>
      <c r="CA22" s="2">
        <f>mround(CA21*Setup!CA15,'Quick Setup'!$A$2)</f>
        <v>177.5</v>
      </c>
      <c r="CB22" s="2">
        <f>Setup!CB15</f>
        <v>5</v>
      </c>
      <c r="CC22" s="2">
        <f>Setup!CC15</f>
        <v>3</v>
      </c>
      <c r="CD22" s="2" t="str">
        <f>CONCATENATE(Setup!CD15,"-",Setup!CE15)</f>
        <v>4-6</v>
      </c>
      <c r="CE22" s="10"/>
      <c r="CF22" s="10"/>
      <c r="CG22" s="10"/>
      <c r="CH22" s="2">
        <f>mround(CH21*Setup!CH15,'Quick Setup'!$A$2)</f>
        <v>190</v>
      </c>
      <c r="CI22" s="2">
        <f>Setup!CI15</f>
        <v>4</v>
      </c>
      <c r="CJ22" s="2">
        <f>Setup!CJ15</f>
        <v>3</v>
      </c>
      <c r="CK22" s="2" t="str">
        <f>CONCATENATE(Setup!CK15,"-",Setup!CL15)</f>
        <v>4-6</v>
      </c>
      <c r="CL22" s="10"/>
      <c r="CM22" s="10"/>
      <c r="CN22" s="10"/>
      <c r="CO22" s="2">
        <f>mround(CO21*Setup!CO15,'Quick Setup'!$A$2)</f>
        <v>122.5</v>
      </c>
      <c r="CP22" s="2">
        <f>Setup!CP15</f>
        <v>8</v>
      </c>
      <c r="CQ22" s="2">
        <f>Setup!CQ15</f>
        <v>5</v>
      </c>
      <c r="CR22" s="2" t="str">
        <f>CONCATENATE(Setup!CR15,"-",Setup!CS15)</f>
        <v>4-6</v>
      </c>
      <c r="CS22" s="10"/>
      <c r="CT22" s="10"/>
      <c r="CU22" s="10"/>
      <c r="CV22" s="2">
        <f>mround(CV21*Setup!CV15,'Quick Setup'!$A$2)</f>
        <v>172.5</v>
      </c>
      <c r="CW22" s="2">
        <f>Setup!CW15</f>
        <v>5</v>
      </c>
      <c r="CX22" s="2">
        <f>Setup!CX15</f>
        <v>3</v>
      </c>
      <c r="CY22" s="2" t="str">
        <f>CONCATENATE(Setup!CY15,"-",Setup!CZ15)</f>
        <v>4-6</v>
      </c>
      <c r="CZ22" s="10"/>
      <c r="DA22" s="10"/>
      <c r="DB22" s="10"/>
      <c r="DC22" s="2">
        <f>mround(DC21*Setup!DC15,'Quick Setup'!$A$2)</f>
        <v>185</v>
      </c>
      <c r="DD22" s="2">
        <f>Setup!DD15</f>
        <v>4</v>
      </c>
      <c r="DE22" s="2">
        <f>Setup!DE15</f>
        <v>3</v>
      </c>
      <c r="DF22" s="2" t="str">
        <f>CONCATENATE(Setup!DF15,"-",Setup!DG15)</f>
        <v>4-6</v>
      </c>
      <c r="DG22" s="10"/>
      <c r="DH22" s="10"/>
      <c r="DI22" s="10"/>
      <c r="DJ22" s="2">
        <f>mround(DJ21*Setup!DJ15,'Quick Setup'!$A$2)</f>
        <v>195</v>
      </c>
      <c r="DK22" s="2">
        <f>Setup!DK15</f>
        <v>3</v>
      </c>
      <c r="DL22" s="2">
        <f>Setup!DL15</f>
        <v>2</v>
      </c>
      <c r="DM22" s="2" t="str">
        <f>CONCATENATE(Setup!DM15,"-",Setup!DN15)</f>
        <v>4-6</v>
      </c>
      <c r="DN22" s="10"/>
      <c r="DO22" s="10"/>
      <c r="DP22" s="10"/>
      <c r="DQ22" s="2">
        <f>mround(DQ21*Setup!DQ15,'Quick Setup'!$A$2)</f>
        <v>185</v>
      </c>
      <c r="DR22" s="2">
        <f>Setup!DR15</f>
        <v>4</v>
      </c>
      <c r="DS22" s="2">
        <f>Setup!DS15</f>
        <v>3</v>
      </c>
      <c r="DT22" s="2" t="str">
        <f>CONCATENATE(Setup!DT15,"-",Setup!DU15)</f>
        <v>4-6</v>
      </c>
      <c r="DU22" s="10"/>
      <c r="DV22" s="10"/>
      <c r="DW22" s="10"/>
      <c r="DX22" s="2">
        <f>mround(DX21*Setup!DX15,'Quick Setup'!$A$2)</f>
        <v>195</v>
      </c>
      <c r="DY22" s="2">
        <f>Setup!DY15</f>
        <v>3</v>
      </c>
      <c r="DZ22" s="2">
        <f>Setup!DZ15</f>
        <v>2</v>
      </c>
      <c r="EA22" s="2" t="str">
        <f>CONCATENATE(Setup!EA15,"-",Setup!EB15)</f>
        <v>4-6</v>
      </c>
      <c r="EB22" s="10"/>
      <c r="EC22" s="10"/>
      <c r="ED22" s="10"/>
      <c r="EE22" s="2">
        <f>mround(EE21*Setup!EE15,'Quick Setup'!$A$2)</f>
        <v>207.5</v>
      </c>
      <c r="EF22" s="2">
        <f>Setup!EF15</f>
        <v>2</v>
      </c>
      <c r="EG22" s="2">
        <f>Setup!EG15</f>
        <v>2</v>
      </c>
      <c r="EH22" s="2" t="str">
        <f>CONCATENATE(Setup!EH15,"-",Setup!EI15)</f>
        <v>4-6</v>
      </c>
      <c r="EI22" s="10"/>
      <c r="EJ22" s="10"/>
      <c r="EK22" s="10"/>
      <c r="EL22" s="2">
        <f>mround(EL21*Setup!EL15,'Quick Setup'!$A$2)</f>
        <v>122.5</v>
      </c>
      <c r="EM22" s="2">
        <f>Setup!EM15</f>
        <v>8</v>
      </c>
      <c r="EN22" s="2">
        <f>Setup!EN15</f>
        <v>5</v>
      </c>
      <c r="EO22" s="2" t="str">
        <f>CONCATENATE(Setup!EO15,"-",Setup!EP15)</f>
        <v>4-6</v>
      </c>
      <c r="EP22" s="10"/>
      <c r="EQ22" s="10"/>
      <c r="ER22" s="10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</row>
  </sheetData>
  <mergeCells count="21">
    <mergeCell ref="B1:H1"/>
    <mergeCell ref="I1:O1"/>
    <mergeCell ref="P1:V1"/>
    <mergeCell ref="W1:AC1"/>
    <mergeCell ref="AD1:AJ1"/>
    <mergeCell ref="AK1:AQ1"/>
    <mergeCell ref="AR1:AX1"/>
    <mergeCell ref="CV1:DB1"/>
    <mergeCell ref="DC1:DI1"/>
    <mergeCell ref="DJ1:DP1"/>
    <mergeCell ref="DQ1:DW1"/>
    <mergeCell ref="DX1:ED1"/>
    <mergeCell ref="EE1:EK1"/>
    <mergeCell ref="EL1:ER1"/>
    <mergeCell ref="AY1:BE1"/>
    <mergeCell ref="BF1:BL1"/>
    <mergeCell ref="BM1:BS1"/>
    <mergeCell ref="BT1:BZ1"/>
    <mergeCell ref="CA1:CG1"/>
    <mergeCell ref="CH1:CN1"/>
    <mergeCell ref="CO1:CU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25"/>
      <c r="B1" s="26" t="s">
        <v>45</v>
      </c>
      <c r="I1" s="26" t="s">
        <v>46</v>
      </c>
      <c r="P1" s="26" t="s">
        <v>47</v>
      </c>
      <c r="W1" s="26" t="s">
        <v>48</v>
      </c>
      <c r="AD1" s="26" t="s">
        <v>49</v>
      </c>
      <c r="AK1" s="26" t="s">
        <v>50</v>
      </c>
      <c r="AR1" s="26" t="s">
        <v>51</v>
      </c>
      <c r="AY1" s="26" t="s">
        <v>52</v>
      </c>
      <c r="BF1" s="26" t="s">
        <v>53</v>
      </c>
      <c r="BM1" s="26" t="s">
        <v>54</v>
      </c>
      <c r="BT1" s="26" t="s">
        <v>55</v>
      </c>
      <c r="CA1" s="26" t="s">
        <v>56</v>
      </c>
      <c r="CH1" s="26" t="s">
        <v>57</v>
      </c>
      <c r="CO1" s="26" t="s">
        <v>58</v>
      </c>
      <c r="CV1" s="26" t="s">
        <v>59</v>
      </c>
      <c r="DC1" s="26" t="s">
        <v>60</v>
      </c>
      <c r="DJ1" s="26" t="s">
        <v>61</v>
      </c>
      <c r="DQ1" s="26" t="s">
        <v>62</v>
      </c>
      <c r="DX1" s="26" t="s">
        <v>63</v>
      </c>
      <c r="EE1" s="26" t="s">
        <v>64</v>
      </c>
      <c r="EL1" s="26" t="s">
        <v>65</v>
      </c>
    </row>
    <row r="2">
      <c r="A2" s="2"/>
      <c r="B2" s="27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27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7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27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27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27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27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27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27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27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27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27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27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27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27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27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27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27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27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27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27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28" t="s">
        <v>74</v>
      </c>
      <c r="B3" s="29"/>
      <c r="C3" s="30"/>
      <c r="D3" s="30"/>
      <c r="E3" s="30"/>
      <c r="F3" s="30"/>
      <c r="G3" s="30"/>
      <c r="H3" s="30"/>
      <c r="I3" s="29"/>
      <c r="J3" s="30"/>
      <c r="K3" s="30"/>
      <c r="L3" s="30"/>
      <c r="M3" s="30"/>
      <c r="N3" s="30"/>
      <c r="O3" s="30"/>
      <c r="P3" s="29"/>
      <c r="Q3" s="30"/>
      <c r="R3" s="30"/>
      <c r="S3" s="30"/>
      <c r="T3" s="30"/>
      <c r="U3" s="30"/>
      <c r="V3" s="30"/>
      <c r="W3" s="29"/>
      <c r="X3" s="30"/>
      <c r="Y3" s="30"/>
      <c r="Z3" s="30"/>
      <c r="AA3" s="30"/>
      <c r="AB3" s="30"/>
      <c r="AC3" s="30"/>
      <c r="AD3" s="29"/>
      <c r="AE3" s="30"/>
      <c r="AF3" s="30"/>
      <c r="AG3" s="30"/>
      <c r="AH3" s="30"/>
      <c r="AI3" s="30"/>
      <c r="AJ3" s="30"/>
      <c r="AK3" s="29"/>
      <c r="AL3" s="30"/>
      <c r="AM3" s="30"/>
      <c r="AN3" s="30"/>
      <c r="AO3" s="30"/>
      <c r="AP3" s="30"/>
      <c r="AQ3" s="30"/>
      <c r="AR3" s="29"/>
      <c r="AS3" s="30"/>
      <c r="AT3" s="30"/>
      <c r="AU3" s="30"/>
      <c r="AV3" s="30"/>
      <c r="AW3" s="30"/>
      <c r="AX3" s="30"/>
      <c r="AY3" s="29"/>
      <c r="AZ3" s="30"/>
      <c r="BA3" s="30"/>
      <c r="BB3" s="30"/>
      <c r="BC3" s="30"/>
      <c r="BD3" s="30"/>
      <c r="BE3" s="30"/>
      <c r="BF3" s="29"/>
      <c r="BG3" s="30"/>
      <c r="BH3" s="30"/>
      <c r="BI3" s="30"/>
      <c r="BJ3" s="30"/>
      <c r="BK3" s="30"/>
      <c r="BL3" s="30"/>
      <c r="BM3" s="29"/>
      <c r="BN3" s="30"/>
      <c r="BO3" s="30"/>
      <c r="BP3" s="30"/>
      <c r="BQ3" s="30"/>
      <c r="BR3" s="30"/>
      <c r="BS3" s="30"/>
      <c r="BT3" s="29"/>
      <c r="BU3" s="30"/>
      <c r="BV3" s="30"/>
      <c r="BW3" s="30"/>
      <c r="BX3" s="30"/>
      <c r="BY3" s="30"/>
      <c r="BZ3" s="30"/>
      <c r="CA3" s="29"/>
      <c r="CB3" s="30"/>
      <c r="CC3" s="30"/>
      <c r="CD3" s="30"/>
      <c r="CE3" s="30"/>
      <c r="CF3" s="30"/>
      <c r="CG3" s="30"/>
      <c r="CH3" s="29"/>
      <c r="CI3" s="30"/>
      <c r="CJ3" s="30"/>
      <c r="CK3" s="30"/>
      <c r="CL3" s="30"/>
      <c r="CM3" s="30"/>
      <c r="CN3" s="30"/>
      <c r="CO3" s="29"/>
      <c r="CP3" s="30"/>
      <c r="CQ3" s="30"/>
      <c r="CR3" s="30"/>
      <c r="CS3" s="30"/>
      <c r="CT3" s="30"/>
      <c r="CU3" s="30"/>
      <c r="CV3" s="29"/>
      <c r="CW3" s="30"/>
      <c r="CX3" s="30"/>
      <c r="CY3" s="30"/>
      <c r="CZ3" s="30"/>
      <c r="DA3" s="30"/>
      <c r="DB3" s="30"/>
      <c r="DC3" s="29"/>
      <c r="DD3" s="30"/>
      <c r="DE3" s="30"/>
      <c r="DF3" s="30"/>
      <c r="DG3" s="30"/>
      <c r="DH3" s="30"/>
      <c r="DI3" s="30"/>
      <c r="DJ3" s="29"/>
      <c r="DK3" s="30"/>
      <c r="DL3" s="30"/>
      <c r="DM3" s="30"/>
      <c r="DN3" s="30"/>
      <c r="DO3" s="30"/>
      <c r="DP3" s="30"/>
      <c r="DQ3" s="29"/>
      <c r="DR3" s="30"/>
      <c r="DS3" s="30"/>
      <c r="DT3" s="30"/>
      <c r="DU3" s="30"/>
      <c r="DV3" s="30"/>
      <c r="DW3" s="30"/>
      <c r="DX3" s="29"/>
      <c r="DY3" s="30"/>
      <c r="DZ3" s="30"/>
      <c r="EA3" s="30"/>
      <c r="EB3" s="30"/>
      <c r="EC3" s="30"/>
      <c r="ED3" s="30"/>
      <c r="EE3" s="31" t="s">
        <v>75</v>
      </c>
      <c r="EF3" s="32"/>
      <c r="EG3" s="32"/>
      <c r="EH3" s="32"/>
      <c r="EI3" s="32"/>
      <c r="EJ3" s="32"/>
      <c r="EK3" s="32"/>
      <c r="EL3" s="29"/>
      <c r="EM3" s="30"/>
      <c r="EN3" s="30"/>
      <c r="EO3" s="30"/>
      <c r="EP3" s="30"/>
      <c r="EQ3" s="30"/>
      <c r="ER3" s="30"/>
    </row>
    <row r="4" hidden="1">
      <c r="A4" s="33" t="str">
        <f>CONCATENATE(A5," TM")</f>
        <v>Squat TM</v>
      </c>
      <c r="B4" s="34">
        <f>if(D4="",'Quick Setup'!D5,D4/'Quick Setup'!E5)</f>
        <v>490</v>
      </c>
      <c r="C4" s="35" t="s">
        <v>73</v>
      </c>
      <c r="D4" s="36"/>
      <c r="E4" s="37"/>
      <c r="F4" s="37"/>
      <c r="G4" s="37"/>
      <c r="H4" s="37"/>
      <c r="I4" s="34">
        <f>if(K4="", if(F5&lt;&gt;"", if(F5&gt;Setup!F4,B4*(1+Setup!G4),if(F5&lt;Setup!E4,B4*(1+Setup!H4),B4)),B4),K4/'Quick Setup'!$E5)</f>
        <v>490</v>
      </c>
      <c r="J4" s="35" t="s">
        <v>73</v>
      </c>
      <c r="K4" s="36"/>
      <c r="L4" s="37"/>
      <c r="M4" s="37"/>
      <c r="N4" s="37"/>
      <c r="O4" s="37"/>
      <c r="P4" s="34">
        <f>if(R4="", if(M5&lt;&gt;"", if(M5&gt;Setup!M4,I4*(1+Setup!N4),if(M5&lt;Setup!L4,I4*(1+Setup!O4),I4)),I4),R4/'Quick Setup'!$E5)</f>
        <v>490</v>
      </c>
      <c r="Q4" s="35" t="s">
        <v>73</v>
      </c>
      <c r="R4" s="36"/>
      <c r="S4" s="37"/>
      <c r="T4" s="37"/>
      <c r="U4" s="37"/>
      <c r="V4" s="37"/>
      <c r="W4" s="34">
        <f>if(Y4="", if(T5&lt;&gt;"", if(T5&gt;Setup!T4,P4*(1+Setup!U4),if(T5&lt;Setup!S4,P4*(1+Setup!V4),P4)),P4),Y4/'Quick Setup'!$E5)</f>
        <v>490</v>
      </c>
      <c r="X4" s="35" t="s">
        <v>73</v>
      </c>
      <c r="Y4" s="36"/>
      <c r="Z4" s="37"/>
      <c r="AA4" s="37"/>
      <c r="AB4" s="37"/>
      <c r="AC4" s="37"/>
      <c r="AD4" s="34">
        <f>if(AF4="", if(AA5&lt;&gt;"", if(AA5&gt;Setup!AA4,W4*(1+Setup!AB4),if(AA5&lt;Setup!Z4,W4*(1+Setup!AC4),W4)),W4),AF4/'Quick Setup'!$E5)</f>
        <v>490</v>
      </c>
      <c r="AE4" s="35" t="s">
        <v>73</v>
      </c>
      <c r="AF4" s="36"/>
      <c r="AG4" s="37"/>
      <c r="AH4" s="37"/>
      <c r="AI4" s="37"/>
      <c r="AJ4" s="37"/>
      <c r="AK4" s="34">
        <f>if(AM4="", if(AH5&lt;&gt;"", if(AH5&gt;Setup!AH4,AD4*(1+Setup!AI4),if(AH5&lt;Setup!AG4,AD4*(1+Setup!AJ4),AD4)),AD4),AM4/'Quick Setup'!$E5)</f>
        <v>490</v>
      </c>
      <c r="AL4" s="35" t="s">
        <v>73</v>
      </c>
      <c r="AM4" s="36"/>
      <c r="AN4" s="37"/>
      <c r="AO4" s="37"/>
      <c r="AP4" s="37"/>
      <c r="AQ4" s="37"/>
      <c r="AR4" s="34">
        <f>if(AT4="", if(AO5&lt;&gt;"", if(AO5&gt;Setup!AO4,AK4*(1+Setup!AP4),if(AO5&lt;Setup!AN4,AK4*(1+Setup!AQ4),AK4)),AK4),AT4/'Quick Setup'!$E5)</f>
        <v>490</v>
      </c>
      <c r="AS4" s="35" t="s">
        <v>73</v>
      </c>
      <c r="AT4" s="36"/>
      <c r="AU4" s="37"/>
      <c r="AV4" s="37"/>
      <c r="AW4" s="37"/>
      <c r="AX4" s="37"/>
      <c r="AY4" s="34">
        <f>if(BA4="",AR4,BA4/'Quick Setup'!$E5)</f>
        <v>490</v>
      </c>
      <c r="AZ4" s="35" t="s">
        <v>73</v>
      </c>
      <c r="BA4" s="36"/>
      <c r="BB4" s="37"/>
      <c r="BC4" s="37"/>
      <c r="BD4" s="37"/>
      <c r="BE4" s="37"/>
      <c r="BF4" s="34">
        <f>if(BH4="", if(BC5&lt;&gt;"", if(BC5&gt;Setup!BC4,AY4*(1+Setup!BD4),if(BC5&lt;Setup!BB4,AY4*(1+Setup!BE4),AY4)),AY4),BH4/'Quick Setup'!$E5)</f>
        <v>490</v>
      </c>
      <c r="BG4" s="35" t="s">
        <v>73</v>
      </c>
      <c r="BH4" s="36"/>
      <c r="BI4" s="37"/>
      <c r="BJ4" s="37"/>
      <c r="BK4" s="37"/>
      <c r="BL4" s="37"/>
      <c r="BM4" s="34">
        <f>if(BO4="", if(BJ5&lt;&gt;"", if(BJ5&gt;Setup!BJ4,BF4*(1+Setup!BK4),if(BJ5&lt;Setup!BI4,BF4*(1+Setup!BL4),BF4)),BF4),BO4/'Quick Setup'!$E5)</f>
        <v>490</v>
      </c>
      <c r="BN4" s="35" t="s">
        <v>73</v>
      </c>
      <c r="BO4" s="36"/>
      <c r="BP4" s="37"/>
      <c r="BQ4" s="37"/>
      <c r="BR4" s="37"/>
      <c r="BS4" s="37"/>
      <c r="BT4" s="34">
        <f>if(BV4="", if(BQ5&lt;&gt;"", if(BQ5&gt;Setup!BQ4,BM4*(1+Setup!BR4),if(BQ5&lt;Setup!BP4,BM4*(1+Setup!BS4),BM4)),BM4),BV4/'Quick Setup'!$E5)</f>
        <v>490</v>
      </c>
      <c r="BU4" s="35" t="s">
        <v>73</v>
      </c>
      <c r="BV4" s="36"/>
      <c r="BW4" s="37"/>
      <c r="BX4" s="37"/>
      <c r="BY4" s="37"/>
      <c r="BZ4" s="37"/>
      <c r="CA4" s="34">
        <f>if(CC4="", if(BX5&lt;&gt;"", if(BX5&gt;Setup!BX4,BT4*(1+Setup!BY4),if(BX5&lt;Setup!BW4,BT4*(1+Setup!BZ4),BT4)),BT4),CC4/'Quick Setup'!$E5)</f>
        <v>490</v>
      </c>
      <c r="CB4" s="35" t="s">
        <v>73</v>
      </c>
      <c r="CC4" s="36"/>
      <c r="CD4" s="37"/>
      <c r="CE4" s="37"/>
      <c r="CF4" s="37"/>
      <c r="CG4" s="37"/>
      <c r="CH4" s="34">
        <f>if(CJ4="", if(CE5&lt;&gt;"", if(CE5&gt;Setup!CE4,CA4*(1+Setup!CF4),if(CE5&lt;Setup!CD4,CA4*(1+Setup!CG4),CA4)),CA4),CJ4/'Quick Setup'!$E5)</f>
        <v>490</v>
      </c>
      <c r="CI4" s="35" t="s">
        <v>73</v>
      </c>
      <c r="CJ4" s="36"/>
      <c r="CK4" s="37"/>
      <c r="CL4" s="37"/>
      <c r="CM4" s="37"/>
      <c r="CN4" s="37"/>
      <c r="CO4" s="34">
        <f>if(CQ4="", if(CL5&lt;&gt;"", if(CL5&gt;Setup!CL4,CH4*(1+Setup!CM4),if(CL5&lt;Setup!CK4,CH4*(1+Setup!CN4),CH4)),CH4),CQ4/'Quick Setup'!$E5)</f>
        <v>490</v>
      </c>
      <c r="CP4" s="35" t="s">
        <v>73</v>
      </c>
      <c r="CQ4" s="36"/>
      <c r="CR4" s="37"/>
      <c r="CS4" s="37"/>
      <c r="CT4" s="37"/>
      <c r="CU4" s="37"/>
      <c r="CV4" s="34">
        <f>if(CX4="",CO4,CX4/'Quick Setup'!$E5)</f>
        <v>490</v>
      </c>
      <c r="CW4" s="35" t="s">
        <v>73</v>
      </c>
      <c r="CX4" s="36"/>
      <c r="CY4" s="37"/>
      <c r="CZ4" s="37"/>
      <c r="DA4" s="37"/>
      <c r="DB4" s="37"/>
      <c r="DC4" s="34">
        <f>if(DE4="", if(CZ5&lt;&gt;"", if(CZ5&gt;Setup!CZ4,CV4*(1+Setup!DA4),if(CZ5&lt;Setup!CY4,CV4*(1+Setup!DB4),CV4)),CV4),DE4/'Quick Setup'!$E5)</f>
        <v>490</v>
      </c>
      <c r="DD4" s="35" t="s">
        <v>73</v>
      </c>
      <c r="DE4" s="36"/>
      <c r="DF4" s="37"/>
      <c r="DG4" s="37"/>
      <c r="DH4" s="37"/>
      <c r="DI4" s="37"/>
      <c r="DJ4" s="34">
        <f>if(DL4="", if(DG5&lt;&gt;"", if(DG5&gt;Setup!DG4,DC4*(1+Setup!DH4),if(DG5&lt;Setup!DF4,DC4*(1+Setup!DI4),DC4)),DC4),DL4/'Quick Setup'!$E5)</f>
        <v>490</v>
      </c>
      <c r="DK4" s="35" t="s">
        <v>73</v>
      </c>
      <c r="DL4" s="36"/>
      <c r="DM4" s="37"/>
      <c r="DN4" s="37"/>
      <c r="DO4" s="37"/>
      <c r="DP4" s="37"/>
      <c r="DQ4" s="34">
        <f>if(DS4="", if(DN5&lt;&gt;"", if(DN5&gt;Setup!DN4,DJ4*(1+Setup!DO4),if(DN5&lt;Setup!DM4,DJ4*(1+Setup!DP4),DJ4)),DJ4),DS4/'Quick Setup'!$E5)</f>
        <v>490</v>
      </c>
      <c r="DR4" s="35" t="s">
        <v>73</v>
      </c>
      <c r="DS4" s="36"/>
      <c r="DT4" s="37"/>
      <c r="DU4" s="37"/>
      <c r="DV4" s="37"/>
      <c r="DW4" s="37"/>
      <c r="DX4" s="34">
        <f>if(DZ4="", if(DU5&lt;&gt;"", if(DU5&gt;Setup!DU4,DQ4*(1+Setup!DV4),if(DU5&lt;Setup!DT4,DQ4*(1+Setup!DW4),DQ4)),DQ4),DZ4/'Quick Setup'!$E5)</f>
        <v>490</v>
      </c>
      <c r="DY4" s="35" t="s">
        <v>73</v>
      </c>
      <c r="DZ4" s="36"/>
      <c r="EA4" s="37"/>
      <c r="EB4" s="37"/>
      <c r="EC4" s="37"/>
      <c r="ED4" s="37"/>
      <c r="EE4" s="34">
        <f>if(EG4="", if(EB5&lt;&gt;"", if(EB5&gt;Setup!EB4,DX4*(1+Setup!EC4),if(EB5&lt;Setup!EA4,DX4*(1+Setup!ED4),DX4)),DX4),EG4/'Quick Setup'!$E5)</f>
        <v>490</v>
      </c>
      <c r="EF4" s="35" t="s">
        <v>73</v>
      </c>
      <c r="EG4" s="36"/>
      <c r="EH4" s="37"/>
      <c r="EI4" s="37"/>
      <c r="EJ4" s="37"/>
      <c r="EK4" s="37"/>
      <c r="EL4" s="34">
        <f>if(EN4="", if(EI5&lt;&gt;"", if(EI5&gt;Setup!EI4,EE4*(1+Setup!EJ4),if(EI5&lt;Setup!EH4,EE4*(1+Setup!EK4),EE4)),EE4),EN4/'Quick Setup'!$E5)</f>
        <v>490</v>
      </c>
      <c r="EM4" s="35" t="s">
        <v>73</v>
      </c>
      <c r="EN4" s="36"/>
      <c r="EO4" s="37"/>
      <c r="EP4" s="37"/>
      <c r="EQ4" s="37"/>
      <c r="ER4" s="37"/>
    </row>
    <row r="5">
      <c r="A5" s="1" t="str">
        <f>Setup!A4</f>
        <v>Squat</v>
      </c>
      <c r="B5" s="38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0"/>
      <c r="G5" s="10"/>
      <c r="H5" s="10"/>
      <c r="I5" s="38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0"/>
      <c r="N5" s="10"/>
      <c r="O5" s="10"/>
      <c r="P5" s="38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0"/>
      <c r="U5" s="10"/>
      <c r="V5" s="10"/>
      <c r="W5" s="38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0"/>
      <c r="AB5" s="10"/>
      <c r="AC5" s="10"/>
      <c r="AD5" s="38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0"/>
      <c r="AI5" s="10"/>
      <c r="AJ5" s="10"/>
      <c r="AK5" s="38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0"/>
      <c r="AP5" s="10"/>
      <c r="AQ5" s="10"/>
      <c r="AR5" s="38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0"/>
      <c r="AW5" s="10"/>
      <c r="AX5" s="10"/>
      <c r="AY5" s="38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0"/>
      <c r="BD5" s="10"/>
      <c r="BE5" s="10"/>
      <c r="BF5" s="38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0"/>
      <c r="BK5" s="10"/>
      <c r="BL5" s="10"/>
      <c r="BM5" s="38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0"/>
      <c r="BR5" s="10"/>
      <c r="BS5" s="10"/>
      <c r="BT5" s="38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0"/>
      <c r="BY5" s="10"/>
      <c r="BZ5" s="10"/>
      <c r="CA5" s="38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0"/>
      <c r="CF5" s="10"/>
      <c r="CG5" s="10"/>
      <c r="CH5" s="38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0"/>
      <c r="CM5" s="10"/>
      <c r="CN5" s="10"/>
      <c r="CO5" s="38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0"/>
      <c r="CT5" s="10"/>
      <c r="CU5" s="10"/>
      <c r="CV5" s="38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0"/>
      <c r="DA5" s="10"/>
      <c r="DB5" s="10"/>
      <c r="DC5" s="38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0"/>
      <c r="DH5" s="10"/>
      <c r="DI5" s="10"/>
      <c r="DJ5" s="38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0"/>
      <c r="DO5" s="10"/>
      <c r="DP5" s="10"/>
      <c r="DQ5" s="38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0"/>
      <c r="DV5" s="10"/>
      <c r="DW5" s="10"/>
      <c r="DX5" s="38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0"/>
      <c r="EC5" s="10"/>
      <c r="ED5" s="10"/>
      <c r="EE5" s="38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0"/>
      <c r="EJ5" s="10"/>
      <c r="EK5" s="10"/>
      <c r="EL5" s="38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0"/>
      <c r="EQ5" s="10"/>
      <c r="ER5" s="10"/>
    </row>
    <row r="6" hidden="1">
      <c r="A6" s="33" t="str">
        <f>CONCATENATE(A7," TM")</f>
        <v>Deadlift TM</v>
      </c>
      <c r="B6" s="34">
        <f>if(D6="",'Quick Setup'!D7,D6/'Quick Setup'!E7)</f>
        <v>525</v>
      </c>
      <c r="C6" s="35" t="s">
        <v>73</v>
      </c>
      <c r="D6" s="36"/>
      <c r="E6" s="37"/>
      <c r="F6" s="37"/>
      <c r="G6" s="37"/>
      <c r="H6" s="37"/>
      <c r="I6" s="34">
        <f>if(K6="", if(F7&lt;&gt;"", if(F7&gt;Setup!F6,B6*(1+Setup!G6),if(F7&lt;Setup!E6,B6*(1+Setup!H6),B6)),B6),K6/'Quick Setup'!$E7)</f>
        <v>525</v>
      </c>
      <c r="J6" s="35" t="s">
        <v>73</v>
      </c>
      <c r="K6" s="36"/>
      <c r="L6" s="37"/>
      <c r="M6" s="37"/>
      <c r="N6" s="37"/>
      <c r="O6" s="37"/>
      <c r="P6" s="34">
        <f>if(R6="", if(M7&lt;&gt;"", if(M7&gt;Setup!M6,I6*(1+Setup!N6),if(M7&lt;Setup!L6,I6*(1+Setup!O6),I6)),I6),R6/'Quick Setup'!$E7)</f>
        <v>525</v>
      </c>
      <c r="Q6" s="35" t="s">
        <v>73</v>
      </c>
      <c r="R6" s="36"/>
      <c r="S6" s="37"/>
      <c r="T6" s="37"/>
      <c r="U6" s="37"/>
      <c r="V6" s="37"/>
      <c r="W6" s="34">
        <f>if(Y6="", if(T7&lt;&gt;"", if(T7&gt;Setup!T6,P6*(1+Setup!U6),if(T7&lt;Setup!S6,P6*(1+Setup!V6),P6)),P6),Y6/'Quick Setup'!$E7)</f>
        <v>525</v>
      </c>
      <c r="X6" s="35" t="s">
        <v>73</v>
      </c>
      <c r="Y6" s="36"/>
      <c r="Z6" s="37"/>
      <c r="AA6" s="37"/>
      <c r="AB6" s="37"/>
      <c r="AC6" s="37"/>
      <c r="AD6" s="34">
        <f>if(AF6="", if(AA7&lt;&gt;"", if(AA7&gt;Setup!AA6,W6*(1+Setup!AB6),if(AA7&lt;Setup!Z6,W6*(1+Setup!AC6),W6)),W6),AF6/'Quick Setup'!$E7)</f>
        <v>525</v>
      </c>
      <c r="AE6" s="35" t="s">
        <v>73</v>
      </c>
      <c r="AF6" s="36"/>
      <c r="AG6" s="37"/>
      <c r="AH6" s="37"/>
      <c r="AI6" s="37"/>
      <c r="AJ6" s="37"/>
      <c r="AK6" s="34">
        <f>if(AM6="", if(AH7&lt;&gt;"", if(AH7&gt;Setup!AH6,AD6*(1+Setup!AI6),if(AH7&lt;Setup!AG6,AD6*(1+Setup!AJ6),AD6)),AD6),AM6/'Quick Setup'!$E7)</f>
        <v>525</v>
      </c>
      <c r="AL6" s="35" t="s">
        <v>73</v>
      </c>
      <c r="AM6" s="36"/>
      <c r="AN6" s="37"/>
      <c r="AO6" s="37"/>
      <c r="AP6" s="37"/>
      <c r="AQ6" s="37"/>
      <c r="AR6" s="34">
        <f>if(AT6="", if(AO7&lt;&gt;"", if(AO7&gt;Setup!AO6,AK6*(1+Setup!AP6),if(AO7&lt;Setup!AN6,AK6*(1+Setup!AQ6),AK6)),AK6),AT6/'Quick Setup'!$E7)</f>
        <v>525</v>
      </c>
      <c r="AS6" s="35" t="s">
        <v>73</v>
      </c>
      <c r="AT6" s="36"/>
      <c r="AU6" s="37"/>
      <c r="AV6" s="37"/>
      <c r="AW6" s="37"/>
      <c r="AX6" s="37"/>
      <c r="AY6" s="34">
        <f>if(BA6="",AR6,BA6/'Quick Setup'!$E7)</f>
        <v>525</v>
      </c>
      <c r="AZ6" s="35" t="s">
        <v>73</v>
      </c>
      <c r="BA6" s="36"/>
      <c r="BB6" s="37"/>
      <c r="BC6" s="37"/>
      <c r="BD6" s="37"/>
      <c r="BE6" s="37"/>
      <c r="BF6" s="34">
        <f>if(BH6="", if(BC7&lt;&gt;"", if(BC7&gt;Setup!BC6,AY6*(1+Setup!BD6),if(BC7&lt;Setup!BB6,AY6*(1+Setup!BE6),AY6)),AY6),BH6/'Quick Setup'!$E7)</f>
        <v>525</v>
      </c>
      <c r="BG6" s="35" t="s">
        <v>73</v>
      </c>
      <c r="BH6" s="36"/>
      <c r="BI6" s="37"/>
      <c r="BJ6" s="37"/>
      <c r="BK6" s="37"/>
      <c r="BL6" s="37"/>
      <c r="BM6" s="34">
        <f>if(BO6="", if(BJ7&lt;&gt;"", if(BJ7&gt;Setup!BJ6,BF6*(1+Setup!BK6),if(BJ7&lt;Setup!BI6,BF6*(1+Setup!BL6),BF6)),BF6),BO6/'Quick Setup'!$E7)</f>
        <v>525</v>
      </c>
      <c r="BN6" s="35" t="s">
        <v>73</v>
      </c>
      <c r="BO6" s="36"/>
      <c r="BP6" s="37"/>
      <c r="BQ6" s="37"/>
      <c r="BR6" s="37"/>
      <c r="BS6" s="37"/>
      <c r="BT6" s="34">
        <f>if(BV6="", if(BQ7&lt;&gt;"", if(BQ7&gt;Setup!BQ6,BM6*(1+Setup!BR6),if(BQ7&lt;Setup!BP6,BM6*(1+Setup!BS6),BM6)),BM6),BV6/'Quick Setup'!$E7)</f>
        <v>525</v>
      </c>
      <c r="BU6" s="35" t="s">
        <v>73</v>
      </c>
      <c r="BV6" s="36"/>
      <c r="BW6" s="37"/>
      <c r="BX6" s="37"/>
      <c r="BY6" s="37"/>
      <c r="BZ6" s="37"/>
      <c r="CA6" s="34">
        <f>if(CC6="", if(BX7&lt;&gt;"", if(BX7&gt;Setup!BX6,BT6*(1+Setup!BY6),if(BX7&lt;Setup!BW6,BT6*(1+Setup!BZ6),BT6)),BT6),CC6/'Quick Setup'!$E7)</f>
        <v>525</v>
      </c>
      <c r="CB6" s="35" t="s">
        <v>73</v>
      </c>
      <c r="CC6" s="36"/>
      <c r="CD6" s="37"/>
      <c r="CE6" s="37"/>
      <c r="CF6" s="37"/>
      <c r="CG6" s="37"/>
      <c r="CH6" s="34">
        <f>if(CJ6="", if(CE7&lt;&gt;"", if(CE7&gt;Setup!CE6,CA6*(1+Setup!CF6),if(CE7&lt;Setup!CD6,CA6*(1+Setup!CG6),CA6)),CA6),CJ6/'Quick Setup'!$E7)</f>
        <v>525</v>
      </c>
      <c r="CI6" s="35" t="s">
        <v>73</v>
      </c>
      <c r="CJ6" s="36"/>
      <c r="CK6" s="37"/>
      <c r="CL6" s="37"/>
      <c r="CM6" s="37"/>
      <c r="CN6" s="37"/>
      <c r="CO6" s="34">
        <f>if(CQ6="", if(CL7&lt;&gt;"", if(CL7&gt;Setup!CL6,CH6*(1+Setup!CM6),if(CL7&lt;Setup!CK6,CH6*(1+Setup!CN6),CH6)),CH6),CQ6/'Quick Setup'!$E7)</f>
        <v>525</v>
      </c>
      <c r="CP6" s="35" t="s">
        <v>73</v>
      </c>
      <c r="CQ6" s="36"/>
      <c r="CR6" s="37"/>
      <c r="CS6" s="37"/>
      <c r="CT6" s="37"/>
      <c r="CU6" s="37"/>
      <c r="CV6" s="34">
        <f>if(CX6="",CO6,CX6/'Quick Setup'!$E7)</f>
        <v>525</v>
      </c>
      <c r="CW6" s="35" t="s">
        <v>73</v>
      </c>
      <c r="CX6" s="36"/>
      <c r="CY6" s="37"/>
      <c r="CZ6" s="37"/>
      <c r="DA6" s="37"/>
      <c r="DB6" s="37"/>
      <c r="DC6" s="34">
        <f>if(DE6="", if(CZ7&lt;&gt;"", if(CZ7&gt;Setup!CZ6,CV6*(1+Setup!DA6),if(CZ7&lt;Setup!CY6,CV6*(1+Setup!DB6),CV6)),CV6),DE6/'Quick Setup'!$E7)</f>
        <v>525</v>
      </c>
      <c r="DD6" s="35" t="s">
        <v>73</v>
      </c>
      <c r="DE6" s="36"/>
      <c r="DF6" s="37"/>
      <c r="DG6" s="37"/>
      <c r="DH6" s="37"/>
      <c r="DI6" s="37"/>
      <c r="DJ6" s="34">
        <f>if(DL6="", if(DG7&lt;&gt;"", if(DG7&gt;Setup!DG6,DC6*(1+Setup!DH6),if(DG7&lt;Setup!DF6,DC6*(1+Setup!DI6),DC6)),DC6),DL6/'Quick Setup'!$E7)</f>
        <v>525</v>
      </c>
      <c r="DK6" s="35" t="s">
        <v>73</v>
      </c>
      <c r="DL6" s="36"/>
      <c r="DM6" s="37"/>
      <c r="DN6" s="37"/>
      <c r="DO6" s="37"/>
      <c r="DP6" s="37"/>
      <c r="DQ6" s="34">
        <f>if(DS6="", if(DN7&lt;&gt;"", if(DN7&gt;Setup!DN6,DJ6*(1+Setup!DO6),if(DN7&lt;Setup!DM6,DJ6*(1+Setup!DP6),DJ6)),DJ6),DS6/'Quick Setup'!$E7)</f>
        <v>525</v>
      </c>
      <c r="DR6" s="35" t="s">
        <v>73</v>
      </c>
      <c r="DS6" s="36"/>
      <c r="DT6" s="37"/>
      <c r="DU6" s="37"/>
      <c r="DV6" s="37"/>
      <c r="DW6" s="37"/>
      <c r="DX6" s="34">
        <f>if(DZ6="", if(DU7&lt;&gt;"", if(DU7&gt;Setup!DU6,DQ6*(1+Setup!DV6),if(DU7&lt;Setup!DT6,DQ6*(1+Setup!DW6),DQ6)),DQ6),DZ6/'Quick Setup'!$E7)</f>
        <v>525</v>
      </c>
      <c r="DY6" s="35" t="s">
        <v>73</v>
      </c>
      <c r="DZ6" s="36"/>
      <c r="EA6" s="37"/>
      <c r="EB6" s="37"/>
      <c r="EC6" s="37"/>
      <c r="ED6" s="37"/>
      <c r="EE6" s="34">
        <f>if(EG6="", if(EB7&lt;&gt;"", if(EB7&gt;Setup!EB6,DX6*(1+Setup!EC6),if(EB7&lt;Setup!EA6,DX6*(1+Setup!ED6),DX6)),DX6),EG6/'Quick Setup'!$E7)</f>
        <v>525</v>
      </c>
      <c r="EF6" s="35" t="s">
        <v>73</v>
      </c>
      <c r="EG6" s="36"/>
      <c r="EH6" s="37"/>
      <c r="EI6" s="37"/>
      <c r="EJ6" s="37"/>
      <c r="EK6" s="37"/>
      <c r="EL6" s="34">
        <f>if(EN6="", if(EI7&lt;&gt;"", if(EI7&gt;Setup!EI6,EE6*(1+Setup!EJ6),if(EI7&lt;Setup!EH6,EE6*(1+Setup!EK6),EE6)),EE6),EN6/'Quick Setup'!$E7)</f>
        <v>525</v>
      </c>
      <c r="EM6" s="35" t="s">
        <v>73</v>
      </c>
      <c r="EN6" s="36"/>
      <c r="EO6" s="37"/>
      <c r="EP6" s="37"/>
      <c r="EQ6" s="37"/>
      <c r="ER6" s="37"/>
    </row>
    <row r="7">
      <c r="A7" s="1" t="str">
        <f>Setup!A6</f>
        <v>Deadlift</v>
      </c>
      <c r="B7" s="38">
        <f>mround(B6*Setup!B6,'Quick Setup'!$A$2)</f>
        <v>367.5</v>
      </c>
      <c r="C7" s="2">
        <f>Setup!C6</f>
        <v>5</v>
      </c>
      <c r="D7" s="2">
        <f>Setup!D6</f>
        <v>3</v>
      </c>
      <c r="E7" s="2" t="str">
        <f>CONCATENATE(Setup!E6,"-",Setup!F6)</f>
        <v>4-6</v>
      </c>
      <c r="F7" s="10"/>
      <c r="G7" s="10"/>
      <c r="H7" s="10"/>
      <c r="I7" s="38">
        <f>mround(I6*Setup!I6,'Quick Setup'!$A$2)</f>
        <v>395</v>
      </c>
      <c r="J7" s="2">
        <f>Setup!J6</f>
        <v>4</v>
      </c>
      <c r="K7" s="2">
        <f>Setup!K6</f>
        <v>3</v>
      </c>
      <c r="L7" s="2" t="str">
        <f>CONCATENATE(Setup!L6,"-",Setup!M6)</f>
        <v>4-6</v>
      </c>
      <c r="M7" s="10"/>
      <c r="N7" s="10"/>
      <c r="O7" s="10"/>
      <c r="P7" s="38">
        <f>mround(P6*Setup!P6,'Quick Setup'!$A$2)</f>
        <v>420</v>
      </c>
      <c r="Q7" s="2">
        <f>Setup!Q6</f>
        <v>3</v>
      </c>
      <c r="R7" s="2">
        <f>Setup!R6</f>
        <v>2</v>
      </c>
      <c r="S7" s="2" t="str">
        <f>CONCATENATE(Setup!S6,"-",Setup!T6)</f>
        <v>4-6</v>
      </c>
      <c r="T7" s="10"/>
      <c r="U7" s="10"/>
      <c r="V7" s="10"/>
      <c r="W7" s="38">
        <f>mround(W6*Setup!W6,'Quick Setup'!$A$2)</f>
        <v>380</v>
      </c>
      <c r="X7" s="2">
        <f>Setup!X6</f>
        <v>5</v>
      </c>
      <c r="Y7" s="2">
        <f>Setup!Y6</f>
        <v>3</v>
      </c>
      <c r="Z7" s="2" t="str">
        <f>CONCATENATE(Setup!Z6,"-",Setup!AA6)</f>
        <v>4-6</v>
      </c>
      <c r="AA7" s="10"/>
      <c r="AB7" s="10"/>
      <c r="AC7" s="10"/>
      <c r="AD7" s="38">
        <f>mround(AD6*Setup!AD6,'Quick Setup'!$A$2)</f>
        <v>407.5</v>
      </c>
      <c r="AE7" s="2">
        <f>Setup!AE6</f>
        <v>4</v>
      </c>
      <c r="AF7" s="2">
        <f>Setup!AF6</f>
        <v>3</v>
      </c>
      <c r="AG7" s="2" t="str">
        <f>CONCATENATE(Setup!AG6,"-",Setup!AH6)</f>
        <v>4-6</v>
      </c>
      <c r="AH7" s="10"/>
      <c r="AI7" s="10"/>
      <c r="AJ7" s="10"/>
      <c r="AK7" s="38">
        <f>mround(AK6*Setup!AK6,'Quick Setup'!$A$2)</f>
        <v>432.5</v>
      </c>
      <c r="AL7" s="2">
        <f>Setup!AL6</f>
        <v>3</v>
      </c>
      <c r="AM7" s="2">
        <f>Setup!AM6</f>
        <v>2</v>
      </c>
      <c r="AN7" s="2" t="str">
        <f>CONCATENATE(Setup!AN6,"-",Setup!AO6)</f>
        <v>4-6</v>
      </c>
      <c r="AO7" s="10"/>
      <c r="AP7" s="10"/>
      <c r="AQ7" s="10"/>
      <c r="AR7" s="38">
        <f>mround(AR6*Setup!AR6,'Quick Setup'!$A$2)</f>
        <v>315</v>
      </c>
      <c r="AS7" s="1">
        <v>5.0</v>
      </c>
      <c r="AT7" s="1" t="s">
        <v>76</v>
      </c>
      <c r="AU7" s="2" t="str">
        <f>CONCATENATE(Setup!AU6,"-",Setup!AV6)</f>
        <v>4-6</v>
      </c>
      <c r="AV7" s="10"/>
      <c r="AW7" s="10"/>
      <c r="AX7" s="10"/>
      <c r="AY7" s="38">
        <f>mround(AY6*Setup!AY6,'Quick Setup'!$A$2)</f>
        <v>395</v>
      </c>
      <c r="AZ7" s="2">
        <f>Setup!AZ6</f>
        <v>4</v>
      </c>
      <c r="BA7" s="2">
        <f>Setup!BA6</f>
        <v>3</v>
      </c>
      <c r="BB7" s="2" t="str">
        <f>CONCATENATE(Setup!BB6,"-",Setup!BC6)</f>
        <v>4-6</v>
      </c>
      <c r="BC7" s="10"/>
      <c r="BD7" s="10"/>
      <c r="BE7" s="10"/>
      <c r="BF7" s="38">
        <f>mround(BF6*Setup!BF6,'Quick Setup'!$A$2)</f>
        <v>420</v>
      </c>
      <c r="BG7" s="2">
        <f>Setup!BG6</f>
        <v>3</v>
      </c>
      <c r="BH7" s="2">
        <f>Setup!BH6</f>
        <v>2</v>
      </c>
      <c r="BI7" s="2" t="str">
        <f>CONCATENATE(Setup!BI6,"-",Setup!BJ6)</f>
        <v>4-6</v>
      </c>
      <c r="BJ7" s="10"/>
      <c r="BK7" s="10"/>
      <c r="BL7" s="10"/>
      <c r="BM7" s="38">
        <f>mround(BM6*Setup!BM6,'Quick Setup'!$A$2)</f>
        <v>447.5</v>
      </c>
      <c r="BN7" s="2">
        <f>Setup!BN6</f>
        <v>2</v>
      </c>
      <c r="BO7" s="2">
        <f>Setup!BO6</f>
        <v>2</v>
      </c>
      <c r="BP7" s="2" t="str">
        <f>CONCATENATE(Setup!BP6,"-",Setup!BQ6)</f>
        <v>4-6</v>
      </c>
      <c r="BQ7" s="10"/>
      <c r="BR7" s="10"/>
      <c r="BS7" s="10"/>
      <c r="BT7" s="38">
        <f>mround(BT6*Setup!BT6,'Quick Setup'!$A$2)</f>
        <v>407.5</v>
      </c>
      <c r="BU7" s="2">
        <f>Setup!BU6</f>
        <v>4</v>
      </c>
      <c r="BV7" s="2">
        <f>Setup!BV6</f>
        <v>3</v>
      </c>
      <c r="BW7" s="2" t="str">
        <f>CONCATENATE(Setup!BW6,"-",Setup!BX6)</f>
        <v>4-6</v>
      </c>
      <c r="BX7" s="10"/>
      <c r="BY7" s="10"/>
      <c r="BZ7" s="10"/>
      <c r="CA7" s="38">
        <f>mround(CA6*Setup!CA6,'Quick Setup'!$A$2)</f>
        <v>432.5</v>
      </c>
      <c r="CB7" s="2">
        <f>Setup!CB6</f>
        <v>3</v>
      </c>
      <c r="CC7" s="2">
        <f>Setup!CC6</f>
        <v>2</v>
      </c>
      <c r="CD7" s="2" t="str">
        <f>CONCATENATE(Setup!CD6,"-",Setup!CE6)</f>
        <v>4-6</v>
      </c>
      <c r="CE7" s="10"/>
      <c r="CF7" s="10"/>
      <c r="CG7" s="10"/>
      <c r="CH7" s="38">
        <f>mround(CH6*Setup!CH6,'Quick Setup'!$A$2)</f>
        <v>460</v>
      </c>
      <c r="CI7" s="2">
        <f>Setup!CI6</f>
        <v>2</v>
      </c>
      <c r="CJ7" s="2">
        <f>Setup!CJ6</f>
        <v>2</v>
      </c>
      <c r="CK7" s="2" t="str">
        <f>CONCATENATE(Setup!CK6,"-",Setup!CL6)</f>
        <v>4-6</v>
      </c>
      <c r="CL7" s="10"/>
      <c r="CM7" s="10"/>
      <c r="CN7" s="10"/>
      <c r="CO7" s="38">
        <f>mround(CO6*Setup!CO6,'Quick Setup'!$A$2)</f>
        <v>315</v>
      </c>
      <c r="CP7" s="1">
        <v>5.0</v>
      </c>
      <c r="CQ7" s="1" t="s">
        <v>76</v>
      </c>
      <c r="CR7" s="2" t="str">
        <f>CONCATENATE(Setup!CR6,"-",Setup!CS6)</f>
        <v>4-6</v>
      </c>
      <c r="CS7" s="10"/>
      <c r="CT7" s="10"/>
      <c r="CU7" s="10"/>
      <c r="CV7" s="38">
        <f>mround(CV6*Setup!CV6,'Quick Setup'!$A$2)</f>
        <v>420</v>
      </c>
      <c r="CW7" s="2">
        <f>Setup!CW6</f>
        <v>3</v>
      </c>
      <c r="CX7" s="2">
        <f>Setup!CX6</f>
        <v>2</v>
      </c>
      <c r="CY7" s="2" t="str">
        <f>CONCATENATE(Setup!CY6,"-",Setup!CZ6)</f>
        <v>4-6</v>
      </c>
      <c r="CZ7" s="10"/>
      <c r="DA7" s="10"/>
      <c r="DB7" s="10"/>
      <c r="DC7" s="38">
        <f>mround(DC6*Setup!DC6,'Quick Setup'!$A$2)</f>
        <v>447.5</v>
      </c>
      <c r="DD7" s="2">
        <f>Setup!DD6</f>
        <v>2</v>
      </c>
      <c r="DE7" s="2">
        <f>Setup!DE6</f>
        <v>2</v>
      </c>
      <c r="DF7" s="2" t="str">
        <f>CONCATENATE(Setup!DF6,"-",Setup!DG6)</f>
        <v>4-6</v>
      </c>
      <c r="DG7" s="10"/>
      <c r="DH7" s="10"/>
      <c r="DI7" s="10"/>
      <c r="DJ7" s="38">
        <f>mround(DJ6*Setup!DJ6,'Quick Setup'!$A$2)</f>
        <v>472.5</v>
      </c>
      <c r="DK7" s="2">
        <f>Setup!DK6</f>
        <v>1</v>
      </c>
      <c r="DL7" s="2">
        <f>Setup!DL6</f>
        <v>1</v>
      </c>
      <c r="DM7" s="2" t="str">
        <f>CONCATENATE(Setup!DM6,"-",Setup!DN6)</f>
        <v>4-6</v>
      </c>
      <c r="DN7" s="10"/>
      <c r="DO7" s="10"/>
      <c r="DP7" s="10"/>
      <c r="DQ7" s="38">
        <f>mround(DQ6*Setup!DQ6,'Quick Setup'!$A$2)</f>
        <v>447.5</v>
      </c>
      <c r="DR7" s="2">
        <f>Setup!DR6</f>
        <v>2</v>
      </c>
      <c r="DS7" s="2">
        <f>Setup!DS6</f>
        <v>2</v>
      </c>
      <c r="DT7" s="2" t="str">
        <f>CONCATENATE(Setup!DT6,"-",Setup!DU6)</f>
        <v>4-6</v>
      </c>
      <c r="DU7" s="10"/>
      <c r="DV7" s="10"/>
      <c r="DW7" s="10"/>
      <c r="DX7" s="38">
        <f>mround(DX6*Setup!DX6,'Quick Setup'!$A$2)</f>
        <v>472.5</v>
      </c>
      <c r="DY7" s="2">
        <f>Setup!DY6</f>
        <v>1</v>
      </c>
      <c r="DZ7" s="2">
        <f>Setup!DZ6</f>
        <v>1</v>
      </c>
      <c r="EA7" s="2" t="str">
        <f>CONCATENATE(Setup!EA6,"-",Setup!EB6)</f>
        <v>4-6</v>
      </c>
      <c r="EB7" s="10"/>
      <c r="EC7" s="10"/>
      <c r="ED7" s="10"/>
      <c r="EE7" s="38">
        <f>mround(EE6*Setup!EE6,'Quick Setup'!$A$2)</f>
        <v>500</v>
      </c>
      <c r="EF7" s="2">
        <f>Setup!EF6</f>
        <v>1</v>
      </c>
      <c r="EG7" s="2">
        <f>Setup!EG6</f>
        <v>1</v>
      </c>
      <c r="EH7" s="2" t="str">
        <f>CONCATENATE(Setup!EH6,"-",Setup!EI6)</f>
        <v>4-6</v>
      </c>
      <c r="EI7" s="10"/>
      <c r="EJ7" s="10"/>
      <c r="EK7" s="10"/>
      <c r="EL7" s="38">
        <f>mround(EL6*Setup!EL6,'Quick Setup'!$A$2)</f>
        <v>315</v>
      </c>
      <c r="EM7" s="1">
        <v>5.0</v>
      </c>
      <c r="EN7" s="1" t="s">
        <v>76</v>
      </c>
      <c r="EO7" s="2" t="str">
        <f>CONCATENATE(Setup!EO6,"-",Setup!EP6)</f>
        <v>4-6</v>
      </c>
      <c r="EP7" s="10"/>
      <c r="EQ7" s="10"/>
      <c r="ER7" s="10"/>
    </row>
    <row r="8" hidden="1">
      <c r="A8" s="33" t="str">
        <f>CONCATENATE(A9," TM")</f>
        <v>Front Squat TM</v>
      </c>
      <c r="B8" s="34">
        <f>if(D8="",'Quick Setup'!D11,D8/'Quick Setup'!E11)</f>
        <v>420</v>
      </c>
      <c r="C8" s="35" t="s">
        <v>73</v>
      </c>
      <c r="D8" s="36"/>
      <c r="E8" s="37"/>
      <c r="F8" s="37"/>
      <c r="G8" s="37"/>
      <c r="H8" s="37"/>
      <c r="I8" s="34">
        <f>if(K8="", if(F9&lt;&gt;"", if(F9&gt;Setup!F10,B8*(1+Setup!G10),if(F9&lt;Setup!E10,B8*(1+Setup!H10),B8)),B8),K8/'Quick Setup'!$E11)</f>
        <v>420</v>
      </c>
      <c r="J8" s="35" t="s">
        <v>73</v>
      </c>
      <c r="K8" s="36"/>
      <c r="L8" s="37"/>
      <c r="M8" s="37"/>
      <c r="N8" s="37"/>
      <c r="O8" s="37"/>
      <c r="P8" s="34">
        <f>if(R8="", if(M9&lt;&gt;"", if(M9&gt;Setup!M10,I8*(1+Setup!N10),if(M9&lt;Setup!L10,I8*(1+Setup!O10),I8)),I8),R8/'Quick Setup'!$E11)</f>
        <v>420</v>
      </c>
      <c r="Q8" s="35" t="s">
        <v>73</v>
      </c>
      <c r="R8" s="36"/>
      <c r="S8" s="37"/>
      <c r="T8" s="37"/>
      <c r="U8" s="37"/>
      <c r="V8" s="37"/>
      <c r="W8" s="34">
        <f>if(Y8="", if(T9&lt;&gt;"", if(T9&gt;Setup!T10,P8*(1+Setup!U10),if(T9&lt;Setup!S10,P8*(1+Setup!V10),P8)),P8),Y8/'Quick Setup'!$E11)</f>
        <v>420</v>
      </c>
      <c r="X8" s="35" t="s">
        <v>73</v>
      </c>
      <c r="Y8" s="36"/>
      <c r="Z8" s="37"/>
      <c r="AA8" s="37"/>
      <c r="AB8" s="37"/>
      <c r="AC8" s="37"/>
      <c r="AD8" s="34">
        <f>if(AF8="", if(AA9&lt;&gt;"", if(AA9&gt;Setup!AA10,W8*(1+Setup!AB10),if(AA9&lt;Setup!Z10,W8*(1+Setup!AC10),W8)),W8),AF8/'Quick Setup'!$E11)</f>
        <v>420</v>
      </c>
      <c r="AE8" s="35" t="s">
        <v>73</v>
      </c>
      <c r="AF8" s="36"/>
      <c r="AG8" s="37"/>
      <c r="AH8" s="37"/>
      <c r="AI8" s="37"/>
      <c r="AJ8" s="37"/>
      <c r="AK8" s="34">
        <f>if(AM8="", if(AH9&lt;&gt;"", if(AH9&gt;Setup!AH10,AD8*(1+Setup!AI10),if(AH9&lt;Setup!AG10,AD8*(1+Setup!AJ10),AD8)),AD8),AM8/'Quick Setup'!$E11)</f>
        <v>420</v>
      </c>
      <c r="AL8" s="35" t="s">
        <v>73</v>
      </c>
      <c r="AM8" s="36"/>
      <c r="AN8" s="37"/>
      <c r="AO8" s="37"/>
      <c r="AP8" s="37"/>
      <c r="AQ8" s="37"/>
      <c r="AR8" s="34">
        <f>if(AT8="", if(AO9&lt;&gt;"", if(AO9&gt;Setup!AO10,AK8*(1+Setup!AP10),if(AO9&lt;Setup!AN10,AK8*(1+Setup!AQ10),AK8)),AK8),AT8/'Quick Setup'!$E11)</f>
        <v>420</v>
      </c>
      <c r="AS8" s="35" t="s">
        <v>73</v>
      </c>
      <c r="AT8" s="36"/>
      <c r="AU8" s="37"/>
      <c r="AV8" s="37"/>
      <c r="AW8" s="37"/>
      <c r="AX8" s="37"/>
      <c r="AY8" s="34">
        <f>if(BA8="",AR8,BA8/'Quick Setup'!$E11)</f>
        <v>420</v>
      </c>
      <c r="AZ8" s="35" t="s">
        <v>73</v>
      </c>
      <c r="BA8" s="36"/>
      <c r="BB8" s="37"/>
      <c r="BC8" s="37"/>
      <c r="BD8" s="37"/>
      <c r="BE8" s="37"/>
      <c r="BF8" s="34">
        <f>if(BH8="", if(BC9&lt;&gt;"", if(BC9&gt;Setup!BC10,AY8*(1+Setup!BD10),if(BC9&lt;Setup!BB10,AY8*(1+Setup!BE10),AY8)),AY8),BH8/'Quick Setup'!$E11)</f>
        <v>420</v>
      </c>
      <c r="BG8" s="35" t="s">
        <v>73</v>
      </c>
      <c r="BH8" s="36"/>
      <c r="BI8" s="37"/>
      <c r="BJ8" s="37"/>
      <c r="BK8" s="37"/>
      <c r="BL8" s="37"/>
      <c r="BM8" s="34">
        <f>if(BO8="", if(BJ9&lt;&gt;"", if(BJ9&gt;Setup!BJ10,BF8*(1+Setup!BK10),if(BJ9&lt;Setup!BI10,BF8*(1+Setup!BL10),BF8)),BF8),BO8/'Quick Setup'!$E11)</f>
        <v>420</v>
      </c>
      <c r="BN8" s="35" t="s">
        <v>73</v>
      </c>
      <c r="BO8" s="36"/>
      <c r="BP8" s="37"/>
      <c r="BQ8" s="37"/>
      <c r="BR8" s="37"/>
      <c r="BS8" s="37"/>
      <c r="BT8" s="34">
        <f>if(BV8="", if(BQ9&lt;&gt;"", if(BQ9&gt;Setup!BQ10,BM8*(1+Setup!BR10),if(BQ9&lt;Setup!BP10,BM8*(1+Setup!BS10),BM8)),BM8),BV8/'Quick Setup'!$E11)</f>
        <v>420</v>
      </c>
      <c r="BU8" s="35" t="s">
        <v>73</v>
      </c>
      <c r="BV8" s="36"/>
      <c r="BW8" s="37"/>
      <c r="BX8" s="37"/>
      <c r="BY8" s="37"/>
      <c r="BZ8" s="37"/>
      <c r="CA8" s="34">
        <f>if(CC8="", if(BX9&lt;&gt;"", if(BX9&gt;Setup!BX10,BT8*(1+Setup!BY10),if(BX9&lt;Setup!BW10,BT8*(1+Setup!BZ10),BT8)),BT8),CC8/'Quick Setup'!$E11)</f>
        <v>420</v>
      </c>
      <c r="CB8" s="35" t="s">
        <v>73</v>
      </c>
      <c r="CC8" s="36"/>
      <c r="CD8" s="37"/>
      <c r="CE8" s="37"/>
      <c r="CF8" s="37"/>
      <c r="CG8" s="37"/>
      <c r="CH8" s="34">
        <f>if(CJ8="", if(CE9&lt;&gt;"", if(CE9&gt;Setup!CE10,CA8*(1+Setup!CF10),if(CE9&lt;Setup!CD10,CA8*(1+Setup!CG10),CA8)),CA8),CJ8/'Quick Setup'!$E11)</f>
        <v>420</v>
      </c>
      <c r="CI8" s="35" t="s">
        <v>73</v>
      </c>
      <c r="CJ8" s="36"/>
      <c r="CK8" s="37"/>
      <c r="CL8" s="37"/>
      <c r="CM8" s="37"/>
      <c r="CN8" s="37"/>
      <c r="CO8" s="34">
        <f>if(CQ8="", if(CL9&lt;&gt;"", if(CL9&gt;Setup!CL10,CH8*(1+Setup!CM10),if(CL9&lt;Setup!CK10,CH8*(1+Setup!CN10),CH8)),CH8),CQ8/'Quick Setup'!$E11)</f>
        <v>420</v>
      </c>
      <c r="CP8" s="35" t="s">
        <v>73</v>
      </c>
      <c r="CQ8" s="36"/>
      <c r="CR8" s="37"/>
      <c r="CS8" s="37"/>
      <c r="CT8" s="37"/>
      <c r="CU8" s="37"/>
      <c r="CV8" s="34">
        <f>if(CX8="",CO8,CX8/'Quick Setup'!$E11)</f>
        <v>420</v>
      </c>
      <c r="CW8" s="35" t="s">
        <v>73</v>
      </c>
      <c r="CX8" s="36"/>
      <c r="CY8" s="37"/>
      <c r="CZ8" s="37"/>
      <c r="DA8" s="37"/>
      <c r="DB8" s="37"/>
      <c r="DC8" s="34">
        <f>if(DE8="", if(CZ9&lt;&gt;"", if(CZ9&gt;Setup!CZ10,CV8*(1+Setup!DA10),if(CZ9&lt;Setup!CY10,CV8*(1+Setup!DB10),CV8)),CV8),DE8/'Quick Setup'!$E11)</f>
        <v>420</v>
      </c>
      <c r="DD8" s="35" t="s">
        <v>73</v>
      </c>
      <c r="DE8" s="36"/>
      <c r="DF8" s="37"/>
      <c r="DG8" s="37"/>
      <c r="DH8" s="37"/>
      <c r="DI8" s="37"/>
      <c r="DJ8" s="34">
        <f>if(DL8="", if(DG9&lt;&gt;"", if(DG9&gt;Setup!DG10,DC8*(1+Setup!DH10),if(DG9&lt;Setup!DF10,DC8*(1+Setup!DI10),DC8)),DC8),DL8/'Quick Setup'!$E11)</f>
        <v>420</v>
      </c>
      <c r="DK8" s="35" t="s">
        <v>73</v>
      </c>
      <c r="DL8" s="36"/>
      <c r="DM8" s="37"/>
      <c r="DN8" s="37"/>
      <c r="DO8" s="37"/>
      <c r="DP8" s="37"/>
      <c r="DQ8" s="34">
        <f>if(DS8="", if(DN9&lt;&gt;"", if(DN9&gt;Setup!DN10,DJ8*(1+Setup!DO10),if(DN9&lt;Setup!DM10,DJ8*(1+Setup!DP10),DJ8)),DJ8),DS8/'Quick Setup'!$E11)</f>
        <v>420</v>
      </c>
      <c r="DR8" s="35" t="s">
        <v>73</v>
      </c>
      <c r="DS8" s="36"/>
      <c r="DT8" s="37"/>
      <c r="DU8" s="37"/>
      <c r="DV8" s="37"/>
      <c r="DW8" s="37"/>
      <c r="DX8" s="34">
        <f>if(DZ8="", if(DU9&lt;&gt;"", if(DU9&gt;Setup!DU10,DQ8*(1+Setup!DV10),if(DU9&lt;Setup!DT10,DQ8*(1+Setup!DW10),DQ8)),DQ8),DZ8/'Quick Setup'!$E11)</f>
        <v>420</v>
      </c>
      <c r="DY8" s="35" t="s">
        <v>73</v>
      </c>
      <c r="DZ8" s="36"/>
      <c r="EA8" s="37"/>
      <c r="EB8" s="37"/>
      <c r="EC8" s="37"/>
      <c r="ED8" s="37"/>
      <c r="EE8" s="34">
        <f>if(EG8="", if(EB9&lt;&gt;"", if(EB9&gt;Setup!EB10,DX8*(1+Setup!EC10),if(EB9&lt;Setup!EA10,DX8*(1+Setup!ED10),DX8)),DX8),EG8/'Quick Setup'!$E11)</f>
        <v>420</v>
      </c>
      <c r="EF8" s="35" t="s">
        <v>73</v>
      </c>
      <c r="EG8" s="36"/>
      <c r="EH8" s="37"/>
      <c r="EI8" s="37"/>
      <c r="EJ8" s="37"/>
      <c r="EK8" s="37"/>
      <c r="EL8" s="34">
        <f>if(EN8="", if(EI9&lt;&gt;"", if(EI9&gt;Setup!EI10,EE8*(1+Setup!EJ10),if(EI9&lt;Setup!EH10,EE8*(1+Setup!EK10),EE8)),EE8),EN8/'Quick Setup'!$E11)</f>
        <v>420</v>
      </c>
      <c r="EM8" s="35" t="s">
        <v>73</v>
      </c>
      <c r="EN8" s="36"/>
      <c r="EO8" s="37"/>
      <c r="EP8" s="37"/>
      <c r="EQ8" s="37"/>
      <c r="ER8" s="37"/>
    </row>
    <row r="9">
      <c r="A9" s="1" t="str">
        <f>Setup!A10</f>
        <v>Front Squat</v>
      </c>
      <c r="B9" s="38">
        <f>mround(B8*Setup!B10,'Quick Setup'!$A$2)</f>
        <v>252.5</v>
      </c>
      <c r="C9" s="2">
        <f>Setup!C10</f>
        <v>7</v>
      </c>
      <c r="D9" s="2">
        <f>Setup!D10</f>
        <v>4</v>
      </c>
      <c r="E9" s="2" t="str">
        <f>CONCATENATE(Setup!E10,"-",Setup!F10)</f>
        <v>4-6</v>
      </c>
      <c r="F9" s="10"/>
      <c r="G9" s="10"/>
      <c r="H9" s="10"/>
      <c r="I9" s="38">
        <f>mround(I8*Setup!I10,'Quick Setup'!$A$2)</f>
        <v>272.5</v>
      </c>
      <c r="J9" s="2">
        <f>Setup!J10</f>
        <v>6</v>
      </c>
      <c r="K9" s="2">
        <f>Setup!K10</f>
        <v>4</v>
      </c>
      <c r="L9" s="2" t="str">
        <f>CONCATENATE(Setup!L10,"-",Setup!M10)</f>
        <v>4-6</v>
      </c>
      <c r="M9" s="10"/>
      <c r="N9" s="10"/>
      <c r="O9" s="10"/>
      <c r="P9" s="38">
        <f>mround(P8*Setup!P10,'Quick Setup'!$A$2)</f>
        <v>295</v>
      </c>
      <c r="Q9" s="2">
        <f>Setup!Q10</f>
        <v>5</v>
      </c>
      <c r="R9" s="2">
        <f>Setup!R10</f>
        <v>3</v>
      </c>
      <c r="S9" s="2" t="str">
        <f>CONCATENATE(Setup!S10,"-",Setup!T10)</f>
        <v>4-6</v>
      </c>
      <c r="T9" s="10"/>
      <c r="U9" s="10"/>
      <c r="V9" s="10"/>
      <c r="W9" s="38">
        <f>mround(W8*Setup!W10,'Quick Setup'!$A$2)</f>
        <v>262.5</v>
      </c>
      <c r="X9" s="2">
        <f>Setup!X10</f>
        <v>7</v>
      </c>
      <c r="Y9" s="2">
        <f>Setup!Y10</f>
        <v>4</v>
      </c>
      <c r="Z9" s="2" t="str">
        <f>CONCATENATE(Setup!Z10,"-",Setup!AA10)</f>
        <v>4-6</v>
      </c>
      <c r="AA9" s="10"/>
      <c r="AB9" s="10"/>
      <c r="AC9" s="10"/>
      <c r="AD9" s="38">
        <f>mround(AD8*Setup!AD10,'Quick Setup'!$A$2)</f>
        <v>282.5</v>
      </c>
      <c r="AE9" s="2">
        <f>Setup!AE10</f>
        <v>6</v>
      </c>
      <c r="AF9" s="2">
        <f>Setup!AF10</f>
        <v>4</v>
      </c>
      <c r="AG9" s="2" t="str">
        <f>CONCATENATE(Setup!AG10,"-",Setup!AH10)</f>
        <v>4-6</v>
      </c>
      <c r="AH9" s="10"/>
      <c r="AI9" s="10"/>
      <c r="AJ9" s="10"/>
      <c r="AK9" s="38">
        <f>mround(AK8*Setup!AK10,'Quick Setup'!$A$2)</f>
        <v>305</v>
      </c>
      <c r="AL9" s="2">
        <f>Setup!AL10</f>
        <v>5</v>
      </c>
      <c r="AM9" s="2">
        <f>Setup!AM10</f>
        <v>3</v>
      </c>
      <c r="AN9" s="2" t="str">
        <f>CONCATENATE(Setup!AN10,"-",Setup!AO10)</f>
        <v>4-6</v>
      </c>
      <c r="AO9" s="10"/>
      <c r="AP9" s="10"/>
      <c r="AQ9" s="10"/>
      <c r="AR9" s="38">
        <f>mround(AR8*Setup!AR10,'Quick Setup'!$A$2)</f>
        <v>210</v>
      </c>
      <c r="AS9" s="1">
        <v>5.0</v>
      </c>
      <c r="AT9" s="1" t="s">
        <v>76</v>
      </c>
      <c r="AU9" s="2" t="str">
        <f>CONCATENATE(Setup!AU10,"-",Setup!AV10)</f>
        <v>4-6</v>
      </c>
      <c r="AV9" s="10"/>
      <c r="AW9" s="10"/>
      <c r="AX9" s="10"/>
      <c r="AY9" s="38">
        <f>mround(AY8*Setup!AY10,'Quick Setup'!$A$2)</f>
        <v>272.5</v>
      </c>
      <c r="AZ9" s="2">
        <f>Setup!AZ10</f>
        <v>6</v>
      </c>
      <c r="BA9" s="2">
        <f>Setup!BA10</f>
        <v>4</v>
      </c>
      <c r="BB9" s="2" t="str">
        <f>CONCATENATE(Setup!BB10,"-",Setup!BC10)</f>
        <v>4-6</v>
      </c>
      <c r="BC9" s="10"/>
      <c r="BD9" s="10"/>
      <c r="BE9" s="10"/>
      <c r="BF9" s="38">
        <f>mround(BF8*Setup!BF10,'Quick Setup'!$A$2)</f>
        <v>295</v>
      </c>
      <c r="BG9" s="2">
        <f>Setup!BG10</f>
        <v>5</v>
      </c>
      <c r="BH9" s="2">
        <f>Setup!BH10</f>
        <v>3</v>
      </c>
      <c r="BI9" s="2" t="str">
        <f>CONCATENATE(Setup!BI10,"-",Setup!BJ10)</f>
        <v>4-6</v>
      </c>
      <c r="BJ9" s="10"/>
      <c r="BK9" s="10"/>
      <c r="BL9" s="10"/>
      <c r="BM9" s="38">
        <f>mround(BM8*Setup!BM10,'Quick Setup'!$A$2)</f>
        <v>315</v>
      </c>
      <c r="BN9" s="2">
        <f>Setup!BN10</f>
        <v>4</v>
      </c>
      <c r="BO9" s="2">
        <f>Setup!BO10</f>
        <v>3</v>
      </c>
      <c r="BP9" s="2" t="str">
        <f>CONCATENATE(Setup!BP10,"-",Setup!BQ10)</f>
        <v>4-6</v>
      </c>
      <c r="BQ9" s="10"/>
      <c r="BR9" s="10"/>
      <c r="BS9" s="10"/>
      <c r="BT9" s="38">
        <f>mround(BT8*Setup!BT10,'Quick Setup'!$A$2)</f>
        <v>282.5</v>
      </c>
      <c r="BU9" s="2">
        <f>Setup!BU10</f>
        <v>6</v>
      </c>
      <c r="BV9" s="2">
        <f>Setup!BV10</f>
        <v>4</v>
      </c>
      <c r="BW9" s="2" t="str">
        <f>CONCATENATE(Setup!BW10,"-",Setup!BX10)</f>
        <v>4-6</v>
      </c>
      <c r="BX9" s="10"/>
      <c r="BY9" s="10"/>
      <c r="BZ9" s="10"/>
      <c r="CA9" s="38">
        <f>mround(CA8*Setup!CA10,'Quick Setup'!$A$2)</f>
        <v>305</v>
      </c>
      <c r="CB9" s="2">
        <f>Setup!CB10</f>
        <v>5</v>
      </c>
      <c r="CC9" s="2">
        <f>Setup!CC10</f>
        <v>3</v>
      </c>
      <c r="CD9" s="2" t="str">
        <f>CONCATENATE(Setup!CD10,"-",Setup!CE10)</f>
        <v>4-6</v>
      </c>
      <c r="CE9" s="10"/>
      <c r="CF9" s="10"/>
      <c r="CG9" s="10"/>
      <c r="CH9" s="38">
        <f>mround(CH8*Setup!CH10,'Quick Setup'!$A$2)</f>
        <v>325</v>
      </c>
      <c r="CI9" s="2">
        <f>Setup!CI10</f>
        <v>4</v>
      </c>
      <c r="CJ9" s="2">
        <f>Setup!CJ10</f>
        <v>3</v>
      </c>
      <c r="CK9" s="2" t="str">
        <f>CONCATENATE(Setup!CK10,"-",Setup!CL10)</f>
        <v>4-6</v>
      </c>
      <c r="CL9" s="10"/>
      <c r="CM9" s="10"/>
      <c r="CN9" s="10"/>
      <c r="CO9" s="38">
        <f>mround(CO8*Setup!CO10,'Quick Setup'!$A$2)</f>
        <v>210</v>
      </c>
      <c r="CP9" s="1">
        <v>5.0</v>
      </c>
      <c r="CQ9" s="1" t="s">
        <v>76</v>
      </c>
      <c r="CR9" s="2" t="str">
        <f>CONCATENATE(Setup!CR10,"-",Setup!CS10)</f>
        <v>4-6</v>
      </c>
      <c r="CS9" s="10"/>
      <c r="CT9" s="10"/>
      <c r="CU9" s="10"/>
      <c r="CV9" s="38">
        <f>mround(CV8*Setup!CV10,'Quick Setup'!$A$2)</f>
        <v>295</v>
      </c>
      <c r="CW9" s="2">
        <f>Setup!CW10</f>
        <v>5</v>
      </c>
      <c r="CX9" s="2">
        <f>Setup!CX10</f>
        <v>3</v>
      </c>
      <c r="CY9" s="2" t="str">
        <f>CONCATENATE(Setup!CY10,"-",Setup!CZ10)</f>
        <v>4-6</v>
      </c>
      <c r="CZ9" s="10"/>
      <c r="DA9" s="10"/>
      <c r="DB9" s="10"/>
      <c r="DC9" s="38">
        <f>mround(DC8*Setup!DC10,'Quick Setup'!$A$2)</f>
        <v>315</v>
      </c>
      <c r="DD9" s="2">
        <f>Setup!DD10</f>
        <v>4</v>
      </c>
      <c r="DE9" s="2">
        <f>Setup!DE10</f>
        <v>3</v>
      </c>
      <c r="DF9" s="2" t="str">
        <f>CONCATENATE(Setup!DF10,"-",Setup!DG10)</f>
        <v>4-6</v>
      </c>
      <c r="DG9" s="10"/>
      <c r="DH9" s="10"/>
      <c r="DI9" s="10"/>
      <c r="DJ9" s="38">
        <f>mround(DJ8*Setup!DJ10,'Quick Setup'!$A$2)</f>
        <v>335</v>
      </c>
      <c r="DK9" s="2">
        <f>Setup!DK10</f>
        <v>3</v>
      </c>
      <c r="DL9" s="2">
        <f>Setup!DL10</f>
        <v>2</v>
      </c>
      <c r="DM9" s="2" t="str">
        <f>CONCATENATE(Setup!DM10,"-",Setup!DN10)</f>
        <v>4-6</v>
      </c>
      <c r="DN9" s="10"/>
      <c r="DO9" s="10"/>
      <c r="DP9" s="10"/>
      <c r="DQ9" s="38">
        <f>mround(DQ8*Setup!DQ10,'Quick Setup'!$A$2)</f>
        <v>315</v>
      </c>
      <c r="DR9" s="2">
        <f>Setup!DR10</f>
        <v>4</v>
      </c>
      <c r="DS9" s="2">
        <f>Setup!DS10</f>
        <v>3</v>
      </c>
      <c r="DT9" s="2" t="str">
        <f>CONCATENATE(Setup!DT10,"-",Setup!DU10)</f>
        <v>4-6</v>
      </c>
      <c r="DU9" s="10"/>
      <c r="DV9" s="10"/>
      <c r="DW9" s="10"/>
      <c r="DX9" s="38">
        <f>mround(DX8*Setup!DX10,'Quick Setup'!$A$2)</f>
        <v>335</v>
      </c>
      <c r="DY9" s="2">
        <f>Setup!DY10</f>
        <v>3</v>
      </c>
      <c r="DZ9" s="2">
        <f>Setup!DZ10</f>
        <v>2</v>
      </c>
      <c r="EA9" s="2" t="str">
        <f>CONCATENATE(Setup!EA10,"-",Setup!EB10)</f>
        <v>4-6</v>
      </c>
      <c r="EB9" s="10"/>
      <c r="EC9" s="10"/>
      <c r="ED9" s="10"/>
      <c r="EE9" s="38">
        <f>mround(EE8*Setup!EE10,'Quick Setup'!$A$2)</f>
        <v>357.5</v>
      </c>
      <c r="EF9" s="2">
        <f>Setup!EF10</f>
        <v>2</v>
      </c>
      <c r="EG9" s="2">
        <f>Setup!EG10</f>
        <v>2</v>
      </c>
      <c r="EH9" s="2" t="str">
        <f>CONCATENATE(Setup!EH10,"-",Setup!EI10)</f>
        <v>4-6</v>
      </c>
      <c r="EI9" s="10"/>
      <c r="EJ9" s="10"/>
      <c r="EK9" s="10"/>
      <c r="EL9" s="38">
        <f>mround(EL8*Setup!EL10,'Quick Setup'!$A$2)</f>
        <v>210</v>
      </c>
      <c r="EM9" s="1">
        <v>5.0</v>
      </c>
      <c r="EN9" s="1" t="s">
        <v>76</v>
      </c>
      <c r="EO9" s="2" t="str">
        <f>CONCATENATE(Setup!EO10,"-",Setup!EP10)</f>
        <v>4-6</v>
      </c>
      <c r="EP9" s="10"/>
      <c r="EQ9" s="10"/>
      <c r="ER9" s="10"/>
    </row>
    <row r="10">
      <c r="A10" s="5"/>
      <c r="B10" s="39"/>
      <c r="C10" s="10"/>
      <c r="D10" s="10"/>
      <c r="E10" s="10"/>
      <c r="F10" s="10"/>
      <c r="G10" s="10"/>
      <c r="H10" s="10"/>
      <c r="I10" s="39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39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39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39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39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39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39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39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39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39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39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39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39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39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39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39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39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39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39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39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77</v>
      </c>
      <c r="B11" s="38"/>
      <c r="C11" s="2"/>
      <c r="D11" s="2"/>
      <c r="E11" s="2"/>
      <c r="F11" s="2"/>
      <c r="G11" s="2"/>
      <c r="H11" s="2"/>
      <c r="I11" s="38"/>
      <c r="J11" s="2"/>
      <c r="K11" s="2"/>
      <c r="L11" s="2"/>
      <c r="M11" s="2"/>
      <c r="N11" s="2"/>
      <c r="O11" s="2"/>
      <c r="P11" s="38"/>
      <c r="Q11" s="2"/>
      <c r="R11" s="2"/>
      <c r="S11" s="2"/>
      <c r="T11" s="2"/>
      <c r="U11" s="2"/>
      <c r="V11" s="2"/>
      <c r="W11" s="38"/>
      <c r="X11" s="2"/>
      <c r="Y11" s="2"/>
      <c r="Z11" s="2"/>
      <c r="AA11" s="2"/>
      <c r="AB11" s="2"/>
      <c r="AC11" s="2"/>
      <c r="AD11" s="38"/>
      <c r="AE11" s="2"/>
      <c r="AF11" s="2"/>
      <c r="AG11" s="2"/>
      <c r="AH11" s="2"/>
      <c r="AI11" s="2"/>
      <c r="AJ11" s="2"/>
      <c r="AK11" s="38"/>
      <c r="AL11" s="2"/>
      <c r="AM11" s="2"/>
      <c r="AN11" s="2"/>
      <c r="AO11" s="2"/>
      <c r="AP11" s="2"/>
      <c r="AQ11" s="2"/>
      <c r="AR11" s="38"/>
      <c r="AS11" s="2"/>
      <c r="AT11" s="2"/>
      <c r="AU11" s="2"/>
      <c r="AV11" s="2"/>
      <c r="AW11" s="2"/>
      <c r="AX11" s="2"/>
      <c r="AY11" s="38"/>
      <c r="AZ11" s="2"/>
      <c r="BA11" s="2"/>
      <c r="BB11" s="2"/>
      <c r="BC11" s="2"/>
      <c r="BD11" s="2"/>
      <c r="BE11" s="2"/>
      <c r="BF11" s="38"/>
      <c r="BG11" s="2"/>
      <c r="BH11" s="2"/>
      <c r="BI11" s="2"/>
      <c r="BJ11" s="2"/>
      <c r="BK11" s="2"/>
      <c r="BL11" s="2"/>
      <c r="BM11" s="38"/>
      <c r="BN11" s="2"/>
      <c r="BO11" s="2"/>
      <c r="BP11" s="2"/>
      <c r="BQ11" s="2"/>
      <c r="BR11" s="2"/>
      <c r="BS11" s="2"/>
      <c r="BT11" s="38"/>
      <c r="BU11" s="2"/>
      <c r="BV11" s="2"/>
      <c r="BW11" s="2"/>
      <c r="BX11" s="2"/>
      <c r="BY11" s="2"/>
      <c r="BZ11" s="2"/>
      <c r="CA11" s="38"/>
      <c r="CB11" s="2"/>
      <c r="CC11" s="2"/>
      <c r="CD11" s="2"/>
      <c r="CE11" s="2"/>
      <c r="CF11" s="2"/>
      <c r="CG11" s="2"/>
      <c r="CH11" s="38"/>
      <c r="CI11" s="2"/>
      <c r="CJ11" s="2"/>
      <c r="CK11" s="2"/>
      <c r="CL11" s="2"/>
      <c r="CM11" s="2"/>
      <c r="CN11" s="2"/>
      <c r="CO11" s="38"/>
      <c r="CP11" s="2"/>
      <c r="CQ11" s="2"/>
      <c r="CR11" s="2"/>
      <c r="CS11" s="2"/>
      <c r="CT11" s="2"/>
      <c r="CU11" s="2"/>
      <c r="CV11" s="38"/>
      <c r="CW11" s="2"/>
      <c r="CX11" s="2"/>
      <c r="CY11" s="2"/>
      <c r="CZ11" s="2"/>
      <c r="DA11" s="2"/>
      <c r="DB11" s="2"/>
      <c r="DC11" s="38"/>
      <c r="DD11" s="2"/>
      <c r="DE11" s="2"/>
      <c r="DF11" s="2"/>
      <c r="DG11" s="2"/>
      <c r="DH11" s="2"/>
      <c r="DI11" s="2"/>
      <c r="DJ11" s="38"/>
      <c r="DK11" s="2"/>
      <c r="DL11" s="2"/>
      <c r="DM11" s="2"/>
      <c r="DN11" s="2"/>
      <c r="DO11" s="2"/>
      <c r="DP11" s="2"/>
      <c r="DQ11" s="38"/>
      <c r="DR11" s="2"/>
      <c r="DS11" s="2"/>
      <c r="DT11" s="2"/>
      <c r="DU11" s="2"/>
      <c r="DV11" s="2"/>
      <c r="DW11" s="2"/>
      <c r="DX11" s="38"/>
      <c r="DY11" s="2"/>
      <c r="DZ11" s="2"/>
      <c r="EA11" s="2"/>
      <c r="EB11" s="2"/>
      <c r="EC11" s="2"/>
      <c r="ED11" s="2"/>
      <c r="EE11" s="38"/>
      <c r="EF11" s="2"/>
      <c r="EG11" s="2"/>
      <c r="EH11" s="2"/>
      <c r="EI11" s="2"/>
      <c r="EJ11" s="2"/>
      <c r="EK11" s="2"/>
      <c r="EL11" s="38"/>
      <c r="EM11" s="2"/>
      <c r="EN11" s="2"/>
      <c r="EO11" s="2"/>
      <c r="EP11" s="2"/>
      <c r="EQ11" s="2"/>
      <c r="ER11" s="2"/>
    </row>
    <row r="12">
      <c r="A12" s="40"/>
      <c r="B12" s="39"/>
      <c r="C12" s="10"/>
      <c r="D12" s="10"/>
      <c r="E12" s="10"/>
      <c r="F12" s="10"/>
      <c r="G12" s="10"/>
      <c r="H12" s="10"/>
      <c r="I12" s="39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39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39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39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39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39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39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39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39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39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39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39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39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39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39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39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39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39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39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39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0"/>
      <c r="B13" s="39"/>
      <c r="C13" s="10"/>
      <c r="D13" s="10"/>
      <c r="E13" s="10"/>
      <c r="F13" s="10"/>
      <c r="G13" s="10"/>
      <c r="H13" s="10"/>
      <c r="I13" s="39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39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39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39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39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39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39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39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39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39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39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39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39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39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39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39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39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39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39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39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1"/>
      <c r="B14" s="42"/>
      <c r="C14" s="43"/>
      <c r="D14" s="43"/>
      <c r="E14" s="43"/>
      <c r="F14" s="43"/>
      <c r="G14" s="43"/>
      <c r="H14" s="43"/>
      <c r="I14" s="42" t="str">
        <f t="shared" ref="I14:M14" si="61">B14</f>
        <v/>
      </c>
      <c r="J14" s="43" t="str">
        <f t="shared" si="61"/>
        <v/>
      </c>
      <c r="K14" s="43" t="str">
        <f t="shared" si="61"/>
        <v/>
      </c>
      <c r="L14" s="43" t="str">
        <f t="shared" si="61"/>
        <v/>
      </c>
      <c r="M14" s="43" t="str">
        <f t="shared" si="61"/>
        <v/>
      </c>
      <c r="N14" s="43"/>
      <c r="O14" s="43"/>
      <c r="P14" s="42" t="str">
        <f t="shared" ref="P14:T14" si="62">I14</f>
        <v/>
      </c>
      <c r="Q14" s="43" t="str">
        <f t="shared" si="62"/>
        <v/>
      </c>
      <c r="R14" s="43" t="str">
        <f t="shared" si="62"/>
        <v/>
      </c>
      <c r="S14" s="43" t="str">
        <f t="shared" si="62"/>
        <v/>
      </c>
      <c r="T14" s="43" t="str">
        <f t="shared" si="62"/>
        <v/>
      </c>
      <c r="U14" s="43"/>
      <c r="V14" s="43"/>
      <c r="W14" s="42" t="str">
        <f t="shared" ref="W14:AA14" si="63">P14</f>
        <v/>
      </c>
      <c r="X14" s="43" t="str">
        <f t="shared" si="63"/>
        <v/>
      </c>
      <c r="Y14" s="43" t="str">
        <f t="shared" si="63"/>
        <v/>
      </c>
      <c r="Z14" s="43" t="str">
        <f t="shared" si="63"/>
        <v/>
      </c>
      <c r="AA14" s="43" t="str">
        <f t="shared" si="63"/>
        <v/>
      </c>
      <c r="AB14" s="43"/>
      <c r="AC14" s="43"/>
      <c r="AD14" s="42" t="str">
        <f t="shared" ref="AD14:AH14" si="64">W14</f>
        <v/>
      </c>
      <c r="AE14" s="43" t="str">
        <f t="shared" si="64"/>
        <v/>
      </c>
      <c r="AF14" s="43" t="str">
        <f t="shared" si="64"/>
        <v/>
      </c>
      <c r="AG14" s="43" t="str">
        <f t="shared" si="64"/>
        <v/>
      </c>
      <c r="AH14" s="43" t="str">
        <f t="shared" si="64"/>
        <v/>
      </c>
      <c r="AI14" s="43"/>
      <c r="AJ14" s="43"/>
      <c r="AK14" s="42" t="str">
        <f t="shared" ref="AK14:AO14" si="65">AD14</f>
        <v/>
      </c>
      <c r="AL14" s="43" t="str">
        <f t="shared" si="65"/>
        <v/>
      </c>
      <c r="AM14" s="43" t="str">
        <f t="shared" si="65"/>
        <v/>
      </c>
      <c r="AN14" s="43" t="str">
        <f t="shared" si="65"/>
        <v/>
      </c>
      <c r="AO14" s="43" t="str">
        <f t="shared" si="65"/>
        <v/>
      </c>
      <c r="AP14" s="43"/>
      <c r="AQ14" s="43"/>
      <c r="AR14" s="42" t="str">
        <f t="shared" ref="AR14:AV14" si="66">AK14</f>
        <v/>
      </c>
      <c r="AS14" s="43" t="str">
        <f t="shared" si="66"/>
        <v/>
      </c>
      <c r="AT14" s="43" t="str">
        <f t="shared" si="66"/>
        <v/>
      </c>
      <c r="AU14" s="43" t="str">
        <f t="shared" si="66"/>
        <v/>
      </c>
      <c r="AV14" s="43" t="str">
        <f t="shared" si="66"/>
        <v/>
      </c>
      <c r="AW14" s="43"/>
      <c r="AX14" s="43"/>
      <c r="AY14" s="42" t="str">
        <f t="shared" ref="AY14:BC14" si="67">AR14</f>
        <v/>
      </c>
      <c r="AZ14" s="43" t="str">
        <f t="shared" si="67"/>
        <v/>
      </c>
      <c r="BA14" s="43" t="str">
        <f t="shared" si="67"/>
        <v/>
      </c>
      <c r="BB14" s="43" t="str">
        <f t="shared" si="67"/>
        <v/>
      </c>
      <c r="BC14" s="43" t="str">
        <f t="shared" si="67"/>
        <v/>
      </c>
      <c r="BD14" s="43"/>
      <c r="BE14" s="43"/>
      <c r="BF14" s="42" t="str">
        <f t="shared" ref="BF14:BJ14" si="68">AY14</f>
        <v/>
      </c>
      <c r="BG14" s="43" t="str">
        <f t="shared" si="68"/>
        <v/>
      </c>
      <c r="BH14" s="43" t="str">
        <f t="shared" si="68"/>
        <v/>
      </c>
      <c r="BI14" s="43" t="str">
        <f t="shared" si="68"/>
        <v/>
      </c>
      <c r="BJ14" s="43" t="str">
        <f t="shared" si="68"/>
        <v/>
      </c>
      <c r="BK14" s="43"/>
      <c r="BL14" s="43"/>
      <c r="BM14" s="42" t="str">
        <f t="shared" ref="BM14:BQ14" si="69">BF14</f>
        <v/>
      </c>
      <c r="BN14" s="43" t="str">
        <f t="shared" si="69"/>
        <v/>
      </c>
      <c r="BO14" s="43" t="str">
        <f t="shared" si="69"/>
        <v/>
      </c>
      <c r="BP14" s="43" t="str">
        <f t="shared" si="69"/>
        <v/>
      </c>
      <c r="BQ14" s="43" t="str">
        <f t="shared" si="69"/>
        <v/>
      </c>
      <c r="BR14" s="43"/>
      <c r="BS14" s="43"/>
      <c r="BT14" s="42" t="str">
        <f t="shared" ref="BT14:BX14" si="70">BM14</f>
        <v/>
      </c>
      <c r="BU14" s="43" t="str">
        <f t="shared" si="70"/>
        <v/>
      </c>
      <c r="BV14" s="43" t="str">
        <f t="shared" si="70"/>
        <v/>
      </c>
      <c r="BW14" s="43" t="str">
        <f t="shared" si="70"/>
        <v/>
      </c>
      <c r="BX14" s="43" t="str">
        <f t="shared" si="70"/>
        <v/>
      </c>
      <c r="BY14" s="43"/>
      <c r="BZ14" s="43"/>
      <c r="CA14" s="42" t="str">
        <f t="shared" ref="CA14:CE14" si="71">BT14</f>
        <v/>
      </c>
      <c r="CB14" s="43" t="str">
        <f t="shared" si="71"/>
        <v/>
      </c>
      <c r="CC14" s="43" t="str">
        <f t="shared" si="71"/>
        <v/>
      </c>
      <c r="CD14" s="43" t="str">
        <f t="shared" si="71"/>
        <v/>
      </c>
      <c r="CE14" s="43" t="str">
        <f t="shared" si="71"/>
        <v/>
      </c>
      <c r="CF14" s="43"/>
      <c r="CG14" s="43"/>
      <c r="CH14" s="42" t="str">
        <f t="shared" ref="CH14:CL14" si="72">CA14</f>
        <v/>
      </c>
      <c r="CI14" s="43" t="str">
        <f t="shared" si="72"/>
        <v/>
      </c>
      <c r="CJ14" s="43" t="str">
        <f t="shared" si="72"/>
        <v/>
      </c>
      <c r="CK14" s="43" t="str">
        <f t="shared" si="72"/>
        <v/>
      </c>
      <c r="CL14" s="43" t="str">
        <f t="shared" si="72"/>
        <v/>
      </c>
      <c r="CM14" s="43"/>
      <c r="CN14" s="43"/>
      <c r="CO14" s="42" t="str">
        <f t="shared" ref="CO14:CS14" si="73">CH14</f>
        <v/>
      </c>
      <c r="CP14" s="43" t="str">
        <f t="shared" si="73"/>
        <v/>
      </c>
      <c r="CQ14" s="43" t="str">
        <f t="shared" si="73"/>
        <v/>
      </c>
      <c r="CR14" s="43" t="str">
        <f t="shared" si="73"/>
        <v/>
      </c>
      <c r="CS14" s="43" t="str">
        <f t="shared" si="73"/>
        <v/>
      </c>
      <c r="CT14" s="43"/>
      <c r="CU14" s="43"/>
      <c r="CV14" s="42" t="str">
        <f t="shared" ref="CV14:CZ14" si="74">CO14</f>
        <v/>
      </c>
      <c r="CW14" s="43" t="str">
        <f t="shared" si="74"/>
        <v/>
      </c>
      <c r="CX14" s="43" t="str">
        <f t="shared" si="74"/>
        <v/>
      </c>
      <c r="CY14" s="43" t="str">
        <f t="shared" si="74"/>
        <v/>
      </c>
      <c r="CZ14" s="43" t="str">
        <f t="shared" si="74"/>
        <v/>
      </c>
      <c r="DA14" s="43"/>
      <c r="DB14" s="43"/>
      <c r="DC14" s="42" t="str">
        <f t="shared" ref="DC14:DG14" si="75">CV14</f>
        <v/>
      </c>
      <c r="DD14" s="43" t="str">
        <f t="shared" si="75"/>
        <v/>
      </c>
      <c r="DE14" s="43" t="str">
        <f t="shared" si="75"/>
        <v/>
      </c>
      <c r="DF14" s="43" t="str">
        <f t="shared" si="75"/>
        <v/>
      </c>
      <c r="DG14" s="43" t="str">
        <f t="shared" si="75"/>
        <v/>
      </c>
      <c r="DH14" s="43"/>
      <c r="DI14" s="43"/>
      <c r="DJ14" s="42" t="str">
        <f t="shared" ref="DJ14:DN14" si="76">DC14</f>
        <v/>
      </c>
      <c r="DK14" s="43" t="str">
        <f t="shared" si="76"/>
        <v/>
      </c>
      <c r="DL14" s="43" t="str">
        <f t="shared" si="76"/>
        <v/>
      </c>
      <c r="DM14" s="43" t="str">
        <f t="shared" si="76"/>
        <v/>
      </c>
      <c r="DN14" s="43" t="str">
        <f t="shared" si="76"/>
        <v/>
      </c>
      <c r="DO14" s="43"/>
      <c r="DP14" s="43"/>
      <c r="DQ14" s="42" t="str">
        <f t="shared" ref="DQ14:DU14" si="77">DJ14</f>
        <v/>
      </c>
      <c r="DR14" s="43" t="str">
        <f t="shared" si="77"/>
        <v/>
      </c>
      <c r="DS14" s="43" t="str">
        <f t="shared" si="77"/>
        <v/>
      </c>
      <c r="DT14" s="43" t="str">
        <f t="shared" si="77"/>
        <v/>
      </c>
      <c r="DU14" s="43" t="str">
        <f t="shared" si="77"/>
        <v/>
      </c>
      <c r="DV14" s="43"/>
      <c r="DW14" s="43"/>
      <c r="DX14" s="42" t="str">
        <f t="shared" ref="DX14:EB14" si="78">DQ14</f>
        <v/>
      </c>
      <c r="DY14" s="43" t="str">
        <f t="shared" si="78"/>
        <v/>
      </c>
      <c r="DZ14" s="43" t="str">
        <f t="shared" si="78"/>
        <v/>
      </c>
      <c r="EA14" s="43" t="str">
        <f t="shared" si="78"/>
        <v/>
      </c>
      <c r="EB14" s="43" t="str">
        <f t="shared" si="78"/>
        <v/>
      </c>
      <c r="EC14" s="43"/>
      <c r="ED14" s="43"/>
      <c r="EE14" s="42" t="str">
        <f t="shared" ref="EE14:EI14" si="79">DX14</f>
        <v/>
      </c>
      <c r="EF14" s="43" t="str">
        <f t="shared" si="79"/>
        <v/>
      </c>
      <c r="EG14" s="43" t="str">
        <f t="shared" si="79"/>
        <v/>
      </c>
      <c r="EH14" s="43" t="str">
        <f t="shared" si="79"/>
        <v/>
      </c>
      <c r="EI14" s="43" t="str">
        <f t="shared" si="79"/>
        <v/>
      </c>
      <c r="EJ14" s="43"/>
      <c r="EK14" s="43"/>
      <c r="EL14" s="42" t="str">
        <f t="shared" ref="EL14:EP14" si="80">EE14</f>
        <v/>
      </c>
      <c r="EM14" s="43" t="str">
        <f t="shared" si="80"/>
        <v/>
      </c>
      <c r="EN14" s="43" t="str">
        <f t="shared" si="80"/>
        <v/>
      </c>
      <c r="EO14" s="43" t="str">
        <f t="shared" si="80"/>
        <v/>
      </c>
      <c r="EP14" s="43" t="str">
        <f t="shared" si="80"/>
        <v/>
      </c>
      <c r="EQ14" s="43"/>
      <c r="ER14" s="43"/>
    </row>
    <row r="15">
      <c r="A15" s="2"/>
      <c r="B15" s="38"/>
      <c r="C15" s="2"/>
      <c r="D15" s="2"/>
      <c r="E15" s="2"/>
      <c r="F15" s="2"/>
      <c r="G15" s="2"/>
      <c r="H15" s="2"/>
      <c r="I15" s="38"/>
      <c r="J15" s="2"/>
      <c r="K15" s="2"/>
      <c r="L15" s="2"/>
      <c r="M15" s="2"/>
      <c r="N15" s="2"/>
      <c r="O15" s="2"/>
      <c r="P15" s="38"/>
      <c r="Q15" s="2"/>
      <c r="R15" s="2"/>
      <c r="S15" s="2"/>
      <c r="T15" s="2"/>
      <c r="U15" s="2"/>
      <c r="V15" s="2"/>
      <c r="W15" s="38"/>
      <c r="X15" s="2"/>
      <c r="Y15" s="2"/>
      <c r="Z15" s="2"/>
      <c r="AA15" s="2"/>
      <c r="AB15" s="2"/>
      <c r="AC15" s="2"/>
      <c r="AD15" s="38"/>
      <c r="AE15" s="2"/>
      <c r="AF15" s="2"/>
      <c r="AG15" s="2"/>
      <c r="AH15" s="2"/>
      <c r="AI15" s="2"/>
      <c r="AJ15" s="2"/>
      <c r="AK15" s="38"/>
      <c r="AL15" s="2"/>
      <c r="AM15" s="2"/>
      <c r="AN15" s="2"/>
      <c r="AO15" s="2"/>
      <c r="AP15" s="2"/>
      <c r="AQ15" s="2"/>
      <c r="AR15" s="38"/>
      <c r="AS15" s="2"/>
      <c r="AT15" s="2"/>
      <c r="AU15" s="2"/>
      <c r="AV15" s="2"/>
      <c r="AW15" s="2"/>
      <c r="AX15" s="2"/>
      <c r="AY15" s="38"/>
      <c r="AZ15" s="2"/>
      <c r="BA15" s="2"/>
      <c r="BB15" s="2"/>
      <c r="BC15" s="2"/>
      <c r="BD15" s="2"/>
      <c r="BE15" s="2"/>
      <c r="BF15" s="38"/>
      <c r="BG15" s="2"/>
      <c r="BH15" s="2"/>
      <c r="BI15" s="2"/>
      <c r="BJ15" s="2"/>
      <c r="BK15" s="2"/>
      <c r="BL15" s="2"/>
      <c r="BM15" s="38"/>
      <c r="BN15" s="2"/>
      <c r="BO15" s="2"/>
      <c r="BP15" s="2"/>
      <c r="BQ15" s="2"/>
      <c r="BR15" s="2"/>
      <c r="BS15" s="2"/>
      <c r="BT15" s="38"/>
      <c r="BU15" s="2"/>
      <c r="BV15" s="2"/>
      <c r="BW15" s="2"/>
      <c r="BX15" s="2"/>
      <c r="BY15" s="2"/>
      <c r="BZ15" s="2"/>
      <c r="CA15" s="38"/>
      <c r="CB15" s="2"/>
      <c r="CC15" s="2"/>
      <c r="CD15" s="2"/>
      <c r="CE15" s="2"/>
      <c r="CF15" s="2"/>
      <c r="CG15" s="2"/>
      <c r="CH15" s="38"/>
      <c r="CI15" s="2"/>
      <c r="CJ15" s="2"/>
      <c r="CK15" s="2"/>
      <c r="CL15" s="2"/>
      <c r="CM15" s="2"/>
      <c r="CN15" s="2"/>
      <c r="CO15" s="38"/>
      <c r="CP15" s="2"/>
      <c r="CQ15" s="2"/>
      <c r="CR15" s="2"/>
      <c r="CS15" s="2"/>
      <c r="CT15" s="2"/>
      <c r="CU15" s="2"/>
      <c r="CV15" s="38"/>
      <c r="CW15" s="2"/>
      <c r="CX15" s="2"/>
      <c r="CY15" s="2"/>
      <c r="CZ15" s="2"/>
      <c r="DA15" s="2"/>
      <c r="DB15" s="2"/>
      <c r="DC15" s="38"/>
      <c r="DD15" s="2"/>
      <c r="DE15" s="2"/>
      <c r="DF15" s="2"/>
      <c r="DG15" s="2"/>
      <c r="DH15" s="2"/>
      <c r="DI15" s="2"/>
      <c r="DJ15" s="38"/>
      <c r="DK15" s="2"/>
      <c r="DL15" s="2"/>
      <c r="DM15" s="2"/>
      <c r="DN15" s="2"/>
      <c r="DO15" s="2"/>
      <c r="DP15" s="2"/>
      <c r="DQ15" s="38"/>
      <c r="DR15" s="2"/>
      <c r="DS15" s="2"/>
      <c r="DT15" s="2"/>
      <c r="DU15" s="2"/>
      <c r="DV15" s="2"/>
      <c r="DW15" s="2"/>
      <c r="DX15" s="38"/>
      <c r="DY15" s="2"/>
      <c r="DZ15" s="2"/>
      <c r="EA15" s="2"/>
      <c r="EB15" s="2"/>
      <c r="EC15" s="2"/>
      <c r="ED15" s="2"/>
      <c r="EE15" s="38"/>
      <c r="EF15" s="2"/>
      <c r="EG15" s="2"/>
      <c r="EH15" s="2"/>
      <c r="EI15" s="2"/>
      <c r="EJ15" s="2"/>
      <c r="EK15" s="2"/>
      <c r="EL15" s="38"/>
      <c r="EM15" s="2"/>
      <c r="EN15" s="2"/>
      <c r="EO15" s="2"/>
      <c r="EP15" s="2"/>
      <c r="EQ15" s="2"/>
      <c r="ER15" s="2"/>
    </row>
    <row r="16">
      <c r="A16" s="28" t="s">
        <v>78</v>
      </c>
      <c r="B16" s="29"/>
      <c r="C16" s="30"/>
      <c r="D16" s="30"/>
      <c r="E16" s="30"/>
      <c r="F16" s="30"/>
      <c r="G16" s="30"/>
      <c r="H16" s="30"/>
      <c r="I16" s="29"/>
      <c r="J16" s="30"/>
      <c r="K16" s="30"/>
      <c r="L16" s="30"/>
      <c r="M16" s="30"/>
      <c r="N16" s="30"/>
      <c r="O16" s="30"/>
      <c r="P16" s="29"/>
      <c r="Q16" s="30"/>
      <c r="R16" s="30"/>
      <c r="S16" s="30"/>
      <c r="T16" s="30"/>
      <c r="U16" s="30"/>
      <c r="V16" s="30"/>
      <c r="W16" s="29"/>
      <c r="X16" s="30"/>
      <c r="Y16" s="30"/>
      <c r="Z16" s="30"/>
      <c r="AA16" s="30"/>
      <c r="AB16" s="30"/>
      <c r="AC16" s="30"/>
      <c r="AD16" s="29"/>
      <c r="AE16" s="30"/>
      <c r="AF16" s="30"/>
      <c r="AG16" s="30"/>
      <c r="AH16" s="30"/>
      <c r="AI16" s="30"/>
      <c r="AJ16" s="30"/>
      <c r="AK16" s="29"/>
      <c r="AL16" s="30"/>
      <c r="AM16" s="30"/>
      <c r="AN16" s="30"/>
      <c r="AO16" s="30"/>
      <c r="AP16" s="30"/>
      <c r="AQ16" s="30"/>
      <c r="AR16" s="29"/>
      <c r="AS16" s="30"/>
      <c r="AT16" s="30"/>
      <c r="AU16" s="30"/>
      <c r="AV16" s="30"/>
      <c r="AW16" s="30"/>
      <c r="AX16" s="30"/>
      <c r="AY16" s="29"/>
      <c r="AZ16" s="30"/>
      <c r="BA16" s="30"/>
      <c r="BB16" s="30"/>
      <c r="BC16" s="30"/>
      <c r="BD16" s="30"/>
      <c r="BE16" s="30"/>
      <c r="BF16" s="29"/>
      <c r="BG16" s="30"/>
      <c r="BH16" s="30"/>
      <c r="BI16" s="30"/>
      <c r="BJ16" s="30"/>
      <c r="BK16" s="30"/>
      <c r="BL16" s="30"/>
      <c r="BM16" s="29"/>
      <c r="BN16" s="30"/>
      <c r="BO16" s="30"/>
      <c r="BP16" s="30"/>
      <c r="BQ16" s="30"/>
      <c r="BR16" s="30"/>
      <c r="BS16" s="30"/>
      <c r="BT16" s="29"/>
      <c r="BU16" s="30"/>
      <c r="BV16" s="30"/>
      <c r="BW16" s="30"/>
      <c r="BX16" s="30"/>
      <c r="BY16" s="30"/>
      <c r="BZ16" s="30"/>
      <c r="CA16" s="29"/>
      <c r="CB16" s="30"/>
      <c r="CC16" s="30"/>
      <c r="CD16" s="30"/>
      <c r="CE16" s="30"/>
      <c r="CF16" s="30"/>
      <c r="CG16" s="30"/>
      <c r="CH16" s="29"/>
      <c r="CI16" s="30"/>
      <c r="CJ16" s="30"/>
      <c r="CK16" s="30"/>
      <c r="CL16" s="30"/>
      <c r="CM16" s="30"/>
      <c r="CN16" s="30"/>
      <c r="CO16" s="29"/>
      <c r="CP16" s="30"/>
      <c r="CQ16" s="30"/>
      <c r="CR16" s="30"/>
      <c r="CS16" s="30"/>
      <c r="CT16" s="30"/>
      <c r="CU16" s="30"/>
      <c r="CV16" s="29"/>
      <c r="CW16" s="30"/>
      <c r="CX16" s="30"/>
      <c r="CY16" s="30"/>
      <c r="CZ16" s="30"/>
      <c r="DA16" s="30"/>
      <c r="DB16" s="30"/>
      <c r="DC16" s="29"/>
      <c r="DD16" s="30"/>
      <c r="DE16" s="30"/>
      <c r="DF16" s="30"/>
      <c r="DG16" s="30"/>
      <c r="DH16" s="30"/>
      <c r="DI16" s="30"/>
      <c r="DJ16" s="29"/>
      <c r="DK16" s="30"/>
      <c r="DL16" s="30"/>
      <c r="DM16" s="30"/>
      <c r="DN16" s="30"/>
      <c r="DO16" s="30"/>
      <c r="DP16" s="30"/>
      <c r="DQ16" s="29"/>
      <c r="DR16" s="30"/>
      <c r="DS16" s="30"/>
      <c r="DT16" s="30"/>
      <c r="DU16" s="30"/>
      <c r="DV16" s="30"/>
      <c r="DW16" s="30"/>
      <c r="DX16" s="29"/>
      <c r="DY16" s="30"/>
      <c r="DZ16" s="30"/>
      <c r="EA16" s="30"/>
      <c r="EB16" s="30"/>
      <c r="EC16" s="30"/>
      <c r="ED16" s="30"/>
      <c r="EE16" s="31" t="s">
        <v>75</v>
      </c>
      <c r="EF16" s="32"/>
      <c r="EG16" s="32"/>
      <c r="EH16" s="32"/>
      <c r="EI16" s="32"/>
      <c r="EJ16" s="32"/>
      <c r="EK16" s="32"/>
      <c r="EL16" s="29"/>
      <c r="EM16" s="30"/>
      <c r="EN16" s="30"/>
      <c r="EO16" s="30"/>
      <c r="EP16" s="30"/>
      <c r="EQ16" s="30"/>
      <c r="ER16" s="30"/>
    </row>
    <row r="17" hidden="1">
      <c r="A17" s="33" t="str">
        <f>CONCATENATE(A18," TM")</f>
        <v>Bench Press TM</v>
      </c>
      <c r="B17" s="34">
        <f>if(D17="",'Quick Setup'!D6,D17/'Quick Setup'!E6)</f>
        <v>325</v>
      </c>
      <c r="C17" s="35" t="s">
        <v>73</v>
      </c>
      <c r="D17" s="36"/>
      <c r="E17" s="37"/>
      <c r="F17" s="37"/>
      <c r="G17" s="37"/>
      <c r="H17" s="37"/>
      <c r="I17" s="34">
        <f>if(K17="", if(F18&lt;&gt;"", if(F18&gt;Setup!F5,B17*(1+Setup!G5),if(F18&lt;Setup!E5,B17*(1+Setup!H5),B17)),B17),K17/'Quick Setup'!$E6)</f>
        <v>325</v>
      </c>
      <c r="J17" s="35" t="s">
        <v>73</v>
      </c>
      <c r="K17" s="36"/>
      <c r="L17" s="37"/>
      <c r="M17" s="37"/>
      <c r="N17" s="37"/>
      <c r="O17" s="37"/>
      <c r="P17" s="34">
        <f>if(R17="", if(M18&lt;&gt;"", if(M18&gt;Setup!M5,I17*(1+Setup!N5),if(M18&lt;Setup!L5,I17*(1+Setup!O5),I17)),I17),R17/'Quick Setup'!$E6)</f>
        <v>325</v>
      </c>
      <c r="Q17" s="35" t="s">
        <v>73</v>
      </c>
      <c r="R17" s="36"/>
      <c r="S17" s="37"/>
      <c r="T17" s="37"/>
      <c r="U17" s="37"/>
      <c r="V17" s="37"/>
      <c r="W17" s="34">
        <f>if(Y17="", if(T18&lt;&gt;"", if(T18&gt;Setup!T5,P17*(1+Setup!U5),if(T18&lt;Setup!S5,P17*(1+Setup!V5),P17)),P17),Y17/'Quick Setup'!$E6)</f>
        <v>325</v>
      </c>
      <c r="X17" s="35" t="s">
        <v>73</v>
      </c>
      <c r="Y17" s="36"/>
      <c r="Z17" s="37"/>
      <c r="AA17" s="37"/>
      <c r="AB17" s="37"/>
      <c r="AC17" s="37"/>
      <c r="AD17" s="34">
        <f>if(AF17="", if(AA18&lt;&gt;"", if(AA18&gt;Setup!AA5,W17*(1+Setup!AB5),if(AA18&lt;Setup!Z5,W17*(1+Setup!AC5),W17)),W17),AF17/'Quick Setup'!$E6)</f>
        <v>325</v>
      </c>
      <c r="AE17" s="35" t="s">
        <v>73</v>
      </c>
      <c r="AF17" s="36"/>
      <c r="AG17" s="37"/>
      <c r="AH17" s="37"/>
      <c r="AI17" s="37"/>
      <c r="AJ17" s="37"/>
      <c r="AK17" s="34">
        <f>if(AM17="", if(AH18&lt;&gt;"", if(AH18&gt;Setup!AH5,AD17*(1+Setup!AI5),if(AH18&lt;Setup!AG5,AD17*(1+Setup!AJ5),AD17)),AD17),AM17/'Quick Setup'!$E6)</f>
        <v>325</v>
      </c>
      <c r="AL17" s="35" t="s">
        <v>73</v>
      </c>
      <c r="AM17" s="36"/>
      <c r="AN17" s="37"/>
      <c r="AO17" s="37"/>
      <c r="AP17" s="37"/>
      <c r="AQ17" s="37"/>
      <c r="AR17" s="34">
        <f>if(AT17="", if(AO18&lt;&gt;"", if(AO18&gt;Setup!AO5,AK17*(1+Setup!AP5),if(AO18&lt;Setup!AN5,AK17*(1+Setup!AQ5),AK17)),AK17),AT17/'Quick Setup'!$E6)</f>
        <v>325</v>
      </c>
      <c r="AS17" s="35" t="s">
        <v>73</v>
      </c>
      <c r="AT17" s="36"/>
      <c r="AU17" s="37"/>
      <c r="AV17" s="37"/>
      <c r="AW17" s="37"/>
      <c r="AX17" s="37"/>
      <c r="AY17" s="34">
        <f>if(BA17="",AR17,BA17/'Quick Setup'!$E6)</f>
        <v>325</v>
      </c>
      <c r="AZ17" s="35" t="s">
        <v>73</v>
      </c>
      <c r="BA17" s="36"/>
      <c r="BB17" s="37"/>
      <c r="BC17" s="37"/>
      <c r="BD17" s="37"/>
      <c r="BE17" s="37"/>
      <c r="BF17" s="34">
        <f>if(BH17="", if(BC18&lt;&gt;"", if(BC18&gt;Setup!BC5,AY17*(1+Setup!BD5),if(BC18&lt;Setup!BB5,AY17*(1+Setup!BE5),AY17)),AY17),BH17/'Quick Setup'!$E6)</f>
        <v>325</v>
      </c>
      <c r="BG17" s="35" t="s">
        <v>73</v>
      </c>
      <c r="BH17" s="36"/>
      <c r="BI17" s="37"/>
      <c r="BJ17" s="37"/>
      <c r="BK17" s="37"/>
      <c r="BL17" s="37"/>
      <c r="BM17" s="34">
        <f>if(BO17="", if(BJ18&lt;&gt;"", if(BJ18&gt;Setup!BJ5,BF17*(1+Setup!BK5),if(BJ18&lt;Setup!BI5,BF17*(1+Setup!BL5),BF17)),BF17),BO17/'Quick Setup'!$E6)</f>
        <v>325</v>
      </c>
      <c r="BN17" s="35" t="s">
        <v>73</v>
      </c>
      <c r="BO17" s="36"/>
      <c r="BP17" s="37"/>
      <c r="BQ17" s="37"/>
      <c r="BR17" s="37"/>
      <c r="BS17" s="37"/>
      <c r="BT17" s="34">
        <f>if(BV17="", if(BQ18&lt;&gt;"", if(BQ18&gt;Setup!BQ5,BM17*(1+Setup!BR5),if(BQ18&lt;Setup!BP5,BM17*(1+Setup!BS5),BM17)),BM17),BV17/'Quick Setup'!$E6)</f>
        <v>325</v>
      </c>
      <c r="BU17" s="35" t="s">
        <v>73</v>
      </c>
      <c r="BV17" s="36"/>
      <c r="BW17" s="37"/>
      <c r="BX17" s="37"/>
      <c r="BY17" s="37"/>
      <c r="BZ17" s="37"/>
      <c r="CA17" s="34">
        <f>if(CC17="", if(BX18&lt;&gt;"", if(BX18&gt;Setup!BX5,BT17*(1+Setup!BY5),if(BX18&lt;Setup!BW5,BT17*(1+Setup!BZ5),BT17)),BT17),CC17/'Quick Setup'!$E6)</f>
        <v>325</v>
      </c>
      <c r="CB17" s="35" t="s">
        <v>73</v>
      </c>
      <c r="CC17" s="36"/>
      <c r="CD17" s="37"/>
      <c r="CE17" s="37"/>
      <c r="CF17" s="37"/>
      <c r="CG17" s="37"/>
      <c r="CH17" s="34">
        <f>if(CJ17="", if(CE18&lt;&gt;"", if(CE18&gt;Setup!CE5,CA17*(1+Setup!CF5),if(CE18&lt;Setup!CD5,CA17*(1+Setup!CG5),CA17)),CA17),CJ17/'Quick Setup'!$E6)</f>
        <v>325</v>
      </c>
      <c r="CI17" s="35" t="s">
        <v>73</v>
      </c>
      <c r="CJ17" s="36"/>
      <c r="CK17" s="37"/>
      <c r="CL17" s="37"/>
      <c r="CM17" s="37"/>
      <c r="CN17" s="37"/>
      <c r="CO17" s="34">
        <f>if(CQ17="", if(CL18&lt;&gt;"", if(CL18&gt;Setup!CL5,CH17*(1+Setup!CM5),if(CL18&lt;Setup!CK5,CH17*(1+Setup!CN5),CH17)),CH17),CQ17/'Quick Setup'!$E6)</f>
        <v>325</v>
      </c>
      <c r="CP17" s="35" t="s">
        <v>73</v>
      </c>
      <c r="CQ17" s="36"/>
      <c r="CR17" s="37"/>
      <c r="CS17" s="37"/>
      <c r="CT17" s="37"/>
      <c r="CU17" s="37"/>
      <c r="CV17" s="34">
        <f>if(CX17="",CO17,CX17/'Quick Setup'!$E6)</f>
        <v>325</v>
      </c>
      <c r="CW17" s="35" t="s">
        <v>73</v>
      </c>
      <c r="CX17" s="36"/>
      <c r="CY17" s="37"/>
      <c r="CZ17" s="37"/>
      <c r="DA17" s="37"/>
      <c r="DB17" s="37"/>
      <c r="DC17" s="34">
        <f>if(DE17="", if(CZ18&lt;&gt;"", if(CZ18&gt;Setup!CZ5,CV17*(1+Setup!DA5),if(CZ18&lt;Setup!CY5,CV17*(1+Setup!DB5),CV17)),CV17),DE17/'Quick Setup'!$E6)</f>
        <v>325</v>
      </c>
      <c r="DD17" s="35" t="s">
        <v>73</v>
      </c>
      <c r="DE17" s="36"/>
      <c r="DF17" s="37"/>
      <c r="DG17" s="37"/>
      <c r="DH17" s="37"/>
      <c r="DI17" s="37"/>
      <c r="DJ17" s="34">
        <f>if(DL17="", if(DG18&lt;&gt;"", if(DG18&gt;Setup!DG5,DC17*(1+Setup!DH5),if(DG18&lt;Setup!DF5,DC17*(1+Setup!DI5),DC17)),DC17),DL17/'Quick Setup'!$E6)</f>
        <v>325</v>
      </c>
      <c r="DK17" s="35" t="s">
        <v>73</v>
      </c>
      <c r="DL17" s="36"/>
      <c r="DM17" s="37"/>
      <c r="DN17" s="37"/>
      <c r="DO17" s="37"/>
      <c r="DP17" s="37"/>
      <c r="DQ17" s="34">
        <f>if(DS17="", if(DN18&lt;&gt;"", if(DN18&gt;Setup!DN5,DJ17*(1+Setup!DO5),if(DN18&lt;Setup!DM5,DJ17*(1+Setup!DP5),DJ17)),DJ17),DS17/'Quick Setup'!$E6)</f>
        <v>325</v>
      </c>
      <c r="DR17" s="35" t="s">
        <v>73</v>
      </c>
      <c r="DS17" s="36"/>
      <c r="DT17" s="37"/>
      <c r="DU17" s="37"/>
      <c r="DV17" s="37"/>
      <c r="DW17" s="37"/>
      <c r="DX17" s="34">
        <f>if(DZ17="", if(DU18&lt;&gt;"", if(DU18&gt;Setup!DU5,DQ17*(1+Setup!DV5),if(DU18&lt;Setup!DT5,DQ17*(1+Setup!DW5),DQ17)),DQ17),DZ17/'Quick Setup'!$E6)</f>
        <v>325</v>
      </c>
      <c r="DY17" s="35" t="s">
        <v>73</v>
      </c>
      <c r="DZ17" s="36"/>
      <c r="EA17" s="37"/>
      <c r="EB17" s="37"/>
      <c r="EC17" s="37"/>
      <c r="ED17" s="37"/>
      <c r="EE17" s="34">
        <f>if(EG17="", if(EB18&lt;&gt;"", if(EB18&gt;Setup!EB5,DX17*(1+Setup!EC5),if(EB18&lt;Setup!EA5,DX17*(1+Setup!ED5),DX17)),DX17),EG17/'Quick Setup'!$E6)</f>
        <v>325</v>
      </c>
      <c r="EF17" s="35" t="s">
        <v>73</v>
      </c>
      <c r="EG17" s="36"/>
      <c r="EH17" s="37"/>
      <c r="EI17" s="37"/>
      <c r="EJ17" s="37"/>
      <c r="EK17" s="37"/>
      <c r="EL17" s="34">
        <f>if(EN17="", if(EI18&lt;&gt;"", if(EI18&gt;Setup!EI5,EE17*(1+Setup!EJ5),if(EI18&lt;Setup!EH5,EE17*(1+Setup!EK5),EE17)),EE17),EN17/'Quick Setup'!$E6)</f>
        <v>325</v>
      </c>
      <c r="EM17" s="35" t="s">
        <v>73</v>
      </c>
      <c r="EN17" s="36"/>
      <c r="EO17" s="37"/>
      <c r="EP17" s="37"/>
      <c r="EQ17" s="37"/>
      <c r="ER17" s="37"/>
    </row>
    <row r="18">
      <c r="A18" s="1" t="str">
        <f>Setup!A5</f>
        <v>Bench Press</v>
      </c>
      <c r="B18" s="38">
        <f>mround(B17*Setup!B5,'Quick Setup'!$A$2)</f>
        <v>227.5</v>
      </c>
      <c r="C18" s="2">
        <f>Setup!C5</f>
        <v>5</v>
      </c>
      <c r="D18" s="2">
        <f>Setup!D5</f>
        <v>3</v>
      </c>
      <c r="E18" s="2" t="str">
        <f>CONCATENATE(Setup!E5,"-",Setup!F5)</f>
        <v>4-6</v>
      </c>
      <c r="F18" s="10"/>
      <c r="G18" s="10"/>
      <c r="H18" s="10"/>
      <c r="I18" s="38">
        <f>mround(I17*Setup!I5,'Quick Setup'!$A$2)</f>
        <v>245</v>
      </c>
      <c r="J18" s="2">
        <f>Setup!J5</f>
        <v>4</v>
      </c>
      <c r="K18" s="2">
        <f>Setup!K5</f>
        <v>3</v>
      </c>
      <c r="L18" s="2" t="str">
        <f>CONCATENATE(Setup!L5,"-",Setup!M5)</f>
        <v>4-6</v>
      </c>
      <c r="M18" s="10"/>
      <c r="N18" s="10"/>
      <c r="O18" s="10"/>
      <c r="P18" s="38">
        <f>mround(P17*Setup!P5,'Quick Setup'!$A$2)</f>
        <v>260</v>
      </c>
      <c r="Q18" s="2">
        <f>Setup!Q5</f>
        <v>3</v>
      </c>
      <c r="R18" s="2">
        <f>Setup!R5</f>
        <v>2</v>
      </c>
      <c r="S18" s="2" t="str">
        <f>CONCATENATE(Setup!S5,"-",Setup!T5)</f>
        <v>4-6</v>
      </c>
      <c r="T18" s="10"/>
      <c r="U18" s="10"/>
      <c r="V18" s="10"/>
      <c r="W18" s="38">
        <f>mround(W17*Setup!W5,'Quick Setup'!$A$2)</f>
        <v>235</v>
      </c>
      <c r="X18" s="2">
        <f>Setup!X5</f>
        <v>5</v>
      </c>
      <c r="Y18" s="2">
        <f>Setup!Y5</f>
        <v>3</v>
      </c>
      <c r="Z18" s="2" t="str">
        <f>CONCATENATE(Setup!Z5,"-",Setup!AA5)</f>
        <v>4-6</v>
      </c>
      <c r="AA18" s="10"/>
      <c r="AB18" s="10"/>
      <c r="AC18" s="10"/>
      <c r="AD18" s="38">
        <f>mround(AD17*Setup!AD5,'Quick Setup'!$A$2)</f>
        <v>252.5</v>
      </c>
      <c r="AE18" s="2">
        <f>Setup!AE5</f>
        <v>4</v>
      </c>
      <c r="AF18" s="2">
        <f>Setup!AF5</f>
        <v>3</v>
      </c>
      <c r="AG18" s="2" t="str">
        <f>CONCATENATE(Setup!AG5,"-",Setup!AH5)</f>
        <v>4-6</v>
      </c>
      <c r="AH18" s="10"/>
      <c r="AI18" s="10"/>
      <c r="AJ18" s="10"/>
      <c r="AK18" s="38">
        <f>mround(AK17*Setup!AK5,'Quick Setup'!$A$2)</f>
        <v>267.5</v>
      </c>
      <c r="AL18" s="2">
        <f>Setup!AL5</f>
        <v>3</v>
      </c>
      <c r="AM18" s="2">
        <f>Setup!AM5</f>
        <v>2</v>
      </c>
      <c r="AN18" s="2" t="str">
        <f>CONCATENATE(Setup!AN5,"-",Setup!AO5)</f>
        <v>4-6</v>
      </c>
      <c r="AO18" s="10"/>
      <c r="AP18" s="10"/>
      <c r="AQ18" s="10"/>
      <c r="AR18" s="38">
        <f>mround(AR17*Setup!AR5,'Quick Setup'!$A$2)</f>
        <v>195</v>
      </c>
      <c r="AS18" s="1">
        <v>5.0</v>
      </c>
      <c r="AT18" s="1" t="s">
        <v>76</v>
      </c>
      <c r="AU18" s="2" t="str">
        <f>CONCATENATE(Setup!AU5,"-",Setup!AV5)</f>
        <v>4-6</v>
      </c>
      <c r="AV18" s="10"/>
      <c r="AW18" s="10"/>
      <c r="AX18" s="10"/>
      <c r="AY18" s="38">
        <f>mround(AY17*Setup!AY5,'Quick Setup'!$A$2)</f>
        <v>245</v>
      </c>
      <c r="AZ18" s="2">
        <f>Setup!AZ5</f>
        <v>4</v>
      </c>
      <c r="BA18" s="2">
        <f>Setup!BA5</f>
        <v>3</v>
      </c>
      <c r="BB18" s="2" t="str">
        <f>CONCATENATE(Setup!BB5,"-",Setup!BC5)</f>
        <v>4-6</v>
      </c>
      <c r="BC18" s="10"/>
      <c r="BD18" s="10"/>
      <c r="BE18" s="10"/>
      <c r="BF18" s="38">
        <f>mround(BF17*Setup!BF5,'Quick Setup'!$A$2)</f>
        <v>260</v>
      </c>
      <c r="BG18" s="2">
        <f>Setup!BG5</f>
        <v>3</v>
      </c>
      <c r="BH18" s="2">
        <f>Setup!BH5</f>
        <v>2</v>
      </c>
      <c r="BI18" s="2" t="str">
        <f>CONCATENATE(Setup!BI5,"-",Setup!BJ5)</f>
        <v>4-6</v>
      </c>
      <c r="BJ18" s="10"/>
      <c r="BK18" s="10"/>
      <c r="BL18" s="10"/>
      <c r="BM18" s="38">
        <f>mround(BM17*Setup!BM5,'Quick Setup'!$A$2)</f>
        <v>277.5</v>
      </c>
      <c r="BN18" s="2">
        <f>Setup!BN5</f>
        <v>2</v>
      </c>
      <c r="BO18" s="2">
        <f>Setup!BO5</f>
        <v>2</v>
      </c>
      <c r="BP18" s="2" t="str">
        <f>CONCATENATE(Setup!BP5,"-",Setup!BQ5)</f>
        <v>4-6</v>
      </c>
      <c r="BQ18" s="10"/>
      <c r="BR18" s="10"/>
      <c r="BS18" s="10"/>
      <c r="BT18" s="38">
        <f>mround(BT17*Setup!BT5,'Quick Setup'!$A$2)</f>
        <v>252.5</v>
      </c>
      <c r="BU18" s="2">
        <f>Setup!BU5</f>
        <v>4</v>
      </c>
      <c r="BV18" s="2">
        <f>Setup!BV5</f>
        <v>3</v>
      </c>
      <c r="BW18" s="2" t="str">
        <f>CONCATENATE(Setup!BW5,"-",Setup!BX5)</f>
        <v>4-6</v>
      </c>
      <c r="BX18" s="10"/>
      <c r="BY18" s="10"/>
      <c r="BZ18" s="10"/>
      <c r="CA18" s="38">
        <f>mround(CA17*Setup!CA5,'Quick Setup'!$A$2)</f>
        <v>267.5</v>
      </c>
      <c r="CB18" s="2">
        <f>Setup!CB5</f>
        <v>3</v>
      </c>
      <c r="CC18" s="2">
        <f>Setup!CC5</f>
        <v>2</v>
      </c>
      <c r="CD18" s="2" t="str">
        <f>CONCATENATE(Setup!CD5,"-",Setup!CE5)</f>
        <v>4-6</v>
      </c>
      <c r="CE18" s="10"/>
      <c r="CF18" s="10"/>
      <c r="CG18" s="10"/>
      <c r="CH18" s="38">
        <f>mround(CH17*Setup!CH5,'Quick Setup'!$A$2)</f>
        <v>285</v>
      </c>
      <c r="CI18" s="2">
        <f>Setup!CI5</f>
        <v>2</v>
      </c>
      <c r="CJ18" s="2">
        <f>Setup!CJ5</f>
        <v>2</v>
      </c>
      <c r="CK18" s="2" t="str">
        <f>CONCATENATE(Setup!CK5,"-",Setup!CL5)</f>
        <v>4-6</v>
      </c>
      <c r="CL18" s="10"/>
      <c r="CM18" s="10"/>
      <c r="CN18" s="10"/>
      <c r="CO18" s="38">
        <f>mround(CO17*Setup!CO5,'Quick Setup'!$A$2)</f>
        <v>195</v>
      </c>
      <c r="CP18" s="1">
        <v>5.0</v>
      </c>
      <c r="CQ18" s="1" t="s">
        <v>76</v>
      </c>
      <c r="CR18" s="2" t="str">
        <f>CONCATENATE(Setup!CR5,"-",Setup!CS5)</f>
        <v>4-6</v>
      </c>
      <c r="CS18" s="10"/>
      <c r="CT18" s="10"/>
      <c r="CU18" s="10"/>
      <c r="CV18" s="38">
        <f>mround(CV17*Setup!CV5,'Quick Setup'!$A$2)</f>
        <v>260</v>
      </c>
      <c r="CW18" s="2">
        <f>Setup!CW5</f>
        <v>3</v>
      </c>
      <c r="CX18" s="2">
        <f>Setup!CX5</f>
        <v>2</v>
      </c>
      <c r="CY18" s="2" t="str">
        <f>CONCATENATE(Setup!CY5,"-",Setup!CZ5)</f>
        <v>4-6</v>
      </c>
      <c r="CZ18" s="10"/>
      <c r="DA18" s="10"/>
      <c r="DB18" s="10"/>
      <c r="DC18" s="38">
        <f>mround(DC17*Setup!DC5,'Quick Setup'!$A$2)</f>
        <v>277.5</v>
      </c>
      <c r="DD18" s="2">
        <f>Setup!DD5</f>
        <v>2</v>
      </c>
      <c r="DE18" s="2">
        <f>Setup!DE5</f>
        <v>2</v>
      </c>
      <c r="DF18" s="2" t="str">
        <f>CONCATENATE(Setup!DF5,"-",Setup!DG5)</f>
        <v>4-6</v>
      </c>
      <c r="DG18" s="10"/>
      <c r="DH18" s="10"/>
      <c r="DI18" s="10"/>
      <c r="DJ18" s="38">
        <f>mround(DJ17*Setup!DJ5,'Quick Setup'!$A$2)</f>
        <v>292.5</v>
      </c>
      <c r="DK18" s="2">
        <f>Setup!DK5</f>
        <v>1</v>
      </c>
      <c r="DL18" s="2">
        <f>Setup!DL5</f>
        <v>1</v>
      </c>
      <c r="DM18" s="2" t="str">
        <f>CONCATENATE(Setup!DM5,"-",Setup!DN5)</f>
        <v>4-6</v>
      </c>
      <c r="DN18" s="10"/>
      <c r="DO18" s="10"/>
      <c r="DP18" s="10"/>
      <c r="DQ18" s="38">
        <f>mround(DQ17*Setup!DQ5,'Quick Setup'!$A$2)</f>
        <v>277.5</v>
      </c>
      <c r="DR18" s="2">
        <f>Setup!DR5</f>
        <v>2</v>
      </c>
      <c r="DS18" s="2">
        <f>Setup!DS5</f>
        <v>2</v>
      </c>
      <c r="DT18" s="2" t="str">
        <f>CONCATENATE(Setup!DT5,"-",Setup!DU5)</f>
        <v>4-6</v>
      </c>
      <c r="DU18" s="10"/>
      <c r="DV18" s="10"/>
      <c r="DW18" s="10"/>
      <c r="DX18" s="38">
        <f>mround(DX17*Setup!DX5,'Quick Setup'!$A$2)</f>
        <v>292.5</v>
      </c>
      <c r="DY18" s="2">
        <f>Setup!DY5</f>
        <v>1</v>
      </c>
      <c r="DZ18" s="2">
        <f>Setup!DZ5</f>
        <v>1</v>
      </c>
      <c r="EA18" s="2" t="str">
        <f>CONCATENATE(Setup!EA5,"-",Setup!EB5)</f>
        <v>4-6</v>
      </c>
      <c r="EB18" s="10"/>
      <c r="EC18" s="10"/>
      <c r="ED18" s="10"/>
      <c r="EE18" s="38">
        <f>mround(EE17*Setup!EE5,'Quick Setup'!$A$2)</f>
        <v>310</v>
      </c>
      <c r="EF18" s="2">
        <f>Setup!EF5</f>
        <v>1</v>
      </c>
      <c r="EG18" s="2">
        <f>Setup!EG5</f>
        <v>1</v>
      </c>
      <c r="EH18" s="2" t="str">
        <f>CONCATENATE(Setup!EH5,"-",Setup!EI5)</f>
        <v>4-6</v>
      </c>
      <c r="EI18" s="10"/>
      <c r="EJ18" s="10"/>
      <c r="EK18" s="10"/>
      <c r="EL18" s="38">
        <f>mround(EL17*Setup!EL5,'Quick Setup'!$A$2)</f>
        <v>195</v>
      </c>
      <c r="EM18" s="1">
        <v>5.0</v>
      </c>
      <c r="EN18" s="1" t="s">
        <v>76</v>
      </c>
      <c r="EO18" s="2" t="str">
        <f>CONCATENATE(Setup!EO5,"-",Setup!EP5)</f>
        <v>4-6</v>
      </c>
      <c r="EP18" s="10"/>
      <c r="EQ18" s="10"/>
      <c r="ER18" s="10"/>
    </row>
    <row r="19" hidden="1">
      <c r="A19" s="33" t="str">
        <f>CONCATENATE(A20," TM")</f>
        <v>OHP TM</v>
      </c>
      <c r="B19" s="34">
        <f>if(D19="",'Quick Setup'!D8,D19/'Quick Setup'!E8)</f>
        <v>200</v>
      </c>
      <c r="C19" s="35" t="s">
        <v>73</v>
      </c>
      <c r="D19" s="36"/>
      <c r="E19" s="37"/>
      <c r="F19" s="37"/>
      <c r="G19" s="37"/>
      <c r="H19" s="37"/>
      <c r="I19" s="34">
        <f>if(K19="", if(F20&lt;&gt;"", if(F20&gt;Setup!F7,B19*(1+Setup!G7),if(F20&lt;Setup!E7,B19*(1+Setup!H7),B19)),B19),K19/'Quick Setup'!$E8)</f>
        <v>200</v>
      </c>
      <c r="J19" s="35" t="s">
        <v>73</v>
      </c>
      <c r="K19" s="36"/>
      <c r="L19" s="37"/>
      <c r="M19" s="37"/>
      <c r="N19" s="37"/>
      <c r="O19" s="37"/>
      <c r="P19" s="34">
        <f>if(R19="", if(M20&lt;&gt;"", if(M20&gt;Setup!M7,I19*(1+Setup!N7),if(M20&lt;Setup!L7,I19*(1+Setup!O7),I19)),I19),R19/'Quick Setup'!$E8)</f>
        <v>200</v>
      </c>
      <c r="Q19" s="35" t="s">
        <v>73</v>
      </c>
      <c r="R19" s="36"/>
      <c r="S19" s="37"/>
      <c r="T19" s="37"/>
      <c r="U19" s="37"/>
      <c r="V19" s="37"/>
      <c r="W19" s="34">
        <f>if(Y19="", if(T20&lt;&gt;"", if(T20&gt;Setup!T7,P19*(1+Setup!U7),if(T20&lt;Setup!S7,P19*(1+Setup!V7),P19)),P19),Y19/'Quick Setup'!$E8)</f>
        <v>200</v>
      </c>
      <c r="X19" s="35" t="s">
        <v>73</v>
      </c>
      <c r="Y19" s="36"/>
      <c r="Z19" s="37"/>
      <c r="AA19" s="37"/>
      <c r="AB19" s="37"/>
      <c r="AC19" s="37"/>
      <c r="AD19" s="34">
        <f>if(AF19="", if(AA20&lt;&gt;"", if(AA20&gt;Setup!AA7,W19*(1+Setup!AB7),if(AA20&lt;Setup!Z7,W19*(1+Setup!AC7),W19)),W19),AF19/'Quick Setup'!$E8)</f>
        <v>200</v>
      </c>
      <c r="AE19" s="35" t="s">
        <v>73</v>
      </c>
      <c r="AF19" s="36"/>
      <c r="AG19" s="37"/>
      <c r="AH19" s="37"/>
      <c r="AI19" s="37"/>
      <c r="AJ19" s="37"/>
      <c r="AK19" s="34">
        <f>if(AM19="", if(AH20&lt;&gt;"", if(AH20&gt;Setup!AH7,AD19*(1+Setup!AI7),if(AH20&lt;Setup!AG7,AD19*(1+Setup!AJ7),AD19)),AD19),AM19/'Quick Setup'!$E8)</f>
        <v>200</v>
      </c>
      <c r="AL19" s="35" t="s">
        <v>73</v>
      </c>
      <c r="AM19" s="36"/>
      <c r="AN19" s="37"/>
      <c r="AO19" s="37"/>
      <c r="AP19" s="37"/>
      <c r="AQ19" s="37"/>
      <c r="AR19" s="34">
        <f>if(AT19="", if(AO20&lt;&gt;"", if(AO20&gt;Setup!AO7,AK19*(1+Setup!AP7),if(AO20&lt;Setup!AN7,AK19*(1+Setup!AQ7),AK19)),AK19),AT19/'Quick Setup'!$E8)</f>
        <v>200</v>
      </c>
      <c r="AS19" s="35" t="s">
        <v>73</v>
      </c>
      <c r="AT19" s="36"/>
      <c r="AU19" s="37"/>
      <c r="AV19" s="37"/>
      <c r="AW19" s="37"/>
      <c r="AX19" s="37"/>
      <c r="AY19" s="34">
        <f>if(BA19="",AR19,BA19/'Quick Setup'!$E8)</f>
        <v>200</v>
      </c>
      <c r="AZ19" s="35" t="s">
        <v>73</v>
      </c>
      <c r="BA19" s="36"/>
      <c r="BB19" s="37"/>
      <c r="BC19" s="37"/>
      <c r="BD19" s="37"/>
      <c r="BE19" s="37"/>
      <c r="BF19" s="34">
        <f>if(BH19="", if(BC20&lt;&gt;"", if(BC20&gt;Setup!BC7,AY19*(1+Setup!BD7),if(BC20&lt;Setup!BB7,AY19*(1+Setup!BE7),AY19)),AY19),BH19/'Quick Setup'!$E8)</f>
        <v>200</v>
      </c>
      <c r="BG19" s="35" t="s">
        <v>73</v>
      </c>
      <c r="BH19" s="36"/>
      <c r="BI19" s="37"/>
      <c r="BJ19" s="37"/>
      <c r="BK19" s="37"/>
      <c r="BL19" s="37"/>
      <c r="BM19" s="34">
        <f>if(BO19="", if(BJ20&lt;&gt;"", if(BJ20&gt;Setup!BJ7,BF19*(1+Setup!BK7),if(BJ20&lt;Setup!BI7,BF19*(1+Setup!BL7),BF19)),BF19),BO19/'Quick Setup'!$E8)</f>
        <v>200</v>
      </c>
      <c r="BN19" s="35" t="s">
        <v>73</v>
      </c>
      <c r="BO19" s="36"/>
      <c r="BP19" s="37"/>
      <c r="BQ19" s="37"/>
      <c r="BR19" s="37"/>
      <c r="BS19" s="37"/>
      <c r="BT19" s="34">
        <f>if(BV19="", if(BQ20&lt;&gt;"", if(BQ20&gt;Setup!BQ7,BM19*(1+Setup!BR7),if(BQ20&lt;Setup!BP7,BM19*(1+Setup!BS7),BM19)),BM19),BV19/'Quick Setup'!$E8)</f>
        <v>200</v>
      </c>
      <c r="BU19" s="35" t="s">
        <v>73</v>
      </c>
      <c r="BV19" s="36"/>
      <c r="BW19" s="37"/>
      <c r="BX19" s="37"/>
      <c r="BY19" s="37"/>
      <c r="BZ19" s="37"/>
      <c r="CA19" s="34">
        <f>if(CC19="", if(BX20&lt;&gt;"", if(BX20&gt;Setup!BX7,BT19*(1+Setup!BY7),if(BX20&lt;Setup!BW7,BT19*(1+Setup!BZ7),BT19)),BT19),CC19/'Quick Setup'!$E8)</f>
        <v>200</v>
      </c>
      <c r="CB19" s="35" t="s">
        <v>73</v>
      </c>
      <c r="CC19" s="36"/>
      <c r="CD19" s="37"/>
      <c r="CE19" s="37"/>
      <c r="CF19" s="37"/>
      <c r="CG19" s="37"/>
      <c r="CH19" s="34">
        <f>if(CJ19="", if(CE20&lt;&gt;"", if(CE20&gt;Setup!CE7,CA19*(1+Setup!CF7),if(CE20&lt;Setup!CD7,CA19*(1+Setup!CG7),CA19)),CA19),CJ19/'Quick Setup'!$E8)</f>
        <v>200</v>
      </c>
      <c r="CI19" s="35" t="s">
        <v>73</v>
      </c>
      <c r="CJ19" s="36"/>
      <c r="CK19" s="37"/>
      <c r="CL19" s="37"/>
      <c r="CM19" s="37"/>
      <c r="CN19" s="37"/>
      <c r="CO19" s="34">
        <f>if(CQ19="", if(CL20&lt;&gt;"", if(CL20&gt;Setup!CL7,CH19*(1+Setup!CM7),if(CL20&lt;Setup!CK7,CH19*(1+Setup!CN7),CH19)),CH19),CQ19/'Quick Setup'!$E8)</f>
        <v>200</v>
      </c>
      <c r="CP19" s="35" t="s">
        <v>73</v>
      </c>
      <c r="CQ19" s="36"/>
      <c r="CR19" s="37"/>
      <c r="CS19" s="37"/>
      <c r="CT19" s="37"/>
      <c r="CU19" s="37"/>
      <c r="CV19" s="34">
        <f>if(CX19="",CO19,CX19/'Quick Setup'!$E8)</f>
        <v>200</v>
      </c>
      <c r="CW19" s="35" t="s">
        <v>73</v>
      </c>
      <c r="CX19" s="36"/>
      <c r="CY19" s="37"/>
      <c r="CZ19" s="37"/>
      <c r="DA19" s="37"/>
      <c r="DB19" s="37"/>
      <c r="DC19" s="34">
        <f>if(DE19="", if(CZ20&lt;&gt;"", if(CZ20&gt;Setup!CZ7,CV19*(1+Setup!DA7),if(CZ20&lt;Setup!CY7,CV19*(1+Setup!DB7),CV19)),CV19),DE19/'Quick Setup'!$E8)</f>
        <v>200</v>
      </c>
      <c r="DD19" s="35" t="s">
        <v>73</v>
      </c>
      <c r="DE19" s="36"/>
      <c r="DF19" s="37"/>
      <c r="DG19" s="37"/>
      <c r="DH19" s="37"/>
      <c r="DI19" s="37"/>
      <c r="DJ19" s="34">
        <f>if(DL19="", if(DG20&lt;&gt;"", if(DG20&gt;Setup!DG7,DC19*(1+Setup!DH7),if(DG20&lt;Setup!DF7,DC19*(1+Setup!DI7),DC19)),DC19),DL19/'Quick Setup'!$E8)</f>
        <v>200</v>
      </c>
      <c r="DK19" s="35" t="s">
        <v>73</v>
      </c>
      <c r="DL19" s="36"/>
      <c r="DM19" s="37"/>
      <c r="DN19" s="37"/>
      <c r="DO19" s="37"/>
      <c r="DP19" s="37"/>
      <c r="DQ19" s="34">
        <f>if(DS19="", if(DN20&lt;&gt;"", if(DN20&gt;Setup!DN7,DJ19*(1+Setup!DO7),if(DN20&lt;Setup!DM7,DJ19*(1+Setup!DP7),DJ19)),DJ19),DS19/'Quick Setup'!$E8)</f>
        <v>200</v>
      </c>
      <c r="DR19" s="35" t="s">
        <v>73</v>
      </c>
      <c r="DS19" s="36"/>
      <c r="DT19" s="37"/>
      <c r="DU19" s="37"/>
      <c r="DV19" s="37"/>
      <c r="DW19" s="37"/>
      <c r="DX19" s="34">
        <f>if(DZ19="", if(DU20&lt;&gt;"", if(DU20&gt;Setup!DU7,DQ19*(1+Setup!DV7),if(DU20&lt;Setup!DT7,DQ19*(1+Setup!DW7),DQ19)),DQ19),DZ19/'Quick Setup'!$E8)</f>
        <v>200</v>
      </c>
      <c r="DY19" s="35" t="s">
        <v>73</v>
      </c>
      <c r="DZ19" s="36"/>
      <c r="EA19" s="37"/>
      <c r="EB19" s="37"/>
      <c r="EC19" s="37"/>
      <c r="ED19" s="37"/>
      <c r="EE19" s="34">
        <f>if(EG19="", if(EB20&lt;&gt;"", if(EB20&gt;Setup!EB7,DX19*(1+Setup!EC7),if(EB20&lt;Setup!EA7,DX19*(1+Setup!ED7),DX19)),DX19),EG19/'Quick Setup'!$E8)</f>
        <v>200</v>
      </c>
      <c r="EF19" s="35" t="s">
        <v>73</v>
      </c>
      <c r="EG19" s="36"/>
      <c r="EH19" s="37"/>
      <c r="EI19" s="37"/>
      <c r="EJ19" s="37"/>
      <c r="EK19" s="37"/>
      <c r="EL19" s="34">
        <f>if(EN19="", if(EI20&lt;&gt;"", if(EI20&gt;Setup!EI7,EE19*(1+Setup!EJ7),if(EI20&lt;Setup!EH7,EE19*(1+Setup!EK7),EE19)),EE19),EN19/'Quick Setup'!$E8)</f>
        <v>200</v>
      </c>
      <c r="EM19" s="35" t="s">
        <v>73</v>
      </c>
      <c r="EN19" s="36"/>
      <c r="EO19" s="37"/>
      <c r="EP19" s="37"/>
      <c r="EQ19" s="37"/>
      <c r="ER19" s="37"/>
    </row>
    <row r="20">
      <c r="A20" s="1" t="str">
        <f>Setup!A7</f>
        <v>OHP</v>
      </c>
      <c r="B20" s="38">
        <f>mround(B19*Setup!B7,'Quick Setup'!$A$2)</f>
        <v>140</v>
      </c>
      <c r="C20" s="2">
        <f>Setup!C7</f>
        <v>5</v>
      </c>
      <c r="D20" s="2">
        <f>Setup!D7</f>
        <v>3</v>
      </c>
      <c r="E20" s="2" t="str">
        <f>CONCATENATE(Setup!E7,"-",Setup!F7)</f>
        <v>4-6</v>
      </c>
      <c r="F20" s="10"/>
      <c r="G20" s="10"/>
      <c r="H20" s="10"/>
      <c r="I20" s="38">
        <f>mround(I19*Setup!I7,'Quick Setup'!$A$2)</f>
        <v>150</v>
      </c>
      <c r="J20" s="2">
        <f>Setup!J7</f>
        <v>4</v>
      </c>
      <c r="K20" s="2">
        <f>Setup!K7</f>
        <v>3</v>
      </c>
      <c r="L20" s="2" t="str">
        <f>CONCATENATE(Setup!L7,"-",Setup!M7)</f>
        <v>4-6</v>
      </c>
      <c r="M20" s="10"/>
      <c r="N20" s="10"/>
      <c r="O20" s="10"/>
      <c r="P20" s="38">
        <f>mround(P19*Setup!P7,'Quick Setup'!$A$2)</f>
        <v>160</v>
      </c>
      <c r="Q20" s="2">
        <f>Setup!Q7</f>
        <v>3</v>
      </c>
      <c r="R20" s="2">
        <f>Setup!R7</f>
        <v>2</v>
      </c>
      <c r="S20" s="2" t="str">
        <f>CONCATENATE(Setup!S7,"-",Setup!T7)</f>
        <v>4-6</v>
      </c>
      <c r="T20" s="10"/>
      <c r="U20" s="10"/>
      <c r="V20" s="10"/>
      <c r="W20" s="38">
        <f>mround(W19*Setup!W7,'Quick Setup'!$A$2)</f>
        <v>145</v>
      </c>
      <c r="X20" s="2">
        <f>Setup!X7</f>
        <v>5</v>
      </c>
      <c r="Y20" s="2">
        <f>Setup!Y7</f>
        <v>3</v>
      </c>
      <c r="Z20" s="2" t="str">
        <f>CONCATENATE(Setup!Z7,"-",Setup!AA7)</f>
        <v>4-6</v>
      </c>
      <c r="AA20" s="10"/>
      <c r="AB20" s="10"/>
      <c r="AC20" s="10"/>
      <c r="AD20" s="38">
        <f>mround(AD19*Setup!AD7,'Quick Setup'!$A$2)</f>
        <v>155</v>
      </c>
      <c r="AE20" s="2">
        <f>Setup!AE7</f>
        <v>4</v>
      </c>
      <c r="AF20" s="2">
        <f>Setup!AF7</f>
        <v>3</v>
      </c>
      <c r="AG20" s="2" t="str">
        <f>CONCATENATE(Setup!AG7,"-",Setup!AH7)</f>
        <v>4-6</v>
      </c>
      <c r="AH20" s="10"/>
      <c r="AI20" s="10"/>
      <c r="AJ20" s="10"/>
      <c r="AK20" s="38">
        <f>mround(AK19*Setup!AK7,'Quick Setup'!$A$2)</f>
        <v>165</v>
      </c>
      <c r="AL20" s="2">
        <f>Setup!AL7</f>
        <v>3</v>
      </c>
      <c r="AM20" s="2">
        <f>Setup!AM7</f>
        <v>2</v>
      </c>
      <c r="AN20" s="2" t="str">
        <f>CONCATENATE(Setup!AN7,"-",Setup!AO7)</f>
        <v>4-6</v>
      </c>
      <c r="AO20" s="10"/>
      <c r="AP20" s="10"/>
      <c r="AQ20" s="10"/>
      <c r="AR20" s="38">
        <f>mround(AR19*Setup!AR7,'Quick Setup'!$A$2)</f>
        <v>120</v>
      </c>
      <c r="AS20" s="1">
        <v>5.0</v>
      </c>
      <c r="AT20" s="1" t="s">
        <v>76</v>
      </c>
      <c r="AU20" s="2" t="str">
        <f>CONCATENATE(Setup!AU7,"-",Setup!AV7)</f>
        <v>4-6</v>
      </c>
      <c r="AV20" s="10"/>
      <c r="AW20" s="10"/>
      <c r="AX20" s="10"/>
      <c r="AY20" s="38">
        <f>mround(AY19*Setup!AY7,'Quick Setup'!$A$2)</f>
        <v>150</v>
      </c>
      <c r="AZ20" s="2">
        <f>Setup!AZ7</f>
        <v>4</v>
      </c>
      <c r="BA20" s="2">
        <f>Setup!BA7</f>
        <v>3</v>
      </c>
      <c r="BB20" s="2" t="str">
        <f>CONCATENATE(Setup!BB7,"-",Setup!BC7)</f>
        <v>4-6</v>
      </c>
      <c r="BC20" s="10"/>
      <c r="BD20" s="10"/>
      <c r="BE20" s="10"/>
      <c r="BF20" s="38">
        <f>mround(BF19*Setup!BF7,'Quick Setup'!$A$2)</f>
        <v>160</v>
      </c>
      <c r="BG20" s="2">
        <f>Setup!BG7</f>
        <v>3</v>
      </c>
      <c r="BH20" s="2">
        <f>Setup!BH7</f>
        <v>2</v>
      </c>
      <c r="BI20" s="2" t="str">
        <f>CONCATENATE(Setup!BI7,"-",Setup!BJ7)</f>
        <v>4-6</v>
      </c>
      <c r="BJ20" s="10"/>
      <c r="BK20" s="10"/>
      <c r="BL20" s="10"/>
      <c r="BM20" s="38">
        <f>mround(BM19*Setup!BM7,'Quick Setup'!$A$2)</f>
        <v>170</v>
      </c>
      <c r="BN20" s="2">
        <f>Setup!BN7</f>
        <v>2</v>
      </c>
      <c r="BO20" s="2">
        <f>Setup!BO7</f>
        <v>2</v>
      </c>
      <c r="BP20" s="2" t="str">
        <f>CONCATENATE(Setup!BP7,"-",Setup!BQ7)</f>
        <v>4-6</v>
      </c>
      <c r="BQ20" s="10"/>
      <c r="BR20" s="10"/>
      <c r="BS20" s="10"/>
      <c r="BT20" s="38">
        <f>mround(BT19*Setup!BT7,'Quick Setup'!$A$2)</f>
        <v>155</v>
      </c>
      <c r="BU20" s="2">
        <f>Setup!BU7</f>
        <v>4</v>
      </c>
      <c r="BV20" s="2">
        <f>Setup!BV7</f>
        <v>3</v>
      </c>
      <c r="BW20" s="2" t="str">
        <f>CONCATENATE(Setup!BW7,"-",Setup!BX7)</f>
        <v>4-6</v>
      </c>
      <c r="BX20" s="10"/>
      <c r="BY20" s="10"/>
      <c r="BZ20" s="10"/>
      <c r="CA20" s="38">
        <f>mround(CA19*Setup!CA7,'Quick Setup'!$A$2)</f>
        <v>165</v>
      </c>
      <c r="CB20" s="2">
        <f>Setup!CB7</f>
        <v>3</v>
      </c>
      <c r="CC20" s="2">
        <f>Setup!CC7</f>
        <v>2</v>
      </c>
      <c r="CD20" s="2" t="str">
        <f>CONCATENATE(Setup!CD7,"-",Setup!CE7)</f>
        <v>4-6</v>
      </c>
      <c r="CE20" s="10"/>
      <c r="CF20" s="10"/>
      <c r="CG20" s="10"/>
      <c r="CH20" s="38">
        <f>mround(CH19*Setup!CH7,'Quick Setup'!$A$2)</f>
        <v>175</v>
      </c>
      <c r="CI20" s="2">
        <f>Setup!CI7</f>
        <v>2</v>
      </c>
      <c r="CJ20" s="2">
        <f>Setup!CJ7</f>
        <v>2</v>
      </c>
      <c r="CK20" s="2" t="str">
        <f>CONCATENATE(Setup!CK7,"-",Setup!CL7)</f>
        <v>4-6</v>
      </c>
      <c r="CL20" s="10"/>
      <c r="CM20" s="10"/>
      <c r="CN20" s="10"/>
      <c r="CO20" s="38">
        <f>mround(CO19*Setup!CO7,'Quick Setup'!$A$2)</f>
        <v>120</v>
      </c>
      <c r="CP20" s="1">
        <v>5.0</v>
      </c>
      <c r="CQ20" s="1" t="s">
        <v>76</v>
      </c>
      <c r="CR20" s="2" t="str">
        <f>CONCATENATE(Setup!CR7,"-",Setup!CS7)</f>
        <v>4-6</v>
      </c>
      <c r="CS20" s="10"/>
      <c r="CT20" s="10"/>
      <c r="CU20" s="10"/>
      <c r="CV20" s="38">
        <f>mround(CV19*Setup!CV7,'Quick Setup'!$A$2)</f>
        <v>160</v>
      </c>
      <c r="CW20" s="2">
        <f>Setup!CW7</f>
        <v>3</v>
      </c>
      <c r="CX20" s="2">
        <f>Setup!CX7</f>
        <v>2</v>
      </c>
      <c r="CY20" s="2" t="str">
        <f>CONCATENATE(Setup!CY7,"-",Setup!CZ7)</f>
        <v>4-6</v>
      </c>
      <c r="CZ20" s="10"/>
      <c r="DA20" s="10"/>
      <c r="DB20" s="10"/>
      <c r="DC20" s="38">
        <f>mround(DC19*Setup!DC7,'Quick Setup'!$A$2)</f>
        <v>170</v>
      </c>
      <c r="DD20" s="2">
        <f>Setup!DD7</f>
        <v>2</v>
      </c>
      <c r="DE20" s="2">
        <f>Setup!DE7</f>
        <v>2</v>
      </c>
      <c r="DF20" s="2" t="str">
        <f>CONCATENATE(Setup!DF7,"-",Setup!DG7)</f>
        <v>4-6</v>
      </c>
      <c r="DG20" s="10"/>
      <c r="DH20" s="10"/>
      <c r="DI20" s="10"/>
      <c r="DJ20" s="38">
        <f>mround(DJ19*Setup!DJ7,'Quick Setup'!$A$2)</f>
        <v>180</v>
      </c>
      <c r="DK20" s="2">
        <f>Setup!DK7</f>
        <v>1</v>
      </c>
      <c r="DL20" s="2">
        <f>Setup!DL7</f>
        <v>1</v>
      </c>
      <c r="DM20" s="2" t="str">
        <f>CONCATENATE(Setup!DM7,"-",Setup!DN7)</f>
        <v>4-6</v>
      </c>
      <c r="DN20" s="10"/>
      <c r="DO20" s="10"/>
      <c r="DP20" s="10"/>
      <c r="DQ20" s="38">
        <f>mround(DQ19*Setup!DQ7,'Quick Setup'!$A$2)</f>
        <v>170</v>
      </c>
      <c r="DR20" s="2">
        <f>Setup!DR7</f>
        <v>2</v>
      </c>
      <c r="DS20" s="2">
        <f>Setup!DS7</f>
        <v>2</v>
      </c>
      <c r="DT20" s="2" t="str">
        <f>CONCATENATE(Setup!DT7,"-",Setup!DU7)</f>
        <v>4-6</v>
      </c>
      <c r="DU20" s="10"/>
      <c r="DV20" s="10"/>
      <c r="DW20" s="10"/>
      <c r="DX20" s="38">
        <f>mround(DX19*Setup!DX7,'Quick Setup'!$A$2)</f>
        <v>180</v>
      </c>
      <c r="DY20" s="2">
        <f>Setup!DY7</f>
        <v>1</v>
      </c>
      <c r="DZ20" s="2">
        <f>Setup!DZ7</f>
        <v>1</v>
      </c>
      <c r="EA20" s="2" t="str">
        <f>CONCATENATE(Setup!EA7,"-",Setup!EB7)</f>
        <v>4-6</v>
      </c>
      <c r="EB20" s="10"/>
      <c r="EC20" s="10"/>
      <c r="ED20" s="10"/>
      <c r="EE20" s="38">
        <f>mround(EE19*Setup!EE7,'Quick Setup'!$A$2)</f>
        <v>190</v>
      </c>
      <c r="EF20" s="2">
        <f>Setup!EF7</f>
        <v>1</v>
      </c>
      <c r="EG20" s="2">
        <f>Setup!EG7</f>
        <v>1</v>
      </c>
      <c r="EH20" s="2" t="str">
        <f>CONCATENATE(Setup!EH7,"-",Setup!EI7)</f>
        <v>4-6</v>
      </c>
      <c r="EI20" s="10"/>
      <c r="EJ20" s="10"/>
      <c r="EK20" s="10"/>
      <c r="EL20" s="38">
        <f>mround(EL19*Setup!EL7,'Quick Setup'!$A$2)</f>
        <v>120</v>
      </c>
      <c r="EM20" s="1">
        <v>5.0</v>
      </c>
      <c r="EN20" s="1" t="s">
        <v>76</v>
      </c>
      <c r="EO20" s="2" t="str">
        <f>CONCATENATE(Setup!EO7,"-",Setup!EP7)</f>
        <v>4-6</v>
      </c>
      <c r="EP20" s="10"/>
      <c r="EQ20" s="10"/>
      <c r="ER20" s="10"/>
    </row>
    <row r="21" hidden="1">
      <c r="A21" s="33" t="str">
        <f>CONCATENATE(A22," TM")</f>
        <v>Close Grip Bench TM</v>
      </c>
      <c r="B21" s="34">
        <f>if(D21="",'Quick Setup'!D13,D21/'Quick Setup'!E13)</f>
        <v>310</v>
      </c>
      <c r="C21" s="35" t="s">
        <v>73</v>
      </c>
      <c r="D21" s="36"/>
      <c r="E21" s="37"/>
      <c r="F21" s="37"/>
      <c r="G21" s="37"/>
      <c r="H21" s="37"/>
      <c r="I21" s="34">
        <f>if(K21="", if(F22&lt;&gt;"", if(F22&gt;Setup!F12,B21*(1+Setup!G12),if(F22&lt;Setup!E12,B21*(1+Setup!H12),B21)),B21),K21/'Quick Setup'!$E13)</f>
        <v>310</v>
      </c>
      <c r="J21" s="35" t="s">
        <v>73</v>
      </c>
      <c r="K21" s="36"/>
      <c r="L21" s="37"/>
      <c r="M21" s="37"/>
      <c r="N21" s="37"/>
      <c r="O21" s="37"/>
      <c r="P21" s="34">
        <f>if(R21="", if(M22&lt;&gt;"", if(M22&gt;Setup!M12,I21*(1+Setup!N12),if(M22&lt;Setup!L12,I21*(1+Setup!O12),I21)),I21),R21/'Quick Setup'!$E13)</f>
        <v>310</v>
      </c>
      <c r="Q21" s="35" t="s">
        <v>73</v>
      </c>
      <c r="R21" s="36"/>
      <c r="S21" s="37"/>
      <c r="T21" s="37"/>
      <c r="U21" s="37"/>
      <c r="V21" s="37"/>
      <c r="W21" s="34">
        <f>if(Y21="", if(T22&lt;&gt;"", if(T22&gt;Setup!T12,P21*(1+Setup!U12),if(T22&lt;Setup!S12,P21*(1+Setup!V12),P21)),P21),Y21/'Quick Setup'!$E13)</f>
        <v>310</v>
      </c>
      <c r="X21" s="35" t="s">
        <v>73</v>
      </c>
      <c r="Y21" s="36"/>
      <c r="Z21" s="37"/>
      <c r="AA21" s="37"/>
      <c r="AB21" s="37"/>
      <c r="AC21" s="37"/>
      <c r="AD21" s="34">
        <f>if(AF21="", if(AA22&lt;&gt;"", if(AA22&gt;Setup!AA12,W21*(1+Setup!AB12),if(AA22&lt;Setup!Z12,W21*(1+Setup!AC12),W21)),W21),AF21/'Quick Setup'!$E13)</f>
        <v>310</v>
      </c>
      <c r="AE21" s="35" t="s">
        <v>73</v>
      </c>
      <c r="AF21" s="36"/>
      <c r="AG21" s="37"/>
      <c r="AH21" s="37"/>
      <c r="AI21" s="37"/>
      <c r="AJ21" s="37"/>
      <c r="AK21" s="34">
        <f>if(AM21="", if(AH22&lt;&gt;"", if(AH22&gt;Setup!AH12,AD21*(1+Setup!AI12),if(AH22&lt;Setup!AG12,AD21*(1+Setup!AJ12),AD21)),AD21),AM21/'Quick Setup'!$E13)</f>
        <v>310</v>
      </c>
      <c r="AL21" s="35" t="s">
        <v>73</v>
      </c>
      <c r="AM21" s="36"/>
      <c r="AN21" s="37"/>
      <c r="AO21" s="37"/>
      <c r="AP21" s="37"/>
      <c r="AQ21" s="37"/>
      <c r="AR21" s="34">
        <f>if(AT21="", if(AO22&lt;&gt;"", if(AO22&gt;Setup!AO12,AK21*(1+Setup!AP12),if(AO22&lt;Setup!AN12,AK21*(1+Setup!AQ12),AK21)),AK21),AT21/'Quick Setup'!$E13)</f>
        <v>310</v>
      </c>
      <c r="AS21" s="35" t="s">
        <v>73</v>
      </c>
      <c r="AT21" s="36"/>
      <c r="AU21" s="37"/>
      <c r="AV21" s="37"/>
      <c r="AW21" s="37"/>
      <c r="AX21" s="37"/>
      <c r="AY21" s="34">
        <f>if(BA21="",AR21,BA21/'Quick Setup'!$E13)</f>
        <v>310</v>
      </c>
      <c r="AZ21" s="35" t="s">
        <v>73</v>
      </c>
      <c r="BA21" s="36"/>
      <c r="BB21" s="37"/>
      <c r="BC21" s="37"/>
      <c r="BD21" s="37"/>
      <c r="BE21" s="37"/>
      <c r="BF21" s="34">
        <f>if(BH21="", if(BC22&lt;&gt;"", if(BC22&gt;Setup!BC12,AY21*(1+Setup!BD12),if(BC22&lt;Setup!BB12,AY21*(1+Setup!BE12),AY21)),AY21),BH21/'Quick Setup'!$E13)</f>
        <v>310</v>
      </c>
      <c r="BG21" s="35" t="s">
        <v>73</v>
      </c>
      <c r="BH21" s="36"/>
      <c r="BI21" s="37"/>
      <c r="BJ21" s="37"/>
      <c r="BK21" s="37"/>
      <c r="BL21" s="37"/>
      <c r="BM21" s="34">
        <f>if(BO21="", if(BJ22&lt;&gt;"", if(BJ22&gt;Setup!BJ12,BF21*(1+Setup!BK12),if(BJ22&lt;Setup!BI12,BF21*(1+Setup!BL12),BF21)),BF21),BO21/'Quick Setup'!$E13)</f>
        <v>310</v>
      </c>
      <c r="BN21" s="35" t="s">
        <v>73</v>
      </c>
      <c r="BO21" s="36"/>
      <c r="BP21" s="37"/>
      <c r="BQ21" s="37"/>
      <c r="BR21" s="37"/>
      <c r="BS21" s="37"/>
      <c r="BT21" s="34">
        <f>if(BV21="", if(BQ22&lt;&gt;"", if(BQ22&gt;Setup!BQ12,BM21*(1+Setup!BR12),if(BQ22&lt;Setup!BP12,BM21*(1+Setup!BS12),BM21)),BM21),BV21/'Quick Setup'!$E13)</f>
        <v>310</v>
      </c>
      <c r="BU21" s="35" t="s">
        <v>73</v>
      </c>
      <c r="BV21" s="36"/>
      <c r="BW21" s="37"/>
      <c r="BX21" s="37"/>
      <c r="BY21" s="37"/>
      <c r="BZ21" s="37"/>
      <c r="CA21" s="34">
        <f>if(CC21="", if(BX22&lt;&gt;"", if(BX22&gt;Setup!BX12,BT21*(1+Setup!BY12),if(BX22&lt;Setup!BW12,BT21*(1+Setup!BZ12),BT21)),BT21),CC21/'Quick Setup'!$E13)</f>
        <v>310</v>
      </c>
      <c r="CB21" s="35" t="s">
        <v>73</v>
      </c>
      <c r="CC21" s="36"/>
      <c r="CD21" s="37"/>
      <c r="CE21" s="37"/>
      <c r="CF21" s="37"/>
      <c r="CG21" s="37"/>
      <c r="CH21" s="34">
        <f>if(CJ21="", if(CE22&lt;&gt;"", if(CE22&gt;Setup!CE12,CA21*(1+Setup!CF12),if(CE22&lt;Setup!CD12,CA21*(1+Setup!CG12),CA21)),CA21),CJ21/'Quick Setup'!$E13)</f>
        <v>310</v>
      </c>
      <c r="CI21" s="35" t="s">
        <v>73</v>
      </c>
      <c r="CJ21" s="36"/>
      <c r="CK21" s="37"/>
      <c r="CL21" s="37"/>
      <c r="CM21" s="37"/>
      <c r="CN21" s="37"/>
      <c r="CO21" s="34">
        <f>if(CQ21="", if(CL22&lt;&gt;"", if(CL22&gt;Setup!CL12,CH21*(1+Setup!CM12),if(CL22&lt;Setup!CK12,CH21*(1+Setup!CN12),CH21)),CH21),CQ21/'Quick Setup'!$E13)</f>
        <v>310</v>
      </c>
      <c r="CP21" s="35" t="s">
        <v>73</v>
      </c>
      <c r="CQ21" s="36"/>
      <c r="CR21" s="37"/>
      <c r="CS21" s="37"/>
      <c r="CT21" s="37"/>
      <c r="CU21" s="37"/>
      <c r="CV21" s="34">
        <f>if(CX21="",CO21,CX21/'Quick Setup'!$E13)</f>
        <v>310</v>
      </c>
      <c r="CW21" s="35" t="s">
        <v>73</v>
      </c>
      <c r="CX21" s="36"/>
      <c r="CY21" s="37"/>
      <c r="CZ21" s="37"/>
      <c r="DA21" s="37"/>
      <c r="DB21" s="37"/>
      <c r="DC21" s="34">
        <f>if(DE21="", if(CZ22&lt;&gt;"", if(CZ22&gt;Setup!CZ12,CV21*(1+Setup!DA12),if(CZ22&lt;Setup!CY12,CV21*(1+Setup!DB12),CV21)),CV21),DE21/'Quick Setup'!$E13)</f>
        <v>310</v>
      </c>
      <c r="DD21" s="35" t="s">
        <v>73</v>
      </c>
      <c r="DE21" s="36"/>
      <c r="DF21" s="37"/>
      <c r="DG21" s="37"/>
      <c r="DH21" s="37"/>
      <c r="DI21" s="37"/>
      <c r="DJ21" s="34">
        <f>if(DL21="", if(DG22&lt;&gt;"", if(DG22&gt;Setup!DG12,DC21*(1+Setup!DH12),if(DG22&lt;Setup!DF12,DC21*(1+Setup!DI12),DC21)),DC21),DL21/'Quick Setup'!$E13)</f>
        <v>310</v>
      </c>
      <c r="DK21" s="35" t="s">
        <v>73</v>
      </c>
      <c r="DL21" s="36"/>
      <c r="DM21" s="37"/>
      <c r="DN21" s="37"/>
      <c r="DO21" s="37"/>
      <c r="DP21" s="37"/>
      <c r="DQ21" s="34">
        <f>if(DS21="", if(DN22&lt;&gt;"", if(DN22&gt;Setup!DN12,DJ21*(1+Setup!DO12),if(DN22&lt;Setup!DM12,DJ21*(1+Setup!DP12),DJ21)),DJ21),DS21/'Quick Setup'!$E13)</f>
        <v>310</v>
      </c>
      <c r="DR21" s="35" t="s">
        <v>73</v>
      </c>
      <c r="DS21" s="36"/>
      <c r="DT21" s="37"/>
      <c r="DU21" s="37"/>
      <c r="DV21" s="37"/>
      <c r="DW21" s="37"/>
      <c r="DX21" s="34">
        <f>if(DZ21="", if(DU22&lt;&gt;"", if(DU22&gt;Setup!DU12,DQ21*(1+Setup!DV12),if(DU22&lt;Setup!DT12,DQ21*(1+Setup!DW12),DQ21)),DQ21),DZ21/'Quick Setup'!$E13)</f>
        <v>310</v>
      </c>
      <c r="DY21" s="35" t="s">
        <v>73</v>
      </c>
      <c r="DZ21" s="36"/>
      <c r="EA21" s="37"/>
      <c r="EB21" s="37"/>
      <c r="EC21" s="37"/>
      <c r="ED21" s="37"/>
      <c r="EE21" s="34">
        <f>if(EG21="", if(EB22&lt;&gt;"", if(EB22&gt;Setup!EB12,DX21*(1+Setup!EC12),if(EB22&lt;Setup!EA12,DX21*(1+Setup!ED12),DX21)),DX21),EG21/'Quick Setup'!$E13)</f>
        <v>310</v>
      </c>
      <c r="EF21" s="35" t="s">
        <v>73</v>
      </c>
      <c r="EG21" s="36"/>
      <c r="EH21" s="37"/>
      <c r="EI21" s="37"/>
      <c r="EJ21" s="37"/>
      <c r="EK21" s="37"/>
      <c r="EL21" s="34">
        <f>if(EN21="", if(EI22&lt;&gt;"", if(EI22&gt;Setup!EI12,EE21*(1+Setup!EJ12),if(EI22&lt;Setup!EH12,EE21*(1+Setup!EK12),EE21)),EE21),EN21/'Quick Setup'!$E13)</f>
        <v>310</v>
      </c>
      <c r="EM21" s="35" t="s">
        <v>73</v>
      </c>
      <c r="EN21" s="36"/>
      <c r="EO21" s="37"/>
      <c r="EP21" s="37"/>
      <c r="EQ21" s="37"/>
      <c r="ER21" s="37"/>
    </row>
    <row r="22">
      <c r="A22" s="1" t="str">
        <f>Setup!A12</f>
        <v>Close Grip Bench</v>
      </c>
      <c r="B22" s="38">
        <f>mround(B21*Setup!B12,'Quick Setup'!$A$2)</f>
        <v>185</v>
      </c>
      <c r="C22" s="2">
        <f>Setup!C12</f>
        <v>7</v>
      </c>
      <c r="D22" s="2">
        <f>Setup!D12</f>
        <v>4</v>
      </c>
      <c r="E22" s="2" t="str">
        <f>CONCATENATE(Setup!E12,"-",Setup!F12)</f>
        <v>4-6</v>
      </c>
      <c r="F22" s="10"/>
      <c r="G22" s="10"/>
      <c r="H22" s="10"/>
      <c r="I22" s="38">
        <f>mround(I21*Setup!I12,'Quick Setup'!$A$2)</f>
        <v>202.5</v>
      </c>
      <c r="J22" s="2">
        <f>Setup!J12</f>
        <v>6</v>
      </c>
      <c r="K22" s="2">
        <f>Setup!K12</f>
        <v>4</v>
      </c>
      <c r="L22" s="2" t="str">
        <f>CONCATENATE(Setup!L12,"-",Setup!M12)</f>
        <v>4-6</v>
      </c>
      <c r="M22" s="10"/>
      <c r="N22" s="10"/>
      <c r="O22" s="10"/>
      <c r="P22" s="38">
        <f>mround(P21*Setup!P12,'Quick Setup'!$A$2)</f>
        <v>217.5</v>
      </c>
      <c r="Q22" s="2">
        <f>Setup!Q12</f>
        <v>5</v>
      </c>
      <c r="R22" s="2">
        <f>Setup!R12</f>
        <v>3</v>
      </c>
      <c r="S22" s="2" t="str">
        <f>CONCATENATE(Setup!S12,"-",Setup!T12)</f>
        <v>4-6</v>
      </c>
      <c r="T22" s="10"/>
      <c r="U22" s="10"/>
      <c r="V22" s="10"/>
      <c r="W22" s="38">
        <f>mround(W21*Setup!W12,'Quick Setup'!$A$2)</f>
        <v>195</v>
      </c>
      <c r="X22" s="2">
        <f>Setup!X12</f>
        <v>7</v>
      </c>
      <c r="Y22" s="2">
        <f>Setup!Y12</f>
        <v>4</v>
      </c>
      <c r="Z22" s="2" t="str">
        <f>CONCATENATE(Setup!Z12,"-",Setup!AA12)</f>
        <v>4-6</v>
      </c>
      <c r="AA22" s="10"/>
      <c r="AB22" s="10"/>
      <c r="AC22" s="10"/>
      <c r="AD22" s="38">
        <f>mround(AD21*Setup!AD12,'Quick Setup'!$A$2)</f>
        <v>210</v>
      </c>
      <c r="AE22" s="2">
        <f>Setup!AE12</f>
        <v>6</v>
      </c>
      <c r="AF22" s="2">
        <f>Setup!AF12</f>
        <v>4</v>
      </c>
      <c r="AG22" s="2" t="str">
        <f>CONCATENATE(Setup!AG12,"-",Setup!AH12)</f>
        <v>4-6</v>
      </c>
      <c r="AH22" s="10"/>
      <c r="AI22" s="10"/>
      <c r="AJ22" s="10"/>
      <c r="AK22" s="38">
        <f>mround(AK21*Setup!AK12,'Quick Setup'!$A$2)</f>
        <v>225</v>
      </c>
      <c r="AL22" s="2">
        <f>Setup!AL12</f>
        <v>5</v>
      </c>
      <c r="AM22" s="2">
        <f>Setup!AM12</f>
        <v>3</v>
      </c>
      <c r="AN22" s="2" t="str">
        <f>CONCATENATE(Setup!AN12,"-",Setup!AO12)</f>
        <v>4-6</v>
      </c>
      <c r="AO22" s="10"/>
      <c r="AP22" s="10"/>
      <c r="AQ22" s="10"/>
      <c r="AR22" s="38">
        <f>mround(AR21*Setup!AR12,'Quick Setup'!$A$2)</f>
        <v>155</v>
      </c>
      <c r="AS22" s="1">
        <v>5.0</v>
      </c>
      <c r="AT22" s="1" t="s">
        <v>76</v>
      </c>
      <c r="AU22" s="2" t="str">
        <f>CONCATENATE(Setup!AU12,"-",Setup!AV12)</f>
        <v>4-6</v>
      </c>
      <c r="AV22" s="10"/>
      <c r="AW22" s="10"/>
      <c r="AX22" s="10"/>
      <c r="AY22" s="38">
        <f>mround(AY21*Setup!AY12,'Quick Setup'!$A$2)</f>
        <v>202.5</v>
      </c>
      <c r="AZ22" s="2">
        <f>Setup!AZ12</f>
        <v>6</v>
      </c>
      <c r="BA22" s="2">
        <f>Setup!BA12</f>
        <v>4</v>
      </c>
      <c r="BB22" s="2" t="str">
        <f>CONCATENATE(Setup!BB12,"-",Setup!BC12)</f>
        <v>4-6</v>
      </c>
      <c r="BC22" s="10"/>
      <c r="BD22" s="10"/>
      <c r="BE22" s="10"/>
      <c r="BF22" s="38">
        <f>mround(BF21*Setup!BF12,'Quick Setup'!$A$2)</f>
        <v>217.5</v>
      </c>
      <c r="BG22" s="2">
        <f>Setup!BG12</f>
        <v>5</v>
      </c>
      <c r="BH22" s="2">
        <f>Setup!BH12</f>
        <v>3</v>
      </c>
      <c r="BI22" s="2" t="str">
        <f>CONCATENATE(Setup!BI12,"-",Setup!BJ12)</f>
        <v>4-6</v>
      </c>
      <c r="BJ22" s="10"/>
      <c r="BK22" s="10"/>
      <c r="BL22" s="10"/>
      <c r="BM22" s="38">
        <f>mround(BM21*Setup!BM12,'Quick Setup'!$A$2)</f>
        <v>232.5</v>
      </c>
      <c r="BN22" s="2">
        <f>Setup!BN12</f>
        <v>4</v>
      </c>
      <c r="BO22" s="2">
        <f>Setup!BO12</f>
        <v>3</v>
      </c>
      <c r="BP22" s="2" t="str">
        <f>CONCATENATE(Setup!BP12,"-",Setup!BQ12)</f>
        <v>4-6</v>
      </c>
      <c r="BQ22" s="10"/>
      <c r="BR22" s="10"/>
      <c r="BS22" s="10"/>
      <c r="BT22" s="38">
        <f>mround(BT21*Setup!BT12,'Quick Setup'!$A$2)</f>
        <v>210</v>
      </c>
      <c r="BU22" s="2">
        <f>Setup!BU12</f>
        <v>6</v>
      </c>
      <c r="BV22" s="2">
        <f>Setup!BV12</f>
        <v>4</v>
      </c>
      <c r="BW22" s="2" t="str">
        <f>CONCATENATE(Setup!BW12,"-",Setup!BX12)</f>
        <v>4-6</v>
      </c>
      <c r="BX22" s="10"/>
      <c r="BY22" s="10"/>
      <c r="BZ22" s="10"/>
      <c r="CA22" s="38">
        <f>mround(CA21*Setup!CA12,'Quick Setup'!$A$2)</f>
        <v>225</v>
      </c>
      <c r="CB22" s="2">
        <f>Setup!CB12</f>
        <v>5</v>
      </c>
      <c r="CC22" s="2">
        <f>Setup!CC12</f>
        <v>3</v>
      </c>
      <c r="CD22" s="2" t="str">
        <f>CONCATENATE(Setup!CD12,"-",Setup!CE12)</f>
        <v>4-6</v>
      </c>
      <c r="CE22" s="10"/>
      <c r="CF22" s="10"/>
      <c r="CG22" s="10"/>
      <c r="CH22" s="38">
        <f>mround(CH21*Setup!CH12,'Quick Setup'!$A$2)</f>
        <v>240</v>
      </c>
      <c r="CI22" s="2">
        <f>Setup!CI12</f>
        <v>4</v>
      </c>
      <c r="CJ22" s="2">
        <f>Setup!CJ12</f>
        <v>3</v>
      </c>
      <c r="CK22" s="2" t="str">
        <f>CONCATENATE(Setup!CK12,"-",Setup!CL12)</f>
        <v>4-6</v>
      </c>
      <c r="CL22" s="10"/>
      <c r="CM22" s="10"/>
      <c r="CN22" s="10"/>
      <c r="CO22" s="38">
        <f>mround(CO21*Setup!CO12,'Quick Setup'!$A$2)</f>
        <v>155</v>
      </c>
      <c r="CP22" s="1">
        <v>5.0</v>
      </c>
      <c r="CQ22" s="1" t="s">
        <v>76</v>
      </c>
      <c r="CR22" s="2" t="str">
        <f>CONCATENATE(Setup!CR12,"-",Setup!CS12)</f>
        <v>4-6</v>
      </c>
      <c r="CS22" s="10"/>
      <c r="CT22" s="10"/>
      <c r="CU22" s="10"/>
      <c r="CV22" s="38">
        <f>mround(CV21*Setup!CV12,'Quick Setup'!$A$2)</f>
        <v>217.5</v>
      </c>
      <c r="CW22" s="2">
        <f>Setup!CW12</f>
        <v>5</v>
      </c>
      <c r="CX22" s="2">
        <f>Setup!CX12</f>
        <v>3</v>
      </c>
      <c r="CY22" s="2" t="str">
        <f>CONCATENATE(Setup!CY12,"-",Setup!CZ12)</f>
        <v>4-6</v>
      </c>
      <c r="CZ22" s="10"/>
      <c r="DA22" s="10"/>
      <c r="DB22" s="10"/>
      <c r="DC22" s="38">
        <f>mround(DC21*Setup!DC12,'Quick Setup'!$A$2)</f>
        <v>232.5</v>
      </c>
      <c r="DD22" s="2">
        <f>Setup!DD12</f>
        <v>4</v>
      </c>
      <c r="DE22" s="2">
        <f>Setup!DE12</f>
        <v>3</v>
      </c>
      <c r="DF22" s="2" t="str">
        <f>CONCATENATE(Setup!DF12,"-",Setup!DG12)</f>
        <v>4-6</v>
      </c>
      <c r="DG22" s="10"/>
      <c r="DH22" s="10"/>
      <c r="DI22" s="10"/>
      <c r="DJ22" s="38">
        <f>mround(DJ21*Setup!DJ12,'Quick Setup'!$A$2)</f>
        <v>247.5</v>
      </c>
      <c r="DK22" s="2">
        <f>Setup!DK12</f>
        <v>3</v>
      </c>
      <c r="DL22" s="2">
        <f>Setup!DL12</f>
        <v>2</v>
      </c>
      <c r="DM22" s="2" t="str">
        <f>CONCATENATE(Setup!DM12,"-",Setup!DN12)</f>
        <v>4-6</v>
      </c>
      <c r="DN22" s="10"/>
      <c r="DO22" s="10"/>
      <c r="DP22" s="10"/>
      <c r="DQ22" s="38">
        <f>mround(DQ21*Setup!DQ12,'Quick Setup'!$A$2)</f>
        <v>232.5</v>
      </c>
      <c r="DR22" s="2">
        <f>Setup!DR12</f>
        <v>4</v>
      </c>
      <c r="DS22" s="2">
        <f>Setup!DS12</f>
        <v>3</v>
      </c>
      <c r="DT22" s="2" t="str">
        <f>CONCATENATE(Setup!DT12,"-",Setup!DU12)</f>
        <v>4-6</v>
      </c>
      <c r="DU22" s="10"/>
      <c r="DV22" s="10"/>
      <c r="DW22" s="10"/>
      <c r="DX22" s="38">
        <f>mround(DX21*Setup!DX12,'Quick Setup'!$A$2)</f>
        <v>247.5</v>
      </c>
      <c r="DY22" s="2">
        <f>Setup!DY12</f>
        <v>3</v>
      </c>
      <c r="DZ22" s="2">
        <f>Setup!DZ12</f>
        <v>2</v>
      </c>
      <c r="EA22" s="2" t="str">
        <f>CONCATENATE(Setup!EA12,"-",Setup!EB12)</f>
        <v>4-6</v>
      </c>
      <c r="EB22" s="10"/>
      <c r="EC22" s="10"/>
      <c r="ED22" s="10"/>
      <c r="EE22" s="38">
        <f>mround(EE21*Setup!EE12,'Quick Setup'!$A$2)</f>
        <v>262.5</v>
      </c>
      <c r="EF22" s="2">
        <f>Setup!EF12</f>
        <v>2</v>
      </c>
      <c r="EG22" s="2">
        <f>Setup!EG12</f>
        <v>2</v>
      </c>
      <c r="EH22" s="2" t="str">
        <f>CONCATENATE(Setup!EH12,"-",Setup!EI12)</f>
        <v>4-6</v>
      </c>
      <c r="EI22" s="10"/>
      <c r="EJ22" s="10"/>
      <c r="EK22" s="10"/>
      <c r="EL22" s="38">
        <f>mround(EL21*Setup!EL12,'Quick Setup'!$A$2)</f>
        <v>155</v>
      </c>
      <c r="EM22" s="1">
        <v>5.0</v>
      </c>
      <c r="EN22" s="1" t="s">
        <v>76</v>
      </c>
      <c r="EO22" s="2" t="str">
        <f>CONCATENATE(Setup!EO12,"-",Setup!EP12)</f>
        <v>4-6</v>
      </c>
      <c r="EP22" s="10"/>
      <c r="EQ22" s="10"/>
      <c r="ER22" s="10"/>
    </row>
    <row r="23">
      <c r="A23" s="5"/>
      <c r="B23" s="39"/>
      <c r="C23" s="10"/>
      <c r="D23" s="10"/>
      <c r="E23" s="10"/>
      <c r="F23" s="10"/>
      <c r="G23" s="10"/>
      <c r="H23" s="10"/>
      <c r="I23" s="39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39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39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39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39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39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39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39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39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39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39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39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39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39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39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39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39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39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39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39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77</v>
      </c>
      <c r="B24" s="38"/>
      <c r="C24" s="2"/>
      <c r="D24" s="2"/>
      <c r="E24" s="2"/>
      <c r="F24" s="2"/>
      <c r="G24" s="2"/>
      <c r="H24" s="2"/>
      <c r="I24" s="38"/>
      <c r="J24" s="2"/>
      <c r="K24" s="2"/>
      <c r="L24" s="2"/>
      <c r="M24" s="2"/>
      <c r="N24" s="2"/>
      <c r="O24" s="2"/>
      <c r="P24" s="38"/>
      <c r="Q24" s="2"/>
      <c r="R24" s="2"/>
      <c r="S24" s="2"/>
      <c r="T24" s="2"/>
      <c r="U24" s="2"/>
      <c r="V24" s="2"/>
      <c r="W24" s="38"/>
      <c r="X24" s="2"/>
      <c r="Y24" s="2"/>
      <c r="Z24" s="2"/>
      <c r="AA24" s="2"/>
      <c r="AB24" s="2"/>
      <c r="AC24" s="2"/>
      <c r="AD24" s="38"/>
      <c r="AE24" s="2"/>
      <c r="AF24" s="2"/>
      <c r="AG24" s="2"/>
      <c r="AH24" s="2"/>
      <c r="AI24" s="2"/>
      <c r="AJ24" s="2"/>
      <c r="AK24" s="38"/>
      <c r="AL24" s="2"/>
      <c r="AM24" s="2"/>
      <c r="AN24" s="2"/>
      <c r="AO24" s="2"/>
      <c r="AP24" s="2"/>
      <c r="AQ24" s="2"/>
      <c r="AR24" s="38"/>
      <c r="AS24" s="2"/>
      <c r="AT24" s="2"/>
      <c r="AU24" s="2"/>
      <c r="AV24" s="2"/>
      <c r="AW24" s="2"/>
      <c r="AX24" s="2"/>
      <c r="AY24" s="38"/>
      <c r="AZ24" s="2"/>
      <c r="BA24" s="2"/>
      <c r="BB24" s="2"/>
      <c r="BC24" s="2"/>
      <c r="BD24" s="2"/>
      <c r="BE24" s="2"/>
      <c r="BF24" s="38"/>
      <c r="BG24" s="2"/>
      <c r="BH24" s="2"/>
      <c r="BI24" s="2"/>
      <c r="BJ24" s="2"/>
      <c r="BK24" s="2"/>
      <c r="BL24" s="2"/>
      <c r="BM24" s="38"/>
      <c r="BN24" s="2"/>
      <c r="BO24" s="2"/>
      <c r="BP24" s="2"/>
      <c r="BQ24" s="2"/>
      <c r="BR24" s="2"/>
      <c r="BS24" s="2"/>
      <c r="BT24" s="38"/>
      <c r="BU24" s="2"/>
      <c r="BV24" s="2"/>
      <c r="BW24" s="2"/>
      <c r="BX24" s="2"/>
      <c r="BY24" s="2"/>
      <c r="BZ24" s="2"/>
      <c r="CA24" s="38"/>
      <c r="CB24" s="2"/>
      <c r="CC24" s="2"/>
      <c r="CD24" s="2"/>
      <c r="CE24" s="2"/>
      <c r="CF24" s="2"/>
      <c r="CG24" s="2"/>
      <c r="CH24" s="38"/>
      <c r="CI24" s="2"/>
      <c r="CJ24" s="2"/>
      <c r="CK24" s="2"/>
      <c r="CL24" s="2"/>
      <c r="CM24" s="2"/>
      <c r="CN24" s="2"/>
      <c r="CO24" s="38"/>
      <c r="CP24" s="2"/>
      <c r="CQ24" s="2"/>
      <c r="CR24" s="2"/>
      <c r="CS24" s="2"/>
      <c r="CT24" s="2"/>
      <c r="CU24" s="2"/>
      <c r="CV24" s="38"/>
      <c r="CW24" s="2"/>
      <c r="CX24" s="2"/>
      <c r="CY24" s="2"/>
      <c r="CZ24" s="2"/>
      <c r="DA24" s="2"/>
      <c r="DB24" s="2"/>
      <c r="DC24" s="38"/>
      <c r="DD24" s="2"/>
      <c r="DE24" s="2"/>
      <c r="DF24" s="2"/>
      <c r="DG24" s="2"/>
      <c r="DH24" s="2"/>
      <c r="DI24" s="2"/>
      <c r="DJ24" s="38"/>
      <c r="DK24" s="2"/>
      <c r="DL24" s="2"/>
      <c r="DM24" s="2"/>
      <c r="DN24" s="2"/>
      <c r="DO24" s="2"/>
      <c r="DP24" s="2"/>
      <c r="DQ24" s="38"/>
      <c r="DR24" s="2"/>
      <c r="DS24" s="2"/>
      <c r="DT24" s="2"/>
      <c r="DU24" s="2"/>
      <c r="DV24" s="2"/>
      <c r="DW24" s="2"/>
      <c r="DX24" s="38"/>
      <c r="DY24" s="2"/>
      <c r="DZ24" s="2"/>
      <c r="EA24" s="2"/>
      <c r="EB24" s="2"/>
      <c r="EC24" s="2"/>
      <c r="ED24" s="2"/>
      <c r="EE24" s="38"/>
      <c r="EF24" s="2"/>
      <c r="EG24" s="2"/>
      <c r="EH24" s="2"/>
      <c r="EI24" s="2"/>
      <c r="EJ24" s="2"/>
      <c r="EK24" s="2"/>
      <c r="EL24" s="38"/>
      <c r="EM24" s="2"/>
      <c r="EN24" s="2"/>
      <c r="EO24" s="2"/>
      <c r="EP24" s="2"/>
      <c r="EQ24" s="2"/>
      <c r="ER24" s="2"/>
    </row>
    <row r="25">
      <c r="A25" s="40"/>
      <c r="B25" s="39"/>
      <c r="C25" s="10"/>
      <c r="D25" s="10"/>
      <c r="E25" s="10"/>
      <c r="F25" s="10"/>
      <c r="G25" s="10"/>
      <c r="H25" s="10"/>
      <c r="I25" s="39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39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39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39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39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39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39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39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39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39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39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39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39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39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39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39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39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39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39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39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0"/>
      <c r="B26" s="39"/>
      <c r="C26" s="10"/>
      <c r="D26" s="10"/>
      <c r="E26" s="10"/>
      <c r="F26" s="10"/>
      <c r="G26" s="10"/>
      <c r="H26" s="10"/>
      <c r="I26" s="39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39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39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39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39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39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39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39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39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39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39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39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39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39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39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39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39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39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39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39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1"/>
      <c r="B27" s="42"/>
      <c r="C27" s="43"/>
      <c r="D27" s="43"/>
      <c r="E27" s="43"/>
      <c r="F27" s="43"/>
      <c r="G27" s="43"/>
      <c r="H27" s="43"/>
      <c r="I27" s="42" t="str">
        <f t="shared" ref="I27:M27" si="141">B27</f>
        <v/>
      </c>
      <c r="J27" s="43" t="str">
        <f t="shared" si="141"/>
        <v/>
      </c>
      <c r="K27" s="43" t="str">
        <f t="shared" si="141"/>
        <v/>
      </c>
      <c r="L27" s="43" t="str">
        <f t="shared" si="141"/>
        <v/>
      </c>
      <c r="M27" s="43" t="str">
        <f t="shared" si="141"/>
        <v/>
      </c>
      <c r="N27" s="43"/>
      <c r="O27" s="43"/>
      <c r="P27" s="42" t="str">
        <f t="shared" ref="P27:T27" si="142">I27</f>
        <v/>
      </c>
      <c r="Q27" s="43" t="str">
        <f t="shared" si="142"/>
        <v/>
      </c>
      <c r="R27" s="43" t="str">
        <f t="shared" si="142"/>
        <v/>
      </c>
      <c r="S27" s="43" t="str">
        <f t="shared" si="142"/>
        <v/>
      </c>
      <c r="T27" s="43" t="str">
        <f t="shared" si="142"/>
        <v/>
      </c>
      <c r="U27" s="43"/>
      <c r="V27" s="43"/>
      <c r="W27" s="42" t="str">
        <f t="shared" ref="W27:AA27" si="143">P27</f>
        <v/>
      </c>
      <c r="X27" s="43" t="str">
        <f t="shared" si="143"/>
        <v/>
      </c>
      <c r="Y27" s="43" t="str">
        <f t="shared" si="143"/>
        <v/>
      </c>
      <c r="Z27" s="43" t="str">
        <f t="shared" si="143"/>
        <v/>
      </c>
      <c r="AA27" s="43" t="str">
        <f t="shared" si="143"/>
        <v/>
      </c>
      <c r="AB27" s="43"/>
      <c r="AC27" s="43"/>
      <c r="AD27" s="42" t="str">
        <f t="shared" ref="AD27:AH27" si="144">W27</f>
        <v/>
      </c>
      <c r="AE27" s="43" t="str">
        <f t="shared" si="144"/>
        <v/>
      </c>
      <c r="AF27" s="43" t="str">
        <f t="shared" si="144"/>
        <v/>
      </c>
      <c r="AG27" s="43" t="str">
        <f t="shared" si="144"/>
        <v/>
      </c>
      <c r="AH27" s="43" t="str">
        <f t="shared" si="144"/>
        <v/>
      </c>
      <c r="AI27" s="43"/>
      <c r="AJ27" s="43"/>
      <c r="AK27" s="42" t="str">
        <f t="shared" ref="AK27:AO27" si="145">AD27</f>
        <v/>
      </c>
      <c r="AL27" s="43" t="str">
        <f t="shared" si="145"/>
        <v/>
      </c>
      <c r="AM27" s="43" t="str">
        <f t="shared" si="145"/>
        <v/>
      </c>
      <c r="AN27" s="43" t="str">
        <f t="shared" si="145"/>
        <v/>
      </c>
      <c r="AO27" s="43" t="str">
        <f t="shared" si="145"/>
        <v/>
      </c>
      <c r="AP27" s="43"/>
      <c r="AQ27" s="43"/>
      <c r="AR27" s="42" t="str">
        <f t="shared" ref="AR27:AV27" si="146">AK27</f>
        <v/>
      </c>
      <c r="AS27" s="43" t="str">
        <f t="shared" si="146"/>
        <v/>
      </c>
      <c r="AT27" s="43" t="str">
        <f t="shared" si="146"/>
        <v/>
      </c>
      <c r="AU27" s="43" t="str">
        <f t="shared" si="146"/>
        <v/>
      </c>
      <c r="AV27" s="43" t="str">
        <f t="shared" si="146"/>
        <v/>
      </c>
      <c r="AW27" s="43"/>
      <c r="AX27" s="43"/>
      <c r="AY27" s="42" t="str">
        <f t="shared" ref="AY27:BC27" si="147">AR27</f>
        <v/>
      </c>
      <c r="AZ27" s="43" t="str">
        <f t="shared" si="147"/>
        <v/>
      </c>
      <c r="BA27" s="43" t="str">
        <f t="shared" si="147"/>
        <v/>
      </c>
      <c r="BB27" s="43" t="str">
        <f t="shared" si="147"/>
        <v/>
      </c>
      <c r="BC27" s="43" t="str">
        <f t="shared" si="147"/>
        <v/>
      </c>
      <c r="BD27" s="43"/>
      <c r="BE27" s="43"/>
      <c r="BF27" s="42" t="str">
        <f t="shared" ref="BF27:BJ27" si="148">AY27</f>
        <v/>
      </c>
      <c r="BG27" s="43" t="str">
        <f t="shared" si="148"/>
        <v/>
      </c>
      <c r="BH27" s="43" t="str">
        <f t="shared" si="148"/>
        <v/>
      </c>
      <c r="BI27" s="43" t="str">
        <f t="shared" si="148"/>
        <v/>
      </c>
      <c r="BJ27" s="43" t="str">
        <f t="shared" si="148"/>
        <v/>
      </c>
      <c r="BK27" s="43"/>
      <c r="BL27" s="43"/>
      <c r="BM27" s="42" t="str">
        <f t="shared" ref="BM27:BQ27" si="149">BF27</f>
        <v/>
      </c>
      <c r="BN27" s="43" t="str">
        <f t="shared" si="149"/>
        <v/>
      </c>
      <c r="BO27" s="43" t="str">
        <f t="shared" si="149"/>
        <v/>
      </c>
      <c r="BP27" s="43" t="str">
        <f t="shared" si="149"/>
        <v/>
      </c>
      <c r="BQ27" s="43" t="str">
        <f t="shared" si="149"/>
        <v/>
      </c>
      <c r="BR27" s="43"/>
      <c r="BS27" s="43"/>
      <c r="BT27" s="42" t="str">
        <f t="shared" ref="BT27:BX27" si="150">BM27</f>
        <v/>
      </c>
      <c r="BU27" s="43" t="str">
        <f t="shared" si="150"/>
        <v/>
      </c>
      <c r="BV27" s="43" t="str">
        <f t="shared" si="150"/>
        <v/>
      </c>
      <c r="BW27" s="43" t="str">
        <f t="shared" si="150"/>
        <v/>
      </c>
      <c r="BX27" s="43" t="str">
        <f t="shared" si="150"/>
        <v/>
      </c>
      <c r="BY27" s="43"/>
      <c r="BZ27" s="43"/>
      <c r="CA27" s="42" t="str">
        <f t="shared" ref="CA27:CE27" si="151">BT27</f>
        <v/>
      </c>
      <c r="CB27" s="43" t="str">
        <f t="shared" si="151"/>
        <v/>
      </c>
      <c r="CC27" s="43" t="str">
        <f t="shared" si="151"/>
        <v/>
      </c>
      <c r="CD27" s="43" t="str">
        <f t="shared" si="151"/>
        <v/>
      </c>
      <c r="CE27" s="43" t="str">
        <f t="shared" si="151"/>
        <v/>
      </c>
      <c r="CF27" s="43"/>
      <c r="CG27" s="43"/>
      <c r="CH27" s="42" t="str">
        <f t="shared" ref="CH27:CL27" si="152">CA27</f>
        <v/>
      </c>
      <c r="CI27" s="43" t="str">
        <f t="shared" si="152"/>
        <v/>
      </c>
      <c r="CJ27" s="43" t="str">
        <f t="shared" si="152"/>
        <v/>
      </c>
      <c r="CK27" s="43" t="str">
        <f t="shared" si="152"/>
        <v/>
      </c>
      <c r="CL27" s="43" t="str">
        <f t="shared" si="152"/>
        <v/>
      </c>
      <c r="CM27" s="43"/>
      <c r="CN27" s="43"/>
      <c r="CO27" s="42" t="str">
        <f t="shared" ref="CO27:CS27" si="153">CH27</f>
        <v/>
      </c>
      <c r="CP27" s="43" t="str">
        <f t="shared" si="153"/>
        <v/>
      </c>
      <c r="CQ27" s="43" t="str">
        <f t="shared" si="153"/>
        <v/>
      </c>
      <c r="CR27" s="43" t="str">
        <f t="shared" si="153"/>
        <v/>
      </c>
      <c r="CS27" s="43" t="str">
        <f t="shared" si="153"/>
        <v/>
      </c>
      <c r="CT27" s="43"/>
      <c r="CU27" s="43"/>
      <c r="CV27" s="42" t="str">
        <f t="shared" ref="CV27:CZ27" si="154">CO27</f>
        <v/>
      </c>
      <c r="CW27" s="43" t="str">
        <f t="shared" si="154"/>
        <v/>
      </c>
      <c r="CX27" s="43" t="str">
        <f t="shared" si="154"/>
        <v/>
      </c>
      <c r="CY27" s="43" t="str">
        <f t="shared" si="154"/>
        <v/>
      </c>
      <c r="CZ27" s="43" t="str">
        <f t="shared" si="154"/>
        <v/>
      </c>
      <c r="DA27" s="43"/>
      <c r="DB27" s="43"/>
      <c r="DC27" s="42" t="str">
        <f t="shared" ref="DC27:DG27" si="155">CV27</f>
        <v/>
      </c>
      <c r="DD27" s="43" t="str">
        <f t="shared" si="155"/>
        <v/>
      </c>
      <c r="DE27" s="43" t="str">
        <f t="shared" si="155"/>
        <v/>
      </c>
      <c r="DF27" s="43" t="str">
        <f t="shared" si="155"/>
        <v/>
      </c>
      <c r="DG27" s="43" t="str">
        <f t="shared" si="155"/>
        <v/>
      </c>
      <c r="DH27" s="43"/>
      <c r="DI27" s="43"/>
      <c r="DJ27" s="42" t="str">
        <f t="shared" ref="DJ27:DN27" si="156">DC27</f>
        <v/>
      </c>
      <c r="DK27" s="43" t="str">
        <f t="shared" si="156"/>
        <v/>
      </c>
      <c r="DL27" s="43" t="str">
        <f t="shared" si="156"/>
        <v/>
      </c>
      <c r="DM27" s="43" t="str">
        <f t="shared" si="156"/>
        <v/>
      </c>
      <c r="DN27" s="43" t="str">
        <f t="shared" si="156"/>
        <v/>
      </c>
      <c r="DO27" s="43"/>
      <c r="DP27" s="43"/>
      <c r="DQ27" s="42" t="str">
        <f t="shared" ref="DQ27:DU27" si="157">DJ27</f>
        <v/>
      </c>
      <c r="DR27" s="43" t="str">
        <f t="shared" si="157"/>
        <v/>
      </c>
      <c r="DS27" s="43" t="str">
        <f t="shared" si="157"/>
        <v/>
      </c>
      <c r="DT27" s="43" t="str">
        <f t="shared" si="157"/>
        <v/>
      </c>
      <c r="DU27" s="43" t="str">
        <f t="shared" si="157"/>
        <v/>
      </c>
      <c r="DV27" s="43"/>
      <c r="DW27" s="43"/>
      <c r="DX27" s="42" t="str">
        <f t="shared" ref="DX27:EB27" si="158">DQ27</f>
        <v/>
      </c>
      <c r="DY27" s="43" t="str">
        <f t="shared" si="158"/>
        <v/>
      </c>
      <c r="DZ27" s="43" t="str">
        <f t="shared" si="158"/>
        <v/>
      </c>
      <c r="EA27" s="43" t="str">
        <f t="shared" si="158"/>
        <v/>
      </c>
      <c r="EB27" s="43" t="str">
        <f t="shared" si="158"/>
        <v/>
      </c>
      <c r="EC27" s="43"/>
      <c r="ED27" s="43"/>
      <c r="EE27" s="42" t="str">
        <f t="shared" ref="EE27:EI27" si="159">DX27</f>
        <v/>
      </c>
      <c r="EF27" s="43" t="str">
        <f t="shared" si="159"/>
        <v/>
      </c>
      <c r="EG27" s="43" t="str">
        <f t="shared" si="159"/>
        <v/>
      </c>
      <c r="EH27" s="43" t="str">
        <f t="shared" si="159"/>
        <v/>
      </c>
      <c r="EI27" s="43" t="str">
        <f t="shared" si="159"/>
        <v/>
      </c>
      <c r="EJ27" s="43"/>
      <c r="EK27" s="43"/>
      <c r="EL27" s="42" t="str">
        <f t="shared" ref="EL27:EP27" si="160">EE27</f>
        <v/>
      </c>
      <c r="EM27" s="43" t="str">
        <f t="shared" si="160"/>
        <v/>
      </c>
      <c r="EN27" s="43" t="str">
        <f t="shared" si="160"/>
        <v/>
      </c>
      <c r="EO27" s="43" t="str">
        <f t="shared" si="160"/>
        <v/>
      </c>
      <c r="EP27" s="43" t="str">
        <f t="shared" si="160"/>
        <v/>
      </c>
      <c r="EQ27" s="43"/>
      <c r="ER27" s="43"/>
    </row>
    <row r="28">
      <c r="A28" s="2"/>
      <c r="B28" s="38"/>
      <c r="C28" s="2"/>
      <c r="D28" s="2"/>
      <c r="E28" s="2"/>
      <c r="F28" s="2"/>
      <c r="G28" s="2"/>
      <c r="H28" s="2"/>
      <c r="I28" s="38"/>
      <c r="J28" s="2"/>
      <c r="K28" s="2"/>
      <c r="L28" s="2"/>
      <c r="M28" s="2"/>
      <c r="N28" s="2"/>
      <c r="O28" s="2"/>
      <c r="P28" s="38"/>
      <c r="Q28" s="2"/>
      <c r="R28" s="2"/>
      <c r="S28" s="2"/>
      <c r="T28" s="2"/>
      <c r="U28" s="2"/>
      <c r="V28" s="2"/>
      <c r="W28" s="38"/>
      <c r="X28" s="2"/>
      <c r="Y28" s="2"/>
      <c r="Z28" s="2"/>
      <c r="AA28" s="2"/>
      <c r="AB28" s="2"/>
      <c r="AC28" s="2"/>
      <c r="AD28" s="38"/>
      <c r="AE28" s="2"/>
      <c r="AF28" s="2"/>
      <c r="AG28" s="2"/>
      <c r="AH28" s="2"/>
      <c r="AI28" s="2"/>
      <c r="AJ28" s="2"/>
      <c r="AK28" s="38"/>
      <c r="AL28" s="2"/>
      <c r="AM28" s="2"/>
      <c r="AN28" s="2"/>
      <c r="AO28" s="2"/>
      <c r="AP28" s="2"/>
      <c r="AQ28" s="2"/>
      <c r="AR28" s="38"/>
      <c r="AS28" s="2"/>
      <c r="AT28" s="2"/>
      <c r="AU28" s="2"/>
      <c r="AV28" s="2"/>
      <c r="AW28" s="2"/>
      <c r="AX28" s="2"/>
      <c r="AY28" s="38"/>
      <c r="AZ28" s="2"/>
      <c r="BA28" s="2"/>
      <c r="BB28" s="2"/>
      <c r="BC28" s="2"/>
      <c r="BD28" s="2"/>
      <c r="BE28" s="2"/>
      <c r="BF28" s="38"/>
      <c r="BG28" s="2"/>
      <c r="BH28" s="2"/>
      <c r="BI28" s="2"/>
      <c r="BJ28" s="2"/>
      <c r="BK28" s="2"/>
      <c r="BL28" s="2"/>
      <c r="BM28" s="38"/>
      <c r="BN28" s="2"/>
      <c r="BO28" s="2"/>
      <c r="BP28" s="2"/>
      <c r="BQ28" s="2"/>
      <c r="BR28" s="2"/>
      <c r="BS28" s="2"/>
      <c r="BT28" s="38"/>
      <c r="BU28" s="2"/>
      <c r="BV28" s="2"/>
      <c r="BW28" s="2"/>
      <c r="BX28" s="2"/>
      <c r="BY28" s="2"/>
      <c r="BZ28" s="2"/>
      <c r="CA28" s="38"/>
      <c r="CB28" s="2"/>
      <c r="CC28" s="2"/>
      <c r="CD28" s="2"/>
      <c r="CE28" s="2"/>
      <c r="CF28" s="2"/>
      <c r="CG28" s="2"/>
      <c r="CH28" s="38"/>
      <c r="CI28" s="2"/>
      <c r="CJ28" s="2"/>
      <c r="CK28" s="2"/>
      <c r="CL28" s="2"/>
      <c r="CM28" s="2"/>
      <c r="CN28" s="2"/>
      <c r="CO28" s="38"/>
      <c r="CP28" s="2"/>
      <c r="CQ28" s="2"/>
      <c r="CR28" s="2"/>
      <c r="CS28" s="2"/>
      <c r="CT28" s="2"/>
      <c r="CU28" s="2"/>
      <c r="CV28" s="38"/>
      <c r="CW28" s="2"/>
      <c r="CX28" s="2"/>
      <c r="CY28" s="2"/>
      <c r="CZ28" s="2"/>
      <c r="DA28" s="2"/>
      <c r="DB28" s="2"/>
      <c r="DC28" s="38"/>
      <c r="DD28" s="2"/>
      <c r="DE28" s="2"/>
      <c r="DF28" s="2"/>
      <c r="DG28" s="2"/>
      <c r="DH28" s="2"/>
      <c r="DI28" s="2"/>
      <c r="DJ28" s="38"/>
      <c r="DK28" s="2"/>
      <c r="DL28" s="2"/>
      <c r="DM28" s="2"/>
      <c r="DN28" s="2"/>
      <c r="DO28" s="2"/>
      <c r="DP28" s="2"/>
      <c r="DQ28" s="38"/>
      <c r="DR28" s="2"/>
      <c r="DS28" s="2"/>
      <c r="DT28" s="2"/>
      <c r="DU28" s="2"/>
      <c r="DV28" s="2"/>
      <c r="DW28" s="2"/>
      <c r="DX28" s="38"/>
      <c r="DY28" s="2"/>
      <c r="DZ28" s="2"/>
      <c r="EA28" s="2"/>
      <c r="EB28" s="2"/>
      <c r="EC28" s="2"/>
      <c r="ED28" s="2"/>
      <c r="EE28" s="38"/>
      <c r="EF28" s="2"/>
      <c r="EG28" s="2"/>
      <c r="EH28" s="2"/>
      <c r="EI28" s="2"/>
      <c r="EJ28" s="2"/>
      <c r="EK28" s="2"/>
      <c r="EL28" s="38"/>
      <c r="EM28" s="2"/>
      <c r="EN28" s="2"/>
      <c r="EO28" s="2"/>
      <c r="EP28" s="2"/>
      <c r="EQ28" s="2"/>
      <c r="ER28" s="2"/>
    </row>
    <row r="29">
      <c r="A29" s="28" t="s">
        <v>79</v>
      </c>
      <c r="B29" s="29"/>
      <c r="C29" s="30"/>
      <c r="D29" s="30"/>
      <c r="E29" s="30"/>
      <c r="F29" s="30"/>
      <c r="G29" s="30"/>
      <c r="H29" s="30"/>
      <c r="I29" s="29"/>
      <c r="J29" s="30"/>
      <c r="K29" s="30"/>
      <c r="L29" s="30"/>
      <c r="M29" s="30"/>
      <c r="N29" s="30"/>
      <c r="O29" s="30"/>
      <c r="P29" s="29"/>
      <c r="Q29" s="30"/>
      <c r="R29" s="30"/>
      <c r="S29" s="30"/>
      <c r="T29" s="30"/>
      <c r="U29" s="30"/>
      <c r="V29" s="30"/>
      <c r="W29" s="29"/>
      <c r="X29" s="30"/>
      <c r="Y29" s="30"/>
      <c r="Z29" s="30"/>
      <c r="AA29" s="30"/>
      <c r="AB29" s="30"/>
      <c r="AC29" s="30"/>
      <c r="AD29" s="29"/>
      <c r="AE29" s="30"/>
      <c r="AF29" s="30"/>
      <c r="AG29" s="30"/>
      <c r="AH29" s="30"/>
      <c r="AI29" s="30"/>
      <c r="AJ29" s="30"/>
      <c r="AK29" s="29"/>
      <c r="AL29" s="30"/>
      <c r="AM29" s="30"/>
      <c r="AN29" s="30"/>
      <c r="AO29" s="30"/>
      <c r="AP29" s="30"/>
      <c r="AQ29" s="30"/>
      <c r="AR29" s="29"/>
      <c r="AS29" s="30"/>
      <c r="AT29" s="30"/>
      <c r="AU29" s="30"/>
      <c r="AV29" s="30"/>
      <c r="AW29" s="30"/>
      <c r="AX29" s="30"/>
      <c r="AY29" s="29"/>
      <c r="AZ29" s="30"/>
      <c r="BA29" s="30"/>
      <c r="BB29" s="30"/>
      <c r="BC29" s="30"/>
      <c r="BD29" s="30"/>
      <c r="BE29" s="30"/>
      <c r="BF29" s="29"/>
      <c r="BG29" s="30"/>
      <c r="BH29" s="30"/>
      <c r="BI29" s="30"/>
      <c r="BJ29" s="30"/>
      <c r="BK29" s="30"/>
      <c r="BL29" s="30"/>
      <c r="BM29" s="29"/>
      <c r="BN29" s="30"/>
      <c r="BO29" s="30"/>
      <c r="BP29" s="30"/>
      <c r="BQ29" s="30"/>
      <c r="BR29" s="30"/>
      <c r="BS29" s="30"/>
      <c r="BT29" s="29"/>
      <c r="BU29" s="30"/>
      <c r="BV29" s="30"/>
      <c r="BW29" s="30"/>
      <c r="BX29" s="30"/>
      <c r="BY29" s="30"/>
      <c r="BZ29" s="30"/>
      <c r="CA29" s="29"/>
      <c r="CB29" s="30"/>
      <c r="CC29" s="30"/>
      <c r="CD29" s="30"/>
      <c r="CE29" s="30"/>
      <c r="CF29" s="30"/>
      <c r="CG29" s="30"/>
      <c r="CH29" s="29"/>
      <c r="CI29" s="30"/>
      <c r="CJ29" s="30"/>
      <c r="CK29" s="30"/>
      <c r="CL29" s="30"/>
      <c r="CM29" s="30"/>
      <c r="CN29" s="30"/>
      <c r="CO29" s="29"/>
      <c r="CP29" s="30"/>
      <c r="CQ29" s="30"/>
      <c r="CR29" s="30"/>
      <c r="CS29" s="30"/>
      <c r="CT29" s="30"/>
      <c r="CU29" s="30"/>
      <c r="CV29" s="29"/>
      <c r="CW29" s="30"/>
      <c r="CX29" s="30"/>
      <c r="CY29" s="30"/>
      <c r="CZ29" s="30"/>
      <c r="DA29" s="30"/>
      <c r="DB29" s="30"/>
      <c r="DC29" s="29"/>
      <c r="DD29" s="30"/>
      <c r="DE29" s="30"/>
      <c r="DF29" s="30"/>
      <c r="DG29" s="30"/>
      <c r="DH29" s="30"/>
      <c r="DI29" s="30"/>
      <c r="DJ29" s="29"/>
      <c r="DK29" s="30"/>
      <c r="DL29" s="30"/>
      <c r="DM29" s="30"/>
      <c r="DN29" s="30"/>
      <c r="DO29" s="30"/>
      <c r="DP29" s="30"/>
      <c r="DQ29" s="29"/>
      <c r="DR29" s="30"/>
      <c r="DS29" s="30"/>
      <c r="DT29" s="30"/>
      <c r="DU29" s="30"/>
      <c r="DV29" s="30"/>
      <c r="DW29" s="30"/>
      <c r="DX29" s="29"/>
      <c r="DY29" s="30"/>
      <c r="DZ29" s="30"/>
      <c r="EA29" s="30"/>
      <c r="EB29" s="30"/>
      <c r="EC29" s="30"/>
      <c r="ED29" s="30"/>
      <c r="EE29" s="31" t="s">
        <v>75</v>
      </c>
      <c r="EF29" s="32"/>
      <c r="EG29" s="32"/>
      <c r="EH29" s="32"/>
      <c r="EI29" s="32"/>
      <c r="EJ29" s="32"/>
      <c r="EK29" s="32"/>
      <c r="EL29" s="29"/>
      <c r="EM29" s="30"/>
      <c r="EN29" s="30"/>
      <c r="EO29" s="30"/>
      <c r="EP29" s="30"/>
      <c r="EQ29" s="30"/>
      <c r="ER29" s="30"/>
    </row>
    <row r="30" hidden="1">
      <c r="A30" s="33" t="str">
        <f>CONCATENATE(A31," TM")</f>
        <v>Push Press TM</v>
      </c>
      <c r="B30" s="34">
        <f>if(D30="",'Quick Setup'!D16,D30/'Quick Setup'!E16)</f>
        <v>245</v>
      </c>
      <c r="C30" s="35" t="s">
        <v>73</v>
      </c>
      <c r="D30" s="36"/>
      <c r="E30" s="37"/>
      <c r="F30" s="37"/>
      <c r="G30" s="37"/>
      <c r="H30" s="37"/>
      <c r="I30" s="34">
        <f>if(K30="", if(F31&lt;&gt;"", if(F31&gt;Setup!F15,B30*(1+Setup!G15),if(F31&lt;Setup!E15,B30*(1+Setup!H15),B30)),B30),K30/'Quick Setup'!$E16)</f>
        <v>245</v>
      </c>
      <c r="J30" s="35" t="s">
        <v>73</v>
      </c>
      <c r="K30" s="36"/>
      <c r="L30" s="37"/>
      <c r="M30" s="37"/>
      <c r="N30" s="37"/>
      <c r="O30" s="37"/>
      <c r="P30" s="34">
        <f>if(R30="", if(M31&lt;&gt;"", if(M31&gt;Setup!M15,I30*(1+Setup!N15),if(M31&lt;Setup!L15,I30*(1+Setup!O15),I30)),I30),R30/'Quick Setup'!$E16)</f>
        <v>245</v>
      </c>
      <c r="Q30" s="35" t="s">
        <v>73</v>
      </c>
      <c r="R30" s="36"/>
      <c r="S30" s="37"/>
      <c r="T30" s="37"/>
      <c r="U30" s="37"/>
      <c r="V30" s="37"/>
      <c r="W30" s="34">
        <f>if(Y30="", if(T31&lt;&gt;"", if(T31&gt;Setup!T15,P30*(1+Setup!U15),if(T31&lt;Setup!S15,P30*(1+Setup!V15),P30)),P30),Y30/'Quick Setup'!$E16)</f>
        <v>245</v>
      </c>
      <c r="X30" s="35" t="s">
        <v>73</v>
      </c>
      <c r="Y30" s="36"/>
      <c r="Z30" s="37"/>
      <c r="AA30" s="37"/>
      <c r="AB30" s="37"/>
      <c r="AC30" s="37"/>
      <c r="AD30" s="34">
        <f>if(AF30="", if(AA31&lt;&gt;"", if(AA31&gt;Setup!AA15,W30*(1+Setup!AB15),if(AA31&lt;Setup!Z15,W30*(1+Setup!AC15),W30)),W30),AF30/'Quick Setup'!$E16)</f>
        <v>245</v>
      </c>
      <c r="AE30" s="35" t="s">
        <v>73</v>
      </c>
      <c r="AF30" s="36"/>
      <c r="AG30" s="37"/>
      <c r="AH30" s="37"/>
      <c r="AI30" s="37"/>
      <c r="AJ30" s="37"/>
      <c r="AK30" s="34">
        <f>if(AM30="", if(AH31&lt;&gt;"", if(AH31&gt;Setup!AH15,AD30*(1+Setup!AI15),if(AH31&lt;Setup!AG15,AD30*(1+Setup!AJ15),AD30)),AD30),AM30/'Quick Setup'!$E16)</f>
        <v>245</v>
      </c>
      <c r="AL30" s="35" t="s">
        <v>73</v>
      </c>
      <c r="AM30" s="36"/>
      <c r="AN30" s="37"/>
      <c r="AO30" s="37"/>
      <c r="AP30" s="37"/>
      <c r="AQ30" s="37"/>
      <c r="AR30" s="34">
        <f>if(AT30="", if(AO31&lt;&gt;"", if(AO31&gt;Setup!AO15,AK30*(1+Setup!AP15),if(AO31&lt;Setup!AN15,AK30*(1+Setup!AQ15),AK30)),AK30),AT30/'Quick Setup'!$E16)</f>
        <v>245</v>
      </c>
      <c r="AS30" s="35" t="s">
        <v>73</v>
      </c>
      <c r="AT30" s="36"/>
      <c r="AU30" s="37"/>
      <c r="AV30" s="37"/>
      <c r="AW30" s="37"/>
      <c r="AX30" s="37"/>
      <c r="AY30" s="34">
        <f>if(BA30="",AR30,BA30/'Quick Setup'!$E16)</f>
        <v>245</v>
      </c>
      <c r="AZ30" s="35" t="s">
        <v>73</v>
      </c>
      <c r="BA30" s="36"/>
      <c r="BB30" s="37"/>
      <c r="BC30" s="37"/>
      <c r="BD30" s="37"/>
      <c r="BE30" s="37"/>
      <c r="BF30" s="34">
        <f>if(BH30="", if(BC31&lt;&gt;"", if(BC31&gt;Setup!BC15,AY30*(1+Setup!BD15),if(BC31&lt;Setup!BB15,AY30*(1+Setup!BE15),AY30)),AY30),BH30/'Quick Setup'!$E16)</f>
        <v>245</v>
      </c>
      <c r="BG30" s="35" t="s">
        <v>73</v>
      </c>
      <c r="BH30" s="36"/>
      <c r="BI30" s="37"/>
      <c r="BJ30" s="37"/>
      <c r="BK30" s="37"/>
      <c r="BL30" s="37"/>
      <c r="BM30" s="34">
        <f>if(BO30="", if(BJ31&lt;&gt;"", if(BJ31&gt;Setup!BJ15,BF30*(1+Setup!BK15),if(BJ31&lt;Setup!BI15,BF30*(1+Setup!BL15),BF30)),BF30),BO30/'Quick Setup'!$E16)</f>
        <v>245</v>
      </c>
      <c r="BN30" s="35" t="s">
        <v>73</v>
      </c>
      <c r="BO30" s="36"/>
      <c r="BP30" s="37"/>
      <c r="BQ30" s="37"/>
      <c r="BR30" s="37"/>
      <c r="BS30" s="37"/>
      <c r="BT30" s="34">
        <f>if(BV30="", if(BQ31&lt;&gt;"", if(BQ31&gt;Setup!BQ15,BM30*(1+Setup!BR15),if(BQ31&lt;Setup!BP15,BM30*(1+Setup!BS15),BM30)),BM30),BV30/'Quick Setup'!$E16)</f>
        <v>245</v>
      </c>
      <c r="BU30" s="35" t="s">
        <v>73</v>
      </c>
      <c r="BV30" s="36"/>
      <c r="BW30" s="37"/>
      <c r="BX30" s="37"/>
      <c r="BY30" s="37"/>
      <c r="BZ30" s="37"/>
      <c r="CA30" s="34">
        <f>if(CC30="", if(BX31&lt;&gt;"", if(BX31&gt;Setup!BX15,BT30*(1+Setup!BY15),if(BX31&lt;Setup!BW15,BT30*(1+Setup!BZ15),BT30)),BT30),CC30/'Quick Setup'!$E16)</f>
        <v>245</v>
      </c>
      <c r="CB30" s="35" t="s">
        <v>73</v>
      </c>
      <c r="CC30" s="36"/>
      <c r="CD30" s="37"/>
      <c r="CE30" s="37"/>
      <c r="CF30" s="37"/>
      <c r="CG30" s="37"/>
      <c r="CH30" s="34">
        <f>if(CJ30="", if(CE31&lt;&gt;"", if(CE31&gt;Setup!CE15,CA30*(1+Setup!CF15),if(CE31&lt;Setup!CD15,CA30*(1+Setup!CG15),CA30)),CA30),CJ30/'Quick Setup'!$E16)</f>
        <v>245</v>
      </c>
      <c r="CI30" s="35" t="s">
        <v>73</v>
      </c>
      <c r="CJ30" s="36"/>
      <c r="CK30" s="37"/>
      <c r="CL30" s="37"/>
      <c r="CM30" s="37"/>
      <c r="CN30" s="37"/>
      <c r="CO30" s="34">
        <f>if(CQ30="", if(CL31&lt;&gt;"", if(CL31&gt;Setup!CL15,CH30*(1+Setup!CM15),if(CL31&lt;Setup!CK15,CH30*(1+Setup!CN15),CH30)),CH30),CQ30/'Quick Setup'!$E16)</f>
        <v>245</v>
      </c>
      <c r="CP30" s="35" t="s">
        <v>73</v>
      </c>
      <c r="CQ30" s="36"/>
      <c r="CR30" s="37"/>
      <c r="CS30" s="37"/>
      <c r="CT30" s="37"/>
      <c r="CU30" s="37"/>
      <c r="CV30" s="34">
        <f>if(CX30="",CO30,CX30/'Quick Setup'!$E16)</f>
        <v>245</v>
      </c>
      <c r="CW30" s="35" t="s">
        <v>73</v>
      </c>
      <c r="CX30" s="36"/>
      <c r="CY30" s="37"/>
      <c r="CZ30" s="37"/>
      <c r="DA30" s="37"/>
      <c r="DB30" s="37"/>
      <c r="DC30" s="34">
        <f>if(DE30="", if(CZ31&lt;&gt;"", if(CZ31&gt;Setup!CZ15,CV30*(1+Setup!DA15),if(CZ31&lt;Setup!CY15,CV30*(1+Setup!DB15),CV30)),CV30),DE30/'Quick Setup'!$E16)</f>
        <v>245</v>
      </c>
      <c r="DD30" s="35" t="s">
        <v>73</v>
      </c>
      <c r="DE30" s="36"/>
      <c r="DF30" s="37"/>
      <c r="DG30" s="37"/>
      <c r="DH30" s="37"/>
      <c r="DI30" s="37"/>
      <c r="DJ30" s="34">
        <f>if(DL30="", if(DG31&lt;&gt;"", if(DG31&gt;Setup!DG15,DC30*(1+Setup!DH15),if(DG31&lt;Setup!DF15,DC30*(1+Setup!DI15),DC30)),DC30),DL30/'Quick Setup'!$E16)</f>
        <v>245</v>
      </c>
      <c r="DK30" s="35" t="s">
        <v>73</v>
      </c>
      <c r="DL30" s="36"/>
      <c r="DM30" s="37"/>
      <c r="DN30" s="37"/>
      <c r="DO30" s="37"/>
      <c r="DP30" s="37"/>
      <c r="DQ30" s="34">
        <f>if(DS30="", if(DN31&lt;&gt;"", if(DN31&gt;Setup!DN15,DJ30*(1+Setup!DO15),if(DN31&lt;Setup!DM15,DJ30*(1+Setup!DP15),DJ30)),DJ30),DS30/'Quick Setup'!$E16)</f>
        <v>245</v>
      </c>
      <c r="DR30" s="35" t="s">
        <v>73</v>
      </c>
      <c r="DS30" s="36"/>
      <c r="DT30" s="37"/>
      <c r="DU30" s="37"/>
      <c r="DV30" s="37"/>
      <c r="DW30" s="37"/>
      <c r="DX30" s="34">
        <f>if(DZ30="", if(DU31&lt;&gt;"", if(DU31&gt;Setup!DU15,DQ30*(1+Setup!DV15),if(DU31&lt;Setup!DT15,DQ30*(1+Setup!DW15),DQ30)),DQ30),DZ30/'Quick Setup'!$E16)</f>
        <v>245</v>
      </c>
      <c r="DY30" s="35" t="s">
        <v>73</v>
      </c>
      <c r="DZ30" s="36"/>
      <c r="EA30" s="37"/>
      <c r="EB30" s="37"/>
      <c r="EC30" s="37"/>
      <c r="ED30" s="37"/>
      <c r="EE30" s="34">
        <f>if(EG30="", if(EB31&lt;&gt;"", if(EB31&gt;Setup!EB15,DX30*(1+Setup!EC15),if(EB31&lt;Setup!EA15,DX30*(1+Setup!ED15),DX30)),DX30),EG30/'Quick Setup'!$E16)</f>
        <v>245</v>
      </c>
      <c r="EF30" s="35" t="s">
        <v>73</v>
      </c>
      <c r="EG30" s="36"/>
      <c r="EH30" s="37"/>
      <c r="EI30" s="37"/>
      <c r="EJ30" s="37"/>
      <c r="EK30" s="37"/>
      <c r="EL30" s="34">
        <f>if(EN30="", if(EI31&lt;&gt;"", if(EI31&gt;Setup!EI15,EE30*(1+Setup!EJ15),if(EI31&lt;Setup!EH15,EE30*(1+Setup!EK15),EE30)),EE30),EN30/'Quick Setup'!$E16)</f>
        <v>245</v>
      </c>
      <c r="EM30" s="35" t="s">
        <v>73</v>
      </c>
      <c r="EN30" s="36"/>
      <c r="EO30" s="37"/>
      <c r="EP30" s="37"/>
      <c r="EQ30" s="37"/>
      <c r="ER30" s="37"/>
    </row>
    <row r="31">
      <c r="A31" s="1" t="str">
        <f>Setup!A15</f>
        <v>Push Press</v>
      </c>
      <c r="B31" s="38">
        <f>mround(B30*Setup!B15,'Quick Setup'!$A$2)</f>
        <v>147.5</v>
      </c>
      <c r="C31" s="2">
        <f>Setup!C15</f>
        <v>7</v>
      </c>
      <c r="D31" s="2">
        <f>Setup!D15</f>
        <v>4</v>
      </c>
      <c r="E31" s="2" t="str">
        <f>CONCATENATE(Setup!E15,"-",Setup!F15)</f>
        <v>4-6</v>
      </c>
      <c r="F31" s="10"/>
      <c r="G31" s="10"/>
      <c r="H31" s="10"/>
      <c r="I31" s="38">
        <f>mround(I30*Setup!I15,'Quick Setup'!$A$2)</f>
        <v>160</v>
      </c>
      <c r="J31" s="2">
        <f>Setup!J15</f>
        <v>6</v>
      </c>
      <c r="K31" s="2">
        <f>Setup!K15</f>
        <v>4</v>
      </c>
      <c r="L31" s="2" t="str">
        <f>CONCATENATE(Setup!L15,"-",Setup!M15)</f>
        <v>4-6</v>
      </c>
      <c r="M31" s="10"/>
      <c r="N31" s="10"/>
      <c r="O31" s="10"/>
      <c r="P31" s="38">
        <f>mround(P30*Setup!P15,'Quick Setup'!$A$2)</f>
        <v>172.5</v>
      </c>
      <c r="Q31" s="2">
        <f>Setup!Q15</f>
        <v>5</v>
      </c>
      <c r="R31" s="2">
        <f>Setup!R15</f>
        <v>3</v>
      </c>
      <c r="S31" s="2" t="str">
        <f>CONCATENATE(Setup!S15,"-",Setup!T15)</f>
        <v>4-6</v>
      </c>
      <c r="T31" s="10"/>
      <c r="U31" s="10"/>
      <c r="V31" s="10"/>
      <c r="W31" s="38">
        <f>mround(W30*Setup!W15,'Quick Setup'!$A$2)</f>
        <v>152.5</v>
      </c>
      <c r="X31" s="2">
        <f>Setup!X15</f>
        <v>7</v>
      </c>
      <c r="Y31" s="2">
        <f>Setup!Y15</f>
        <v>4</v>
      </c>
      <c r="Z31" s="2" t="str">
        <f>CONCATENATE(Setup!Z15,"-",Setup!AA15)</f>
        <v>4-6</v>
      </c>
      <c r="AA31" s="10"/>
      <c r="AB31" s="10"/>
      <c r="AC31" s="10"/>
      <c r="AD31" s="38">
        <f>mround(AD30*Setup!AD15,'Quick Setup'!$A$2)</f>
        <v>165</v>
      </c>
      <c r="AE31" s="2">
        <f>Setup!AE15</f>
        <v>6</v>
      </c>
      <c r="AF31" s="2">
        <f>Setup!AF15</f>
        <v>4</v>
      </c>
      <c r="AG31" s="2" t="str">
        <f>CONCATENATE(Setup!AG15,"-",Setup!AH15)</f>
        <v>4-6</v>
      </c>
      <c r="AH31" s="10"/>
      <c r="AI31" s="10"/>
      <c r="AJ31" s="10"/>
      <c r="AK31" s="38">
        <f>mround(AK30*Setup!AK15,'Quick Setup'!$A$2)</f>
        <v>177.5</v>
      </c>
      <c r="AL31" s="2">
        <f>Setup!AL15</f>
        <v>5</v>
      </c>
      <c r="AM31" s="2">
        <f>Setup!AM15</f>
        <v>3</v>
      </c>
      <c r="AN31" s="2" t="str">
        <f>CONCATENATE(Setup!AN15,"-",Setup!AO15)</f>
        <v>4-6</v>
      </c>
      <c r="AO31" s="10"/>
      <c r="AP31" s="10"/>
      <c r="AQ31" s="10"/>
      <c r="AR31" s="38">
        <f>mround(AR30*Setup!AR15,'Quick Setup'!$A$2)</f>
        <v>122.5</v>
      </c>
      <c r="AS31" s="1">
        <v>5.0</v>
      </c>
      <c r="AT31" s="1" t="s">
        <v>76</v>
      </c>
      <c r="AU31" s="2" t="str">
        <f>CONCATENATE(Setup!AU15,"-",Setup!AV15)</f>
        <v>4-6</v>
      </c>
      <c r="AV31" s="10"/>
      <c r="AW31" s="10"/>
      <c r="AX31" s="10"/>
      <c r="AY31" s="38">
        <f>mround(AY30*Setup!AY15,'Quick Setup'!$A$2)</f>
        <v>160</v>
      </c>
      <c r="AZ31" s="2">
        <f>Setup!AZ15</f>
        <v>6</v>
      </c>
      <c r="BA31" s="2">
        <f>Setup!BA15</f>
        <v>4</v>
      </c>
      <c r="BB31" s="2" t="str">
        <f>CONCATENATE(Setup!BB15,"-",Setup!BC15)</f>
        <v>4-6</v>
      </c>
      <c r="BC31" s="10"/>
      <c r="BD31" s="10"/>
      <c r="BE31" s="10"/>
      <c r="BF31" s="38">
        <f>mround(BF30*Setup!BF15,'Quick Setup'!$A$2)</f>
        <v>172.5</v>
      </c>
      <c r="BG31" s="2">
        <f>Setup!BG15</f>
        <v>5</v>
      </c>
      <c r="BH31" s="2">
        <f>Setup!BH15</f>
        <v>3</v>
      </c>
      <c r="BI31" s="2" t="str">
        <f>CONCATENATE(Setup!BI15,"-",Setup!BJ15)</f>
        <v>4-6</v>
      </c>
      <c r="BJ31" s="10"/>
      <c r="BK31" s="10"/>
      <c r="BL31" s="10"/>
      <c r="BM31" s="38">
        <f>mround(BM30*Setup!BM15,'Quick Setup'!$A$2)</f>
        <v>185</v>
      </c>
      <c r="BN31" s="2">
        <f>Setup!BN15</f>
        <v>4</v>
      </c>
      <c r="BO31" s="2">
        <f>Setup!BO15</f>
        <v>3</v>
      </c>
      <c r="BP31" s="2" t="str">
        <f>CONCATENATE(Setup!BP15,"-",Setup!BQ15)</f>
        <v>4-6</v>
      </c>
      <c r="BQ31" s="10"/>
      <c r="BR31" s="10"/>
      <c r="BS31" s="10"/>
      <c r="BT31" s="38">
        <f>mround(BT30*Setup!BT15,'Quick Setup'!$A$2)</f>
        <v>165</v>
      </c>
      <c r="BU31" s="2">
        <f>Setup!BU15</f>
        <v>6</v>
      </c>
      <c r="BV31" s="2">
        <f>Setup!BV15</f>
        <v>4</v>
      </c>
      <c r="BW31" s="2" t="str">
        <f>CONCATENATE(Setup!BW15,"-",Setup!BX15)</f>
        <v>4-6</v>
      </c>
      <c r="BX31" s="10"/>
      <c r="BY31" s="10"/>
      <c r="BZ31" s="10"/>
      <c r="CA31" s="38">
        <f>mround(CA30*Setup!CA15,'Quick Setup'!$A$2)</f>
        <v>177.5</v>
      </c>
      <c r="CB31" s="2">
        <f>Setup!CB15</f>
        <v>5</v>
      </c>
      <c r="CC31" s="2">
        <f>Setup!CC15</f>
        <v>3</v>
      </c>
      <c r="CD31" s="2" t="str">
        <f>CONCATENATE(Setup!CD15,"-",Setup!CE15)</f>
        <v>4-6</v>
      </c>
      <c r="CE31" s="10"/>
      <c r="CF31" s="10"/>
      <c r="CG31" s="10"/>
      <c r="CH31" s="38">
        <f>mround(CH30*Setup!CH15,'Quick Setup'!$A$2)</f>
        <v>190</v>
      </c>
      <c r="CI31" s="2">
        <f>Setup!CI15</f>
        <v>4</v>
      </c>
      <c r="CJ31" s="2">
        <f>Setup!CJ15</f>
        <v>3</v>
      </c>
      <c r="CK31" s="2" t="str">
        <f>CONCATENATE(Setup!CK15,"-",Setup!CL15)</f>
        <v>4-6</v>
      </c>
      <c r="CL31" s="10"/>
      <c r="CM31" s="10"/>
      <c r="CN31" s="10"/>
      <c r="CO31" s="38">
        <f>mround(CO30*Setup!CO15,'Quick Setup'!$A$2)</f>
        <v>122.5</v>
      </c>
      <c r="CP31" s="1">
        <v>5.0</v>
      </c>
      <c r="CQ31" s="1" t="s">
        <v>76</v>
      </c>
      <c r="CR31" s="2" t="str">
        <f>CONCATENATE(Setup!CR15,"-",Setup!CS15)</f>
        <v>4-6</v>
      </c>
      <c r="CS31" s="10"/>
      <c r="CT31" s="10"/>
      <c r="CU31" s="10"/>
      <c r="CV31" s="38">
        <f>mround(CV30*Setup!CV15,'Quick Setup'!$A$2)</f>
        <v>172.5</v>
      </c>
      <c r="CW31" s="2">
        <f>Setup!CW15</f>
        <v>5</v>
      </c>
      <c r="CX31" s="2">
        <f>Setup!CX15</f>
        <v>3</v>
      </c>
      <c r="CY31" s="2" t="str">
        <f>CONCATENATE(Setup!CY15,"-",Setup!CZ15)</f>
        <v>4-6</v>
      </c>
      <c r="CZ31" s="10"/>
      <c r="DA31" s="10"/>
      <c r="DB31" s="10"/>
      <c r="DC31" s="38">
        <f>mround(DC30*Setup!DC15,'Quick Setup'!$A$2)</f>
        <v>185</v>
      </c>
      <c r="DD31" s="2">
        <f>Setup!DD15</f>
        <v>4</v>
      </c>
      <c r="DE31" s="2">
        <f>Setup!DE15</f>
        <v>3</v>
      </c>
      <c r="DF31" s="2" t="str">
        <f>CONCATENATE(Setup!DF15,"-",Setup!DG15)</f>
        <v>4-6</v>
      </c>
      <c r="DG31" s="10"/>
      <c r="DH31" s="10"/>
      <c r="DI31" s="10"/>
      <c r="DJ31" s="38">
        <f>mround(DJ30*Setup!DJ15,'Quick Setup'!$A$2)</f>
        <v>195</v>
      </c>
      <c r="DK31" s="2">
        <f>Setup!DK15</f>
        <v>3</v>
      </c>
      <c r="DL31" s="2">
        <f>Setup!DL15</f>
        <v>2</v>
      </c>
      <c r="DM31" s="2" t="str">
        <f>CONCATENATE(Setup!DM15,"-",Setup!DN15)</f>
        <v>4-6</v>
      </c>
      <c r="DN31" s="10"/>
      <c r="DO31" s="10"/>
      <c r="DP31" s="10"/>
      <c r="DQ31" s="38">
        <f>mround(DQ30*Setup!DQ15,'Quick Setup'!$A$2)</f>
        <v>185</v>
      </c>
      <c r="DR31" s="2">
        <f>Setup!DR15</f>
        <v>4</v>
      </c>
      <c r="DS31" s="2">
        <f>Setup!DS15</f>
        <v>3</v>
      </c>
      <c r="DT31" s="2" t="str">
        <f>CONCATENATE(Setup!DT15,"-",Setup!DU15)</f>
        <v>4-6</v>
      </c>
      <c r="DU31" s="10"/>
      <c r="DV31" s="10"/>
      <c r="DW31" s="10"/>
      <c r="DX31" s="38">
        <f>mround(DX30*Setup!DX15,'Quick Setup'!$A$2)</f>
        <v>195</v>
      </c>
      <c r="DY31" s="2">
        <f>Setup!DY15</f>
        <v>3</v>
      </c>
      <c r="DZ31" s="2">
        <f>Setup!DZ15</f>
        <v>2</v>
      </c>
      <c r="EA31" s="2" t="str">
        <f>CONCATENATE(Setup!EA15,"-",Setup!EB15)</f>
        <v>4-6</v>
      </c>
      <c r="EB31" s="10"/>
      <c r="EC31" s="10"/>
      <c r="ED31" s="10"/>
      <c r="EE31" s="38">
        <f>mround(EE30*Setup!EE15,'Quick Setup'!$A$2)</f>
        <v>207.5</v>
      </c>
      <c r="EF31" s="2">
        <f>Setup!EF15</f>
        <v>2</v>
      </c>
      <c r="EG31" s="2">
        <f>Setup!EG15</f>
        <v>2</v>
      </c>
      <c r="EH31" s="2" t="str">
        <f>CONCATENATE(Setup!EH15,"-",Setup!EI15)</f>
        <v>4-6</v>
      </c>
      <c r="EI31" s="10"/>
      <c r="EJ31" s="10"/>
      <c r="EK31" s="10"/>
      <c r="EL31" s="38">
        <f>mround(EL30*Setup!EL15,'Quick Setup'!$A$2)</f>
        <v>122.5</v>
      </c>
      <c r="EM31" s="1">
        <v>5.0</v>
      </c>
      <c r="EN31" s="1" t="s">
        <v>76</v>
      </c>
      <c r="EO31" s="2" t="str">
        <f>CONCATENATE(Setup!EO15,"-",Setup!EP15)</f>
        <v>4-6</v>
      </c>
      <c r="EP31" s="10"/>
      <c r="EQ31" s="10"/>
      <c r="ER31" s="10"/>
    </row>
    <row r="32" hidden="1">
      <c r="A32" s="33" t="str">
        <f>CONCATENATE(A33," TM")</f>
        <v>Paused Squat TM</v>
      </c>
      <c r="B32" s="34">
        <f>if(D32="",'Quick Setup'!D12,D32/'Quick Setup'!E12)</f>
        <v>460</v>
      </c>
      <c r="C32" s="35" t="s">
        <v>73</v>
      </c>
      <c r="D32" s="36"/>
      <c r="E32" s="37"/>
      <c r="F32" s="37"/>
      <c r="G32" s="37"/>
      <c r="H32" s="37"/>
      <c r="I32" s="34">
        <f>if(K32="", if(F33&lt;&gt;"", if(F33&gt;Setup!F11,B32*(1+Setup!G11),if(F33&lt;Setup!E11,B32*(1+Setup!H11),B32)),B32),K32/'Quick Setup'!$E12)</f>
        <v>460</v>
      </c>
      <c r="J32" s="35" t="s">
        <v>73</v>
      </c>
      <c r="K32" s="36"/>
      <c r="L32" s="37"/>
      <c r="M32" s="37"/>
      <c r="N32" s="37"/>
      <c r="O32" s="37"/>
      <c r="P32" s="34">
        <f>if(R32="", if(M33&lt;&gt;"", if(M33&gt;Setup!M11,I32*(1+Setup!N11),if(M33&lt;Setup!L11,I32*(1+Setup!O11),I32)),I32),R32/'Quick Setup'!$E12)</f>
        <v>460</v>
      </c>
      <c r="Q32" s="35" t="s">
        <v>73</v>
      </c>
      <c r="R32" s="36"/>
      <c r="S32" s="37"/>
      <c r="T32" s="37"/>
      <c r="U32" s="37"/>
      <c r="V32" s="37"/>
      <c r="W32" s="34">
        <f>if(Y32="", if(T33&lt;&gt;"", if(T33&gt;Setup!T11,P32*(1+Setup!U11),if(T33&lt;Setup!S11,P32*(1+Setup!V11),P32)),P32),Y32/'Quick Setup'!$E12)</f>
        <v>460</v>
      </c>
      <c r="X32" s="35" t="s">
        <v>73</v>
      </c>
      <c r="Y32" s="36"/>
      <c r="Z32" s="37"/>
      <c r="AA32" s="37"/>
      <c r="AB32" s="37"/>
      <c r="AC32" s="37"/>
      <c r="AD32" s="34">
        <f>if(AF32="", if(AA33&lt;&gt;"", if(AA33&gt;Setup!AA11,W32*(1+Setup!AB11),if(AA33&lt;Setup!Z11,W32*(1+Setup!AC11),W32)),W32),AF32/'Quick Setup'!$E12)</f>
        <v>460</v>
      </c>
      <c r="AE32" s="35" t="s">
        <v>73</v>
      </c>
      <c r="AF32" s="36"/>
      <c r="AG32" s="37"/>
      <c r="AH32" s="37"/>
      <c r="AI32" s="37"/>
      <c r="AJ32" s="37"/>
      <c r="AK32" s="34">
        <f>if(AM32="", if(AH33&lt;&gt;"", if(AH33&gt;Setup!AH11,AD32*(1+Setup!AI11),if(AH33&lt;Setup!AG11,AD32*(1+Setup!AJ11),AD32)),AD32),AM32/'Quick Setup'!$E12)</f>
        <v>460</v>
      </c>
      <c r="AL32" s="35" t="s">
        <v>73</v>
      </c>
      <c r="AM32" s="36"/>
      <c r="AN32" s="37"/>
      <c r="AO32" s="37"/>
      <c r="AP32" s="37"/>
      <c r="AQ32" s="37"/>
      <c r="AR32" s="34">
        <f>if(AT32="", if(AO33&lt;&gt;"", if(AO33&gt;Setup!AO11,AK32*(1+Setup!AP11),if(AO33&lt;Setup!AN11,AK32*(1+Setup!AQ11),AK32)),AK32),AT32/'Quick Setup'!$E12)</f>
        <v>460</v>
      </c>
      <c r="AS32" s="35" t="s">
        <v>73</v>
      </c>
      <c r="AT32" s="36"/>
      <c r="AU32" s="37"/>
      <c r="AV32" s="37"/>
      <c r="AW32" s="37"/>
      <c r="AX32" s="37"/>
      <c r="AY32" s="34">
        <f>if(BA32="",AR32,BA32/'Quick Setup'!$E12)</f>
        <v>460</v>
      </c>
      <c r="AZ32" s="35" t="s">
        <v>73</v>
      </c>
      <c r="BA32" s="36"/>
      <c r="BB32" s="37"/>
      <c r="BC32" s="37"/>
      <c r="BD32" s="37"/>
      <c r="BE32" s="37"/>
      <c r="BF32" s="34">
        <f>if(BH32="", if(BC33&lt;&gt;"", if(BC33&gt;Setup!BC11,AY32*(1+Setup!BD11),if(BC33&lt;Setup!BB11,AY32*(1+Setup!BE11),AY32)),AY32),BH32/'Quick Setup'!$E12)</f>
        <v>460</v>
      </c>
      <c r="BG32" s="35" t="s">
        <v>73</v>
      </c>
      <c r="BH32" s="36"/>
      <c r="BI32" s="37"/>
      <c r="BJ32" s="37"/>
      <c r="BK32" s="37"/>
      <c r="BL32" s="37"/>
      <c r="BM32" s="34">
        <f>if(BO32="", if(BJ33&lt;&gt;"", if(BJ33&gt;Setup!BJ11,BF32*(1+Setup!BK11),if(BJ33&lt;Setup!BI11,BF32*(1+Setup!BL11),BF32)),BF32),BO32/'Quick Setup'!$E12)</f>
        <v>460</v>
      </c>
      <c r="BN32" s="35" t="s">
        <v>73</v>
      </c>
      <c r="BO32" s="36"/>
      <c r="BP32" s="37"/>
      <c r="BQ32" s="37"/>
      <c r="BR32" s="37"/>
      <c r="BS32" s="37"/>
      <c r="BT32" s="34">
        <f>if(BV32="", if(BQ33&lt;&gt;"", if(BQ33&gt;Setup!BQ11,BM32*(1+Setup!BR11),if(BQ33&lt;Setup!BP11,BM32*(1+Setup!BS11),BM32)),BM32),BV32/'Quick Setup'!$E12)</f>
        <v>460</v>
      </c>
      <c r="BU32" s="35" t="s">
        <v>73</v>
      </c>
      <c r="BV32" s="36"/>
      <c r="BW32" s="37"/>
      <c r="BX32" s="37"/>
      <c r="BY32" s="37"/>
      <c r="BZ32" s="37"/>
      <c r="CA32" s="34">
        <f>if(CC32="", if(BX33&lt;&gt;"", if(BX33&gt;Setup!BX11,BT32*(1+Setup!BY11),if(BX33&lt;Setup!BW11,BT32*(1+Setup!BZ11),BT32)),BT32),CC32/'Quick Setup'!$E12)</f>
        <v>460</v>
      </c>
      <c r="CB32" s="35" t="s">
        <v>73</v>
      </c>
      <c r="CC32" s="36"/>
      <c r="CD32" s="37"/>
      <c r="CE32" s="37"/>
      <c r="CF32" s="37"/>
      <c r="CG32" s="37"/>
      <c r="CH32" s="34">
        <f>if(CJ32="", if(CE33&lt;&gt;"", if(CE33&gt;Setup!CE11,CA32*(1+Setup!CF11),if(CE33&lt;Setup!CD11,CA32*(1+Setup!CG11),CA32)),CA32),CJ32/'Quick Setup'!$E12)</f>
        <v>460</v>
      </c>
      <c r="CI32" s="35" t="s">
        <v>73</v>
      </c>
      <c r="CJ32" s="36"/>
      <c r="CK32" s="37"/>
      <c r="CL32" s="37"/>
      <c r="CM32" s="37"/>
      <c r="CN32" s="37"/>
      <c r="CO32" s="34">
        <f>if(CQ32="", if(CL33&lt;&gt;"", if(CL33&gt;Setup!CL11,CH32*(1+Setup!CM11),if(CL33&lt;Setup!CK11,CH32*(1+Setup!CN11),CH32)),CH32),CQ32/'Quick Setup'!$E12)</f>
        <v>460</v>
      </c>
      <c r="CP32" s="35" t="s">
        <v>73</v>
      </c>
      <c r="CQ32" s="36"/>
      <c r="CR32" s="37"/>
      <c r="CS32" s="37"/>
      <c r="CT32" s="37"/>
      <c r="CU32" s="37"/>
      <c r="CV32" s="34">
        <f>if(CX32="",CO32,CX32/'Quick Setup'!$E12)</f>
        <v>460</v>
      </c>
      <c r="CW32" s="35" t="s">
        <v>73</v>
      </c>
      <c r="CX32" s="36"/>
      <c r="CY32" s="37"/>
      <c r="CZ32" s="37"/>
      <c r="DA32" s="37"/>
      <c r="DB32" s="37"/>
      <c r="DC32" s="34">
        <f>if(DE32="", if(CZ33&lt;&gt;"", if(CZ33&gt;Setup!CZ11,CV32*(1+Setup!DA11),if(CZ33&lt;Setup!CY11,CV32*(1+Setup!DB11),CV32)),CV32),DE32/'Quick Setup'!$E12)</f>
        <v>460</v>
      </c>
      <c r="DD32" s="35" t="s">
        <v>73</v>
      </c>
      <c r="DE32" s="36"/>
      <c r="DF32" s="37"/>
      <c r="DG32" s="37"/>
      <c r="DH32" s="37"/>
      <c r="DI32" s="37"/>
      <c r="DJ32" s="34">
        <f>if(DL32="", if(DG33&lt;&gt;"", if(DG33&gt;Setup!DG11,DC32*(1+Setup!DH11),if(DG33&lt;Setup!DF11,DC32*(1+Setup!DI11),DC32)),DC32),DL32/'Quick Setup'!$E12)</f>
        <v>460</v>
      </c>
      <c r="DK32" s="35" t="s">
        <v>73</v>
      </c>
      <c r="DL32" s="36"/>
      <c r="DM32" s="37"/>
      <c r="DN32" s="37"/>
      <c r="DO32" s="37"/>
      <c r="DP32" s="37"/>
      <c r="DQ32" s="34">
        <f>if(DS32="", if(DN33&lt;&gt;"", if(DN33&gt;Setup!DN11,DJ32*(1+Setup!DO11),if(DN33&lt;Setup!DM11,DJ32*(1+Setup!DP11),DJ32)),DJ32),DS32/'Quick Setup'!$E12)</f>
        <v>460</v>
      </c>
      <c r="DR32" s="35" t="s">
        <v>73</v>
      </c>
      <c r="DS32" s="36"/>
      <c r="DT32" s="37"/>
      <c r="DU32" s="37"/>
      <c r="DV32" s="37"/>
      <c r="DW32" s="37"/>
      <c r="DX32" s="34">
        <f>if(DZ32="", if(DU33&lt;&gt;"", if(DU33&gt;Setup!DU11,DQ32*(1+Setup!DV11),if(DU33&lt;Setup!DT11,DQ32*(1+Setup!DW11),DQ32)),DQ32),DZ32/'Quick Setup'!$E12)</f>
        <v>460</v>
      </c>
      <c r="DY32" s="35" t="s">
        <v>73</v>
      </c>
      <c r="DZ32" s="36"/>
      <c r="EA32" s="37"/>
      <c r="EB32" s="37"/>
      <c r="EC32" s="37"/>
      <c r="ED32" s="37"/>
      <c r="EE32" s="34">
        <f>if(EG32="", if(EB33&lt;&gt;"", if(EB33&gt;Setup!EB11,DX32*(1+Setup!EC11),if(EB33&lt;Setup!EA11,DX32*(1+Setup!ED11),DX32)),DX32),EG32/'Quick Setup'!$E12)</f>
        <v>460</v>
      </c>
      <c r="EF32" s="35" t="s">
        <v>73</v>
      </c>
      <c r="EG32" s="36"/>
      <c r="EH32" s="37"/>
      <c r="EI32" s="37"/>
      <c r="EJ32" s="37"/>
      <c r="EK32" s="37"/>
      <c r="EL32" s="34">
        <f>if(EN32="", if(EI33&lt;&gt;"", if(EI33&gt;Setup!EI11,EE32*(1+Setup!EJ11),if(EI33&lt;Setup!EH11,EE32*(1+Setup!EK11),EE32)),EE32),EN32/'Quick Setup'!$E12)</f>
        <v>460</v>
      </c>
      <c r="EM32" s="35" t="s">
        <v>73</v>
      </c>
      <c r="EN32" s="36"/>
      <c r="EO32" s="37"/>
      <c r="EP32" s="37"/>
      <c r="EQ32" s="37"/>
      <c r="ER32" s="37"/>
    </row>
    <row r="33">
      <c r="A33" s="1" t="str">
        <f>Setup!A11</f>
        <v>Paused Squat</v>
      </c>
      <c r="B33" s="38">
        <f>mround(B32*Setup!B11,'Quick Setup'!$A$2)</f>
        <v>275</v>
      </c>
      <c r="C33" s="2">
        <f>Setup!C11</f>
        <v>7</v>
      </c>
      <c r="D33" s="2">
        <f>Setup!D11</f>
        <v>4</v>
      </c>
      <c r="E33" s="2" t="str">
        <f>CONCATENATE(Setup!E11,"-",Setup!F11)</f>
        <v>4-6</v>
      </c>
      <c r="F33" s="10"/>
      <c r="G33" s="10"/>
      <c r="H33" s="10"/>
      <c r="I33" s="38">
        <f>mround(I32*Setup!I11,'Quick Setup'!$A$2)</f>
        <v>300</v>
      </c>
      <c r="J33" s="2">
        <f>Setup!J11</f>
        <v>6</v>
      </c>
      <c r="K33" s="2">
        <f>Setup!K11</f>
        <v>4</v>
      </c>
      <c r="L33" s="2" t="str">
        <f>CONCATENATE(Setup!L11,"-",Setup!M11)</f>
        <v>4-6</v>
      </c>
      <c r="M33" s="10"/>
      <c r="N33" s="10"/>
      <c r="O33" s="10"/>
      <c r="P33" s="38">
        <f>mround(P32*Setup!P11,'Quick Setup'!$A$2)</f>
        <v>322.5</v>
      </c>
      <c r="Q33" s="2">
        <f>Setup!Q11</f>
        <v>5</v>
      </c>
      <c r="R33" s="2">
        <f>Setup!R11</f>
        <v>3</v>
      </c>
      <c r="S33" s="2" t="str">
        <f>CONCATENATE(Setup!S11,"-",Setup!T11)</f>
        <v>4-6</v>
      </c>
      <c r="T33" s="10"/>
      <c r="U33" s="10"/>
      <c r="V33" s="10"/>
      <c r="W33" s="38">
        <f>mround(W32*Setup!W11,'Quick Setup'!$A$2)</f>
        <v>287.5</v>
      </c>
      <c r="X33" s="2">
        <f>Setup!X11</f>
        <v>7</v>
      </c>
      <c r="Y33" s="2">
        <f>Setup!Y11</f>
        <v>4</v>
      </c>
      <c r="Z33" s="2" t="str">
        <f>CONCATENATE(Setup!Z11,"-",Setup!AA11)</f>
        <v>4-6</v>
      </c>
      <c r="AA33" s="10"/>
      <c r="AB33" s="10"/>
      <c r="AC33" s="10"/>
      <c r="AD33" s="38">
        <f>mround(AD32*Setup!AD11,'Quick Setup'!$A$2)</f>
        <v>310</v>
      </c>
      <c r="AE33" s="2">
        <f>Setup!AE11</f>
        <v>6</v>
      </c>
      <c r="AF33" s="2">
        <f>Setup!AF11</f>
        <v>4</v>
      </c>
      <c r="AG33" s="2" t="str">
        <f>CONCATENATE(Setup!AG11,"-",Setup!AH11)</f>
        <v>4-6</v>
      </c>
      <c r="AH33" s="10"/>
      <c r="AI33" s="10"/>
      <c r="AJ33" s="10"/>
      <c r="AK33" s="38">
        <f>mround(AK32*Setup!AK11,'Quick Setup'!$A$2)</f>
        <v>332.5</v>
      </c>
      <c r="AL33" s="2">
        <f>Setup!AL11</f>
        <v>5</v>
      </c>
      <c r="AM33" s="2">
        <f>Setup!AM11</f>
        <v>3</v>
      </c>
      <c r="AN33" s="2" t="str">
        <f>CONCATENATE(Setup!AN11,"-",Setup!AO11)</f>
        <v>4-6</v>
      </c>
      <c r="AO33" s="10"/>
      <c r="AP33" s="10"/>
      <c r="AQ33" s="10"/>
      <c r="AR33" s="38">
        <f>mround(AR32*Setup!AR11,'Quick Setup'!$A$2)</f>
        <v>230</v>
      </c>
      <c r="AS33" s="1">
        <v>5.0</v>
      </c>
      <c r="AT33" s="1" t="s">
        <v>76</v>
      </c>
      <c r="AU33" s="2" t="str">
        <f>CONCATENATE(Setup!AU11,"-",Setup!AV11)</f>
        <v>4-6</v>
      </c>
      <c r="AV33" s="10"/>
      <c r="AW33" s="10"/>
      <c r="AX33" s="10"/>
      <c r="AY33" s="38">
        <f>mround(AY32*Setup!AY11,'Quick Setup'!$A$2)</f>
        <v>300</v>
      </c>
      <c r="AZ33" s="2">
        <f>Setup!AZ11</f>
        <v>6</v>
      </c>
      <c r="BA33" s="2">
        <f>Setup!BA11</f>
        <v>4</v>
      </c>
      <c r="BB33" s="2" t="str">
        <f>CONCATENATE(Setup!BB11,"-",Setup!BC11)</f>
        <v>4-6</v>
      </c>
      <c r="BC33" s="10"/>
      <c r="BD33" s="10"/>
      <c r="BE33" s="10"/>
      <c r="BF33" s="38">
        <f>mround(BF32*Setup!BF11,'Quick Setup'!$A$2)</f>
        <v>322.5</v>
      </c>
      <c r="BG33" s="2">
        <f>Setup!BG11</f>
        <v>5</v>
      </c>
      <c r="BH33" s="2">
        <f>Setup!BH11</f>
        <v>3</v>
      </c>
      <c r="BI33" s="2" t="str">
        <f>CONCATENATE(Setup!BI11,"-",Setup!BJ11)</f>
        <v>4-6</v>
      </c>
      <c r="BJ33" s="10"/>
      <c r="BK33" s="10"/>
      <c r="BL33" s="10"/>
      <c r="BM33" s="38">
        <f>mround(BM32*Setup!BM11,'Quick Setup'!$A$2)</f>
        <v>345</v>
      </c>
      <c r="BN33" s="2">
        <f>Setup!BN11</f>
        <v>4</v>
      </c>
      <c r="BO33" s="2">
        <f>Setup!BO11</f>
        <v>3</v>
      </c>
      <c r="BP33" s="2" t="str">
        <f>CONCATENATE(Setup!BP11,"-",Setup!BQ11)</f>
        <v>4-6</v>
      </c>
      <c r="BQ33" s="10"/>
      <c r="BR33" s="10"/>
      <c r="BS33" s="10"/>
      <c r="BT33" s="38">
        <f>mround(BT32*Setup!BT11,'Quick Setup'!$A$2)</f>
        <v>310</v>
      </c>
      <c r="BU33" s="2">
        <f>Setup!BU11</f>
        <v>6</v>
      </c>
      <c r="BV33" s="2">
        <f>Setup!BV11</f>
        <v>4</v>
      </c>
      <c r="BW33" s="2" t="str">
        <f>CONCATENATE(Setup!BW11,"-",Setup!BX11)</f>
        <v>4-6</v>
      </c>
      <c r="BX33" s="10"/>
      <c r="BY33" s="10"/>
      <c r="BZ33" s="10"/>
      <c r="CA33" s="38">
        <f>mround(CA32*Setup!CA11,'Quick Setup'!$A$2)</f>
        <v>332.5</v>
      </c>
      <c r="CB33" s="2">
        <f>Setup!CB11</f>
        <v>5</v>
      </c>
      <c r="CC33" s="2">
        <f>Setup!CC11</f>
        <v>3</v>
      </c>
      <c r="CD33" s="2" t="str">
        <f>CONCATENATE(Setup!CD11,"-",Setup!CE11)</f>
        <v>4-6</v>
      </c>
      <c r="CE33" s="10"/>
      <c r="CF33" s="10"/>
      <c r="CG33" s="10"/>
      <c r="CH33" s="38">
        <f>mround(CH32*Setup!CH11,'Quick Setup'!$A$2)</f>
        <v>357.5</v>
      </c>
      <c r="CI33" s="2">
        <f>Setup!CI11</f>
        <v>4</v>
      </c>
      <c r="CJ33" s="2">
        <f>Setup!CJ11</f>
        <v>3</v>
      </c>
      <c r="CK33" s="2" t="str">
        <f>CONCATENATE(Setup!CK11,"-",Setup!CL11)</f>
        <v>4-6</v>
      </c>
      <c r="CL33" s="10"/>
      <c r="CM33" s="10"/>
      <c r="CN33" s="10"/>
      <c r="CO33" s="38">
        <f>mround(CO32*Setup!CO11,'Quick Setup'!$A$2)</f>
        <v>230</v>
      </c>
      <c r="CP33" s="1">
        <v>5.0</v>
      </c>
      <c r="CQ33" s="1" t="s">
        <v>76</v>
      </c>
      <c r="CR33" s="2" t="str">
        <f>CONCATENATE(Setup!CR11,"-",Setup!CS11)</f>
        <v>4-6</v>
      </c>
      <c r="CS33" s="10"/>
      <c r="CT33" s="10"/>
      <c r="CU33" s="10"/>
      <c r="CV33" s="38">
        <f>mround(CV32*Setup!CV11,'Quick Setup'!$A$2)</f>
        <v>322.5</v>
      </c>
      <c r="CW33" s="2">
        <f>Setup!CW11</f>
        <v>5</v>
      </c>
      <c r="CX33" s="2">
        <f>Setup!CX11</f>
        <v>3</v>
      </c>
      <c r="CY33" s="2" t="str">
        <f>CONCATENATE(Setup!CY11,"-",Setup!CZ11)</f>
        <v>4-6</v>
      </c>
      <c r="CZ33" s="10"/>
      <c r="DA33" s="10"/>
      <c r="DB33" s="10"/>
      <c r="DC33" s="38">
        <f>mround(DC32*Setup!DC11,'Quick Setup'!$A$2)</f>
        <v>345</v>
      </c>
      <c r="DD33" s="2">
        <f>Setup!DD11</f>
        <v>4</v>
      </c>
      <c r="DE33" s="2">
        <f>Setup!DE11</f>
        <v>3</v>
      </c>
      <c r="DF33" s="2" t="str">
        <f>CONCATENATE(Setup!DF11,"-",Setup!DG11)</f>
        <v>4-6</v>
      </c>
      <c r="DG33" s="10"/>
      <c r="DH33" s="10"/>
      <c r="DI33" s="10"/>
      <c r="DJ33" s="38">
        <f>mround(DJ32*Setup!DJ11,'Quick Setup'!$A$2)</f>
        <v>367.5</v>
      </c>
      <c r="DK33" s="2">
        <f>Setup!DK11</f>
        <v>3</v>
      </c>
      <c r="DL33" s="2">
        <f>Setup!DL11</f>
        <v>2</v>
      </c>
      <c r="DM33" s="2" t="str">
        <f>CONCATENATE(Setup!DM11,"-",Setup!DN11)</f>
        <v>4-6</v>
      </c>
      <c r="DN33" s="10"/>
      <c r="DO33" s="10"/>
      <c r="DP33" s="10"/>
      <c r="DQ33" s="38">
        <f>mround(DQ32*Setup!DQ11,'Quick Setup'!$A$2)</f>
        <v>345</v>
      </c>
      <c r="DR33" s="2">
        <f>Setup!DR11</f>
        <v>4</v>
      </c>
      <c r="DS33" s="2">
        <f>Setup!DS11</f>
        <v>3</v>
      </c>
      <c r="DT33" s="2" t="str">
        <f>CONCATENATE(Setup!DT11,"-",Setup!DU11)</f>
        <v>4-6</v>
      </c>
      <c r="DU33" s="10"/>
      <c r="DV33" s="10"/>
      <c r="DW33" s="10"/>
      <c r="DX33" s="38">
        <f>mround(DX32*Setup!DX11,'Quick Setup'!$A$2)</f>
        <v>367.5</v>
      </c>
      <c r="DY33" s="2">
        <f>Setup!DY11</f>
        <v>3</v>
      </c>
      <c r="DZ33" s="2">
        <f>Setup!DZ11</f>
        <v>2</v>
      </c>
      <c r="EA33" s="2" t="str">
        <f>CONCATENATE(Setup!EA11,"-",Setup!EB11)</f>
        <v>4-6</v>
      </c>
      <c r="EB33" s="10"/>
      <c r="EC33" s="10"/>
      <c r="ED33" s="10"/>
      <c r="EE33" s="38">
        <f>mround(EE32*Setup!EE11,'Quick Setup'!$A$2)</f>
        <v>390</v>
      </c>
      <c r="EF33" s="2">
        <f>Setup!EF11</f>
        <v>2</v>
      </c>
      <c r="EG33" s="2">
        <f>Setup!EG11</f>
        <v>2</v>
      </c>
      <c r="EH33" s="2" t="str">
        <f>CONCATENATE(Setup!EH11,"-",Setup!EI11)</f>
        <v>4-6</v>
      </c>
      <c r="EI33" s="10"/>
      <c r="EJ33" s="10"/>
      <c r="EK33" s="10"/>
      <c r="EL33" s="38">
        <f>mround(EL32*Setup!EL11,'Quick Setup'!$A$2)</f>
        <v>230</v>
      </c>
      <c r="EM33" s="1">
        <v>5.0</v>
      </c>
      <c r="EN33" s="1" t="s">
        <v>76</v>
      </c>
      <c r="EO33" s="2" t="str">
        <f>CONCATENATE(Setup!EO11,"-",Setup!EP11)</f>
        <v>4-6</v>
      </c>
      <c r="EP33" s="10"/>
      <c r="EQ33" s="10"/>
      <c r="ER33" s="10"/>
    </row>
    <row r="34" hidden="1">
      <c r="A34" s="33" t="str">
        <f>CONCATENATE(A35," TM")</f>
        <v>Incline Press TM</v>
      </c>
      <c r="B34" s="34">
        <f>if(D34="",'Quick Setup'!D14,D34/'Quick Setup'!E14)</f>
        <v>280</v>
      </c>
      <c r="C34" s="35" t="s">
        <v>73</v>
      </c>
      <c r="D34" s="36"/>
      <c r="E34" s="37"/>
      <c r="F34" s="37"/>
      <c r="G34" s="37"/>
      <c r="H34" s="37"/>
      <c r="I34" s="34">
        <f>if(K34="", if(F35&lt;&gt;"", if(F35&gt;Setup!F13,B34*(1+Setup!G13),if(F35&lt;Setup!E13,B34*(1+Setup!H13),B34)),B34),K34/'Quick Setup'!$E14)</f>
        <v>280</v>
      </c>
      <c r="J34" s="35" t="s">
        <v>73</v>
      </c>
      <c r="K34" s="36"/>
      <c r="L34" s="37"/>
      <c r="M34" s="37"/>
      <c r="N34" s="37"/>
      <c r="O34" s="37"/>
      <c r="P34" s="34">
        <f>if(R34="", if(M35&lt;&gt;"", if(M35&gt;Setup!M13,I34*(1+Setup!N13),if(M35&lt;Setup!L13,I34*(1+Setup!O13),I34)),I34),R34/'Quick Setup'!$E14)</f>
        <v>280</v>
      </c>
      <c r="Q34" s="35" t="s">
        <v>73</v>
      </c>
      <c r="R34" s="36"/>
      <c r="S34" s="37"/>
      <c r="T34" s="37"/>
      <c r="U34" s="37"/>
      <c r="V34" s="37"/>
      <c r="W34" s="34">
        <f>if(Y34="", if(T35&lt;&gt;"", if(T35&gt;Setup!T13,P34*(1+Setup!U13),if(T35&lt;Setup!S13,P34*(1+Setup!V13),P34)),P34),Y34/'Quick Setup'!$E14)</f>
        <v>280</v>
      </c>
      <c r="X34" s="35" t="s">
        <v>73</v>
      </c>
      <c r="Y34" s="36"/>
      <c r="Z34" s="37"/>
      <c r="AA34" s="37"/>
      <c r="AB34" s="37"/>
      <c r="AC34" s="37"/>
      <c r="AD34" s="34">
        <f>if(AF34="", if(AA35&lt;&gt;"", if(AA35&gt;Setup!AA13,W34*(1+Setup!AB13),if(AA35&lt;Setup!Z13,W34*(1+Setup!AC13),W34)),W34),AF34/'Quick Setup'!$E14)</f>
        <v>280</v>
      </c>
      <c r="AE34" s="35" t="s">
        <v>73</v>
      </c>
      <c r="AF34" s="36"/>
      <c r="AG34" s="37"/>
      <c r="AH34" s="37"/>
      <c r="AI34" s="37"/>
      <c r="AJ34" s="37"/>
      <c r="AK34" s="34">
        <f>if(AM34="", if(AH35&lt;&gt;"", if(AH35&gt;Setup!AH13,AD34*(1+Setup!AI13),if(AH35&lt;Setup!AG13,AD34*(1+Setup!AJ13),AD34)),AD34),AM34/'Quick Setup'!$E14)</f>
        <v>280</v>
      </c>
      <c r="AL34" s="35" t="s">
        <v>73</v>
      </c>
      <c r="AM34" s="36"/>
      <c r="AN34" s="37"/>
      <c r="AO34" s="37"/>
      <c r="AP34" s="37"/>
      <c r="AQ34" s="37"/>
      <c r="AR34" s="34">
        <f>if(AT34="", if(AO35&lt;&gt;"", if(AO35&gt;Setup!AO13,AK34*(1+Setup!AP13),if(AO35&lt;Setup!AN13,AK34*(1+Setup!AQ13),AK34)),AK34),AT34/'Quick Setup'!$E14)</f>
        <v>280</v>
      </c>
      <c r="AS34" s="35" t="s">
        <v>73</v>
      </c>
      <c r="AT34" s="36"/>
      <c r="AU34" s="37"/>
      <c r="AV34" s="37"/>
      <c r="AW34" s="37"/>
      <c r="AX34" s="37"/>
      <c r="AY34" s="34">
        <f>if(BA34="",AR34,BA34/'Quick Setup'!$E14)</f>
        <v>280</v>
      </c>
      <c r="AZ34" s="35" t="s">
        <v>73</v>
      </c>
      <c r="BA34" s="36"/>
      <c r="BB34" s="37"/>
      <c r="BC34" s="37"/>
      <c r="BD34" s="37"/>
      <c r="BE34" s="37"/>
      <c r="BF34" s="34">
        <f>if(BH34="", if(BC35&lt;&gt;"", if(BC35&gt;Setup!BC13,AY34*(1+Setup!BD13),if(BC35&lt;Setup!BB13,AY34*(1+Setup!BE13),AY34)),AY34),BH34/'Quick Setup'!$E14)</f>
        <v>280</v>
      </c>
      <c r="BG34" s="35" t="s">
        <v>73</v>
      </c>
      <c r="BH34" s="36"/>
      <c r="BI34" s="37"/>
      <c r="BJ34" s="37"/>
      <c r="BK34" s="37"/>
      <c r="BL34" s="37"/>
      <c r="BM34" s="34">
        <f>if(BO34="", if(BJ35&lt;&gt;"", if(BJ35&gt;Setup!BJ13,BF34*(1+Setup!BK13),if(BJ35&lt;Setup!BI13,BF34*(1+Setup!BL13),BF34)),BF34),BO34/'Quick Setup'!$E14)</f>
        <v>280</v>
      </c>
      <c r="BN34" s="35" t="s">
        <v>73</v>
      </c>
      <c r="BO34" s="36"/>
      <c r="BP34" s="37"/>
      <c r="BQ34" s="37"/>
      <c r="BR34" s="37"/>
      <c r="BS34" s="37"/>
      <c r="BT34" s="34">
        <f>if(BV34="", if(BQ35&lt;&gt;"", if(BQ35&gt;Setup!BQ13,BM34*(1+Setup!BR13),if(BQ35&lt;Setup!BP13,BM34*(1+Setup!BS13),BM34)),BM34),BV34/'Quick Setup'!$E14)</f>
        <v>280</v>
      </c>
      <c r="BU34" s="35" t="s">
        <v>73</v>
      </c>
      <c r="BV34" s="36"/>
      <c r="BW34" s="37"/>
      <c r="BX34" s="37"/>
      <c r="BY34" s="37"/>
      <c r="BZ34" s="37"/>
      <c r="CA34" s="34">
        <f>if(CC34="", if(BX35&lt;&gt;"", if(BX35&gt;Setup!BX13,BT34*(1+Setup!BY13),if(BX35&lt;Setup!BW13,BT34*(1+Setup!BZ13),BT34)),BT34),CC34/'Quick Setup'!$E14)</f>
        <v>280</v>
      </c>
      <c r="CB34" s="35" t="s">
        <v>73</v>
      </c>
      <c r="CC34" s="36"/>
      <c r="CD34" s="37"/>
      <c r="CE34" s="37"/>
      <c r="CF34" s="37"/>
      <c r="CG34" s="37"/>
      <c r="CH34" s="34">
        <f>if(CJ34="", if(CE35&lt;&gt;"", if(CE35&gt;Setup!CE13,CA34*(1+Setup!CF13),if(CE35&lt;Setup!CD13,CA34*(1+Setup!CG13),CA34)),CA34),CJ34/'Quick Setup'!$E14)</f>
        <v>280</v>
      </c>
      <c r="CI34" s="35" t="s">
        <v>73</v>
      </c>
      <c r="CJ34" s="36"/>
      <c r="CK34" s="37"/>
      <c r="CL34" s="37"/>
      <c r="CM34" s="37"/>
      <c r="CN34" s="37"/>
      <c r="CO34" s="34">
        <f>if(CQ34="", if(CL35&lt;&gt;"", if(CL35&gt;Setup!CL13,CH34*(1+Setup!CM13),if(CL35&lt;Setup!CK13,CH34*(1+Setup!CN13),CH34)),CH34),CQ34/'Quick Setup'!$E14)</f>
        <v>280</v>
      </c>
      <c r="CP34" s="35" t="s">
        <v>73</v>
      </c>
      <c r="CQ34" s="36"/>
      <c r="CR34" s="37"/>
      <c r="CS34" s="37"/>
      <c r="CT34" s="37"/>
      <c r="CU34" s="37"/>
      <c r="CV34" s="34">
        <f>if(CX34="",CO34,CX34/'Quick Setup'!$E14)</f>
        <v>280</v>
      </c>
      <c r="CW34" s="35" t="s">
        <v>73</v>
      </c>
      <c r="CX34" s="36"/>
      <c r="CY34" s="37"/>
      <c r="CZ34" s="37"/>
      <c r="DA34" s="37"/>
      <c r="DB34" s="37"/>
      <c r="DC34" s="34">
        <f>if(DE34="", if(CZ35&lt;&gt;"", if(CZ35&gt;Setup!CZ13,CV34*(1+Setup!DA13),if(CZ35&lt;Setup!CY13,CV34*(1+Setup!DB13),CV34)),CV34),DE34/'Quick Setup'!$E14)</f>
        <v>280</v>
      </c>
      <c r="DD34" s="35" t="s">
        <v>73</v>
      </c>
      <c r="DE34" s="36"/>
      <c r="DF34" s="37"/>
      <c r="DG34" s="37"/>
      <c r="DH34" s="37"/>
      <c r="DI34" s="37"/>
      <c r="DJ34" s="34">
        <f>if(DL34="", if(DG35&lt;&gt;"", if(DG35&gt;Setup!DG13,DC34*(1+Setup!DH13),if(DG35&lt;Setup!DF13,DC34*(1+Setup!DI13),DC34)),DC34),DL34/'Quick Setup'!$E14)</f>
        <v>280</v>
      </c>
      <c r="DK34" s="35" t="s">
        <v>73</v>
      </c>
      <c r="DL34" s="36"/>
      <c r="DM34" s="37"/>
      <c r="DN34" s="37"/>
      <c r="DO34" s="37"/>
      <c r="DP34" s="37"/>
      <c r="DQ34" s="34">
        <f>if(DS34="", if(DN35&lt;&gt;"", if(DN35&gt;Setup!DN13,DJ34*(1+Setup!DO13),if(DN35&lt;Setup!DM13,DJ34*(1+Setup!DP13),DJ34)),DJ34),DS34/'Quick Setup'!$E14)</f>
        <v>280</v>
      </c>
      <c r="DR34" s="35" t="s">
        <v>73</v>
      </c>
      <c r="DS34" s="36"/>
      <c r="DT34" s="37"/>
      <c r="DU34" s="37"/>
      <c r="DV34" s="37"/>
      <c r="DW34" s="37"/>
      <c r="DX34" s="34">
        <f>if(DZ34="", if(DU35&lt;&gt;"", if(DU35&gt;Setup!DU13,DQ34*(1+Setup!DV13),if(DU35&lt;Setup!DT13,DQ34*(1+Setup!DW13),DQ34)),DQ34),DZ34/'Quick Setup'!$E14)</f>
        <v>280</v>
      </c>
      <c r="DY34" s="35" t="s">
        <v>73</v>
      </c>
      <c r="DZ34" s="36"/>
      <c r="EA34" s="37"/>
      <c r="EB34" s="37"/>
      <c r="EC34" s="37"/>
      <c r="ED34" s="37"/>
      <c r="EE34" s="34">
        <f>if(EG34="", if(EB35&lt;&gt;"", if(EB35&gt;Setup!EB13,DX34*(1+Setup!EC13),if(EB35&lt;Setup!EA13,DX34*(1+Setup!ED13),DX34)),DX34),EG34/'Quick Setup'!$E14)</f>
        <v>280</v>
      </c>
      <c r="EF34" s="35" t="s">
        <v>73</v>
      </c>
      <c r="EG34" s="36"/>
      <c r="EH34" s="37"/>
      <c r="EI34" s="37"/>
      <c r="EJ34" s="37"/>
      <c r="EK34" s="37"/>
      <c r="EL34" s="34">
        <f>if(EN34="", if(EI35&lt;&gt;"", if(EI35&gt;Setup!EI13,EE34*(1+Setup!EJ13),if(EI35&lt;Setup!EH13,EE34*(1+Setup!EK13),EE34)),EE34),EN34/'Quick Setup'!$E14)</f>
        <v>280</v>
      </c>
      <c r="EM34" s="35" t="s">
        <v>73</v>
      </c>
      <c r="EN34" s="36"/>
      <c r="EO34" s="37"/>
      <c r="EP34" s="37"/>
      <c r="EQ34" s="37"/>
      <c r="ER34" s="37"/>
    </row>
    <row r="35">
      <c r="A35" s="1" t="str">
        <f>Setup!A13</f>
        <v>Incline Press</v>
      </c>
      <c r="B35" s="38">
        <f>mround(B34*Setup!B13,'Quick Setup'!$A$2)</f>
        <v>167.5</v>
      </c>
      <c r="C35" s="2">
        <f>Setup!C13</f>
        <v>7</v>
      </c>
      <c r="D35" s="2">
        <f>Setup!D13</f>
        <v>4</v>
      </c>
      <c r="E35" s="2" t="str">
        <f>CONCATENATE(Setup!E13,"-",Setup!F13)</f>
        <v>4-6</v>
      </c>
      <c r="F35" s="10"/>
      <c r="G35" s="10"/>
      <c r="H35" s="10"/>
      <c r="I35" s="38">
        <f>mround(I34*Setup!I13,'Quick Setup'!$A$2)</f>
        <v>182.5</v>
      </c>
      <c r="J35" s="2">
        <f>Setup!J13</f>
        <v>6</v>
      </c>
      <c r="K35" s="2">
        <f>Setup!K13</f>
        <v>4</v>
      </c>
      <c r="L35" s="2" t="str">
        <f>CONCATENATE(Setup!L13,"-",Setup!M13)</f>
        <v>4-6</v>
      </c>
      <c r="M35" s="10"/>
      <c r="N35" s="10"/>
      <c r="O35" s="10"/>
      <c r="P35" s="38">
        <f>mround(P34*Setup!P13,'Quick Setup'!$A$2)</f>
        <v>195</v>
      </c>
      <c r="Q35" s="2">
        <f>Setup!Q13</f>
        <v>5</v>
      </c>
      <c r="R35" s="2">
        <f>Setup!R13</f>
        <v>3</v>
      </c>
      <c r="S35" s="2" t="str">
        <f>CONCATENATE(Setup!S13,"-",Setup!T13)</f>
        <v>4-6</v>
      </c>
      <c r="T35" s="10"/>
      <c r="U35" s="10"/>
      <c r="V35" s="10"/>
      <c r="W35" s="38">
        <f>mround(W34*Setup!W13,'Quick Setup'!$A$2)</f>
        <v>175</v>
      </c>
      <c r="X35" s="2">
        <f>Setup!X13</f>
        <v>7</v>
      </c>
      <c r="Y35" s="2">
        <f>Setup!Y13</f>
        <v>4</v>
      </c>
      <c r="Z35" s="2" t="str">
        <f>CONCATENATE(Setup!Z13,"-",Setup!AA13)</f>
        <v>4-6</v>
      </c>
      <c r="AA35" s="10"/>
      <c r="AB35" s="10"/>
      <c r="AC35" s="10"/>
      <c r="AD35" s="38">
        <f>mround(AD34*Setup!AD13,'Quick Setup'!$A$2)</f>
        <v>190</v>
      </c>
      <c r="AE35" s="2">
        <f>Setup!AE13</f>
        <v>6</v>
      </c>
      <c r="AF35" s="2">
        <f>Setup!AF13</f>
        <v>4</v>
      </c>
      <c r="AG35" s="2" t="str">
        <f>CONCATENATE(Setup!AG13,"-",Setup!AH13)</f>
        <v>4-6</v>
      </c>
      <c r="AH35" s="10"/>
      <c r="AI35" s="10"/>
      <c r="AJ35" s="10"/>
      <c r="AK35" s="38">
        <f>mround(AK34*Setup!AK13,'Quick Setup'!$A$2)</f>
        <v>202.5</v>
      </c>
      <c r="AL35" s="2">
        <f>Setup!AL13</f>
        <v>5</v>
      </c>
      <c r="AM35" s="2">
        <f>Setup!AM13</f>
        <v>3</v>
      </c>
      <c r="AN35" s="2" t="str">
        <f>CONCATENATE(Setup!AN13,"-",Setup!AO13)</f>
        <v>4-6</v>
      </c>
      <c r="AO35" s="10"/>
      <c r="AP35" s="10"/>
      <c r="AQ35" s="10"/>
      <c r="AR35" s="38">
        <f>mround(AR34*Setup!AR13,'Quick Setup'!$A$2)</f>
        <v>140</v>
      </c>
      <c r="AS35" s="1">
        <v>5.0</v>
      </c>
      <c r="AT35" s="1" t="s">
        <v>76</v>
      </c>
      <c r="AU35" s="2" t="str">
        <f>CONCATENATE(Setup!AU13,"-",Setup!AV13)</f>
        <v>4-6</v>
      </c>
      <c r="AV35" s="10"/>
      <c r="AW35" s="10"/>
      <c r="AX35" s="10"/>
      <c r="AY35" s="38">
        <f>mround(AY34*Setup!AY13,'Quick Setup'!$A$2)</f>
        <v>182.5</v>
      </c>
      <c r="AZ35" s="2">
        <f>Setup!AZ13</f>
        <v>6</v>
      </c>
      <c r="BA35" s="2">
        <f>Setup!BA13</f>
        <v>4</v>
      </c>
      <c r="BB35" s="2" t="str">
        <f>CONCATENATE(Setup!BB13,"-",Setup!BC13)</f>
        <v>4-6</v>
      </c>
      <c r="BC35" s="10"/>
      <c r="BD35" s="10"/>
      <c r="BE35" s="10"/>
      <c r="BF35" s="38">
        <f>mround(BF34*Setup!BF13,'Quick Setup'!$A$2)</f>
        <v>195</v>
      </c>
      <c r="BG35" s="2">
        <f>Setup!BG13</f>
        <v>5</v>
      </c>
      <c r="BH35" s="2">
        <f>Setup!BH13</f>
        <v>3</v>
      </c>
      <c r="BI35" s="2" t="str">
        <f>CONCATENATE(Setup!BI13,"-",Setup!BJ13)</f>
        <v>4-6</v>
      </c>
      <c r="BJ35" s="10"/>
      <c r="BK35" s="10"/>
      <c r="BL35" s="10"/>
      <c r="BM35" s="38">
        <f>mround(BM34*Setup!BM13,'Quick Setup'!$A$2)</f>
        <v>210</v>
      </c>
      <c r="BN35" s="2">
        <f>Setup!BN13</f>
        <v>4</v>
      </c>
      <c r="BO35" s="2">
        <f>Setup!BO13</f>
        <v>3</v>
      </c>
      <c r="BP35" s="2" t="str">
        <f>CONCATENATE(Setup!BP13,"-",Setup!BQ13)</f>
        <v>4-6</v>
      </c>
      <c r="BQ35" s="10"/>
      <c r="BR35" s="10"/>
      <c r="BS35" s="10"/>
      <c r="BT35" s="38">
        <f>mround(BT34*Setup!BT13,'Quick Setup'!$A$2)</f>
        <v>190</v>
      </c>
      <c r="BU35" s="2">
        <f>Setup!BU13</f>
        <v>6</v>
      </c>
      <c r="BV35" s="2">
        <f>Setup!BV13</f>
        <v>4</v>
      </c>
      <c r="BW35" s="2" t="str">
        <f>CONCATENATE(Setup!BW13,"-",Setup!BX13)</f>
        <v>4-6</v>
      </c>
      <c r="BX35" s="10"/>
      <c r="BY35" s="10"/>
      <c r="BZ35" s="10"/>
      <c r="CA35" s="38">
        <f>mround(CA34*Setup!CA13,'Quick Setup'!$A$2)</f>
        <v>202.5</v>
      </c>
      <c r="CB35" s="2">
        <f>Setup!CB13</f>
        <v>5</v>
      </c>
      <c r="CC35" s="2">
        <f>Setup!CC13</f>
        <v>3</v>
      </c>
      <c r="CD35" s="2" t="str">
        <f>CONCATENATE(Setup!CD13,"-",Setup!CE13)</f>
        <v>4-6</v>
      </c>
      <c r="CE35" s="10"/>
      <c r="CF35" s="10"/>
      <c r="CG35" s="10"/>
      <c r="CH35" s="38">
        <f>mround(CH34*Setup!CH13,'Quick Setup'!$A$2)</f>
        <v>217.5</v>
      </c>
      <c r="CI35" s="2">
        <f>Setup!CI13</f>
        <v>4</v>
      </c>
      <c r="CJ35" s="2">
        <f>Setup!CJ13</f>
        <v>3</v>
      </c>
      <c r="CK35" s="2" t="str">
        <f>CONCATENATE(Setup!CK13,"-",Setup!CL13)</f>
        <v>4-6</v>
      </c>
      <c r="CL35" s="10"/>
      <c r="CM35" s="10"/>
      <c r="CN35" s="10"/>
      <c r="CO35" s="38">
        <f>mround(CO34*Setup!CO13,'Quick Setup'!$A$2)</f>
        <v>140</v>
      </c>
      <c r="CP35" s="1">
        <v>5.0</v>
      </c>
      <c r="CQ35" s="1" t="s">
        <v>76</v>
      </c>
      <c r="CR35" s="2" t="str">
        <f>CONCATENATE(Setup!CR13,"-",Setup!CS13)</f>
        <v>4-6</v>
      </c>
      <c r="CS35" s="10"/>
      <c r="CT35" s="10"/>
      <c r="CU35" s="10"/>
      <c r="CV35" s="38">
        <f>mround(CV34*Setup!CV13,'Quick Setup'!$A$2)</f>
        <v>195</v>
      </c>
      <c r="CW35" s="2">
        <f>Setup!CW13</f>
        <v>5</v>
      </c>
      <c r="CX35" s="2">
        <f>Setup!CX13</f>
        <v>3</v>
      </c>
      <c r="CY35" s="2" t="str">
        <f>CONCATENATE(Setup!CY13,"-",Setup!CZ13)</f>
        <v>4-6</v>
      </c>
      <c r="CZ35" s="10"/>
      <c r="DA35" s="10"/>
      <c r="DB35" s="10"/>
      <c r="DC35" s="38">
        <f>mround(DC34*Setup!DC13,'Quick Setup'!$A$2)</f>
        <v>210</v>
      </c>
      <c r="DD35" s="2">
        <f>Setup!DD13</f>
        <v>4</v>
      </c>
      <c r="DE35" s="2">
        <f>Setup!DE13</f>
        <v>3</v>
      </c>
      <c r="DF35" s="2" t="str">
        <f>CONCATENATE(Setup!DF13,"-",Setup!DG13)</f>
        <v>4-6</v>
      </c>
      <c r="DG35" s="10"/>
      <c r="DH35" s="10"/>
      <c r="DI35" s="10"/>
      <c r="DJ35" s="38">
        <f>mround(DJ34*Setup!DJ13,'Quick Setup'!$A$2)</f>
        <v>225</v>
      </c>
      <c r="DK35" s="2">
        <f>Setup!DK13</f>
        <v>3</v>
      </c>
      <c r="DL35" s="2">
        <f>Setup!DL13</f>
        <v>2</v>
      </c>
      <c r="DM35" s="2" t="str">
        <f>CONCATENATE(Setup!DM13,"-",Setup!DN13)</f>
        <v>4-6</v>
      </c>
      <c r="DN35" s="10"/>
      <c r="DO35" s="10"/>
      <c r="DP35" s="10"/>
      <c r="DQ35" s="38">
        <f>mround(DQ34*Setup!DQ13,'Quick Setup'!$A$2)</f>
        <v>210</v>
      </c>
      <c r="DR35" s="2">
        <f>Setup!DR13</f>
        <v>4</v>
      </c>
      <c r="DS35" s="2">
        <f>Setup!DS13</f>
        <v>3</v>
      </c>
      <c r="DT35" s="2" t="str">
        <f>CONCATENATE(Setup!DT13,"-",Setup!DU13)</f>
        <v>4-6</v>
      </c>
      <c r="DU35" s="10"/>
      <c r="DV35" s="10"/>
      <c r="DW35" s="10"/>
      <c r="DX35" s="38">
        <f>mround(DX34*Setup!DX13,'Quick Setup'!$A$2)</f>
        <v>225</v>
      </c>
      <c r="DY35" s="2">
        <f>Setup!DY13</f>
        <v>3</v>
      </c>
      <c r="DZ35" s="2">
        <f>Setup!DZ13</f>
        <v>2</v>
      </c>
      <c r="EA35" s="2" t="str">
        <f>CONCATENATE(Setup!EA13,"-",Setup!EB13)</f>
        <v>4-6</v>
      </c>
      <c r="EB35" s="10"/>
      <c r="EC35" s="10"/>
      <c r="ED35" s="10"/>
      <c r="EE35" s="38">
        <f>mround(EE34*Setup!EE13,'Quick Setup'!$A$2)</f>
        <v>237.5</v>
      </c>
      <c r="EF35" s="2">
        <f>Setup!EF13</f>
        <v>2</v>
      </c>
      <c r="EG35" s="2">
        <f>Setup!EG13</f>
        <v>2</v>
      </c>
      <c r="EH35" s="2" t="str">
        <f>CONCATENATE(Setup!EH13,"-",Setup!EI13)</f>
        <v>4-6</v>
      </c>
      <c r="EI35" s="10"/>
      <c r="EJ35" s="10"/>
      <c r="EK35" s="10"/>
      <c r="EL35" s="38">
        <f>mround(EL34*Setup!EL13,'Quick Setup'!$A$2)</f>
        <v>140</v>
      </c>
      <c r="EM35" s="1">
        <v>5.0</v>
      </c>
      <c r="EN35" s="1" t="s">
        <v>76</v>
      </c>
      <c r="EO35" s="2" t="str">
        <f>CONCATENATE(Setup!EO13,"-",Setup!EP13)</f>
        <v>4-6</v>
      </c>
      <c r="EP35" s="10"/>
      <c r="EQ35" s="10"/>
      <c r="ER35" s="10"/>
    </row>
    <row r="36" hidden="1">
      <c r="A36" s="33" t="str">
        <f>CONCATENATE(A37," TM")</f>
        <v>Sumo Deadlift TM</v>
      </c>
      <c r="B36" s="34">
        <f>if(D36="",'Quick Setup'!D15,D36/'Quick Setup'!E15)</f>
        <v>500</v>
      </c>
      <c r="C36" s="35" t="s">
        <v>73</v>
      </c>
      <c r="D36" s="36"/>
      <c r="E36" s="37"/>
      <c r="F36" s="37"/>
      <c r="G36" s="37"/>
      <c r="H36" s="37"/>
      <c r="I36" s="34">
        <f>if(K36="", if(F37&lt;&gt;"", if(F37&gt;Setup!F14,B36*(1+Setup!G14),if(F37&lt;Setup!E14,B36*(1+Setup!H14),B36)),B36),K36/'Quick Setup'!$E15)</f>
        <v>500</v>
      </c>
      <c r="J36" s="35" t="s">
        <v>73</v>
      </c>
      <c r="K36" s="36"/>
      <c r="L36" s="37"/>
      <c r="M36" s="37"/>
      <c r="N36" s="37"/>
      <c r="O36" s="37"/>
      <c r="P36" s="34">
        <f>if(R36="", if(M37&lt;&gt;"", if(M37&gt;Setup!M14,I36*(1+Setup!N14),if(M37&lt;Setup!L14,I36*(1+Setup!O14),I36)),I36),R36/'Quick Setup'!$E15)</f>
        <v>500</v>
      </c>
      <c r="Q36" s="35" t="s">
        <v>73</v>
      </c>
      <c r="R36" s="36"/>
      <c r="S36" s="37"/>
      <c r="T36" s="37"/>
      <c r="U36" s="37"/>
      <c r="V36" s="37"/>
      <c r="W36" s="34">
        <f>if(Y36="", if(T37&lt;&gt;"", if(T37&gt;Setup!T14,P36*(1+Setup!U14),if(T37&lt;Setup!S14,P36*(1+Setup!V14),P36)),P36),Y36/'Quick Setup'!$E15)</f>
        <v>500</v>
      </c>
      <c r="X36" s="35" t="s">
        <v>73</v>
      </c>
      <c r="Y36" s="36"/>
      <c r="Z36" s="37"/>
      <c r="AA36" s="37"/>
      <c r="AB36" s="37"/>
      <c r="AC36" s="37"/>
      <c r="AD36" s="34">
        <f>if(AF36="", if(AA37&lt;&gt;"", if(AA37&gt;Setup!AA14,W36*(1+Setup!AB14),if(AA37&lt;Setup!Z14,W36*(1+Setup!AC14),W36)),W36),AF36/'Quick Setup'!$E15)</f>
        <v>500</v>
      </c>
      <c r="AE36" s="35" t="s">
        <v>73</v>
      </c>
      <c r="AF36" s="36"/>
      <c r="AG36" s="37"/>
      <c r="AH36" s="37"/>
      <c r="AI36" s="37"/>
      <c r="AJ36" s="37"/>
      <c r="AK36" s="34">
        <f>if(AM36="", if(AH37&lt;&gt;"", if(AH37&gt;Setup!AH14,AD36*(1+Setup!AI14),if(AH37&lt;Setup!AG14,AD36*(1+Setup!AJ14),AD36)),AD36),AM36/'Quick Setup'!$E15)</f>
        <v>500</v>
      </c>
      <c r="AL36" s="35" t="s">
        <v>73</v>
      </c>
      <c r="AM36" s="36"/>
      <c r="AN36" s="37"/>
      <c r="AO36" s="37"/>
      <c r="AP36" s="37"/>
      <c r="AQ36" s="37"/>
      <c r="AR36" s="34">
        <f>if(AT36="", if(AO37&lt;&gt;"", if(AO37&gt;Setup!AO14,AK36*(1+Setup!AP14),if(AO37&lt;Setup!AN14,AK36*(1+Setup!AQ14),AK36)),AK36),AT36/'Quick Setup'!$E15)</f>
        <v>500</v>
      </c>
      <c r="AS36" s="35" t="s">
        <v>73</v>
      </c>
      <c r="AT36" s="36"/>
      <c r="AU36" s="37"/>
      <c r="AV36" s="37"/>
      <c r="AW36" s="37"/>
      <c r="AX36" s="37"/>
      <c r="AY36" s="34">
        <f>if(BA36="",AR36,BA36/'Quick Setup'!$E15)</f>
        <v>500</v>
      </c>
      <c r="AZ36" s="35" t="s">
        <v>73</v>
      </c>
      <c r="BA36" s="36"/>
      <c r="BB36" s="37"/>
      <c r="BC36" s="37"/>
      <c r="BD36" s="37"/>
      <c r="BE36" s="37"/>
      <c r="BF36" s="34">
        <f>if(BH36="", if(BC37&lt;&gt;"", if(BC37&gt;Setup!BC14,AY36*(1+Setup!BD14),if(BC37&lt;Setup!BB14,AY36*(1+Setup!BE14),AY36)),AY36),BH36/'Quick Setup'!$E15)</f>
        <v>500</v>
      </c>
      <c r="BG36" s="35" t="s">
        <v>73</v>
      </c>
      <c r="BH36" s="36"/>
      <c r="BI36" s="37"/>
      <c r="BJ36" s="37"/>
      <c r="BK36" s="37"/>
      <c r="BL36" s="37"/>
      <c r="BM36" s="34">
        <f>if(BO36="", if(BJ37&lt;&gt;"", if(BJ37&gt;Setup!BJ14,BF36*(1+Setup!BK14),if(BJ37&lt;Setup!BI14,BF36*(1+Setup!BL14),BF36)),BF36),BO36/'Quick Setup'!$E15)</f>
        <v>500</v>
      </c>
      <c r="BN36" s="35" t="s">
        <v>73</v>
      </c>
      <c r="BO36" s="36"/>
      <c r="BP36" s="37"/>
      <c r="BQ36" s="37"/>
      <c r="BR36" s="37"/>
      <c r="BS36" s="37"/>
      <c r="BT36" s="34">
        <f>if(BV36="", if(BQ37&lt;&gt;"", if(BQ37&gt;Setup!BQ14,BM36*(1+Setup!BR14),if(BQ37&lt;Setup!BP14,BM36*(1+Setup!BS14),BM36)),BM36),BV36/'Quick Setup'!$E15)</f>
        <v>500</v>
      </c>
      <c r="BU36" s="35" t="s">
        <v>73</v>
      </c>
      <c r="BV36" s="36"/>
      <c r="BW36" s="37"/>
      <c r="BX36" s="37"/>
      <c r="BY36" s="37"/>
      <c r="BZ36" s="37"/>
      <c r="CA36" s="34">
        <f>if(CC36="", if(BX37&lt;&gt;"", if(BX37&gt;Setup!BX14,BT36*(1+Setup!BY14),if(BX37&lt;Setup!BW14,BT36*(1+Setup!BZ14),BT36)),BT36),CC36/'Quick Setup'!$E15)</f>
        <v>500</v>
      </c>
      <c r="CB36" s="35" t="s">
        <v>73</v>
      </c>
      <c r="CC36" s="36"/>
      <c r="CD36" s="37"/>
      <c r="CE36" s="37"/>
      <c r="CF36" s="37"/>
      <c r="CG36" s="37"/>
      <c r="CH36" s="34">
        <f>if(CJ36="", if(CE37&lt;&gt;"", if(CE37&gt;Setup!CE14,CA36*(1+Setup!CF14),if(CE37&lt;Setup!CD14,CA36*(1+Setup!CG14),CA36)),CA36),CJ36/'Quick Setup'!$E15)</f>
        <v>500</v>
      </c>
      <c r="CI36" s="35" t="s">
        <v>73</v>
      </c>
      <c r="CJ36" s="36"/>
      <c r="CK36" s="37"/>
      <c r="CL36" s="37"/>
      <c r="CM36" s="37"/>
      <c r="CN36" s="37"/>
      <c r="CO36" s="34">
        <f>if(CQ36="", if(CL37&lt;&gt;"", if(CL37&gt;Setup!CL14,CH36*(1+Setup!CM14),if(CL37&lt;Setup!CK14,CH36*(1+Setup!CN14),CH36)),CH36),CQ36/'Quick Setup'!$E15)</f>
        <v>500</v>
      </c>
      <c r="CP36" s="35" t="s">
        <v>73</v>
      </c>
      <c r="CQ36" s="36"/>
      <c r="CR36" s="37"/>
      <c r="CS36" s="37"/>
      <c r="CT36" s="37"/>
      <c r="CU36" s="37"/>
      <c r="CV36" s="34">
        <f>if(CX36="",CO36,CX36/'Quick Setup'!$E15)</f>
        <v>500</v>
      </c>
      <c r="CW36" s="35" t="s">
        <v>73</v>
      </c>
      <c r="CX36" s="36"/>
      <c r="CY36" s="37"/>
      <c r="CZ36" s="37"/>
      <c r="DA36" s="37"/>
      <c r="DB36" s="37"/>
      <c r="DC36" s="34">
        <f>if(DE36="", if(CZ37&lt;&gt;"", if(CZ37&gt;Setup!CZ14,CV36*(1+Setup!DA14),if(CZ37&lt;Setup!CY14,CV36*(1+Setup!DB14),CV36)),CV36),DE36/'Quick Setup'!$E15)</f>
        <v>500</v>
      </c>
      <c r="DD36" s="35" t="s">
        <v>73</v>
      </c>
      <c r="DE36" s="36"/>
      <c r="DF36" s="37"/>
      <c r="DG36" s="37"/>
      <c r="DH36" s="37"/>
      <c r="DI36" s="37"/>
      <c r="DJ36" s="34">
        <f>if(DL36="", if(DG37&lt;&gt;"", if(DG37&gt;Setup!DG14,DC36*(1+Setup!DH14),if(DG37&lt;Setup!DF14,DC36*(1+Setup!DI14),DC36)),DC36),DL36/'Quick Setup'!$E15)</f>
        <v>500</v>
      </c>
      <c r="DK36" s="35" t="s">
        <v>73</v>
      </c>
      <c r="DL36" s="36"/>
      <c r="DM36" s="37"/>
      <c r="DN36" s="37"/>
      <c r="DO36" s="37"/>
      <c r="DP36" s="37"/>
      <c r="DQ36" s="34">
        <f>if(DS36="", if(DN37&lt;&gt;"", if(DN37&gt;Setup!DN14,DJ36*(1+Setup!DO14),if(DN37&lt;Setup!DM14,DJ36*(1+Setup!DP14),DJ36)),DJ36),DS36/'Quick Setup'!$E15)</f>
        <v>500</v>
      </c>
      <c r="DR36" s="35" t="s">
        <v>73</v>
      </c>
      <c r="DS36" s="36"/>
      <c r="DT36" s="37"/>
      <c r="DU36" s="37"/>
      <c r="DV36" s="37"/>
      <c r="DW36" s="37"/>
      <c r="DX36" s="34">
        <f>if(DZ36="", if(DU37&lt;&gt;"", if(DU37&gt;Setup!DU14,DQ36*(1+Setup!DV14),if(DU37&lt;Setup!DT14,DQ36*(1+Setup!DW14),DQ36)),DQ36),DZ36/'Quick Setup'!$E15)</f>
        <v>500</v>
      </c>
      <c r="DY36" s="35" t="s">
        <v>73</v>
      </c>
      <c r="DZ36" s="36"/>
      <c r="EA36" s="37"/>
      <c r="EB36" s="37"/>
      <c r="EC36" s="37"/>
      <c r="ED36" s="37"/>
      <c r="EE36" s="34">
        <f>if(EG36="", if(EB37&lt;&gt;"", if(EB37&gt;Setup!EB14,DX36*(1+Setup!EC14),if(EB37&lt;Setup!EA14,DX36*(1+Setup!ED14),DX36)),DX36),EG36/'Quick Setup'!$E15)</f>
        <v>500</v>
      </c>
      <c r="EF36" s="35" t="s">
        <v>73</v>
      </c>
      <c r="EG36" s="36"/>
      <c r="EH36" s="37"/>
      <c r="EI36" s="37"/>
      <c r="EJ36" s="37"/>
      <c r="EK36" s="37"/>
      <c r="EL36" s="34">
        <f>if(EN36="", if(EI37&lt;&gt;"", if(EI37&gt;Setup!EI14,EE36*(1+Setup!EJ14),if(EI37&lt;Setup!EH14,EE36*(1+Setup!EK14),EE36)),EE36),EN36/'Quick Setup'!$E15)</f>
        <v>500</v>
      </c>
      <c r="EM36" s="35" t="s">
        <v>73</v>
      </c>
      <c r="EN36" s="36"/>
      <c r="EO36" s="37"/>
      <c r="EP36" s="37"/>
      <c r="EQ36" s="37"/>
      <c r="ER36" s="37"/>
    </row>
    <row r="37">
      <c r="A37" s="1" t="str">
        <f>Setup!A14</f>
        <v>Sumo Deadlift</v>
      </c>
      <c r="B37" s="38">
        <f>mround(B36*Setup!B14,'Quick Setup'!$A$2)</f>
        <v>300</v>
      </c>
      <c r="C37" s="2">
        <f>Setup!C14</f>
        <v>7</v>
      </c>
      <c r="D37" s="2">
        <f>Setup!D14</f>
        <v>4</v>
      </c>
      <c r="E37" s="2" t="str">
        <f>CONCATENATE(Setup!E14,"-",Setup!F14)</f>
        <v>4-6</v>
      </c>
      <c r="F37" s="10"/>
      <c r="G37" s="10"/>
      <c r="H37" s="10"/>
      <c r="I37" s="38">
        <f>mround(I36*Setup!I14,'Quick Setup'!$A$2)</f>
        <v>325</v>
      </c>
      <c r="J37" s="2">
        <f>Setup!J14</f>
        <v>6</v>
      </c>
      <c r="K37" s="2">
        <f>Setup!K14</f>
        <v>4</v>
      </c>
      <c r="L37" s="2" t="str">
        <f>CONCATENATE(Setup!L14,"-",Setup!M14)</f>
        <v>4-6</v>
      </c>
      <c r="M37" s="10"/>
      <c r="N37" s="10"/>
      <c r="O37" s="10"/>
      <c r="P37" s="38">
        <f>mround(P36*Setup!P14,'Quick Setup'!$A$2)</f>
        <v>350</v>
      </c>
      <c r="Q37" s="2">
        <f>Setup!Q14</f>
        <v>5</v>
      </c>
      <c r="R37" s="2">
        <f>Setup!R14</f>
        <v>3</v>
      </c>
      <c r="S37" s="2" t="str">
        <f>CONCATENATE(Setup!S14,"-",Setup!T14)</f>
        <v>4-6</v>
      </c>
      <c r="T37" s="10"/>
      <c r="U37" s="10"/>
      <c r="V37" s="10"/>
      <c r="W37" s="38">
        <f>mround(W36*Setup!W14,'Quick Setup'!$A$2)</f>
        <v>312.5</v>
      </c>
      <c r="X37" s="2">
        <f>Setup!X14</f>
        <v>7</v>
      </c>
      <c r="Y37" s="2">
        <f>Setup!Y14</f>
        <v>4</v>
      </c>
      <c r="Z37" s="2" t="str">
        <f>CONCATENATE(Setup!Z14,"-",Setup!AA14)</f>
        <v>4-6</v>
      </c>
      <c r="AA37" s="10"/>
      <c r="AB37" s="10"/>
      <c r="AC37" s="10"/>
      <c r="AD37" s="38">
        <f>mround(AD36*Setup!AD14,'Quick Setup'!$A$2)</f>
        <v>337.5</v>
      </c>
      <c r="AE37" s="2">
        <f>Setup!AE14</f>
        <v>6</v>
      </c>
      <c r="AF37" s="2">
        <f>Setup!AF14</f>
        <v>4</v>
      </c>
      <c r="AG37" s="2" t="str">
        <f>CONCATENATE(Setup!AG14,"-",Setup!AH14)</f>
        <v>4-6</v>
      </c>
      <c r="AH37" s="10"/>
      <c r="AI37" s="10"/>
      <c r="AJ37" s="10"/>
      <c r="AK37" s="38">
        <f>mround(AK36*Setup!AK14,'Quick Setup'!$A$2)</f>
        <v>362.5</v>
      </c>
      <c r="AL37" s="2">
        <f>Setup!AL14</f>
        <v>5</v>
      </c>
      <c r="AM37" s="2">
        <f>Setup!AM14</f>
        <v>3</v>
      </c>
      <c r="AN37" s="2" t="str">
        <f>CONCATENATE(Setup!AN14,"-",Setup!AO14)</f>
        <v>4-6</v>
      </c>
      <c r="AO37" s="10"/>
      <c r="AP37" s="10"/>
      <c r="AQ37" s="10"/>
      <c r="AR37" s="38">
        <f>mround(AR36*Setup!AR14,'Quick Setup'!$A$2)</f>
        <v>250</v>
      </c>
      <c r="AS37" s="1">
        <v>5.0</v>
      </c>
      <c r="AT37" s="1" t="s">
        <v>76</v>
      </c>
      <c r="AU37" s="2" t="str">
        <f>CONCATENATE(Setup!AU14,"-",Setup!AV14)</f>
        <v>4-6</v>
      </c>
      <c r="AV37" s="10"/>
      <c r="AW37" s="10"/>
      <c r="AX37" s="10"/>
      <c r="AY37" s="38">
        <f>mround(AY36*Setup!AY14,'Quick Setup'!$A$2)</f>
        <v>325</v>
      </c>
      <c r="AZ37" s="2">
        <f>Setup!AZ14</f>
        <v>6</v>
      </c>
      <c r="BA37" s="2">
        <f>Setup!BA14</f>
        <v>4</v>
      </c>
      <c r="BB37" s="2" t="str">
        <f>CONCATENATE(Setup!BB14,"-",Setup!BC14)</f>
        <v>4-6</v>
      </c>
      <c r="BC37" s="10"/>
      <c r="BD37" s="10"/>
      <c r="BE37" s="10"/>
      <c r="BF37" s="38">
        <f>mround(BF36*Setup!BF14,'Quick Setup'!$A$2)</f>
        <v>350</v>
      </c>
      <c r="BG37" s="2">
        <f>Setup!BG14</f>
        <v>5</v>
      </c>
      <c r="BH37" s="2">
        <f>Setup!BH14</f>
        <v>3</v>
      </c>
      <c r="BI37" s="2" t="str">
        <f>CONCATENATE(Setup!BI14,"-",Setup!BJ14)</f>
        <v>4-6</v>
      </c>
      <c r="BJ37" s="10"/>
      <c r="BK37" s="10"/>
      <c r="BL37" s="10"/>
      <c r="BM37" s="38">
        <f>mround(BM36*Setup!BM14,'Quick Setup'!$A$2)</f>
        <v>375</v>
      </c>
      <c r="BN37" s="2">
        <f>Setup!BN14</f>
        <v>4</v>
      </c>
      <c r="BO37" s="2">
        <f>Setup!BO14</f>
        <v>3</v>
      </c>
      <c r="BP37" s="2" t="str">
        <f>CONCATENATE(Setup!BP14,"-",Setup!BQ14)</f>
        <v>4-6</v>
      </c>
      <c r="BQ37" s="10"/>
      <c r="BR37" s="10"/>
      <c r="BS37" s="10"/>
      <c r="BT37" s="38">
        <f>mround(BT36*Setup!BT14,'Quick Setup'!$A$2)</f>
        <v>337.5</v>
      </c>
      <c r="BU37" s="2">
        <f>Setup!BU14</f>
        <v>6</v>
      </c>
      <c r="BV37" s="2">
        <f>Setup!BV14</f>
        <v>4</v>
      </c>
      <c r="BW37" s="2" t="str">
        <f>CONCATENATE(Setup!BW14,"-",Setup!BX14)</f>
        <v>4-6</v>
      </c>
      <c r="BX37" s="10"/>
      <c r="BY37" s="10"/>
      <c r="BZ37" s="10"/>
      <c r="CA37" s="38">
        <f>mround(CA36*Setup!CA14,'Quick Setup'!$A$2)</f>
        <v>362.5</v>
      </c>
      <c r="CB37" s="2">
        <f>Setup!CB14</f>
        <v>5</v>
      </c>
      <c r="CC37" s="2">
        <f>Setup!CC14</f>
        <v>3</v>
      </c>
      <c r="CD37" s="2" t="str">
        <f>CONCATENATE(Setup!CD14,"-",Setup!CE14)</f>
        <v>4-6</v>
      </c>
      <c r="CE37" s="10"/>
      <c r="CF37" s="10"/>
      <c r="CG37" s="10"/>
      <c r="CH37" s="38">
        <f>mround(CH36*Setup!CH14,'Quick Setup'!$A$2)</f>
        <v>387.5</v>
      </c>
      <c r="CI37" s="2">
        <f>Setup!CI14</f>
        <v>4</v>
      </c>
      <c r="CJ37" s="2">
        <f>Setup!CJ14</f>
        <v>3</v>
      </c>
      <c r="CK37" s="2" t="str">
        <f>CONCATENATE(Setup!CK14,"-",Setup!CL14)</f>
        <v>4-6</v>
      </c>
      <c r="CL37" s="10"/>
      <c r="CM37" s="10"/>
      <c r="CN37" s="10"/>
      <c r="CO37" s="38">
        <f>mround(CO36*Setup!CO14,'Quick Setup'!$A$2)</f>
        <v>250</v>
      </c>
      <c r="CP37" s="1">
        <v>5.0</v>
      </c>
      <c r="CQ37" s="1" t="s">
        <v>76</v>
      </c>
      <c r="CR37" s="2" t="str">
        <f>CONCATENATE(Setup!CR14,"-",Setup!CS14)</f>
        <v>4-6</v>
      </c>
      <c r="CS37" s="10"/>
      <c r="CT37" s="10"/>
      <c r="CU37" s="10"/>
      <c r="CV37" s="38">
        <f>mround(CV36*Setup!CV14,'Quick Setup'!$A$2)</f>
        <v>350</v>
      </c>
      <c r="CW37" s="2">
        <f>Setup!CW14</f>
        <v>5</v>
      </c>
      <c r="CX37" s="2">
        <f>Setup!CX14</f>
        <v>3</v>
      </c>
      <c r="CY37" s="2" t="str">
        <f>CONCATENATE(Setup!CY14,"-",Setup!CZ14)</f>
        <v>4-6</v>
      </c>
      <c r="CZ37" s="10"/>
      <c r="DA37" s="10"/>
      <c r="DB37" s="10"/>
      <c r="DC37" s="38">
        <f>mround(DC36*Setup!DC14,'Quick Setup'!$A$2)</f>
        <v>375</v>
      </c>
      <c r="DD37" s="2">
        <f>Setup!DD14</f>
        <v>4</v>
      </c>
      <c r="DE37" s="2">
        <f>Setup!DE14</f>
        <v>3</v>
      </c>
      <c r="DF37" s="2" t="str">
        <f>CONCATENATE(Setup!DF14,"-",Setup!DG14)</f>
        <v>4-6</v>
      </c>
      <c r="DG37" s="10"/>
      <c r="DH37" s="10"/>
      <c r="DI37" s="10"/>
      <c r="DJ37" s="38">
        <f>mround(DJ36*Setup!DJ14,'Quick Setup'!$A$2)</f>
        <v>400</v>
      </c>
      <c r="DK37" s="2">
        <f>Setup!DK14</f>
        <v>3</v>
      </c>
      <c r="DL37" s="2">
        <f>Setup!DL14</f>
        <v>2</v>
      </c>
      <c r="DM37" s="2" t="str">
        <f>CONCATENATE(Setup!DM14,"-",Setup!DN14)</f>
        <v>4-6</v>
      </c>
      <c r="DN37" s="10"/>
      <c r="DO37" s="10"/>
      <c r="DP37" s="10"/>
      <c r="DQ37" s="38">
        <f>mround(DQ36*Setup!DQ14,'Quick Setup'!$A$2)</f>
        <v>375</v>
      </c>
      <c r="DR37" s="2">
        <f>Setup!DR14</f>
        <v>4</v>
      </c>
      <c r="DS37" s="2">
        <f>Setup!DS14</f>
        <v>3</v>
      </c>
      <c r="DT37" s="2" t="str">
        <f>CONCATENATE(Setup!DT14,"-",Setup!DU14)</f>
        <v>4-6</v>
      </c>
      <c r="DU37" s="10"/>
      <c r="DV37" s="10"/>
      <c r="DW37" s="10"/>
      <c r="DX37" s="38">
        <f>mround(DX36*Setup!DX14,'Quick Setup'!$A$2)</f>
        <v>400</v>
      </c>
      <c r="DY37" s="2">
        <f>Setup!DY14</f>
        <v>3</v>
      </c>
      <c r="DZ37" s="2">
        <f>Setup!DZ14</f>
        <v>2</v>
      </c>
      <c r="EA37" s="2" t="str">
        <f>CONCATENATE(Setup!EA14,"-",Setup!EB14)</f>
        <v>4-6</v>
      </c>
      <c r="EB37" s="10"/>
      <c r="EC37" s="10"/>
      <c r="ED37" s="10"/>
      <c r="EE37" s="38">
        <f>mround(EE36*Setup!EE14,'Quick Setup'!$A$2)</f>
        <v>425</v>
      </c>
      <c r="EF37" s="2">
        <f>Setup!EF14</f>
        <v>2</v>
      </c>
      <c r="EG37" s="2">
        <f>Setup!EG14</f>
        <v>2</v>
      </c>
      <c r="EH37" s="2" t="str">
        <f>CONCATENATE(Setup!EH14,"-",Setup!EI14)</f>
        <v>4-6</v>
      </c>
      <c r="EI37" s="10"/>
      <c r="EJ37" s="10"/>
      <c r="EK37" s="10"/>
      <c r="EL37" s="38">
        <f>mround(EL36*Setup!EL14,'Quick Setup'!$A$2)</f>
        <v>250</v>
      </c>
      <c r="EM37" s="1">
        <v>5.0</v>
      </c>
      <c r="EN37" s="1" t="s">
        <v>76</v>
      </c>
      <c r="EO37" s="2" t="str">
        <f>CONCATENATE(Setup!EO14,"-",Setup!EP14)</f>
        <v>4-6</v>
      </c>
      <c r="EP37" s="10"/>
      <c r="EQ37" s="10"/>
      <c r="ER37" s="10"/>
    </row>
    <row r="38">
      <c r="A38" s="5"/>
      <c r="B38" s="39"/>
      <c r="C38" s="10"/>
      <c r="D38" s="10"/>
      <c r="E38" s="10"/>
      <c r="F38" s="10"/>
      <c r="G38" s="10"/>
      <c r="H38" s="10"/>
      <c r="I38" s="39" t="str">
        <f t="shared" ref="I38:M38" si="161">B38</f>
        <v/>
      </c>
      <c r="J38" s="10" t="str">
        <f t="shared" si="161"/>
        <v/>
      </c>
      <c r="K38" s="10" t="str">
        <f t="shared" si="161"/>
        <v/>
      </c>
      <c r="L38" s="10" t="str">
        <f t="shared" si="161"/>
        <v/>
      </c>
      <c r="M38" s="10" t="str">
        <f t="shared" si="161"/>
        <v/>
      </c>
      <c r="N38" s="10"/>
      <c r="O38" s="10"/>
      <c r="P38" s="39" t="str">
        <f t="shared" ref="P38:T38" si="162">I38</f>
        <v/>
      </c>
      <c r="Q38" s="10" t="str">
        <f t="shared" si="162"/>
        <v/>
      </c>
      <c r="R38" s="10" t="str">
        <f t="shared" si="162"/>
        <v/>
      </c>
      <c r="S38" s="10" t="str">
        <f t="shared" si="162"/>
        <v/>
      </c>
      <c r="T38" s="10" t="str">
        <f t="shared" si="162"/>
        <v/>
      </c>
      <c r="U38" s="10"/>
      <c r="V38" s="10"/>
      <c r="W38" s="39" t="str">
        <f t="shared" ref="W38:AA38" si="163">P38</f>
        <v/>
      </c>
      <c r="X38" s="10" t="str">
        <f t="shared" si="163"/>
        <v/>
      </c>
      <c r="Y38" s="10" t="str">
        <f t="shared" si="163"/>
        <v/>
      </c>
      <c r="Z38" s="10" t="str">
        <f t="shared" si="163"/>
        <v/>
      </c>
      <c r="AA38" s="10" t="str">
        <f t="shared" si="163"/>
        <v/>
      </c>
      <c r="AB38" s="10"/>
      <c r="AC38" s="10"/>
      <c r="AD38" s="39" t="str">
        <f t="shared" ref="AD38:AH38" si="164">W38</f>
        <v/>
      </c>
      <c r="AE38" s="10" t="str">
        <f t="shared" si="164"/>
        <v/>
      </c>
      <c r="AF38" s="10" t="str">
        <f t="shared" si="164"/>
        <v/>
      </c>
      <c r="AG38" s="10" t="str">
        <f t="shared" si="164"/>
        <v/>
      </c>
      <c r="AH38" s="10" t="str">
        <f t="shared" si="164"/>
        <v/>
      </c>
      <c r="AI38" s="10"/>
      <c r="AJ38" s="10"/>
      <c r="AK38" s="39" t="str">
        <f t="shared" ref="AK38:AO38" si="165">AD38</f>
        <v/>
      </c>
      <c r="AL38" s="10" t="str">
        <f t="shared" si="165"/>
        <v/>
      </c>
      <c r="AM38" s="10" t="str">
        <f t="shared" si="165"/>
        <v/>
      </c>
      <c r="AN38" s="10" t="str">
        <f t="shared" si="165"/>
        <v/>
      </c>
      <c r="AO38" s="10" t="str">
        <f t="shared" si="165"/>
        <v/>
      </c>
      <c r="AP38" s="10"/>
      <c r="AQ38" s="10"/>
      <c r="AR38" s="39" t="str">
        <f t="shared" ref="AR38:AV38" si="166">AK38</f>
        <v/>
      </c>
      <c r="AS38" s="10" t="str">
        <f t="shared" si="166"/>
        <v/>
      </c>
      <c r="AT38" s="10" t="str">
        <f t="shared" si="166"/>
        <v/>
      </c>
      <c r="AU38" s="10" t="str">
        <f t="shared" si="166"/>
        <v/>
      </c>
      <c r="AV38" s="10" t="str">
        <f t="shared" si="166"/>
        <v/>
      </c>
      <c r="AW38" s="10"/>
      <c r="AX38" s="10"/>
      <c r="AY38" s="39" t="str">
        <f t="shared" ref="AY38:BC38" si="167">AR38</f>
        <v/>
      </c>
      <c r="AZ38" s="10" t="str">
        <f t="shared" si="167"/>
        <v/>
      </c>
      <c r="BA38" s="10" t="str">
        <f t="shared" si="167"/>
        <v/>
      </c>
      <c r="BB38" s="10" t="str">
        <f t="shared" si="167"/>
        <v/>
      </c>
      <c r="BC38" s="10" t="str">
        <f t="shared" si="167"/>
        <v/>
      </c>
      <c r="BD38" s="10"/>
      <c r="BE38" s="10"/>
      <c r="BF38" s="39" t="str">
        <f t="shared" ref="BF38:BJ38" si="168">AY38</f>
        <v/>
      </c>
      <c r="BG38" s="10" t="str">
        <f t="shared" si="168"/>
        <v/>
      </c>
      <c r="BH38" s="10" t="str">
        <f t="shared" si="168"/>
        <v/>
      </c>
      <c r="BI38" s="10" t="str">
        <f t="shared" si="168"/>
        <v/>
      </c>
      <c r="BJ38" s="10" t="str">
        <f t="shared" si="168"/>
        <v/>
      </c>
      <c r="BK38" s="10"/>
      <c r="BL38" s="10"/>
      <c r="BM38" s="39" t="str">
        <f t="shared" ref="BM38:BQ38" si="169">BF38</f>
        <v/>
      </c>
      <c r="BN38" s="10" t="str">
        <f t="shared" si="169"/>
        <v/>
      </c>
      <c r="BO38" s="10" t="str">
        <f t="shared" si="169"/>
        <v/>
      </c>
      <c r="BP38" s="10" t="str">
        <f t="shared" si="169"/>
        <v/>
      </c>
      <c r="BQ38" s="10" t="str">
        <f t="shared" si="169"/>
        <v/>
      </c>
      <c r="BR38" s="10"/>
      <c r="BS38" s="10"/>
      <c r="BT38" s="39" t="str">
        <f t="shared" ref="BT38:BX38" si="170">BM38</f>
        <v/>
      </c>
      <c r="BU38" s="10" t="str">
        <f t="shared" si="170"/>
        <v/>
      </c>
      <c r="BV38" s="10" t="str">
        <f t="shared" si="170"/>
        <v/>
      </c>
      <c r="BW38" s="10" t="str">
        <f t="shared" si="170"/>
        <v/>
      </c>
      <c r="BX38" s="10" t="str">
        <f t="shared" si="170"/>
        <v/>
      </c>
      <c r="BY38" s="10"/>
      <c r="BZ38" s="10"/>
      <c r="CA38" s="39" t="str">
        <f t="shared" ref="CA38:CE38" si="171">BT38</f>
        <v/>
      </c>
      <c r="CB38" s="10" t="str">
        <f t="shared" si="171"/>
        <v/>
      </c>
      <c r="CC38" s="10" t="str">
        <f t="shared" si="171"/>
        <v/>
      </c>
      <c r="CD38" s="10" t="str">
        <f t="shared" si="171"/>
        <v/>
      </c>
      <c r="CE38" s="10" t="str">
        <f t="shared" si="171"/>
        <v/>
      </c>
      <c r="CF38" s="10"/>
      <c r="CG38" s="10"/>
      <c r="CH38" s="39" t="str">
        <f t="shared" ref="CH38:CL38" si="172">CA38</f>
        <v/>
      </c>
      <c r="CI38" s="10" t="str">
        <f t="shared" si="172"/>
        <v/>
      </c>
      <c r="CJ38" s="10" t="str">
        <f t="shared" si="172"/>
        <v/>
      </c>
      <c r="CK38" s="10" t="str">
        <f t="shared" si="172"/>
        <v/>
      </c>
      <c r="CL38" s="10" t="str">
        <f t="shared" si="172"/>
        <v/>
      </c>
      <c r="CM38" s="10"/>
      <c r="CN38" s="10"/>
      <c r="CO38" s="39" t="str">
        <f t="shared" ref="CO38:CS38" si="173">CH38</f>
        <v/>
      </c>
      <c r="CP38" s="10" t="str">
        <f t="shared" si="173"/>
        <v/>
      </c>
      <c r="CQ38" s="10" t="str">
        <f t="shared" si="173"/>
        <v/>
      </c>
      <c r="CR38" s="10" t="str">
        <f t="shared" si="173"/>
        <v/>
      </c>
      <c r="CS38" s="10" t="str">
        <f t="shared" si="173"/>
        <v/>
      </c>
      <c r="CT38" s="10"/>
      <c r="CU38" s="10"/>
      <c r="CV38" s="39" t="str">
        <f t="shared" ref="CV38:CZ38" si="174">CO38</f>
        <v/>
      </c>
      <c r="CW38" s="10" t="str">
        <f t="shared" si="174"/>
        <v/>
      </c>
      <c r="CX38" s="10" t="str">
        <f t="shared" si="174"/>
        <v/>
      </c>
      <c r="CY38" s="10" t="str">
        <f t="shared" si="174"/>
        <v/>
      </c>
      <c r="CZ38" s="10" t="str">
        <f t="shared" si="174"/>
        <v/>
      </c>
      <c r="DA38" s="10"/>
      <c r="DB38" s="10"/>
      <c r="DC38" s="39" t="str">
        <f t="shared" ref="DC38:DG38" si="175">CV38</f>
        <v/>
      </c>
      <c r="DD38" s="10" t="str">
        <f t="shared" si="175"/>
        <v/>
      </c>
      <c r="DE38" s="10" t="str">
        <f t="shared" si="175"/>
        <v/>
      </c>
      <c r="DF38" s="10" t="str">
        <f t="shared" si="175"/>
        <v/>
      </c>
      <c r="DG38" s="10" t="str">
        <f t="shared" si="175"/>
        <v/>
      </c>
      <c r="DH38" s="10"/>
      <c r="DI38" s="10"/>
      <c r="DJ38" s="39" t="str">
        <f t="shared" ref="DJ38:DN38" si="176">DC38</f>
        <v/>
      </c>
      <c r="DK38" s="10" t="str">
        <f t="shared" si="176"/>
        <v/>
      </c>
      <c r="DL38" s="10" t="str">
        <f t="shared" si="176"/>
        <v/>
      </c>
      <c r="DM38" s="10" t="str">
        <f t="shared" si="176"/>
        <v/>
      </c>
      <c r="DN38" s="10" t="str">
        <f t="shared" si="176"/>
        <v/>
      </c>
      <c r="DO38" s="10"/>
      <c r="DP38" s="10"/>
      <c r="DQ38" s="39" t="str">
        <f t="shared" ref="DQ38:DU38" si="177">DJ38</f>
        <v/>
      </c>
      <c r="DR38" s="10" t="str">
        <f t="shared" si="177"/>
        <v/>
      </c>
      <c r="DS38" s="10" t="str">
        <f t="shared" si="177"/>
        <v/>
      </c>
      <c r="DT38" s="10" t="str">
        <f t="shared" si="177"/>
        <v/>
      </c>
      <c r="DU38" s="10" t="str">
        <f t="shared" si="177"/>
        <v/>
      </c>
      <c r="DV38" s="10"/>
      <c r="DW38" s="10"/>
      <c r="DX38" s="39" t="str">
        <f t="shared" ref="DX38:EB38" si="178">DQ38</f>
        <v/>
      </c>
      <c r="DY38" s="10" t="str">
        <f t="shared" si="178"/>
        <v/>
      </c>
      <c r="DZ38" s="10" t="str">
        <f t="shared" si="178"/>
        <v/>
      </c>
      <c r="EA38" s="10" t="str">
        <f t="shared" si="178"/>
        <v/>
      </c>
      <c r="EB38" s="10" t="str">
        <f t="shared" si="178"/>
        <v/>
      </c>
      <c r="EC38" s="10"/>
      <c r="ED38" s="10"/>
      <c r="EE38" s="39" t="str">
        <f t="shared" ref="EE38:EI38" si="179">DX38</f>
        <v/>
      </c>
      <c r="EF38" s="10" t="str">
        <f t="shared" si="179"/>
        <v/>
      </c>
      <c r="EG38" s="10" t="str">
        <f t="shared" si="179"/>
        <v/>
      </c>
      <c r="EH38" s="10" t="str">
        <f t="shared" si="179"/>
        <v/>
      </c>
      <c r="EI38" s="10" t="str">
        <f t="shared" si="179"/>
        <v/>
      </c>
      <c r="EJ38" s="10"/>
      <c r="EK38" s="10"/>
      <c r="EL38" s="39" t="str">
        <f t="shared" ref="EL38:EP38" si="180">EE38</f>
        <v/>
      </c>
      <c r="EM38" s="10" t="str">
        <f t="shared" si="180"/>
        <v/>
      </c>
      <c r="EN38" s="10" t="str">
        <f t="shared" si="180"/>
        <v/>
      </c>
      <c r="EO38" s="10" t="str">
        <f t="shared" si="180"/>
        <v/>
      </c>
      <c r="EP38" s="10" t="str">
        <f t="shared" si="180"/>
        <v/>
      </c>
      <c r="EQ38" s="10"/>
      <c r="ER38" s="10"/>
    </row>
    <row r="39">
      <c r="A39" s="1" t="s">
        <v>77</v>
      </c>
      <c r="B39" s="38"/>
      <c r="C39" s="2"/>
      <c r="D39" s="2"/>
      <c r="E39" s="2"/>
      <c r="F39" s="2"/>
      <c r="G39" s="2"/>
      <c r="H39" s="2"/>
      <c r="I39" s="38"/>
      <c r="J39" s="2"/>
      <c r="K39" s="2"/>
      <c r="L39" s="2"/>
      <c r="M39" s="2"/>
      <c r="N39" s="2"/>
      <c r="O39" s="2"/>
      <c r="P39" s="38"/>
      <c r="Q39" s="2"/>
      <c r="R39" s="2"/>
      <c r="S39" s="2"/>
      <c r="T39" s="2"/>
      <c r="U39" s="2"/>
      <c r="V39" s="2"/>
      <c r="W39" s="38"/>
      <c r="X39" s="2"/>
      <c r="Y39" s="2"/>
      <c r="Z39" s="2"/>
      <c r="AA39" s="2"/>
      <c r="AB39" s="2"/>
      <c r="AC39" s="2"/>
      <c r="AD39" s="38"/>
      <c r="AE39" s="2"/>
      <c r="AF39" s="2"/>
      <c r="AG39" s="2"/>
      <c r="AH39" s="2"/>
      <c r="AI39" s="2"/>
      <c r="AJ39" s="2"/>
      <c r="AK39" s="38"/>
      <c r="AL39" s="2"/>
      <c r="AM39" s="2"/>
      <c r="AN39" s="2"/>
      <c r="AO39" s="2"/>
      <c r="AP39" s="2"/>
      <c r="AQ39" s="2"/>
      <c r="AR39" s="38"/>
      <c r="AS39" s="2"/>
      <c r="AT39" s="2"/>
      <c r="AU39" s="2"/>
      <c r="AV39" s="2"/>
      <c r="AW39" s="2"/>
      <c r="AX39" s="2"/>
      <c r="AY39" s="38"/>
      <c r="AZ39" s="2"/>
      <c r="BA39" s="2"/>
      <c r="BB39" s="2"/>
      <c r="BC39" s="2"/>
      <c r="BD39" s="2"/>
      <c r="BE39" s="2"/>
      <c r="BF39" s="38"/>
      <c r="BG39" s="2"/>
      <c r="BH39" s="2"/>
      <c r="BI39" s="2"/>
      <c r="BJ39" s="2"/>
      <c r="BK39" s="2"/>
      <c r="BL39" s="2"/>
      <c r="BM39" s="38"/>
      <c r="BN39" s="2"/>
      <c r="BO39" s="2"/>
      <c r="BP39" s="2"/>
      <c r="BQ39" s="2"/>
      <c r="BR39" s="2"/>
      <c r="BS39" s="2"/>
      <c r="BT39" s="38"/>
      <c r="BU39" s="2"/>
      <c r="BV39" s="2"/>
      <c r="BW39" s="2"/>
      <c r="BX39" s="2"/>
      <c r="BY39" s="2"/>
      <c r="BZ39" s="2"/>
      <c r="CA39" s="38"/>
      <c r="CB39" s="2"/>
      <c r="CC39" s="2"/>
      <c r="CD39" s="2"/>
      <c r="CE39" s="2"/>
      <c r="CF39" s="2"/>
      <c r="CG39" s="2"/>
      <c r="CH39" s="38"/>
      <c r="CI39" s="2"/>
      <c r="CJ39" s="2"/>
      <c r="CK39" s="2"/>
      <c r="CL39" s="2"/>
      <c r="CM39" s="2"/>
      <c r="CN39" s="2"/>
      <c r="CO39" s="38"/>
      <c r="CP39" s="2"/>
      <c r="CQ39" s="2"/>
      <c r="CR39" s="2"/>
      <c r="CS39" s="2"/>
      <c r="CT39" s="2"/>
      <c r="CU39" s="2"/>
      <c r="CV39" s="38"/>
      <c r="CW39" s="2"/>
      <c r="CX39" s="2"/>
      <c r="CY39" s="2"/>
      <c r="CZ39" s="2"/>
      <c r="DA39" s="2"/>
      <c r="DB39" s="2"/>
      <c r="DC39" s="38"/>
      <c r="DD39" s="2"/>
      <c r="DE39" s="2"/>
      <c r="DF39" s="2"/>
      <c r="DG39" s="2"/>
      <c r="DH39" s="2"/>
      <c r="DI39" s="2"/>
      <c r="DJ39" s="38"/>
      <c r="DK39" s="2"/>
      <c r="DL39" s="2"/>
      <c r="DM39" s="2"/>
      <c r="DN39" s="2"/>
      <c r="DO39" s="2"/>
      <c r="DP39" s="2"/>
      <c r="DQ39" s="38"/>
      <c r="DR39" s="2"/>
      <c r="DS39" s="2"/>
      <c r="DT39" s="2"/>
      <c r="DU39" s="2"/>
      <c r="DV39" s="2"/>
      <c r="DW39" s="2"/>
      <c r="DX39" s="38"/>
      <c r="DY39" s="2"/>
      <c r="DZ39" s="2"/>
      <c r="EA39" s="2"/>
      <c r="EB39" s="2"/>
      <c r="EC39" s="2"/>
      <c r="ED39" s="2"/>
      <c r="EE39" s="38"/>
      <c r="EF39" s="2"/>
      <c r="EG39" s="2"/>
      <c r="EH39" s="2"/>
      <c r="EI39" s="2"/>
      <c r="EJ39" s="2"/>
      <c r="EK39" s="2"/>
      <c r="EL39" s="38"/>
      <c r="EM39" s="2"/>
      <c r="EN39" s="2"/>
      <c r="EO39" s="2"/>
      <c r="EP39" s="2"/>
      <c r="EQ39" s="2"/>
      <c r="ER39" s="2"/>
    </row>
    <row r="40">
      <c r="A40" s="40"/>
      <c r="B40" s="39"/>
      <c r="C40" s="10"/>
      <c r="D40" s="10"/>
      <c r="E40" s="10"/>
      <c r="F40" s="10"/>
      <c r="G40" s="10"/>
      <c r="H40" s="10"/>
      <c r="I40" s="39" t="str">
        <f t="shared" ref="I40:M40" si="181">B40</f>
        <v/>
      </c>
      <c r="J40" s="10" t="str">
        <f t="shared" si="181"/>
        <v/>
      </c>
      <c r="K40" s="10" t="str">
        <f t="shared" si="181"/>
        <v/>
      </c>
      <c r="L40" s="10" t="str">
        <f t="shared" si="181"/>
        <v/>
      </c>
      <c r="M40" s="10" t="str">
        <f t="shared" si="181"/>
        <v/>
      </c>
      <c r="N40" s="10"/>
      <c r="O40" s="10"/>
      <c r="P40" s="39" t="str">
        <f t="shared" ref="P40:T40" si="182">I40</f>
        <v/>
      </c>
      <c r="Q40" s="10" t="str">
        <f t="shared" si="182"/>
        <v/>
      </c>
      <c r="R40" s="10" t="str">
        <f t="shared" si="182"/>
        <v/>
      </c>
      <c r="S40" s="10" t="str">
        <f t="shared" si="182"/>
        <v/>
      </c>
      <c r="T40" s="10" t="str">
        <f t="shared" si="182"/>
        <v/>
      </c>
      <c r="U40" s="10"/>
      <c r="V40" s="10"/>
      <c r="W40" s="39" t="str">
        <f t="shared" ref="W40:AA40" si="183">P40</f>
        <v/>
      </c>
      <c r="X40" s="10" t="str">
        <f t="shared" si="183"/>
        <v/>
      </c>
      <c r="Y40" s="10" t="str">
        <f t="shared" si="183"/>
        <v/>
      </c>
      <c r="Z40" s="10" t="str">
        <f t="shared" si="183"/>
        <v/>
      </c>
      <c r="AA40" s="10" t="str">
        <f t="shared" si="183"/>
        <v/>
      </c>
      <c r="AB40" s="10"/>
      <c r="AC40" s="10"/>
      <c r="AD40" s="39" t="str">
        <f t="shared" ref="AD40:AH40" si="184">W40</f>
        <v/>
      </c>
      <c r="AE40" s="10" t="str">
        <f t="shared" si="184"/>
        <v/>
      </c>
      <c r="AF40" s="10" t="str">
        <f t="shared" si="184"/>
        <v/>
      </c>
      <c r="AG40" s="10" t="str">
        <f t="shared" si="184"/>
        <v/>
      </c>
      <c r="AH40" s="10" t="str">
        <f t="shared" si="184"/>
        <v/>
      </c>
      <c r="AI40" s="10"/>
      <c r="AJ40" s="10"/>
      <c r="AK40" s="39" t="str">
        <f t="shared" ref="AK40:AO40" si="185">AD40</f>
        <v/>
      </c>
      <c r="AL40" s="10" t="str">
        <f t="shared" si="185"/>
        <v/>
      </c>
      <c r="AM40" s="10" t="str">
        <f t="shared" si="185"/>
        <v/>
      </c>
      <c r="AN40" s="10" t="str">
        <f t="shared" si="185"/>
        <v/>
      </c>
      <c r="AO40" s="10" t="str">
        <f t="shared" si="185"/>
        <v/>
      </c>
      <c r="AP40" s="10"/>
      <c r="AQ40" s="10"/>
      <c r="AR40" s="39" t="str">
        <f t="shared" ref="AR40:AV40" si="186">AK40</f>
        <v/>
      </c>
      <c r="AS40" s="10" t="str">
        <f t="shared" si="186"/>
        <v/>
      </c>
      <c r="AT40" s="10" t="str">
        <f t="shared" si="186"/>
        <v/>
      </c>
      <c r="AU40" s="10" t="str">
        <f t="shared" si="186"/>
        <v/>
      </c>
      <c r="AV40" s="10" t="str">
        <f t="shared" si="186"/>
        <v/>
      </c>
      <c r="AW40" s="10"/>
      <c r="AX40" s="10"/>
      <c r="AY40" s="39" t="str">
        <f t="shared" ref="AY40:BC40" si="187">AR40</f>
        <v/>
      </c>
      <c r="AZ40" s="10" t="str">
        <f t="shared" si="187"/>
        <v/>
      </c>
      <c r="BA40" s="10" t="str">
        <f t="shared" si="187"/>
        <v/>
      </c>
      <c r="BB40" s="10" t="str">
        <f t="shared" si="187"/>
        <v/>
      </c>
      <c r="BC40" s="10" t="str">
        <f t="shared" si="187"/>
        <v/>
      </c>
      <c r="BD40" s="10"/>
      <c r="BE40" s="10"/>
      <c r="BF40" s="39" t="str">
        <f t="shared" ref="BF40:BJ40" si="188">AY40</f>
        <v/>
      </c>
      <c r="BG40" s="10" t="str">
        <f t="shared" si="188"/>
        <v/>
      </c>
      <c r="BH40" s="10" t="str">
        <f t="shared" si="188"/>
        <v/>
      </c>
      <c r="BI40" s="10" t="str">
        <f t="shared" si="188"/>
        <v/>
      </c>
      <c r="BJ40" s="10" t="str">
        <f t="shared" si="188"/>
        <v/>
      </c>
      <c r="BK40" s="10"/>
      <c r="BL40" s="10"/>
      <c r="BM40" s="39" t="str">
        <f t="shared" ref="BM40:BQ40" si="189">BF40</f>
        <v/>
      </c>
      <c r="BN40" s="10" t="str">
        <f t="shared" si="189"/>
        <v/>
      </c>
      <c r="BO40" s="10" t="str">
        <f t="shared" si="189"/>
        <v/>
      </c>
      <c r="BP40" s="10" t="str">
        <f t="shared" si="189"/>
        <v/>
      </c>
      <c r="BQ40" s="10" t="str">
        <f t="shared" si="189"/>
        <v/>
      </c>
      <c r="BR40" s="10"/>
      <c r="BS40" s="10"/>
      <c r="BT40" s="39" t="str">
        <f t="shared" ref="BT40:BX40" si="190">BM40</f>
        <v/>
      </c>
      <c r="BU40" s="10" t="str">
        <f t="shared" si="190"/>
        <v/>
      </c>
      <c r="BV40" s="10" t="str">
        <f t="shared" si="190"/>
        <v/>
      </c>
      <c r="BW40" s="10" t="str">
        <f t="shared" si="190"/>
        <v/>
      </c>
      <c r="BX40" s="10" t="str">
        <f t="shared" si="190"/>
        <v/>
      </c>
      <c r="BY40" s="10"/>
      <c r="BZ40" s="10"/>
      <c r="CA40" s="39" t="str">
        <f t="shared" ref="CA40:CE40" si="191">BT40</f>
        <v/>
      </c>
      <c r="CB40" s="10" t="str">
        <f t="shared" si="191"/>
        <v/>
      </c>
      <c r="CC40" s="10" t="str">
        <f t="shared" si="191"/>
        <v/>
      </c>
      <c r="CD40" s="10" t="str">
        <f t="shared" si="191"/>
        <v/>
      </c>
      <c r="CE40" s="10" t="str">
        <f t="shared" si="191"/>
        <v/>
      </c>
      <c r="CF40" s="10"/>
      <c r="CG40" s="10"/>
      <c r="CH40" s="39" t="str">
        <f t="shared" ref="CH40:CL40" si="192">CA40</f>
        <v/>
      </c>
      <c r="CI40" s="10" t="str">
        <f t="shared" si="192"/>
        <v/>
      </c>
      <c r="CJ40" s="10" t="str">
        <f t="shared" si="192"/>
        <v/>
      </c>
      <c r="CK40" s="10" t="str">
        <f t="shared" si="192"/>
        <v/>
      </c>
      <c r="CL40" s="10" t="str">
        <f t="shared" si="192"/>
        <v/>
      </c>
      <c r="CM40" s="10"/>
      <c r="CN40" s="10"/>
      <c r="CO40" s="39" t="str">
        <f t="shared" ref="CO40:CS40" si="193">CH40</f>
        <v/>
      </c>
      <c r="CP40" s="10" t="str">
        <f t="shared" si="193"/>
        <v/>
      </c>
      <c r="CQ40" s="10" t="str">
        <f t="shared" si="193"/>
        <v/>
      </c>
      <c r="CR40" s="10" t="str">
        <f t="shared" si="193"/>
        <v/>
      </c>
      <c r="CS40" s="10" t="str">
        <f t="shared" si="193"/>
        <v/>
      </c>
      <c r="CT40" s="10"/>
      <c r="CU40" s="10"/>
      <c r="CV40" s="39" t="str">
        <f t="shared" ref="CV40:CZ40" si="194">CO40</f>
        <v/>
      </c>
      <c r="CW40" s="10" t="str">
        <f t="shared" si="194"/>
        <v/>
      </c>
      <c r="CX40" s="10" t="str">
        <f t="shared" si="194"/>
        <v/>
      </c>
      <c r="CY40" s="10" t="str">
        <f t="shared" si="194"/>
        <v/>
      </c>
      <c r="CZ40" s="10" t="str">
        <f t="shared" si="194"/>
        <v/>
      </c>
      <c r="DA40" s="10"/>
      <c r="DB40" s="10"/>
      <c r="DC40" s="39" t="str">
        <f t="shared" ref="DC40:DG40" si="195">CV40</f>
        <v/>
      </c>
      <c r="DD40" s="10" t="str">
        <f t="shared" si="195"/>
        <v/>
      </c>
      <c r="DE40" s="10" t="str">
        <f t="shared" si="195"/>
        <v/>
      </c>
      <c r="DF40" s="10" t="str">
        <f t="shared" si="195"/>
        <v/>
      </c>
      <c r="DG40" s="10" t="str">
        <f t="shared" si="195"/>
        <v/>
      </c>
      <c r="DH40" s="10"/>
      <c r="DI40" s="10"/>
      <c r="DJ40" s="39" t="str">
        <f t="shared" ref="DJ40:DN40" si="196">DC40</f>
        <v/>
      </c>
      <c r="DK40" s="10" t="str">
        <f t="shared" si="196"/>
        <v/>
      </c>
      <c r="DL40" s="10" t="str">
        <f t="shared" si="196"/>
        <v/>
      </c>
      <c r="DM40" s="10" t="str">
        <f t="shared" si="196"/>
        <v/>
      </c>
      <c r="DN40" s="10" t="str">
        <f t="shared" si="196"/>
        <v/>
      </c>
      <c r="DO40" s="10"/>
      <c r="DP40" s="10"/>
      <c r="DQ40" s="39" t="str">
        <f t="shared" ref="DQ40:DU40" si="197">DJ40</f>
        <v/>
      </c>
      <c r="DR40" s="10" t="str">
        <f t="shared" si="197"/>
        <v/>
      </c>
      <c r="DS40" s="10" t="str">
        <f t="shared" si="197"/>
        <v/>
      </c>
      <c r="DT40" s="10" t="str">
        <f t="shared" si="197"/>
        <v/>
      </c>
      <c r="DU40" s="10" t="str">
        <f t="shared" si="197"/>
        <v/>
      </c>
      <c r="DV40" s="10"/>
      <c r="DW40" s="10"/>
      <c r="DX40" s="39" t="str">
        <f t="shared" ref="DX40:EB40" si="198">DQ40</f>
        <v/>
      </c>
      <c r="DY40" s="10" t="str">
        <f t="shared" si="198"/>
        <v/>
      </c>
      <c r="DZ40" s="10" t="str">
        <f t="shared" si="198"/>
        <v/>
      </c>
      <c r="EA40" s="10" t="str">
        <f t="shared" si="198"/>
        <v/>
      </c>
      <c r="EB40" s="10" t="str">
        <f t="shared" si="198"/>
        <v/>
      </c>
      <c r="EC40" s="10"/>
      <c r="ED40" s="10"/>
      <c r="EE40" s="39" t="str">
        <f t="shared" ref="EE40:EI40" si="199">DX40</f>
        <v/>
      </c>
      <c r="EF40" s="10" t="str">
        <f t="shared" si="199"/>
        <v/>
      </c>
      <c r="EG40" s="10" t="str">
        <f t="shared" si="199"/>
        <v/>
      </c>
      <c r="EH40" s="10" t="str">
        <f t="shared" si="199"/>
        <v/>
      </c>
      <c r="EI40" s="10" t="str">
        <f t="shared" si="199"/>
        <v/>
      </c>
      <c r="EJ40" s="10"/>
      <c r="EK40" s="10"/>
      <c r="EL40" s="39" t="str">
        <f t="shared" ref="EL40:EP40" si="200">EE40</f>
        <v/>
      </c>
      <c r="EM40" s="10" t="str">
        <f t="shared" si="200"/>
        <v/>
      </c>
      <c r="EN40" s="10" t="str">
        <f t="shared" si="200"/>
        <v/>
      </c>
      <c r="EO40" s="10" t="str">
        <f t="shared" si="200"/>
        <v/>
      </c>
      <c r="EP40" s="10" t="str">
        <f t="shared" si="200"/>
        <v/>
      </c>
      <c r="EQ40" s="10"/>
      <c r="ER40" s="10"/>
    </row>
    <row r="41">
      <c r="A41" s="40"/>
      <c r="B41" s="39"/>
      <c r="C41" s="10"/>
      <c r="D41" s="10"/>
      <c r="E41" s="10"/>
      <c r="F41" s="10"/>
      <c r="G41" s="10"/>
      <c r="H41" s="10"/>
      <c r="I41" s="39" t="str">
        <f t="shared" ref="I41:M41" si="201">B41</f>
        <v/>
      </c>
      <c r="J41" s="10" t="str">
        <f t="shared" si="201"/>
        <v/>
      </c>
      <c r="K41" s="10" t="str">
        <f t="shared" si="201"/>
        <v/>
      </c>
      <c r="L41" s="10" t="str">
        <f t="shared" si="201"/>
        <v/>
      </c>
      <c r="M41" s="10" t="str">
        <f t="shared" si="201"/>
        <v/>
      </c>
      <c r="N41" s="10"/>
      <c r="O41" s="10"/>
      <c r="P41" s="39" t="str">
        <f t="shared" ref="P41:T41" si="202">I41</f>
        <v/>
      </c>
      <c r="Q41" s="10" t="str">
        <f t="shared" si="202"/>
        <v/>
      </c>
      <c r="R41" s="10" t="str">
        <f t="shared" si="202"/>
        <v/>
      </c>
      <c r="S41" s="10" t="str">
        <f t="shared" si="202"/>
        <v/>
      </c>
      <c r="T41" s="10" t="str">
        <f t="shared" si="202"/>
        <v/>
      </c>
      <c r="U41" s="10"/>
      <c r="V41" s="10"/>
      <c r="W41" s="39" t="str">
        <f t="shared" ref="W41:AA41" si="203">P41</f>
        <v/>
      </c>
      <c r="X41" s="10" t="str">
        <f t="shared" si="203"/>
        <v/>
      </c>
      <c r="Y41" s="10" t="str">
        <f t="shared" si="203"/>
        <v/>
      </c>
      <c r="Z41" s="10" t="str">
        <f t="shared" si="203"/>
        <v/>
      </c>
      <c r="AA41" s="10" t="str">
        <f t="shared" si="203"/>
        <v/>
      </c>
      <c r="AB41" s="10"/>
      <c r="AC41" s="10"/>
      <c r="AD41" s="39" t="str">
        <f t="shared" ref="AD41:AH41" si="204">W41</f>
        <v/>
      </c>
      <c r="AE41" s="10" t="str">
        <f t="shared" si="204"/>
        <v/>
      </c>
      <c r="AF41" s="10" t="str">
        <f t="shared" si="204"/>
        <v/>
      </c>
      <c r="AG41" s="10" t="str">
        <f t="shared" si="204"/>
        <v/>
      </c>
      <c r="AH41" s="10" t="str">
        <f t="shared" si="204"/>
        <v/>
      </c>
      <c r="AI41" s="10"/>
      <c r="AJ41" s="10"/>
      <c r="AK41" s="39" t="str">
        <f t="shared" ref="AK41:AO41" si="205">AD41</f>
        <v/>
      </c>
      <c r="AL41" s="10" t="str">
        <f t="shared" si="205"/>
        <v/>
      </c>
      <c r="AM41" s="10" t="str">
        <f t="shared" si="205"/>
        <v/>
      </c>
      <c r="AN41" s="10" t="str">
        <f t="shared" si="205"/>
        <v/>
      </c>
      <c r="AO41" s="10" t="str">
        <f t="shared" si="205"/>
        <v/>
      </c>
      <c r="AP41" s="10"/>
      <c r="AQ41" s="10"/>
      <c r="AR41" s="39" t="str">
        <f t="shared" ref="AR41:AV41" si="206">AK41</f>
        <v/>
      </c>
      <c r="AS41" s="10" t="str">
        <f t="shared" si="206"/>
        <v/>
      </c>
      <c r="AT41" s="10" t="str">
        <f t="shared" si="206"/>
        <v/>
      </c>
      <c r="AU41" s="10" t="str">
        <f t="shared" si="206"/>
        <v/>
      </c>
      <c r="AV41" s="10" t="str">
        <f t="shared" si="206"/>
        <v/>
      </c>
      <c r="AW41" s="10"/>
      <c r="AX41" s="10"/>
      <c r="AY41" s="39" t="str">
        <f t="shared" ref="AY41:BC41" si="207">AR41</f>
        <v/>
      </c>
      <c r="AZ41" s="10" t="str">
        <f t="shared" si="207"/>
        <v/>
      </c>
      <c r="BA41" s="10" t="str">
        <f t="shared" si="207"/>
        <v/>
      </c>
      <c r="BB41" s="10" t="str">
        <f t="shared" si="207"/>
        <v/>
      </c>
      <c r="BC41" s="10" t="str">
        <f t="shared" si="207"/>
        <v/>
      </c>
      <c r="BD41" s="10"/>
      <c r="BE41" s="10"/>
      <c r="BF41" s="39" t="str">
        <f t="shared" ref="BF41:BJ41" si="208">AY41</f>
        <v/>
      </c>
      <c r="BG41" s="10" t="str">
        <f t="shared" si="208"/>
        <v/>
      </c>
      <c r="BH41" s="10" t="str">
        <f t="shared" si="208"/>
        <v/>
      </c>
      <c r="BI41" s="10" t="str">
        <f t="shared" si="208"/>
        <v/>
      </c>
      <c r="BJ41" s="10" t="str">
        <f t="shared" si="208"/>
        <v/>
      </c>
      <c r="BK41" s="10"/>
      <c r="BL41" s="10"/>
      <c r="BM41" s="39" t="str">
        <f t="shared" ref="BM41:BQ41" si="209">BF41</f>
        <v/>
      </c>
      <c r="BN41" s="10" t="str">
        <f t="shared" si="209"/>
        <v/>
      </c>
      <c r="BO41" s="10" t="str">
        <f t="shared" si="209"/>
        <v/>
      </c>
      <c r="BP41" s="10" t="str">
        <f t="shared" si="209"/>
        <v/>
      </c>
      <c r="BQ41" s="10" t="str">
        <f t="shared" si="209"/>
        <v/>
      </c>
      <c r="BR41" s="10"/>
      <c r="BS41" s="10"/>
      <c r="BT41" s="39" t="str">
        <f t="shared" ref="BT41:BX41" si="210">BM41</f>
        <v/>
      </c>
      <c r="BU41" s="10" t="str">
        <f t="shared" si="210"/>
        <v/>
      </c>
      <c r="BV41" s="10" t="str">
        <f t="shared" si="210"/>
        <v/>
      </c>
      <c r="BW41" s="10" t="str">
        <f t="shared" si="210"/>
        <v/>
      </c>
      <c r="BX41" s="10" t="str">
        <f t="shared" si="210"/>
        <v/>
      </c>
      <c r="BY41" s="10"/>
      <c r="BZ41" s="10"/>
      <c r="CA41" s="39" t="str">
        <f t="shared" ref="CA41:CE41" si="211">BT41</f>
        <v/>
      </c>
      <c r="CB41" s="10" t="str">
        <f t="shared" si="211"/>
        <v/>
      </c>
      <c r="CC41" s="10" t="str">
        <f t="shared" si="211"/>
        <v/>
      </c>
      <c r="CD41" s="10" t="str">
        <f t="shared" si="211"/>
        <v/>
      </c>
      <c r="CE41" s="10" t="str">
        <f t="shared" si="211"/>
        <v/>
      </c>
      <c r="CF41" s="10"/>
      <c r="CG41" s="10"/>
      <c r="CH41" s="39" t="str">
        <f t="shared" ref="CH41:CL41" si="212">CA41</f>
        <v/>
      </c>
      <c r="CI41" s="10" t="str">
        <f t="shared" si="212"/>
        <v/>
      </c>
      <c r="CJ41" s="10" t="str">
        <f t="shared" si="212"/>
        <v/>
      </c>
      <c r="CK41" s="10" t="str">
        <f t="shared" si="212"/>
        <v/>
      </c>
      <c r="CL41" s="10" t="str">
        <f t="shared" si="212"/>
        <v/>
      </c>
      <c r="CM41" s="10"/>
      <c r="CN41" s="10"/>
      <c r="CO41" s="39" t="str">
        <f t="shared" ref="CO41:CS41" si="213">CH41</f>
        <v/>
      </c>
      <c r="CP41" s="10" t="str">
        <f t="shared" si="213"/>
        <v/>
      </c>
      <c r="CQ41" s="10" t="str">
        <f t="shared" si="213"/>
        <v/>
      </c>
      <c r="CR41" s="10" t="str">
        <f t="shared" si="213"/>
        <v/>
      </c>
      <c r="CS41" s="10" t="str">
        <f t="shared" si="213"/>
        <v/>
      </c>
      <c r="CT41" s="10"/>
      <c r="CU41" s="10"/>
      <c r="CV41" s="39" t="str">
        <f t="shared" ref="CV41:CZ41" si="214">CO41</f>
        <v/>
      </c>
      <c r="CW41" s="10" t="str">
        <f t="shared" si="214"/>
        <v/>
      </c>
      <c r="CX41" s="10" t="str">
        <f t="shared" si="214"/>
        <v/>
      </c>
      <c r="CY41" s="10" t="str">
        <f t="shared" si="214"/>
        <v/>
      </c>
      <c r="CZ41" s="10" t="str">
        <f t="shared" si="214"/>
        <v/>
      </c>
      <c r="DA41" s="10"/>
      <c r="DB41" s="10"/>
      <c r="DC41" s="39" t="str">
        <f t="shared" ref="DC41:DG41" si="215">CV41</f>
        <v/>
      </c>
      <c r="DD41" s="10" t="str">
        <f t="shared" si="215"/>
        <v/>
      </c>
      <c r="DE41" s="10" t="str">
        <f t="shared" si="215"/>
        <v/>
      </c>
      <c r="DF41" s="10" t="str">
        <f t="shared" si="215"/>
        <v/>
      </c>
      <c r="DG41" s="10" t="str">
        <f t="shared" si="215"/>
        <v/>
      </c>
      <c r="DH41" s="10"/>
      <c r="DI41" s="10"/>
      <c r="DJ41" s="39" t="str">
        <f t="shared" ref="DJ41:DN41" si="216">DC41</f>
        <v/>
      </c>
      <c r="DK41" s="10" t="str">
        <f t="shared" si="216"/>
        <v/>
      </c>
      <c r="DL41" s="10" t="str">
        <f t="shared" si="216"/>
        <v/>
      </c>
      <c r="DM41" s="10" t="str">
        <f t="shared" si="216"/>
        <v/>
      </c>
      <c r="DN41" s="10" t="str">
        <f t="shared" si="216"/>
        <v/>
      </c>
      <c r="DO41" s="10"/>
      <c r="DP41" s="10"/>
      <c r="DQ41" s="39" t="str">
        <f t="shared" ref="DQ41:DU41" si="217">DJ41</f>
        <v/>
      </c>
      <c r="DR41" s="10" t="str">
        <f t="shared" si="217"/>
        <v/>
      </c>
      <c r="DS41" s="10" t="str">
        <f t="shared" si="217"/>
        <v/>
      </c>
      <c r="DT41" s="10" t="str">
        <f t="shared" si="217"/>
        <v/>
      </c>
      <c r="DU41" s="10" t="str">
        <f t="shared" si="217"/>
        <v/>
      </c>
      <c r="DV41" s="10"/>
      <c r="DW41" s="10"/>
      <c r="DX41" s="39" t="str">
        <f t="shared" ref="DX41:EB41" si="218">DQ41</f>
        <v/>
      </c>
      <c r="DY41" s="10" t="str">
        <f t="shared" si="218"/>
        <v/>
      </c>
      <c r="DZ41" s="10" t="str">
        <f t="shared" si="218"/>
        <v/>
      </c>
      <c r="EA41" s="10" t="str">
        <f t="shared" si="218"/>
        <v/>
      </c>
      <c r="EB41" s="10" t="str">
        <f t="shared" si="218"/>
        <v/>
      </c>
      <c r="EC41" s="10"/>
      <c r="ED41" s="10"/>
      <c r="EE41" s="39" t="str">
        <f t="shared" ref="EE41:EI41" si="219">DX41</f>
        <v/>
      </c>
      <c r="EF41" s="10" t="str">
        <f t="shared" si="219"/>
        <v/>
      </c>
      <c r="EG41" s="10" t="str">
        <f t="shared" si="219"/>
        <v/>
      </c>
      <c r="EH41" s="10" t="str">
        <f t="shared" si="219"/>
        <v/>
      </c>
      <c r="EI41" s="10" t="str">
        <f t="shared" si="219"/>
        <v/>
      </c>
      <c r="EJ41" s="10"/>
      <c r="EK41" s="10"/>
      <c r="EL41" s="39" t="str">
        <f t="shared" ref="EL41:EP41" si="220">EE41</f>
        <v/>
      </c>
      <c r="EM41" s="10" t="str">
        <f t="shared" si="220"/>
        <v/>
      </c>
      <c r="EN41" s="10" t="str">
        <f t="shared" si="220"/>
        <v/>
      </c>
      <c r="EO41" s="10" t="str">
        <f t="shared" si="220"/>
        <v/>
      </c>
      <c r="EP41" s="10" t="str">
        <f t="shared" si="220"/>
        <v/>
      </c>
      <c r="EQ41" s="10"/>
      <c r="ER41" s="10"/>
    </row>
    <row r="42">
      <c r="A42" s="41"/>
      <c r="B42" s="42"/>
      <c r="C42" s="43"/>
      <c r="D42" s="43"/>
      <c r="E42" s="43"/>
      <c r="F42" s="43"/>
      <c r="G42" s="43"/>
      <c r="H42" s="43"/>
      <c r="I42" s="42" t="str">
        <f t="shared" ref="I42:M42" si="221">B42</f>
        <v/>
      </c>
      <c r="J42" s="43" t="str">
        <f t="shared" si="221"/>
        <v/>
      </c>
      <c r="K42" s="43" t="str">
        <f t="shared" si="221"/>
        <v/>
      </c>
      <c r="L42" s="43" t="str">
        <f t="shared" si="221"/>
        <v/>
      </c>
      <c r="M42" s="43" t="str">
        <f t="shared" si="221"/>
        <v/>
      </c>
      <c r="N42" s="43"/>
      <c r="O42" s="43"/>
      <c r="P42" s="42" t="str">
        <f t="shared" ref="P42:T42" si="222">I42</f>
        <v/>
      </c>
      <c r="Q42" s="43" t="str">
        <f t="shared" si="222"/>
        <v/>
      </c>
      <c r="R42" s="43" t="str">
        <f t="shared" si="222"/>
        <v/>
      </c>
      <c r="S42" s="43" t="str">
        <f t="shared" si="222"/>
        <v/>
      </c>
      <c r="T42" s="43" t="str">
        <f t="shared" si="222"/>
        <v/>
      </c>
      <c r="U42" s="43"/>
      <c r="V42" s="43"/>
      <c r="W42" s="42" t="str">
        <f t="shared" ref="W42:AA42" si="223">P42</f>
        <v/>
      </c>
      <c r="X42" s="43" t="str">
        <f t="shared" si="223"/>
        <v/>
      </c>
      <c r="Y42" s="43" t="str">
        <f t="shared" si="223"/>
        <v/>
      </c>
      <c r="Z42" s="43" t="str">
        <f t="shared" si="223"/>
        <v/>
      </c>
      <c r="AA42" s="43" t="str">
        <f t="shared" si="223"/>
        <v/>
      </c>
      <c r="AB42" s="43"/>
      <c r="AC42" s="43"/>
      <c r="AD42" s="42" t="str">
        <f t="shared" ref="AD42:AH42" si="224">W42</f>
        <v/>
      </c>
      <c r="AE42" s="43" t="str">
        <f t="shared" si="224"/>
        <v/>
      </c>
      <c r="AF42" s="43" t="str">
        <f t="shared" si="224"/>
        <v/>
      </c>
      <c r="AG42" s="43" t="str">
        <f t="shared" si="224"/>
        <v/>
      </c>
      <c r="AH42" s="43" t="str">
        <f t="shared" si="224"/>
        <v/>
      </c>
      <c r="AI42" s="43"/>
      <c r="AJ42" s="43"/>
      <c r="AK42" s="42" t="str">
        <f t="shared" ref="AK42:AO42" si="225">AD42</f>
        <v/>
      </c>
      <c r="AL42" s="43" t="str">
        <f t="shared" si="225"/>
        <v/>
      </c>
      <c r="AM42" s="43" t="str">
        <f t="shared" si="225"/>
        <v/>
      </c>
      <c r="AN42" s="43" t="str">
        <f t="shared" si="225"/>
        <v/>
      </c>
      <c r="AO42" s="43" t="str">
        <f t="shared" si="225"/>
        <v/>
      </c>
      <c r="AP42" s="43"/>
      <c r="AQ42" s="43"/>
      <c r="AR42" s="42" t="str">
        <f t="shared" ref="AR42:AV42" si="226">AK42</f>
        <v/>
      </c>
      <c r="AS42" s="43" t="str">
        <f t="shared" si="226"/>
        <v/>
      </c>
      <c r="AT42" s="43" t="str">
        <f t="shared" si="226"/>
        <v/>
      </c>
      <c r="AU42" s="43" t="str">
        <f t="shared" si="226"/>
        <v/>
      </c>
      <c r="AV42" s="43" t="str">
        <f t="shared" si="226"/>
        <v/>
      </c>
      <c r="AW42" s="43"/>
      <c r="AX42" s="43"/>
      <c r="AY42" s="42" t="str">
        <f t="shared" ref="AY42:BC42" si="227">AR42</f>
        <v/>
      </c>
      <c r="AZ42" s="43" t="str">
        <f t="shared" si="227"/>
        <v/>
      </c>
      <c r="BA42" s="43" t="str">
        <f t="shared" si="227"/>
        <v/>
      </c>
      <c r="BB42" s="43" t="str">
        <f t="shared" si="227"/>
        <v/>
      </c>
      <c r="BC42" s="43" t="str">
        <f t="shared" si="227"/>
        <v/>
      </c>
      <c r="BD42" s="43"/>
      <c r="BE42" s="43"/>
      <c r="BF42" s="42" t="str">
        <f t="shared" ref="BF42:BJ42" si="228">AY42</f>
        <v/>
      </c>
      <c r="BG42" s="43" t="str">
        <f t="shared" si="228"/>
        <v/>
      </c>
      <c r="BH42" s="43" t="str">
        <f t="shared" si="228"/>
        <v/>
      </c>
      <c r="BI42" s="43" t="str">
        <f t="shared" si="228"/>
        <v/>
      </c>
      <c r="BJ42" s="43" t="str">
        <f t="shared" si="228"/>
        <v/>
      </c>
      <c r="BK42" s="43"/>
      <c r="BL42" s="43"/>
      <c r="BM42" s="42" t="str">
        <f t="shared" ref="BM42:BQ42" si="229">BF42</f>
        <v/>
      </c>
      <c r="BN42" s="43" t="str">
        <f t="shared" si="229"/>
        <v/>
      </c>
      <c r="BO42" s="43" t="str">
        <f t="shared" si="229"/>
        <v/>
      </c>
      <c r="BP42" s="43" t="str">
        <f t="shared" si="229"/>
        <v/>
      </c>
      <c r="BQ42" s="43" t="str">
        <f t="shared" si="229"/>
        <v/>
      </c>
      <c r="BR42" s="43"/>
      <c r="BS42" s="43"/>
      <c r="BT42" s="42" t="str">
        <f t="shared" ref="BT42:BX42" si="230">BM42</f>
        <v/>
      </c>
      <c r="BU42" s="43" t="str">
        <f t="shared" si="230"/>
        <v/>
      </c>
      <c r="BV42" s="43" t="str">
        <f t="shared" si="230"/>
        <v/>
      </c>
      <c r="BW42" s="43" t="str">
        <f t="shared" si="230"/>
        <v/>
      </c>
      <c r="BX42" s="43" t="str">
        <f t="shared" si="230"/>
        <v/>
      </c>
      <c r="BY42" s="43"/>
      <c r="BZ42" s="43"/>
      <c r="CA42" s="42" t="str">
        <f t="shared" ref="CA42:CE42" si="231">BT42</f>
        <v/>
      </c>
      <c r="CB42" s="43" t="str">
        <f t="shared" si="231"/>
        <v/>
      </c>
      <c r="CC42" s="43" t="str">
        <f t="shared" si="231"/>
        <v/>
      </c>
      <c r="CD42" s="43" t="str">
        <f t="shared" si="231"/>
        <v/>
      </c>
      <c r="CE42" s="43" t="str">
        <f t="shared" si="231"/>
        <v/>
      </c>
      <c r="CF42" s="43"/>
      <c r="CG42" s="43"/>
      <c r="CH42" s="42" t="str">
        <f t="shared" ref="CH42:CL42" si="232">CA42</f>
        <v/>
      </c>
      <c r="CI42" s="43" t="str">
        <f t="shared" si="232"/>
        <v/>
      </c>
      <c r="CJ42" s="43" t="str">
        <f t="shared" si="232"/>
        <v/>
      </c>
      <c r="CK42" s="43" t="str">
        <f t="shared" si="232"/>
        <v/>
      </c>
      <c r="CL42" s="43" t="str">
        <f t="shared" si="232"/>
        <v/>
      </c>
      <c r="CM42" s="43"/>
      <c r="CN42" s="43"/>
      <c r="CO42" s="42" t="str">
        <f t="shared" ref="CO42:CS42" si="233">CH42</f>
        <v/>
      </c>
      <c r="CP42" s="43" t="str">
        <f t="shared" si="233"/>
        <v/>
      </c>
      <c r="CQ42" s="43" t="str">
        <f t="shared" si="233"/>
        <v/>
      </c>
      <c r="CR42" s="43" t="str">
        <f t="shared" si="233"/>
        <v/>
      </c>
      <c r="CS42" s="43" t="str">
        <f t="shared" si="233"/>
        <v/>
      </c>
      <c r="CT42" s="43"/>
      <c r="CU42" s="43"/>
      <c r="CV42" s="42" t="str">
        <f t="shared" ref="CV42:CZ42" si="234">CO42</f>
        <v/>
      </c>
      <c r="CW42" s="43" t="str">
        <f t="shared" si="234"/>
        <v/>
      </c>
      <c r="CX42" s="43" t="str">
        <f t="shared" si="234"/>
        <v/>
      </c>
      <c r="CY42" s="43" t="str">
        <f t="shared" si="234"/>
        <v/>
      </c>
      <c r="CZ42" s="43" t="str">
        <f t="shared" si="234"/>
        <v/>
      </c>
      <c r="DA42" s="43"/>
      <c r="DB42" s="43"/>
      <c r="DC42" s="42" t="str">
        <f t="shared" ref="DC42:DG42" si="235">CV42</f>
        <v/>
      </c>
      <c r="DD42" s="43" t="str">
        <f t="shared" si="235"/>
        <v/>
      </c>
      <c r="DE42" s="43" t="str">
        <f t="shared" si="235"/>
        <v/>
      </c>
      <c r="DF42" s="43" t="str">
        <f t="shared" si="235"/>
        <v/>
      </c>
      <c r="DG42" s="43" t="str">
        <f t="shared" si="235"/>
        <v/>
      </c>
      <c r="DH42" s="43"/>
      <c r="DI42" s="43"/>
      <c r="DJ42" s="42" t="str">
        <f t="shared" ref="DJ42:DN42" si="236">DC42</f>
        <v/>
      </c>
      <c r="DK42" s="43" t="str">
        <f t="shared" si="236"/>
        <v/>
      </c>
      <c r="DL42" s="43" t="str">
        <f t="shared" si="236"/>
        <v/>
      </c>
      <c r="DM42" s="43" t="str">
        <f t="shared" si="236"/>
        <v/>
      </c>
      <c r="DN42" s="43" t="str">
        <f t="shared" si="236"/>
        <v/>
      </c>
      <c r="DO42" s="43"/>
      <c r="DP42" s="43"/>
      <c r="DQ42" s="42" t="str">
        <f t="shared" ref="DQ42:DU42" si="237">DJ42</f>
        <v/>
      </c>
      <c r="DR42" s="43" t="str">
        <f t="shared" si="237"/>
        <v/>
      </c>
      <c r="DS42" s="43" t="str">
        <f t="shared" si="237"/>
        <v/>
      </c>
      <c r="DT42" s="43" t="str">
        <f t="shared" si="237"/>
        <v/>
      </c>
      <c r="DU42" s="43" t="str">
        <f t="shared" si="237"/>
        <v/>
      </c>
      <c r="DV42" s="43"/>
      <c r="DW42" s="43"/>
      <c r="DX42" s="42" t="str">
        <f t="shared" ref="DX42:EB42" si="238">DQ42</f>
        <v/>
      </c>
      <c r="DY42" s="43" t="str">
        <f t="shared" si="238"/>
        <v/>
      </c>
      <c r="DZ42" s="43" t="str">
        <f t="shared" si="238"/>
        <v/>
      </c>
      <c r="EA42" s="43" t="str">
        <f t="shared" si="238"/>
        <v/>
      </c>
      <c r="EB42" s="43" t="str">
        <f t="shared" si="238"/>
        <v/>
      </c>
      <c r="EC42" s="43"/>
      <c r="ED42" s="43"/>
      <c r="EE42" s="42" t="str">
        <f t="shared" ref="EE42:EI42" si="239">DX42</f>
        <v/>
      </c>
      <c r="EF42" s="43" t="str">
        <f t="shared" si="239"/>
        <v/>
      </c>
      <c r="EG42" s="43" t="str">
        <f t="shared" si="239"/>
        <v/>
      </c>
      <c r="EH42" s="43" t="str">
        <f t="shared" si="239"/>
        <v/>
      </c>
      <c r="EI42" s="43" t="str">
        <f t="shared" si="239"/>
        <v/>
      </c>
      <c r="EJ42" s="43"/>
      <c r="EK42" s="43"/>
      <c r="EL42" s="42" t="str">
        <f t="shared" ref="EL42:EP42" si="240">EE42</f>
        <v/>
      </c>
      <c r="EM42" s="43" t="str">
        <f t="shared" si="240"/>
        <v/>
      </c>
      <c r="EN42" s="43" t="str">
        <f t="shared" si="240"/>
        <v/>
      </c>
      <c r="EO42" s="43" t="str">
        <f t="shared" si="240"/>
        <v/>
      </c>
      <c r="EP42" s="43" t="str">
        <f t="shared" si="240"/>
        <v/>
      </c>
      <c r="EQ42" s="43"/>
      <c r="ER42" s="43"/>
    </row>
  </sheetData>
  <mergeCells count="24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8">
      <formula1>'Quick Setup'!$B$19:$D$26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25"/>
      <c r="B1" s="26" t="s">
        <v>45</v>
      </c>
      <c r="I1" s="26" t="s">
        <v>46</v>
      </c>
      <c r="P1" s="26" t="s">
        <v>47</v>
      </c>
      <c r="W1" s="26" t="s">
        <v>48</v>
      </c>
      <c r="AD1" s="26" t="s">
        <v>49</v>
      </c>
      <c r="AK1" s="26" t="s">
        <v>50</v>
      </c>
      <c r="AR1" s="26" t="s">
        <v>51</v>
      </c>
      <c r="AY1" s="26" t="s">
        <v>52</v>
      </c>
      <c r="BF1" s="26" t="s">
        <v>53</v>
      </c>
      <c r="BM1" s="26" t="s">
        <v>54</v>
      </c>
      <c r="BT1" s="26" t="s">
        <v>55</v>
      </c>
      <c r="CA1" s="26" t="s">
        <v>56</v>
      </c>
      <c r="CH1" s="26" t="s">
        <v>57</v>
      </c>
      <c r="CO1" s="26" t="s">
        <v>58</v>
      </c>
      <c r="CV1" s="26" t="s">
        <v>59</v>
      </c>
      <c r="DC1" s="26" t="s">
        <v>60</v>
      </c>
      <c r="DJ1" s="26" t="s">
        <v>61</v>
      </c>
      <c r="DQ1" s="26" t="s">
        <v>62</v>
      </c>
      <c r="DX1" s="26" t="s">
        <v>63</v>
      </c>
      <c r="EE1" s="26" t="s">
        <v>64</v>
      </c>
      <c r="EL1" s="26" t="s">
        <v>65</v>
      </c>
    </row>
    <row r="2">
      <c r="A2" s="2"/>
      <c r="B2" s="27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27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7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27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27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27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27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27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27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27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27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27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27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27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27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27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27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27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27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27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27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28" t="s">
        <v>74</v>
      </c>
      <c r="B3" s="29"/>
      <c r="C3" s="30"/>
      <c r="D3" s="30"/>
      <c r="E3" s="30"/>
      <c r="F3" s="30"/>
      <c r="G3" s="30"/>
      <c r="H3" s="30"/>
      <c r="I3" s="29"/>
      <c r="J3" s="30"/>
      <c r="K3" s="30"/>
      <c r="L3" s="30"/>
      <c r="M3" s="30"/>
      <c r="N3" s="30"/>
      <c r="O3" s="30"/>
      <c r="P3" s="29"/>
      <c r="Q3" s="30"/>
      <c r="R3" s="30"/>
      <c r="S3" s="30"/>
      <c r="T3" s="30"/>
      <c r="U3" s="30"/>
      <c r="V3" s="30"/>
      <c r="W3" s="29"/>
      <c r="X3" s="30"/>
      <c r="Y3" s="30"/>
      <c r="Z3" s="30"/>
      <c r="AA3" s="30"/>
      <c r="AB3" s="30"/>
      <c r="AC3" s="30"/>
      <c r="AD3" s="29"/>
      <c r="AE3" s="30"/>
      <c r="AF3" s="30"/>
      <c r="AG3" s="30"/>
      <c r="AH3" s="30"/>
      <c r="AI3" s="30"/>
      <c r="AJ3" s="30"/>
      <c r="AK3" s="29"/>
      <c r="AL3" s="30"/>
      <c r="AM3" s="30"/>
      <c r="AN3" s="30"/>
      <c r="AO3" s="30"/>
      <c r="AP3" s="30"/>
      <c r="AQ3" s="30"/>
      <c r="AR3" s="29"/>
      <c r="AS3" s="30"/>
      <c r="AT3" s="30"/>
      <c r="AU3" s="30"/>
      <c r="AV3" s="30"/>
      <c r="AW3" s="30"/>
      <c r="AX3" s="30"/>
      <c r="AY3" s="29"/>
      <c r="AZ3" s="30"/>
      <c r="BA3" s="30"/>
      <c r="BB3" s="30"/>
      <c r="BC3" s="30"/>
      <c r="BD3" s="30"/>
      <c r="BE3" s="30"/>
      <c r="BF3" s="29"/>
      <c r="BG3" s="30"/>
      <c r="BH3" s="30"/>
      <c r="BI3" s="30"/>
      <c r="BJ3" s="30"/>
      <c r="BK3" s="30"/>
      <c r="BL3" s="30"/>
      <c r="BM3" s="29"/>
      <c r="BN3" s="30"/>
      <c r="BO3" s="30"/>
      <c r="BP3" s="30"/>
      <c r="BQ3" s="30"/>
      <c r="BR3" s="30"/>
      <c r="BS3" s="30"/>
      <c r="BT3" s="29"/>
      <c r="BU3" s="30"/>
      <c r="BV3" s="30"/>
      <c r="BW3" s="30"/>
      <c r="BX3" s="30"/>
      <c r="BY3" s="30"/>
      <c r="BZ3" s="30"/>
      <c r="CA3" s="29"/>
      <c r="CB3" s="30"/>
      <c r="CC3" s="30"/>
      <c r="CD3" s="30"/>
      <c r="CE3" s="30"/>
      <c r="CF3" s="30"/>
      <c r="CG3" s="30"/>
      <c r="CH3" s="29"/>
      <c r="CI3" s="30"/>
      <c r="CJ3" s="30"/>
      <c r="CK3" s="30"/>
      <c r="CL3" s="30"/>
      <c r="CM3" s="30"/>
      <c r="CN3" s="30"/>
      <c r="CO3" s="29"/>
      <c r="CP3" s="30"/>
      <c r="CQ3" s="30"/>
      <c r="CR3" s="30"/>
      <c r="CS3" s="30"/>
      <c r="CT3" s="30"/>
      <c r="CU3" s="30"/>
      <c r="CV3" s="29"/>
      <c r="CW3" s="30"/>
      <c r="CX3" s="30"/>
      <c r="CY3" s="30"/>
      <c r="CZ3" s="30"/>
      <c r="DA3" s="30"/>
      <c r="DB3" s="30"/>
      <c r="DC3" s="29"/>
      <c r="DD3" s="30"/>
      <c r="DE3" s="30"/>
      <c r="DF3" s="30"/>
      <c r="DG3" s="30"/>
      <c r="DH3" s="30"/>
      <c r="DI3" s="30"/>
      <c r="DJ3" s="29"/>
      <c r="DK3" s="30"/>
      <c r="DL3" s="30"/>
      <c r="DM3" s="30"/>
      <c r="DN3" s="30"/>
      <c r="DO3" s="30"/>
      <c r="DP3" s="30"/>
      <c r="DQ3" s="29"/>
      <c r="DR3" s="30"/>
      <c r="DS3" s="30"/>
      <c r="DT3" s="30"/>
      <c r="DU3" s="30"/>
      <c r="DV3" s="30"/>
      <c r="DW3" s="30"/>
      <c r="DX3" s="29"/>
      <c r="DY3" s="30"/>
      <c r="DZ3" s="30"/>
      <c r="EA3" s="30"/>
      <c r="EB3" s="30"/>
      <c r="EC3" s="30"/>
      <c r="ED3" s="30"/>
      <c r="EE3" s="31" t="s">
        <v>75</v>
      </c>
      <c r="EF3" s="32"/>
      <c r="EG3" s="32"/>
      <c r="EH3" s="32"/>
      <c r="EI3" s="32"/>
      <c r="EJ3" s="32"/>
      <c r="EK3" s="32"/>
      <c r="EL3" s="29"/>
      <c r="EM3" s="30"/>
      <c r="EN3" s="30"/>
      <c r="EO3" s="30"/>
      <c r="EP3" s="30"/>
      <c r="EQ3" s="30"/>
      <c r="ER3" s="30"/>
    </row>
    <row r="4" hidden="1">
      <c r="A4" s="33" t="str">
        <f>CONCATENATE(A5," TM")</f>
        <v>Squat TM</v>
      </c>
      <c r="B4" s="34">
        <f>if(D4="",'Quick Setup'!D5,D4/'Quick Setup'!E5)</f>
        <v>490</v>
      </c>
      <c r="C4" s="35" t="s">
        <v>73</v>
      </c>
      <c r="D4" s="36"/>
      <c r="E4" s="37"/>
      <c r="F4" s="37"/>
      <c r="G4" s="37"/>
      <c r="H4" s="37"/>
      <c r="I4" s="34">
        <f>if(K4="", if(F5&lt;&gt;"", if(F5&gt;Setup!F4,B4*(1+Setup!G4),if(F5&lt;Setup!E4,B4*(1+Setup!H4),B4)),B4),K4/'Quick Setup'!$E5)</f>
        <v>490</v>
      </c>
      <c r="J4" s="35" t="s">
        <v>73</v>
      </c>
      <c r="K4" s="36"/>
      <c r="L4" s="37"/>
      <c r="M4" s="37"/>
      <c r="N4" s="37"/>
      <c r="O4" s="37"/>
      <c r="P4" s="34">
        <f>if(R4="", if(M5&lt;&gt;"", if(M5&gt;Setup!M4,I4*(1+Setup!N4),if(M5&lt;Setup!L4,I4*(1+Setup!O4),I4)),I4),R4/'Quick Setup'!$E5)</f>
        <v>490</v>
      </c>
      <c r="Q4" s="35" t="s">
        <v>73</v>
      </c>
      <c r="R4" s="36"/>
      <c r="S4" s="37"/>
      <c r="T4" s="37"/>
      <c r="U4" s="37"/>
      <c r="V4" s="37"/>
      <c r="W4" s="34">
        <f>if(Y4="", if(T5&lt;&gt;"", if(T5&gt;Setup!T4,P4*(1+Setup!U4),if(T5&lt;Setup!S4,P4*(1+Setup!V4),P4)),P4),Y4/'Quick Setup'!$E5)</f>
        <v>490</v>
      </c>
      <c r="X4" s="35" t="s">
        <v>73</v>
      </c>
      <c r="Y4" s="36"/>
      <c r="Z4" s="37"/>
      <c r="AA4" s="37"/>
      <c r="AB4" s="37"/>
      <c r="AC4" s="37"/>
      <c r="AD4" s="34">
        <f>if(AF4="", if(AA5&lt;&gt;"", if(AA5&gt;Setup!AA4,W4*(1+Setup!AB4),if(AA5&lt;Setup!Z4,W4*(1+Setup!AC4),W4)),W4),AF4/'Quick Setup'!$E5)</f>
        <v>490</v>
      </c>
      <c r="AE4" s="35" t="s">
        <v>73</v>
      </c>
      <c r="AF4" s="36"/>
      <c r="AG4" s="37"/>
      <c r="AH4" s="37"/>
      <c r="AI4" s="37"/>
      <c r="AJ4" s="37"/>
      <c r="AK4" s="34">
        <f>if(AM4="", if(AH5&lt;&gt;"", if(AH5&gt;Setup!AH4,AD4*(1+Setup!AI4),if(AH5&lt;Setup!AG4,AD4*(1+Setup!AJ4),AD4)),AD4),AM4/'Quick Setup'!$E5)</f>
        <v>490</v>
      </c>
      <c r="AL4" s="35" t="s">
        <v>73</v>
      </c>
      <c r="AM4" s="36"/>
      <c r="AN4" s="37"/>
      <c r="AO4" s="37"/>
      <c r="AP4" s="37"/>
      <c r="AQ4" s="37"/>
      <c r="AR4" s="34">
        <f>if(AT4="", if(AO5&lt;&gt;"", if(AO5&gt;Setup!AO4,AK4*(1+Setup!AP4),if(AO5&lt;Setup!AN4,AK4*(1+Setup!AQ4),AK4)),AK4),AT4/'Quick Setup'!$E5)</f>
        <v>490</v>
      </c>
      <c r="AS4" s="35" t="s">
        <v>73</v>
      </c>
      <c r="AT4" s="36"/>
      <c r="AU4" s="37"/>
      <c r="AV4" s="37"/>
      <c r="AW4" s="37"/>
      <c r="AX4" s="37"/>
      <c r="AY4" s="34">
        <f>if(BA4="",AR4,BA4/'Quick Setup'!$E5)</f>
        <v>490</v>
      </c>
      <c r="AZ4" s="35" t="s">
        <v>73</v>
      </c>
      <c r="BA4" s="36"/>
      <c r="BB4" s="37"/>
      <c r="BC4" s="37"/>
      <c r="BD4" s="37"/>
      <c r="BE4" s="37"/>
      <c r="BF4" s="34">
        <f>if(BH4="", if(BC5&lt;&gt;"", if(BC5&gt;Setup!BC4,AY4*(1+Setup!BD4),if(BC5&lt;Setup!BB4,AY4*(1+Setup!BE4),AY4)),AY4),BH4/'Quick Setup'!$E5)</f>
        <v>490</v>
      </c>
      <c r="BG4" s="35" t="s">
        <v>73</v>
      </c>
      <c r="BH4" s="36"/>
      <c r="BI4" s="37"/>
      <c r="BJ4" s="37"/>
      <c r="BK4" s="37"/>
      <c r="BL4" s="37"/>
      <c r="BM4" s="34">
        <f>if(BO4="", if(BJ5&lt;&gt;"", if(BJ5&gt;Setup!BJ4,BF4*(1+Setup!BK4),if(BJ5&lt;Setup!BI4,BF4*(1+Setup!BL4),BF4)),BF4),BO4/'Quick Setup'!$E5)</f>
        <v>490</v>
      </c>
      <c r="BN4" s="35" t="s">
        <v>73</v>
      </c>
      <c r="BO4" s="36"/>
      <c r="BP4" s="37"/>
      <c r="BQ4" s="37"/>
      <c r="BR4" s="37"/>
      <c r="BS4" s="37"/>
      <c r="BT4" s="34">
        <f>if(BV4="", if(BQ5&lt;&gt;"", if(BQ5&gt;Setup!BQ4,BM4*(1+Setup!BR4),if(BQ5&lt;Setup!BP4,BM4*(1+Setup!BS4),BM4)),BM4),BV4/'Quick Setup'!$E5)</f>
        <v>490</v>
      </c>
      <c r="BU4" s="35" t="s">
        <v>73</v>
      </c>
      <c r="BV4" s="36"/>
      <c r="BW4" s="37"/>
      <c r="BX4" s="37"/>
      <c r="BY4" s="37"/>
      <c r="BZ4" s="37"/>
      <c r="CA4" s="34">
        <f>if(CC4="", if(BX5&lt;&gt;"", if(BX5&gt;Setup!BX4,BT4*(1+Setup!BY4),if(BX5&lt;Setup!BW4,BT4*(1+Setup!BZ4),BT4)),BT4),CC4/'Quick Setup'!$E5)</f>
        <v>490</v>
      </c>
      <c r="CB4" s="35" t="s">
        <v>73</v>
      </c>
      <c r="CC4" s="36"/>
      <c r="CD4" s="37"/>
      <c r="CE4" s="37"/>
      <c r="CF4" s="37"/>
      <c r="CG4" s="37"/>
      <c r="CH4" s="34">
        <f>if(CJ4="", if(CE5&lt;&gt;"", if(CE5&gt;Setup!CE4,CA4*(1+Setup!CF4),if(CE5&lt;Setup!CD4,CA4*(1+Setup!CG4),CA4)),CA4),CJ4/'Quick Setup'!$E5)</f>
        <v>490</v>
      </c>
      <c r="CI4" s="35" t="s">
        <v>73</v>
      </c>
      <c r="CJ4" s="36"/>
      <c r="CK4" s="37"/>
      <c r="CL4" s="37"/>
      <c r="CM4" s="37"/>
      <c r="CN4" s="37"/>
      <c r="CO4" s="34">
        <f>if(CQ4="", if(CL5&lt;&gt;"", if(CL5&gt;Setup!CL4,CH4*(1+Setup!CM4),if(CL5&lt;Setup!CK4,CH4*(1+Setup!CN4),CH4)),CH4),CQ4/'Quick Setup'!$E5)</f>
        <v>490</v>
      </c>
      <c r="CP4" s="35" t="s">
        <v>73</v>
      </c>
      <c r="CQ4" s="36"/>
      <c r="CR4" s="37"/>
      <c r="CS4" s="37"/>
      <c r="CT4" s="37"/>
      <c r="CU4" s="37"/>
      <c r="CV4" s="34">
        <f>if(CX4="",CO4,CX4/'Quick Setup'!$E5)</f>
        <v>490</v>
      </c>
      <c r="CW4" s="35" t="s">
        <v>73</v>
      </c>
      <c r="CX4" s="36"/>
      <c r="CY4" s="37"/>
      <c r="CZ4" s="37"/>
      <c r="DA4" s="37"/>
      <c r="DB4" s="37"/>
      <c r="DC4" s="34">
        <f>if(DE4="", if(CZ5&lt;&gt;"", if(CZ5&gt;Setup!CZ4,CV4*(1+Setup!DA4),if(CZ5&lt;Setup!CY4,CV4*(1+Setup!DB4),CV4)),CV4),DE4/'Quick Setup'!$E5)</f>
        <v>490</v>
      </c>
      <c r="DD4" s="35" t="s">
        <v>73</v>
      </c>
      <c r="DE4" s="36"/>
      <c r="DF4" s="37"/>
      <c r="DG4" s="37"/>
      <c r="DH4" s="37"/>
      <c r="DI4" s="37"/>
      <c r="DJ4" s="34">
        <f>if(DL4="", if(DG5&lt;&gt;"", if(DG5&gt;Setup!DG4,DC4*(1+Setup!DH4),if(DG5&lt;Setup!DF4,DC4*(1+Setup!DI4),DC4)),DC4),DL4/'Quick Setup'!$E5)</f>
        <v>490</v>
      </c>
      <c r="DK4" s="35" t="s">
        <v>73</v>
      </c>
      <c r="DL4" s="36"/>
      <c r="DM4" s="37"/>
      <c r="DN4" s="37"/>
      <c r="DO4" s="37"/>
      <c r="DP4" s="37"/>
      <c r="DQ4" s="34">
        <f>if(DS4="", if(DN5&lt;&gt;"", if(DN5&gt;Setup!DN4,DJ4*(1+Setup!DO4),if(DN5&lt;Setup!DM4,DJ4*(1+Setup!DP4),DJ4)),DJ4),DS4/'Quick Setup'!$E5)</f>
        <v>490</v>
      </c>
      <c r="DR4" s="35" t="s">
        <v>73</v>
      </c>
      <c r="DS4" s="36"/>
      <c r="DT4" s="37"/>
      <c r="DU4" s="37"/>
      <c r="DV4" s="37"/>
      <c r="DW4" s="37"/>
      <c r="DX4" s="34">
        <f>if(DZ4="", if(DU5&lt;&gt;"", if(DU5&gt;Setup!DU4,DQ4*(1+Setup!DV4),if(DU5&lt;Setup!DT4,DQ4*(1+Setup!DW4),DQ4)),DQ4),DZ4/'Quick Setup'!$E5)</f>
        <v>490</v>
      </c>
      <c r="DY4" s="35" t="s">
        <v>73</v>
      </c>
      <c r="DZ4" s="36"/>
      <c r="EA4" s="37"/>
      <c r="EB4" s="37"/>
      <c r="EC4" s="37"/>
      <c r="ED4" s="37"/>
      <c r="EE4" s="34">
        <f>if(EG4="", if(EB5&lt;&gt;"", if(EB5&gt;Setup!EB4,DX4*(1+Setup!EC4),if(EB5&lt;Setup!EA4,DX4*(1+Setup!ED4),DX4)),DX4),EG4/'Quick Setup'!$E5)</f>
        <v>490</v>
      </c>
      <c r="EF4" s="35" t="s">
        <v>73</v>
      </c>
      <c r="EG4" s="36"/>
      <c r="EH4" s="37"/>
      <c r="EI4" s="37"/>
      <c r="EJ4" s="37"/>
      <c r="EK4" s="37"/>
      <c r="EL4" s="34">
        <f>if(EN4="", if(EI5&lt;&gt;"", if(EI5&gt;Setup!EI4,EE4*(1+Setup!EJ4),if(EI5&lt;Setup!EH4,EE4*(1+Setup!EK4),EE4)),EE4),EN4/'Quick Setup'!$E5)</f>
        <v>490</v>
      </c>
      <c r="EM4" s="35" t="s">
        <v>73</v>
      </c>
      <c r="EN4" s="36"/>
      <c r="EO4" s="37"/>
      <c r="EP4" s="37"/>
      <c r="EQ4" s="37"/>
      <c r="ER4" s="37"/>
    </row>
    <row r="5">
      <c r="A5" s="1" t="str">
        <f>Setup!A4</f>
        <v>Squat</v>
      </c>
      <c r="B5" s="38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0"/>
      <c r="G5" s="10"/>
      <c r="H5" s="10"/>
      <c r="I5" s="38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0"/>
      <c r="N5" s="10"/>
      <c r="O5" s="10"/>
      <c r="P5" s="38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0"/>
      <c r="U5" s="10"/>
      <c r="V5" s="10"/>
      <c r="W5" s="38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0"/>
      <c r="AB5" s="10"/>
      <c r="AC5" s="10"/>
      <c r="AD5" s="38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0"/>
      <c r="AI5" s="10"/>
      <c r="AJ5" s="10"/>
      <c r="AK5" s="38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0"/>
      <c r="AP5" s="10"/>
      <c r="AQ5" s="10"/>
      <c r="AR5" s="38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0"/>
      <c r="AW5" s="10"/>
      <c r="AX5" s="10"/>
      <c r="AY5" s="38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0"/>
      <c r="BD5" s="10"/>
      <c r="BE5" s="10"/>
      <c r="BF5" s="38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0"/>
      <c r="BK5" s="10"/>
      <c r="BL5" s="10"/>
      <c r="BM5" s="38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0"/>
      <c r="BR5" s="10"/>
      <c r="BS5" s="10"/>
      <c r="BT5" s="38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0"/>
      <c r="BY5" s="10"/>
      <c r="BZ5" s="10"/>
      <c r="CA5" s="38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0"/>
      <c r="CF5" s="10"/>
      <c r="CG5" s="10"/>
      <c r="CH5" s="38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0"/>
      <c r="CM5" s="10"/>
      <c r="CN5" s="10"/>
      <c r="CO5" s="38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0"/>
      <c r="CT5" s="10"/>
      <c r="CU5" s="10"/>
      <c r="CV5" s="38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0"/>
      <c r="DA5" s="10"/>
      <c r="DB5" s="10"/>
      <c r="DC5" s="38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0"/>
      <c r="DH5" s="10"/>
      <c r="DI5" s="10"/>
      <c r="DJ5" s="38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0"/>
      <c r="DO5" s="10"/>
      <c r="DP5" s="10"/>
      <c r="DQ5" s="38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0"/>
      <c r="DV5" s="10"/>
      <c r="DW5" s="10"/>
      <c r="DX5" s="38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0"/>
      <c r="EC5" s="10"/>
      <c r="ED5" s="10"/>
      <c r="EE5" s="38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0"/>
      <c r="EJ5" s="10"/>
      <c r="EK5" s="10"/>
      <c r="EL5" s="38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0"/>
      <c r="EQ5" s="10"/>
      <c r="ER5" s="10"/>
    </row>
    <row r="6" hidden="1">
      <c r="A6" s="33" t="str">
        <f>CONCATENATE(A7," TM")</f>
        <v>Sumo Deadlift TM</v>
      </c>
      <c r="B6" s="34">
        <f>if(D6="",'Quick Setup'!D15,D6/'Quick Setup'!E15)</f>
        <v>500</v>
      </c>
      <c r="C6" s="35" t="s">
        <v>73</v>
      </c>
      <c r="D6" s="36"/>
      <c r="E6" s="37"/>
      <c r="F6" s="37"/>
      <c r="G6" s="37"/>
      <c r="H6" s="37"/>
      <c r="I6" s="34">
        <f>if(K6="", if(F7&lt;&gt;"", if(F7&gt;Setup!F14,B6*(1+Setup!G14),if(F7&lt;Setup!E14,B6*(1+Setup!H14),B6)),B6),K6/'Quick Setup'!$E15)</f>
        <v>500</v>
      </c>
      <c r="J6" s="35" t="s">
        <v>73</v>
      </c>
      <c r="K6" s="36"/>
      <c r="L6" s="37"/>
      <c r="M6" s="37"/>
      <c r="N6" s="37"/>
      <c r="O6" s="37"/>
      <c r="P6" s="34">
        <f>if(R6="", if(M7&lt;&gt;"", if(M7&gt;Setup!M14,I6*(1+Setup!N14),if(M7&lt;Setup!L14,I6*(1+Setup!O14),I6)),I6),R6/'Quick Setup'!$E15)</f>
        <v>500</v>
      </c>
      <c r="Q6" s="35" t="s">
        <v>73</v>
      </c>
      <c r="R6" s="36"/>
      <c r="S6" s="37"/>
      <c r="T6" s="37"/>
      <c r="U6" s="37"/>
      <c r="V6" s="37"/>
      <c r="W6" s="34">
        <f>if(Y6="", if(T7&lt;&gt;"", if(T7&gt;Setup!T14,P6*(1+Setup!U14),if(T7&lt;Setup!S14,P6*(1+Setup!V14),P6)),P6),Y6/'Quick Setup'!$E15)</f>
        <v>500</v>
      </c>
      <c r="X6" s="35" t="s">
        <v>73</v>
      </c>
      <c r="Y6" s="36"/>
      <c r="Z6" s="37"/>
      <c r="AA6" s="37"/>
      <c r="AB6" s="37"/>
      <c r="AC6" s="37"/>
      <c r="AD6" s="34">
        <f>if(AF6="", if(AA7&lt;&gt;"", if(AA7&gt;Setup!AA14,W6*(1+Setup!AB14),if(AA7&lt;Setup!Z14,W6*(1+Setup!AC14),W6)),W6),AF6/'Quick Setup'!$E15)</f>
        <v>500</v>
      </c>
      <c r="AE6" s="35" t="s">
        <v>73</v>
      </c>
      <c r="AF6" s="36"/>
      <c r="AG6" s="37"/>
      <c r="AH6" s="37"/>
      <c r="AI6" s="37"/>
      <c r="AJ6" s="37"/>
      <c r="AK6" s="34">
        <f>if(AM6="", if(AH7&lt;&gt;"", if(AH7&gt;Setup!AH14,AD6*(1+Setup!AI14),if(AH7&lt;Setup!AG14,AD6*(1+Setup!AJ14),AD6)),AD6),AM6/'Quick Setup'!$E15)</f>
        <v>500</v>
      </c>
      <c r="AL6" s="35" t="s">
        <v>73</v>
      </c>
      <c r="AM6" s="36"/>
      <c r="AN6" s="37"/>
      <c r="AO6" s="37"/>
      <c r="AP6" s="37"/>
      <c r="AQ6" s="37"/>
      <c r="AR6" s="34">
        <f>if(AT6="", if(AO7&lt;&gt;"", if(AO7&gt;Setup!AO14,AK6*(1+Setup!AP14),if(AO7&lt;Setup!AN14,AK6*(1+Setup!AQ14),AK6)),AK6),AT6/'Quick Setup'!$E15)</f>
        <v>500</v>
      </c>
      <c r="AS6" s="35" t="s">
        <v>73</v>
      </c>
      <c r="AT6" s="36"/>
      <c r="AU6" s="37"/>
      <c r="AV6" s="37"/>
      <c r="AW6" s="37"/>
      <c r="AX6" s="37"/>
      <c r="AY6" s="34">
        <f>if(BA6="",AR6,BA6/'Quick Setup'!$E15)</f>
        <v>500</v>
      </c>
      <c r="AZ6" s="35" t="s">
        <v>73</v>
      </c>
      <c r="BA6" s="36"/>
      <c r="BB6" s="37"/>
      <c r="BC6" s="37"/>
      <c r="BD6" s="37"/>
      <c r="BE6" s="37"/>
      <c r="BF6" s="34">
        <f>if(BH6="", if(BC7&lt;&gt;"", if(BC7&gt;Setup!BC14,AY6*(1+Setup!BD14),if(BC7&lt;Setup!BB14,AY6*(1+Setup!BE14),AY6)),AY6),BH6/'Quick Setup'!$E15)</f>
        <v>500</v>
      </c>
      <c r="BG6" s="35" t="s">
        <v>73</v>
      </c>
      <c r="BH6" s="36"/>
      <c r="BI6" s="37"/>
      <c r="BJ6" s="37"/>
      <c r="BK6" s="37"/>
      <c r="BL6" s="37"/>
      <c r="BM6" s="34">
        <f>if(BO6="", if(BJ7&lt;&gt;"", if(BJ7&gt;Setup!BJ14,BF6*(1+Setup!BK14),if(BJ7&lt;Setup!BI14,BF6*(1+Setup!BL14),BF6)),BF6),BO6/'Quick Setup'!$E15)</f>
        <v>500</v>
      </c>
      <c r="BN6" s="35" t="s">
        <v>73</v>
      </c>
      <c r="BO6" s="36"/>
      <c r="BP6" s="37"/>
      <c r="BQ6" s="37"/>
      <c r="BR6" s="37"/>
      <c r="BS6" s="37"/>
      <c r="BT6" s="34">
        <f>if(BV6="", if(BQ7&lt;&gt;"", if(BQ7&gt;Setup!BQ14,BM6*(1+Setup!BR14),if(BQ7&lt;Setup!BP14,BM6*(1+Setup!BS14),BM6)),BM6),BV6/'Quick Setup'!$E15)</f>
        <v>500</v>
      </c>
      <c r="BU6" s="35" t="s">
        <v>73</v>
      </c>
      <c r="BV6" s="36"/>
      <c r="BW6" s="37"/>
      <c r="BX6" s="37"/>
      <c r="BY6" s="37"/>
      <c r="BZ6" s="37"/>
      <c r="CA6" s="34">
        <f>if(CC6="", if(BX7&lt;&gt;"", if(BX7&gt;Setup!BX14,BT6*(1+Setup!BY14),if(BX7&lt;Setup!BW14,BT6*(1+Setup!BZ14),BT6)),BT6),CC6/'Quick Setup'!$E15)</f>
        <v>500</v>
      </c>
      <c r="CB6" s="35" t="s">
        <v>73</v>
      </c>
      <c r="CC6" s="36"/>
      <c r="CD6" s="37"/>
      <c r="CE6" s="37"/>
      <c r="CF6" s="37"/>
      <c r="CG6" s="37"/>
      <c r="CH6" s="34">
        <f>if(CJ6="", if(CE7&lt;&gt;"", if(CE7&gt;Setup!CE14,CA6*(1+Setup!CF14),if(CE7&lt;Setup!CD14,CA6*(1+Setup!CG14),CA6)),CA6),CJ6/'Quick Setup'!$E15)</f>
        <v>500</v>
      </c>
      <c r="CI6" s="35" t="s">
        <v>73</v>
      </c>
      <c r="CJ6" s="36"/>
      <c r="CK6" s="37"/>
      <c r="CL6" s="37"/>
      <c r="CM6" s="37"/>
      <c r="CN6" s="37"/>
      <c r="CO6" s="34">
        <f>if(CQ6="", if(CL7&lt;&gt;"", if(CL7&gt;Setup!CL14,CH6*(1+Setup!CM14),if(CL7&lt;Setup!CK14,CH6*(1+Setup!CN14),CH6)),CH6),CQ6/'Quick Setup'!$E15)</f>
        <v>500</v>
      </c>
      <c r="CP6" s="35" t="s">
        <v>73</v>
      </c>
      <c r="CQ6" s="36"/>
      <c r="CR6" s="37"/>
      <c r="CS6" s="37"/>
      <c r="CT6" s="37"/>
      <c r="CU6" s="37"/>
      <c r="CV6" s="34">
        <f>if(CX6="",CO6,CX6/'Quick Setup'!$E15)</f>
        <v>500</v>
      </c>
      <c r="CW6" s="35" t="s">
        <v>73</v>
      </c>
      <c r="CX6" s="36"/>
      <c r="CY6" s="37"/>
      <c r="CZ6" s="37"/>
      <c r="DA6" s="37"/>
      <c r="DB6" s="37"/>
      <c r="DC6" s="34">
        <f>if(DE6="", if(CZ7&lt;&gt;"", if(CZ7&gt;Setup!CZ14,CV6*(1+Setup!DA14),if(CZ7&lt;Setup!CY14,CV6*(1+Setup!DB14),CV6)),CV6),DE6/'Quick Setup'!$E15)</f>
        <v>500</v>
      </c>
      <c r="DD6" s="35" t="s">
        <v>73</v>
      </c>
      <c r="DE6" s="36"/>
      <c r="DF6" s="37"/>
      <c r="DG6" s="37"/>
      <c r="DH6" s="37"/>
      <c r="DI6" s="37"/>
      <c r="DJ6" s="34">
        <f>if(DL6="", if(DG7&lt;&gt;"", if(DG7&gt;Setup!DG14,DC6*(1+Setup!DH14),if(DG7&lt;Setup!DF14,DC6*(1+Setup!DI14),DC6)),DC6),DL6/'Quick Setup'!$E15)</f>
        <v>500</v>
      </c>
      <c r="DK6" s="35" t="s">
        <v>73</v>
      </c>
      <c r="DL6" s="36"/>
      <c r="DM6" s="37"/>
      <c r="DN6" s="37"/>
      <c r="DO6" s="37"/>
      <c r="DP6" s="37"/>
      <c r="DQ6" s="34">
        <f>if(DS6="", if(DN7&lt;&gt;"", if(DN7&gt;Setup!DN14,DJ6*(1+Setup!DO14),if(DN7&lt;Setup!DM14,DJ6*(1+Setup!DP14),DJ6)),DJ6),DS6/'Quick Setup'!$E15)</f>
        <v>500</v>
      </c>
      <c r="DR6" s="35" t="s">
        <v>73</v>
      </c>
      <c r="DS6" s="36"/>
      <c r="DT6" s="37"/>
      <c r="DU6" s="37"/>
      <c r="DV6" s="37"/>
      <c r="DW6" s="37"/>
      <c r="DX6" s="34">
        <f>if(DZ6="", if(DU7&lt;&gt;"", if(DU7&gt;Setup!DU14,DQ6*(1+Setup!DV14),if(DU7&lt;Setup!DT14,DQ6*(1+Setup!DW14),DQ6)),DQ6),DZ6/'Quick Setup'!$E15)</f>
        <v>500</v>
      </c>
      <c r="DY6" s="35" t="s">
        <v>73</v>
      </c>
      <c r="DZ6" s="36"/>
      <c r="EA6" s="37"/>
      <c r="EB6" s="37"/>
      <c r="EC6" s="37"/>
      <c r="ED6" s="37"/>
      <c r="EE6" s="34">
        <f>if(EG6="", if(EB7&lt;&gt;"", if(EB7&gt;Setup!EB14,DX6*(1+Setup!EC14),if(EB7&lt;Setup!EA14,DX6*(1+Setup!ED14),DX6)),DX6),EG6/'Quick Setup'!$E15)</f>
        <v>500</v>
      </c>
      <c r="EF6" s="35" t="s">
        <v>73</v>
      </c>
      <c r="EG6" s="36"/>
      <c r="EH6" s="37"/>
      <c r="EI6" s="37"/>
      <c r="EJ6" s="37"/>
      <c r="EK6" s="37"/>
      <c r="EL6" s="34">
        <f>if(EN6="", if(EI7&lt;&gt;"", if(EI7&gt;Setup!EI14,EE6*(1+Setup!EJ14),if(EI7&lt;Setup!EH14,EE6*(1+Setup!EK14),EE6)),EE6),EN6/'Quick Setup'!$E15)</f>
        <v>500</v>
      </c>
      <c r="EM6" s="35" t="s">
        <v>73</v>
      </c>
      <c r="EN6" s="36"/>
      <c r="EO6" s="37"/>
      <c r="EP6" s="37"/>
      <c r="EQ6" s="37"/>
      <c r="ER6" s="37"/>
    </row>
    <row r="7">
      <c r="A7" s="1" t="str">
        <f>Setup!A14</f>
        <v>Sumo Deadlift</v>
      </c>
      <c r="B7" s="38">
        <f>mround(B6*Setup!B14,'Quick Setup'!$A$2)</f>
        <v>300</v>
      </c>
      <c r="C7" s="2">
        <f>Setup!C14</f>
        <v>7</v>
      </c>
      <c r="D7" s="2">
        <f>Setup!D14</f>
        <v>4</v>
      </c>
      <c r="E7" s="2" t="str">
        <f>CONCATENATE(Setup!E14,"-",Setup!F14)</f>
        <v>4-6</v>
      </c>
      <c r="F7" s="10"/>
      <c r="G7" s="10"/>
      <c r="H7" s="10"/>
      <c r="I7" s="38">
        <f>mround(I6*Setup!I14,'Quick Setup'!$A$2)</f>
        <v>325</v>
      </c>
      <c r="J7" s="2">
        <f>Setup!J14</f>
        <v>6</v>
      </c>
      <c r="K7" s="2">
        <f>Setup!K14</f>
        <v>4</v>
      </c>
      <c r="L7" s="2" t="str">
        <f>CONCATENATE(Setup!L14,"-",Setup!M14)</f>
        <v>4-6</v>
      </c>
      <c r="M7" s="10"/>
      <c r="N7" s="10"/>
      <c r="O7" s="10"/>
      <c r="P7" s="38">
        <f>mround(P6*Setup!P14,'Quick Setup'!$A$2)</f>
        <v>350</v>
      </c>
      <c r="Q7" s="2">
        <f>Setup!Q14</f>
        <v>5</v>
      </c>
      <c r="R7" s="2">
        <f>Setup!R14</f>
        <v>3</v>
      </c>
      <c r="S7" s="2" t="str">
        <f>CONCATENATE(Setup!S14,"-",Setup!T14)</f>
        <v>4-6</v>
      </c>
      <c r="T7" s="10"/>
      <c r="U7" s="10"/>
      <c r="V7" s="10"/>
      <c r="W7" s="38">
        <f>mround(W6*Setup!W14,'Quick Setup'!$A$2)</f>
        <v>312.5</v>
      </c>
      <c r="X7" s="2">
        <f>Setup!X14</f>
        <v>7</v>
      </c>
      <c r="Y7" s="2">
        <f>Setup!Y14</f>
        <v>4</v>
      </c>
      <c r="Z7" s="2" t="str">
        <f>CONCATENATE(Setup!Z14,"-",Setup!AA14)</f>
        <v>4-6</v>
      </c>
      <c r="AA7" s="10"/>
      <c r="AB7" s="10"/>
      <c r="AC7" s="10"/>
      <c r="AD7" s="38">
        <f>mround(AD6*Setup!AD14,'Quick Setup'!$A$2)</f>
        <v>337.5</v>
      </c>
      <c r="AE7" s="2">
        <f>Setup!AE14</f>
        <v>6</v>
      </c>
      <c r="AF7" s="2">
        <f>Setup!AF14</f>
        <v>4</v>
      </c>
      <c r="AG7" s="2" t="str">
        <f>CONCATENATE(Setup!AG14,"-",Setup!AH14)</f>
        <v>4-6</v>
      </c>
      <c r="AH7" s="10"/>
      <c r="AI7" s="10"/>
      <c r="AJ7" s="10"/>
      <c r="AK7" s="38">
        <f>mround(AK6*Setup!AK14,'Quick Setup'!$A$2)</f>
        <v>362.5</v>
      </c>
      <c r="AL7" s="2">
        <f>Setup!AL14</f>
        <v>5</v>
      </c>
      <c r="AM7" s="2">
        <f>Setup!AM14</f>
        <v>3</v>
      </c>
      <c r="AN7" s="2" t="str">
        <f>CONCATENATE(Setup!AN14,"-",Setup!AO14)</f>
        <v>4-6</v>
      </c>
      <c r="AO7" s="10"/>
      <c r="AP7" s="10"/>
      <c r="AQ7" s="10"/>
      <c r="AR7" s="38">
        <f>mround(AR6*Setup!AR14,'Quick Setup'!$A$2)</f>
        <v>250</v>
      </c>
      <c r="AS7" s="1">
        <v>5.0</v>
      </c>
      <c r="AT7" s="1" t="s">
        <v>76</v>
      </c>
      <c r="AU7" s="2" t="str">
        <f>CONCATENATE(Setup!AU14,"-",Setup!AV14)</f>
        <v>4-6</v>
      </c>
      <c r="AV7" s="10"/>
      <c r="AW7" s="10"/>
      <c r="AX7" s="10"/>
      <c r="AY7" s="38">
        <f>mround(AY6*Setup!AY14,'Quick Setup'!$A$2)</f>
        <v>325</v>
      </c>
      <c r="AZ7" s="2">
        <f>Setup!AZ14</f>
        <v>6</v>
      </c>
      <c r="BA7" s="2">
        <f>Setup!BA14</f>
        <v>4</v>
      </c>
      <c r="BB7" s="2" t="str">
        <f>CONCATENATE(Setup!BB14,"-",Setup!BC14)</f>
        <v>4-6</v>
      </c>
      <c r="BC7" s="10"/>
      <c r="BD7" s="10"/>
      <c r="BE7" s="10"/>
      <c r="BF7" s="38">
        <f>mround(BF6*Setup!BF14,'Quick Setup'!$A$2)</f>
        <v>350</v>
      </c>
      <c r="BG7" s="2">
        <f>Setup!BG14</f>
        <v>5</v>
      </c>
      <c r="BH7" s="2">
        <f>Setup!BH14</f>
        <v>3</v>
      </c>
      <c r="BI7" s="2" t="str">
        <f>CONCATENATE(Setup!BI14,"-",Setup!BJ14)</f>
        <v>4-6</v>
      </c>
      <c r="BJ7" s="10"/>
      <c r="BK7" s="10"/>
      <c r="BL7" s="10"/>
      <c r="BM7" s="38">
        <f>mround(BM6*Setup!BM14,'Quick Setup'!$A$2)</f>
        <v>375</v>
      </c>
      <c r="BN7" s="2">
        <f>Setup!BN14</f>
        <v>4</v>
      </c>
      <c r="BO7" s="2">
        <f>Setup!BO14</f>
        <v>3</v>
      </c>
      <c r="BP7" s="2" t="str">
        <f>CONCATENATE(Setup!BP14,"-",Setup!BQ14)</f>
        <v>4-6</v>
      </c>
      <c r="BQ7" s="10"/>
      <c r="BR7" s="10"/>
      <c r="BS7" s="10"/>
      <c r="BT7" s="38">
        <f>mround(BT6*Setup!BT14,'Quick Setup'!$A$2)</f>
        <v>337.5</v>
      </c>
      <c r="BU7" s="2">
        <f>Setup!BU14</f>
        <v>6</v>
      </c>
      <c r="BV7" s="2">
        <f>Setup!BV14</f>
        <v>4</v>
      </c>
      <c r="BW7" s="2" t="str">
        <f>CONCATENATE(Setup!BW14,"-",Setup!BX14)</f>
        <v>4-6</v>
      </c>
      <c r="BX7" s="10"/>
      <c r="BY7" s="10"/>
      <c r="BZ7" s="10"/>
      <c r="CA7" s="38">
        <f>mround(CA6*Setup!CA14,'Quick Setup'!$A$2)</f>
        <v>362.5</v>
      </c>
      <c r="CB7" s="2">
        <f>Setup!CB14</f>
        <v>5</v>
      </c>
      <c r="CC7" s="2">
        <f>Setup!CC14</f>
        <v>3</v>
      </c>
      <c r="CD7" s="2" t="str">
        <f>CONCATENATE(Setup!CD14,"-",Setup!CE14)</f>
        <v>4-6</v>
      </c>
      <c r="CE7" s="10"/>
      <c r="CF7" s="10"/>
      <c r="CG7" s="10"/>
      <c r="CH7" s="38">
        <f>mround(CH6*Setup!CH14,'Quick Setup'!$A$2)</f>
        <v>387.5</v>
      </c>
      <c r="CI7" s="2">
        <f>Setup!CI14</f>
        <v>4</v>
      </c>
      <c r="CJ7" s="2">
        <f>Setup!CJ14</f>
        <v>3</v>
      </c>
      <c r="CK7" s="2" t="str">
        <f>CONCATENATE(Setup!CK14,"-",Setup!CL14)</f>
        <v>4-6</v>
      </c>
      <c r="CL7" s="10"/>
      <c r="CM7" s="10"/>
      <c r="CN7" s="10"/>
      <c r="CO7" s="38">
        <f>mround(CO6*Setup!CO14,'Quick Setup'!$A$2)</f>
        <v>250</v>
      </c>
      <c r="CP7" s="1">
        <v>5.0</v>
      </c>
      <c r="CQ7" s="1" t="s">
        <v>76</v>
      </c>
      <c r="CR7" s="2" t="str">
        <f>CONCATENATE(Setup!CR14,"-",Setup!CS14)</f>
        <v>4-6</v>
      </c>
      <c r="CS7" s="10"/>
      <c r="CT7" s="10"/>
      <c r="CU7" s="10"/>
      <c r="CV7" s="38">
        <f>mround(CV6*Setup!CV14,'Quick Setup'!$A$2)</f>
        <v>350</v>
      </c>
      <c r="CW7" s="2">
        <f>Setup!CW14</f>
        <v>5</v>
      </c>
      <c r="CX7" s="2">
        <f>Setup!CX14</f>
        <v>3</v>
      </c>
      <c r="CY7" s="2" t="str">
        <f>CONCATENATE(Setup!CY14,"-",Setup!CZ14)</f>
        <v>4-6</v>
      </c>
      <c r="CZ7" s="10"/>
      <c r="DA7" s="10"/>
      <c r="DB7" s="10"/>
      <c r="DC7" s="38">
        <f>mround(DC6*Setup!DC14,'Quick Setup'!$A$2)</f>
        <v>375</v>
      </c>
      <c r="DD7" s="2">
        <f>Setup!DD14</f>
        <v>4</v>
      </c>
      <c r="DE7" s="2">
        <f>Setup!DE14</f>
        <v>3</v>
      </c>
      <c r="DF7" s="2" t="str">
        <f>CONCATENATE(Setup!DF14,"-",Setup!DG14)</f>
        <v>4-6</v>
      </c>
      <c r="DG7" s="10"/>
      <c r="DH7" s="10"/>
      <c r="DI7" s="10"/>
      <c r="DJ7" s="38">
        <f>mround(DJ6*Setup!DJ14,'Quick Setup'!$A$2)</f>
        <v>400</v>
      </c>
      <c r="DK7" s="2">
        <f>Setup!DK14</f>
        <v>3</v>
      </c>
      <c r="DL7" s="2">
        <f>Setup!DL14</f>
        <v>2</v>
      </c>
      <c r="DM7" s="2" t="str">
        <f>CONCATENATE(Setup!DM14,"-",Setup!DN14)</f>
        <v>4-6</v>
      </c>
      <c r="DN7" s="10"/>
      <c r="DO7" s="10"/>
      <c r="DP7" s="10"/>
      <c r="DQ7" s="38">
        <f>mround(DQ6*Setup!DQ14,'Quick Setup'!$A$2)</f>
        <v>375</v>
      </c>
      <c r="DR7" s="2">
        <f>Setup!DR14</f>
        <v>4</v>
      </c>
      <c r="DS7" s="2">
        <f>Setup!DS14</f>
        <v>3</v>
      </c>
      <c r="DT7" s="2" t="str">
        <f>CONCATENATE(Setup!DT14,"-",Setup!DU14)</f>
        <v>4-6</v>
      </c>
      <c r="DU7" s="10"/>
      <c r="DV7" s="10"/>
      <c r="DW7" s="10"/>
      <c r="DX7" s="38">
        <f>mround(DX6*Setup!DX14,'Quick Setup'!$A$2)</f>
        <v>400</v>
      </c>
      <c r="DY7" s="2">
        <f>Setup!DY14</f>
        <v>3</v>
      </c>
      <c r="DZ7" s="2">
        <f>Setup!DZ14</f>
        <v>2</v>
      </c>
      <c r="EA7" s="2" t="str">
        <f>CONCATENATE(Setup!EA14,"-",Setup!EB14)</f>
        <v>4-6</v>
      </c>
      <c r="EB7" s="10"/>
      <c r="EC7" s="10"/>
      <c r="ED7" s="10"/>
      <c r="EE7" s="38">
        <f>mround(EE6*Setup!EE14,'Quick Setup'!$A$2)</f>
        <v>425</v>
      </c>
      <c r="EF7" s="2">
        <f>Setup!EF14</f>
        <v>2</v>
      </c>
      <c r="EG7" s="2">
        <f>Setup!EG14</f>
        <v>2</v>
      </c>
      <c r="EH7" s="2" t="str">
        <f>CONCATENATE(Setup!EH14,"-",Setup!EI14)</f>
        <v>4-6</v>
      </c>
      <c r="EI7" s="10"/>
      <c r="EJ7" s="10"/>
      <c r="EK7" s="10"/>
      <c r="EL7" s="38">
        <f>mround(EL6*Setup!EL14,'Quick Setup'!$A$2)</f>
        <v>250</v>
      </c>
      <c r="EM7" s="1">
        <v>5.0</v>
      </c>
      <c r="EN7" s="1" t="s">
        <v>76</v>
      </c>
      <c r="EO7" s="2" t="str">
        <f>CONCATENATE(Setup!EO14,"-",Setup!EP14)</f>
        <v>4-6</v>
      </c>
      <c r="EP7" s="10"/>
      <c r="EQ7" s="10"/>
      <c r="ER7" s="10"/>
    </row>
    <row r="8" hidden="1">
      <c r="A8" s="33" t="str">
        <f>CONCATENATE(A9," TM")</f>
        <v>Paused Squat TM</v>
      </c>
      <c r="B8" s="34">
        <f>if(D8="",'Quick Setup'!D12,D8/'Quick Setup'!E12)</f>
        <v>460</v>
      </c>
      <c r="C8" s="35" t="s">
        <v>73</v>
      </c>
      <c r="D8" s="36"/>
      <c r="E8" s="37"/>
      <c r="F8" s="37"/>
      <c r="G8" s="37"/>
      <c r="H8" s="37"/>
      <c r="I8" s="34">
        <f>if(K8="", if(F9&lt;&gt;"", if(F9&gt;Setup!F11,B8*(1+Setup!G11),if(F9&lt;Setup!E11,B8*(1+Setup!H11),B8)),B8),K8/'Quick Setup'!$E12)</f>
        <v>460</v>
      </c>
      <c r="J8" s="35" t="s">
        <v>73</v>
      </c>
      <c r="K8" s="36"/>
      <c r="L8" s="37"/>
      <c r="M8" s="37"/>
      <c r="N8" s="37"/>
      <c r="O8" s="37"/>
      <c r="P8" s="34">
        <f>if(R8="", if(M9&lt;&gt;"", if(M9&gt;Setup!M11,I8*(1+Setup!N11),if(M9&lt;Setup!L11,I8*(1+Setup!O11),I8)),I8),R8/'Quick Setup'!$E12)</f>
        <v>460</v>
      </c>
      <c r="Q8" s="35" t="s">
        <v>73</v>
      </c>
      <c r="R8" s="36"/>
      <c r="S8" s="37"/>
      <c r="T8" s="37"/>
      <c r="U8" s="37"/>
      <c r="V8" s="37"/>
      <c r="W8" s="34">
        <f>if(Y8="", if(T9&lt;&gt;"", if(T9&gt;Setup!T11,P8*(1+Setup!U11),if(T9&lt;Setup!S11,P8*(1+Setup!V11),P8)),P8),Y8/'Quick Setup'!$E12)</f>
        <v>460</v>
      </c>
      <c r="X8" s="35" t="s">
        <v>73</v>
      </c>
      <c r="Y8" s="36"/>
      <c r="Z8" s="37"/>
      <c r="AA8" s="37"/>
      <c r="AB8" s="37"/>
      <c r="AC8" s="37"/>
      <c r="AD8" s="34">
        <f>if(AF8="", if(AA9&lt;&gt;"", if(AA9&gt;Setup!AA11,W8*(1+Setup!AB11),if(AA9&lt;Setup!Z11,W8*(1+Setup!AC11),W8)),W8),AF8/'Quick Setup'!$E12)</f>
        <v>460</v>
      </c>
      <c r="AE8" s="35" t="s">
        <v>73</v>
      </c>
      <c r="AF8" s="36"/>
      <c r="AG8" s="37"/>
      <c r="AH8" s="37"/>
      <c r="AI8" s="37"/>
      <c r="AJ8" s="37"/>
      <c r="AK8" s="34">
        <f>if(AM8="", if(AH9&lt;&gt;"", if(AH9&gt;Setup!AH11,AD8*(1+Setup!AI11),if(AH9&lt;Setup!AG11,AD8*(1+Setup!AJ11),AD8)),AD8),AM8/'Quick Setup'!$E12)</f>
        <v>460</v>
      </c>
      <c r="AL8" s="35" t="s">
        <v>73</v>
      </c>
      <c r="AM8" s="36"/>
      <c r="AN8" s="37"/>
      <c r="AO8" s="37"/>
      <c r="AP8" s="37"/>
      <c r="AQ8" s="37"/>
      <c r="AR8" s="34">
        <f>if(AT8="", if(AO9&lt;&gt;"", if(AO9&gt;Setup!AO11,AK8*(1+Setup!AP11),if(AO9&lt;Setup!AN11,AK8*(1+Setup!AQ11),AK8)),AK8),AT8/'Quick Setup'!$E12)</f>
        <v>460</v>
      </c>
      <c r="AS8" s="35" t="s">
        <v>73</v>
      </c>
      <c r="AT8" s="36"/>
      <c r="AU8" s="37"/>
      <c r="AV8" s="37"/>
      <c r="AW8" s="37"/>
      <c r="AX8" s="37"/>
      <c r="AY8" s="34">
        <f>if(BA8="",AR8,BA8/'Quick Setup'!$E12)</f>
        <v>460</v>
      </c>
      <c r="AZ8" s="35" t="s">
        <v>73</v>
      </c>
      <c r="BA8" s="36"/>
      <c r="BB8" s="37"/>
      <c r="BC8" s="37"/>
      <c r="BD8" s="37"/>
      <c r="BE8" s="37"/>
      <c r="BF8" s="34">
        <f>if(BH8="", if(BC9&lt;&gt;"", if(BC9&gt;Setup!BC11,AY8*(1+Setup!BD11),if(BC9&lt;Setup!BB11,AY8*(1+Setup!BE11),AY8)),AY8),BH8/'Quick Setup'!$E12)</f>
        <v>460</v>
      </c>
      <c r="BG8" s="35" t="s">
        <v>73</v>
      </c>
      <c r="BH8" s="36"/>
      <c r="BI8" s="37"/>
      <c r="BJ8" s="37"/>
      <c r="BK8" s="37"/>
      <c r="BL8" s="37"/>
      <c r="BM8" s="34">
        <f>if(BO8="", if(BJ9&lt;&gt;"", if(BJ9&gt;Setup!BJ11,BF8*(1+Setup!BK11),if(BJ9&lt;Setup!BI11,BF8*(1+Setup!BL11),BF8)),BF8),BO8/'Quick Setup'!$E12)</f>
        <v>460</v>
      </c>
      <c r="BN8" s="35" t="s">
        <v>73</v>
      </c>
      <c r="BO8" s="36"/>
      <c r="BP8" s="37"/>
      <c r="BQ8" s="37"/>
      <c r="BR8" s="37"/>
      <c r="BS8" s="37"/>
      <c r="BT8" s="34">
        <f>if(BV8="", if(BQ9&lt;&gt;"", if(BQ9&gt;Setup!BQ11,BM8*(1+Setup!BR11),if(BQ9&lt;Setup!BP11,BM8*(1+Setup!BS11),BM8)),BM8),BV8/'Quick Setup'!$E12)</f>
        <v>460</v>
      </c>
      <c r="BU8" s="35" t="s">
        <v>73</v>
      </c>
      <c r="BV8" s="36"/>
      <c r="BW8" s="37"/>
      <c r="BX8" s="37"/>
      <c r="BY8" s="37"/>
      <c r="BZ8" s="37"/>
      <c r="CA8" s="34">
        <f>if(CC8="", if(BX9&lt;&gt;"", if(BX9&gt;Setup!BX11,BT8*(1+Setup!BY11),if(BX9&lt;Setup!BW11,BT8*(1+Setup!BZ11),BT8)),BT8),CC8/'Quick Setup'!$E12)</f>
        <v>460</v>
      </c>
      <c r="CB8" s="35" t="s">
        <v>73</v>
      </c>
      <c r="CC8" s="36"/>
      <c r="CD8" s="37"/>
      <c r="CE8" s="37"/>
      <c r="CF8" s="37"/>
      <c r="CG8" s="37"/>
      <c r="CH8" s="34">
        <f>if(CJ8="", if(CE9&lt;&gt;"", if(CE9&gt;Setup!CE11,CA8*(1+Setup!CF11),if(CE9&lt;Setup!CD11,CA8*(1+Setup!CG11),CA8)),CA8),CJ8/'Quick Setup'!$E12)</f>
        <v>460</v>
      </c>
      <c r="CI8" s="35" t="s">
        <v>73</v>
      </c>
      <c r="CJ8" s="36"/>
      <c r="CK8" s="37"/>
      <c r="CL8" s="37"/>
      <c r="CM8" s="37"/>
      <c r="CN8" s="37"/>
      <c r="CO8" s="34">
        <f>if(CQ8="", if(CL9&lt;&gt;"", if(CL9&gt;Setup!CL11,CH8*(1+Setup!CM11),if(CL9&lt;Setup!CK11,CH8*(1+Setup!CN11),CH8)),CH8),CQ8/'Quick Setup'!$E12)</f>
        <v>460</v>
      </c>
      <c r="CP8" s="35" t="s">
        <v>73</v>
      </c>
      <c r="CQ8" s="36"/>
      <c r="CR8" s="37"/>
      <c r="CS8" s="37"/>
      <c r="CT8" s="37"/>
      <c r="CU8" s="37"/>
      <c r="CV8" s="34">
        <f>if(CX8="",CO8,CX8/'Quick Setup'!$E12)</f>
        <v>460</v>
      </c>
      <c r="CW8" s="35" t="s">
        <v>73</v>
      </c>
      <c r="CX8" s="36"/>
      <c r="CY8" s="37"/>
      <c r="CZ8" s="37"/>
      <c r="DA8" s="37"/>
      <c r="DB8" s="37"/>
      <c r="DC8" s="34">
        <f>if(DE8="", if(CZ9&lt;&gt;"", if(CZ9&gt;Setup!CZ11,CV8*(1+Setup!DA11),if(CZ9&lt;Setup!CY11,CV8*(1+Setup!DB11),CV8)),CV8),DE8/'Quick Setup'!$E12)</f>
        <v>460</v>
      </c>
      <c r="DD8" s="35" t="s">
        <v>73</v>
      </c>
      <c r="DE8" s="36"/>
      <c r="DF8" s="37"/>
      <c r="DG8" s="37"/>
      <c r="DH8" s="37"/>
      <c r="DI8" s="37"/>
      <c r="DJ8" s="34">
        <f>if(DL8="", if(DG9&lt;&gt;"", if(DG9&gt;Setup!DG11,DC8*(1+Setup!DH11),if(DG9&lt;Setup!DF11,DC8*(1+Setup!DI11),DC8)),DC8),DL8/'Quick Setup'!$E12)</f>
        <v>460</v>
      </c>
      <c r="DK8" s="35" t="s">
        <v>73</v>
      </c>
      <c r="DL8" s="36"/>
      <c r="DM8" s="37"/>
      <c r="DN8" s="37"/>
      <c r="DO8" s="37"/>
      <c r="DP8" s="37"/>
      <c r="DQ8" s="34">
        <f>if(DS8="", if(DN9&lt;&gt;"", if(DN9&gt;Setup!DN11,DJ8*(1+Setup!DO11),if(DN9&lt;Setup!DM11,DJ8*(1+Setup!DP11),DJ8)),DJ8),DS8/'Quick Setup'!$E12)</f>
        <v>460</v>
      </c>
      <c r="DR8" s="35" t="s">
        <v>73</v>
      </c>
      <c r="DS8" s="36"/>
      <c r="DT8" s="37"/>
      <c r="DU8" s="37"/>
      <c r="DV8" s="37"/>
      <c r="DW8" s="37"/>
      <c r="DX8" s="34">
        <f>if(DZ8="", if(DU9&lt;&gt;"", if(DU9&gt;Setup!DU11,DQ8*(1+Setup!DV11),if(DU9&lt;Setup!DT11,DQ8*(1+Setup!DW11),DQ8)),DQ8),DZ8/'Quick Setup'!$E12)</f>
        <v>460</v>
      </c>
      <c r="DY8" s="35" t="s">
        <v>73</v>
      </c>
      <c r="DZ8" s="36"/>
      <c r="EA8" s="37"/>
      <c r="EB8" s="37"/>
      <c r="EC8" s="37"/>
      <c r="ED8" s="37"/>
      <c r="EE8" s="34">
        <f>if(EG8="", if(EB9&lt;&gt;"", if(EB9&gt;Setup!EB11,DX8*(1+Setup!EC11),if(EB9&lt;Setup!EA11,DX8*(1+Setup!ED11),DX8)),DX8),EG8/'Quick Setup'!$E12)</f>
        <v>460</v>
      </c>
      <c r="EF8" s="35" t="s">
        <v>73</v>
      </c>
      <c r="EG8" s="36"/>
      <c r="EH8" s="37"/>
      <c r="EI8" s="37"/>
      <c r="EJ8" s="37"/>
      <c r="EK8" s="37"/>
      <c r="EL8" s="34">
        <f>if(EN8="", if(EI9&lt;&gt;"", if(EI9&gt;Setup!EI11,EE8*(1+Setup!EJ11),if(EI9&lt;Setup!EH11,EE8*(1+Setup!EK11),EE8)),EE8),EN8/'Quick Setup'!$E12)</f>
        <v>460</v>
      </c>
      <c r="EM8" s="35" t="s">
        <v>73</v>
      </c>
      <c r="EN8" s="36"/>
      <c r="EO8" s="37"/>
      <c r="EP8" s="37"/>
      <c r="EQ8" s="37"/>
      <c r="ER8" s="37"/>
    </row>
    <row r="9">
      <c r="A9" s="1" t="str">
        <f>Setup!A11</f>
        <v>Paused Squat</v>
      </c>
      <c r="B9" s="38">
        <f>mround(B8*Setup!B11,'Quick Setup'!$A$2)</f>
        <v>275</v>
      </c>
      <c r="C9" s="2">
        <f>Setup!C11</f>
        <v>7</v>
      </c>
      <c r="D9" s="2">
        <f>Setup!D11</f>
        <v>4</v>
      </c>
      <c r="E9" s="2" t="str">
        <f>CONCATENATE(Setup!E11,"-",Setup!F11)</f>
        <v>4-6</v>
      </c>
      <c r="F9" s="10"/>
      <c r="G9" s="10"/>
      <c r="H9" s="10"/>
      <c r="I9" s="38">
        <f>mround(I8*Setup!I11,'Quick Setup'!$A$2)</f>
        <v>300</v>
      </c>
      <c r="J9" s="2">
        <f>Setup!J11</f>
        <v>6</v>
      </c>
      <c r="K9" s="2">
        <f>Setup!K11</f>
        <v>4</v>
      </c>
      <c r="L9" s="2" t="str">
        <f>CONCATENATE(Setup!L11,"-",Setup!M11)</f>
        <v>4-6</v>
      </c>
      <c r="M9" s="10"/>
      <c r="N9" s="10"/>
      <c r="O9" s="10"/>
      <c r="P9" s="38">
        <f>mround(P8*Setup!P11,'Quick Setup'!$A$2)</f>
        <v>322.5</v>
      </c>
      <c r="Q9" s="2">
        <f>Setup!Q11</f>
        <v>5</v>
      </c>
      <c r="R9" s="2">
        <f>Setup!R11</f>
        <v>3</v>
      </c>
      <c r="S9" s="2" t="str">
        <f>CONCATENATE(Setup!S11,"-",Setup!T11)</f>
        <v>4-6</v>
      </c>
      <c r="T9" s="10"/>
      <c r="U9" s="10"/>
      <c r="V9" s="10"/>
      <c r="W9" s="38">
        <f>mround(W8*Setup!W11,'Quick Setup'!$A$2)</f>
        <v>287.5</v>
      </c>
      <c r="X9" s="2">
        <f>Setup!X11</f>
        <v>7</v>
      </c>
      <c r="Y9" s="2">
        <f>Setup!Y11</f>
        <v>4</v>
      </c>
      <c r="Z9" s="2" t="str">
        <f>CONCATENATE(Setup!Z11,"-",Setup!AA11)</f>
        <v>4-6</v>
      </c>
      <c r="AA9" s="10"/>
      <c r="AB9" s="10"/>
      <c r="AC9" s="10"/>
      <c r="AD9" s="38">
        <f>mround(AD8*Setup!AD11,'Quick Setup'!$A$2)</f>
        <v>310</v>
      </c>
      <c r="AE9" s="2">
        <f>Setup!AE11</f>
        <v>6</v>
      </c>
      <c r="AF9" s="2">
        <f>Setup!AF11</f>
        <v>4</v>
      </c>
      <c r="AG9" s="2" t="str">
        <f>CONCATENATE(Setup!AG11,"-",Setup!AH11)</f>
        <v>4-6</v>
      </c>
      <c r="AH9" s="10"/>
      <c r="AI9" s="10"/>
      <c r="AJ9" s="10"/>
      <c r="AK9" s="38">
        <f>mround(AK8*Setup!AK11,'Quick Setup'!$A$2)</f>
        <v>332.5</v>
      </c>
      <c r="AL9" s="2">
        <f>Setup!AL11</f>
        <v>5</v>
      </c>
      <c r="AM9" s="2">
        <f>Setup!AM11</f>
        <v>3</v>
      </c>
      <c r="AN9" s="2" t="str">
        <f>CONCATENATE(Setup!AN11,"-",Setup!AO11)</f>
        <v>4-6</v>
      </c>
      <c r="AO9" s="10"/>
      <c r="AP9" s="10"/>
      <c r="AQ9" s="10"/>
      <c r="AR9" s="38">
        <f>mround(AR8*Setup!AR11,'Quick Setup'!$A$2)</f>
        <v>230</v>
      </c>
      <c r="AS9" s="1">
        <v>5.0</v>
      </c>
      <c r="AT9" s="1" t="s">
        <v>76</v>
      </c>
      <c r="AU9" s="2" t="str">
        <f>CONCATENATE(Setup!AU11,"-",Setup!AV11)</f>
        <v>4-6</v>
      </c>
      <c r="AV9" s="10"/>
      <c r="AW9" s="10"/>
      <c r="AX9" s="10"/>
      <c r="AY9" s="38">
        <f>mround(AY8*Setup!AY11,'Quick Setup'!$A$2)</f>
        <v>300</v>
      </c>
      <c r="AZ9" s="2">
        <f>Setup!AZ11</f>
        <v>6</v>
      </c>
      <c r="BA9" s="2">
        <f>Setup!BA11</f>
        <v>4</v>
      </c>
      <c r="BB9" s="2" t="str">
        <f>CONCATENATE(Setup!BB11,"-",Setup!BC11)</f>
        <v>4-6</v>
      </c>
      <c r="BC9" s="10"/>
      <c r="BD9" s="10"/>
      <c r="BE9" s="10"/>
      <c r="BF9" s="38">
        <f>mround(BF8*Setup!BF11,'Quick Setup'!$A$2)</f>
        <v>322.5</v>
      </c>
      <c r="BG9" s="2">
        <f>Setup!BG11</f>
        <v>5</v>
      </c>
      <c r="BH9" s="2">
        <f>Setup!BH11</f>
        <v>3</v>
      </c>
      <c r="BI9" s="2" t="str">
        <f>CONCATENATE(Setup!BI11,"-",Setup!BJ11)</f>
        <v>4-6</v>
      </c>
      <c r="BJ9" s="10"/>
      <c r="BK9" s="10"/>
      <c r="BL9" s="10"/>
      <c r="BM9" s="38">
        <f>mround(BM8*Setup!BM11,'Quick Setup'!$A$2)</f>
        <v>345</v>
      </c>
      <c r="BN9" s="2">
        <f>Setup!BN11</f>
        <v>4</v>
      </c>
      <c r="BO9" s="2">
        <f>Setup!BO11</f>
        <v>3</v>
      </c>
      <c r="BP9" s="2" t="str">
        <f>CONCATENATE(Setup!BP11,"-",Setup!BQ11)</f>
        <v>4-6</v>
      </c>
      <c r="BQ9" s="10"/>
      <c r="BR9" s="10"/>
      <c r="BS9" s="10"/>
      <c r="BT9" s="38">
        <f>mround(BT8*Setup!BT11,'Quick Setup'!$A$2)</f>
        <v>310</v>
      </c>
      <c r="BU9" s="2">
        <f>Setup!BU11</f>
        <v>6</v>
      </c>
      <c r="BV9" s="2">
        <f>Setup!BV11</f>
        <v>4</v>
      </c>
      <c r="BW9" s="2" t="str">
        <f>CONCATENATE(Setup!BW11,"-",Setup!BX11)</f>
        <v>4-6</v>
      </c>
      <c r="BX9" s="10"/>
      <c r="BY9" s="10"/>
      <c r="BZ9" s="10"/>
      <c r="CA9" s="38">
        <f>mround(CA8*Setup!CA11,'Quick Setup'!$A$2)</f>
        <v>332.5</v>
      </c>
      <c r="CB9" s="2">
        <f>Setup!CB11</f>
        <v>5</v>
      </c>
      <c r="CC9" s="2">
        <f>Setup!CC11</f>
        <v>3</v>
      </c>
      <c r="CD9" s="2" t="str">
        <f>CONCATENATE(Setup!CD11,"-",Setup!CE11)</f>
        <v>4-6</v>
      </c>
      <c r="CE9" s="10"/>
      <c r="CF9" s="10"/>
      <c r="CG9" s="10"/>
      <c r="CH9" s="38">
        <f>mround(CH8*Setup!CH11,'Quick Setup'!$A$2)</f>
        <v>357.5</v>
      </c>
      <c r="CI9" s="2">
        <f>Setup!CI11</f>
        <v>4</v>
      </c>
      <c r="CJ9" s="2">
        <f>Setup!CJ11</f>
        <v>3</v>
      </c>
      <c r="CK9" s="2" t="str">
        <f>CONCATENATE(Setup!CK11,"-",Setup!CL11)</f>
        <v>4-6</v>
      </c>
      <c r="CL9" s="10"/>
      <c r="CM9" s="10"/>
      <c r="CN9" s="10"/>
      <c r="CO9" s="38">
        <f>mround(CO8*Setup!CO11,'Quick Setup'!$A$2)</f>
        <v>230</v>
      </c>
      <c r="CP9" s="1">
        <v>5.0</v>
      </c>
      <c r="CQ9" s="1" t="s">
        <v>76</v>
      </c>
      <c r="CR9" s="2" t="str">
        <f>CONCATENATE(Setup!CR11,"-",Setup!CS11)</f>
        <v>4-6</v>
      </c>
      <c r="CS9" s="10"/>
      <c r="CT9" s="10"/>
      <c r="CU9" s="10"/>
      <c r="CV9" s="38">
        <f>mround(CV8*Setup!CV11,'Quick Setup'!$A$2)</f>
        <v>322.5</v>
      </c>
      <c r="CW9" s="2">
        <f>Setup!CW11</f>
        <v>5</v>
      </c>
      <c r="CX9" s="2">
        <f>Setup!CX11</f>
        <v>3</v>
      </c>
      <c r="CY9" s="2" t="str">
        <f>CONCATENATE(Setup!CY11,"-",Setup!CZ11)</f>
        <v>4-6</v>
      </c>
      <c r="CZ9" s="10"/>
      <c r="DA9" s="10"/>
      <c r="DB9" s="10"/>
      <c r="DC9" s="38">
        <f>mround(DC8*Setup!DC11,'Quick Setup'!$A$2)</f>
        <v>345</v>
      </c>
      <c r="DD9" s="2">
        <f>Setup!DD11</f>
        <v>4</v>
      </c>
      <c r="DE9" s="2">
        <f>Setup!DE11</f>
        <v>3</v>
      </c>
      <c r="DF9" s="2" t="str">
        <f>CONCATENATE(Setup!DF11,"-",Setup!DG11)</f>
        <v>4-6</v>
      </c>
      <c r="DG9" s="10"/>
      <c r="DH9" s="10"/>
      <c r="DI9" s="10"/>
      <c r="DJ9" s="38">
        <f>mround(DJ8*Setup!DJ11,'Quick Setup'!$A$2)</f>
        <v>367.5</v>
      </c>
      <c r="DK9" s="2">
        <f>Setup!DK11</f>
        <v>3</v>
      </c>
      <c r="DL9" s="2">
        <f>Setup!DL11</f>
        <v>2</v>
      </c>
      <c r="DM9" s="2" t="str">
        <f>CONCATENATE(Setup!DM11,"-",Setup!DN11)</f>
        <v>4-6</v>
      </c>
      <c r="DN9" s="10"/>
      <c r="DO9" s="10"/>
      <c r="DP9" s="10"/>
      <c r="DQ9" s="38">
        <f>mround(DQ8*Setup!DQ11,'Quick Setup'!$A$2)</f>
        <v>345</v>
      </c>
      <c r="DR9" s="2">
        <f>Setup!DR11</f>
        <v>4</v>
      </c>
      <c r="DS9" s="2">
        <f>Setup!DS11</f>
        <v>3</v>
      </c>
      <c r="DT9" s="2" t="str">
        <f>CONCATENATE(Setup!DT11,"-",Setup!DU11)</f>
        <v>4-6</v>
      </c>
      <c r="DU9" s="10"/>
      <c r="DV9" s="10"/>
      <c r="DW9" s="10"/>
      <c r="DX9" s="38">
        <f>mround(DX8*Setup!DX11,'Quick Setup'!$A$2)</f>
        <v>367.5</v>
      </c>
      <c r="DY9" s="2">
        <f>Setup!DY11</f>
        <v>3</v>
      </c>
      <c r="DZ9" s="2">
        <f>Setup!DZ11</f>
        <v>2</v>
      </c>
      <c r="EA9" s="2" t="str">
        <f>CONCATENATE(Setup!EA11,"-",Setup!EB11)</f>
        <v>4-6</v>
      </c>
      <c r="EB9" s="10"/>
      <c r="EC9" s="10"/>
      <c r="ED9" s="10"/>
      <c r="EE9" s="38">
        <f>mround(EE8*Setup!EE11,'Quick Setup'!$A$2)</f>
        <v>390</v>
      </c>
      <c r="EF9" s="2">
        <f>Setup!EF11</f>
        <v>2</v>
      </c>
      <c r="EG9" s="2">
        <f>Setup!EG11</f>
        <v>2</v>
      </c>
      <c r="EH9" s="2" t="str">
        <f>CONCATENATE(Setup!EH11,"-",Setup!EI11)</f>
        <v>4-6</v>
      </c>
      <c r="EI9" s="10"/>
      <c r="EJ9" s="10"/>
      <c r="EK9" s="10"/>
      <c r="EL9" s="38">
        <f>mround(EL8*Setup!EL11,'Quick Setup'!$A$2)</f>
        <v>230</v>
      </c>
      <c r="EM9" s="1">
        <v>5.0</v>
      </c>
      <c r="EN9" s="1" t="s">
        <v>76</v>
      </c>
      <c r="EO9" s="2" t="str">
        <f>CONCATENATE(Setup!EO11,"-",Setup!EP11)</f>
        <v>4-6</v>
      </c>
      <c r="EP9" s="10"/>
      <c r="EQ9" s="10"/>
      <c r="ER9" s="10"/>
    </row>
    <row r="10">
      <c r="A10" s="5"/>
      <c r="B10" s="39"/>
      <c r="C10" s="10"/>
      <c r="D10" s="10"/>
      <c r="E10" s="10"/>
      <c r="F10" s="10"/>
      <c r="G10" s="10"/>
      <c r="H10" s="10"/>
      <c r="I10" s="39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39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39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39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39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39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39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39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39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39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39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39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39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39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39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39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39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39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39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39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77</v>
      </c>
      <c r="B11" s="38"/>
      <c r="C11" s="2"/>
      <c r="D11" s="2"/>
      <c r="E11" s="2"/>
      <c r="F11" s="2"/>
      <c r="G11" s="2"/>
      <c r="H11" s="2"/>
      <c r="I11" s="38"/>
      <c r="J11" s="2"/>
      <c r="K11" s="2"/>
      <c r="L11" s="2"/>
      <c r="M11" s="2"/>
      <c r="N11" s="2"/>
      <c r="O11" s="2"/>
      <c r="P11" s="38"/>
      <c r="Q11" s="2"/>
      <c r="R11" s="2"/>
      <c r="S11" s="2"/>
      <c r="T11" s="2"/>
      <c r="U11" s="2"/>
      <c r="V11" s="2"/>
      <c r="W11" s="38"/>
      <c r="X11" s="2"/>
      <c r="Y11" s="2"/>
      <c r="Z11" s="2"/>
      <c r="AA11" s="2"/>
      <c r="AB11" s="2"/>
      <c r="AC11" s="2"/>
      <c r="AD11" s="38"/>
      <c r="AE11" s="2"/>
      <c r="AF11" s="2"/>
      <c r="AG11" s="2"/>
      <c r="AH11" s="2"/>
      <c r="AI11" s="2"/>
      <c r="AJ11" s="2"/>
      <c r="AK11" s="38"/>
      <c r="AL11" s="2"/>
      <c r="AM11" s="2"/>
      <c r="AN11" s="2"/>
      <c r="AO11" s="2"/>
      <c r="AP11" s="2"/>
      <c r="AQ11" s="2"/>
      <c r="AR11" s="38"/>
      <c r="AS11" s="2"/>
      <c r="AT11" s="2"/>
      <c r="AU11" s="2"/>
      <c r="AV11" s="2"/>
      <c r="AW11" s="2"/>
      <c r="AX11" s="2"/>
      <c r="AY11" s="38"/>
      <c r="AZ11" s="2"/>
      <c r="BA11" s="2"/>
      <c r="BB11" s="2"/>
      <c r="BC11" s="2"/>
      <c r="BD11" s="2"/>
      <c r="BE11" s="2"/>
      <c r="BF11" s="38"/>
      <c r="BG11" s="2"/>
      <c r="BH11" s="2"/>
      <c r="BI11" s="2"/>
      <c r="BJ11" s="2"/>
      <c r="BK11" s="2"/>
      <c r="BL11" s="2"/>
      <c r="BM11" s="38"/>
      <c r="BN11" s="2"/>
      <c r="BO11" s="2"/>
      <c r="BP11" s="2"/>
      <c r="BQ11" s="2"/>
      <c r="BR11" s="2"/>
      <c r="BS11" s="2"/>
      <c r="BT11" s="38"/>
      <c r="BU11" s="2"/>
      <c r="BV11" s="2"/>
      <c r="BW11" s="2"/>
      <c r="BX11" s="2"/>
      <c r="BY11" s="2"/>
      <c r="BZ11" s="2"/>
      <c r="CA11" s="38"/>
      <c r="CB11" s="2"/>
      <c r="CC11" s="2"/>
      <c r="CD11" s="2"/>
      <c r="CE11" s="2"/>
      <c r="CF11" s="2"/>
      <c r="CG11" s="2"/>
      <c r="CH11" s="38"/>
      <c r="CI11" s="2"/>
      <c r="CJ11" s="2"/>
      <c r="CK11" s="2"/>
      <c r="CL11" s="2"/>
      <c r="CM11" s="2"/>
      <c r="CN11" s="2"/>
      <c r="CO11" s="38"/>
      <c r="CP11" s="2"/>
      <c r="CQ11" s="2"/>
      <c r="CR11" s="2"/>
      <c r="CS11" s="2"/>
      <c r="CT11" s="2"/>
      <c r="CU11" s="2"/>
      <c r="CV11" s="38"/>
      <c r="CW11" s="2"/>
      <c r="CX11" s="2"/>
      <c r="CY11" s="2"/>
      <c r="CZ11" s="2"/>
      <c r="DA11" s="2"/>
      <c r="DB11" s="2"/>
      <c r="DC11" s="38"/>
      <c r="DD11" s="2"/>
      <c r="DE11" s="2"/>
      <c r="DF11" s="2"/>
      <c r="DG11" s="2"/>
      <c r="DH11" s="2"/>
      <c r="DI11" s="2"/>
      <c r="DJ11" s="38"/>
      <c r="DK11" s="2"/>
      <c r="DL11" s="2"/>
      <c r="DM11" s="2"/>
      <c r="DN11" s="2"/>
      <c r="DO11" s="2"/>
      <c r="DP11" s="2"/>
      <c r="DQ11" s="38"/>
      <c r="DR11" s="2"/>
      <c r="DS11" s="2"/>
      <c r="DT11" s="2"/>
      <c r="DU11" s="2"/>
      <c r="DV11" s="2"/>
      <c r="DW11" s="2"/>
      <c r="DX11" s="38"/>
      <c r="DY11" s="2"/>
      <c r="DZ11" s="2"/>
      <c r="EA11" s="2"/>
      <c r="EB11" s="2"/>
      <c r="EC11" s="2"/>
      <c r="ED11" s="2"/>
      <c r="EE11" s="38"/>
      <c r="EF11" s="2"/>
      <c r="EG11" s="2"/>
      <c r="EH11" s="2"/>
      <c r="EI11" s="2"/>
      <c r="EJ11" s="2"/>
      <c r="EK11" s="2"/>
      <c r="EL11" s="38"/>
      <c r="EM11" s="2"/>
      <c r="EN11" s="2"/>
      <c r="EO11" s="2"/>
      <c r="EP11" s="2"/>
      <c r="EQ11" s="2"/>
      <c r="ER11" s="2"/>
    </row>
    <row r="12">
      <c r="A12" s="40"/>
      <c r="B12" s="39"/>
      <c r="C12" s="10"/>
      <c r="D12" s="10"/>
      <c r="E12" s="10"/>
      <c r="F12" s="10"/>
      <c r="G12" s="10"/>
      <c r="H12" s="10"/>
      <c r="I12" s="39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39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39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39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39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39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39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39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39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39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39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39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39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39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39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39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39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39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39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39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0"/>
      <c r="B13" s="39"/>
      <c r="C13" s="10"/>
      <c r="D13" s="10"/>
      <c r="E13" s="10"/>
      <c r="F13" s="10"/>
      <c r="G13" s="10"/>
      <c r="H13" s="10"/>
      <c r="I13" s="39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39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39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39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39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39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39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39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39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39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39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39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39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39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39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39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39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39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39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39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1"/>
      <c r="B14" s="42"/>
      <c r="C14" s="43"/>
      <c r="D14" s="43"/>
      <c r="E14" s="43"/>
      <c r="F14" s="43"/>
      <c r="G14" s="43"/>
      <c r="H14" s="43"/>
      <c r="I14" s="42" t="str">
        <f t="shared" ref="I14:M14" si="61">B14</f>
        <v/>
      </c>
      <c r="J14" s="43" t="str">
        <f t="shared" si="61"/>
        <v/>
      </c>
      <c r="K14" s="43" t="str">
        <f t="shared" si="61"/>
        <v/>
      </c>
      <c r="L14" s="43" t="str">
        <f t="shared" si="61"/>
        <v/>
      </c>
      <c r="M14" s="43" t="str">
        <f t="shared" si="61"/>
        <v/>
      </c>
      <c r="N14" s="43"/>
      <c r="O14" s="43"/>
      <c r="P14" s="42" t="str">
        <f t="shared" ref="P14:T14" si="62">I14</f>
        <v/>
      </c>
      <c r="Q14" s="43" t="str">
        <f t="shared" si="62"/>
        <v/>
      </c>
      <c r="R14" s="43" t="str">
        <f t="shared" si="62"/>
        <v/>
      </c>
      <c r="S14" s="43" t="str">
        <f t="shared" si="62"/>
        <v/>
      </c>
      <c r="T14" s="43" t="str">
        <f t="shared" si="62"/>
        <v/>
      </c>
      <c r="U14" s="43"/>
      <c r="V14" s="43"/>
      <c r="W14" s="42" t="str">
        <f t="shared" ref="W14:AA14" si="63">P14</f>
        <v/>
      </c>
      <c r="X14" s="43" t="str">
        <f t="shared" si="63"/>
        <v/>
      </c>
      <c r="Y14" s="43" t="str">
        <f t="shared" si="63"/>
        <v/>
      </c>
      <c r="Z14" s="43" t="str">
        <f t="shared" si="63"/>
        <v/>
      </c>
      <c r="AA14" s="43" t="str">
        <f t="shared" si="63"/>
        <v/>
      </c>
      <c r="AB14" s="43"/>
      <c r="AC14" s="43"/>
      <c r="AD14" s="42" t="str">
        <f t="shared" ref="AD14:AH14" si="64">W14</f>
        <v/>
      </c>
      <c r="AE14" s="43" t="str">
        <f t="shared" si="64"/>
        <v/>
      </c>
      <c r="AF14" s="43" t="str">
        <f t="shared" si="64"/>
        <v/>
      </c>
      <c r="AG14" s="43" t="str">
        <f t="shared" si="64"/>
        <v/>
      </c>
      <c r="AH14" s="43" t="str">
        <f t="shared" si="64"/>
        <v/>
      </c>
      <c r="AI14" s="43"/>
      <c r="AJ14" s="43"/>
      <c r="AK14" s="42" t="str">
        <f t="shared" ref="AK14:AO14" si="65">AD14</f>
        <v/>
      </c>
      <c r="AL14" s="43" t="str">
        <f t="shared" si="65"/>
        <v/>
      </c>
      <c r="AM14" s="43" t="str">
        <f t="shared" si="65"/>
        <v/>
      </c>
      <c r="AN14" s="43" t="str">
        <f t="shared" si="65"/>
        <v/>
      </c>
      <c r="AO14" s="43" t="str">
        <f t="shared" si="65"/>
        <v/>
      </c>
      <c r="AP14" s="43"/>
      <c r="AQ14" s="43"/>
      <c r="AR14" s="42" t="str">
        <f t="shared" ref="AR14:AV14" si="66">AK14</f>
        <v/>
      </c>
      <c r="AS14" s="43" t="str">
        <f t="shared" si="66"/>
        <v/>
      </c>
      <c r="AT14" s="43" t="str">
        <f t="shared" si="66"/>
        <v/>
      </c>
      <c r="AU14" s="43" t="str">
        <f t="shared" si="66"/>
        <v/>
      </c>
      <c r="AV14" s="43" t="str">
        <f t="shared" si="66"/>
        <v/>
      </c>
      <c r="AW14" s="43"/>
      <c r="AX14" s="43"/>
      <c r="AY14" s="42" t="str">
        <f t="shared" ref="AY14:BC14" si="67">AR14</f>
        <v/>
      </c>
      <c r="AZ14" s="43" t="str">
        <f t="shared" si="67"/>
        <v/>
      </c>
      <c r="BA14" s="43" t="str">
        <f t="shared" si="67"/>
        <v/>
      </c>
      <c r="BB14" s="43" t="str">
        <f t="shared" si="67"/>
        <v/>
      </c>
      <c r="BC14" s="43" t="str">
        <f t="shared" si="67"/>
        <v/>
      </c>
      <c r="BD14" s="43"/>
      <c r="BE14" s="43"/>
      <c r="BF14" s="42" t="str">
        <f t="shared" ref="BF14:BJ14" si="68">AY14</f>
        <v/>
      </c>
      <c r="BG14" s="43" t="str">
        <f t="shared" si="68"/>
        <v/>
      </c>
      <c r="BH14" s="43" t="str">
        <f t="shared" si="68"/>
        <v/>
      </c>
      <c r="BI14" s="43" t="str">
        <f t="shared" si="68"/>
        <v/>
      </c>
      <c r="BJ14" s="43" t="str">
        <f t="shared" si="68"/>
        <v/>
      </c>
      <c r="BK14" s="43"/>
      <c r="BL14" s="43"/>
      <c r="BM14" s="42" t="str">
        <f t="shared" ref="BM14:BQ14" si="69">BF14</f>
        <v/>
      </c>
      <c r="BN14" s="43" t="str">
        <f t="shared" si="69"/>
        <v/>
      </c>
      <c r="BO14" s="43" t="str">
        <f t="shared" si="69"/>
        <v/>
      </c>
      <c r="BP14" s="43" t="str">
        <f t="shared" si="69"/>
        <v/>
      </c>
      <c r="BQ14" s="43" t="str">
        <f t="shared" si="69"/>
        <v/>
      </c>
      <c r="BR14" s="43"/>
      <c r="BS14" s="43"/>
      <c r="BT14" s="42" t="str">
        <f t="shared" ref="BT14:BX14" si="70">BM14</f>
        <v/>
      </c>
      <c r="BU14" s="43" t="str">
        <f t="shared" si="70"/>
        <v/>
      </c>
      <c r="BV14" s="43" t="str">
        <f t="shared" si="70"/>
        <v/>
      </c>
      <c r="BW14" s="43" t="str">
        <f t="shared" si="70"/>
        <v/>
      </c>
      <c r="BX14" s="43" t="str">
        <f t="shared" si="70"/>
        <v/>
      </c>
      <c r="BY14" s="43"/>
      <c r="BZ14" s="43"/>
      <c r="CA14" s="42" t="str">
        <f t="shared" ref="CA14:CE14" si="71">BT14</f>
        <v/>
      </c>
      <c r="CB14" s="43" t="str">
        <f t="shared" si="71"/>
        <v/>
      </c>
      <c r="CC14" s="43" t="str">
        <f t="shared" si="71"/>
        <v/>
      </c>
      <c r="CD14" s="43" t="str">
        <f t="shared" si="71"/>
        <v/>
      </c>
      <c r="CE14" s="43" t="str">
        <f t="shared" si="71"/>
        <v/>
      </c>
      <c r="CF14" s="43"/>
      <c r="CG14" s="43"/>
      <c r="CH14" s="42" t="str">
        <f t="shared" ref="CH14:CL14" si="72">CA14</f>
        <v/>
      </c>
      <c r="CI14" s="43" t="str">
        <f t="shared" si="72"/>
        <v/>
      </c>
      <c r="CJ14" s="43" t="str">
        <f t="shared" si="72"/>
        <v/>
      </c>
      <c r="CK14" s="43" t="str">
        <f t="shared" si="72"/>
        <v/>
      </c>
      <c r="CL14" s="43" t="str">
        <f t="shared" si="72"/>
        <v/>
      </c>
      <c r="CM14" s="43"/>
      <c r="CN14" s="43"/>
      <c r="CO14" s="42" t="str">
        <f t="shared" ref="CO14:CS14" si="73">CH14</f>
        <v/>
      </c>
      <c r="CP14" s="43" t="str">
        <f t="shared" si="73"/>
        <v/>
      </c>
      <c r="CQ14" s="43" t="str">
        <f t="shared" si="73"/>
        <v/>
      </c>
      <c r="CR14" s="43" t="str">
        <f t="shared" si="73"/>
        <v/>
      </c>
      <c r="CS14" s="43" t="str">
        <f t="shared" si="73"/>
        <v/>
      </c>
      <c r="CT14" s="43"/>
      <c r="CU14" s="43"/>
      <c r="CV14" s="42" t="str">
        <f t="shared" ref="CV14:CZ14" si="74">CO14</f>
        <v/>
      </c>
      <c r="CW14" s="43" t="str">
        <f t="shared" si="74"/>
        <v/>
      </c>
      <c r="CX14" s="43" t="str">
        <f t="shared" si="74"/>
        <v/>
      </c>
      <c r="CY14" s="43" t="str">
        <f t="shared" si="74"/>
        <v/>
      </c>
      <c r="CZ14" s="43" t="str">
        <f t="shared" si="74"/>
        <v/>
      </c>
      <c r="DA14" s="43"/>
      <c r="DB14" s="43"/>
      <c r="DC14" s="42" t="str">
        <f t="shared" ref="DC14:DG14" si="75">CV14</f>
        <v/>
      </c>
      <c r="DD14" s="43" t="str">
        <f t="shared" si="75"/>
        <v/>
      </c>
      <c r="DE14" s="43" t="str">
        <f t="shared" si="75"/>
        <v/>
      </c>
      <c r="DF14" s="43" t="str">
        <f t="shared" si="75"/>
        <v/>
      </c>
      <c r="DG14" s="43" t="str">
        <f t="shared" si="75"/>
        <v/>
      </c>
      <c r="DH14" s="43"/>
      <c r="DI14" s="43"/>
      <c r="DJ14" s="42" t="str">
        <f t="shared" ref="DJ14:DN14" si="76">DC14</f>
        <v/>
      </c>
      <c r="DK14" s="43" t="str">
        <f t="shared" si="76"/>
        <v/>
      </c>
      <c r="DL14" s="43" t="str">
        <f t="shared" si="76"/>
        <v/>
      </c>
      <c r="DM14" s="43" t="str">
        <f t="shared" si="76"/>
        <v/>
      </c>
      <c r="DN14" s="43" t="str">
        <f t="shared" si="76"/>
        <v/>
      </c>
      <c r="DO14" s="43"/>
      <c r="DP14" s="43"/>
      <c r="DQ14" s="42" t="str">
        <f t="shared" ref="DQ14:DU14" si="77">DJ14</f>
        <v/>
      </c>
      <c r="DR14" s="43" t="str">
        <f t="shared" si="77"/>
        <v/>
      </c>
      <c r="DS14" s="43" t="str">
        <f t="shared" si="77"/>
        <v/>
      </c>
      <c r="DT14" s="43" t="str">
        <f t="shared" si="77"/>
        <v/>
      </c>
      <c r="DU14" s="43" t="str">
        <f t="shared" si="77"/>
        <v/>
      </c>
      <c r="DV14" s="43"/>
      <c r="DW14" s="43"/>
      <c r="DX14" s="42" t="str">
        <f t="shared" ref="DX14:EB14" si="78">DQ14</f>
        <v/>
      </c>
      <c r="DY14" s="43" t="str">
        <f t="shared" si="78"/>
        <v/>
      </c>
      <c r="DZ14" s="43" t="str">
        <f t="shared" si="78"/>
        <v/>
      </c>
      <c r="EA14" s="43" t="str">
        <f t="shared" si="78"/>
        <v/>
      </c>
      <c r="EB14" s="43" t="str">
        <f t="shared" si="78"/>
        <v/>
      </c>
      <c r="EC14" s="43"/>
      <c r="ED14" s="43"/>
      <c r="EE14" s="42" t="str">
        <f t="shared" ref="EE14:EI14" si="79">DX14</f>
        <v/>
      </c>
      <c r="EF14" s="43" t="str">
        <f t="shared" si="79"/>
        <v/>
      </c>
      <c r="EG14" s="43" t="str">
        <f t="shared" si="79"/>
        <v/>
      </c>
      <c r="EH14" s="43" t="str">
        <f t="shared" si="79"/>
        <v/>
      </c>
      <c r="EI14" s="43" t="str">
        <f t="shared" si="79"/>
        <v/>
      </c>
      <c r="EJ14" s="43"/>
      <c r="EK14" s="43"/>
      <c r="EL14" s="42" t="str">
        <f t="shared" ref="EL14:EP14" si="80">EE14</f>
        <v/>
      </c>
      <c r="EM14" s="43" t="str">
        <f t="shared" si="80"/>
        <v/>
      </c>
      <c r="EN14" s="43" t="str">
        <f t="shared" si="80"/>
        <v/>
      </c>
      <c r="EO14" s="43" t="str">
        <f t="shared" si="80"/>
        <v/>
      </c>
      <c r="EP14" s="43" t="str">
        <f t="shared" si="80"/>
        <v/>
      </c>
      <c r="EQ14" s="43"/>
      <c r="ER14" s="43"/>
    </row>
    <row r="15">
      <c r="A15" s="2"/>
      <c r="B15" s="38"/>
      <c r="C15" s="2"/>
      <c r="D15" s="2"/>
      <c r="E15" s="2"/>
      <c r="F15" s="2"/>
      <c r="G15" s="2"/>
      <c r="H15" s="2"/>
      <c r="I15" s="38"/>
      <c r="J15" s="2"/>
      <c r="K15" s="2"/>
      <c r="L15" s="2"/>
      <c r="M15" s="2"/>
      <c r="N15" s="2"/>
      <c r="O15" s="2"/>
      <c r="P15" s="38"/>
      <c r="Q15" s="2"/>
      <c r="R15" s="2"/>
      <c r="S15" s="2"/>
      <c r="T15" s="2"/>
      <c r="U15" s="2"/>
      <c r="V15" s="2"/>
      <c r="W15" s="38"/>
      <c r="X15" s="2"/>
      <c r="Y15" s="2"/>
      <c r="Z15" s="2"/>
      <c r="AA15" s="2"/>
      <c r="AB15" s="2"/>
      <c r="AC15" s="2"/>
      <c r="AD15" s="38"/>
      <c r="AE15" s="2"/>
      <c r="AF15" s="2"/>
      <c r="AG15" s="2"/>
      <c r="AH15" s="2"/>
      <c r="AI15" s="2"/>
      <c r="AJ15" s="2"/>
      <c r="AK15" s="38"/>
      <c r="AL15" s="2"/>
      <c r="AM15" s="2"/>
      <c r="AN15" s="2"/>
      <c r="AO15" s="2"/>
      <c r="AP15" s="2"/>
      <c r="AQ15" s="2"/>
      <c r="AR15" s="38"/>
      <c r="AS15" s="2"/>
      <c r="AT15" s="2"/>
      <c r="AU15" s="2"/>
      <c r="AV15" s="2"/>
      <c r="AW15" s="2"/>
      <c r="AX15" s="2"/>
      <c r="AY15" s="38"/>
      <c r="AZ15" s="2"/>
      <c r="BA15" s="2"/>
      <c r="BB15" s="2"/>
      <c r="BC15" s="2"/>
      <c r="BD15" s="2"/>
      <c r="BE15" s="2"/>
      <c r="BF15" s="38"/>
      <c r="BG15" s="2"/>
      <c r="BH15" s="2"/>
      <c r="BI15" s="2"/>
      <c r="BJ15" s="2"/>
      <c r="BK15" s="2"/>
      <c r="BL15" s="2"/>
      <c r="BM15" s="38"/>
      <c r="BN15" s="2"/>
      <c r="BO15" s="2"/>
      <c r="BP15" s="2"/>
      <c r="BQ15" s="2"/>
      <c r="BR15" s="2"/>
      <c r="BS15" s="2"/>
      <c r="BT15" s="38"/>
      <c r="BU15" s="2"/>
      <c r="BV15" s="2"/>
      <c r="BW15" s="2"/>
      <c r="BX15" s="2"/>
      <c r="BY15" s="2"/>
      <c r="BZ15" s="2"/>
      <c r="CA15" s="38"/>
      <c r="CB15" s="2"/>
      <c r="CC15" s="2"/>
      <c r="CD15" s="2"/>
      <c r="CE15" s="2"/>
      <c r="CF15" s="2"/>
      <c r="CG15" s="2"/>
      <c r="CH15" s="38"/>
      <c r="CI15" s="2"/>
      <c r="CJ15" s="2"/>
      <c r="CK15" s="2"/>
      <c r="CL15" s="2"/>
      <c r="CM15" s="2"/>
      <c r="CN15" s="2"/>
      <c r="CO15" s="38"/>
      <c r="CP15" s="2"/>
      <c r="CQ15" s="2"/>
      <c r="CR15" s="2"/>
      <c r="CS15" s="2"/>
      <c r="CT15" s="2"/>
      <c r="CU15" s="2"/>
      <c r="CV15" s="38"/>
      <c r="CW15" s="2"/>
      <c r="CX15" s="2"/>
      <c r="CY15" s="2"/>
      <c r="CZ15" s="2"/>
      <c r="DA15" s="2"/>
      <c r="DB15" s="2"/>
      <c r="DC15" s="38"/>
      <c r="DD15" s="2"/>
      <c r="DE15" s="2"/>
      <c r="DF15" s="2"/>
      <c r="DG15" s="2"/>
      <c r="DH15" s="2"/>
      <c r="DI15" s="2"/>
      <c r="DJ15" s="38"/>
      <c r="DK15" s="2"/>
      <c r="DL15" s="2"/>
      <c r="DM15" s="2"/>
      <c r="DN15" s="2"/>
      <c r="DO15" s="2"/>
      <c r="DP15" s="2"/>
      <c r="DQ15" s="38"/>
      <c r="DR15" s="2"/>
      <c r="DS15" s="2"/>
      <c r="DT15" s="2"/>
      <c r="DU15" s="2"/>
      <c r="DV15" s="2"/>
      <c r="DW15" s="2"/>
      <c r="DX15" s="38"/>
      <c r="DY15" s="2"/>
      <c r="DZ15" s="2"/>
      <c r="EA15" s="2"/>
      <c r="EB15" s="2"/>
      <c r="EC15" s="2"/>
      <c r="ED15" s="2"/>
      <c r="EE15" s="38"/>
      <c r="EF15" s="2"/>
      <c r="EG15" s="2"/>
      <c r="EH15" s="2"/>
      <c r="EI15" s="2"/>
      <c r="EJ15" s="2"/>
      <c r="EK15" s="2"/>
      <c r="EL15" s="38"/>
      <c r="EM15" s="2"/>
      <c r="EN15" s="2"/>
      <c r="EO15" s="2"/>
      <c r="EP15" s="2"/>
      <c r="EQ15" s="2"/>
      <c r="ER15" s="2"/>
    </row>
    <row r="16">
      <c r="A16" s="28" t="s">
        <v>78</v>
      </c>
      <c r="B16" s="29"/>
      <c r="C16" s="30"/>
      <c r="D16" s="30"/>
      <c r="E16" s="30"/>
      <c r="F16" s="30"/>
      <c r="G16" s="30"/>
      <c r="H16" s="30"/>
      <c r="I16" s="29"/>
      <c r="J16" s="30"/>
      <c r="K16" s="30"/>
      <c r="L16" s="30"/>
      <c r="M16" s="30"/>
      <c r="N16" s="30"/>
      <c r="O16" s="30"/>
      <c r="P16" s="29"/>
      <c r="Q16" s="30"/>
      <c r="R16" s="30"/>
      <c r="S16" s="30"/>
      <c r="T16" s="30"/>
      <c r="U16" s="30"/>
      <c r="V16" s="30"/>
      <c r="W16" s="29"/>
      <c r="X16" s="30"/>
      <c r="Y16" s="30"/>
      <c r="Z16" s="30"/>
      <c r="AA16" s="30"/>
      <c r="AB16" s="30"/>
      <c r="AC16" s="30"/>
      <c r="AD16" s="29"/>
      <c r="AE16" s="30"/>
      <c r="AF16" s="30"/>
      <c r="AG16" s="30"/>
      <c r="AH16" s="30"/>
      <c r="AI16" s="30"/>
      <c r="AJ16" s="30"/>
      <c r="AK16" s="29"/>
      <c r="AL16" s="30"/>
      <c r="AM16" s="30"/>
      <c r="AN16" s="30"/>
      <c r="AO16" s="30"/>
      <c r="AP16" s="30"/>
      <c r="AQ16" s="30"/>
      <c r="AR16" s="29"/>
      <c r="AS16" s="30"/>
      <c r="AT16" s="30"/>
      <c r="AU16" s="30"/>
      <c r="AV16" s="30"/>
      <c r="AW16" s="30"/>
      <c r="AX16" s="30"/>
      <c r="AY16" s="29"/>
      <c r="AZ16" s="30"/>
      <c r="BA16" s="30"/>
      <c r="BB16" s="30"/>
      <c r="BC16" s="30"/>
      <c r="BD16" s="30"/>
      <c r="BE16" s="30"/>
      <c r="BF16" s="29"/>
      <c r="BG16" s="30"/>
      <c r="BH16" s="30"/>
      <c r="BI16" s="30"/>
      <c r="BJ16" s="30"/>
      <c r="BK16" s="30"/>
      <c r="BL16" s="30"/>
      <c r="BM16" s="29"/>
      <c r="BN16" s="30"/>
      <c r="BO16" s="30"/>
      <c r="BP16" s="30"/>
      <c r="BQ16" s="30"/>
      <c r="BR16" s="30"/>
      <c r="BS16" s="30"/>
      <c r="BT16" s="29"/>
      <c r="BU16" s="30"/>
      <c r="BV16" s="30"/>
      <c r="BW16" s="30"/>
      <c r="BX16" s="30"/>
      <c r="BY16" s="30"/>
      <c r="BZ16" s="30"/>
      <c r="CA16" s="29"/>
      <c r="CB16" s="30"/>
      <c r="CC16" s="30"/>
      <c r="CD16" s="30"/>
      <c r="CE16" s="30"/>
      <c r="CF16" s="30"/>
      <c r="CG16" s="30"/>
      <c r="CH16" s="29"/>
      <c r="CI16" s="30"/>
      <c r="CJ16" s="30"/>
      <c r="CK16" s="30"/>
      <c r="CL16" s="30"/>
      <c r="CM16" s="30"/>
      <c r="CN16" s="30"/>
      <c r="CO16" s="29"/>
      <c r="CP16" s="30"/>
      <c r="CQ16" s="30"/>
      <c r="CR16" s="30"/>
      <c r="CS16" s="30"/>
      <c r="CT16" s="30"/>
      <c r="CU16" s="30"/>
      <c r="CV16" s="29"/>
      <c r="CW16" s="30"/>
      <c r="CX16" s="30"/>
      <c r="CY16" s="30"/>
      <c r="CZ16" s="30"/>
      <c r="DA16" s="30"/>
      <c r="DB16" s="30"/>
      <c r="DC16" s="29"/>
      <c r="DD16" s="30"/>
      <c r="DE16" s="30"/>
      <c r="DF16" s="30"/>
      <c r="DG16" s="30"/>
      <c r="DH16" s="30"/>
      <c r="DI16" s="30"/>
      <c r="DJ16" s="29"/>
      <c r="DK16" s="30"/>
      <c r="DL16" s="30"/>
      <c r="DM16" s="30"/>
      <c r="DN16" s="30"/>
      <c r="DO16" s="30"/>
      <c r="DP16" s="30"/>
      <c r="DQ16" s="29"/>
      <c r="DR16" s="30"/>
      <c r="DS16" s="30"/>
      <c r="DT16" s="30"/>
      <c r="DU16" s="30"/>
      <c r="DV16" s="30"/>
      <c r="DW16" s="30"/>
      <c r="DX16" s="29"/>
      <c r="DY16" s="30"/>
      <c r="DZ16" s="30"/>
      <c r="EA16" s="30"/>
      <c r="EB16" s="30"/>
      <c r="EC16" s="30"/>
      <c r="ED16" s="30"/>
      <c r="EE16" s="31" t="s">
        <v>75</v>
      </c>
      <c r="EF16" s="32"/>
      <c r="EG16" s="32"/>
      <c r="EH16" s="32"/>
      <c r="EI16" s="32"/>
      <c r="EJ16" s="32"/>
      <c r="EK16" s="32"/>
      <c r="EL16" s="29"/>
      <c r="EM16" s="30"/>
      <c r="EN16" s="30"/>
      <c r="EO16" s="30"/>
      <c r="EP16" s="30"/>
      <c r="EQ16" s="30"/>
      <c r="ER16" s="30"/>
    </row>
    <row r="17" hidden="1">
      <c r="A17" s="33" t="str">
        <f>CONCATENATE(A18," TM")</f>
        <v>Bench Press TM</v>
      </c>
      <c r="B17" s="34">
        <f>if(D17="",'Quick Setup'!D6,D17/'Quick Setup'!E6)</f>
        <v>325</v>
      </c>
      <c r="C17" s="35" t="s">
        <v>73</v>
      </c>
      <c r="D17" s="36"/>
      <c r="E17" s="37"/>
      <c r="F17" s="37"/>
      <c r="G17" s="37"/>
      <c r="H17" s="37"/>
      <c r="I17" s="34">
        <f>if(K17="", if(F18&lt;&gt;"", if(F18&gt;Setup!F5,B17*(1+Setup!G5),if(F18&lt;Setup!E5,B17*(1+Setup!H5),B17)),B17),K17/'Quick Setup'!$E6)</f>
        <v>325</v>
      </c>
      <c r="J17" s="35" t="s">
        <v>73</v>
      </c>
      <c r="K17" s="36"/>
      <c r="L17" s="37"/>
      <c r="M17" s="37"/>
      <c r="N17" s="37"/>
      <c r="O17" s="37"/>
      <c r="P17" s="34">
        <f>if(R17="", if(M18&lt;&gt;"", if(M18&gt;Setup!M5,I17*(1+Setup!N5),if(M18&lt;Setup!L5,I17*(1+Setup!O5),I17)),I17),R17/'Quick Setup'!$E6)</f>
        <v>325</v>
      </c>
      <c r="Q17" s="35" t="s">
        <v>73</v>
      </c>
      <c r="R17" s="36"/>
      <c r="S17" s="37"/>
      <c r="T17" s="37"/>
      <c r="U17" s="37"/>
      <c r="V17" s="37"/>
      <c r="W17" s="34">
        <f>if(Y17="", if(T18&lt;&gt;"", if(T18&gt;Setup!T5,P17*(1+Setup!U5),if(T18&lt;Setup!S5,P17*(1+Setup!V5),P17)),P17),Y17/'Quick Setup'!$E6)</f>
        <v>325</v>
      </c>
      <c r="X17" s="35" t="s">
        <v>73</v>
      </c>
      <c r="Y17" s="36"/>
      <c r="Z17" s="37"/>
      <c r="AA17" s="37"/>
      <c r="AB17" s="37"/>
      <c r="AC17" s="37"/>
      <c r="AD17" s="34">
        <f>if(AF17="", if(AA18&lt;&gt;"", if(AA18&gt;Setup!AA5,W17*(1+Setup!AB5),if(AA18&lt;Setup!Z5,W17*(1+Setup!AC5),W17)),W17),AF17/'Quick Setup'!$E6)</f>
        <v>325</v>
      </c>
      <c r="AE17" s="35" t="s">
        <v>73</v>
      </c>
      <c r="AF17" s="36"/>
      <c r="AG17" s="37"/>
      <c r="AH17" s="37"/>
      <c r="AI17" s="37"/>
      <c r="AJ17" s="37"/>
      <c r="AK17" s="34">
        <f>if(AM17="", if(AH18&lt;&gt;"", if(AH18&gt;Setup!AH5,AD17*(1+Setup!AI5),if(AH18&lt;Setup!AG5,AD17*(1+Setup!AJ5),AD17)),AD17),AM17/'Quick Setup'!$E6)</f>
        <v>325</v>
      </c>
      <c r="AL17" s="35" t="s">
        <v>73</v>
      </c>
      <c r="AM17" s="36"/>
      <c r="AN17" s="37"/>
      <c r="AO17" s="37"/>
      <c r="AP17" s="37"/>
      <c r="AQ17" s="37"/>
      <c r="AR17" s="34">
        <f>if(AT17="", if(AO18&lt;&gt;"", if(AO18&gt;Setup!AO5,AK17*(1+Setup!AP5),if(AO18&lt;Setup!AN5,AK17*(1+Setup!AQ5),AK17)),AK17),AT17/'Quick Setup'!$E6)</f>
        <v>325</v>
      </c>
      <c r="AS17" s="35" t="s">
        <v>73</v>
      </c>
      <c r="AT17" s="36"/>
      <c r="AU17" s="37"/>
      <c r="AV17" s="37"/>
      <c r="AW17" s="37"/>
      <c r="AX17" s="37"/>
      <c r="AY17" s="34">
        <f>if(BA17="",AR17,BA17/'Quick Setup'!$E6)</f>
        <v>325</v>
      </c>
      <c r="AZ17" s="35" t="s">
        <v>73</v>
      </c>
      <c r="BA17" s="36"/>
      <c r="BB17" s="37"/>
      <c r="BC17" s="37"/>
      <c r="BD17" s="37"/>
      <c r="BE17" s="37"/>
      <c r="BF17" s="34">
        <f>if(BH17="", if(BC18&lt;&gt;"", if(BC18&gt;Setup!BC5,AY17*(1+Setup!BD5),if(BC18&lt;Setup!BB5,AY17*(1+Setup!BE5),AY17)),AY17),BH17/'Quick Setup'!$E6)</f>
        <v>325</v>
      </c>
      <c r="BG17" s="35" t="s">
        <v>73</v>
      </c>
      <c r="BH17" s="36"/>
      <c r="BI17" s="37"/>
      <c r="BJ17" s="37"/>
      <c r="BK17" s="37"/>
      <c r="BL17" s="37"/>
      <c r="BM17" s="34">
        <f>if(BO17="", if(BJ18&lt;&gt;"", if(BJ18&gt;Setup!BJ5,BF17*(1+Setup!BK5),if(BJ18&lt;Setup!BI5,BF17*(1+Setup!BL5),BF17)),BF17),BO17/'Quick Setup'!$E6)</f>
        <v>325</v>
      </c>
      <c r="BN17" s="35" t="s">
        <v>73</v>
      </c>
      <c r="BO17" s="36"/>
      <c r="BP17" s="37"/>
      <c r="BQ17" s="37"/>
      <c r="BR17" s="37"/>
      <c r="BS17" s="37"/>
      <c r="BT17" s="34">
        <f>if(BV17="", if(BQ18&lt;&gt;"", if(BQ18&gt;Setup!BQ5,BM17*(1+Setup!BR5),if(BQ18&lt;Setup!BP5,BM17*(1+Setup!BS5),BM17)),BM17),BV17/'Quick Setup'!$E6)</f>
        <v>325</v>
      </c>
      <c r="BU17" s="35" t="s">
        <v>73</v>
      </c>
      <c r="BV17" s="36"/>
      <c r="BW17" s="37"/>
      <c r="BX17" s="37"/>
      <c r="BY17" s="37"/>
      <c r="BZ17" s="37"/>
      <c r="CA17" s="34">
        <f>if(CC17="", if(BX18&lt;&gt;"", if(BX18&gt;Setup!BX5,BT17*(1+Setup!BY5),if(BX18&lt;Setup!BW5,BT17*(1+Setup!BZ5),BT17)),BT17),CC17/'Quick Setup'!$E6)</f>
        <v>325</v>
      </c>
      <c r="CB17" s="35" t="s">
        <v>73</v>
      </c>
      <c r="CC17" s="36"/>
      <c r="CD17" s="37"/>
      <c r="CE17" s="37"/>
      <c r="CF17" s="37"/>
      <c r="CG17" s="37"/>
      <c r="CH17" s="34">
        <f>if(CJ17="", if(CE18&lt;&gt;"", if(CE18&gt;Setup!CE5,CA17*(1+Setup!CF5),if(CE18&lt;Setup!CD5,CA17*(1+Setup!CG5),CA17)),CA17),CJ17/'Quick Setup'!$E6)</f>
        <v>325</v>
      </c>
      <c r="CI17" s="35" t="s">
        <v>73</v>
      </c>
      <c r="CJ17" s="36"/>
      <c r="CK17" s="37"/>
      <c r="CL17" s="37"/>
      <c r="CM17" s="37"/>
      <c r="CN17" s="37"/>
      <c r="CO17" s="34">
        <f>if(CQ17="", if(CL18&lt;&gt;"", if(CL18&gt;Setup!CL5,CH17*(1+Setup!CM5),if(CL18&lt;Setup!CK5,CH17*(1+Setup!CN5),CH17)),CH17),CQ17/'Quick Setup'!$E6)</f>
        <v>325</v>
      </c>
      <c r="CP17" s="35" t="s">
        <v>73</v>
      </c>
      <c r="CQ17" s="36"/>
      <c r="CR17" s="37"/>
      <c r="CS17" s="37"/>
      <c r="CT17" s="37"/>
      <c r="CU17" s="37"/>
      <c r="CV17" s="34">
        <f>if(CX17="",CO17,CX17/'Quick Setup'!$E6)</f>
        <v>325</v>
      </c>
      <c r="CW17" s="35" t="s">
        <v>73</v>
      </c>
      <c r="CX17" s="36"/>
      <c r="CY17" s="37"/>
      <c r="CZ17" s="37"/>
      <c r="DA17" s="37"/>
      <c r="DB17" s="37"/>
      <c r="DC17" s="34">
        <f>if(DE17="", if(CZ18&lt;&gt;"", if(CZ18&gt;Setup!CZ5,CV17*(1+Setup!DA5),if(CZ18&lt;Setup!CY5,CV17*(1+Setup!DB5),CV17)),CV17),DE17/'Quick Setup'!$E6)</f>
        <v>325</v>
      </c>
      <c r="DD17" s="35" t="s">
        <v>73</v>
      </c>
      <c r="DE17" s="36"/>
      <c r="DF17" s="37"/>
      <c r="DG17" s="37"/>
      <c r="DH17" s="37"/>
      <c r="DI17" s="37"/>
      <c r="DJ17" s="34">
        <f>if(DL17="", if(DG18&lt;&gt;"", if(DG18&gt;Setup!DG5,DC17*(1+Setup!DH5),if(DG18&lt;Setup!DF5,DC17*(1+Setup!DI5),DC17)),DC17),DL17/'Quick Setup'!$E6)</f>
        <v>325</v>
      </c>
      <c r="DK17" s="35" t="s">
        <v>73</v>
      </c>
      <c r="DL17" s="36"/>
      <c r="DM17" s="37"/>
      <c r="DN17" s="37"/>
      <c r="DO17" s="37"/>
      <c r="DP17" s="37"/>
      <c r="DQ17" s="34">
        <f>if(DS17="", if(DN18&lt;&gt;"", if(DN18&gt;Setup!DN5,DJ17*(1+Setup!DO5),if(DN18&lt;Setup!DM5,DJ17*(1+Setup!DP5),DJ17)),DJ17),DS17/'Quick Setup'!$E6)</f>
        <v>325</v>
      </c>
      <c r="DR17" s="35" t="s">
        <v>73</v>
      </c>
      <c r="DS17" s="36"/>
      <c r="DT17" s="37"/>
      <c r="DU17" s="37"/>
      <c r="DV17" s="37"/>
      <c r="DW17" s="37"/>
      <c r="DX17" s="34">
        <f>if(DZ17="", if(DU18&lt;&gt;"", if(DU18&gt;Setup!DU5,DQ17*(1+Setup!DV5),if(DU18&lt;Setup!DT5,DQ17*(1+Setup!DW5),DQ17)),DQ17),DZ17/'Quick Setup'!$E6)</f>
        <v>325</v>
      </c>
      <c r="DY17" s="35" t="s">
        <v>73</v>
      </c>
      <c r="DZ17" s="36"/>
      <c r="EA17" s="37"/>
      <c r="EB17" s="37"/>
      <c r="EC17" s="37"/>
      <c r="ED17" s="37"/>
      <c r="EE17" s="34">
        <f>if(EG17="", if(EB18&lt;&gt;"", if(EB18&gt;Setup!EB5,DX17*(1+Setup!EC5),if(EB18&lt;Setup!EA5,DX17*(1+Setup!ED5),DX17)),DX17),EG17/'Quick Setup'!$E6)</f>
        <v>325</v>
      </c>
      <c r="EF17" s="35" t="s">
        <v>73</v>
      </c>
      <c r="EG17" s="36"/>
      <c r="EH17" s="37"/>
      <c r="EI17" s="37"/>
      <c r="EJ17" s="37"/>
      <c r="EK17" s="37"/>
      <c r="EL17" s="34">
        <f>if(EN17="", if(EI18&lt;&gt;"", if(EI18&gt;Setup!EI5,EE17*(1+Setup!EJ5),if(EI18&lt;Setup!EH5,EE17*(1+Setup!EK5),EE17)),EE17),EN17/'Quick Setup'!$E6)</f>
        <v>325</v>
      </c>
      <c r="EM17" s="35" t="s">
        <v>73</v>
      </c>
      <c r="EN17" s="36"/>
      <c r="EO17" s="37"/>
      <c r="EP17" s="37"/>
      <c r="EQ17" s="37"/>
      <c r="ER17" s="37"/>
    </row>
    <row r="18">
      <c r="A18" s="1" t="str">
        <f>Setup!A5</f>
        <v>Bench Press</v>
      </c>
      <c r="B18" s="38">
        <f>mround(B17*Setup!B5,'Quick Setup'!$A$2)</f>
        <v>227.5</v>
      </c>
      <c r="C18" s="2">
        <f>Setup!C5</f>
        <v>5</v>
      </c>
      <c r="D18" s="2">
        <f>Setup!D5</f>
        <v>3</v>
      </c>
      <c r="E18" s="2" t="str">
        <f>CONCATENATE(Setup!E5,"-",Setup!F5)</f>
        <v>4-6</v>
      </c>
      <c r="F18" s="10"/>
      <c r="G18" s="10"/>
      <c r="H18" s="10"/>
      <c r="I18" s="38">
        <f>mround(I17*Setup!I5,'Quick Setup'!$A$2)</f>
        <v>245</v>
      </c>
      <c r="J18" s="2">
        <f>Setup!J5</f>
        <v>4</v>
      </c>
      <c r="K18" s="2">
        <f>Setup!K5</f>
        <v>3</v>
      </c>
      <c r="L18" s="2" t="str">
        <f>CONCATENATE(Setup!L5,"-",Setup!M5)</f>
        <v>4-6</v>
      </c>
      <c r="M18" s="10"/>
      <c r="N18" s="10"/>
      <c r="O18" s="10"/>
      <c r="P18" s="38">
        <f>mround(P17*Setup!P5,'Quick Setup'!$A$2)</f>
        <v>260</v>
      </c>
      <c r="Q18" s="2">
        <f>Setup!Q5</f>
        <v>3</v>
      </c>
      <c r="R18" s="2">
        <f>Setup!R5</f>
        <v>2</v>
      </c>
      <c r="S18" s="2" t="str">
        <f>CONCATENATE(Setup!S5,"-",Setup!T5)</f>
        <v>4-6</v>
      </c>
      <c r="T18" s="10"/>
      <c r="U18" s="10"/>
      <c r="V18" s="10"/>
      <c r="W18" s="38">
        <f>mround(W17*Setup!W5,'Quick Setup'!$A$2)</f>
        <v>235</v>
      </c>
      <c r="X18" s="2">
        <f>Setup!X5</f>
        <v>5</v>
      </c>
      <c r="Y18" s="2">
        <f>Setup!Y5</f>
        <v>3</v>
      </c>
      <c r="Z18" s="2" t="str">
        <f>CONCATENATE(Setup!Z5,"-",Setup!AA5)</f>
        <v>4-6</v>
      </c>
      <c r="AA18" s="10"/>
      <c r="AB18" s="10"/>
      <c r="AC18" s="10"/>
      <c r="AD18" s="38">
        <f>mround(AD17*Setup!AD5,'Quick Setup'!$A$2)</f>
        <v>252.5</v>
      </c>
      <c r="AE18" s="2">
        <f>Setup!AE5</f>
        <v>4</v>
      </c>
      <c r="AF18" s="2">
        <f>Setup!AF5</f>
        <v>3</v>
      </c>
      <c r="AG18" s="2" t="str">
        <f>CONCATENATE(Setup!AG5,"-",Setup!AH5)</f>
        <v>4-6</v>
      </c>
      <c r="AH18" s="10"/>
      <c r="AI18" s="10"/>
      <c r="AJ18" s="10"/>
      <c r="AK18" s="38">
        <f>mround(AK17*Setup!AK5,'Quick Setup'!$A$2)</f>
        <v>267.5</v>
      </c>
      <c r="AL18" s="2">
        <f>Setup!AL5</f>
        <v>3</v>
      </c>
      <c r="AM18" s="2">
        <f>Setup!AM5</f>
        <v>2</v>
      </c>
      <c r="AN18" s="2" t="str">
        <f>CONCATENATE(Setup!AN5,"-",Setup!AO5)</f>
        <v>4-6</v>
      </c>
      <c r="AO18" s="10"/>
      <c r="AP18" s="10"/>
      <c r="AQ18" s="10"/>
      <c r="AR18" s="38">
        <f>mround(AR17*Setup!AR5,'Quick Setup'!$A$2)</f>
        <v>195</v>
      </c>
      <c r="AS18" s="1">
        <v>5.0</v>
      </c>
      <c r="AT18" s="1" t="s">
        <v>76</v>
      </c>
      <c r="AU18" s="2" t="str">
        <f>CONCATENATE(Setup!AU5,"-",Setup!AV5)</f>
        <v>4-6</v>
      </c>
      <c r="AV18" s="10"/>
      <c r="AW18" s="10"/>
      <c r="AX18" s="10"/>
      <c r="AY18" s="38">
        <f>mround(AY17*Setup!AY5,'Quick Setup'!$A$2)</f>
        <v>245</v>
      </c>
      <c r="AZ18" s="2">
        <f>Setup!AZ5</f>
        <v>4</v>
      </c>
      <c r="BA18" s="2">
        <f>Setup!BA5</f>
        <v>3</v>
      </c>
      <c r="BB18" s="2" t="str">
        <f>CONCATENATE(Setup!BB5,"-",Setup!BC5)</f>
        <v>4-6</v>
      </c>
      <c r="BC18" s="10"/>
      <c r="BD18" s="10"/>
      <c r="BE18" s="10"/>
      <c r="BF18" s="38">
        <f>mround(BF17*Setup!BF5,'Quick Setup'!$A$2)</f>
        <v>260</v>
      </c>
      <c r="BG18" s="2">
        <f>Setup!BG5</f>
        <v>3</v>
      </c>
      <c r="BH18" s="2">
        <f>Setup!BH5</f>
        <v>2</v>
      </c>
      <c r="BI18" s="2" t="str">
        <f>CONCATENATE(Setup!BI5,"-",Setup!BJ5)</f>
        <v>4-6</v>
      </c>
      <c r="BJ18" s="10"/>
      <c r="BK18" s="10"/>
      <c r="BL18" s="10"/>
      <c r="BM18" s="38">
        <f>mround(BM17*Setup!BM5,'Quick Setup'!$A$2)</f>
        <v>277.5</v>
      </c>
      <c r="BN18" s="2">
        <f>Setup!BN5</f>
        <v>2</v>
      </c>
      <c r="BO18" s="2">
        <f>Setup!BO5</f>
        <v>2</v>
      </c>
      <c r="BP18" s="2" t="str">
        <f>CONCATENATE(Setup!BP5,"-",Setup!BQ5)</f>
        <v>4-6</v>
      </c>
      <c r="BQ18" s="10"/>
      <c r="BR18" s="10"/>
      <c r="BS18" s="10"/>
      <c r="BT18" s="38">
        <f>mround(BT17*Setup!BT5,'Quick Setup'!$A$2)</f>
        <v>252.5</v>
      </c>
      <c r="BU18" s="2">
        <f>Setup!BU5</f>
        <v>4</v>
      </c>
      <c r="BV18" s="2">
        <f>Setup!BV5</f>
        <v>3</v>
      </c>
      <c r="BW18" s="2" t="str">
        <f>CONCATENATE(Setup!BW5,"-",Setup!BX5)</f>
        <v>4-6</v>
      </c>
      <c r="BX18" s="10"/>
      <c r="BY18" s="10"/>
      <c r="BZ18" s="10"/>
      <c r="CA18" s="38">
        <f>mround(CA17*Setup!CA5,'Quick Setup'!$A$2)</f>
        <v>267.5</v>
      </c>
      <c r="CB18" s="2">
        <f>Setup!CB5</f>
        <v>3</v>
      </c>
      <c r="CC18" s="2">
        <f>Setup!CC5</f>
        <v>2</v>
      </c>
      <c r="CD18" s="2" t="str">
        <f>CONCATENATE(Setup!CD5,"-",Setup!CE5)</f>
        <v>4-6</v>
      </c>
      <c r="CE18" s="10"/>
      <c r="CF18" s="10"/>
      <c r="CG18" s="10"/>
      <c r="CH18" s="38">
        <f>mround(CH17*Setup!CH5,'Quick Setup'!$A$2)</f>
        <v>285</v>
      </c>
      <c r="CI18" s="2">
        <f>Setup!CI5</f>
        <v>2</v>
      </c>
      <c r="CJ18" s="2">
        <f>Setup!CJ5</f>
        <v>2</v>
      </c>
      <c r="CK18" s="2" t="str">
        <f>CONCATENATE(Setup!CK5,"-",Setup!CL5)</f>
        <v>4-6</v>
      </c>
      <c r="CL18" s="10"/>
      <c r="CM18" s="10"/>
      <c r="CN18" s="10"/>
      <c r="CO18" s="38">
        <f>mround(CO17*Setup!CO5,'Quick Setup'!$A$2)</f>
        <v>195</v>
      </c>
      <c r="CP18" s="1">
        <v>5.0</v>
      </c>
      <c r="CQ18" s="1" t="s">
        <v>76</v>
      </c>
      <c r="CR18" s="2" t="str">
        <f>CONCATENATE(Setup!CR5,"-",Setup!CS5)</f>
        <v>4-6</v>
      </c>
      <c r="CS18" s="10"/>
      <c r="CT18" s="10"/>
      <c r="CU18" s="10"/>
      <c r="CV18" s="38">
        <f>mround(CV17*Setup!CV5,'Quick Setup'!$A$2)</f>
        <v>260</v>
      </c>
      <c r="CW18" s="2">
        <f>Setup!CW5</f>
        <v>3</v>
      </c>
      <c r="CX18" s="2">
        <f>Setup!CX5</f>
        <v>2</v>
      </c>
      <c r="CY18" s="2" t="str">
        <f>CONCATENATE(Setup!CY5,"-",Setup!CZ5)</f>
        <v>4-6</v>
      </c>
      <c r="CZ18" s="10"/>
      <c r="DA18" s="10"/>
      <c r="DB18" s="10"/>
      <c r="DC18" s="38">
        <f>mround(DC17*Setup!DC5,'Quick Setup'!$A$2)</f>
        <v>277.5</v>
      </c>
      <c r="DD18" s="2">
        <f>Setup!DD5</f>
        <v>2</v>
      </c>
      <c r="DE18" s="2">
        <f>Setup!DE5</f>
        <v>2</v>
      </c>
      <c r="DF18" s="2" t="str">
        <f>CONCATENATE(Setup!DF5,"-",Setup!DG5)</f>
        <v>4-6</v>
      </c>
      <c r="DG18" s="10"/>
      <c r="DH18" s="10"/>
      <c r="DI18" s="10"/>
      <c r="DJ18" s="38">
        <f>mround(DJ17*Setup!DJ5,'Quick Setup'!$A$2)</f>
        <v>292.5</v>
      </c>
      <c r="DK18" s="2">
        <f>Setup!DK5</f>
        <v>1</v>
      </c>
      <c r="DL18" s="2">
        <f>Setup!DL5</f>
        <v>1</v>
      </c>
      <c r="DM18" s="2" t="str">
        <f>CONCATENATE(Setup!DM5,"-",Setup!DN5)</f>
        <v>4-6</v>
      </c>
      <c r="DN18" s="10"/>
      <c r="DO18" s="10"/>
      <c r="DP18" s="10"/>
      <c r="DQ18" s="38">
        <f>mround(DQ17*Setup!DQ5,'Quick Setup'!$A$2)</f>
        <v>277.5</v>
      </c>
      <c r="DR18" s="2">
        <f>Setup!DR5</f>
        <v>2</v>
      </c>
      <c r="DS18" s="2">
        <f>Setup!DS5</f>
        <v>2</v>
      </c>
      <c r="DT18" s="2" t="str">
        <f>CONCATENATE(Setup!DT5,"-",Setup!DU5)</f>
        <v>4-6</v>
      </c>
      <c r="DU18" s="10"/>
      <c r="DV18" s="10"/>
      <c r="DW18" s="10"/>
      <c r="DX18" s="38">
        <f>mround(DX17*Setup!DX5,'Quick Setup'!$A$2)</f>
        <v>292.5</v>
      </c>
      <c r="DY18" s="2">
        <f>Setup!DY5</f>
        <v>1</v>
      </c>
      <c r="DZ18" s="2">
        <f>Setup!DZ5</f>
        <v>1</v>
      </c>
      <c r="EA18" s="2" t="str">
        <f>CONCATENATE(Setup!EA5,"-",Setup!EB5)</f>
        <v>4-6</v>
      </c>
      <c r="EB18" s="10"/>
      <c r="EC18" s="10"/>
      <c r="ED18" s="10"/>
      <c r="EE18" s="38">
        <f>mround(EE17*Setup!EE5,'Quick Setup'!$A$2)</f>
        <v>310</v>
      </c>
      <c r="EF18" s="2">
        <f>Setup!EF5</f>
        <v>1</v>
      </c>
      <c r="EG18" s="2">
        <f>Setup!EG5</f>
        <v>1</v>
      </c>
      <c r="EH18" s="2" t="str">
        <f>CONCATENATE(Setup!EH5,"-",Setup!EI5)</f>
        <v>4-6</v>
      </c>
      <c r="EI18" s="10"/>
      <c r="EJ18" s="10"/>
      <c r="EK18" s="10"/>
      <c r="EL18" s="38">
        <f>mround(EL17*Setup!EL5,'Quick Setup'!$A$2)</f>
        <v>195</v>
      </c>
      <c r="EM18" s="1">
        <v>5.0</v>
      </c>
      <c r="EN18" s="1" t="s">
        <v>76</v>
      </c>
      <c r="EO18" s="2" t="str">
        <f>CONCATENATE(Setup!EO5,"-",Setup!EP5)</f>
        <v>4-6</v>
      </c>
      <c r="EP18" s="10"/>
      <c r="EQ18" s="10"/>
      <c r="ER18" s="10"/>
    </row>
    <row r="19" hidden="1">
      <c r="A19" s="33" t="str">
        <f>CONCATENATE(A20," TM")</f>
        <v>Push Press TM</v>
      </c>
      <c r="B19" s="34">
        <f>if(D19="",'Quick Setup'!D16,D19/'Quick Setup'!E16)</f>
        <v>245</v>
      </c>
      <c r="C19" s="35" t="s">
        <v>73</v>
      </c>
      <c r="D19" s="36"/>
      <c r="E19" s="37"/>
      <c r="F19" s="37"/>
      <c r="G19" s="37"/>
      <c r="H19" s="37"/>
      <c r="I19" s="34">
        <f>if(K19="", if(F20&lt;&gt;"", if(F20&gt;Setup!F15,B19*(1+Setup!G15),if(F20&lt;Setup!E15,B19*(1+Setup!H15),B19)),B19),K19/'Quick Setup'!$E16)</f>
        <v>245</v>
      </c>
      <c r="J19" s="35" t="s">
        <v>73</v>
      </c>
      <c r="K19" s="36"/>
      <c r="L19" s="37"/>
      <c r="M19" s="37"/>
      <c r="N19" s="37"/>
      <c r="O19" s="37"/>
      <c r="P19" s="34">
        <f>if(R19="", if(M20&lt;&gt;"", if(M20&gt;Setup!M15,I19*(1+Setup!N15),if(M20&lt;Setup!L15,I19*(1+Setup!O15),I19)),I19),R19/'Quick Setup'!$E16)</f>
        <v>245</v>
      </c>
      <c r="Q19" s="35" t="s">
        <v>73</v>
      </c>
      <c r="R19" s="36"/>
      <c r="S19" s="37"/>
      <c r="T19" s="37"/>
      <c r="U19" s="37"/>
      <c r="V19" s="37"/>
      <c r="W19" s="34">
        <f>if(Y19="", if(T20&lt;&gt;"", if(T20&gt;Setup!T15,P19*(1+Setup!U15),if(T20&lt;Setup!S15,P19*(1+Setup!V15),P19)),P19),Y19/'Quick Setup'!$E16)</f>
        <v>245</v>
      </c>
      <c r="X19" s="35" t="s">
        <v>73</v>
      </c>
      <c r="Y19" s="36"/>
      <c r="Z19" s="37"/>
      <c r="AA19" s="37"/>
      <c r="AB19" s="37"/>
      <c r="AC19" s="37"/>
      <c r="AD19" s="34">
        <f>if(AF19="", if(AA20&lt;&gt;"", if(AA20&gt;Setup!AA15,W19*(1+Setup!AB15),if(AA20&lt;Setup!Z15,W19*(1+Setup!AC15),W19)),W19),AF19/'Quick Setup'!$E16)</f>
        <v>245</v>
      </c>
      <c r="AE19" s="35" t="s">
        <v>73</v>
      </c>
      <c r="AF19" s="36"/>
      <c r="AG19" s="37"/>
      <c r="AH19" s="37"/>
      <c r="AI19" s="37"/>
      <c r="AJ19" s="37"/>
      <c r="AK19" s="34">
        <f>if(AM19="", if(AH20&lt;&gt;"", if(AH20&gt;Setup!AH15,AD19*(1+Setup!AI15),if(AH20&lt;Setup!AG15,AD19*(1+Setup!AJ15),AD19)),AD19),AM19/'Quick Setup'!$E16)</f>
        <v>245</v>
      </c>
      <c r="AL19" s="35" t="s">
        <v>73</v>
      </c>
      <c r="AM19" s="36"/>
      <c r="AN19" s="37"/>
      <c r="AO19" s="37"/>
      <c r="AP19" s="37"/>
      <c r="AQ19" s="37"/>
      <c r="AR19" s="34">
        <f>if(AT19="", if(AO20&lt;&gt;"", if(AO20&gt;Setup!AO15,AK19*(1+Setup!AP15),if(AO20&lt;Setup!AN15,AK19*(1+Setup!AQ15),AK19)),AK19),AT19/'Quick Setup'!$E16)</f>
        <v>245</v>
      </c>
      <c r="AS19" s="35" t="s">
        <v>73</v>
      </c>
      <c r="AT19" s="36"/>
      <c r="AU19" s="37"/>
      <c r="AV19" s="37"/>
      <c r="AW19" s="37"/>
      <c r="AX19" s="37"/>
      <c r="AY19" s="34">
        <f>if(BA19="",AR19,BA19/'Quick Setup'!$E16)</f>
        <v>245</v>
      </c>
      <c r="AZ19" s="35" t="s">
        <v>73</v>
      </c>
      <c r="BA19" s="36"/>
      <c r="BB19" s="37"/>
      <c r="BC19" s="37"/>
      <c r="BD19" s="37"/>
      <c r="BE19" s="37"/>
      <c r="BF19" s="34">
        <f>if(BH19="", if(BC20&lt;&gt;"", if(BC20&gt;Setup!BC15,AY19*(1+Setup!BD15),if(BC20&lt;Setup!BB15,AY19*(1+Setup!BE15),AY19)),AY19),BH19/'Quick Setup'!$E16)</f>
        <v>245</v>
      </c>
      <c r="BG19" s="35" t="s">
        <v>73</v>
      </c>
      <c r="BH19" s="36"/>
      <c r="BI19" s="37"/>
      <c r="BJ19" s="37"/>
      <c r="BK19" s="37"/>
      <c r="BL19" s="37"/>
      <c r="BM19" s="34">
        <f>if(BO19="", if(BJ20&lt;&gt;"", if(BJ20&gt;Setup!BJ15,BF19*(1+Setup!BK15),if(BJ20&lt;Setup!BI15,BF19*(1+Setup!BL15),BF19)),BF19),BO19/'Quick Setup'!$E16)</f>
        <v>245</v>
      </c>
      <c r="BN19" s="35" t="s">
        <v>73</v>
      </c>
      <c r="BO19" s="36"/>
      <c r="BP19" s="37"/>
      <c r="BQ19" s="37"/>
      <c r="BR19" s="37"/>
      <c r="BS19" s="37"/>
      <c r="BT19" s="34">
        <f>if(BV19="", if(BQ20&lt;&gt;"", if(BQ20&gt;Setup!BQ15,BM19*(1+Setup!BR15),if(BQ20&lt;Setup!BP15,BM19*(1+Setup!BS15),BM19)),BM19),BV19/'Quick Setup'!$E16)</f>
        <v>245</v>
      </c>
      <c r="BU19" s="35" t="s">
        <v>73</v>
      </c>
      <c r="BV19" s="36"/>
      <c r="BW19" s="37"/>
      <c r="BX19" s="37"/>
      <c r="BY19" s="37"/>
      <c r="BZ19" s="37"/>
      <c r="CA19" s="34">
        <f>if(CC19="", if(BX20&lt;&gt;"", if(BX20&gt;Setup!BX15,BT19*(1+Setup!BY15),if(BX20&lt;Setup!BW15,BT19*(1+Setup!BZ15),BT19)),BT19),CC19/'Quick Setup'!$E16)</f>
        <v>245</v>
      </c>
      <c r="CB19" s="35" t="s">
        <v>73</v>
      </c>
      <c r="CC19" s="36"/>
      <c r="CD19" s="37"/>
      <c r="CE19" s="37"/>
      <c r="CF19" s="37"/>
      <c r="CG19" s="37"/>
      <c r="CH19" s="34">
        <f>if(CJ19="", if(CE20&lt;&gt;"", if(CE20&gt;Setup!CE15,CA19*(1+Setup!CF15),if(CE20&lt;Setup!CD15,CA19*(1+Setup!CG15),CA19)),CA19),CJ19/'Quick Setup'!$E16)</f>
        <v>245</v>
      </c>
      <c r="CI19" s="35" t="s">
        <v>73</v>
      </c>
      <c r="CJ19" s="36"/>
      <c r="CK19" s="37"/>
      <c r="CL19" s="37"/>
      <c r="CM19" s="37"/>
      <c r="CN19" s="37"/>
      <c r="CO19" s="34">
        <f>if(CQ19="", if(CL20&lt;&gt;"", if(CL20&gt;Setup!CL15,CH19*(1+Setup!CM15),if(CL20&lt;Setup!CK15,CH19*(1+Setup!CN15),CH19)),CH19),CQ19/'Quick Setup'!$E16)</f>
        <v>245</v>
      </c>
      <c r="CP19" s="35" t="s">
        <v>73</v>
      </c>
      <c r="CQ19" s="36"/>
      <c r="CR19" s="37"/>
      <c r="CS19" s="37"/>
      <c r="CT19" s="37"/>
      <c r="CU19" s="37"/>
      <c r="CV19" s="34">
        <f>if(CX19="",CO19,CX19/'Quick Setup'!$E16)</f>
        <v>245</v>
      </c>
      <c r="CW19" s="35" t="s">
        <v>73</v>
      </c>
      <c r="CX19" s="36"/>
      <c r="CY19" s="37"/>
      <c r="CZ19" s="37"/>
      <c r="DA19" s="37"/>
      <c r="DB19" s="37"/>
      <c r="DC19" s="34">
        <f>if(DE19="", if(CZ20&lt;&gt;"", if(CZ20&gt;Setup!CZ15,CV19*(1+Setup!DA15),if(CZ20&lt;Setup!CY15,CV19*(1+Setup!DB15),CV19)),CV19),DE19/'Quick Setup'!$E16)</f>
        <v>245</v>
      </c>
      <c r="DD19" s="35" t="s">
        <v>73</v>
      </c>
      <c r="DE19" s="36"/>
      <c r="DF19" s="37"/>
      <c r="DG19" s="37"/>
      <c r="DH19" s="37"/>
      <c r="DI19" s="37"/>
      <c r="DJ19" s="34">
        <f>if(DL19="", if(DG20&lt;&gt;"", if(DG20&gt;Setup!DG15,DC19*(1+Setup!DH15),if(DG20&lt;Setup!DF15,DC19*(1+Setup!DI15),DC19)),DC19),DL19/'Quick Setup'!$E16)</f>
        <v>245</v>
      </c>
      <c r="DK19" s="35" t="s">
        <v>73</v>
      </c>
      <c r="DL19" s="36"/>
      <c r="DM19" s="37"/>
      <c r="DN19" s="37"/>
      <c r="DO19" s="37"/>
      <c r="DP19" s="37"/>
      <c r="DQ19" s="34">
        <f>if(DS19="", if(DN20&lt;&gt;"", if(DN20&gt;Setup!DN15,DJ19*(1+Setup!DO15),if(DN20&lt;Setup!DM15,DJ19*(1+Setup!DP15),DJ19)),DJ19),DS19/'Quick Setup'!$E16)</f>
        <v>245</v>
      </c>
      <c r="DR19" s="35" t="s">
        <v>73</v>
      </c>
      <c r="DS19" s="36"/>
      <c r="DT19" s="37"/>
      <c r="DU19" s="37"/>
      <c r="DV19" s="37"/>
      <c r="DW19" s="37"/>
      <c r="DX19" s="34">
        <f>if(DZ19="", if(DU20&lt;&gt;"", if(DU20&gt;Setup!DU15,DQ19*(1+Setup!DV15),if(DU20&lt;Setup!DT15,DQ19*(1+Setup!DW15),DQ19)),DQ19),DZ19/'Quick Setup'!$E16)</f>
        <v>245</v>
      </c>
      <c r="DY19" s="35" t="s">
        <v>73</v>
      </c>
      <c r="DZ19" s="36"/>
      <c r="EA19" s="37"/>
      <c r="EB19" s="37"/>
      <c r="EC19" s="37"/>
      <c r="ED19" s="37"/>
      <c r="EE19" s="34">
        <f>if(EG19="", if(EB20&lt;&gt;"", if(EB20&gt;Setup!EB15,DX19*(1+Setup!EC15),if(EB20&lt;Setup!EA15,DX19*(1+Setup!ED15),DX19)),DX19),EG19/'Quick Setup'!$E16)</f>
        <v>245</v>
      </c>
      <c r="EF19" s="35" t="s">
        <v>73</v>
      </c>
      <c r="EG19" s="36"/>
      <c r="EH19" s="37"/>
      <c r="EI19" s="37"/>
      <c r="EJ19" s="37"/>
      <c r="EK19" s="37"/>
      <c r="EL19" s="34">
        <f>if(EN19="", if(EI20&lt;&gt;"", if(EI20&gt;Setup!EI15,EE19*(1+Setup!EJ15),if(EI20&lt;Setup!EH15,EE19*(1+Setup!EK15),EE19)),EE19),EN19/'Quick Setup'!$E16)</f>
        <v>245</v>
      </c>
      <c r="EM19" s="35" t="s">
        <v>73</v>
      </c>
      <c r="EN19" s="36"/>
      <c r="EO19" s="37"/>
      <c r="EP19" s="37"/>
      <c r="EQ19" s="37"/>
      <c r="ER19" s="37"/>
    </row>
    <row r="20">
      <c r="A20" s="1" t="str">
        <f>Setup!A15</f>
        <v>Push Press</v>
      </c>
      <c r="B20" s="38">
        <f>mround(B19*Setup!B15,'Quick Setup'!$A$2)</f>
        <v>147.5</v>
      </c>
      <c r="C20" s="2">
        <f>Setup!C15</f>
        <v>7</v>
      </c>
      <c r="D20" s="2">
        <f>Setup!D15</f>
        <v>4</v>
      </c>
      <c r="E20" s="2" t="str">
        <f>CONCATENATE(Setup!E15,"-",Setup!F15)</f>
        <v>4-6</v>
      </c>
      <c r="F20" s="10"/>
      <c r="G20" s="10"/>
      <c r="H20" s="10"/>
      <c r="I20" s="38">
        <f>mround(I19*Setup!I15,'Quick Setup'!$A$2)</f>
        <v>160</v>
      </c>
      <c r="J20" s="2">
        <f>Setup!J15</f>
        <v>6</v>
      </c>
      <c r="K20" s="2">
        <f>Setup!K15</f>
        <v>4</v>
      </c>
      <c r="L20" s="2" t="str">
        <f>CONCATENATE(Setup!L15,"-",Setup!M15)</f>
        <v>4-6</v>
      </c>
      <c r="M20" s="10"/>
      <c r="N20" s="10"/>
      <c r="O20" s="10"/>
      <c r="P20" s="38">
        <f>mround(P19*Setup!P15,'Quick Setup'!$A$2)</f>
        <v>172.5</v>
      </c>
      <c r="Q20" s="2">
        <f>Setup!Q15</f>
        <v>5</v>
      </c>
      <c r="R20" s="2">
        <f>Setup!R15</f>
        <v>3</v>
      </c>
      <c r="S20" s="2" t="str">
        <f>CONCATENATE(Setup!S15,"-",Setup!T15)</f>
        <v>4-6</v>
      </c>
      <c r="T20" s="10"/>
      <c r="U20" s="10"/>
      <c r="V20" s="10"/>
      <c r="W20" s="38">
        <f>mround(W19*Setup!W15,'Quick Setup'!$A$2)</f>
        <v>152.5</v>
      </c>
      <c r="X20" s="2">
        <f>Setup!X15</f>
        <v>7</v>
      </c>
      <c r="Y20" s="2">
        <f>Setup!Y15</f>
        <v>4</v>
      </c>
      <c r="Z20" s="2" t="str">
        <f>CONCATENATE(Setup!Z15,"-",Setup!AA15)</f>
        <v>4-6</v>
      </c>
      <c r="AA20" s="10"/>
      <c r="AB20" s="10"/>
      <c r="AC20" s="10"/>
      <c r="AD20" s="38">
        <f>mround(AD19*Setup!AD15,'Quick Setup'!$A$2)</f>
        <v>165</v>
      </c>
      <c r="AE20" s="2">
        <f>Setup!AE15</f>
        <v>6</v>
      </c>
      <c r="AF20" s="2">
        <f>Setup!AF15</f>
        <v>4</v>
      </c>
      <c r="AG20" s="2" t="str">
        <f>CONCATENATE(Setup!AG15,"-",Setup!AH15)</f>
        <v>4-6</v>
      </c>
      <c r="AH20" s="10"/>
      <c r="AI20" s="10"/>
      <c r="AJ20" s="10"/>
      <c r="AK20" s="38">
        <f>mround(AK19*Setup!AK15,'Quick Setup'!$A$2)</f>
        <v>177.5</v>
      </c>
      <c r="AL20" s="2">
        <f>Setup!AL15</f>
        <v>5</v>
      </c>
      <c r="AM20" s="2">
        <f>Setup!AM15</f>
        <v>3</v>
      </c>
      <c r="AN20" s="2" t="str">
        <f>CONCATENATE(Setup!AN15,"-",Setup!AO15)</f>
        <v>4-6</v>
      </c>
      <c r="AO20" s="10"/>
      <c r="AP20" s="10"/>
      <c r="AQ20" s="10"/>
      <c r="AR20" s="38">
        <f>mround(AR19*Setup!AR15,'Quick Setup'!$A$2)</f>
        <v>122.5</v>
      </c>
      <c r="AS20" s="1">
        <v>5.0</v>
      </c>
      <c r="AT20" s="1" t="s">
        <v>76</v>
      </c>
      <c r="AU20" s="2" t="str">
        <f>CONCATENATE(Setup!AU15,"-",Setup!AV15)</f>
        <v>4-6</v>
      </c>
      <c r="AV20" s="10"/>
      <c r="AW20" s="10"/>
      <c r="AX20" s="10"/>
      <c r="AY20" s="38">
        <f>mround(AY19*Setup!AY15,'Quick Setup'!$A$2)</f>
        <v>160</v>
      </c>
      <c r="AZ20" s="2">
        <f>Setup!AZ15</f>
        <v>6</v>
      </c>
      <c r="BA20" s="2">
        <f>Setup!BA15</f>
        <v>4</v>
      </c>
      <c r="BB20" s="2" t="str">
        <f>CONCATENATE(Setup!BB15,"-",Setup!BC15)</f>
        <v>4-6</v>
      </c>
      <c r="BC20" s="10"/>
      <c r="BD20" s="10"/>
      <c r="BE20" s="10"/>
      <c r="BF20" s="38">
        <f>mround(BF19*Setup!BF15,'Quick Setup'!$A$2)</f>
        <v>172.5</v>
      </c>
      <c r="BG20" s="2">
        <f>Setup!BG15</f>
        <v>5</v>
      </c>
      <c r="BH20" s="2">
        <f>Setup!BH15</f>
        <v>3</v>
      </c>
      <c r="BI20" s="2" t="str">
        <f>CONCATENATE(Setup!BI15,"-",Setup!BJ15)</f>
        <v>4-6</v>
      </c>
      <c r="BJ20" s="10"/>
      <c r="BK20" s="10"/>
      <c r="BL20" s="10"/>
      <c r="BM20" s="38">
        <f>mround(BM19*Setup!BM15,'Quick Setup'!$A$2)</f>
        <v>185</v>
      </c>
      <c r="BN20" s="2">
        <f>Setup!BN15</f>
        <v>4</v>
      </c>
      <c r="BO20" s="2">
        <f>Setup!BO15</f>
        <v>3</v>
      </c>
      <c r="BP20" s="2" t="str">
        <f>CONCATENATE(Setup!BP15,"-",Setup!BQ15)</f>
        <v>4-6</v>
      </c>
      <c r="BQ20" s="10"/>
      <c r="BR20" s="10"/>
      <c r="BS20" s="10"/>
      <c r="BT20" s="38">
        <f>mround(BT19*Setup!BT15,'Quick Setup'!$A$2)</f>
        <v>165</v>
      </c>
      <c r="BU20" s="2">
        <f>Setup!BU15</f>
        <v>6</v>
      </c>
      <c r="BV20" s="2">
        <f>Setup!BV15</f>
        <v>4</v>
      </c>
      <c r="BW20" s="2" t="str">
        <f>CONCATENATE(Setup!BW15,"-",Setup!BX15)</f>
        <v>4-6</v>
      </c>
      <c r="BX20" s="10"/>
      <c r="BY20" s="10"/>
      <c r="BZ20" s="10"/>
      <c r="CA20" s="38">
        <f>mround(CA19*Setup!CA15,'Quick Setup'!$A$2)</f>
        <v>177.5</v>
      </c>
      <c r="CB20" s="2">
        <f>Setup!CB15</f>
        <v>5</v>
      </c>
      <c r="CC20" s="2">
        <f>Setup!CC15</f>
        <v>3</v>
      </c>
      <c r="CD20" s="2" t="str">
        <f>CONCATENATE(Setup!CD15,"-",Setup!CE15)</f>
        <v>4-6</v>
      </c>
      <c r="CE20" s="10"/>
      <c r="CF20" s="10"/>
      <c r="CG20" s="10"/>
      <c r="CH20" s="38">
        <f>mround(CH19*Setup!CH15,'Quick Setup'!$A$2)</f>
        <v>190</v>
      </c>
      <c r="CI20" s="2">
        <f>Setup!CI15</f>
        <v>4</v>
      </c>
      <c r="CJ20" s="2">
        <f>Setup!CJ15</f>
        <v>3</v>
      </c>
      <c r="CK20" s="2" t="str">
        <f>CONCATENATE(Setup!CK15,"-",Setup!CL15)</f>
        <v>4-6</v>
      </c>
      <c r="CL20" s="10"/>
      <c r="CM20" s="10"/>
      <c r="CN20" s="10"/>
      <c r="CO20" s="38">
        <f>mround(CO19*Setup!CO15,'Quick Setup'!$A$2)</f>
        <v>122.5</v>
      </c>
      <c r="CP20" s="1">
        <v>5.0</v>
      </c>
      <c r="CQ20" s="1" t="s">
        <v>76</v>
      </c>
      <c r="CR20" s="2" t="str">
        <f>CONCATENATE(Setup!CR15,"-",Setup!CS15)</f>
        <v>4-6</v>
      </c>
      <c r="CS20" s="10"/>
      <c r="CT20" s="10"/>
      <c r="CU20" s="10"/>
      <c r="CV20" s="38">
        <f>mround(CV19*Setup!CV15,'Quick Setup'!$A$2)</f>
        <v>172.5</v>
      </c>
      <c r="CW20" s="2">
        <f>Setup!CW15</f>
        <v>5</v>
      </c>
      <c r="CX20" s="2">
        <f>Setup!CX15</f>
        <v>3</v>
      </c>
      <c r="CY20" s="2" t="str">
        <f>CONCATENATE(Setup!CY15,"-",Setup!CZ15)</f>
        <v>4-6</v>
      </c>
      <c r="CZ20" s="10"/>
      <c r="DA20" s="10"/>
      <c r="DB20" s="10"/>
      <c r="DC20" s="38">
        <f>mround(DC19*Setup!DC15,'Quick Setup'!$A$2)</f>
        <v>185</v>
      </c>
      <c r="DD20" s="2">
        <f>Setup!DD15</f>
        <v>4</v>
      </c>
      <c r="DE20" s="2">
        <f>Setup!DE15</f>
        <v>3</v>
      </c>
      <c r="DF20" s="2" t="str">
        <f>CONCATENATE(Setup!DF15,"-",Setup!DG15)</f>
        <v>4-6</v>
      </c>
      <c r="DG20" s="10"/>
      <c r="DH20" s="10"/>
      <c r="DI20" s="10"/>
      <c r="DJ20" s="38">
        <f>mround(DJ19*Setup!DJ15,'Quick Setup'!$A$2)</f>
        <v>195</v>
      </c>
      <c r="DK20" s="2">
        <f>Setup!DK15</f>
        <v>3</v>
      </c>
      <c r="DL20" s="2">
        <f>Setup!DL15</f>
        <v>2</v>
      </c>
      <c r="DM20" s="2" t="str">
        <f>CONCATENATE(Setup!DM15,"-",Setup!DN15)</f>
        <v>4-6</v>
      </c>
      <c r="DN20" s="10"/>
      <c r="DO20" s="10"/>
      <c r="DP20" s="10"/>
      <c r="DQ20" s="38">
        <f>mround(DQ19*Setup!DQ15,'Quick Setup'!$A$2)</f>
        <v>185</v>
      </c>
      <c r="DR20" s="2">
        <f>Setup!DR15</f>
        <v>4</v>
      </c>
      <c r="DS20" s="2">
        <f>Setup!DS15</f>
        <v>3</v>
      </c>
      <c r="DT20" s="2" t="str">
        <f>CONCATENATE(Setup!DT15,"-",Setup!DU15)</f>
        <v>4-6</v>
      </c>
      <c r="DU20" s="10"/>
      <c r="DV20" s="10"/>
      <c r="DW20" s="10"/>
      <c r="DX20" s="38">
        <f>mround(DX19*Setup!DX15,'Quick Setup'!$A$2)</f>
        <v>195</v>
      </c>
      <c r="DY20" s="2">
        <f>Setup!DY15</f>
        <v>3</v>
      </c>
      <c r="DZ20" s="2">
        <f>Setup!DZ15</f>
        <v>2</v>
      </c>
      <c r="EA20" s="2" t="str">
        <f>CONCATENATE(Setup!EA15,"-",Setup!EB15)</f>
        <v>4-6</v>
      </c>
      <c r="EB20" s="10"/>
      <c r="EC20" s="10"/>
      <c r="ED20" s="10"/>
      <c r="EE20" s="38">
        <f>mround(EE19*Setup!EE15,'Quick Setup'!$A$2)</f>
        <v>207.5</v>
      </c>
      <c r="EF20" s="2">
        <f>Setup!EF15</f>
        <v>2</v>
      </c>
      <c r="EG20" s="2">
        <f>Setup!EG15</f>
        <v>2</v>
      </c>
      <c r="EH20" s="2" t="str">
        <f>CONCATENATE(Setup!EH15,"-",Setup!EI15)</f>
        <v>4-6</v>
      </c>
      <c r="EI20" s="10"/>
      <c r="EJ20" s="10"/>
      <c r="EK20" s="10"/>
      <c r="EL20" s="38">
        <f>mround(EL19*Setup!EL15,'Quick Setup'!$A$2)</f>
        <v>122.5</v>
      </c>
      <c r="EM20" s="1">
        <v>5.0</v>
      </c>
      <c r="EN20" s="1" t="s">
        <v>76</v>
      </c>
      <c r="EO20" s="2" t="str">
        <f>CONCATENATE(Setup!EO15,"-",Setup!EP15)</f>
        <v>4-6</v>
      </c>
      <c r="EP20" s="10"/>
      <c r="EQ20" s="10"/>
      <c r="ER20" s="10"/>
    </row>
    <row r="21" hidden="1">
      <c r="A21" s="33" t="str">
        <f>CONCATENATE(A22," TM")</f>
        <v>Incline Press TM</v>
      </c>
      <c r="B21" s="34">
        <f>if(D21="",'Quick Setup'!D14,D21/'Quick Setup'!E14)</f>
        <v>280</v>
      </c>
      <c r="C21" s="35" t="s">
        <v>73</v>
      </c>
      <c r="D21" s="36"/>
      <c r="E21" s="37"/>
      <c r="F21" s="37"/>
      <c r="G21" s="37"/>
      <c r="H21" s="37"/>
      <c r="I21" s="34">
        <f>if(K21="", if(F22&lt;&gt;"", if(F22&gt;Setup!F13,B21*(1+Setup!G13),if(F22&lt;Setup!E13,B21*(1+Setup!H13),B21)),B21),K21/'Quick Setup'!$E14)</f>
        <v>280</v>
      </c>
      <c r="J21" s="35" t="s">
        <v>73</v>
      </c>
      <c r="K21" s="36"/>
      <c r="L21" s="37"/>
      <c r="M21" s="37"/>
      <c r="N21" s="37"/>
      <c r="O21" s="37"/>
      <c r="P21" s="34">
        <f>if(R21="", if(M22&lt;&gt;"", if(M22&gt;Setup!M13,I21*(1+Setup!N13),if(M22&lt;Setup!L13,I21*(1+Setup!O13),I21)),I21),R21/'Quick Setup'!$E14)</f>
        <v>280</v>
      </c>
      <c r="Q21" s="35" t="s">
        <v>73</v>
      </c>
      <c r="R21" s="36"/>
      <c r="S21" s="37"/>
      <c r="T21" s="37"/>
      <c r="U21" s="37"/>
      <c r="V21" s="37"/>
      <c r="W21" s="34">
        <f>if(Y21="", if(T22&lt;&gt;"", if(T22&gt;Setup!T13,P21*(1+Setup!U13),if(T22&lt;Setup!S13,P21*(1+Setup!V13),P21)),P21),Y21/'Quick Setup'!$E14)</f>
        <v>280</v>
      </c>
      <c r="X21" s="35" t="s">
        <v>73</v>
      </c>
      <c r="Y21" s="36"/>
      <c r="Z21" s="37"/>
      <c r="AA21" s="37"/>
      <c r="AB21" s="37"/>
      <c r="AC21" s="37"/>
      <c r="AD21" s="34">
        <f>if(AF21="", if(AA22&lt;&gt;"", if(AA22&gt;Setup!AA13,W21*(1+Setup!AB13),if(AA22&lt;Setup!Z13,W21*(1+Setup!AC13),W21)),W21),AF21/'Quick Setup'!$E14)</f>
        <v>280</v>
      </c>
      <c r="AE21" s="35" t="s">
        <v>73</v>
      </c>
      <c r="AF21" s="36"/>
      <c r="AG21" s="37"/>
      <c r="AH21" s="37"/>
      <c r="AI21" s="37"/>
      <c r="AJ21" s="37"/>
      <c r="AK21" s="34">
        <f>if(AM21="", if(AH22&lt;&gt;"", if(AH22&gt;Setup!AH13,AD21*(1+Setup!AI13),if(AH22&lt;Setup!AG13,AD21*(1+Setup!AJ13),AD21)),AD21),AM21/'Quick Setup'!$E14)</f>
        <v>280</v>
      </c>
      <c r="AL21" s="35" t="s">
        <v>73</v>
      </c>
      <c r="AM21" s="36"/>
      <c r="AN21" s="37"/>
      <c r="AO21" s="37"/>
      <c r="AP21" s="37"/>
      <c r="AQ21" s="37"/>
      <c r="AR21" s="34">
        <f>if(AT21="", if(AO22&lt;&gt;"", if(AO22&gt;Setup!AO13,AK21*(1+Setup!AP13),if(AO22&lt;Setup!AN13,AK21*(1+Setup!AQ13),AK21)),AK21),AT21/'Quick Setup'!$E14)</f>
        <v>280</v>
      </c>
      <c r="AS21" s="35" t="s">
        <v>73</v>
      </c>
      <c r="AT21" s="36"/>
      <c r="AU21" s="37"/>
      <c r="AV21" s="37"/>
      <c r="AW21" s="37"/>
      <c r="AX21" s="37"/>
      <c r="AY21" s="34">
        <f>if(BA21="",AR21,BA21/'Quick Setup'!$E14)</f>
        <v>280</v>
      </c>
      <c r="AZ21" s="35" t="s">
        <v>73</v>
      </c>
      <c r="BA21" s="36"/>
      <c r="BB21" s="37"/>
      <c r="BC21" s="37"/>
      <c r="BD21" s="37"/>
      <c r="BE21" s="37"/>
      <c r="BF21" s="34">
        <f>if(BH21="", if(BC22&lt;&gt;"", if(BC22&gt;Setup!BC13,AY21*(1+Setup!BD13),if(BC22&lt;Setup!BB13,AY21*(1+Setup!BE13),AY21)),AY21),BH21/'Quick Setup'!$E14)</f>
        <v>280</v>
      </c>
      <c r="BG21" s="35" t="s">
        <v>73</v>
      </c>
      <c r="BH21" s="36"/>
      <c r="BI21" s="37"/>
      <c r="BJ21" s="37"/>
      <c r="BK21" s="37"/>
      <c r="BL21" s="37"/>
      <c r="BM21" s="34">
        <f>if(BO21="", if(BJ22&lt;&gt;"", if(BJ22&gt;Setup!BJ13,BF21*(1+Setup!BK13),if(BJ22&lt;Setup!BI13,BF21*(1+Setup!BL13),BF21)),BF21),BO21/'Quick Setup'!$E14)</f>
        <v>280</v>
      </c>
      <c r="BN21" s="35" t="s">
        <v>73</v>
      </c>
      <c r="BO21" s="36"/>
      <c r="BP21" s="37"/>
      <c r="BQ21" s="37"/>
      <c r="BR21" s="37"/>
      <c r="BS21" s="37"/>
      <c r="BT21" s="34">
        <f>if(BV21="", if(BQ22&lt;&gt;"", if(BQ22&gt;Setup!BQ13,BM21*(1+Setup!BR13),if(BQ22&lt;Setup!BP13,BM21*(1+Setup!BS13),BM21)),BM21),BV21/'Quick Setup'!$E14)</f>
        <v>280</v>
      </c>
      <c r="BU21" s="35" t="s">
        <v>73</v>
      </c>
      <c r="BV21" s="36"/>
      <c r="BW21" s="37"/>
      <c r="BX21" s="37"/>
      <c r="BY21" s="37"/>
      <c r="BZ21" s="37"/>
      <c r="CA21" s="34">
        <f>if(CC21="", if(BX22&lt;&gt;"", if(BX22&gt;Setup!BX13,BT21*(1+Setup!BY13),if(BX22&lt;Setup!BW13,BT21*(1+Setup!BZ13),BT21)),BT21),CC21/'Quick Setup'!$E14)</f>
        <v>280</v>
      </c>
      <c r="CB21" s="35" t="s">
        <v>73</v>
      </c>
      <c r="CC21" s="36"/>
      <c r="CD21" s="37"/>
      <c r="CE21" s="37"/>
      <c r="CF21" s="37"/>
      <c r="CG21" s="37"/>
      <c r="CH21" s="34">
        <f>if(CJ21="", if(CE22&lt;&gt;"", if(CE22&gt;Setup!CE13,CA21*(1+Setup!CF13),if(CE22&lt;Setup!CD13,CA21*(1+Setup!CG13),CA21)),CA21),CJ21/'Quick Setup'!$E14)</f>
        <v>280</v>
      </c>
      <c r="CI21" s="35" t="s">
        <v>73</v>
      </c>
      <c r="CJ21" s="36"/>
      <c r="CK21" s="37"/>
      <c r="CL21" s="37"/>
      <c r="CM21" s="37"/>
      <c r="CN21" s="37"/>
      <c r="CO21" s="34">
        <f>if(CQ21="", if(CL22&lt;&gt;"", if(CL22&gt;Setup!CL13,CH21*(1+Setup!CM13),if(CL22&lt;Setup!CK13,CH21*(1+Setup!CN13),CH21)),CH21),CQ21/'Quick Setup'!$E14)</f>
        <v>280</v>
      </c>
      <c r="CP21" s="35" t="s">
        <v>73</v>
      </c>
      <c r="CQ21" s="36"/>
      <c r="CR21" s="37"/>
      <c r="CS21" s="37"/>
      <c r="CT21" s="37"/>
      <c r="CU21" s="37"/>
      <c r="CV21" s="34">
        <f>if(CX21="",CO21,CX21/'Quick Setup'!$E14)</f>
        <v>280</v>
      </c>
      <c r="CW21" s="35" t="s">
        <v>73</v>
      </c>
      <c r="CX21" s="36"/>
      <c r="CY21" s="37"/>
      <c r="CZ21" s="37"/>
      <c r="DA21" s="37"/>
      <c r="DB21" s="37"/>
      <c r="DC21" s="34">
        <f>if(DE21="", if(CZ22&lt;&gt;"", if(CZ22&gt;Setup!CZ13,CV21*(1+Setup!DA13),if(CZ22&lt;Setup!CY13,CV21*(1+Setup!DB13),CV21)),CV21),DE21/'Quick Setup'!$E14)</f>
        <v>280</v>
      </c>
      <c r="DD21" s="35" t="s">
        <v>73</v>
      </c>
      <c r="DE21" s="36"/>
      <c r="DF21" s="37"/>
      <c r="DG21" s="37"/>
      <c r="DH21" s="37"/>
      <c r="DI21" s="37"/>
      <c r="DJ21" s="34">
        <f>if(DL21="", if(DG22&lt;&gt;"", if(DG22&gt;Setup!DG13,DC21*(1+Setup!DH13),if(DG22&lt;Setup!DF13,DC21*(1+Setup!DI13),DC21)),DC21),DL21/'Quick Setup'!$E14)</f>
        <v>280</v>
      </c>
      <c r="DK21" s="35" t="s">
        <v>73</v>
      </c>
      <c r="DL21" s="36"/>
      <c r="DM21" s="37"/>
      <c r="DN21" s="37"/>
      <c r="DO21" s="37"/>
      <c r="DP21" s="37"/>
      <c r="DQ21" s="34">
        <f>if(DS21="", if(DN22&lt;&gt;"", if(DN22&gt;Setup!DN13,DJ21*(1+Setup!DO13),if(DN22&lt;Setup!DM13,DJ21*(1+Setup!DP13),DJ21)),DJ21),DS21/'Quick Setup'!$E14)</f>
        <v>280</v>
      </c>
      <c r="DR21" s="35" t="s">
        <v>73</v>
      </c>
      <c r="DS21" s="36"/>
      <c r="DT21" s="37"/>
      <c r="DU21" s="37"/>
      <c r="DV21" s="37"/>
      <c r="DW21" s="37"/>
      <c r="DX21" s="34">
        <f>if(DZ21="", if(DU22&lt;&gt;"", if(DU22&gt;Setup!DU13,DQ21*(1+Setup!DV13),if(DU22&lt;Setup!DT13,DQ21*(1+Setup!DW13),DQ21)),DQ21),DZ21/'Quick Setup'!$E14)</f>
        <v>280</v>
      </c>
      <c r="DY21" s="35" t="s">
        <v>73</v>
      </c>
      <c r="DZ21" s="36"/>
      <c r="EA21" s="37"/>
      <c r="EB21" s="37"/>
      <c r="EC21" s="37"/>
      <c r="ED21" s="37"/>
      <c r="EE21" s="34">
        <f>if(EG21="", if(EB22&lt;&gt;"", if(EB22&gt;Setup!EB13,DX21*(1+Setup!EC13),if(EB22&lt;Setup!EA13,DX21*(1+Setup!ED13),DX21)),DX21),EG21/'Quick Setup'!$E14)</f>
        <v>280</v>
      </c>
      <c r="EF21" s="35" t="s">
        <v>73</v>
      </c>
      <c r="EG21" s="36"/>
      <c r="EH21" s="37"/>
      <c r="EI21" s="37"/>
      <c r="EJ21" s="37"/>
      <c r="EK21" s="37"/>
      <c r="EL21" s="34">
        <f>if(EN21="", if(EI22&lt;&gt;"", if(EI22&gt;Setup!EI13,EE21*(1+Setup!EJ13),if(EI22&lt;Setup!EH13,EE21*(1+Setup!EK13),EE21)),EE21),EN21/'Quick Setup'!$E14)</f>
        <v>280</v>
      </c>
      <c r="EM21" s="35" t="s">
        <v>73</v>
      </c>
      <c r="EN21" s="36"/>
      <c r="EO21" s="37"/>
      <c r="EP21" s="37"/>
      <c r="EQ21" s="37"/>
      <c r="ER21" s="37"/>
    </row>
    <row r="22">
      <c r="A22" s="1" t="str">
        <f>Setup!A13</f>
        <v>Incline Press</v>
      </c>
      <c r="B22" s="38">
        <f>mround(B21*Setup!B13,'Quick Setup'!$A$2)</f>
        <v>167.5</v>
      </c>
      <c r="C22" s="2">
        <f>Setup!C13</f>
        <v>7</v>
      </c>
      <c r="D22" s="2">
        <f>Setup!D13</f>
        <v>4</v>
      </c>
      <c r="E22" s="2" t="str">
        <f>CONCATENATE(Setup!E13,"-",Setup!F13)</f>
        <v>4-6</v>
      </c>
      <c r="F22" s="10"/>
      <c r="G22" s="10"/>
      <c r="H22" s="10"/>
      <c r="I22" s="38">
        <f>mround(I21*Setup!I13,'Quick Setup'!$A$2)</f>
        <v>182.5</v>
      </c>
      <c r="J22" s="2">
        <f>Setup!J13</f>
        <v>6</v>
      </c>
      <c r="K22" s="2">
        <f>Setup!K13</f>
        <v>4</v>
      </c>
      <c r="L22" s="2" t="str">
        <f>CONCATENATE(Setup!L13,"-",Setup!M13)</f>
        <v>4-6</v>
      </c>
      <c r="M22" s="10"/>
      <c r="N22" s="10"/>
      <c r="O22" s="10"/>
      <c r="P22" s="38">
        <f>mround(P21*Setup!P13,'Quick Setup'!$A$2)</f>
        <v>195</v>
      </c>
      <c r="Q22" s="2">
        <f>Setup!Q13</f>
        <v>5</v>
      </c>
      <c r="R22" s="2">
        <f>Setup!R13</f>
        <v>3</v>
      </c>
      <c r="S22" s="2" t="str">
        <f>CONCATENATE(Setup!S13,"-",Setup!T13)</f>
        <v>4-6</v>
      </c>
      <c r="T22" s="10"/>
      <c r="U22" s="10"/>
      <c r="V22" s="10"/>
      <c r="W22" s="38">
        <f>mround(W21*Setup!W13,'Quick Setup'!$A$2)</f>
        <v>175</v>
      </c>
      <c r="X22" s="2">
        <f>Setup!X13</f>
        <v>7</v>
      </c>
      <c r="Y22" s="2">
        <f>Setup!Y13</f>
        <v>4</v>
      </c>
      <c r="Z22" s="2" t="str">
        <f>CONCATENATE(Setup!Z13,"-",Setup!AA13)</f>
        <v>4-6</v>
      </c>
      <c r="AA22" s="10"/>
      <c r="AB22" s="10"/>
      <c r="AC22" s="10"/>
      <c r="AD22" s="38">
        <f>mround(AD21*Setup!AD13,'Quick Setup'!$A$2)</f>
        <v>190</v>
      </c>
      <c r="AE22" s="2">
        <f>Setup!AE13</f>
        <v>6</v>
      </c>
      <c r="AF22" s="2">
        <f>Setup!AF13</f>
        <v>4</v>
      </c>
      <c r="AG22" s="2" t="str">
        <f>CONCATENATE(Setup!AG13,"-",Setup!AH13)</f>
        <v>4-6</v>
      </c>
      <c r="AH22" s="10"/>
      <c r="AI22" s="10"/>
      <c r="AJ22" s="10"/>
      <c r="AK22" s="38">
        <f>mround(AK21*Setup!AK13,'Quick Setup'!$A$2)</f>
        <v>202.5</v>
      </c>
      <c r="AL22" s="2">
        <f>Setup!AL13</f>
        <v>5</v>
      </c>
      <c r="AM22" s="2">
        <f>Setup!AM13</f>
        <v>3</v>
      </c>
      <c r="AN22" s="2" t="str">
        <f>CONCATENATE(Setup!AN13,"-",Setup!AO13)</f>
        <v>4-6</v>
      </c>
      <c r="AO22" s="10"/>
      <c r="AP22" s="10"/>
      <c r="AQ22" s="10"/>
      <c r="AR22" s="38">
        <f>mround(AR21*Setup!AR13,'Quick Setup'!$A$2)</f>
        <v>140</v>
      </c>
      <c r="AS22" s="1">
        <v>5.0</v>
      </c>
      <c r="AT22" s="1" t="s">
        <v>76</v>
      </c>
      <c r="AU22" s="2" t="str">
        <f>CONCATENATE(Setup!AU13,"-",Setup!AV13)</f>
        <v>4-6</v>
      </c>
      <c r="AV22" s="10"/>
      <c r="AW22" s="10"/>
      <c r="AX22" s="10"/>
      <c r="AY22" s="38">
        <f>mround(AY21*Setup!AY13,'Quick Setup'!$A$2)</f>
        <v>182.5</v>
      </c>
      <c r="AZ22" s="2">
        <f>Setup!AZ13</f>
        <v>6</v>
      </c>
      <c r="BA22" s="2">
        <f>Setup!BA13</f>
        <v>4</v>
      </c>
      <c r="BB22" s="2" t="str">
        <f>CONCATENATE(Setup!BB13,"-",Setup!BC13)</f>
        <v>4-6</v>
      </c>
      <c r="BC22" s="10"/>
      <c r="BD22" s="10"/>
      <c r="BE22" s="10"/>
      <c r="BF22" s="38">
        <f>mround(BF21*Setup!BF13,'Quick Setup'!$A$2)</f>
        <v>195</v>
      </c>
      <c r="BG22" s="2">
        <f>Setup!BG13</f>
        <v>5</v>
      </c>
      <c r="BH22" s="2">
        <f>Setup!BH13</f>
        <v>3</v>
      </c>
      <c r="BI22" s="2" t="str">
        <f>CONCATENATE(Setup!BI13,"-",Setup!BJ13)</f>
        <v>4-6</v>
      </c>
      <c r="BJ22" s="10"/>
      <c r="BK22" s="10"/>
      <c r="BL22" s="10"/>
      <c r="BM22" s="38">
        <f>mround(BM21*Setup!BM13,'Quick Setup'!$A$2)</f>
        <v>210</v>
      </c>
      <c r="BN22" s="2">
        <f>Setup!BN13</f>
        <v>4</v>
      </c>
      <c r="BO22" s="2">
        <f>Setup!BO13</f>
        <v>3</v>
      </c>
      <c r="BP22" s="2" t="str">
        <f>CONCATENATE(Setup!BP13,"-",Setup!BQ13)</f>
        <v>4-6</v>
      </c>
      <c r="BQ22" s="10"/>
      <c r="BR22" s="10"/>
      <c r="BS22" s="10"/>
      <c r="BT22" s="38">
        <f>mround(BT21*Setup!BT13,'Quick Setup'!$A$2)</f>
        <v>190</v>
      </c>
      <c r="BU22" s="2">
        <f>Setup!BU13</f>
        <v>6</v>
      </c>
      <c r="BV22" s="2">
        <f>Setup!BV13</f>
        <v>4</v>
      </c>
      <c r="BW22" s="2" t="str">
        <f>CONCATENATE(Setup!BW13,"-",Setup!BX13)</f>
        <v>4-6</v>
      </c>
      <c r="BX22" s="10"/>
      <c r="BY22" s="10"/>
      <c r="BZ22" s="10"/>
      <c r="CA22" s="38">
        <f>mround(CA21*Setup!CA13,'Quick Setup'!$A$2)</f>
        <v>202.5</v>
      </c>
      <c r="CB22" s="2">
        <f>Setup!CB13</f>
        <v>5</v>
      </c>
      <c r="CC22" s="2">
        <f>Setup!CC13</f>
        <v>3</v>
      </c>
      <c r="CD22" s="2" t="str">
        <f>CONCATENATE(Setup!CD13,"-",Setup!CE13)</f>
        <v>4-6</v>
      </c>
      <c r="CE22" s="10"/>
      <c r="CF22" s="10"/>
      <c r="CG22" s="10"/>
      <c r="CH22" s="38">
        <f>mround(CH21*Setup!CH13,'Quick Setup'!$A$2)</f>
        <v>217.5</v>
      </c>
      <c r="CI22" s="2">
        <f>Setup!CI13</f>
        <v>4</v>
      </c>
      <c r="CJ22" s="2">
        <f>Setup!CJ13</f>
        <v>3</v>
      </c>
      <c r="CK22" s="2" t="str">
        <f>CONCATENATE(Setup!CK13,"-",Setup!CL13)</f>
        <v>4-6</v>
      </c>
      <c r="CL22" s="10"/>
      <c r="CM22" s="10"/>
      <c r="CN22" s="10"/>
      <c r="CO22" s="38">
        <f>mround(CO21*Setup!CO13,'Quick Setup'!$A$2)</f>
        <v>140</v>
      </c>
      <c r="CP22" s="1">
        <v>5.0</v>
      </c>
      <c r="CQ22" s="1" t="s">
        <v>76</v>
      </c>
      <c r="CR22" s="2" t="str">
        <f>CONCATENATE(Setup!CR13,"-",Setup!CS13)</f>
        <v>4-6</v>
      </c>
      <c r="CS22" s="10"/>
      <c r="CT22" s="10"/>
      <c r="CU22" s="10"/>
      <c r="CV22" s="38">
        <f>mround(CV21*Setup!CV13,'Quick Setup'!$A$2)</f>
        <v>195</v>
      </c>
      <c r="CW22" s="2">
        <f>Setup!CW13</f>
        <v>5</v>
      </c>
      <c r="CX22" s="2">
        <f>Setup!CX13</f>
        <v>3</v>
      </c>
      <c r="CY22" s="2" t="str">
        <f>CONCATENATE(Setup!CY13,"-",Setup!CZ13)</f>
        <v>4-6</v>
      </c>
      <c r="CZ22" s="10"/>
      <c r="DA22" s="10"/>
      <c r="DB22" s="10"/>
      <c r="DC22" s="38">
        <f>mround(DC21*Setup!DC13,'Quick Setup'!$A$2)</f>
        <v>210</v>
      </c>
      <c r="DD22" s="2">
        <f>Setup!DD13</f>
        <v>4</v>
      </c>
      <c r="DE22" s="2">
        <f>Setup!DE13</f>
        <v>3</v>
      </c>
      <c r="DF22" s="2" t="str">
        <f>CONCATENATE(Setup!DF13,"-",Setup!DG13)</f>
        <v>4-6</v>
      </c>
      <c r="DG22" s="10"/>
      <c r="DH22" s="10"/>
      <c r="DI22" s="10"/>
      <c r="DJ22" s="38">
        <f>mround(DJ21*Setup!DJ13,'Quick Setup'!$A$2)</f>
        <v>225</v>
      </c>
      <c r="DK22" s="2">
        <f>Setup!DK13</f>
        <v>3</v>
      </c>
      <c r="DL22" s="2">
        <f>Setup!DL13</f>
        <v>2</v>
      </c>
      <c r="DM22" s="2" t="str">
        <f>CONCATENATE(Setup!DM13,"-",Setup!DN13)</f>
        <v>4-6</v>
      </c>
      <c r="DN22" s="10"/>
      <c r="DO22" s="10"/>
      <c r="DP22" s="10"/>
      <c r="DQ22" s="38">
        <f>mround(DQ21*Setup!DQ13,'Quick Setup'!$A$2)</f>
        <v>210</v>
      </c>
      <c r="DR22" s="2">
        <f>Setup!DR13</f>
        <v>4</v>
      </c>
      <c r="DS22" s="2">
        <f>Setup!DS13</f>
        <v>3</v>
      </c>
      <c r="DT22" s="2" t="str">
        <f>CONCATENATE(Setup!DT13,"-",Setup!DU13)</f>
        <v>4-6</v>
      </c>
      <c r="DU22" s="10"/>
      <c r="DV22" s="10"/>
      <c r="DW22" s="10"/>
      <c r="DX22" s="38">
        <f>mround(DX21*Setup!DX13,'Quick Setup'!$A$2)</f>
        <v>225</v>
      </c>
      <c r="DY22" s="2">
        <f>Setup!DY13</f>
        <v>3</v>
      </c>
      <c r="DZ22" s="2">
        <f>Setup!DZ13</f>
        <v>2</v>
      </c>
      <c r="EA22" s="2" t="str">
        <f>CONCATENATE(Setup!EA13,"-",Setup!EB13)</f>
        <v>4-6</v>
      </c>
      <c r="EB22" s="10"/>
      <c r="EC22" s="10"/>
      <c r="ED22" s="10"/>
      <c r="EE22" s="38">
        <f>mround(EE21*Setup!EE13,'Quick Setup'!$A$2)</f>
        <v>237.5</v>
      </c>
      <c r="EF22" s="2">
        <f>Setup!EF13</f>
        <v>2</v>
      </c>
      <c r="EG22" s="2">
        <f>Setup!EG13</f>
        <v>2</v>
      </c>
      <c r="EH22" s="2" t="str">
        <f>CONCATENATE(Setup!EH13,"-",Setup!EI13)</f>
        <v>4-6</v>
      </c>
      <c r="EI22" s="10"/>
      <c r="EJ22" s="10"/>
      <c r="EK22" s="10"/>
      <c r="EL22" s="38">
        <f>mround(EL21*Setup!EL13,'Quick Setup'!$A$2)</f>
        <v>140</v>
      </c>
      <c r="EM22" s="1">
        <v>5.0</v>
      </c>
      <c r="EN22" s="1" t="s">
        <v>76</v>
      </c>
      <c r="EO22" s="2" t="str">
        <f>CONCATENATE(Setup!EO13,"-",Setup!EP13)</f>
        <v>4-6</v>
      </c>
      <c r="EP22" s="10"/>
      <c r="EQ22" s="10"/>
      <c r="ER22" s="10"/>
    </row>
    <row r="23">
      <c r="A23" s="5"/>
      <c r="B23" s="39"/>
      <c r="C23" s="10"/>
      <c r="D23" s="10"/>
      <c r="E23" s="10"/>
      <c r="F23" s="10"/>
      <c r="G23" s="10"/>
      <c r="H23" s="10"/>
      <c r="I23" s="39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39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39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39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39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39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39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39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39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39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39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39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39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39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39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39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39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39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39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39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77</v>
      </c>
      <c r="B24" s="38"/>
      <c r="C24" s="2"/>
      <c r="D24" s="2"/>
      <c r="E24" s="2"/>
      <c r="F24" s="2"/>
      <c r="G24" s="2"/>
      <c r="H24" s="2"/>
      <c r="I24" s="38"/>
      <c r="J24" s="2"/>
      <c r="K24" s="2"/>
      <c r="L24" s="2"/>
      <c r="M24" s="2"/>
      <c r="N24" s="2"/>
      <c r="O24" s="2"/>
      <c r="P24" s="38"/>
      <c r="Q24" s="2"/>
      <c r="R24" s="2"/>
      <c r="S24" s="2"/>
      <c r="T24" s="2"/>
      <c r="U24" s="2"/>
      <c r="V24" s="2"/>
      <c r="W24" s="38"/>
      <c r="X24" s="2"/>
      <c r="Y24" s="2"/>
      <c r="Z24" s="2"/>
      <c r="AA24" s="2"/>
      <c r="AB24" s="2"/>
      <c r="AC24" s="2"/>
      <c r="AD24" s="38"/>
      <c r="AE24" s="2"/>
      <c r="AF24" s="2"/>
      <c r="AG24" s="2"/>
      <c r="AH24" s="2"/>
      <c r="AI24" s="2"/>
      <c r="AJ24" s="2"/>
      <c r="AK24" s="38"/>
      <c r="AL24" s="2"/>
      <c r="AM24" s="2"/>
      <c r="AN24" s="2"/>
      <c r="AO24" s="2"/>
      <c r="AP24" s="2"/>
      <c r="AQ24" s="2"/>
      <c r="AR24" s="38"/>
      <c r="AS24" s="2"/>
      <c r="AT24" s="2"/>
      <c r="AU24" s="2"/>
      <c r="AV24" s="2"/>
      <c r="AW24" s="2"/>
      <c r="AX24" s="2"/>
      <c r="AY24" s="38"/>
      <c r="AZ24" s="2"/>
      <c r="BA24" s="2"/>
      <c r="BB24" s="2"/>
      <c r="BC24" s="2"/>
      <c r="BD24" s="2"/>
      <c r="BE24" s="2"/>
      <c r="BF24" s="38"/>
      <c r="BG24" s="2"/>
      <c r="BH24" s="2"/>
      <c r="BI24" s="2"/>
      <c r="BJ24" s="2"/>
      <c r="BK24" s="2"/>
      <c r="BL24" s="2"/>
      <c r="BM24" s="38"/>
      <c r="BN24" s="2"/>
      <c r="BO24" s="2"/>
      <c r="BP24" s="2"/>
      <c r="BQ24" s="2"/>
      <c r="BR24" s="2"/>
      <c r="BS24" s="2"/>
      <c r="BT24" s="38"/>
      <c r="BU24" s="2"/>
      <c r="BV24" s="2"/>
      <c r="BW24" s="2"/>
      <c r="BX24" s="2"/>
      <c r="BY24" s="2"/>
      <c r="BZ24" s="2"/>
      <c r="CA24" s="38"/>
      <c r="CB24" s="2"/>
      <c r="CC24" s="2"/>
      <c r="CD24" s="2"/>
      <c r="CE24" s="2"/>
      <c r="CF24" s="2"/>
      <c r="CG24" s="2"/>
      <c r="CH24" s="38"/>
      <c r="CI24" s="2"/>
      <c r="CJ24" s="2"/>
      <c r="CK24" s="2"/>
      <c r="CL24" s="2"/>
      <c r="CM24" s="2"/>
      <c r="CN24" s="2"/>
      <c r="CO24" s="38"/>
      <c r="CP24" s="2"/>
      <c r="CQ24" s="2"/>
      <c r="CR24" s="2"/>
      <c r="CS24" s="2"/>
      <c r="CT24" s="2"/>
      <c r="CU24" s="2"/>
      <c r="CV24" s="38"/>
      <c r="CW24" s="2"/>
      <c r="CX24" s="2"/>
      <c r="CY24" s="2"/>
      <c r="CZ24" s="2"/>
      <c r="DA24" s="2"/>
      <c r="DB24" s="2"/>
      <c r="DC24" s="38"/>
      <c r="DD24" s="2"/>
      <c r="DE24" s="2"/>
      <c r="DF24" s="2"/>
      <c r="DG24" s="2"/>
      <c r="DH24" s="2"/>
      <c r="DI24" s="2"/>
      <c r="DJ24" s="38"/>
      <c r="DK24" s="2"/>
      <c r="DL24" s="2"/>
      <c r="DM24" s="2"/>
      <c r="DN24" s="2"/>
      <c r="DO24" s="2"/>
      <c r="DP24" s="2"/>
      <c r="DQ24" s="38"/>
      <c r="DR24" s="2"/>
      <c r="DS24" s="2"/>
      <c r="DT24" s="2"/>
      <c r="DU24" s="2"/>
      <c r="DV24" s="2"/>
      <c r="DW24" s="2"/>
      <c r="DX24" s="38"/>
      <c r="DY24" s="2"/>
      <c r="DZ24" s="2"/>
      <c r="EA24" s="2"/>
      <c r="EB24" s="2"/>
      <c r="EC24" s="2"/>
      <c r="ED24" s="2"/>
      <c r="EE24" s="38"/>
      <c r="EF24" s="2"/>
      <c r="EG24" s="2"/>
      <c r="EH24" s="2"/>
      <c r="EI24" s="2"/>
      <c r="EJ24" s="2"/>
      <c r="EK24" s="2"/>
      <c r="EL24" s="38"/>
      <c r="EM24" s="2"/>
      <c r="EN24" s="2"/>
      <c r="EO24" s="2"/>
      <c r="EP24" s="2"/>
      <c r="EQ24" s="2"/>
      <c r="ER24" s="2"/>
    </row>
    <row r="25">
      <c r="A25" s="40"/>
      <c r="B25" s="39"/>
      <c r="C25" s="10"/>
      <c r="D25" s="10"/>
      <c r="E25" s="10"/>
      <c r="F25" s="10"/>
      <c r="G25" s="10"/>
      <c r="H25" s="10"/>
      <c r="I25" s="39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39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39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39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39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39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39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39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39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39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39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39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39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39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39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39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39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39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39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39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0"/>
      <c r="B26" s="39"/>
      <c r="C26" s="10"/>
      <c r="D26" s="10"/>
      <c r="E26" s="10"/>
      <c r="F26" s="10"/>
      <c r="G26" s="10"/>
      <c r="H26" s="10"/>
      <c r="I26" s="39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39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39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39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39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39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39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39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39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39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39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39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39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39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39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39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39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39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39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39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1"/>
      <c r="B27" s="42"/>
      <c r="C27" s="43"/>
      <c r="D27" s="43"/>
      <c r="E27" s="43"/>
      <c r="F27" s="43"/>
      <c r="G27" s="43"/>
      <c r="H27" s="43"/>
      <c r="I27" s="42" t="str">
        <f t="shared" ref="I27:M27" si="141">B27</f>
        <v/>
      </c>
      <c r="J27" s="43" t="str">
        <f t="shared" si="141"/>
        <v/>
      </c>
      <c r="K27" s="43" t="str">
        <f t="shared" si="141"/>
        <v/>
      </c>
      <c r="L27" s="43" t="str">
        <f t="shared" si="141"/>
        <v/>
      </c>
      <c r="M27" s="43" t="str">
        <f t="shared" si="141"/>
        <v/>
      </c>
      <c r="N27" s="43"/>
      <c r="O27" s="43"/>
      <c r="P27" s="42" t="str">
        <f t="shared" ref="P27:T27" si="142">I27</f>
        <v/>
      </c>
      <c r="Q27" s="43" t="str">
        <f t="shared" si="142"/>
        <v/>
      </c>
      <c r="R27" s="43" t="str">
        <f t="shared" si="142"/>
        <v/>
      </c>
      <c r="S27" s="43" t="str">
        <f t="shared" si="142"/>
        <v/>
      </c>
      <c r="T27" s="43" t="str">
        <f t="shared" si="142"/>
        <v/>
      </c>
      <c r="U27" s="43"/>
      <c r="V27" s="43"/>
      <c r="W27" s="42" t="str">
        <f t="shared" ref="W27:AA27" si="143">P27</f>
        <v/>
      </c>
      <c r="X27" s="43" t="str">
        <f t="shared" si="143"/>
        <v/>
      </c>
      <c r="Y27" s="43" t="str">
        <f t="shared" si="143"/>
        <v/>
      </c>
      <c r="Z27" s="43" t="str">
        <f t="shared" si="143"/>
        <v/>
      </c>
      <c r="AA27" s="43" t="str">
        <f t="shared" si="143"/>
        <v/>
      </c>
      <c r="AB27" s="43"/>
      <c r="AC27" s="43"/>
      <c r="AD27" s="42" t="str">
        <f t="shared" ref="AD27:AH27" si="144">W27</f>
        <v/>
      </c>
      <c r="AE27" s="43" t="str">
        <f t="shared" si="144"/>
        <v/>
      </c>
      <c r="AF27" s="43" t="str">
        <f t="shared" si="144"/>
        <v/>
      </c>
      <c r="AG27" s="43" t="str">
        <f t="shared" si="144"/>
        <v/>
      </c>
      <c r="AH27" s="43" t="str">
        <f t="shared" si="144"/>
        <v/>
      </c>
      <c r="AI27" s="43"/>
      <c r="AJ27" s="43"/>
      <c r="AK27" s="42" t="str">
        <f t="shared" ref="AK27:AO27" si="145">AD27</f>
        <v/>
      </c>
      <c r="AL27" s="43" t="str">
        <f t="shared" si="145"/>
        <v/>
      </c>
      <c r="AM27" s="43" t="str">
        <f t="shared" si="145"/>
        <v/>
      </c>
      <c r="AN27" s="43" t="str">
        <f t="shared" si="145"/>
        <v/>
      </c>
      <c r="AO27" s="43" t="str">
        <f t="shared" si="145"/>
        <v/>
      </c>
      <c r="AP27" s="43"/>
      <c r="AQ27" s="43"/>
      <c r="AR27" s="42" t="str">
        <f t="shared" ref="AR27:AV27" si="146">AK27</f>
        <v/>
      </c>
      <c r="AS27" s="43" t="str">
        <f t="shared" si="146"/>
        <v/>
      </c>
      <c r="AT27" s="43" t="str">
        <f t="shared" si="146"/>
        <v/>
      </c>
      <c r="AU27" s="43" t="str">
        <f t="shared" si="146"/>
        <v/>
      </c>
      <c r="AV27" s="43" t="str">
        <f t="shared" si="146"/>
        <v/>
      </c>
      <c r="AW27" s="43"/>
      <c r="AX27" s="43"/>
      <c r="AY27" s="42" t="str">
        <f t="shared" ref="AY27:BC27" si="147">AR27</f>
        <v/>
      </c>
      <c r="AZ27" s="43" t="str">
        <f t="shared" si="147"/>
        <v/>
      </c>
      <c r="BA27" s="43" t="str">
        <f t="shared" si="147"/>
        <v/>
      </c>
      <c r="BB27" s="43" t="str">
        <f t="shared" si="147"/>
        <v/>
      </c>
      <c r="BC27" s="43" t="str">
        <f t="shared" si="147"/>
        <v/>
      </c>
      <c r="BD27" s="43"/>
      <c r="BE27" s="43"/>
      <c r="BF27" s="42" t="str">
        <f t="shared" ref="BF27:BJ27" si="148">AY27</f>
        <v/>
      </c>
      <c r="BG27" s="43" t="str">
        <f t="shared" si="148"/>
        <v/>
      </c>
      <c r="BH27" s="43" t="str">
        <f t="shared" si="148"/>
        <v/>
      </c>
      <c r="BI27" s="43" t="str">
        <f t="shared" si="148"/>
        <v/>
      </c>
      <c r="BJ27" s="43" t="str">
        <f t="shared" si="148"/>
        <v/>
      </c>
      <c r="BK27" s="43"/>
      <c r="BL27" s="43"/>
      <c r="BM27" s="42" t="str">
        <f t="shared" ref="BM27:BQ27" si="149">BF27</f>
        <v/>
      </c>
      <c r="BN27" s="43" t="str">
        <f t="shared" si="149"/>
        <v/>
      </c>
      <c r="BO27" s="43" t="str">
        <f t="shared" si="149"/>
        <v/>
      </c>
      <c r="BP27" s="43" t="str">
        <f t="shared" si="149"/>
        <v/>
      </c>
      <c r="BQ27" s="43" t="str">
        <f t="shared" si="149"/>
        <v/>
      </c>
      <c r="BR27" s="43"/>
      <c r="BS27" s="43"/>
      <c r="BT27" s="42" t="str">
        <f t="shared" ref="BT27:BX27" si="150">BM27</f>
        <v/>
      </c>
      <c r="BU27" s="43" t="str">
        <f t="shared" si="150"/>
        <v/>
      </c>
      <c r="BV27" s="43" t="str">
        <f t="shared" si="150"/>
        <v/>
      </c>
      <c r="BW27" s="43" t="str">
        <f t="shared" si="150"/>
        <v/>
      </c>
      <c r="BX27" s="43" t="str">
        <f t="shared" si="150"/>
        <v/>
      </c>
      <c r="BY27" s="43"/>
      <c r="BZ27" s="43"/>
      <c r="CA27" s="42" t="str">
        <f t="shared" ref="CA27:CE27" si="151">BT27</f>
        <v/>
      </c>
      <c r="CB27" s="43" t="str">
        <f t="shared" si="151"/>
        <v/>
      </c>
      <c r="CC27" s="43" t="str">
        <f t="shared" si="151"/>
        <v/>
      </c>
      <c r="CD27" s="43" t="str">
        <f t="shared" si="151"/>
        <v/>
      </c>
      <c r="CE27" s="43" t="str">
        <f t="shared" si="151"/>
        <v/>
      </c>
      <c r="CF27" s="43"/>
      <c r="CG27" s="43"/>
      <c r="CH27" s="42" t="str">
        <f t="shared" ref="CH27:CL27" si="152">CA27</f>
        <v/>
      </c>
      <c r="CI27" s="43" t="str">
        <f t="shared" si="152"/>
        <v/>
      </c>
      <c r="CJ27" s="43" t="str">
        <f t="shared" si="152"/>
        <v/>
      </c>
      <c r="CK27" s="43" t="str">
        <f t="shared" si="152"/>
        <v/>
      </c>
      <c r="CL27" s="43" t="str">
        <f t="shared" si="152"/>
        <v/>
      </c>
      <c r="CM27" s="43"/>
      <c r="CN27" s="43"/>
      <c r="CO27" s="42" t="str">
        <f t="shared" ref="CO27:CS27" si="153">CH27</f>
        <v/>
      </c>
      <c r="CP27" s="43" t="str">
        <f t="shared" si="153"/>
        <v/>
      </c>
      <c r="CQ27" s="43" t="str">
        <f t="shared" si="153"/>
        <v/>
      </c>
      <c r="CR27" s="43" t="str">
        <f t="shared" si="153"/>
        <v/>
      </c>
      <c r="CS27" s="43" t="str">
        <f t="shared" si="153"/>
        <v/>
      </c>
      <c r="CT27" s="43"/>
      <c r="CU27" s="43"/>
      <c r="CV27" s="42" t="str">
        <f t="shared" ref="CV27:CZ27" si="154">CO27</f>
        <v/>
      </c>
      <c r="CW27" s="43" t="str">
        <f t="shared" si="154"/>
        <v/>
      </c>
      <c r="CX27" s="43" t="str">
        <f t="shared" si="154"/>
        <v/>
      </c>
      <c r="CY27" s="43" t="str">
        <f t="shared" si="154"/>
        <v/>
      </c>
      <c r="CZ27" s="43" t="str">
        <f t="shared" si="154"/>
        <v/>
      </c>
      <c r="DA27" s="43"/>
      <c r="DB27" s="43"/>
      <c r="DC27" s="42" t="str">
        <f t="shared" ref="DC27:DG27" si="155">CV27</f>
        <v/>
      </c>
      <c r="DD27" s="43" t="str">
        <f t="shared" si="155"/>
        <v/>
      </c>
      <c r="DE27" s="43" t="str">
        <f t="shared" si="155"/>
        <v/>
      </c>
      <c r="DF27" s="43" t="str">
        <f t="shared" si="155"/>
        <v/>
      </c>
      <c r="DG27" s="43" t="str">
        <f t="shared" si="155"/>
        <v/>
      </c>
      <c r="DH27" s="43"/>
      <c r="DI27" s="43"/>
      <c r="DJ27" s="42" t="str">
        <f t="shared" ref="DJ27:DN27" si="156">DC27</f>
        <v/>
      </c>
      <c r="DK27" s="43" t="str">
        <f t="shared" si="156"/>
        <v/>
      </c>
      <c r="DL27" s="43" t="str">
        <f t="shared" si="156"/>
        <v/>
      </c>
      <c r="DM27" s="43" t="str">
        <f t="shared" si="156"/>
        <v/>
      </c>
      <c r="DN27" s="43" t="str">
        <f t="shared" si="156"/>
        <v/>
      </c>
      <c r="DO27" s="43"/>
      <c r="DP27" s="43"/>
      <c r="DQ27" s="42" t="str">
        <f t="shared" ref="DQ27:DU27" si="157">DJ27</f>
        <v/>
      </c>
      <c r="DR27" s="43" t="str">
        <f t="shared" si="157"/>
        <v/>
      </c>
      <c r="DS27" s="43" t="str">
        <f t="shared" si="157"/>
        <v/>
      </c>
      <c r="DT27" s="43" t="str">
        <f t="shared" si="157"/>
        <v/>
      </c>
      <c r="DU27" s="43" t="str">
        <f t="shared" si="157"/>
        <v/>
      </c>
      <c r="DV27" s="43"/>
      <c r="DW27" s="43"/>
      <c r="DX27" s="42" t="str">
        <f t="shared" ref="DX27:EB27" si="158">DQ27</f>
        <v/>
      </c>
      <c r="DY27" s="43" t="str">
        <f t="shared" si="158"/>
        <v/>
      </c>
      <c r="DZ27" s="43" t="str">
        <f t="shared" si="158"/>
        <v/>
      </c>
      <c r="EA27" s="43" t="str">
        <f t="shared" si="158"/>
        <v/>
      </c>
      <c r="EB27" s="43" t="str">
        <f t="shared" si="158"/>
        <v/>
      </c>
      <c r="EC27" s="43"/>
      <c r="ED27" s="43"/>
      <c r="EE27" s="42" t="str">
        <f t="shared" ref="EE27:EI27" si="159">DX27</f>
        <v/>
      </c>
      <c r="EF27" s="43" t="str">
        <f t="shared" si="159"/>
        <v/>
      </c>
      <c r="EG27" s="43" t="str">
        <f t="shared" si="159"/>
        <v/>
      </c>
      <c r="EH27" s="43" t="str">
        <f t="shared" si="159"/>
        <v/>
      </c>
      <c r="EI27" s="43" t="str">
        <f t="shared" si="159"/>
        <v/>
      </c>
      <c r="EJ27" s="43"/>
      <c r="EK27" s="43"/>
      <c r="EL27" s="42" t="str">
        <f t="shared" ref="EL27:EP27" si="160">EE27</f>
        <v/>
      </c>
      <c r="EM27" s="43" t="str">
        <f t="shared" si="160"/>
        <v/>
      </c>
      <c r="EN27" s="43" t="str">
        <f t="shared" si="160"/>
        <v/>
      </c>
      <c r="EO27" s="43" t="str">
        <f t="shared" si="160"/>
        <v/>
      </c>
      <c r="EP27" s="43" t="str">
        <f t="shared" si="160"/>
        <v/>
      </c>
      <c r="EQ27" s="43"/>
      <c r="ER27" s="43"/>
    </row>
    <row r="28">
      <c r="A28" s="2"/>
      <c r="B28" s="38"/>
      <c r="C28" s="2"/>
      <c r="D28" s="2"/>
      <c r="E28" s="2"/>
      <c r="F28" s="2"/>
      <c r="G28" s="2"/>
      <c r="H28" s="2"/>
      <c r="I28" s="38"/>
      <c r="J28" s="2"/>
      <c r="K28" s="2"/>
      <c r="L28" s="2"/>
      <c r="M28" s="2"/>
      <c r="N28" s="2"/>
      <c r="O28" s="2"/>
      <c r="P28" s="38"/>
      <c r="Q28" s="2"/>
      <c r="R28" s="2"/>
      <c r="S28" s="2"/>
      <c r="T28" s="2"/>
      <c r="U28" s="2"/>
      <c r="V28" s="2"/>
      <c r="W28" s="38"/>
      <c r="X28" s="2"/>
      <c r="Y28" s="2"/>
      <c r="Z28" s="2"/>
      <c r="AA28" s="2"/>
      <c r="AB28" s="2"/>
      <c r="AC28" s="2"/>
      <c r="AD28" s="38"/>
      <c r="AE28" s="2"/>
      <c r="AF28" s="2"/>
      <c r="AG28" s="2"/>
      <c r="AH28" s="2"/>
      <c r="AI28" s="2"/>
      <c r="AJ28" s="2"/>
      <c r="AK28" s="38"/>
      <c r="AL28" s="2"/>
      <c r="AM28" s="2"/>
      <c r="AN28" s="2"/>
      <c r="AO28" s="2"/>
      <c r="AP28" s="2"/>
      <c r="AQ28" s="2"/>
      <c r="AR28" s="38"/>
      <c r="AS28" s="2"/>
      <c r="AT28" s="2"/>
      <c r="AU28" s="2"/>
      <c r="AV28" s="2"/>
      <c r="AW28" s="2"/>
      <c r="AX28" s="2"/>
      <c r="AY28" s="38"/>
      <c r="AZ28" s="2"/>
      <c r="BA28" s="2"/>
      <c r="BB28" s="2"/>
      <c r="BC28" s="2"/>
      <c r="BD28" s="2"/>
      <c r="BE28" s="2"/>
      <c r="BF28" s="38"/>
      <c r="BG28" s="2"/>
      <c r="BH28" s="2"/>
      <c r="BI28" s="2"/>
      <c r="BJ28" s="2"/>
      <c r="BK28" s="2"/>
      <c r="BL28" s="2"/>
      <c r="BM28" s="38"/>
      <c r="BN28" s="2"/>
      <c r="BO28" s="2"/>
      <c r="BP28" s="2"/>
      <c r="BQ28" s="2"/>
      <c r="BR28" s="2"/>
      <c r="BS28" s="2"/>
      <c r="BT28" s="38"/>
      <c r="BU28" s="2"/>
      <c r="BV28" s="2"/>
      <c r="BW28" s="2"/>
      <c r="BX28" s="2"/>
      <c r="BY28" s="2"/>
      <c r="BZ28" s="2"/>
      <c r="CA28" s="38"/>
      <c r="CB28" s="2"/>
      <c r="CC28" s="2"/>
      <c r="CD28" s="2"/>
      <c r="CE28" s="2"/>
      <c r="CF28" s="2"/>
      <c r="CG28" s="2"/>
      <c r="CH28" s="38"/>
      <c r="CI28" s="2"/>
      <c r="CJ28" s="2"/>
      <c r="CK28" s="2"/>
      <c r="CL28" s="2"/>
      <c r="CM28" s="2"/>
      <c r="CN28" s="2"/>
      <c r="CO28" s="38"/>
      <c r="CP28" s="2"/>
      <c r="CQ28" s="2"/>
      <c r="CR28" s="2"/>
      <c r="CS28" s="2"/>
      <c r="CT28" s="2"/>
      <c r="CU28" s="2"/>
      <c r="CV28" s="38"/>
      <c r="CW28" s="2"/>
      <c r="CX28" s="2"/>
      <c r="CY28" s="2"/>
      <c r="CZ28" s="2"/>
      <c r="DA28" s="2"/>
      <c r="DB28" s="2"/>
      <c r="DC28" s="38"/>
      <c r="DD28" s="2"/>
      <c r="DE28" s="2"/>
      <c r="DF28" s="2"/>
      <c r="DG28" s="2"/>
      <c r="DH28" s="2"/>
      <c r="DI28" s="2"/>
      <c r="DJ28" s="38"/>
      <c r="DK28" s="2"/>
      <c r="DL28" s="2"/>
      <c r="DM28" s="2"/>
      <c r="DN28" s="2"/>
      <c r="DO28" s="2"/>
      <c r="DP28" s="2"/>
      <c r="DQ28" s="38"/>
      <c r="DR28" s="2"/>
      <c r="DS28" s="2"/>
      <c r="DT28" s="2"/>
      <c r="DU28" s="2"/>
      <c r="DV28" s="2"/>
      <c r="DW28" s="2"/>
      <c r="DX28" s="38"/>
      <c r="DY28" s="2"/>
      <c r="DZ28" s="2"/>
      <c r="EA28" s="2"/>
      <c r="EB28" s="2"/>
      <c r="EC28" s="2"/>
      <c r="ED28" s="2"/>
      <c r="EE28" s="38"/>
      <c r="EF28" s="2"/>
      <c r="EG28" s="2"/>
      <c r="EH28" s="2"/>
      <c r="EI28" s="2"/>
      <c r="EJ28" s="2"/>
      <c r="EK28" s="2"/>
      <c r="EL28" s="38"/>
      <c r="EM28" s="2"/>
      <c r="EN28" s="2"/>
      <c r="EO28" s="2"/>
      <c r="EP28" s="2"/>
      <c r="EQ28" s="2"/>
      <c r="ER28" s="2"/>
    </row>
    <row r="29">
      <c r="A29" s="28" t="s">
        <v>79</v>
      </c>
      <c r="B29" s="29"/>
      <c r="C29" s="30"/>
      <c r="D29" s="30"/>
      <c r="E29" s="30"/>
      <c r="F29" s="30"/>
      <c r="G29" s="30"/>
      <c r="H29" s="30"/>
      <c r="I29" s="29"/>
      <c r="J29" s="30"/>
      <c r="K29" s="30"/>
      <c r="L29" s="30"/>
      <c r="M29" s="30"/>
      <c r="N29" s="30"/>
      <c r="O29" s="30"/>
      <c r="P29" s="29"/>
      <c r="Q29" s="30"/>
      <c r="R29" s="30"/>
      <c r="S29" s="30"/>
      <c r="T29" s="30"/>
      <c r="U29" s="30"/>
      <c r="V29" s="30"/>
      <c r="W29" s="29"/>
      <c r="X29" s="30"/>
      <c r="Y29" s="30"/>
      <c r="Z29" s="30"/>
      <c r="AA29" s="30"/>
      <c r="AB29" s="30"/>
      <c r="AC29" s="30"/>
      <c r="AD29" s="29"/>
      <c r="AE29" s="30"/>
      <c r="AF29" s="30"/>
      <c r="AG29" s="30"/>
      <c r="AH29" s="30"/>
      <c r="AI29" s="30"/>
      <c r="AJ29" s="30"/>
      <c r="AK29" s="29"/>
      <c r="AL29" s="30"/>
      <c r="AM29" s="30"/>
      <c r="AN29" s="30"/>
      <c r="AO29" s="30"/>
      <c r="AP29" s="30"/>
      <c r="AQ29" s="30"/>
      <c r="AR29" s="29"/>
      <c r="AS29" s="30"/>
      <c r="AT29" s="30"/>
      <c r="AU29" s="30"/>
      <c r="AV29" s="30"/>
      <c r="AW29" s="30"/>
      <c r="AX29" s="30"/>
      <c r="AY29" s="29"/>
      <c r="AZ29" s="30"/>
      <c r="BA29" s="30"/>
      <c r="BB29" s="30"/>
      <c r="BC29" s="30"/>
      <c r="BD29" s="30"/>
      <c r="BE29" s="30"/>
      <c r="BF29" s="29"/>
      <c r="BG29" s="30"/>
      <c r="BH29" s="30"/>
      <c r="BI29" s="30"/>
      <c r="BJ29" s="30"/>
      <c r="BK29" s="30"/>
      <c r="BL29" s="30"/>
      <c r="BM29" s="29"/>
      <c r="BN29" s="30"/>
      <c r="BO29" s="30"/>
      <c r="BP29" s="30"/>
      <c r="BQ29" s="30"/>
      <c r="BR29" s="30"/>
      <c r="BS29" s="30"/>
      <c r="BT29" s="29"/>
      <c r="BU29" s="30"/>
      <c r="BV29" s="30"/>
      <c r="BW29" s="30"/>
      <c r="BX29" s="30"/>
      <c r="BY29" s="30"/>
      <c r="BZ29" s="30"/>
      <c r="CA29" s="29"/>
      <c r="CB29" s="30"/>
      <c r="CC29" s="30"/>
      <c r="CD29" s="30"/>
      <c r="CE29" s="30"/>
      <c r="CF29" s="30"/>
      <c r="CG29" s="30"/>
      <c r="CH29" s="29"/>
      <c r="CI29" s="30"/>
      <c r="CJ29" s="30"/>
      <c r="CK29" s="30"/>
      <c r="CL29" s="30"/>
      <c r="CM29" s="30"/>
      <c r="CN29" s="30"/>
      <c r="CO29" s="29"/>
      <c r="CP29" s="30"/>
      <c r="CQ29" s="30"/>
      <c r="CR29" s="30"/>
      <c r="CS29" s="30"/>
      <c r="CT29" s="30"/>
      <c r="CU29" s="30"/>
      <c r="CV29" s="29"/>
      <c r="CW29" s="30"/>
      <c r="CX29" s="30"/>
      <c r="CY29" s="30"/>
      <c r="CZ29" s="30"/>
      <c r="DA29" s="30"/>
      <c r="DB29" s="30"/>
      <c r="DC29" s="29"/>
      <c r="DD29" s="30"/>
      <c r="DE29" s="30"/>
      <c r="DF29" s="30"/>
      <c r="DG29" s="30"/>
      <c r="DH29" s="30"/>
      <c r="DI29" s="30"/>
      <c r="DJ29" s="29"/>
      <c r="DK29" s="30"/>
      <c r="DL29" s="30"/>
      <c r="DM29" s="30"/>
      <c r="DN29" s="30"/>
      <c r="DO29" s="30"/>
      <c r="DP29" s="30"/>
      <c r="DQ29" s="29"/>
      <c r="DR29" s="30"/>
      <c r="DS29" s="30"/>
      <c r="DT29" s="30"/>
      <c r="DU29" s="30"/>
      <c r="DV29" s="30"/>
      <c r="DW29" s="30"/>
      <c r="DX29" s="29"/>
      <c r="DY29" s="30"/>
      <c r="DZ29" s="30"/>
      <c r="EA29" s="30"/>
      <c r="EB29" s="30"/>
      <c r="EC29" s="30"/>
      <c r="ED29" s="30"/>
      <c r="EE29" s="31" t="s">
        <v>75</v>
      </c>
      <c r="EF29" s="32"/>
      <c r="EG29" s="32"/>
      <c r="EH29" s="32"/>
      <c r="EI29" s="32"/>
      <c r="EJ29" s="32"/>
      <c r="EK29" s="32"/>
      <c r="EL29" s="29"/>
      <c r="EM29" s="30"/>
      <c r="EN29" s="30"/>
      <c r="EO29" s="30"/>
      <c r="EP29" s="30"/>
      <c r="EQ29" s="30"/>
      <c r="ER29" s="30"/>
    </row>
    <row r="30" hidden="1">
      <c r="A30" s="33" t="str">
        <f>CONCATENATE(A31," TM")</f>
        <v>Deadlift TM</v>
      </c>
      <c r="B30" s="34">
        <f>if(D30="",'Quick Setup'!D7,D30/'Quick Setup'!E7)</f>
        <v>525</v>
      </c>
      <c r="C30" s="35" t="s">
        <v>73</v>
      </c>
      <c r="D30" s="36"/>
      <c r="E30" s="37"/>
      <c r="F30" s="37"/>
      <c r="G30" s="37"/>
      <c r="H30" s="37"/>
      <c r="I30" s="34">
        <f>if(K30="", if(F31&lt;&gt;"", if(F31&gt;Setup!F6,B30*(1+Setup!G6),if(F31&lt;Setup!E6,B30*(1+Setup!H6),B30)),B30),K30/'Quick Setup'!$E7)</f>
        <v>525</v>
      </c>
      <c r="J30" s="35" t="s">
        <v>73</v>
      </c>
      <c r="K30" s="36"/>
      <c r="L30" s="37"/>
      <c r="M30" s="37"/>
      <c r="N30" s="37"/>
      <c r="O30" s="37"/>
      <c r="P30" s="34">
        <f>if(R30="", if(M31&lt;&gt;"", if(M31&gt;Setup!M6,I30*(1+Setup!N6),if(M31&lt;Setup!L6,I30*(1+Setup!O6),I30)),I30),R30/'Quick Setup'!$E7)</f>
        <v>525</v>
      </c>
      <c r="Q30" s="35" t="s">
        <v>73</v>
      </c>
      <c r="R30" s="36"/>
      <c r="S30" s="37"/>
      <c r="T30" s="37"/>
      <c r="U30" s="37"/>
      <c r="V30" s="37"/>
      <c r="W30" s="34">
        <f>if(Y30="", if(T31&lt;&gt;"", if(T31&gt;Setup!T6,P30*(1+Setup!U6),if(T31&lt;Setup!S6,P30*(1+Setup!V6),P30)),P30),Y30/'Quick Setup'!$E7)</f>
        <v>525</v>
      </c>
      <c r="X30" s="35" t="s">
        <v>73</v>
      </c>
      <c r="Y30" s="36"/>
      <c r="Z30" s="37"/>
      <c r="AA30" s="37"/>
      <c r="AB30" s="37"/>
      <c r="AC30" s="37"/>
      <c r="AD30" s="34">
        <f>if(AF30="", if(AA31&lt;&gt;"", if(AA31&gt;Setup!AA6,W30*(1+Setup!AB6),if(AA31&lt;Setup!Z6,W30*(1+Setup!AC6),W30)),W30),AF30/'Quick Setup'!$E7)</f>
        <v>525</v>
      </c>
      <c r="AE30" s="35" t="s">
        <v>73</v>
      </c>
      <c r="AF30" s="36"/>
      <c r="AG30" s="37"/>
      <c r="AH30" s="37"/>
      <c r="AI30" s="37"/>
      <c r="AJ30" s="37"/>
      <c r="AK30" s="34">
        <f>if(AM30="", if(AH31&lt;&gt;"", if(AH31&gt;Setup!AH6,AD30*(1+Setup!AI6),if(AH31&lt;Setup!AG6,AD30*(1+Setup!AJ6),AD30)),AD30),AM30/'Quick Setup'!$E7)</f>
        <v>525</v>
      </c>
      <c r="AL30" s="35" t="s">
        <v>73</v>
      </c>
      <c r="AM30" s="36"/>
      <c r="AN30" s="37"/>
      <c r="AO30" s="37"/>
      <c r="AP30" s="37"/>
      <c r="AQ30" s="37"/>
      <c r="AR30" s="34">
        <f>if(AT30="", if(AO31&lt;&gt;"", if(AO31&gt;Setup!AO6,AK30*(1+Setup!AP6),if(AO31&lt;Setup!AN6,AK30*(1+Setup!AQ6),AK30)),AK30),AT30/'Quick Setup'!$E7)</f>
        <v>525</v>
      </c>
      <c r="AS30" s="35" t="s">
        <v>73</v>
      </c>
      <c r="AT30" s="36"/>
      <c r="AU30" s="37"/>
      <c r="AV30" s="37"/>
      <c r="AW30" s="37"/>
      <c r="AX30" s="37"/>
      <c r="AY30" s="34">
        <f>if(BA30="",AR30,BA30/'Quick Setup'!$E7)</f>
        <v>525</v>
      </c>
      <c r="AZ30" s="35" t="s">
        <v>73</v>
      </c>
      <c r="BA30" s="36"/>
      <c r="BB30" s="37"/>
      <c r="BC30" s="37"/>
      <c r="BD30" s="37"/>
      <c r="BE30" s="37"/>
      <c r="BF30" s="34">
        <f>if(BH30="", if(BC31&lt;&gt;"", if(BC31&gt;Setup!BC6,AY30*(1+Setup!BD6),if(BC31&lt;Setup!BB6,AY30*(1+Setup!BE6),AY30)),AY30),BH30/'Quick Setup'!$E7)</f>
        <v>525</v>
      </c>
      <c r="BG30" s="35" t="s">
        <v>73</v>
      </c>
      <c r="BH30" s="36"/>
      <c r="BI30" s="37"/>
      <c r="BJ30" s="37"/>
      <c r="BK30" s="37"/>
      <c r="BL30" s="37"/>
      <c r="BM30" s="34">
        <f>if(BO30="", if(BJ31&lt;&gt;"", if(BJ31&gt;Setup!BJ6,BF30*(1+Setup!BK6),if(BJ31&lt;Setup!BI6,BF30*(1+Setup!BL6),BF30)),BF30),BO30/'Quick Setup'!$E7)</f>
        <v>525</v>
      </c>
      <c r="BN30" s="35" t="s">
        <v>73</v>
      </c>
      <c r="BO30" s="36"/>
      <c r="BP30" s="37"/>
      <c r="BQ30" s="37"/>
      <c r="BR30" s="37"/>
      <c r="BS30" s="37"/>
      <c r="BT30" s="34">
        <f>if(BV30="", if(BQ31&lt;&gt;"", if(BQ31&gt;Setup!BQ6,BM30*(1+Setup!BR6),if(BQ31&lt;Setup!BP6,BM30*(1+Setup!BS6),BM30)),BM30),BV30/'Quick Setup'!$E7)</f>
        <v>525</v>
      </c>
      <c r="BU30" s="35" t="s">
        <v>73</v>
      </c>
      <c r="BV30" s="36"/>
      <c r="BW30" s="37"/>
      <c r="BX30" s="37"/>
      <c r="BY30" s="37"/>
      <c r="BZ30" s="37"/>
      <c r="CA30" s="34">
        <f>if(CC30="", if(BX31&lt;&gt;"", if(BX31&gt;Setup!BX6,BT30*(1+Setup!BY6),if(BX31&lt;Setup!BW6,BT30*(1+Setup!BZ6),BT30)),BT30),CC30/'Quick Setup'!$E7)</f>
        <v>525</v>
      </c>
      <c r="CB30" s="35" t="s">
        <v>73</v>
      </c>
      <c r="CC30" s="36"/>
      <c r="CD30" s="37"/>
      <c r="CE30" s="37"/>
      <c r="CF30" s="37"/>
      <c r="CG30" s="37"/>
      <c r="CH30" s="34">
        <f>if(CJ30="", if(CE31&lt;&gt;"", if(CE31&gt;Setup!CE6,CA30*(1+Setup!CF6),if(CE31&lt;Setup!CD6,CA30*(1+Setup!CG6),CA30)),CA30),CJ30/'Quick Setup'!$E7)</f>
        <v>525</v>
      </c>
      <c r="CI30" s="35" t="s">
        <v>73</v>
      </c>
      <c r="CJ30" s="36"/>
      <c r="CK30" s="37"/>
      <c r="CL30" s="37"/>
      <c r="CM30" s="37"/>
      <c r="CN30" s="37"/>
      <c r="CO30" s="34">
        <f>if(CQ30="", if(CL31&lt;&gt;"", if(CL31&gt;Setup!CL6,CH30*(1+Setup!CM6),if(CL31&lt;Setup!CK6,CH30*(1+Setup!CN6),CH30)),CH30),CQ30/'Quick Setup'!$E7)</f>
        <v>525</v>
      </c>
      <c r="CP30" s="35" t="s">
        <v>73</v>
      </c>
      <c r="CQ30" s="36"/>
      <c r="CR30" s="37"/>
      <c r="CS30" s="37"/>
      <c r="CT30" s="37"/>
      <c r="CU30" s="37"/>
      <c r="CV30" s="34">
        <f>if(CX30="",CO30,CX30/'Quick Setup'!$E7)</f>
        <v>525</v>
      </c>
      <c r="CW30" s="35" t="s">
        <v>73</v>
      </c>
      <c r="CX30" s="36"/>
      <c r="CY30" s="37"/>
      <c r="CZ30" s="37"/>
      <c r="DA30" s="37"/>
      <c r="DB30" s="37"/>
      <c r="DC30" s="34">
        <f>if(DE30="", if(CZ31&lt;&gt;"", if(CZ31&gt;Setup!CZ6,CV30*(1+Setup!DA6),if(CZ31&lt;Setup!CY6,CV30*(1+Setup!DB6),CV30)),CV30),DE30/'Quick Setup'!$E7)</f>
        <v>525</v>
      </c>
      <c r="DD30" s="35" t="s">
        <v>73</v>
      </c>
      <c r="DE30" s="36"/>
      <c r="DF30" s="37"/>
      <c r="DG30" s="37"/>
      <c r="DH30" s="37"/>
      <c r="DI30" s="37"/>
      <c r="DJ30" s="34">
        <f>if(DL30="", if(DG31&lt;&gt;"", if(DG31&gt;Setup!DG6,DC30*(1+Setup!DH6),if(DG31&lt;Setup!DF6,DC30*(1+Setup!DI6),DC30)),DC30),DL30/'Quick Setup'!$E7)</f>
        <v>525</v>
      </c>
      <c r="DK30" s="35" t="s">
        <v>73</v>
      </c>
      <c r="DL30" s="36"/>
      <c r="DM30" s="37"/>
      <c r="DN30" s="37"/>
      <c r="DO30" s="37"/>
      <c r="DP30" s="37"/>
      <c r="DQ30" s="34">
        <f>if(DS30="", if(DN31&lt;&gt;"", if(DN31&gt;Setup!DN6,DJ30*(1+Setup!DO6),if(DN31&lt;Setup!DM6,DJ30*(1+Setup!DP6),DJ30)),DJ30),DS30/'Quick Setup'!$E7)</f>
        <v>525</v>
      </c>
      <c r="DR30" s="35" t="s">
        <v>73</v>
      </c>
      <c r="DS30" s="36"/>
      <c r="DT30" s="37"/>
      <c r="DU30" s="37"/>
      <c r="DV30" s="37"/>
      <c r="DW30" s="37"/>
      <c r="DX30" s="34">
        <f>if(DZ30="", if(DU31&lt;&gt;"", if(DU31&gt;Setup!DU6,DQ30*(1+Setup!DV6),if(DU31&lt;Setup!DT6,DQ30*(1+Setup!DW6),DQ30)),DQ30),DZ30/'Quick Setup'!$E7)</f>
        <v>525</v>
      </c>
      <c r="DY30" s="35" t="s">
        <v>73</v>
      </c>
      <c r="DZ30" s="36"/>
      <c r="EA30" s="37"/>
      <c r="EB30" s="37"/>
      <c r="EC30" s="37"/>
      <c r="ED30" s="37"/>
      <c r="EE30" s="34">
        <f>if(EG30="", if(EB31&lt;&gt;"", if(EB31&gt;Setup!EB6,DX30*(1+Setup!EC6),if(EB31&lt;Setup!EA6,DX30*(1+Setup!ED6),DX30)),DX30),EG30/'Quick Setup'!$E7)</f>
        <v>525</v>
      </c>
      <c r="EF30" s="35" t="s">
        <v>73</v>
      </c>
      <c r="EG30" s="36"/>
      <c r="EH30" s="37"/>
      <c r="EI30" s="37"/>
      <c r="EJ30" s="37"/>
      <c r="EK30" s="37"/>
      <c r="EL30" s="34">
        <f>if(EN30="", if(EI31&lt;&gt;"", if(EI31&gt;Setup!EI6,EE30*(1+Setup!EJ6),if(EI31&lt;Setup!EH6,EE30*(1+Setup!EK6),EE30)),EE30),EN30/'Quick Setup'!$E7)</f>
        <v>525</v>
      </c>
      <c r="EM30" s="35" t="s">
        <v>73</v>
      </c>
      <c r="EN30" s="36"/>
      <c r="EO30" s="37"/>
      <c r="EP30" s="37"/>
      <c r="EQ30" s="37"/>
      <c r="ER30" s="37"/>
    </row>
    <row r="31">
      <c r="A31" s="1" t="str">
        <f>Setup!A6</f>
        <v>Deadlift</v>
      </c>
      <c r="B31" s="38">
        <f>mround(B30*Setup!B6,'Quick Setup'!$A$2)</f>
        <v>367.5</v>
      </c>
      <c r="C31" s="2">
        <f>Setup!C6</f>
        <v>5</v>
      </c>
      <c r="D31" s="2">
        <f>Setup!D6</f>
        <v>3</v>
      </c>
      <c r="E31" s="2" t="str">
        <f>CONCATENATE(Setup!E6,"-",Setup!F6)</f>
        <v>4-6</v>
      </c>
      <c r="F31" s="10"/>
      <c r="G31" s="10"/>
      <c r="H31" s="10"/>
      <c r="I31" s="38">
        <f>mround(I30*Setup!I6,'Quick Setup'!$A$2)</f>
        <v>395</v>
      </c>
      <c r="J31" s="2">
        <f>Setup!J6</f>
        <v>4</v>
      </c>
      <c r="K31" s="2">
        <f>Setup!K6</f>
        <v>3</v>
      </c>
      <c r="L31" s="2" t="str">
        <f>CONCATENATE(Setup!L6,"-",Setup!M6)</f>
        <v>4-6</v>
      </c>
      <c r="M31" s="10"/>
      <c r="N31" s="10"/>
      <c r="O31" s="10"/>
      <c r="P31" s="38">
        <f>mround(P30*Setup!P6,'Quick Setup'!$A$2)</f>
        <v>420</v>
      </c>
      <c r="Q31" s="2">
        <f>Setup!Q6</f>
        <v>3</v>
      </c>
      <c r="R31" s="2">
        <f>Setup!R6</f>
        <v>2</v>
      </c>
      <c r="S31" s="2" t="str">
        <f>CONCATENATE(Setup!S6,"-",Setup!T6)</f>
        <v>4-6</v>
      </c>
      <c r="T31" s="10"/>
      <c r="U31" s="10"/>
      <c r="V31" s="10"/>
      <c r="W31" s="38">
        <f>mround(W30*Setup!W6,'Quick Setup'!$A$2)</f>
        <v>380</v>
      </c>
      <c r="X31" s="2">
        <f>Setup!X6</f>
        <v>5</v>
      </c>
      <c r="Y31" s="2">
        <f>Setup!Y6</f>
        <v>3</v>
      </c>
      <c r="Z31" s="2" t="str">
        <f>CONCATENATE(Setup!Z6,"-",Setup!AA6)</f>
        <v>4-6</v>
      </c>
      <c r="AA31" s="10"/>
      <c r="AB31" s="10"/>
      <c r="AC31" s="10"/>
      <c r="AD31" s="38">
        <f>mround(AD30*Setup!AD6,'Quick Setup'!$A$2)</f>
        <v>407.5</v>
      </c>
      <c r="AE31" s="2">
        <f>Setup!AE6</f>
        <v>4</v>
      </c>
      <c r="AF31" s="2">
        <f>Setup!AF6</f>
        <v>3</v>
      </c>
      <c r="AG31" s="2" t="str">
        <f>CONCATENATE(Setup!AG6,"-",Setup!AH6)</f>
        <v>4-6</v>
      </c>
      <c r="AH31" s="10"/>
      <c r="AI31" s="10"/>
      <c r="AJ31" s="10"/>
      <c r="AK31" s="38">
        <f>mround(AK30*Setup!AK6,'Quick Setup'!$A$2)</f>
        <v>432.5</v>
      </c>
      <c r="AL31" s="2">
        <f>Setup!AL6</f>
        <v>3</v>
      </c>
      <c r="AM31" s="2">
        <f>Setup!AM6</f>
        <v>2</v>
      </c>
      <c r="AN31" s="2" t="str">
        <f>CONCATENATE(Setup!AN6,"-",Setup!AO6)</f>
        <v>4-6</v>
      </c>
      <c r="AO31" s="10"/>
      <c r="AP31" s="10"/>
      <c r="AQ31" s="10"/>
      <c r="AR31" s="38">
        <f>mround(AR30*Setup!AR6,'Quick Setup'!$A$2)</f>
        <v>315</v>
      </c>
      <c r="AS31" s="1">
        <v>5.0</v>
      </c>
      <c r="AT31" s="1" t="s">
        <v>76</v>
      </c>
      <c r="AU31" s="2" t="str">
        <f>CONCATENATE(Setup!AU6,"-",Setup!AV6)</f>
        <v>4-6</v>
      </c>
      <c r="AV31" s="10"/>
      <c r="AW31" s="10"/>
      <c r="AX31" s="10"/>
      <c r="AY31" s="38">
        <f>mround(AY30*Setup!AY6,'Quick Setup'!$A$2)</f>
        <v>395</v>
      </c>
      <c r="AZ31" s="2">
        <f>Setup!AZ6</f>
        <v>4</v>
      </c>
      <c r="BA31" s="2">
        <f>Setup!BA6</f>
        <v>3</v>
      </c>
      <c r="BB31" s="2" t="str">
        <f>CONCATENATE(Setup!BB6,"-",Setup!BC6)</f>
        <v>4-6</v>
      </c>
      <c r="BC31" s="10"/>
      <c r="BD31" s="10"/>
      <c r="BE31" s="10"/>
      <c r="BF31" s="38">
        <f>mround(BF30*Setup!BF6,'Quick Setup'!$A$2)</f>
        <v>420</v>
      </c>
      <c r="BG31" s="2">
        <f>Setup!BG6</f>
        <v>3</v>
      </c>
      <c r="BH31" s="2">
        <f>Setup!BH6</f>
        <v>2</v>
      </c>
      <c r="BI31" s="2" t="str">
        <f>CONCATENATE(Setup!BI6,"-",Setup!BJ6)</f>
        <v>4-6</v>
      </c>
      <c r="BJ31" s="10"/>
      <c r="BK31" s="10"/>
      <c r="BL31" s="10"/>
      <c r="BM31" s="38">
        <f>mround(BM30*Setup!BM6,'Quick Setup'!$A$2)</f>
        <v>447.5</v>
      </c>
      <c r="BN31" s="2">
        <f>Setup!BN6</f>
        <v>2</v>
      </c>
      <c r="BO31" s="2">
        <f>Setup!BO6</f>
        <v>2</v>
      </c>
      <c r="BP31" s="2" t="str">
        <f>CONCATENATE(Setup!BP6,"-",Setup!BQ6)</f>
        <v>4-6</v>
      </c>
      <c r="BQ31" s="10"/>
      <c r="BR31" s="10"/>
      <c r="BS31" s="10"/>
      <c r="BT31" s="38">
        <f>mround(BT30*Setup!BT6,'Quick Setup'!$A$2)</f>
        <v>407.5</v>
      </c>
      <c r="BU31" s="2">
        <f>Setup!BU6</f>
        <v>4</v>
      </c>
      <c r="BV31" s="2">
        <f>Setup!BV6</f>
        <v>3</v>
      </c>
      <c r="BW31" s="2" t="str">
        <f>CONCATENATE(Setup!BW6,"-",Setup!BX6)</f>
        <v>4-6</v>
      </c>
      <c r="BX31" s="10"/>
      <c r="BY31" s="10"/>
      <c r="BZ31" s="10"/>
      <c r="CA31" s="38">
        <f>mround(CA30*Setup!CA6,'Quick Setup'!$A$2)</f>
        <v>432.5</v>
      </c>
      <c r="CB31" s="2">
        <f>Setup!CB6</f>
        <v>3</v>
      </c>
      <c r="CC31" s="2">
        <f>Setup!CC6</f>
        <v>2</v>
      </c>
      <c r="CD31" s="2" t="str">
        <f>CONCATENATE(Setup!CD6,"-",Setup!CE6)</f>
        <v>4-6</v>
      </c>
      <c r="CE31" s="10"/>
      <c r="CF31" s="10"/>
      <c r="CG31" s="10"/>
      <c r="CH31" s="38">
        <f>mround(CH30*Setup!CH6,'Quick Setup'!$A$2)</f>
        <v>460</v>
      </c>
      <c r="CI31" s="2">
        <f>Setup!CI6</f>
        <v>2</v>
      </c>
      <c r="CJ31" s="2">
        <f>Setup!CJ6</f>
        <v>2</v>
      </c>
      <c r="CK31" s="2" t="str">
        <f>CONCATENATE(Setup!CK6,"-",Setup!CL6)</f>
        <v>4-6</v>
      </c>
      <c r="CL31" s="10"/>
      <c r="CM31" s="10"/>
      <c r="CN31" s="10"/>
      <c r="CO31" s="38">
        <f>mround(CO30*Setup!CO6,'Quick Setup'!$A$2)</f>
        <v>315</v>
      </c>
      <c r="CP31" s="1">
        <v>5.0</v>
      </c>
      <c r="CQ31" s="1" t="s">
        <v>76</v>
      </c>
      <c r="CR31" s="2" t="str">
        <f>CONCATENATE(Setup!CR6,"-",Setup!CS6)</f>
        <v>4-6</v>
      </c>
      <c r="CS31" s="10"/>
      <c r="CT31" s="10"/>
      <c r="CU31" s="10"/>
      <c r="CV31" s="38">
        <f>mround(CV30*Setup!CV6,'Quick Setup'!$A$2)</f>
        <v>420</v>
      </c>
      <c r="CW31" s="2">
        <f>Setup!CW6</f>
        <v>3</v>
      </c>
      <c r="CX31" s="2">
        <f>Setup!CX6</f>
        <v>2</v>
      </c>
      <c r="CY31" s="2" t="str">
        <f>CONCATENATE(Setup!CY6,"-",Setup!CZ6)</f>
        <v>4-6</v>
      </c>
      <c r="CZ31" s="10"/>
      <c r="DA31" s="10"/>
      <c r="DB31" s="10"/>
      <c r="DC31" s="38">
        <f>mround(DC30*Setup!DC6,'Quick Setup'!$A$2)</f>
        <v>447.5</v>
      </c>
      <c r="DD31" s="2">
        <f>Setup!DD6</f>
        <v>2</v>
      </c>
      <c r="DE31" s="2">
        <f>Setup!DE6</f>
        <v>2</v>
      </c>
      <c r="DF31" s="2" t="str">
        <f>CONCATENATE(Setup!DF6,"-",Setup!DG6)</f>
        <v>4-6</v>
      </c>
      <c r="DG31" s="10"/>
      <c r="DH31" s="10"/>
      <c r="DI31" s="10"/>
      <c r="DJ31" s="38">
        <f>mround(DJ30*Setup!DJ6,'Quick Setup'!$A$2)</f>
        <v>472.5</v>
      </c>
      <c r="DK31" s="2">
        <f>Setup!DK6</f>
        <v>1</v>
      </c>
      <c r="DL31" s="2">
        <f>Setup!DL6</f>
        <v>1</v>
      </c>
      <c r="DM31" s="2" t="str">
        <f>CONCATENATE(Setup!DM6,"-",Setup!DN6)</f>
        <v>4-6</v>
      </c>
      <c r="DN31" s="10"/>
      <c r="DO31" s="10"/>
      <c r="DP31" s="10"/>
      <c r="DQ31" s="38">
        <f>mround(DQ30*Setup!DQ6,'Quick Setup'!$A$2)</f>
        <v>447.5</v>
      </c>
      <c r="DR31" s="2">
        <f>Setup!DR6</f>
        <v>2</v>
      </c>
      <c r="DS31" s="2">
        <f>Setup!DS6</f>
        <v>2</v>
      </c>
      <c r="DT31" s="2" t="str">
        <f>CONCATENATE(Setup!DT6,"-",Setup!DU6)</f>
        <v>4-6</v>
      </c>
      <c r="DU31" s="10"/>
      <c r="DV31" s="10"/>
      <c r="DW31" s="10"/>
      <c r="DX31" s="38">
        <f>mround(DX30*Setup!DX6,'Quick Setup'!$A$2)</f>
        <v>472.5</v>
      </c>
      <c r="DY31" s="2">
        <f>Setup!DY6</f>
        <v>1</v>
      </c>
      <c r="DZ31" s="2">
        <f>Setup!DZ6</f>
        <v>1</v>
      </c>
      <c r="EA31" s="2" t="str">
        <f>CONCATENATE(Setup!EA6,"-",Setup!EB6)</f>
        <v>4-6</v>
      </c>
      <c r="EB31" s="10"/>
      <c r="EC31" s="10"/>
      <c r="ED31" s="10"/>
      <c r="EE31" s="38">
        <f>mround(EE30*Setup!EE6,'Quick Setup'!$A$2)</f>
        <v>500</v>
      </c>
      <c r="EF31" s="2">
        <f>Setup!EF6</f>
        <v>1</v>
      </c>
      <c r="EG31" s="2">
        <f>Setup!EG6</f>
        <v>1</v>
      </c>
      <c r="EH31" s="2" t="str">
        <f>CONCATENATE(Setup!EH6,"-",Setup!EI6)</f>
        <v>4-6</v>
      </c>
      <c r="EI31" s="10"/>
      <c r="EJ31" s="10"/>
      <c r="EK31" s="10"/>
      <c r="EL31" s="38">
        <f>mround(EL30*Setup!EL6,'Quick Setup'!$A$2)</f>
        <v>315</v>
      </c>
      <c r="EM31" s="1">
        <v>5.0</v>
      </c>
      <c r="EN31" s="1" t="s">
        <v>76</v>
      </c>
      <c r="EO31" s="2" t="str">
        <f>CONCATENATE(Setup!EO6,"-",Setup!EP6)</f>
        <v>4-6</v>
      </c>
      <c r="EP31" s="10"/>
      <c r="EQ31" s="10"/>
      <c r="ER31" s="10"/>
    </row>
    <row r="32" hidden="1">
      <c r="A32" s="33" t="str">
        <f>CONCATENATE(A33," TM")</f>
        <v>Front Squat TM</v>
      </c>
      <c r="B32" s="34">
        <f>if(D32="",'Quick Setup'!D11,D32/'Quick Setup'!E11)</f>
        <v>420</v>
      </c>
      <c r="C32" s="35" t="s">
        <v>73</v>
      </c>
      <c r="D32" s="36"/>
      <c r="E32" s="37"/>
      <c r="F32" s="37"/>
      <c r="G32" s="37"/>
      <c r="H32" s="37"/>
      <c r="I32" s="34">
        <f>if(K32="", if(F33&lt;&gt;"", if(F33&gt;Setup!F10,B32*(1+Setup!G10),if(F33&lt;Setup!E10,B32*(1+Setup!H10),B32)),B32),K32/'Quick Setup'!$E11)</f>
        <v>420</v>
      </c>
      <c r="J32" s="35" t="s">
        <v>73</v>
      </c>
      <c r="K32" s="36"/>
      <c r="L32" s="37"/>
      <c r="M32" s="37"/>
      <c r="N32" s="37"/>
      <c r="O32" s="37"/>
      <c r="P32" s="34">
        <f>if(R32="", if(M33&lt;&gt;"", if(M33&gt;Setup!M10,I32*(1+Setup!N10),if(M33&lt;Setup!L10,I32*(1+Setup!O10),I32)),I32),R32/'Quick Setup'!$E11)</f>
        <v>420</v>
      </c>
      <c r="Q32" s="35" t="s">
        <v>73</v>
      </c>
      <c r="R32" s="36"/>
      <c r="S32" s="37"/>
      <c r="T32" s="37"/>
      <c r="U32" s="37"/>
      <c r="V32" s="37"/>
      <c r="W32" s="34">
        <f>if(Y32="", if(T33&lt;&gt;"", if(T33&gt;Setup!T10,P32*(1+Setup!U10),if(T33&lt;Setup!S10,P32*(1+Setup!V10),P32)),P32),Y32/'Quick Setup'!$E11)</f>
        <v>420</v>
      </c>
      <c r="X32" s="35" t="s">
        <v>73</v>
      </c>
      <c r="Y32" s="36"/>
      <c r="Z32" s="37"/>
      <c r="AA32" s="37"/>
      <c r="AB32" s="37"/>
      <c r="AC32" s="37"/>
      <c r="AD32" s="34">
        <f>if(AF32="", if(AA33&lt;&gt;"", if(AA33&gt;Setup!AA10,W32*(1+Setup!AB10),if(AA33&lt;Setup!Z10,W32*(1+Setup!AC10),W32)),W32),AF32/'Quick Setup'!$E11)</f>
        <v>420</v>
      </c>
      <c r="AE32" s="35" t="s">
        <v>73</v>
      </c>
      <c r="AF32" s="36"/>
      <c r="AG32" s="37"/>
      <c r="AH32" s="37"/>
      <c r="AI32" s="37"/>
      <c r="AJ32" s="37"/>
      <c r="AK32" s="34">
        <f>if(AM32="", if(AH33&lt;&gt;"", if(AH33&gt;Setup!AH10,AD32*(1+Setup!AI10),if(AH33&lt;Setup!AG10,AD32*(1+Setup!AJ10),AD32)),AD32),AM32/'Quick Setup'!$E11)</f>
        <v>420</v>
      </c>
      <c r="AL32" s="35" t="s">
        <v>73</v>
      </c>
      <c r="AM32" s="36"/>
      <c r="AN32" s="37"/>
      <c r="AO32" s="37"/>
      <c r="AP32" s="37"/>
      <c r="AQ32" s="37"/>
      <c r="AR32" s="34">
        <f>if(AT32="", if(AO33&lt;&gt;"", if(AO33&gt;Setup!AO10,AK32*(1+Setup!AP10),if(AO33&lt;Setup!AN10,AK32*(1+Setup!AQ10),AK32)),AK32),AT32/'Quick Setup'!$E11)</f>
        <v>420</v>
      </c>
      <c r="AS32" s="35" t="s">
        <v>73</v>
      </c>
      <c r="AT32" s="36"/>
      <c r="AU32" s="37"/>
      <c r="AV32" s="37"/>
      <c r="AW32" s="37"/>
      <c r="AX32" s="37"/>
      <c r="AY32" s="34">
        <f>if(BA32="",AR32,BA32/'Quick Setup'!$E11)</f>
        <v>420</v>
      </c>
      <c r="AZ32" s="35" t="s">
        <v>73</v>
      </c>
      <c r="BA32" s="36"/>
      <c r="BB32" s="37"/>
      <c r="BC32" s="37"/>
      <c r="BD32" s="37"/>
      <c r="BE32" s="37"/>
      <c r="BF32" s="34">
        <f>if(BH32="", if(BC33&lt;&gt;"", if(BC33&gt;Setup!BC10,AY32*(1+Setup!BD10),if(BC33&lt;Setup!BB10,AY32*(1+Setup!BE10),AY32)),AY32),BH32/'Quick Setup'!$E11)</f>
        <v>420</v>
      </c>
      <c r="BG32" s="35" t="s">
        <v>73</v>
      </c>
      <c r="BH32" s="36"/>
      <c r="BI32" s="37"/>
      <c r="BJ32" s="37"/>
      <c r="BK32" s="37"/>
      <c r="BL32" s="37"/>
      <c r="BM32" s="34">
        <f>if(BO32="", if(BJ33&lt;&gt;"", if(BJ33&gt;Setup!BJ10,BF32*(1+Setup!BK10),if(BJ33&lt;Setup!BI10,BF32*(1+Setup!BL10),BF32)),BF32),BO32/'Quick Setup'!$E11)</f>
        <v>420</v>
      </c>
      <c r="BN32" s="35" t="s">
        <v>73</v>
      </c>
      <c r="BO32" s="36"/>
      <c r="BP32" s="37"/>
      <c r="BQ32" s="37"/>
      <c r="BR32" s="37"/>
      <c r="BS32" s="37"/>
      <c r="BT32" s="34">
        <f>if(BV32="", if(BQ33&lt;&gt;"", if(BQ33&gt;Setup!BQ10,BM32*(1+Setup!BR10),if(BQ33&lt;Setup!BP10,BM32*(1+Setup!BS10),BM32)),BM32),BV32/'Quick Setup'!$E11)</f>
        <v>420</v>
      </c>
      <c r="BU32" s="35" t="s">
        <v>73</v>
      </c>
      <c r="BV32" s="36"/>
      <c r="BW32" s="37"/>
      <c r="BX32" s="37"/>
      <c r="BY32" s="37"/>
      <c r="BZ32" s="37"/>
      <c r="CA32" s="34">
        <f>if(CC32="", if(BX33&lt;&gt;"", if(BX33&gt;Setup!BX10,BT32*(1+Setup!BY10),if(BX33&lt;Setup!BW10,BT32*(1+Setup!BZ10),BT32)),BT32),CC32/'Quick Setup'!$E11)</f>
        <v>420</v>
      </c>
      <c r="CB32" s="35" t="s">
        <v>73</v>
      </c>
      <c r="CC32" s="36"/>
      <c r="CD32" s="37"/>
      <c r="CE32" s="37"/>
      <c r="CF32" s="37"/>
      <c r="CG32" s="37"/>
      <c r="CH32" s="34">
        <f>if(CJ32="", if(CE33&lt;&gt;"", if(CE33&gt;Setup!CE10,CA32*(1+Setup!CF10),if(CE33&lt;Setup!CD10,CA32*(1+Setup!CG10),CA32)),CA32),CJ32/'Quick Setup'!$E11)</f>
        <v>420</v>
      </c>
      <c r="CI32" s="35" t="s">
        <v>73</v>
      </c>
      <c r="CJ32" s="36"/>
      <c r="CK32" s="37"/>
      <c r="CL32" s="37"/>
      <c r="CM32" s="37"/>
      <c r="CN32" s="37"/>
      <c r="CO32" s="34">
        <f>if(CQ32="", if(CL33&lt;&gt;"", if(CL33&gt;Setup!CL10,CH32*(1+Setup!CM10),if(CL33&lt;Setup!CK10,CH32*(1+Setup!CN10),CH32)),CH32),CQ32/'Quick Setup'!$E11)</f>
        <v>420</v>
      </c>
      <c r="CP32" s="35" t="s">
        <v>73</v>
      </c>
      <c r="CQ32" s="36"/>
      <c r="CR32" s="37"/>
      <c r="CS32" s="37"/>
      <c r="CT32" s="37"/>
      <c r="CU32" s="37"/>
      <c r="CV32" s="34">
        <f>if(CX32="",CO32,CX32/'Quick Setup'!$E11)</f>
        <v>420</v>
      </c>
      <c r="CW32" s="35" t="s">
        <v>73</v>
      </c>
      <c r="CX32" s="36"/>
      <c r="CY32" s="37"/>
      <c r="CZ32" s="37"/>
      <c r="DA32" s="37"/>
      <c r="DB32" s="37"/>
      <c r="DC32" s="34">
        <f>if(DE32="", if(CZ33&lt;&gt;"", if(CZ33&gt;Setup!CZ10,CV32*(1+Setup!DA10),if(CZ33&lt;Setup!CY10,CV32*(1+Setup!DB10),CV32)),CV32),DE32/'Quick Setup'!$E11)</f>
        <v>420</v>
      </c>
      <c r="DD32" s="35" t="s">
        <v>73</v>
      </c>
      <c r="DE32" s="36"/>
      <c r="DF32" s="37"/>
      <c r="DG32" s="37"/>
      <c r="DH32" s="37"/>
      <c r="DI32" s="37"/>
      <c r="DJ32" s="34">
        <f>if(DL32="", if(DG33&lt;&gt;"", if(DG33&gt;Setup!DG10,DC32*(1+Setup!DH10),if(DG33&lt;Setup!DF10,DC32*(1+Setup!DI10),DC32)),DC32),DL32/'Quick Setup'!$E11)</f>
        <v>420</v>
      </c>
      <c r="DK32" s="35" t="s">
        <v>73</v>
      </c>
      <c r="DL32" s="36"/>
      <c r="DM32" s="37"/>
      <c r="DN32" s="37"/>
      <c r="DO32" s="37"/>
      <c r="DP32" s="37"/>
      <c r="DQ32" s="34">
        <f>if(DS32="", if(DN33&lt;&gt;"", if(DN33&gt;Setup!DN10,DJ32*(1+Setup!DO10),if(DN33&lt;Setup!DM10,DJ32*(1+Setup!DP10),DJ32)),DJ32),DS32/'Quick Setup'!$E11)</f>
        <v>420</v>
      </c>
      <c r="DR32" s="35" t="s">
        <v>73</v>
      </c>
      <c r="DS32" s="36"/>
      <c r="DT32" s="37"/>
      <c r="DU32" s="37"/>
      <c r="DV32" s="37"/>
      <c r="DW32" s="37"/>
      <c r="DX32" s="34">
        <f>if(DZ32="", if(DU33&lt;&gt;"", if(DU33&gt;Setup!DU10,DQ32*(1+Setup!DV10),if(DU33&lt;Setup!DT10,DQ32*(1+Setup!DW10),DQ32)),DQ32),DZ32/'Quick Setup'!$E11)</f>
        <v>420</v>
      </c>
      <c r="DY32" s="35" t="s">
        <v>73</v>
      </c>
      <c r="DZ32" s="36"/>
      <c r="EA32" s="37"/>
      <c r="EB32" s="37"/>
      <c r="EC32" s="37"/>
      <c r="ED32" s="37"/>
      <c r="EE32" s="34">
        <f>if(EG32="", if(EB33&lt;&gt;"", if(EB33&gt;Setup!EB10,DX32*(1+Setup!EC10),if(EB33&lt;Setup!EA10,DX32*(1+Setup!ED10),DX32)),DX32),EG32/'Quick Setup'!$E11)</f>
        <v>420</v>
      </c>
      <c r="EF32" s="35" t="s">
        <v>73</v>
      </c>
      <c r="EG32" s="36"/>
      <c r="EH32" s="37"/>
      <c r="EI32" s="37"/>
      <c r="EJ32" s="37"/>
      <c r="EK32" s="37"/>
      <c r="EL32" s="34">
        <f>if(EN32="", if(EI33&lt;&gt;"", if(EI33&gt;Setup!EI10,EE32*(1+Setup!EJ10),if(EI33&lt;Setup!EH10,EE32*(1+Setup!EK10),EE32)),EE32),EN32/'Quick Setup'!$E11)</f>
        <v>420</v>
      </c>
      <c r="EM32" s="35" t="s">
        <v>73</v>
      </c>
      <c r="EN32" s="36"/>
      <c r="EO32" s="37"/>
      <c r="EP32" s="37"/>
      <c r="EQ32" s="37"/>
      <c r="ER32" s="37"/>
    </row>
    <row r="33">
      <c r="A33" s="1" t="str">
        <f>Setup!A10</f>
        <v>Front Squat</v>
      </c>
      <c r="B33" s="38">
        <f>mround(B32*Setup!B10,'Quick Setup'!$A$2)</f>
        <v>252.5</v>
      </c>
      <c r="C33" s="2">
        <f>Setup!C10</f>
        <v>7</v>
      </c>
      <c r="D33" s="2">
        <f>Setup!D10</f>
        <v>4</v>
      </c>
      <c r="E33" s="2" t="str">
        <f>CONCATENATE(Setup!E10,"-",Setup!F10)</f>
        <v>4-6</v>
      </c>
      <c r="F33" s="10"/>
      <c r="G33" s="10"/>
      <c r="H33" s="10"/>
      <c r="I33" s="38">
        <f>mround(I32*Setup!I10,'Quick Setup'!$A$2)</f>
        <v>272.5</v>
      </c>
      <c r="J33" s="2">
        <f>Setup!J10</f>
        <v>6</v>
      </c>
      <c r="K33" s="2">
        <f>Setup!K10</f>
        <v>4</v>
      </c>
      <c r="L33" s="2" t="str">
        <f>CONCATENATE(Setup!L10,"-",Setup!M10)</f>
        <v>4-6</v>
      </c>
      <c r="M33" s="10"/>
      <c r="N33" s="10"/>
      <c r="O33" s="10"/>
      <c r="P33" s="38">
        <f>mround(P32*Setup!P10,'Quick Setup'!$A$2)</f>
        <v>295</v>
      </c>
      <c r="Q33" s="2">
        <f>Setup!Q10</f>
        <v>5</v>
      </c>
      <c r="R33" s="2">
        <f>Setup!R10</f>
        <v>3</v>
      </c>
      <c r="S33" s="2" t="str">
        <f>CONCATENATE(Setup!S10,"-",Setup!T10)</f>
        <v>4-6</v>
      </c>
      <c r="T33" s="10"/>
      <c r="U33" s="10"/>
      <c r="V33" s="10"/>
      <c r="W33" s="38">
        <f>mround(W32*Setup!W10,'Quick Setup'!$A$2)</f>
        <v>262.5</v>
      </c>
      <c r="X33" s="2">
        <f>Setup!X10</f>
        <v>7</v>
      </c>
      <c r="Y33" s="2">
        <f>Setup!Y10</f>
        <v>4</v>
      </c>
      <c r="Z33" s="2" t="str">
        <f>CONCATENATE(Setup!Z10,"-",Setup!AA10)</f>
        <v>4-6</v>
      </c>
      <c r="AA33" s="10"/>
      <c r="AB33" s="10"/>
      <c r="AC33" s="10"/>
      <c r="AD33" s="38">
        <f>mround(AD32*Setup!AD10,'Quick Setup'!$A$2)</f>
        <v>282.5</v>
      </c>
      <c r="AE33" s="2">
        <f>Setup!AE10</f>
        <v>6</v>
      </c>
      <c r="AF33" s="2">
        <f>Setup!AF10</f>
        <v>4</v>
      </c>
      <c r="AG33" s="2" t="str">
        <f>CONCATENATE(Setup!AG10,"-",Setup!AH10)</f>
        <v>4-6</v>
      </c>
      <c r="AH33" s="10"/>
      <c r="AI33" s="10"/>
      <c r="AJ33" s="10"/>
      <c r="AK33" s="38">
        <f>mround(AK32*Setup!AK10,'Quick Setup'!$A$2)</f>
        <v>305</v>
      </c>
      <c r="AL33" s="2">
        <f>Setup!AL10</f>
        <v>5</v>
      </c>
      <c r="AM33" s="2">
        <f>Setup!AM10</f>
        <v>3</v>
      </c>
      <c r="AN33" s="2" t="str">
        <f>CONCATENATE(Setup!AN10,"-",Setup!AO10)</f>
        <v>4-6</v>
      </c>
      <c r="AO33" s="10"/>
      <c r="AP33" s="10"/>
      <c r="AQ33" s="10"/>
      <c r="AR33" s="38">
        <f>mround(AR32*Setup!AR10,'Quick Setup'!$A$2)</f>
        <v>210</v>
      </c>
      <c r="AS33" s="1">
        <v>5.0</v>
      </c>
      <c r="AT33" s="1" t="s">
        <v>76</v>
      </c>
      <c r="AU33" s="2" t="str">
        <f>CONCATENATE(Setup!AU10,"-",Setup!AV10)</f>
        <v>4-6</v>
      </c>
      <c r="AV33" s="10"/>
      <c r="AW33" s="10"/>
      <c r="AX33" s="10"/>
      <c r="AY33" s="38">
        <f>mround(AY32*Setup!AY10,'Quick Setup'!$A$2)</f>
        <v>272.5</v>
      </c>
      <c r="AZ33" s="2">
        <f>Setup!AZ10</f>
        <v>6</v>
      </c>
      <c r="BA33" s="2">
        <f>Setup!BA10</f>
        <v>4</v>
      </c>
      <c r="BB33" s="2" t="str">
        <f>CONCATENATE(Setup!BB10,"-",Setup!BC10)</f>
        <v>4-6</v>
      </c>
      <c r="BC33" s="10"/>
      <c r="BD33" s="10"/>
      <c r="BE33" s="10"/>
      <c r="BF33" s="38">
        <f>mround(BF32*Setup!BF10,'Quick Setup'!$A$2)</f>
        <v>295</v>
      </c>
      <c r="BG33" s="2">
        <f>Setup!BG10</f>
        <v>5</v>
      </c>
      <c r="BH33" s="2">
        <f>Setup!BH10</f>
        <v>3</v>
      </c>
      <c r="BI33" s="2" t="str">
        <f>CONCATENATE(Setup!BI10,"-",Setup!BJ10)</f>
        <v>4-6</v>
      </c>
      <c r="BJ33" s="10"/>
      <c r="BK33" s="10"/>
      <c r="BL33" s="10"/>
      <c r="BM33" s="38">
        <f>mround(BM32*Setup!BM10,'Quick Setup'!$A$2)</f>
        <v>315</v>
      </c>
      <c r="BN33" s="2">
        <f>Setup!BN10</f>
        <v>4</v>
      </c>
      <c r="BO33" s="2">
        <f>Setup!BO10</f>
        <v>3</v>
      </c>
      <c r="BP33" s="2" t="str">
        <f>CONCATENATE(Setup!BP10,"-",Setup!BQ10)</f>
        <v>4-6</v>
      </c>
      <c r="BQ33" s="10"/>
      <c r="BR33" s="10"/>
      <c r="BS33" s="10"/>
      <c r="BT33" s="38">
        <f>mround(BT32*Setup!BT10,'Quick Setup'!$A$2)</f>
        <v>282.5</v>
      </c>
      <c r="BU33" s="2">
        <f>Setup!BU10</f>
        <v>6</v>
      </c>
      <c r="BV33" s="2">
        <f>Setup!BV10</f>
        <v>4</v>
      </c>
      <c r="BW33" s="2" t="str">
        <f>CONCATENATE(Setup!BW10,"-",Setup!BX10)</f>
        <v>4-6</v>
      </c>
      <c r="BX33" s="10"/>
      <c r="BY33" s="10"/>
      <c r="BZ33" s="10"/>
      <c r="CA33" s="38">
        <f>mround(CA32*Setup!CA10,'Quick Setup'!$A$2)</f>
        <v>305</v>
      </c>
      <c r="CB33" s="2">
        <f>Setup!CB10</f>
        <v>5</v>
      </c>
      <c r="CC33" s="2">
        <f>Setup!CC10</f>
        <v>3</v>
      </c>
      <c r="CD33" s="2" t="str">
        <f>CONCATENATE(Setup!CD10,"-",Setup!CE10)</f>
        <v>4-6</v>
      </c>
      <c r="CE33" s="10"/>
      <c r="CF33" s="10"/>
      <c r="CG33" s="10"/>
      <c r="CH33" s="38">
        <f>mround(CH32*Setup!CH10,'Quick Setup'!$A$2)</f>
        <v>325</v>
      </c>
      <c r="CI33" s="2">
        <f>Setup!CI10</f>
        <v>4</v>
      </c>
      <c r="CJ33" s="2">
        <f>Setup!CJ10</f>
        <v>3</v>
      </c>
      <c r="CK33" s="2" t="str">
        <f>CONCATENATE(Setup!CK10,"-",Setup!CL10)</f>
        <v>4-6</v>
      </c>
      <c r="CL33" s="10"/>
      <c r="CM33" s="10"/>
      <c r="CN33" s="10"/>
      <c r="CO33" s="38">
        <f>mround(CO32*Setup!CO10,'Quick Setup'!$A$2)</f>
        <v>210</v>
      </c>
      <c r="CP33" s="1">
        <v>5.0</v>
      </c>
      <c r="CQ33" s="1" t="s">
        <v>76</v>
      </c>
      <c r="CR33" s="2" t="str">
        <f>CONCATENATE(Setup!CR10,"-",Setup!CS10)</f>
        <v>4-6</v>
      </c>
      <c r="CS33" s="10"/>
      <c r="CT33" s="10"/>
      <c r="CU33" s="10"/>
      <c r="CV33" s="38">
        <f>mround(CV32*Setup!CV10,'Quick Setup'!$A$2)</f>
        <v>295</v>
      </c>
      <c r="CW33" s="2">
        <f>Setup!CW10</f>
        <v>5</v>
      </c>
      <c r="CX33" s="2">
        <f>Setup!CX10</f>
        <v>3</v>
      </c>
      <c r="CY33" s="2" t="str">
        <f>CONCATENATE(Setup!CY10,"-",Setup!CZ10)</f>
        <v>4-6</v>
      </c>
      <c r="CZ33" s="10"/>
      <c r="DA33" s="10"/>
      <c r="DB33" s="10"/>
      <c r="DC33" s="38">
        <f>mround(DC32*Setup!DC10,'Quick Setup'!$A$2)</f>
        <v>315</v>
      </c>
      <c r="DD33" s="2">
        <f>Setup!DD10</f>
        <v>4</v>
      </c>
      <c r="DE33" s="2">
        <f>Setup!DE10</f>
        <v>3</v>
      </c>
      <c r="DF33" s="2" t="str">
        <f>CONCATENATE(Setup!DF10,"-",Setup!DG10)</f>
        <v>4-6</v>
      </c>
      <c r="DG33" s="10"/>
      <c r="DH33" s="10"/>
      <c r="DI33" s="10"/>
      <c r="DJ33" s="38">
        <f>mround(DJ32*Setup!DJ10,'Quick Setup'!$A$2)</f>
        <v>335</v>
      </c>
      <c r="DK33" s="2">
        <f>Setup!DK10</f>
        <v>3</v>
      </c>
      <c r="DL33" s="2">
        <f>Setup!DL10</f>
        <v>2</v>
      </c>
      <c r="DM33" s="2" t="str">
        <f>CONCATENATE(Setup!DM10,"-",Setup!DN10)</f>
        <v>4-6</v>
      </c>
      <c r="DN33" s="10"/>
      <c r="DO33" s="10"/>
      <c r="DP33" s="10"/>
      <c r="DQ33" s="38">
        <f>mround(DQ32*Setup!DQ10,'Quick Setup'!$A$2)</f>
        <v>315</v>
      </c>
      <c r="DR33" s="2">
        <f>Setup!DR10</f>
        <v>4</v>
      </c>
      <c r="DS33" s="2">
        <f>Setup!DS10</f>
        <v>3</v>
      </c>
      <c r="DT33" s="2" t="str">
        <f>CONCATENATE(Setup!DT10,"-",Setup!DU10)</f>
        <v>4-6</v>
      </c>
      <c r="DU33" s="10"/>
      <c r="DV33" s="10"/>
      <c r="DW33" s="10"/>
      <c r="DX33" s="38">
        <f>mround(DX32*Setup!DX10,'Quick Setup'!$A$2)</f>
        <v>335</v>
      </c>
      <c r="DY33" s="2">
        <f>Setup!DY10</f>
        <v>3</v>
      </c>
      <c r="DZ33" s="2">
        <f>Setup!DZ10</f>
        <v>2</v>
      </c>
      <c r="EA33" s="2" t="str">
        <f>CONCATENATE(Setup!EA10,"-",Setup!EB10)</f>
        <v>4-6</v>
      </c>
      <c r="EB33" s="10"/>
      <c r="EC33" s="10"/>
      <c r="ED33" s="10"/>
      <c r="EE33" s="38">
        <f>mround(EE32*Setup!EE10,'Quick Setup'!$A$2)</f>
        <v>357.5</v>
      </c>
      <c r="EF33" s="2">
        <f>Setup!EF10</f>
        <v>2</v>
      </c>
      <c r="EG33" s="2">
        <f>Setup!EG10</f>
        <v>2</v>
      </c>
      <c r="EH33" s="2" t="str">
        <f>CONCATENATE(Setup!EH10,"-",Setup!EI10)</f>
        <v>4-6</v>
      </c>
      <c r="EI33" s="10"/>
      <c r="EJ33" s="10"/>
      <c r="EK33" s="10"/>
      <c r="EL33" s="38">
        <f>mround(EL32*Setup!EL10,'Quick Setup'!$A$2)</f>
        <v>210</v>
      </c>
      <c r="EM33" s="1">
        <v>5.0</v>
      </c>
      <c r="EN33" s="1" t="s">
        <v>76</v>
      </c>
      <c r="EO33" s="2" t="str">
        <f>CONCATENATE(Setup!EO10,"-",Setup!EP10)</f>
        <v>4-6</v>
      </c>
      <c r="EP33" s="10"/>
      <c r="EQ33" s="10"/>
      <c r="ER33" s="10"/>
    </row>
    <row r="34">
      <c r="A34" s="5"/>
      <c r="B34" s="39"/>
      <c r="C34" s="10"/>
      <c r="D34" s="10"/>
      <c r="E34" s="10"/>
      <c r="F34" s="10"/>
      <c r="G34" s="10"/>
      <c r="H34" s="10"/>
      <c r="I34" s="39" t="str">
        <f t="shared" ref="I34:M34" si="161">B34</f>
        <v/>
      </c>
      <c r="J34" s="10" t="str">
        <f t="shared" si="161"/>
        <v/>
      </c>
      <c r="K34" s="10" t="str">
        <f t="shared" si="161"/>
        <v/>
      </c>
      <c r="L34" s="10" t="str">
        <f t="shared" si="161"/>
        <v/>
      </c>
      <c r="M34" s="10" t="str">
        <f t="shared" si="161"/>
        <v/>
      </c>
      <c r="N34" s="10"/>
      <c r="O34" s="10"/>
      <c r="P34" s="39" t="str">
        <f t="shared" ref="P34:T34" si="162">I34</f>
        <v/>
      </c>
      <c r="Q34" s="10" t="str">
        <f t="shared" si="162"/>
        <v/>
      </c>
      <c r="R34" s="10" t="str">
        <f t="shared" si="162"/>
        <v/>
      </c>
      <c r="S34" s="10" t="str">
        <f t="shared" si="162"/>
        <v/>
      </c>
      <c r="T34" s="10" t="str">
        <f t="shared" si="162"/>
        <v/>
      </c>
      <c r="U34" s="10"/>
      <c r="V34" s="10"/>
      <c r="W34" s="39" t="str">
        <f t="shared" ref="W34:AA34" si="163">P34</f>
        <v/>
      </c>
      <c r="X34" s="10" t="str">
        <f t="shared" si="163"/>
        <v/>
      </c>
      <c r="Y34" s="10" t="str">
        <f t="shared" si="163"/>
        <v/>
      </c>
      <c r="Z34" s="10" t="str">
        <f t="shared" si="163"/>
        <v/>
      </c>
      <c r="AA34" s="10" t="str">
        <f t="shared" si="163"/>
        <v/>
      </c>
      <c r="AB34" s="10"/>
      <c r="AC34" s="10"/>
      <c r="AD34" s="39" t="str">
        <f t="shared" ref="AD34:AH34" si="164">W34</f>
        <v/>
      </c>
      <c r="AE34" s="10" t="str">
        <f t="shared" si="164"/>
        <v/>
      </c>
      <c r="AF34" s="10" t="str">
        <f t="shared" si="164"/>
        <v/>
      </c>
      <c r="AG34" s="10" t="str">
        <f t="shared" si="164"/>
        <v/>
      </c>
      <c r="AH34" s="10" t="str">
        <f t="shared" si="164"/>
        <v/>
      </c>
      <c r="AI34" s="10"/>
      <c r="AJ34" s="10"/>
      <c r="AK34" s="39" t="str">
        <f t="shared" ref="AK34:AO34" si="165">AD34</f>
        <v/>
      </c>
      <c r="AL34" s="10" t="str">
        <f t="shared" si="165"/>
        <v/>
      </c>
      <c r="AM34" s="10" t="str">
        <f t="shared" si="165"/>
        <v/>
      </c>
      <c r="AN34" s="10" t="str">
        <f t="shared" si="165"/>
        <v/>
      </c>
      <c r="AO34" s="10" t="str">
        <f t="shared" si="165"/>
        <v/>
      </c>
      <c r="AP34" s="10"/>
      <c r="AQ34" s="10"/>
      <c r="AR34" s="39" t="str">
        <f t="shared" ref="AR34:AV34" si="166">AK34</f>
        <v/>
      </c>
      <c r="AS34" s="10" t="str">
        <f t="shared" si="166"/>
        <v/>
      </c>
      <c r="AT34" s="10" t="str">
        <f t="shared" si="166"/>
        <v/>
      </c>
      <c r="AU34" s="10" t="str">
        <f t="shared" si="166"/>
        <v/>
      </c>
      <c r="AV34" s="10" t="str">
        <f t="shared" si="166"/>
        <v/>
      </c>
      <c r="AW34" s="10"/>
      <c r="AX34" s="10"/>
      <c r="AY34" s="39" t="str">
        <f t="shared" ref="AY34:BC34" si="167">AR34</f>
        <v/>
      </c>
      <c r="AZ34" s="10" t="str">
        <f t="shared" si="167"/>
        <v/>
      </c>
      <c r="BA34" s="10" t="str">
        <f t="shared" si="167"/>
        <v/>
      </c>
      <c r="BB34" s="10" t="str">
        <f t="shared" si="167"/>
        <v/>
      </c>
      <c r="BC34" s="10" t="str">
        <f t="shared" si="167"/>
        <v/>
      </c>
      <c r="BD34" s="10"/>
      <c r="BE34" s="10"/>
      <c r="BF34" s="39" t="str">
        <f t="shared" ref="BF34:BJ34" si="168">AY34</f>
        <v/>
      </c>
      <c r="BG34" s="10" t="str">
        <f t="shared" si="168"/>
        <v/>
      </c>
      <c r="BH34" s="10" t="str">
        <f t="shared" si="168"/>
        <v/>
      </c>
      <c r="BI34" s="10" t="str">
        <f t="shared" si="168"/>
        <v/>
      </c>
      <c r="BJ34" s="10" t="str">
        <f t="shared" si="168"/>
        <v/>
      </c>
      <c r="BK34" s="10"/>
      <c r="BL34" s="10"/>
      <c r="BM34" s="39" t="str">
        <f t="shared" ref="BM34:BQ34" si="169">BF34</f>
        <v/>
      </c>
      <c r="BN34" s="10" t="str">
        <f t="shared" si="169"/>
        <v/>
      </c>
      <c r="BO34" s="10" t="str">
        <f t="shared" si="169"/>
        <v/>
      </c>
      <c r="BP34" s="10" t="str">
        <f t="shared" si="169"/>
        <v/>
      </c>
      <c r="BQ34" s="10" t="str">
        <f t="shared" si="169"/>
        <v/>
      </c>
      <c r="BR34" s="10"/>
      <c r="BS34" s="10"/>
      <c r="BT34" s="39" t="str">
        <f t="shared" ref="BT34:BX34" si="170">BM34</f>
        <v/>
      </c>
      <c r="BU34" s="10" t="str">
        <f t="shared" si="170"/>
        <v/>
      </c>
      <c r="BV34" s="10" t="str">
        <f t="shared" si="170"/>
        <v/>
      </c>
      <c r="BW34" s="10" t="str">
        <f t="shared" si="170"/>
        <v/>
      </c>
      <c r="BX34" s="10" t="str">
        <f t="shared" si="170"/>
        <v/>
      </c>
      <c r="BY34" s="10"/>
      <c r="BZ34" s="10"/>
      <c r="CA34" s="39" t="str">
        <f t="shared" ref="CA34:CE34" si="171">BT34</f>
        <v/>
      </c>
      <c r="CB34" s="10" t="str">
        <f t="shared" si="171"/>
        <v/>
      </c>
      <c r="CC34" s="10" t="str">
        <f t="shared" si="171"/>
        <v/>
      </c>
      <c r="CD34" s="10" t="str">
        <f t="shared" si="171"/>
        <v/>
      </c>
      <c r="CE34" s="10" t="str">
        <f t="shared" si="171"/>
        <v/>
      </c>
      <c r="CF34" s="10"/>
      <c r="CG34" s="10"/>
      <c r="CH34" s="39" t="str">
        <f t="shared" ref="CH34:CL34" si="172">CA34</f>
        <v/>
      </c>
      <c r="CI34" s="10" t="str">
        <f t="shared" si="172"/>
        <v/>
      </c>
      <c r="CJ34" s="10" t="str">
        <f t="shared" si="172"/>
        <v/>
      </c>
      <c r="CK34" s="10" t="str">
        <f t="shared" si="172"/>
        <v/>
      </c>
      <c r="CL34" s="10" t="str">
        <f t="shared" si="172"/>
        <v/>
      </c>
      <c r="CM34" s="10"/>
      <c r="CN34" s="10"/>
      <c r="CO34" s="39" t="str">
        <f t="shared" ref="CO34:CS34" si="173">CH34</f>
        <v/>
      </c>
      <c r="CP34" s="10" t="str">
        <f t="shared" si="173"/>
        <v/>
      </c>
      <c r="CQ34" s="10" t="str">
        <f t="shared" si="173"/>
        <v/>
      </c>
      <c r="CR34" s="10" t="str">
        <f t="shared" si="173"/>
        <v/>
      </c>
      <c r="CS34" s="10" t="str">
        <f t="shared" si="173"/>
        <v/>
      </c>
      <c r="CT34" s="10"/>
      <c r="CU34" s="10"/>
      <c r="CV34" s="39" t="str">
        <f t="shared" ref="CV34:CZ34" si="174">CO34</f>
        <v/>
      </c>
      <c r="CW34" s="10" t="str">
        <f t="shared" si="174"/>
        <v/>
      </c>
      <c r="CX34" s="10" t="str">
        <f t="shared" si="174"/>
        <v/>
      </c>
      <c r="CY34" s="10" t="str">
        <f t="shared" si="174"/>
        <v/>
      </c>
      <c r="CZ34" s="10" t="str">
        <f t="shared" si="174"/>
        <v/>
      </c>
      <c r="DA34" s="10"/>
      <c r="DB34" s="10"/>
      <c r="DC34" s="39" t="str">
        <f t="shared" ref="DC34:DG34" si="175">CV34</f>
        <v/>
      </c>
      <c r="DD34" s="10" t="str">
        <f t="shared" si="175"/>
        <v/>
      </c>
      <c r="DE34" s="10" t="str">
        <f t="shared" si="175"/>
        <v/>
      </c>
      <c r="DF34" s="10" t="str">
        <f t="shared" si="175"/>
        <v/>
      </c>
      <c r="DG34" s="10" t="str">
        <f t="shared" si="175"/>
        <v/>
      </c>
      <c r="DH34" s="10"/>
      <c r="DI34" s="10"/>
      <c r="DJ34" s="39" t="str">
        <f t="shared" ref="DJ34:DN34" si="176">DC34</f>
        <v/>
      </c>
      <c r="DK34" s="10" t="str">
        <f t="shared" si="176"/>
        <v/>
      </c>
      <c r="DL34" s="10" t="str">
        <f t="shared" si="176"/>
        <v/>
      </c>
      <c r="DM34" s="10" t="str">
        <f t="shared" si="176"/>
        <v/>
      </c>
      <c r="DN34" s="10" t="str">
        <f t="shared" si="176"/>
        <v/>
      </c>
      <c r="DO34" s="10"/>
      <c r="DP34" s="10"/>
      <c r="DQ34" s="39" t="str">
        <f t="shared" ref="DQ34:DU34" si="177">DJ34</f>
        <v/>
      </c>
      <c r="DR34" s="10" t="str">
        <f t="shared" si="177"/>
        <v/>
      </c>
      <c r="DS34" s="10" t="str">
        <f t="shared" si="177"/>
        <v/>
      </c>
      <c r="DT34" s="10" t="str">
        <f t="shared" si="177"/>
        <v/>
      </c>
      <c r="DU34" s="10" t="str">
        <f t="shared" si="177"/>
        <v/>
      </c>
      <c r="DV34" s="10"/>
      <c r="DW34" s="10"/>
      <c r="DX34" s="39" t="str">
        <f t="shared" ref="DX34:EB34" si="178">DQ34</f>
        <v/>
      </c>
      <c r="DY34" s="10" t="str">
        <f t="shared" si="178"/>
        <v/>
      </c>
      <c r="DZ34" s="10" t="str">
        <f t="shared" si="178"/>
        <v/>
      </c>
      <c r="EA34" s="10" t="str">
        <f t="shared" si="178"/>
        <v/>
      </c>
      <c r="EB34" s="10" t="str">
        <f t="shared" si="178"/>
        <v/>
      </c>
      <c r="EC34" s="10"/>
      <c r="ED34" s="10"/>
      <c r="EE34" s="39" t="str">
        <f t="shared" ref="EE34:EI34" si="179">DX34</f>
        <v/>
      </c>
      <c r="EF34" s="10" t="str">
        <f t="shared" si="179"/>
        <v/>
      </c>
      <c r="EG34" s="10" t="str">
        <f t="shared" si="179"/>
        <v/>
      </c>
      <c r="EH34" s="10" t="str">
        <f t="shared" si="179"/>
        <v/>
      </c>
      <c r="EI34" s="10" t="str">
        <f t="shared" si="179"/>
        <v/>
      </c>
      <c r="EJ34" s="10"/>
      <c r="EK34" s="10"/>
      <c r="EL34" s="39" t="str">
        <f t="shared" ref="EL34:EP34" si="180">EE34</f>
        <v/>
      </c>
      <c r="EM34" s="10" t="str">
        <f t="shared" si="180"/>
        <v/>
      </c>
      <c r="EN34" s="10" t="str">
        <f t="shared" si="180"/>
        <v/>
      </c>
      <c r="EO34" s="10" t="str">
        <f t="shared" si="180"/>
        <v/>
      </c>
      <c r="EP34" s="10" t="str">
        <f t="shared" si="180"/>
        <v/>
      </c>
      <c r="EQ34" s="10"/>
      <c r="ER34" s="10"/>
    </row>
    <row r="35">
      <c r="A35" s="1" t="s">
        <v>77</v>
      </c>
      <c r="B35" s="38"/>
      <c r="C35" s="2"/>
      <c r="D35" s="2"/>
      <c r="E35" s="2"/>
      <c r="F35" s="2"/>
      <c r="G35" s="2"/>
      <c r="H35" s="2"/>
      <c r="I35" s="38"/>
      <c r="J35" s="2"/>
      <c r="K35" s="2"/>
      <c r="L35" s="2"/>
      <c r="M35" s="2"/>
      <c r="N35" s="2"/>
      <c r="O35" s="2"/>
      <c r="P35" s="38"/>
      <c r="Q35" s="2"/>
      <c r="R35" s="2"/>
      <c r="S35" s="2"/>
      <c r="T35" s="2"/>
      <c r="U35" s="2"/>
      <c r="V35" s="2"/>
      <c r="W35" s="38"/>
      <c r="X35" s="2"/>
      <c r="Y35" s="2"/>
      <c r="Z35" s="2"/>
      <c r="AA35" s="2"/>
      <c r="AB35" s="2"/>
      <c r="AC35" s="2"/>
      <c r="AD35" s="38"/>
      <c r="AE35" s="2"/>
      <c r="AF35" s="2"/>
      <c r="AG35" s="2"/>
      <c r="AH35" s="2"/>
      <c r="AI35" s="2"/>
      <c r="AJ35" s="2"/>
      <c r="AK35" s="38"/>
      <c r="AL35" s="2"/>
      <c r="AM35" s="2"/>
      <c r="AN35" s="2"/>
      <c r="AO35" s="2"/>
      <c r="AP35" s="2"/>
      <c r="AQ35" s="2"/>
      <c r="AR35" s="38"/>
      <c r="AS35" s="2"/>
      <c r="AT35" s="2"/>
      <c r="AU35" s="2"/>
      <c r="AV35" s="2"/>
      <c r="AW35" s="2"/>
      <c r="AX35" s="2"/>
      <c r="AY35" s="38"/>
      <c r="AZ35" s="2"/>
      <c r="BA35" s="2"/>
      <c r="BB35" s="2"/>
      <c r="BC35" s="2"/>
      <c r="BD35" s="2"/>
      <c r="BE35" s="2"/>
      <c r="BF35" s="38"/>
      <c r="BG35" s="2"/>
      <c r="BH35" s="2"/>
      <c r="BI35" s="2"/>
      <c r="BJ35" s="2"/>
      <c r="BK35" s="2"/>
      <c r="BL35" s="2"/>
      <c r="BM35" s="38"/>
      <c r="BN35" s="2"/>
      <c r="BO35" s="2"/>
      <c r="BP35" s="2"/>
      <c r="BQ35" s="2"/>
      <c r="BR35" s="2"/>
      <c r="BS35" s="2"/>
      <c r="BT35" s="38"/>
      <c r="BU35" s="2"/>
      <c r="BV35" s="2"/>
      <c r="BW35" s="2"/>
      <c r="BX35" s="2"/>
      <c r="BY35" s="2"/>
      <c r="BZ35" s="2"/>
      <c r="CA35" s="38"/>
      <c r="CB35" s="2"/>
      <c r="CC35" s="2"/>
      <c r="CD35" s="2"/>
      <c r="CE35" s="2"/>
      <c r="CF35" s="2"/>
      <c r="CG35" s="2"/>
      <c r="CH35" s="38"/>
      <c r="CI35" s="2"/>
      <c r="CJ35" s="2"/>
      <c r="CK35" s="2"/>
      <c r="CL35" s="2"/>
      <c r="CM35" s="2"/>
      <c r="CN35" s="2"/>
      <c r="CO35" s="38"/>
      <c r="CP35" s="2"/>
      <c r="CQ35" s="2"/>
      <c r="CR35" s="2"/>
      <c r="CS35" s="2"/>
      <c r="CT35" s="2"/>
      <c r="CU35" s="2"/>
      <c r="CV35" s="38"/>
      <c r="CW35" s="2"/>
      <c r="CX35" s="2"/>
      <c r="CY35" s="2"/>
      <c r="CZ35" s="2"/>
      <c r="DA35" s="2"/>
      <c r="DB35" s="2"/>
      <c r="DC35" s="38"/>
      <c r="DD35" s="2"/>
      <c r="DE35" s="2"/>
      <c r="DF35" s="2"/>
      <c r="DG35" s="2"/>
      <c r="DH35" s="2"/>
      <c r="DI35" s="2"/>
      <c r="DJ35" s="38"/>
      <c r="DK35" s="2"/>
      <c r="DL35" s="2"/>
      <c r="DM35" s="2"/>
      <c r="DN35" s="2"/>
      <c r="DO35" s="2"/>
      <c r="DP35" s="2"/>
      <c r="DQ35" s="38"/>
      <c r="DR35" s="2"/>
      <c r="DS35" s="2"/>
      <c r="DT35" s="2"/>
      <c r="DU35" s="2"/>
      <c r="DV35" s="2"/>
      <c r="DW35" s="2"/>
      <c r="DX35" s="38"/>
      <c r="DY35" s="2"/>
      <c r="DZ35" s="2"/>
      <c r="EA35" s="2"/>
      <c r="EB35" s="2"/>
      <c r="EC35" s="2"/>
      <c r="ED35" s="2"/>
      <c r="EE35" s="38"/>
      <c r="EF35" s="2"/>
      <c r="EG35" s="2"/>
      <c r="EH35" s="2"/>
      <c r="EI35" s="2"/>
      <c r="EJ35" s="2"/>
      <c r="EK35" s="2"/>
      <c r="EL35" s="38"/>
      <c r="EM35" s="2"/>
      <c r="EN35" s="2"/>
      <c r="EO35" s="2"/>
      <c r="EP35" s="2"/>
      <c r="EQ35" s="2"/>
      <c r="ER35" s="2"/>
    </row>
    <row r="36">
      <c r="A36" s="40"/>
      <c r="B36" s="39"/>
      <c r="C36" s="10"/>
      <c r="D36" s="10"/>
      <c r="E36" s="10"/>
      <c r="F36" s="10"/>
      <c r="G36" s="10"/>
      <c r="H36" s="10"/>
      <c r="I36" s="39" t="str">
        <f t="shared" ref="I36:M36" si="181">B36</f>
        <v/>
      </c>
      <c r="J36" s="10" t="str">
        <f t="shared" si="181"/>
        <v/>
      </c>
      <c r="K36" s="10" t="str">
        <f t="shared" si="181"/>
        <v/>
      </c>
      <c r="L36" s="10" t="str">
        <f t="shared" si="181"/>
        <v/>
      </c>
      <c r="M36" s="10" t="str">
        <f t="shared" si="181"/>
        <v/>
      </c>
      <c r="N36" s="10"/>
      <c r="O36" s="10"/>
      <c r="P36" s="39" t="str">
        <f t="shared" ref="P36:T36" si="182">I36</f>
        <v/>
      </c>
      <c r="Q36" s="10" t="str">
        <f t="shared" si="182"/>
        <v/>
      </c>
      <c r="R36" s="10" t="str">
        <f t="shared" si="182"/>
        <v/>
      </c>
      <c r="S36" s="10" t="str">
        <f t="shared" si="182"/>
        <v/>
      </c>
      <c r="T36" s="10" t="str">
        <f t="shared" si="182"/>
        <v/>
      </c>
      <c r="U36" s="10"/>
      <c r="V36" s="10"/>
      <c r="W36" s="39" t="str">
        <f t="shared" ref="W36:AA36" si="183">P36</f>
        <v/>
      </c>
      <c r="X36" s="10" t="str">
        <f t="shared" si="183"/>
        <v/>
      </c>
      <c r="Y36" s="10" t="str">
        <f t="shared" si="183"/>
        <v/>
      </c>
      <c r="Z36" s="10" t="str">
        <f t="shared" si="183"/>
        <v/>
      </c>
      <c r="AA36" s="10" t="str">
        <f t="shared" si="183"/>
        <v/>
      </c>
      <c r="AB36" s="10"/>
      <c r="AC36" s="10"/>
      <c r="AD36" s="39" t="str">
        <f t="shared" ref="AD36:AH36" si="184">W36</f>
        <v/>
      </c>
      <c r="AE36" s="10" t="str">
        <f t="shared" si="184"/>
        <v/>
      </c>
      <c r="AF36" s="10" t="str">
        <f t="shared" si="184"/>
        <v/>
      </c>
      <c r="AG36" s="10" t="str">
        <f t="shared" si="184"/>
        <v/>
      </c>
      <c r="AH36" s="10" t="str">
        <f t="shared" si="184"/>
        <v/>
      </c>
      <c r="AI36" s="10"/>
      <c r="AJ36" s="10"/>
      <c r="AK36" s="39" t="str">
        <f t="shared" ref="AK36:AO36" si="185">AD36</f>
        <v/>
      </c>
      <c r="AL36" s="10" t="str">
        <f t="shared" si="185"/>
        <v/>
      </c>
      <c r="AM36" s="10" t="str">
        <f t="shared" si="185"/>
        <v/>
      </c>
      <c r="AN36" s="10" t="str">
        <f t="shared" si="185"/>
        <v/>
      </c>
      <c r="AO36" s="10" t="str">
        <f t="shared" si="185"/>
        <v/>
      </c>
      <c r="AP36" s="10"/>
      <c r="AQ36" s="10"/>
      <c r="AR36" s="39" t="str">
        <f t="shared" ref="AR36:AV36" si="186">AK36</f>
        <v/>
      </c>
      <c r="AS36" s="10" t="str">
        <f t="shared" si="186"/>
        <v/>
      </c>
      <c r="AT36" s="10" t="str">
        <f t="shared" si="186"/>
        <v/>
      </c>
      <c r="AU36" s="10" t="str">
        <f t="shared" si="186"/>
        <v/>
      </c>
      <c r="AV36" s="10" t="str">
        <f t="shared" si="186"/>
        <v/>
      </c>
      <c r="AW36" s="10"/>
      <c r="AX36" s="10"/>
      <c r="AY36" s="39" t="str">
        <f t="shared" ref="AY36:BC36" si="187">AR36</f>
        <v/>
      </c>
      <c r="AZ36" s="10" t="str">
        <f t="shared" si="187"/>
        <v/>
      </c>
      <c r="BA36" s="10" t="str">
        <f t="shared" si="187"/>
        <v/>
      </c>
      <c r="BB36" s="10" t="str">
        <f t="shared" si="187"/>
        <v/>
      </c>
      <c r="BC36" s="10" t="str">
        <f t="shared" si="187"/>
        <v/>
      </c>
      <c r="BD36" s="10"/>
      <c r="BE36" s="10"/>
      <c r="BF36" s="39" t="str">
        <f t="shared" ref="BF36:BJ36" si="188">AY36</f>
        <v/>
      </c>
      <c r="BG36" s="10" t="str">
        <f t="shared" si="188"/>
        <v/>
      </c>
      <c r="BH36" s="10" t="str">
        <f t="shared" si="188"/>
        <v/>
      </c>
      <c r="BI36" s="10" t="str">
        <f t="shared" si="188"/>
        <v/>
      </c>
      <c r="BJ36" s="10" t="str">
        <f t="shared" si="188"/>
        <v/>
      </c>
      <c r="BK36" s="10"/>
      <c r="BL36" s="10"/>
      <c r="BM36" s="39" t="str">
        <f t="shared" ref="BM36:BQ36" si="189">BF36</f>
        <v/>
      </c>
      <c r="BN36" s="10" t="str">
        <f t="shared" si="189"/>
        <v/>
      </c>
      <c r="BO36" s="10" t="str">
        <f t="shared" si="189"/>
        <v/>
      </c>
      <c r="BP36" s="10" t="str">
        <f t="shared" si="189"/>
        <v/>
      </c>
      <c r="BQ36" s="10" t="str">
        <f t="shared" si="189"/>
        <v/>
      </c>
      <c r="BR36" s="10"/>
      <c r="BS36" s="10"/>
      <c r="BT36" s="39" t="str">
        <f t="shared" ref="BT36:BX36" si="190">BM36</f>
        <v/>
      </c>
      <c r="BU36" s="10" t="str">
        <f t="shared" si="190"/>
        <v/>
      </c>
      <c r="BV36" s="10" t="str">
        <f t="shared" si="190"/>
        <v/>
      </c>
      <c r="BW36" s="10" t="str">
        <f t="shared" si="190"/>
        <v/>
      </c>
      <c r="BX36" s="10" t="str">
        <f t="shared" si="190"/>
        <v/>
      </c>
      <c r="BY36" s="10"/>
      <c r="BZ36" s="10"/>
      <c r="CA36" s="39" t="str">
        <f t="shared" ref="CA36:CE36" si="191">BT36</f>
        <v/>
      </c>
      <c r="CB36" s="10" t="str">
        <f t="shared" si="191"/>
        <v/>
      </c>
      <c r="CC36" s="10" t="str">
        <f t="shared" si="191"/>
        <v/>
      </c>
      <c r="CD36" s="10" t="str">
        <f t="shared" si="191"/>
        <v/>
      </c>
      <c r="CE36" s="10" t="str">
        <f t="shared" si="191"/>
        <v/>
      </c>
      <c r="CF36" s="10"/>
      <c r="CG36" s="10"/>
      <c r="CH36" s="39" t="str">
        <f t="shared" ref="CH36:CL36" si="192">CA36</f>
        <v/>
      </c>
      <c r="CI36" s="10" t="str">
        <f t="shared" si="192"/>
        <v/>
      </c>
      <c r="CJ36" s="10" t="str">
        <f t="shared" si="192"/>
        <v/>
      </c>
      <c r="CK36" s="10" t="str">
        <f t="shared" si="192"/>
        <v/>
      </c>
      <c r="CL36" s="10" t="str">
        <f t="shared" si="192"/>
        <v/>
      </c>
      <c r="CM36" s="10"/>
      <c r="CN36" s="10"/>
      <c r="CO36" s="39" t="str">
        <f t="shared" ref="CO36:CS36" si="193">CH36</f>
        <v/>
      </c>
      <c r="CP36" s="10" t="str">
        <f t="shared" si="193"/>
        <v/>
      </c>
      <c r="CQ36" s="10" t="str">
        <f t="shared" si="193"/>
        <v/>
      </c>
      <c r="CR36" s="10" t="str">
        <f t="shared" si="193"/>
        <v/>
      </c>
      <c r="CS36" s="10" t="str">
        <f t="shared" si="193"/>
        <v/>
      </c>
      <c r="CT36" s="10"/>
      <c r="CU36" s="10"/>
      <c r="CV36" s="39" t="str">
        <f t="shared" ref="CV36:CZ36" si="194">CO36</f>
        <v/>
      </c>
      <c r="CW36" s="10" t="str">
        <f t="shared" si="194"/>
        <v/>
      </c>
      <c r="CX36" s="10" t="str">
        <f t="shared" si="194"/>
        <v/>
      </c>
      <c r="CY36" s="10" t="str">
        <f t="shared" si="194"/>
        <v/>
      </c>
      <c r="CZ36" s="10" t="str">
        <f t="shared" si="194"/>
        <v/>
      </c>
      <c r="DA36" s="10"/>
      <c r="DB36" s="10"/>
      <c r="DC36" s="39" t="str">
        <f t="shared" ref="DC36:DG36" si="195">CV36</f>
        <v/>
      </c>
      <c r="DD36" s="10" t="str">
        <f t="shared" si="195"/>
        <v/>
      </c>
      <c r="DE36" s="10" t="str">
        <f t="shared" si="195"/>
        <v/>
      </c>
      <c r="DF36" s="10" t="str">
        <f t="shared" si="195"/>
        <v/>
      </c>
      <c r="DG36" s="10" t="str">
        <f t="shared" si="195"/>
        <v/>
      </c>
      <c r="DH36" s="10"/>
      <c r="DI36" s="10"/>
      <c r="DJ36" s="39" t="str">
        <f t="shared" ref="DJ36:DN36" si="196">DC36</f>
        <v/>
      </c>
      <c r="DK36" s="10" t="str">
        <f t="shared" si="196"/>
        <v/>
      </c>
      <c r="DL36" s="10" t="str">
        <f t="shared" si="196"/>
        <v/>
      </c>
      <c r="DM36" s="10" t="str">
        <f t="shared" si="196"/>
        <v/>
      </c>
      <c r="DN36" s="10" t="str">
        <f t="shared" si="196"/>
        <v/>
      </c>
      <c r="DO36" s="10"/>
      <c r="DP36" s="10"/>
      <c r="DQ36" s="39" t="str">
        <f t="shared" ref="DQ36:DU36" si="197">DJ36</f>
        <v/>
      </c>
      <c r="DR36" s="10" t="str">
        <f t="shared" si="197"/>
        <v/>
      </c>
      <c r="DS36" s="10" t="str">
        <f t="shared" si="197"/>
        <v/>
      </c>
      <c r="DT36" s="10" t="str">
        <f t="shared" si="197"/>
        <v/>
      </c>
      <c r="DU36" s="10" t="str">
        <f t="shared" si="197"/>
        <v/>
      </c>
      <c r="DV36" s="10"/>
      <c r="DW36" s="10"/>
      <c r="DX36" s="39" t="str">
        <f t="shared" ref="DX36:EB36" si="198">DQ36</f>
        <v/>
      </c>
      <c r="DY36" s="10" t="str">
        <f t="shared" si="198"/>
        <v/>
      </c>
      <c r="DZ36" s="10" t="str">
        <f t="shared" si="198"/>
        <v/>
      </c>
      <c r="EA36" s="10" t="str">
        <f t="shared" si="198"/>
        <v/>
      </c>
      <c r="EB36" s="10" t="str">
        <f t="shared" si="198"/>
        <v/>
      </c>
      <c r="EC36" s="10"/>
      <c r="ED36" s="10"/>
      <c r="EE36" s="39" t="str">
        <f t="shared" ref="EE36:EI36" si="199">DX36</f>
        <v/>
      </c>
      <c r="EF36" s="10" t="str">
        <f t="shared" si="199"/>
        <v/>
      </c>
      <c r="EG36" s="10" t="str">
        <f t="shared" si="199"/>
        <v/>
      </c>
      <c r="EH36" s="10" t="str">
        <f t="shared" si="199"/>
        <v/>
      </c>
      <c r="EI36" s="10" t="str">
        <f t="shared" si="199"/>
        <v/>
      </c>
      <c r="EJ36" s="10"/>
      <c r="EK36" s="10"/>
      <c r="EL36" s="39" t="str">
        <f t="shared" ref="EL36:EP36" si="200">EE36</f>
        <v/>
      </c>
      <c r="EM36" s="10" t="str">
        <f t="shared" si="200"/>
        <v/>
      </c>
      <c r="EN36" s="10" t="str">
        <f t="shared" si="200"/>
        <v/>
      </c>
      <c r="EO36" s="10" t="str">
        <f t="shared" si="200"/>
        <v/>
      </c>
      <c r="EP36" s="10" t="str">
        <f t="shared" si="200"/>
        <v/>
      </c>
      <c r="EQ36" s="10"/>
      <c r="ER36" s="10"/>
    </row>
    <row r="37">
      <c r="A37" s="40"/>
      <c r="B37" s="39"/>
      <c r="C37" s="10"/>
      <c r="D37" s="10"/>
      <c r="E37" s="10"/>
      <c r="F37" s="10"/>
      <c r="G37" s="10"/>
      <c r="H37" s="10"/>
      <c r="I37" s="39" t="str">
        <f t="shared" ref="I37:M37" si="201">B37</f>
        <v/>
      </c>
      <c r="J37" s="10" t="str">
        <f t="shared" si="201"/>
        <v/>
      </c>
      <c r="K37" s="10" t="str">
        <f t="shared" si="201"/>
        <v/>
      </c>
      <c r="L37" s="10" t="str">
        <f t="shared" si="201"/>
        <v/>
      </c>
      <c r="M37" s="10" t="str">
        <f t="shared" si="201"/>
        <v/>
      </c>
      <c r="N37" s="10"/>
      <c r="O37" s="10"/>
      <c r="P37" s="39" t="str">
        <f t="shared" ref="P37:T37" si="202">I37</f>
        <v/>
      </c>
      <c r="Q37" s="10" t="str">
        <f t="shared" si="202"/>
        <v/>
      </c>
      <c r="R37" s="10" t="str">
        <f t="shared" si="202"/>
        <v/>
      </c>
      <c r="S37" s="10" t="str">
        <f t="shared" si="202"/>
        <v/>
      </c>
      <c r="T37" s="10" t="str">
        <f t="shared" si="202"/>
        <v/>
      </c>
      <c r="U37" s="10"/>
      <c r="V37" s="10"/>
      <c r="W37" s="39" t="str">
        <f t="shared" ref="W37:AA37" si="203">P37</f>
        <v/>
      </c>
      <c r="X37" s="10" t="str">
        <f t="shared" si="203"/>
        <v/>
      </c>
      <c r="Y37" s="10" t="str">
        <f t="shared" si="203"/>
        <v/>
      </c>
      <c r="Z37" s="10" t="str">
        <f t="shared" si="203"/>
        <v/>
      </c>
      <c r="AA37" s="10" t="str">
        <f t="shared" si="203"/>
        <v/>
      </c>
      <c r="AB37" s="10"/>
      <c r="AC37" s="10"/>
      <c r="AD37" s="39" t="str">
        <f t="shared" ref="AD37:AH37" si="204">W37</f>
        <v/>
      </c>
      <c r="AE37" s="10" t="str">
        <f t="shared" si="204"/>
        <v/>
      </c>
      <c r="AF37" s="10" t="str">
        <f t="shared" si="204"/>
        <v/>
      </c>
      <c r="AG37" s="10" t="str">
        <f t="shared" si="204"/>
        <v/>
      </c>
      <c r="AH37" s="10" t="str">
        <f t="shared" si="204"/>
        <v/>
      </c>
      <c r="AI37" s="10"/>
      <c r="AJ37" s="10"/>
      <c r="AK37" s="39" t="str">
        <f t="shared" ref="AK37:AO37" si="205">AD37</f>
        <v/>
      </c>
      <c r="AL37" s="10" t="str">
        <f t="shared" si="205"/>
        <v/>
      </c>
      <c r="AM37" s="10" t="str">
        <f t="shared" si="205"/>
        <v/>
      </c>
      <c r="AN37" s="10" t="str">
        <f t="shared" si="205"/>
        <v/>
      </c>
      <c r="AO37" s="10" t="str">
        <f t="shared" si="205"/>
        <v/>
      </c>
      <c r="AP37" s="10"/>
      <c r="AQ37" s="10"/>
      <c r="AR37" s="39" t="str">
        <f t="shared" ref="AR37:AV37" si="206">AK37</f>
        <v/>
      </c>
      <c r="AS37" s="10" t="str">
        <f t="shared" si="206"/>
        <v/>
      </c>
      <c r="AT37" s="10" t="str">
        <f t="shared" si="206"/>
        <v/>
      </c>
      <c r="AU37" s="10" t="str">
        <f t="shared" si="206"/>
        <v/>
      </c>
      <c r="AV37" s="10" t="str">
        <f t="shared" si="206"/>
        <v/>
      </c>
      <c r="AW37" s="10"/>
      <c r="AX37" s="10"/>
      <c r="AY37" s="39" t="str">
        <f t="shared" ref="AY37:BC37" si="207">AR37</f>
        <v/>
      </c>
      <c r="AZ37" s="10" t="str">
        <f t="shared" si="207"/>
        <v/>
      </c>
      <c r="BA37" s="10" t="str">
        <f t="shared" si="207"/>
        <v/>
      </c>
      <c r="BB37" s="10" t="str">
        <f t="shared" si="207"/>
        <v/>
      </c>
      <c r="BC37" s="10" t="str">
        <f t="shared" si="207"/>
        <v/>
      </c>
      <c r="BD37" s="10"/>
      <c r="BE37" s="10"/>
      <c r="BF37" s="39" t="str">
        <f t="shared" ref="BF37:BJ37" si="208">AY37</f>
        <v/>
      </c>
      <c r="BG37" s="10" t="str">
        <f t="shared" si="208"/>
        <v/>
      </c>
      <c r="BH37" s="10" t="str">
        <f t="shared" si="208"/>
        <v/>
      </c>
      <c r="BI37" s="10" t="str">
        <f t="shared" si="208"/>
        <v/>
      </c>
      <c r="BJ37" s="10" t="str">
        <f t="shared" si="208"/>
        <v/>
      </c>
      <c r="BK37" s="10"/>
      <c r="BL37" s="10"/>
      <c r="BM37" s="39" t="str">
        <f t="shared" ref="BM37:BQ37" si="209">BF37</f>
        <v/>
      </c>
      <c r="BN37" s="10" t="str">
        <f t="shared" si="209"/>
        <v/>
      </c>
      <c r="BO37" s="10" t="str">
        <f t="shared" si="209"/>
        <v/>
      </c>
      <c r="BP37" s="10" t="str">
        <f t="shared" si="209"/>
        <v/>
      </c>
      <c r="BQ37" s="10" t="str">
        <f t="shared" si="209"/>
        <v/>
      </c>
      <c r="BR37" s="10"/>
      <c r="BS37" s="10"/>
      <c r="BT37" s="39" t="str">
        <f t="shared" ref="BT37:BX37" si="210">BM37</f>
        <v/>
      </c>
      <c r="BU37" s="10" t="str">
        <f t="shared" si="210"/>
        <v/>
      </c>
      <c r="BV37" s="10" t="str">
        <f t="shared" si="210"/>
        <v/>
      </c>
      <c r="BW37" s="10" t="str">
        <f t="shared" si="210"/>
        <v/>
      </c>
      <c r="BX37" s="10" t="str">
        <f t="shared" si="210"/>
        <v/>
      </c>
      <c r="BY37" s="10"/>
      <c r="BZ37" s="10"/>
      <c r="CA37" s="39" t="str">
        <f t="shared" ref="CA37:CE37" si="211">BT37</f>
        <v/>
      </c>
      <c r="CB37" s="10" t="str">
        <f t="shared" si="211"/>
        <v/>
      </c>
      <c r="CC37" s="10" t="str">
        <f t="shared" si="211"/>
        <v/>
      </c>
      <c r="CD37" s="10" t="str">
        <f t="shared" si="211"/>
        <v/>
      </c>
      <c r="CE37" s="10" t="str">
        <f t="shared" si="211"/>
        <v/>
      </c>
      <c r="CF37" s="10"/>
      <c r="CG37" s="10"/>
      <c r="CH37" s="39" t="str">
        <f t="shared" ref="CH37:CL37" si="212">CA37</f>
        <v/>
      </c>
      <c r="CI37" s="10" t="str">
        <f t="shared" si="212"/>
        <v/>
      </c>
      <c r="CJ37" s="10" t="str">
        <f t="shared" si="212"/>
        <v/>
      </c>
      <c r="CK37" s="10" t="str">
        <f t="shared" si="212"/>
        <v/>
      </c>
      <c r="CL37" s="10" t="str">
        <f t="shared" si="212"/>
        <v/>
      </c>
      <c r="CM37" s="10"/>
      <c r="CN37" s="10"/>
      <c r="CO37" s="39" t="str">
        <f t="shared" ref="CO37:CS37" si="213">CH37</f>
        <v/>
      </c>
      <c r="CP37" s="10" t="str">
        <f t="shared" si="213"/>
        <v/>
      </c>
      <c r="CQ37" s="10" t="str">
        <f t="shared" si="213"/>
        <v/>
      </c>
      <c r="CR37" s="10" t="str">
        <f t="shared" si="213"/>
        <v/>
      </c>
      <c r="CS37" s="10" t="str">
        <f t="shared" si="213"/>
        <v/>
      </c>
      <c r="CT37" s="10"/>
      <c r="CU37" s="10"/>
      <c r="CV37" s="39" t="str">
        <f t="shared" ref="CV37:CZ37" si="214">CO37</f>
        <v/>
      </c>
      <c r="CW37" s="10" t="str">
        <f t="shared" si="214"/>
        <v/>
      </c>
      <c r="CX37" s="10" t="str">
        <f t="shared" si="214"/>
        <v/>
      </c>
      <c r="CY37" s="10" t="str">
        <f t="shared" si="214"/>
        <v/>
      </c>
      <c r="CZ37" s="10" t="str">
        <f t="shared" si="214"/>
        <v/>
      </c>
      <c r="DA37" s="10"/>
      <c r="DB37" s="10"/>
      <c r="DC37" s="39" t="str">
        <f t="shared" ref="DC37:DG37" si="215">CV37</f>
        <v/>
      </c>
      <c r="DD37" s="10" t="str">
        <f t="shared" si="215"/>
        <v/>
      </c>
      <c r="DE37" s="10" t="str">
        <f t="shared" si="215"/>
        <v/>
      </c>
      <c r="DF37" s="10" t="str">
        <f t="shared" si="215"/>
        <v/>
      </c>
      <c r="DG37" s="10" t="str">
        <f t="shared" si="215"/>
        <v/>
      </c>
      <c r="DH37" s="10"/>
      <c r="DI37" s="10"/>
      <c r="DJ37" s="39" t="str">
        <f t="shared" ref="DJ37:DN37" si="216">DC37</f>
        <v/>
      </c>
      <c r="DK37" s="10" t="str">
        <f t="shared" si="216"/>
        <v/>
      </c>
      <c r="DL37" s="10" t="str">
        <f t="shared" si="216"/>
        <v/>
      </c>
      <c r="DM37" s="10" t="str">
        <f t="shared" si="216"/>
        <v/>
      </c>
      <c r="DN37" s="10" t="str">
        <f t="shared" si="216"/>
        <v/>
      </c>
      <c r="DO37" s="10"/>
      <c r="DP37" s="10"/>
      <c r="DQ37" s="39" t="str">
        <f t="shared" ref="DQ37:DU37" si="217">DJ37</f>
        <v/>
      </c>
      <c r="DR37" s="10" t="str">
        <f t="shared" si="217"/>
        <v/>
      </c>
      <c r="DS37" s="10" t="str">
        <f t="shared" si="217"/>
        <v/>
      </c>
      <c r="DT37" s="10" t="str">
        <f t="shared" si="217"/>
        <v/>
      </c>
      <c r="DU37" s="10" t="str">
        <f t="shared" si="217"/>
        <v/>
      </c>
      <c r="DV37" s="10"/>
      <c r="DW37" s="10"/>
      <c r="DX37" s="39" t="str">
        <f t="shared" ref="DX37:EB37" si="218">DQ37</f>
        <v/>
      </c>
      <c r="DY37" s="10" t="str">
        <f t="shared" si="218"/>
        <v/>
      </c>
      <c r="DZ37" s="10" t="str">
        <f t="shared" si="218"/>
        <v/>
      </c>
      <c r="EA37" s="10" t="str">
        <f t="shared" si="218"/>
        <v/>
      </c>
      <c r="EB37" s="10" t="str">
        <f t="shared" si="218"/>
        <v/>
      </c>
      <c r="EC37" s="10"/>
      <c r="ED37" s="10"/>
      <c r="EE37" s="39" t="str">
        <f t="shared" ref="EE37:EI37" si="219">DX37</f>
        <v/>
      </c>
      <c r="EF37" s="10" t="str">
        <f t="shared" si="219"/>
        <v/>
      </c>
      <c r="EG37" s="10" t="str">
        <f t="shared" si="219"/>
        <v/>
      </c>
      <c r="EH37" s="10" t="str">
        <f t="shared" si="219"/>
        <v/>
      </c>
      <c r="EI37" s="10" t="str">
        <f t="shared" si="219"/>
        <v/>
      </c>
      <c r="EJ37" s="10"/>
      <c r="EK37" s="10"/>
      <c r="EL37" s="39" t="str">
        <f t="shared" ref="EL37:EP37" si="220">EE37</f>
        <v/>
      </c>
      <c r="EM37" s="10" t="str">
        <f t="shared" si="220"/>
        <v/>
      </c>
      <c r="EN37" s="10" t="str">
        <f t="shared" si="220"/>
        <v/>
      </c>
      <c r="EO37" s="10" t="str">
        <f t="shared" si="220"/>
        <v/>
      </c>
      <c r="EP37" s="10" t="str">
        <f t="shared" si="220"/>
        <v/>
      </c>
      <c r="EQ37" s="10"/>
      <c r="ER37" s="10"/>
    </row>
    <row r="38">
      <c r="A38" s="41"/>
      <c r="B38" s="42"/>
      <c r="C38" s="43"/>
      <c r="D38" s="43"/>
      <c r="E38" s="43"/>
      <c r="F38" s="43"/>
      <c r="G38" s="43"/>
      <c r="H38" s="43"/>
      <c r="I38" s="42" t="str">
        <f t="shared" ref="I38:M38" si="221">B38</f>
        <v/>
      </c>
      <c r="J38" s="43" t="str">
        <f t="shared" si="221"/>
        <v/>
      </c>
      <c r="K38" s="43" t="str">
        <f t="shared" si="221"/>
        <v/>
      </c>
      <c r="L38" s="43" t="str">
        <f t="shared" si="221"/>
        <v/>
      </c>
      <c r="M38" s="43" t="str">
        <f t="shared" si="221"/>
        <v/>
      </c>
      <c r="N38" s="43"/>
      <c r="O38" s="43"/>
      <c r="P38" s="42" t="str">
        <f t="shared" ref="P38:T38" si="222">I38</f>
        <v/>
      </c>
      <c r="Q38" s="43" t="str">
        <f t="shared" si="222"/>
        <v/>
      </c>
      <c r="R38" s="43" t="str">
        <f t="shared" si="222"/>
        <v/>
      </c>
      <c r="S38" s="43" t="str">
        <f t="shared" si="222"/>
        <v/>
      </c>
      <c r="T38" s="43" t="str">
        <f t="shared" si="222"/>
        <v/>
      </c>
      <c r="U38" s="43"/>
      <c r="V38" s="43"/>
      <c r="W38" s="42" t="str">
        <f t="shared" ref="W38:AA38" si="223">P38</f>
        <v/>
      </c>
      <c r="X38" s="43" t="str">
        <f t="shared" si="223"/>
        <v/>
      </c>
      <c r="Y38" s="43" t="str">
        <f t="shared" si="223"/>
        <v/>
      </c>
      <c r="Z38" s="43" t="str">
        <f t="shared" si="223"/>
        <v/>
      </c>
      <c r="AA38" s="43" t="str">
        <f t="shared" si="223"/>
        <v/>
      </c>
      <c r="AB38" s="43"/>
      <c r="AC38" s="43"/>
      <c r="AD38" s="42" t="str">
        <f t="shared" ref="AD38:AH38" si="224">W38</f>
        <v/>
      </c>
      <c r="AE38" s="43" t="str">
        <f t="shared" si="224"/>
        <v/>
      </c>
      <c r="AF38" s="43" t="str">
        <f t="shared" si="224"/>
        <v/>
      </c>
      <c r="AG38" s="43" t="str">
        <f t="shared" si="224"/>
        <v/>
      </c>
      <c r="AH38" s="43" t="str">
        <f t="shared" si="224"/>
        <v/>
      </c>
      <c r="AI38" s="43"/>
      <c r="AJ38" s="43"/>
      <c r="AK38" s="42" t="str">
        <f t="shared" ref="AK38:AO38" si="225">AD38</f>
        <v/>
      </c>
      <c r="AL38" s="43" t="str">
        <f t="shared" si="225"/>
        <v/>
      </c>
      <c r="AM38" s="43" t="str">
        <f t="shared" si="225"/>
        <v/>
      </c>
      <c r="AN38" s="43" t="str">
        <f t="shared" si="225"/>
        <v/>
      </c>
      <c r="AO38" s="43" t="str">
        <f t="shared" si="225"/>
        <v/>
      </c>
      <c r="AP38" s="43"/>
      <c r="AQ38" s="43"/>
      <c r="AR38" s="42" t="str">
        <f t="shared" ref="AR38:AV38" si="226">AK38</f>
        <v/>
      </c>
      <c r="AS38" s="43" t="str">
        <f t="shared" si="226"/>
        <v/>
      </c>
      <c r="AT38" s="43" t="str">
        <f t="shared" si="226"/>
        <v/>
      </c>
      <c r="AU38" s="43" t="str">
        <f t="shared" si="226"/>
        <v/>
      </c>
      <c r="AV38" s="43" t="str">
        <f t="shared" si="226"/>
        <v/>
      </c>
      <c r="AW38" s="43"/>
      <c r="AX38" s="43"/>
      <c r="AY38" s="42" t="str">
        <f t="shared" ref="AY38:BC38" si="227">AR38</f>
        <v/>
      </c>
      <c r="AZ38" s="43" t="str">
        <f t="shared" si="227"/>
        <v/>
      </c>
      <c r="BA38" s="43" t="str">
        <f t="shared" si="227"/>
        <v/>
      </c>
      <c r="BB38" s="43" t="str">
        <f t="shared" si="227"/>
        <v/>
      </c>
      <c r="BC38" s="43" t="str">
        <f t="shared" si="227"/>
        <v/>
      </c>
      <c r="BD38" s="43"/>
      <c r="BE38" s="43"/>
      <c r="BF38" s="42" t="str">
        <f t="shared" ref="BF38:BJ38" si="228">AY38</f>
        <v/>
      </c>
      <c r="BG38" s="43" t="str">
        <f t="shared" si="228"/>
        <v/>
      </c>
      <c r="BH38" s="43" t="str">
        <f t="shared" si="228"/>
        <v/>
      </c>
      <c r="BI38" s="43" t="str">
        <f t="shared" si="228"/>
        <v/>
      </c>
      <c r="BJ38" s="43" t="str">
        <f t="shared" si="228"/>
        <v/>
      </c>
      <c r="BK38" s="43"/>
      <c r="BL38" s="43"/>
      <c r="BM38" s="42" t="str">
        <f t="shared" ref="BM38:BQ38" si="229">BF38</f>
        <v/>
      </c>
      <c r="BN38" s="43" t="str">
        <f t="shared" si="229"/>
        <v/>
      </c>
      <c r="BO38" s="43" t="str">
        <f t="shared" si="229"/>
        <v/>
      </c>
      <c r="BP38" s="43" t="str">
        <f t="shared" si="229"/>
        <v/>
      </c>
      <c r="BQ38" s="43" t="str">
        <f t="shared" si="229"/>
        <v/>
      </c>
      <c r="BR38" s="43"/>
      <c r="BS38" s="43"/>
      <c r="BT38" s="42" t="str">
        <f t="shared" ref="BT38:BX38" si="230">BM38</f>
        <v/>
      </c>
      <c r="BU38" s="43" t="str">
        <f t="shared" si="230"/>
        <v/>
      </c>
      <c r="BV38" s="43" t="str">
        <f t="shared" si="230"/>
        <v/>
      </c>
      <c r="BW38" s="43" t="str">
        <f t="shared" si="230"/>
        <v/>
      </c>
      <c r="BX38" s="43" t="str">
        <f t="shared" si="230"/>
        <v/>
      </c>
      <c r="BY38" s="43"/>
      <c r="BZ38" s="43"/>
      <c r="CA38" s="42" t="str">
        <f t="shared" ref="CA38:CE38" si="231">BT38</f>
        <v/>
      </c>
      <c r="CB38" s="43" t="str">
        <f t="shared" si="231"/>
        <v/>
      </c>
      <c r="CC38" s="43" t="str">
        <f t="shared" si="231"/>
        <v/>
      </c>
      <c r="CD38" s="43" t="str">
        <f t="shared" si="231"/>
        <v/>
      </c>
      <c r="CE38" s="43" t="str">
        <f t="shared" si="231"/>
        <v/>
      </c>
      <c r="CF38" s="43"/>
      <c r="CG38" s="43"/>
      <c r="CH38" s="42" t="str">
        <f t="shared" ref="CH38:CL38" si="232">CA38</f>
        <v/>
      </c>
      <c r="CI38" s="43" t="str">
        <f t="shared" si="232"/>
        <v/>
      </c>
      <c r="CJ38" s="43" t="str">
        <f t="shared" si="232"/>
        <v/>
      </c>
      <c r="CK38" s="43" t="str">
        <f t="shared" si="232"/>
        <v/>
      </c>
      <c r="CL38" s="43" t="str">
        <f t="shared" si="232"/>
        <v/>
      </c>
      <c r="CM38" s="43"/>
      <c r="CN38" s="43"/>
      <c r="CO38" s="42" t="str">
        <f t="shared" ref="CO38:CS38" si="233">CH38</f>
        <v/>
      </c>
      <c r="CP38" s="43" t="str">
        <f t="shared" si="233"/>
        <v/>
      </c>
      <c r="CQ38" s="43" t="str">
        <f t="shared" si="233"/>
        <v/>
      </c>
      <c r="CR38" s="43" t="str">
        <f t="shared" si="233"/>
        <v/>
      </c>
      <c r="CS38" s="43" t="str">
        <f t="shared" si="233"/>
        <v/>
      </c>
      <c r="CT38" s="43"/>
      <c r="CU38" s="43"/>
      <c r="CV38" s="42" t="str">
        <f t="shared" ref="CV38:CZ38" si="234">CO38</f>
        <v/>
      </c>
      <c r="CW38" s="43" t="str">
        <f t="shared" si="234"/>
        <v/>
      </c>
      <c r="CX38" s="43" t="str">
        <f t="shared" si="234"/>
        <v/>
      </c>
      <c r="CY38" s="43" t="str">
        <f t="shared" si="234"/>
        <v/>
      </c>
      <c r="CZ38" s="43" t="str">
        <f t="shared" si="234"/>
        <v/>
      </c>
      <c r="DA38" s="43"/>
      <c r="DB38" s="43"/>
      <c r="DC38" s="42" t="str">
        <f t="shared" ref="DC38:DG38" si="235">CV38</f>
        <v/>
      </c>
      <c r="DD38" s="43" t="str">
        <f t="shared" si="235"/>
        <v/>
      </c>
      <c r="DE38" s="43" t="str">
        <f t="shared" si="235"/>
        <v/>
      </c>
      <c r="DF38" s="43" t="str">
        <f t="shared" si="235"/>
        <v/>
      </c>
      <c r="DG38" s="43" t="str">
        <f t="shared" si="235"/>
        <v/>
      </c>
      <c r="DH38" s="43"/>
      <c r="DI38" s="43"/>
      <c r="DJ38" s="42" t="str">
        <f t="shared" ref="DJ38:DN38" si="236">DC38</f>
        <v/>
      </c>
      <c r="DK38" s="43" t="str">
        <f t="shared" si="236"/>
        <v/>
      </c>
      <c r="DL38" s="43" t="str">
        <f t="shared" si="236"/>
        <v/>
      </c>
      <c r="DM38" s="43" t="str">
        <f t="shared" si="236"/>
        <v/>
      </c>
      <c r="DN38" s="43" t="str">
        <f t="shared" si="236"/>
        <v/>
      </c>
      <c r="DO38" s="43"/>
      <c r="DP38" s="43"/>
      <c r="DQ38" s="42" t="str">
        <f t="shared" ref="DQ38:DU38" si="237">DJ38</f>
        <v/>
      </c>
      <c r="DR38" s="43" t="str">
        <f t="shared" si="237"/>
        <v/>
      </c>
      <c r="DS38" s="43" t="str">
        <f t="shared" si="237"/>
        <v/>
      </c>
      <c r="DT38" s="43" t="str">
        <f t="shared" si="237"/>
        <v/>
      </c>
      <c r="DU38" s="43" t="str">
        <f t="shared" si="237"/>
        <v/>
      </c>
      <c r="DV38" s="43"/>
      <c r="DW38" s="43"/>
      <c r="DX38" s="42" t="str">
        <f t="shared" ref="DX38:EB38" si="238">DQ38</f>
        <v/>
      </c>
      <c r="DY38" s="43" t="str">
        <f t="shared" si="238"/>
        <v/>
      </c>
      <c r="DZ38" s="43" t="str">
        <f t="shared" si="238"/>
        <v/>
      </c>
      <c r="EA38" s="43" t="str">
        <f t="shared" si="238"/>
        <v/>
      </c>
      <c r="EB38" s="43" t="str">
        <f t="shared" si="238"/>
        <v/>
      </c>
      <c r="EC38" s="43"/>
      <c r="ED38" s="43"/>
      <c r="EE38" s="42" t="str">
        <f t="shared" ref="EE38:EI38" si="239">DX38</f>
        <v/>
      </c>
      <c r="EF38" s="43" t="str">
        <f t="shared" si="239"/>
        <v/>
      </c>
      <c r="EG38" s="43" t="str">
        <f t="shared" si="239"/>
        <v/>
      </c>
      <c r="EH38" s="43" t="str">
        <f t="shared" si="239"/>
        <v/>
      </c>
      <c r="EI38" s="43" t="str">
        <f t="shared" si="239"/>
        <v/>
      </c>
      <c r="EJ38" s="43"/>
      <c r="EK38" s="43"/>
      <c r="EL38" s="42" t="str">
        <f t="shared" ref="EL38:EP38" si="240">EE38</f>
        <v/>
      </c>
      <c r="EM38" s="43" t="str">
        <f t="shared" si="240"/>
        <v/>
      </c>
      <c r="EN38" s="43" t="str">
        <f t="shared" si="240"/>
        <v/>
      </c>
      <c r="EO38" s="43" t="str">
        <f t="shared" si="240"/>
        <v/>
      </c>
      <c r="EP38" s="43" t="str">
        <f t="shared" si="240"/>
        <v/>
      </c>
      <c r="EQ38" s="43"/>
      <c r="ER38" s="43"/>
    </row>
    <row r="39">
      <c r="A39" s="2"/>
      <c r="B39" s="38"/>
      <c r="C39" s="2"/>
      <c r="D39" s="2"/>
      <c r="E39" s="2"/>
      <c r="F39" s="2"/>
      <c r="G39" s="2"/>
      <c r="H39" s="2"/>
      <c r="I39" s="38"/>
      <c r="J39" s="2"/>
      <c r="K39" s="2"/>
      <c r="L39" s="2"/>
      <c r="M39" s="2"/>
      <c r="N39" s="2"/>
      <c r="O39" s="2"/>
      <c r="P39" s="38"/>
      <c r="Q39" s="2"/>
      <c r="R39" s="2"/>
      <c r="S39" s="2"/>
      <c r="T39" s="2"/>
      <c r="U39" s="2"/>
      <c r="V39" s="2"/>
      <c r="W39" s="38"/>
      <c r="X39" s="2"/>
      <c r="Y39" s="2"/>
      <c r="Z39" s="2"/>
      <c r="AA39" s="2"/>
      <c r="AB39" s="2"/>
      <c r="AC39" s="2"/>
      <c r="AD39" s="38"/>
      <c r="AE39" s="2"/>
      <c r="AF39" s="2"/>
      <c r="AG39" s="2"/>
      <c r="AH39" s="2"/>
      <c r="AI39" s="2"/>
      <c r="AJ39" s="2"/>
      <c r="AK39" s="38"/>
      <c r="AL39" s="2"/>
      <c r="AM39" s="2"/>
      <c r="AN39" s="2"/>
      <c r="AO39" s="2"/>
      <c r="AP39" s="2"/>
      <c r="AQ39" s="2"/>
      <c r="AR39" s="38"/>
      <c r="AS39" s="2"/>
      <c r="AT39" s="2"/>
      <c r="AU39" s="2"/>
      <c r="AV39" s="2"/>
      <c r="AW39" s="2"/>
      <c r="AX39" s="2"/>
      <c r="AY39" s="38"/>
      <c r="AZ39" s="2"/>
      <c r="BA39" s="2"/>
      <c r="BB39" s="2"/>
      <c r="BC39" s="2"/>
      <c r="BD39" s="2"/>
      <c r="BE39" s="2"/>
      <c r="BF39" s="38"/>
      <c r="BG39" s="2"/>
      <c r="BH39" s="2"/>
      <c r="BI39" s="2"/>
      <c r="BJ39" s="2"/>
      <c r="BK39" s="2"/>
      <c r="BL39" s="2"/>
      <c r="BM39" s="38"/>
      <c r="BN39" s="2"/>
      <c r="BO39" s="2"/>
      <c r="BP39" s="2"/>
      <c r="BQ39" s="2"/>
      <c r="BR39" s="2"/>
      <c r="BS39" s="2"/>
      <c r="BT39" s="38"/>
      <c r="BU39" s="2"/>
      <c r="BV39" s="2"/>
      <c r="BW39" s="2"/>
      <c r="BX39" s="2"/>
      <c r="BY39" s="2"/>
      <c r="BZ39" s="2"/>
      <c r="CA39" s="38"/>
      <c r="CB39" s="2"/>
      <c r="CC39" s="2"/>
      <c r="CD39" s="2"/>
      <c r="CE39" s="2"/>
      <c r="CF39" s="2"/>
      <c r="CG39" s="2"/>
      <c r="CH39" s="38"/>
      <c r="CI39" s="2"/>
      <c r="CJ39" s="2"/>
      <c r="CK39" s="2"/>
      <c r="CL39" s="2"/>
      <c r="CM39" s="2"/>
      <c r="CN39" s="2"/>
      <c r="CO39" s="38"/>
      <c r="CP39" s="2"/>
      <c r="CQ39" s="2"/>
      <c r="CR39" s="2"/>
      <c r="CS39" s="2"/>
      <c r="CT39" s="2"/>
      <c r="CU39" s="2"/>
      <c r="CV39" s="38"/>
      <c r="CW39" s="2"/>
      <c r="CX39" s="2"/>
      <c r="CY39" s="2"/>
      <c r="CZ39" s="2"/>
      <c r="DA39" s="2"/>
      <c r="DB39" s="2"/>
      <c r="DC39" s="38"/>
      <c r="DD39" s="2"/>
      <c r="DE39" s="2"/>
      <c r="DF39" s="2"/>
      <c r="DG39" s="2"/>
      <c r="DH39" s="2"/>
      <c r="DI39" s="2"/>
      <c r="DJ39" s="38"/>
      <c r="DK39" s="2"/>
      <c r="DL39" s="2"/>
      <c r="DM39" s="2"/>
      <c r="DN39" s="2"/>
      <c r="DO39" s="2"/>
      <c r="DP39" s="2"/>
      <c r="DQ39" s="38"/>
      <c r="DR39" s="2"/>
      <c r="DS39" s="2"/>
      <c r="DT39" s="2"/>
      <c r="DU39" s="2"/>
      <c r="DV39" s="2"/>
      <c r="DW39" s="2"/>
      <c r="DX39" s="38"/>
      <c r="DY39" s="2"/>
      <c r="DZ39" s="2"/>
      <c r="EA39" s="2"/>
      <c r="EB39" s="2"/>
      <c r="EC39" s="2"/>
      <c r="ED39" s="2"/>
      <c r="EE39" s="38"/>
      <c r="EF39" s="2"/>
      <c r="EG39" s="2"/>
      <c r="EH39" s="2"/>
      <c r="EI39" s="2"/>
      <c r="EJ39" s="2"/>
      <c r="EK39" s="2"/>
      <c r="EL39" s="38"/>
      <c r="EM39" s="2"/>
      <c r="EN39" s="2"/>
      <c r="EO39" s="2"/>
      <c r="EP39" s="2"/>
      <c r="EQ39" s="2"/>
      <c r="ER39" s="2"/>
    </row>
    <row r="40">
      <c r="A40" s="28" t="s">
        <v>80</v>
      </c>
      <c r="B40" s="29"/>
      <c r="C40" s="30"/>
      <c r="D40" s="30"/>
      <c r="E40" s="30"/>
      <c r="F40" s="30"/>
      <c r="G40" s="30"/>
      <c r="H40" s="30"/>
      <c r="I40" s="29"/>
      <c r="J40" s="30"/>
      <c r="K40" s="30"/>
      <c r="L40" s="30"/>
      <c r="M40" s="30"/>
      <c r="N40" s="30"/>
      <c r="O40" s="30"/>
      <c r="P40" s="29"/>
      <c r="Q40" s="30"/>
      <c r="R40" s="30"/>
      <c r="S40" s="30"/>
      <c r="T40" s="30"/>
      <c r="U40" s="30"/>
      <c r="V40" s="30"/>
      <c r="W40" s="29"/>
      <c r="X40" s="30"/>
      <c r="Y40" s="30"/>
      <c r="Z40" s="30"/>
      <c r="AA40" s="30"/>
      <c r="AB40" s="30"/>
      <c r="AC40" s="30"/>
      <c r="AD40" s="29"/>
      <c r="AE40" s="30"/>
      <c r="AF40" s="30"/>
      <c r="AG40" s="30"/>
      <c r="AH40" s="30"/>
      <c r="AI40" s="30"/>
      <c r="AJ40" s="30"/>
      <c r="AK40" s="29"/>
      <c r="AL40" s="30"/>
      <c r="AM40" s="30"/>
      <c r="AN40" s="30"/>
      <c r="AO40" s="30"/>
      <c r="AP40" s="30"/>
      <c r="AQ40" s="30"/>
      <c r="AR40" s="29"/>
      <c r="AS40" s="30"/>
      <c r="AT40" s="30"/>
      <c r="AU40" s="30"/>
      <c r="AV40" s="30"/>
      <c r="AW40" s="30"/>
      <c r="AX40" s="30"/>
      <c r="AY40" s="29"/>
      <c r="AZ40" s="30"/>
      <c r="BA40" s="30"/>
      <c r="BB40" s="30"/>
      <c r="BC40" s="30"/>
      <c r="BD40" s="30"/>
      <c r="BE40" s="30"/>
      <c r="BF40" s="29"/>
      <c r="BG40" s="30"/>
      <c r="BH40" s="30"/>
      <c r="BI40" s="30"/>
      <c r="BJ40" s="30"/>
      <c r="BK40" s="30"/>
      <c r="BL40" s="30"/>
      <c r="BM40" s="29"/>
      <c r="BN40" s="30"/>
      <c r="BO40" s="30"/>
      <c r="BP40" s="30"/>
      <c r="BQ40" s="30"/>
      <c r="BR40" s="30"/>
      <c r="BS40" s="30"/>
      <c r="BT40" s="29"/>
      <c r="BU40" s="30"/>
      <c r="BV40" s="30"/>
      <c r="BW40" s="30"/>
      <c r="BX40" s="30"/>
      <c r="BY40" s="30"/>
      <c r="BZ40" s="30"/>
      <c r="CA40" s="29"/>
      <c r="CB40" s="30"/>
      <c r="CC40" s="30"/>
      <c r="CD40" s="30"/>
      <c r="CE40" s="30"/>
      <c r="CF40" s="30"/>
      <c r="CG40" s="30"/>
      <c r="CH40" s="29"/>
      <c r="CI40" s="30"/>
      <c r="CJ40" s="30"/>
      <c r="CK40" s="30"/>
      <c r="CL40" s="30"/>
      <c r="CM40" s="30"/>
      <c r="CN40" s="30"/>
      <c r="CO40" s="29"/>
      <c r="CP40" s="30"/>
      <c r="CQ40" s="30"/>
      <c r="CR40" s="30"/>
      <c r="CS40" s="30"/>
      <c r="CT40" s="30"/>
      <c r="CU40" s="30"/>
      <c r="CV40" s="29"/>
      <c r="CW40" s="30"/>
      <c r="CX40" s="30"/>
      <c r="CY40" s="30"/>
      <c r="CZ40" s="30"/>
      <c r="DA40" s="30"/>
      <c r="DB40" s="30"/>
      <c r="DC40" s="29"/>
      <c r="DD40" s="30"/>
      <c r="DE40" s="30"/>
      <c r="DF40" s="30"/>
      <c r="DG40" s="30"/>
      <c r="DH40" s="30"/>
      <c r="DI40" s="30"/>
      <c r="DJ40" s="29"/>
      <c r="DK40" s="30"/>
      <c r="DL40" s="30"/>
      <c r="DM40" s="30"/>
      <c r="DN40" s="30"/>
      <c r="DO40" s="30"/>
      <c r="DP40" s="30"/>
      <c r="DQ40" s="29"/>
      <c r="DR40" s="30"/>
      <c r="DS40" s="30"/>
      <c r="DT40" s="30"/>
      <c r="DU40" s="30"/>
      <c r="DV40" s="30"/>
      <c r="DW40" s="30"/>
      <c r="DX40" s="29"/>
      <c r="DY40" s="30"/>
      <c r="DZ40" s="30"/>
      <c r="EA40" s="30"/>
      <c r="EB40" s="30"/>
      <c r="EC40" s="30"/>
      <c r="ED40" s="30"/>
      <c r="EE40" s="31" t="s">
        <v>75</v>
      </c>
      <c r="EF40" s="32"/>
      <c r="EG40" s="32"/>
      <c r="EH40" s="32"/>
      <c r="EI40" s="32"/>
      <c r="EJ40" s="32"/>
      <c r="EK40" s="32"/>
      <c r="EL40" s="29"/>
      <c r="EM40" s="30"/>
      <c r="EN40" s="30"/>
      <c r="EO40" s="30"/>
      <c r="EP40" s="30"/>
      <c r="EQ40" s="30"/>
      <c r="ER40" s="30"/>
    </row>
    <row r="41" hidden="1">
      <c r="A41" s="33" t="str">
        <f>CONCATENATE(A42," TM")</f>
        <v>OHP TM</v>
      </c>
      <c r="B41" s="34">
        <f>if(D41="",'Quick Setup'!D8,D41/'Quick Setup'!E8)</f>
        <v>200</v>
      </c>
      <c r="C41" s="35" t="s">
        <v>73</v>
      </c>
      <c r="D41" s="36"/>
      <c r="E41" s="37"/>
      <c r="F41" s="37"/>
      <c r="G41" s="37"/>
      <c r="H41" s="37"/>
      <c r="I41" s="34">
        <f>if(K41="", if(F42&lt;&gt;"", if(F42&gt;Setup!F7,B41*(1+Setup!G7),if(F42&lt;Setup!E7,B41*(1+Setup!H7),B41)),B41),K41/'Quick Setup'!$E8)</f>
        <v>200</v>
      </c>
      <c r="J41" s="35" t="s">
        <v>73</v>
      </c>
      <c r="K41" s="36"/>
      <c r="L41" s="37"/>
      <c r="M41" s="37"/>
      <c r="N41" s="37"/>
      <c r="O41" s="37"/>
      <c r="P41" s="34">
        <f>if(R41="", if(M42&lt;&gt;"", if(M42&gt;Setup!M7,I41*(1+Setup!N7),if(M42&lt;Setup!L7,I41*(1+Setup!O7),I41)),I41),R41/'Quick Setup'!$E8)</f>
        <v>200</v>
      </c>
      <c r="Q41" s="35" t="s">
        <v>73</v>
      </c>
      <c r="R41" s="36"/>
      <c r="S41" s="37"/>
      <c r="T41" s="37"/>
      <c r="U41" s="37"/>
      <c r="V41" s="37"/>
      <c r="W41" s="34">
        <f>if(Y41="", if(T42&lt;&gt;"", if(T42&gt;Setup!T7,P41*(1+Setup!U7),if(T42&lt;Setup!S7,P41*(1+Setup!V7),P41)),P41),Y41/'Quick Setup'!$E8)</f>
        <v>200</v>
      </c>
      <c r="X41" s="35" t="s">
        <v>73</v>
      </c>
      <c r="Y41" s="36"/>
      <c r="Z41" s="37"/>
      <c r="AA41" s="37"/>
      <c r="AB41" s="37"/>
      <c r="AC41" s="37"/>
      <c r="AD41" s="34">
        <f>if(AF41="", if(AA42&lt;&gt;"", if(AA42&gt;Setup!AA7,W41*(1+Setup!AB7),if(AA42&lt;Setup!Z7,W41*(1+Setup!AC7),W41)),W41),AF41/'Quick Setup'!$E8)</f>
        <v>200</v>
      </c>
      <c r="AE41" s="35" t="s">
        <v>73</v>
      </c>
      <c r="AF41" s="36"/>
      <c r="AG41" s="37"/>
      <c r="AH41" s="37"/>
      <c r="AI41" s="37"/>
      <c r="AJ41" s="37"/>
      <c r="AK41" s="34">
        <f>if(AM41="", if(AH42&lt;&gt;"", if(AH42&gt;Setup!AH7,AD41*(1+Setup!AI7),if(AH42&lt;Setup!AG7,AD41*(1+Setup!AJ7),AD41)),AD41),AM41/'Quick Setup'!$E8)</f>
        <v>200</v>
      </c>
      <c r="AL41" s="35" t="s">
        <v>73</v>
      </c>
      <c r="AM41" s="36"/>
      <c r="AN41" s="37"/>
      <c r="AO41" s="37"/>
      <c r="AP41" s="37"/>
      <c r="AQ41" s="37"/>
      <c r="AR41" s="34">
        <f>if(AT41="", if(AO42&lt;&gt;"", if(AO42&gt;Setup!AO7,AK41*(1+Setup!AP7),if(AO42&lt;Setup!AN7,AK41*(1+Setup!AQ7),AK41)),AK41),AT41/'Quick Setup'!$E8)</f>
        <v>200</v>
      </c>
      <c r="AS41" s="35" t="s">
        <v>73</v>
      </c>
      <c r="AT41" s="36"/>
      <c r="AU41" s="37"/>
      <c r="AV41" s="37"/>
      <c r="AW41" s="37"/>
      <c r="AX41" s="37"/>
      <c r="AY41" s="34">
        <f>if(BA41="",AR41,BA41/'Quick Setup'!$E8)</f>
        <v>200</v>
      </c>
      <c r="AZ41" s="35" t="s">
        <v>73</v>
      </c>
      <c r="BA41" s="36"/>
      <c r="BB41" s="37"/>
      <c r="BC41" s="37"/>
      <c r="BD41" s="37"/>
      <c r="BE41" s="37"/>
      <c r="BF41" s="34">
        <f>if(BH41="", if(BC42&lt;&gt;"", if(BC42&gt;Setup!BC7,AY41*(1+Setup!BD7),if(BC42&lt;Setup!BB7,AY41*(1+Setup!BE7),AY41)),AY41),BH41/'Quick Setup'!$E8)</f>
        <v>200</v>
      </c>
      <c r="BG41" s="35" t="s">
        <v>73</v>
      </c>
      <c r="BH41" s="36"/>
      <c r="BI41" s="37"/>
      <c r="BJ41" s="37"/>
      <c r="BK41" s="37"/>
      <c r="BL41" s="37"/>
      <c r="BM41" s="34">
        <f>if(BO41="", if(BJ42&lt;&gt;"", if(BJ42&gt;Setup!BJ7,BF41*(1+Setup!BK7),if(BJ42&lt;Setup!BI7,BF41*(1+Setup!BL7),BF41)),BF41),BO41/'Quick Setup'!$E8)</f>
        <v>200</v>
      </c>
      <c r="BN41" s="35" t="s">
        <v>73</v>
      </c>
      <c r="BO41" s="36"/>
      <c r="BP41" s="37"/>
      <c r="BQ41" s="37"/>
      <c r="BR41" s="37"/>
      <c r="BS41" s="37"/>
      <c r="BT41" s="34">
        <f>if(BV41="", if(BQ42&lt;&gt;"", if(BQ42&gt;Setup!BQ7,BM41*(1+Setup!BR7),if(BQ42&lt;Setup!BP7,BM41*(1+Setup!BS7),BM41)),BM41),BV41/'Quick Setup'!$E8)</f>
        <v>200</v>
      </c>
      <c r="BU41" s="35" t="s">
        <v>73</v>
      </c>
      <c r="BV41" s="36"/>
      <c r="BW41" s="37"/>
      <c r="BX41" s="37"/>
      <c r="BY41" s="37"/>
      <c r="BZ41" s="37"/>
      <c r="CA41" s="34">
        <f>if(CC41="", if(BX42&lt;&gt;"", if(BX42&gt;Setup!BX7,BT41*(1+Setup!BY7),if(BX42&lt;Setup!BW7,BT41*(1+Setup!BZ7),BT41)),BT41),CC41/'Quick Setup'!$E8)</f>
        <v>200</v>
      </c>
      <c r="CB41" s="35" t="s">
        <v>73</v>
      </c>
      <c r="CC41" s="36"/>
      <c r="CD41" s="37"/>
      <c r="CE41" s="37"/>
      <c r="CF41" s="37"/>
      <c r="CG41" s="37"/>
      <c r="CH41" s="34">
        <f>if(CJ41="", if(CE42&lt;&gt;"", if(CE42&gt;Setup!CE7,CA41*(1+Setup!CF7),if(CE42&lt;Setup!CD7,CA41*(1+Setup!CG7),CA41)),CA41),CJ41/'Quick Setup'!$E8)</f>
        <v>200</v>
      </c>
      <c r="CI41" s="35" t="s">
        <v>73</v>
      </c>
      <c r="CJ41" s="36"/>
      <c r="CK41" s="37"/>
      <c r="CL41" s="37"/>
      <c r="CM41" s="37"/>
      <c r="CN41" s="37"/>
      <c r="CO41" s="34">
        <f>if(CQ41="", if(CL42&lt;&gt;"", if(CL42&gt;Setup!CL7,CH41*(1+Setup!CM7),if(CL42&lt;Setup!CK7,CH41*(1+Setup!CN7),CH41)),CH41),CQ41/'Quick Setup'!$E8)</f>
        <v>200</v>
      </c>
      <c r="CP41" s="35" t="s">
        <v>73</v>
      </c>
      <c r="CQ41" s="36"/>
      <c r="CR41" s="37"/>
      <c r="CS41" s="37"/>
      <c r="CT41" s="37"/>
      <c r="CU41" s="37"/>
      <c r="CV41" s="34">
        <f>if(CX41="",CO41,CX41/'Quick Setup'!$E8)</f>
        <v>200</v>
      </c>
      <c r="CW41" s="35" t="s">
        <v>73</v>
      </c>
      <c r="CX41" s="36"/>
      <c r="CY41" s="37"/>
      <c r="CZ41" s="37"/>
      <c r="DA41" s="37"/>
      <c r="DB41" s="37"/>
      <c r="DC41" s="34">
        <f>if(DE41="", if(CZ42&lt;&gt;"", if(CZ42&gt;Setup!CZ7,CV41*(1+Setup!DA7),if(CZ42&lt;Setup!CY7,CV41*(1+Setup!DB7),CV41)),CV41),DE41/'Quick Setup'!$E8)</f>
        <v>200</v>
      </c>
      <c r="DD41" s="35" t="s">
        <v>73</v>
      </c>
      <c r="DE41" s="36"/>
      <c r="DF41" s="37"/>
      <c r="DG41" s="37"/>
      <c r="DH41" s="37"/>
      <c r="DI41" s="37"/>
      <c r="DJ41" s="34">
        <f>if(DL41="", if(DG42&lt;&gt;"", if(DG42&gt;Setup!DG7,DC41*(1+Setup!DH7),if(DG42&lt;Setup!DF7,DC41*(1+Setup!DI7),DC41)),DC41),DL41/'Quick Setup'!$E8)</f>
        <v>200</v>
      </c>
      <c r="DK41" s="35" t="s">
        <v>73</v>
      </c>
      <c r="DL41" s="36"/>
      <c r="DM41" s="37"/>
      <c r="DN41" s="37"/>
      <c r="DO41" s="37"/>
      <c r="DP41" s="37"/>
      <c r="DQ41" s="34">
        <f>if(DS41="", if(DN42&lt;&gt;"", if(DN42&gt;Setup!DN7,DJ41*(1+Setup!DO7),if(DN42&lt;Setup!DM7,DJ41*(1+Setup!DP7),DJ41)),DJ41),DS41/'Quick Setup'!$E8)</f>
        <v>200</v>
      </c>
      <c r="DR41" s="35" t="s">
        <v>73</v>
      </c>
      <c r="DS41" s="36"/>
      <c r="DT41" s="37"/>
      <c r="DU41" s="37"/>
      <c r="DV41" s="37"/>
      <c r="DW41" s="37"/>
      <c r="DX41" s="34">
        <f>if(DZ41="", if(DU42&lt;&gt;"", if(DU42&gt;Setup!DU7,DQ41*(1+Setup!DV7),if(DU42&lt;Setup!DT7,DQ41*(1+Setup!DW7),DQ41)),DQ41),DZ41/'Quick Setup'!$E8)</f>
        <v>200</v>
      </c>
      <c r="DY41" s="35" t="s">
        <v>73</v>
      </c>
      <c r="DZ41" s="36"/>
      <c r="EA41" s="37"/>
      <c r="EB41" s="37"/>
      <c r="EC41" s="37"/>
      <c r="ED41" s="37"/>
      <c r="EE41" s="34">
        <f>if(EG41="", if(EB42&lt;&gt;"", if(EB42&gt;Setup!EB7,DX41*(1+Setup!EC7),if(EB42&lt;Setup!EA7,DX41*(1+Setup!ED7),DX41)),DX41),EG41/'Quick Setup'!$E8)</f>
        <v>200</v>
      </c>
      <c r="EF41" s="35" t="s">
        <v>73</v>
      </c>
      <c r="EG41" s="36"/>
      <c r="EH41" s="37"/>
      <c r="EI41" s="37"/>
      <c r="EJ41" s="37"/>
      <c r="EK41" s="37"/>
      <c r="EL41" s="34">
        <f>if(EN41="", if(EI42&lt;&gt;"", if(EI42&gt;Setup!EI7,EE41*(1+Setup!EJ7),if(EI42&lt;Setup!EH7,EE41*(1+Setup!EK7),EE41)),EE41),EN41/'Quick Setup'!$E8)</f>
        <v>200</v>
      </c>
      <c r="EM41" s="35" t="s">
        <v>73</v>
      </c>
      <c r="EN41" s="36"/>
      <c r="EO41" s="37"/>
      <c r="EP41" s="37"/>
      <c r="EQ41" s="37"/>
      <c r="ER41" s="37"/>
    </row>
    <row r="42">
      <c r="A42" s="1" t="str">
        <f>Setup!A7</f>
        <v>OHP</v>
      </c>
      <c r="B42" s="38">
        <f>mround(B41*Setup!B7,'Quick Setup'!$A$2)</f>
        <v>140</v>
      </c>
      <c r="C42" s="2">
        <f>Setup!C7</f>
        <v>5</v>
      </c>
      <c r="D42" s="2">
        <f>Setup!D7</f>
        <v>3</v>
      </c>
      <c r="E42" s="2" t="str">
        <f>CONCATENATE(Setup!E7,"-",Setup!F7)</f>
        <v>4-6</v>
      </c>
      <c r="F42" s="10"/>
      <c r="G42" s="10"/>
      <c r="H42" s="10"/>
      <c r="I42" s="38">
        <f>mround(I41*Setup!I7,'Quick Setup'!$A$2)</f>
        <v>150</v>
      </c>
      <c r="J42" s="2">
        <f>Setup!J7</f>
        <v>4</v>
      </c>
      <c r="K42" s="2">
        <f>Setup!K7</f>
        <v>3</v>
      </c>
      <c r="L42" s="2" t="str">
        <f>CONCATENATE(Setup!L7,"-",Setup!M7)</f>
        <v>4-6</v>
      </c>
      <c r="M42" s="10"/>
      <c r="N42" s="10"/>
      <c r="O42" s="10"/>
      <c r="P42" s="38">
        <f>mround(P41*Setup!P7,'Quick Setup'!$A$2)</f>
        <v>160</v>
      </c>
      <c r="Q42" s="2">
        <f>Setup!Q7</f>
        <v>3</v>
      </c>
      <c r="R42" s="2">
        <f>Setup!R7</f>
        <v>2</v>
      </c>
      <c r="S42" s="2" t="str">
        <f>CONCATENATE(Setup!S7,"-",Setup!T7)</f>
        <v>4-6</v>
      </c>
      <c r="T42" s="10"/>
      <c r="U42" s="10"/>
      <c r="V42" s="10"/>
      <c r="W42" s="38">
        <f>mround(W41*Setup!W7,'Quick Setup'!$A$2)</f>
        <v>145</v>
      </c>
      <c r="X42" s="2">
        <f>Setup!X7</f>
        <v>5</v>
      </c>
      <c r="Y42" s="2">
        <f>Setup!Y7</f>
        <v>3</v>
      </c>
      <c r="Z42" s="2" t="str">
        <f>CONCATENATE(Setup!Z7,"-",Setup!AA7)</f>
        <v>4-6</v>
      </c>
      <c r="AA42" s="10"/>
      <c r="AB42" s="10"/>
      <c r="AC42" s="10"/>
      <c r="AD42" s="38">
        <f>mround(AD41*Setup!AD7,'Quick Setup'!$A$2)</f>
        <v>155</v>
      </c>
      <c r="AE42" s="2">
        <f>Setup!AE7</f>
        <v>4</v>
      </c>
      <c r="AF42" s="2">
        <f>Setup!AF7</f>
        <v>3</v>
      </c>
      <c r="AG42" s="2" t="str">
        <f>CONCATENATE(Setup!AG7,"-",Setup!AH7)</f>
        <v>4-6</v>
      </c>
      <c r="AH42" s="10"/>
      <c r="AI42" s="10"/>
      <c r="AJ42" s="10"/>
      <c r="AK42" s="38">
        <f>mround(AK41*Setup!AK7,'Quick Setup'!$A$2)</f>
        <v>165</v>
      </c>
      <c r="AL42" s="2">
        <f>Setup!AL7</f>
        <v>3</v>
      </c>
      <c r="AM42" s="2">
        <f>Setup!AM7</f>
        <v>2</v>
      </c>
      <c r="AN42" s="2" t="str">
        <f>CONCATENATE(Setup!AN7,"-",Setup!AO7)</f>
        <v>4-6</v>
      </c>
      <c r="AO42" s="10"/>
      <c r="AP42" s="10"/>
      <c r="AQ42" s="10"/>
      <c r="AR42" s="38">
        <f>mround(AR41*Setup!AR7,'Quick Setup'!$A$2)</f>
        <v>120</v>
      </c>
      <c r="AS42" s="1">
        <v>5.0</v>
      </c>
      <c r="AT42" s="1" t="s">
        <v>76</v>
      </c>
      <c r="AU42" s="2" t="str">
        <f>CONCATENATE(Setup!AU7,"-",Setup!AV7)</f>
        <v>4-6</v>
      </c>
      <c r="AV42" s="10"/>
      <c r="AW42" s="10"/>
      <c r="AX42" s="10"/>
      <c r="AY42" s="38">
        <f>mround(AY41*Setup!AY7,'Quick Setup'!$A$2)</f>
        <v>150</v>
      </c>
      <c r="AZ42" s="2">
        <f>Setup!AZ7</f>
        <v>4</v>
      </c>
      <c r="BA42" s="2">
        <f>Setup!BA7</f>
        <v>3</v>
      </c>
      <c r="BB42" s="2" t="str">
        <f>CONCATENATE(Setup!BB7,"-",Setup!BC7)</f>
        <v>4-6</v>
      </c>
      <c r="BC42" s="10"/>
      <c r="BD42" s="10"/>
      <c r="BE42" s="10"/>
      <c r="BF42" s="38">
        <f>mround(BF41*Setup!BF7,'Quick Setup'!$A$2)</f>
        <v>160</v>
      </c>
      <c r="BG42" s="2">
        <f>Setup!BG7</f>
        <v>3</v>
      </c>
      <c r="BH42" s="2">
        <f>Setup!BH7</f>
        <v>2</v>
      </c>
      <c r="BI42" s="2" t="str">
        <f>CONCATENATE(Setup!BI7,"-",Setup!BJ7)</f>
        <v>4-6</v>
      </c>
      <c r="BJ42" s="10"/>
      <c r="BK42" s="10"/>
      <c r="BL42" s="10"/>
      <c r="BM42" s="38">
        <f>mround(BM41*Setup!BM7,'Quick Setup'!$A$2)</f>
        <v>170</v>
      </c>
      <c r="BN42" s="2">
        <f>Setup!BN7</f>
        <v>2</v>
      </c>
      <c r="BO42" s="2">
        <f>Setup!BO7</f>
        <v>2</v>
      </c>
      <c r="BP42" s="2" t="str">
        <f>CONCATENATE(Setup!BP7,"-",Setup!BQ7)</f>
        <v>4-6</v>
      </c>
      <c r="BQ42" s="10"/>
      <c r="BR42" s="10"/>
      <c r="BS42" s="10"/>
      <c r="BT42" s="38">
        <f>mround(BT41*Setup!BT7,'Quick Setup'!$A$2)</f>
        <v>155</v>
      </c>
      <c r="BU42" s="2">
        <f>Setup!BU7</f>
        <v>4</v>
      </c>
      <c r="BV42" s="2">
        <f>Setup!BV7</f>
        <v>3</v>
      </c>
      <c r="BW42" s="2" t="str">
        <f>CONCATENATE(Setup!BW7,"-",Setup!BX7)</f>
        <v>4-6</v>
      </c>
      <c r="BX42" s="10"/>
      <c r="BY42" s="10"/>
      <c r="BZ42" s="10"/>
      <c r="CA42" s="38">
        <f>mround(CA41*Setup!CA7,'Quick Setup'!$A$2)</f>
        <v>165</v>
      </c>
      <c r="CB42" s="2">
        <f>Setup!CB7</f>
        <v>3</v>
      </c>
      <c r="CC42" s="2">
        <f>Setup!CC7</f>
        <v>2</v>
      </c>
      <c r="CD42" s="2" t="str">
        <f>CONCATENATE(Setup!CD7,"-",Setup!CE7)</f>
        <v>4-6</v>
      </c>
      <c r="CE42" s="10"/>
      <c r="CF42" s="10"/>
      <c r="CG42" s="10"/>
      <c r="CH42" s="38">
        <f>mround(CH41*Setup!CH7,'Quick Setup'!$A$2)</f>
        <v>175</v>
      </c>
      <c r="CI42" s="2">
        <f>Setup!CI7</f>
        <v>2</v>
      </c>
      <c r="CJ42" s="2">
        <f>Setup!CJ7</f>
        <v>2</v>
      </c>
      <c r="CK42" s="2" t="str">
        <f>CONCATENATE(Setup!CK7,"-",Setup!CL7)</f>
        <v>4-6</v>
      </c>
      <c r="CL42" s="10"/>
      <c r="CM42" s="10"/>
      <c r="CN42" s="10"/>
      <c r="CO42" s="38">
        <f>mround(CO41*Setup!CO7,'Quick Setup'!$A$2)</f>
        <v>120</v>
      </c>
      <c r="CP42" s="1">
        <v>5.0</v>
      </c>
      <c r="CQ42" s="1" t="s">
        <v>76</v>
      </c>
      <c r="CR42" s="2" t="str">
        <f>CONCATENATE(Setup!CR7,"-",Setup!CS7)</f>
        <v>4-6</v>
      </c>
      <c r="CS42" s="10"/>
      <c r="CT42" s="10"/>
      <c r="CU42" s="10"/>
      <c r="CV42" s="38">
        <f>mround(CV41*Setup!CV7,'Quick Setup'!$A$2)</f>
        <v>160</v>
      </c>
      <c r="CW42" s="2">
        <f>Setup!CW7</f>
        <v>3</v>
      </c>
      <c r="CX42" s="2">
        <f>Setup!CX7</f>
        <v>2</v>
      </c>
      <c r="CY42" s="2" t="str">
        <f>CONCATENATE(Setup!CY7,"-",Setup!CZ7)</f>
        <v>4-6</v>
      </c>
      <c r="CZ42" s="10"/>
      <c r="DA42" s="10"/>
      <c r="DB42" s="10"/>
      <c r="DC42" s="38">
        <f>mround(DC41*Setup!DC7,'Quick Setup'!$A$2)</f>
        <v>170</v>
      </c>
      <c r="DD42" s="2">
        <f>Setup!DD7</f>
        <v>2</v>
      </c>
      <c r="DE42" s="2">
        <f>Setup!DE7</f>
        <v>2</v>
      </c>
      <c r="DF42" s="2" t="str">
        <f>CONCATENATE(Setup!DF7,"-",Setup!DG7)</f>
        <v>4-6</v>
      </c>
      <c r="DG42" s="10"/>
      <c r="DH42" s="10"/>
      <c r="DI42" s="10"/>
      <c r="DJ42" s="38">
        <f>mround(DJ41*Setup!DJ7,'Quick Setup'!$A$2)</f>
        <v>180</v>
      </c>
      <c r="DK42" s="2">
        <f>Setup!DK7</f>
        <v>1</v>
      </c>
      <c r="DL42" s="2">
        <f>Setup!DL7</f>
        <v>1</v>
      </c>
      <c r="DM42" s="2" t="str">
        <f>CONCATENATE(Setup!DM7,"-",Setup!DN7)</f>
        <v>4-6</v>
      </c>
      <c r="DN42" s="10"/>
      <c r="DO42" s="10"/>
      <c r="DP42" s="10"/>
      <c r="DQ42" s="38">
        <f>mround(DQ41*Setup!DQ7,'Quick Setup'!$A$2)</f>
        <v>170</v>
      </c>
      <c r="DR42" s="2">
        <f>Setup!DR7</f>
        <v>2</v>
      </c>
      <c r="DS42" s="2">
        <f>Setup!DS7</f>
        <v>2</v>
      </c>
      <c r="DT42" s="2" t="str">
        <f>CONCATENATE(Setup!DT7,"-",Setup!DU7)</f>
        <v>4-6</v>
      </c>
      <c r="DU42" s="10"/>
      <c r="DV42" s="10"/>
      <c r="DW42" s="10"/>
      <c r="DX42" s="38">
        <f>mround(DX41*Setup!DX7,'Quick Setup'!$A$2)</f>
        <v>180</v>
      </c>
      <c r="DY42" s="2">
        <f>Setup!DY7</f>
        <v>1</v>
      </c>
      <c r="DZ42" s="2">
        <f>Setup!DZ7</f>
        <v>1</v>
      </c>
      <c r="EA42" s="2" t="str">
        <f>CONCATENATE(Setup!EA7,"-",Setup!EB7)</f>
        <v>4-6</v>
      </c>
      <c r="EB42" s="10"/>
      <c r="EC42" s="10"/>
      <c r="ED42" s="10"/>
      <c r="EE42" s="38">
        <f>mround(EE41*Setup!EE7,'Quick Setup'!$A$2)</f>
        <v>190</v>
      </c>
      <c r="EF42" s="2">
        <f>Setup!EF7</f>
        <v>1</v>
      </c>
      <c r="EG42" s="2">
        <f>Setup!EG7</f>
        <v>1</v>
      </c>
      <c r="EH42" s="2" t="str">
        <f>CONCATENATE(Setup!EH7,"-",Setup!EI7)</f>
        <v>4-6</v>
      </c>
      <c r="EI42" s="10"/>
      <c r="EJ42" s="10"/>
      <c r="EK42" s="10"/>
      <c r="EL42" s="38">
        <f>mround(EL41*Setup!EL7,'Quick Setup'!$A$2)</f>
        <v>120</v>
      </c>
      <c r="EM42" s="1">
        <v>5.0</v>
      </c>
      <c r="EN42" s="1" t="s">
        <v>76</v>
      </c>
      <c r="EO42" s="2" t="str">
        <f>CONCATENATE(Setup!EO7,"-",Setup!EP7)</f>
        <v>4-6</v>
      </c>
      <c r="EP42" s="10"/>
      <c r="EQ42" s="10"/>
      <c r="ER42" s="10"/>
    </row>
    <row r="43" hidden="1">
      <c r="A43" s="33" t="str">
        <f>CONCATENATE(A44," TM")</f>
        <v>Close Grip Bench TM</v>
      </c>
      <c r="B43" s="34">
        <f>if(D43="",'Quick Setup'!D13,D43/'Quick Setup'!E13)</f>
        <v>310</v>
      </c>
      <c r="C43" s="35" t="s">
        <v>73</v>
      </c>
      <c r="D43" s="36"/>
      <c r="E43" s="37"/>
      <c r="F43" s="37"/>
      <c r="G43" s="37"/>
      <c r="H43" s="37"/>
      <c r="I43" s="34">
        <f>if(K43="", if(F44&lt;&gt;"", if(F44&gt;Setup!F12,B43*(1+Setup!G12),if(F44&lt;Setup!E12,B43*(1+Setup!H12),B43)),B43),K43/'Quick Setup'!$E13)</f>
        <v>310</v>
      </c>
      <c r="J43" s="35" t="s">
        <v>73</v>
      </c>
      <c r="K43" s="36"/>
      <c r="L43" s="37"/>
      <c r="M43" s="37"/>
      <c r="N43" s="37"/>
      <c r="O43" s="37"/>
      <c r="P43" s="34">
        <f>if(R43="", if(M44&lt;&gt;"", if(M44&gt;Setup!M12,I43*(1+Setup!N12),if(M44&lt;Setup!L12,I43*(1+Setup!O12),I43)),I43),R43/'Quick Setup'!$E13)</f>
        <v>310</v>
      </c>
      <c r="Q43" s="35" t="s">
        <v>73</v>
      </c>
      <c r="R43" s="36"/>
      <c r="S43" s="37"/>
      <c r="T43" s="37"/>
      <c r="U43" s="37"/>
      <c r="V43" s="37"/>
      <c r="W43" s="34">
        <f>if(Y43="", if(T44&lt;&gt;"", if(T44&gt;Setup!T12,P43*(1+Setup!U12),if(T44&lt;Setup!S12,P43*(1+Setup!V12),P43)),P43),Y43/'Quick Setup'!$E13)</f>
        <v>310</v>
      </c>
      <c r="X43" s="35" t="s">
        <v>73</v>
      </c>
      <c r="Y43" s="36"/>
      <c r="Z43" s="37"/>
      <c r="AA43" s="37"/>
      <c r="AB43" s="37"/>
      <c r="AC43" s="37"/>
      <c r="AD43" s="34">
        <f>if(AF43="", if(AA44&lt;&gt;"", if(AA44&gt;Setup!AA12,W43*(1+Setup!AB12),if(AA44&lt;Setup!Z12,W43*(1+Setup!AC12),W43)),W43),AF43/'Quick Setup'!$E13)</f>
        <v>310</v>
      </c>
      <c r="AE43" s="35" t="s">
        <v>73</v>
      </c>
      <c r="AF43" s="36"/>
      <c r="AG43" s="37"/>
      <c r="AH43" s="37"/>
      <c r="AI43" s="37"/>
      <c r="AJ43" s="37"/>
      <c r="AK43" s="34">
        <f>if(AM43="", if(AH44&lt;&gt;"", if(AH44&gt;Setup!AH12,AD43*(1+Setup!AI12),if(AH44&lt;Setup!AG12,AD43*(1+Setup!AJ12),AD43)),AD43),AM43/'Quick Setup'!$E13)</f>
        <v>310</v>
      </c>
      <c r="AL43" s="35" t="s">
        <v>73</v>
      </c>
      <c r="AM43" s="36"/>
      <c r="AN43" s="37"/>
      <c r="AO43" s="37"/>
      <c r="AP43" s="37"/>
      <c r="AQ43" s="37"/>
      <c r="AR43" s="34">
        <f>if(AT43="", if(AO44&lt;&gt;"", if(AO44&gt;Setup!AO12,AK43*(1+Setup!AP12),if(AO44&lt;Setup!AN12,AK43*(1+Setup!AQ12),AK43)),AK43),AT43/'Quick Setup'!$E13)</f>
        <v>310</v>
      </c>
      <c r="AS43" s="35" t="s">
        <v>73</v>
      </c>
      <c r="AT43" s="36"/>
      <c r="AU43" s="37"/>
      <c r="AV43" s="37"/>
      <c r="AW43" s="37"/>
      <c r="AX43" s="37"/>
      <c r="AY43" s="34">
        <f>if(BA43="",AR43,BA43/'Quick Setup'!$E13)</f>
        <v>310</v>
      </c>
      <c r="AZ43" s="35" t="s">
        <v>73</v>
      </c>
      <c r="BA43" s="36"/>
      <c r="BB43" s="37"/>
      <c r="BC43" s="37"/>
      <c r="BD43" s="37"/>
      <c r="BE43" s="37"/>
      <c r="BF43" s="34">
        <f>if(BH43="", if(BC44&lt;&gt;"", if(BC44&gt;Setup!BC12,AY43*(1+Setup!BD12),if(BC44&lt;Setup!BB12,AY43*(1+Setup!BE12),AY43)),AY43),BH43/'Quick Setup'!$E13)</f>
        <v>310</v>
      </c>
      <c r="BG43" s="35" t="s">
        <v>73</v>
      </c>
      <c r="BH43" s="36"/>
      <c r="BI43" s="37"/>
      <c r="BJ43" s="37"/>
      <c r="BK43" s="37"/>
      <c r="BL43" s="37"/>
      <c r="BM43" s="34">
        <f>if(BO43="", if(BJ44&lt;&gt;"", if(BJ44&gt;Setup!BJ12,BF43*(1+Setup!BK12),if(BJ44&lt;Setup!BI12,BF43*(1+Setup!BL12),BF43)),BF43),BO43/'Quick Setup'!$E13)</f>
        <v>310</v>
      </c>
      <c r="BN43" s="35" t="s">
        <v>73</v>
      </c>
      <c r="BO43" s="36"/>
      <c r="BP43" s="37"/>
      <c r="BQ43" s="37"/>
      <c r="BR43" s="37"/>
      <c r="BS43" s="37"/>
      <c r="BT43" s="34">
        <f>if(BV43="", if(BQ44&lt;&gt;"", if(BQ44&gt;Setup!BQ12,BM43*(1+Setup!BR12),if(BQ44&lt;Setup!BP12,BM43*(1+Setup!BS12),BM43)),BM43),BV43/'Quick Setup'!$E13)</f>
        <v>310</v>
      </c>
      <c r="BU43" s="35" t="s">
        <v>73</v>
      </c>
      <c r="BV43" s="36"/>
      <c r="BW43" s="37"/>
      <c r="BX43" s="37"/>
      <c r="BY43" s="37"/>
      <c r="BZ43" s="37"/>
      <c r="CA43" s="34">
        <f>if(CC43="", if(BX44&lt;&gt;"", if(BX44&gt;Setup!BX12,BT43*(1+Setup!BY12),if(BX44&lt;Setup!BW12,BT43*(1+Setup!BZ12),BT43)),BT43),CC43/'Quick Setup'!$E13)</f>
        <v>310</v>
      </c>
      <c r="CB43" s="35" t="s">
        <v>73</v>
      </c>
      <c r="CC43" s="36"/>
      <c r="CD43" s="37"/>
      <c r="CE43" s="37"/>
      <c r="CF43" s="37"/>
      <c r="CG43" s="37"/>
      <c r="CH43" s="34">
        <f>if(CJ43="", if(CE44&lt;&gt;"", if(CE44&gt;Setup!CE12,CA43*(1+Setup!CF12),if(CE44&lt;Setup!CD12,CA43*(1+Setup!CG12),CA43)),CA43),CJ43/'Quick Setup'!$E13)</f>
        <v>310</v>
      </c>
      <c r="CI43" s="35" t="s">
        <v>73</v>
      </c>
      <c r="CJ43" s="36"/>
      <c r="CK43" s="37"/>
      <c r="CL43" s="37"/>
      <c r="CM43" s="37"/>
      <c r="CN43" s="37"/>
      <c r="CO43" s="34">
        <f>if(CQ43="", if(CL44&lt;&gt;"", if(CL44&gt;Setup!CL12,CH43*(1+Setup!CM12),if(CL44&lt;Setup!CK12,CH43*(1+Setup!CN12),CH43)),CH43),CQ43/'Quick Setup'!$E13)</f>
        <v>310</v>
      </c>
      <c r="CP43" s="35" t="s">
        <v>73</v>
      </c>
      <c r="CQ43" s="36"/>
      <c r="CR43" s="37"/>
      <c r="CS43" s="37"/>
      <c r="CT43" s="37"/>
      <c r="CU43" s="37"/>
      <c r="CV43" s="34">
        <f>if(CX43="",CO43,CX43/'Quick Setup'!$E13)</f>
        <v>310</v>
      </c>
      <c r="CW43" s="35" t="s">
        <v>73</v>
      </c>
      <c r="CX43" s="36"/>
      <c r="CY43" s="37"/>
      <c r="CZ43" s="37"/>
      <c r="DA43" s="37"/>
      <c r="DB43" s="37"/>
      <c r="DC43" s="34">
        <f>if(DE43="", if(CZ44&lt;&gt;"", if(CZ44&gt;Setup!CZ12,CV43*(1+Setup!DA12),if(CZ44&lt;Setup!CY12,CV43*(1+Setup!DB12),CV43)),CV43),DE43/'Quick Setup'!$E13)</f>
        <v>310</v>
      </c>
      <c r="DD43" s="35" t="s">
        <v>73</v>
      </c>
      <c r="DE43" s="36"/>
      <c r="DF43" s="37"/>
      <c r="DG43" s="37"/>
      <c r="DH43" s="37"/>
      <c r="DI43" s="37"/>
      <c r="DJ43" s="34">
        <f>if(DL43="", if(DG44&lt;&gt;"", if(DG44&gt;Setup!DG12,DC43*(1+Setup!DH12),if(DG44&lt;Setup!DF12,DC43*(1+Setup!DI12),DC43)),DC43),DL43/'Quick Setup'!$E13)</f>
        <v>310</v>
      </c>
      <c r="DK43" s="35" t="s">
        <v>73</v>
      </c>
      <c r="DL43" s="36"/>
      <c r="DM43" s="37"/>
      <c r="DN43" s="37"/>
      <c r="DO43" s="37"/>
      <c r="DP43" s="37"/>
      <c r="DQ43" s="34">
        <f>if(DS43="", if(DN44&lt;&gt;"", if(DN44&gt;Setup!DN12,DJ43*(1+Setup!DO12),if(DN44&lt;Setup!DM12,DJ43*(1+Setup!DP12),DJ43)),DJ43),DS43/'Quick Setup'!$E13)</f>
        <v>310</v>
      </c>
      <c r="DR43" s="35" t="s">
        <v>73</v>
      </c>
      <c r="DS43" s="36"/>
      <c r="DT43" s="37"/>
      <c r="DU43" s="37"/>
      <c r="DV43" s="37"/>
      <c r="DW43" s="37"/>
      <c r="DX43" s="34">
        <f>if(DZ43="", if(DU44&lt;&gt;"", if(DU44&gt;Setup!DU12,DQ43*(1+Setup!DV12),if(DU44&lt;Setup!DT12,DQ43*(1+Setup!DW12),DQ43)),DQ43),DZ43/'Quick Setup'!$E13)</f>
        <v>310</v>
      </c>
      <c r="DY43" s="35" t="s">
        <v>73</v>
      </c>
      <c r="DZ43" s="36"/>
      <c r="EA43" s="37"/>
      <c r="EB43" s="37"/>
      <c r="EC43" s="37"/>
      <c r="ED43" s="37"/>
      <c r="EE43" s="34">
        <f>if(EG43="", if(EB44&lt;&gt;"", if(EB44&gt;Setup!EB12,DX43*(1+Setup!EC12),if(EB44&lt;Setup!EA12,DX43*(1+Setup!ED12),DX43)),DX43),EG43/'Quick Setup'!$E13)</f>
        <v>310</v>
      </c>
      <c r="EF43" s="35" t="s">
        <v>73</v>
      </c>
      <c r="EG43" s="36"/>
      <c r="EH43" s="37"/>
      <c r="EI43" s="37"/>
      <c r="EJ43" s="37"/>
      <c r="EK43" s="37"/>
      <c r="EL43" s="34">
        <f>if(EN43="", if(EI44&lt;&gt;"", if(EI44&gt;Setup!EI12,EE43*(1+Setup!EJ12),if(EI44&lt;Setup!EH12,EE43*(1+Setup!EK12),EE43)),EE43),EN43/'Quick Setup'!$E13)</f>
        <v>310</v>
      </c>
      <c r="EM43" s="35" t="s">
        <v>73</v>
      </c>
      <c r="EN43" s="36"/>
      <c r="EO43" s="37"/>
      <c r="EP43" s="37"/>
      <c r="EQ43" s="37"/>
      <c r="ER43" s="37"/>
    </row>
    <row r="44">
      <c r="A44" s="1" t="str">
        <f>Setup!A12</f>
        <v>Close Grip Bench</v>
      </c>
      <c r="B44" s="38">
        <f>mround(B43*Setup!B12,'Quick Setup'!$A$2)</f>
        <v>185</v>
      </c>
      <c r="C44" s="2">
        <f>Setup!C12</f>
        <v>7</v>
      </c>
      <c r="D44" s="2">
        <f>Setup!D12</f>
        <v>4</v>
      </c>
      <c r="E44" s="2" t="str">
        <f>CONCATENATE(Setup!E12,"-",Setup!F12)</f>
        <v>4-6</v>
      </c>
      <c r="F44" s="10"/>
      <c r="G44" s="10"/>
      <c r="H44" s="10"/>
      <c r="I44" s="38">
        <f>mround(I43*Setup!I12,'Quick Setup'!$A$2)</f>
        <v>202.5</v>
      </c>
      <c r="J44" s="2">
        <f>Setup!J12</f>
        <v>6</v>
      </c>
      <c r="K44" s="2">
        <f>Setup!K12</f>
        <v>4</v>
      </c>
      <c r="L44" s="2" t="str">
        <f>CONCATENATE(Setup!L12,"-",Setup!M12)</f>
        <v>4-6</v>
      </c>
      <c r="M44" s="10"/>
      <c r="N44" s="10"/>
      <c r="O44" s="10"/>
      <c r="P44" s="38">
        <f>mround(P43*Setup!P12,'Quick Setup'!$A$2)</f>
        <v>217.5</v>
      </c>
      <c r="Q44" s="2">
        <f>Setup!Q12</f>
        <v>5</v>
      </c>
      <c r="R44" s="2">
        <f>Setup!R12</f>
        <v>3</v>
      </c>
      <c r="S44" s="2" t="str">
        <f>CONCATENATE(Setup!S12,"-",Setup!T12)</f>
        <v>4-6</v>
      </c>
      <c r="T44" s="10"/>
      <c r="U44" s="10"/>
      <c r="V44" s="10"/>
      <c r="W44" s="38">
        <f>mround(W43*Setup!W12,'Quick Setup'!$A$2)</f>
        <v>195</v>
      </c>
      <c r="X44" s="2">
        <f>Setup!X12</f>
        <v>7</v>
      </c>
      <c r="Y44" s="2">
        <f>Setup!Y12</f>
        <v>4</v>
      </c>
      <c r="Z44" s="2" t="str">
        <f>CONCATENATE(Setup!Z12,"-",Setup!AA12)</f>
        <v>4-6</v>
      </c>
      <c r="AA44" s="10"/>
      <c r="AB44" s="10"/>
      <c r="AC44" s="10"/>
      <c r="AD44" s="38">
        <f>mround(AD43*Setup!AD12,'Quick Setup'!$A$2)</f>
        <v>210</v>
      </c>
      <c r="AE44" s="2">
        <f>Setup!AE12</f>
        <v>6</v>
      </c>
      <c r="AF44" s="2">
        <f>Setup!AF12</f>
        <v>4</v>
      </c>
      <c r="AG44" s="2" t="str">
        <f>CONCATENATE(Setup!AG12,"-",Setup!AH12)</f>
        <v>4-6</v>
      </c>
      <c r="AH44" s="10"/>
      <c r="AI44" s="10"/>
      <c r="AJ44" s="10"/>
      <c r="AK44" s="38">
        <f>mround(AK43*Setup!AK12,'Quick Setup'!$A$2)</f>
        <v>225</v>
      </c>
      <c r="AL44" s="2">
        <f>Setup!AL12</f>
        <v>5</v>
      </c>
      <c r="AM44" s="2">
        <f>Setup!AM12</f>
        <v>3</v>
      </c>
      <c r="AN44" s="2" t="str">
        <f>CONCATENATE(Setup!AN12,"-",Setup!AO12)</f>
        <v>4-6</v>
      </c>
      <c r="AO44" s="10"/>
      <c r="AP44" s="10"/>
      <c r="AQ44" s="10"/>
      <c r="AR44" s="38">
        <f>mround(AR43*Setup!AR12,'Quick Setup'!$A$2)</f>
        <v>155</v>
      </c>
      <c r="AS44" s="1">
        <v>5.0</v>
      </c>
      <c r="AT44" s="1" t="s">
        <v>76</v>
      </c>
      <c r="AU44" s="2" t="str">
        <f>CONCATENATE(Setup!AU12,"-",Setup!AV12)</f>
        <v>4-6</v>
      </c>
      <c r="AV44" s="10"/>
      <c r="AW44" s="10"/>
      <c r="AX44" s="10"/>
      <c r="AY44" s="38">
        <f>mround(AY43*Setup!AY12,'Quick Setup'!$A$2)</f>
        <v>202.5</v>
      </c>
      <c r="AZ44" s="2">
        <f>Setup!AZ12</f>
        <v>6</v>
      </c>
      <c r="BA44" s="2">
        <f>Setup!BA12</f>
        <v>4</v>
      </c>
      <c r="BB44" s="2" t="str">
        <f>CONCATENATE(Setup!BB12,"-",Setup!BC12)</f>
        <v>4-6</v>
      </c>
      <c r="BC44" s="10"/>
      <c r="BD44" s="10"/>
      <c r="BE44" s="10"/>
      <c r="BF44" s="38">
        <f>mround(BF43*Setup!BF12,'Quick Setup'!$A$2)</f>
        <v>217.5</v>
      </c>
      <c r="BG44" s="2">
        <f>Setup!BG12</f>
        <v>5</v>
      </c>
      <c r="BH44" s="2">
        <f>Setup!BH12</f>
        <v>3</v>
      </c>
      <c r="BI44" s="2" t="str">
        <f>CONCATENATE(Setup!BI12,"-",Setup!BJ12)</f>
        <v>4-6</v>
      </c>
      <c r="BJ44" s="10"/>
      <c r="BK44" s="10"/>
      <c r="BL44" s="10"/>
      <c r="BM44" s="38">
        <f>mround(BM43*Setup!BM12,'Quick Setup'!$A$2)</f>
        <v>232.5</v>
      </c>
      <c r="BN44" s="2">
        <f>Setup!BN12</f>
        <v>4</v>
      </c>
      <c r="BO44" s="2">
        <f>Setup!BO12</f>
        <v>3</v>
      </c>
      <c r="BP44" s="2" t="str">
        <f>CONCATENATE(Setup!BP12,"-",Setup!BQ12)</f>
        <v>4-6</v>
      </c>
      <c r="BQ44" s="10"/>
      <c r="BR44" s="10"/>
      <c r="BS44" s="10"/>
      <c r="BT44" s="38">
        <f>mround(BT43*Setup!BT12,'Quick Setup'!$A$2)</f>
        <v>210</v>
      </c>
      <c r="BU44" s="2">
        <f>Setup!BU12</f>
        <v>6</v>
      </c>
      <c r="BV44" s="2">
        <f>Setup!BV12</f>
        <v>4</v>
      </c>
      <c r="BW44" s="2" t="str">
        <f>CONCATENATE(Setup!BW12,"-",Setup!BX12)</f>
        <v>4-6</v>
      </c>
      <c r="BX44" s="10"/>
      <c r="BY44" s="10"/>
      <c r="BZ44" s="10"/>
      <c r="CA44" s="38">
        <f>mround(CA43*Setup!CA12,'Quick Setup'!$A$2)</f>
        <v>225</v>
      </c>
      <c r="CB44" s="2">
        <f>Setup!CB12</f>
        <v>5</v>
      </c>
      <c r="CC44" s="2">
        <f>Setup!CC12</f>
        <v>3</v>
      </c>
      <c r="CD44" s="2" t="str">
        <f>CONCATENATE(Setup!CD12,"-",Setup!CE12)</f>
        <v>4-6</v>
      </c>
      <c r="CE44" s="10"/>
      <c r="CF44" s="10"/>
      <c r="CG44" s="10"/>
      <c r="CH44" s="38">
        <f>mround(CH43*Setup!CH12,'Quick Setup'!$A$2)</f>
        <v>240</v>
      </c>
      <c r="CI44" s="2">
        <f>Setup!CI12</f>
        <v>4</v>
      </c>
      <c r="CJ44" s="2">
        <f>Setup!CJ12</f>
        <v>3</v>
      </c>
      <c r="CK44" s="2" t="str">
        <f>CONCATENATE(Setup!CK12,"-",Setup!CL12)</f>
        <v>4-6</v>
      </c>
      <c r="CL44" s="10"/>
      <c r="CM44" s="10"/>
      <c r="CN44" s="10"/>
      <c r="CO44" s="38">
        <f>mround(CO43*Setup!CO12,'Quick Setup'!$A$2)</f>
        <v>155</v>
      </c>
      <c r="CP44" s="1">
        <v>5.0</v>
      </c>
      <c r="CQ44" s="1" t="s">
        <v>76</v>
      </c>
      <c r="CR44" s="2" t="str">
        <f>CONCATENATE(Setup!CR12,"-",Setup!CS12)</f>
        <v>4-6</v>
      </c>
      <c r="CS44" s="10"/>
      <c r="CT44" s="10"/>
      <c r="CU44" s="10"/>
      <c r="CV44" s="38">
        <f>mround(CV43*Setup!CV12,'Quick Setup'!$A$2)</f>
        <v>217.5</v>
      </c>
      <c r="CW44" s="2">
        <f>Setup!CW12</f>
        <v>5</v>
      </c>
      <c r="CX44" s="2">
        <f>Setup!CX12</f>
        <v>3</v>
      </c>
      <c r="CY44" s="2" t="str">
        <f>CONCATENATE(Setup!CY12,"-",Setup!CZ12)</f>
        <v>4-6</v>
      </c>
      <c r="CZ44" s="10"/>
      <c r="DA44" s="10"/>
      <c r="DB44" s="10"/>
      <c r="DC44" s="38">
        <f>mround(DC43*Setup!DC12,'Quick Setup'!$A$2)</f>
        <v>232.5</v>
      </c>
      <c r="DD44" s="2">
        <f>Setup!DD12</f>
        <v>4</v>
      </c>
      <c r="DE44" s="2">
        <f>Setup!DE12</f>
        <v>3</v>
      </c>
      <c r="DF44" s="2" t="str">
        <f>CONCATENATE(Setup!DF12,"-",Setup!DG12)</f>
        <v>4-6</v>
      </c>
      <c r="DG44" s="10"/>
      <c r="DH44" s="10"/>
      <c r="DI44" s="10"/>
      <c r="DJ44" s="38">
        <f>mround(DJ43*Setup!DJ12,'Quick Setup'!$A$2)</f>
        <v>247.5</v>
      </c>
      <c r="DK44" s="2">
        <f>Setup!DK12</f>
        <v>3</v>
      </c>
      <c r="DL44" s="2">
        <f>Setup!DL12</f>
        <v>2</v>
      </c>
      <c r="DM44" s="2" t="str">
        <f>CONCATENATE(Setup!DM12,"-",Setup!DN12)</f>
        <v>4-6</v>
      </c>
      <c r="DN44" s="10"/>
      <c r="DO44" s="10"/>
      <c r="DP44" s="10"/>
      <c r="DQ44" s="38">
        <f>mround(DQ43*Setup!DQ12,'Quick Setup'!$A$2)</f>
        <v>232.5</v>
      </c>
      <c r="DR44" s="2">
        <f>Setup!DR12</f>
        <v>4</v>
      </c>
      <c r="DS44" s="2">
        <f>Setup!DS12</f>
        <v>3</v>
      </c>
      <c r="DT44" s="2" t="str">
        <f>CONCATENATE(Setup!DT12,"-",Setup!DU12)</f>
        <v>4-6</v>
      </c>
      <c r="DU44" s="10"/>
      <c r="DV44" s="10"/>
      <c r="DW44" s="10"/>
      <c r="DX44" s="38">
        <f>mround(DX43*Setup!DX12,'Quick Setup'!$A$2)</f>
        <v>247.5</v>
      </c>
      <c r="DY44" s="2">
        <f>Setup!DY12</f>
        <v>3</v>
      </c>
      <c r="DZ44" s="2">
        <f>Setup!DZ12</f>
        <v>2</v>
      </c>
      <c r="EA44" s="2" t="str">
        <f>CONCATENATE(Setup!EA12,"-",Setup!EB12)</f>
        <v>4-6</v>
      </c>
      <c r="EB44" s="10"/>
      <c r="EC44" s="10"/>
      <c r="ED44" s="10"/>
      <c r="EE44" s="38">
        <f>mround(EE43*Setup!EE12,'Quick Setup'!$A$2)</f>
        <v>262.5</v>
      </c>
      <c r="EF44" s="2">
        <f>Setup!EF12</f>
        <v>2</v>
      </c>
      <c r="EG44" s="2">
        <f>Setup!EG12</f>
        <v>2</v>
      </c>
      <c r="EH44" s="2" t="str">
        <f>CONCATENATE(Setup!EH12,"-",Setup!EI12)</f>
        <v>4-6</v>
      </c>
      <c r="EI44" s="10"/>
      <c r="EJ44" s="10"/>
      <c r="EK44" s="10"/>
      <c r="EL44" s="38">
        <f>mround(EL43*Setup!EL12,'Quick Setup'!$A$2)</f>
        <v>155</v>
      </c>
      <c r="EM44" s="1">
        <v>5.0</v>
      </c>
      <c r="EN44" s="1" t="s">
        <v>76</v>
      </c>
      <c r="EO44" s="2" t="str">
        <f>CONCATENATE(Setup!EO12,"-",Setup!EP12)</f>
        <v>4-6</v>
      </c>
      <c r="EP44" s="10"/>
      <c r="EQ44" s="10"/>
      <c r="ER44" s="10"/>
    </row>
    <row r="45">
      <c r="A45" s="5"/>
      <c r="B45" s="39"/>
      <c r="C45" s="10"/>
      <c r="D45" s="10"/>
      <c r="E45" s="10"/>
      <c r="F45" s="10"/>
      <c r="G45" s="10"/>
      <c r="H45" s="10"/>
      <c r="I45" s="39" t="str">
        <f t="shared" ref="I45:M45" si="241">B45</f>
        <v/>
      </c>
      <c r="J45" s="10" t="str">
        <f t="shared" si="241"/>
        <v/>
      </c>
      <c r="K45" s="10" t="str">
        <f t="shared" si="241"/>
        <v/>
      </c>
      <c r="L45" s="10" t="str">
        <f t="shared" si="241"/>
        <v/>
      </c>
      <c r="M45" s="10" t="str">
        <f t="shared" si="241"/>
        <v/>
      </c>
      <c r="N45" s="10"/>
      <c r="O45" s="10"/>
      <c r="P45" s="39" t="str">
        <f t="shared" ref="P45:T45" si="242">I45</f>
        <v/>
      </c>
      <c r="Q45" s="10" t="str">
        <f t="shared" si="242"/>
        <v/>
      </c>
      <c r="R45" s="10" t="str">
        <f t="shared" si="242"/>
        <v/>
      </c>
      <c r="S45" s="10" t="str">
        <f t="shared" si="242"/>
        <v/>
      </c>
      <c r="T45" s="10" t="str">
        <f t="shared" si="242"/>
        <v/>
      </c>
      <c r="U45" s="10"/>
      <c r="V45" s="10"/>
      <c r="W45" s="39" t="str">
        <f t="shared" ref="W45:AA45" si="243">P45</f>
        <v/>
      </c>
      <c r="X45" s="10" t="str">
        <f t="shared" si="243"/>
        <v/>
      </c>
      <c r="Y45" s="10" t="str">
        <f t="shared" si="243"/>
        <v/>
      </c>
      <c r="Z45" s="10" t="str">
        <f t="shared" si="243"/>
        <v/>
      </c>
      <c r="AA45" s="10" t="str">
        <f t="shared" si="243"/>
        <v/>
      </c>
      <c r="AB45" s="10"/>
      <c r="AC45" s="10"/>
      <c r="AD45" s="39" t="str">
        <f t="shared" ref="AD45:AH45" si="244">W45</f>
        <v/>
      </c>
      <c r="AE45" s="10" t="str">
        <f t="shared" si="244"/>
        <v/>
      </c>
      <c r="AF45" s="10" t="str">
        <f t="shared" si="244"/>
        <v/>
      </c>
      <c r="AG45" s="10" t="str">
        <f t="shared" si="244"/>
        <v/>
      </c>
      <c r="AH45" s="10" t="str">
        <f t="shared" si="244"/>
        <v/>
      </c>
      <c r="AI45" s="10"/>
      <c r="AJ45" s="10"/>
      <c r="AK45" s="39" t="str">
        <f t="shared" ref="AK45:AO45" si="245">AD45</f>
        <v/>
      </c>
      <c r="AL45" s="10" t="str">
        <f t="shared" si="245"/>
        <v/>
      </c>
      <c r="AM45" s="10" t="str">
        <f t="shared" si="245"/>
        <v/>
      </c>
      <c r="AN45" s="10" t="str">
        <f t="shared" si="245"/>
        <v/>
      </c>
      <c r="AO45" s="10" t="str">
        <f t="shared" si="245"/>
        <v/>
      </c>
      <c r="AP45" s="10"/>
      <c r="AQ45" s="10"/>
      <c r="AR45" s="39" t="str">
        <f t="shared" ref="AR45:AV45" si="246">AK45</f>
        <v/>
      </c>
      <c r="AS45" s="10" t="str">
        <f t="shared" si="246"/>
        <v/>
      </c>
      <c r="AT45" s="10" t="str">
        <f t="shared" si="246"/>
        <v/>
      </c>
      <c r="AU45" s="10" t="str">
        <f t="shared" si="246"/>
        <v/>
      </c>
      <c r="AV45" s="10" t="str">
        <f t="shared" si="246"/>
        <v/>
      </c>
      <c r="AW45" s="10"/>
      <c r="AX45" s="10"/>
      <c r="AY45" s="39" t="str">
        <f t="shared" ref="AY45:BC45" si="247">AR45</f>
        <v/>
      </c>
      <c r="AZ45" s="10" t="str">
        <f t="shared" si="247"/>
        <v/>
      </c>
      <c r="BA45" s="10" t="str">
        <f t="shared" si="247"/>
        <v/>
      </c>
      <c r="BB45" s="10" t="str">
        <f t="shared" si="247"/>
        <v/>
      </c>
      <c r="BC45" s="10" t="str">
        <f t="shared" si="247"/>
        <v/>
      </c>
      <c r="BD45" s="10"/>
      <c r="BE45" s="10"/>
      <c r="BF45" s="39" t="str">
        <f t="shared" ref="BF45:BJ45" si="248">AY45</f>
        <v/>
      </c>
      <c r="BG45" s="10" t="str">
        <f t="shared" si="248"/>
        <v/>
      </c>
      <c r="BH45" s="10" t="str">
        <f t="shared" si="248"/>
        <v/>
      </c>
      <c r="BI45" s="10" t="str">
        <f t="shared" si="248"/>
        <v/>
      </c>
      <c r="BJ45" s="10" t="str">
        <f t="shared" si="248"/>
        <v/>
      </c>
      <c r="BK45" s="10"/>
      <c r="BL45" s="10"/>
      <c r="BM45" s="39" t="str">
        <f t="shared" ref="BM45:BQ45" si="249">BF45</f>
        <v/>
      </c>
      <c r="BN45" s="10" t="str">
        <f t="shared" si="249"/>
        <v/>
      </c>
      <c r="BO45" s="10" t="str">
        <f t="shared" si="249"/>
        <v/>
      </c>
      <c r="BP45" s="10" t="str">
        <f t="shared" si="249"/>
        <v/>
      </c>
      <c r="BQ45" s="10" t="str">
        <f t="shared" si="249"/>
        <v/>
      </c>
      <c r="BR45" s="10"/>
      <c r="BS45" s="10"/>
      <c r="BT45" s="39" t="str">
        <f t="shared" ref="BT45:BX45" si="250">BM45</f>
        <v/>
      </c>
      <c r="BU45" s="10" t="str">
        <f t="shared" si="250"/>
        <v/>
      </c>
      <c r="BV45" s="10" t="str">
        <f t="shared" si="250"/>
        <v/>
      </c>
      <c r="BW45" s="10" t="str">
        <f t="shared" si="250"/>
        <v/>
      </c>
      <c r="BX45" s="10" t="str">
        <f t="shared" si="250"/>
        <v/>
      </c>
      <c r="BY45" s="10"/>
      <c r="BZ45" s="10"/>
      <c r="CA45" s="39" t="str">
        <f t="shared" ref="CA45:CE45" si="251">BT45</f>
        <v/>
      </c>
      <c r="CB45" s="10" t="str">
        <f t="shared" si="251"/>
        <v/>
      </c>
      <c r="CC45" s="10" t="str">
        <f t="shared" si="251"/>
        <v/>
      </c>
      <c r="CD45" s="10" t="str">
        <f t="shared" si="251"/>
        <v/>
      </c>
      <c r="CE45" s="10" t="str">
        <f t="shared" si="251"/>
        <v/>
      </c>
      <c r="CF45" s="10"/>
      <c r="CG45" s="10"/>
      <c r="CH45" s="39" t="str">
        <f t="shared" ref="CH45:CL45" si="252">CA45</f>
        <v/>
      </c>
      <c r="CI45" s="10" t="str">
        <f t="shared" si="252"/>
        <v/>
      </c>
      <c r="CJ45" s="10" t="str">
        <f t="shared" si="252"/>
        <v/>
      </c>
      <c r="CK45" s="10" t="str">
        <f t="shared" si="252"/>
        <v/>
      </c>
      <c r="CL45" s="10" t="str">
        <f t="shared" si="252"/>
        <v/>
      </c>
      <c r="CM45" s="10"/>
      <c r="CN45" s="10"/>
      <c r="CO45" s="39" t="str">
        <f t="shared" ref="CO45:CS45" si="253">CH45</f>
        <v/>
      </c>
      <c r="CP45" s="10" t="str">
        <f t="shared" si="253"/>
        <v/>
      </c>
      <c r="CQ45" s="10" t="str">
        <f t="shared" si="253"/>
        <v/>
      </c>
      <c r="CR45" s="10" t="str">
        <f t="shared" si="253"/>
        <v/>
      </c>
      <c r="CS45" s="10" t="str">
        <f t="shared" si="253"/>
        <v/>
      </c>
      <c r="CT45" s="10"/>
      <c r="CU45" s="10"/>
      <c r="CV45" s="39" t="str">
        <f t="shared" ref="CV45:CZ45" si="254">CO45</f>
        <v/>
      </c>
      <c r="CW45" s="10" t="str">
        <f t="shared" si="254"/>
        <v/>
      </c>
      <c r="CX45" s="10" t="str">
        <f t="shared" si="254"/>
        <v/>
      </c>
      <c r="CY45" s="10" t="str">
        <f t="shared" si="254"/>
        <v/>
      </c>
      <c r="CZ45" s="10" t="str">
        <f t="shared" si="254"/>
        <v/>
      </c>
      <c r="DA45" s="10"/>
      <c r="DB45" s="10"/>
      <c r="DC45" s="39" t="str">
        <f t="shared" ref="DC45:DG45" si="255">CV45</f>
        <v/>
      </c>
      <c r="DD45" s="10" t="str">
        <f t="shared" si="255"/>
        <v/>
      </c>
      <c r="DE45" s="10" t="str">
        <f t="shared" si="255"/>
        <v/>
      </c>
      <c r="DF45" s="10" t="str">
        <f t="shared" si="255"/>
        <v/>
      </c>
      <c r="DG45" s="10" t="str">
        <f t="shared" si="255"/>
        <v/>
      </c>
      <c r="DH45" s="10"/>
      <c r="DI45" s="10"/>
      <c r="DJ45" s="39" t="str">
        <f t="shared" ref="DJ45:DN45" si="256">DC45</f>
        <v/>
      </c>
      <c r="DK45" s="10" t="str">
        <f t="shared" si="256"/>
        <v/>
      </c>
      <c r="DL45" s="10" t="str">
        <f t="shared" si="256"/>
        <v/>
      </c>
      <c r="DM45" s="10" t="str">
        <f t="shared" si="256"/>
        <v/>
      </c>
      <c r="DN45" s="10" t="str">
        <f t="shared" si="256"/>
        <v/>
      </c>
      <c r="DO45" s="10"/>
      <c r="DP45" s="10"/>
      <c r="DQ45" s="39" t="str">
        <f t="shared" ref="DQ45:DU45" si="257">DJ45</f>
        <v/>
      </c>
      <c r="DR45" s="10" t="str">
        <f t="shared" si="257"/>
        <v/>
      </c>
      <c r="DS45" s="10" t="str">
        <f t="shared" si="257"/>
        <v/>
      </c>
      <c r="DT45" s="10" t="str">
        <f t="shared" si="257"/>
        <v/>
      </c>
      <c r="DU45" s="10" t="str">
        <f t="shared" si="257"/>
        <v/>
      </c>
      <c r="DV45" s="10"/>
      <c r="DW45" s="10"/>
      <c r="DX45" s="39" t="str">
        <f t="shared" ref="DX45:EB45" si="258">DQ45</f>
        <v/>
      </c>
      <c r="DY45" s="10" t="str">
        <f t="shared" si="258"/>
        <v/>
      </c>
      <c r="DZ45" s="10" t="str">
        <f t="shared" si="258"/>
        <v/>
      </c>
      <c r="EA45" s="10" t="str">
        <f t="shared" si="258"/>
        <v/>
      </c>
      <c r="EB45" s="10" t="str">
        <f t="shared" si="258"/>
        <v/>
      </c>
      <c r="EC45" s="10"/>
      <c r="ED45" s="10"/>
      <c r="EE45" s="39" t="str">
        <f t="shared" ref="EE45:EI45" si="259">DX45</f>
        <v/>
      </c>
      <c r="EF45" s="10" t="str">
        <f t="shared" si="259"/>
        <v/>
      </c>
      <c r="EG45" s="10" t="str">
        <f t="shared" si="259"/>
        <v/>
      </c>
      <c r="EH45" s="10" t="str">
        <f t="shared" si="259"/>
        <v/>
      </c>
      <c r="EI45" s="10" t="str">
        <f t="shared" si="259"/>
        <v/>
      </c>
      <c r="EJ45" s="10"/>
      <c r="EK45" s="10"/>
      <c r="EL45" s="39" t="str">
        <f t="shared" ref="EL45:EP45" si="260">EE45</f>
        <v/>
      </c>
      <c r="EM45" s="10" t="str">
        <f t="shared" si="260"/>
        <v/>
      </c>
      <c r="EN45" s="10" t="str">
        <f t="shared" si="260"/>
        <v/>
      </c>
      <c r="EO45" s="10" t="str">
        <f t="shared" si="260"/>
        <v/>
      </c>
      <c r="EP45" s="10" t="str">
        <f t="shared" si="260"/>
        <v/>
      </c>
      <c r="EQ45" s="10"/>
      <c r="ER45" s="10"/>
    </row>
    <row r="46">
      <c r="A46" s="1" t="s">
        <v>77</v>
      </c>
      <c r="B46" s="38"/>
      <c r="C46" s="2"/>
      <c r="D46" s="2"/>
      <c r="E46" s="2"/>
      <c r="F46" s="2"/>
      <c r="G46" s="2"/>
      <c r="H46" s="2"/>
      <c r="I46" s="38"/>
      <c r="J46" s="2"/>
      <c r="K46" s="2"/>
      <c r="L46" s="2"/>
      <c r="M46" s="2"/>
      <c r="N46" s="2"/>
      <c r="O46" s="2"/>
      <c r="P46" s="38"/>
      <c r="Q46" s="2"/>
      <c r="R46" s="2"/>
      <c r="S46" s="2"/>
      <c r="T46" s="2"/>
      <c r="U46" s="2"/>
      <c r="V46" s="2"/>
      <c r="W46" s="38"/>
      <c r="X46" s="2"/>
      <c r="Y46" s="2"/>
      <c r="Z46" s="2"/>
      <c r="AA46" s="2"/>
      <c r="AB46" s="2"/>
      <c r="AC46" s="2"/>
      <c r="AD46" s="38"/>
      <c r="AE46" s="2"/>
      <c r="AF46" s="2"/>
      <c r="AG46" s="2"/>
      <c r="AH46" s="2"/>
      <c r="AI46" s="2"/>
      <c r="AJ46" s="2"/>
      <c r="AK46" s="38"/>
      <c r="AL46" s="2"/>
      <c r="AM46" s="2"/>
      <c r="AN46" s="2"/>
      <c r="AO46" s="2"/>
      <c r="AP46" s="2"/>
      <c r="AQ46" s="2"/>
      <c r="AR46" s="38"/>
      <c r="AS46" s="2"/>
      <c r="AT46" s="2"/>
      <c r="AU46" s="2"/>
      <c r="AV46" s="2"/>
      <c r="AW46" s="2"/>
      <c r="AX46" s="2"/>
      <c r="AY46" s="38"/>
      <c r="AZ46" s="2"/>
      <c r="BA46" s="2"/>
      <c r="BB46" s="2"/>
      <c r="BC46" s="2"/>
      <c r="BD46" s="2"/>
      <c r="BE46" s="2"/>
      <c r="BF46" s="38"/>
      <c r="BG46" s="2"/>
      <c r="BH46" s="2"/>
      <c r="BI46" s="2"/>
      <c r="BJ46" s="2"/>
      <c r="BK46" s="2"/>
      <c r="BL46" s="2"/>
      <c r="BM46" s="38"/>
      <c r="BN46" s="2"/>
      <c r="BO46" s="2"/>
      <c r="BP46" s="2"/>
      <c r="BQ46" s="2"/>
      <c r="BR46" s="2"/>
      <c r="BS46" s="2"/>
      <c r="BT46" s="38"/>
      <c r="BU46" s="2"/>
      <c r="BV46" s="2"/>
      <c r="BW46" s="2"/>
      <c r="BX46" s="2"/>
      <c r="BY46" s="2"/>
      <c r="BZ46" s="2"/>
      <c r="CA46" s="38"/>
      <c r="CB46" s="2"/>
      <c r="CC46" s="2"/>
      <c r="CD46" s="2"/>
      <c r="CE46" s="2"/>
      <c r="CF46" s="2"/>
      <c r="CG46" s="2"/>
      <c r="CH46" s="38"/>
      <c r="CI46" s="2"/>
      <c r="CJ46" s="2"/>
      <c r="CK46" s="2"/>
      <c r="CL46" s="2"/>
      <c r="CM46" s="2"/>
      <c r="CN46" s="2"/>
      <c r="CO46" s="38"/>
      <c r="CP46" s="2"/>
      <c r="CQ46" s="2"/>
      <c r="CR46" s="2"/>
      <c r="CS46" s="2"/>
      <c r="CT46" s="2"/>
      <c r="CU46" s="2"/>
      <c r="CV46" s="38"/>
      <c r="CW46" s="2"/>
      <c r="CX46" s="2"/>
      <c r="CY46" s="2"/>
      <c r="CZ46" s="2"/>
      <c r="DA46" s="2"/>
      <c r="DB46" s="2"/>
      <c r="DC46" s="38"/>
      <c r="DD46" s="2"/>
      <c r="DE46" s="2"/>
      <c r="DF46" s="2"/>
      <c r="DG46" s="2"/>
      <c r="DH46" s="2"/>
      <c r="DI46" s="2"/>
      <c r="DJ46" s="38"/>
      <c r="DK46" s="2"/>
      <c r="DL46" s="2"/>
      <c r="DM46" s="2"/>
      <c r="DN46" s="2"/>
      <c r="DO46" s="2"/>
      <c r="DP46" s="2"/>
      <c r="DQ46" s="38"/>
      <c r="DR46" s="2"/>
      <c r="DS46" s="2"/>
      <c r="DT46" s="2"/>
      <c r="DU46" s="2"/>
      <c r="DV46" s="2"/>
      <c r="DW46" s="2"/>
      <c r="DX46" s="38"/>
      <c r="DY46" s="2"/>
      <c r="DZ46" s="2"/>
      <c r="EA46" s="2"/>
      <c r="EB46" s="2"/>
      <c r="EC46" s="2"/>
      <c r="ED46" s="2"/>
      <c r="EE46" s="38"/>
      <c r="EF46" s="2"/>
      <c r="EG46" s="2"/>
      <c r="EH46" s="2"/>
      <c r="EI46" s="2"/>
      <c r="EJ46" s="2"/>
      <c r="EK46" s="2"/>
      <c r="EL46" s="38"/>
      <c r="EM46" s="2"/>
      <c r="EN46" s="2"/>
      <c r="EO46" s="2"/>
      <c r="EP46" s="2"/>
      <c r="EQ46" s="2"/>
      <c r="ER46" s="2"/>
    </row>
    <row r="47">
      <c r="A47" s="40"/>
      <c r="B47" s="39"/>
      <c r="C47" s="10"/>
      <c r="D47" s="10"/>
      <c r="E47" s="10"/>
      <c r="F47" s="10"/>
      <c r="G47" s="10"/>
      <c r="H47" s="10"/>
      <c r="I47" s="39" t="str">
        <f t="shared" ref="I47:M47" si="261">B47</f>
        <v/>
      </c>
      <c r="J47" s="10" t="str">
        <f t="shared" si="261"/>
        <v/>
      </c>
      <c r="K47" s="10" t="str">
        <f t="shared" si="261"/>
        <v/>
      </c>
      <c r="L47" s="10" t="str">
        <f t="shared" si="261"/>
        <v/>
      </c>
      <c r="M47" s="10" t="str">
        <f t="shared" si="261"/>
        <v/>
      </c>
      <c r="N47" s="10"/>
      <c r="O47" s="10"/>
      <c r="P47" s="39" t="str">
        <f t="shared" ref="P47:T47" si="262">I47</f>
        <v/>
      </c>
      <c r="Q47" s="10" t="str">
        <f t="shared" si="262"/>
        <v/>
      </c>
      <c r="R47" s="10" t="str">
        <f t="shared" si="262"/>
        <v/>
      </c>
      <c r="S47" s="10" t="str">
        <f t="shared" si="262"/>
        <v/>
      </c>
      <c r="T47" s="10" t="str">
        <f t="shared" si="262"/>
        <v/>
      </c>
      <c r="U47" s="10"/>
      <c r="V47" s="10"/>
      <c r="W47" s="39" t="str">
        <f t="shared" ref="W47:AA47" si="263">P47</f>
        <v/>
      </c>
      <c r="X47" s="10" t="str">
        <f t="shared" si="263"/>
        <v/>
      </c>
      <c r="Y47" s="10" t="str">
        <f t="shared" si="263"/>
        <v/>
      </c>
      <c r="Z47" s="10" t="str">
        <f t="shared" si="263"/>
        <v/>
      </c>
      <c r="AA47" s="10" t="str">
        <f t="shared" si="263"/>
        <v/>
      </c>
      <c r="AB47" s="10"/>
      <c r="AC47" s="10"/>
      <c r="AD47" s="39" t="str">
        <f t="shared" ref="AD47:AH47" si="264">W47</f>
        <v/>
      </c>
      <c r="AE47" s="10" t="str">
        <f t="shared" si="264"/>
        <v/>
      </c>
      <c r="AF47" s="10" t="str">
        <f t="shared" si="264"/>
        <v/>
      </c>
      <c r="AG47" s="10" t="str">
        <f t="shared" si="264"/>
        <v/>
      </c>
      <c r="AH47" s="10" t="str">
        <f t="shared" si="264"/>
        <v/>
      </c>
      <c r="AI47" s="10"/>
      <c r="AJ47" s="10"/>
      <c r="AK47" s="39" t="str">
        <f t="shared" ref="AK47:AO47" si="265">AD47</f>
        <v/>
      </c>
      <c r="AL47" s="10" t="str">
        <f t="shared" si="265"/>
        <v/>
      </c>
      <c r="AM47" s="10" t="str">
        <f t="shared" si="265"/>
        <v/>
      </c>
      <c r="AN47" s="10" t="str">
        <f t="shared" si="265"/>
        <v/>
      </c>
      <c r="AO47" s="10" t="str">
        <f t="shared" si="265"/>
        <v/>
      </c>
      <c r="AP47" s="10"/>
      <c r="AQ47" s="10"/>
      <c r="AR47" s="39" t="str">
        <f t="shared" ref="AR47:AV47" si="266">AK47</f>
        <v/>
      </c>
      <c r="AS47" s="10" t="str">
        <f t="shared" si="266"/>
        <v/>
      </c>
      <c r="AT47" s="10" t="str">
        <f t="shared" si="266"/>
        <v/>
      </c>
      <c r="AU47" s="10" t="str">
        <f t="shared" si="266"/>
        <v/>
      </c>
      <c r="AV47" s="10" t="str">
        <f t="shared" si="266"/>
        <v/>
      </c>
      <c r="AW47" s="10"/>
      <c r="AX47" s="10"/>
      <c r="AY47" s="39" t="str">
        <f t="shared" ref="AY47:BC47" si="267">AR47</f>
        <v/>
      </c>
      <c r="AZ47" s="10" t="str">
        <f t="shared" si="267"/>
        <v/>
      </c>
      <c r="BA47" s="10" t="str">
        <f t="shared" si="267"/>
        <v/>
      </c>
      <c r="BB47" s="10" t="str">
        <f t="shared" si="267"/>
        <v/>
      </c>
      <c r="BC47" s="10" t="str">
        <f t="shared" si="267"/>
        <v/>
      </c>
      <c r="BD47" s="10"/>
      <c r="BE47" s="10"/>
      <c r="BF47" s="39" t="str">
        <f t="shared" ref="BF47:BJ47" si="268">AY47</f>
        <v/>
      </c>
      <c r="BG47" s="10" t="str">
        <f t="shared" si="268"/>
        <v/>
      </c>
      <c r="BH47" s="10" t="str">
        <f t="shared" si="268"/>
        <v/>
      </c>
      <c r="BI47" s="10" t="str">
        <f t="shared" si="268"/>
        <v/>
      </c>
      <c r="BJ47" s="10" t="str">
        <f t="shared" si="268"/>
        <v/>
      </c>
      <c r="BK47" s="10"/>
      <c r="BL47" s="10"/>
      <c r="BM47" s="39" t="str">
        <f t="shared" ref="BM47:BQ47" si="269">BF47</f>
        <v/>
      </c>
      <c r="BN47" s="10" t="str">
        <f t="shared" si="269"/>
        <v/>
      </c>
      <c r="BO47" s="10" t="str">
        <f t="shared" si="269"/>
        <v/>
      </c>
      <c r="BP47" s="10" t="str">
        <f t="shared" si="269"/>
        <v/>
      </c>
      <c r="BQ47" s="10" t="str">
        <f t="shared" si="269"/>
        <v/>
      </c>
      <c r="BR47" s="10"/>
      <c r="BS47" s="10"/>
      <c r="BT47" s="39" t="str">
        <f t="shared" ref="BT47:BX47" si="270">BM47</f>
        <v/>
      </c>
      <c r="BU47" s="10" t="str">
        <f t="shared" si="270"/>
        <v/>
      </c>
      <c r="BV47" s="10" t="str">
        <f t="shared" si="270"/>
        <v/>
      </c>
      <c r="BW47" s="10" t="str">
        <f t="shared" si="270"/>
        <v/>
      </c>
      <c r="BX47" s="10" t="str">
        <f t="shared" si="270"/>
        <v/>
      </c>
      <c r="BY47" s="10"/>
      <c r="BZ47" s="10"/>
      <c r="CA47" s="39" t="str">
        <f t="shared" ref="CA47:CE47" si="271">BT47</f>
        <v/>
      </c>
      <c r="CB47" s="10" t="str">
        <f t="shared" si="271"/>
        <v/>
      </c>
      <c r="CC47" s="10" t="str">
        <f t="shared" si="271"/>
        <v/>
      </c>
      <c r="CD47" s="10" t="str">
        <f t="shared" si="271"/>
        <v/>
      </c>
      <c r="CE47" s="10" t="str">
        <f t="shared" si="271"/>
        <v/>
      </c>
      <c r="CF47" s="10"/>
      <c r="CG47" s="10"/>
      <c r="CH47" s="39" t="str">
        <f t="shared" ref="CH47:CL47" si="272">CA47</f>
        <v/>
      </c>
      <c r="CI47" s="10" t="str">
        <f t="shared" si="272"/>
        <v/>
      </c>
      <c r="CJ47" s="10" t="str">
        <f t="shared" si="272"/>
        <v/>
      </c>
      <c r="CK47" s="10" t="str">
        <f t="shared" si="272"/>
        <v/>
      </c>
      <c r="CL47" s="10" t="str">
        <f t="shared" si="272"/>
        <v/>
      </c>
      <c r="CM47" s="10"/>
      <c r="CN47" s="10"/>
      <c r="CO47" s="39" t="str">
        <f t="shared" ref="CO47:CS47" si="273">CH47</f>
        <v/>
      </c>
      <c r="CP47" s="10" t="str">
        <f t="shared" si="273"/>
        <v/>
      </c>
      <c r="CQ47" s="10" t="str">
        <f t="shared" si="273"/>
        <v/>
      </c>
      <c r="CR47" s="10" t="str">
        <f t="shared" si="273"/>
        <v/>
      </c>
      <c r="CS47" s="10" t="str">
        <f t="shared" si="273"/>
        <v/>
      </c>
      <c r="CT47" s="10"/>
      <c r="CU47" s="10"/>
      <c r="CV47" s="39" t="str">
        <f t="shared" ref="CV47:CZ47" si="274">CO47</f>
        <v/>
      </c>
      <c r="CW47" s="10" t="str">
        <f t="shared" si="274"/>
        <v/>
      </c>
      <c r="CX47" s="10" t="str">
        <f t="shared" si="274"/>
        <v/>
      </c>
      <c r="CY47" s="10" t="str">
        <f t="shared" si="274"/>
        <v/>
      </c>
      <c r="CZ47" s="10" t="str">
        <f t="shared" si="274"/>
        <v/>
      </c>
      <c r="DA47" s="10"/>
      <c r="DB47" s="10"/>
      <c r="DC47" s="39" t="str">
        <f t="shared" ref="DC47:DG47" si="275">CV47</f>
        <v/>
      </c>
      <c r="DD47" s="10" t="str">
        <f t="shared" si="275"/>
        <v/>
      </c>
      <c r="DE47" s="10" t="str">
        <f t="shared" si="275"/>
        <v/>
      </c>
      <c r="DF47" s="10" t="str">
        <f t="shared" si="275"/>
        <v/>
      </c>
      <c r="DG47" s="10" t="str">
        <f t="shared" si="275"/>
        <v/>
      </c>
      <c r="DH47" s="10"/>
      <c r="DI47" s="10"/>
      <c r="DJ47" s="39" t="str">
        <f t="shared" ref="DJ47:DN47" si="276">DC47</f>
        <v/>
      </c>
      <c r="DK47" s="10" t="str">
        <f t="shared" si="276"/>
        <v/>
      </c>
      <c r="DL47" s="10" t="str">
        <f t="shared" si="276"/>
        <v/>
      </c>
      <c r="DM47" s="10" t="str">
        <f t="shared" si="276"/>
        <v/>
      </c>
      <c r="DN47" s="10" t="str">
        <f t="shared" si="276"/>
        <v/>
      </c>
      <c r="DO47" s="10"/>
      <c r="DP47" s="10"/>
      <c r="DQ47" s="39" t="str">
        <f t="shared" ref="DQ47:DU47" si="277">DJ47</f>
        <v/>
      </c>
      <c r="DR47" s="10" t="str">
        <f t="shared" si="277"/>
        <v/>
      </c>
      <c r="DS47" s="10" t="str">
        <f t="shared" si="277"/>
        <v/>
      </c>
      <c r="DT47" s="10" t="str">
        <f t="shared" si="277"/>
        <v/>
      </c>
      <c r="DU47" s="10" t="str">
        <f t="shared" si="277"/>
        <v/>
      </c>
      <c r="DV47" s="10"/>
      <c r="DW47" s="10"/>
      <c r="DX47" s="39" t="str">
        <f t="shared" ref="DX47:EB47" si="278">DQ47</f>
        <v/>
      </c>
      <c r="DY47" s="10" t="str">
        <f t="shared" si="278"/>
        <v/>
      </c>
      <c r="DZ47" s="10" t="str">
        <f t="shared" si="278"/>
        <v/>
      </c>
      <c r="EA47" s="10" t="str">
        <f t="shared" si="278"/>
        <v/>
      </c>
      <c r="EB47" s="10" t="str">
        <f t="shared" si="278"/>
        <v/>
      </c>
      <c r="EC47" s="10"/>
      <c r="ED47" s="10"/>
      <c r="EE47" s="39" t="str">
        <f t="shared" ref="EE47:EI47" si="279">DX47</f>
        <v/>
      </c>
      <c r="EF47" s="10" t="str">
        <f t="shared" si="279"/>
        <v/>
      </c>
      <c r="EG47" s="10" t="str">
        <f t="shared" si="279"/>
        <v/>
      </c>
      <c r="EH47" s="10" t="str">
        <f t="shared" si="279"/>
        <v/>
      </c>
      <c r="EI47" s="10" t="str">
        <f t="shared" si="279"/>
        <v/>
      </c>
      <c r="EJ47" s="10"/>
      <c r="EK47" s="10"/>
      <c r="EL47" s="39" t="str">
        <f t="shared" ref="EL47:EP47" si="280">EE47</f>
        <v/>
      </c>
      <c r="EM47" s="10" t="str">
        <f t="shared" si="280"/>
        <v/>
      </c>
      <c r="EN47" s="10" t="str">
        <f t="shared" si="280"/>
        <v/>
      </c>
      <c r="EO47" s="10" t="str">
        <f t="shared" si="280"/>
        <v/>
      </c>
      <c r="EP47" s="10" t="str">
        <f t="shared" si="280"/>
        <v/>
      </c>
      <c r="EQ47" s="10"/>
      <c r="ER47" s="10"/>
    </row>
    <row r="48">
      <c r="A48" s="40"/>
      <c r="B48" s="39"/>
      <c r="C48" s="10"/>
      <c r="D48" s="10"/>
      <c r="E48" s="10"/>
      <c r="F48" s="10"/>
      <c r="G48" s="10"/>
      <c r="H48" s="10"/>
      <c r="I48" s="39" t="str">
        <f t="shared" ref="I48:M48" si="281">B48</f>
        <v/>
      </c>
      <c r="J48" s="10" t="str">
        <f t="shared" si="281"/>
        <v/>
      </c>
      <c r="K48" s="10" t="str">
        <f t="shared" si="281"/>
        <v/>
      </c>
      <c r="L48" s="10" t="str">
        <f t="shared" si="281"/>
        <v/>
      </c>
      <c r="M48" s="10" t="str">
        <f t="shared" si="281"/>
        <v/>
      </c>
      <c r="N48" s="10"/>
      <c r="O48" s="10"/>
      <c r="P48" s="39" t="str">
        <f t="shared" ref="P48:T48" si="282">I48</f>
        <v/>
      </c>
      <c r="Q48" s="10" t="str">
        <f t="shared" si="282"/>
        <v/>
      </c>
      <c r="R48" s="10" t="str">
        <f t="shared" si="282"/>
        <v/>
      </c>
      <c r="S48" s="10" t="str">
        <f t="shared" si="282"/>
        <v/>
      </c>
      <c r="T48" s="10" t="str">
        <f t="shared" si="282"/>
        <v/>
      </c>
      <c r="U48" s="10"/>
      <c r="V48" s="10"/>
      <c r="W48" s="39" t="str">
        <f t="shared" ref="W48:AA48" si="283">P48</f>
        <v/>
      </c>
      <c r="X48" s="10" t="str">
        <f t="shared" si="283"/>
        <v/>
      </c>
      <c r="Y48" s="10" t="str">
        <f t="shared" si="283"/>
        <v/>
      </c>
      <c r="Z48" s="10" t="str">
        <f t="shared" si="283"/>
        <v/>
      </c>
      <c r="AA48" s="10" t="str">
        <f t="shared" si="283"/>
        <v/>
      </c>
      <c r="AB48" s="10"/>
      <c r="AC48" s="10"/>
      <c r="AD48" s="39" t="str">
        <f t="shared" ref="AD48:AH48" si="284">W48</f>
        <v/>
      </c>
      <c r="AE48" s="10" t="str">
        <f t="shared" si="284"/>
        <v/>
      </c>
      <c r="AF48" s="10" t="str">
        <f t="shared" si="284"/>
        <v/>
      </c>
      <c r="AG48" s="10" t="str">
        <f t="shared" si="284"/>
        <v/>
      </c>
      <c r="AH48" s="10" t="str">
        <f t="shared" si="284"/>
        <v/>
      </c>
      <c r="AI48" s="10"/>
      <c r="AJ48" s="10"/>
      <c r="AK48" s="39" t="str">
        <f t="shared" ref="AK48:AO48" si="285">AD48</f>
        <v/>
      </c>
      <c r="AL48" s="10" t="str">
        <f t="shared" si="285"/>
        <v/>
      </c>
      <c r="AM48" s="10" t="str">
        <f t="shared" si="285"/>
        <v/>
      </c>
      <c r="AN48" s="10" t="str">
        <f t="shared" si="285"/>
        <v/>
      </c>
      <c r="AO48" s="10" t="str">
        <f t="shared" si="285"/>
        <v/>
      </c>
      <c r="AP48" s="10"/>
      <c r="AQ48" s="10"/>
      <c r="AR48" s="39" t="str">
        <f t="shared" ref="AR48:AV48" si="286">AK48</f>
        <v/>
      </c>
      <c r="AS48" s="10" t="str">
        <f t="shared" si="286"/>
        <v/>
      </c>
      <c r="AT48" s="10" t="str">
        <f t="shared" si="286"/>
        <v/>
      </c>
      <c r="AU48" s="10" t="str">
        <f t="shared" si="286"/>
        <v/>
      </c>
      <c r="AV48" s="10" t="str">
        <f t="shared" si="286"/>
        <v/>
      </c>
      <c r="AW48" s="10"/>
      <c r="AX48" s="10"/>
      <c r="AY48" s="39" t="str">
        <f t="shared" ref="AY48:BC48" si="287">AR48</f>
        <v/>
      </c>
      <c r="AZ48" s="10" t="str">
        <f t="shared" si="287"/>
        <v/>
      </c>
      <c r="BA48" s="10" t="str">
        <f t="shared" si="287"/>
        <v/>
      </c>
      <c r="BB48" s="10" t="str">
        <f t="shared" si="287"/>
        <v/>
      </c>
      <c r="BC48" s="10" t="str">
        <f t="shared" si="287"/>
        <v/>
      </c>
      <c r="BD48" s="10"/>
      <c r="BE48" s="10"/>
      <c r="BF48" s="39" t="str">
        <f t="shared" ref="BF48:BJ48" si="288">AY48</f>
        <v/>
      </c>
      <c r="BG48" s="10" t="str">
        <f t="shared" si="288"/>
        <v/>
      </c>
      <c r="BH48" s="10" t="str">
        <f t="shared" si="288"/>
        <v/>
      </c>
      <c r="BI48" s="10" t="str">
        <f t="shared" si="288"/>
        <v/>
      </c>
      <c r="BJ48" s="10" t="str">
        <f t="shared" si="288"/>
        <v/>
      </c>
      <c r="BK48" s="10"/>
      <c r="BL48" s="10"/>
      <c r="BM48" s="39" t="str">
        <f t="shared" ref="BM48:BQ48" si="289">BF48</f>
        <v/>
      </c>
      <c r="BN48" s="10" t="str">
        <f t="shared" si="289"/>
        <v/>
      </c>
      <c r="BO48" s="10" t="str">
        <f t="shared" si="289"/>
        <v/>
      </c>
      <c r="BP48" s="10" t="str">
        <f t="shared" si="289"/>
        <v/>
      </c>
      <c r="BQ48" s="10" t="str">
        <f t="shared" si="289"/>
        <v/>
      </c>
      <c r="BR48" s="10"/>
      <c r="BS48" s="10"/>
      <c r="BT48" s="39" t="str">
        <f t="shared" ref="BT48:BX48" si="290">BM48</f>
        <v/>
      </c>
      <c r="BU48" s="10" t="str">
        <f t="shared" si="290"/>
        <v/>
      </c>
      <c r="BV48" s="10" t="str">
        <f t="shared" si="290"/>
        <v/>
      </c>
      <c r="BW48" s="10" t="str">
        <f t="shared" si="290"/>
        <v/>
      </c>
      <c r="BX48" s="10" t="str">
        <f t="shared" si="290"/>
        <v/>
      </c>
      <c r="BY48" s="10"/>
      <c r="BZ48" s="10"/>
      <c r="CA48" s="39" t="str">
        <f t="shared" ref="CA48:CE48" si="291">BT48</f>
        <v/>
      </c>
      <c r="CB48" s="10" t="str">
        <f t="shared" si="291"/>
        <v/>
      </c>
      <c r="CC48" s="10" t="str">
        <f t="shared" si="291"/>
        <v/>
      </c>
      <c r="CD48" s="10" t="str">
        <f t="shared" si="291"/>
        <v/>
      </c>
      <c r="CE48" s="10" t="str">
        <f t="shared" si="291"/>
        <v/>
      </c>
      <c r="CF48" s="10"/>
      <c r="CG48" s="10"/>
      <c r="CH48" s="39" t="str">
        <f t="shared" ref="CH48:CL48" si="292">CA48</f>
        <v/>
      </c>
      <c r="CI48" s="10" t="str">
        <f t="shared" si="292"/>
        <v/>
      </c>
      <c r="CJ48" s="10" t="str">
        <f t="shared" si="292"/>
        <v/>
      </c>
      <c r="CK48" s="10" t="str">
        <f t="shared" si="292"/>
        <v/>
      </c>
      <c r="CL48" s="10" t="str">
        <f t="shared" si="292"/>
        <v/>
      </c>
      <c r="CM48" s="10"/>
      <c r="CN48" s="10"/>
      <c r="CO48" s="39" t="str">
        <f t="shared" ref="CO48:CS48" si="293">CH48</f>
        <v/>
      </c>
      <c r="CP48" s="10" t="str">
        <f t="shared" si="293"/>
        <v/>
      </c>
      <c r="CQ48" s="10" t="str">
        <f t="shared" si="293"/>
        <v/>
      </c>
      <c r="CR48" s="10" t="str">
        <f t="shared" si="293"/>
        <v/>
      </c>
      <c r="CS48" s="10" t="str">
        <f t="shared" si="293"/>
        <v/>
      </c>
      <c r="CT48" s="10"/>
      <c r="CU48" s="10"/>
      <c r="CV48" s="39" t="str">
        <f t="shared" ref="CV48:CZ48" si="294">CO48</f>
        <v/>
      </c>
      <c r="CW48" s="10" t="str">
        <f t="shared" si="294"/>
        <v/>
      </c>
      <c r="CX48" s="10" t="str">
        <f t="shared" si="294"/>
        <v/>
      </c>
      <c r="CY48" s="10" t="str">
        <f t="shared" si="294"/>
        <v/>
      </c>
      <c r="CZ48" s="10" t="str">
        <f t="shared" si="294"/>
        <v/>
      </c>
      <c r="DA48" s="10"/>
      <c r="DB48" s="10"/>
      <c r="DC48" s="39" t="str">
        <f t="shared" ref="DC48:DG48" si="295">CV48</f>
        <v/>
      </c>
      <c r="DD48" s="10" t="str">
        <f t="shared" si="295"/>
        <v/>
      </c>
      <c r="DE48" s="10" t="str">
        <f t="shared" si="295"/>
        <v/>
      </c>
      <c r="DF48" s="10" t="str">
        <f t="shared" si="295"/>
        <v/>
      </c>
      <c r="DG48" s="10" t="str">
        <f t="shared" si="295"/>
        <v/>
      </c>
      <c r="DH48" s="10"/>
      <c r="DI48" s="10"/>
      <c r="DJ48" s="39" t="str">
        <f t="shared" ref="DJ48:DN48" si="296">DC48</f>
        <v/>
      </c>
      <c r="DK48" s="10" t="str">
        <f t="shared" si="296"/>
        <v/>
      </c>
      <c r="DL48" s="10" t="str">
        <f t="shared" si="296"/>
        <v/>
      </c>
      <c r="DM48" s="10" t="str">
        <f t="shared" si="296"/>
        <v/>
      </c>
      <c r="DN48" s="10" t="str">
        <f t="shared" si="296"/>
        <v/>
      </c>
      <c r="DO48" s="10"/>
      <c r="DP48" s="10"/>
      <c r="DQ48" s="39" t="str">
        <f t="shared" ref="DQ48:DU48" si="297">DJ48</f>
        <v/>
      </c>
      <c r="DR48" s="10" t="str">
        <f t="shared" si="297"/>
        <v/>
      </c>
      <c r="DS48" s="10" t="str">
        <f t="shared" si="297"/>
        <v/>
      </c>
      <c r="DT48" s="10" t="str">
        <f t="shared" si="297"/>
        <v/>
      </c>
      <c r="DU48" s="10" t="str">
        <f t="shared" si="297"/>
        <v/>
      </c>
      <c r="DV48" s="10"/>
      <c r="DW48" s="10"/>
      <c r="DX48" s="39" t="str">
        <f t="shared" ref="DX48:EB48" si="298">DQ48</f>
        <v/>
      </c>
      <c r="DY48" s="10" t="str">
        <f t="shared" si="298"/>
        <v/>
      </c>
      <c r="DZ48" s="10" t="str">
        <f t="shared" si="298"/>
        <v/>
      </c>
      <c r="EA48" s="10" t="str">
        <f t="shared" si="298"/>
        <v/>
      </c>
      <c r="EB48" s="10" t="str">
        <f t="shared" si="298"/>
        <v/>
      </c>
      <c r="EC48" s="10"/>
      <c r="ED48" s="10"/>
      <c r="EE48" s="39" t="str">
        <f t="shared" ref="EE48:EI48" si="299">DX48</f>
        <v/>
      </c>
      <c r="EF48" s="10" t="str">
        <f t="shared" si="299"/>
        <v/>
      </c>
      <c r="EG48" s="10" t="str">
        <f t="shared" si="299"/>
        <v/>
      </c>
      <c r="EH48" s="10" t="str">
        <f t="shared" si="299"/>
        <v/>
      </c>
      <c r="EI48" s="10" t="str">
        <f t="shared" si="299"/>
        <v/>
      </c>
      <c r="EJ48" s="10"/>
      <c r="EK48" s="10"/>
      <c r="EL48" s="39" t="str">
        <f t="shared" ref="EL48:EP48" si="300">EE48</f>
        <v/>
      </c>
      <c r="EM48" s="10" t="str">
        <f t="shared" si="300"/>
        <v/>
      </c>
      <c r="EN48" s="10" t="str">
        <f t="shared" si="300"/>
        <v/>
      </c>
      <c r="EO48" s="10" t="str">
        <f t="shared" si="300"/>
        <v/>
      </c>
      <c r="EP48" s="10" t="str">
        <f t="shared" si="300"/>
        <v/>
      </c>
      <c r="EQ48" s="10"/>
      <c r="ER48" s="10"/>
    </row>
    <row r="49">
      <c r="A49" s="41"/>
      <c r="B49" s="42"/>
      <c r="C49" s="43"/>
      <c r="D49" s="43"/>
      <c r="E49" s="43"/>
      <c r="F49" s="43"/>
      <c r="G49" s="43"/>
      <c r="H49" s="43"/>
      <c r="I49" s="42" t="str">
        <f t="shared" ref="I49:M49" si="301">B49</f>
        <v/>
      </c>
      <c r="J49" s="43" t="str">
        <f t="shared" si="301"/>
        <v/>
      </c>
      <c r="K49" s="43" t="str">
        <f t="shared" si="301"/>
        <v/>
      </c>
      <c r="L49" s="43" t="str">
        <f t="shared" si="301"/>
        <v/>
      </c>
      <c r="M49" s="43" t="str">
        <f t="shared" si="301"/>
        <v/>
      </c>
      <c r="N49" s="43"/>
      <c r="O49" s="43"/>
      <c r="P49" s="42" t="str">
        <f t="shared" ref="P49:T49" si="302">I49</f>
        <v/>
      </c>
      <c r="Q49" s="43" t="str">
        <f t="shared" si="302"/>
        <v/>
      </c>
      <c r="R49" s="43" t="str">
        <f t="shared" si="302"/>
        <v/>
      </c>
      <c r="S49" s="43" t="str">
        <f t="shared" si="302"/>
        <v/>
      </c>
      <c r="T49" s="43" t="str">
        <f t="shared" si="302"/>
        <v/>
      </c>
      <c r="U49" s="43"/>
      <c r="V49" s="43"/>
      <c r="W49" s="42" t="str">
        <f t="shared" ref="W49:AA49" si="303">P49</f>
        <v/>
      </c>
      <c r="X49" s="43" t="str">
        <f t="shared" si="303"/>
        <v/>
      </c>
      <c r="Y49" s="43" t="str">
        <f t="shared" si="303"/>
        <v/>
      </c>
      <c r="Z49" s="43" t="str">
        <f t="shared" si="303"/>
        <v/>
      </c>
      <c r="AA49" s="43" t="str">
        <f t="shared" si="303"/>
        <v/>
      </c>
      <c r="AB49" s="43"/>
      <c r="AC49" s="43"/>
      <c r="AD49" s="42" t="str">
        <f t="shared" ref="AD49:AH49" si="304">W49</f>
        <v/>
      </c>
      <c r="AE49" s="43" t="str">
        <f t="shared" si="304"/>
        <v/>
      </c>
      <c r="AF49" s="43" t="str">
        <f t="shared" si="304"/>
        <v/>
      </c>
      <c r="AG49" s="43" t="str">
        <f t="shared" si="304"/>
        <v/>
      </c>
      <c r="AH49" s="43" t="str">
        <f t="shared" si="304"/>
        <v/>
      </c>
      <c r="AI49" s="43"/>
      <c r="AJ49" s="43"/>
      <c r="AK49" s="42" t="str">
        <f t="shared" ref="AK49:AO49" si="305">AD49</f>
        <v/>
      </c>
      <c r="AL49" s="43" t="str">
        <f t="shared" si="305"/>
        <v/>
      </c>
      <c r="AM49" s="43" t="str">
        <f t="shared" si="305"/>
        <v/>
      </c>
      <c r="AN49" s="43" t="str">
        <f t="shared" si="305"/>
        <v/>
      </c>
      <c r="AO49" s="43" t="str">
        <f t="shared" si="305"/>
        <v/>
      </c>
      <c r="AP49" s="43"/>
      <c r="AQ49" s="43"/>
      <c r="AR49" s="42" t="str">
        <f t="shared" ref="AR49:AV49" si="306">AK49</f>
        <v/>
      </c>
      <c r="AS49" s="43" t="str">
        <f t="shared" si="306"/>
        <v/>
      </c>
      <c r="AT49" s="43" t="str">
        <f t="shared" si="306"/>
        <v/>
      </c>
      <c r="AU49" s="43" t="str">
        <f t="shared" si="306"/>
        <v/>
      </c>
      <c r="AV49" s="43" t="str">
        <f t="shared" si="306"/>
        <v/>
      </c>
      <c r="AW49" s="43"/>
      <c r="AX49" s="43"/>
      <c r="AY49" s="42" t="str">
        <f t="shared" ref="AY49:BC49" si="307">AR49</f>
        <v/>
      </c>
      <c r="AZ49" s="43" t="str">
        <f t="shared" si="307"/>
        <v/>
      </c>
      <c r="BA49" s="43" t="str">
        <f t="shared" si="307"/>
        <v/>
      </c>
      <c r="BB49" s="43" t="str">
        <f t="shared" si="307"/>
        <v/>
      </c>
      <c r="BC49" s="43" t="str">
        <f t="shared" si="307"/>
        <v/>
      </c>
      <c r="BD49" s="43"/>
      <c r="BE49" s="43"/>
      <c r="BF49" s="42" t="str">
        <f t="shared" ref="BF49:BJ49" si="308">AY49</f>
        <v/>
      </c>
      <c r="BG49" s="43" t="str">
        <f t="shared" si="308"/>
        <v/>
      </c>
      <c r="BH49" s="43" t="str">
        <f t="shared" si="308"/>
        <v/>
      </c>
      <c r="BI49" s="43" t="str">
        <f t="shared" si="308"/>
        <v/>
      </c>
      <c r="BJ49" s="43" t="str">
        <f t="shared" si="308"/>
        <v/>
      </c>
      <c r="BK49" s="43"/>
      <c r="BL49" s="43"/>
      <c r="BM49" s="42" t="str">
        <f t="shared" ref="BM49:BQ49" si="309">BF49</f>
        <v/>
      </c>
      <c r="BN49" s="43" t="str">
        <f t="shared" si="309"/>
        <v/>
      </c>
      <c r="BO49" s="43" t="str">
        <f t="shared" si="309"/>
        <v/>
      </c>
      <c r="BP49" s="43" t="str">
        <f t="shared" si="309"/>
        <v/>
      </c>
      <c r="BQ49" s="43" t="str">
        <f t="shared" si="309"/>
        <v/>
      </c>
      <c r="BR49" s="43"/>
      <c r="BS49" s="43"/>
      <c r="BT49" s="42" t="str">
        <f t="shared" ref="BT49:BX49" si="310">BM49</f>
        <v/>
      </c>
      <c r="BU49" s="43" t="str">
        <f t="shared" si="310"/>
        <v/>
      </c>
      <c r="BV49" s="43" t="str">
        <f t="shared" si="310"/>
        <v/>
      </c>
      <c r="BW49" s="43" t="str">
        <f t="shared" si="310"/>
        <v/>
      </c>
      <c r="BX49" s="43" t="str">
        <f t="shared" si="310"/>
        <v/>
      </c>
      <c r="BY49" s="43"/>
      <c r="BZ49" s="43"/>
      <c r="CA49" s="42" t="str">
        <f t="shared" ref="CA49:CE49" si="311">BT49</f>
        <v/>
      </c>
      <c r="CB49" s="43" t="str">
        <f t="shared" si="311"/>
        <v/>
      </c>
      <c r="CC49" s="43" t="str">
        <f t="shared" si="311"/>
        <v/>
      </c>
      <c r="CD49" s="43" t="str">
        <f t="shared" si="311"/>
        <v/>
      </c>
      <c r="CE49" s="43" t="str">
        <f t="shared" si="311"/>
        <v/>
      </c>
      <c r="CF49" s="43"/>
      <c r="CG49" s="43"/>
      <c r="CH49" s="42" t="str">
        <f t="shared" ref="CH49:CL49" si="312">CA49</f>
        <v/>
      </c>
      <c r="CI49" s="43" t="str">
        <f t="shared" si="312"/>
        <v/>
      </c>
      <c r="CJ49" s="43" t="str">
        <f t="shared" si="312"/>
        <v/>
      </c>
      <c r="CK49" s="43" t="str">
        <f t="shared" si="312"/>
        <v/>
      </c>
      <c r="CL49" s="43" t="str">
        <f t="shared" si="312"/>
        <v/>
      </c>
      <c r="CM49" s="43"/>
      <c r="CN49" s="43"/>
      <c r="CO49" s="42" t="str">
        <f t="shared" ref="CO49:CS49" si="313">CH49</f>
        <v/>
      </c>
      <c r="CP49" s="43" t="str">
        <f t="shared" si="313"/>
        <v/>
      </c>
      <c r="CQ49" s="43" t="str">
        <f t="shared" si="313"/>
        <v/>
      </c>
      <c r="CR49" s="43" t="str">
        <f t="shared" si="313"/>
        <v/>
      </c>
      <c r="CS49" s="43" t="str">
        <f t="shared" si="313"/>
        <v/>
      </c>
      <c r="CT49" s="43"/>
      <c r="CU49" s="43"/>
      <c r="CV49" s="42" t="str">
        <f t="shared" ref="CV49:CZ49" si="314">CO49</f>
        <v/>
      </c>
      <c r="CW49" s="43" t="str">
        <f t="shared" si="314"/>
        <v/>
      </c>
      <c r="CX49" s="43" t="str">
        <f t="shared" si="314"/>
        <v/>
      </c>
      <c r="CY49" s="43" t="str">
        <f t="shared" si="314"/>
        <v/>
      </c>
      <c r="CZ49" s="43" t="str">
        <f t="shared" si="314"/>
        <v/>
      </c>
      <c r="DA49" s="43"/>
      <c r="DB49" s="43"/>
      <c r="DC49" s="42" t="str">
        <f t="shared" ref="DC49:DG49" si="315">CV49</f>
        <v/>
      </c>
      <c r="DD49" s="43" t="str">
        <f t="shared" si="315"/>
        <v/>
      </c>
      <c r="DE49" s="43" t="str">
        <f t="shared" si="315"/>
        <v/>
      </c>
      <c r="DF49" s="43" t="str">
        <f t="shared" si="315"/>
        <v/>
      </c>
      <c r="DG49" s="43" t="str">
        <f t="shared" si="315"/>
        <v/>
      </c>
      <c r="DH49" s="43"/>
      <c r="DI49" s="43"/>
      <c r="DJ49" s="42" t="str">
        <f t="shared" ref="DJ49:DN49" si="316">DC49</f>
        <v/>
      </c>
      <c r="DK49" s="43" t="str">
        <f t="shared" si="316"/>
        <v/>
      </c>
      <c r="DL49" s="43" t="str">
        <f t="shared" si="316"/>
        <v/>
      </c>
      <c r="DM49" s="43" t="str">
        <f t="shared" si="316"/>
        <v/>
      </c>
      <c r="DN49" s="43" t="str">
        <f t="shared" si="316"/>
        <v/>
      </c>
      <c r="DO49" s="43"/>
      <c r="DP49" s="43"/>
      <c r="DQ49" s="42" t="str">
        <f t="shared" ref="DQ49:DU49" si="317">DJ49</f>
        <v/>
      </c>
      <c r="DR49" s="43" t="str">
        <f t="shared" si="317"/>
        <v/>
      </c>
      <c r="DS49" s="43" t="str">
        <f t="shared" si="317"/>
        <v/>
      </c>
      <c r="DT49" s="43" t="str">
        <f t="shared" si="317"/>
        <v/>
      </c>
      <c r="DU49" s="43" t="str">
        <f t="shared" si="317"/>
        <v/>
      </c>
      <c r="DV49" s="43"/>
      <c r="DW49" s="43"/>
      <c r="DX49" s="42" t="str">
        <f t="shared" ref="DX49:EB49" si="318">DQ49</f>
        <v/>
      </c>
      <c r="DY49" s="43" t="str">
        <f t="shared" si="318"/>
        <v/>
      </c>
      <c r="DZ49" s="43" t="str">
        <f t="shared" si="318"/>
        <v/>
      </c>
      <c r="EA49" s="43" t="str">
        <f t="shared" si="318"/>
        <v/>
      </c>
      <c r="EB49" s="43" t="str">
        <f t="shared" si="318"/>
        <v/>
      </c>
      <c r="EC49" s="43"/>
      <c r="ED49" s="43"/>
      <c r="EE49" s="42" t="str">
        <f t="shared" ref="EE49:EI49" si="319">DX49</f>
        <v/>
      </c>
      <c r="EF49" s="43" t="str">
        <f t="shared" si="319"/>
        <v/>
      </c>
      <c r="EG49" s="43" t="str">
        <f t="shared" si="319"/>
        <v/>
      </c>
      <c r="EH49" s="43" t="str">
        <f t="shared" si="319"/>
        <v/>
      </c>
      <c r="EI49" s="43" t="str">
        <f t="shared" si="319"/>
        <v/>
      </c>
      <c r="EJ49" s="43"/>
      <c r="EK49" s="43"/>
      <c r="EL49" s="42" t="str">
        <f t="shared" ref="EL49:EP49" si="320">EE49</f>
        <v/>
      </c>
      <c r="EM49" s="43" t="str">
        <f t="shared" si="320"/>
        <v/>
      </c>
      <c r="EN49" s="43" t="str">
        <f t="shared" si="320"/>
        <v/>
      </c>
      <c r="EO49" s="43" t="str">
        <f t="shared" si="320"/>
        <v/>
      </c>
      <c r="EP49" s="43" t="str">
        <f t="shared" si="320"/>
        <v/>
      </c>
      <c r="EQ49" s="43"/>
      <c r="ER49" s="43"/>
    </row>
  </sheetData>
  <mergeCells count="25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EE40:EK40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4 A45">
      <formula1>'Quick Setup'!$B$19:$D$26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25"/>
      <c r="B1" s="26" t="s">
        <v>45</v>
      </c>
      <c r="I1" s="26" t="s">
        <v>46</v>
      </c>
      <c r="P1" s="26" t="s">
        <v>47</v>
      </c>
      <c r="W1" s="26" t="s">
        <v>48</v>
      </c>
      <c r="AD1" s="26" t="s">
        <v>49</v>
      </c>
      <c r="AK1" s="26" t="s">
        <v>50</v>
      </c>
      <c r="AR1" s="26" t="s">
        <v>51</v>
      </c>
      <c r="AY1" s="26" t="s">
        <v>52</v>
      </c>
      <c r="BF1" s="26" t="s">
        <v>53</v>
      </c>
      <c r="BM1" s="26" t="s">
        <v>54</v>
      </c>
      <c r="BT1" s="26" t="s">
        <v>55</v>
      </c>
      <c r="CA1" s="26" t="s">
        <v>56</v>
      </c>
      <c r="CH1" s="26" t="s">
        <v>57</v>
      </c>
      <c r="CO1" s="26" t="s">
        <v>58</v>
      </c>
      <c r="CV1" s="26" t="s">
        <v>59</v>
      </c>
      <c r="DC1" s="26" t="s">
        <v>60</v>
      </c>
      <c r="DJ1" s="26" t="s">
        <v>61</v>
      </c>
      <c r="DQ1" s="26" t="s">
        <v>62</v>
      </c>
      <c r="DX1" s="26" t="s">
        <v>63</v>
      </c>
      <c r="EE1" s="26" t="s">
        <v>64</v>
      </c>
      <c r="EL1" s="26" t="s">
        <v>65</v>
      </c>
    </row>
    <row r="2">
      <c r="A2" s="2"/>
      <c r="B2" s="27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27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7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27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27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27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27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27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27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27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27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27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27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27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27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27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27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27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27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27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27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28" t="s">
        <v>74</v>
      </c>
      <c r="B3" s="29"/>
      <c r="C3" s="30"/>
      <c r="D3" s="30"/>
      <c r="E3" s="30"/>
      <c r="F3" s="30"/>
      <c r="G3" s="30"/>
      <c r="H3" s="30"/>
      <c r="I3" s="29"/>
      <c r="J3" s="30"/>
      <c r="K3" s="30"/>
      <c r="L3" s="30"/>
      <c r="M3" s="30"/>
      <c r="N3" s="30"/>
      <c r="O3" s="30"/>
      <c r="P3" s="29"/>
      <c r="Q3" s="30"/>
      <c r="R3" s="30"/>
      <c r="S3" s="30"/>
      <c r="T3" s="30"/>
      <c r="U3" s="30"/>
      <c r="V3" s="30"/>
      <c r="W3" s="29"/>
      <c r="X3" s="30"/>
      <c r="Y3" s="30"/>
      <c r="Z3" s="30"/>
      <c r="AA3" s="30"/>
      <c r="AB3" s="30"/>
      <c r="AC3" s="30"/>
      <c r="AD3" s="29"/>
      <c r="AE3" s="30"/>
      <c r="AF3" s="30"/>
      <c r="AG3" s="30"/>
      <c r="AH3" s="30"/>
      <c r="AI3" s="30"/>
      <c r="AJ3" s="30"/>
      <c r="AK3" s="29"/>
      <c r="AL3" s="30"/>
      <c r="AM3" s="30"/>
      <c r="AN3" s="30"/>
      <c r="AO3" s="30"/>
      <c r="AP3" s="30"/>
      <c r="AQ3" s="30"/>
      <c r="AR3" s="29"/>
      <c r="AS3" s="30"/>
      <c r="AT3" s="30"/>
      <c r="AU3" s="30"/>
      <c r="AV3" s="30"/>
      <c r="AW3" s="30"/>
      <c r="AX3" s="30"/>
      <c r="AY3" s="29"/>
      <c r="AZ3" s="30"/>
      <c r="BA3" s="30"/>
      <c r="BB3" s="30"/>
      <c r="BC3" s="30"/>
      <c r="BD3" s="30"/>
      <c r="BE3" s="30"/>
      <c r="BF3" s="29"/>
      <c r="BG3" s="30"/>
      <c r="BH3" s="30"/>
      <c r="BI3" s="30"/>
      <c r="BJ3" s="30"/>
      <c r="BK3" s="30"/>
      <c r="BL3" s="30"/>
      <c r="BM3" s="29"/>
      <c r="BN3" s="30"/>
      <c r="BO3" s="30"/>
      <c r="BP3" s="30"/>
      <c r="BQ3" s="30"/>
      <c r="BR3" s="30"/>
      <c r="BS3" s="30"/>
      <c r="BT3" s="29"/>
      <c r="BU3" s="30"/>
      <c r="BV3" s="30"/>
      <c r="BW3" s="30"/>
      <c r="BX3" s="30"/>
      <c r="BY3" s="30"/>
      <c r="BZ3" s="30"/>
      <c r="CA3" s="29"/>
      <c r="CB3" s="30"/>
      <c r="CC3" s="30"/>
      <c r="CD3" s="30"/>
      <c r="CE3" s="30"/>
      <c r="CF3" s="30"/>
      <c r="CG3" s="30"/>
      <c r="CH3" s="29"/>
      <c r="CI3" s="30"/>
      <c r="CJ3" s="30"/>
      <c r="CK3" s="30"/>
      <c r="CL3" s="30"/>
      <c r="CM3" s="30"/>
      <c r="CN3" s="30"/>
      <c r="CO3" s="29"/>
      <c r="CP3" s="30"/>
      <c r="CQ3" s="30"/>
      <c r="CR3" s="30"/>
      <c r="CS3" s="30"/>
      <c r="CT3" s="30"/>
      <c r="CU3" s="30"/>
      <c r="CV3" s="29"/>
      <c r="CW3" s="30"/>
      <c r="CX3" s="30"/>
      <c r="CY3" s="30"/>
      <c r="CZ3" s="30"/>
      <c r="DA3" s="30"/>
      <c r="DB3" s="30"/>
      <c r="DC3" s="29"/>
      <c r="DD3" s="30"/>
      <c r="DE3" s="30"/>
      <c r="DF3" s="30"/>
      <c r="DG3" s="30"/>
      <c r="DH3" s="30"/>
      <c r="DI3" s="30"/>
      <c r="DJ3" s="29"/>
      <c r="DK3" s="30"/>
      <c r="DL3" s="30"/>
      <c r="DM3" s="30"/>
      <c r="DN3" s="30"/>
      <c r="DO3" s="30"/>
      <c r="DP3" s="30"/>
      <c r="DQ3" s="29"/>
      <c r="DR3" s="30"/>
      <c r="DS3" s="30"/>
      <c r="DT3" s="30"/>
      <c r="DU3" s="30"/>
      <c r="DV3" s="30"/>
      <c r="DW3" s="30"/>
      <c r="DX3" s="29"/>
      <c r="DY3" s="30"/>
      <c r="DZ3" s="30"/>
      <c r="EA3" s="30"/>
      <c r="EB3" s="30"/>
      <c r="EC3" s="30"/>
      <c r="ED3" s="30"/>
      <c r="EE3" s="31" t="s">
        <v>75</v>
      </c>
      <c r="EF3" s="32"/>
      <c r="EG3" s="32"/>
      <c r="EH3" s="32"/>
      <c r="EI3" s="32"/>
      <c r="EJ3" s="32"/>
      <c r="EK3" s="32"/>
      <c r="EL3" s="29"/>
      <c r="EM3" s="30"/>
      <c r="EN3" s="30"/>
      <c r="EO3" s="30"/>
      <c r="EP3" s="30"/>
      <c r="EQ3" s="30"/>
      <c r="ER3" s="30"/>
    </row>
    <row r="4" hidden="1">
      <c r="A4" s="33" t="str">
        <f>CONCATENATE(A5," TM")</f>
        <v>Squat TM</v>
      </c>
      <c r="B4" s="34">
        <f>if(D4="",'Quick Setup'!D5,D4/'Quick Setup'!E5)</f>
        <v>490</v>
      </c>
      <c r="C4" s="35" t="s">
        <v>73</v>
      </c>
      <c r="D4" s="36"/>
      <c r="E4" s="37"/>
      <c r="F4" s="37"/>
      <c r="G4" s="37"/>
      <c r="H4" s="37"/>
      <c r="I4" s="34">
        <f>if(K4="", if(F5&lt;&gt;"", if(F5&gt;Setup!F4,B4*(1+Setup!G4),if(F5&lt;Setup!E4,B4*(1+Setup!H4),B4)),B4),K4/'Quick Setup'!$E5)</f>
        <v>490</v>
      </c>
      <c r="J4" s="35" t="s">
        <v>73</v>
      </c>
      <c r="K4" s="36"/>
      <c r="L4" s="37"/>
      <c r="M4" s="37"/>
      <c r="N4" s="37"/>
      <c r="O4" s="37"/>
      <c r="P4" s="34">
        <f>if(R4="", if(M5&lt;&gt;"", if(M5&gt;Setup!M4,I4*(1+Setup!N4),if(M5&lt;Setup!L4,I4*(1+Setup!O4),I4)),I4),R4/'Quick Setup'!$E5)</f>
        <v>490</v>
      </c>
      <c r="Q4" s="35" t="s">
        <v>73</v>
      </c>
      <c r="R4" s="36"/>
      <c r="S4" s="37"/>
      <c r="T4" s="37"/>
      <c r="U4" s="37"/>
      <c r="V4" s="37"/>
      <c r="W4" s="34">
        <f>if(Y4="", if(T5&lt;&gt;"", if(T5&gt;Setup!T4,P4*(1+Setup!U4),if(T5&lt;Setup!S4,P4*(1+Setup!V4),P4)),P4),Y4/'Quick Setup'!$E5)</f>
        <v>490</v>
      </c>
      <c r="X4" s="35" t="s">
        <v>73</v>
      </c>
      <c r="Y4" s="36"/>
      <c r="Z4" s="37"/>
      <c r="AA4" s="37"/>
      <c r="AB4" s="37"/>
      <c r="AC4" s="37"/>
      <c r="AD4" s="34">
        <f>if(AF4="", if(AA5&lt;&gt;"", if(AA5&gt;Setup!AA4,W4*(1+Setup!AB4),if(AA5&lt;Setup!Z4,W4*(1+Setup!AC4),W4)),W4),AF4/'Quick Setup'!$E5)</f>
        <v>490</v>
      </c>
      <c r="AE4" s="35" t="s">
        <v>73</v>
      </c>
      <c r="AF4" s="36"/>
      <c r="AG4" s="37"/>
      <c r="AH4" s="37"/>
      <c r="AI4" s="37"/>
      <c r="AJ4" s="37"/>
      <c r="AK4" s="34">
        <f>if(AM4="", if(AH5&lt;&gt;"", if(AH5&gt;Setup!AH4,AD4*(1+Setup!AI4),if(AH5&lt;Setup!AG4,AD4*(1+Setup!AJ4),AD4)),AD4),AM4/'Quick Setup'!$E5)</f>
        <v>490</v>
      </c>
      <c r="AL4" s="35" t="s">
        <v>73</v>
      </c>
      <c r="AM4" s="36"/>
      <c r="AN4" s="37"/>
      <c r="AO4" s="37"/>
      <c r="AP4" s="37"/>
      <c r="AQ4" s="37"/>
      <c r="AR4" s="34">
        <f>if(AT4="", if(AO5&lt;&gt;"", if(AO5&gt;Setup!AO4,AK4*(1+Setup!AP4),if(AO5&lt;Setup!AN4,AK4*(1+Setup!AQ4),AK4)),AK4),AT4/'Quick Setup'!$E5)</f>
        <v>490</v>
      </c>
      <c r="AS4" s="35" t="s">
        <v>73</v>
      </c>
      <c r="AT4" s="36"/>
      <c r="AU4" s="37"/>
      <c r="AV4" s="37"/>
      <c r="AW4" s="37"/>
      <c r="AX4" s="37"/>
      <c r="AY4" s="34">
        <f>if(BA4="",AR4,BA4/'Quick Setup'!$E5)</f>
        <v>490</v>
      </c>
      <c r="AZ4" s="35" t="s">
        <v>73</v>
      </c>
      <c r="BA4" s="36"/>
      <c r="BB4" s="37"/>
      <c r="BC4" s="37"/>
      <c r="BD4" s="37"/>
      <c r="BE4" s="37"/>
      <c r="BF4" s="34">
        <f>if(BH4="", if(BC5&lt;&gt;"", if(BC5&gt;Setup!BC4,AY4*(1+Setup!BD4),if(BC5&lt;Setup!BB4,AY4*(1+Setup!BE4),AY4)),AY4),BH4/'Quick Setup'!$E5)</f>
        <v>490</v>
      </c>
      <c r="BG4" s="35" t="s">
        <v>73</v>
      </c>
      <c r="BH4" s="36"/>
      <c r="BI4" s="37"/>
      <c r="BJ4" s="37"/>
      <c r="BK4" s="37"/>
      <c r="BL4" s="37"/>
      <c r="BM4" s="34">
        <f>if(BO4="", if(BJ5&lt;&gt;"", if(BJ5&gt;Setup!BJ4,BF4*(1+Setup!BK4),if(BJ5&lt;Setup!BI4,BF4*(1+Setup!BL4),BF4)),BF4),BO4/'Quick Setup'!$E5)</f>
        <v>490</v>
      </c>
      <c r="BN4" s="35" t="s">
        <v>73</v>
      </c>
      <c r="BO4" s="36"/>
      <c r="BP4" s="37"/>
      <c r="BQ4" s="37"/>
      <c r="BR4" s="37"/>
      <c r="BS4" s="37"/>
      <c r="BT4" s="34">
        <f>if(BV4="", if(BQ5&lt;&gt;"", if(BQ5&gt;Setup!BQ4,BM4*(1+Setup!BR4),if(BQ5&lt;Setup!BP4,BM4*(1+Setup!BS4),BM4)),BM4),BV4/'Quick Setup'!$E5)</f>
        <v>490</v>
      </c>
      <c r="BU4" s="35" t="s">
        <v>73</v>
      </c>
      <c r="BV4" s="36"/>
      <c r="BW4" s="37"/>
      <c r="BX4" s="37"/>
      <c r="BY4" s="37"/>
      <c r="BZ4" s="37"/>
      <c r="CA4" s="34">
        <f>if(CC4="", if(BX5&lt;&gt;"", if(BX5&gt;Setup!BX4,BT4*(1+Setup!BY4),if(BX5&lt;Setup!BW4,BT4*(1+Setup!BZ4),BT4)),BT4),CC4/'Quick Setup'!$E5)</f>
        <v>490</v>
      </c>
      <c r="CB4" s="35" t="s">
        <v>73</v>
      </c>
      <c r="CC4" s="36"/>
      <c r="CD4" s="37"/>
      <c r="CE4" s="37"/>
      <c r="CF4" s="37"/>
      <c r="CG4" s="37"/>
      <c r="CH4" s="34">
        <f>if(CJ4="", if(CE5&lt;&gt;"", if(CE5&gt;Setup!CE4,CA4*(1+Setup!CF4),if(CE5&lt;Setup!CD4,CA4*(1+Setup!CG4),CA4)),CA4),CJ4/'Quick Setup'!$E5)</f>
        <v>490</v>
      </c>
      <c r="CI4" s="35" t="s">
        <v>73</v>
      </c>
      <c r="CJ4" s="36"/>
      <c r="CK4" s="37"/>
      <c r="CL4" s="37"/>
      <c r="CM4" s="37"/>
      <c r="CN4" s="37"/>
      <c r="CO4" s="34">
        <f>if(CQ4="", if(CL5&lt;&gt;"", if(CL5&gt;Setup!CL4,CH4*(1+Setup!CM4),if(CL5&lt;Setup!CK4,CH4*(1+Setup!CN4),CH4)),CH4),CQ4/'Quick Setup'!$E5)</f>
        <v>490</v>
      </c>
      <c r="CP4" s="35" t="s">
        <v>73</v>
      </c>
      <c r="CQ4" s="36"/>
      <c r="CR4" s="37"/>
      <c r="CS4" s="37"/>
      <c r="CT4" s="37"/>
      <c r="CU4" s="37"/>
      <c r="CV4" s="34">
        <f>if(CX4="",CO4,CX4/'Quick Setup'!$E5)</f>
        <v>490</v>
      </c>
      <c r="CW4" s="35" t="s">
        <v>73</v>
      </c>
      <c r="CX4" s="36"/>
      <c r="CY4" s="37"/>
      <c r="CZ4" s="37"/>
      <c r="DA4" s="37"/>
      <c r="DB4" s="37"/>
      <c r="DC4" s="34">
        <f>if(DE4="", if(CZ5&lt;&gt;"", if(CZ5&gt;Setup!CZ4,CV4*(1+Setup!DA4),if(CZ5&lt;Setup!CY4,CV4*(1+Setup!DB4),CV4)),CV4),DE4/'Quick Setup'!$E5)</f>
        <v>490</v>
      </c>
      <c r="DD4" s="35" t="s">
        <v>73</v>
      </c>
      <c r="DE4" s="36"/>
      <c r="DF4" s="37"/>
      <c r="DG4" s="37"/>
      <c r="DH4" s="37"/>
      <c r="DI4" s="37"/>
      <c r="DJ4" s="34">
        <f>if(DL4="", if(DG5&lt;&gt;"", if(DG5&gt;Setup!DG4,DC4*(1+Setup!DH4),if(DG5&lt;Setup!DF4,DC4*(1+Setup!DI4),DC4)),DC4),DL4/'Quick Setup'!$E5)</f>
        <v>490</v>
      </c>
      <c r="DK4" s="35" t="s">
        <v>73</v>
      </c>
      <c r="DL4" s="36"/>
      <c r="DM4" s="37"/>
      <c r="DN4" s="37"/>
      <c r="DO4" s="37"/>
      <c r="DP4" s="37"/>
      <c r="DQ4" s="34">
        <f>if(DS4="", if(DN5&lt;&gt;"", if(DN5&gt;Setup!DN4,DJ4*(1+Setup!DO4),if(DN5&lt;Setup!DM4,DJ4*(1+Setup!DP4),DJ4)),DJ4),DS4/'Quick Setup'!$E5)</f>
        <v>490</v>
      </c>
      <c r="DR4" s="35" t="s">
        <v>73</v>
      </c>
      <c r="DS4" s="36"/>
      <c r="DT4" s="37"/>
      <c r="DU4" s="37"/>
      <c r="DV4" s="37"/>
      <c r="DW4" s="37"/>
      <c r="DX4" s="34">
        <f>if(DZ4="", if(DU5&lt;&gt;"", if(DU5&gt;Setup!DU4,DQ4*(1+Setup!DV4),if(DU5&lt;Setup!DT4,DQ4*(1+Setup!DW4),DQ4)),DQ4),DZ4/'Quick Setup'!$E5)</f>
        <v>490</v>
      </c>
      <c r="DY4" s="35" t="s">
        <v>73</v>
      </c>
      <c r="DZ4" s="36"/>
      <c r="EA4" s="37"/>
      <c r="EB4" s="37"/>
      <c r="EC4" s="37"/>
      <c r="ED4" s="37"/>
      <c r="EE4" s="34">
        <f>if(EG4="", if(EB5&lt;&gt;"", if(EB5&gt;Setup!EB4,DX4*(1+Setup!EC4),if(EB5&lt;Setup!EA4,DX4*(1+Setup!ED4),DX4)),DX4),EG4/'Quick Setup'!$E5)</f>
        <v>490</v>
      </c>
      <c r="EF4" s="35" t="s">
        <v>73</v>
      </c>
      <c r="EG4" s="36"/>
      <c r="EH4" s="37"/>
      <c r="EI4" s="37"/>
      <c r="EJ4" s="37"/>
      <c r="EK4" s="37"/>
      <c r="EL4" s="34">
        <f>if(EN4="", if(EI5&lt;&gt;"", if(EI5&gt;Setup!EI4,EE4*(1+Setup!EJ4),if(EI5&lt;Setup!EH4,EE4*(1+Setup!EK4),EE4)),EE4),EN4/'Quick Setup'!$E5)</f>
        <v>490</v>
      </c>
      <c r="EM4" s="35" t="s">
        <v>73</v>
      </c>
      <c r="EN4" s="36"/>
      <c r="EO4" s="37"/>
      <c r="EP4" s="37"/>
      <c r="EQ4" s="37"/>
      <c r="ER4" s="37"/>
    </row>
    <row r="5">
      <c r="A5" s="1" t="str">
        <f>Setup!A4</f>
        <v>Squat</v>
      </c>
      <c r="B5" s="38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0"/>
      <c r="G5" s="10"/>
      <c r="H5" s="10"/>
      <c r="I5" s="38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0"/>
      <c r="N5" s="10"/>
      <c r="O5" s="10"/>
      <c r="P5" s="38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0"/>
      <c r="U5" s="10"/>
      <c r="V5" s="10"/>
      <c r="W5" s="38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0"/>
      <c r="AB5" s="10"/>
      <c r="AC5" s="10"/>
      <c r="AD5" s="38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0"/>
      <c r="AI5" s="10"/>
      <c r="AJ5" s="10"/>
      <c r="AK5" s="38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0"/>
      <c r="AP5" s="10"/>
      <c r="AQ5" s="10"/>
      <c r="AR5" s="38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0"/>
      <c r="AW5" s="10"/>
      <c r="AX5" s="10"/>
      <c r="AY5" s="38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0"/>
      <c r="BD5" s="10"/>
      <c r="BE5" s="10"/>
      <c r="BF5" s="38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0"/>
      <c r="BK5" s="10"/>
      <c r="BL5" s="10"/>
      <c r="BM5" s="38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0"/>
      <c r="BR5" s="10"/>
      <c r="BS5" s="10"/>
      <c r="BT5" s="38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0"/>
      <c r="BY5" s="10"/>
      <c r="BZ5" s="10"/>
      <c r="CA5" s="38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0"/>
      <c r="CF5" s="10"/>
      <c r="CG5" s="10"/>
      <c r="CH5" s="38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0"/>
      <c r="CM5" s="10"/>
      <c r="CN5" s="10"/>
      <c r="CO5" s="38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0"/>
      <c r="CT5" s="10"/>
      <c r="CU5" s="10"/>
      <c r="CV5" s="38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0"/>
      <c r="DA5" s="10"/>
      <c r="DB5" s="10"/>
      <c r="DC5" s="38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0"/>
      <c r="DH5" s="10"/>
      <c r="DI5" s="10"/>
      <c r="DJ5" s="38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0"/>
      <c r="DO5" s="10"/>
      <c r="DP5" s="10"/>
      <c r="DQ5" s="38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0"/>
      <c r="DV5" s="10"/>
      <c r="DW5" s="10"/>
      <c r="DX5" s="38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0"/>
      <c r="EC5" s="10"/>
      <c r="ED5" s="10"/>
      <c r="EE5" s="38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0"/>
      <c r="EJ5" s="10"/>
      <c r="EK5" s="10"/>
      <c r="EL5" s="38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0"/>
      <c r="EQ5" s="10"/>
      <c r="ER5" s="10"/>
    </row>
    <row r="6" hidden="1">
      <c r="A6" s="33" t="str">
        <f>CONCATENATE(A7," TM")</f>
        <v>Paused Squat TM</v>
      </c>
      <c r="B6" s="34">
        <f>if(D6="",'Quick Setup'!D12,D6/'Quick Setup'!E12)</f>
        <v>460</v>
      </c>
      <c r="C6" s="35" t="s">
        <v>73</v>
      </c>
      <c r="D6" s="36"/>
      <c r="E6" s="37"/>
      <c r="F6" s="37"/>
      <c r="G6" s="37"/>
      <c r="H6" s="37"/>
      <c r="I6" s="34">
        <f>if(K6="", if(F7&lt;&gt;"", if(F7&gt;Setup!F11,B6*(1+Setup!G11),if(F7&lt;Setup!E11,B6*(1+Setup!H11),B6)),B6),K6/'Quick Setup'!$E12)</f>
        <v>460</v>
      </c>
      <c r="J6" s="35" t="s">
        <v>73</v>
      </c>
      <c r="K6" s="36"/>
      <c r="L6" s="37"/>
      <c r="M6" s="37"/>
      <c r="N6" s="37"/>
      <c r="O6" s="37"/>
      <c r="P6" s="34">
        <f>if(R6="", if(M7&lt;&gt;"", if(M7&gt;Setup!M11,I6*(1+Setup!N11),if(M7&lt;Setup!L11,I6*(1+Setup!O11),I6)),I6),R6/'Quick Setup'!$E12)</f>
        <v>460</v>
      </c>
      <c r="Q6" s="35" t="s">
        <v>73</v>
      </c>
      <c r="R6" s="36"/>
      <c r="S6" s="37"/>
      <c r="T6" s="37"/>
      <c r="U6" s="37"/>
      <c r="V6" s="37"/>
      <c r="W6" s="34">
        <f>if(Y6="", if(T7&lt;&gt;"", if(T7&gt;Setup!T11,P6*(1+Setup!U11),if(T7&lt;Setup!S11,P6*(1+Setup!V11),P6)),P6),Y6/'Quick Setup'!$E12)</f>
        <v>460</v>
      </c>
      <c r="X6" s="35" t="s">
        <v>73</v>
      </c>
      <c r="Y6" s="36"/>
      <c r="Z6" s="37"/>
      <c r="AA6" s="37"/>
      <c r="AB6" s="37"/>
      <c r="AC6" s="37"/>
      <c r="AD6" s="34">
        <f>if(AF6="", if(AA7&lt;&gt;"", if(AA7&gt;Setup!AA11,W6*(1+Setup!AB11),if(AA7&lt;Setup!Z11,W6*(1+Setup!AC11),W6)),W6),AF6/'Quick Setup'!$E12)</f>
        <v>460</v>
      </c>
      <c r="AE6" s="35" t="s">
        <v>73</v>
      </c>
      <c r="AF6" s="36"/>
      <c r="AG6" s="37"/>
      <c r="AH6" s="37"/>
      <c r="AI6" s="37"/>
      <c r="AJ6" s="37"/>
      <c r="AK6" s="34">
        <f>if(AM6="", if(AH7&lt;&gt;"", if(AH7&gt;Setup!AH11,AD6*(1+Setup!AI11),if(AH7&lt;Setup!AG11,AD6*(1+Setup!AJ11),AD6)),AD6),AM6/'Quick Setup'!$E12)</f>
        <v>460</v>
      </c>
      <c r="AL6" s="35" t="s">
        <v>73</v>
      </c>
      <c r="AM6" s="36"/>
      <c r="AN6" s="37"/>
      <c r="AO6" s="37"/>
      <c r="AP6" s="37"/>
      <c r="AQ6" s="37"/>
      <c r="AR6" s="34">
        <f>if(AT6="", if(AO7&lt;&gt;"", if(AO7&gt;Setup!AO11,AK6*(1+Setup!AP11),if(AO7&lt;Setup!AN11,AK6*(1+Setup!AQ11),AK6)),AK6),AT6/'Quick Setup'!$E12)</f>
        <v>460</v>
      </c>
      <c r="AS6" s="35" t="s">
        <v>73</v>
      </c>
      <c r="AT6" s="36"/>
      <c r="AU6" s="37"/>
      <c r="AV6" s="37"/>
      <c r="AW6" s="37"/>
      <c r="AX6" s="37"/>
      <c r="AY6" s="34">
        <f>if(BA6="",AR6,BA6/'Quick Setup'!$E12)</f>
        <v>460</v>
      </c>
      <c r="AZ6" s="35" t="s">
        <v>73</v>
      </c>
      <c r="BA6" s="36"/>
      <c r="BB6" s="37"/>
      <c r="BC6" s="37"/>
      <c r="BD6" s="37"/>
      <c r="BE6" s="37"/>
      <c r="BF6" s="34">
        <f>if(BH6="", if(BC7&lt;&gt;"", if(BC7&gt;Setup!BC11,AY6*(1+Setup!BD11),if(BC7&lt;Setup!BB11,AY6*(1+Setup!BE11),AY6)),AY6),BH6/'Quick Setup'!$E12)</f>
        <v>460</v>
      </c>
      <c r="BG6" s="35" t="s">
        <v>73</v>
      </c>
      <c r="BH6" s="36"/>
      <c r="BI6" s="37"/>
      <c r="BJ6" s="37"/>
      <c r="BK6" s="37"/>
      <c r="BL6" s="37"/>
      <c r="BM6" s="34">
        <f>if(BO6="", if(BJ7&lt;&gt;"", if(BJ7&gt;Setup!BJ11,BF6*(1+Setup!BK11),if(BJ7&lt;Setup!BI11,BF6*(1+Setup!BL11),BF6)),BF6),BO6/'Quick Setup'!$E12)</f>
        <v>460</v>
      </c>
      <c r="BN6" s="35" t="s">
        <v>73</v>
      </c>
      <c r="BO6" s="36"/>
      <c r="BP6" s="37"/>
      <c r="BQ6" s="37"/>
      <c r="BR6" s="37"/>
      <c r="BS6" s="37"/>
      <c r="BT6" s="34">
        <f>if(BV6="", if(BQ7&lt;&gt;"", if(BQ7&gt;Setup!BQ11,BM6*(1+Setup!BR11),if(BQ7&lt;Setup!BP11,BM6*(1+Setup!BS11),BM6)),BM6),BV6/'Quick Setup'!$E12)</f>
        <v>460</v>
      </c>
      <c r="BU6" s="35" t="s">
        <v>73</v>
      </c>
      <c r="BV6" s="36"/>
      <c r="BW6" s="37"/>
      <c r="BX6" s="37"/>
      <c r="BY6" s="37"/>
      <c r="BZ6" s="37"/>
      <c r="CA6" s="34">
        <f>if(CC6="", if(BX7&lt;&gt;"", if(BX7&gt;Setup!BX11,BT6*(1+Setup!BY11),if(BX7&lt;Setup!BW11,BT6*(1+Setup!BZ11),BT6)),BT6),CC6/'Quick Setup'!$E12)</f>
        <v>460</v>
      </c>
      <c r="CB6" s="35" t="s">
        <v>73</v>
      </c>
      <c r="CC6" s="36"/>
      <c r="CD6" s="37"/>
      <c r="CE6" s="37"/>
      <c r="CF6" s="37"/>
      <c r="CG6" s="37"/>
      <c r="CH6" s="34">
        <f>if(CJ6="", if(CE7&lt;&gt;"", if(CE7&gt;Setup!CE11,CA6*(1+Setup!CF11),if(CE7&lt;Setup!CD11,CA6*(1+Setup!CG11),CA6)),CA6),CJ6/'Quick Setup'!$E12)</f>
        <v>460</v>
      </c>
      <c r="CI6" s="35" t="s">
        <v>73</v>
      </c>
      <c r="CJ6" s="36"/>
      <c r="CK6" s="37"/>
      <c r="CL6" s="37"/>
      <c r="CM6" s="37"/>
      <c r="CN6" s="37"/>
      <c r="CO6" s="34">
        <f>if(CQ6="", if(CL7&lt;&gt;"", if(CL7&gt;Setup!CL11,CH6*(1+Setup!CM11),if(CL7&lt;Setup!CK11,CH6*(1+Setup!CN11),CH6)),CH6),CQ6/'Quick Setup'!$E12)</f>
        <v>460</v>
      </c>
      <c r="CP6" s="35" t="s">
        <v>73</v>
      </c>
      <c r="CQ6" s="36"/>
      <c r="CR6" s="37"/>
      <c r="CS6" s="37"/>
      <c r="CT6" s="37"/>
      <c r="CU6" s="37"/>
      <c r="CV6" s="34">
        <f>if(CX6="",CO6,CX6/'Quick Setup'!$E12)</f>
        <v>460</v>
      </c>
      <c r="CW6" s="35" t="s">
        <v>73</v>
      </c>
      <c r="CX6" s="36"/>
      <c r="CY6" s="37"/>
      <c r="CZ6" s="37"/>
      <c r="DA6" s="37"/>
      <c r="DB6" s="37"/>
      <c r="DC6" s="34">
        <f>if(DE6="", if(CZ7&lt;&gt;"", if(CZ7&gt;Setup!CZ11,CV6*(1+Setup!DA11),if(CZ7&lt;Setup!CY11,CV6*(1+Setup!DB11),CV6)),CV6),DE6/'Quick Setup'!$E12)</f>
        <v>460</v>
      </c>
      <c r="DD6" s="35" t="s">
        <v>73</v>
      </c>
      <c r="DE6" s="36"/>
      <c r="DF6" s="37"/>
      <c r="DG6" s="37"/>
      <c r="DH6" s="37"/>
      <c r="DI6" s="37"/>
      <c r="DJ6" s="34">
        <f>if(DL6="", if(DG7&lt;&gt;"", if(DG7&gt;Setup!DG11,DC6*(1+Setup!DH11),if(DG7&lt;Setup!DF11,DC6*(1+Setup!DI11),DC6)),DC6),DL6/'Quick Setup'!$E12)</f>
        <v>460</v>
      </c>
      <c r="DK6" s="35" t="s">
        <v>73</v>
      </c>
      <c r="DL6" s="36"/>
      <c r="DM6" s="37"/>
      <c r="DN6" s="37"/>
      <c r="DO6" s="37"/>
      <c r="DP6" s="37"/>
      <c r="DQ6" s="34">
        <f>if(DS6="", if(DN7&lt;&gt;"", if(DN7&gt;Setup!DN11,DJ6*(1+Setup!DO11),if(DN7&lt;Setup!DM11,DJ6*(1+Setup!DP11),DJ6)),DJ6),DS6/'Quick Setup'!$E12)</f>
        <v>460</v>
      </c>
      <c r="DR6" s="35" t="s">
        <v>73</v>
      </c>
      <c r="DS6" s="36"/>
      <c r="DT6" s="37"/>
      <c r="DU6" s="37"/>
      <c r="DV6" s="37"/>
      <c r="DW6" s="37"/>
      <c r="DX6" s="34">
        <f>if(DZ6="", if(DU7&lt;&gt;"", if(DU7&gt;Setup!DU11,DQ6*(1+Setup!DV11),if(DU7&lt;Setup!DT11,DQ6*(1+Setup!DW11),DQ6)),DQ6),DZ6/'Quick Setup'!$E12)</f>
        <v>460</v>
      </c>
      <c r="DY6" s="35" t="s">
        <v>73</v>
      </c>
      <c r="DZ6" s="36"/>
      <c r="EA6" s="37"/>
      <c r="EB6" s="37"/>
      <c r="EC6" s="37"/>
      <c r="ED6" s="37"/>
      <c r="EE6" s="34">
        <f>if(EG6="", if(EB7&lt;&gt;"", if(EB7&gt;Setup!EB11,DX6*(1+Setup!EC11),if(EB7&lt;Setup!EA11,DX6*(1+Setup!ED11),DX6)),DX6),EG6/'Quick Setup'!$E12)</f>
        <v>460</v>
      </c>
      <c r="EF6" s="35" t="s">
        <v>73</v>
      </c>
      <c r="EG6" s="36"/>
      <c r="EH6" s="37"/>
      <c r="EI6" s="37"/>
      <c r="EJ6" s="37"/>
      <c r="EK6" s="37"/>
      <c r="EL6" s="34">
        <f>if(EN6="", if(EI7&lt;&gt;"", if(EI7&gt;Setup!EI11,EE6*(1+Setup!EJ11),if(EI7&lt;Setup!EH11,EE6*(1+Setup!EK11),EE6)),EE6),EN6/'Quick Setup'!$E12)</f>
        <v>460</v>
      </c>
      <c r="EM6" s="35" t="s">
        <v>73</v>
      </c>
      <c r="EN6" s="36"/>
      <c r="EO6" s="37"/>
      <c r="EP6" s="37"/>
      <c r="EQ6" s="37"/>
      <c r="ER6" s="37"/>
    </row>
    <row r="7">
      <c r="A7" s="1" t="str">
        <f>Setup!A11</f>
        <v>Paused Squat</v>
      </c>
      <c r="B7" s="38">
        <f>mround(B6*Setup!B11,'Quick Setup'!$A$2)</f>
        <v>275</v>
      </c>
      <c r="C7" s="2">
        <f>Setup!C11</f>
        <v>7</v>
      </c>
      <c r="D7" s="2">
        <f>Setup!D11</f>
        <v>4</v>
      </c>
      <c r="E7" s="2" t="str">
        <f>CONCATENATE(Setup!E11,"-",Setup!F11)</f>
        <v>4-6</v>
      </c>
      <c r="F7" s="10"/>
      <c r="G7" s="10"/>
      <c r="H7" s="10"/>
      <c r="I7" s="38">
        <f>mround(I6*Setup!I11,'Quick Setup'!$A$2)</f>
        <v>300</v>
      </c>
      <c r="J7" s="2">
        <f>Setup!J11</f>
        <v>6</v>
      </c>
      <c r="K7" s="2">
        <f>Setup!K11</f>
        <v>4</v>
      </c>
      <c r="L7" s="2" t="str">
        <f>CONCATENATE(Setup!L11,"-",Setup!M11)</f>
        <v>4-6</v>
      </c>
      <c r="M7" s="10"/>
      <c r="N7" s="10"/>
      <c r="O7" s="10"/>
      <c r="P7" s="38">
        <f>mround(P6*Setup!P11,'Quick Setup'!$A$2)</f>
        <v>322.5</v>
      </c>
      <c r="Q7" s="2">
        <f>Setup!Q11</f>
        <v>5</v>
      </c>
      <c r="R7" s="2">
        <f>Setup!R11</f>
        <v>3</v>
      </c>
      <c r="S7" s="2" t="str">
        <f>CONCATENATE(Setup!S11,"-",Setup!T11)</f>
        <v>4-6</v>
      </c>
      <c r="T7" s="10"/>
      <c r="U7" s="10"/>
      <c r="V7" s="10"/>
      <c r="W7" s="38">
        <f>mround(W6*Setup!W11,'Quick Setup'!$A$2)</f>
        <v>287.5</v>
      </c>
      <c r="X7" s="2">
        <f>Setup!X11</f>
        <v>7</v>
      </c>
      <c r="Y7" s="2">
        <f>Setup!Y11</f>
        <v>4</v>
      </c>
      <c r="Z7" s="2" t="str">
        <f>CONCATENATE(Setup!Z11,"-",Setup!AA11)</f>
        <v>4-6</v>
      </c>
      <c r="AA7" s="10"/>
      <c r="AB7" s="10"/>
      <c r="AC7" s="10"/>
      <c r="AD7" s="38">
        <f>mround(AD6*Setup!AD11,'Quick Setup'!$A$2)</f>
        <v>310</v>
      </c>
      <c r="AE7" s="2">
        <f>Setup!AE11</f>
        <v>6</v>
      </c>
      <c r="AF7" s="2">
        <f>Setup!AF11</f>
        <v>4</v>
      </c>
      <c r="AG7" s="2" t="str">
        <f>CONCATENATE(Setup!AG11,"-",Setup!AH11)</f>
        <v>4-6</v>
      </c>
      <c r="AH7" s="10"/>
      <c r="AI7" s="10"/>
      <c r="AJ7" s="10"/>
      <c r="AK7" s="38">
        <f>mround(AK6*Setup!AK11,'Quick Setup'!$A$2)</f>
        <v>332.5</v>
      </c>
      <c r="AL7" s="2">
        <f>Setup!AL11</f>
        <v>5</v>
      </c>
      <c r="AM7" s="2">
        <f>Setup!AM11</f>
        <v>3</v>
      </c>
      <c r="AN7" s="2" t="str">
        <f>CONCATENATE(Setup!AN11,"-",Setup!AO11)</f>
        <v>4-6</v>
      </c>
      <c r="AO7" s="10"/>
      <c r="AP7" s="10"/>
      <c r="AQ7" s="10"/>
      <c r="AR7" s="38">
        <f>mround(AR6*Setup!AR11,'Quick Setup'!$A$2)</f>
        <v>230</v>
      </c>
      <c r="AS7" s="1">
        <v>5.0</v>
      </c>
      <c r="AT7" s="1" t="s">
        <v>76</v>
      </c>
      <c r="AU7" s="2" t="str">
        <f>CONCATENATE(Setup!AU11,"-",Setup!AV11)</f>
        <v>4-6</v>
      </c>
      <c r="AV7" s="10"/>
      <c r="AW7" s="10"/>
      <c r="AX7" s="10"/>
      <c r="AY7" s="38">
        <f>mround(AY6*Setup!AY11,'Quick Setup'!$A$2)</f>
        <v>300</v>
      </c>
      <c r="AZ7" s="2">
        <f>Setup!AZ11</f>
        <v>6</v>
      </c>
      <c r="BA7" s="2">
        <f>Setup!BA11</f>
        <v>4</v>
      </c>
      <c r="BB7" s="2" t="str">
        <f>CONCATENATE(Setup!BB11,"-",Setup!BC11)</f>
        <v>4-6</v>
      </c>
      <c r="BC7" s="10"/>
      <c r="BD7" s="10"/>
      <c r="BE7" s="10"/>
      <c r="BF7" s="38">
        <f>mround(BF6*Setup!BF11,'Quick Setup'!$A$2)</f>
        <v>322.5</v>
      </c>
      <c r="BG7" s="2">
        <f>Setup!BG11</f>
        <v>5</v>
      </c>
      <c r="BH7" s="2">
        <f>Setup!BH11</f>
        <v>3</v>
      </c>
      <c r="BI7" s="2" t="str">
        <f>CONCATENATE(Setup!BI11,"-",Setup!BJ11)</f>
        <v>4-6</v>
      </c>
      <c r="BJ7" s="10"/>
      <c r="BK7" s="10"/>
      <c r="BL7" s="10"/>
      <c r="BM7" s="38">
        <f>mround(BM6*Setup!BM11,'Quick Setup'!$A$2)</f>
        <v>345</v>
      </c>
      <c r="BN7" s="2">
        <f>Setup!BN11</f>
        <v>4</v>
      </c>
      <c r="BO7" s="2">
        <f>Setup!BO11</f>
        <v>3</v>
      </c>
      <c r="BP7" s="2" t="str">
        <f>CONCATENATE(Setup!BP11,"-",Setup!BQ11)</f>
        <v>4-6</v>
      </c>
      <c r="BQ7" s="10"/>
      <c r="BR7" s="10"/>
      <c r="BS7" s="10"/>
      <c r="BT7" s="38">
        <f>mround(BT6*Setup!BT11,'Quick Setup'!$A$2)</f>
        <v>310</v>
      </c>
      <c r="BU7" s="2">
        <f>Setup!BU11</f>
        <v>6</v>
      </c>
      <c r="BV7" s="2">
        <f>Setup!BV11</f>
        <v>4</v>
      </c>
      <c r="BW7" s="2" t="str">
        <f>CONCATENATE(Setup!BW11,"-",Setup!BX11)</f>
        <v>4-6</v>
      </c>
      <c r="BX7" s="10"/>
      <c r="BY7" s="10"/>
      <c r="BZ7" s="10"/>
      <c r="CA7" s="38">
        <f>mround(CA6*Setup!CA11,'Quick Setup'!$A$2)</f>
        <v>332.5</v>
      </c>
      <c r="CB7" s="2">
        <f>Setup!CB11</f>
        <v>5</v>
      </c>
      <c r="CC7" s="2">
        <f>Setup!CC11</f>
        <v>3</v>
      </c>
      <c r="CD7" s="2" t="str">
        <f>CONCATENATE(Setup!CD11,"-",Setup!CE11)</f>
        <v>4-6</v>
      </c>
      <c r="CE7" s="10"/>
      <c r="CF7" s="10"/>
      <c r="CG7" s="10"/>
      <c r="CH7" s="38">
        <f>mround(CH6*Setup!CH11,'Quick Setup'!$A$2)</f>
        <v>357.5</v>
      </c>
      <c r="CI7" s="2">
        <f>Setup!CI11</f>
        <v>4</v>
      </c>
      <c r="CJ7" s="2">
        <f>Setup!CJ11</f>
        <v>3</v>
      </c>
      <c r="CK7" s="2" t="str">
        <f>CONCATENATE(Setup!CK11,"-",Setup!CL11)</f>
        <v>4-6</v>
      </c>
      <c r="CL7" s="10"/>
      <c r="CM7" s="10"/>
      <c r="CN7" s="10"/>
      <c r="CO7" s="38">
        <f>mround(CO6*Setup!CO11,'Quick Setup'!$A$2)</f>
        <v>230</v>
      </c>
      <c r="CP7" s="1">
        <v>5.0</v>
      </c>
      <c r="CQ7" s="1" t="s">
        <v>76</v>
      </c>
      <c r="CR7" s="2" t="str">
        <f>CONCATENATE(Setup!CR11,"-",Setup!CS11)</f>
        <v>4-6</v>
      </c>
      <c r="CS7" s="10"/>
      <c r="CT7" s="10"/>
      <c r="CU7" s="10"/>
      <c r="CV7" s="38">
        <f>mround(CV6*Setup!CV11,'Quick Setup'!$A$2)</f>
        <v>322.5</v>
      </c>
      <c r="CW7" s="2">
        <f>Setup!CW11</f>
        <v>5</v>
      </c>
      <c r="CX7" s="2">
        <f>Setup!CX11</f>
        <v>3</v>
      </c>
      <c r="CY7" s="2" t="str">
        <f>CONCATENATE(Setup!CY11,"-",Setup!CZ11)</f>
        <v>4-6</v>
      </c>
      <c r="CZ7" s="10"/>
      <c r="DA7" s="10"/>
      <c r="DB7" s="10"/>
      <c r="DC7" s="38">
        <f>mround(DC6*Setup!DC11,'Quick Setup'!$A$2)</f>
        <v>345</v>
      </c>
      <c r="DD7" s="2">
        <f>Setup!DD11</f>
        <v>4</v>
      </c>
      <c r="DE7" s="2">
        <f>Setup!DE11</f>
        <v>3</v>
      </c>
      <c r="DF7" s="2" t="str">
        <f>CONCATENATE(Setup!DF11,"-",Setup!DG11)</f>
        <v>4-6</v>
      </c>
      <c r="DG7" s="10"/>
      <c r="DH7" s="10"/>
      <c r="DI7" s="10"/>
      <c r="DJ7" s="38">
        <f>mround(DJ6*Setup!DJ11,'Quick Setup'!$A$2)</f>
        <v>367.5</v>
      </c>
      <c r="DK7" s="2">
        <f>Setup!DK11</f>
        <v>3</v>
      </c>
      <c r="DL7" s="2">
        <f>Setup!DL11</f>
        <v>2</v>
      </c>
      <c r="DM7" s="2" t="str">
        <f>CONCATENATE(Setup!DM11,"-",Setup!DN11)</f>
        <v>4-6</v>
      </c>
      <c r="DN7" s="10"/>
      <c r="DO7" s="10"/>
      <c r="DP7" s="10"/>
      <c r="DQ7" s="38">
        <f>mround(DQ6*Setup!DQ11,'Quick Setup'!$A$2)</f>
        <v>345</v>
      </c>
      <c r="DR7" s="2">
        <f>Setup!DR11</f>
        <v>4</v>
      </c>
      <c r="DS7" s="2">
        <f>Setup!DS11</f>
        <v>3</v>
      </c>
      <c r="DT7" s="2" t="str">
        <f>CONCATENATE(Setup!DT11,"-",Setup!DU11)</f>
        <v>4-6</v>
      </c>
      <c r="DU7" s="10"/>
      <c r="DV7" s="10"/>
      <c r="DW7" s="10"/>
      <c r="DX7" s="38">
        <f>mround(DX6*Setup!DX11,'Quick Setup'!$A$2)</f>
        <v>367.5</v>
      </c>
      <c r="DY7" s="2">
        <f>Setup!DY11</f>
        <v>3</v>
      </c>
      <c r="DZ7" s="2">
        <f>Setup!DZ11</f>
        <v>2</v>
      </c>
      <c r="EA7" s="2" t="str">
        <f>CONCATENATE(Setup!EA11,"-",Setup!EB11)</f>
        <v>4-6</v>
      </c>
      <c r="EB7" s="10"/>
      <c r="EC7" s="10"/>
      <c r="ED7" s="10"/>
      <c r="EE7" s="38">
        <f>mround(EE6*Setup!EE11,'Quick Setup'!$A$2)</f>
        <v>390</v>
      </c>
      <c r="EF7" s="2">
        <f>Setup!EF11</f>
        <v>2</v>
      </c>
      <c r="EG7" s="2">
        <f>Setup!EG11</f>
        <v>2</v>
      </c>
      <c r="EH7" s="2" t="str">
        <f>CONCATENATE(Setup!EH11,"-",Setup!EI11)</f>
        <v>4-6</v>
      </c>
      <c r="EI7" s="10"/>
      <c r="EJ7" s="10"/>
      <c r="EK7" s="10"/>
      <c r="EL7" s="38">
        <f>mround(EL6*Setup!EL11,'Quick Setup'!$A$2)</f>
        <v>230</v>
      </c>
      <c r="EM7" s="1">
        <v>5.0</v>
      </c>
      <c r="EN7" s="1" t="s">
        <v>76</v>
      </c>
      <c r="EO7" s="2" t="str">
        <f>CONCATENATE(Setup!EO11,"-",Setup!EP11)</f>
        <v>4-6</v>
      </c>
      <c r="EP7" s="10"/>
      <c r="EQ7" s="10"/>
      <c r="ER7" s="10"/>
    </row>
    <row r="8">
      <c r="A8" s="5"/>
      <c r="B8" s="39"/>
      <c r="C8" s="10"/>
      <c r="D8" s="10"/>
      <c r="E8" s="10"/>
      <c r="F8" s="10"/>
      <c r="G8" s="10"/>
      <c r="H8" s="10"/>
      <c r="I8" s="39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39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39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39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39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39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39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39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39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39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39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39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39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39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39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39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39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39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39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39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77</v>
      </c>
      <c r="B9" s="38"/>
      <c r="C9" s="2"/>
      <c r="D9" s="2"/>
      <c r="E9" s="2"/>
      <c r="F9" s="2"/>
      <c r="G9" s="2"/>
      <c r="H9" s="2"/>
      <c r="I9" s="38"/>
      <c r="J9" s="2"/>
      <c r="K9" s="2"/>
      <c r="L9" s="2"/>
      <c r="M9" s="2"/>
      <c r="N9" s="2"/>
      <c r="O9" s="2"/>
      <c r="P9" s="38"/>
      <c r="Q9" s="2"/>
      <c r="R9" s="2"/>
      <c r="S9" s="2"/>
      <c r="T9" s="2"/>
      <c r="U9" s="2"/>
      <c r="V9" s="2"/>
      <c r="W9" s="38"/>
      <c r="X9" s="2"/>
      <c r="Y9" s="2"/>
      <c r="Z9" s="2"/>
      <c r="AA9" s="2"/>
      <c r="AB9" s="2"/>
      <c r="AC9" s="2"/>
      <c r="AD9" s="38"/>
      <c r="AE9" s="2"/>
      <c r="AF9" s="2"/>
      <c r="AG9" s="2"/>
      <c r="AH9" s="2"/>
      <c r="AI9" s="2"/>
      <c r="AJ9" s="2"/>
      <c r="AK9" s="38"/>
      <c r="AL9" s="2"/>
      <c r="AM9" s="2"/>
      <c r="AN9" s="2"/>
      <c r="AO9" s="2"/>
      <c r="AP9" s="2"/>
      <c r="AQ9" s="2"/>
      <c r="AR9" s="38"/>
      <c r="AS9" s="2"/>
      <c r="AT9" s="2"/>
      <c r="AU9" s="2"/>
      <c r="AV9" s="2"/>
      <c r="AW9" s="2"/>
      <c r="AX9" s="2"/>
      <c r="AY9" s="38"/>
      <c r="AZ9" s="2"/>
      <c r="BA9" s="2"/>
      <c r="BB9" s="2"/>
      <c r="BC9" s="2"/>
      <c r="BD9" s="2"/>
      <c r="BE9" s="2"/>
      <c r="BF9" s="38"/>
      <c r="BG9" s="2"/>
      <c r="BH9" s="2"/>
      <c r="BI9" s="2"/>
      <c r="BJ9" s="2"/>
      <c r="BK9" s="2"/>
      <c r="BL9" s="2"/>
      <c r="BM9" s="38"/>
      <c r="BN9" s="2"/>
      <c r="BO9" s="2"/>
      <c r="BP9" s="2"/>
      <c r="BQ9" s="2"/>
      <c r="BR9" s="2"/>
      <c r="BS9" s="2"/>
      <c r="BT9" s="38"/>
      <c r="BU9" s="2"/>
      <c r="BV9" s="2"/>
      <c r="BW9" s="2"/>
      <c r="BX9" s="2"/>
      <c r="BY9" s="2"/>
      <c r="BZ9" s="2"/>
      <c r="CA9" s="38"/>
      <c r="CB9" s="2"/>
      <c r="CC9" s="2"/>
      <c r="CD9" s="2"/>
      <c r="CE9" s="2"/>
      <c r="CF9" s="2"/>
      <c r="CG9" s="2"/>
      <c r="CH9" s="38"/>
      <c r="CI9" s="2"/>
      <c r="CJ9" s="2"/>
      <c r="CK9" s="2"/>
      <c r="CL9" s="2"/>
      <c r="CM9" s="2"/>
      <c r="CN9" s="2"/>
      <c r="CO9" s="38"/>
      <c r="CP9" s="2"/>
      <c r="CQ9" s="2"/>
      <c r="CR9" s="2"/>
      <c r="CS9" s="2"/>
      <c r="CT9" s="2"/>
      <c r="CU9" s="2"/>
      <c r="CV9" s="38"/>
      <c r="CW9" s="2"/>
      <c r="CX9" s="2"/>
      <c r="CY9" s="2"/>
      <c r="CZ9" s="2"/>
      <c r="DA9" s="2"/>
      <c r="DB9" s="2"/>
      <c r="DC9" s="38"/>
      <c r="DD9" s="2"/>
      <c r="DE9" s="2"/>
      <c r="DF9" s="2"/>
      <c r="DG9" s="2"/>
      <c r="DH9" s="2"/>
      <c r="DI9" s="2"/>
      <c r="DJ9" s="38"/>
      <c r="DK9" s="2"/>
      <c r="DL9" s="2"/>
      <c r="DM9" s="2"/>
      <c r="DN9" s="2"/>
      <c r="DO9" s="2"/>
      <c r="DP9" s="2"/>
      <c r="DQ9" s="38"/>
      <c r="DR9" s="2"/>
      <c r="DS9" s="2"/>
      <c r="DT9" s="2"/>
      <c r="DU9" s="2"/>
      <c r="DV9" s="2"/>
      <c r="DW9" s="2"/>
      <c r="DX9" s="38"/>
      <c r="DY9" s="2"/>
      <c r="DZ9" s="2"/>
      <c r="EA9" s="2"/>
      <c r="EB9" s="2"/>
      <c r="EC9" s="2"/>
      <c r="ED9" s="2"/>
      <c r="EE9" s="38"/>
      <c r="EF9" s="2"/>
      <c r="EG9" s="2"/>
      <c r="EH9" s="2"/>
      <c r="EI9" s="2"/>
      <c r="EJ9" s="2"/>
      <c r="EK9" s="2"/>
      <c r="EL9" s="38"/>
      <c r="EM9" s="2"/>
      <c r="EN9" s="2"/>
      <c r="EO9" s="2"/>
      <c r="EP9" s="2"/>
      <c r="EQ9" s="2"/>
      <c r="ER9" s="2"/>
    </row>
    <row r="10">
      <c r="A10" s="40"/>
      <c r="B10" s="39"/>
      <c r="C10" s="10"/>
      <c r="D10" s="10"/>
      <c r="E10" s="10"/>
      <c r="F10" s="10"/>
      <c r="G10" s="10"/>
      <c r="H10" s="10"/>
      <c r="I10" s="39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39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39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39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39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39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39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39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39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39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39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39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39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39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39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39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39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39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39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39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0"/>
      <c r="B11" s="39"/>
      <c r="C11" s="10"/>
      <c r="D11" s="10"/>
      <c r="E11" s="10"/>
      <c r="F11" s="10"/>
      <c r="G11" s="10"/>
      <c r="H11" s="10"/>
      <c r="I11" s="39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39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39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39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39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39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39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39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39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39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39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39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39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39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39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39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39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39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39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39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1"/>
      <c r="B12" s="42"/>
      <c r="C12" s="43"/>
      <c r="D12" s="43"/>
      <c r="E12" s="43"/>
      <c r="F12" s="43"/>
      <c r="G12" s="43"/>
      <c r="H12" s="43"/>
      <c r="I12" s="42" t="str">
        <f t="shared" ref="I12:M12" si="61">B12</f>
        <v/>
      </c>
      <c r="J12" s="43" t="str">
        <f t="shared" si="61"/>
        <v/>
      </c>
      <c r="K12" s="43" t="str">
        <f t="shared" si="61"/>
        <v/>
      </c>
      <c r="L12" s="43" t="str">
        <f t="shared" si="61"/>
        <v/>
      </c>
      <c r="M12" s="43" t="str">
        <f t="shared" si="61"/>
        <v/>
      </c>
      <c r="N12" s="43"/>
      <c r="O12" s="43"/>
      <c r="P12" s="42" t="str">
        <f t="shared" ref="P12:T12" si="62">I12</f>
        <v/>
      </c>
      <c r="Q12" s="43" t="str">
        <f t="shared" si="62"/>
        <v/>
      </c>
      <c r="R12" s="43" t="str">
        <f t="shared" si="62"/>
        <v/>
      </c>
      <c r="S12" s="43" t="str">
        <f t="shared" si="62"/>
        <v/>
      </c>
      <c r="T12" s="43" t="str">
        <f t="shared" si="62"/>
        <v/>
      </c>
      <c r="U12" s="43"/>
      <c r="V12" s="43"/>
      <c r="W12" s="42" t="str">
        <f t="shared" ref="W12:AA12" si="63">P12</f>
        <v/>
      </c>
      <c r="X12" s="43" t="str">
        <f t="shared" si="63"/>
        <v/>
      </c>
      <c r="Y12" s="43" t="str">
        <f t="shared" si="63"/>
        <v/>
      </c>
      <c r="Z12" s="43" t="str">
        <f t="shared" si="63"/>
        <v/>
      </c>
      <c r="AA12" s="43" t="str">
        <f t="shared" si="63"/>
        <v/>
      </c>
      <c r="AB12" s="43"/>
      <c r="AC12" s="43"/>
      <c r="AD12" s="42" t="str">
        <f t="shared" ref="AD12:AH12" si="64">W12</f>
        <v/>
      </c>
      <c r="AE12" s="43" t="str">
        <f t="shared" si="64"/>
        <v/>
      </c>
      <c r="AF12" s="43" t="str">
        <f t="shared" si="64"/>
        <v/>
      </c>
      <c r="AG12" s="43" t="str">
        <f t="shared" si="64"/>
        <v/>
      </c>
      <c r="AH12" s="43" t="str">
        <f t="shared" si="64"/>
        <v/>
      </c>
      <c r="AI12" s="43"/>
      <c r="AJ12" s="43"/>
      <c r="AK12" s="42" t="str">
        <f t="shared" ref="AK12:AO12" si="65">AD12</f>
        <v/>
      </c>
      <c r="AL12" s="43" t="str">
        <f t="shared" si="65"/>
        <v/>
      </c>
      <c r="AM12" s="43" t="str">
        <f t="shared" si="65"/>
        <v/>
      </c>
      <c r="AN12" s="43" t="str">
        <f t="shared" si="65"/>
        <v/>
      </c>
      <c r="AO12" s="43" t="str">
        <f t="shared" si="65"/>
        <v/>
      </c>
      <c r="AP12" s="43"/>
      <c r="AQ12" s="43"/>
      <c r="AR12" s="42" t="str">
        <f t="shared" ref="AR12:AV12" si="66">AK12</f>
        <v/>
      </c>
      <c r="AS12" s="43" t="str">
        <f t="shared" si="66"/>
        <v/>
      </c>
      <c r="AT12" s="43" t="str">
        <f t="shared" si="66"/>
        <v/>
      </c>
      <c r="AU12" s="43" t="str">
        <f t="shared" si="66"/>
        <v/>
      </c>
      <c r="AV12" s="43" t="str">
        <f t="shared" si="66"/>
        <v/>
      </c>
      <c r="AW12" s="43"/>
      <c r="AX12" s="43"/>
      <c r="AY12" s="42" t="str">
        <f t="shared" ref="AY12:BC12" si="67">AR12</f>
        <v/>
      </c>
      <c r="AZ12" s="43" t="str">
        <f t="shared" si="67"/>
        <v/>
      </c>
      <c r="BA12" s="43" t="str">
        <f t="shared" si="67"/>
        <v/>
      </c>
      <c r="BB12" s="43" t="str">
        <f t="shared" si="67"/>
        <v/>
      </c>
      <c r="BC12" s="43" t="str">
        <f t="shared" si="67"/>
        <v/>
      </c>
      <c r="BD12" s="43"/>
      <c r="BE12" s="43"/>
      <c r="BF12" s="42" t="str">
        <f t="shared" ref="BF12:BJ12" si="68">AY12</f>
        <v/>
      </c>
      <c r="BG12" s="43" t="str">
        <f t="shared" si="68"/>
        <v/>
      </c>
      <c r="BH12" s="43" t="str">
        <f t="shared" si="68"/>
        <v/>
      </c>
      <c r="BI12" s="43" t="str">
        <f t="shared" si="68"/>
        <v/>
      </c>
      <c r="BJ12" s="43" t="str">
        <f t="shared" si="68"/>
        <v/>
      </c>
      <c r="BK12" s="43"/>
      <c r="BL12" s="43"/>
      <c r="BM12" s="42" t="str">
        <f t="shared" ref="BM12:BQ12" si="69">BF12</f>
        <v/>
      </c>
      <c r="BN12" s="43" t="str">
        <f t="shared" si="69"/>
        <v/>
      </c>
      <c r="BO12" s="43" t="str">
        <f t="shared" si="69"/>
        <v/>
      </c>
      <c r="BP12" s="43" t="str">
        <f t="shared" si="69"/>
        <v/>
      </c>
      <c r="BQ12" s="43" t="str">
        <f t="shared" si="69"/>
        <v/>
      </c>
      <c r="BR12" s="43"/>
      <c r="BS12" s="43"/>
      <c r="BT12" s="42" t="str">
        <f t="shared" ref="BT12:BX12" si="70">BM12</f>
        <v/>
      </c>
      <c r="BU12" s="43" t="str">
        <f t="shared" si="70"/>
        <v/>
      </c>
      <c r="BV12" s="43" t="str">
        <f t="shared" si="70"/>
        <v/>
      </c>
      <c r="BW12" s="43" t="str">
        <f t="shared" si="70"/>
        <v/>
      </c>
      <c r="BX12" s="43" t="str">
        <f t="shared" si="70"/>
        <v/>
      </c>
      <c r="BY12" s="43"/>
      <c r="BZ12" s="43"/>
      <c r="CA12" s="42" t="str">
        <f t="shared" ref="CA12:CE12" si="71">BT12</f>
        <v/>
      </c>
      <c r="CB12" s="43" t="str">
        <f t="shared" si="71"/>
        <v/>
      </c>
      <c r="CC12" s="43" t="str">
        <f t="shared" si="71"/>
        <v/>
      </c>
      <c r="CD12" s="43" t="str">
        <f t="shared" si="71"/>
        <v/>
      </c>
      <c r="CE12" s="43" t="str">
        <f t="shared" si="71"/>
        <v/>
      </c>
      <c r="CF12" s="43"/>
      <c r="CG12" s="43"/>
      <c r="CH12" s="42" t="str">
        <f t="shared" ref="CH12:CL12" si="72">CA12</f>
        <v/>
      </c>
      <c r="CI12" s="43" t="str">
        <f t="shared" si="72"/>
        <v/>
      </c>
      <c r="CJ12" s="43" t="str">
        <f t="shared" si="72"/>
        <v/>
      </c>
      <c r="CK12" s="43" t="str">
        <f t="shared" si="72"/>
        <v/>
      </c>
      <c r="CL12" s="43" t="str">
        <f t="shared" si="72"/>
        <v/>
      </c>
      <c r="CM12" s="43"/>
      <c r="CN12" s="43"/>
      <c r="CO12" s="42" t="str">
        <f t="shared" ref="CO12:CS12" si="73">CH12</f>
        <v/>
      </c>
      <c r="CP12" s="43" t="str">
        <f t="shared" si="73"/>
        <v/>
      </c>
      <c r="CQ12" s="43" t="str">
        <f t="shared" si="73"/>
        <v/>
      </c>
      <c r="CR12" s="43" t="str">
        <f t="shared" si="73"/>
        <v/>
      </c>
      <c r="CS12" s="43" t="str">
        <f t="shared" si="73"/>
        <v/>
      </c>
      <c r="CT12" s="43"/>
      <c r="CU12" s="43"/>
      <c r="CV12" s="42" t="str">
        <f t="shared" ref="CV12:CZ12" si="74">CO12</f>
        <v/>
      </c>
      <c r="CW12" s="43" t="str">
        <f t="shared" si="74"/>
        <v/>
      </c>
      <c r="CX12" s="43" t="str">
        <f t="shared" si="74"/>
        <v/>
      </c>
      <c r="CY12" s="43" t="str">
        <f t="shared" si="74"/>
        <v/>
      </c>
      <c r="CZ12" s="43" t="str">
        <f t="shared" si="74"/>
        <v/>
      </c>
      <c r="DA12" s="43"/>
      <c r="DB12" s="43"/>
      <c r="DC12" s="42" t="str">
        <f t="shared" ref="DC12:DG12" si="75">CV12</f>
        <v/>
      </c>
      <c r="DD12" s="43" t="str">
        <f t="shared" si="75"/>
        <v/>
      </c>
      <c r="DE12" s="43" t="str">
        <f t="shared" si="75"/>
        <v/>
      </c>
      <c r="DF12" s="43" t="str">
        <f t="shared" si="75"/>
        <v/>
      </c>
      <c r="DG12" s="43" t="str">
        <f t="shared" si="75"/>
        <v/>
      </c>
      <c r="DH12" s="43"/>
      <c r="DI12" s="43"/>
      <c r="DJ12" s="42" t="str">
        <f t="shared" ref="DJ12:DN12" si="76">DC12</f>
        <v/>
      </c>
      <c r="DK12" s="43" t="str">
        <f t="shared" si="76"/>
        <v/>
      </c>
      <c r="DL12" s="43" t="str">
        <f t="shared" si="76"/>
        <v/>
      </c>
      <c r="DM12" s="43" t="str">
        <f t="shared" si="76"/>
        <v/>
      </c>
      <c r="DN12" s="43" t="str">
        <f t="shared" si="76"/>
        <v/>
      </c>
      <c r="DO12" s="43"/>
      <c r="DP12" s="43"/>
      <c r="DQ12" s="42" t="str">
        <f t="shared" ref="DQ12:DU12" si="77">DJ12</f>
        <v/>
      </c>
      <c r="DR12" s="43" t="str">
        <f t="shared" si="77"/>
        <v/>
      </c>
      <c r="DS12" s="43" t="str">
        <f t="shared" si="77"/>
        <v/>
      </c>
      <c r="DT12" s="43" t="str">
        <f t="shared" si="77"/>
        <v/>
      </c>
      <c r="DU12" s="43" t="str">
        <f t="shared" si="77"/>
        <v/>
      </c>
      <c r="DV12" s="43"/>
      <c r="DW12" s="43"/>
      <c r="DX12" s="42" t="str">
        <f t="shared" ref="DX12:EB12" si="78">DQ12</f>
        <v/>
      </c>
      <c r="DY12" s="43" t="str">
        <f t="shared" si="78"/>
        <v/>
      </c>
      <c r="DZ12" s="43" t="str">
        <f t="shared" si="78"/>
        <v/>
      </c>
      <c r="EA12" s="43" t="str">
        <f t="shared" si="78"/>
        <v/>
      </c>
      <c r="EB12" s="43" t="str">
        <f t="shared" si="78"/>
        <v/>
      </c>
      <c r="EC12" s="43"/>
      <c r="ED12" s="43"/>
      <c r="EE12" s="42" t="str">
        <f t="shared" ref="EE12:EI12" si="79">DX12</f>
        <v/>
      </c>
      <c r="EF12" s="43" t="str">
        <f t="shared" si="79"/>
        <v/>
      </c>
      <c r="EG12" s="43" t="str">
        <f t="shared" si="79"/>
        <v/>
      </c>
      <c r="EH12" s="43" t="str">
        <f t="shared" si="79"/>
        <v/>
      </c>
      <c r="EI12" s="43" t="str">
        <f t="shared" si="79"/>
        <v/>
      </c>
      <c r="EJ12" s="43"/>
      <c r="EK12" s="43"/>
      <c r="EL12" s="42" t="str">
        <f t="shared" ref="EL12:EP12" si="80">EE12</f>
        <v/>
      </c>
      <c r="EM12" s="43" t="str">
        <f t="shared" si="80"/>
        <v/>
      </c>
      <c r="EN12" s="43" t="str">
        <f t="shared" si="80"/>
        <v/>
      </c>
      <c r="EO12" s="43" t="str">
        <f t="shared" si="80"/>
        <v/>
      </c>
      <c r="EP12" s="43" t="str">
        <f t="shared" si="80"/>
        <v/>
      </c>
      <c r="EQ12" s="43"/>
      <c r="ER12" s="43"/>
    </row>
    <row r="13">
      <c r="A13" s="2"/>
      <c r="B13" s="38"/>
      <c r="C13" s="2"/>
      <c r="D13" s="2"/>
      <c r="E13" s="2"/>
      <c r="F13" s="2"/>
      <c r="G13" s="2"/>
      <c r="H13" s="2"/>
      <c r="I13" s="38"/>
      <c r="J13" s="2"/>
      <c r="K13" s="2"/>
      <c r="L13" s="2"/>
      <c r="M13" s="2"/>
      <c r="N13" s="2"/>
      <c r="O13" s="2"/>
      <c r="P13" s="38"/>
      <c r="Q13" s="2"/>
      <c r="R13" s="2"/>
      <c r="S13" s="2"/>
      <c r="T13" s="2"/>
      <c r="U13" s="2"/>
      <c r="V13" s="2"/>
      <c r="W13" s="38"/>
      <c r="X13" s="2"/>
      <c r="Y13" s="2"/>
      <c r="Z13" s="2"/>
      <c r="AA13" s="2"/>
      <c r="AB13" s="2"/>
      <c r="AC13" s="2"/>
      <c r="AD13" s="38"/>
      <c r="AE13" s="2"/>
      <c r="AF13" s="2"/>
      <c r="AG13" s="2"/>
      <c r="AH13" s="2"/>
      <c r="AI13" s="2"/>
      <c r="AJ13" s="2"/>
      <c r="AK13" s="38"/>
      <c r="AL13" s="2"/>
      <c r="AM13" s="2"/>
      <c r="AN13" s="2"/>
      <c r="AO13" s="2"/>
      <c r="AP13" s="2"/>
      <c r="AQ13" s="2"/>
      <c r="AR13" s="38"/>
      <c r="AS13" s="2"/>
      <c r="AT13" s="2"/>
      <c r="AU13" s="2"/>
      <c r="AV13" s="2"/>
      <c r="AW13" s="2"/>
      <c r="AX13" s="2"/>
      <c r="AY13" s="38"/>
      <c r="AZ13" s="2"/>
      <c r="BA13" s="2"/>
      <c r="BB13" s="2"/>
      <c r="BC13" s="2"/>
      <c r="BD13" s="2"/>
      <c r="BE13" s="2"/>
      <c r="BF13" s="38"/>
      <c r="BG13" s="2"/>
      <c r="BH13" s="2"/>
      <c r="BI13" s="2"/>
      <c r="BJ13" s="2"/>
      <c r="BK13" s="2"/>
      <c r="BL13" s="2"/>
      <c r="BM13" s="38"/>
      <c r="BN13" s="2"/>
      <c r="BO13" s="2"/>
      <c r="BP13" s="2"/>
      <c r="BQ13" s="2"/>
      <c r="BR13" s="2"/>
      <c r="BS13" s="2"/>
      <c r="BT13" s="38"/>
      <c r="BU13" s="2"/>
      <c r="BV13" s="2"/>
      <c r="BW13" s="2"/>
      <c r="BX13" s="2"/>
      <c r="BY13" s="2"/>
      <c r="BZ13" s="2"/>
      <c r="CA13" s="38"/>
      <c r="CB13" s="2"/>
      <c r="CC13" s="2"/>
      <c r="CD13" s="2"/>
      <c r="CE13" s="2"/>
      <c r="CF13" s="2"/>
      <c r="CG13" s="2"/>
      <c r="CH13" s="38"/>
      <c r="CI13" s="2"/>
      <c r="CJ13" s="2"/>
      <c r="CK13" s="2"/>
      <c r="CL13" s="2"/>
      <c r="CM13" s="2"/>
      <c r="CN13" s="2"/>
      <c r="CO13" s="38"/>
      <c r="CP13" s="2"/>
      <c r="CQ13" s="2"/>
      <c r="CR13" s="2"/>
      <c r="CS13" s="2"/>
      <c r="CT13" s="2"/>
      <c r="CU13" s="2"/>
      <c r="CV13" s="38"/>
      <c r="CW13" s="2"/>
      <c r="CX13" s="2"/>
      <c r="CY13" s="2"/>
      <c r="CZ13" s="2"/>
      <c r="DA13" s="2"/>
      <c r="DB13" s="2"/>
      <c r="DC13" s="38"/>
      <c r="DD13" s="2"/>
      <c r="DE13" s="2"/>
      <c r="DF13" s="2"/>
      <c r="DG13" s="2"/>
      <c r="DH13" s="2"/>
      <c r="DI13" s="2"/>
      <c r="DJ13" s="38"/>
      <c r="DK13" s="2"/>
      <c r="DL13" s="2"/>
      <c r="DM13" s="2"/>
      <c r="DN13" s="2"/>
      <c r="DO13" s="2"/>
      <c r="DP13" s="2"/>
      <c r="DQ13" s="38"/>
      <c r="DR13" s="2"/>
      <c r="DS13" s="2"/>
      <c r="DT13" s="2"/>
      <c r="DU13" s="2"/>
      <c r="DV13" s="2"/>
      <c r="DW13" s="2"/>
      <c r="DX13" s="38"/>
      <c r="DY13" s="2"/>
      <c r="DZ13" s="2"/>
      <c r="EA13" s="2"/>
      <c r="EB13" s="2"/>
      <c r="EC13" s="2"/>
      <c r="ED13" s="2"/>
      <c r="EE13" s="38"/>
      <c r="EF13" s="2"/>
      <c r="EG13" s="2"/>
      <c r="EH13" s="2"/>
      <c r="EI13" s="2"/>
      <c r="EJ13" s="2"/>
      <c r="EK13" s="2"/>
      <c r="EL13" s="38"/>
      <c r="EM13" s="2"/>
      <c r="EN13" s="2"/>
      <c r="EO13" s="2"/>
      <c r="EP13" s="2"/>
      <c r="EQ13" s="2"/>
      <c r="ER13" s="2"/>
    </row>
    <row r="14">
      <c r="A14" s="28" t="s">
        <v>78</v>
      </c>
      <c r="B14" s="29"/>
      <c r="C14" s="30"/>
      <c r="D14" s="30"/>
      <c r="E14" s="30"/>
      <c r="F14" s="30"/>
      <c r="G14" s="30"/>
      <c r="H14" s="30"/>
      <c r="I14" s="29"/>
      <c r="J14" s="30"/>
      <c r="K14" s="30"/>
      <c r="L14" s="30"/>
      <c r="M14" s="30"/>
      <c r="N14" s="30"/>
      <c r="O14" s="30"/>
      <c r="P14" s="29"/>
      <c r="Q14" s="30"/>
      <c r="R14" s="30"/>
      <c r="S14" s="30"/>
      <c r="T14" s="30"/>
      <c r="U14" s="30"/>
      <c r="V14" s="30"/>
      <c r="W14" s="29"/>
      <c r="X14" s="30"/>
      <c r="Y14" s="30"/>
      <c r="Z14" s="30"/>
      <c r="AA14" s="30"/>
      <c r="AB14" s="30"/>
      <c r="AC14" s="30"/>
      <c r="AD14" s="29"/>
      <c r="AE14" s="30"/>
      <c r="AF14" s="30"/>
      <c r="AG14" s="30"/>
      <c r="AH14" s="30"/>
      <c r="AI14" s="30"/>
      <c r="AJ14" s="30"/>
      <c r="AK14" s="29"/>
      <c r="AL14" s="30"/>
      <c r="AM14" s="30"/>
      <c r="AN14" s="30"/>
      <c r="AO14" s="30"/>
      <c r="AP14" s="30"/>
      <c r="AQ14" s="30"/>
      <c r="AR14" s="29"/>
      <c r="AS14" s="30"/>
      <c r="AT14" s="30"/>
      <c r="AU14" s="30"/>
      <c r="AV14" s="30"/>
      <c r="AW14" s="30"/>
      <c r="AX14" s="30"/>
      <c r="AY14" s="29"/>
      <c r="AZ14" s="30"/>
      <c r="BA14" s="30"/>
      <c r="BB14" s="30"/>
      <c r="BC14" s="30"/>
      <c r="BD14" s="30"/>
      <c r="BE14" s="30"/>
      <c r="BF14" s="29"/>
      <c r="BG14" s="30"/>
      <c r="BH14" s="30"/>
      <c r="BI14" s="30"/>
      <c r="BJ14" s="30"/>
      <c r="BK14" s="30"/>
      <c r="BL14" s="30"/>
      <c r="BM14" s="29"/>
      <c r="BN14" s="30"/>
      <c r="BO14" s="30"/>
      <c r="BP14" s="30"/>
      <c r="BQ14" s="30"/>
      <c r="BR14" s="30"/>
      <c r="BS14" s="30"/>
      <c r="BT14" s="29"/>
      <c r="BU14" s="30"/>
      <c r="BV14" s="30"/>
      <c r="BW14" s="30"/>
      <c r="BX14" s="30"/>
      <c r="BY14" s="30"/>
      <c r="BZ14" s="30"/>
      <c r="CA14" s="29"/>
      <c r="CB14" s="30"/>
      <c r="CC14" s="30"/>
      <c r="CD14" s="30"/>
      <c r="CE14" s="30"/>
      <c r="CF14" s="30"/>
      <c r="CG14" s="30"/>
      <c r="CH14" s="29"/>
      <c r="CI14" s="30"/>
      <c r="CJ14" s="30"/>
      <c r="CK14" s="30"/>
      <c r="CL14" s="30"/>
      <c r="CM14" s="30"/>
      <c r="CN14" s="30"/>
      <c r="CO14" s="29"/>
      <c r="CP14" s="30"/>
      <c r="CQ14" s="30"/>
      <c r="CR14" s="30"/>
      <c r="CS14" s="30"/>
      <c r="CT14" s="30"/>
      <c r="CU14" s="30"/>
      <c r="CV14" s="29"/>
      <c r="CW14" s="30"/>
      <c r="CX14" s="30"/>
      <c r="CY14" s="30"/>
      <c r="CZ14" s="30"/>
      <c r="DA14" s="30"/>
      <c r="DB14" s="30"/>
      <c r="DC14" s="29"/>
      <c r="DD14" s="30"/>
      <c r="DE14" s="30"/>
      <c r="DF14" s="30"/>
      <c r="DG14" s="30"/>
      <c r="DH14" s="30"/>
      <c r="DI14" s="30"/>
      <c r="DJ14" s="29"/>
      <c r="DK14" s="30"/>
      <c r="DL14" s="30"/>
      <c r="DM14" s="30"/>
      <c r="DN14" s="30"/>
      <c r="DO14" s="30"/>
      <c r="DP14" s="30"/>
      <c r="DQ14" s="29"/>
      <c r="DR14" s="30"/>
      <c r="DS14" s="30"/>
      <c r="DT14" s="30"/>
      <c r="DU14" s="30"/>
      <c r="DV14" s="30"/>
      <c r="DW14" s="30"/>
      <c r="DX14" s="29"/>
      <c r="DY14" s="30"/>
      <c r="DZ14" s="30"/>
      <c r="EA14" s="30"/>
      <c r="EB14" s="30"/>
      <c r="EC14" s="30"/>
      <c r="ED14" s="30"/>
      <c r="EE14" s="31" t="s">
        <v>75</v>
      </c>
      <c r="EF14" s="32"/>
      <c r="EG14" s="32"/>
      <c r="EH14" s="32"/>
      <c r="EI14" s="32"/>
      <c r="EJ14" s="32"/>
      <c r="EK14" s="32"/>
      <c r="EL14" s="29"/>
      <c r="EM14" s="30"/>
      <c r="EN14" s="30"/>
      <c r="EO14" s="30"/>
      <c r="EP14" s="30"/>
      <c r="EQ14" s="30"/>
      <c r="ER14" s="30"/>
    </row>
    <row r="15" hidden="1">
      <c r="A15" s="33" t="str">
        <f>CONCATENATE(A16," TM")</f>
        <v>Bench Press TM</v>
      </c>
      <c r="B15" s="34">
        <f>if(D15="",'Quick Setup'!D6,D15/'Quick Setup'!E6)</f>
        <v>325</v>
      </c>
      <c r="C15" s="35" t="s">
        <v>73</v>
      </c>
      <c r="D15" s="36"/>
      <c r="E15" s="37"/>
      <c r="F15" s="37"/>
      <c r="G15" s="37"/>
      <c r="H15" s="37"/>
      <c r="I15" s="34">
        <f>if(K15="", if(F16&lt;&gt;"", if(F16&gt;Setup!F5,B15*(1+Setup!G5),if(F16&lt;Setup!E5,B15*(1+Setup!H5),B15)),B15),K15/'Quick Setup'!$E6)</f>
        <v>325</v>
      </c>
      <c r="J15" s="35" t="s">
        <v>73</v>
      </c>
      <c r="K15" s="36"/>
      <c r="L15" s="37"/>
      <c r="M15" s="37"/>
      <c r="N15" s="37"/>
      <c r="O15" s="37"/>
      <c r="P15" s="34">
        <f>if(R15="", if(M16&lt;&gt;"", if(M16&gt;Setup!M5,I15*(1+Setup!N5),if(M16&lt;Setup!L5,I15*(1+Setup!O5),I15)),I15),R15/'Quick Setup'!$E6)</f>
        <v>325</v>
      </c>
      <c r="Q15" s="35" t="s">
        <v>73</v>
      </c>
      <c r="R15" s="36"/>
      <c r="S15" s="37"/>
      <c r="T15" s="37"/>
      <c r="U15" s="37"/>
      <c r="V15" s="37"/>
      <c r="W15" s="34">
        <f>if(Y15="", if(T16&lt;&gt;"", if(T16&gt;Setup!T5,P15*(1+Setup!U5),if(T16&lt;Setup!S5,P15*(1+Setup!V5),P15)),P15),Y15/'Quick Setup'!$E6)</f>
        <v>325</v>
      </c>
      <c r="X15" s="35" t="s">
        <v>73</v>
      </c>
      <c r="Y15" s="36"/>
      <c r="Z15" s="37"/>
      <c r="AA15" s="37"/>
      <c r="AB15" s="37"/>
      <c r="AC15" s="37"/>
      <c r="AD15" s="34">
        <f>if(AF15="", if(AA16&lt;&gt;"", if(AA16&gt;Setup!AA5,W15*(1+Setup!AB5),if(AA16&lt;Setup!Z5,W15*(1+Setup!AC5),W15)),W15),AF15/'Quick Setup'!$E6)</f>
        <v>325</v>
      </c>
      <c r="AE15" s="35" t="s">
        <v>73</v>
      </c>
      <c r="AF15" s="36"/>
      <c r="AG15" s="37"/>
      <c r="AH15" s="37"/>
      <c r="AI15" s="37"/>
      <c r="AJ15" s="37"/>
      <c r="AK15" s="34">
        <f>if(AM15="", if(AH16&lt;&gt;"", if(AH16&gt;Setup!AH5,AD15*(1+Setup!AI5),if(AH16&lt;Setup!AG5,AD15*(1+Setup!AJ5),AD15)),AD15),AM15/'Quick Setup'!$E6)</f>
        <v>325</v>
      </c>
      <c r="AL15" s="35" t="s">
        <v>73</v>
      </c>
      <c r="AM15" s="36"/>
      <c r="AN15" s="37"/>
      <c r="AO15" s="37"/>
      <c r="AP15" s="37"/>
      <c r="AQ15" s="37"/>
      <c r="AR15" s="34">
        <f>if(AT15="", if(AO16&lt;&gt;"", if(AO16&gt;Setup!AO5,AK15*(1+Setup!AP5),if(AO16&lt;Setup!AN5,AK15*(1+Setup!AQ5),AK15)),AK15),AT15/'Quick Setup'!$E6)</f>
        <v>325</v>
      </c>
      <c r="AS15" s="35" t="s">
        <v>73</v>
      </c>
      <c r="AT15" s="36"/>
      <c r="AU15" s="37"/>
      <c r="AV15" s="37"/>
      <c r="AW15" s="37"/>
      <c r="AX15" s="37"/>
      <c r="AY15" s="34">
        <f>if(BA15="",AR15,BA15/'Quick Setup'!$E6)</f>
        <v>325</v>
      </c>
      <c r="AZ15" s="35" t="s">
        <v>73</v>
      </c>
      <c r="BA15" s="36"/>
      <c r="BB15" s="37"/>
      <c r="BC15" s="37"/>
      <c r="BD15" s="37"/>
      <c r="BE15" s="37"/>
      <c r="BF15" s="34">
        <f>if(BH15="", if(BC16&lt;&gt;"", if(BC16&gt;Setup!BC5,AY15*(1+Setup!BD5),if(BC16&lt;Setup!BB5,AY15*(1+Setup!BE5),AY15)),AY15),BH15/'Quick Setup'!$E6)</f>
        <v>325</v>
      </c>
      <c r="BG15" s="35" t="s">
        <v>73</v>
      </c>
      <c r="BH15" s="36"/>
      <c r="BI15" s="37"/>
      <c r="BJ15" s="37"/>
      <c r="BK15" s="37"/>
      <c r="BL15" s="37"/>
      <c r="BM15" s="34">
        <f>if(BO15="", if(BJ16&lt;&gt;"", if(BJ16&gt;Setup!BJ5,BF15*(1+Setup!BK5),if(BJ16&lt;Setup!BI5,BF15*(1+Setup!BL5),BF15)),BF15),BO15/'Quick Setup'!$E6)</f>
        <v>325</v>
      </c>
      <c r="BN15" s="35" t="s">
        <v>73</v>
      </c>
      <c r="BO15" s="36"/>
      <c r="BP15" s="37"/>
      <c r="BQ15" s="37"/>
      <c r="BR15" s="37"/>
      <c r="BS15" s="37"/>
      <c r="BT15" s="34">
        <f>if(BV15="", if(BQ16&lt;&gt;"", if(BQ16&gt;Setup!BQ5,BM15*(1+Setup!BR5),if(BQ16&lt;Setup!BP5,BM15*(1+Setup!BS5),BM15)),BM15),BV15/'Quick Setup'!$E6)</f>
        <v>325</v>
      </c>
      <c r="BU15" s="35" t="s">
        <v>73</v>
      </c>
      <c r="BV15" s="36"/>
      <c r="BW15" s="37"/>
      <c r="BX15" s="37"/>
      <c r="BY15" s="37"/>
      <c r="BZ15" s="37"/>
      <c r="CA15" s="34">
        <f>if(CC15="", if(BX16&lt;&gt;"", if(BX16&gt;Setup!BX5,BT15*(1+Setup!BY5),if(BX16&lt;Setup!BW5,BT15*(1+Setup!BZ5),BT15)),BT15),CC15/'Quick Setup'!$E6)</f>
        <v>325</v>
      </c>
      <c r="CB15" s="35" t="s">
        <v>73</v>
      </c>
      <c r="CC15" s="36"/>
      <c r="CD15" s="37"/>
      <c r="CE15" s="37"/>
      <c r="CF15" s="37"/>
      <c r="CG15" s="37"/>
      <c r="CH15" s="34">
        <f>if(CJ15="", if(CE16&lt;&gt;"", if(CE16&gt;Setup!CE5,CA15*(1+Setup!CF5),if(CE16&lt;Setup!CD5,CA15*(1+Setup!CG5),CA15)),CA15),CJ15/'Quick Setup'!$E6)</f>
        <v>325</v>
      </c>
      <c r="CI15" s="35" t="s">
        <v>73</v>
      </c>
      <c r="CJ15" s="36"/>
      <c r="CK15" s="37"/>
      <c r="CL15" s="37"/>
      <c r="CM15" s="37"/>
      <c r="CN15" s="37"/>
      <c r="CO15" s="34">
        <f>if(CQ15="", if(CL16&lt;&gt;"", if(CL16&gt;Setup!CL5,CH15*(1+Setup!CM5),if(CL16&lt;Setup!CK5,CH15*(1+Setup!CN5),CH15)),CH15),CQ15/'Quick Setup'!$E6)</f>
        <v>325</v>
      </c>
      <c r="CP15" s="35" t="s">
        <v>73</v>
      </c>
      <c r="CQ15" s="36"/>
      <c r="CR15" s="37"/>
      <c r="CS15" s="37"/>
      <c r="CT15" s="37"/>
      <c r="CU15" s="37"/>
      <c r="CV15" s="34">
        <f>if(CX15="",CO15,CX15/'Quick Setup'!$E6)</f>
        <v>325</v>
      </c>
      <c r="CW15" s="35" t="s">
        <v>73</v>
      </c>
      <c r="CX15" s="36"/>
      <c r="CY15" s="37"/>
      <c r="CZ15" s="37"/>
      <c r="DA15" s="37"/>
      <c r="DB15" s="37"/>
      <c r="DC15" s="34">
        <f>if(DE15="", if(CZ16&lt;&gt;"", if(CZ16&gt;Setup!CZ5,CV15*(1+Setup!DA5),if(CZ16&lt;Setup!CY5,CV15*(1+Setup!DB5),CV15)),CV15),DE15/'Quick Setup'!$E6)</f>
        <v>325</v>
      </c>
      <c r="DD15" s="35" t="s">
        <v>73</v>
      </c>
      <c r="DE15" s="36"/>
      <c r="DF15" s="37"/>
      <c r="DG15" s="37"/>
      <c r="DH15" s="37"/>
      <c r="DI15" s="37"/>
      <c r="DJ15" s="34">
        <f>if(DL15="", if(DG16&lt;&gt;"", if(DG16&gt;Setup!DG5,DC15*(1+Setup!DH5),if(DG16&lt;Setup!DF5,DC15*(1+Setup!DI5),DC15)),DC15),DL15/'Quick Setup'!$E6)</f>
        <v>325</v>
      </c>
      <c r="DK15" s="35" t="s">
        <v>73</v>
      </c>
      <c r="DL15" s="36"/>
      <c r="DM15" s="37"/>
      <c r="DN15" s="37"/>
      <c r="DO15" s="37"/>
      <c r="DP15" s="37"/>
      <c r="DQ15" s="34">
        <f>if(DS15="", if(DN16&lt;&gt;"", if(DN16&gt;Setup!DN5,DJ15*(1+Setup!DO5),if(DN16&lt;Setup!DM5,DJ15*(1+Setup!DP5),DJ15)),DJ15),DS15/'Quick Setup'!$E6)</f>
        <v>325</v>
      </c>
      <c r="DR15" s="35" t="s">
        <v>73</v>
      </c>
      <c r="DS15" s="36"/>
      <c r="DT15" s="37"/>
      <c r="DU15" s="37"/>
      <c r="DV15" s="37"/>
      <c r="DW15" s="37"/>
      <c r="DX15" s="34">
        <f>if(DZ15="", if(DU16&lt;&gt;"", if(DU16&gt;Setup!DU5,DQ15*(1+Setup!DV5),if(DU16&lt;Setup!DT5,DQ15*(1+Setup!DW5),DQ15)),DQ15),DZ15/'Quick Setup'!$E6)</f>
        <v>325</v>
      </c>
      <c r="DY15" s="35" t="s">
        <v>73</v>
      </c>
      <c r="DZ15" s="36"/>
      <c r="EA15" s="37"/>
      <c r="EB15" s="37"/>
      <c r="EC15" s="37"/>
      <c r="ED15" s="37"/>
      <c r="EE15" s="34">
        <f>if(EG15="", if(EB16&lt;&gt;"", if(EB16&gt;Setup!EB5,DX15*(1+Setup!EC5),if(EB16&lt;Setup!EA5,DX15*(1+Setup!ED5),DX15)),DX15),EG15/'Quick Setup'!$E6)</f>
        <v>325</v>
      </c>
      <c r="EF15" s="35" t="s">
        <v>73</v>
      </c>
      <c r="EG15" s="36"/>
      <c r="EH15" s="37"/>
      <c r="EI15" s="37"/>
      <c r="EJ15" s="37"/>
      <c r="EK15" s="37"/>
      <c r="EL15" s="34">
        <f>if(EN15="", if(EI16&lt;&gt;"", if(EI16&gt;Setup!EI5,EE15*(1+Setup!EJ5),if(EI16&lt;Setup!EH5,EE15*(1+Setup!EK5),EE15)),EE15),EN15/'Quick Setup'!$E6)</f>
        <v>325</v>
      </c>
      <c r="EM15" s="35" t="s">
        <v>73</v>
      </c>
      <c r="EN15" s="36"/>
      <c r="EO15" s="37"/>
      <c r="EP15" s="37"/>
      <c r="EQ15" s="37"/>
      <c r="ER15" s="37"/>
    </row>
    <row r="16">
      <c r="A16" s="1" t="str">
        <f>Setup!A5</f>
        <v>Bench Press</v>
      </c>
      <c r="B16" s="38">
        <f>mround(B15*Setup!B5,'Quick Setup'!$A$2)</f>
        <v>227.5</v>
      </c>
      <c r="C16" s="2">
        <f>Setup!C5</f>
        <v>5</v>
      </c>
      <c r="D16" s="2">
        <f>Setup!D5</f>
        <v>3</v>
      </c>
      <c r="E16" s="2" t="str">
        <f>CONCATENATE(Setup!E5,"-",Setup!F5)</f>
        <v>4-6</v>
      </c>
      <c r="F16" s="10"/>
      <c r="G16" s="10"/>
      <c r="H16" s="10"/>
      <c r="I16" s="38">
        <f>mround(I15*Setup!I5,'Quick Setup'!$A$2)</f>
        <v>245</v>
      </c>
      <c r="J16" s="2">
        <f>Setup!J5</f>
        <v>4</v>
      </c>
      <c r="K16" s="2">
        <f>Setup!K5</f>
        <v>3</v>
      </c>
      <c r="L16" s="2" t="str">
        <f>CONCATENATE(Setup!L5,"-",Setup!M5)</f>
        <v>4-6</v>
      </c>
      <c r="M16" s="10"/>
      <c r="N16" s="10"/>
      <c r="O16" s="10"/>
      <c r="P16" s="38">
        <f>mround(P15*Setup!P5,'Quick Setup'!$A$2)</f>
        <v>260</v>
      </c>
      <c r="Q16" s="2">
        <f>Setup!Q5</f>
        <v>3</v>
      </c>
      <c r="R16" s="2">
        <f>Setup!R5</f>
        <v>2</v>
      </c>
      <c r="S16" s="2" t="str">
        <f>CONCATENATE(Setup!S5,"-",Setup!T5)</f>
        <v>4-6</v>
      </c>
      <c r="T16" s="10"/>
      <c r="U16" s="10"/>
      <c r="V16" s="10"/>
      <c r="W16" s="38">
        <f>mround(W15*Setup!W5,'Quick Setup'!$A$2)</f>
        <v>235</v>
      </c>
      <c r="X16" s="2">
        <f>Setup!X5</f>
        <v>5</v>
      </c>
      <c r="Y16" s="2">
        <f>Setup!Y5</f>
        <v>3</v>
      </c>
      <c r="Z16" s="2" t="str">
        <f>CONCATENATE(Setup!Z5,"-",Setup!AA5)</f>
        <v>4-6</v>
      </c>
      <c r="AA16" s="10"/>
      <c r="AB16" s="10"/>
      <c r="AC16" s="10"/>
      <c r="AD16" s="38">
        <f>mround(AD15*Setup!AD5,'Quick Setup'!$A$2)</f>
        <v>252.5</v>
      </c>
      <c r="AE16" s="2">
        <f>Setup!AE5</f>
        <v>4</v>
      </c>
      <c r="AF16" s="2">
        <f>Setup!AF5</f>
        <v>3</v>
      </c>
      <c r="AG16" s="2" t="str">
        <f>CONCATENATE(Setup!AG5,"-",Setup!AH5)</f>
        <v>4-6</v>
      </c>
      <c r="AH16" s="10"/>
      <c r="AI16" s="10"/>
      <c r="AJ16" s="10"/>
      <c r="AK16" s="38">
        <f>mround(AK15*Setup!AK5,'Quick Setup'!$A$2)</f>
        <v>267.5</v>
      </c>
      <c r="AL16" s="2">
        <f>Setup!AL5</f>
        <v>3</v>
      </c>
      <c r="AM16" s="2">
        <f>Setup!AM5</f>
        <v>2</v>
      </c>
      <c r="AN16" s="2" t="str">
        <f>CONCATENATE(Setup!AN5,"-",Setup!AO5)</f>
        <v>4-6</v>
      </c>
      <c r="AO16" s="10"/>
      <c r="AP16" s="10"/>
      <c r="AQ16" s="10"/>
      <c r="AR16" s="38">
        <f>mround(AR15*Setup!AR5,'Quick Setup'!$A$2)</f>
        <v>195</v>
      </c>
      <c r="AS16" s="1">
        <v>5.0</v>
      </c>
      <c r="AT16" s="1" t="s">
        <v>76</v>
      </c>
      <c r="AU16" s="2" t="str">
        <f>CONCATENATE(Setup!AU5,"-",Setup!AV5)</f>
        <v>4-6</v>
      </c>
      <c r="AV16" s="10"/>
      <c r="AW16" s="10"/>
      <c r="AX16" s="10"/>
      <c r="AY16" s="38">
        <f>mround(AY15*Setup!AY5,'Quick Setup'!$A$2)</f>
        <v>245</v>
      </c>
      <c r="AZ16" s="2">
        <f>Setup!AZ5</f>
        <v>4</v>
      </c>
      <c r="BA16" s="2">
        <f>Setup!BA5</f>
        <v>3</v>
      </c>
      <c r="BB16" s="2" t="str">
        <f>CONCATENATE(Setup!BB5,"-",Setup!BC5)</f>
        <v>4-6</v>
      </c>
      <c r="BC16" s="10"/>
      <c r="BD16" s="10"/>
      <c r="BE16" s="10"/>
      <c r="BF16" s="38">
        <f>mround(BF15*Setup!BF5,'Quick Setup'!$A$2)</f>
        <v>260</v>
      </c>
      <c r="BG16" s="2">
        <f>Setup!BG5</f>
        <v>3</v>
      </c>
      <c r="BH16" s="2">
        <f>Setup!BH5</f>
        <v>2</v>
      </c>
      <c r="BI16" s="2" t="str">
        <f>CONCATENATE(Setup!BI5,"-",Setup!BJ5)</f>
        <v>4-6</v>
      </c>
      <c r="BJ16" s="10"/>
      <c r="BK16" s="10"/>
      <c r="BL16" s="10"/>
      <c r="BM16" s="38">
        <f>mround(BM15*Setup!BM5,'Quick Setup'!$A$2)</f>
        <v>277.5</v>
      </c>
      <c r="BN16" s="2">
        <f>Setup!BN5</f>
        <v>2</v>
      </c>
      <c r="BO16" s="2">
        <f>Setup!BO5</f>
        <v>2</v>
      </c>
      <c r="BP16" s="2" t="str">
        <f>CONCATENATE(Setup!BP5,"-",Setup!BQ5)</f>
        <v>4-6</v>
      </c>
      <c r="BQ16" s="10"/>
      <c r="BR16" s="10"/>
      <c r="BS16" s="10"/>
      <c r="BT16" s="38">
        <f>mround(BT15*Setup!BT5,'Quick Setup'!$A$2)</f>
        <v>252.5</v>
      </c>
      <c r="BU16" s="2">
        <f>Setup!BU5</f>
        <v>4</v>
      </c>
      <c r="BV16" s="2">
        <f>Setup!BV5</f>
        <v>3</v>
      </c>
      <c r="BW16" s="2" t="str">
        <f>CONCATENATE(Setup!BW5,"-",Setup!BX5)</f>
        <v>4-6</v>
      </c>
      <c r="BX16" s="10"/>
      <c r="BY16" s="10"/>
      <c r="BZ16" s="10"/>
      <c r="CA16" s="38">
        <f>mround(CA15*Setup!CA5,'Quick Setup'!$A$2)</f>
        <v>267.5</v>
      </c>
      <c r="CB16" s="2">
        <f>Setup!CB5</f>
        <v>3</v>
      </c>
      <c r="CC16" s="2">
        <f>Setup!CC5</f>
        <v>2</v>
      </c>
      <c r="CD16" s="2" t="str">
        <f>CONCATENATE(Setup!CD5,"-",Setup!CE5)</f>
        <v>4-6</v>
      </c>
      <c r="CE16" s="10"/>
      <c r="CF16" s="10"/>
      <c r="CG16" s="10"/>
      <c r="CH16" s="38">
        <f>mround(CH15*Setup!CH5,'Quick Setup'!$A$2)</f>
        <v>285</v>
      </c>
      <c r="CI16" s="2">
        <f>Setup!CI5</f>
        <v>2</v>
      </c>
      <c r="CJ16" s="2">
        <f>Setup!CJ5</f>
        <v>2</v>
      </c>
      <c r="CK16" s="2" t="str">
        <f>CONCATENATE(Setup!CK5,"-",Setup!CL5)</f>
        <v>4-6</v>
      </c>
      <c r="CL16" s="10"/>
      <c r="CM16" s="10"/>
      <c r="CN16" s="10"/>
      <c r="CO16" s="38">
        <f>mround(CO15*Setup!CO5,'Quick Setup'!$A$2)</f>
        <v>195</v>
      </c>
      <c r="CP16" s="1">
        <v>5.0</v>
      </c>
      <c r="CQ16" s="1" t="s">
        <v>76</v>
      </c>
      <c r="CR16" s="2" t="str">
        <f>CONCATENATE(Setup!CR5,"-",Setup!CS5)</f>
        <v>4-6</v>
      </c>
      <c r="CS16" s="10"/>
      <c r="CT16" s="10"/>
      <c r="CU16" s="10"/>
      <c r="CV16" s="38">
        <f>mround(CV15*Setup!CV5,'Quick Setup'!$A$2)</f>
        <v>260</v>
      </c>
      <c r="CW16" s="2">
        <f>Setup!CW5</f>
        <v>3</v>
      </c>
      <c r="CX16" s="2">
        <f>Setup!CX5</f>
        <v>2</v>
      </c>
      <c r="CY16" s="2" t="str">
        <f>CONCATENATE(Setup!CY5,"-",Setup!CZ5)</f>
        <v>4-6</v>
      </c>
      <c r="CZ16" s="10"/>
      <c r="DA16" s="10"/>
      <c r="DB16" s="10"/>
      <c r="DC16" s="38">
        <f>mround(DC15*Setup!DC5,'Quick Setup'!$A$2)</f>
        <v>277.5</v>
      </c>
      <c r="DD16" s="2">
        <f>Setup!DD5</f>
        <v>2</v>
      </c>
      <c r="DE16" s="2">
        <f>Setup!DE5</f>
        <v>2</v>
      </c>
      <c r="DF16" s="2" t="str">
        <f>CONCATENATE(Setup!DF5,"-",Setup!DG5)</f>
        <v>4-6</v>
      </c>
      <c r="DG16" s="10"/>
      <c r="DH16" s="10"/>
      <c r="DI16" s="10"/>
      <c r="DJ16" s="38">
        <f>mround(DJ15*Setup!DJ5,'Quick Setup'!$A$2)</f>
        <v>292.5</v>
      </c>
      <c r="DK16" s="2">
        <f>Setup!DK5</f>
        <v>1</v>
      </c>
      <c r="DL16" s="2">
        <f>Setup!DL5</f>
        <v>1</v>
      </c>
      <c r="DM16" s="2" t="str">
        <f>CONCATENATE(Setup!DM5,"-",Setup!DN5)</f>
        <v>4-6</v>
      </c>
      <c r="DN16" s="10"/>
      <c r="DO16" s="10"/>
      <c r="DP16" s="10"/>
      <c r="DQ16" s="38">
        <f>mround(DQ15*Setup!DQ5,'Quick Setup'!$A$2)</f>
        <v>277.5</v>
      </c>
      <c r="DR16" s="2">
        <f>Setup!DR5</f>
        <v>2</v>
      </c>
      <c r="DS16" s="2">
        <f>Setup!DS5</f>
        <v>2</v>
      </c>
      <c r="DT16" s="2" t="str">
        <f>CONCATENATE(Setup!DT5,"-",Setup!DU5)</f>
        <v>4-6</v>
      </c>
      <c r="DU16" s="10"/>
      <c r="DV16" s="10"/>
      <c r="DW16" s="10"/>
      <c r="DX16" s="38">
        <f>mround(DX15*Setup!DX5,'Quick Setup'!$A$2)</f>
        <v>292.5</v>
      </c>
      <c r="DY16" s="2">
        <f>Setup!DY5</f>
        <v>1</v>
      </c>
      <c r="DZ16" s="2">
        <f>Setup!DZ5</f>
        <v>1</v>
      </c>
      <c r="EA16" s="2" t="str">
        <f>CONCATENATE(Setup!EA5,"-",Setup!EB5)</f>
        <v>4-6</v>
      </c>
      <c r="EB16" s="10"/>
      <c r="EC16" s="10"/>
      <c r="ED16" s="10"/>
      <c r="EE16" s="38">
        <f>mround(EE15*Setup!EE5,'Quick Setup'!$A$2)</f>
        <v>310</v>
      </c>
      <c r="EF16" s="2">
        <f>Setup!EF5</f>
        <v>1</v>
      </c>
      <c r="EG16" s="2">
        <f>Setup!EG5</f>
        <v>1</v>
      </c>
      <c r="EH16" s="2" t="str">
        <f>CONCATENATE(Setup!EH5,"-",Setup!EI5)</f>
        <v>4-6</v>
      </c>
      <c r="EI16" s="10"/>
      <c r="EJ16" s="10"/>
      <c r="EK16" s="10"/>
      <c r="EL16" s="38">
        <f>mround(EL15*Setup!EL5,'Quick Setup'!$A$2)</f>
        <v>195</v>
      </c>
      <c r="EM16" s="1">
        <v>5.0</v>
      </c>
      <c r="EN16" s="1" t="s">
        <v>76</v>
      </c>
      <c r="EO16" s="2" t="str">
        <f>CONCATENATE(Setup!EO5,"-",Setup!EP5)</f>
        <v>4-6</v>
      </c>
      <c r="EP16" s="10"/>
      <c r="EQ16" s="10"/>
      <c r="ER16" s="10"/>
    </row>
    <row r="17" hidden="1">
      <c r="A17" s="33" t="str">
        <f>CONCATENATE(A18," TM")</f>
        <v>Push Press TM</v>
      </c>
      <c r="B17" s="34">
        <f>if(D17="",'Quick Setup'!D16,D17/'Quick Setup'!E16)</f>
        <v>245</v>
      </c>
      <c r="C17" s="35" t="s">
        <v>73</v>
      </c>
      <c r="D17" s="36"/>
      <c r="E17" s="37"/>
      <c r="F17" s="37"/>
      <c r="G17" s="37"/>
      <c r="H17" s="37"/>
      <c r="I17" s="34">
        <f>if(K17="", if(F18&lt;&gt;"", if(F18&gt;Setup!F15,B17*(1+Setup!G15),if(F18&lt;Setup!E15,B17*(1+Setup!H15),B17)),B17),K17/'Quick Setup'!$E16)</f>
        <v>245</v>
      </c>
      <c r="J17" s="35" t="s">
        <v>73</v>
      </c>
      <c r="K17" s="36"/>
      <c r="L17" s="37"/>
      <c r="M17" s="37"/>
      <c r="N17" s="37"/>
      <c r="O17" s="37"/>
      <c r="P17" s="34">
        <f>if(R17="", if(M18&lt;&gt;"", if(M18&gt;Setup!M15,I17*(1+Setup!N15),if(M18&lt;Setup!L15,I17*(1+Setup!O15),I17)),I17),R17/'Quick Setup'!$E16)</f>
        <v>245</v>
      </c>
      <c r="Q17" s="35" t="s">
        <v>73</v>
      </c>
      <c r="R17" s="36"/>
      <c r="S17" s="37"/>
      <c r="T17" s="37"/>
      <c r="U17" s="37"/>
      <c r="V17" s="37"/>
      <c r="W17" s="34">
        <f>if(Y17="", if(T18&lt;&gt;"", if(T18&gt;Setup!T15,P17*(1+Setup!U15),if(T18&lt;Setup!S15,P17*(1+Setup!V15),P17)),P17),Y17/'Quick Setup'!$E16)</f>
        <v>245</v>
      </c>
      <c r="X17" s="35" t="s">
        <v>73</v>
      </c>
      <c r="Y17" s="36"/>
      <c r="Z17" s="37"/>
      <c r="AA17" s="37"/>
      <c r="AB17" s="37"/>
      <c r="AC17" s="37"/>
      <c r="AD17" s="34">
        <f>if(AF17="", if(AA18&lt;&gt;"", if(AA18&gt;Setup!AA15,W17*(1+Setup!AB15),if(AA18&lt;Setup!Z15,W17*(1+Setup!AC15),W17)),W17),AF17/'Quick Setup'!$E16)</f>
        <v>245</v>
      </c>
      <c r="AE17" s="35" t="s">
        <v>73</v>
      </c>
      <c r="AF17" s="36"/>
      <c r="AG17" s="37"/>
      <c r="AH17" s="37"/>
      <c r="AI17" s="37"/>
      <c r="AJ17" s="37"/>
      <c r="AK17" s="34">
        <f>if(AM17="", if(AH18&lt;&gt;"", if(AH18&gt;Setup!AH15,AD17*(1+Setup!AI15),if(AH18&lt;Setup!AG15,AD17*(1+Setup!AJ15),AD17)),AD17),AM17/'Quick Setup'!$E16)</f>
        <v>245</v>
      </c>
      <c r="AL17" s="35" t="s">
        <v>73</v>
      </c>
      <c r="AM17" s="36"/>
      <c r="AN17" s="37"/>
      <c r="AO17" s="37"/>
      <c r="AP17" s="37"/>
      <c r="AQ17" s="37"/>
      <c r="AR17" s="34">
        <f>if(AT17="", if(AO18&lt;&gt;"", if(AO18&gt;Setup!AO15,AK17*(1+Setup!AP15),if(AO18&lt;Setup!AN15,AK17*(1+Setup!AQ15),AK17)),AK17),AT17/'Quick Setup'!$E16)</f>
        <v>245</v>
      </c>
      <c r="AS17" s="35" t="s">
        <v>73</v>
      </c>
      <c r="AT17" s="36"/>
      <c r="AU17" s="37"/>
      <c r="AV17" s="37"/>
      <c r="AW17" s="37"/>
      <c r="AX17" s="37"/>
      <c r="AY17" s="34">
        <f>if(BA17="",AR17,BA17/'Quick Setup'!$E16)</f>
        <v>245</v>
      </c>
      <c r="AZ17" s="35" t="s">
        <v>73</v>
      </c>
      <c r="BA17" s="36"/>
      <c r="BB17" s="37"/>
      <c r="BC17" s="37"/>
      <c r="BD17" s="37"/>
      <c r="BE17" s="37"/>
      <c r="BF17" s="34">
        <f>if(BH17="", if(BC18&lt;&gt;"", if(BC18&gt;Setup!BC15,AY17*(1+Setup!BD15),if(BC18&lt;Setup!BB15,AY17*(1+Setup!BE15),AY17)),AY17),BH17/'Quick Setup'!$E16)</f>
        <v>245</v>
      </c>
      <c r="BG17" s="35" t="s">
        <v>73</v>
      </c>
      <c r="BH17" s="36"/>
      <c r="BI17" s="37"/>
      <c r="BJ17" s="37"/>
      <c r="BK17" s="37"/>
      <c r="BL17" s="37"/>
      <c r="BM17" s="34">
        <f>if(BO17="", if(BJ18&lt;&gt;"", if(BJ18&gt;Setup!BJ15,BF17*(1+Setup!BK15),if(BJ18&lt;Setup!BI15,BF17*(1+Setup!BL15),BF17)),BF17),BO17/'Quick Setup'!$E16)</f>
        <v>245</v>
      </c>
      <c r="BN17" s="35" t="s">
        <v>73</v>
      </c>
      <c r="BO17" s="36"/>
      <c r="BP17" s="37"/>
      <c r="BQ17" s="37"/>
      <c r="BR17" s="37"/>
      <c r="BS17" s="37"/>
      <c r="BT17" s="34">
        <f>if(BV17="", if(BQ18&lt;&gt;"", if(BQ18&gt;Setup!BQ15,BM17*(1+Setup!BR15),if(BQ18&lt;Setup!BP15,BM17*(1+Setup!BS15),BM17)),BM17),BV17/'Quick Setup'!$E16)</f>
        <v>245</v>
      </c>
      <c r="BU17" s="35" t="s">
        <v>73</v>
      </c>
      <c r="BV17" s="36"/>
      <c r="BW17" s="37"/>
      <c r="BX17" s="37"/>
      <c r="BY17" s="37"/>
      <c r="BZ17" s="37"/>
      <c r="CA17" s="34">
        <f>if(CC17="", if(BX18&lt;&gt;"", if(BX18&gt;Setup!BX15,BT17*(1+Setup!BY15),if(BX18&lt;Setup!BW15,BT17*(1+Setup!BZ15),BT17)),BT17),CC17/'Quick Setup'!$E16)</f>
        <v>245</v>
      </c>
      <c r="CB17" s="35" t="s">
        <v>73</v>
      </c>
      <c r="CC17" s="36"/>
      <c r="CD17" s="37"/>
      <c r="CE17" s="37"/>
      <c r="CF17" s="37"/>
      <c r="CG17" s="37"/>
      <c r="CH17" s="34">
        <f>if(CJ17="", if(CE18&lt;&gt;"", if(CE18&gt;Setup!CE15,CA17*(1+Setup!CF15),if(CE18&lt;Setup!CD15,CA17*(1+Setup!CG15),CA17)),CA17),CJ17/'Quick Setup'!$E16)</f>
        <v>245</v>
      </c>
      <c r="CI17" s="35" t="s">
        <v>73</v>
      </c>
      <c r="CJ17" s="36"/>
      <c r="CK17" s="37"/>
      <c r="CL17" s="37"/>
      <c r="CM17" s="37"/>
      <c r="CN17" s="37"/>
      <c r="CO17" s="34">
        <f>if(CQ17="", if(CL18&lt;&gt;"", if(CL18&gt;Setup!CL15,CH17*(1+Setup!CM15),if(CL18&lt;Setup!CK15,CH17*(1+Setup!CN15),CH17)),CH17),CQ17/'Quick Setup'!$E16)</f>
        <v>245</v>
      </c>
      <c r="CP17" s="35" t="s">
        <v>73</v>
      </c>
      <c r="CQ17" s="36"/>
      <c r="CR17" s="37"/>
      <c r="CS17" s="37"/>
      <c r="CT17" s="37"/>
      <c r="CU17" s="37"/>
      <c r="CV17" s="34">
        <f>if(CX17="",CO17,CX17/'Quick Setup'!$E16)</f>
        <v>245</v>
      </c>
      <c r="CW17" s="35" t="s">
        <v>73</v>
      </c>
      <c r="CX17" s="36"/>
      <c r="CY17" s="37"/>
      <c r="CZ17" s="37"/>
      <c r="DA17" s="37"/>
      <c r="DB17" s="37"/>
      <c r="DC17" s="34">
        <f>if(DE17="", if(CZ18&lt;&gt;"", if(CZ18&gt;Setup!CZ15,CV17*(1+Setup!DA15),if(CZ18&lt;Setup!CY15,CV17*(1+Setup!DB15),CV17)),CV17),DE17/'Quick Setup'!$E16)</f>
        <v>245</v>
      </c>
      <c r="DD17" s="35" t="s">
        <v>73</v>
      </c>
      <c r="DE17" s="36"/>
      <c r="DF17" s="37"/>
      <c r="DG17" s="37"/>
      <c r="DH17" s="37"/>
      <c r="DI17" s="37"/>
      <c r="DJ17" s="34">
        <f>if(DL17="", if(DG18&lt;&gt;"", if(DG18&gt;Setup!DG15,DC17*(1+Setup!DH15),if(DG18&lt;Setup!DF15,DC17*(1+Setup!DI15),DC17)),DC17),DL17/'Quick Setup'!$E16)</f>
        <v>245</v>
      </c>
      <c r="DK17" s="35" t="s">
        <v>73</v>
      </c>
      <c r="DL17" s="36"/>
      <c r="DM17" s="37"/>
      <c r="DN17" s="37"/>
      <c r="DO17" s="37"/>
      <c r="DP17" s="37"/>
      <c r="DQ17" s="34">
        <f>if(DS17="", if(DN18&lt;&gt;"", if(DN18&gt;Setup!DN15,DJ17*(1+Setup!DO15),if(DN18&lt;Setup!DM15,DJ17*(1+Setup!DP15),DJ17)),DJ17),DS17/'Quick Setup'!$E16)</f>
        <v>245</v>
      </c>
      <c r="DR17" s="35" t="s">
        <v>73</v>
      </c>
      <c r="DS17" s="36"/>
      <c r="DT17" s="37"/>
      <c r="DU17" s="37"/>
      <c r="DV17" s="37"/>
      <c r="DW17" s="37"/>
      <c r="DX17" s="34">
        <f>if(DZ17="", if(DU18&lt;&gt;"", if(DU18&gt;Setup!DU15,DQ17*(1+Setup!DV15),if(DU18&lt;Setup!DT15,DQ17*(1+Setup!DW15),DQ17)),DQ17),DZ17/'Quick Setup'!$E16)</f>
        <v>245</v>
      </c>
      <c r="DY17" s="35" t="s">
        <v>73</v>
      </c>
      <c r="DZ17" s="36"/>
      <c r="EA17" s="37"/>
      <c r="EB17" s="37"/>
      <c r="EC17" s="37"/>
      <c r="ED17" s="37"/>
      <c r="EE17" s="34">
        <f>if(EG17="", if(EB18&lt;&gt;"", if(EB18&gt;Setup!EB15,DX17*(1+Setup!EC15),if(EB18&lt;Setup!EA15,DX17*(1+Setup!ED15),DX17)),DX17),EG17/'Quick Setup'!$E16)</f>
        <v>245</v>
      </c>
      <c r="EF17" s="35" t="s">
        <v>73</v>
      </c>
      <c r="EG17" s="36"/>
      <c r="EH17" s="37"/>
      <c r="EI17" s="37"/>
      <c r="EJ17" s="37"/>
      <c r="EK17" s="37"/>
      <c r="EL17" s="34">
        <f>if(EN17="", if(EI18&lt;&gt;"", if(EI18&gt;Setup!EI15,EE17*(1+Setup!EJ15),if(EI18&lt;Setup!EH15,EE17*(1+Setup!EK15),EE17)),EE17),EN17/'Quick Setup'!$E16)</f>
        <v>245</v>
      </c>
      <c r="EM17" s="35" t="s">
        <v>73</v>
      </c>
      <c r="EN17" s="36"/>
      <c r="EO17" s="37"/>
      <c r="EP17" s="37"/>
      <c r="EQ17" s="37"/>
      <c r="ER17" s="37"/>
    </row>
    <row r="18">
      <c r="A18" s="1" t="str">
        <f>Setup!A15</f>
        <v>Push Press</v>
      </c>
      <c r="B18" s="38">
        <f>mround(B17*Setup!B15,'Quick Setup'!$A$2)</f>
        <v>147.5</v>
      </c>
      <c r="C18" s="2">
        <f>Setup!C15</f>
        <v>7</v>
      </c>
      <c r="D18" s="2">
        <f>Setup!D15</f>
        <v>4</v>
      </c>
      <c r="E18" s="2" t="str">
        <f>CONCATENATE(Setup!E15,"-",Setup!F15)</f>
        <v>4-6</v>
      </c>
      <c r="F18" s="10"/>
      <c r="G18" s="10"/>
      <c r="H18" s="10"/>
      <c r="I18" s="38">
        <f>mround(I17*Setup!I15,'Quick Setup'!$A$2)</f>
        <v>160</v>
      </c>
      <c r="J18" s="2">
        <f>Setup!J15</f>
        <v>6</v>
      </c>
      <c r="K18" s="2">
        <f>Setup!K15</f>
        <v>4</v>
      </c>
      <c r="L18" s="2" t="str">
        <f>CONCATENATE(Setup!L15,"-",Setup!M15)</f>
        <v>4-6</v>
      </c>
      <c r="M18" s="10"/>
      <c r="N18" s="10"/>
      <c r="O18" s="10"/>
      <c r="P18" s="38">
        <f>mround(P17*Setup!P15,'Quick Setup'!$A$2)</f>
        <v>172.5</v>
      </c>
      <c r="Q18" s="2">
        <f>Setup!Q15</f>
        <v>5</v>
      </c>
      <c r="R18" s="2">
        <f>Setup!R15</f>
        <v>3</v>
      </c>
      <c r="S18" s="2" t="str">
        <f>CONCATENATE(Setup!S15,"-",Setup!T15)</f>
        <v>4-6</v>
      </c>
      <c r="T18" s="10"/>
      <c r="U18" s="10"/>
      <c r="V18" s="10"/>
      <c r="W18" s="38">
        <f>mround(W17*Setup!W15,'Quick Setup'!$A$2)</f>
        <v>152.5</v>
      </c>
      <c r="X18" s="2">
        <f>Setup!X15</f>
        <v>7</v>
      </c>
      <c r="Y18" s="2">
        <f>Setup!Y15</f>
        <v>4</v>
      </c>
      <c r="Z18" s="2" t="str">
        <f>CONCATENATE(Setup!Z15,"-",Setup!AA15)</f>
        <v>4-6</v>
      </c>
      <c r="AA18" s="10"/>
      <c r="AB18" s="10"/>
      <c r="AC18" s="10"/>
      <c r="AD18" s="38">
        <f>mround(AD17*Setup!AD15,'Quick Setup'!$A$2)</f>
        <v>165</v>
      </c>
      <c r="AE18" s="2">
        <f>Setup!AE15</f>
        <v>6</v>
      </c>
      <c r="AF18" s="2">
        <f>Setup!AF15</f>
        <v>4</v>
      </c>
      <c r="AG18" s="2" t="str">
        <f>CONCATENATE(Setup!AG15,"-",Setup!AH15)</f>
        <v>4-6</v>
      </c>
      <c r="AH18" s="10"/>
      <c r="AI18" s="10"/>
      <c r="AJ18" s="10"/>
      <c r="AK18" s="38">
        <f>mround(AK17*Setup!AK15,'Quick Setup'!$A$2)</f>
        <v>177.5</v>
      </c>
      <c r="AL18" s="2">
        <f>Setup!AL15</f>
        <v>5</v>
      </c>
      <c r="AM18" s="2">
        <f>Setup!AM15</f>
        <v>3</v>
      </c>
      <c r="AN18" s="2" t="str">
        <f>CONCATENATE(Setup!AN15,"-",Setup!AO15)</f>
        <v>4-6</v>
      </c>
      <c r="AO18" s="10"/>
      <c r="AP18" s="10"/>
      <c r="AQ18" s="10"/>
      <c r="AR18" s="38">
        <f>mround(AR17*Setup!AR15,'Quick Setup'!$A$2)</f>
        <v>122.5</v>
      </c>
      <c r="AS18" s="1">
        <v>5.0</v>
      </c>
      <c r="AT18" s="1" t="s">
        <v>76</v>
      </c>
      <c r="AU18" s="2" t="str">
        <f>CONCATENATE(Setup!AU15,"-",Setup!AV15)</f>
        <v>4-6</v>
      </c>
      <c r="AV18" s="10"/>
      <c r="AW18" s="10"/>
      <c r="AX18" s="10"/>
      <c r="AY18" s="38">
        <f>mround(AY17*Setup!AY15,'Quick Setup'!$A$2)</f>
        <v>160</v>
      </c>
      <c r="AZ18" s="2">
        <f>Setup!AZ15</f>
        <v>6</v>
      </c>
      <c r="BA18" s="2">
        <f>Setup!BA15</f>
        <v>4</v>
      </c>
      <c r="BB18" s="2" t="str">
        <f>CONCATENATE(Setup!BB15,"-",Setup!BC15)</f>
        <v>4-6</v>
      </c>
      <c r="BC18" s="10"/>
      <c r="BD18" s="10"/>
      <c r="BE18" s="10"/>
      <c r="BF18" s="38">
        <f>mround(BF17*Setup!BF15,'Quick Setup'!$A$2)</f>
        <v>172.5</v>
      </c>
      <c r="BG18" s="2">
        <f>Setup!BG15</f>
        <v>5</v>
      </c>
      <c r="BH18" s="2">
        <f>Setup!BH15</f>
        <v>3</v>
      </c>
      <c r="BI18" s="2" t="str">
        <f>CONCATENATE(Setup!BI15,"-",Setup!BJ15)</f>
        <v>4-6</v>
      </c>
      <c r="BJ18" s="10"/>
      <c r="BK18" s="10"/>
      <c r="BL18" s="10"/>
      <c r="BM18" s="38">
        <f>mround(BM17*Setup!BM15,'Quick Setup'!$A$2)</f>
        <v>185</v>
      </c>
      <c r="BN18" s="2">
        <f>Setup!BN15</f>
        <v>4</v>
      </c>
      <c r="BO18" s="2">
        <f>Setup!BO15</f>
        <v>3</v>
      </c>
      <c r="BP18" s="2" t="str">
        <f>CONCATENATE(Setup!BP15,"-",Setup!BQ15)</f>
        <v>4-6</v>
      </c>
      <c r="BQ18" s="10"/>
      <c r="BR18" s="10"/>
      <c r="BS18" s="10"/>
      <c r="BT18" s="38">
        <f>mround(BT17*Setup!BT15,'Quick Setup'!$A$2)</f>
        <v>165</v>
      </c>
      <c r="BU18" s="2">
        <f>Setup!BU15</f>
        <v>6</v>
      </c>
      <c r="BV18" s="2">
        <f>Setup!BV15</f>
        <v>4</v>
      </c>
      <c r="BW18" s="2" t="str">
        <f>CONCATENATE(Setup!BW15,"-",Setup!BX15)</f>
        <v>4-6</v>
      </c>
      <c r="BX18" s="10"/>
      <c r="BY18" s="10"/>
      <c r="BZ18" s="10"/>
      <c r="CA18" s="38">
        <f>mround(CA17*Setup!CA15,'Quick Setup'!$A$2)</f>
        <v>177.5</v>
      </c>
      <c r="CB18" s="2">
        <f>Setup!CB15</f>
        <v>5</v>
      </c>
      <c r="CC18" s="2">
        <f>Setup!CC15</f>
        <v>3</v>
      </c>
      <c r="CD18" s="2" t="str">
        <f>CONCATENATE(Setup!CD15,"-",Setup!CE15)</f>
        <v>4-6</v>
      </c>
      <c r="CE18" s="10"/>
      <c r="CF18" s="10"/>
      <c r="CG18" s="10"/>
      <c r="CH18" s="38">
        <f>mround(CH17*Setup!CH15,'Quick Setup'!$A$2)</f>
        <v>190</v>
      </c>
      <c r="CI18" s="2">
        <f>Setup!CI15</f>
        <v>4</v>
      </c>
      <c r="CJ18" s="2">
        <f>Setup!CJ15</f>
        <v>3</v>
      </c>
      <c r="CK18" s="2" t="str">
        <f>CONCATENATE(Setup!CK15,"-",Setup!CL15)</f>
        <v>4-6</v>
      </c>
      <c r="CL18" s="10"/>
      <c r="CM18" s="10"/>
      <c r="CN18" s="10"/>
      <c r="CO18" s="38">
        <f>mround(CO17*Setup!CO15,'Quick Setup'!$A$2)</f>
        <v>122.5</v>
      </c>
      <c r="CP18" s="1">
        <v>5.0</v>
      </c>
      <c r="CQ18" s="1" t="s">
        <v>76</v>
      </c>
      <c r="CR18" s="2" t="str">
        <f>CONCATENATE(Setup!CR15,"-",Setup!CS15)</f>
        <v>4-6</v>
      </c>
      <c r="CS18" s="10"/>
      <c r="CT18" s="10"/>
      <c r="CU18" s="10"/>
      <c r="CV18" s="38">
        <f>mround(CV17*Setup!CV15,'Quick Setup'!$A$2)</f>
        <v>172.5</v>
      </c>
      <c r="CW18" s="2">
        <f>Setup!CW15</f>
        <v>5</v>
      </c>
      <c r="CX18" s="2">
        <f>Setup!CX15</f>
        <v>3</v>
      </c>
      <c r="CY18" s="2" t="str">
        <f>CONCATENATE(Setup!CY15,"-",Setup!CZ15)</f>
        <v>4-6</v>
      </c>
      <c r="CZ18" s="10"/>
      <c r="DA18" s="10"/>
      <c r="DB18" s="10"/>
      <c r="DC18" s="38">
        <f>mround(DC17*Setup!DC15,'Quick Setup'!$A$2)</f>
        <v>185</v>
      </c>
      <c r="DD18" s="2">
        <f>Setup!DD15</f>
        <v>4</v>
      </c>
      <c r="DE18" s="2">
        <f>Setup!DE15</f>
        <v>3</v>
      </c>
      <c r="DF18" s="2" t="str">
        <f>CONCATENATE(Setup!DF15,"-",Setup!DG15)</f>
        <v>4-6</v>
      </c>
      <c r="DG18" s="10"/>
      <c r="DH18" s="10"/>
      <c r="DI18" s="10"/>
      <c r="DJ18" s="38">
        <f>mround(DJ17*Setup!DJ15,'Quick Setup'!$A$2)</f>
        <v>195</v>
      </c>
      <c r="DK18" s="2">
        <f>Setup!DK15</f>
        <v>3</v>
      </c>
      <c r="DL18" s="2">
        <f>Setup!DL15</f>
        <v>2</v>
      </c>
      <c r="DM18" s="2" t="str">
        <f>CONCATENATE(Setup!DM15,"-",Setup!DN15)</f>
        <v>4-6</v>
      </c>
      <c r="DN18" s="10"/>
      <c r="DO18" s="10"/>
      <c r="DP18" s="10"/>
      <c r="DQ18" s="38">
        <f>mround(DQ17*Setup!DQ15,'Quick Setup'!$A$2)</f>
        <v>185</v>
      </c>
      <c r="DR18" s="2">
        <f>Setup!DR15</f>
        <v>4</v>
      </c>
      <c r="DS18" s="2">
        <f>Setup!DS15</f>
        <v>3</v>
      </c>
      <c r="DT18" s="2" t="str">
        <f>CONCATENATE(Setup!DT15,"-",Setup!DU15)</f>
        <v>4-6</v>
      </c>
      <c r="DU18" s="10"/>
      <c r="DV18" s="10"/>
      <c r="DW18" s="10"/>
      <c r="DX18" s="38">
        <f>mround(DX17*Setup!DX15,'Quick Setup'!$A$2)</f>
        <v>195</v>
      </c>
      <c r="DY18" s="2">
        <f>Setup!DY15</f>
        <v>3</v>
      </c>
      <c r="DZ18" s="2">
        <f>Setup!DZ15</f>
        <v>2</v>
      </c>
      <c r="EA18" s="2" t="str">
        <f>CONCATENATE(Setup!EA15,"-",Setup!EB15)</f>
        <v>4-6</v>
      </c>
      <c r="EB18" s="10"/>
      <c r="EC18" s="10"/>
      <c r="ED18" s="10"/>
      <c r="EE18" s="38">
        <f>mround(EE17*Setup!EE15,'Quick Setup'!$A$2)</f>
        <v>207.5</v>
      </c>
      <c r="EF18" s="2">
        <f>Setup!EF15</f>
        <v>2</v>
      </c>
      <c r="EG18" s="2">
        <f>Setup!EG15</f>
        <v>2</v>
      </c>
      <c r="EH18" s="2" t="str">
        <f>CONCATENATE(Setup!EH15,"-",Setup!EI15)</f>
        <v>4-6</v>
      </c>
      <c r="EI18" s="10"/>
      <c r="EJ18" s="10"/>
      <c r="EK18" s="10"/>
      <c r="EL18" s="38">
        <f>mround(EL17*Setup!EL15,'Quick Setup'!$A$2)</f>
        <v>122.5</v>
      </c>
      <c r="EM18" s="1">
        <v>5.0</v>
      </c>
      <c r="EN18" s="1" t="s">
        <v>76</v>
      </c>
      <c r="EO18" s="2" t="str">
        <f>CONCATENATE(Setup!EO15,"-",Setup!EP15)</f>
        <v>4-6</v>
      </c>
      <c r="EP18" s="10"/>
      <c r="EQ18" s="10"/>
      <c r="ER18" s="10"/>
    </row>
    <row r="19" hidden="1">
      <c r="A19" s="33" t="str">
        <f>CONCATENATE(A20," TM")</f>
        <v>Incline Press TM</v>
      </c>
      <c r="B19" s="34">
        <f>if(D19="",'Quick Setup'!D14,D19/'Quick Setup'!E14)</f>
        <v>280</v>
      </c>
      <c r="C19" s="35" t="s">
        <v>73</v>
      </c>
      <c r="D19" s="36"/>
      <c r="E19" s="37"/>
      <c r="F19" s="37"/>
      <c r="G19" s="37"/>
      <c r="H19" s="37"/>
      <c r="I19" s="34">
        <f>if(K19="", if(F20&lt;&gt;"", if(F20&gt;Setup!F13,B19*(1+Setup!G13),if(F20&lt;Setup!E13,B19*(1+Setup!H13),B19)),B19),K19/'Quick Setup'!$E14)</f>
        <v>280</v>
      </c>
      <c r="J19" s="35" t="s">
        <v>73</v>
      </c>
      <c r="K19" s="36"/>
      <c r="L19" s="37"/>
      <c r="M19" s="37"/>
      <c r="N19" s="37"/>
      <c r="O19" s="37"/>
      <c r="P19" s="34">
        <f>if(R19="", if(M20&lt;&gt;"", if(M20&gt;Setup!M13,I19*(1+Setup!N13),if(M20&lt;Setup!L13,I19*(1+Setup!O13),I19)),I19),R19/'Quick Setup'!$E14)</f>
        <v>280</v>
      </c>
      <c r="Q19" s="35" t="s">
        <v>73</v>
      </c>
      <c r="R19" s="36"/>
      <c r="S19" s="37"/>
      <c r="T19" s="37"/>
      <c r="U19" s="37"/>
      <c r="V19" s="37"/>
      <c r="W19" s="34">
        <f>if(Y19="", if(T20&lt;&gt;"", if(T20&gt;Setup!T13,P19*(1+Setup!U13),if(T20&lt;Setup!S13,P19*(1+Setup!V13),P19)),P19),Y19/'Quick Setup'!$E14)</f>
        <v>280</v>
      </c>
      <c r="X19" s="35" t="s">
        <v>73</v>
      </c>
      <c r="Y19" s="36"/>
      <c r="Z19" s="37"/>
      <c r="AA19" s="37"/>
      <c r="AB19" s="37"/>
      <c r="AC19" s="37"/>
      <c r="AD19" s="34">
        <f>if(AF19="", if(AA20&lt;&gt;"", if(AA20&gt;Setup!AA13,W19*(1+Setup!AB13),if(AA20&lt;Setup!Z13,W19*(1+Setup!AC13),W19)),W19),AF19/'Quick Setup'!$E14)</f>
        <v>280</v>
      </c>
      <c r="AE19" s="35" t="s">
        <v>73</v>
      </c>
      <c r="AF19" s="36"/>
      <c r="AG19" s="37"/>
      <c r="AH19" s="37"/>
      <c r="AI19" s="37"/>
      <c r="AJ19" s="37"/>
      <c r="AK19" s="34">
        <f>if(AM19="", if(AH20&lt;&gt;"", if(AH20&gt;Setup!AH13,AD19*(1+Setup!AI13),if(AH20&lt;Setup!AG13,AD19*(1+Setup!AJ13),AD19)),AD19),AM19/'Quick Setup'!$E14)</f>
        <v>280</v>
      </c>
      <c r="AL19" s="35" t="s">
        <v>73</v>
      </c>
      <c r="AM19" s="36"/>
      <c r="AN19" s="37"/>
      <c r="AO19" s="37"/>
      <c r="AP19" s="37"/>
      <c r="AQ19" s="37"/>
      <c r="AR19" s="34">
        <f>if(AT19="", if(AO20&lt;&gt;"", if(AO20&gt;Setup!AO13,AK19*(1+Setup!AP13),if(AO20&lt;Setup!AN13,AK19*(1+Setup!AQ13),AK19)),AK19),AT19/'Quick Setup'!$E14)</f>
        <v>280</v>
      </c>
      <c r="AS19" s="35" t="s">
        <v>73</v>
      </c>
      <c r="AT19" s="36"/>
      <c r="AU19" s="37"/>
      <c r="AV19" s="37"/>
      <c r="AW19" s="37"/>
      <c r="AX19" s="37"/>
      <c r="AY19" s="34">
        <f>if(BA19="",AR19,BA19/'Quick Setup'!$E14)</f>
        <v>280</v>
      </c>
      <c r="AZ19" s="35" t="s">
        <v>73</v>
      </c>
      <c r="BA19" s="36"/>
      <c r="BB19" s="37"/>
      <c r="BC19" s="37"/>
      <c r="BD19" s="37"/>
      <c r="BE19" s="37"/>
      <c r="BF19" s="34">
        <f>if(BH19="", if(BC20&lt;&gt;"", if(BC20&gt;Setup!BC13,AY19*(1+Setup!BD13),if(BC20&lt;Setup!BB13,AY19*(1+Setup!BE13),AY19)),AY19),BH19/'Quick Setup'!$E14)</f>
        <v>280</v>
      </c>
      <c r="BG19" s="35" t="s">
        <v>73</v>
      </c>
      <c r="BH19" s="36"/>
      <c r="BI19" s="37"/>
      <c r="BJ19" s="37"/>
      <c r="BK19" s="37"/>
      <c r="BL19" s="37"/>
      <c r="BM19" s="34">
        <f>if(BO19="", if(BJ20&lt;&gt;"", if(BJ20&gt;Setup!BJ13,BF19*(1+Setup!BK13),if(BJ20&lt;Setup!BI13,BF19*(1+Setup!BL13),BF19)),BF19),BO19/'Quick Setup'!$E14)</f>
        <v>280</v>
      </c>
      <c r="BN19" s="35" t="s">
        <v>73</v>
      </c>
      <c r="BO19" s="36"/>
      <c r="BP19" s="37"/>
      <c r="BQ19" s="37"/>
      <c r="BR19" s="37"/>
      <c r="BS19" s="37"/>
      <c r="BT19" s="34">
        <f>if(BV19="", if(BQ20&lt;&gt;"", if(BQ20&gt;Setup!BQ13,BM19*(1+Setup!BR13),if(BQ20&lt;Setup!BP13,BM19*(1+Setup!BS13),BM19)),BM19),BV19/'Quick Setup'!$E14)</f>
        <v>280</v>
      </c>
      <c r="BU19" s="35" t="s">
        <v>73</v>
      </c>
      <c r="BV19" s="36"/>
      <c r="BW19" s="37"/>
      <c r="BX19" s="37"/>
      <c r="BY19" s="37"/>
      <c r="BZ19" s="37"/>
      <c r="CA19" s="34">
        <f>if(CC19="", if(BX20&lt;&gt;"", if(BX20&gt;Setup!BX13,BT19*(1+Setup!BY13),if(BX20&lt;Setup!BW13,BT19*(1+Setup!BZ13),BT19)),BT19),CC19/'Quick Setup'!$E14)</f>
        <v>280</v>
      </c>
      <c r="CB19" s="35" t="s">
        <v>73</v>
      </c>
      <c r="CC19" s="36"/>
      <c r="CD19" s="37"/>
      <c r="CE19" s="37"/>
      <c r="CF19" s="37"/>
      <c r="CG19" s="37"/>
      <c r="CH19" s="34">
        <f>if(CJ19="", if(CE20&lt;&gt;"", if(CE20&gt;Setup!CE13,CA19*(1+Setup!CF13),if(CE20&lt;Setup!CD13,CA19*(1+Setup!CG13),CA19)),CA19),CJ19/'Quick Setup'!$E14)</f>
        <v>280</v>
      </c>
      <c r="CI19" s="35" t="s">
        <v>73</v>
      </c>
      <c r="CJ19" s="36"/>
      <c r="CK19" s="37"/>
      <c r="CL19" s="37"/>
      <c r="CM19" s="37"/>
      <c r="CN19" s="37"/>
      <c r="CO19" s="34">
        <f>if(CQ19="", if(CL20&lt;&gt;"", if(CL20&gt;Setup!CL13,CH19*(1+Setup!CM13),if(CL20&lt;Setup!CK13,CH19*(1+Setup!CN13),CH19)),CH19),CQ19/'Quick Setup'!$E14)</f>
        <v>280</v>
      </c>
      <c r="CP19" s="35" t="s">
        <v>73</v>
      </c>
      <c r="CQ19" s="36"/>
      <c r="CR19" s="37"/>
      <c r="CS19" s="37"/>
      <c r="CT19" s="37"/>
      <c r="CU19" s="37"/>
      <c r="CV19" s="34">
        <f>if(CX19="",CO19,CX19/'Quick Setup'!$E14)</f>
        <v>280</v>
      </c>
      <c r="CW19" s="35" t="s">
        <v>73</v>
      </c>
      <c r="CX19" s="36"/>
      <c r="CY19" s="37"/>
      <c r="CZ19" s="37"/>
      <c r="DA19" s="37"/>
      <c r="DB19" s="37"/>
      <c r="DC19" s="34">
        <f>if(DE19="", if(CZ20&lt;&gt;"", if(CZ20&gt;Setup!CZ13,CV19*(1+Setup!DA13),if(CZ20&lt;Setup!CY13,CV19*(1+Setup!DB13),CV19)),CV19),DE19/'Quick Setup'!$E14)</f>
        <v>280</v>
      </c>
      <c r="DD19" s="35" t="s">
        <v>73</v>
      </c>
      <c r="DE19" s="36"/>
      <c r="DF19" s="37"/>
      <c r="DG19" s="37"/>
      <c r="DH19" s="37"/>
      <c r="DI19" s="37"/>
      <c r="DJ19" s="34">
        <f>if(DL19="", if(DG20&lt;&gt;"", if(DG20&gt;Setup!DG13,DC19*(1+Setup!DH13),if(DG20&lt;Setup!DF13,DC19*(1+Setup!DI13),DC19)),DC19),DL19/'Quick Setup'!$E14)</f>
        <v>280</v>
      </c>
      <c r="DK19" s="35" t="s">
        <v>73</v>
      </c>
      <c r="DL19" s="36"/>
      <c r="DM19" s="37"/>
      <c r="DN19" s="37"/>
      <c r="DO19" s="37"/>
      <c r="DP19" s="37"/>
      <c r="DQ19" s="34">
        <f>if(DS19="", if(DN20&lt;&gt;"", if(DN20&gt;Setup!DN13,DJ19*(1+Setup!DO13),if(DN20&lt;Setup!DM13,DJ19*(1+Setup!DP13),DJ19)),DJ19),DS19/'Quick Setup'!$E14)</f>
        <v>280</v>
      </c>
      <c r="DR19" s="35" t="s">
        <v>73</v>
      </c>
      <c r="DS19" s="36"/>
      <c r="DT19" s="37"/>
      <c r="DU19" s="37"/>
      <c r="DV19" s="37"/>
      <c r="DW19" s="37"/>
      <c r="DX19" s="34">
        <f>if(DZ19="", if(DU20&lt;&gt;"", if(DU20&gt;Setup!DU13,DQ19*(1+Setup!DV13),if(DU20&lt;Setup!DT13,DQ19*(1+Setup!DW13),DQ19)),DQ19),DZ19/'Quick Setup'!$E14)</f>
        <v>280</v>
      </c>
      <c r="DY19" s="35" t="s">
        <v>73</v>
      </c>
      <c r="DZ19" s="36"/>
      <c r="EA19" s="37"/>
      <c r="EB19" s="37"/>
      <c r="EC19" s="37"/>
      <c r="ED19" s="37"/>
      <c r="EE19" s="34">
        <f>if(EG19="", if(EB20&lt;&gt;"", if(EB20&gt;Setup!EB13,DX19*(1+Setup!EC13),if(EB20&lt;Setup!EA13,DX19*(1+Setup!ED13),DX19)),DX19),EG19/'Quick Setup'!$E14)</f>
        <v>280</v>
      </c>
      <c r="EF19" s="35" t="s">
        <v>73</v>
      </c>
      <c r="EG19" s="36"/>
      <c r="EH19" s="37"/>
      <c r="EI19" s="37"/>
      <c r="EJ19" s="37"/>
      <c r="EK19" s="37"/>
      <c r="EL19" s="34">
        <f>if(EN19="", if(EI20&lt;&gt;"", if(EI20&gt;Setup!EI13,EE19*(1+Setup!EJ13),if(EI20&lt;Setup!EH13,EE19*(1+Setup!EK13),EE19)),EE19),EN19/'Quick Setup'!$E14)</f>
        <v>280</v>
      </c>
      <c r="EM19" s="35" t="s">
        <v>73</v>
      </c>
      <c r="EN19" s="36"/>
      <c r="EO19" s="37"/>
      <c r="EP19" s="37"/>
      <c r="EQ19" s="37"/>
      <c r="ER19" s="37"/>
    </row>
    <row r="20">
      <c r="A20" s="1" t="str">
        <f>Setup!A13</f>
        <v>Incline Press</v>
      </c>
      <c r="B20" s="38">
        <f>mround(B19*Setup!B13,'Quick Setup'!$A$2)</f>
        <v>167.5</v>
      </c>
      <c r="C20" s="2">
        <f>Setup!C13</f>
        <v>7</v>
      </c>
      <c r="D20" s="2">
        <f>Setup!D13</f>
        <v>4</v>
      </c>
      <c r="E20" s="2" t="str">
        <f>CONCATENATE(Setup!E13,"-",Setup!F13)</f>
        <v>4-6</v>
      </c>
      <c r="F20" s="10"/>
      <c r="G20" s="10"/>
      <c r="H20" s="10"/>
      <c r="I20" s="38">
        <f>mround(I19*Setup!I13,'Quick Setup'!$A$2)</f>
        <v>182.5</v>
      </c>
      <c r="J20" s="2">
        <f>Setup!J13</f>
        <v>6</v>
      </c>
      <c r="K20" s="2">
        <f>Setup!K13</f>
        <v>4</v>
      </c>
      <c r="L20" s="2" t="str">
        <f>CONCATENATE(Setup!L13,"-",Setup!M13)</f>
        <v>4-6</v>
      </c>
      <c r="M20" s="10"/>
      <c r="N20" s="10"/>
      <c r="O20" s="10"/>
      <c r="P20" s="38">
        <f>mround(P19*Setup!P13,'Quick Setup'!$A$2)</f>
        <v>195</v>
      </c>
      <c r="Q20" s="2">
        <f>Setup!Q13</f>
        <v>5</v>
      </c>
      <c r="R20" s="2">
        <f>Setup!R13</f>
        <v>3</v>
      </c>
      <c r="S20" s="2" t="str">
        <f>CONCATENATE(Setup!S13,"-",Setup!T13)</f>
        <v>4-6</v>
      </c>
      <c r="T20" s="10"/>
      <c r="U20" s="10"/>
      <c r="V20" s="10"/>
      <c r="W20" s="38">
        <f>mround(W19*Setup!W13,'Quick Setup'!$A$2)</f>
        <v>175</v>
      </c>
      <c r="X20" s="2">
        <f>Setup!X13</f>
        <v>7</v>
      </c>
      <c r="Y20" s="2">
        <f>Setup!Y13</f>
        <v>4</v>
      </c>
      <c r="Z20" s="2" t="str">
        <f>CONCATENATE(Setup!Z13,"-",Setup!AA13)</f>
        <v>4-6</v>
      </c>
      <c r="AA20" s="10"/>
      <c r="AB20" s="10"/>
      <c r="AC20" s="10"/>
      <c r="AD20" s="38">
        <f>mround(AD19*Setup!AD13,'Quick Setup'!$A$2)</f>
        <v>190</v>
      </c>
      <c r="AE20" s="2">
        <f>Setup!AE13</f>
        <v>6</v>
      </c>
      <c r="AF20" s="2">
        <f>Setup!AF13</f>
        <v>4</v>
      </c>
      <c r="AG20" s="2" t="str">
        <f>CONCATENATE(Setup!AG13,"-",Setup!AH13)</f>
        <v>4-6</v>
      </c>
      <c r="AH20" s="10"/>
      <c r="AI20" s="10"/>
      <c r="AJ20" s="10"/>
      <c r="AK20" s="38">
        <f>mround(AK19*Setup!AK13,'Quick Setup'!$A$2)</f>
        <v>202.5</v>
      </c>
      <c r="AL20" s="2">
        <f>Setup!AL13</f>
        <v>5</v>
      </c>
      <c r="AM20" s="2">
        <f>Setup!AM13</f>
        <v>3</v>
      </c>
      <c r="AN20" s="2" t="str">
        <f>CONCATENATE(Setup!AN13,"-",Setup!AO13)</f>
        <v>4-6</v>
      </c>
      <c r="AO20" s="10"/>
      <c r="AP20" s="10"/>
      <c r="AQ20" s="10"/>
      <c r="AR20" s="38">
        <f>mround(AR19*Setup!AR13,'Quick Setup'!$A$2)</f>
        <v>140</v>
      </c>
      <c r="AS20" s="1">
        <v>5.0</v>
      </c>
      <c r="AT20" s="1" t="s">
        <v>76</v>
      </c>
      <c r="AU20" s="2" t="str">
        <f>CONCATENATE(Setup!AU13,"-",Setup!AV13)</f>
        <v>4-6</v>
      </c>
      <c r="AV20" s="10"/>
      <c r="AW20" s="10"/>
      <c r="AX20" s="10"/>
      <c r="AY20" s="38">
        <f>mround(AY19*Setup!AY13,'Quick Setup'!$A$2)</f>
        <v>182.5</v>
      </c>
      <c r="AZ20" s="2">
        <f>Setup!AZ13</f>
        <v>6</v>
      </c>
      <c r="BA20" s="2">
        <f>Setup!BA13</f>
        <v>4</v>
      </c>
      <c r="BB20" s="2" t="str">
        <f>CONCATENATE(Setup!BB13,"-",Setup!BC13)</f>
        <v>4-6</v>
      </c>
      <c r="BC20" s="10"/>
      <c r="BD20" s="10"/>
      <c r="BE20" s="10"/>
      <c r="BF20" s="38">
        <f>mround(BF19*Setup!BF13,'Quick Setup'!$A$2)</f>
        <v>195</v>
      </c>
      <c r="BG20" s="2">
        <f>Setup!BG13</f>
        <v>5</v>
      </c>
      <c r="BH20" s="2">
        <f>Setup!BH13</f>
        <v>3</v>
      </c>
      <c r="BI20" s="2" t="str">
        <f>CONCATENATE(Setup!BI13,"-",Setup!BJ13)</f>
        <v>4-6</v>
      </c>
      <c r="BJ20" s="10"/>
      <c r="BK20" s="10"/>
      <c r="BL20" s="10"/>
      <c r="BM20" s="38">
        <f>mround(BM19*Setup!BM13,'Quick Setup'!$A$2)</f>
        <v>210</v>
      </c>
      <c r="BN20" s="2">
        <f>Setup!BN13</f>
        <v>4</v>
      </c>
      <c r="BO20" s="2">
        <f>Setup!BO13</f>
        <v>3</v>
      </c>
      <c r="BP20" s="2" t="str">
        <f>CONCATENATE(Setup!BP13,"-",Setup!BQ13)</f>
        <v>4-6</v>
      </c>
      <c r="BQ20" s="10"/>
      <c r="BR20" s="10"/>
      <c r="BS20" s="10"/>
      <c r="BT20" s="38">
        <f>mround(BT19*Setup!BT13,'Quick Setup'!$A$2)</f>
        <v>190</v>
      </c>
      <c r="BU20" s="2">
        <f>Setup!BU13</f>
        <v>6</v>
      </c>
      <c r="BV20" s="2">
        <f>Setup!BV13</f>
        <v>4</v>
      </c>
      <c r="BW20" s="2" t="str">
        <f>CONCATENATE(Setup!BW13,"-",Setup!BX13)</f>
        <v>4-6</v>
      </c>
      <c r="BX20" s="10"/>
      <c r="BY20" s="10"/>
      <c r="BZ20" s="10"/>
      <c r="CA20" s="38">
        <f>mround(CA19*Setup!CA13,'Quick Setup'!$A$2)</f>
        <v>202.5</v>
      </c>
      <c r="CB20" s="2">
        <f>Setup!CB13</f>
        <v>5</v>
      </c>
      <c r="CC20" s="2">
        <f>Setup!CC13</f>
        <v>3</v>
      </c>
      <c r="CD20" s="2" t="str">
        <f>CONCATENATE(Setup!CD13,"-",Setup!CE13)</f>
        <v>4-6</v>
      </c>
      <c r="CE20" s="10"/>
      <c r="CF20" s="10"/>
      <c r="CG20" s="10"/>
      <c r="CH20" s="38">
        <f>mround(CH19*Setup!CH13,'Quick Setup'!$A$2)</f>
        <v>217.5</v>
      </c>
      <c r="CI20" s="2">
        <f>Setup!CI13</f>
        <v>4</v>
      </c>
      <c r="CJ20" s="2">
        <f>Setup!CJ13</f>
        <v>3</v>
      </c>
      <c r="CK20" s="2" t="str">
        <f>CONCATENATE(Setup!CK13,"-",Setup!CL13)</f>
        <v>4-6</v>
      </c>
      <c r="CL20" s="10"/>
      <c r="CM20" s="10"/>
      <c r="CN20" s="10"/>
      <c r="CO20" s="38">
        <f>mround(CO19*Setup!CO13,'Quick Setup'!$A$2)</f>
        <v>140</v>
      </c>
      <c r="CP20" s="1">
        <v>5.0</v>
      </c>
      <c r="CQ20" s="1" t="s">
        <v>76</v>
      </c>
      <c r="CR20" s="2" t="str">
        <f>CONCATENATE(Setup!CR13,"-",Setup!CS13)</f>
        <v>4-6</v>
      </c>
      <c r="CS20" s="10"/>
      <c r="CT20" s="10"/>
      <c r="CU20" s="10"/>
      <c r="CV20" s="38">
        <f>mround(CV19*Setup!CV13,'Quick Setup'!$A$2)</f>
        <v>195</v>
      </c>
      <c r="CW20" s="2">
        <f>Setup!CW13</f>
        <v>5</v>
      </c>
      <c r="CX20" s="2">
        <f>Setup!CX13</f>
        <v>3</v>
      </c>
      <c r="CY20" s="2" t="str">
        <f>CONCATENATE(Setup!CY13,"-",Setup!CZ13)</f>
        <v>4-6</v>
      </c>
      <c r="CZ20" s="10"/>
      <c r="DA20" s="10"/>
      <c r="DB20" s="10"/>
      <c r="DC20" s="38">
        <f>mround(DC19*Setup!DC13,'Quick Setup'!$A$2)</f>
        <v>210</v>
      </c>
      <c r="DD20" s="2">
        <f>Setup!DD13</f>
        <v>4</v>
      </c>
      <c r="DE20" s="2">
        <f>Setup!DE13</f>
        <v>3</v>
      </c>
      <c r="DF20" s="2" t="str">
        <f>CONCATENATE(Setup!DF13,"-",Setup!DG13)</f>
        <v>4-6</v>
      </c>
      <c r="DG20" s="10"/>
      <c r="DH20" s="10"/>
      <c r="DI20" s="10"/>
      <c r="DJ20" s="38">
        <f>mround(DJ19*Setup!DJ13,'Quick Setup'!$A$2)</f>
        <v>225</v>
      </c>
      <c r="DK20" s="2">
        <f>Setup!DK13</f>
        <v>3</v>
      </c>
      <c r="DL20" s="2">
        <f>Setup!DL13</f>
        <v>2</v>
      </c>
      <c r="DM20" s="2" t="str">
        <f>CONCATENATE(Setup!DM13,"-",Setup!DN13)</f>
        <v>4-6</v>
      </c>
      <c r="DN20" s="10"/>
      <c r="DO20" s="10"/>
      <c r="DP20" s="10"/>
      <c r="DQ20" s="38">
        <f>mround(DQ19*Setup!DQ13,'Quick Setup'!$A$2)</f>
        <v>210</v>
      </c>
      <c r="DR20" s="2">
        <f>Setup!DR13</f>
        <v>4</v>
      </c>
      <c r="DS20" s="2">
        <f>Setup!DS13</f>
        <v>3</v>
      </c>
      <c r="DT20" s="2" t="str">
        <f>CONCATENATE(Setup!DT13,"-",Setup!DU13)</f>
        <v>4-6</v>
      </c>
      <c r="DU20" s="10"/>
      <c r="DV20" s="10"/>
      <c r="DW20" s="10"/>
      <c r="DX20" s="38">
        <f>mround(DX19*Setup!DX13,'Quick Setup'!$A$2)</f>
        <v>225</v>
      </c>
      <c r="DY20" s="2">
        <f>Setup!DY13</f>
        <v>3</v>
      </c>
      <c r="DZ20" s="2">
        <f>Setup!DZ13</f>
        <v>2</v>
      </c>
      <c r="EA20" s="2" t="str">
        <f>CONCATENATE(Setup!EA13,"-",Setup!EB13)</f>
        <v>4-6</v>
      </c>
      <c r="EB20" s="10"/>
      <c r="EC20" s="10"/>
      <c r="ED20" s="10"/>
      <c r="EE20" s="38">
        <f>mround(EE19*Setup!EE13,'Quick Setup'!$A$2)</f>
        <v>237.5</v>
      </c>
      <c r="EF20" s="2">
        <f>Setup!EF13</f>
        <v>2</v>
      </c>
      <c r="EG20" s="2">
        <f>Setup!EG13</f>
        <v>2</v>
      </c>
      <c r="EH20" s="2" t="str">
        <f>CONCATENATE(Setup!EH13,"-",Setup!EI13)</f>
        <v>4-6</v>
      </c>
      <c r="EI20" s="10"/>
      <c r="EJ20" s="10"/>
      <c r="EK20" s="10"/>
      <c r="EL20" s="38">
        <f>mround(EL19*Setup!EL13,'Quick Setup'!$A$2)</f>
        <v>140</v>
      </c>
      <c r="EM20" s="1">
        <v>5.0</v>
      </c>
      <c r="EN20" s="1" t="s">
        <v>76</v>
      </c>
      <c r="EO20" s="2" t="str">
        <f>CONCATENATE(Setup!EO13,"-",Setup!EP13)</f>
        <v>4-6</v>
      </c>
      <c r="EP20" s="10"/>
      <c r="EQ20" s="10"/>
      <c r="ER20" s="10"/>
    </row>
    <row r="21">
      <c r="A21" s="5"/>
      <c r="B21" s="39"/>
      <c r="C21" s="10"/>
      <c r="D21" s="10"/>
      <c r="E21" s="10"/>
      <c r="F21" s="10"/>
      <c r="G21" s="10"/>
      <c r="H21" s="10"/>
      <c r="I21" s="39" t="str">
        <f t="shared" ref="I21:M21" si="81">B21</f>
        <v/>
      </c>
      <c r="J21" s="10" t="str">
        <f t="shared" si="81"/>
        <v/>
      </c>
      <c r="K21" s="10" t="str">
        <f t="shared" si="81"/>
        <v/>
      </c>
      <c r="L21" s="10" t="str">
        <f t="shared" si="81"/>
        <v/>
      </c>
      <c r="M21" s="10" t="str">
        <f t="shared" si="81"/>
        <v/>
      </c>
      <c r="N21" s="10"/>
      <c r="O21" s="10"/>
      <c r="P21" s="39" t="str">
        <f t="shared" ref="P21:T21" si="82">I21</f>
        <v/>
      </c>
      <c r="Q21" s="10" t="str">
        <f t="shared" si="82"/>
        <v/>
      </c>
      <c r="R21" s="10" t="str">
        <f t="shared" si="82"/>
        <v/>
      </c>
      <c r="S21" s="10" t="str">
        <f t="shared" si="82"/>
        <v/>
      </c>
      <c r="T21" s="10" t="str">
        <f t="shared" si="82"/>
        <v/>
      </c>
      <c r="U21" s="10"/>
      <c r="V21" s="10"/>
      <c r="W21" s="39" t="str">
        <f t="shared" ref="W21:AA21" si="83">P21</f>
        <v/>
      </c>
      <c r="X21" s="10" t="str">
        <f t="shared" si="83"/>
        <v/>
      </c>
      <c r="Y21" s="10" t="str">
        <f t="shared" si="83"/>
        <v/>
      </c>
      <c r="Z21" s="10" t="str">
        <f t="shared" si="83"/>
        <v/>
      </c>
      <c r="AA21" s="10" t="str">
        <f t="shared" si="83"/>
        <v/>
      </c>
      <c r="AB21" s="10"/>
      <c r="AC21" s="10"/>
      <c r="AD21" s="39" t="str">
        <f t="shared" ref="AD21:AH21" si="84">W21</f>
        <v/>
      </c>
      <c r="AE21" s="10" t="str">
        <f t="shared" si="84"/>
        <v/>
      </c>
      <c r="AF21" s="10" t="str">
        <f t="shared" si="84"/>
        <v/>
      </c>
      <c r="AG21" s="10" t="str">
        <f t="shared" si="84"/>
        <v/>
      </c>
      <c r="AH21" s="10" t="str">
        <f t="shared" si="84"/>
        <v/>
      </c>
      <c r="AI21" s="10"/>
      <c r="AJ21" s="10"/>
      <c r="AK21" s="39" t="str">
        <f t="shared" ref="AK21:AO21" si="85">AD21</f>
        <v/>
      </c>
      <c r="AL21" s="10" t="str">
        <f t="shared" si="85"/>
        <v/>
      </c>
      <c r="AM21" s="10" t="str">
        <f t="shared" si="85"/>
        <v/>
      </c>
      <c r="AN21" s="10" t="str">
        <f t="shared" si="85"/>
        <v/>
      </c>
      <c r="AO21" s="10" t="str">
        <f t="shared" si="85"/>
        <v/>
      </c>
      <c r="AP21" s="10"/>
      <c r="AQ21" s="10"/>
      <c r="AR21" s="39" t="str">
        <f t="shared" ref="AR21:AV21" si="86">AK21</f>
        <v/>
      </c>
      <c r="AS21" s="10" t="str">
        <f t="shared" si="86"/>
        <v/>
      </c>
      <c r="AT21" s="10" t="str">
        <f t="shared" si="86"/>
        <v/>
      </c>
      <c r="AU21" s="10" t="str">
        <f t="shared" si="86"/>
        <v/>
      </c>
      <c r="AV21" s="10" t="str">
        <f t="shared" si="86"/>
        <v/>
      </c>
      <c r="AW21" s="10"/>
      <c r="AX21" s="10"/>
      <c r="AY21" s="39" t="str">
        <f t="shared" ref="AY21:BC21" si="87">AR21</f>
        <v/>
      </c>
      <c r="AZ21" s="10" t="str">
        <f t="shared" si="87"/>
        <v/>
      </c>
      <c r="BA21" s="10" t="str">
        <f t="shared" si="87"/>
        <v/>
      </c>
      <c r="BB21" s="10" t="str">
        <f t="shared" si="87"/>
        <v/>
      </c>
      <c r="BC21" s="10" t="str">
        <f t="shared" si="87"/>
        <v/>
      </c>
      <c r="BD21" s="10"/>
      <c r="BE21" s="10"/>
      <c r="BF21" s="39" t="str">
        <f t="shared" ref="BF21:BJ21" si="88">AY21</f>
        <v/>
      </c>
      <c r="BG21" s="10" t="str">
        <f t="shared" si="88"/>
        <v/>
      </c>
      <c r="BH21" s="10" t="str">
        <f t="shared" si="88"/>
        <v/>
      </c>
      <c r="BI21" s="10" t="str">
        <f t="shared" si="88"/>
        <v/>
      </c>
      <c r="BJ21" s="10" t="str">
        <f t="shared" si="88"/>
        <v/>
      </c>
      <c r="BK21" s="10"/>
      <c r="BL21" s="10"/>
      <c r="BM21" s="39" t="str">
        <f t="shared" ref="BM21:BQ21" si="89">BF21</f>
        <v/>
      </c>
      <c r="BN21" s="10" t="str">
        <f t="shared" si="89"/>
        <v/>
      </c>
      <c r="BO21" s="10" t="str">
        <f t="shared" si="89"/>
        <v/>
      </c>
      <c r="BP21" s="10" t="str">
        <f t="shared" si="89"/>
        <v/>
      </c>
      <c r="BQ21" s="10" t="str">
        <f t="shared" si="89"/>
        <v/>
      </c>
      <c r="BR21" s="10"/>
      <c r="BS21" s="10"/>
      <c r="BT21" s="39" t="str">
        <f t="shared" ref="BT21:BX21" si="90">BM21</f>
        <v/>
      </c>
      <c r="BU21" s="10" t="str">
        <f t="shared" si="90"/>
        <v/>
      </c>
      <c r="BV21" s="10" t="str">
        <f t="shared" si="90"/>
        <v/>
      </c>
      <c r="BW21" s="10" t="str">
        <f t="shared" si="90"/>
        <v/>
      </c>
      <c r="BX21" s="10" t="str">
        <f t="shared" si="90"/>
        <v/>
      </c>
      <c r="BY21" s="10"/>
      <c r="BZ21" s="10"/>
      <c r="CA21" s="39" t="str">
        <f t="shared" ref="CA21:CE21" si="91">BT21</f>
        <v/>
      </c>
      <c r="CB21" s="10" t="str">
        <f t="shared" si="91"/>
        <v/>
      </c>
      <c r="CC21" s="10" t="str">
        <f t="shared" si="91"/>
        <v/>
      </c>
      <c r="CD21" s="10" t="str">
        <f t="shared" si="91"/>
        <v/>
      </c>
      <c r="CE21" s="10" t="str">
        <f t="shared" si="91"/>
        <v/>
      </c>
      <c r="CF21" s="10"/>
      <c r="CG21" s="10"/>
      <c r="CH21" s="39" t="str">
        <f t="shared" ref="CH21:CL21" si="92">CA21</f>
        <v/>
      </c>
      <c r="CI21" s="10" t="str">
        <f t="shared" si="92"/>
        <v/>
      </c>
      <c r="CJ21" s="10" t="str">
        <f t="shared" si="92"/>
        <v/>
      </c>
      <c r="CK21" s="10" t="str">
        <f t="shared" si="92"/>
        <v/>
      </c>
      <c r="CL21" s="10" t="str">
        <f t="shared" si="92"/>
        <v/>
      </c>
      <c r="CM21" s="10"/>
      <c r="CN21" s="10"/>
      <c r="CO21" s="39" t="str">
        <f t="shared" ref="CO21:CS21" si="93">CH21</f>
        <v/>
      </c>
      <c r="CP21" s="10" t="str">
        <f t="shared" si="93"/>
        <v/>
      </c>
      <c r="CQ21" s="10" t="str">
        <f t="shared" si="93"/>
        <v/>
      </c>
      <c r="CR21" s="10" t="str">
        <f t="shared" si="93"/>
        <v/>
      </c>
      <c r="CS21" s="10" t="str">
        <f t="shared" si="93"/>
        <v/>
      </c>
      <c r="CT21" s="10"/>
      <c r="CU21" s="10"/>
      <c r="CV21" s="39" t="str">
        <f t="shared" ref="CV21:CZ21" si="94">CO21</f>
        <v/>
      </c>
      <c r="CW21" s="10" t="str">
        <f t="shared" si="94"/>
        <v/>
      </c>
      <c r="CX21" s="10" t="str">
        <f t="shared" si="94"/>
        <v/>
      </c>
      <c r="CY21" s="10" t="str">
        <f t="shared" si="94"/>
        <v/>
      </c>
      <c r="CZ21" s="10" t="str">
        <f t="shared" si="94"/>
        <v/>
      </c>
      <c r="DA21" s="10"/>
      <c r="DB21" s="10"/>
      <c r="DC21" s="39" t="str">
        <f t="shared" ref="DC21:DG21" si="95">CV21</f>
        <v/>
      </c>
      <c r="DD21" s="10" t="str">
        <f t="shared" si="95"/>
        <v/>
      </c>
      <c r="DE21" s="10" t="str">
        <f t="shared" si="95"/>
        <v/>
      </c>
      <c r="DF21" s="10" t="str">
        <f t="shared" si="95"/>
        <v/>
      </c>
      <c r="DG21" s="10" t="str">
        <f t="shared" si="95"/>
        <v/>
      </c>
      <c r="DH21" s="10"/>
      <c r="DI21" s="10"/>
      <c r="DJ21" s="39" t="str">
        <f t="shared" ref="DJ21:DN21" si="96">DC21</f>
        <v/>
      </c>
      <c r="DK21" s="10" t="str">
        <f t="shared" si="96"/>
        <v/>
      </c>
      <c r="DL21" s="10" t="str">
        <f t="shared" si="96"/>
        <v/>
      </c>
      <c r="DM21" s="10" t="str">
        <f t="shared" si="96"/>
        <v/>
      </c>
      <c r="DN21" s="10" t="str">
        <f t="shared" si="96"/>
        <v/>
      </c>
      <c r="DO21" s="10"/>
      <c r="DP21" s="10"/>
      <c r="DQ21" s="39" t="str">
        <f t="shared" ref="DQ21:DU21" si="97">DJ21</f>
        <v/>
      </c>
      <c r="DR21" s="10" t="str">
        <f t="shared" si="97"/>
        <v/>
      </c>
      <c r="DS21" s="10" t="str">
        <f t="shared" si="97"/>
        <v/>
      </c>
      <c r="DT21" s="10" t="str">
        <f t="shared" si="97"/>
        <v/>
      </c>
      <c r="DU21" s="10" t="str">
        <f t="shared" si="97"/>
        <v/>
      </c>
      <c r="DV21" s="10"/>
      <c r="DW21" s="10"/>
      <c r="DX21" s="39" t="str">
        <f t="shared" ref="DX21:EB21" si="98">DQ21</f>
        <v/>
      </c>
      <c r="DY21" s="10" t="str">
        <f t="shared" si="98"/>
        <v/>
      </c>
      <c r="DZ21" s="10" t="str">
        <f t="shared" si="98"/>
        <v/>
      </c>
      <c r="EA21" s="10" t="str">
        <f t="shared" si="98"/>
        <v/>
      </c>
      <c r="EB21" s="10" t="str">
        <f t="shared" si="98"/>
        <v/>
      </c>
      <c r="EC21" s="10"/>
      <c r="ED21" s="10"/>
      <c r="EE21" s="39" t="str">
        <f t="shared" ref="EE21:EI21" si="99">DX21</f>
        <v/>
      </c>
      <c r="EF21" s="10" t="str">
        <f t="shared" si="99"/>
        <v/>
      </c>
      <c r="EG21" s="10" t="str">
        <f t="shared" si="99"/>
        <v/>
      </c>
      <c r="EH21" s="10" t="str">
        <f t="shared" si="99"/>
        <v/>
      </c>
      <c r="EI21" s="10" t="str">
        <f t="shared" si="99"/>
        <v/>
      </c>
      <c r="EJ21" s="10"/>
      <c r="EK21" s="10"/>
      <c r="EL21" s="39" t="str">
        <f t="shared" ref="EL21:EP21" si="100">EE21</f>
        <v/>
      </c>
      <c r="EM21" s="10" t="str">
        <f t="shared" si="100"/>
        <v/>
      </c>
      <c r="EN21" s="10" t="str">
        <f t="shared" si="100"/>
        <v/>
      </c>
      <c r="EO21" s="10" t="str">
        <f t="shared" si="100"/>
        <v/>
      </c>
      <c r="EP21" s="10" t="str">
        <f t="shared" si="100"/>
        <v/>
      </c>
      <c r="EQ21" s="10"/>
      <c r="ER21" s="10"/>
    </row>
    <row r="22">
      <c r="A22" s="1" t="s">
        <v>77</v>
      </c>
      <c r="B22" s="38"/>
      <c r="C22" s="2"/>
      <c r="D22" s="2"/>
      <c r="E22" s="2"/>
      <c r="F22" s="2"/>
      <c r="G22" s="2"/>
      <c r="H22" s="2"/>
      <c r="I22" s="38"/>
      <c r="J22" s="2"/>
      <c r="K22" s="2"/>
      <c r="L22" s="2"/>
      <c r="M22" s="2"/>
      <c r="N22" s="2"/>
      <c r="O22" s="2"/>
      <c r="P22" s="38"/>
      <c r="Q22" s="2"/>
      <c r="R22" s="2"/>
      <c r="S22" s="2"/>
      <c r="T22" s="2"/>
      <c r="U22" s="2"/>
      <c r="V22" s="2"/>
      <c r="W22" s="38"/>
      <c r="X22" s="2"/>
      <c r="Y22" s="2"/>
      <c r="Z22" s="2"/>
      <c r="AA22" s="2"/>
      <c r="AB22" s="2"/>
      <c r="AC22" s="2"/>
      <c r="AD22" s="38"/>
      <c r="AE22" s="2"/>
      <c r="AF22" s="2"/>
      <c r="AG22" s="2"/>
      <c r="AH22" s="2"/>
      <c r="AI22" s="2"/>
      <c r="AJ22" s="2"/>
      <c r="AK22" s="38"/>
      <c r="AL22" s="2"/>
      <c r="AM22" s="2"/>
      <c r="AN22" s="2"/>
      <c r="AO22" s="2"/>
      <c r="AP22" s="2"/>
      <c r="AQ22" s="2"/>
      <c r="AR22" s="38"/>
      <c r="AS22" s="2"/>
      <c r="AT22" s="2"/>
      <c r="AU22" s="2"/>
      <c r="AV22" s="2"/>
      <c r="AW22" s="2"/>
      <c r="AX22" s="2"/>
      <c r="AY22" s="38"/>
      <c r="AZ22" s="2"/>
      <c r="BA22" s="2"/>
      <c r="BB22" s="2"/>
      <c r="BC22" s="2"/>
      <c r="BD22" s="2"/>
      <c r="BE22" s="2"/>
      <c r="BF22" s="38"/>
      <c r="BG22" s="2"/>
      <c r="BH22" s="2"/>
      <c r="BI22" s="2"/>
      <c r="BJ22" s="2"/>
      <c r="BK22" s="2"/>
      <c r="BL22" s="2"/>
      <c r="BM22" s="38"/>
      <c r="BN22" s="2"/>
      <c r="BO22" s="2"/>
      <c r="BP22" s="2"/>
      <c r="BQ22" s="2"/>
      <c r="BR22" s="2"/>
      <c r="BS22" s="2"/>
      <c r="BT22" s="38"/>
      <c r="BU22" s="2"/>
      <c r="BV22" s="2"/>
      <c r="BW22" s="2"/>
      <c r="BX22" s="2"/>
      <c r="BY22" s="2"/>
      <c r="BZ22" s="2"/>
      <c r="CA22" s="38"/>
      <c r="CB22" s="2"/>
      <c r="CC22" s="2"/>
      <c r="CD22" s="2"/>
      <c r="CE22" s="2"/>
      <c r="CF22" s="2"/>
      <c r="CG22" s="2"/>
      <c r="CH22" s="38"/>
      <c r="CI22" s="2"/>
      <c r="CJ22" s="2"/>
      <c r="CK22" s="2"/>
      <c r="CL22" s="2"/>
      <c r="CM22" s="2"/>
      <c r="CN22" s="2"/>
      <c r="CO22" s="38"/>
      <c r="CP22" s="2"/>
      <c r="CQ22" s="2"/>
      <c r="CR22" s="2"/>
      <c r="CS22" s="2"/>
      <c r="CT22" s="2"/>
      <c r="CU22" s="2"/>
      <c r="CV22" s="38"/>
      <c r="CW22" s="2"/>
      <c r="CX22" s="2"/>
      <c r="CY22" s="2"/>
      <c r="CZ22" s="2"/>
      <c r="DA22" s="2"/>
      <c r="DB22" s="2"/>
      <c r="DC22" s="38"/>
      <c r="DD22" s="2"/>
      <c r="DE22" s="2"/>
      <c r="DF22" s="2"/>
      <c r="DG22" s="2"/>
      <c r="DH22" s="2"/>
      <c r="DI22" s="2"/>
      <c r="DJ22" s="38"/>
      <c r="DK22" s="2"/>
      <c r="DL22" s="2"/>
      <c r="DM22" s="2"/>
      <c r="DN22" s="2"/>
      <c r="DO22" s="2"/>
      <c r="DP22" s="2"/>
      <c r="DQ22" s="38"/>
      <c r="DR22" s="2"/>
      <c r="DS22" s="2"/>
      <c r="DT22" s="2"/>
      <c r="DU22" s="2"/>
      <c r="DV22" s="2"/>
      <c r="DW22" s="2"/>
      <c r="DX22" s="38"/>
      <c r="DY22" s="2"/>
      <c r="DZ22" s="2"/>
      <c r="EA22" s="2"/>
      <c r="EB22" s="2"/>
      <c r="EC22" s="2"/>
      <c r="ED22" s="2"/>
      <c r="EE22" s="38"/>
      <c r="EF22" s="2"/>
      <c r="EG22" s="2"/>
      <c r="EH22" s="2"/>
      <c r="EI22" s="2"/>
      <c r="EJ22" s="2"/>
      <c r="EK22" s="2"/>
      <c r="EL22" s="38"/>
      <c r="EM22" s="2"/>
      <c r="EN22" s="2"/>
      <c r="EO22" s="2"/>
      <c r="EP22" s="2"/>
      <c r="EQ22" s="2"/>
      <c r="ER22" s="2"/>
    </row>
    <row r="23">
      <c r="A23" s="40"/>
      <c r="B23" s="39"/>
      <c r="C23" s="10"/>
      <c r="D23" s="10"/>
      <c r="E23" s="10"/>
      <c r="F23" s="10"/>
      <c r="G23" s="10"/>
      <c r="H23" s="10"/>
      <c r="I23" s="39" t="str">
        <f t="shared" ref="I23:M23" si="101">B23</f>
        <v/>
      </c>
      <c r="J23" s="10" t="str">
        <f t="shared" si="101"/>
        <v/>
      </c>
      <c r="K23" s="10" t="str">
        <f t="shared" si="101"/>
        <v/>
      </c>
      <c r="L23" s="10" t="str">
        <f t="shared" si="101"/>
        <v/>
      </c>
      <c r="M23" s="10" t="str">
        <f t="shared" si="101"/>
        <v/>
      </c>
      <c r="N23" s="10"/>
      <c r="O23" s="10"/>
      <c r="P23" s="39" t="str">
        <f t="shared" ref="P23:T23" si="102">I23</f>
        <v/>
      </c>
      <c r="Q23" s="10" t="str">
        <f t="shared" si="102"/>
        <v/>
      </c>
      <c r="R23" s="10" t="str">
        <f t="shared" si="102"/>
        <v/>
      </c>
      <c r="S23" s="10" t="str">
        <f t="shared" si="102"/>
        <v/>
      </c>
      <c r="T23" s="10" t="str">
        <f t="shared" si="102"/>
        <v/>
      </c>
      <c r="U23" s="10"/>
      <c r="V23" s="10"/>
      <c r="W23" s="39" t="str">
        <f t="shared" ref="W23:AA23" si="103">P23</f>
        <v/>
      </c>
      <c r="X23" s="10" t="str">
        <f t="shared" si="103"/>
        <v/>
      </c>
      <c r="Y23" s="10" t="str">
        <f t="shared" si="103"/>
        <v/>
      </c>
      <c r="Z23" s="10" t="str">
        <f t="shared" si="103"/>
        <v/>
      </c>
      <c r="AA23" s="10" t="str">
        <f t="shared" si="103"/>
        <v/>
      </c>
      <c r="AB23" s="10"/>
      <c r="AC23" s="10"/>
      <c r="AD23" s="39" t="str">
        <f t="shared" ref="AD23:AH23" si="104">W23</f>
        <v/>
      </c>
      <c r="AE23" s="10" t="str">
        <f t="shared" si="104"/>
        <v/>
      </c>
      <c r="AF23" s="10" t="str">
        <f t="shared" si="104"/>
        <v/>
      </c>
      <c r="AG23" s="10" t="str">
        <f t="shared" si="104"/>
        <v/>
      </c>
      <c r="AH23" s="10" t="str">
        <f t="shared" si="104"/>
        <v/>
      </c>
      <c r="AI23" s="10"/>
      <c r="AJ23" s="10"/>
      <c r="AK23" s="39" t="str">
        <f t="shared" ref="AK23:AO23" si="105">AD23</f>
        <v/>
      </c>
      <c r="AL23" s="10" t="str">
        <f t="shared" si="105"/>
        <v/>
      </c>
      <c r="AM23" s="10" t="str">
        <f t="shared" si="105"/>
        <v/>
      </c>
      <c r="AN23" s="10" t="str">
        <f t="shared" si="105"/>
        <v/>
      </c>
      <c r="AO23" s="10" t="str">
        <f t="shared" si="105"/>
        <v/>
      </c>
      <c r="AP23" s="10"/>
      <c r="AQ23" s="10"/>
      <c r="AR23" s="39" t="str">
        <f t="shared" ref="AR23:AV23" si="106">AK23</f>
        <v/>
      </c>
      <c r="AS23" s="10" t="str">
        <f t="shared" si="106"/>
        <v/>
      </c>
      <c r="AT23" s="10" t="str">
        <f t="shared" si="106"/>
        <v/>
      </c>
      <c r="AU23" s="10" t="str">
        <f t="shared" si="106"/>
        <v/>
      </c>
      <c r="AV23" s="10" t="str">
        <f t="shared" si="106"/>
        <v/>
      </c>
      <c r="AW23" s="10"/>
      <c r="AX23" s="10"/>
      <c r="AY23" s="39" t="str">
        <f t="shared" ref="AY23:BC23" si="107">AR23</f>
        <v/>
      </c>
      <c r="AZ23" s="10" t="str">
        <f t="shared" si="107"/>
        <v/>
      </c>
      <c r="BA23" s="10" t="str">
        <f t="shared" si="107"/>
        <v/>
      </c>
      <c r="BB23" s="10" t="str">
        <f t="shared" si="107"/>
        <v/>
      </c>
      <c r="BC23" s="10" t="str">
        <f t="shared" si="107"/>
        <v/>
      </c>
      <c r="BD23" s="10"/>
      <c r="BE23" s="10"/>
      <c r="BF23" s="39" t="str">
        <f t="shared" ref="BF23:BJ23" si="108">AY23</f>
        <v/>
      </c>
      <c r="BG23" s="10" t="str">
        <f t="shared" si="108"/>
        <v/>
      </c>
      <c r="BH23" s="10" t="str">
        <f t="shared" si="108"/>
        <v/>
      </c>
      <c r="BI23" s="10" t="str">
        <f t="shared" si="108"/>
        <v/>
      </c>
      <c r="BJ23" s="10" t="str">
        <f t="shared" si="108"/>
        <v/>
      </c>
      <c r="BK23" s="10"/>
      <c r="BL23" s="10"/>
      <c r="BM23" s="39" t="str">
        <f t="shared" ref="BM23:BQ23" si="109">BF23</f>
        <v/>
      </c>
      <c r="BN23" s="10" t="str">
        <f t="shared" si="109"/>
        <v/>
      </c>
      <c r="BO23" s="10" t="str">
        <f t="shared" si="109"/>
        <v/>
      </c>
      <c r="BP23" s="10" t="str">
        <f t="shared" si="109"/>
        <v/>
      </c>
      <c r="BQ23" s="10" t="str">
        <f t="shared" si="109"/>
        <v/>
      </c>
      <c r="BR23" s="10"/>
      <c r="BS23" s="10"/>
      <c r="BT23" s="39" t="str">
        <f t="shared" ref="BT23:BX23" si="110">BM23</f>
        <v/>
      </c>
      <c r="BU23" s="10" t="str">
        <f t="shared" si="110"/>
        <v/>
      </c>
      <c r="BV23" s="10" t="str">
        <f t="shared" si="110"/>
        <v/>
      </c>
      <c r="BW23" s="10" t="str">
        <f t="shared" si="110"/>
        <v/>
      </c>
      <c r="BX23" s="10" t="str">
        <f t="shared" si="110"/>
        <v/>
      </c>
      <c r="BY23" s="10"/>
      <c r="BZ23" s="10"/>
      <c r="CA23" s="39" t="str">
        <f t="shared" ref="CA23:CE23" si="111">BT23</f>
        <v/>
      </c>
      <c r="CB23" s="10" t="str">
        <f t="shared" si="111"/>
        <v/>
      </c>
      <c r="CC23" s="10" t="str">
        <f t="shared" si="111"/>
        <v/>
      </c>
      <c r="CD23" s="10" t="str">
        <f t="shared" si="111"/>
        <v/>
      </c>
      <c r="CE23" s="10" t="str">
        <f t="shared" si="111"/>
        <v/>
      </c>
      <c r="CF23" s="10"/>
      <c r="CG23" s="10"/>
      <c r="CH23" s="39" t="str">
        <f t="shared" ref="CH23:CL23" si="112">CA23</f>
        <v/>
      </c>
      <c r="CI23" s="10" t="str">
        <f t="shared" si="112"/>
        <v/>
      </c>
      <c r="CJ23" s="10" t="str">
        <f t="shared" si="112"/>
        <v/>
      </c>
      <c r="CK23" s="10" t="str">
        <f t="shared" si="112"/>
        <v/>
      </c>
      <c r="CL23" s="10" t="str">
        <f t="shared" si="112"/>
        <v/>
      </c>
      <c r="CM23" s="10"/>
      <c r="CN23" s="10"/>
      <c r="CO23" s="39" t="str">
        <f t="shared" ref="CO23:CS23" si="113">CH23</f>
        <v/>
      </c>
      <c r="CP23" s="10" t="str">
        <f t="shared" si="113"/>
        <v/>
      </c>
      <c r="CQ23" s="10" t="str">
        <f t="shared" si="113"/>
        <v/>
      </c>
      <c r="CR23" s="10" t="str">
        <f t="shared" si="113"/>
        <v/>
      </c>
      <c r="CS23" s="10" t="str">
        <f t="shared" si="113"/>
        <v/>
      </c>
      <c r="CT23" s="10"/>
      <c r="CU23" s="10"/>
      <c r="CV23" s="39" t="str">
        <f t="shared" ref="CV23:CZ23" si="114">CO23</f>
        <v/>
      </c>
      <c r="CW23" s="10" t="str">
        <f t="shared" si="114"/>
        <v/>
      </c>
      <c r="CX23" s="10" t="str">
        <f t="shared" si="114"/>
        <v/>
      </c>
      <c r="CY23" s="10" t="str">
        <f t="shared" si="114"/>
        <v/>
      </c>
      <c r="CZ23" s="10" t="str">
        <f t="shared" si="114"/>
        <v/>
      </c>
      <c r="DA23" s="10"/>
      <c r="DB23" s="10"/>
      <c r="DC23" s="39" t="str">
        <f t="shared" ref="DC23:DG23" si="115">CV23</f>
        <v/>
      </c>
      <c r="DD23" s="10" t="str">
        <f t="shared" si="115"/>
        <v/>
      </c>
      <c r="DE23" s="10" t="str">
        <f t="shared" si="115"/>
        <v/>
      </c>
      <c r="DF23" s="10" t="str">
        <f t="shared" si="115"/>
        <v/>
      </c>
      <c r="DG23" s="10" t="str">
        <f t="shared" si="115"/>
        <v/>
      </c>
      <c r="DH23" s="10"/>
      <c r="DI23" s="10"/>
      <c r="DJ23" s="39" t="str">
        <f t="shared" ref="DJ23:DN23" si="116">DC23</f>
        <v/>
      </c>
      <c r="DK23" s="10" t="str">
        <f t="shared" si="116"/>
        <v/>
      </c>
      <c r="DL23" s="10" t="str">
        <f t="shared" si="116"/>
        <v/>
      </c>
      <c r="DM23" s="10" t="str">
        <f t="shared" si="116"/>
        <v/>
      </c>
      <c r="DN23" s="10" t="str">
        <f t="shared" si="116"/>
        <v/>
      </c>
      <c r="DO23" s="10"/>
      <c r="DP23" s="10"/>
      <c r="DQ23" s="39" t="str">
        <f t="shared" ref="DQ23:DU23" si="117">DJ23</f>
        <v/>
      </c>
      <c r="DR23" s="10" t="str">
        <f t="shared" si="117"/>
        <v/>
      </c>
      <c r="DS23" s="10" t="str">
        <f t="shared" si="117"/>
        <v/>
      </c>
      <c r="DT23" s="10" t="str">
        <f t="shared" si="117"/>
        <v/>
      </c>
      <c r="DU23" s="10" t="str">
        <f t="shared" si="117"/>
        <v/>
      </c>
      <c r="DV23" s="10"/>
      <c r="DW23" s="10"/>
      <c r="DX23" s="39" t="str">
        <f t="shared" ref="DX23:EB23" si="118">DQ23</f>
        <v/>
      </c>
      <c r="DY23" s="10" t="str">
        <f t="shared" si="118"/>
        <v/>
      </c>
      <c r="DZ23" s="10" t="str">
        <f t="shared" si="118"/>
        <v/>
      </c>
      <c r="EA23" s="10" t="str">
        <f t="shared" si="118"/>
        <v/>
      </c>
      <c r="EB23" s="10" t="str">
        <f t="shared" si="118"/>
        <v/>
      </c>
      <c r="EC23" s="10"/>
      <c r="ED23" s="10"/>
      <c r="EE23" s="39" t="str">
        <f t="shared" ref="EE23:EI23" si="119">DX23</f>
        <v/>
      </c>
      <c r="EF23" s="10" t="str">
        <f t="shared" si="119"/>
        <v/>
      </c>
      <c r="EG23" s="10" t="str">
        <f t="shared" si="119"/>
        <v/>
      </c>
      <c r="EH23" s="10" t="str">
        <f t="shared" si="119"/>
        <v/>
      </c>
      <c r="EI23" s="10" t="str">
        <f t="shared" si="119"/>
        <v/>
      </c>
      <c r="EJ23" s="10"/>
      <c r="EK23" s="10"/>
      <c r="EL23" s="39" t="str">
        <f t="shared" ref="EL23:EP23" si="120">EE23</f>
        <v/>
      </c>
      <c r="EM23" s="10" t="str">
        <f t="shared" si="120"/>
        <v/>
      </c>
      <c r="EN23" s="10" t="str">
        <f t="shared" si="120"/>
        <v/>
      </c>
      <c r="EO23" s="10" t="str">
        <f t="shared" si="120"/>
        <v/>
      </c>
      <c r="EP23" s="10" t="str">
        <f t="shared" si="120"/>
        <v/>
      </c>
      <c r="EQ23" s="10"/>
      <c r="ER23" s="10"/>
    </row>
    <row r="24">
      <c r="A24" s="40"/>
      <c r="B24" s="39"/>
      <c r="C24" s="10"/>
      <c r="D24" s="10"/>
      <c r="E24" s="10"/>
      <c r="F24" s="10"/>
      <c r="G24" s="10"/>
      <c r="H24" s="10"/>
      <c r="I24" s="39" t="str">
        <f t="shared" ref="I24:M24" si="121">B24</f>
        <v/>
      </c>
      <c r="J24" s="10" t="str">
        <f t="shared" si="121"/>
        <v/>
      </c>
      <c r="K24" s="10" t="str">
        <f t="shared" si="121"/>
        <v/>
      </c>
      <c r="L24" s="10" t="str">
        <f t="shared" si="121"/>
        <v/>
      </c>
      <c r="M24" s="10" t="str">
        <f t="shared" si="121"/>
        <v/>
      </c>
      <c r="N24" s="10"/>
      <c r="O24" s="10"/>
      <c r="P24" s="39" t="str">
        <f t="shared" ref="P24:T24" si="122">I24</f>
        <v/>
      </c>
      <c r="Q24" s="10" t="str">
        <f t="shared" si="122"/>
        <v/>
      </c>
      <c r="R24" s="10" t="str">
        <f t="shared" si="122"/>
        <v/>
      </c>
      <c r="S24" s="10" t="str">
        <f t="shared" si="122"/>
        <v/>
      </c>
      <c r="T24" s="10" t="str">
        <f t="shared" si="122"/>
        <v/>
      </c>
      <c r="U24" s="10"/>
      <c r="V24" s="10"/>
      <c r="W24" s="39" t="str">
        <f t="shared" ref="W24:AA24" si="123">P24</f>
        <v/>
      </c>
      <c r="X24" s="10" t="str">
        <f t="shared" si="123"/>
        <v/>
      </c>
      <c r="Y24" s="10" t="str">
        <f t="shared" si="123"/>
        <v/>
      </c>
      <c r="Z24" s="10" t="str">
        <f t="shared" si="123"/>
        <v/>
      </c>
      <c r="AA24" s="10" t="str">
        <f t="shared" si="123"/>
        <v/>
      </c>
      <c r="AB24" s="10"/>
      <c r="AC24" s="10"/>
      <c r="AD24" s="39" t="str">
        <f t="shared" ref="AD24:AH24" si="124">W24</f>
        <v/>
      </c>
      <c r="AE24" s="10" t="str">
        <f t="shared" si="124"/>
        <v/>
      </c>
      <c r="AF24" s="10" t="str">
        <f t="shared" si="124"/>
        <v/>
      </c>
      <c r="AG24" s="10" t="str">
        <f t="shared" si="124"/>
        <v/>
      </c>
      <c r="AH24" s="10" t="str">
        <f t="shared" si="124"/>
        <v/>
      </c>
      <c r="AI24" s="10"/>
      <c r="AJ24" s="10"/>
      <c r="AK24" s="39" t="str">
        <f t="shared" ref="AK24:AO24" si="125">AD24</f>
        <v/>
      </c>
      <c r="AL24" s="10" t="str">
        <f t="shared" si="125"/>
        <v/>
      </c>
      <c r="AM24" s="10" t="str">
        <f t="shared" si="125"/>
        <v/>
      </c>
      <c r="AN24" s="10" t="str">
        <f t="shared" si="125"/>
        <v/>
      </c>
      <c r="AO24" s="10" t="str">
        <f t="shared" si="125"/>
        <v/>
      </c>
      <c r="AP24" s="10"/>
      <c r="AQ24" s="10"/>
      <c r="AR24" s="39" t="str">
        <f t="shared" ref="AR24:AV24" si="126">AK24</f>
        <v/>
      </c>
      <c r="AS24" s="10" t="str">
        <f t="shared" si="126"/>
        <v/>
      </c>
      <c r="AT24" s="10" t="str">
        <f t="shared" si="126"/>
        <v/>
      </c>
      <c r="AU24" s="10" t="str">
        <f t="shared" si="126"/>
        <v/>
      </c>
      <c r="AV24" s="10" t="str">
        <f t="shared" si="126"/>
        <v/>
      </c>
      <c r="AW24" s="10"/>
      <c r="AX24" s="10"/>
      <c r="AY24" s="39" t="str">
        <f t="shared" ref="AY24:BC24" si="127">AR24</f>
        <v/>
      </c>
      <c r="AZ24" s="10" t="str">
        <f t="shared" si="127"/>
        <v/>
      </c>
      <c r="BA24" s="10" t="str">
        <f t="shared" si="127"/>
        <v/>
      </c>
      <c r="BB24" s="10" t="str">
        <f t="shared" si="127"/>
        <v/>
      </c>
      <c r="BC24" s="10" t="str">
        <f t="shared" si="127"/>
        <v/>
      </c>
      <c r="BD24" s="10"/>
      <c r="BE24" s="10"/>
      <c r="BF24" s="39" t="str">
        <f t="shared" ref="BF24:BJ24" si="128">AY24</f>
        <v/>
      </c>
      <c r="BG24" s="10" t="str">
        <f t="shared" si="128"/>
        <v/>
      </c>
      <c r="BH24" s="10" t="str">
        <f t="shared" si="128"/>
        <v/>
      </c>
      <c r="BI24" s="10" t="str">
        <f t="shared" si="128"/>
        <v/>
      </c>
      <c r="BJ24" s="10" t="str">
        <f t="shared" si="128"/>
        <v/>
      </c>
      <c r="BK24" s="10"/>
      <c r="BL24" s="10"/>
      <c r="BM24" s="39" t="str">
        <f t="shared" ref="BM24:BQ24" si="129">BF24</f>
        <v/>
      </c>
      <c r="BN24" s="10" t="str">
        <f t="shared" si="129"/>
        <v/>
      </c>
      <c r="BO24" s="10" t="str">
        <f t="shared" si="129"/>
        <v/>
      </c>
      <c r="BP24" s="10" t="str">
        <f t="shared" si="129"/>
        <v/>
      </c>
      <c r="BQ24" s="10" t="str">
        <f t="shared" si="129"/>
        <v/>
      </c>
      <c r="BR24" s="10"/>
      <c r="BS24" s="10"/>
      <c r="BT24" s="39" t="str">
        <f t="shared" ref="BT24:BX24" si="130">BM24</f>
        <v/>
      </c>
      <c r="BU24" s="10" t="str">
        <f t="shared" si="130"/>
        <v/>
      </c>
      <c r="BV24" s="10" t="str">
        <f t="shared" si="130"/>
        <v/>
      </c>
      <c r="BW24" s="10" t="str">
        <f t="shared" si="130"/>
        <v/>
      </c>
      <c r="BX24" s="10" t="str">
        <f t="shared" si="130"/>
        <v/>
      </c>
      <c r="BY24" s="10"/>
      <c r="BZ24" s="10"/>
      <c r="CA24" s="39" t="str">
        <f t="shared" ref="CA24:CE24" si="131">BT24</f>
        <v/>
      </c>
      <c r="CB24" s="10" t="str">
        <f t="shared" si="131"/>
        <v/>
      </c>
      <c r="CC24" s="10" t="str">
        <f t="shared" si="131"/>
        <v/>
      </c>
      <c r="CD24" s="10" t="str">
        <f t="shared" si="131"/>
        <v/>
      </c>
      <c r="CE24" s="10" t="str">
        <f t="shared" si="131"/>
        <v/>
      </c>
      <c r="CF24" s="10"/>
      <c r="CG24" s="10"/>
      <c r="CH24" s="39" t="str">
        <f t="shared" ref="CH24:CL24" si="132">CA24</f>
        <v/>
      </c>
      <c r="CI24" s="10" t="str">
        <f t="shared" si="132"/>
        <v/>
      </c>
      <c r="CJ24" s="10" t="str">
        <f t="shared" si="132"/>
        <v/>
      </c>
      <c r="CK24" s="10" t="str">
        <f t="shared" si="132"/>
        <v/>
      </c>
      <c r="CL24" s="10" t="str">
        <f t="shared" si="132"/>
        <v/>
      </c>
      <c r="CM24" s="10"/>
      <c r="CN24" s="10"/>
      <c r="CO24" s="39" t="str">
        <f t="shared" ref="CO24:CS24" si="133">CH24</f>
        <v/>
      </c>
      <c r="CP24" s="10" t="str">
        <f t="shared" si="133"/>
        <v/>
      </c>
      <c r="CQ24" s="10" t="str">
        <f t="shared" si="133"/>
        <v/>
      </c>
      <c r="CR24" s="10" t="str">
        <f t="shared" si="133"/>
        <v/>
      </c>
      <c r="CS24" s="10" t="str">
        <f t="shared" si="133"/>
        <v/>
      </c>
      <c r="CT24" s="10"/>
      <c r="CU24" s="10"/>
      <c r="CV24" s="39" t="str">
        <f t="shared" ref="CV24:CZ24" si="134">CO24</f>
        <v/>
      </c>
      <c r="CW24" s="10" t="str">
        <f t="shared" si="134"/>
        <v/>
      </c>
      <c r="CX24" s="10" t="str">
        <f t="shared" si="134"/>
        <v/>
      </c>
      <c r="CY24" s="10" t="str">
        <f t="shared" si="134"/>
        <v/>
      </c>
      <c r="CZ24" s="10" t="str">
        <f t="shared" si="134"/>
        <v/>
      </c>
      <c r="DA24" s="10"/>
      <c r="DB24" s="10"/>
      <c r="DC24" s="39" t="str">
        <f t="shared" ref="DC24:DG24" si="135">CV24</f>
        <v/>
      </c>
      <c r="DD24" s="10" t="str">
        <f t="shared" si="135"/>
        <v/>
      </c>
      <c r="DE24" s="10" t="str">
        <f t="shared" si="135"/>
        <v/>
      </c>
      <c r="DF24" s="10" t="str">
        <f t="shared" si="135"/>
        <v/>
      </c>
      <c r="DG24" s="10" t="str">
        <f t="shared" si="135"/>
        <v/>
      </c>
      <c r="DH24" s="10"/>
      <c r="DI24" s="10"/>
      <c r="DJ24" s="39" t="str">
        <f t="shared" ref="DJ24:DN24" si="136">DC24</f>
        <v/>
      </c>
      <c r="DK24" s="10" t="str">
        <f t="shared" si="136"/>
        <v/>
      </c>
      <c r="DL24" s="10" t="str">
        <f t="shared" si="136"/>
        <v/>
      </c>
      <c r="DM24" s="10" t="str">
        <f t="shared" si="136"/>
        <v/>
      </c>
      <c r="DN24" s="10" t="str">
        <f t="shared" si="136"/>
        <v/>
      </c>
      <c r="DO24" s="10"/>
      <c r="DP24" s="10"/>
      <c r="DQ24" s="39" t="str">
        <f t="shared" ref="DQ24:DU24" si="137">DJ24</f>
        <v/>
      </c>
      <c r="DR24" s="10" t="str">
        <f t="shared" si="137"/>
        <v/>
      </c>
      <c r="DS24" s="10" t="str">
        <f t="shared" si="137"/>
        <v/>
      </c>
      <c r="DT24" s="10" t="str">
        <f t="shared" si="137"/>
        <v/>
      </c>
      <c r="DU24" s="10" t="str">
        <f t="shared" si="137"/>
        <v/>
      </c>
      <c r="DV24" s="10"/>
      <c r="DW24" s="10"/>
      <c r="DX24" s="39" t="str">
        <f t="shared" ref="DX24:EB24" si="138">DQ24</f>
        <v/>
      </c>
      <c r="DY24" s="10" t="str">
        <f t="shared" si="138"/>
        <v/>
      </c>
      <c r="DZ24" s="10" t="str">
        <f t="shared" si="138"/>
        <v/>
      </c>
      <c r="EA24" s="10" t="str">
        <f t="shared" si="138"/>
        <v/>
      </c>
      <c r="EB24" s="10" t="str">
        <f t="shared" si="138"/>
        <v/>
      </c>
      <c r="EC24" s="10"/>
      <c r="ED24" s="10"/>
      <c r="EE24" s="39" t="str">
        <f t="shared" ref="EE24:EI24" si="139">DX24</f>
        <v/>
      </c>
      <c r="EF24" s="10" t="str">
        <f t="shared" si="139"/>
        <v/>
      </c>
      <c r="EG24" s="10" t="str">
        <f t="shared" si="139"/>
        <v/>
      </c>
      <c r="EH24" s="10" t="str">
        <f t="shared" si="139"/>
        <v/>
      </c>
      <c r="EI24" s="10" t="str">
        <f t="shared" si="139"/>
        <v/>
      </c>
      <c r="EJ24" s="10"/>
      <c r="EK24" s="10"/>
      <c r="EL24" s="39" t="str">
        <f t="shared" ref="EL24:EP24" si="140">EE24</f>
        <v/>
      </c>
      <c r="EM24" s="10" t="str">
        <f t="shared" si="140"/>
        <v/>
      </c>
      <c r="EN24" s="10" t="str">
        <f t="shared" si="140"/>
        <v/>
      </c>
      <c r="EO24" s="10" t="str">
        <f t="shared" si="140"/>
        <v/>
      </c>
      <c r="EP24" s="10" t="str">
        <f t="shared" si="140"/>
        <v/>
      </c>
      <c r="EQ24" s="10"/>
      <c r="ER24" s="10"/>
    </row>
    <row r="25">
      <c r="A25" s="41"/>
      <c r="B25" s="42"/>
      <c r="C25" s="43"/>
      <c r="D25" s="43"/>
      <c r="E25" s="43"/>
      <c r="F25" s="43"/>
      <c r="G25" s="43"/>
      <c r="H25" s="43"/>
      <c r="I25" s="42" t="str">
        <f t="shared" ref="I25:M25" si="141">B25</f>
        <v/>
      </c>
      <c r="J25" s="43" t="str">
        <f t="shared" si="141"/>
        <v/>
      </c>
      <c r="K25" s="43" t="str">
        <f t="shared" si="141"/>
        <v/>
      </c>
      <c r="L25" s="43" t="str">
        <f t="shared" si="141"/>
        <v/>
      </c>
      <c r="M25" s="43" t="str">
        <f t="shared" si="141"/>
        <v/>
      </c>
      <c r="N25" s="43"/>
      <c r="O25" s="43"/>
      <c r="P25" s="42" t="str">
        <f t="shared" ref="P25:T25" si="142">I25</f>
        <v/>
      </c>
      <c r="Q25" s="43" t="str">
        <f t="shared" si="142"/>
        <v/>
      </c>
      <c r="R25" s="43" t="str">
        <f t="shared" si="142"/>
        <v/>
      </c>
      <c r="S25" s="43" t="str">
        <f t="shared" si="142"/>
        <v/>
      </c>
      <c r="T25" s="43" t="str">
        <f t="shared" si="142"/>
        <v/>
      </c>
      <c r="U25" s="43"/>
      <c r="V25" s="43"/>
      <c r="W25" s="42" t="str">
        <f t="shared" ref="W25:AA25" si="143">P25</f>
        <v/>
      </c>
      <c r="X25" s="43" t="str">
        <f t="shared" si="143"/>
        <v/>
      </c>
      <c r="Y25" s="43" t="str">
        <f t="shared" si="143"/>
        <v/>
      </c>
      <c r="Z25" s="43" t="str">
        <f t="shared" si="143"/>
        <v/>
      </c>
      <c r="AA25" s="43" t="str">
        <f t="shared" si="143"/>
        <v/>
      </c>
      <c r="AB25" s="43"/>
      <c r="AC25" s="43"/>
      <c r="AD25" s="42" t="str">
        <f t="shared" ref="AD25:AH25" si="144">W25</f>
        <v/>
      </c>
      <c r="AE25" s="43" t="str">
        <f t="shared" si="144"/>
        <v/>
      </c>
      <c r="AF25" s="43" t="str">
        <f t="shared" si="144"/>
        <v/>
      </c>
      <c r="AG25" s="43" t="str">
        <f t="shared" si="144"/>
        <v/>
      </c>
      <c r="AH25" s="43" t="str">
        <f t="shared" si="144"/>
        <v/>
      </c>
      <c r="AI25" s="43"/>
      <c r="AJ25" s="43"/>
      <c r="AK25" s="42" t="str">
        <f t="shared" ref="AK25:AO25" si="145">AD25</f>
        <v/>
      </c>
      <c r="AL25" s="43" t="str">
        <f t="shared" si="145"/>
        <v/>
      </c>
      <c r="AM25" s="43" t="str">
        <f t="shared" si="145"/>
        <v/>
      </c>
      <c r="AN25" s="43" t="str">
        <f t="shared" si="145"/>
        <v/>
      </c>
      <c r="AO25" s="43" t="str">
        <f t="shared" si="145"/>
        <v/>
      </c>
      <c r="AP25" s="43"/>
      <c r="AQ25" s="43"/>
      <c r="AR25" s="42" t="str">
        <f t="shared" ref="AR25:AV25" si="146">AK25</f>
        <v/>
      </c>
      <c r="AS25" s="43" t="str">
        <f t="shared" si="146"/>
        <v/>
      </c>
      <c r="AT25" s="43" t="str">
        <f t="shared" si="146"/>
        <v/>
      </c>
      <c r="AU25" s="43" t="str">
        <f t="shared" si="146"/>
        <v/>
      </c>
      <c r="AV25" s="43" t="str">
        <f t="shared" si="146"/>
        <v/>
      </c>
      <c r="AW25" s="43"/>
      <c r="AX25" s="43"/>
      <c r="AY25" s="42" t="str">
        <f t="shared" ref="AY25:BC25" si="147">AR25</f>
        <v/>
      </c>
      <c r="AZ25" s="43" t="str">
        <f t="shared" si="147"/>
        <v/>
      </c>
      <c r="BA25" s="43" t="str">
        <f t="shared" si="147"/>
        <v/>
      </c>
      <c r="BB25" s="43" t="str">
        <f t="shared" si="147"/>
        <v/>
      </c>
      <c r="BC25" s="43" t="str">
        <f t="shared" si="147"/>
        <v/>
      </c>
      <c r="BD25" s="43"/>
      <c r="BE25" s="43"/>
      <c r="BF25" s="42" t="str">
        <f t="shared" ref="BF25:BJ25" si="148">AY25</f>
        <v/>
      </c>
      <c r="BG25" s="43" t="str">
        <f t="shared" si="148"/>
        <v/>
      </c>
      <c r="BH25" s="43" t="str">
        <f t="shared" si="148"/>
        <v/>
      </c>
      <c r="BI25" s="43" t="str">
        <f t="shared" si="148"/>
        <v/>
      </c>
      <c r="BJ25" s="43" t="str">
        <f t="shared" si="148"/>
        <v/>
      </c>
      <c r="BK25" s="43"/>
      <c r="BL25" s="43"/>
      <c r="BM25" s="42" t="str">
        <f t="shared" ref="BM25:BQ25" si="149">BF25</f>
        <v/>
      </c>
      <c r="BN25" s="43" t="str">
        <f t="shared" si="149"/>
        <v/>
      </c>
      <c r="BO25" s="43" t="str">
        <f t="shared" si="149"/>
        <v/>
      </c>
      <c r="BP25" s="43" t="str">
        <f t="shared" si="149"/>
        <v/>
      </c>
      <c r="BQ25" s="43" t="str">
        <f t="shared" si="149"/>
        <v/>
      </c>
      <c r="BR25" s="43"/>
      <c r="BS25" s="43"/>
      <c r="BT25" s="42" t="str">
        <f t="shared" ref="BT25:BX25" si="150">BM25</f>
        <v/>
      </c>
      <c r="BU25" s="43" t="str">
        <f t="shared" si="150"/>
        <v/>
      </c>
      <c r="BV25" s="43" t="str">
        <f t="shared" si="150"/>
        <v/>
      </c>
      <c r="BW25" s="43" t="str">
        <f t="shared" si="150"/>
        <v/>
      </c>
      <c r="BX25" s="43" t="str">
        <f t="shared" si="150"/>
        <v/>
      </c>
      <c r="BY25" s="43"/>
      <c r="BZ25" s="43"/>
      <c r="CA25" s="42" t="str">
        <f t="shared" ref="CA25:CE25" si="151">BT25</f>
        <v/>
      </c>
      <c r="CB25" s="43" t="str">
        <f t="shared" si="151"/>
        <v/>
      </c>
      <c r="CC25" s="43" t="str">
        <f t="shared" si="151"/>
        <v/>
      </c>
      <c r="CD25" s="43" t="str">
        <f t="shared" si="151"/>
        <v/>
      </c>
      <c r="CE25" s="43" t="str">
        <f t="shared" si="151"/>
        <v/>
      </c>
      <c r="CF25" s="43"/>
      <c r="CG25" s="43"/>
      <c r="CH25" s="42" t="str">
        <f t="shared" ref="CH25:CL25" si="152">CA25</f>
        <v/>
      </c>
      <c r="CI25" s="43" t="str">
        <f t="shared" si="152"/>
        <v/>
      </c>
      <c r="CJ25" s="43" t="str">
        <f t="shared" si="152"/>
        <v/>
      </c>
      <c r="CK25" s="43" t="str">
        <f t="shared" si="152"/>
        <v/>
      </c>
      <c r="CL25" s="43" t="str">
        <f t="shared" si="152"/>
        <v/>
      </c>
      <c r="CM25" s="43"/>
      <c r="CN25" s="43"/>
      <c r="CO25" s="42" t="str">
        <f t="shared" ref="CO25:CS25" si="153">CH25</f>
        <v/>
      </c>
      <c r="CP25" s="43" t="str">
        <f t="shared" si="153"/>
        <v/>
      </c>
      <c r="CQ25" s="43" t="str">
        <f t="shared" si="153"/>
        <v/>
      </c>
      <c r="CR25" s="43" t="str">
        <f t="shared" si="153"/>
        <v/>
      </c>
      <c r="CS25" s="43" t="str">
        <f t="shared" si="153"/>
        <v/>
      </c>
      <c r="CT25" s="43"/>
      <c r="CU25" s="43"/>
      <c r="CV25" s="42" t="str">
        <f t="shared" ref="CV25:CZ25" si="154">CO25</f>
        <v/>
      </c>
      <c r="CW25" s="43" t="str">
        <f t="shared" si="154"/>
        <v/>
      </c>
      <c r="CX25" s="43" t="str">
        <f t="shared" si="154"/>
        <v/>
      </c>
      <c r="CY25" s="43" t="str">
        <f t="shared" si="154"/>
        <v/>
      </c>
      <c r="CZ25" s="43" t="str">
        <f t="shared" si="154"/>
        <v/>
      </c>
      <c r="DA25" s="43"/>
      <c r="DB25" s="43"/>
      <c r="DC25" s="42" t="str">
        <f t="shared" ref="DC25:DG25" si="155">CV25</f>
        <v/>
      </c>
      <c r="DD25" s="43" t="str">
        <f t="shared" si="155"/>
        <v/>
      </c>
      <c r="DE25" s="43" t="str">
        <f t="shared" si="155"/>
        <v/>
      </c>
      <c r="DF25" s="43" t="str">
        <f t="shared" si="155"/>
        <v/>
      </c>
      <c r="DG25" s="43" t="str">
        <f t="shared" si="155"/>
        <v/>
      </c>
      <c r="DH25" s="43"/>
      <c r="DI25" s="43"/>
      <c r="DJ25" s="42" t="str">
        <f t="shared" ref="DJ25:DN25" si="156">DC25</f>
        <v/>
      </c>
      <c r="DK25" s="43" t="str">
        <f t="shared" si="156"/>
        <v/>
      </c>
      <c r="DL25" s="43" t="str">
        <f t="shared" si="156"/>
        <v/>
      </c>
      <c r="DM25" s="43" t="str">
        <f t="shared" si="156"/>
        <v/>
      </c>
      <c r="DN25" s="43" t="str">
        <f t="shared" si="156"/>
        <v/>
      </c>
      <c r="DO25" s="43"/>
      <c r="DP25" s="43"/>
      <c r="DQ25" s="42" t="str">
        <f t="shared" ref="DQ25:DU25" si="157">DJ25</f>
        <v/>
      </c>
      <c r="DR25" s="43" t="str">
        <f t="shared" si="157"/>
        <v/>
      </c>
      <c r="DS25" s="43" t="str">
        <f t="shared" si="157"/>
        <v/>
      </c>
      <c r="DT25" s="43" t="str">
        <f t="shared" si="157"/>
        <v/>
      </c>
      <c r="DU25" s="43" t="str">
        <f t="shared" si="157"/>
        <v/>
      </c>
      <c r="DV25" s="43"/>
      <c r="DW25" s="43"/>
      <c r="DX25" s="42" t="str">
        <f t="shared" ref="DX25:EB25" si="158">DQ25</f>
        <v/>
      </c>
      <c r="DY25" s="43" t="str">
        <f t="shared" si="158"/>
        <v/>
      </c>
      <c r="DZ25" s="43" t="str">
        <f t="shared" si="158"/>
        <v/>
      </c>
      <c r="EA25" s="43" t="str">
        <f t="shared" si="158"/>
        <v/>
      </c>
      <c r="EB25" s="43" t="str">
        <f t="shared" si="158"/>
        <v/>
      </c>
      <c r="EC25" s="43"/>
      <c r="ED25" s="43"/>
      <c r="EE25" s="42" t="str">
        <f t="shared" ref="EE25:EI25" si="159">DX25</f>
        <v/>
      </c>
      <c r="EF25" s="43" t="str">
        <f t="shared" si="159"/>
        <v/>
      </c>
      <c r="EG25" s="43" t="str">
        <f t="shared" si="159"/>
        <v/>
      </c>
      <c r="EH25" s="43" t="str">
        <f t="shared" si="159"/>
        <v/>
      </c>
      <c r="EI25" s="43" t="str">
        <f t="shared" si="159"/>
        <v/>
      </c>
      <c r="EJ25" s="43"/>
      <c r="EK25" s="43"/>
      <c r="EL25" s="42" t="str">
        <f t="shared" ref="EL25:EP25" si="160">EE25</f>
        <v/>
      </c>
      <c r="EM25" s="43" t="str">
        <f t="shared" si="160"/>
        <v/>
      </c>
      <c r="EN25" s="43" t="str">
        <f t="shared" si="160"/>
        <v/>
      </c>
      <c r="EO25" s="43" t="str">
        <f t="shared" si="160"/>
        <v/>
      </c>
      <c r="EP25" s="43" t="str">
        <f t="shared" si="160"/>
        <v/>
      </c>
      <c r="EQ25" s="43"/>
      <c r="ER25" s="43"/>
    </row>
    <row r="26">
      <c r="A26" s="2"/>
      <c r="B26" s="38"/>
      <c r="C26" s="2"/>
      <c r="D26" s="2"/>
      <c r="E26" s="2"/>
      <c r="F26" s="2"/>
      <c r="G26" s="2"/>
      <c r="H26" s="2"/>
      <c r="I26" s="38"/>
      <c r="J26" s="2"/>
      <c r="K26" s="2"/>
      <c r="L26" s="2"/>
      <c r="M26" s="2"/>
      <c r="N26" s="2"/>
      <c r="O26" s="2"/>
      <c r="P26" s="38"/>
      <c r="Q26" s="2"/>
      <c r="R26" s="2"/>
      <c r="S26" s="2"/>
      <c r="T26" s="2"/>
      <c r="U26" s="2"/>
      <c r="V26" s="2"/>
      <c r="W26" s="38"/>
      <c r="X26" s="2"/>
      <c r="Y26" s="2"/>
      <c r="Z26" s="2"/>
      <c r="AA26" s="2"/>
      <c r="AB26" s="2"/>
      <c r="AC26" s="2"/>
      <c r="AD26" s="38"/>
      <c r="AE26" s="2"/>
      <c r="AF26" s="2"/>
      <c r="AG26" s="2"/>
      <c r="AH26" s="2"/>
      <c r="AI26" s="2"/>
      <c r="AJ26" s="2"/>
      <c r="AK26" s="38"/>
      <c r="AL26" s="2"/>
      <c r="AM26" s="2"/>
      <c r="AN26" s="2"/>
      <c r="AO26" s="2"/>
      <c r="AP26" s="2"/>
      <c r="AQ26" s="2"/>
      <c r="AR26" s="38"/>
      <c r="AS26" s="2"/>
      <c r="AT26" s="2"/>
      <c r="AU26" s="2"/>
      <c r="AV26" s="2"/>
      <c r="AW26" s="2"/>
      <c r="AX26" s="2"/>
      <c r="AY26" s="38"/>
      <c r="AZ26" s="2"/>
      <c r="BA26" s="2"/>
      <c r="BB26" s="2"/>
      <c r="BC26" s="2"/>
      <c r="BD26" s="2"/>
      <c r="BE26" s="2"/>
      <c r="BF26" s="38"/>
      <c r="BG26" s="2"/>
      <c r="BH26" s="2"/>
      <c r="BI26" s="2"/>
      <c r="BJ26" s="2"/>
      <c r="BK26" s="2"/>
      <c r="BL26" s="2"/>
      <c r="BM26" s="38"/>
      <c r="BN26" s="2"/>
      <c r="BO26" s="2"/>
      <c r="BP26" s="2"/>
      <c r="BQ26" s="2"/>
      <c r="BR26" s="2"/>
      <c r="BS26" s="2"/>
      <c r="BT26" s="38"/>
      <c r="BU26" s="2"/>
      <c r="BV26" s="2"/>
      <c r="BW26" s="2"/>
      <c r="BX26" s="2"/>
      <c r="BY26" s="2"/>
      <c r="BZ26" s="2"/>
      <c r="CA26" s="38"/>
      <c r="CB26" s="2"/>
      <c r="CC26" s="2"/>
      <c r="CD26" s="2"/>
      <c r="CE26" s="2"/>
      <c r="CF26" s="2"/>
      <c r="CG26" s="2"/>
      <c r="CH26" s="38"/>
      <c r="CI26" s="2"/>
      <c r="CJ26" s="2"/>
      <c r="CK26" s="2"/>
      <c r="CL26" s="2"/>
      <c r="CM26" s="2"/>
      <c r="CN26" s="2"/>
      <c r="CO26" s="38"/>
      <c r="CP26" s="2"/>
      <c r="CQ26" s="2"/>
      <c r="CR26" s="2"/>
      <c r="CS26" s="2"/>
      <c r="CT26" s="2"/>
      <c r="CU26" s="2"/>
      <c r="CV26" s="38"/>
      <c r="CW26" s="2"/>
      <c r="CX26" s="2"/>
      <c r="CY26" s="2"/>
      <c r="CZ26" s="2"/>
      <c r="DA26" s="2"/>
      <c r="DB26" s="2"/>
      <c r="DC26" s="38"/>
      <c r="DD26" s="2"/>
      <c r="DE26" s="2"/>
      <c r="DF26" s="2"/>
      <c r="DG26" s="2"/>
      <c r="DH26" s="2"/>
      <c r="DI26" s="2"/>
      <c r="DJ26" s="38"/>
      <c r="DK26" s="2"/>
      <c r="DL26" s="2"/>
      <c r="DM26" s="2"/>
      <c r="DN26" s="2"/>
      <c r="DO26" s="2"/>
      <c r="DP26" s="2"/>
      <c r="DQ26" s="38"/>
      <c r="DR26" s="2"/>
      <c r="DS26" s="2"/>
      <c r="DT26" s="2"/>
      <c r="DU26" s="2"/>
      <c r="DV26" s="2"/>
      <c r="DW26" s="2"/>
      <c r="DX26" s="38"/>
      <c r="DY26" s="2"/>
      <c r="DZ26" s="2"/>
      <c r="EA26" s="2"/>
      <c r="EB26" s="2"/>
      <c r="EC26" s="2"/>
      <c r="ED26" s="2"/>
      <c r="EE26" s="38"/>
      <c r="EF26" s="2"/>
      <c r="EG26" s="2"/>
      <c r="EH26" s="2"/>
      <c r="EI26" s="2"/>
      <c r="EJ26" s="2"/>
      <c r="EK26" s="2"/>
      <c r="EL26" s="38"/>
      <c r="EM26" s="2"/>
      <c r="EN26" s="2"/>
      <c r="EO26" s="2"/>
      <c r="EP26" s="2"/>
      <c r="EQ26" s="2"/>
      <c r="ER26" s="2"/>
    </row>
    <row r="27">
      <c r="A27" s="28" t="s">
        <v>79</v>
      </c>
      <c r="B27" s="29"/>
      <c r="C27" s="30"/>
      <c r="D27" s="30"/>
      <c r="E27" s="30"/>
      <c r="F27" s="30"/>
      <c r="G27" s="30"/>
      <c r="H27" s="30"/>
      <c r="I27" s="29"/>
      <c r="J27" s="30"/>
      <c r="K27" s="30"/>
      <c r="L27" s="30"/>
      <c r="M27" s="30"/>
      <c r="N27" s="30"/>
      <c r="O27" s="30"/>
      <c r="P27" s="29"/>
      <c r="Q27" s="30"/>
      <c r="R27" s="30"/>
      <c r="S27" s="30"/>
      <c r="T27" s="30"/>
      <c r="U27" s="30"/>
      <c r="V27" s="30"/>
      <c r="W27" s="29"/>
      <c r="X27" s="30"/>
      <c r="Y27" s="30"/>
      <c r="Z27" s="30"/>
      <c r="AA27" s="30"/>
      <c r="AB27" s="30"/>
      <c r="AC27" s="30"/>
      <c r="AD27" s="29"/>
      <c r="AE27" s="30"/>
      <c r="AF27" s="30"/>
      <c r="AG27" s="30"/>
      <c r="AH27" s="30"/>
      <c r="AI27" s="30"/>
      <c r="AJ27" s="30"/>
      <c r="AK27" s="29"/>
      <c r="AL27" s="30"/>
      <c r="AM27" s="30"/>
      <c r="AN27" s="30"/>
      <c r="AO27" s="30"/>
      <c r="AP27" s="30"/>
      <c r="AQ27" s="30"/>
      <c r="AR27" s="29"/>
      <c r="AS27" s="30"/>
      <c r="AT27" s="30"/>
      <c r="AU27" s="30"/>
      <c r="AV27" s="30"/>
      <c r="AW27" s="30"/>
      <c r="AX27" s="30"/>
      <c r="AY27" s="29"/>
      <c r="AZ27" s="30"/>
      <c r="BA27" s="30"/>
      <c r="BB27" s="30"/>
      <c r="BC27" s="30"/>
      <c r="BD27" s="30"/>
      <c r="BE27" s="30"/>
      <c r="BF27" s="29"/>
      <c r="BG27" s="30"/>
      <c r="BH27" s="30"/>
      <c r="BI27" s="30"/>
      <c r="BJ27" s="30"/>
      <c r="BK27" s="30"/>
      <c r="BL27" s="30"/>
      <c r="BM27" s="29"/>
      <c r="BN27" s="30"/>
      <c r="BO27" s="30"/>
      <c r="BP27" s="30"/>
      <c r="BQ27" s="30"/>
      <c r="BR27" s="30"/>
      <c r="BS27" s="30"/>
      <c r="BT27" s="29"/>
      <c r="BU27" s="30"/>
      <c r="BV27" s="30"/>
      <c r="BW27" s="30"/>
      <c r="BX27" s="30"/>
      <c r="BY27" s="30"/>
      <c r="BZ27" s="30"/>
      <c r="CA27" s="29"/>
      <c r="CB27" s="30"/>
      <c r="CC27" s="30"/>
      <c r="CD27" s="30"/>
      <c r="CE27" s="30"/>
      <c r="CF27" s="30"/>
      <c r="CG27" s="30"/>
      <c r="CH27" s="29"/>
      <c r="CI27" s="30"/>
      <c r="CJ27" s="30"/>
      <c r="CK27" s="30"/>
      <c r="CL27" s="30"/>
      <c r="CM27" s="30"/>
      <c r="CN27" s="30"/>
      <c r="CO27" s="29"/>
      <c r="CP27" s="30"/>
      <c r="CQ27" s="30"/>
      <c r="CR27" s="30"/>
      <c r="CS27" s="30"/>
      <c r="CT27" s="30"/>
      <c r="CU27" s="30"/>
      <c r="CV27" s="29"/>
      <c r="CW27" s="30"/>
      <c r="CX27" s="30"/>
      <c r="CY27" s="30"/>
      <c r="CZ27" s="30"/>
      <c r="DA27" s="30"/>
      <c r="DB27" s="30"/>
      <c r="DC27" s="29"/>
      <c r="DD27" s="30"/>
      <c r="DE27" s="30"/>
      <c r="DF27" s="30"/>
      <c r="DG27" s="30"/>
      <c r="DH27" s="30"/>
      <c r="DI27" s="30"/>
      <c r="DJ27" s="29"/>
      <c r="DK27" s="30"/>
      <c r="DL27" s="30"/>
      <c r="DM27" s="30"/>
      <c r="DN27" s="30"/>
      <c r="DO27" s="30"/>
      <c r="DP27" s="30"/>
      <c r="DQ27" s="29"/>
      <c r="DR27" s="30"/>
      <c r="DS27" s="30"/>
      <c r="DT27" s="30"/>
      <c r="DU27" s="30"/>
      <c r="DV27" s="30"/>
      <c r="DW27" s="30"/>
      <c r="DX27" s="29"/>
      <c r="DY27" s="30"/>
      <c r="DZ27" s="30"/>
      <c r="EA27" s="30"/>
      <c r="EB27" s="30"/>
      <c r="EC27" s="30"/>
      <c r="ED27" s="30"/>
      <c r="EE27" s="31" t="s">
        <v>75</v>
      </c>
      <c r="EF27" s="32"/>
      <c r="EG27" s="32"/>
      <c r="EH27" s="32"/>
      <c r="EI27" s="32"/>
      <c r="EJ27" s="32"/>
      <c r="EK27" s="32"/>
      <c r="EL27" s="29"/>
      <c r="EM27" s="30"/>
      <c r="EN27" s="30"/>
      <c r="EO27" s="30"/>
      <c r="EP27" s="30"/>
      <c r="EQ27" s="30"/>
      <c r="ER27" s="30"/>
    </row>
    <row r="28" hidden="1">
      <c r="A28" s="33" t="str">
        <f>CONCATENATE(A29," TM")</f>
        <v>Deadlift TM</v>
      </c>
      <c r="B28" s="34">
        <f>if(D28="",'Quick Setup'!D7,D28/'Quick Setup'!E7)</f>
        <v>525</v>
      </c>
      <c r="C28" s="35" t="s">
        <v>73</v>
      </c>
      <c r="D28" s="36"/>
      <c r="E28" s="37"/>
      <c r="F28" s="37"/>
      <c r="G28" s="37"/>
      <c r="H28" s="37"/>
      <c r="I28" s="34">
        <f>if(K28="", if(F29&lt;&gt;"", if(F29&gt;Setup!F6,B28*(1+Setup!G6),if(F29&lt;Setup!E6,B28*(1+Setup!H6),B28)),B28),K28/'Quick Setup'!$E7)</f>
        <v>525</v>
      </c>
      <c r="J28" s="35" t="s">
        <v>73</v>
      </c>
      <c r="K28" s="36"/>
      <c r="L28" s="37"/>
      <c r="M28" s="37"/>
      <c r="N28" s="37"/>
      <c r="O28" s="37"/>
      <c r="P28" s="34">
        <f>if(R28="", if(M29&lt;&gt;"", if(M29&gt;Setup!M6,I28*(1+Setup!N6),if(M29&lt;Setup!L6,I28*(1+Setup!O6),I28)),I28),R28/'Quick Setup'!$E7)</f>
        <v>525</v>
      </c>
      <c r="Q28" s="35" t="s">
        <v>73</v>
      </c>
      <c r="R28" s="36"/>
      <c r="S28" s="37"/>
      <c r="T28" s="37"/>
      <c r="U28" s="37"/>
      <c r="V28" s="37"/>
      <c r="W28" s="34">
        <f>if(Y28="", if(T29&lt;&gt;"", if(T29&gt;Setup!T6,P28*(1+Setup!U6),if(T29&lt;Setup!S6,P28*(1+Setup!V6),P28)),P28),Y28/'Quick Setup'!$E7)</f>
        <v>525</v>
      </c>
      <c r="X28" s="35" t="s">
        <v>73</v>
      </c>
      <c r="Y28" s="36"/>
      <c r="Z28" s="37"/>
      <c r="AA28" s="37"/>
      <c r="AB28" s="37"/>
      <c r="AC28" s="37"/>
      <c r="AD28" s="34">
        <f>if(AF28="", if(AA29&lt;&gt;"", if(AA29&gt;Setup!AA6,W28*(1+Setup!AB6),if(AA29&lt;Setup!Z6,W28*(1+Setup!AC6),W28)),W28),AF28/'Quick Setup'!$E7)</f>
        <v>525</v>
      </c>
      <c r="AE28" s="35" t="s">
        <v>73</v>
      </c>
      <c r="AF28" s="36"/>
      <c r="AG28" s="37"/>
      <c r="AH28" s="37"/>
      <c r="AI28" s="37"/>
      <c r="AJ28" s="37"/>
      <c r="AK28" s="34">
        <f>if(AM28="", if(AH29&lt;&gt;"", if(AH29&gt;Setup!AH6,AD28*(1+Setup!AI6),if(AH29&lt;Setup!AG6,AD28*(1+Setup!AJ6),AD28)),AD28),AM28/'Quick Setup'!$E7)</f>
        <v>525</v>
      </c>
      <c r="AL28" s="35" t="s">
        <v>73</v>
      </c>
      <c r="AM28" s="36"/>
      <c r="AN28" s="37"/>
      <c r="AO28" s="37"/>
      <c r="AP28" s="37"/>
      <c r="AQ28" s="37"/>
      <c r="AR28" s="34">
        <f>if(AT28="", if(AO29&lt;&gt;"", if(AO29&gt;Setup!AO6,AK28*(1+Setup!AP6),if(AO29&lt;Setup!AN6,AK28*(1+Setup!AQ6),AK28)),AK28),AT28/'Quick Setup'!$E7)</f>
        <v>525</v>
      </c>
      <c r="AS28" s="35" t="s">
        <v>73</v>
      </c>
      <c r="AT28" s="36"/>
      <c r="AU28" s="37"/>
      <c r="AV28" s="37"/>
      <c r="AW28" s="37"/>
      <c r="AX28" s="37"/>
      <c r="AY28" s="34">
        <f>if(BA28="",AR28,BA28/'Quick Setup'!$E7)</f>
        <v>525</v>
      </c>
      <c r="AZ28" s="35" t="s">
        <v>73</v>
      </c>
      <c r="BA28" s="36"/>
      <c r="BB28" s="37"/>
      <c r="BC28" s="37"/>
      <c r="BD28" s="37"/>
      <c r="BE28" s="37"/>
      <c r="BF28" s="34">
        <f>if(BH28="", if(BC29&lt;&gt;"", if(BC29&gt;Setup!BC6,AY28*(1+Setup!BD6),if(BC29&lt;Setup!BB6,AY28*(1+Setup!BE6),AY28)),AY28),BH28/'Quick Setup'!$E7)</f>
        <v>525</v>
      </c>
      <c r="BG28" s="35" t="s">
        <v>73</v>
      </c>
      <c r="BH28" s="36"/>
      <c r="BI28" s="37"/>
      <c r="BJ28" s="37"/>
      <c r="BK28" s="37"/>
      <c r="BL28" s="37"/>
      <c r="BM28" s="34">
        <f>if(BO28="", if(BJ29&lt;&gt;"", if(BJ29&gt;Setup!BJ6,BF28*(1+Setup!BK6),if(BJ29&lt;Setup!BI6,BF28*(1+Setup!BL6),BF28)),BF28),BO28/'Quick Setup'!$E7)</f>
        <v>525</v>
      </c>
      <c r="BN28" s="35" t="s">
        <v>73</v>
      </c>
      <c r="BO28" s="36"/>
      <c r="BP28" s="37"/>
      <c r="BQ28" s="37"/>
      <c r="BR28" s="37"/>
      <c r="BS28" s="37"/>
      <c r="BT28" s="34">
        <f>if(BV28="", if(BQ29&lt;&gt;"", if(BQ29&gt;Setup!BQ6,BM28*(1+Setup!BR6),if(BQ29&lt;Setup!BP6,BM28*(1+Setup!BS6),BM28)),BM28),BV28/'Quick Setup'!$E7)</f>
        <v>525</v>
      </c>
      <c r="BU28" s="35" t="s">
        <v>73</v>
      </c>
      <c r="BV28" s="36"/>
      <c r="BW28" s="37"/>
      <c r="BX28" s="37"/>
      <c r="BY28" s="37"/>
      <c r="BZ28" s="37"/>
      <c r="CA28" s="34">
        <f>if(CC28="", if(BX29&lt;&gt;"", if(BX29&gt;Setup!BX6,BT28*(1+Setup!BY6),if(BX29&lt;Setup!BW6,BT28*(1+Setup!BZ6),BT28)),BT28),CC28/'Quick Setup'!$E7)</f>
        <v>525</v>
      </c>
      <c r="CB28" s="35" t="s">
        <v>73</v>
      </c>
      <c r="CC28" s="36"/>
      <c r="CD28" s="37"/>
      <c r="CE28" s="37"/>
      <c r="CF28" s="37"/>
      <c r="CG28" s="37"/>
      <c r="CH28" s="34">
        <f>if(CJ28="", if(CE29&lt;&gt;"", if(CE29&gt;Setup!CE6,CA28*(1+Setup!CF6),if(CE29&lt;Setup!CD6,CA28*(1+Setup!CG6),CA28)),CA28),CJ28/'Quick Setup'!$E7)</f>
        <v>525</v>
      </c>
      <c r="CI28" s="35" t="s">
        <v>73</v>
      </c>
      <c r="CJ28" s="36"/>
      <c r="CK28" s="37"/>
      <c r="CL28" s="37"/>
      <c r="CM28" s="37"/>
      <c r="CN28" s="37"/>
      <c r="CO28" s="34">
        <f>if(CQ28="", if(CL29&lt;&gt;"", if(CL29&gt;Setup!CL6,CH28*(1+Setup!CM6),if(CL29&lt;Setup!CK6,CH28*(1+Setup!CN6),CH28)),CH28),CQ28/'Quick Setup'!$E7)</f>
        <v>525</v>
      </c>
      <c r="CP28" s="35" t="s">
        <v>73</v>
      </c>
      <c r="CQ28" s="36"/>
      <c r="CR28" s="37"/>
      <c r="CS28" s="37"/>
      <c r="CT28" s="37"/>
      <c r="CU28" s="37"/>
      <c r="CV28" s="34">
        <f>if(CX28="",CO28,CX28/'Quick Setup'!$E7)</f>
        <v>525</v>
      </c>
      <c r="CW28" s="35" t="s">
        <v>73</v>
      </c>
      <c r="CX28" s="36"/>
      <c r="CY28" s="37"/>
      <c r="CZ28" s="37"/>
      <c r="DA28" s="37"/>
      <c r="DB28" s="37"/>
      <c r="DC28" s="34">
        <f>if(DE28="", if(CZ29&lt;&gt;"", if(CZ29&gt;Setup!CZ6,CV28*(1+Setup!DA6),if(CZ29&lt;Setup!CY6,CV28*(1+Setup!DB6),CV28)),CV28),DE28/'Quick Setup'!$E7)</f>
        <v>525</v>
      </c>
      <c r="DD28" s="35" t="s">
        <v>73</v>
      </c>
      <c r="DE28" s="36"/>
      <c r="DF28" s="37"/>
      <c r="DG28" s="37"/>
      <c r="DH28" s="37"/>
      <c r="DI28" s="37"/>
      <c r="DJ28" s="34">
        <f>if(DL28="", if(DG29&lt;&gt;"", if(DG29&gt;Setup!DG6,DC28*(1+Setup!DH6),if(DG29&lt;Setup!DF6,DC28*(1+Setup!DI6),DC28)),DC28),DL28/'Quick Setup'!$E7)</f>
        <v>525</v>
      </c>
      <c r="DK28" s="35" t="s">
        <v>73</v>
      </c>
      <c r="DL28" s="36"/>
      <c r="DM28" s="37"/>
      <c r="DN28" s="37"/>
      <c r="DO28" s="37"/>
      <c r="DP28" s="37"/>
      <c r="DQ28" s="34">
        <f>if(DS28="", if(DN29&lt;&gt;"", if(DN29&gt;Setup!DN6,DJ28*(1+Setup!DO6),if(DN29&lt;Setup!DM6,DJ28*(1+Setup!DP6),DJ28)),DJ28),DS28/'Quick Setup'!$E7)</f>
        <v>525</v>
      </c>
      <c r="DR28" s="35" t="s">
        <v>73</v>
      </c>
      <c r="DS28" s="36"/>
      <c r="DT28" s="37"/>
      <c r="DU28" s="37"/>
      <c r="DV28" s="37"/>
      <c r="DW28" s="37"/>
      <c r="DX28" s="34">
        <f>if(DZ28="", if(DU29&lt;&gt;"", if(DU29&gt;Setup!DU6,DQ28*(1+Setup!DV6),if(DU29&lt;Setup!DT6,DQ28*(1+Setup!DW6),DQ28)),DQ28),DZ28/'Quick Setup'!$E7)</f>
        <v>525</v>
      </c>
      <c r="DY28" s="35" t="s">
        <v>73</v>
      </c>
      <c r="DZ28" s="36"/>
      <c r="EA28" s="37"/>
      <c r="EB28" s="37"/>
      <c r="EC28" s="37"/>
      <c r="ED28" s="37"/>
      <c r="EE28" s="34">
        <f>if(EG28="", if(EB29&lt;&gt;"", if(EB29&gt;Setup!EB6,DX28*(1+Setup!EC6),if(EB29&lt;Setup!EA6,DX28*(1+Setup!ED6),DX28)),DX28),EG28/'Quick Setup'!$E7)</f>
        <v>525</v>
      </c>
      <c r="EF28" s="35" t="s">
        <v>73</v>
      </c>
      <c r="EG28" s="36"/>
      <c r="EH28" s="37"/>
      <c r="EI28" s="37"/>
      <c r="EJ28" s="37"/>
      <c r="EK28" s="37"/>
      <c r="EL28" s="34">
        <f>if(EN28="", if(EI29&lt;&gt;"", if(EI29&gt;Setup!EI6,EE28*(1+Setup!EJ6),if(EI29&lt;Setup!EH6,EE28*(1+Setup!EK6),EE28)),EE28),EN28/'Quick Setup'!$E7)</f>
        <v>525</v>
      </c>
      <c r="EM28" s="35" t="s">
        <v>73</v>
      </c>
      <c r="EN28" s="36"/>
      <c r="EO28" s="37"/>
      <c r="EP28" s="37"/>
      <c r="EQ28" s="37"/>
      <c r="ER28" s="37"/>
    </row>
    <row r="29">
      <c r="A29" s="1" t="str">
        <f>Setup!A6</f>
        <v>Deadlift</v>
      </c>
      <c r="B29" s="38">
        <f>mround(B28*Setup!B6,'Quick Setup'!$A$2)</f>
        <v>367.5</v>
      </c>
      <c r="C29" s="2">
        <f>Setup!C6</f>
        <v>5</v>
      </c>
      <c r="D29" s="2">
        <f>Setup!D6</f>
        <v>3</v>
      </c>
      <c r="E29" s="2" t="str">
        <f>CONCATENATE(Setup!E6,"-",Setup!F6)</f>
        <v>4-6</v>
      </c>
      <c r="F29" s="10"/>
      <c r="G29" s="10"/>
      <c r="H29" s="10"/>
      <c r="I29" s="38">
        <f>mround(I28*Setup!I6,'Quick Setup'!$A$2)</f>
        <v>395</v>
      </c>
      <c r="J29" s="2">
        <f>Setup!J6</f>
        <v>4</v>
      </c>
      <c r="K29" s="2">
        <f>Setup!K6</f>
        <v>3</v>
      </c>
      <c r="L29" s="2" t="str">
        <f>CONCATENATE(Setup!L6,"-",Setup!M6)</f>
        <v>4-6</v>
      </c>
      <c r="M29" s="10"/>
      <c r="N29" s="10"/>
      <c r="O29" s="10"/>
      <c r="P29" s="38">
        <f>mround(P28*Setup!P6,'Quick Setup'!$A$2)</f>
        <v>420</v>
      </c>
      <c r="Q29" s="2">
        <f>Setup!Q6</f>
        <v>3</v>
      </c>
      <c r="R29" s="2">
        <f>Setup!R6</f>
        <v>2</v>
      </c>
      <c r="S29" s="2" t="str">
        <f>CONCATENATE(Setup!S6,"-",Setup!T6)</f>
        <v>4-6</v>
      </c>
      <c r="T29" s="10"/>
      <c r="U29" s="10"/>
      <c r="V29" s="10"/>
      <c r="W29" s="38">
        <f>mround(W28*Setup!W6,'Quick Setup'!$A$2)</f>
        <v>380</v>
      </c>
      <c r="X29" s="2">
        <f>Setup!X6</f>
        <v>5</v>
      </c>
      <c r="Y29" s="2">
        <f>Setup!Y6</f>
        <v>3</v>
      </c>
      <c r="Z29" s="2" t="str">
        <f>CONCATENATE(Setup!Z6,"-",Setup!AA6)</f>
        <v>4-6</v>
      </c>
      <c r="AA29" s="10"/>
      <c r="AB29" s="10"/>
      <c r="AC29" s="10"/>
      <c r="AD29" s="38">
        <f>mround(AD28*Setup!AD6,'Quick Setup'!$A$2)</f>
        <v>407.5</v>
      </c>
      <c r="AE29" s="2">
        <f>Setup!AE6</f>
        <v>4</v>
      </c>
      <c r="AF29" s="2">
        <f>Setup!AF6</f>
        <v>3</v>
      </c>
      <c r="AG29" s="2" t="str">
        <f>CONCATENATE(Setup!AG6,"-",Setup!AH6)</f>
        <v>4-6</v>
      </c>
      <c r="AH29" s="10"/>
      <c r="AI29" s="10"/>
      <c r="AJ29" s="10"/>
      <c r="AK29" s="38">
        <f>mround(AK28*Setup!AK6,'Quick Setup'!$A$2)</f>
        <v>432.5</v>
      </c>
      <c r="AL29" s="2">
        <f>Setup!AL6</f>
        <v>3</v>
      </c>
      <c r="AM29" s="2">
        <f>Setup!AM6</f>
        <v>2</v>
      </c>
      <c r="AN29" s="2" t="str">
        <f>CONCATENATE(Setup!AN6,"-",Setup!AO6)</f>
        <v>4-6</v>
      </c>
      <c r="AO29" s="10"/>
      <c r="AP29" s="10"/>
      <c r="AQ29" s="10"/>
      <c r="AR29" s="38">
        <f>mround(AR28*Setup!AR6,'Quick Setup'!$A$2)</f>
        <v>315</v>
      </c>
      <c r="AS29" s="1">
        <v>5.0</v>
      </c>
      <c r="AT29" s="1" t="s">
        <v>76</v>
      </c>
      <c r="AU29" s="2" t="str">
        <f>CONCATENATE(Setup!AU6,"-",Setup!AV6)</f>
        <v>4-6</v>
      </c>
      <c r="AV29" s="10"/>
      <c r="AW29" s="10"/>
      <c r="AX29" s="10"/>
      <c r="AY29" s="38">
        <f>mround(AY28*Setup!AY6,'Quick Setup'!$A$2)</f>
        <v>395</v>
      </c>
      <c r="AZ29" s="2">
        <f>Setup!AZ6</f>
        <v>4</v>
      </c>
      <c r="BA29" s="2">
        <f>Setup!BA6</f>
        <v>3</v>
      </c>
      <c r="BB29" s="2" t="str">
        <f>CONCATENATE(Setup!BB6,"-",Setup!BC6)</f>
        <v>4-6</v>
      </c>
      <c r="BC29" s="10"/>
      <c r="BD29" s="10"/>
      <c r="BE29" s="10"/>
      <c r="BF29" s="38">
        <f>mround(BF28*Setup!BF6,'Quick Setup'!$A$2)</f>
        <v>420</v>
      </c>
      <c r="BG29" s="2">
        <f>Setup!BG6</f>
        <v>3</v>
      </c>
      <c r="BH29" s="2">
        <f>Setup!BH6</f>
        <v>2</v>
      </c>
      <c r="BI29" s="2" t="str">
        <f>CONCATENATE(Setup!BI6,"-",Setup!BJ6)</f>
        <v>4-6</v>
      </c>
      <c r="BJ29" s="10"/>
      <c r="BK29" s="10"/>
      <c r="BL29" s="10"/>
      <c r="BM29" s="38">
        <f>mround(BM28*Setup!BM6,'Quick Setup'!$A$2)</f>
        <v>447.5</v>
      </c>
      <c r="BN29" s="2">
        <f>Setup!BN6</f>
        <v>2</v>
      </c>
      <c r="BO29" s="2">
        <f>Setup!BO6</f>
        <v>2</v>
      </c>
      <c r="BP29" s="2" t="str">
        <f>CONCATENATE(Setup!BP6,"-",Setup!BQ6)</f>
        <v>4-6</v>
      </c>
      <c r="BQ29" s="10"/>
      <c r="BR29" s="10"/>
      <c r="BS29" s="10"/>
      <c r="BT29" s="38">
        <f>mround(BT28*Setup!BT6,'Quick Setup'!$A$2)</f>
        <v>407.5</v>
      </c>
      <c r="BU29" s="2">
        <f>Setup!BU6</f>
        <v>4</v>
      </c>
      <c r="BV29" s="2">
        <f>Setup!BV6</f>
        <v>3</v>
      </c>
      <c r="BW29" s="2" t="str">
        <f>CONCATENATE(Setup!BW6,"-",Setup!BX6)</f>
        <v>4-6</v>
      </c>
      <c r="BX29" s="10"/>
      <c r="BY29" s="10"/>
      <c r="BZ29" s="10"/>
      <c r="CA29" s="38">
        <f>mround(CA28*Setup!CA6,'Quick Setup'!$A$2)</f>
        <v>432.5</v>
      </c>
      <c r="CB29" s="2">
        <f>Setup!CB6</f>
        <v>3</v>
      </c>
      <c r="CC29" s="2">
        <f>Setup!CC6</f>
        <v>2</v>
      </c>
      <c r="CD29" s="2" t="str">
        <f>CONCATENATE(Setup!CD6,"-",Setup!CE6)</f>
        <v>4-6</v>
      </c>
      <c r="CE29" s="10"/>
      <c r="CF29" s="10"/>
      <c r="CG29" s="10"/>
      <c r="CH29" s="38">
        <f>mround(CH28*Setup!CH6,'Quick Setup'!$A$2)</f>
        <v>460</v>
      </c>
      <c r="CI29" s="2">
        <f>Setup!CI6</f>
        <v>2</v>
      </c>
      <c r="CJ29" s="2">
        <f>Setup!CJ6</f>
        <v>2</v>
      </c>
      <c r="CK29" s="2" t="str">
        <f>CONCATENATE(Setup!CK6,"-",Setup!CL6)</f>
        <v>4-6</v>
      </c>
      <c r="CL29" s="10"/>
      <c r="CM29" s="10"/>
      <c r="CN29" s="10"/>
      <c r="CO29" s="38">
        <f>mround(CO28*Setup!CO6,'Quick Setup'!$A$2)</f>
        <v>315</v>
      </c>
      <c r="CP29" s="1">
        <v>5.0</v>
      </c>
      <c r="CQ29" s="1" t="s">
        <v>76</v>
      </c>
      <c r="CR29" s="2" t="str">
        <f>CONCATENATE(Setup!CR6,"-",Setup!CS6)</f>
        <v>4-6</v>
      </c>
      <c r="CS29" s="10"/>
      <c r="CT29" s="10"/>
      <c r="CU29" s="10"/>
      <c r="CV29" s="38">
        <f>mround(CV28*Setup!CV6,'Quick Setup'!$A$2)</f>
        <v>420</v>
      </c>
      <c r="CW29" s="2">
        <f>Setup!CW6</f>
        <v>3</v>
      </c>
      <c r="CX29" s="2">
        <f>Setup!CX6</f>
        <v>2</v>
      </c>
      <c r="CY29" s="2" t="str">
        <f>CONCATENATE(Setup!CY6,"-",Setup!CZ6)</f>
        <v>4-6</v>
      </c>
      <c r="CZ29" s="10"/>
      <c r="DA29" s="10"/>
      <c r="DB29" s="10"/>
      <c r="DC29" s="38">
        <f>mround(DC28*Setup!DC6,'Quick Setup'!$A$2)</f>
        <v>447.5</v>
      </c>
      <c r="DD29" s="2">
        <f>Setup!DD6</f>
        <v>2</v>
      </c>
      <c r="DE29" s="2">
        <f>Setup!DE6</f>
        <v>2</v>
      </c>
      <c r="DF29" s="2" t="str">
        <f>CONCATENATE(Setup!DF6,"-",Setup!DG6)</f>
        <v>4-6</v>
      </c>
      <c r="DG29" s="10"/>
      <c r="DH29" s="10"/>
      <c r="DI29" s="10"/>
      <c r="DJ29" s="38">
        <f>mround(DJ28*Setup!DJ6,'Quick Setup'!$A$2)</f>
        <v>472.5</v>
      </c>
      <c r="DK29" s="2">
        <f>Setup!DK6</f>
        <v>1</v>
      </c>
      <c r="DL29" s="2">
        <f>Setup!DL6</f>
        <v>1</v>
      </c>
      <c r="DM29" s="2" t="str">
        <f>CONCATENATE(Setup!DM6,"-",Setup!DN6)</f>
        <v>4-6</v>
      </c>
      <c r="DN29" s="10"/>
      <c r="DO29" s="10"/>
      <c r="DP29" s="10"/>
      <c r="DQ29" s="38">
        <f>mround(DQ28*Setup!DQ6,'Quick Setup'!$A$2)</f>
        <v>447.5</v>
      </c>
      <c r="DR29" s="2">
        <f>Setup!DR6</f>
        <v>2</v>
      </c>
      <c r="DS29" s="2">
        <f>Setup!DS6</f>
        <v>2</v>
      </c>
      <c r="DT29" s="2" t="str">
        <f>CONCATENATE(Setup!DT6,"-",Setup!DU6)</f>
        <v>4-6</v>
      </c>
      <c r="DU29" s="10"/>
      <c r="DV29" s="10"/>
      <c r="DW29" s="10"/>
      <c r="DX29" s="38">
        <f>mround(DX28*Setup!DX6,'Quick Setup'!$A$2)</f>
        <v>472.5</v>
      </c>
      <c r="DY29" s="2">
        <f>Setup!DY6</f>
        <v>1</v>
      </c>
      <c r="DZ29" s="2">
        <f>Setup!DZ6</f>
        <v>1</v>
      </c>
      <c r="EA29" s="2" t="str">
        <f>CONCATENATE(Setup!EA6,"-",Setup!EB6)</f>
        <v>4-6</v>
      </c>
      <c r="EB29" s="10"/>
      <c r="EC29" s="10"/>
      <c r="ED29" s="10"/>
      <c r="EE29" s="38">
        <f>mround(EE28*Setup!EE6,'Quick Setup'!$A$2)</f>
        <v>500</v>
      </c>
      <c r="EF29" s="2">
        <f>Setup!EF6</f>
        <v>1</v>
      </c>
      <c r="EG29" s="2">
        <f>Setup!EG6</f>
        <v>1</v>
      </c>
      <c r="EH29" s="2" t="str">
        <f>CONCATENATE(Setup!EH6,"-",Setup!EI6)</f>
        <v>4-6</v>
      </c>
      <c r="EI29" s="10"/>
      <c r="EJ29" s="10"/>
      <c r="EK29" s="10"/>
      <c r="EL29" s="38">
        <f>mround(EL28*Setup!EL6,'Quick Setup'!$A$2)</f>
        <v>315</v>
      </c>
      <c r="EM29" s="1">
        <v>5.0</v>
      </c>
      <c r="EN29" s="1" t="s">
        <v>76</v>
      </c>
      <c r="EO29" s="2" t="str">
        <f>CONCATENATE(Setup!EO6,"-",Setup!EP6)</f>
        <v>4-6</v>
      </c>
      <c r="EP29" s="10"/>
      <c r="EQ29" s="10"/>
      <c r="ER29" s="10"/>
    </row>
    <row r="30">
      <c r="A30" s="5"/>
      <c r="B30" s="39"/>
      <c r="C30" s="10"/>
      <c r="D30" s="10"/>
      <c r="E30" s="10"/>
      <c r="F30" s="10"/>
      <c r="G30" s="10"/>
      <c r="H30" s="10"/>
      <c r="I30" s="39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39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39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39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39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39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39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39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39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39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39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39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39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39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39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39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39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39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39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39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77</v>
      </c>
      <c r="B31" s="38"/>
      <c r="C31" s="2"/>
      <c r="D31" s="2"/>
      <c r="E31" s="2"/>
      <c r="F31" s="2"/>
      <c r="G31" s="2"/>
      <c r="H31" s="2"/>
      <c r="I31" s="38"/>
      <c r="J31" s="2"/>
      <c r="K31" s="2"/>
      <c r="L31" s="2"/>
      <c r="M31" s="2"/>
      <c r="N31" s="2"/>
      <c r="O31" s="2"/>
      <c r="P31" s="38"/>
      <c r="Q31" s="2"/>
      <c r="R31" s="2"/>
      <c r="S31" s="2"/>
      <c r="T31" s="2"/>
      <c r="U31" s="2"/>
      <c r="V31" s="2"/>
      <c r="W31" s="38"/>
      <c r="X31" s="2"/>
      <c r="Y31" s="2"/>
      <c r="Z31" s="2"/>
      <c r="AA31" s="2"/>
      <c r="AB31" s="2"/>
      <c r="AC31" s="2"/>
      <c r="AD31" s="38"/>
      <c r="AE31" s="2"/>
      <c r="AF31" s="2"/>
      <c r="AG31" s="2"/>
      <c r="AH31" s="2"/>
      <c r="AI31" s="2"/>
      <c r="AJ31" s="2"/>
      <c r="AK31" s="38"/>
      <c r="AL31" s="2"/>
      <c r="AM31" s="2"/>
      <c r="AN31" s="2"/>
      <c r="AO31" s="2"/>
      <c r="AP31" s="2"/>
      <c r="AQ31" s="2"/>
      <c r="AR31" s="38"/>
      <c r="AS31" s="2"/>
      <c r="AT31" s="2"/>
      <c r="AU31" s="2"/>
      <c r="AV31" s="2"/>
      <c r="AW31" s="2"/>
      <c r="AX31" s="2"/>
      <c r="AY31" s="38"/>
      <c r="AZ31" s="2"/>
      <c r="BA31" s="2"/>
      <c r="BB31" s="2"/>
      <c r="BC31" s="2"/>
      <c r="BD31" s="2"/>
      <c r="BE31" s="2"/>
      <c r="BF31" s="38"/>
      <c r="BG31" s="2"/>
      <c r="BH31" s="2"/>
      <c r="BI31" s="2"/>
      <c r="BJ31" s="2"/>
      <c r="BK31" s="2"/>
      <c r="BL31" s="2"/>
      <c r="BM31" s="38"/>
      <c r="BN31" s="2"/>
      <c r="BO31" s="2"/>
      <c r="BP31" s="2"/>
      <c r="BQ31" s="2"/>
      <c r="BR31" s="2"/>
      <c r="BS31" s="2"/>
      <c r="BT31" s="38"/>
      <c r="BU31" s="2"/>
      <c r="BV31" s="2"/>
      <c r="BW31" s="2"/>
      <c r="BX31" s="2"/>
      <c r="BY31" s="2"/>
      <c r="BZ31" s="2"/>
      <c r="CA31" s="38"/>
      <c r="CB31" s="2"/>
      <c r="CC31" s="2"/>
      <c r="CD31" s="2"/>
      <c r="CE31" s="2"/>
      <c r="CF31" s="2"/>
      <c r="CG31" s="2"/>
      <c r="CH31" s="38"/>
      <c r="CI31" s="2"/>
      <c r="CJ31" s="2"/>
      <c r="CK31" s="2"/>
      <c r="CL31" s="2"/>
      <c r="CM31" s="2"/>
      <c r="CN31" s="2"/>
      <c r="CO31" s="38"/>
      <c r="CP31" s="2"/>
      <c r="CQ31" s="2"/>
      <c r="CR31" s="2"/>
      <c r="CS31" s="2"/>
      <c r="CT31" s="2"/>
      <c r="CU31" s="2"/>
      <c r="CV31" s="38"/>
      <c r="CW31" s="2"/>
      <c r="CX31" s="2"/>
      <c r="CY31" s="2"/>
      <c r="CZ31" s="2"/>
      <c r="DA31" s="2"/>
      <c r="DB31" s="2"/>
      <c r="DC31" s="38"/>
      <c r="DD31" s="2"/>
      <c r="DE31" s="2"/>
      <c r="DF31" s="2"/>
      <c r="DG31" s="2"/>
      <c r="DH31" s="2"/>
      <c r="DI31" s="2"/>
      <c r="DJ31" s="38"/>
      <c r="DK31" s="2"/>
      <c r="DL31" s="2"/>
      <c r="DM31" s="2"/>
      <c r="DN31" s="2"/>
      <c r="DO31" s="2"/>
      <c r="DP31" s="2"/>
      <c r="DQ31" s="38"/>
      <c r="DR31" s="2"/>
      <c r="DS31" s="2"/>
      <c r="DT31" s="2"/>
      <c r="DU31" s="2"/>
      <c r="DV31" s="2"/>
      <c r="DW31" s="2"/>
      <c r="DX31" s="38"/>
      <c r="DY31" s="2"/>
      <c r="DZ31" s="2"/>
      <c r="EA31" s="2"/>
      <c r="EB31" s="2"/>
      <c r="EC31" s="2"/>
      <c r="ED31" s="2"/>
      <c r="EE31" s="38"/>
      <c r="EF31" s="2"/>
      <c r="EG31" s="2"/>
      <c r="EH31" s="2"/>
      <c r="EI31" s="2"/>
      <c r="EJ31" s="2"/>
      <c r="EK31" s="2"/>
      <c r="EL31" s="38"/>
      <c r="EM31" s="2"/>
      <c r="EN31" s="2"/>
      <c r="EO31" s="2"/>
      <c r="EP31" s="2"/>
      <c r="EQ31" s="2"/>
      <c r="ER31" s="2"/>
    </row>
    <row r="32">
      <c r="A32" s="40"/>
      <c r="B32" s="39"/>
      <c r="C32" s="10"/>
      <c r="D32" s="10"/>
      <c r="E32" s="10"/>
      <c r="F32" s="10"/>
      <c r="G32" s="10"/>
      <c r="H32" s="10"/>
      <c r="I32" s="39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39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39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39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39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39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39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39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39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39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39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39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39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39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39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39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39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39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39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39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0"/>
      <c r="B33" s="39"/>
      <c r="C33" s="10"/>
      <c r="D33" s="10"/>
      <c r="E33" s="10"/>
      <c r="F33" s="10"/>
      <c r="G33" s="10"/>
      <c r="H33" s="10"/>
      <c r="I33" s="39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39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39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39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39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39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39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39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39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39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39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39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39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39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39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39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39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39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39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39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1"/>
      <c r="B34" s="42"/>
      <c r="C34" s="43"/>
      <c r="D34" s="43"/>
      <c r="E34" s="43"/>
      <c r="F34" s="43"/>
      <c r="G34" s="43"/>
      <c r="H34" s="43"/>
      <c r="I34" s="42" t="str">
        <f t="shared" ref="I34:M34" si="221">B34</f>
        <v/>
      </c>
      <c r="J34" s="43" t="str">
        <f t="shared" si="221"/>
        <v/>
      </c>
      <c r="K34" s="43" t="str">
        <f t="shared" si="221"/>
        <v/>
      </c>
      <c r="L34" s="43" t="str">
        <f t="shared" si="221"/>
        <v/>
      </c>
      <c r="M34" s="43" t="str">
        <f t="shared" si="221"/>
        <v/>
      </c>
      <c r="N34" s="43"/>
      <c r="O34" s="43"/>
      <c r="P34" s="42" t="str">
        <f t="shared" ref="P34:T34" si="222">I34</f>
        <v/>
      </c>
      <c r="Q34" s="43" t="str">
        <f t="shared" si="222"/>
        <v/>
      </c>
      <c r="R34" s="43" t="str">
        <f t="shared" si="222"/>
        <v/>
      </c>
      <c r="S34" s="43" t="str">
        <f t="shared" si="222"/>
        <v/>
      </c>
      <c r="T34" s="43" t="str">
        <f t="shared" si="222"/>
        <v/>
      </c>
      <c r="U34" s="43"/>
      <c r="V34" s="43"/>
      <c r="W34" s="42" t="str">
        <f t="shared" ref="W34:AA34" si="223">P34</f>
        <v/>
      </c>
      <c r="X34" s="43" t="str">
        <f t="shared" si="223"/>
        <v/>
      </c>
      <c r="Y34" s="43" t="str">
        <f t="shared" si="223"/>
        <v/>
      </c>
      <c r="Z34" s="43" t="str">
        <f t="shared" si="223"/>
        <v/>
      </c>
      <c r="AA34" s="43" t="str">
        <f t="shared" si="223"/>
        <v/>
      </c>
      <c r="AB34" s="43"/>
      <c r="AC34" s="43"/>
      <c r="AD34" s="42" t="str">
        <f t="shared" ref="AD34:AH34" si="224">W34</f>
        <v/>
      </c>
      <c r="AE34" s="43" t="str">
        <f t="shared" si="224"/>
        <v/>
      </c>
      <c r="AF34" s="43" t="str">
        <f t="shared" si="224"/>
        <v/>
      </c>
      <c r="AG34" s="43" t="str">
        <f t="shared" si="224"/>
        <v/>
      </c>
      <c r="AH34" s="43" t="str">
        <f t="shared" si="224"/>
        <v/>
      </c>
      <c r="AI34" s="43"/>
      <c r="AJ34" s="43"/>
      <c r="AK34" s="42" t="str">
        <f t="shared" ref="AK34:AO34" si="225">AD34</f>
        <v/>
      </c>
      <c r="AL34" s="43" t="str">
        <f t="shared" si="225"/>
        <v/>
      </c>
      <c r="AM34" s="43" t="str">
        <f t="shared" si="225"/>
        <v/>
      </c>
      <c r="AN34" s="43" t="str">
        <f t="shared" si="225"/>
        <v/>
      </c>
      <c r="AO34" s="43" t="str">
        <f t="shared" si="225"/>
        <v/>
      </c>
      <c r="AP34" s="43"/>
      <c r="AQ34" s="43"/>
      <c r="AR34" s="42" t="str">
        <f t="shared" ref="AR34:AV34" si="226">AK34</f>
        <v/>
      </c>
      <c r="AS34" s="43" t="str">
        <f t="shared" si="226"/>
        <v/>
      </c>
      <c r="AT34" s="43" t="str">
        <f t="shared" si="226"/>
        <v/>
      </c>
      <c r="AU34" s="43" t="str">
        <f t="shared" si="226"/>
        <v/>
      </c>
      <c r="AV34" s="43" t="str">
        <f t="shared" si="226"/>
        <v/>
      </c>
      <c r="AW34" s="43"/>
      <c r="AX34" s="43"/>
      <c r="AY34" s="42" t="str">
        <f t="shared" ref="AY34:BC34" si="227">AR34</f>
        <v/>
      </c>
      <c r="AZ34" s="43" t="str">
        <f t="shared" si="227"/>
        <v/>
      </c>
      <c r="BA34" s="43" t="str">
        <f t="shared" si="227"/>
        <v/>
      </c>
      <c r="BB34" s="43" t="str">
        <f t="shared" si="227"/>
        <v/>
      </c>
      <c r="BC34" s="43" t="str">
        <f t="shared" si="227"/>
        <v/>
      </c>
      <c r="BD34" s="43"/>
      <c r="BE34" s="43"/>
      <c r="BF34" s="42" t="str">
        <f t="shared" ref="BF34:BJ34" si="228">AY34</f>
        <v/>
      </c>
      <c r="BG34" s="43" t="str">
        <f t="shared" si="228"/>
        <v/>
      </c>
      <c r="BH34" s="43" t="str">
        <f t="shared" si="228"/>
        <v/>
      </c>
      <c r="BI34" s="43" t="str">
        <f t="shared" si="228"/>
        <v/>
      </c>
      <c r="BJ34" s="43" t="str">
        <f t="shared" si="228"/>
        <v/>
      </c>
      <c r="BK34" s="43"/>
      <c r="BL34" s="43"/>
      <c r="BM34" s="42" t="str">
        <f t="shared" ref="BM34:BQ34" si="229">BF34</f>
        <v/>
      </c>
      <c r="BN34" s="43" t="str">
        <f t="shared" si="229"/>
        <v/>
      </c>
      <c r="BO34" s="43" t="str">
        <f t="shared" si="229"/>
        <v/>
      </c>
      <c r="BP34" s="43" t="str">
        <f t="shared" si="229"/>
        <v/>
      </c>
      <c r="BQ34" s="43" t="str">
        <f t="shared" si="229"/>
        <v/>
      </c>
      <c r="BR34" s="43"/>
      <c r="BS34" s="43"/>
      <c r="BT34" s="42" t="str">
        <f t="shared" ref="BT34:BX34" si="230">BM34</f>
        <v/>
      </c>
      <c r="BU34" s="43" t="str">
        <f t="shared" si="230"/>
        <v/>
      </c>
      <c r="BV34" s="43" t="str">
        <f t="shared" si="230"/>
        <v/>
      </c>
      <c r="BW34" s="43" t="str">
        <f t="shared" si="230"/>
        <v/>
      </c>
      <c r="BX34" s="43" t="str">
        <f t="shared" si="230"/>
        <v/>
      </c>
      <c r="BY34" s="43"/>
      <c r="BZ34" s="43"/>
      <c r="CA34" s="42" t="str">
        <f t="shared" ref="CA34:CE34" si="231">BT34</f>
        <v/>
      </c>
      <c r="CB34" s="43" t="str">
        <f t="shared" si="231"/>
        <v/>
      </c>
      <c r="CC34" s="43" t="str">
        <f t="shared" si="231"/>
        <v/>
      </c>
      <c r="CD34" s="43" t="str">
        <f t="shared" si="231"/>
        <v/>
      </c>
      <c r="CE34" s="43" t="str">
        <f t="shared" si="231"/>
        <v/>
      </c>
      <c r="CF34" s="43"/>
      <c r="CG34" s="43"/>
      <c r="CH34" s="42" t="str">
        <f t="shared" ref="CH34:CL34" si="232">CA34</f>
        <v/>
      </c>
      <c r="CI34" s="43" t="str">
        <f t="shared" si="232"/>
        <v/>
      </c>
      <c r="CJ34" s="43" t="str">
        <f t="shared" si="232"/>
        <v/>
      </c>
      <c r="CK34" s="43" t="str">
        <f t="shared" si="232"/>
        <v/>
      </c>
      <c r="CL34" s="43" t="str">
        <f t="shared" si="232"/>
        <v/>
      </c>
      <c r="CM34" s="43"/>
      <c r="CN34" s="43"/>
      <c r="CO34" s="42" t="str">
        <f t="shared" ref="CO34:CS34" si="233">CH34</f>
        <v/>
      </c>
      <c r="CP34" s="43" t="str">
        <f t="shared" si="233"/>
        <v/>
      </c>
      <c r="CQ34" s="43" t="str">
        <f t="shared" si="233"/>
        <v/>
      </c>
      <c r="CR34" s="43" t="str">
        <f t="shared" si="233"/>
        <v/>
      </c>
      <c r="CS34" s="43" t="str">
        <f t="shared" si="233"/>
        <v/>
      </c>
      <c r="CT34" s="43"/>
      <c r="CU34" s="43"/>
      <c r="CV34" s="42" t="str">
        <f t="shared" ref="CV34:CZ34" si="234">CO34</f>
        <v/>
      </c>
      <c r="CW34" s="43" t="str">
        <f t="shared" si="234"/>
        <v/>
      </c>
      <c r="CX34" s="43" t="str">
        <f t="shared" si="234"/>
        <v/>
      </c>
      <c r="CY34" s="43" t="str">
        <f t="shared" si="234"/>
        <v/>
      </c>
      <c r="CZ34" s="43" t="str">
        <f t="shared" si="234"/>
        <v/>
      </c>
      <c r="DA34" s="43"/>
      <c r="DB34" s="43"/>
      <c r="DC34" s="42" t="str">
        <f t="shared" ref="DC34:DG34" si="235">CV34</f>
        <v/>
      </c>
      <c r="DD34" s="43" t="str">
        <f t="shared" si="235"/>
        <v/>
      </c>
      <c r="DE34" s="43" t="str">
        <f t="shared" si="235"/>
        <v/>
      </c>
      <c r="DF34" s="43" t="str">
        <f t="shared" si="235"/>
        <v/>
      </c>
      <c r="DG34" s="43" t="str">
        <f t="shared" si="235"/>
        <v/>
      </c>
      <c r="DH34" s="43"/>
      <c r="DI34" s="43"/>
      <c r="DJ34" s="42" t="str">
        <f t="shared" ref="DJ34:DN34" si="236">DC34</f>
        <v/>
      </c>
      <c r="DK34" s="43" t="str">
        <f t="shared" si="236"/>
        <v/>
      </c>
      <c r="DL34" s="43" t="str">
        <f t="shared" si="236"/>
        <v/>
      </c>
      <c r="DM34" s="43" t="str">
        <f t="shared" si="236"/>
        <v/>
      </c>
      <c r="DN34" s="43" t="str">
        <f t="shared" si="236"/>
        <v/>
      </c>
      <c r="DO34" s="43"/>
      <c r="DP34" s="43"/>
      <c r="DQ34" s="42" t="str">
        <f t="shared" ref="DQ34:DU34" si="237">DJ34</f>
        <v/>
      </c>
      <c r="DR34" s="43" t="str">
        <f t="shared" si="237"/>
        <v/>
      </c>
      <c r="DS34" s="43" t="str">
        <f t="shared" si="237"/>
        <v/>
      </c>
      <c r="DT34" s="43" t="str">
        <f t="shared" si="237"/>
        <v/>
      </c>
      <c r="DU34" s="43" t="str">
        <f t="shared" si="237"/>
        <v/>
      </c>
      <c r="DV34" s="43"/>
      <c r="DW34" s="43"/>
      <c r="DX34" s="42" t="str">
        <f t="shared" ref="DX34:EB34" si="238">DQ34</f>
        <v/>
      </c>
      <c r="DY34" s="43" t="str">
        <f t="shared" si="238"/>
        <v/>
      </c>
      <c r="DZ34" s="43" t="str">
        <f t="shared" si="238"/>
        <v/>
      </c>
      <c r="EA34" s="43" t="str">
        <f t="shared" si="238"/>
        <v/>
      </c>
      <c r="EB34" s="43" t="str">
        <f t="shared" si="238"/>
        <v/>
      </c>
      <c r="EC34" s="43"/>
      <c r="ED34" s="43"/>
      <c r="EE34" s="42" t="str">
        <f t="shared" ref="EE34:EI34" si="239">DX34</f>
        <v/>
      </c>
      <c r="EF34" s="43" t="str">
        <f t="shared" si="239"/>
        <v/>
      </c>
      <c r="EG34" s="43" t="str">
        <f t="shared" si="239"/>
        <v/>
      </c>
      <c r="EH34" s="43" t="str">
        <f t="shared" si="239"/>
        <v/>
      </c>
      <c r="EI34" s="43" t="str">
        <f t="shared" si="239"/>
        <v/>
      </c>
      <c r="EJ34" s="43"/>
      <c r="EK34" s="43"/>
      <c r="EL34" s="42" t="str">
        <f t="shared" ref="EL34:EP34" si="240">EE34</f>
        <v/>
      </c>
      <c r="EM34" s="43" t="str">
        <f t="shared" si="240"/>
        <v/>
      </c>
      <c r="EN34" s="43" t="str">
        <f t="shared" si="240"/>
        <v/>
      </c>
      <c r="EO34" s="43" t="str">
        <f t="shared" si="240"/>
        <v/>
      </c>
      <c r="EP34" s="43" t="str">
        <f t="shared" si="240"/>
        <v/>
      </c>
      <c r="EQ34" s="43"/>
      <c r="ER34" s="43"/>
    </row>
    <row r="35">
      <c r="A35" s="2"/>
      <c r="B35" s="38"/>
      <c r="C35" s="2"/>
      <c r="D35" s="2"/>
      <c r="E35" s="2"/>
      <c r="F35" s="2"/>
      <c r="G35" s="2"/>
      <c r="H35" s="2"/>
      <c r="I35" s="38"/>
      <c r="J35" s="2"/>
      <c r="K35" s="2"/>
      <c r="L35" s="2"/>
      <c r="M35" s="2"/>
      <c r="N35" s="2"/>
      <c r="O35" s="2"/>
      <c r="P35" s="38"/>
      <c r="Q35" s="2"/>
      <c r="R35" s="2"/>
      <c r="S35" s="2"/>
      <c r="T35" s="2"/>
      <c r="U35" s="2"/>
      <c r="V35" s="2"/>
      <c r="W35" s="38"/>
      <c r="X35" s="2"/>
      <c r="Y35" s="2"/>
      <c r="Z35" s="2"/>
      <c r="AA35" s="2"/>
      <c r="AB35" s="2"/>
      <c r="AC35" s="2"/>
      <c r="AD35" s="38"/>
      <c r="AE35" s="2"/>
      <c r="AF35" s="2"/>
      <c r="AG35" s="2"/>
      <c r="AH35" s="2"/>
      <c r="AI35" s="2"/>
      <c r="AJ35" s="2"/>
      <c r="AK35" s="38"/>
      <c r="AL35" s="2"/>
      <c r="AM35" s="2"/>
      <c r="AN35" s="2"/>
      <c r="AO35" s="2"/>
      <c r="AP35" s="2"/>
      <c r="AQ35" s="2"/>
      <c r="AR35" s="38"/>
      <c r="AS35" s="2"/>
      <c r="AT35" s="2"/>
      <c r="AU35" s="2"/>
      <c r="AV35" s="2"/>
      <c r="AW35" s="2"/>
      <c r="AX35" s="2"/>
      <c r="AY35" s="38"/>
      <c r="AZ35" s="2"/>
      <c r="BA35" s="2"/>
      <c r="BB35" s="2"/>
      <c r="BC35" s="2"/>
      <c r="BD35" s="2"/>
      <c r="BE35" s="2"/>
      <c r="BF35" s="38"/>
      <c r="BG35" s="2"/>
      <c r="BH35" s="2"/>
      <c r="BI35" s="2"/>
      <c r="BJ35" s="2"/>
      <c r="BK35" s="2"/>
      <c r="BL35" s="2"/>
      <c r="BM35" s="38"/>
      <c r="BN35" s="2"/>
      <c r="BO35" s="2"/>
      <c r="BP35" s="2"/>
      <c r="BQ35" s="2"/>
      <c r="BR35" s="2"/>
      <c r="BS35" s="2"/>
      <c r="BT35" s="38"/>
      <c r="BU35" s="2"/>
      <c r="BV35" s="2"/>
      <c r="BW35" s="2"/>
      <c r="BX35" s="2"/>
      <c r="BY35" s="2"/>
      <c r="BZ35" s="2"/>
      <c r="CA35" s="38"/>
      <c r="CB35" s="2"/>
      <c r="CC35" s="2"/>
      <c r="CD35" s="2"/>
      <c r="CE35" s="2"/>
      <c r="CF35" s="2"/>
      <c r="CG35" s="2"/>
      <c r="CH35" s="38"/>
      <c r="CI35" s="2"/>
      <c r="CJ35" s="2"/>
      <c r="CK35" s="2"/>
      <c r="CL35" s="2"/>
      <c r="CM35" s="2"/>
      <c r="CN35" s="2"/>
      <c r="CO35" s="38"/>
      <c r="CP35" s="2"/>
      <c r="CQ35" s="2"/>
      <c r="CR35" s="2"/>
      <c r="CS35" s="2"/>
      <c r="CT35" s="2"/>
      <c r="CU35" s="2"/>
      <c r="CV35" s="38"/>
      <c r="CW35" s="2"/>
      <c r="CX35" s="2"/>
      <c r="CY35" s="2"/>
      <c r="CZ35" s="2"/>
      <c r="DA35" s="2"/>
      <c r="DB35" s="2"/>
      <c r="DC35" s="38"/>
      <c r="DD35" s="2"/>
      <c r="DE35" s="2"/>
      <c r="DF35" s="2"/>
      <c r="DG35" s="2"/>
      <c r="DH35" s="2"/>
      <c r="DI35" s="2"/>
      <c r="DJ35" s="38"/>
      <c r="DK35" s="2"/>
      <c r="DL35" s="2"/>
      <c r="DM35" s="2"/>
      <c r="DN35" s="2"/>
      <c r="DO35" s="2"/>
      <c r="DP35" s="2"/>
      <c r="DQ35" s="38"/>
      <c r="DR35" s="2"/>
      <c r="DS35" s="2"/>
      <c r="DT35" s="2"/>
      <c r="DU35" s="2"/>
      <c r="DV35" s="2"/>
      <c r="DW35" s="2"/>
      <c r="DX35" s="38"/>
      <c r="DY35" s="2"/>
      <c r="DZ35" s="2"/>
      <c r="EA35" s="2"/>
      <c r="EB35" s="2"/>
      <c r="EC35" s="2"/>
      <c r="ED35" s="2"/>
      <c r="EE35" s="38"/>
      <c r="EF35" s="2"/>
      <c r="EG35" s="2"/>
      <c r="EH35" s="2"/>
      <c r="EI35" s="2"/>
      <c r="EJ35" s="2"/>
      <c r="EK35" s="2"/>
      <c r="EL35" s="38"/>
      <c r="EM35" s="2"/>
      <c r="EN35" s="2"/>
      <c r="EO35" s="2"/>
      <c r="EP35" s="2"/>
      <c r="EQ35" s="2"/>
      <c r="ER35" s="2"/>
    </row>
    <row r="36">
      <c r="A36" s="28" t="s">
        <v>80</v>
      </c>
      <c r="B36" s="29"/>
      <c r="C36" s="30"/>
      <c r="D36" s="30"/>
      <c r="E36" s="30"/>
      <c r="F36" s="30"/>
      <c r="G36" s="30"/>
      <c r="H36" s="30"/>
      <c r="I36" s="29"/>
      <c r="J36" s="30"/>
      <c r="K36" s="30"/>
      <c r="L36" s="30"/>
      <c r="M36" s="30"/>
      <c r="N36" s="30"/>
      <c r="O36" s="30"/>
      <c r="P36" s="29"/>
      <c r="Q36" s="30"/>
      <c r="R36" s="30"/>
      <c r="S36" s="30"/>
      <c r="T36" s="30"/>
      <c r="U36" s="30"/>
      <c r="V36" s="30"/>
      <c r="W36" s="29"/>
      <c r="X36" s="30"/>
      <c r="Y36" s="30"/>
      <c r="Z36" s="30"/>
      <c r="AA36" s="30"/>
      <c r="AB36" s="30"/>
      <c r="AC36" s="30"/>
      <c r="AD36" s="29"/>
      <c r="AE36" s="30"/>
      <c r="AF36" s="30"/>
      <c r="AG36" s="30"/>
      <c r="AH36" s="30"/>
      <c r="AI36" s="30"/>
      <c r="AJ36" s="30"/>
      <c r="AK36" s="29"/>
      <c r="AL36" s="30"/>
      <c r="AM36" s="30"/>
      <c r="AN36" s="30"/>
      <c r="AO36" s="30"/>
      <c r="AP36" s="30"/>
      <c r="AQ36" s="30"/>
      <c r="AR36" s="29"/>
      <c r="AS36" s="30"/>
      <c r="AT36" s="30"/>
      <c r="AU36" s="30"/>
      <c r="AV36" s="30"/>
      <c r="AW36" s="30"/>
      <c r="AX36" s="30"/>
      <c r="AY36" s="29"/>
      <c r="AZ36" s="30"/>
      <c r="BA36" s="30"/>
      <c r="BB36" s="30"/>
      <c r="BC36" s="30"/>
      <c r="BD36" s="30"/>
      <c r="BE36" s="30"/>
      <c r="BF36" s="29"/>
      <c r="BG36" s="30"/>
      <c r="BH36" s="30"/>
      <c r="BI36" s="30"/>
      <c r="BJ36" s="30"/>
      <c r="BK36" s="30"/>
      <c r="BL36" s="30"/>
      <c r="BM36" s="29"/>
      <c r="BN36" s="30"/>
      <c r="BO36" s="30"/>
      <c r="BP36" s="30"/>
      <c r="BQ36" s="30"/>
      <c r="BR36" s="30"/>
      <c r="BS36" s="30"/>
      <c r="BT36" s="29"/>
      <c r="BU36" s="30"/>
      <c r="BV36" s="30"/>
      <c r="BW36" s="30"/>
      <c r="BX36" s="30"/>
      <c r="BY36" s="30"/>
      <c r="BZ36" s="30"/>
      <c r="CA36" s="29"/>
      <c r="CB36" s="30"/>
      <c r="CC36" s="30"/>
      <c r="CD36" s="30"/>
      <c r="CE36" s="30"/>
      <c r="CF36" s="30"/>
      <c r="CG36" s="30"/>
      <c r="CH36" s="29"/>
      <c r="CI36" s="30"/>
      <c r="CJ36" s="30"/>
      <c r="CK36" s="30"/>
      <c r="CL36" s="30"/>
      <c r="CM36" s="30"/>
      <c r="CN36" s="30"/>
      <c r="CO36" s="29"/>
      <c r="CP36" s="30"/>
      <c r="CQ36" s="30"/>
      <c r="CR36" s="30"/>
      <c r="CS36" s="30"/>
      <c r="CT36" s="30"/>
      <c r="CU36" s="30"/>
      <c r="CV36" s="29"/>
      <c r="CW36" s="30"/>
      <c r="CX36" s="30"/>
      <c r="CY36" s="30"/>
      <c r="CZ36" s="30"/>
      <c r="DA36" s="30"/>
      <c r="DB36" s="30"/>
      <c r="DC36" s="29"/>
      <c r="DD36" s="30"/>
      <c r="DE36" s="30"/>
      <c r="DF36" s="30"/>
      <c r="DG36" s="30"/>
      <c r="DH36" s="30"/>
      <c r="DI36" s="30"/>
      <c r="DJ36" s="29"/>
      <c r="DK36" s="30"/>
      <c r="DL36" s="30"/>
      <c r="DM36" s="30"/>
      <c r="DN36" s="30"/>
      <c r="DO36" s="30"/>
      <c r="DP36" s="30"/>
      <c r="DQ36" s="29"/>
      <c r="DR36" s="30"/>
      <c r="DS36" s="30"/>
      <c r="DT36" s="30"/>
      <c r="DU36" s="30"/>
      <c r="DV36" s="30"/>
      <c r="DW36" s="30"/>
      <c r="DX36" s="29"/>
      <c r="DY36" s="30"/>
      <c r="DZ36" s="30"/>
      <c r="EA36" s="30"/>
      <c r="EB36" s="30"/>
      <c r="EC36" s="30"/>
      <c r="ED36" s="30"/>
      <c r="EE36" s="31" t="s">
        <v>75</v>
      </c>
      <c r="EF36" s="32"/>
      <c r="EG36" s="32"/>
      <c r="EH36" s="32"/>
      <c r="EI36" s="32"/>
      <c r="EJ36" s="32"/>
      <c r="EK36" s="32"/>
      <c r="EL36" s="29"/>
      <c r="EM36" s="30"/>
      <c r="EN36" s="30"/>
      <c r="EO36" s="30"/>
      <c r="EP36" s="30"/>
      <c r="EQ36" s="30"/>
      <c r="ER36" s="30"/>
    </row>
    <row r="37" hidden="1">
      <c r="A37" s="33" t="str">
        <f>CONCATENATE(A38," TM")</f>
        <v>OHP TM</v>
      </c>
      <c r="B37" s="34">
        <f>if(D37="",'Quick Setup'!D8,D37/'Quick Setup'!E8)</f>
        <v>200</v>
      </c>
      <c r="C37" s="35" t="s">
        <v>73</v>
      </c>
      <c r="D37" s="36"/>
      <c r="E37" s="37"/>
      <c r="F37" s="37"/>
      <c r="G37" s="37"/>
      <c r="H37" s="37"/>
      <c r="I37" s="34">
        <f>if(K37="", if(F38&lt;&gt;"", if(F38&gt;Setup!F7,B37*(1+Setup!G7),if(F38&lt;Setup!E7,B37*(1+Setup!H7),B37)),B37),K37/'Quick Setup'!$E8)</f>
        <v>200</v>
      </c>
      <c r="J37" s="35" t="s">
        <v>73</v>
      </c>
      <c r="K37" s="36"/>
      <c r="L37" s="37"/>
      <c r="M37" s="37"/>
      <c r="N37" s="37"/>
      <c r="O37" s="37"/>
      <c r="P37" s="34">
        <f>if(R37="", if(M38&lt;&gt;"", if(M38&gt;Setup!M7,I37*(1+Setup!N7),if(M38&lt;Setup!L7,I37*(1+Setup!O7),I37)),I37),R37/'Quick Setup'!$E8)</f>
        <v>200</v>
      </c>
      <c r="Q37" s="35" t="s">
        <v>73</v>
      </c>
      <c r="R37" s="36"/>
      <c r="S37" s="37"/>
      <c r="T37" s="37"/>
      <c r="U37" s="37"/>
      <c r="V37" s="37"/>
      <c r="W37" s="34">
        <f>if(Y37="", if(T38&lt;&gt;"", if(T38&gt;Setup!T7,P37*(1+Setup!U7),if(T38&lt;Setup!S7,P37*(1+Setup!V7),P37)),P37),Y37/'Quick Setup'!$E8)</f>
        <v>200</v>
      </c>
      <c r="X37" s="35" t="s">
        <v>73</v>
      </c>
      <c r="Y37" s="36"/>
      <c r="Z37" s="37"/>
      <c r="AA37" s="37"/>
      <c r="AB37" s="37"/>
      <c r="AC37" s="37"/>
      <c r="AD37" s="34">
        <f>if(AF37="", if(AA38&lt;&gt;"", if(AA38&gt;Setup!AA7,W37*(1+Setup!AB7),if(AA38&lt;Setup!Z7,W37*(1+Setup!AC7),W37)),W37),AF37/'Quick Setup'!$E8)</f>
        <v>200</v>
      </c>
      <c r="AE37" s="35" t="s">
        <v>73</v>
      </c>
      <c r="AF37" s="36"/>
      <c r="AG37" s="37"/>
      <c r="AH37" s="37"/>
      <c r="AI37" s="37"/>
      <c r="AJ37" s="37"/>
      <c r="AK37" s="34">
        <f>if(AM37="", if(AH38&lt;&gt;"", if(AH38&gt;Setup!AH7,AD37*(1+Setup!AI7),if(AH38&lt;Setup!AG7,AD37*(1+Setup!AJ7),AD37)),AD37),AM37/'Quick Setup'!$E8)</f>
        <v>200</v>
      </c>
      <c r="AL37" s="35" t="s">
        <v>73</v>
      </c>
      <c r="AM37" s="36"/>
      <c r="AN37" s="37"/>
      <c r="AO37" s="37"/>
      <c r="AP37" s="37"/>
      <c r="AQ37" s="37"/>
      <c r="AR37" s="34">
        <f>if(AT37="", if(AO38&lt;&gt;"", if(AO38&gt;Setup!AO7,AK37*(1+Setup!AP7),if(AO38&lt;Setup!AN7,AK37*(1+Setup!AQ7),AK37)),AK37),AT37/'Quick Setup'!$E8)</f>
        <v>200</v>
      </c>
      <c r="AS37" s="35" t="s">
        <v>73</v>
      </c>
      <c r="AT37" s="36"/>
      <c r="AU37" s="37"/>
      <c r="AV37" s="37"/>
      <c r="AW37" s="37"/>
      <c r="AX37" s="37"/>
      <c r="AY37" s="34">
        <f>if(BA37="",AR37,BA37/'Quick Setup'!$E8)</f>
        <v>200</v>
      </c>
      <c r="AZ37" s="35" t="s">
        <v>73</v>
      </c>
      <c r="BA37" s="36"/>
      <c r="BB37" s="37"/>
      <c r="BC37" s="37"/>
      <c r="BD37" s="37"/>
      <c r="BE37" s="37"/>
      <c r="BF37" s="34">
        <f>if(BH37="", if(BC38&lt;&gt;"", if(BC38&gt;Setup!BC7,AY37*(1+Setup!BD7),if(BC38&lt;Setup!BB7,AY37*(1+Setup!BE7),AY37)),AY37),BH37/'Quick Setup'!$E8)</f>
        <v>200</v>
      </c>
      <c r="BG37" s="35" t="s">
        <v>73</v>
      </c>
      <c r="BH37" s="36"/>
      <c r="BI37" s="37"/>
      <c r="BJ37" s="37"/>
      <c r="BK37" s="37"/>
      <c r="BL37" s="37"/>
      <c r="BM37" s="34">
        <f>if(BO37="", if(BJ38&lt;&gt;"", if(BJ38&gt;Setup!BJ7,BF37*(1+Setup!BK7),if(BJ38&lt;Setup!BI7,BF37*(1+Setup!BL7),BF37)),BF37),BO37/'Quick Setup'!$E8)</f>
        <v>200</v>
      </c>
      <c r="BN37" s="35" t="s">
        <v>73</v>
      </c>
      <c r="BO37" s="36"/>
      <c r="BP37" s="37"/>
      <c r="BQ37" s="37"/>
      <c r="BR37" s="37"/>
      <c r="BS37" s="37"/>
      <c r="BT37" s="34">
        <f>if(BV37="", if(BQ38&lt;&gt;"", if(BQ38&gt;Setup!BQ7,BM37*(1+Setup!BR7),if(BQ38&lt;Setup!BP7,BM37*(1+Setup!BS7),BM37)),BM37),BV37/'Quick Setup'!$E8)</f>
        <v>200</v>
      </c>
      <c r="BU37" s="35" t="s">
        <v>73</v>
      </c>
      <c r="BV37" s="36"/>
      <c r="BW37" s="37"/>
      <c r="BX37" s="37"/>
      <c r="BY37" s="37"/>
      <c r="BZ37" s="37"/>
      <c r="CA37" s="34">
        <f>if(CC37="", if(BX38&lt;&gt;"", if(BX38&gt;Setup!BX7,BT37*(1+Setup!BY7),if(BX38&lt;Setup!BW7,BT37*(1+Setup!BZ7),BT37)),BT37),CC37/'Quick Setup'!$E8)</f>
        <v>200</v>
      </c>
      <c r="CB37" s="35" t="s">
        <v>73</v>
      </c>
      <c r="CC37" s="36"/>
      <c r="CD37" s="37"/>
      <c r="CE37" s="37"/>
      <c r="CF37" s="37"/>
      <c r="CG37" s="37"/>
      <c r="CH37" s="34">
        <f>if(CJ37="", if(CE38&lt;&gt;"", if(CE38&gt;Setup!CE7,CA37*(1+Setup!CF7),if(CE38&lt;Setup!CD7,CA37*(1+Setup!CG7),CA37)),CA37),CJ37/'Quick Setup'!$E8)</f>
        <v>200</v>
      </c>
      <c r="CI37" s="35" t="s">
        <v>73</v>
      </c>
      <c r="CJ37" s="36"/>
      <c r="CK37" s="37"/>
      <c r="CL37" s="37"/>
      <c r="CM37" s="37"/>
      <c r="CN37" s="37"/>
      <c r="CO37" s="34">
        <f>if(CQ37="", if(CL38&lt;&gt;"", if(CL38&gt;Setup!CL7,CH37*(1+Setup!CM7),if(CL38&lt;Setup!CK7,CH37*(1+Setup!CN7),CH37)),CH37),CQ37/'Quick Setup'!$E8)</f>
        <v>200</v>
      </c>
      <c r="CP37" s="35" t="s">
        <v>73</v>
      </c>
      <c r="CQ37" s="36"/>
      <c r="CR37" s="37"/>
      <c r="CS37" s="37"/>
      <c r="CT37" s="37"/>
      <c r="CU37" s="37"/>
      <c r="CV37" s="34">
        <f>if(CX37="",CO37,CX37/'Quick Setup'!$E8)</f>
        <v>200</v>
      </c>
      <c r="CW37" s="35" t="s">
        <v>73</v>
      </c>
      <c r="CX37" s="36"/>
      <c r="CY37" s="37"/>
      <c r="CZ37" s="37"/>
      <c r="DA37" s="37"/>
      <c r="DB37" s="37"/>
      <c r="DC37" s="34">
        <f>if(DE37="", if(CZ38&lt;&gt;"", if(CZ38&gt;Setup!CZ7,CV37*(1+Setup!DA7),if(CZ38&lt;Setup!CY7,CV37*(1+Setup!DB7),CV37)),CV37),DE37/'Quick Setup'!$E8)</f>
        <v>200</v>
      </c>
      <c r="DD37" s="35" t="s">
        <v>73</v>
      </c>
      <c r="DE37" s="36"/>
      <c r="DF37" s="37"/>
      <c r="DG37" s="37"/>
      <c r="DH37" s="37"/>
      <c r="DI37" s="37"/>
      <c r="DJ37" s="34">
        <f>if(DL37="", if(DG38&lt;&gt;"", if(DG38&gt;Setup!DG7,DC37*(1+Setup!DH7),if(DG38&lt;Setup!DF7,DC37*(1+Setup!DI7),DC37)),DC37),DL37/'Quick Setup'!$E8)</f>
        <v>200</v>
      </c>
      <c r="DK37" s="35" t="s">
        <v>73</v>
      </c>
      <c r="DL37" s="36"/>
      <c r="DM37" s="37"/>
      <c r="DN37" s="37"/>
      <c r="DO37" s="37"/>
      <c r="DP37" s="37"/>
      <c r="DQ37" s="34">
        <f>if(DS37="", if(DN38&lt;&gt;"", if(DN38&gt;Setup!DN7,DJ37*(1+Setup!DO7),if(DN38&lt;Setup!DM7,DJ37*(1+Setup!DP7),DJ37)),DJ37),DS37/'Quick Setup'!$E8)</f>
        <v>200</v>
      </c>
      <c r="DR37" s="35" t="s">
        <v>73</v>
      </c>
      <c r="DS37" s="36"/>
      <c r="DT37" s="37"/>
      <c r="DU37" s="37"/>
      <c r="DV37" s="37"/>
      <c r="DW37" s="37"/>
      <c r="DX37" s="34">
        <f>if(DZ37="", if(DU38&lt;&gt;"", if(DU38&gt;Setup!DU7,DQ37*(1+Setup!DV7),if(DU38&lt;Setup!DT7,DQ37*(1+Setup!DW7),DQ37)),DQ37),DZ37/'Quick Setup'!$E8)</f>
        <v>200</v>
      </c>
      <c r="DY37" s="35" t="s">
        <v>73</v>
      </c>
      <c r="DZ37" s="36"/>
      <c r="EA37" s="37"/>
      <c r="EB37" s="37"/>
      <c r="EC37" s="37"/>
      <c r="ED37" s="37"/>
      <c r="EE37" s="34">
        <f>if(EG37="", if(EB38&lt;&gt;"", if(EB38&gt;Setup!EB7,DX37*(1+Setup!EC7),if(EB38&lt;Setup!EA7,DX37*(1+Setup!ED7),DX37)),DX37),EG37/'Quick Setup'!$E8)</f>
        <v>200</v>
      </c>
      <c r="EF37" s="35" t="s">
        <v>73</v>
      </c>
      <c r="EG37" s="36"/>
      <c r="EH37" s="37"/>
      <c r="EI37" s="37"/>
      <c r="EJ37" s="37"/>
      <c r="EK37" s="37"/>
      <c r="EL37" s="34">
        <f>if(EN37="", if(EI38&lt;&gt;"", if(EI38&gt;Setup!EI7,EE37*(1+Setup!EJ7),if(EI38&lt;Setup!EH7,EE37*(1+Setup!EK7),EE37)),EE37),EN37/'Quick Setup'!$E8)</f>
        <v>200</v>
      </c>
      <c r="EM37" s="35" t="s">
        <v>73</v>
      </c>
      <c r="EN37" s="36"/>
      <c r="EO37" s="37"/>
      <c r="EP37" s="37"/>
      <c r="EQ37" s="37"/>
      <c r="ER37" s="37"/>
    </row>
    <row r="38">
      <c r="A38" s="1" t="str">
        <f>Setup!A7</f>
        <v>OHP</v>
      </c>
      <c r="B38" s="38">
        <f>mround(B37*Setup!B7,'Quick Setup'!$A$2)</f>
        <v>140</v>
      </c>
      <c r="C38" s="2">
        <f>Setup!C7</f>
        <v>5</v>
      </c>
      <c r="D38" s="2">
        <f>Setup!D7</f>
        <v>3</v>
      </c>
      <c r="E38" s="2" t="str">
        <f>CONCATENATE(Setup!E7,"-",Setup!F7)</f>
        <v>4-6</v>
      </c>
      <c r="F38" s="10"/>
      <c r="G38" s="10"/>
      <c r="H38" s="10"/>
      <c r="I38" s="38">
        <f>mround(I37*Setup!I7,'Quick Setup'!$A$2)</f>
        <v>150</v>
      </c>
      <c r="J38" s="2">
        <f>Setup!J7</f>
        <v>4</v>
      </c>
      <c r="K38" s="2">
        <f>Setup!K7</f>
        <v>3</v>
      </c>
      <c r="L38" s="2" t="str">
        <f>CONCATENATE(Setup!L7,"-",Setup!M7)</f>
        <v>4-6</v>
      </c>
      <c r="M38" s="10"/>
      <c r="N38" s="10"/>
      <c r="O38" s="10"/>
      <c r="P38" s="38">
        <f>mround(P37*Setup!P7,'Quick Setup'!$A$2)</f>
        <v>160</v>
      </c>
      <c r="Q38" s="2">
        <f>Setup!Q7</f>
        <v>3</v>
      </c>
      <c r="R38" s="2">
        <f>Setup!R7</f>
        <v>2</v>
      </c>
      <c r="S38" s="2" t="str">
        <f>CONCATENATE(Setup!S7,"-",Setup!T7)</f>
        <v>4-6</v>
      </c>
      <c r="T38" s="10"/>
      <c r="U38" s="10"/>
      <c r="V38" s="10"/>
      <c r="W38" s="38">
        <f>mround(W37*Setup!W7,'Quick Setup'!$A$2)</f>
        <v>145</v>
      </c>
      <c r="X38" s="2">
        <f>Setup!X7</f>
        <v>5</v>
      </c>
      <c r="Y38" s="2">
        <f>Setup!Y7</f>
        <v>3</v>
      </c>
      <c r="Z38" s="2" t="str">
        <f>CONCATENATE(Setup!Z7,"-",Setup!AA7)</f>
        <v>4-6</v>
      </c>
      <c r="AA38" s="10"/>
      <c r="AB38" s="10"/>
      <c r="AC38" s="10"/>
      <c r="AD38" s="38">
        <f>mround(AD37*Setup!AD7,'Quick Setup'!$A$2)</f>
        <v>155</v>
      </c>
      <c r="AE38" s="2">
        <f>Setup!AE7</f>
        <v>4</v>
      </c>
      <c r="AF38" s="2">
        <f>Setup!AF7</f>
        <v>3</v>
      </c>
      <c r="AG38" s="2" t="str">
        <f>CONCATENATE(Setup!AG7,"-",Setup!AH7)</f>
        <v>4-6</v>
      </c>
      <c r="AH38" s="10"/>
      <c r="AI38" s="10"/>
      <c r="AJ38" s="10"/>
      <c r="AK38" s="38">
        <f>mround(AK37*Setup!AK7,'Quick Setup'!$A$2)</f>
        <v>165</v>
      </c>
      <c r="AL38" s="2">
        <f>Setup!AL7</f>
        <v>3</v>
      </c>
      <c r="AM38" s="2">
        <f>Setup!AM7</f>
        <v>2</v>
      </c>
      <c r="AN38" s="2" t="str">
        <f>CONCATENATE(Setup!AN7,"-",Setup!AO7)</f>
        <v>4-6</v>
      </c>
      <c r="AO38" s="10"/>
      <c r="AP38" s="10"/>
      <c r="AQ38" s="10"/>
      <c r="AR38" s="38">
        <f>mround(AR37*Setup!AR7,'Quick Setup'!$A$2)</f>
        <v>120</v>
      </c>
      <c r="AS38" s="1">
        <v>5.0</v>
      </c>
      <c r="AT38" s="1" t="s">
        <v>76</v>
      </c>
      <c r="AU38" s="2" t="str">
        <f>CONCATENATE(Setup!AU7,"-",Setup!AV7)</f>
        <v>4-6</v>
      </c>
      <c r="AV38" s="10"/>
      <c r="AW38" s="10"/>
      <c r="AX38" s="10"/>
      <c r="AY38" s="38">
        <f>mround(AY37*Setup!AY7,'Quick Setup'!$A$2)</f>
        <v>150</v>
      </c>
      <c r="AZ38" s="2">
        <f>Setup!AZ7</f>
        <v>4</v>
      </c>
      <c r="BA38" s="2">
        <f>Setup!BA7</f>
        <v>3</v>
      </c>
      <c r="BB38" s="2" t="str">
        <f>CONCATENATE(Setup!BB7,"-",Setup!BC7)</f>
        <v>4-6</v>
      </c>
      <c r="BC38" s="10"/>
      <c r="BD38" s="10"/>
      <c r="BE38" s="10"/>
      <c r="BF38" s="38">
        <f>mround(BF37*Setup!BF7,'Quick Setup'!$A$2)</f>
        <v>160</v>
      </c>
      <c r="BG38" s="2">
        <f>Setup!BG7</f>
        <v>3</v>
      </c>
      <c r="BH38" s="2">
        <f>Setup!BH7</f>
        <v>2</v>
      </c>
      <c r="BI38" s="2" t="str">
        <f>CONCATENATE(Setup!BI7,"-",Setup!BJ7)</f>
        <v>4-6</v>
      </c>
      <c r="BJ38" s="10"/>
      <c r="BK38" s="10"/>
      <c r="BL38" s="10"/>
      <c r="BM38" s="38">
        <f>mround(BM37*Setup!BM7,'Quick Setup'!$A$2)</f>
        <v>170</v>
      </c>
      <c r="BN38" s="2">
        <f>Setup!BN7</f>
        <v>2</v>
      </c>
      <c r="BO38" s="2">
        <f>Setup!BO7</f>
        <v>2</v>
      </c>
      <c r="BP38" s="2" t="str">
        <f>CONCATENATE(Setup!BP7,"-",Setup!BQ7)</f>
        <v>4-6</v>
      </c>
      <c r="BQ38" s="10"/>
      <c r="BR38" s="10"/>
      <c r="BS38" s="10"/>
      <c r="BT38" s="38">
        <f>mround(BT37*Setup!BT7,'Quick Setup'!$A$2)</f>
        <v>155</v>
      </c>
      <c r="BU38" s="2">
        <f>Setup!BU7</f>
        <v>4</v>
      </c>
      <c r="BV38" s="2">
        <f>Setup!BV7</f>
        <v>3</v>
      </c>
      <c r="BW38" s="2" t="str">
        <f>CONCATENATE(Setup!BW7,"-",Setup!BX7)</f>
        <v>4-6</v>
      </c>
      <c r="BX38" s="10"/>
      <c r="BY38" s="10"/>
      <c r="BZ38" s="10"/>
      <c r="CA38" s="38">
        <f>mround(CA37*Setup!CA7,'Quick Setup'!$A$2)</f>
        <v>165</v>
      </c>
      <c r="CB38" s="2">
        <f>Setup!CB7</f>
        <v>3</v>
      </c>
      <c r="CC38" s="2">
        <f>Setup!CC7</f>
        <v>2</v>
      </c>
      <c r="CD38" s="2" t="str">
        <f>CONCATENATE(Setup!CD7,"-",Setup!CE7)</f>
        <v>4-6</v>
      </c>
      <c r="CE38" s="10"/>
      <c r="CF38" s="10"/>
      <c r="CG38" s="10"/>
      <c r="CH38" s="38">
        <f>mround(CH37*Setup!CH7,'Quick Setup'!$A$2)</f>
        <v>175</v>
      </c>
      <c r="CI38" s="2">
        <f>Setup!CI7</f>
        <v>2</v>
      </c>
      <c r="CJ38" s="2">
        <f>Setup!CJ7</f>
        <v>2</v>
      </c>
      <c r="CK38" s="2" t="str">
        <f>CONCATENATE(Setup!CK7,"-",Setup!CL7)</f>
        <v>4-6</v>
      </c>
      <c r="CL38" s="10"/>
      <c r="CM38" s="10"/>
      <c r="CN38" s="10"/>
      <c r="CO38" s="38">
        <f>mround(CO37*Setup!CO7,'Quick Setup'!$A$2)</f>
        <v>120</v>
      </c>
      <c r="CP38" s="1">
        <v>5.0</v>
      </c>
      <c r="CQ38" s="1" t="s">
        <v>76</v>
      </c>
      <c r="CR38" s="2" t="str">
        <f>CONCATENATE(Setup!CR7,"-",Setup!CS7)</f>
        <v>4-6</v>
      </c>
      <c r="CS38" s="10"/>
      <c r="CT38" s="10"/>
      <c r="CU38" s="10"/>
      <c r="CV38" s="38">
        <f>mround(CV37*Setup!CV7,'Quick Setup'!$A$2)</f>
        <v>160</v>
      </c>
      <c r="CW38" s="2">
        <f>Setup!CW7</f>
        <v>3</v>
      </c>
      <c r="CX38" s="2">
        <f>Setup!CX7</f>
        <v>2</v>
      </c>
      <c r="CY38" s="2" t="str">
        <f>CONCATENATE(Setup!CY7,"-",Setup!CZ7)</f>
        <v>4-6</v>
      </c>
      <c r="CZ38" s="10"/>
      <c r="DA38" s="10"/>
      <c r="DB38" s="10"/>
      <c r="DC38" s="38">
        <f>mround(DC37*Setup!DC7,'Quick Setup'!$A$2)</f>
        <v>170</v>
      </c>
      <c r="DD38" s="2">
        <f>Setup!DD7</f>
        <v>2</v>
      </c>
      <c r="DE38" s="2">
        <f>Setup!DE7</f>
        <v>2</v>
      </c>
      <c r="DF38" s="2" t="str">
        <f>CONCATENATE(Setup!DF7,"-",Setup!DG7)</f>
        <v>4-6</v>
      </c>
      <c r="DG38" s="10"/>
      <c r="DH38" s="10"/>
      <c r="DI38" s="10"/>
      <c r="DJ38" s="38">
        <f>mround(DJ37*Setup!DJ7,'Quick Setup'!$A$2)</f>
        <v>180</v>
      </c>
      <c r="DK38" s="2">
        <f>Setup!DK7</f>
        <v>1</v>
      </c>
      <c r="DL38" s="2">
        <f>Setup!DL7</f>
        <v>1</v>
      </c>
      <c r="DM38" s="2" t="str">
        <f>CONCATENATE(Setup!DM7,"-",Setup!DN7)</f>
        <v>4-6</v>
      </c>
      <c r="DN38" s="10"/>
      <c r="DO38" s="10"/>
      <c r="DP38" s="10"/>
      <c r="DQ38" s="38">
        <f>mround(DQ37*Setup!DQ7,'Quick Setup'!$A$2)</f>
        <v>170</v>
      </c>
      <c r="DR38" s="2">
        <f>Setup!DR7</f>
        <v>2</v>
      </c>
      <c r="DS38" s="2">
        <f>Setup!DS7</f>
        <v>2</v>
      </c>
      <c r="DT38" s="2" t="str">
        <f>CONCATENATE(Setup!DT7,"-",Setup!DU7)</f>
        <v>4-6</v>
      </c>
      <c r="DU38" s="10"/>
      <c r="DV38" s="10"/>
      <c r="DW38" s="10"/>
      <c r="DX38" s="38">
        <f>mround(DX37*Setup!DX7,'Quick Setup'!$A$2)</f>
        <v>180</v>
      </c>
      <c r="DY38" s="2">
        <f>Setup!DY7</f>
        <v>1</v>
      </c>
      <c r="DZ38" s="2">
        <f>Setup!DZ7</f>
        <v>1</v>
      </c>
      <c r="EA38" s="2" t="str">
        <f>CONCATENATE(Setup!EA7,"-",Setup!EB7)</f>
        <v>4-6</v>
      </c>
      <c r="EB38" s="10"/>
      <c r="EC38" s="10"/>
      <c r="ED38" s="10"/>
      <c r="EE38" s="38">
        <f>mround(EE37*Setup!EE7,'Quick Setup'!$A$2)</f>
        <v>190</v>
      </c>
      <c r="EF38" s="2">
        <f>Setup!EF7</f>
        <v>1</v>
      </c>
      <c r="EG38" s="2">
        <f>Setup!EG7</f>
        <v>1</v>
      </c>
      <c r="EH38" s="2" t="str">
        <f>CONCATENATE(Setup!EH7,"-",Setup!EI7)</f>
        <v>4-6</v>
      </c>
      <c r="EI38" s="10"/>
      <c r="EJ38" s="10"/>
      <c r="EK38" s="10"/>
      <c r="EL38" s="38">
        <f>mround(EL37*Setup!EL7,'Quick Setup'!$A$2)</f>
        <v>120</v>
      </c>
      <c r="EM38" s="1">
        <v>5.0</v>
      </c>
      <c r="EN38" s="1" t="s">
        <v>76</v>
      </c>
      <c r="EO38" s="2" t="str">
        <f>CONCATENATE(Setup!EO7,"-",Setup!EP7)</f>
        <v>4-6</v>
      </c>
      <c r="EP38" s="10"/>
      <c r="EQ38" s="10"/>
      <c r="ER38" s="10"/>
    </row>
    <row r="39" hidden="1">
      <c r="A39" s="33" t="str">
        <f>CONCATENATE(A40," TM")</f>
        <v>Close Grip Bench TM</v>
      </c>
      <c r="B39" s="34">
        <f>if(D39="",'Quick Setup'!D13,D39/'Quick Setup'!E13)</f>
        <v>310</v>
      </c>
      <c r="C39" s="35" t="s">
        <v>73</v>
      </c>
      <c r="D39" s="36"/>
      <c r="E39" s="37"/>
      <c r="F39" s="37"/>
      <c r="G39" s="37"/>
      <c r="H39" s="37"/>
      <c r="I39" s="34">
        <f>if(K39="", if(F40&lt;&gt;"", if(F40&gt;Setup!F12,B39*(1+Setup!G12),if(F40&lt;Setup!E12,B39*(1+Setup!H12),B39)),B39),K39/'Quick Setup'!$E13)</f>
        <v>310</v>
      </c>
      <c r="J39" s="35" t="s">
        <v>73</v>
      </c>
      <c r="K39" s="36"/>
      <c r="L39" s="37"/>
      <c r="M39" s="37"/>
      <c r="N39" s="37"/>
      <c r="O39" s="37"/>
      <c r="P39" s="34">
        <f>if(R39="", if(M40&lt;&gt;"", if(M40&gt;Setup!M12,I39*(1+Setup!N12),if(M40&lt;Setup!L12,I39*(1+Setup!O12),I39)),I39),R39/'Quick Setup'!$E13)</f>
        <v>310</v>
      </c>
      <c r="Q39" s="35" t="s">
        <v>73</v>
      </c>
      <c r="R39" s="36"/>
      <c r="S39" s="37"/>
      <c r="T39" s="37"/>
      <c r="U39" s="37"/>
      <c r="V39" s="37"/>
      <c r="W39" s="34">
        <f>if(Y39="", if(T40&lt;&gt;"", if(T40&gt;Setup!T12,P39*(1+Setup!U12),if(T40&lt;Setup!S12,P39*(1+Setup!V12),P39)),P39),Y39/'Quick Setup'!$E13)</f>
        <v>310</v>
      </c>
      <c r="X39" s="35" t="s">
        <v>73</v>
      </c>
      <c r="Y39" s="36"/>
      <c r="Z39" s="37"/>
      <c r="AA39" s="37"/>
      <c r="AB39" s="37"/>
      <c r="AC39" s="37"/>
      <c r="AD39" s="34">
        <f>if(AF39="", if(AA40&lt;&gt;"", if(AA40&gt;Setup!AA12,W39*(1+Setup!AB12),if(AA40&lt;Setup!Z12,W39*(1+Setup!AC12),W39)),W39),AF39/'Quick Setup'!$E13)</f>
        <v>310</v>
      </c>
      <c r="AE39" s="35" t="s">
        <v>73</v>
      </c>
      <c r="AF39" s="36"/>
      <c r="AG39" s="37"/>
      <c r="AH39" s="37"/>
      <c r="AI39" s="37"/>
      <c r="AJ39" s="37"/>
      <c r="AK39" s="34">
        <f>if(AM39="", if(AH40&lt;&gt;"", if(AH40&gt;Setup!AH12,AD39*(1+Setup!AI12),if(AH40&lt;Setup!AG12,AD39*(1+Setup!AJ12),AD39)),AD39),AM39/'Quick Setup'!$E13)</f>
        <v>310</v>
      </c>
      <c r="AL39" s="35" t="s">
        <v>73</v>
      </c>
      <c r="AM39" s="36"/>
      <c r="AN39" s="37"/>
      <c r="AO39" s="37"/>
      <c r="AP39" s="37"/>
      <c r="AQ39" s="37"/>
      <c r="AR39" s="34">
        <f>if(AT39="", if(AO40&lt;&gt;"", if(AO40&gt;Setup!AO12,AK39*(1+Setup!AP12),if(AO40&lt;Setup!AN12,AK39*(1+Setup!AQ12),AK39)),AK39),AT39/'Quick Setup'!$E13)</f>
        <v>310</v>
      </c>
      <c r="AS39" s="35" t="s">
        <v>73</v>
      </c>
      <c r="AT39" s="36"/>
      <c r="AU39" s="37"/>
      <c r="AV39" s="37"/>
      <c r="AW39" s="37"/>
      <c r="AX39" s="37"/>
      <c r="AY39" s="34">
        <f>if(BA39="",AR39,BA39/'Quick Setup'!$E13)</f>
        <v>310</v>
      </c>
      <c r="AZ39" s="35" t="s">
        <v>73</v>
      </c>
      <c r="BA39" s="36"/>
      <c r="BB39" s="37"/>
      <c r="BC39" s="37"/>
      <c r="BD39" s="37"/>
      <c r="BE39" s="37"/>
      <c r="BF39" s="34">
        <f>if(BH39="", if(BC40&lt;&gt;"", if(BC40&gt;Setup!BC12,AY39*(1+Setup!BD12),if(BC40&lt;Setup!BB12,AY39*(1+Setup!BE12),AY39)),AY39),BH39/'Quick Setup'!$E13)</f>
        <v>310</v>
      </c>
      <c r="BG39" s="35" t="s">
        <v>73</v>
      </c>
      <c r="BH39" s="36"/>
      <c r="BI39" s="37"/>
      <c r="BJ39" s="37"/>
      <c r="BK39" s="37"/>
      <c r="BL39" s="37"/>
      <c r="BM39" s="34">
        <f>if(BO39="", if(BJ40&lt;&gt;"", if(BJ40&gt;Setup!BJ12,BF39*(1+Setup!BK12),if(BJ40&lt;Setup!BI12,BF39*(1+Setup!BL12),BF39)),BF39),BO39/'Quick Setup'!$E13)</f>
        <v>310</v>
      </c>
      <c r="BN39" s="35" t="s">
        <v>73</v>
      </c>
      <c r="BO39" s="36"/>
      <c r="BP39" s="37"/>
      <c r="BQ39" s="37"/>
      <c r="BR39" s="37"/>
      <c r="BS39" s="37"/>
      <c r="BT39" s="34">
        <f>if(BV39="", if(BQ40&lt;&gt;"", if(BQ40&gt;Setup!BQ12,BM39*(1+Setup!BR12),if(BQ40&lt;Setup!BP12,BM39*(1+Setup!BS12),BM39)),BM39),BV39/'Quick Setup'!$E13)</f>
        <v>310</v>
      </c>
      <c r="BU39" s="35" t="s">
        <v>73</v>
      </c>
      <c r="BV39" s="36"/>
      <c r="BW39" s="37"/>
      <c r="BX39" s="37"/>
      <c r="BY39" s="37"/>
      <c r="BZ39" s="37"/>
      <c r="CA39" s="34">
        <f>if(CC39="", if(BX40&lt;&gt;"", if(BX40&gt;Setup!BX12,BT39*(1+Setup!BY12),if(BX40&lt;Setup!BW12,BT39*(1+Setup!BZ12),BT39)),BT39),CC39/'Quick Setup'!$E13)</f>
        <v>310</v>
      </c>
      <c r="CB39" s="35" t="s">
        <v>73</v>
      </c>
      <c r="CC39" s="36"/>
      <c r="CD39" s="37"/>
      <c r="CE39" s="37"/>
      <c r="CF39" s="37"/>
      <c r="CG39" s="37"/>
      <c r="CH39" s="34">
        <f>if(CJ39="", if(CE40&lt;&gt;"", if(CE40&gt;Setup!CE12,CA39*(1+Setup!CF12),if(CE40&lt;Setup!CD12,CA39*(1+Setup!CG12),CA39)),CA39),CJ39/'Quick Setup'!$E13)</f>
        <v>310</v>
      </c>
      <c r="CI39" s="35" t="s">
        <v>73</v>
      </c>
      <c r="CJ39" s="36"/>
      <c r="CK39" s="37"/>
      <c r="CL39" s="37"/>
      <c r="CM39" s="37"/>
      <c r="CN39" s="37"/>
      <c r="CO39" s="34">
        <f>if(CQ39="", if(CL40&lt;&gt;"", if(CL40&gt;Setup!CL12,CH39*(1+Setup!CM12),if(CL40&lt;Setup!CK12,CH39*(1+Setup!CN12),CH39)),CH39),CQ39/'Quick Setup'!$E13)</f>
        <v>310</v>
      </c>
      <c r="CP39" s="35" t="s">
        <v>73</v>
      </c>
      <c r="CQ39" s="36"/>
      <c r="CR39" s="37"/>
      <c r="CS39" s="37"/>
      <c r="CT39" s="37"/>
      <c r="CU39" s="37"/>
      <c r="CV39" s="34">
        <f>if(CX39="",CO39,CX39/'Quick Setup'!$E13)</f>
        <v>310</v>
      </c>
      <c r="CW39" s="35" t="s">
        <v>73</v>
      </c>
      <c r="CX39" s="36"/>
      <c r="CY39" s="37"/>
      <c r="CZ39" s="37"/>
      <c r="DA39" s="37"/>
      <c r="DB39" s="37"/>
      <c r="DC39" s="34">
        <f>if(DE39="", if(CZ40&lt;&gt;"", if(CZ40&gt;Setup!CZ12,CV39*(1+Setup!DA12),if(CZ40&lt;Setup!CY12,CV39*(1+Setup!DB12),CV39)),CV39),DE39/'Quick Setup'!$E13)</f>
        <v>310</v>
      </c>
      <c r="DD39" s="35" t="s">
        <v>73</v>
      </c>
      <c r="DE39" s="36"/>
      <c r="DF39" s="37"/>
      <c r="DG39" s="37"/>
      <c r="DH39" s="37"/>
      <c r="DI39" s="37"/>
      <c r="DJ39" s="34">
        <f>if(DL39="", if(DG40&lt;&gt;"", if(DG40&gt;Setup!DG12,DC39*(1+Setup!DH12),if(DG40&lt;Setup!DF12,DC39*(1+Setup!DI12),DC39)),DC39),DL39/'Quick Setup'!$E13)</f>
        <v>310</v>
      </c>
      <c r="DK39" s="35" t="s">
        <v>73</v>
      </c>
      <c r="DL39" s="36"/>
      <c r="DM39" s="37"/>
      <c r="DN39" s="37"/>
      <c r="DO39" s="37"/>
      <c r="DP39" s="37"/>
      <c r="DQ39" s="34">
        <f>if(DS39="", if(DN40&lt;&gt;"", if(DN40&gt;Setup!DN12,DJ39*(1+Setup!DO12),if(DN40&lt;Setup!DM12,DJ39*(1+Setup!DP12),DJ39)),DJ39),DS39/'Quick Setup'!$E13)</f>
        <v>310</v>
      </c>
      <c r="DR39" s="35" t="s">
        <v>73</v>
      </c>
      <c r="DS39" s="36"/>
      <c r="DT39" s="37"/>
      <c r="DU39" s="37"/>
      <c r="DV39" s="37"/>
      <c r="DW39" s="37"/>
      <c r="DX39" s="34">
        <f>if(DZ39="", if(DU40&lt;&gt;"", if(DU40&gt;Setup!DU12,DQ39*(1+Setup!DV12),if(DU40&lt;Setup!DT12,DQ39*(1+Setup!DW12),DQ39)),DQ39),DZ39/'Quick Setup'!$E13)</f>
        <v>310</v>
      </c>
      <c r="DY39" s="35" t="s">
        <v>73</v>
      </c>
      <c r="DZ39" s="36"/>
      <c r="EA39" s="37"/>
      <c r="EB39" s="37"/>
      <c r="EC39" s="37"/>
      <c r="ED39" s="37"/>
      <c r="EE39" s="34">
        <f>if(EG39="", if(EB40&lt;&gt;"", if(EB40&gt;Setup!EB12,DX39*(1+Setup!EC12),if(EB40&lt;Setup!EA12,DX39*(1+Setup!ED12),DX39)),DX39),EG39/'Quick Setup'!$E13)</f>
        <v>310</v>
      </c>
      <c r="EF39" s="35" t="s">
        <v>73</v>
      </c>
      <c r="EG39" s="36"/>
      <c r="EH39" s="37"/>
      <c r="EI39" s="37"/>
      <c r="EJ39" s="37"/>
      <c r="EK39" s="37"/>
      <c r="EL39" s="34">
        <f>if(EN39="", if(EI40&lt;&gt;"", if(EI40&gt;Setup!EI12,EE39*(1+Setup!EJ12),if(EI40&lt;Setup!EH12,EE39*(1+Setup!EK12),EE39)),EE39),EN39/'Quick Setup'!$E13)</f>
        <v>310</v>
      </c>
      <c r="EM39" s="35" t="s">
        <v>73</v>
      </c>
      <c r="EN39" s="36"/>
      <c r="EO39" s="37"/>
      <c r="EP39" s="37"/>
      <c r="EQ39" s="37"/>
      <c r="ER39" s="37"/>
    </row>
    <row r="40">
      <c r="A40" s="1" t="str">
        <f>Setup!A12</f>
        <v>Close Grip Bench</v>
      </c>
      <c r="B40" s="38">
        <f>mround(B39*Setup!B12,'Quick Setup'!$A$2)</f>
        <v>185</v>
      </c>
      <c r="C40" s="2">
        <f>Setup!C12</f>
        <v>7</v>
      </c>
      <c r="D40" s="2">
        <f>Setup!D12</f>
        <v>4</v>
      </c>
      <c r="E40" s="2" t="str">
        <f>CONCATENATE(Setup!E12,"-",Setup!F12)</f>
        <v>4-6</v>
      </c>
      <c r="F40" s="10"/>
      <c r="G40" s="10"/>
      <c r="H40" s="10"/>
      <c r="I40" s="38">
        <f>mround(I39*Setup!I12,'Quick Setup'!$A$2)</f>
        <v>202.5</v>
      </c>
      <c r="J40" s="2">
        <f>Setup!J12</f>
        <v>6</v>
      </c>
      <c r="K40" s="2">
        <f>Setup!K12</f>
        <v>4</v>
      </c>
      <c r="L40" s="2" t="str">
        <f>CONCATENATE(Setup!L12,"-",Setup!M12)</f>
        <v>4-6</v>
      </c>
      <c r="M40" s="10"/>
      <c r="N40" s="10"/>
      <c r="O40" s="10"/>
      <c r="P40" s="38">
        <f>mround(P39*Setup!P12,'Quick Setup'!$A$2)</f>
        <v>217.5</v>
      </c>
      <c r="Q40" s="2">
        <f>Setup!Q12</f>
        <v>5</v>
      </c>
      <c r="R40" s="2">
        <f>Setup!R12</f>
        <v>3</v>
      </c>
      <c r="S40" s="2" t="str">
        <f>CONCATENATE(Setup!S12,"-",Setup!T12)</f>
        <v>4-6</v>
      </c>
      <c r="T40" s="10"/>
      <c r="U40" s="10"/>
      <c r="V40" s="10"/>
      <c r="W40" s="38">
        <f>mround(W39*Setup!W12,'Quick Setup'!$A$2)</f>
        <v>195</v>
      </c>
      <c r="X40" s="2">
        <f>Setup!X12</f>
        <v>7</v>
      </c>
      <c r="Y40" s="2">
        <f>Setup!Y12</f>
        <v>4</v>
      </c>
      <c r="Z40" s="2" t="str">
        <f>CONCATENATE(Setup!Z12,"-",Setup!AA12)</f>
        <v>4-6</v>
      </c>
      <c r="AA40" s="10"/>
      <c r="AB40" s="10"/>
      <c r="AC40" s="10"/>
      <c r="AD40" s="38">
        <f>mround(AD39*Setup!AD12,'Quick Setup'!$A$2)</f>
        <v>210</v>
      </c>
      <c r="AE40" s="2">
        <f>Setup!AE12</f>
        <v>6</v>
      </c>
      <c r="AF40" s="2">
        <f>Setup!AF12</f>
        <v>4</v>
      </c>
      <c r="AG40" s="2" t="str">
        <f>CONCATENATE(Setup!AG12,"-",Setup!AH12)</f>
        <v>4-6</v>
      </c>
      <c r="AH40" s="10"/>
      <c r="AI40" s="10"/>
      <c r="AJ40" s="10"/>
      <c r="AK40" s="38">
        <f>mround(AK39*Setup!AK12,'Quick Setup'!$A$2)</f>
        <v>225</v>
      </c>
      <c r="AL40" s="2">
        <f>Setup!AL12</f>
        <v>5</v>
      </c>
      <c r="AM40" s="2">
        <f>Setup!AM12</f>
        <v>3</v>
      </c>
      <c r="AN40" s="2" t="str">
        <f>CONCATENATE(Setup!AN12,"-",Setup!AO12)</f>
        <v>4-6</v>
      </c>
      <c r="AO40" s="10"/>
      <c r="AP40" s="10"/>
      <c r="AQ40" s="10"/>
      <c r="AR40" s="38">
        <f>mround(AR39*Setup!AR12,'Quick Setup'!$A$2)</f>
        <v>155</v>
      </c>
      <c r="AS40" s="1">
        <v>5.0</v>
      </c>
      <c r="AT40" s="1" t="s">
        <v>76</v>
      </c>
      <c r="AU40" s="2" t="str">
        <f>CONCATENATE(Setup!AU12,"-",Setup!AV12)</f>
        <v>4-6</v>
      </c>
      <c r="AV40" s="10"/>
      <c r="AW40" s="10"/>
      <c r="AX40" s="10"/>
      <c r="AY40" s="38">
        <f>mround(AY39*Setup!AY12,'Quick Setup'!$A$2)</f>
        <v>202.5</v>
      </c>
      <c r="AZ40" s="2">
        <f>Setup!AZ12</f>
        <v>6</v>
      </c>
      <c r="BA40" s="2">
        <f>Setup!BA12</f>
        <v>4</v>
      </c>
      <c r="BB40" s="2" t="str">
        <f>CONCATENATE(Setup!BB12,"-",Setup!BC12)</f>
        <v>4-6</v>
      </c>
      <c r="BC40" s="10"/>
      <c r="BD40" s="10"/>
      <c r="BE40" s="10"/>
      <c r="BF40" s="38">
        <f>mround(BF39*Setup!BF12,'Quick Setup'!$A$2)</f>
        <v>217.5</v>
      </c>
      <c r="BG40" s="2">
        <f>Setup!BG12</f>
        <v>5</v>
      </c>
      <c r="BH40" s="2">
        <f>Setup!BH12</f>
        <v>3</v>
      </c>
      <c r="BI40" s="2" t="str">
        <f>CONCATENATE(Setup!BI12,"-",Setup!BJ12)</f>
        <v>4-6</v>
      </c>
      <c r="BJ40" s="10"/>
      <c r="BK40" s="10"/>
      <c r="BL40" s="10"/>
      <c r="BM40" s="38">
        <f>mround(BM39*Setup!BM12,'Quick Setup'!$A$2)</f>
        <v>232.5</v>
      </c>
      <c r="BN40" s="2">
        <f>Setup!BN12</f>
        <v>4</v>
      </c>
      <c r="BO40" s="2">
        <f>Setup!BO12</f>
        <v>3</v>
      </c>
      <c r="BP40" s="2" t="str">
        <f>CONCATENATE(Setup!BP12,"-",Setup!BQ12)</f>
        <v>4-6</v>
      </c>
      <c r="BQ40" s="10"/>
      <c r="BR40" s="10"/>
      <c r="BS40" s="10"/>
      <c r="BT40" s="38">
        <f>mround(BT39*Setup!BT12,'Quick Setup'!$A$2)</f>
        <v>210</v>
      </c>
      <c r="BU40" s="2">
        <f>Setup!BU12</f>
        <v>6</v>
      </c>
      <c r="BV40" s="2">
        <f>Setup!BV12</f>
        <v>4</v>
      </c>
      <c r="BW40" s="2" t="str">
        <f>CONCATENATE(Setup!BW12,"-",Setup!BX12)</f>
        <v>4-6</v>
      </c>
      <c r="BX40" s="10"/>
      <c r="BY40" s="10"/>
      <c r="BZ40" s="10"/>
      <c r="CA40" s="38">
        <f>mround(CA39*Setup!CA12,'Quick Setup'!$A$2)</f>
        <v>225</v>
      </c>
      <c r="CB40" s="2">
        <f>Setup!CB12</f>
        <v>5</v>
      </c>
      <c r="CC40" s="2">
        <f>Setup!CC12</f>
        <v>3</v>
      </c>
      <c r="CD40" s="2" t="str">
        <f>CONCATENATE(Setup!CD12,"-",Setup!CE12)</f>
        <v>4-6</v>
      </c>
      <c r="CE40" s="10"/>
      <c r="CF40" s="10"/>
      <c r="CG40" s="10"/>
      <c r="CH40" s="38">
        <f>mround(CH39*Setup!CH12,'Quick Setup'!$A$2)</f>
        <v>240</v>
      </c>
      <c r="CI40" s="2">
        <f>Setup!CI12</f>
        <v>4</v>
      </c>
      <c r="CJ40" s="2">
        <f>Setup!CJ12</f>
        <v>3</v>
      </c>
      <c r="CK40" s="2" t="str">
        <f>CONCATENATE(Setup!CK12,"-",Setup!CL12)</f>
        <v>4-6</v>
      </c>
      <c r="CL40" s="10"/>
      <c r="CM40" s="10"/>
      <c r="CN40" s="10"/>
      <c r="CO40" s="38">
        <f>mround(CO39*Setup!CO12,'Quick Setup'!$A$2)</f>
        <v>155</v>
      </c>
      <c r="CP40" s="1">
        <v>5.0</v>
      </c>
      <c r="CQ40" s="1" t="s">
        <v>76</v>
      </c>
      <c r="CR40" s="2" t="str">
        <f>CONCATENATE(Setup!CR12,"-",Setup!CS12)</f>
        <v>4-6</v>
      </c>
      <c r="CS40" s="10"/>
      <c r="CT40" s="10"/>
      <c r="CU40" s="10"/>
      <c r="CV40" s="38">
        <f>mround(CV39*Setup!CV12,'Quick Setup'!$A$2)</f>
        <v>217.5</v>
      </c>
      <c r="CW40" s="2">
        <f>Setup!CW12</f>
        <v>5</v>
      </c>
      <c r="CX40" s="2">
        <f>Setup!CX12</f>
        <v>3</v>
      </c>
      <c r="CY40" s="2" t="str">
        <f>CONCATENATE(Setup!CY12,"-",Setup!CZ12)</f>
        <v>4-6</v>
      </c>
      <c r="CZ40" s="10"/>
      <c r="DA40" s="10"/>
      <c r="DB40" s="10"/>
      <c r="DC40" s="38">
        <f>mround(DC39*Setup!DC12,'Quick Setup'!$A$2)</f>
        <v>232.5</v>
      </c>
      <c r="DD40" s="2">
        <f>Setup!DD12</f>
        <v>4</v>
      </c>
      <c r="DE40" s="2">
        <f>Setup!DE12</f>
        <v>3</v>
      </c>
      <c r="DF40" s="2" t="str">
        <f>CONCATENATE(Setup!DF12,"-",Setup!DG12)</f>
        <v>4-6</v>
      </c>
      <c r="DG40" s="10"/>
      <c r="DH40" s="10"/>
      <c r="DI40" s="10"/>
      <c r="DJ40" s="38">
        <f>mround(DJ39*Setup!DJ12,'Quick Setup'!$A$2)</f>
        <v>247.5</v>
      </c>
      <c r="DK40" s="2">
        <f>Setup!DK12</f>
        <v>3</v>
      </c>
      <c r="DL40" s="2">
        <f>Setup!DL12</f>
        <v>2</v>
      </c>
      <c r="DM40" s="2" t="str">
        <f>CONCATENATE(Setup!DM12,"-",Setup!DN12)</f>
        <v>4-6</v>
      </c>
      <c r="DN40" s="10"/>
      <c r="DO40" s="10"/>
      <c r="DP40" s="10"/>
      <c r="DQ40" s="38">
        <f>mround(DQ39*Setup!DQ12,'Quick Setup'!$A$2)</f>
        <v>232.5</v>
      </c>
      <c r="DR40" s="2">
        <f>Setup!DR12</f>
        <v>4</v>
      </c>
      <c r="DS40" s="2">
        <f>Setup!DS12</f>
        <v>3</v>
      </c>
      <c r="DT40" s="2" t="str">
        <f>CONCATENATE(Setup!DT12,"-",Setup!DU12)</f>
        <v>4-6</v>
      </c>
      <c r="DU40" s="10"/>
      <c r="DV40" s="10"/>
      <c r="DW40" s="10"/>
      <c r="DX40" s="38">
        <f>mround(DX39*Setup!DX12,'Quick Setup'!$A$2)</f>
        <v>247.5</v>
      </c>
      <c r="DY40" s="2">
        <f>Setup!DY12</f>
        <v>3</v>
      </c>
      <c r="DZ40" s="2">
        <f>Setup!DZ12</f>
        <v>2</v>
      </c>
      <c r="EA40" s="2" t="str">
        <f>CONCATENATE(Setup!EA12,"-",Setup!EB12)</f>
        <v>4-6</v>
      </c>
      <c r="EB40" s="10"/>
      <c r="EC40" s="10"/>
      <c r="ED40" s="10"/>
      <c r="EE40" s="38">
        <f>mround(EE39*Setup!EE12,'Quick Setup'!$A$2)</f>
        <v>262.5</v>
      </c>
      <c r="EF40" s="2">
        <f>Setup!EF12</f>
        <v>2</v>
      </c>
      <c r="EG40" s="2">
        <f>Setup!EG12</f>
        <v>2</v>
      </c>
      <c r="EH40" s="2" t="str">
        <f>CONCATENATE(Setup!EH12,"-",Setup!EI12)</f>
        <v>4-6</v>
      </c>
      <c r="EI40" s="10"/>
      <c r="EJ40" s="10"/>
      <c r="EK40" s="10"/>
      <c r="EL40" s="38">
        <f>mround(EL39*Setup!EL12,'Quick Setup'!$A$2)</f>
        <v>155</v>
      </c>
      <c r="EM40" s="1">
        <v>5.0</v>
      </c>
      <c r="EN40" s="1" t="s">
        <v>76</v>
      </c>
      <c r="EO40" s="2" t="str">
        <f>CONCATENATE(Setup!EO12,"-",Setup!EP12)</f>
        <v>4-6</v>
      </c>
      <c r="EP40" s="10"/>
      <c r="EQ40" s="10"/>
      <c r="ER40" s="10"/>
    </row>
    <row r="41">
      <c r="A41" s="5"/>
      <c r="B41" s="39"/>
      <c r="C41" s="10"/>
      <c r="D41" s="10"/>
      <c r="E41" s="10"/>
      <c r="F41" s="10"/>
      <c r="G41" s="10"/>
      <c r="H41" s="10"/>
      <c r="I41" s="39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39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39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39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39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39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39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39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39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39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39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39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39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39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39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39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39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39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39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39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77</v>
      </c>
      <c r="B42" s="38"/>
      <c r="C42" s="2"/>
      <c r="D42" s="2"/>
      <c r="E42" s="2"/>
      <c r="F42" s="2"/>
      <c r="G42" s="2"/>
      <c r="H42" s="2"/>
      <c r="I42" s="38"/>
      <c r="J42" s="2"/>
      <c r="K42" s="2"/>
      <c r="L42" s="2"/>
      <c r="M42" s="2"/>
      <c r="N42" s="2"/>
      <c r="O42" s="2"/>
      <c r="P42" s="38"/>
      <c r="Q42" s="2"/>
      <c r="R42" s="2"/>
      <c r="S42" s="2"/>
      <c r="T42" s="2"/>
      <c r="U42" s="2"/>
      <c r="V42" s="2"/>
      <c r="W42" s="38"/>
      <c r="X42" s="2"/>
      <c r="Y42" s="2"/>
      <c r="Z42" s="2"/>
      <c r="AA42" s="2"/>
      <c r="AB42" s="2"/>
      <c r="AC42" s="2"/>
      <c r="AD42" s="38"/>
      <c r="AE42" s="2"/>
      <c r="AF42" s="2"/>
      <c r="AG42" s="2"/>
      <c r="AH42" s="2"/>
      <c r="AI42" s="2"/>
      <c r="AJ42" s="2"/>
      <c r="AK42" s="38"/>
      <c r="AL42" s="2"/>
      <c r="AM42" s="2"/>
      <c r="AN42" s="2"/>
      <c r="AO42" s="2"/>
      <c r="AP42" s="2"/>
      <c r="AQ42" s="2"/>
      <c r="AR42" s="38"/>
      <c r="AS42" s="2"/>
      <c r="AT42" s="2"/>
      <c r="AU42" s="2"/>
      <c r="AV42" s="2"/>
      <c r="AW42" s="2"/>
      <c r="AX42" s="2"/>
      <c r="AY42" s="38"/>
      <c r="AZ42" s="2"/>
      <c r="BA42" s="2"/>
      <c r="BB42" s="2"/>
      <c r="BC42" s="2"/>
      <c r="BD42" s="2"/>
      <c r="BE42" s="2"/>
      <c r="BF42" s="38"/>
      <c r="BG42" s="2"/>
      <c r="BH42" s="2"/>
      <c r="BI42" s="2"/>
      <c r="BJ42" s="2"/>
      <c r="BK42" s="2"/>
      <c r="BL42" s="2"/>
      <c r="BM42" s="38"/>
      <c r="BN42" s="2"/>
      <c r="BO42" s="2"/>
      <c r="BP42" s="2"/>
      <c r="BQ42" s="2"/>
      <c r="BR42" s="2"/>
      <c r="BS42" s="2"/>
      <c r="BT42" s="38"/>
      <c r="BU42" s="2"/>
      <c r="BV42" s="2"/>
      <c r="BW42" s="2"/>
      <c r="BX42" s="2"/>
      <c r="BY42" s="2"/>
      <c r="BZ42" s="2"/>
      <c r="CA42" s="38"/>
      <c r="CB42" s="2"/>
      <c r="CC42" s="2"/>
      <c r="CD42" s="2"/>
      <c r="CE42" s="2"/>
      <c r="CF42" s="2"/>
      <c r="CG42" s="2"/>
      <c r="CH42" s="38"/>
      <c r="CI42" s="2"/>
      <c r="CJ42" s="2"/>
      <c r="CK42" s="2"/>
      <c r="CL42" s="2"/>
      <c r="CM42" s="2"/>
      <c r="CN42" s="2"/>
      <c r="CO42" s="38"/>
      <c r="CP42" s="2"/>
      <c r="CQ42" s="2"/>
      <c r="CR42" s="2"/>
      <c r="CS42" s="2"/>
      <c r="CT42" s="2"/>
      <c r="CU42" s="2"/>
      <c r="CV42" s="38"/>
      <c r="CW42" s="2"/>
      <c r="CX42" s="2"/>
      <c r="CY42" s="2"/>
      <c r="CZ42" s="2"/>
      <c r="DA42" s="2"/>
      <c r="DB42" s="2"/>
      <c r="DC42" s="38"/>
      <c r="DD42" s="2"/>
      <c r="DE42" s="2"/>
      <c r="DF42" s="2"/>
      <c r="DG42" s="2"/>
      <c r="DH42" s="2"/>
      <c r="DI42" s="2"/>
      <c r="DJ42" s="38"/>
      <c r="DK42" s="2"/>
      <c r="DL42" s="2"/>
      <c r="DM42" s="2"/>
      <c r="DN42" s="2"/>
      <c r="DO42" s="2"/>
      <c r="DP42" s="2"/>
      <c r="DQ42" s="38"/>
      <c r="DR42" s="2"/>
      <c r="DS42" s="2"/>
      <c r="DT42" s="2"/>
      <c r="DU42" s="2"/>
      <c r="DV42" s="2"/>
      <c r="DW42" s="2"/>
      <c r="DX42" s="38"/>
      <c r="DY42" s="2"/>
      <c r="DZ42" s="2"/>
      <c r="EA42" s="2"/>
      <c r="EB42" s="2"/>
      <c r="EC42" s="2"/>
      <c r="ED42" s="2"/>
      <c r="EE42" s="38"/>
      <c r="EF42" s="2"/>
      <c r="EG42" s="2"/>
      <c r="EH42" s="2"/>
      <c r="EI42" s="2"/>
      <c r="EJ42" s="2"/>
      <c r="EK42" s="2"/>
      <c r="EL42" s="38"/>
      <c r="EM42" s="2"/>
      <c r="EN42" s="2"/>
      <c r="EO42" s="2"/>
      <c r="EP42" s="2"/>
      <c r="EQ42" s="2"/>
      <c r="ER42" s="2"/>
    </row>
    <row r="43">
      <c r="A43" s="40"/>
      <c r="B43" s="39"/>
      <c r="C43" s="10"/>
      <c r="D43" s="10"/>
      <c r="E43" s="10"/>
      <c r="F43" s="10"/>
      <c r="G43" s="10"/>
      <c r="H43" s="10"/>
      <c r="I43" s="39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39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39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39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39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39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39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39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39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39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39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39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39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39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39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39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39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39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39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39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0"/>
      <c r="B44" s="39"/>
      <c r="C44" s="10"/>
      <c r="D44" s="10"/>
      <c r="E44" s="10"/>
      <c r="F44" s="10"/>
      <c r="G44" s="10"/>
      <c r="H44" s="10"/>
      <c r="I44" s="39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39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39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39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39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39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39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39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39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39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39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39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39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39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39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39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39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39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39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39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1"/>
      <c r="B45" s="42"/>
      <c r="C45" s="43"/>
      <c r="D45" s="43"/>
      <c r="E45" s="43"/>
      <c r="F45" s="43"/>
      <c r="G45" s="43"/>
      <c r="H45" s="43"/>
      <c r="I45" s="42" t="str">
        <f t="shared" ref="I45:M45" si="301">B45</f>
        <v/>
      </c>
      <c r="J45" s="43" t="str">
        <f t="shared" si="301"/>
        <v/>
      </c>
      <c r="K45" s="43" t="str">
        <f t="shared" si="301"/>
        <v/>
      </c>
      <c r="L45" s="43" t="str">
        <f t="shared" si="301"/>
        <v/>
      </c>
      <c r="M45" s="43" t="str">
        <f t="shared" si="301"/>
        <v/>
      </c>
      <c r="N45" s="43"/>
      <c r="O45" s="43"/>
      <c r="P45" s="42" t="str">
        <f t="shared" ref="P45:T45" si="302">I45</f>
        <v/>
      </c>
      <c r="Q45" s="43" t="str">
        <f t="shared" si="302"/>
        <v/>
      </c>
      <c r="R45" s="43" t="str">
        <f t="shared" si="302"/>
        <v/>
      </c>
      <c r="S45" s="43" t="str">
        <f t="shared" si="302"/>
        <v/>
      </c>
      <c r="T45" s="43" t="str">
        <f t="shared" si="302"/>
        <v/>
      </c>
      <c r="U45" s="43"/>
      <c r="V45" s="43"/>
      <c r="W45" s="42" t="str">
        <f t="shared" ref="W45:AA45" si="303">P45</f>
        <v/>
      </c>
      <c r="X45" s="43" t="str">
        <f t="shared" si="303"/>
        <v/>
      </c>
      <c r="Y45" s="43" t="str">
        <f t="shared" si="303"/>
        <v/>
      </c>
      <c r="Z45" s="43" t="str">
        <f t="shared" si="303"/>
        <v/>
      </c>
      <c r="AA45" s="43" t="str">
        <f t="shared" si="303"/>
        <v/>
      </c>
      <c r="AB45" s="43"/>
      <c r="AC45" s="43"/>
      <c r="AD45" s="42" t="str">
        <f t="shared" ref="AD45:AH45" si="304">W45</f>
        <v/>
      </c>
      <c r="AE45" s="43" t="str">
        <f t="shared" si="304"/>
        <v/>
      </c>
      <c r="AF45" s="43" t="str">
        <f t="shared" si="304"/>
        <v/>
      </c>
      <c r="AG45" s="43" t="str">
        <f t="shared" si="304"/>
        <v/>
      </c>
      <c r="AH45" s="43" t="str">
        <f t="shared" si="304"/>
        <v/>
      </c>
      <c r="AI45" s="43"/>
      <c r="AJ45" s="43"/>
      <c r="AK45" s="42" t="str">
        <f t="shared" ref="AK45:AO45" si="305">AD45</f>
        <v/>
      </c>
      <c r="AL45" s="43" t="str">
        <f t="shared" si="305"/>
        <v/>
      </c>
      <c r="AM45" s="43" t="str">
        <f t="shared" si="305"/>
        <v/>
      </c>
      <c r="AN45" s="43" t="str">
        <f t="shared" si="305"/>
        <v/>
      </c>
      <c r="AO45" s="43" t="str">
        <f t="shared" si="305"/>
        <v/>
      </c>
      <c r="AP45" s="43"/>
      <c r="AQ45" s="43"/>
      <c r="AR45" s="42" t="str">
        <f t="shared" ref="AR45:AV45" si="306">AK45</f>
        <v/>
      </c>
      <c r="AS45" s="43" t="str">
        <f t="shared" si="306"/>
        <v/>
      </c>
      <c r="AT45" s="43" t="str">
        <f t="shared" si="306"/>
        <v/>
      </c>
      <c r="AU45" s="43" t="str">
        <f t="shared" si="306"/>
        <v/>
      </c>
      <c r="AV45" s="43" t="str">
        <f t="shared" si="306"/>
        <v/>
      </c>
      <c r="AW45" s="43"/>
      <c r="AX45" s="43"/>
      <c r="AY45" s="42" t="str">
        <f t="shared" ref="AY45:BC45" si="307">AR45</f>
        <v/>
      </c>
      <c r="AZ45" s="43" t="str">
        <f t="shared" si="307"/>
        <v/>
      </c>
      <c r="BA45" s="43" t="str">
        <f t="shared" si="307"/>
        <v/>
      </c>
      <c r="BB45" s="43" t="str">
        <f t="shared" si="307"/>
        <v/>
      </c>
      <c r="BC45" s="43" t="str">
        <f t="shared" si="307"/>
        <v/>
      </c>
      <c r="BD45" s="43"/>
      <c r="BE45" s="43"/>
      <c r="BF45" s="42" t="str">
        <f t="shared" ref="BF45:BJ45" si="308">AY45</f>
        <v/>
      </c>
      <c r="BG45" s="43" t="str">
        <f t="shared" si="308"/>
        <v/>
      </c>
      <c r="BH45" s="43" t="str">
        <f t="shared" si="308"/>
        <v/>
      </c>
      <c r="BI45" s="43" t="str">
        <f t="shared" si="308"/>
        <v/>
      </c>
      <c r="BJ45" s="43" t="str">
        <f t="shared" si="308"/>
        <v/>
      </c>
      <c r="BK45" s="43"/>
      <c r="BL45" s="43"/>
      <c r="BM45" s="42" t="str">
        <f t="shared" ref="BM45:BQ45" si="309">BF45</f>
        <v/>
      </c>
      <c r="BN45" s="43" t="str">
        <f t="shared" si="309"/>
        <v/>
      </c>
      <c r="BO45" s="43" t="str">
        <f t="shared" si="309"/>
        <v/>
      </c>
      <c r="BP45" s="43" t="str">
        <f t="shared" si="309"/>
        <v/>
      </c>
      <c r="BQ45" s="43" t="str">
        <f t="shared" si="309"/>
        <v/>
      </c>
      <c r="BR45" s="43"/>
      <c r="BS45" s="43"/>
      <c r="BT45" s="42" t="str">
        <f t="shared" ref="BT45:BX45" si="310">BM45</f>
        <v/>
      </c>
      <c r="BU45" s="43" t="str">
        <f t="shared" si="310"/>
        <v/>
      </c>
      <c r="BV45" s="43" t="str">
        <f t="shared" si="310"/>
        <v/>
      </c>
      <c r="BW45" s="43" t="str">
        <f t="shared" si="310"/>
        <v/>
      </c>
      <c r="BX45" s="43" t="str">
        <f t="shared" si="310"/>
        <v/>
      </c>
      <c r="BY45" s="43"/>
      <c r="BZ45" s="43"/>
      <c r="CA45" s="42" t="str">
        <f t="shared" ref="CA45:CE45" si="311">BT45</f>
        <v/>
      </c>
      <c r="CB45" s="43" t="str">
        <f t="shared" si="311"/>
        <v/>
      </c>
      <c r="CC45" s="43" t="str">
        <f t="shared" si="311"/>
        <v/>
      </c>
      <c r="CD45" s="43" t="str">
        <f t="shared" si="311"/>
        <v/>
      </c>
      <c r="CE45" s="43" t="str">
        <f t="shared" si="311"/>
        <v/>
      </c>
      <c r="CF45" s="43"/>
      <c r="CG45" s="43"/>
      <c r="CH45" s="42" t="str">
        <f t="shared" ref="CH45:CL45" si="312">CA45</f>
        <v/>
      </c>
      <c r="CI45" s="43" t="str">
        <f t="shared" si="312"/>
        <v/>
      </c>
      <c r="CJ45" s="43" t="str">
        <f t="shared" si="312"/>
        <v/>
      </c>
      <c r="CK45" s="43" t="str">
        <f t="shared" si="312"/>
        <v/>
      </c>
      <c r="CL45" s="43" t="str">
        <f t="shared" si="312"/>
        <v/>
      </c>
      <c r="CM45" s="43"/>
      <c r="CN45" s="43"/>
      <c r="CO45" s="42" t="str">
        <f t="shared" ref="CO45:CS45" si="313">CH45</f>
        <v/>
      </c>
      <c r="CP45" s="43" t="str">
        <f t="shared" si="313"/>
        <v/>
      </c>
      <c r="CQ45" s="43" t="str">
        <f t="shared" si="313"/>
        <v/>
      </c>
      <c r="CR45" s="43" t="str">
        <f t="shared" si="313"/>
        <v/>
      </c>
      <c r="CS45" s="43" t="str">
        <f t="shared" si="313"/>
        <v/>
      </c>
      <c r="CT45" s="43"/>
      <c r="CU45" s="43"/>
      <c r="CV45" s="42" t="str">
        <f t="shared" ref="CV45:CZ45" si="314">CO45</f>
        <v/>
      </c>
      <c r="CW45" s="43" t="str">
        <f t="shared" si="314"/>
        <v/>
      </c>
      <c r="CX45" s="43" t="str">
        <f t="shared" si="314"/>
        <v/>
      </c>
      <c r="CY45" s="43" t="str">
        <f t="shared" si="314"/>
        <v/>
      </c>
      <c r="CZ45" s="43" t="str">
        <f t="shared" si="314"/>
        <v/>
      </c>
      <c r="DA45" s="43"/>
      <c r="DB45" s="43"/>
      <c r="DC45" s="42" t="str">
        <f t="shared" ref="DC45:DG45" si="315">CV45</f>
        <v/>
      </c>
      <c r="DD45" s="43" t="str">
        <f t="shared" si="315"/>
        <v/>
      </c>
      <c r="DE45" s="43" t="str">
        <f t="shared" si="315"/>
        <v/>
      </c>
      <c r="DF45" s="43" t="str">
        <f t="shared" si="315"/>
        <v/>
      </c>
      <c r="DG45" s="43" t="str">
        <f t="shared" si="315"/>
        <v/>
      </c>
      <c r="DH45" s="43"/>
      <c r="DI45" s="43"/>
      <c r="DJ45" s="42" t="str">
        <f t="shared" ref="DJ45:DN45" si="316">DC45</f>
        <v/>
      </c>
      <c r="DK45" s="43" t="str">
        <f t="shared" si="316"/>
        <v/>
      </c>
      <c r="DL45" s="43" t="str">
        <f t="shared" si="316"/>
        <v/>
      </c>
      <c r="DM45" s="43" t="str">
        <f t="shared" si="316"/>
        <v/>
      </c>
      <c r="DN45" s="43" t="str">
        <f t="shared" si="316"/>
        <v/>
      </c>
      <c r="DO45" s="43"/>
      <c r="DP45" s="43"/>
      <c r="DQ45" s="42" t="str">
        <f t="shared" ref="DQ45:DU45" si="317">DJ45</f>
        <v/>
      </c>
      <c r="DR45" s="43" t="str">
        <f t="shared" si="317"/>
        <v/>
      </c>
      <c r="DS45" s="43" t="str">
        <f t="shared" si="317"/>
        <v/>
      </c>
      <c r="DT45" s="43" t="str">
        <f t="shared" si="317"/>
        <v/>
      </c>
      <c r="DU45" s="43" t="str">
        <f t="shared" si="317"/>
        <v/>
      </c>
      <c r="DV45" s="43"/>
      <c r="DW45" s="43"/>
      <c r="DX45" s="42" t="str">
        <f t="shared" ref="DX45:EB45" si="318">DQ45</f>
        <v/>
      </c>
      <c r="DY45" s="43" t="str">
        <f t="shared" si="318"/>
        <v/>
      </c>
      <c r="DZ45" s="43" t="str">
        <f t="shared" si="318"/>
        <v/>
      </c>
      <c r="EA45" s="43" t="str">
        <f t="shared" si="318"/>
        <v/>
      </c>
      <c r="EB45" s="43" t="str">
        <f t="shared" si="318"/>
        <v/>
      </c>
      <c r="EC45" s="43"/>
      <c r="ED45" s="43"/>
      <c r="EE45" s="42" t="str">
        <f t="shared" ref="EE45:EI45" si="319">DX45</f>
        <v/>
      </c>
      <c r="EF45" s="43" t="str">
        <f t="shared" si="319"/>
        <v/>
      </c>
      <c r="EG45" s="43" t="str">
        <f t="shared" si="319"/>
        <v/>
      </c>
      <c r="EH45" s="43" t="str">
        <f t="shared" si="319"/>
        <v/>
      </c>
      <c r="EI45" s="43" t="str">
        <f t="shared" si="319"/>
        <v/>
      </c>
      <c r="EJ45" s="43"/>
      <c r="EK45" s="43"/>
      <c r="EL45" s="42" t="str">
        <f t="shared" ref="EL45:EP45" si="320">EE45</f>
        <v/>
      </c>
      <c r="EM45" s="43" t="str">
        <f t="shared" si="320"/>
        <v/>
      </c>
      <c r="EN45" s="43" t="str">
        <f t="shared" si="320"/>
        <v/>
      </c>
      <c r="EO45" s="43" t="str">
        <f t="shared" si="320"/>
        <v/>
      </c>
      <c r="EP45" s="43" t="str">
        <f t="shared" si="320"/>
        <v/>
      </c>
      <c r="EQ45" s="43"/>
      <c r="ER45" s="43"/>
    </row>
    <row r="46">
      <c r="A46" s="2"/>
      <c r="B46" s="38"/>
      <c r="C46" s="2"/>
      <c r="D46" s="2"/>
      <c r="E46" s="2"/>
      <c r="F46" s="2"/>
      <c r="G46" s="2"/>
      <c r="H46" s="2"/>
      <c r="I46" s="38"/>
      <c r="J46" s="2"/>
      <c r="K46" s="2"/>
      <c r="L46" s="2"/>
      <c r="M46" s="2"/>
      <c r="N46" s="2"/>
      <c r="O46" s="2"/>
      <c r="P46" s="38"/>
      <c r="Q46" s="2"/>
      <c r="R46" s="2"/>
      <c r="S46" s="2"/>
      <c r="T46" s="2"/>
      <c r="U46" s="2"/>
      <c r="V46" s="2"/>
      <c r="W46" s="38"/>
      <c r="X46" s="2"/>
      <c r="Y46" s="2"/>
      <c r="Z46" s="2"/>
      <c r="AA46" s="2"/>
      <c r="AB46" s="2"/>
      <c r="AC46" s="2"/>
      <c r="AD46" s="38"/>
      <c r="AE46" s="2"/>
      <c r="AF46" s="2"/>
      <c r="AG46" s="2"/>
      <c r="AH46" s="2"/>
      <c r="AI46" s="2"/>
      <c r="AJ46" s="2"/>
      <c r="AK46" s="38"/>
      <c r="AL46" s="2"/>
      <c r="AM46" s="2"/>
      <c r="AN46" s="2"/>
      <c r="AO46" s="2"/>
      <c r="AP46" s="2"/>
      <c r="AQ46" s="2"/>
      <c r="AR46" s="38"/>
      <c r="AS46" s="2"/>
      <c r="AT46" s="2"/>
      <c r="AU46" s="2"/>
      <c r="AV46" s="2"/>
      <c r="AW46" s="2"/>
      <c r="AX46" s="2"/>
      <c r="AY46" s="38"/>
      <c r="AZ46" s="2"/>
      <c r="BA46" s="2"/>
      <c r="BB46" s="2"/>
      <c r="BC46" s="2"/>
      <c r="BD46" s="2"/>
      <c r="BE46" s="2"/>
      <c r="BF46" s="38"/>
      <c r="BG46" s="2"/>
      <c r="BH46" s="2"/>
      <c r="BI46" s="2"/>
      <c r="BJ46" s="2"/>
      <c r="BK46" s="2"/>
      <c r="BL46" s="2"/>
      <c r="BM46" s="38"/>
      <c r="BN46" s="2"/>
      <c r="BO46" s="2"/>
      <c r="BP46" s="2"/>
      <c r="BQ46" s="2"/>
      <c r="BR46" s="2"/>
      <c r="BS46" s="2"/>
      <c r="BT46" s="38"/>
      <c r="BU46" s="2"/>
      <c r="BV46" s="2"/>
      <c r="BW46" s="2"/>
      <c r="BX46" s="2"/>
      <c r="BY46" s="2"/>
      <c r="BZ46" s="2"/>
      <c r="CA46" s="38"/>
      <c r="CB46" s="2"/>
      <c r="CC46" s="2"/>
      <c r="CD46" s="2"/>
      <c r="CE46" s="2"/>
      <c r="CF46" s="2"/>
      <c r="CG46" s="2"/>
      <c r="CH46" s="38"/>
      <c r="CI46" s="2"/>
      <c r="CJ46" s="2"/>
      <c r="CK46" s="2"/>
      <c r="CL46" s="2"/>
      <c r="CM46" s="2"/>
      <c r="CN46" s="2"/>
      <c r="CO46" s="38"/>
      <c r="CP46" s="2"/>
      <c r="CQ46" s="2"/>
      <c r="CR46" s="2"/>
      <c r="CS46" s="2"/>
      <c r="CT46" s="2"/>
      <c r="CU46" s="2"/>
      <c r="CV46" s="38"/>
      <c r="CW46" s="2"/>
      <c r="CX46" s="2"/>
      <c r="CY46" s="2"/>
      <c r="CZ46" s="2"/>
      <c r="DA46" s="2"/>
      <c r="DB46" s="2"/>
      <c r="DC46" s="38"/>
      <c r="DD46" s="2"/>
      <c r="DE46" s="2"/>
      <c r="DF46" s="2"/>
      <c r="DG46" s="2"/>
      <c r="DH46" s="2"/>
      <c r="DI46" s="2"/>
      <c r="DJ46" s="38"/>
      <c r="DK46" s="2"/>
      <c r="DL46" s="2"/>
      <c r="DM46" s="2"/>
      <c r="DN46" s="2"/>
      <c r="DO46" s="2"/>
      <c r="DP46" s="2"/>
      <c r="DQ46" s="38"/>
      <c r="DR46" s="2"/>
      <c r="DS46" s="2"/>
      <c r="DT46" s="2"/>
      <c r="DU46" s="2"/>
      <c r="DV46" s="2"/>
      <c r="DW46" s="2"/>
      <c r="DX46" s="38"/>
      <c r="DY46" s="2"/>
      <c r="DZ46" s="2"/>
      <c r="EA46" s="2"/>
      <c r="EB46" s="2"/>
      <c r="EC46" s="2"/>
      <c r="ED46" s="2"/>
      <c r="EE46" s="38"/>
      <c r="EF46" s="2"/>
      <c r="EG46" s="2"/>
      <c r="EH46" s="2"/>
      <c r="EI46" s="2"/>
      <c r="EJ46" s="2"/>
      <c r="EK46" s="2"/>
      <c r="EL46" s="38"/>
      <c r="EM46" s="2"/>
      <c r="EN46" s="2"/>
      <c r="EO46" s="2"/>
      <c r="EP46" s="2"/>
      <c r="EQ46" s="2"/>
      <c r="ER46" s="2"/>
    </row>
    <row r="47">
      <c r="A47" s="28" t="s">
        <v>81</v>
      </c>
      <c r="B47" s="29"/>
      <c r="C47" s="30"/>
      <c r="D47" s="30"/>
      <c r="E47" s="30"/>
      <c r="F47" s="30"/>
      <c r="G47" s="30"/>
      <c r="H47" s="30"/>
      <c r="I47" s="29"/>
      <c r="J47" s="30"/>
      <c r="K47" s="30"/>
      <c r="L47" s="30"/>
      <c r="M47" s="30"/>
      <c r="N47" s="30"/>
      <c r="O47" s="30"/>
      <c r="P47" s="29"/>
      <c r="Q47" s="30"/>
      <c r="R47" s="30"/>
      <c r="S47" s="30"/>
      <c r="T47" s="30"/>
      <c r="U47" s="30"/>
      <c r="V47" s="30"/>
      <c r="W47" s="29"/>
      <c r="X47" s="30"/>
      <c r="Y47" s="30"/>
      <c r="Z47" s="30"/>
      <c r="AA47" s="30"/>
      <c r="AB47" s="30"/>
      <c r="AC47" s="30"/>
      <c r="AD47" s="29"/>
      <c r="AE47" s="30"/>
      <c r="AF47" s="30"/>
      <c r="AG47" s="30"/>
      <c r="AH47" s="30"/>
      <c r="AI47" s="30"/>
      <c r="AJ47" s="30"/>
      <c r="AK47" s="29"/>
      <c r="AL47" s="30"/>
      <c r="AM47" s="30"/>
      <c r="AN47" s="30"/>
      <c r="AO47" s="30"/>
      <c r="AP47" s="30"/>
      <c r="AQ47" s="30"/>
      <c r="AR47" s="29"/>
      <c r="AS47" s="30"/>
      <c r="AT47" s="30"/>
      <c r="AU47" s="30"/>
      <c r="AV47" s="30"/>
      <c r="AW47" s="30"/>
      <c r="AX47" s="30"/>
      <c r="AY47" s="29"/>
      <c r="AZ47" s="30"/>
      <c r="BA47" s="30"/>
      <c r="BB47" s="30"/>
      <c r="BC47" s="30"/>
      <c r="BD47" s="30"/>
      <c r="BE47" s="30"/>
      <c r="BF47" s="29"/>
      <c r="BG47" s="30"/>
      <c r="BH47" s="30"/>
      <c r="BI47" s="30"/>
      <c r="BJ47" s="30"/>
      <c r="BK47" s="30"/>
      <c r="BL47" s="30"/>
      <c r="BM47" s="29"/>
      <c r="BN47" s="30"/>
      <c r="BO47" s="30"/>
      <c r="BP47" s="30"/>
      <c r="BQ47" s="30"/>
      <c r="BR47" s="30"/>
      <c r="BS47" s="30"/>
      <c r="BT47" s="29"/>
      <c r="BU47" s="30"/>
      <c r="BV47" s="30"/>
      <c r="BW47" s="30"/>
      <c r="BX47" s="30"/>
      <c r="BY47" s="30"/>
      <c r="BZ47" s="30"/>
      <c r="CA47" s="29"/>
      <c r="CB47" s="30"/>
      <c r="CC47" s="30"/>
      <c r="CD47" s="30"/>
      <c r="CE47" s="30"/>
      <c r="CF47" s="30"/>
      <c r="CG47" s="30"/>
      <c r="CH47" s="29"/>
      <c r="CI47" s="30"/>
      <c r="CJ47" s="30"/>
      <c r="CK47" s="30"/>
      <c r="CL47" s="30"/>
      <c r="CM47" s="30"/>
      <c r="CN47" s="30"/>
      <c r="CO47" s="29"/>
      <c r="CP47" s="30"/>
      <c r="CQ47" s="30"/>
      <c r="CR47" s="30"/>
      <c r="CS47" s="30"/>
      <c r="CT47" s="30"/>
      <c r="CU47" s="30"/>
      <c r="CV47" s="29"/>
      <c r="CW47" s="30"/>
      <c r="CX47" s="30"/>
      <c r="CY47" s="30"/>
      <c r="CZ47" s="30"/>
      <c r="DA47" s="30"/>
      <c r="DB47" s="30"/>
      <c r="DC47" s="29"/>
      <c r="DD47" s="30"/>
      <c r="DE47" s="30"/>
      <c r="DF47" s="30"/>
      <c r="DG47" s="30"/>
      <c r="DH47" s="30"/>
      <c r="DI47" s="30"/>
      <c r="DJ47" s="29"/>
      <c r="DK47" s="30"/>
      <c r="DL47" s="30"/>
      <c r="DM47" s="30"/>
      <c r="DN47" s="30"/>
      <c r="DO47" s="30"/>
      <c r="DP47" s="30"/>
      <c r="DQ47" s="29"/>
      <c r="DR47" s="30"/>
      <c r="DS47" s="30"/>
      <c r="DT47" s="30"/>
      <c r="DU47" s="30"/>
      <c r="DV47" s="30"/>
      <c r="DW47" s="30"/>
      <c r="DX47" s="29"/>
      <c r="DY47" s="30"/>
      <c r="DZ47" s="30"/>
      <c r="EA47" s="30"/>
      <c r="EB47" s="30"/>
      <c r="EC47" s="30"/>
      <c r="ED47" s="30"/>
      <c r="EE47" s="31" t="s">
        <v>75</v>
      </c>
      <c r="EF47" s="32"/>
      <c r="EG47" s="32"/>
      <c r="EH47" s="32"/>
      <c r="EI47" s="32"/>
      <c r="EJ47" s="32"/>
      <c r="EK47" s="32"/>
      <c r="EL47" s="29"/>
      <c r="EM47" s="30"/>
      <c r="EN47" s="30"/>
      <c r="EO47" s="30"/>
      <c r="EP47" s="30"/>
      <c r="EQ47" s="30"/>
      <c r="ER47" s="30"/>
    </row>
    <row r="48" hidden="1">
      <c r="A48" s="33" t="str">
        <f>CONCATENATE(A49," TM")</f>
        <v>Front Squat TM</v>
      </c>
      <c r="B48" s="34">
        <f>if(D48="",'Quick Setup'!D11,D48/'Quick Setup'!E11)</f>
        <v>420</v>
      </c>
      <c r="C48" s="35" t="s">
        <v>73</v>
      </c>
      <c r="D48" s="36"/>
      <c r="E48" s="37"/>
      <c r="F48" s="37"/>
      <c r="G48" s="37"/>
      <c r="H48" s="37"/>
      <c r="I48" s="34">
        <f>if(K48="", if(F49&lt;&gt;"", if(F49&gt;Setup!F10,B48*(1+Setup!G10),if(F49&lt;Setup!E10,B48*(1+Setup!H10),B48)),B48),K48/'Quick Setup'!$E11)</f>
        <v>420</v>
      </c>
      <c r="J48" s="35" t="s">
        <v>73</v>
      </c>
      <c r="K48" s="36"/>
      <c r="L48" s="37"/>
      <c r="M48" s="37"/>
      <c r="N48" s="37"/>
      <c r="O48" s="37"/>
      <c r="P48" s="34">
        <f>if(R48="", if(M49&lt;&gt;"", if(M49&gt;Setup!M10,I48*(1+Setup!N10),if(M49&lt;Setup!L10,I48*(1+Setup!O10),I48)),I48),R48/'Quick Setup'!$E11)</f>
        <v>420</v>
      </c>
      <c r="Q48" s="35" t="s">
        <v>73</v>
      </c>
      <c r="R48" s="36"/>
      <c r="S48" s="37"/>
      <c r="T48" s="37"/>
      <c r="U48" s="37"/>
      <c r="V48" s="37"/>
      <c r="W48" s="34">
        <f>if(Y48="", if(T49&lt;&gt;"", if(T49&gt;Setup!T10,P48*(1+Setup!U10),if(T49&lt;Setup!S10,P48*(1+Setup!V10),P48)),P48),Y48/'Quick Setup'!$E11)</f>
        <v>420</v>
      </c>
      <c r="X48" s="35" t="s">
        <v>73</v>
      </c>
      <c r="Y48" s="36"/>
      <c r="Z48" s="37"/>
      <c r="AA48" s="37"/>
      <c r="AB48" s="37"/>
      <c r="AC48" s="37"/>
      <c r="AD48" s="34">
        <f>if(AF48="", if(AA49&lt;&gt;"", if(AA49&gt;Setup!AA10,W48*(1+Setup!AB10),if(AA49&lt;Setup!Z10,W48*(1+Setup!AC10),W48)),W48),AF48/'Quick Setup'!$E11)</f>
        <v>420</v>
      </c>
      <c r="AE48" s="35" t="s">
        <v>73</v>
      </c>
      <c r="AF48" s="36"/>
      <c r="AG48" s="37"/>
      <c r="AH48" s="37"/>
      <c r="AI48" s="37"/>
      <c r="AJ48" s="37"/>
      <c r="AK48" s="34">
        <f>if(AM48="", if(AH49&lt;&gt;"", if(AH49&gt;Setup!AH10,AD48*(1+Setup!AI10),if(AH49&lt;Setup!AG10,AD48*(1+Setup!AJ10),AD48)),AD48),AM48/'Quick Setup'!$E11)</f>
        <v>420</v>
      </c>
      <c r="AL48" s="35" t="s">
        <v>73</v>
      </c>
      <c r="AM48" s="36"/>
      <c r="AN48" s="37"/>
      <c r="AO48" s="37"/>
      <c r="AP48" s="37"/>
      <c r="AQ48" s="37"/>
      <c r="AR48" s="34">
        <f>if(AT48="", if(AO49&lt;&gt;"", if(AO49&gt;Setup!AO10,AK48*(1+Setup!AP10),if(AO49&lt;Setup!AN10,AK48*(1+Setup!AQ10),AK48)),AK48),AT48/'Quick Setup'!$E11)</f>
        <v>420</v>
      </c>
      <c r="AS48" s="35" t="s">
        <v>73</v>
      </c>
      <c r="AT48" s="36"/>
      <c r="AU48" s="37"/>
      <c r="AV48" s="37"/>
      <c r="AW48" s="37"/>
      <c r="AX48" s="37"/>
      <c r="AY48" s="34">
        <f>if(BA48="",AR48,BA48/'Quick Setup'!$E11)</f>
        <v>420</v>
      </c>
      <c r="AZ48" s="35" t="s">
        <v>73</v>
      </c>
      <c r="BA48" s="36"/>
      <c r="BB48" s="37"/>
      <c r="BC48" s="37"/>
      <c r="BD48" s="37"/>
      <c r="BE48" s="37"/>
      <c r="BF48" s="34">
        <f>if(BH48="", if(BC49&lt;&gt;"", if(BC49&gt;Setup!BC10,AY48*(1+Setup!BD10),if(BC49&lt;Setup!BB10,AY48*(1+Setup!BE10),AY48)),AY48),BH48/'Quick Setup'!$E11)</f>
        <v>420</v>
      </c>
      <c r="BG48" s="35" t="s">
        <v>73</v>
      </c>
      <c r="BH48" s="36"/>
      <c r="BI48" s="37"/>
      <c r="BJ48" s="37"/>
      <c r="BK48" s="37"/>
      <c r="BL48" s="37"/>
      <c r="BM48" s="34">
        <f>if(BO48="", if(BJ49&lt;&gt;"", if(BJ49&gt;Setup!BJ10,BF48*(1+Setup!BK10),if(BJ49&lt;Setup!BI10,BF48*(1+Setup!BL10),BF48)),BF48),BO48/'Quick Setup'!$E11)</f>
        <v>420</v>
      </c>
      <c r="BN48" s="35" t="s">
        <v>73</v>
      </c>
      <c r="BO48" s="36"/>
      <c r="BP48" s="37"/>
      <c r="BQ48" s="37"/>
      <c r="BR48" s="37"/>
      <c r="BS48" s="37"/>
      <c r="BT48" s="34">
        <f>if(BV48="", if(BQ49&lt;&gt;"", if(BQ49&gt;Setup!BQ10,BM48*(1+Setup!BR10),if(BQ49&lt;Setup!BP10,BM48*(1+Setup!BS10),BM48)),BM48),BV48/'Quick Setup'!$E11)</f>
        <v>420</v>
      </c>
      <c r="BU48" s="35" t="s">
        <v>73</v>
      </c>
      <c r="BV48" s="36"/>
      <c r="BW48" s="37"/>
      <c r="BX48" s="37"/>
      <c r="BY48" s="37"/>
      <c r="BZ48" s="37"/>
      <c r="CA48" s="34">
        <f>if(CC48="", if(BX49&lt;&gt;"", if(BX49&gt;Setup!BX10,BT48*(1+Setup!BY10),if(BX49&lt;Setup!BW10,BT48*(1+Setup!BZ10),BT48)),BT48),CC48/'Quick Setup'!$E11)</f>
        <v>420</v>
      </c>
      <c r="CB48" s="35" t="s">
        <v>73</v>
      </c>
      <c r="CC48" s="36"/>
      <c r="CD48" s="37"/>
      <c r="CE48" s="37"/>
      <c r="CF48" s="37"/>
      <c r="CG48" s="37"/>
      <c r="CH48" s="34">
        <f>if(CJ48="", if(CE49&lt;&gt;"", if(CE49&gt;Setup!CE10,CA48*(1+Setup!CF10),if(CE49&lt;Setup!CD10,CA48*(1+Setup!CG10),CA48)),CA48),CJ48/'Quick Setup'!$E11)</f>
        <v>420</v>
      </c>
      <c r="CI48" s="35" t="s">
        <v>73</v>
      </c>
      <c r="CJ48" s="36"/>
      <c r="CK48" s="37"/>
      <c r="CL48" s="37"/>
      <c r="CM48" s="37"/>
      <c r="CN48" s="37"/>
      <c r="CO48" s="34">
        <f>if(CQ48="", if(CL49&lt;&gt;"", if(CL49&gt;Setup!CL10,CH48*(1+Setup!CM10),if(CL49&lt;Setup!CK10,CH48*(1+Setup!CN10),CH48)),CH48),CQ48/'Quick Setup'!$E11)</f>
        <v>420</v>
      </c>
      <c r="CP48" s="35" t="s">
        <v>73</v>
      </c>
      <c r="CQ48" s="36"/>
      <c r="CR48" s="37"/>
      <c r="CS48" s="37"/>
      <c r="CT48" s="37"/>
      <c r="CU48" s="37"/>
      <c r="CV48" s="34">
        <f>if(CX48="",CO48,CX48/'Quick Setup'!$E11)</f>
        <v>420</v>
      </c>
      <c r="CW48" s="35" t="s">
        <v>73</v>
      </c>
      <c r="CX48" s="36"/>
      <c r="CY48" s="37"/>
      <c r="CZ48" s="37"/>
      <c r="DA48" s="37"/>
      <c r="DB48" s="37"/>
      <c r="DC48" s="34">
        <f>if(DE48="", if(CZ49&lt;&gt;"", if(CZ49&gt;Setup!CZ10,CV48*(1+Setup!DA10),if(CZ49&lt;Setup!CY10,CV48*(1+Setup!DB10),CV48)),CV48),DE48/'Quick Setup'!$E11)</f>
        <v>420</v>
      </c>
      <c r="DD48" s="35" t="s">
        <v>73</v>
      </c>
      <c r="DE48" s="36"/>
      <c r="DF48" s="37"/>
      <c r="DG48" s="37"/>
      <c r="DH48" s="37"/>
      <c r="DI48" s="37"/>
      <c r="DJ48" s="34">
        <f>if(DL48="", if(DG49&lt;&gt;"", if(DG49&gt;Setup!DG10,DC48*(1+Setup!DH10),if(DG49&lt;Setup!DF10,DC48*(1+Setup!DI10),DC48)),DC48),DL48/'Quick Setup'!$E11)</f>
        <v>420</v>
      </c>
      <c r="DK48" s="35" t="s">
        <v>73</v>
      </c>
      <c r="DL48" s="36"/>
      <c r="DM48" s="37"/>
      <c r="DN48" s="37"/>
      <c r="DO48" s="37"/>
      <c r="DP48" s="37"/>
      <c r="DQ48" s="34">
        <f>if(DS48="", if(DN49&lt;&gt;"", if(DN49&gt;Setup!DN10,DJ48*(1+Setup!DO10),if(DN49&lt;Setup!DM10,DJ48*(1+Setup!DP10),DJ48)),DJ48),DS48/'Quick Setup'!$E11)</f>
        <v>420</v>
      </c>
      <c r="DR48" s="35" t="s">
        <v>73</v>
      </c>
      <c r="DS48" s="36"/>
      <c r="DT48" s="37"/>
      <c r="DU48" s="37"/>
      <c r="DV48" s="37"/>
      <c r="DW48" s="37"/>
      <c r="DX48" s="34">
        <f>if(DZ48="", if(DU49&lt;&gt;"", if(DU49&gt;Setup!DU10,DQ48*(1+Setup!DV10),if(DU49&lt;Setup!DT10,DQ48*(1+Setup!DW10),DQ48)),DQ48),DZ48/'Quick Setup'!$E11)</f>
        <v>420</v>
      </c>
      <c r="DY48" s="35" t="s">
        <v>73</v>
      </c>
      <c r="DZ48" s="36"/>
      <c r="EA48" s="37"/>
      <c r="EB48" s="37"/>
      <c r="EC48" s="37"/>
      <c r="ED48" s="37"/>
      <c r="EE48" s="34">
        <f>if(EG48="", if(EB49&lt;&gt;"", if(EB49&gt;Setup!EB10,DX48*(1+Setup!EC10),if(EB49&lt;Setup!EA10,DX48*(1+Setup!ED10),DX48)),DX48),EG48/'Quick Setup'!$E11)</f>
        <v>420</v>
      </c>
      <c r="EF48" s="35" t="s">
        <v>73</v>
      </c>
      <c r="EG48" s="36"/>
      <c r="EH48" s="37"/>
      <c r="EI48" s="37"/>
      <c r="EJ48" s="37"/>
      <c r="EK48" s="37"/>
      <c r="EL48" s="34">
        <f>if(EN48="", if(EI49&lt;&gt;"", if(EI49&gt;Setup!EI10,EE48*(1+Setup!EJ10),if(EI49&lt;Setup!EH10,EE48*(1+Setup!EK10),EE48)),EE48),EN48/'Quick Setup'!$E11)</f>
        <v>420</v>
      </c>
      <c r="EM48" s="35" t="s">
        <v>73</v>
      </c>
      <c r="EN48" s="36"/>
      <c r="EO48" s="37"/>
      <c r="EP48" s="37"/>
      <c r="EQ48" s="37"/>
      <c r="ER48" s="37"/>
    </row>
    <row r="49">
      <c r="A49" s="1" t="str">
        <f>Setup!A10</f>
        <v>Front Squat</v>
      </c>
      <c r="B49" s="38">
        <f>mround(B48*Setup!B10,'Quick Setup'!$A$2)</f>
        <v>252.5</v>
      </c>
      <c r="C49" s="2">
        <f>Setup!C10</f>
        <v>7</v>
      </c>
      <c r="D49" s="2">
        <f>Setup!D10</f>
        <v>4</v>
      </c>
      <c r="E49" s="2" t="str">
        <f>CONCATENATE(Setup!E10,"-",Setup!F10)</f>
        <v>4-6</v>
      </c>
      <c r="F49" s="10"/>
      <c r="G49" s="10"/>
      <c r="H49" s="10"/>
      <c r="I49" s="38">
        <f>mround(I48*Setup!I10,'Quick Setup'!$A$2)</f>
        <v>272.5</v>
      </c>
      <c r="J49" s="2">
        <f>Setup!J10</f>
        <v>6</v>
      </c>
      <c r="K49" s="2">
        <f>Setup!K10</f>
        <v>4</v>
      </c>
      <c r="L49" s="2" t="str">
        <f>CONCATENATE(Setup!L10,"-",Setup!M10)</f>
        <v>4-6</v>
      </c>
      <c r="M49" s="10"/>
      <c r="N49" s="10"/>
      <c r="O49" s="10"/>
      <c r="P49" s="38">
        <f>mround(P48*Setup!P10,'Quick Setup'!$A$2)</f>
        <v>295</v>
      </c>
      <c r="Q49" s="2">
        <f>Setup!Q10</f>
        <v>5</v>
      </c>
      <c r="R49" s="2">
        <f>Setup!R10</f>
        <v>3</v>
      </c>
      <c r="S49" s="2" t="str">
        <f>CONCATENATE(Setup!S10,"-",Setup!T10)</f>
        <v>4-6</v>
      </c>
      <c r="T49" s="10"/>
      <c r="U49" s="10"/>
      <c r="V49" s="10"/>
      <c r="W49" s="38">
        <f>mround(W48*Setup!W10,'Quick Setup'!$A$2)</f>
        <v>262.5</v>
      </c>
      <c r="X49" s="2">
        <f>Setup!X10</f>
        <v>7</v>
      </c>
      <c r="Y49" s="2">
        <f>Setup!Y10</f>
        <v>4</v>
      </c>
      <c r="Z49" s="2" t="str">
        <f>CONCATENATE(Setup!Z10,"-",Setup!AA10)</f>
        <v>4-6</v>
      </c>
      <c r="AA49" s="10"/>
      <c r="AB49" s="10"/>
      <c r="AC49" s="10"/>
      <c r="AD49" s="38">
        <f>mround(AD48*Setup!AD10,'Quick Setup'!$A$2)</f>
        <v>282.5</v>
      </c>
      <c r="AE49" s="2">
        <f>Setup!AE10</f>
        <v>6</v>
      </c>
      <c r="AF49" s="2">
        <f>Setup!AF10</f>
        <v>4</v>
      </c>
      <c r="AG49" s="2" t="str">
        <f>CONCATENATE(Setup!AG10,"-",Setup!AH10)</f>
        <v>4-6</v>
      </c>
      <c r="AH49" s="10"/>
      <c r="AI49" s="10"/>
      <c r="AJ49" s="10"/>
      <c r="AK49" s="38">
        <f>mround(AK48*Setup!AK10,'Quick Setup'!$A$2)</f>
        <v>305</v>
      </c>
      <c r="AL49" s="2">
        <f>Setup!AL10</f>
        <v>5</v>
      </c>
      <c r="AM49" s="2">
        <f>Setup!AM10</f>
        <v>3</v>
      </c>
      <c r="AN49" s="2" t="str">
        <f>CONCATENATE(Setup!AN10,"-",Setup!AO10)</f>
        <v>4-6</v>
      </c>
      <c r="AO49" s="10"/>
      <c r="AP49" s="10"/>
      <c r="AQ49" s="10"/>
      <c r="AR49" s="38">
        <f>mround(AR48*Setup!AR10,'Quick Setup'!$A$2)</f>
        <v>210</v>
      </c>
      <c r="AS49" s="1">
        <v>5.0</v>
      </c>
      <c r="AT49" s="1" t="s">
        <v>76</v>
      </c>
      <c r="AU49" s="2" t="str">
        <f>CONCATENATE(Setup!AU10,"-",Setup!AV10)</f>
        <v>4-6</v>
      </c>
      <c r="AV49" s="10"/>
      <c r="AW49" s="10"/>
      <c r="AX49" s="10"/>
      <c r="AY49" s="38">
        <f>mround(AY48*Setup!AY10,'Quick Setup'!$A$2)</f>
        <v>272.5</v>
      </c>
      <c r="AZ49" s="2">
        <f>Setup!AZ10</f>
        <v>6</v>
      </c>
      <c r="BA49" s="2">
        <f>Setup!BA10</f>
        <v>4</v>
      </c>
      <c r="BB49" s="2" t="str">
        <f>CONCATENATE(Setup!BB10,"-",Setup!BC10)</f>
        <v>4-6</v>
      </c>
      <c r="BC49" s="10"/>
      <c r="BD49" s="10"/>
      <c r="BE49" s="10"/>
      <c r="BF49" s="38">
        <f>mround(BF48*Setup!BF10,'Quick Setup'!$A$2)</f>
        <v>295</v>
      </c>
      <c r="BG49" s="2">
        <f>Setup!BG10</f>
        <v>5</v>
      </c>
      <c r="BH49" s="2">
        <f>Setup!BH10</f>
        <v>3</v>
      </c>
      <c r="BI49" s="2" t="str">
        <f>CONCATENATE(Setup!BI10,"-",Setup!BJ10)</f>
        <v>4-6</v>
      </c>
      <c r="BJ49" s="10"/>
      <c r="BK49" s="10"/>
      <c r="BL49" s="10"/>
      <c r="BM49" s="38">
        <f>mround(BM48*Setup!BM10,'Quick Setup'!$A$2)</f>
        <v>315</v>
      </c>
      <c r="BN49" s="2">
        <f>Setup!BN10</f>
        <v>4</v>
      </c>
      <c r="BO49" s="2">
        <f>Setup!BO10</f>
        <v>3</v>
      </c>
      <c r="BP49" s="2" t="str">
        <f>CONCATENATE(Setup!BP10,"-",Setup!BQ10)</f>
        <v>4-6</v>
      </c>
      <c r="BQ49" s="10"/>
      <c r="BR49" s="10"/>
      <c r="BS49" s="10"/>
      <c r="BT49" s="38">
        <f>mround(BT48*Setup!BT10,'Quick Setup'!$A$2)</f>
        <v>282.5</v>
      </c>
      <c r="BU49" s="2">
        <f>Setup!BU10</f>
        <v>6</v>
      </c>
      <c r="BV49" s="2">
        <f>Setup!BV10</f>
        <v>4</v>
      </c>
      <c r="BW49" s="2" t="str">
        <f>CONCATENATE(Setup!BW10,"-",Setup!BX10)</f>
        <v>4-6</v>
      </c>
      <c r="BX49" s="10"/>
      <c r="BY49" s="10"/>
      <c r="BZ49" s="10"/>
      <c r="CA49" s="38">
        <f>mround(CA48*Setup!CA10,'Quick Setup'!$A$2)</f>
        <v>305</v>
      </c>
      <c r="CB49" s="2">
        <f>Setup!CB10</f>
        <v>5</v>
      </c>
      <c r="CC49" s="2">
        <f>Setup!CC10</f>
        <v>3</v>
      </c>
      <c r="CD49" s="2" t="str">
        <f>CONCATENATE(Setup!CD10,"-",Setup!CE10)</f>
        <v>4-6</v>
      </c>
      <c r="CE49" s="10"/>
      <c r="CF49" s="10"/>
      <c r="CG49" s="10"/>
      <c r="CH49" s="38">
        <f>mround(CH48*Setup!CH10,'Quick Setup'!$A$2)</f>
        <v>325</v>
      </c>
      <c r="CI49" s="2">
        <f>Setup!CI10</f>
        <v>4</v>
      </c>
      <c r="CJ49" s="2">
        <f>Setup!CJ10</f>
        <v>3</v>
      </c>
      <c r="CK49" s="2" t="str">
        <f>CONCATENATE(Setup!CK10,"-",Setup!CL10)</f>
        <v>4-6</v>
      </c>
      <c r="CL49" s="10"/>
      <c r="CM49" s="10"/>
      <c r="CN49" s="10"/>
      <c r="CO49" s="38">
        <f>mround(CO48*Setup!CO10,'Quick Setup'!$A$2)</f>
        <v>210</v>
      </c>
      <c r="CP49" s="1">
        <v>5.0</v>
      </c>
      <c r="CQ49" s="1" t="s">
        <v>76</v>
      </c>
      <c r="CR49" s="2" t="str">
        <f>CONCATENATE(Setup!CR10,"-",Setup!CS10)</f>
        <v>4-6</v>
      </c>
      <c r="CS49" s="10"/>
      <c r="CT49" s="10"/>
      <c r="CU49" s="10"/>
      <c r="CV49" s="38">
        <f>mround(CV48*Setup!CV10,'Quick Setup'!$A$2)</f>
        <v>295</v>
      </c>
      <c r="CW49" s="2">
        <f>Setup!CW10</f>
        <v>5</v>
      </c>
      <c r="CX49" s="2">
        <f>Setup!CX10</f>
        <v>3</v>
      </c>
      <c r="CY49" s="2" t="str">
        <f>CONCATENATE(Setup!CY10,"-",Setup!CZ10)</f>
        <v>4-6</v>
      </c>
      <c r="CZ49" s="10"/>
      <c r="DA49" s="10"/>
      <c r="DB49" s="10"/>
      <c r="DC49" s="38">
        <f>mround(DC48*Setup!DC10,'Quick Setup'!$A$2)</f>
        <v>315</v>
      </c>
      <c r="DD49" s="2">
        <f>Setup!DD10</f>
        <v>4</v>
      </c>
      <c r="DE49" s="2">
        <f>Setup!DE10</f>
        <v>3</v>
      </c>
      <c r="DF49" s="2" t="str">
        <f>CONCATENATE(Setup!DF10,"-",Setup!DG10)</f>
        <v>4-6</v>
      </c>
      <c r="DG49" s="10"/>
      <c r="DH49" s="10"/>
      <c r="DI49" s="10"/>
      <c r="DJ49" s="38">
        <f>mround(DJ48*Setup!DJ10,'Quick Setup'!$A$2)</f>
        <v>335</v>
      </c>
      <c r="DK49" s="2">
        <f>Setup!DK10</f>
        <v>3</v>
      </c>
      <c r="DL49" s="2">
        <f>Setup!DL10</f>
        <v>2</v>
      </c>
      <c r="DM49" s="2" t="str">
        <f>CONCATENATE(Setup!DM10,"-",Setup!DN10)</f>
        <v>4-6</v>
      </c>
      <c r="DN49" s="10"/>
      <c r="DO49" s="10"/>
      <c r="DP49" s="10"/>
      <c r="DQ49" s="38">
        <f>mround(DQ48*Setup!DQ10,'Quick Setup'!$A$2)</f>
        <v>315</v>
      </c>
      <c r="DR49" s="2">
        <f>Setup!DR10</f>
        <v>4</v>
      </c>
      <c r="DS49" s="2">
        <f>Setup!DS10</f>
        <v>3</v>
      </c>
      <c r="DT49" s="2" t="str">
        <f>CONCATENATE(Setup!DT10,"-",Setup!DU10)</f>
        <v>4-6</v>
      </c>
      <c r="DU49" s="10"/>
      <c r="DV49" s="10"/>
      <c r="DW49" s="10"/>
      <c r="DX49" s="38">
        <f>mround(DX48*Setup!DX10,'Quick Setup'!$A$2)</f>
        <v>335</v>
      </c>
      <c r="DY49" s="2">
        <f>Setup!DY10</f>
        <v>3</v>
      </c>
      <c r="DZ49" s="2">
        <f>Setup!DZ10</f>
        <v>2</v>
      </c>
      <c r="EA49" s="2" t="str">
        <f>CONCATENATE(Setup!EA10,"-",Setup!EB10)</f>
        <v>4-6</v>
      </c>
      <c r="EB49" s="10"/>
      <c r="EC49" s="10"/>
      <c r="ED49" s="10"/>
      <c r="EE49" s="38">
        <f>mround(EE48*Setup!EE10,'Quick Setup'!$A$2)</f>
        <v>357.5</v>
      </c>
      <c r="EF49" s="2">
        <f>Setup!EF10</f>
        <v>2</v>
      </c>
      <c r="EG49" s="2">
        <f>Setup!EG10</f>
        <v>2</v>
      </c>
      <c r="EH49" s="2" t="str">
        <f>CONCATENATE(Setup!EH10,"-",Setup!EI10)</f>
        <v>4-6</v>
      </c>
      <c r="EI49" s="10"/>
      <c r="EJ49" s="10"/>
      <c r="EK49" s="10"/>
      <c r="EL49" s="38">
        <f>mround(EL48*Setup!EL10,'Quick Setup'!$A$2)</f>
        <v>210</v>
      </c>
      <c r="EM49" s="1">
        <v>5.0</v>
      </c>
      <c r="EN49" s="1" t="s">
        <v>76</v>
      </c>
      <c r="EO49" s="2" t="str">
        <f>CONCATENATE(Setup!EO10,"-",Setup!EP10)</f>
        <v>4-6</v>
      </c>
      <c r="EP49" s="10"/>
      <c r="EQ49" s="10"/>
      <c r="ER49" s="10"/>
    </row>
    <row r="50" hidden="1">
      <c r="A50" s="33" t="str">
        <f>CONCATENATE(A51," TM")</f>
        <v>Sumo Deadlift TM</v>
      </c>
      <c r="B50" s="34">
        <f>if(D50="",'Quick Setup'!D15,D50/'Quick Setup'!E15)</f>
        <v>500</v>
      </c>
      <c r="C50" s="35" t="s">
        <v>73</v>
      </c>
      <c r="D50" s="36"/>
      <c r="E50" s="37"/>
      <c r="F50" s="37"/>
      <c r="G50" s="37"/>
      <c r="H50" s="37"/>
      <c r="I50" s="34">
        <f>if(K50="", if(F51&lt;&gt;"", if(F51&gt;Setup!F14,B50*(1+Setup!G14),if(F51&lt;Setup!E14,B50*(1+Setup!H14),B50)),B50),K50/'Quick Setup'!$E15)</f>
        <v>500</v>
      </c>
      <c r="J50" s="35" t="s">
        <v>73</v>
      </c>
      <c r="K50" s="36"/>
      <c r="L50" s="37"/>
      <c r="M50" s="37"/>
      <c r="N50" s="37"/>
      <c r="O50" s="37"/>
      <c r="P50" s="34">
        <f>if(R50="", if(M51&lt;&gt;"", if(M51&gt;Setup!M14,I50*(1+Setup!N14),if(M51&lt;Setup!L14,I50*(1+Setup!O14),I50)),I50),R50/'Quick Setup'!$E15)</f>
        <v>500</v>
      </c>
      <c r="Q50" s="35" t="s">
        <v>73</v>
      </c>
      <c r="R50" s="36"/>
      <c r="S50" s="37"/>
      <c r="T50" s="37"/>
      <c r="U50" s="37"/>
      <c r="V50" s="37"/>
      <c r="W50" s="34">
        <f>if(Y50="", if(T51&lt;&gt;"", if(T51&gt;Setup!T14,P50*(1+Setup!U14),if(T51&lt;Setup!S14,P50*(1+Setup!V14),P50)),P50),Y50/'Quick Setup'!$E15)</f>
        <v>500</v>
      </c>
      <c r="X50" s="35" t="s">
        <v>73</v>
      </c>
      <c r="Y50" s="36"/>
      <c r="Z50" s="37"/>
      <c r="AA50" s="37"/>
      <c r="AB50" s="37"/>
      <c r="AC50" s="37"/>
      <c r="AD50" s="34">
        <f>if(AF50="", if(AA51&lt;&gt;"", if(AA51&gt;Setup!AA14,W50*(1+Setup!AB14),if(AA51&lt;Setup!Z14,W50*(1+Setup!AC14),W50)),W50),AF50/'Quick Setup'!$E15)</f>
        <v>500</v>
      </c>
      <c r="AE50" s="35" t="s">
        <v>73</v>
      </c>
      <c r="AF50" s="36"/>
      <c r="AG50" s="37"/>
      <c r="AH50" s="37"/>
      <c r="AI50" s="37"/>
      <c r="AJ50" s="37"/>
      <c r="AK50" s="34">
        <f>if(AM50="", if(AH51&lt;&gt;"", if(AH51&gt;Setup!AH14,AD50*(1+Setup!AI14),if(AH51&lt;Setup!AG14,AD50*(1+Setup!AJ14),AD50)),AD50),AM50/'Quick Setup'!$E15)</f>
        <v>500</v>
      </c>
      <c r="AL50" s="35" t="s">
        <v>73</v>
      </c>
      <c r="AM50" s="36"/>
      <c r="AN50" s="37"/>
      <c r="AO50" s="37"/>
      <c r="AP50" s="37"/>
      <c r="AQ50" s="37"/>
      <c r="AR50" s="34">
        <f>if(AT50="", if(AO51&lt;&gt;"", if(AO51&gt;Setup!AO14,AK50*(1+Setup!AP14),if(AO51&lt;Setup!AN14,AK50*(1+Setup!AQ14),AK50)),AK50),AT50/'Quick Setup'!$E15)</f>
        <v>500</v>
      </c>
      <c r="AS50" s="35" t="s">
        <v>73</v>
      </c>
      <c r="AT50" s="36"/>
      <c r="AU50" s="37"/>
      <c r="AV50" s="37"/>
      <c r="AW50" s="37"/>
      <c r="AX50" s="37"/>
      <c r="AY50" s="34">
        <f>if(BA50="",AR50,BA50/'Quick Setup'!$E15)</f>
        <v>500</v>
      </c>
      <c r="AZ50" s="35" t="s">
        <v>73</v>
      </c>
      <c r="BA50" s="36"/>
      <c r="BB50" s="37"/>
      <c r="BC50" s="37"/>
      <c r="BD50" s="37"/>
      <c r="BE50" s="37"/>
      <c r="BF50" s="34">
        <f>if(BH50="", if(BC51&lt;&gt;"", if(BC51&gt;Setup!BC14,AY50*(1+Setup!BD14),if(BC51&lt;Setup!BB14,AY50*(1+Setup!BE14),AY50)),AY50),BH50/'Quick Setup'!$E15)</f>
        <v>500</v>
      </c>
      <c r="BG50" s="35" t="s">
        <v>73</v>
      </c>
      <c r="BH50" s="36"/>
      <c r="BI50" s="37"/>
      <c r="BJ50" s="37"/>
      <c r="BK50" s="37"/>
      <c r="BL50" s="37"/>
      <c r="BM50" s="34">
        <f>if(BO50="", if(BJ51&lt;&gt;"", if(BJ51&gt;Setup!BJ14,BF50*(1+Setup!BK14),if(BJ51&lt;Setup!BI14,BF50*(1+Setup!BL14),BF50)),BF50),BO50/'Quick Setup'!$E15)</f>
        <v>500</v>
      </c>
      <c r="BN50" s="35" t="s">
        <v>73</v>
      </c>
      <c r="BO50" s="36"/>
      <c r="BP50" s="37"/>
      <c r="BQ50" s="37"/>
      <c r="BR50" s="37"/>
      <c r="BS50" s="37"/>
      <c r="BT50" s="34">
        <f>if(BV50="", if(BQ51&lt;&gt;"", if(BQ51&gt;Setup!BQ14,BM50*(1+Setup!BR14),if(BQ51&lt;Setup!BP14,BM50*(1+Setup!BS14),BM50)),BM50),BV50/'Quick Setup'!$E15)</f>
        <v>500</v>
      </c>
      <c r="BU50" s="35" t="s">
        <v>73</v>
      </c>
      <c r="BV50" s="36"/>
      <c r="BW50" s="37"/>
      <c r="BX50" s="37"/>
      <c r="BY50" s="37"/>
      <c r="BZ50" s="37"/>
      <c r="CA50" s="34">
        <f>if(CC50="", if(BX51&lt;&gt;"", if(BX51&gt;Setup!BX14,BT50*(1+Setup!BY14),if(BX51&lt;Setup!BW14,BT50*(1+Setup!BZ14),BT50)),BT50),CC50/'Quick Setup'!$E15)</f>
        <v>500</v>
      </c>
      <c r="CB50" s="35" t="s">
        <v>73</v>
      </c>
      <c r="CC50" s="36"/>
      <c r="CD50" s="37"/>
      <c r="CE50" s="37"/>
      <c r="CF50" s="37"/>
      <c r="CG50" s="37"/>
      <c r="CH50" s="34">
        <f>if(CJ50="", if(CE51&lt;&gt;"", if(CE51&gt;Setup!CE14,CA50*(1+Setup!CF14),if(CE51&lt;Setup!CD14,CA50*(1+Setup!CG14),CA50)),CA50),CJ50/'Quick Setup'!$E15)</f>
        <v>500</v>
      </c>
      <c r="CI50" s="35" t="s">
        <v>73</v>
      </c>
      <c r="CJ50" s="36"/>
      <c r="CK50" s="37"/>
      <c r="CL50" s="37"/>
      <c r="CM50" s="37"/>
      <c r="CN50" s="37"/>
      <c r="CO50" s="34">
        <f>if(CQ50="", if(CL51&lt;&gt;"", if(CL51&gt;Setup!CL14,CH50*(1+Setup!CM14),if(CL51&lt;Setup!CK14,CH50*(1+Setup!CN14),CH50)),CH50),CQ50/'Quick Setup'!$E15)</f>
        <v>500</v>
      </c>
      <c r="CP50" s="35" t="s">
        <v>73</v>
      </c>
      <c r="CQ50" s="36"/>
      <c r="CR50" s="37"/>
      <c r="CS50" s="37"/>
      <c r="CT50" s="37"/>
      <c r="CU50" s="37"/>
      <c r="CV50" s="34">
        <f>if(CX50="",CO50,CX50/'Quick Setup'!$E15)</f>
        <v>500</v>
      </c>
      <c r="CW50" s="35" t="s">
        <v>73</v>
      </c>
      <c r="CX50" s="36"/>
      <c r="CY50" s="37"/>
      <c r="CZ50" s="37"/>
      <c r="DA50" s="37"/>
      <c r="DB50" s="37"/>
      <c r="DC50" s="34">
        <f>if(DE50="", if(CZ51&lt;&gt;"", if(CZ51&gt;Setup!CZ14,CV50*(1+Setup!DA14),if(CZ51&lt;Setup!CY14,CV50*(1+Setup!DB14),CV50)),CV50),DE50/'Quick Setup'!$E15)</f>
        <v>500</v>
      </c>
      <c r="DD50" s="35" t="s">
        <v>73</v>
      </c>
      <c r="DE50" s="36"/>
      <c r="DF50" s="37"/>
      <c r="DG50" s="37"/>
      <c r="DH50" s="37"/>
      <c r="DI50" s="37"/>
      <c r="DJ50" s="34">
        <f>if(DL50="", if(DG51&lt;&gt;"", if(DG51&gt;Setup!DG14,DC50*(1+Setup!DH14),if(DG51&lt;Setup!DF14,DC50*(1+Setup!DI14),DC50)),DC50),DL50/'Quick Setup'!$E15)</f>
        <v>500</v>
      </c>
      <c r="DK50" s="35" t="s">
        <v>73</v>
      </c>
      <c r="DL50" s="36"/>
      <c r="DM50" s="37"/>
      <c r="DN50" s="37"/>
      <c r="DO50" s="37"/>
      <c r="DP50" s="37"/>
      <c r="DQ50" s="34">
        <f>if(DS50="", if(DN51&lt;&gt;"", if(DN51&gt;Setup!DN14,DJ50*(1+Setup!DO14),if(DN51&lt;Setup!DM14,DJ50*(1+Setup!DP14),DJ50)),DJ50),DS50/'Quick Setup'!$E15)</f>
        <v>500</v>
      </c>
      <c r="DR50" s="35" t="s">
        <v>73</v>
      </c>
      <c r="DS50" s="36"/>
      <c r="DT50" s="37"/>
      <c r="DU50" s="37"/>
      <c r="DV50" s="37"/>
      <c r="DW50" s="37"/>
      <c r="DX50" s="34">
        <f>if(DZ50="", if(DU51&lt;&gt;"", if(DU51&gt;Setup!DU14,DQ50*(1+Setup!DV14),if(DU51&lt;Setup!DT14,DQ50*(1+Setup!DW14),DQ50)),DQ50),DZ50/'Quick Setup'!$E15)</f>
        <v>500</v>
      </c>
      <c r="DY50" s="35" t="s">
        <v>73</v>
      </c>
      <c r="DZ50" s="36"/>
      <c r="EA50" s="37"/>
      <c r="EB50" s="37"/>
      <c r="EC50" s="37"/>
      <c r="ED50" s="37"/>
      <c r="EE50" s="34">
        <f>if(EG50="", if(EB51&lt;&gt;"", if(EB51&gt;Setup!EB14,DX50*(1+Setup!EC14),if(EB51&lt;Setup!EA14,DX50*(1+Setup!ED14),DX50)),DX50),EG50/'Quick Setup'!$E15)</f>
        <v>500</v>
      </c>
      <c r="EF50" s="35" t="s">
        <v>73</v>
      </c>
      <c r="EG50" s="36"/>
      <c r="EH50" s="37"/>
      <c r="EI50" s="37"/>
      <c r="EJ50" s="37"/>
      <c r="EK50" s="37"/>
      <c r="EL50" s="34">
        <f>if(EN50="", if(EI51&lt;&gt;"", if(EI51&gt;Setup!EI14,EE50*(1+Setup!EJ14),if(EI51&lt;Setup!EH14,EE50*(1+Setup!EK14),EE50)),EE50),EN50/'Quick Setup'!$E15)</f>
        <v>500</v>
      </c>
      <c r="EM50" s="35" t="s">
        <v>73</v>
      </c>
      <c r="EN50" s="36"/>
      <c r="EO50" s="37"/>
      <c r="EP50" s="37"/>
      <c r="EQ50" s="37"/>
      <c r="ER50" s="37"/>
    </row>
    <row r="51">
      <c r="A51" s="1" t="str">
        <f>Setup!A14</f>
        <v>Sumo Deadlift</v>
      </c>
      <c r="B51" s="38">
        <f>mround(B50*Setup!B14,'Quick Setup'!$A$2)</f>
        <v>300</v>
      </c>
      <c r="C51" s="2">
        <f>Setup!C14</f>
        <v>7</v>
      </c>
      <c r="D51" s="2">
        <f>Setup!D14</f>
        <v>4</v>
      </c>
      <c r="E51" s="2" t="str">
        <f>CONCATENATE(Setup!E14,"-",Setup!F14)</f>
        <v>4-6</v>
      </c>
      <c r="F51" s="10"/>
      <c r="G51" s="10"/>
      <c r="H51" s="10"/>
      <c r="I51" s="38">
        <f>mround(I50*Setup!I14,'Quick Setup'!$A$2)</f>
        <v>325</v>
      </c>
      <c r="J51" s="2">
        <f>Setup!J14</f>
        <v>6</v>
      </c>
      <c r="K51" s="2">
        <f>Setup!K14</f>
        <v>4</v>
      </c>
      <c r="L51" s="2" t="str">
        <f>CONCATENATE(Setup!L14,"-",Setup!M14)</f>
        <v>4-6</v>
      </c>
      <c r="M51" s="10"/>
      <c r="N51" s="10"/>
      <c r="O51" s="10"/>
      <c r="P51" s="38">
        <f>mround(P50*Setup!P14,'Quick Setup'!$A$2)</f>
        <v>350</v>
      </c>
      <c r="Q51" s="2">
        <f>Setup!Q14</f>
        <v>5</v>
      </c>
      <c r="R51" s="2">
        <f>Setup!R14</f>
        <v>3</v>
      </c>
      <c r="S51" s="2" t="str">
        <f>CONCATENATE(Setup!S14,"-",Setup!T14)</f>
        <v>4-6</v>
      </c>
      <c r="T51" s="10"/>
      <c r="U51" s="10"/>
      <c r="V51" s="10"/>
      <c r="W51" s="38">
        <f>mround(W50*Setup!W14,'Quick Setup'!$A$2)</f>
        <v>312.5</v>
      </c>
      <c r="X51" s="2">
        <f>Setup!X14</f>
        <v>7</v>
      </c>
      <c r="Y51" s="2">
        <f>Setup!Y14</f>
        <v>4</v>
      </c>
      <c r="Z51" s="2" t="str">
        <f>CONCATENATE(Setup!Z14,"-",Setup!AA14)</f>
        <v>4-6</v>
      </c>
      <c r="AA51" s="10"/>
      <c r="AB51" s="10"/>
      <c r="AC51" s="10"/>
      <c r="AD51" s="38">
        <f>mround(AD50*Setup!AD14,'Quick Setup'!$A$2)</f>
        <v>337.5</v>
      </c>
      <c r="AE51" s="2">
        <f>Setup!AE14</f>
        <v>6</v>
      </c>
      <c r="AF51" s="2">
        <f>Setup!AF14</f>
        <v>4</v>
      </c>
      <c r="AG51" s="2" t="str">
        <f>CONCATENATE(Setup!AG14,"-",Setup!AH14)</f>
        <v>4-6</v>
      </c>
      <c r="AH51" s="10"/>
      <c r="AI51" s="10"/>
      <c r="AJ51" s="10"/>
      <c r="AK51" s="38">
        <f>mround(AK50*Setup!AK14,'Quick Setup'!$A$2)</f>
        <v>362.5</v>
      </c>
      <c r="AL51" s="2">
        <f>Setup!AL14</f>
        <v>5</v>
      </c>
      <c r="AM51" s="2">
        <f>Setup!AM14</f>
        <v>3</v>
      </c>
      <c r="AN51" s="2" t="str">
        <f>CONCATENATE(Setup!AN14,"-",Setup!AO14)</f>
        <v>4-6</v>
      </c>
      <c r="AO51" s="10"/>
      <c r="AP51" s="10"/>
      <c r="AQ51" s="10"/>
      <c r="AR51" s="38">
        <f>mround(AR50*Setup!AR14,'Quick Setup'!$A$2)</f>
        <v>250</v>
      </c>
      <c r="AS51" s="1">
        <v>5.0</v>
      </c>
      <c r="AT51" s="1" t="s">
        <v>76</v>
      </c>
      <c r="AU51" s="2" t="str">
        <f>CONCATENATE(Setup!AU14,"-",Setup!AV14)</f>
        <v>4-6</v>
      </c>
      <c r="AV51" s="10"/>
      <c r="AW51" s="10"/>
      <c r="AX51" s="10"/>
      <c r="AY51" s="38">
        <f>mround(AY50*Setup!AY14,'Quick Setup'!$A$2)</f>
        <v>325</v>
      </c>
      <c r="AZ51" s="2">
        <f>Setup!AZ14</f>
        <v>6</v>
      </c>
      <c r="BA51" s="2">
        <f>Setup!BA14</f>
        <v>4</v>
      </c>
      <c r="BB51" s="2" t="str">
        <f>CONCATENATE(Setup!BB14,"-",Setup!BC14)</f>
        <v>4-6</v>
      </c>
      <c r="BC51" s="10"/>
      <c r="BD51" s="10"/>
      <c r="BE51" s="10"/>
      <c r="BF51" s="38">
        <f>mround(BF50*Setup!BF14,'Quick Setup'!$A$2)</f>
        <v>350</v>
      </c>
      <c r="BG51" s="2">
        <f>Setup!BG14</f>
        <v>5</v>
      </c>
      <c r="BH51" s="2">
        <f>Setup!BH14</f>
        <v>3</v>
      </c>
      <c r="BI51" s="2" t="str">
        <f>CONCATENATE(Setup!BI14,"-",Setup!BJ14)</f>
        <v>4-6</v>
      </c>
      <c r="BJ51" s="10"/>
      <c r="BK51" s="10"/>
      <c r="BL51" s="10"/>
      <c r="BM51" s="38">
        <f>mround(BM50*Setup!BM14,'Quick Setup'!$A$2)</f>
        <v>375</v>
      </c>
      <c r="BN51" s="2">
        <f>Setup!BN14</f>
        <v>4</v>
      </c>
      <c r="BO51" s="2">
        <f>Setup!BO14</f>
        <v>3</v>
      </c>
      <c r="BP51" s="2" t="str">
        <f>CONCATENATE(Setup!BP14,"-",Setup!BQ14)</f>
        <v>4-6</v>
      </c>
      <c r="BQ51" s="10"/>
      <c r="BR51" s="10"/>
      <c r="BS51" s="10"/>
      <c r="BT51" s="38">
        <f>mround(BT50*Setup!BT14,'Quick Setup'!$A$2)</f>
        <v>337.5</v>
      </c>
      <c r="BU51" s="2">
        <f>Setup!BU14</f>
        <v>6</v>
      </c>
      <c r="BV51" s="2">
        <f>Setup!BV14</f>
        <v>4</v>
      </c>
      <c r="BW51" s="2" t="str">
        <f>CONCATENATE(Setup!BW14,"-",Setup!BX14)</f>
        <v>4-6</v>
      </c>
      <c r="BX51" s="10"/>
      <c r="BY51" s="10"/>
      <c r="BZ51" s="10"/>
      <c r="CA51" s="38">
        <f>mround(CA50*Setup!CA14,'Quick Setup'!$A$2)</f>
        <v>362.5</v>
      </c>
      <c r="CB51" s="2">
        <f>Setup!CB14</f>
        <v>5</v>
      </c>
      <c r="CC51" s="2">
        <f>Setup!CC14</f>
        <v>3</v>
      </c>
      <c r="CD51" s="2" t="str">
        <f>CONCATENATE(Setup!CD14,"-",Setup!CE14)</f>
        <v>4-6</v>
      </c>
      <c r="CE51" s="10"/>
      <c r="CF51" s="10"/>
      <c r="CG51" s="10"/>
      <c r="CH51" s="38">
        <f>mround(CH50*Setup!CH14,'Quick Setup'!$A$2)</f>
        <v>387.5</v>
      </c>
      <c r="CI51" s="2">
        <f>Setup!CI14</f>
        <v>4</v>
      </c>
      <c r="CJ51" s="2">
        <f>Setup!CJ14</f>
        <v>3</v>
      </c>
      <c r="CK51" s="2" t="str">
        <f>CONCATENATE(Setup!CK14,"-",Setup!CL14)</f>
        <v>4-6</v>
      </c>
      <c r="CL51" s="10"/>
      <c r="CM51" s="10"/>
      <c r="CN51" s="10"/>
      <c r="CO51" s="38">
        <f>mround(CO50*Setup!CO14,'Quick Setup'!$A$2)</f>
        <v>250</v>
      </c>
      <c r="CP51" s="1">
        <v>5.0</v>
      </c>
      <c r="CQ51" s="1" t="s">
        <v>76</v>
      </c>
      <c r="CR51" s="2" t="str">
        <f>CONCATENATE(Setup!CR14,"-",Setup!CS14)</f>
        <v>4-6</v>
      </c>
      <c r="CS51" s="10"/>
      <c r="CT51" s="10"/>
      <c r="CU51" s="10"/>
      <c r="CV51" s="38">
        <f>mround(CV50*Setup!CV14,'Quick Setup'!$A$2)</f>
        <v>350</v>
      </c>
      <c r="CW51" s="2">
        <f>Setup!CW14</f>
        <v>5</v>
      </c>
      <c r="CX51" s="2">
        <f>Setup!CX14</f>
        <v>3</v>
      </c>
      <c r="CY51" s="2" t="str">
        <f>CONCATENATE(Setup!CY14,"-",Setup!CZ14)</f>
        <v>4-6</v>
      </c>
      <c r="CZ51" s="10"/>
      <c r="DA51" s="10"/>
      <c r="DB51" s="10"/>
      <c r="DC51" s="38">
        <f>mround(DC50*Setup!DC14,'Quick Setup'!$A$2)</f>
        <v>375</v>
      </c>
      <c r="DD51" s="2">
        <f>Setup!DD14</f>
        <v>4</v>
      </c>
      <c r="DE51" s="2">
        <f>Setup!DE14</f>
        <v>3</v>
      </c>
      <c r="DF51" s="2" t="str">
        <f>CONCATENATE(Setup!DF14,"-",Setup!DG14)</f>
        <v>4-6</v>
      </c>
      <c r="DG51" s="10"/>
      <c r="DH51" s="10"/>
      <c r="DI51" s="10"/>
      <c r="DJ51" s="38">
        <f>mround(DJ50*Setup!DJ14,'Quick Setup'!$A$2)</f>
        <v>400</v>
      </c>
      <c r="DK51" s="2">
        <f>Setup!DK14</f>
        <v>3</v>
      </c>
      <c r="DL51" s="2">
        <f>Setup!DL14</f>
        <v>2</v>
      </c>
      <c r="DM51" s="2" t="str">
        <f>CONCATENATE(Setup!DM14,"-",Setup!DN14)</f>
        <v>4-6</v>
      </c>
      <c r="DN51" s="10"/>
      <c r="DO51" s="10"/>
      <c r="DP51" s="10"/>
      <c r="DQ51" s="38">
        <f>mround(DQ50*Setup!DQ14,'Quick Setup'!$A$2)</f>
        <v>375</v>
      </c>
      <c r="DR51" s="2">
        <f>Setup!DR14</f>
        <v>4</v>
      </c>
      <c r="DS51" s="2">
        <f>Setup!DS14</f>
        <v>3</v>
      </c>
      <c r="DT51" s="2" t="str">
        <f>CONCATENATE(Setup!DT14,"-",Setup!DU14)</f>
        <v>4-6</v>
      </c>
      <c r="DU51" s="10"/>
      <c r="DV51" s="10"/>
      <c r="DW51" s="10"/>
      <c r="DX51" s="38">
        <f>mround(DX50*Setup!DX14,'Quick Setup'!$A$2)</f>
        <v>400</v>
      </c>
      <c r="DY51" s="2">
        <f>Setup!DY14</f>
        <v>3</v>
      </c>
      <c r="DZ51" s="2">
        <f>Setup!DZ14</f>
        <v>2</v>
      </c>
      <c r="EA51" s="2" t="str">
        <f>CONCATENATE(Setup!EA14,"-",Setup!EB14)</f>
        <v>4-6</v>
      </c>
      <c r="EB51" s="10"/>
      <c r="EC51" s="10"/>
      <c r="ED51" s="10"/>
      <c r="EE51" s="38">
        <f>mround(EE50*Setup!EE14,'Quick Setup'!$A$2)</f>
        <v>425</v>
      </c>
      <c r="EF51" s="2">
        <f>Setup!EF14</f>
        <v>2</v>
      </c>
      <c r="EG51" s="2">
        <f>Setup!EG14</f>
        <v>2</v>
      </c>
      <c r="EH51" s="2" t="str">
        <f>CONCATENATE(Setup!EH14,"-",Setup!EI14)</f>
        <v>4-6</v>
      </c>
      <c r="EI51" s="10"/>
      <c r="EJ51" s="10"/>
      <c r="EK51" s="10"/>
      <c r="EL51" s="38">
        <f>mround(EL50*Setup!EL14,'Quick Setup'!$A$2)</f>
        <v>250</v>
      </c>
      <c r="EM51" s="1">
        <v>5.0</v>
      </c>
      <c r="EN51" s="1" t="s">
        <v>76</v>
      </c>
      <c r="EO51" s="2" t="str">
        <f>CONCATENATE(Setup!EO14,"-",Setup!EP14)</f>
        <v>4-6</v>
      </c>
      <c r="EP51" s="10"/>
      <c r="EQ51" s="10"/>
      <c r="ER51" s="10"/>
    </row>
    <row r="52">
      <c r="A52" s="5"/>
      <c r="B52" s="39"/>
      <c r="C52" s="10"/>
      <c r="D52" s="10"/>
      <c r="E52" s="10"/>
      <c r="F52" s="10"/>
      <c r="G52" s="10"/>
      <c r="H52" s="10"/>
      <c r="I52" s="39" t="str">
        <f t="shared" ref="I52:M52" si="321">B52</f>
        <v/>
      </c>
      <c r="J52" s="10" t="str">
        <f t="shared" si="321"/>
        <v/>
      </c>
      <c r="K52" s="10" t="str">
        <f t="shared" si="321"/>
        <v/>
      </c>
      <c r="L52" s="10" t="str">
        <f t="shared" si="321"/>
        <v/>
      </c>
      <c r="M52" s="10" t="str">
        <f t="shared" si="321"/>
        <v/>
      </c>
      <c r="N52" s="10"/>
      <c r="O52" s="10"/>
      <c r="P52" s="39" t="str">
        <f t="shared" ref="P52:T52" si="322">I52</f>
        <v/>
      </c>
      <c r="Q52" s="10" t="str">
        <f t="shared" si="322"/>
        <v/>
      </c>
      <c r="R52" s="10" t="str">
        <f t="shared" si="322"/>
        <v/>
      </c>
      <c r="S52" s="10" t="str">
        <f t="shared" si="322"/>
        <v/>
      </c>
      <c r="T52" s="10" t="str">
        <f t="shared" si="322"/>
        <v/>
      </c>
      <c r="U52" s="10"/>
      <c r="V52" s="10"/>
      <c r="W52" s="39" t="str">
        <f t="shared" ref="W52:AA52" si="323">P52</f>
        <v/>
      </c>
      <c r="X52" s="10" t="str">
        <f t="shared" si="323"/>
        <v/>
      </c>
      <c r="Y52" s="10" t="str">
        <f t="shared" si="323"/>
        <v/>
      </c>
      <c r="Z52" s="10" t="str">
        <f t="shared" si="323"/>
        <v/>
      </c>
      <c r="AA52" s="10" t="str">
        <f t="shared" si="323"/>
        <v/>
      </c>
      <c r="AB52" s="10"/>
      <c r="AC52" s="10"/>
      <c r="AD52" s="39" t="str">
        <f t="shared" ref="AD52:AH52" si="324">W52</f>
        <v/>
      </c>
      <c r="AE52" s="10" t="str">
        <f t="shared" si="324"/>
        <v/>
      </c>
      <c r="AF52" s="10" t="str">
        <f t="shared" si="324"/>
        <v/>
      </c>
      <c r="AG52" s="10" t="str">
        <f t="shared" si="324"/>
        <v/>
      </c>
      <c r="AH52" s="10" t="str">
        <f t="shared" si="324"/>
        <v/>
      </c>
      <c r="AI52" s="10"/>
      <c r="AJ52" s="10"/>
      <c r="AK52" s="39" t="str">
        <f t="shared" ref="AK52:AO52" si="325">AD52</f>
        <v/>
      </c>
      <c r="AL52" s="10" t="str">
        <f t="shared" si="325"/>
        <v/>
      </c>
      <c r="AM52" s="10" t="str">
        <f t="shared" si="325"/>
        <v/>
      </c>
      <c r="AN52" s="10" t="str">
        <f t="shared" si="325"/>
        <v/>
      </c>
      <c r="AO52" s="10" t="str">
        <f t="shared" si="325"/>
        <v/>
      </c>
      <c r="AP52" s="10"/>
      <c r="AQ52" s="10"/>
      <c r="AR52" s="39" t="str">
        <f t="shared" ref="AR52:AV52" si="326">AK52</f>
        <v/>
      </c>
      <c r="AS52" s="10" t="str">
        <f t="shared" si="326"/>
        <v/>
      </c>
      <c r="AT52" s="10" t="str">
        <f t="shared" si="326"/>
        <v/>
      </c>
      <c r="AU52" s="10" t="str">
        <f t="shared" si="326"/>
        <v/>
      </c>
      <c r="AV52" s="10" t="str">
        <f t="shared" si="326"/>
        <v/>
      </c>
      <c r="AW52" s="10"/>
      <c r="AX52" s="10"/>
      <c r="AY52" s="39" t="str">
        <f t="shared" ref="AY52:BC52" si="327">AR52</f>
        <v/>
      </c>
      <c r="AZ52" s="10" t="str">
        <f t="shared" si="327"/>
        <v/>
      </c>
      <c r="BA52" s="10" t="str">
        <f t="shared" si="327"/>
        <v/>
      </c>
      <c r="BB52" s="10" t="str">
        <f t="shared" si="327"/>
        <v/>
      </c>
      <c r="BC52" s="10" t="str">
        <f t="shared" si="327"/>
        <v/>
      </c>
      <c r="BD52" s="10"/>
      <c r="BE52" s="10"/>
      <c r="BF52" s="39" t="str">
        <f t="shared" ref="BF52:BJ52" si="328">AY52</f>
        <v/>
      </c>
      <c r="BG52" s="10" t="str">
        <f t="shared" si="328"/>
        <v/>
      </c>
      <c r="BH52" s="10" t="str">
        <f t="shared" si="328"/>
        <v/>
      </c>
      <c r="BI52" s="10" t="str">
        <f t="shared" si="328"/>
        <v/>
      </c>
      <c r="BJ52" s="10" t="str">
        <f t="shared" si="328"/>
        <v/>
      </c>
      <c r="BK52" s="10"/>
      <c r="BL52" s="10"/>
      <c r="BM52" s="39" t="str">
        <f t="shared" ref="BM52:BQ52" si="329">BF52</f>
        <v/>
      </c>
      <c r="BN52" s="10" t="str">
        <f t="shared" si="329"/>
        <v/>
      </c>
      <c r="BO52" s="10" t="str">
        <f t="shared" si="329"/>
        <v/>
      </c>
      <c r="BP52" s="10" t="str">
        <f t="shared" si="329"/>
        <v/>
      </c>
      <c r="BQ52" s="10" t="str">
        <f t="shared" si="329"/>
        <v/>
      </c>
      <c r="BR52" s="10"/>
      <c r="BS52" s="10"/>
      <c r="BT52" s="39" t="str">
        <f t="shared" ref="BT52:BX52" si="330">BM52</f>
        <v/>
      </c>
      <c r="BU52" s="10" t="str">
        <f t="shared" si="330"/>
        <v/>
      </c>
      <c r="BV52" s="10" t="str">
        <f t="shared" si="330"/>
        <v/>
      </c>
      <c r="BW52" s="10" t="str">
        <f t="shared" si="330"/>
        <v/>
      </c>
      <c r="BX52" s="10" t="str">
        <f t="shared" si="330"/>
        <v/>
      </c>
      <c r="BY52" s="10"/>
      <c r="BZ52" s="10"/>
      <c r="CA52" s="39" t="str">
        <f t="shared" ref="CA52:CE52" si="331">BT52</f>
        <v/>
      </c>
      <c r="CB52" s="10" t="str">
        <f t="shared" si="331"/>
        <v/>
      </c>
      <c r="CC52" s="10" t="str">
        <f t="shared" si="331"/>
        <v/>
      </c>
      <c r="CD52" s="10" t="str">
        <f t="shared" si="331"/>
        <v/>
      </c>
      <c r="CE52" s="10" t="str">
        <f t="shared" si="331"/>
        <v/>
      </c>
      <c r="CF52" s="10"/>
      <c r="CG52" s="10"/>
      <c r="CH52" s="39" t="str">
        <f t="shared" ref="CH52:CL52" si="332">CA52</f>
        <v/>
      </c>
      <c r="CI52" s="10" t="str">
        <f t="shared" si="332"/>
        <v/>
      </c>
      <c r="CJ52" s="10" t="str">
        <f t="shared" si="332"/>
        <v/>
      </c>
      <c r="CK52" s="10" t="str">
        <f t="shared" si="332"/>
        <v/>
      </c>
      <c r="CL52" s="10" t="str">
        <f t="shared" si="332"/>
        <v/>
      </c>
      <c r="CM52" s="10"/>
      <c r="CN52" s="10"/>
      <c r="CO52" s="39" t="str">
        <f t="shared" ref="CO52:CS52" si="333">CH52</f>
        <v/>
      </c>
      <c r="CP52" s="10" t="str">
        <f t="shared" si="333"/>
        <v/>
      </c>
      <c r="CQ52" s="10" t="str">
        <f t="shared" si="333"/>
        <v/>
      </c>
      <c r="CR52" s="10" t="str">
        <f t="shared" si="333"/>
        <v/>
      </c>
      <c r="CS52" s="10" t="str">
        <f t="shared" si="333"/>
        <v/>
      </c>
      <c r="CT52" s="10"/>
      <c r="CU52" s="10"/>
      <c r="CV52" s="39" t="str">
        <f t="shared" ref="CV52:CZ52" si="334">CO52</f>
        <v/>
      </c>
      <c r="CW52" s="10" t="str">
        <f t="shared" si="334"/>
        <v/>
      </c>
      <c r="CX52" s="10" t="str">
        <f t="shared" si="334"/>
        <v/>
      </c>
      <c r="CY52" s="10" t="str">
        <f t="shared" si="334"/>
        <v/>
      </c>
      <c r="CZ52" s="10" t="str">
        <f t="shared" si="334"/>
        <v/>
      </c>
      <c r="DA52" s="10"/>
      <c r="DB52" s="10"/>
      <c r="DC52" s="39" t="str">
        <f t="shared" ref="DC52:DG52" si="335">CV52</f>
        <v/>
      </c>
      <c r="DD52" s="10" t="str">
        <f t="shared" si="335"/>
        <v/>
      </c>
      <c r="DE52" s="10" t="str">
        <f t="shared" si="335"/>
        <v/>
      </c>
      <c r="DF52" s="10" t="str">
        <f t="shared" si="335"/>
        <v/>
      </c>
      <c r="DG52" s="10" t="str">
        <f t="shared" si="335"/>
        <v/>
      </c>
      <c r="DH52" s="10"/>
      <c r="DI52" s="10"/>
      <c r="DJ52" s="39" t="str">
        <f t="shared" ref="DJ52:DN52" si="336">DC52</f>
        <v/>
      </c>
      <c r="DK52" s="10" t="str">
        <f t="shared" si="336"/>
        <v/>
      </c>
      <c r="DL52" s="10" t="str">
        <f t="shared" si="336"/>
        <v/>
      </c>
      <c r="DM52" s="10" t="str">
        <f t="shared" si="336"/>
        <v/>
      </c>
      <c r="DN52" s="10" t="str">
        <f t="shared" si="336"/>
        <v/>
      </c>
      <c r="DO52" s="10"/>
      <c r="DP52" s="10"/>
      <c r="DQ52" s="39" t="str">
        <f t="shared" ref="DQ52:DU52" si="337">DJ52</f>
        <v/>
      </c>
      <c r="DR52" s="10" t="str">
        <f t="shared" si="337"/>
        <v/>
      </c>
      <c r="DS52" s="10" t="str">
        <f t="shared" si="337"/>
        <v/>
      </c>
      <c r="DT52" s="10" t="str">
        <f t="shared" si="337"/>
        <v/>
      </c>
      <c r="DU52" s="10" t="str">
        <f t="shared" si="337"/>
        <v/>
      </c>
      <c r="DV52" s="10"/>
      <c r="DW52" s="10"/>
      <c r="DX52" s="39" t="str">
        <f t="shared" ref="DX52:EB52" si="338">DQ52</f>
        <v/>
      </c>
      <c r="DY52" s="10" t="str">
        <f t="shared" si="338"/>
        <v/>
      </c>
      <c r="DZ52" s="10" t="str">
        <f t="shared" si="338"/>
        <v/>
      </c>
      <c r="EA52" s="10" t="str">
        <f t="shared" si="338"/>
        <v/>
      </c>
      <c r="EB52" s="10" t="str">
        <f t="shared" si="338"/>
        <v/>
      </c>
      <c r="EC52" s="10"/>
      <c r="ED52" s="10"/>
      <c r="EE52" s="39" t="str">
        <f t="shared" ref="EE52:EI52" si="339">DX52</f>
        <v/>
      </c>
      <c r="EF52" s="10" t="str">
        <f t="shared" si="339"/>
        <v/>
      </c>
      <c r="EG52" s="10" t="str">
        <f t="shared" si="339"/>
        <v/>
      </c>
      <c r="EH52" s="10" t="str">
        <f t="shared" si="339"/>
        <v/>
      </c>
      <c r="EI52" s="10" t="str">
        <f t="shared" si="339"/>
        <v/>
      </c>
      <c r="EJ52" s="10"/>
      <c r="EK52" s="10"/>
      <c r="EL52" s="39" t="str">
        <f t="shared" ref="EL52:EP52" si="340">EE52</f>
        <v/>
      </c>
      <c r="EM52" s="10" t="str">
        <f t="shared" si="340"/>
        <v/>
      </c>
      <c r="EN52" s="10" t="str">
        <f t="shared" si="340"/>
        <v/>
      </c>
      <c r="EO52" s="10" t="str">
        <f t="shared" si="340"/>
        <v/>
      </c>
      <c r="EP52" s="10" t="str">
        <f t="shared" si="340"/>
        <v/>
      </c>
      <c r="EQ52" s="10"/>
      <c r="ER52" s="10"/>
    </row>
    <row r="53">
      <c r="A53" s="1" t="s">
        <v>77</v>
      </c>
      <c r="B53" s="38"/>
      <c r="C53" s="2"/>
      <c r="D53" s="2"/>
      <c r="E53" s="2"/>
      <c r="F53" s="2"/>
      <c r="G53" s="2"/>
      <c r="H53" s="2"/>
      <c r="I53" s="38"/>
      <c r="J53" s="2"/>
      <c r="K53" s="2"/>
      <c r="L53" s="2"/>
      <c r="M53" s="2"/>
      <c r="N53" s="2"/>
      <c r="O53" s="2"/>
      <c r="P53" s="38"/>
      <c r="Q53" s="2"/>
      <c r="R53" s="2"/>
      <c r="S53" s="2"/>
      <c r="T53" s="2"/>
      <c r="U53" s="2"/>
      <c r="V53" s="2"/>
      <c r="W53" s="38"/>
      <c r="X53" s="2"/>
      <c r="Y53" s="2"/>
      <c r="Z53" s="2"/>
      <c r="AA53" s="2"/>
      <c r="AB53" s="2"/>
      <c r="AC53" s="2"/>
      <c r="AD53" s="38"/>
      <c r="AE53" s="2"/>
      <c r="AF53" s="2"/>
      <c r="AG53" s="2"/>
      <c r="AH53" s="2"/>
      <c r="AI53" s="2"/>
      <c r="AJ53" s="2"/>
      <c r="AK53" s="38"/>
      <c r="AL53" s="2"/>
      <c r="AM53" s="2"/>
      <c r="AN53" s="2"/>
      <c r="AO53" s="2"/>
      <c r="AP53" s="2"/>
      <c r="AQ53" s="2"/>
      <c r="AR53" s="38"/>
      <c r="AS53" s="2"/>
      <c r="AT53" s="2"/>
      <c r="AU53" s="2"/>
      <c r="AV53" s="2"/>
      <c r="AW53" s="2"/>
      <c r="AX53" s="2"/>
      <c r="AY53" s="38"/>
      <c r="AZ53" s="2"/>
      <c r="BA53" s="2"/>
      <c r="BB53" s="2"/>
      <c r="BC53" s="2"/>
      <c r="BD53" s="2"/>
      <c r="BE53" s="2"/>
      <c r="BF53" s="38"/>
      <c r="BG53" s="2"/>
      <c r="BH53" s="2"/>
      <c r="BI53" s="2"/>
      <c r="BJ53" s="2"/>
      <c r="BK53" s="2"/>
      <c r="BL53" s="2"/>
      <c r="BM53" s="38"/>
      <c r="BN53" s="2"/>
      <c r="BO53" s="2"/>
      <c r="BP53" s="2"/>
      <c r="BQ53" s="2"/>
      <c r="BR53" s="2"/>
      <c r="BS53" s="2"/>
      <c r="BT53" s="38"/>
      <c r="BU53" s="2"/>
      <c r="BV53" s="2"/>
      <c r="BW53" s="2"/>
      <c r="BX53" s="2"/>
      <c r="BY53" s="2"/>
      <c r="BZ53" s="2"/>
      <c r="CA53" s="38"/>
      <c r="CB53" s="2"/>
      <c r="CC53" s="2"/>
      <c r="CD53" s="2"/>
      <c r="CE53" s="2"/>
      <c r="CF53" s="2"/>
      <c r="CG53" s="2"/>
      <c r="CH53" s="38"/>
      <c r="CI53" s="2"/>
      <c r="CJ53" s="2"/>
      <c r="CK53" s="2"/>
      <c r="CL53" s="2"/>
      <c r="CM53" s="2"/>
      <c r="CN53" s="2"/>
      <c r="CO53" s="38"/>
      <c r="CP53" s="2"/>
      <c r="CQ53" s="2"/>
      <c r="CR53" s="2"/>
      <c r="CS53" s="2"/>
      <c r="CT53" s="2"/>
      <c r="CU53" s="2"/>
      <c r="CV53" s="38"/>
      <c r="CW53" s="2"/>
      <c r="CX53" s="2"/>
      <c r="CY53" s="2"/>
      <c r="CZ53" s="2"/>
      <c r="DA53" s="2"/>
      <c r="DB53" s="2"/>
      <c r="DC53" s="38"/>
      <c r="DD53" s="2"/>
      <c r="DE53" s="2"/>
      <c r="DF53" s="2"/>
      <c r="DG53" s="2"/>
      <c r="DH53" s="2"/>
      <c r="DI53" s="2"/>
      <c r="DJ53" s="38"/>
      <c r="DK53" s="2"/>
      <c r="DL53" s="2"/>
      <c r="DM53" s="2"/>
      <c r="DN53" s="2"/>
      <c r="DO53" s="2"/>
      <c r="DP53" s="2"/>
      <c r="DQ53" s="38"/>
      <c r="DR53" s="2"/>
      <c r="DS53" s="2"/>
      <c r="DT53" s="2"/>
      <c r="DU53" s="2"/>
      <c r="DV53" s="2"/>
      <c r="DW53" s="2"/>
      <c r="DX53" s="38"/>
      <c r="DY53" s="2"/>
      <c r="DZ53" s="2"/>
      <c r="EA53" s="2"/>
      <c r="EB53" s="2"/>
      <c r="EC53" s="2"/>
      <c r="ED53" s="2"/>
      <c r="EE53" s="38"/>
      <c r="EF53" s="2"/>
      <c r="EG53" s="2"/>
      <c r="EH53" s="2"/>
      <c r="EI53" s="2"/>
      <c r="EJ53" s="2"/>
      <c r="EK53" s="2"/>
      <c r="EL53" s="38"/>
      <c r="EM53" s="2"/>
      <c r="EN53" s="2"/>
      <c r="EO53" s="2"/>
      <c r="EP53" s="2"/>
      <c r="EQ53" s="2"/>
      <c r="ER53" s="2"/>
    </row>
    <row r="54">
      <c r="A54" s="40"/>
      <c r="B54" s="39"/>
      <c r="C54" s="10"/>
      <c r="D54" s="10"/>
      <c r="E54" s="10"/>
      <c r="F54" s="10"/>
      <c r="G54" s="10"/>
      <c r="H54" s="10"/>
      <c r="I54" s="39" t="str">
        <f t="shared" ref="I54:M54" si="341">B54</f>
        <v/>
      </c>
      <c r="J54" s="10" t="str">
        <f t="shared" si="341"/>
        <v/>
      </c>
      <c r="K54" s="10" t="str">
        <f t="shared" si="341"/>
        <v/>
      </c>
      <c r="L54" s="10" t="str">
        <f t="shared" si="341"/>
        <v/>
      </c>
      <c r="M54" s="10" t="str">
        <f t="shared" si="341"/>
        <v/>
      </c>
      <c r="N54" s="10"/>
      <c r="O54" s="10"/>
      <c r="P54" s="39" t="str">
        <f t="shared" ref="P54:T54" si="342">I54</f>
        <v/>
      </c>
      <c r="Q54" s="10" t="str">
        <f t="shared" si="342"/>
        <v/>
      </c>
      <c r="R54" s="10" t="str">
        <f t="shared" si="342"/>
        <v/>
      </c>
      <c r="S54" s="10" t="str">
        <f t="shared" si="342"/>
        <v/>
      </c>
      <c r="T54" s="10" t="str">
        <f t="shared" si="342"/>
        <v/>
      </c>
      <c r="U54" s="10"/>
      <c r="V54" s="10"/>
      <c r="W54" s="39" t="str">
        <f t="shared" ref="W54:AA54" si="343">P54</f>
        <v/>
      </c>
      <c r="X54" s="10" t="str">
        <f t="shared" si="343"/>
        <v/>
      </c>
      <c r="Y54" s="10" t="str">
        <f t="shared" si="343"/>
        <v/>
      </c>
      <c r="Z54" s="10" t="str">
        <f t="shared" si="343"/>
        <v/>
      </c>
      <c r="AA54" s="10" t="str">
        <f t="shared" si="343"/>
        <v/>
      </c>
      <c r="AB54" s="10"/>
      <c r="AC54" s="10"/>
      <c r="AD54" s="39" t="str">
        <f t="shared" ref="AD54:AH54" si="344">W54</f>
        <v/>
      </c>
      <c r="AE54" s="10" t="str">
        <f t="shared" si="344"/>
        <v/>
      </c>
      <c r="AF54" s="10" t="str">
        <f t="shared" si="344"/>
        <v/>
      </c>
      <c r="AG54" s="10" t="str">
        <f t="shared" si="344"/>
        <v/>
      </c>
      <c r="AH54" s="10" t="str">
        <f t="shared" si="344"/>
        <v/>
      </c>
      <c r="AI54" s="10"/>
      <c r="AJ54" s="10"/>
      <c r="AK54" s="39" t="str">
        <f t="shared" ref="AK54:AO54" si="345">AD54</f>
        <v/>
      </c>
      <c r="AL54" s="10" t="str">
        <f t="shared" si="345"/>
        <v/>
      </c>
      <c r="AM54" s="10" t="str">
        <f t="shared" si="345"/>
        <v/>
      </c>
      <c r="AN54" s="10" t="str">
        <f t="shared" si="345"/>
        <v/>
      </c>
      <c r="AO54" s="10" t="str">
        <f t="shared" si="345"/>
        <v/>
      </c>
      <c r="AP54" s="10"/>
      <c r="AQ54" s="10"/>
      <c r="AR54" s="39" t="str">
        <f t="shared" ref="AR54:AV54" si="346">AK54</f>
        <v/>
      </c>
      <c r="AS54" s="10" t="str">
        <f t="shared" si="346"/>
        <v/>
      </c>
      <c r="AT54" s="10" t="str">
        <f t="shared" si="346"/>
        <v/>
      </c>
      <c r="AU54" s="10" t="str">
        <f t="shared" si="346"/>
        <v/>
      </c>
      <c r="AV54" s="10" t="str">
        <f t="shared" si="346"/>
        <v/>
      </c>
      <c r="AW54" s="10"/>
      <c r="AX54" s="10"/>
      <c r="AY54" s="39" t="str">
        <f t="shared" ref="AY54:BC54" si="347">AR54</f>
        <v/>
      </c>
      <c r="AZ54" s="10" t="str">
        <f t="shared" si="347"/>
        <v/>
      </c>
      <c r="BA54" s="10" t="str">
        <f t="shared" si="347"/>
        <v/>
      </c>
      <c r="BB54" s="10" t="str">
        <f t="shared" si="347"/>
        <v/>
      </c>
      <c r="BC54" s="10" t="str">
        <f t="shared" si="347"/>
        <v/>
      </c>
      <c r="BD54" s="10"/>
      <c r="BE54" s="10"/>
      <c r="BF54" s="39" t="str">
        <f t="shared" ref="BF54:BJ54" si="348">AY54</f>
        <v/>
      </c>
      <c r="BG54" s="10" t="str">
        <f t="shared" si="348"/>
        <v/>
      </c>
      <c r="BH54" s="10" t="str">
        <f t="shared" si="348"/>
        <v/>
      </c>
      <c r="BI54" s="10" t="str">
        <f t="shared" si="348"/>
        <v/>
      </c>
      <c r="BJ54" s="10" t="str">
        <f t="shared" si="348"/>
        <v/>
      </c>
      <c r="BK54" s="10"/>
      <c r="BL54" s="10"/>
      <c r="BM54" s="39" t="str">
        <f t="shared" ref="BM54:BQ54" si="349">BF54</f>
        <v/>
      </c>
      <c r="BN54" s="10" t="str">
        <f t="shared" si="349"/>
        <v/>
      </c>
      <c r="BO54" s="10" t="str">
        <f t="shared" si="349"/>
        <v/>
      </c>
      <c r="BP54" s="10" t="str">
        <f t="shared" si="349"/>
        <v/>
      </c>
      <c r="BQ54" s="10" t="str">
        <f t="shared" si="349"/>
        <v/>
      </c>
      <c r="BR54" s="10"/>
      <c r="BS54" s="10"/>
      <c r="BT54" s="39" t="str">
        <f t="shared" ref="BT54:BX54" si="350">BM54</f>
        <v/>
      </c>
      <c r="BU54" s="10" t="str">
        <f t="shared" si="350"/>
        <v/>
      </c>
      <c r="BV54" s="10" t="str">
        <f t="shared" si="350"/>
        <v/>
      </c>
      <c r="BW54" s="10" t="str">
        <f t="shared" si="350"/>
        <v/>
      </c>
      <c r="BX54" s="10" t="str">
        <f t="shared" si="350"/>
        <v/>
      </c>
      <c r="BY54" s="10"/>
      <c r="BZ54" s="10"/>
      <c r="CA54" s="39" t="str">
        <f t="shared" ref="CA54:CE54" si="351">BT54</f>
        <v/>
      </c>
      <c r="CB54" s="10" t="str">
        <f t="shared" si="351"/>
        <v/>
      </c>
      <c r="CC54" s="10" t="str">
        <f t="shared" si="351"/>
        <v/>
      </c>
      <c r="CD54" s="10" t="str">
        <f t="shared" si="351"/>
        <v/>
      </c>
      <c r="CE54" s="10" t="str">
        <f t="shared" si="351"/>
        <v/>
      </c>
      <c r="CF54" s="10"/>
      <c r="CG54" s="10"/>
      <c r="CH54" s="39" t="str">
        <f t="shared" ref="CH54:CL54" si="352">CA54</f>
        <v/>
      </c>
      <c r="CI54" s="10" t="str">
        <f t="shared" si="352"/>
        <v/>
      </c>
      <c r="CJ54" s="10" t="str">
        <f t="shared" si="352"/>
        <v/>
      </c>
      <c r="CK54" s="10" t="str">
        <f t="shared" si="352"/>
        <v/>
      </c>
      <c r="CL54" s="10" t="str">
        <f t="shared" si="352"/>
        <v/>
      </c>
      <c r="CM54" s="10"/>
      <c r="CN54" s="10"/>
      <c r="CO54" s="39" t="str">
        <f t="shared" ref="CO54:CS54" si="353">CH54</f>
        <v/>
      </c>
      <c r="CP54" s="10" t="str">
        <f t="shared" si="353"/>
        <v/>
      </c>
      <c r="CQ54" s="10" t="str">
        <f t="shared" si="353"/>
        <v/>
      </c>
      <c r="CR54" s="10" t="str">
        <f t="shared" si="353"/>
        <v/>
      </c>
      <c r="CS54" s="10" t="str">
        <f t="shared" si="353"/>
        <v/>
      </c>
      <c r="CT54" s="10"/>
      <c r="CU54" s="10"/>
      <c r="CV54" s="39" t="str">
        <f t="shared" ref="CV54:CZ54" si="354">CO54</f>
        <v/>
      </c>
      <c r="CW54" s="10" t="str">
        <f t="shared" si="354"/>
        <v/>
      </c>
      <c r="CX54" s="10" t="str">
        <f t="shared" si="354"/>
        <v/>
      </c>
      <c r="CY54" s="10" t="str">
        <f t="shared" si="354"/>
        <v/>
      </c>
      <c r="CZ54" s="10" t="str">
        <f t="shared" si="354"/>
        <v/>
      </c>
      <c r="DA54" s="10"/>
      <c r="DB54" s="10"/>
      <c r="DC54" s="39" t="str">
        <f t="shared" ref="DC54:DG54" si="355">CV54</f>
        <v/>
      </c>
      <c r="DD54" s="10" t="str">
        <f t="shared" si="355"/>
        <v/>
      </c>
      <c r="DE54" s="10" t="str">
        <f t="shared" si="355"/>
        <v/>
      </c>
      <c r="DF54" s="10" t="str">
        <f t="shared" si="355"/>
        <v/>
      </c>
      <c r="DG54" s="10" t="str">
        <f t="shared" si="355"/>
        <v/>
      </c>
      <c r="DH54" s="10"/>
      <c r="DI54" s="10"/>
      <c r="DJ54" s="39" t="str">
        <f t="shared" ref="DJ54:DN54" si="356">DC54</f>
        <v/>
      </c>
      <c r="DK54" s="10" t="str">
        <f t="shared" si="356"/>
        <v/>
      </c>
      <c r="DL54" s="10" t="str">
        <f t="shared" si="356"/>
        <v/>
      </c>
      <c r="DM54" s="10" t="str">
        <f t="shared" si="356"/>
        <v/>
      </c>
      <c r="DN54" s="10" t="str">
        <f t="shared" si="356"/>
        <v/>
      </c>
      <c r="DO54" s="10"/>
      <c r="DP54" s="10"/>
      <c r="DQ54" s="39" t="str">
        <f t="shared" ref="DQ54:DU54" si="357">DJ54</f>
        <v/>
      </c>
      <c r="DR54" s="10" t="str">
        <f t="shared" si="357"/>
        <v/>
      </c>
      <c r="DS54" s="10" t="str">
        <f t="shared" si="357"/>
        <v/>
      </c>
      <c r="DT54" s="10" t="str">
        <f t="shared" si="357"/>
        <v/>
      </c>
      <c r="DU54" s="10" t="str">
        <f t="shared" si="357"/>
        <v/>
      </c>
      <c r="DV54" s="10"/>
      <c r="DW54" s="10"/>
      <c r="DX54" s="39" t="str">
        <f t="shared" ref="DX54:EB54" si="358">DQ54</f>
        <v/>
      </c>
      <c r="DY54" s="10" t="str">
        <f t="shared" si="358"/>
        <v/>
      </c>
      <c r="DZ54" s="10" t="str">
        <f t="shared" si="358"/>
        <v/>
      </c>
      <c r="EA54" s="10" t="str">
        <f t="shared" si="358"/>
        <v/>
      </c>
      <c r="EB54" s="10" t="str">
        <f t="shared" si="358"/>
        <v/>
      </c>
      <c r="EC54" s="10"/>
      <c r="ED54" s="10"/>
      <c r="EE54" s="39" t="str">
        <f t="shared" ref="EE54:EI54" si="359">DX54</f>
        <v/>
      </c>
      <c r="EF54" s="10" t="str">
        <f t="shared" si="359"/>
        <v/>
      </c>
      <c r="EG54" s="10" t="str">
        <f t="shared" si="359"/>
        <v/>
      </c>
      <c r="EH54" s="10" t="str">
        <f t="shared" si="359"/>
        <v/>
      </c>
      <c r="EI54" s="10" t="str">
        <f t="shared" si="359"/>
        <v/>
      </c>
      <c r="EJ54" s="10"/>
      <c r="EK54" s="10"/>
      <c r="EL54" s="39" t="str">
        <f t="shared" ref="EL54:EP54" si="360">EE54</f>
        <v/>
      </c>
      <c r="EM54" s="10" t="str">
        <f t="shared" si="360"/>
        <v/>
      </c>
      <c r="EN54" s="10" t="str">
        <f t="shared" si="360"/>
        <v/>
      </c>
      <c r="EO54" s="10" t="str">
        <f t="shared" si="360"/>
        <v/>
      </c>
      <c r="EP54" s="10" t="str">
        <f t="shared" si="360"/>
        <v/>
      </c>
      <c r="EQ54" s="10"/>
      <c r="ER54" s="10"/>
    </row>
    <row r="55">
      <c r="A55" s="40"/>
      <c r="B55" s="39"/>
      <c r="C55" s="10"/>
      <c r="D55" s="10"/>
      <c r="E55" s="10"/>
      <c r="F55" s="10"/>
      <c r="G55" s="10"/>
      <c r="H55" s="10"/>
      <c r="I55" s="39" t="str">
        <f t="shared" ref="I55:M55" si="361">B55</f>
        <v/>
      </c>
      <c r="J55" s="10" t="str">
        <f t="shared" si="361"/>
        <v/>
      </c>
      <c r="K55" s="10" t="str">
        <f t="shared" si="361"/>
        <v/>
      </c>
      <c r="L55" s="10" t="str">
        <f t="shared" si="361"/>
        <v/>
      </c>
      <c r="M55" s="10" t="str">
        <f t="shared" si="361"/>
        <v/>
      </c>
      <c r="N55" s="10"/>
      <c r="O55" s="10"/>
      <c r="P55" s="39" t="str">
        <f t="shared" ref="P55:T55" si="362">I55</f>
        <v/>
      </c>
      <c r="Q55" s="10" t="str">
        <f t="shared" si="362"/>
        <v/>
      </c>
      <c r="R55" s="10" t="str">
        <f t="shared" si="362"/>
        <v/>
      </c>
      <c r="S55" s="10" t="str">
        <f t="shared" si="362"/>
        <v/>
      </c>
      <c r="T55" s="10" t="str">
        <f t="shared" si="362"/>
        <v/>
      </c>
      <c r="U55" s="10"/>
      <c r="V55" s="10"/>
      <c r="W55" s="39" t="str">
        <f t="shared" ref="W55:AA55" si="363">P55</f>
        <v/>
      </c>
      <c r="X55" s="10" t="str">
        <f t="shared" si="363"/>
        <v/>
      </c>
      <c r="Y55" s="10" t="str">
        <f t="shared" si="363"/>
        <v/>
      </c>
      <c r="Z55" s="10" t="str">
        <f t="shared" si="363"/>
        <v/>
      </c>
      <c r="AA55" s="10" t="str">
        <f t="shared" si="363"/>
        <v/>
      </c>
      <c r="AB55" s="10"/>
      <c r="AC55" s="10"/>
      <c r="AD55" s="39" t="str">
        <f t="shared" ref="AD55:AH55" si="364">W55</f>
        <v/>
      </c>
      <c r="AE55" s="10" t="str">
        <f t="shared" si="364"/>
        <v/>
      </c>
      <c r="AF55" s="10" t="str">
        <f t="shared" si="364"/>
        <v/>
      </c>
      <c r="AG55" s="10" t="str">
        <f t="shared" si="364"/>
        <v/>
      </c>
      <c r="AH55" s="10" t="str">
        <f t="shared" si="364"/>
        <v/>
      </c>
      <c r="AI55" s="10"/>
      <c r="AJ55" s="10"/>
      <c r="AK55" s="39" t="str">
        <f t="shared" ref="AK55:AO55" si="365">AD55</f>
        <v/>
      </c>
      <c r="AL55" s="10" t="str">
        <f t="shared" si="365"/>
        <v/>
      </c>
      <c r="AM55" s="10" t="str">
        <f t="shared" si="365"/>
        <v/>
      </c>
      <c r="AN55" s="10" t="str">
        <f t="shared" si="365"/>
        <v/>
      </c>
      <c r="AO55" s="10" t="str">
        <f t="shared" si="365"/>
        <v/>
      </c>
      <c r="AP55" s="10"/>
      <c r="AQ55" s="10"/>
      <c r="AR55" s="39" t="str">
        <f t="shared" ref="AR55:AV55" si="366">AK55</f>
        <v/>
      </c>
      <c r="AS55" s="10" t="str">
        <f t="shared" si="366"/>
        <v/>
      </c>
      <c r="AT55" s="10" t="str">
        <f t="shared" si="366"/>
        <v/>
      </c>
      <c r="AU55" s="10" t="str">
        <f t="shared" si="366"/>
        <v/>
      </c>
      <c r="AV55" s="10" t="str">
        <f t="shared" si="366"/>
        <v/>
      </c>
      <c r="AW55" s="10"/>
      <c r="AX55" s="10"/>
      <c r="AY55" s="39" t="str">
        <f t="shared" ref="AY55:BC55" si="367">AR55</f>
        <v/>
      </c>
      <c r="AZ55" s="10" t="str">
        <f t="shared" si="367"/>
        <v/>
      </c>
      <c r="BA55" s="10" t="str">
        <f t="shared" si="367"/>
        <v/>
      </c>
      <c r="BB55" s="10" t="str">
        <f t="shared" si="367"/>
        <v/>
      </c>
      <c r="BC55" s="10" t="str">
        <f t="shared" si="367"/>
        <v/>
      </c>
      <c r="BD55" s="10"/>
      <c r="BE55" s="10"/>
      <c r="BF55" s="39" t="str">
        <f t="shared" ref="BF55:BJ55" si="368">AY55</f>
        <v/>
      </c>
      <c r="BG55" s="10" t="str">
        <f t="shared" si="368"/>
        <v/>
      </c>
      <c r="BH55" s="10" t="str">
        <f t="shared" si="368"/>
        <v/>
      </c>
      <c r="BI55" s="10" t="str">
        <f t="shared" si="368"/>
        <v/>
      </c>
      <c r="BJ55" s="10" t="str">
        <f t="shared" si="368"/>
        <v/>
      </c>
      <c r="BK55" s="10"/>
      <c r="BL55" s="10"/>
      <c r="BM55" s="39" t="str">
        <f t="shared" ref="BM55:BQ55" si="369">BF55</f>
        <v/>
      </c>
      <c r="BN55" s="10" t="str">
        <f t="shared" si="369"/>
        <v/>
      </c>
      <c r="BO55" s="10" t="str">
        <f t="shared" si="369"/>
        <v/>
      </c>
      <c r="BP55" s="10" t="str">
        <f t="shared" si="369"/>
        <v/>
      </c>
      <c r="BQ55" s="10" t="str">
        <f t="shared" si="369"/>
        <v/>
      </c>
      <c r="BR55" s="10"/>
      <c r="BS55" s="10"/>
      <c r="BT55" s="39" t="str">
        <f t="shared" ref="BT55:BX55" si="370">BM55</f>
        <v/>
      </c>
      <c r="BU55" s="10" t="str">
        <f t="shared" si="370"/>
        <v/>
      </c>
      <c r="BV55" s="10" t="str">
        <f t="shared" si="370"/>
        <v/>
      </c>
      <c r="BW55" s="10" t="str">
        <f t="shared" si="370"/>
        <v/>
      </c>
      <c r="BX55" s="10" t="str">
        <f t="shared" si="370"/>
        <v/>
      </c>
      <c r="BY55" s="10"/>
      <c r="BZ55" s="10"/>
      <c r="CA55" s="39" t="str">
        <f t="shared" ref="CA55:CE55" si="371">BT55</f>
        <v/>
      </c>
      <c r="CB55" s="10" t="str">
        <f t="shared" si="371"/>
        <v/>
      </c>
      <c r="CC55" s="10" t="str">
        <f t="shared" si="371"/>
        <v/>
      </c>
      <c r="CD55" s="10" t="str">
        <f t="shared" si="371"/>
        <v/>
      </c>
      <c r="CE55" s="10" t="str">
        <f t="shared" si="371"/>
        <v/>
      </c>
      <c r="CF55" s="10"/>
      <c r="CG55" s="10"/>
      <c r="CH55" s="39" t="str">
        <f t="shared" ref="CH55:CL55" si="372">CA55</f>
        <v/>
      </c>
      <c r="CI55" s="10" t="str">
        <f t="shared" si="372"/>
        <v/>
      </c>
      <c r="CJ55" s="10" t="str">
        <f t="shared" si="372"/>
        <v/>
      </c>
      <c r="CK55" s="10" t="str">
        <f t="shared" si="372"/>
        <v/>
      </c>
      <c r="CL55" s="10" t="str">
        <f t="shared" si="372"/>
        <v/>
      </c>
      <c r="CM55" s="10"/>
      <c r="CN55" s="10"/>
      <c r="CO55" s="39" t="str">
        <f t="shared" ref="CO55:CS55" si="373">CH55</f>
        <v/>
      </c>
      <c r="CP55" s="10" t="str">
        <f t="shared" si="373"/>
        <v/>
      </c>
      <c r="CQ55" s="10" t="str">
        <f t="shared" si="373"/>
        <v/>
      </c>
      <c r="CR55" s="10" t="str">
        <f t="shared" si="373"/>
        <v/>
      </c>
      <c r="CS55" s="10" t="str">
        <f t="shared" si="373"/>
        <v/>
      </c>
      <c r="CT55" s="10"/>
      <c r="CU55" s="10"/>
      <c r="CV55" s="39" t="str">
        <f t="shared" ref="CV55:CZ55" si="374">CO55</f>
        <v/>
      </c>
      <c r="CW55" s="10" t="str">
        <f t="shared" si="374"/>
        <v/>
      </c>
      <c r="CX55" s="10" t="str">
        <f t="shared" si="374"/>
        <v/>
      </c>
      <c r="CY55" s="10" t="str">
        <f t="shared" si="374"/>
        <v/>
      </c>
      <c r="CZ55" s="10" t="str">
        <f t="shared" si="374"/>
        <v/>
      </c>
      <c r="DA55" s="10"/>
      <c r="DB55" s="10"/>
      <c r="DC55" s="39" t="str">
        <f t="shared" ref="DC55:DG55" si="375">CV55</f>
        <v/>
      </c>
      <c r="DD55" s="10" t="str">
        <f t="shared" si="375"/>
        <v/>
      </c>
      <c r="DE55" s="10" t="str">
        <f t="shared" si="375"/>
        <v/>
      </c>
      <c r="DF55" s="10" t="str">
        <f t="shared" si="375"/>
        <v/>
      </c>
      <c r="DG55" s="10" t="str">
        <f t="shared" si="375"/>
        <v/>
      </c>
      <c r="DH55" s="10"/>
      <c r="DI55" s="10"/>
      <c r="DJ55" s="39" t="str">
        <f t="shared" ref="DJ55:DN55" si="376">DC55</f>
        <v/>
      </c>
      <c r="DK55" s="10" t="str">
        <f t="shared" si="376"/>
        <v/>
      </c>
      <c r="DL55" s="10" t="str">
        <f t="shared" si="376"/>
        <v/>
      </c>
      <c r="DM55" s="10" t="str">
        <f t="shared" si="376"/>
        <v/>
      </c>
      <c r="DN55" s="10" t="str">
        <f t="shared" si="376"/>
        <v/>
      </c>
      <c r="DO55" s="10"/>
      <c r="DP55" s="10"/>
      <c r="DQ55" s="39" t="str">
        <f t="shared" ref="DQ55:DU55" si="377">DJ55</f>
        <v/>
      </c>
      <c r="DR55" s="10" t="str">
        <f t="shared" si="377"/>
        <v/>
      </c>
      <c r="DS55" s="10" t="str">
        <f t="shared" si="377"/>
        <v/>
      </c>
      <c r="DT55" s="10" t="str">
        <f t="shared" si="377"/>
        <v/>
      </c>
      <c r="DU55" s="10" t="str">
        <f t="shared" si="377"/>
        <v/>
      </c>
      <c r="DV55" s="10"/>
      <c r="DW55" s="10"/>
      <c r="DX55" s="39" t="str">
        <f t="shared" ref="DX55:EB55" si="378">DQ55</f>
        <v/>
      </c>
      <c r="DY55" s="10" t="str">
        <f t="shared" si="378"/>
        <v/>
      </c>
      <c r="DZ55" s="10" t="str">
        <f t="shared" si="378"/>
        <v/>
      </c>
      <c r="EA55" s="10" t="str">
        <f t="shared" si="378"/>
        <v/>
      </c>
      <c r="EB55" s="10" t="str">
        <f t="shared" si="378"/>
        <v/>
      </c>
      <c r="EC55" s="10"/>
      <c r="ED55" s="10"/>
      <c r="EE55" s="39" t="str">
        <f t="shared" ref="EE55:EI55" si="379">DX55</f>
        <v/>
      </c>
      <c r="EF55" s="10" t="str">
        <f t="shared" si="379"/>
        <v/>
      </c>
      <c r="EG55" s="10" t="str">
        <f t="shared" si="379"/>
        <v/>
      </c>
      <c r="EH55" s="10" t="str">
        <f t="shared" si="379"/>
        <v/>
      </c>
      <c r="EI55" s="10" t="str">
        <f t="shared" si="379"/>
        <v/>
      </c>
      <c r="EJ55" s="10"/>
      <c r="EK55" s="10"/>
      <c r="EL55" s="39" t="str">
        <f t="shared" ref="EL55:EP55" si="380">EE55</f>
        <v/>
      </c>
      <c r="EM55" s="10" t="str">
        <f t="shared" si="380"/>
        <v/>
      </c>
      <c r="EN55" s="10" t="str">
        <f t="shared" si="380"/>
        <v/>
      </c>
      <c r="EO55" s="10" t="str">
        <f t="shared" si="380"/>
        <v/>
      </c>
      <c r="EP55" s="10" t="str">
        <f t="shared" si="380"/>
        <v/>
      </c>
      <c r="EQ55" s="10"/>
      <c r="ER55" s="10"/>
    </row>
    <row r="56">
      <c r="A56" s="41"/>
      <c r="B56" s="42"/>
      <c r="C56" s="43"/>
      <c r="D56" s="43"/>
      <c r="E56" s="43"/>
      <c r="F56" s="43"/>
      <c r="G56" s="43"/>
      <c r="H56" s="43"/>
      <c r="I56" s="42" t="str">
        <f t="shared" ref="I56:M56" si="381">B56</f>
        <v/>
      </c>
      <c r="J56" s="43" t="str">
        <f t="shared" si="381"/>
        <v/>
      </c>
      <c r="K56" s="43" t="str">
        <f t="shared" si="381"/>
        <v/>
      </c>
      <c r="L56" s="43" t="str">
        <f t="shared" si="381"/>
        <v/>
      </c>
      <c r="M56" s="43" t="str">
        <f t="shared" si="381"/>
        <v/>
      </c>
      <c r="N56" s="43"/>
      <c r="O56" s="43"/>
      <c r="P56" s="42" t="str">
        <f t="shared" ref="P56:T56" si="382">I56</f>
        <v/>
      </c>
      <c r="Q56" s="43" t="str">
        <f t="shared" si="382"/>
        <v/>
      </c>
      <c r="R56" s="43" t="str">
        <f t="shared" si="382"/>
        <v/>
      </c>
      <c r="S56" s="43" t="str">
        <f t="shared" si="382"/>
        <v/>
      </c>
      <c r="T56" s="43" t="str">
        <f t="shared" si="382"/>
        <v/>
      </c>
      <c r="U56" s="43"/>
      <c r="V56" s="43"/>
      <c r="W56" s="42" t="str">
        <f t="shared" ref="W56:AA56" si="383">P56</f>
        <v/>
      </c>
      <c r="X56" s="43" t="str">
        <f t="shared" si="383"/>
        <v/>
      </c>
      <c r="Y56" s="43" t="str">
        <f t="shared" si="383"/>
        <v/>
      </c>
      <c r="Z56" s="43" t="str">
        <f t="shared" si="383"/>
        <v/>
      </c>
      <c r="AA56" s="43" t="str">
        <f t="shared" si="383"/>
        <v/>
      </c>
      <c r="AB56" s="43"/>
      <c r="AC56" s="43"/>
      <c r="AD56" s="42" t="str">
        <f t="shared" ref="AD56:AH56" si="384">W56</f>
        <v/>
      </c>
      <c r="AE56" s="43" t="str">
        <f t="shared" si="384"/>
        <v/>
      </c>
      <c r="AF56" s="43" t="str">
        <f t="shared" si="384"/>
        <v/>
      </c>
      <c r="AG56" s="43" t="str">
        <f t="shared" si="384"/>
        <v/>
      </c>
      <c r="AH56" s="43" t="str">
        <f t="shared" si="384"/>
        <v/>
      </c>
      <c r="AI56" s="43"/>
      <c r="AJ56" s="43"/>
      <c r="AK56" s="42" t="str">
        <f t="shared" ref="AK56:AO56" si="385">AD56</f>
        <v/>
      </c>
      <c r="AL56" s="43" t="str">
        <f t="shared" si="385"/>
        <v/>
      </c>
      <c r="AM56" s="43" t="str">
        <f t="shared" si="385"/>
        <v/>
      </c>
      <c r="AN56" s="43" t="str">
        <f t="shared" si="385"/>
        <v/>
      </c>
      <c r="AO56" s="43" t="str">
        <f t="shared" si="385"/>
        <v/>
      </c>
      <c r="AP56" s="43"/>
      <c r="AQ56" s="43"/>
      <c r="AR56" s="42" t="str">
        <f t="shared" ref="AR56:AV56" si="386">AK56</f>
        <v/>
      </c>
      <c r="AS56" s="43" t="str">
        <f t="shared" si="386"/>
        <v/>
      </c>
      <c r="AT56" s="43" t="str">
        <f t="shared" si="386"/>
        <v/>
      </c>
      <c r="AU56" s="43" t="str">
        <f t="shared" si="386"/>
        <v/>
      </c>
      <c r="AV56" s="43" t="str">
        <f t="shared" si="386"/>
        <v/>
      </c>
      <c r="AW56" s="43"/>
      <c r="AX56" s="43"/>
      <c r="AY56" s="42" t="str">
        <f t="shared" ref="AY56:BC56" si="387">AR56</f>
        <v/>
      </c>
      <c r="AZ56" s="43" t="str">
        <f t="shared" si="387"/>
        <v/>
      </c>
      <c r="BA56" s="43" t="str">
        <f t="shared" si="387"/>
        <v/>
      </c>
      <c r="BB56" s="43" t="str">
        <f t="shared" si="387"/>
        <v/>
      </c>
      <c r="BC56" s="43" t="str">
        <f t="shared" si="387"/>
        <v/>
      </c>
      <c r="BD56" s="43"/>
      <c r="BE56" s="43"/>
      <c r="BF56" s="42" t="str">
        <f t="shared" ref="BF56:BJ56" si="388">AY56</f>
        <v/>
      </c>
      <c r="BG56" s="43" t="str">
        <f t="shared" si="388"/>
        <v/>
      </c>
      <c r="BH56" s="43" t="str">
        <f t="shared" si="388"/>
        <v/>
      </c>
      <c r="BI56" s="43" t="str">
        <f t="shared" si="388"/>
        <v/>
      </c>
      <c r="BJ56" s="43" t="str">
        <f t="shared" si="388"/>
        <v/>
      </c>
      <c r="BK56" s="43"/>
      <c r="BL56" s="43"/>
      <c r="BM56" s="42" t="str">
        <f t="shared" ref="BM56:BQ56" si="389">BF56</f>
        <v/>
      </c>
      <c r="BN56" s="43" t="str">
        <f t="shared" si="389"/>
        <v/>
      </c>
      <c r="BO56" s="43" t="str">
        <f t="shared" si="389"/>
        <v/>
      </c>
      <c r="BP56" s="43" t="str">
        <f t="shared" si="389"/>
        <v/>
      </c>
      <c r="BQ56" s="43" t="str">
        <f t="shared" si="389"/>
        <v/>
      </c>
      <c r="BR56" s="43"/>
      <c r="BS56" s="43"/>
      <c r="BT56" s="42" t="str">
        <f t="shared" ref="BT56:BX56" si="390">BM56</f>
        <v/>
      </c>
      <c r="BU56" s="43" t="str">
        <f t="shared" si="390"/>
        <v/>
      </c>
      <c r="BV56" s="43" t="str">
        <f t="shared" si="390"/>
        <v/>
      </c>
      <c r="BW56" s="43" t="str">
        <f t="shared" si="390"/>
        <v/>
      </c>
      <c r="BX56" s="43" t="str">
        <f t="shared" si="390"/>
        <v/>
      </c>
      <c r="BY56" s="43"/>
      <c r="BZ56" s="43"/>
      <c r="CA56" s="42" t="str">
        <f t="shared" ref="CA56:CE56" si="391">BT56</f>
        <v/>
      </c>
      <c r="CB56" s="43" t="str">
        <f t="shared" si="391"/>
        <v/>
      </c>
      <c r="CC56" s="43" t="str">
        <f t="shared" si="391"/>
        <v/>
      </c>
      <c r="CD56" s="43" t="str">
        <f t="shared" si="391"/>
        <v/>
      </c>
      <c r="CE56" s="43" t="str">
        <f t="shared" si="391"/>
        <v/>
      </c>
      <c r="CF56" s="43"/>
      <c r="CG56" s="43"/>
      <c r="CH56" s="42" t="str">
        <f t="shared" ref="CH56:CL56" si="392">CA56</f>
        <v/>
      </c>
      <c r="CI56" s="43" t="str">
        <f t="shared" si="392"/>
        <v/>
      </c>
      <c r="CJ56" s="43" t="str">
        <f t="shared" si="392"/>
        <v/>
      </c>
      <c r="CK56" s="43" t="str">
        <f t="shared" si="392"/>
        <v/>
      </c>
      <c r="CL56" s="43" t="str">
        <f t="shared" si="392"/>
        <v/>
      </c>
      <c r="CM56" s="43"/>
      <c r="CN56" s="43"/>
      <c r="CO56" s="42" t="str">
        <f t="shared" ref="CO56:CS56" si="393">CH56</f>
        <v/>
      </c>
      <c r="CP56" s="43" t="str">
        <f t="shared" si="393"/>
        <v/>
      </c>
      <c r="CQ56" s="43" t="str">
        <f t="shared" si="393"/>
        <v/>
      </c>
      <c r="CR56" s="43" t="str">
        <f t="shared" si="393"/>
        <v/>
      </c>
      <c r="CS56" s="43" t="str">
        <f t="shared" si="393"/>
        <v/>
      </c>
      <c r="CT56" s="43"/>
      <c r="CU56" s="43"/>
      <c r="CV56" s="42" t="str">
        <f t="shared" ref="CV56:CZ56" si="394">CO56</f>
        <v/>
      </c>
      <c r="CW56" s="43" t="str">
        <f t="shared" si="394"/>
        <v/>
      </c>
      <c r="CX56" s="43" t="str">
        <f t="shared" si="394"/>
        <v/>
      </c>
      <c r="CY56" s="43" t="str">
        <f t="shared" si="394"/>
        <v/>
      </c>
      <c r="CZ56" s="43" t="str">
        <f t="shared" si="394"/>
        <v/>
      </c>
      <c r="DA56" s="43"/>
      <c r="DB56" s="43"/>
      <c r="DC56" s="42" t="str">
        <f t="shared" ref="DC56:DG56" si="395">CV56</f>
        <v/>
      </c>
      <c r="DD56" s="43" t="str">
        <f t="shared" si="395"/>
        <v/>
      </c>
      <c r="DE56" s="43" t="str">
        <f t="shared" si="395"/>
        <v/>
      </c>
      <c r="DF56" s="43" t="str">
        <f t="shared" si="395"/>
        <v/>
      </c>
      <c r="DG56" s="43" t="str">
        <f t="shared" si="395"/>
        <v/>
      </c>
      <c r="DH56" s="43"/>
      <c r="DI56" s="43"/>
      <c r="DJ56" s="42" t="str">
        <f t="shared" ref="DJ56:DN56" si="396">DC56</f>
        <v/>
      </c>
      <c r="DK56" s="43" t="str">
        <f t="shared" si="396"/>
        <v/>
      </c>
      <c r="DL56" s="43" t="str">
        <f t="shared" si="396"/>
        <v/>
      </c>
      <c r="DM56" s="43" t="str">
        <f t="shared" si="396"/>
        <v/>
      </c>
      <c r="DN56" s="43" t="str">
        <f t="shared" si="396"/>
        <v/>
      </c>
      <c r="DO56" s="43"/>
      <c r="DP56" s="43"/>
      <c r="DQ56" s="42" t="str">
        <f t="shared" ref="DQ56:DU56" si="397">DJ56</f>
        <v/>
      </c>
      <c r="DR56" s="43" t="str">
        <f t="shared" si="397"/>
        <v/>
      </c>
      <c r="DS56" s="43" t="str">
        <f t="shared" si="397"/>
        <v/>
      </c>
      <c r="DT56" s="43" t="str">
        <f t="shared" si="397"/>
        <v/>
      </c>
      <c r="DU56" s="43" t="str">
        <f t="shared" si="397"/>
        <v/>
      </c>
      <c r="DV56" s="43"/>
      <c r="DW56" s="43"/>
      <c r="DX56" s="42" t="str">
        <f t="shared" ref="DX56:EB56" si="398">DQ56</f>
        <v/>
      </c>
      <c r="DY56" s="43" t="str">
        <f t="shared" si="398"/>
        <v/>
      </c>
      <c r="DZ56" s="43" t="str">
        <f t="shared" si="398"/>
        <v/>
      </c>
      <c r="EA56" s="43" t="str">
        <f t="shared" si="398"/>
        <v/>
      </c>
      <c r="EB56" s="43" t="str">
        <f t="shared" si="398"/>
        <v/>
      </c>
      <c r="EC56" s="43"/>
      <c r="ED56" s="43"/>
      <c r="EE56" s="42" t="str">
        <f t="shared" ref="EE56:EI56" si="399">DX56</f>
        <v/>
      </c>
      <c r="EF56" s="43" t="str">
        <f t="shared" si="399"/>
        <v/>
      </c>
      <c r="EG56" s="43" t="str">
        <f t="shared" si="399"/>
        <v/>
      </c>
      <c r="EH56" s="43" t="str">
        <f t="shared" si="399"/>
        <v/>
      </c>
      <c r="EI56" s="43" t="str">
        <f t="shared" si="399"/>
        <v/>
      </c>
      <c r="EJ56" s="43"/>
      <c r="EK56" s="43"/>
      <c r="EL56" s="42" t="str">
        <f t="shared" ref="EL56:EP56" si="400">EE56</f>
        <v/>
      </c>
      <c r="EM56" s="43" t="str">
        <f t="shared" si="400"/>
        <v/>
      </c>
      <c r="EN56" s="43" t="str">
        <f t="shared" si="400"/>
        <v/>
      </c>
      <c r="EO56" s="43" t="str">
        <f t="shared" si="400"/>
        <v/>
      </c>
      <c r="EP56" s="43" t="str">
        <f t="shared" si="400"/>
        <v/>
      </c>
      <c r="EQ56" s="43"/>
      <c r="ER56" s="43"/>
    </row>
  </sheetData>
  <mergeCells count="26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7:EK27"/>
    <mergeCell ref="EE36:EK36"/>
    <mergeCell ref="EE47:EK47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21 A30 A41 A52">
      <formula1>'Quick Setup'!$B$19:$D$26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25"/>
      <c r="B1" s="26" t="s">
        <v>45</v>
      </c>
      <c r="I1" s="26" t="s">
        <v>46</v>
      </c>
      <c r="P1" s="26" t="s">
        <v>47</v>
      </c>
      <c r="W1" s="26" t="s">
        <v>48</v>
      </c>
      <c r="AD1" s="26" t="s">
        <v>49</v>
      </c>
      <c r="AK1" s="26" t="s">
        <v>50</v>
      </c>
      <c r="AR1" s="26" t="s">
        <v>51</v>
      </c>
      <c r="AY1" s="26" t="s">
        <v>52</v>
      </c>
      <c r="BF1" s="26" t="s">
        <v>53</v>
      </c>
      <c r="BM1" s="26" t="s">
        <v>54</v>
      </c>
      <c r="BT1" s="26" t="s">
        <v>55</v>
      </c>
      <c r="CA1" s="26" t="s">
        <v>56</v>
      </c>
      <c r="CH1" s="26" t="s">
        <v>57</v>
      </c>
      <c r="CO1" s="26" t="s">
        <v>58</v>
      </c>
      <c r="CV1" s="26" t="s">
        <v>59</v>
      </c>
      <c r="DC1" s="26" t="s">
        <v>60</v>
      </c>
      <c r="DJ1" s="26" t="s">
        <v>61</v>
      </c>
      <c r="DQ1" s="26" t="s">
        <v>62</v>
      </c>
      <c r="DX1" s="26" t="s">
        <v>63</v>
      </c>
      <c r="EE1" s="26" t="s">
        <v>64</v>
      </c>
      <c r="EL1" s="26" t="s">
        <v>65</v>
      </c>
    </row>
    <row r="2">
      <c r="A2" s="2"/>
      <c r="B2" s="27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27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7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27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27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27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27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27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27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27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27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27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27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27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27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27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27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27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27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27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27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28" t="s">
        <v>74</v>
      </c>
      <c r="B3" s="29"/>
      <c r="C3" s="30"/>
      <c r="D3" s="30"/>
      <c r="E3" s="30"/>
      <c r="F3" s="30"/>
      <c r="G3" s="30"/>
      <c r="H3" s="30"/>
      <c r="I3" s="29"/>
      <c r="J3" s="30"/>
      <c r="K3" s="30"/>
      <c r="L3" s="30"/>
      <c r="M3" s="30"/>
      <c r="N3" s="30"/>
      <c r="O3" s="30"/>
      <c r="P3" s="29"/>
      <c r="Q3" s="30"/>
      <c r="R3" s="30"/>
      <c r="S3" s="30"/>
      <c r="T3" s="30"/>
      <c r="U3" s="30"/>
      <c r="V3" s="30"/>
      <c r="W3" s="29"/>
      <c r="X3" s="30"/>
      <c r="Y3" s="30"/>
      <c r="Z3" s="30"/>
      <c r="AA3" s="30"/>
      <c r="AB3" s="30"/>
      <c r="AC3" s="30"/>
      <c r="AD3" s="29"/>
      <c r="AE3" s="30"/>
      <c r="AF3" s="30"/>
      <c r="AG3" s="30"/>
      <c r="AH3" s="30"/>
      <c r="AI3" s="30"/>
      <c r="AJ3" s="30"/>
      <c r="AK3" s="29"/>
      <c r="AL3" s="30"/>
      <c r="AM3" s="30"/>
      <c r="AN3" s="30"/>
      <c r="AO3" s="30"/>
      <c r="AP3" s="30"/>
      <c r="AQ3" s="30"/>
      <c r="AR3" s="29"/>
      <c r="AS3" s="30"/>
      <c r="AT3" s="30"/>
      <c r="AU3" s="30"/>
      <c r="AV3" s="30"/>
      <c r="AW3" s="30"/>
      <c r="AX3" s="30"/>
      <c r="AY3" s="29"/>
      <c r="AZ3" s="30"/>
      <c r="BA3" s="30"/>
      <c r="BB3" s="30"/>
      <c r="BC3" s="30"/>
      <c r="BD3" s="30"/>
      <c r="BE3" s="30"/>
      <c r="BF3" s="29"/>
      <c r="BG3" s="30"/>
      <c r="BH3" s="30"/>
      <c r="BI3" s="30"/>
      <c r="BJ3" s="30"/>
      <c r="BK3" s="30"/>
      <c r="BL3" s="30"/>
      <c r="BM3" s="29"/>
      <c r="BN3" s="30"/>
      <c r="BO3" s="30"/>
      <c r="BP3" s="30"/>
      <c r="BQ3" s="30"/>
      <c r="BR3" s="30"/>
      <c r="BS3" s="30"/>
      <c r="BT3" s="29"/>
      <c r="BU3" s="30"/>
      <c r="BV3" s="30"/>
      <c r="BW3" s="30"/>
      <c r="BX3" s="30"/>
      <c r="BY3" s="30"/>
      <c r="BZ3" s="30"/>
      <c r="CA3" s="29"/>
      <c r="CB3" s="30"/>
      <c r="CC3" s="30"/>
      <c r="CD3" s="30"/>
      <c r="CE3" s="30"/>
      <c r="CF3" s="30"/>
      <c r="CG3" s="30"/>
      <c r="CH3" s="29"/>
      <c r="CI3" s="30"/>
      <c r="CJ3" s="30"/>
      <c r="CK3" s="30"/>
      <c r="CL3" s="30"/>
      <c r="CM3" s="30"/>
      <c r="CN3" s="30"/>
      <c r="CO3" s="29"/>
      <c r="CP3" s="30"/>
      <c r="CQ3" s="30"/>
      <c r="CR3" s="30"/>
      <c r="CS3" s="30"/>
      <c r="CT3" s="30"/>
      <c r="CU3" s="30"/>
      <c r="CV3" s="29"/>
      <c r="CW3" s="30"/>
      <c r="CX3" s="30"/>
      <c r="CY3" s="30"/>
      <c r="CZ3" s="30"/>
      <c r="DA3" s="30"/>
      <c r="DB3" s="30"/>
      <c r="DC3" s="29"/>
      <c r="DD3" s="30"/>
      <c r="DE3" s="30"/>
      <c r="DF3" s="30"/>
      <c r="DG3" s="30"/>
      <c r="DH3" s="30"/>
      <c r="DI3" s="30"/>
      <c r="DJ3" s="29"/>
      <c r="DK3" s="30"/>
      <c r="DL3" s="30"/>
      <c r="DM3" s="30"/>
      <c r="DN3" s="30"/>
      <c r="DO3" s="30"/>
      <c r="DP3" s="30"/>
      <c r="DQ3" s="29"/>
      <c r="DR3" s="30"/>
      <c r="DS3" s="30"/>
      <c r="DT3" s="30"/>
      <c r="DU3" s="30"/>
      <c r="DV3" s="30"/>
      <c r="DW3" s="30"/>
      <c r="DX3" s="29"/>
      <c r="DY3" s="30"/>
      <c r="DZ3" s="30"/>
      <c r="EA3" s="30"/>
      <c r="EB3" s="30"/>
      <c r="EC3" s="30"/>
      <c r="ED3" s="30"/>
      <c r="EE3" s="31" t="s">
        <v>75</v>
      </c>
      <c r="EF3" s="32"/>
      <c r="EG3" s="32"/>
      <c r="EH3" s="32"/>
      <c r="EI3" s="32"/>
      <c r="EJ3" s="32"/>
      <c r="EK3" s="32"/>
      <c r="EL3" s="29"/>
      <c r="EM3" s="30"/>
      <c r="EN3" s="30"/>
      <c r="EO3" s="30"/>
      <c r="EP3" s="30"/>
      <c r="EQ3" s="30"/>
      <c r="ER3" s="30"/>
    </row>
    <row r="4" hidden="1">
      <c r="A4" s="33" t="str">
        <f>CONCATENATE(A5," TM")</f>
        <v>Squat TM</v>
      </c>
      <c r="B4" s="34">
        <f>if(D4="",'Quick Setup'!D5,D4/'Quick Setup'!E5)</f>
        <v>490</v>
      </c>
      <c r="C4" s="35" t="s">
        <v>73</v>
      </c>
      <c r="D4" s="36"/>
      <c r="E4" s="37"/>
      <c r="F4" s="37"/>
      <c r="G4" s="37"/>
      <c r="H4" s="37"/>
      <c r="I4" s="34">
        <f>if(K4="", if(F5&lt;&gt;"", if(F5&gt;Setup!F4,B4*(1+Setup!G4),if(F5&lt;Setup!E4,B4*(1+Setup!H4),B4)),B4),K4/'Quick Setup'!$E5)</f>
        <v>490</v>
      </c>
      <c r="J4" s="35" t="s">
        <v>73</v>
      </c>
      <c r="K4" s="36"/>
      <c r="L4" s="37"/>
      <c r="M4" s="37"/>
      <c r="N4" s="37"/>
      <c r="O4" s="37"/>
      <c r="P4" s="34">
        <f>if(R4="", if(M5&lt;&gt;"", if(M5&gt;Setup!M4,I4*(1+Setup!N4),if(M5&lt;Setup!L4,I4*(1+Setup!O4),I4)),I4),R4/'Quick Setup'!$E5)</f>
        <v>490</v>
      </c>
      <c r="Q4" s="35" t="s">
        <v>73</v>
      </c>
      <c r="R4" s="36"/>
      <c r="S4" s="37"/>
      <c r="T4" s="37"/>
      <c r="U4" s="37"/>
      <c r="V4" s="37"/>
      <c r="W4" s="34">
        <f>if(Y4="", if(T5&lt;&gt;"", if(T5&gt;Setup!T4,P4*(1+Setup!U4),if(T5&lt;Setup!S4,P4*(1+Setup!V4),P4)),P4),Y4/'Quick Setup'!$E5)</f>
        <v>490</v>
      </c>
      <c r="X4" s="35" t="s">
        <v>73</v>
      </c>
      <c r="Y4" s="36"/>
      <c r="Z4" s="37"/>
      <c r="AA4" s="37"/>
      <c r="AB4" s="37"/>
      <c r="AC4" s="37"/>
      <c r="AD4" s="34">
        <f>if(AF4="", if(AA5&lt;&gt;"", if(AA5&gt;Setup!AA4,W4*(1+Setup!AB4),if(AA5&lt;Setup!Z4,W4*(1+Setup!AC4),W4)),W4),AF4/'Quick Setup'!$E5)</f>
        <v>490</v>
      </c>
      <c r="AE4" s="35" t="s">
        <v>73</v>
      </c>
      <c r="AF4" s="36"/>
      <c r="AG4" s="37"/>
      <c r="AH4" s="37"/>
      <c r="AI4" s="37"/>
      <c r="AJ4" s="37"/>
      <c r="AK4" s="34">
        <f>if(AM4="", if(AH5&lt;&gt;"", if(AH5&gt;Setup!AH4,AD4*(1+Setup!AI4),if(AH5&lt;Setup!AG4,AD4*(1+Setup!AJ4),AD4)),AD4),AM4/'Quick Setup'!$E5)</f>
        <v>490</v>
      </c>
      <c r="AL4" s="35" t="s">
        <v>73</v>
      </c>
      <c r="AM4" s="36"/>
      <c r="AN4" s="37"/>
      <c r="AO4" s="37"/>
      <c r="AP4" s="37"/>
      <c r="AQ4" s="37"/>
      <c r="AR4" s="34">
        <f>if(AT4="", if(AO5&lt;&gt;"", if(AO5&gt;Setup!AO4,AK4*(1+Setup!AP4),if(AO5&lt;Setup!AN4,AK4*(1+Setup!AQ4),AK4)),AK4),AT4/'Quick Setup'!$E5)</f>
        <v>490</v>
      </c>
      <c r="AS4" s="35" t="s">
        <v>73</v>
      </c>
      <c r="AT4" s="36"/>
      <c r="AU4" s="37"/>
      <c r="AV4" s="37"/>
      <c r="AW4" s="37"/>
      <c r="AX4" s="37"/>
      <c r="AY4" s="34">
        <f>if(BA4="",AR4,BA4/'Quick Setup'!$E5)</f>
        <v>490</v>
      </c>
      <c r="AZ4" s="35" t="s">
        <v>73</v>
      </c>
      <c r="BA4" s="36"/>
      <c r="BB4" s="37"/>
      <c r="BC4" s="37"/>
      <c r="BD4" s="37"/>
      <c r="BE4" s="37"/>
      <c r="BF4" s="34">
        <f>if(BH4="", if(BC5&lt;&gt;"", if(BC5&gt;Setup!BC4,AY4*(1+Setup!BD4),if(BC5&lt;Setup!BB4,AY4*(1+Setup!BE4),AY4)),AY4),BH4/'Quick Setup'!$E5)</f>
        <v>490</v>
      </c>
      <c r="BG4" s="35" t="s">
        <v>73</v>
      </c>
      <c r="BH4" s="36"/>
      <c r="BI4" s="37"/>
      <c r="BJ4" s="37"/>
      <c r="BK4" s="37"/>
      <c r="BL4" s="37"/>
      <c r="BM4" s="34">
        <f>if(BO4="", if(BJ5&lt;&gt;"", if(BJ5&gt;Setup!BJ4,BF4*(1+Setup!BK4),if(BJ5&lt;Setup!BI4,BF4*(1+Setup!BL4),BF4)),BF4),BO4/'Quick Setup'!$E5)</f>
        <v>490</v>
      </c>
      <c r="BN4" s="35" t="s">
        <v>73</v>
      </c>
      <c r="BO4" s="36"/>
      <c r="BP4" s="37"/>
      <c r="BQ4" s="37"/>
      <c r="BR4" s="37"/>
      <c r="BS4" s="37"/>
      <c r="BT4" s="34">
        <f>if(BV4="", if(BQ5&lt;&gt;"", if(BQ5&gt;Setup!BQ4,BM4*(1+Setup!BR4),if(BQ5&lt;Setup!BP4,BM4*(1+Setup!BS4),BM4)),BM4),BV4/'Quick Setup'!$E5)</f>
        <v>490</v>
      </c>
      <c r="BU4" s="35" t="s">
        <v>73</v>
      </c>
      <c r="BV4" s="36"/>
      <c r="BW4" s="37"/>
      <c r="BX4" s="37"/>
      <c r="BY4" s="37"/>
      <c r="BZ4" s="37"/>
      <c r="CA4" s="34">
        <f>if(CC4="", if(BX5&lt;&gt;"", if(BX5&gt;Setup!BX4,BT4*(1+Setup!BY4),if(BX5&lt;Setup!BW4,BT4*(1+Setup!BZ4),BT4)),BT4),CC4/'Quick Setup'!$E5)</f>
        <v>490</v>
      </c>
      <c r="CB4" s="35" t="s">
        <v>73</v>
      </c>
      <c r="CC4" s="36"/>
      <c r="CD4" s="37"/>
      <c r="CE4" s="37"/>
      <c r="CF4" s="37"/>
      <c r="CG4" s="37"/>
      <c r="CH4" s="34">
        <f>if(CJ4="", if(CE5&lt;&gt;"", if(CE5&gt;Setup!CE4,CA4*(1+Setup!CF4),if(CE5&lt;Setup!CD4,CA4*(1+Setup!CG4),CA4)),CA4),CJ4/'Quick Setup'!$E5)</f>
        <v>490</v>
      </c>
      <c r="CI4" s="35" t="s">
        <v>73</v>
      </c>
      <c r="CJ4" s="36"/>
      <c r="CK4" s="37"/>
      <c r="CL4" s="37"/>
      <c r="CM4" s="37"/>
      <c r="CN4" s="37"/>
      <c r="CO4" s="34">
        <f>if(CQ4="", if(CL5&lt;&gt;"", if(CL5&gt;Setup!CL4,CH4*(1+Setup!CM4),if(CL5&lt;Setup!CK4,CH4*(1+Setup!CN4),CH4)),CH4),CQ4/'Quick Setup'!$E5)</f>
        <v>490</v>
      </c>
      <c r="CP4" s="35" t="s">
        <v>73</v>
      </c>
      <c r="CQ4" s="36"/>
      <c r="CR4" s="37"/>
      <c r="CS4" s="37"/>
      <c r="CT4" s="37"/>
      <c r="CU4" s="37"/>
      <c r="CV4" s="34">
        <f>if(CX4="",CO4,CX4/'Quick Setup'!$E5)</f>
        <v>490</v>
      </c>
      <c r="CW4" s="35" t="s">
        <v>73</v>
      </c>
      <c r="CX4" s="36"/>
      <c r="CY4" s="37"/>
      <c r="CZ4" s="37"/>
      <c r="DA4" s="37"/>
      <c r="DB4" s="37"/>
      <c r="DC4" s="34">
        <f>if(DE4="", if(CZ5&lt;&gt;"", if(CZ5&gt;Setup!CZ4,CV4*(1+Setup!DA4),if(CZ5&lt;Setup!CY4,CV4*(1+Setup!DB4),CV4)),CV4),DE4/'Quick Setup'!$E5)</f>
        <v>490</v>
      </c>
      <c r="DD4" s="35" t="s">
        <v>73</v>
      </c>
      <c r="DE4" s="36"/>
      <c r="DF4" s="37"/>
      <c r="DG4" s="37"/>
      <c r="DH4" s="37"/>
      <c r="DI4" s="37"/>
      <c r="DJ4" s="34">
        <f>if(DL4="", if(DG5&lt;&gt;"", if(DG5&gt;Setup!DG4,DC4*(1+Setup!DH4),if(DG5&lt;Setup!DF4,DC4*(1+Setup!DI4),DC4)),DC4),DL4/'Quick Setup'!$E5)</f>
        <v>490</v>
      </c>
      <c r="DK4" s="35" t="s">
        <v>73</v>
      </c>
      <c r="DL4" s="36"/>
      <c r="DM4" s="37"/>
      <c r="DN4" s="37"/>
      <c r="DO4" s="37"/>
      <c r="DP4" s="37"/>
      <c r="DQ4" s="34">
        <f>if(DS4="", if(DN5&lt;&gt;"", if(DN5&gt;Setup!DN4,DJ4*(1+Setup!DO4),if(DN5&lt;Setup!DM4,DJ4*(1+Setup!DP4),DJ4)),DJ4),DS4/'Quick Setup'!$E5)</f>
        <v>490</v>
      </c>
      <c r="DR4" s="35" t="s">
        <v>73</v>
      </c>
      <c r="DS4" s="36"/>
      <c r="DT4" s="37"/>
      <c r="DU4" s="37"/>
      <c r="DV4" s="37"/>
      <c r="DW4" s="37"/>
      <c r="DX4" s="34">
        <f>if(DZ4="", if(DU5&lt;&gt;"", if(DU5&gt;Setup!DU4,DQ4*(1+Setup!DV4),if(DU5&lt;Setup!DT4,DQ4*(1+Setup!DW4),DQ4)),DQ4),DZ4/'Quick Setup'!$E5)</f>
        <v>490</v>
      </c>
      <c r="DY4" s="35" t="s">
        <v>73</v>
      </c>
      <c r="DZ4" s="36"/>
      <c r="EA4" s="37"/>
      <c r="EB4" s="37"/>
      <c r="EC4" s="37"/>
      <c r="ED4" s="37"/>
      <c r="EE4" s="34">
        <f>if(EG4="", if(EB5&lt;&gt;"", if(EB5&gt;Setup!EB4,DX4*(1+Setup!EC4),if(EB5&lt;Setup!EA4,DX4*(1+Setup!ED4),DX4)),DX4),EG4/'Quick Setup'!$E5)</f>
        <v>490</v>
      </c>
      <c r="EF4" s="35" t="s">
        <v>73</v>
      </c>
      <c r="EG4" s="36"/>
      <c r="EH4" s="37"/>
      <c r="EI4" s="37"/>
      <c r="EJ4" s="37"/>
      <c r="EK4" s="37"/>
      <c r="EL4" s="34">
        <f>if(EN4="", if(EI5&lt;&gt;"", if(EI5&gt;Setup!EI4,EE4*(1+Setup!EJ4),if(EI5&lt;Setup!EH4,EE4*(1+Setup!EK4),EE4)),EE4),EN4/'Quick Setup'!$E5)</f>
        <v>490</v>
      </c>
      <c r="EM4" s="35" t="s">
        <v>73</v>
      </c>
      <c r="EN4" s="36"/>
      <c r="EO4" s="37"/>
      <c r="EP4" s="37"/>
      <c r="EQ4" s="37"/>
      <c r="ER4" s="37"/>
    </row>
    <row r="5">
      <c r="A5" s="1" t="str">
        <f>Setup!A4</f>
        <v>Squat</v>
      </c>
      <c r="B5" s="38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0"/>
      <c r="G5" s="10"/>
      <c r="H5" s="10"/>
      <c r="I5" s="38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0"/>
      <c r="N5" s="10"/>
      <c r="O5" s="10"/>
      <c r="P5" s="38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0"/>
      <c r="U5" s="10"/>
      <c r="V5" s="10"/>
      <c r="W5" s="38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0"/>
      <c r="AB5" s="10"/>
      <c r="AC5" s="10"/>
      <c r="AD5" s="38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0"/>
      <c r="AI5" s="10"/>
      <c r="AJ5" s="10"/>
      <c r="AK5" s="38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0"/>
      <c r="AP5" s="10"/>
      <c r="AQ5" s="10"/>
      <c r="AR5" s="38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0"/>
      <c r="AW5" s="10"/>
      <c r="AX5" s="10"/>
      <c r="AY5" s="38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0"/>
      <c r="BD5" s="10"/>
      <c r="BE5" s="10"/>
      <c r="BF5" s="38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0"/>
      <c r="BK5" s="10"/>
      <c r="BL5" s="10"/>
      <c r="BM5" s="38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0"/>
      <c r="BR5" s="10"/>
      <c r="BS5" s="10"/>
      <c r="BT5" s="38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0"/>
      <c r="BY5" s="10"/>
      <c r="BZ5" s="10"/>
      <c r="CA5" s="38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0"/>
      <c r="CF5" s="10"/>
      <c r="CG5" s="10"/>
      <c r="CH5" s="38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0"/>
      <c r="CM5" s="10"/>
      <c r="CN5" s="10"/>
      <c r="CO5" s="38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0"/>
      <c r="CT5" s="10"/>
      <c r="CU5" s="10"/>
      <c r="CV5" s="38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0"/>
      <c r="DA5" s="10"/>
      <c r="DB5" s="10"/>
      <c r="DC5" s="38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0"/>
      <c r="DH5" s="10"/>
      <c r="DI5" s="10"/>
      <c r="DJ5" s="38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0"/>
      <c r="DO5" s="10"/>
      <c r="DP5" s="10"/>
      <c r="DQ5" s="38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0"/>
      <c r="DV5" s="10"/>
      <c r="DW5" s="10"/>
      <c r="DX5" s="38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0"/>
      <c r="EC5" s="10"/>
      <c r="ED5" s="10"/>
      <c r="EE5" s="38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0"/>
      <c r="EJ5" s="10"/>
      <c r="EK5" s="10"/>
      <c r="EL5" s="38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0"/>
      <c r="EQ5" s="10"/>
      <c r="ER5" s="10"/>
    </row>
    <row r="6" hidden="1">
      <c r="A6" s="33" t="str">
        <f>CONCATENATE(A7," TM")</f>
        <v>Sumo Deadlift TM</v>
      </c>
      <c r="B6" s="34">
        <f>if(D6="",'Quick Setup'!D15,D6/'Quick Setup'!E15)</f>
        <v>500</v>
      </c>
      <c r="C6" s="35" t="s">
        <v>73</v>
      </c>
      <c r="D6" s="36"/>
      <c r="E6" s="37"/>
      <c r="F6" s="37"/>
      <c r="G6" s="37"/>
      <c r="H6" s="37"/>
      <c r="I6" s="34">
        <f>if(K6="", if(F7&lt;&gt;"", if(F7&gt;Setup!F14,B6*(1+Setup!G14),if(F7&lt;Setup!E14,B6*(1+Setup!H14),B6)),B6),K6/'Quick Setup'!$E15)</f>
        <v>500</v>
      </c>
      <c r="J6" s="35" t="s">
        <v>73</v>
      </c>
      <c r="K6" s="36"/>
      <c r="L6" s="37"/>
      <c r="M6" s="37"/>
      <c r="N6" s="37"/>
      <c r="O6" s="37"/>
      <c r="P6" s="34">
        <f>if(R6="", if(M7&lt;&gt;"", if(M7&gt;Setup!M14,I6*(1+Setup!N14),if(M7&lt;Setup!L14,I6*(1+Setup!O14),I6)),I6),R6/'Quick Setup'!$E15)</f>
        <v>500</v>
      </c>
      <c r="Q6" s="35" t="s">
        <v>73</v>
      </c>
      <c r="R6" s="36"/>
      <c r="S6" s="37"/>
      <c r="T6" s="37"/>
      <c r="U6" s="37"/>
      <c r="V6" s="37"/>
      <c r="W6" s="34">
        <f>if(Y6="", if(T7&lt;&gt;"", if(T7&gt;Setup!T14,P6*(1+Setup!U14),if(T7&lt;Setup!S14,P6*(1+Setup!V14),P6)),P6),Y6/'Quick Setup'!$E15)</f>
        <v>500</v>
      </c>
      <c r="X6" s="35" t="s">
        <v>73</v>
      </c>
      <c r="Y6" s="36"/>
      <c r="Z6" s="37"/>
      <c r="AA6" s="37"/>
      <c r="AB6" s="37"/>
      <c r="AC6" s="37"/>
      <c r="AD6" s="34">
        <f>if(AF6="", if(AA7&lt;&gt;"", if(AA7&gt;Setup!AA14,W6*(1+Setup!AB14),if(AA7&lt;Setup!Z14,W6*(1+Setup!AC14),W6)),W6),AF6/'Quick Setup'!$E15)</f>
        <v>500</v>
      </c>
      <c r="AE6" s="35" t="s">
        <v>73</v>
      </c>
      <c r="AF6" s="36"/>
      <c r="AG6" s="37"/>
      <c r="AH6" s="37"/>
      <c r="AI6" s="37"/>
      <c r="AJ6" s="37"/>
      <c r="AK6" s="34">
        <f>if(AM6="", if(AH7&lt;&gt;"", if(AH7&gt;Setup!AH14,AD6*(1+Setup!AI14),if(AH7&lt;Setup!AG14,AD6*(1+Setup!AJ14),AD6)),AD6),AM6/'Quick Setup'!$E15)</f>
        <v>500</v>
      </c>
      <c r="AL6" s="35" t="s">
        <v>73</v>
      </c>
      <c r="AM6" s="36"/>
      <c r="AN6" s="37"/>
      <c r="AO6" s="37"/>
      <c r="AP6" s="37"/>
      <c r="AQ6" s="37"/>
      <c r="AR6" s="34">
        <f>if(AT6="", if(AO7&lt;&gt;"", if(AO7&gt;Setup!AO14,AK6*(1+Setup!AP14),if(AO7&lt;Setup!AN14,AK6*(1+Setup!AQ14),AK6)),AK6),AT6/'Quick Setup'!$E15)</f>
        <v>500</v>
      </c>
      <c r="AS6" s="35" t="s">
        <v>73</v>
      </c>
      <c r="AT6" s="36"/>
      <c r="AU6" s="37"/>
      <c r="AV6" s="37"/>
      <c r="AW6" s="37"/>
      <c r="AX6" s="37"/>
      <c r="AY6" s="34">
        <f>if(BA6="",AR6,BA6/'Quick Setup'!$E15)</f>
        <v>500</v>
      </c>
      <c r="AZ6" s="35" t="s">
        <v>73</v>
      </c>
      <c r="BA6" s="36"/>
      <c r="BB6" s="37"/>
      <c r="BC6" s="37"/>
      <c r="BD6" s="37"/>
      <c r="BE6" s="37"/>
      <c r="BF6" s="34">
        <f>if(BH6="", if(BC7&lt;&gt;"", if(BC7&gt;Setup!BC14,AY6*(1+Setup!BD14),if(BC7&lt;Setup!BB14,AY6*(1+Setup!BE14),AY6)),AY6),BH6/'Quick Setup'!$E15)</f>
        <v>500</v>
      </c>
      <c r="BG6" s="35" t="s">
        <v>73</v>
      </c>
      <c r="BH6" s="36"/>
      <c r="BI6" s="37"/>
      <c r="BJ6" s="37"/>
      <c r="BK6" s="37"/>
      <c r="BL6" s="37"/>
      <c r="BM6" s="34">
        <f>if(BO6="", if(BJ7&lt;&gt;"", if(BJ7&gt;Setup!BJ14,BF6*(1+Setup!BK14),if(BJ7&lt;Setup!BI14,BF6*(1+Setup!BL14),BF6)),BF6),BO6/'Quick Setup'!$E15)</f>
        <v>500</v>
      </c>
      <c r="BN6" s="35" t="s">
        <v>73</v>
      </c>
      <c r="BO6" s="36"/>
      <c r="BP6" s="37"/>
      <c r="BQ6" s="37"/>
      <c r="BR6" s="37"/>
      <c r="BS6" s="37"/>
      <c r="BT6" s="34">
        <f>if(BV6="", if(BQ7&lt;&gt;"", if(BQ7&gt;Setup!BQ14,BM6*(1+Setup!BR14),if(BQ7&lt;Setup!BP14,BM6*(1+Setup!BS14),BM6)),BM6),BV6/'Quick Setup'!$E15)</f>
        <v>500</v>
      </c>
      <c r="BU6" s="35" t="s">
        <v>73</v>
      </c>
      <c r="BV6" s="36"/>
      <c r="BW6" s="37"/>
      <c r="BX6" s="37"/>
      <c r="BY6" s="37"/>
      <c r="BZ6" s="37"/>
      <c r="CA6" s="34">
        <f>if(CC6="", if(BX7&lt;&gt;"", if(BX7&gt;Setup!BX14,BT6*(1+Setup!BY14),if(BX7&lt;Setup!BW14,BT6*(1+Setup!BZ14),BT6)),BT6),CC6/'Quick Setup'!$E15)</f>
        <v>500</v>
      </c>
      <c r="CB6" s="35" t="s">
        <v>73</v>
      </c>
      <c r="CC6" s="36"/>
      <c r="CD6" s="37"/>
      <c r="CE6" s="37"/>
      <c r="CF6" s="37"/>
      <c r="CG6" s="37"/>
      <c r="CH6" s="34">
        <f>if(CJ6="", if(CE7&lt;&gt;"", if(CE7&gt;Setup!CE14,CA6*(1+Setup!CF14),if(CE7&lt;Setup!CD14,CA6*(1+Setup!CG14),CA6)),CA6),CJ6/'Quick Setup'!$E15)</f>
        <v>500</v>
      </c>
      <c r="CI6" s="35" t="s">
        <v>73</v>
      </c>
      <c r="CJ6" s="36"/>
      <c r="CK6" s="37"/>
      <c r="CL6" s="37"/>
      <c r="CM6" s="37"/>
      <c r="CN6" s="37"/>
      <c r="CO6" s="34">
        <f>if(CQ6="", if(CL7&lt;&gt;"", if(CL7&gt;Setup!CL14,CH6*(1+Setup!CM14),if(CL7&lt;Setup!CK14,CH6*(1+Setup!CN14),CH6)),CH6),CQ6/'Quick Setup'!$E15)</f>
        <v>500</v>
      </c>
      <c r="CP6" s="35" t="s">
        <v>73</v>
      </c>
      <c r="CQ6" s="36"/>
      <c r="CR6" s="37"/>
      <c r="CS6" s="37"/>
      <c r="CT6" s="37"/>
      <c r="CU6" s="37"/>
      <c r="CV6" s="34">
        <f>if(CX6="",CO6,CX6/'Quick Setup'!$E15)</f>
        <v>500</v>
      </c>
      <c r="CW6" s="35" t="s">
        <v>73</v>
      </c>
      <c r="CX6" s="36"/>
      <c r="CY6" s="37"/>
      <c r="CZ6" s="37"/>
      <c r="DA6" s="37"/>
      <c r="DB6" s="37"/>
      <c r="DC6" s="34">
        <f>if(DE6="", if(CZ7&lt;&gt;"", if(CZ7&gt;Setup!CZ14,CV6*(1+Setup!DA14),if(CZ7&lt;Setup!CY14,CV6*(1+Setup!DB14),CV6)),CV6),DE6/'Quick Setup'!$E15)</f>
        <v>500</v>
      </c>
      <c r="DD6" s="35" t="s">
        <v>73</v>
      </c>
      <c r="DE6" s="36"/>
      <c r="DF6" s="37"/>
      <c r="DG6" s="37"/>
      <c r="DH6" s="37"/>
      <c r="DI6" s="37"/>
      <c r="DJ6" s="34">
        <f>if(DL6="", if(DG7&lt;&gt;"", if(DG7&gt;Setup!DG14,DC6*(1+Setup!DH14),if(DG7&lt;Setup!DF14,DC6*(1+Setup!DI14),DC6)),DC6),DL6/'Quick Setup'!$E15)</f>
        <v>500</v>
      </c>
      <c r="DK6" s="35" t="s">
        <v>73</v>
      </c>
      <c r="DL6" s="36"/>
      <c r="DM6" s="37"/>
      <c r="DN6" s="37"/>
      <c r="DO6" s="37"/>
      <c r="DP6" s="37"/>
      <c r="DQ6" s="34">
        <f>if(DS6="", if(DN7&lt;&gt;"", if(DN7&gt;Setup!DN14,DJ6*(1+Setup!DO14),if(DN7&lt;Setup!DM14,DJ6*(1+Setup!DP14),DJ6)),DJ6),DS6/'Quick Setup'!$E15)</f>
        <v>500</v>
      </c>
      <c r="DR6" s="35" t="s">
        <v>73</v>
      </c>
      <c r="DS6" s="36"/>
      <c r="DT6" s="37"/>
      <c r="DU6" s="37"/>
      <c r="DV6" s="37"/>
      <c r="DW6" s="37"/>
      <c r="DX6" s="34">
        <f>if(DZ6="", if(DU7&lt;&gt;"", if(DU7&gt;Setup!DU14,DQ6*(1+Setup!DV14),if(DU7&lt;Setup!DT14,DQ6*(1+Setup!DW14),DQ6)),DQ6),DZ6/'Quick Setup'!$E15)</f>
        <v>500</v>
      </c>
      <c r="DY6" s="35" t="s">
        <v>73</v>
      </c>
      <c r="DZ6" s="36"/>
      <c r="EA6" s="37"/>
      <c r="EB6" s="37"/>
      <c r="EC6" s="37"/>
      <c r="ED6" s="37"/>
      <c r="EE6" s="34">
        <f>if(EG6="", if(EB7&lt;&gt;"", if(EB7&gt;Setup!EB14,DX6*(1+Setup!EC14),if(EB7&lt;Setup!EA14,DX6*(1+Setup!ED14),DX6)),DX6),EG6/'Quick Setup'!$E15)</f>
        <v>500</v>
      </c>
      <c r="EF6" s="35" t="s">
        <v>73</v>
      </c>
      <c r="EG6" s="36"/>
      <c r="EH6" s="37"/>
      <c r="EI6" s="37"/>
      <c r="EJ6" s="37"/>
      <c r="EK6" s="37"/>
      <c r="EL6" s="34">
        <f>if(EN6="", if(EI7&lt;&gt;"", if(EI7&gt;Setup!EI14,EE6*(1+Setup!EJ14),if(EI7&lt;Setup!EH14,EE6*(1+Setup!EK14),EE6)),EE6),EN6/'Quick Setup'!$E15)</f>
        <v>500</v>
      </c>
      <c r="EM6" s="35" t="s">
        <v>73</v>
      </c>
      <c r="EN6" s="36"/>
      <c r="EO6" s="37"/>
      <c r="EP6" s="37"/>
      <c r="EQ6" s="37"/>
      <c r="ER6" s="37"/>
    </row>
    <row r="7">
      <c r="A7" s="1" t="str">
        <f>Setup!A14</f>
        <v>Sumo Deadlift</v>
      </c>
      <c r="B7" s="38">
        <f>mround(B6*Setup!B14,'Quick Setup'!$A$2)</f>
        <v>300</v>
      </c>
      <c r="C7" s="2">
        <f>Setup!C14</f>
        <v>7</v>
      </c>
      <c r="D7" s="2">
        <f>Setup!D14</f>
        <v>4</v>
      </c>
      <c r="E7" s="2" t="str">
        <f>CONCATENATE(Setup!E14,"-",Setup!F14)</f>
        <v>4-6</v>
      </c>
      <c r="F7" s="10"/>
      <c r="G7" s="10"/>
      <c r="H7" s="10"/>
      <c r="I7" s="38">
        <f>mround(I6*Setup!I14,'Quick Setup'!$A$2)</f>
        <v>325</v>
      </c>
      <c r="J7" s="2">
        <f>Setup!J14</f>
        <v>6</v>
      </c>
      <c r="K7" s="2">
        <f>Setup!K14</f>
        <v>4</v>
      </c>
      <c r="L7" s="2" t="str">
        <f>CONCATENATE(Setup!L14,"-",Setup!M14)</f>
        <v>4-6</v>
      </c>
      <c r="M7" s="10"/>
      <c r="N7" s="10"/>
      <c r="O7" s="10"/>
      <c r="P7" s="38">
        <f>mround(P6*Setup!P14,'Quick Setup'!$A$2)</f>
        <v>350</v>
      </c>
      <c r="Q7" s="2">
        <f>Setup!Q14</f>
        <v>5</v>
      </c>
      <c r="R7" s="2">
        <f>Setup!R14</f>
        <v>3</v>
      </c>
      <c r="S7" s="2" t="str">
        <f>CONCATENATE(Setup!S14,"-",Setup!T14)</f>
        <v>4-6</v>
      </c>
      <c r="T7" s="10"/>
      <c r="U7" s="10"/>
      <c r="V7" s="10"/>
      <c r="W7" s="38">
        <f>mround(W6*Setup!W14,'Quick Setup'!$A$2)</f>
        <v>312.5</v>
      </c>
      <c r="X7" s="2">
        <f>Setup!X14</f>
        <v>7</v>
      </c>
      <c r="Y7" s="2">
        <f>Setup!Y14</f>
        <v>4</v>
      </c>
      <c r="Z7" s="2" t="str">
        <f>CONCATENATE(Setup!Z14,"-",Setup!AA14)</f>
        <v>4-6</v>
      </c>
      <c r="AA7" s="10"/>
      <c r="AB7" s="10"/>
      <c r="AC7" s="10"/>
      <c r="AD7" s="38">
        <f>mround(AD6*Setup!AD14,'Quick Setup'!$A$2)</f>
        <v>337.5</v>
      </c>
      <c r="AE7" s="2">
        <f>Setup!AE14</f>
        <v>6</v>
      </c>
      <c r="AF7" s="2">
        <f>Setup!AF14</f>
        <v>4</v>
      </c>
      <c r="AG7" s="2" t="str">
        <f>CONCATENATE(Setup!AG14,"-",Setup!AH14)</f>
        <v>4-6</v>
      </c>
      <c r="AH7" s="10"/>
      <c r="AI7" s="10"/>
      <c r="AJ7" s="10"/>
      <c r="AK7" s="38">
        <f>mround(AK6*Setup!AK14,'Quick Setup'!$A$2)</f>
        <v>362.5</v>
      </c>
      <c r="AL7" s="2">
        <f>Setup!AL14</f>
        <v>5</v>
      </c>
      <c r="AM7" s="2">
        <f>Setup!AM14</f>
        <v>3</v>
      </c>
      <c r="AN7" s="2" t="str">
        <f>CONCATENATE(Setup!AN14,"-",Setup!AO14)</f>
        <v>4-6</v>
      </c>
      <c r="AO7" s="10"/>
      <c r="AP7" s="10"/>
      <c r="AQ7" s="10"/>
      <c r="AR7" s="38">
        <f>mround(AR6*Setup!AR14,'Quick Setup'!$A$2)</f>
        <v>250</v>
      </c>
      <c r="AS7" s="1">
        <v>5.0</v>
      </c>
      <c r="AT7" s="1" t="s">
        <v>76</v>
      </c>
      <c r="AU7" s="2" t="str">
        <f>CONCATENATE(Setup!AU14,"-",Setup!AV14)</f>
        <v>4-6</v>
      </c>
      <c r="AV7" s="10"/>
      <c r="AW7" s="10"/>
      <c r="AX7" s="10"/>
      <c r="AY7" s="38">
        <f>mround(AY6*Setup!AY14,'Quick Setup'!$A$2)</f>
        <v>325</v>
      </c>
      <c r="AZ7" s="2">
        <f>Setup!AZ14</f>
        <v>6</v>
      </c>
      <c r="BA7" s="2">
        <f>Setup!BA14</f>
        <v>4</v>
      </c>
      <c r="BB7" s="2" t="str">
        <f>CONCATENATE(Setup!BB14,"-",Setup!BC14)</f>
        <v>4-6</v>
      </c>
      <c r="BC7" s="10"/>
      <c r="BD7" s="10"/>
      <c r="BE7" s="10"/>
      <c r="BF7" s="38">
        <f>mround(BF6*Setup!BF14,'Quick Setup'!$A$2)</f>
        <v>350</v>
      </c>
      <c r="BG7" s="2">
        <f>Setup!BG14</f>
        <v>5</v>
      </c>
      <c r="BH7" s="2">
        <f>Setup!BH14</f>
        <v>3</v>
      </c>
      <c r="BI7" s="2" t="str">
        <f>CONCATENATE(Setup!BI14,"-",Setup!BJ14)</f>
        <v>4-6</v>
      </c>
      <c r="BJ7" s="10"/>
      <c r="BK7" s="10"/>
      <c r="BL7" s="10"/>
      <c r="BM7" s="38">
        <f>mround(BM6*Setup!BM14,'Quick Setup'!$A$2)</f>
        <v>375</v>
      </c>
      <c r="BN7" s="2">
        <f>Setup!BN14</f>
        <v>4</v>
      </c>
      <c r="BO7" s="2">
        <f>Setup!BO14</f>
        <v>3</v>
      </c>
      <c r="BP7" s="2" t="str">
        <f>CONCATENATE(Setup!BP14,"-",Setup!BQ14)</f>
        <v>4-6</v>
      </c>
      <c r="BQ7" s="10"/>
      <c r="BR7" s="10"/>
      <c r="BS7" s="10"/>
      <c r="BT7" s="38">
        <f>mround(BT6*Setup!BT14,'Quick Setup'!$A$2)</f>
        <v>337.5</v>
      </c>
      <c r="BU7" s="2">
        <f>Setup!BU14</f>
        <v>6</v>
      </c>
      <c r="BV7" s="2">
        <f>Setup!BV14</f>
        <v>4</v>
      </c>
      <c r="BW7" s="2" t="str">
        <f>CONCATENATE(Setup!BW14,"-",Setup!BX14)</f>
        <v>4-6</v>
      </c>
      <c r="BX7" s="10"/>
      <c r="BY7" s="10"/>
      <c r="BZ7" s="10"/>
      <c r="CA7" s="38">
        <f>mround(CA6*Setup!CA14,'Quick Setup'!$A$2)</f>
        <v>362.5</v>
      </c>
      <c r="CB7" s="2">
        <f>Setup!CB14</f>
        <v>5</v>
      </c>
      <c r="CC7" s="2">
        <f>Setup!CC14</f>
        <v>3</v>
      </c>
      <c r="CD7" s="2" t="str">
        <f>CONCATENATE(Setup!CD14,"-",Setup!CE14)</f>
        <v>4-6</v>
      </c>
      <c r="CE7" s="10"/>
      <c r="CF7" s="10"/>
      <c r="CG7" s="10"/>
      <c r="CH7" s="38">
        <f>mround(CH6*Setup!CH14,'Quick Setup'!$A$2)</f>
        <v>387.5</v>
      </c>
      <c r="CI7" s="2">
        <f>Setup!CI14</f>
        <v>4</v>
      </c>
      <c r="CJ7" s="2">
        <f>Setup!CJ14</f>
        <v>3</v>
      </c>
      <c r="CK7" s="2" t="str">
        <f>CONCATENATE(Setup!CK14,"-",Setup!CL14)</f>
        <v>4-6</v>
      </c>
      <c r="CL7" s="10"/>
      <c r="CM7" s="10"/>
      <c r="CN7" s="10"/>
      <c r="CO7" s="38">
        <f>mround(CO6*Setup!CO14,'Quick Setup'!$A$2)</f>
        <v>250</v>
      </c>
      <c r="CP7" s="1">
        <v>5.0</v>
      </c>
      <c r="CQ7" s="1" t="s">
        <v>76</v>
      </c>
      <c r="CR7" s="2" t="str">
        <f>CONCATENATE(Setup!CR14,"-",Setup!CS14)</f>
        <v>4-6</v>
      </c>
      <c r="CS7" s="10"/>
      <c r="CT7" s="10"/>
      <c r="CU7" s="10"/>
      <c r="CV7" s="38">
        <f>mround(CV6*Setup!CV14,'Quick Setup'!$A$2)</f>
        <v>350</v>
      </c>
      <c r="CW7" s="2">
        <f>Setup!CW14</f>
        <v>5</v>
      </c>
      <c r="CX7" s="2">
        <f>Setup!CX14</f>
        <v>3</v>
      </c>
      <c r="CY7" s="2" t="str">
        <f>CONCATENATE(Setup!CY14,"-",Setup!CZ14)</f>
        <v>4-6</v>
      </c>
      <c r="CZ7" s="10"/>
      <c r="DA7" s="10"/>
      <c r="DB7" s="10"/>
      <c r="DC7" s="38">
        <f>mround(DC6*Setup!DC14,'Quick Setup'!$A$2)</f>
        <v>375</v>
      </c>
      <c r="DD7" s="2">
        <f>Setup!DD14</f>
        <v>4</v>
      </c>
      <c r="DE7" s="2">
        <f>Setup!DE14</f>
        <v>3</v>
      </c>
      <c r="DF7" s="2" t="str">
        <f>CONCATENATE(Setup!DF14,"-",Setup!DG14)</f>
        <v>4-6</v>
      </c>
      <c r="DG7" s="10"/>
      <c r="DH7" s="10"/>
      <c r="DI7" s="10"/>
      <c r="DJ7" s="38">
        <f>mround(DJ6*Setup!DJ14,'Quick Setup'!$A$2)</f>
        <v>400</v>
      </c>
      <c r="DK7" s="2">
        <f>Setup!DK14</f>
        <v>3</v>
      </c>
      <c r="DL7" s="2">
        <f>Setup!DL14</f>
        <v>2</v>
      </c>
      <c r="DM7" s="2" t="str">
        <f>CONCATENATE(Setup!DM14,"-",Setup!DN14)</f>
        <v>4-6</v>
      </c>
      <c r="DN7" s="10"/>
      <c r="DO7" s="10"/>
      <c r="DP7" s="10"/>
      <c r="DQ7" s="38">
        <f>mround(DQ6*Setup!DQ14,'Quick Setup'!$A$2)</f>
        <v>375</v>
      </c>
      <c r="DR7" s="2">
        <f>Setup!DR14</f>
        <v>4</v>
      </c>
      <c r="DS7" s="2">
        <f>Setup!DS14</f>
        <v>3</v>
      </c>
      <c r="DT7" s="2" t="str">
        <f>CONCATENATE(Setup!DT14,"-",Setup!DU14)</f>
        <v>4-6</v>
      </c>
      <c r="DU7" s="10"/>
      <c r="DV7" s="10"/>
      <c r="DW7" s="10"/>
      <c r="DX7" s="38">
        <f>mround(DX6*Setup!DX14,'Quick Setup'!$A$2)</f>
        <v>400</v>
      </c>
      <c r="DY7" s="2">
        <f>Setup!DY14</f>
        <v>3</v>
      </c>
      <c r="DZ7" s="2">
        <f>Setup!DZ14</f>
        <v>2</v>
      </c>
      <c r="EA7" s="2" t="str">
        <f>CONCATENATE(Setup!EA14,"-",Setup!EB14)</f>
        <v>4-6</v>
      </c>
      <c r="EB7" s="10"/>
      <c r="EC7" s="10"/>
      <c r="ED7" s="10"/>
      <c r="EE7" s="38">
        <f>mround(EE6*Setup!EE14,'Quick Setup'!$A$2)</f>
        <v>425</v>
      </c>
      <c r="EF7" s="2">
        <f>Setup!EF14</f>
        <v>2</v>
      </c>
      <c r="EG7" s="2">
        <f>Setup!EG14</f>
        <v>2</v>
      </c>
      <c r="EH7" s="2" t="str">
        <f>CONCATENATE(Setup!EH14,"-",Setup!EI14)</f>
        <v>4-6</v>
      </c>
      <c r="EI7" s="10"/>
      <c r="EJ7" s="10"/>
      <c r="EK7" s="10"/>
      <c r="EL7" s="38">
        <f>mround(EL6*Setup!EL14,'Quick Setup'!$A$2)</f>
        <v>250</v>
      </c>
      <c r="EM7" s="1">
        <v>5.0</v>
      </c>
      <c r="EN7" s="1" t="s">
        <v>76</v>
      </c>
      <c r="EO7" s="2" t="str">
        <f>CONCATENATE(Setup!EO14,"-",Setup!EP14)</f>
        <v>4-6</v>
      </c>
      <c r="EP7" s="10"/>
      <c r="EQ7" s="10"/>
      <c r="ER7" s="10"/>
    </row>
    <row r="8">
      <c r="A8" s="5"/>
      <c r="B8" s="39"/>
      <c r="C8" s="10"/>
      <c r="D8" s="10"/>
      <c r="E8" s="10"/>
      <c r="F8" s="10"/>
      <c r="G8" s="10"/>
      <c r="H8" s="10"/>
      <c r="I8" s="39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39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39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39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39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39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39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39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39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39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39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39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39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39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39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39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39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39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39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39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77</v>
      </c>
      <c r="B9" s="38"/>
      <c r="C9" s="2"/>
      <c r="D9" s="2"/>
      <c r="E9" s="2"/>
      <c r="F9" s="2"/>
      <c r="G9" s="2"/>
      <c r="H9" s="2"/>
      <c r="I9" s="38"/>
      <c r="J9" s="2"/>
      <c r="K9" s="2"/>
      <c r="L9" s="2"/>
      <c r="M9" s="2"/>
      <c r="N9" s="2"/>
      <c r="O9" s="2"/>
      <c r="P9" s="38"/>
      <c r="Q9" s="2"/>
      <c r="R9" s="2"/>
      <c r="S9" s="2"/>
      <c r="T9" s="2"/>
      <c r="U9" s="2"/>
      <c r="V9" s="2"/>
      <c r="W9" s="38"/>
      <c r="X9" s="2"/>
      <c r="Y9" s="2"/>
      <c r="Z9" s="2"/>
      <c r="AA9" s="2"/>
      <c r="AB9" s="2"/>
      <c r="AC9" s="2"/>
      <c r="AD9" s="38"/>
      <c r="AE9" s="2"/>
      <c r="AF9" s="2"/>
      <c r="AG9" s="2"/>
      <c r="AH9" s="2"/>
      <c r="AI9" s="2"/>
      <c r="AJ9" s="2"/>
      <c r="AK9" s="38"/>
      <c r="AL9" s="2"/>
      <c r="AM9" s="2"/>
      <c r="AN9" s="2"/>
      <c r="AO9" s="2"/>
      <c r="AP9" s="2"/>
      <c r="AQ9" s="2"/>
      <c r="AR9" s="38"/>
      <c r="AS9" s="2"/>
      <c r="AT9" s="2"/>
      <c r="AU9" s="2"/>
      <c r="AV9" s="2"/>
      <c r="AW9" s="2"/>
      <c r="AX9" s="2"/>
      <c r="AY9" s="38"/>
      <c r="AZ9" s="2"/>
      <c r="BA9" s="2"/>
      <c r="BB9" s="2"/>
      <c r="BC9" s="2"/>
      <c r="BD9" s="2"/>
      <c r="BE9" s="2"/>
      <c r="BF9" s="38"/>
      <c r="BG9" s="2"/>
      <c r="BH9" s="2"/>
      <c r="BI9" s="2"/>
      <c r="BJ9" s="2"/>
      <c r="BK9" s="2"/>
      <c r="BL9" s="2"/>
      <c r="BM9" s="38"/>
      <c r="BN9" s="2"/>
      <c r="BO9" s="2"/>
      <c r="BP9" s="2"/>
      <c r="BQ9" s="2"/>
      <c r="BR9" s="2"/>
      <c r="BS9" s="2"/>
      <c r="BT9" s="38"/>
      <c r="BU9" s="2"/>
      <c r="BV9" s="2"/>
      <c r="BW9" s="2"/>
      <c r="BX9" s="2"/>
      <c r="BY9" s="2"/>
      <c r="BZ9" s="2"/>
      <c r="CA9" s="38"/>
      <c r="CB9" s="2"/>
      <c r="CC9" s="2"/>
      <c r="CD9" s="2"/>
      <c r="CE9" s="2"/>
      <c r="CF9" s="2"/>
      <c r="CG9" s="2"/>
      <c r="CH9" s="38"/>
      <c r="CI9" s="2"/>
      <c r="CJ9" s="2"/>
      <c r="CK9" s="2"/>
      <c r="CL9" s="2"/>
      <c r="CM9" s="2"/>
      <c r="CN9" s="2"/>
      <c r="CO9" s="38"/>
      <c r="CP9" s="2"/>
      <c r="CQ9" s="2"/>
      <c r="CR9" s="2"/>
      <c r="CS9" s="2"/>
      <c r="CT9" s="2"/>
      <c r="CU9" s="2"/>
      <c r="CV9" s="38"/>
      <c r="CW9" s="2"/>
      <c r="CX9" s="2"/>
      <c r="CY9" s="2"/>
      <c r="CZ9" s="2"/>
      <c r="DA9" s="2"/>
      <c r="DB9" s="2"/>
      <c r="DC9" s="38"/>
      <c r="DD9" s="2"/>
      <c r="DE9" s="2"/>
      <c r="DF9" s="2"/>
      <c r="DG9" s="2"/>
      <c r="DH9" s="2"/>
      <c r="DI9" s="2"/>
      <c r="DJ9" s="38"/>
      <c r="DK9" s="2"/>
      <c r="DL9" s="2"/>
      <c r="DM9" s="2"/>
      <c r="DN9" s="2"/>
      <c r="DO9" s="2"/>
      <c r="DP9" s="2"/>
      <c r="DQ9" s="38"/>
      <c r="DR9" s="2"/>
      <c r="DS9" s="2"/>
      <c r="DT9" s="2"/>
      <c r="DU9" s="2"/>
      <c r="DV9" s="2"/>
      <c r="DW9" s="2"/>
      <c r="DX9" s="38"/>
      <c r="DY9" s="2"/>
      <c r="DZ9" s="2"/>
      <c r="EA9" s="2"/>
      <c r="EB9" s="2"/>
      <c r="EC9" s="2"/>
      <c r="ED9" s="2"/>
      <c r="EE9" s="38"/>
      <c r="EF9" s="2"/>
      <c r="EG9" s="2"/>
      <c r="EH9" s="2"/>
      <c r="EI9" s="2"/>
      <c r="EJ9" s="2"/>
      <c r="EK9" s="2"/>
      <c r="EL9" s="38"/>
      <c r="EM9" s="2"/>
      <c r="EN9" s="2"/>
      <c r="EO9" s="2"/>
      <c r="EP9" s="2"/>
      <c r="EQ9" s="2"/>
      <c r="ER9" s="2"/>
    </row>
    <row r="10">
      <c r="A10" s="40"/>
      <c r="B10" s="39"/>
      <c r="C10" s="10"/>
      <c r="D10" s="10"/>
      <c r="E10" s="10"/>
      <c r="F10" s="10"/>
      <c r="G10" s="10"/>
      <c r="H10" s="10"/>
      <c r="I10" s="39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39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39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39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39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39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39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39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39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39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39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39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39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39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39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39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39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39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39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39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0"/>
      <c r="B11" s="39"/>
      <c r="C11" s="10"/>
      <c r="D11" s="10"/>
      <c r="E11" s="10"/>
      <c r="F11" s="10"/>
      <c r="G11" s="10"/>
      <c r="H11" s="10"/>
      <c r="I11" s="39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39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39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39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39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39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39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39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39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39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39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39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39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39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39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39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39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39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39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39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1"/>
      <c r="B12" s="42"/>
      <c r="C12" s="43"/>
      <c r="D12" s="43"/>
      <c r="E12" s="43"/>
      <c r="F12" s="43"/>
      <c r="G12" s="43"/>
      <c r="H12" s="43"/>
      <c r="I12" s="42" t="str">
        <f t="shared" ref="I12:M12" si="61">B12</f>
        <v/>
      </c>
      <c r="J12" s="43" t="str">
        <f t="shared" si="61"/>
        <v/>
      </c>
      <c r="K12" s="43" t="str">
        <f t="shared" si="61"/>
        <v/>
      </c>
      <c r="L12" s="43" t="str">
        <f t="shared" si="61"/>
        <v/>
      </c>
      <c r="M12" s="43" t="str">
        <f t="shared" si="61"/>
        <v/>
      </c>
      <c r="N12" s="43"/>
      <c r="O12" s="43"/>
      <c r="P12" s="42" t="str">
        <f t="shared" ref="P12:T12" si="62">I12</f>
        <v/>
      </c>
      <c r="Q12" s="43" t="str">
        <f t="shared" si="62"/>
        <v/>
      </c>
      <c r="R12" s="43" t="str">
        <f t="shared" si="62"/>
        <v/>
      </c>
      <c r="S12" s="43" t="str">
        <f t="shared" si="62"/>
        <v/>
      </c>
      <c r="T12" s="43" t="str">
        <f t="shared" si="62"/>
        <v/>
      </c>
      <c r="U12" s="43"/>
      <c r="V12" s="43"/>
      <c r="W12" s="42" t="str">
        <f t="shared" ref="W12:AA12" si="63">P12</f>
        <v/>
      </c>
      <c r="X12" s="43" t="str">
        <f t="shared" si="63"/>
        <v/>
      </c>
      <c r="Y12" s="43" t="str">
        <f t="shared" si="63"/>
        <v/>
      </c>
      <c r="Z12" s="43" t="str">
        <f t="shared" si="63"/>
        <v/>
      </c>
      <c r="AA12" s="43" t="str">
        <f t="shared" si="63"/>
        <v/>
      </c>
      <c r="AB12" s="43"/>
      <c r="AC12" s="43"/>
      <c r="AD12" s="42" t="str">
        <f t="shared" ref="AD12:AH12" si="64">W12</f>
        <v/>
      </c>
      <c r="AE12" s="43" t="str">
        <f t="shared" si="64"/>
        <v/>
      </c>
      <c r="AF12" s="43" t="str">
        <f t="shared" si="64"/>
        <v/>
      </c>
      <c r="AG12" s="43" t="str">
        <f t="shared" si="64"/>
        <v/>
      </c>
      <c r="AH12" s="43" t="str">
        <f t="shared" si="64"/>
        <v/>
      </c>
      <c r="AI12" s="43"/>
      <c r="AJ12" s="43"/>
      <c r="AK12" s="42" t="str">
        <f t="shared" ref="AK12:AO12" si="65">AD12</f>
        <v/>
      </c>
      <c r="AL12" s="43" t="str">
        <f t="shared" si="65"/>
        <v/>
      </c>
      <c r="AM12" s="43" t="str">
        <f t="shared" si="65"/>
        <v/>
      </c>
      <c r="AN12" s="43" t="str">
        <f t="shared" si="65"/>
        <v/>
      </c>
      <c r="AO12" s="43" t="str">
        <f t="shared" si="65"/>
        <v/>
      </c>
      <c r="AP12" s="43"/>
      <c r="AQ12" s="43"/>
      <c r="AR12" s="42" t="str">
        <f t="shared" ref="AR12:AV12" si="66">AK12</f>
        <v/>
      </c>
      <c r="AS12" s="43" t="str">
        <f t="shared" si="66"/>
        <v/>
      </c>
      <c r="AT12" s="43" t="str">
        <f t="shared" si="66"/>
        <v/>
      </c>
      <c r="AU12" s="43" t="str">
        <f t="shared" si="66"/>
        <v/>
      </c>
      <c r="AV12" s="43" t="str">
        <f t="shared" si="66"/>
        <v/>
      </c>
      <c r="AW12" s="43"/>
      <c r="AX12" s="43"/>
      <c r="AY12" s="42" t="str">
        <f t="shared" ref="AY12:BC12" si="67">AR12</f>
        <v/>
      </c>
      <c r="AZ12" s="43" t="str">
        <f t="shared" si="67"/>
        <v/>
      </c>
      <c r="BA12" s="43" t="str">
        <f t="shared" si="67"/>
        <v/>
      </c>
      <c r="BB12" s="43" t="str">
        <f t="shared" si="67"/>
        <v/>
      </c>
      <c r="BC12" s="43" t="str">
        <f t="shared" si="67"/>
        <v/>
      </c>
      <c r="BD12" s="43"/>
      <c r="BE12" s="43"/>
      <c r="BF12" s="42" t="str">
        <f t="shared" ref="BF12:BJ12" si="68">AY12</f>
        <v/>
      </c>
      <c r="BG12" s="43" t="str">
        <f t="shared" si="68"/>
        <v/>
      </c>
      <c r="BH12" s="43" t="str">
        <f t="shared" si="68"/>
        <v/>
      </c>
      <c r="BI12" s="43" t="str">
        <f t="shared" si="68"/>
        <v/>
      </c>
      <c r="BJ12" s="43" t="str">
        <f t="shared" si="68"/>
        <v/>
      </c>
      <c r="BK12" s="43"/>
      <c r="BL12" s="43"/>
      <c r="BM12" s="42" t="str">
        <f t="shared" ref="BM12:BQ12" si="69">BF12</f>
        <v/>
      </c>
      <c r="BN12" s="43" t="str">
        <f t="shared" si="69"/>
        <v/>
      </c>
      <c r="BO12" s="43" t="str">
        <f t="shared" si="69"/>
        <v/>
      </c>
      <c r="BP12" s="43" t="str">
        <f t="shared" si="69"/>
        <v/>
      </c>
      <c r="BQ12" s="43" t="str">
        <f t="shared" si="69"/>
        <v/>
      </c>
      <c r="BR12" s="43"/>
      <c r="BS12" s="43"/>
      <c r="BT12" s="42" t="str">
        <f t="shared" ref="BT12:BX12" si="70">BM12</f>
        <v/>
      </c>
      <c r="BU12" s="43" t="str">
        <f t="shared" si="70"/>
        <v/>
      </c>
      <c r="BV12" s="43" t="str">
        <f t="shared" si="70"/>
        <v/>
      </c>
      <c r="BW12" s="43" t="str">
        <f t="shared" si="70"/>
        <v/>
      </c>
      <c r="BX12" s="43" t="str">
        <f t="shared" si="70"/>
        <v/>
      </c>
      <c r="BY12" s="43"/>
      <c r="BZ12" s="43"/>
      <c r="CA12" s="42" t="str">
        <f t="shared" ref="CA12:CE12" si="71">BT12</f>
        <v/>
      </c>
      <c r="CB12" s="43" t="str">
        <f t="shared" si="71"/>
        <v/>
      </c>
      <c r="CC12" s="43" t="str">
        <f t="shared" si="71"/>
        <v/>
      </c>
      <c r="CD12" s="43" t="str">
        <f t="shared" si="71"/>
        <v/>
      </c>
      <c r="CE12" s="43" t="str">
        <f t="shared" si="71"/>
        <v/>
      </c>
      <c r="CF12" s="43"/>
      <c r="CG12" s="43"/>
      <c r="CH12" s="42" t="str">
        <f t="shared" ref="CH12:CL12" si="72">CA12</f>
        <v/>
      </c>
      <c r="CI12" s="43" t="str">
        <f t="shared" si="72"/>
        <v/>
      </c>
      <c r="CJ12" s="43" t="str">
        <f t="shared" si="72"/>
        <v/>
      </c>
      <c r="CK12" s="43" t="str">
        <f t="shared" si="72"/>
        <v/>
      </c>
      <c r="CL12" s="43" t="str">
        <f t="shared" si="72"/>
        <v/>
      </c>
      <c r="CM12" s="43"/>
      <c r="CN12" s="43"/>
      <c r="CO12" s="42" t="str">
        <f t="shared" ref="CO12:CS12" si="73">CH12</f>
        <v/>
      </c>
      <c r="CP12" s="43" t="str">
        <f t="shared" si="73"/>
        <v/>
      </c>
      <c r="CQ12" s="43" t="str">
        <f t="shared" si="73"/>
        <v/>
      </c>
      <c r="CR12" s="43" t="str">
        <f t="shared" si="73"/>
        <v/>
      </c>
      <c r="CS12" s="43" t="str">
        <f t="shared" si="73"/>
        <v/>
      </c>
      <c r="CT12" s="43"/>
      <c r="CU12" s="43"/>
      <c r="CV12" s="42" t="str">
        <f t="shared" ref="CV12:CZ12" si="74">CO12</f>
        <v/>
      </c>
      <c r="CW12" s="43" t="str">
        <f t="shared" si="74"/>
        <v/>
      </c>
      <c r="CX12" s="43" t="str">
        <f t="shared" si="74"/>
        <v/>
      </c>
      <c r="CY12" s="43" t="str">
        <f t="shared" si="74"/>
        <v/>
      </c>
      <c r="CZ12" s="43" t="str">
        <f t="shared" si="74"/>
        <v/>
      </c>
      <c r="DA12" s="43"/>
      <c r="DB12" s="43"/>
      <c r="DC12" s="42" t="str">
        <f t="shared" ref="DC12:DG12" si="75">CV12</f>
        <v/>
      </c>
      <c r="DD12" s="43" t="str">
        <f t="shared" si="75"/>
        <v/>
      </c>
      <c r="DE12" s="43" t="str">
        <f t="shared" si="75"/>
        <v/>
      </c>
      <c r="DF12" s="43" t="str">
        <f t="shared" si="75"/>
        <v/>
      </c>
      <c r="DG12" s="43" t="str">
        <f t="shared" si="75"/>
        <v/>
      </c>
      <c r="DH12" s="43"/>
      <c r="DI12" s="43"/>
      <c r="DJ12" s="42" t="str">
        <f t="shared" ref="DJ12:DN12" si="76">DC12</f>
        <v/>
      </c>
      <c r="DK12" s="43" t="str">
        <f t="shared" si="76"/>
        <v/>
      </c>
      <c r="DL12" s="43" t="str">
        <f t="shared" si="76"/>
        <v/>
      </c>
      <c r="DM12" s="43" t="str">
        <f t="shared" si="76"/>
        <v/>
      </c>
      <c r="DN12" s="43" t="str">
        <f t="shared" si="76"/>
        <v/>
      </c>
      <c r="DO12" s="43"/>
      <c r="DP12" s="43"/>
      <c r="DQ12" s="42" t="str">
        <f t="shared" ref="DQ12:DU12" si="77">DJ12</f>
        <v/>
      </c>
      <c r="DR12" s="43" t="str">
        <f t="shared" si="77"/>
        <v/>
      </c>
      <c r="DS12" s="43" t="str">
        <f t="shared" si="77"/>
        <v/>
      </c>
      <c r="DT12" s="43" t="str">
        <f t="shared" si="77"/>
        <v/>
      </c>
      <c r="DU12" s="43" t="str">
        <f t="shared" si="77"/>
        <v/>
      </c>
      <c r="DV12" s="43"/>
      <c r="DW12" s="43"/>
      <c r="DX12" s="42" t="str">
        <f t="shared" ref="DX12:EB12" si="78">DQ12</f>
        <v/>
      </c>
      <c r="DY12" s="43" t="str">
        <f t="shared" si="78"/>
        <v/>
      </c>
      <c r="DZ12" s="43" t="str">
        <f t="shared" si="78"/>
        <v/>
      </c>
      <c r="EA12" s="43" t="str">
        <f t="shared" si="78"/>
        <v/>
      </c>
      <c r="EB12" s="43" t="str">
        <f t="shared" si="78"/>
        <v/>
      </c>
      <c r="EC12" s="43"/>
      <c r="ED12" s="43"/>
      <c r="EE12" s="42" t="str">
        <f t="shared" ref="EE12:EI12" si="79">DX12</f>
        <v/>
      </c>
      <c r="EF12" s="43" t="str">
        <f t="shared" si="79"/>
        <v/>
      </c>
      <c r="EG12" s="43" t="str">
        <f t="shared" si="79"/>
        <v/>
      </c>
      <c r="EH12" s="43" t="str">
        <f t="shared" si="79"/>
        <v/>
      </c>
      <c r="EI12" s="43" t="str">
        <f t="shared" si="79"/>
        <v/>
      </c>
      <c r="EJ12" s="43"/>
      <c r="EK12" s="43"/>
      <c r="EL12" s="42" t="str">
        <f t="shared" ref="EL12:EP12" si="80">EE12</f>
        <v/>
      </c>
      <c r="EM12" s="43" t="str">
        <f t="shared" si="80"/>
        <v/>
      </c>
      <c r="EN12" s="43" t="str">
        <f t="shared" si="80"/>
        <v/>
      </c>
      <c r="EO12" s="43" t="str">
        <f t="shared" si="80"/>
        <v/>
      </c>
      <c r="EP12" s="43" t="str">
        <f t="shared" si="80"/>
        <v/>
      </c>
      <c r="EQ12" s="43"/>
      <c r="ER12" s="43"/>
    </row>
    <row r="13">
      <c r="A13" s="2"/>
      <c r="B13" s="38"/>
      <c r="C13" s="2"/>
      <c r="D13" s="2"/>
      <c r="E13" s="2"/>
      <c r="F13" s="2"/>
      <c r="G13" s="2"/>
      <c r="H13" s="2"/>
      <c r="I13" s="38"/>
      <c r="J13" s="2"/>
      <c r="K13" s="2"/>
      <c r="L13" s="2"/>
      <c r="M13" s="2"/>
      <c r="N13" s="2"/>
      <c r="O13" s="2"/>
      <c r="P13" s="38"/>
      <c r="Q13" s="2"/>
      <c r="R13" s="2"/>
      <c r="S13" s="2"/>
      <c r="T13" s="2"/>
      <c r="U13" s="2"/>
      <c r="V13" s="2"/>
      <c r="W13" s="38"/>
      <c r="X13" s="2"/>
      <c r="Y13" s="2"/>
      <c r="Z13" s="2"/>
      <c r="AA13" s="2"/>
      <c r="AB13" s="2"/>
      <c r="AC13" s="2"/>
      <c r="AD13" s="38"/>
      <c r="AE13" s="2"/>
      <c r="AF13" s="2"/>
      <c r="AG13" s="2"/>
      <c r="AH13" s="2"/>
      <c r="AI13" s="2"/>
      <c r="AJ13" s="2"/>
      <c r="AK13" s="38"/>
      <c r="AL13" s="2"/>
      <c r="AM13" s="2"/>
      <c r="AN13" s="2"/>
      <c r="AO13" s="2"/>
      <c r="AP13" s="2"/>
      <c r="AQ13" s="2"/>
      <c r="AR13" s="38"/>
      <c r="AS13" s="2"/>
      <c r="AT13" s="2"/>
      <c r="AU13" s="2"/>
      <c r="AV13" s="2"/>
      <c r="AW13" s="2"/>
      <c r="AX13" s="2"/>
      <c r="AY13" s="38"/>
      <c r="AZ13" s="2"/>
      <c r="BA13" s="2"/>
      <c r="BB13" s="2"/>
      <c r="BC13" s="2"/>
      <c r="BD13" s="2"/>
      <c r="BE13" s="2"/>
      <c r="BF13" s="38"/>
      <c r="BG13" s="2"/>
      <c r="BH13" s="2"/>
      <c r="BI13" s="2"/>
      <c r="BJ13" s="2"/>
      <c r="BK13" s="2"/>
      <c r="BL13" s="2"/>
      <c r="BM13" s="38"/>
      <c r="BN13" s="2"/>
      <c r="BO13" s="2"/>
      <c r="BP13" s="2"/>
      <c r="BQ13" s="2"/>
      <c r="BR13" s="2"/>
      <c r="BS13" s="2"/>
      <c r="BT13" s="38"/>
      <c r="BU13" s="2"/>
      <c r="BV13" s="2"/>
      <c r="BW13" s="2"/>
      <c r="BX13" s="2"/>
      <c r="BY13" s="2"/>
      <c r="BZ13" s="2"/>
      <c r="CA13" s="38"/>
      <c r="CB13" s="2"/>
      <c r="CC13" s="2"/>
      <c r="CD13" s="2"/>
      <c r="CE13" s="2"/>
      <c r="CF13" s="2"/>
      <c r="CG13" s="2"/>
      <c r="CH13" s="38"/>
      <c r="CI13" s="2"/>
      <c r="CJ13" s="2"/>
      <c r="CK13" s="2"/>
      <c r="CL13" s="2"/>
      <c r="CM13" s="2"/>
      <c r="CN13" s="2"/>
      <c r="CO13" s="38"/>
      <c r="CP13" s="2"/>
      <c r="CQ13" s="2"/>
      <c r="CR13" s="2"/>
      <c r="CS13" s="2"/>
      <c r="CT13" s="2"/>
      <c r="CU13" s="2"/>
      <c r="CV13" s="38"/>
      <c r="CW13" s="2"/>
      <c r="CX13" s="2"/>
      <c r="CY13" s="2"/>
      <c r="CZ13" s="2"/>
      <c r="DA13" s="2"/>
      <c r="DB13" s="2"/>
      <c r="DC13" s="38"/>
      <c r="DD13" s="2"/>
      <c r="DE13" s="2"/>
      <c r="DF13" s="2"/>
      <c r="DG13" s="2"/>
      <c r="DH13" s="2"/>
      <c r="DI13" s="2"/>
      <c r="DJ13" s="38"/>
      <c r="DK13" s="2"/>
      <c r="DL13" s="2"/>
      <c r="DM13" s="2"/>
      <c r="DN13" s="2"/>
      <c r="DO13" s="2"/>
      <c r="DP13" s="2"/>
      <c r="DQ13" s="38"/>
      <c r="DR13" s="2"/>
      <c r="DS13" s="2"/>
      <c r="DT13" s="2"/>
      <c r="DU13" s="2"/>
      <c r="DV13" s="2"/>
      <c r="DW13" s="2"/>
      <c r="DX13" s="38"/>
      <c r="DY13" s="2"/>
      <c r="DZ13" s="2"/>
      <c r="EA13" s="2"/>
      <c r="EB13" s="2"/>
      <c r="EC13" s="2"/>
      <c r="ED13" s="2"/>
      <c r="EE13" s="38"/>
      <c r="EF13" s="2"/>
      <c r="EG13" s="2"/>
      <c r="EH13" s="2"/>
      <c r="EI13" s="2"/>
      <c r="EJ13" s="2"/>
      <c r="EK13" s="2"/>
      <c r="EL13" s="38"/>
      <c r="EM13" s="2"/>
      <c r="EN13" s="2"/>
      <c r="EO13" s="2"/>
      <c r="EP13" s="2"/>
      <c r="EQ13" s="2"/>
      <c r="ER13" s="2"/>
    </row>
    <row r="14">
      <c r="A14" s="28" t="s">
        <v>78</v>
      </c>
      <c r="B14" s="29"/>
      <c r="C14" s="30"/>
      <c r="D14" s="30"/>
      <c r="E14" s="30"/>
      <c r="F14" s="30"/>
      <c r="G14" s="30"/>
      <c r="H14" s="30"/>
      <c r="I14" s="29"/>
      <c r="J14" s="30"/>
      <c r="K14" s="30"/>
      <c r="L14" s="30"/>
      <c r="M14" s="30"/>
      <c r="N14" s="30"/>
      <c r="O14" s="30"/>
      <c r="P14" s="29"/>
      <c r="Q14" s="30"/>
      <c r="R14" s="30"/>
      <c r="S14" s="30"/>
      <c r="T14" s="30"/>
      <c r="U14" s="30"/>
      <c r="V14" s="30"/>
      <c r="W14" s="29"/>
      <c r="X14" s="30"/>
      <c r="Y14" s="30"/>
      <c r="Z14" s="30"/>
      <c r="AA14" s="30"/>
      <c r="AB14" s="30"/>
      <c r="AC14" s="30"/>
      <c r="AD14" s="29"/>
      <c r="AE14" s="30"/>
      <c r="AF14" s="30"/>
      <c r="AG14" s="30"/>
      <c r="AH14" s="30"/>
      <c r="AI14" s="30"/>
      <c r="AJ14" s="30"/>
      <c r="AK14" s="29"/>
      <c r="AL14" s="30"/>
      <c r="AM14" s="30"/>
      <c r="AN14" s="30"/>
      <c r="AO14" s="30"/>
      <c r="AP14" s="30"/>
      <c r="AQ14" s="30"/>
      <c r="AR14" s="29"/>
      <c r="AS14" s="30"/>
      <c r="AT14" s="30"/>
      <c r="AU14" s="30"/>
      <c r="AV14" s="30"/>
      <c r="AW14" s="30"/>
      <c r="AX14" s="30"/>
      <c r="AY14" s="29"/>
      <c r="AZ14" s="30"/>
      <c r="BA14" s="30"/>
      <c r="BB14" s="30"/>
      <c r="BC14" s="30"/>
      <c r="BD14" s="30"/>
      <c r="BE14" s="30"/>
      <c r="BF14" s="29"/>
      <c r="BG14" s="30"/>
      <c r="BH14" s="30"/>
      <c r="BI14" s="30"/>
      <c r="BJ14" s="30"/>
      <c r="BK14" s="30"/>
      <c r="BL14" s="30"/>
      <c r="BM14" s="29"/>
      <c r="BN14" s="30"/>
      <c r="BO14" s="30"/>
      <c r="BP14" s="30"/>
      <c r="BQ14" s="30"/>
      <c r="BR14" s="30"/>
      <c r="BS14" s="30"/>
      <c r="BT14" s="29"/>
      <c r="BU14" s="30"/>
      <c r="BV14" s="30"/>
      <c r="BW14" s="30"/>
      <c r="BX14" s="30"/>
      <c r="BY14" s="30"/>
      <c r="BZ14" s="30"/>
      <c r="CA14" s="29"/>
      <c r="CB14" s="30"/>
      <c r="CC14" s="30"/>
      <c r="CD14" s="30"/>
      <c r="CE14" s="30"/>
      <c r="CF14" s="30"/>
      <c r="CG14" s="30"/>
      <c r="CH14" s="29"/>
      <c r="CI14" s="30"/>
      <c r="CJ14" s="30"/>
      <c r="CK14" s="30"/>
      <c r="CL14" s="30"/>
      <c r="CM14" s="30"/>
      <c r="CN14" s="30"/>
      <c r="CO14" s="29"/>
      <c r="CP14" s="30"/>
      <c r="CQ14" s="30"/>
      <c r="CR14" s="30"/>
      <c r="CS14" s="30"/>
      <c r="CT14" s="30"/>
      <c r="CU14" s="30"/>
      <c r="CV14" s="29"/>
      <c r="CW14" s="30"/>
      <c r="CX14" s="30"/>
      <c r="CY14" s="30"/>
      <c r="CZ14" s="30"/>
      <c r="DA14" s="30"/>
      <c r="DB14" s="30"/>
      <c r="DC14" s="29"/>
      <c r="DD14" s="30"/>
      <c r="DE14" s="30"/>
      <c r="DF14" s="30"/>
      <c r="DG14" s="30"/>
      <c r="DH14" s="30"/>
      <c r="DI14" s="30"/>
      <c r="DJ14" s="29"/>
      <c r="DK14" s="30"/>
      <c r="DL14" s="30"/>
      <c r="DM14" s="30"/>
      <c r="DN14" s="30"/>
      <c r="DO14" s="30"/>
      <c r="DP14" s="30"/>
      <c r="DQ14" s="29"/>
      <c r="DR14" s="30"/>
      <c r="DS14" s="30"/>
      <c r="DT14" s="30"/>
      <c r="DU14" s="30"/>
      <c r="DV14" s="30"/>
      <c r="DW14" s="30"/>
      <c r="DX14" s="29"/>
      <c r="DY14" s="30"/>
      <c r="DZ14" s="30"/>
      <c r="EA14" s="30"/>
      <c r="EB14" s="30"/>
      <c r="EC14" s="30"/>
      <c r="ED14" s="30"/>
      <c r="EE14" s="31" t="s">
        <v>75</v>
      </c>
      <c r="EF14" s="32"/>
      <c r="EG14" s="32"/>
      <c r="EH14" s="32"/>
      <c r="EI14" s="32"/>
      <c r="EJ14" s="32"/>
      <c r="EK14" s="32"/>
      <c r="EL14" s="29"/>
      <c r="EM14" s="30"/>
      <c r="EN14" s="30"/>
      <c r="EO14" s="30"/>
      <c r="EP14" s="30"/>
      <c r="EQ14" s="30"/>
      <c r="ER14" s="30"/>
    </row>
    <row r="15" hidden="1">
      <c r="A15" s="33" t="str">
        <f>CONCATENATE(A16," TM")</f>
        <v>Bench Press TM</v>
      </c>
      <c r="B15" s="34">
        <f>if(D15="",'Quick Setup'!D6,D15/'Quick Setup'!E6)</f>
        <v>325</v>
      </c>
      <c r="C15" s="35" t="s">
        <v>73</v>
      </c>
      <c r="D15" s="36"/>
      <c r="E15" s="37"/>
      <c r="F15" s="37"/>
      <c r="G15" s="37"/>
      <c r="H15" s="37"/>
      <c r="I15" s="34">
        <f>if(K15="", if(F16&lt;&gt;"", if(F16&gt;Setup!F5,B15*(1+Setup!G5),if(F16&lt;Setup!E5,B15*(1+Setup!H5),B15)),B15),K15/'Quick Setup'!$E6)</f>
        <v>325</v>
      </c>
      <c r="J15" s="35" t="s">
        <v>73</v>
      </c>
      <c r="K15" s="36"/>
      <c r="L15" s="37"/>
      <c r="M15" s="37"/>
      <c r="N15" s="37"/>
      <c r="O15" s="37"/>
      <c r="P15" s="34">
        <f>if(R15="", if(M16&lt;&gt;"", if(M16&gt;Setup!M5,I15*(1+Setup!N5),if(M16&lt;Setup!L5,I15*(1+Setup!O5),I15)),I15),R15/'Quick Setup'!$E6)</f>
        <v>325</v>
      </c>
      <c r="Q15" s="35" t="s">
        <v>73</v>
      </c>
      <c r="R15" s="36"/>
      <c r="S15" s="37"/>
      <c r="T15" s="37"/>
      <c r="U15" s="37"/>
      <c r="V15" s="37"/>
      <c r="W15" s="34">
        <f>if(Y15="", if(T16&lt;&gt;"", if(T16&gt;Setup!T5,P15*(1+Setup!U5),if(T16&lt;Setup!S5,P15*(1+Setup!V5),P15)),P15),Y15/'Quick Setup'!$E6)</f>
        <v>325</v>
      </c>
      <c r="X15" s="35" t="s">
        <v>73</v>
      </c>
      <c r="Y15" s="36"/>
      <c r="Z15" s="37"/>
      <c r="AA15" s="37"/>
      <c r="AB15" s="37"/>
      <c r="AC15" s="37"/>
      <c r="AD15" s="34">
        <f>if(AF15="", if(AA16&lt;&gt;"", if(AA16&gt;Setup!AA5,W15*(1+Setup!AB5),if(AA16&lt;Setup!Z5,W15*(1+Setup!AC5),W15)),W15),AF15/'Quick Setup'!$E6)</f>
        <v>325</v>
      </c>
      <c r="AE15" s="35" t="s">
        <v>73</v>
      </c>
      <c r="AF15" s="36"/>
      <c r="AG15" s="37"/>
      <c r="AH15" s="37"/>
      <c r="AI15" s="37"/>
      <c r="AJ15" s="37"/>
      <c r="AK15" s="34">
        <f>if(AM15="", if(AH16&lt;&gt;"", if(AH16&gt;Setup!AH5,AD15*(1+Setup!AI5),if(AH16&lt;Setup!AG5,AD15*(1+Setup!AJ5),AD15)),AD15),AM15/'Quick Setup'!$E6)</f>
        <v>325</v>
      </c>
      <c r="AL15" s="35" t="s">
        <v>73</v>
      </c>
      <c r="AM15" s="36"/>
      <c r="AN15" s="37"/>
      <c r="AO15" s="37"/>
      <c r="AP15" s="37"/>
      <c r="AQ15" s="37"/>
      <c r="AR15" s="34">
        <f>if(AT15="", if(AO16&lt;&gt;"", if(AO16&gt;Setup!AO5,AK15*(1+Setup!AP5),if(AO16&lt;Setup!AN5,AK15*(1+Setup!AQ5),AK15)),AK15),AT15/'Quick Setup'!$E6)</f>
        <v>325</v>
      </c>
      <c r="AS15" s="35" t="s">
        <v>73</v>
      </c>
      <c r="AT15" s="36"/>
      <c r="AU15" s="37"/>
      <c r="AV15" s="37"/>
      <c r="AW15" s="37"/>
      <c r="AX15" s="37"/>
      <c r="AY15" s="34">
        <f>if(BA15="",AR15,BA15/'Quick Setup'!$E6)</f>
        <v>325</v>
      </c>
      <c r="AZ15" s="35" t="s">
        <v>73</v>
      </c>
      <c r="BA15" s="36"/>
      <c r="BB15" s="37"/>
      <c r="BC15" s="37"/>
      <c r="BD15" s="37"/>
      <c r="BE15" s="37"/>
      <c r="BF15" s="34">
        <f>if(BH15="", if(BC16&lt;&gt;"", if(BC16&gt;Setup!BC5,AY15*(1+Setup!BD5),if(BC16&lt;Setup!BB5,AY15*(1+Setup!BE5),AY15)),AY15),BH15/'Quick Setup'!$E6)</f>
        <v>325</v>
      </c>
      <c r="BG15" s="35" t="s">
        <v>73</v>
      </c>
      <c r="BH15" s="36"/>
      <c r="BI15" s="37"/>
      <c r="BJ15" s="37"/>
      <c r="BK15" s="37"/>
      <c r="BL15" s="37"/>
      <c r="BM15" s="34">
        <f>if(BO15="", if(BJ16&lt;&gt;"", if(BJ16&gt;Setup!BJ5,BF15*(1+Setup!BK5),if(BJ16&lt;Setup!BI5,BF15*(1+Setup!BL5),BF15)),BF15),BO15/'Quick Setup'!$E6)</f>
        <v>325</v>
      </c>
      <c r="BN15" s="35" t="s">
        <v>73</v>
      </c>
      <c r="BO15" s="36"/>
      <c r="BP15" s="37"/>
      <c r="BQ15" s="37"/>
      <c r="BR15" s="37"/>
      <c r="BS15" s="37"/>
      <c r="BT15" s="34">
        <f>if(BV15="", if(BQ16&lt;&gt;"", if(BQ16&gt;Setup!BQ5,BM15*(1+Setup!BR5),if(BQ16&lt;Setup!BP5,BM15*(1+Setup!BS5),BM15)),BM15),BV15/'Quick Setup'!$E6)</f>
        <v>325</v>
      </c>
      <c r="BU15" s="35" t="s">
        <v>73</v>
      </c>
      <c r="BV15" s="36"/>
      <c r="BW15" s="37"/>
      <c r="BX15" s="37"/>
      <c r="BY15" s="37"/>
      <c r="BZ15" s="37"/>
      <c r="CA15" s="34">
        <f>if(CC15="", if(BX16&lt;&gt;"", if(BX16&gt;Setup!BX5,BT15*(1+Setup!BY5),if(BX16&lt;Setup!BW5,BT15*(1+Setup!BZ5),BT15)),BT15),CC15/'Quick Setup'!$E6)</f>
        <v>325</v>
      </c>
      <c r="CB15" s="35" t="s">
        <v>73</v>
      </c>
      <c r="CC15" s="36"/>
      <c r="CD15" s="37"/>
      <c r="CE15" s="37"/>
      <c r="CF15" s="37"/>
      <c r="CG15" s="37"/>
      <c r="CH15" s="34">
        <f>if(CJ15="", if(CE16&lt;&gt;"", if(CE16&gt;Setup!CE5,CA15*(1+Setup!CF5),if(CE16&lt;Setup!CD5,CA15*(1+Setup!CG5),CA15)),CA15),CJ15/'Quick Setup'!$E6)</f>
        <v>325</v>
      </c>
      <c r="CI15" s="35" t="s">
        <v>73</v>
      </c>
      <c r="CJ15" s="36"/>
      <c r="CK15" s="37"/>
      <c r="CL15" s="37"/>
      <c r="CM15" s="37"/>
      <c r="CN15" s="37"/>
      <c r="CO15" s="34">
        <f>if(CQ15="", if(CL16&lt;&gt;"", if(CL16&gt;Setup!CL5,CH15*(1+Setup!CM5),if(CL16&lt;Setup!CK5,CH15*(1+Setup!CN5),CH15)),CH15),CQ15/'Quick Setup'!$E6)</f>
        <v>325</v>
      </c>
      <c r="CP15" s="35" t="s">
        <v>73</v>
      </c>
      <c r="CQ15" s="36"/>
      <c r="CR15" s="37"/>
      <c r="CS15" s="37"/>
      <c r="CT15" s="37"/>
      <c r="CU15" s="37"/>
      <c r="CV15" s="34">
        <f>if(CX15="",CO15,CX15/'Quick Setup'!$E6)</f>
        <v>325</v>
      </c>
      <c r="CW15" s="35" t="s">
        <v>73</v>
      </c>
      <c r="CX15" s="36"/>
      <c r="CY15" s="37"/>
      <c r="CZ15" s="37"/>
      <c r="DA15" s="37"/>
      <c r="DB15" s="37"/>
      <c r="DC15" s="34">
        <f>if(DE15="", if(CZ16&lt;&gt;"", if(CZ16&gt;Setup!CZ5,CV15*(1+Setup!DA5),if(CZ16&lt;Setup!CY5,CV15*(1+Setup!DB5),CV15)),CV15),DE15/'Quick Setup'!$E6)</f>
        <v>325</v>
      </c>
      <c r="DD15" s="35" t="s">
        <v>73</v>
      </c>
      <c r="DE15" s="36"/>
      <c r="DF15" s="37"/>
      <c r="DG15" s="37"/>
      <c r="DH15" s="37"/>
      <c r="DI15" s="37"/>
      <c r="DJ15" s="34">
        <f>if(DL15="", if(DG16&lt;&gt;"", if(DG16&gt;Setup!DG5,DC15*(1+Setup!DH5),if(DG16&lt;Setup!DF5,DC15*(1+Setup!DI5),DC15)),DC15),DL15/'Quick Setup'!$E6)</f>
        <v>325</v>
      </c>
      <c r="DK15" s="35" t="s">
        <v>73</v>
      </c>
      <c r="DL15" s="36"/>
      <c r="DM15" s="37"/>
      <c r="DN15" s="37"/>
      <c r="DO15" s="37"/>
      <c r="DP15" s="37"/>
      <c r="DQ15" s="34">
        <f>if(DS15="", if(DN16&lt;&gt;"", if(DN16&gt;Setup!DN5,DJ15*(1+Setup!DO5),if(DN16&lt;Setup!DM5,DJ15*(1+Setup!DP5),DJ15)),DJ15),DS15/'Quick Setup'!$E6)</f>
        <v>325</v>
      </c>
      <c r="DR15" s="35" t="s">
        <v>73</v>
      </c>
      <c r="DS15" s="36"/>
      <c r="DT15" s="37"/>
      <c r="DU15" s="37"/>
      <c r="DV15" s="37"/>
      <c r="DW15" s="37"/>
      <c r="DX15" s="34">
        <f>if(DZ15="", if(DU16&lt;&gt;"", if(DU16&gt;Setup!DU5,DQ15*(1+Setup!DV5),if(DU16&lt;Setup!DT5,DQ15*(1+Setup!DW5),DQ15)),DQ15),DZ15/'Quick Setup'!$E6)</f>
        <v>325</v>
      </c>
      <c r="DY15" s="35" t="s">
        <v>73</v>
      </c>
      <c r="DZ15" s="36"/>
      <c r="EA15" s="37"/>
      <c r="EB15" s="37"/>
      <c r="EC15" s="37"/>
      <c r="ED15" s="37"/>
      <c r="EE15" s="34">
        <f>if(EG15="", if(EB16&lt;&gt;"", if(EB16&gt;Setup!EB5,DX15*(1+Setup!EC5),if(EB16&lt;Setup!EA5,DX15*(1+Setup!ED5),DX15)),DX15),EG15/'Quick Setup'!$E6)</f>
        <v>325</v>
      </c>
      <c r="EF15" s="35" t="s">
        <v>73</v>
      </c>
      <c r="EG15" s="36"/>
      <c r="EH15" s="37"/>
      <c r="EI15" s="37"/>
      <c r="EJ15" s="37"/>
      <c r="EK15" s="37"/>
      <c r="EL15" s="34">
        <f>if(EN15="", if(EI16&lt;&gt;"", if(EI16&gt;Setup!EI5,EE15*(1+Setup!EJ5),if(EI16&lt;Setup!EH5,EE15*(1+Setup!EK5),EE15)),EE15),EN15/'Quick Setup'!$E6)</f>
        <v>325</v>
      </c>
      <c r="EM15" s="35" t="s">
        <v>73</v>
      </c>
      <c r="EN15" s="36"/>
      <c r="EO15" s="37"/>
      <c r="EP15" s="37"/>
      <c r="EQ15" s="37"/>
      <c r="ER15" s="37"/>
    </row>
    <row r="16">
      <c r="A16" s="1" t="str">
        <f>Setup!A5</f>
        <v>Bench Press</v>
      </c>
      <c r="B16" s="38">
        <f>mround(B15*Setup!B5,'Quick Setup'!$A$2)</f>
        <v>227.5</v>
      </c>
      <c r="C16" s="2">
        <f>Setup!C5</f>
        <v>5</v>
      </c>
      <c r="D16" s="2">
        <f>Setup!D5</f>
        <v>3</v>
      </c>
      <c r="E16" s="2" t="str">
        <f>CONCATENATE(Setup!E5,"-",Setup!F5)</f>
        <v>4-6</v>
      </c>
      <c r="F16" s="10"/>
      <c r="G16" s="10"/>
      <c r="H16" s="10"/>
      <c r="I16" s="38">
        <f>mround(I15*Setup!I5,'Quick Setup'!$A$2)</f>
        <v>245</v>
      </c>
      <c r="J16" s="2">
        <f>Setup!J5</f>
        <v>4</v>
      </c>
      <c r="K16" s="2">
        <f>Setup!K5</f>
        <v>3</v>
      </c>
      <c r="L16" s="2" t="str">
        <f>CONCATENATE(Setup!L5,"-",Setup!M5)</f>
        <v>4-6</v>
      </c>
      <c r="M16" s="10"/>
      <c r="N16" s="10"/>
      <c r="O16" s="10"/>
      <c r="P16" s="38">
        <f>mround(P15*Setup!P5,'Quick Setup'!$A$2)</f>
        <v>260</v>
      </c>
      <c r="Q16" s="2">
        <f>Setup!Q5</f>
        <v>3</v>
      </c>
      <c r="R16" s="2">
        <f>Setup!R5</f>
        <v>2</v>
      </c>
      <c r="S16" s="2" t="str">
        <f>CONCATENATE(Setup!S5,"-",Setup!T5)</f>
        <v>4-6</v>
      </c>
      <c r="T16" s="10"/>
      <c r="U16" s="10"/>
      <c r="V16" s="10"/>
      <c r="W16" s="38">
        <f>mround(W15*Setup!W5,'Quick Setup'!$A$2)</f>
        <v>235</v>
      </c>
      <c r="X16" s="2">
        <f>Setup!X5</f>
        <v>5</v>
      </c>
      <c r="Y16" s="2">
        <f>Setup!Y5</f>
        <v>3</v>
      </c>
      <c r="Z16" s="2" t="str">
        <f>CONCATENATE(Setup!Z5,"-",Setup!AA5)</f>
        <v>4-6</v>
      </c>
      <c r="AA16" s="10"/>
      <c r="AB16" s="10"/>
      <c r="AC16" s="10"/>
      <c r="AD16" s="38">
        <f>mround(AD15*Setup!AD5,'Quick Setup'!$A$2)</f>
        <v>252.5</v>
      </c>
      <c r="AE16" s="2">
        <f>Setup!AE5</f>
        <v>4</v>
      </c>
      <c r="AF16" s="2">
        <f>Setup!AF5</f>
        <v>3</v>
      </c>
      <c r="AG16" s="2" t="str">
        <f>CONCATENATE(Setup!AG5,"-",Setup!AH5)</f>
        <v>4-6</v>
      </c>
      <c r="AH16" s="10"/>
      <c r="AI16" s="10"/>
      <c r="AJ16" s="10"/>
      <c r="AK16" s="38">
        <f>mround(AK15*Setup!AK5,'Quick Setup'!$A$2)</f>
        <v>267.5</v>
      </c>
      <c r="AL16" s="2">
        <f>Setup!AL5</f>
        <v>3</v>
      </c>
      <c r="AM16" s="2">
        <f>Setup!AM5</f>
        <v>2</v>
      </c>
      <c r="AN16" s="2" t="str">
        <f>CONCATENATE(Setup!AN5,"-",Setup!AO5)</f>
        <v>4-6</v>
      </c>
      <c r="AO16" s="10"/>
      <c r="AP16" s="10"/>
      <c r="AQ16" s="10"/>
      <c r="AR16" s="38">
        <f>mround(AR15*Setup!AR5,'Quick Setup'!$A$2)</f>
        <v>195</v>
      </c>
      <c r="AS16" s="1">
        <v>5.0</v>
      </c>
      <c r="AT16" s="1" t="s">
        <v>76</v>
      </c>
      <c r="AU16" s="2" t="str">
        <f>CONCATENATE(Setup!AU5,"-",Setup!AV5)</f>
        <v>4-6</v>
      </c>
      <c r="AV16" s="10"/>
      <c r="AW16" s="10"/>
      <c r="AX16" s="10"/>
      <c r="AY16" s="38">
        <f>mround(AY15*Setup!AY5,'Quick Setup'!$A$2)</f>
        <v>245</v>
      </c>
      <c r="AZ16" s="2">
        <f>Setup!AZ5</f>
        <v>4</v>
      </c>
      <c r="BA16" s="2">
        <f>Setup!BA5</f>
        <v>3</v>
      </c>
      <c r="BB16" s="2" t="str">
        <f>CONCATENATE(Setup!BB5,"-",Setup!BC5)</f>
        <v>4-6</v>
      </c>
      <c r="BC16" s="10"/>
      <c r="BD16" s="10"/>
      <c r="BE16" s="10"/>
      <c r="BF16" s="38">
        <f>mround(BF15*Setup!BF5,'Quick Setup'!$A$2)</f>
        <v>260</v>
      </c>
      <c r="BG16" s="2">
        <f>Setup!BG5</f>
        <v>3</v>
      </c>
      <c r="BH16" s="2">
        <f>Setup!BH5</f>
        <v>2</v>
      </c>
      <c r="BI16" s="2" t="str">
        <f>CONCATENATE(Setup!BI5,"-",Setup!BJ5)</f>
        <v>4-6</v>
      </c>
      <c r="BJ16" s="10"/>
      <c r="BK16" s="10"/>
      <c r="BL16" s="10"/>
      <c r="BM16" s="38">
        <f>mround(BM15*Setup!BM5,'Quick Setup'!$A$2)</f>
        <v>277.5</v>
      </c>
      <c r="BN16" s="2">
        <f>Setup!BN5</f>
        <v>2</v>
      </c>
      <c r="BO16" s="2">
        <f>Setup!BO5</f>
        <v>2</v>
      </c>
      <c r="BP16" s="2" t="str">
        <f>CONCATENATE(Setup!BP5,"-",Setup!BQ5)</f>
        <v>4-6</v>
      </c>
      <c r="BQ16" s="10"/>
      <c r="BR16" s="10"/>
      <c r="BS16" s="10"/>
      <c r="BT16" s="38">
        <f>mround(BT15*Setup!BT5,'Quick Setup'!$A$2)</f>
        <v>252.5</v>
      </c>
      <c r="BU16" s="2">
        <f>Setup!BU5</f>
        <v>4</v>
      </c>
      <c r="BV16" s="2">
        <f>Setup!BV5</f>
        <v>3</v>
      </c>
      <c r="BW16" s="2" t="str">
        <f>CONCATENATE(Setup!BW5,"-",Setup!BX5)</f>
        <v>4-6</v>
      </c>
      <c r="BX16" s="10"/>
      <c r="BY16" s="10"/>
      <c r="BZ16" s="10"/>
      <c r="CA16" s="38">
        <f>mround(CA15*Setup!CA5,'Quick Setup'!$A$2)</f>
        <v>267.5</v>
      </c>
      <c r="CB16" s="2">
        <f>Setup!CB5</f>
        <v>3</v>
      </c>
      <c r="CC16" s="2">
        <f>Setup!CC5</f>
        <v>2</v>
      </c>
      <c r="CD16" s="2" t="str">
        <f>CONCATENATE(Setup!CD5,"-",Setup!CE5)</f>
        <v>4-6</v>
      </c>
      <c r="CE16" s="10"/>
      <c r="CF16" s="10"/>
      <c r="CG16" s="10"/>
      <c r="CH16" s="38">
        <f>mround(CH15*Setup!CH5,'Quick Setup'!$A$2)</f>
        <v>285</v>
      </c>
      <c r="CI16" s="2">
        <f>Setup!CI5</f>
        <v>2</v>
      </c>
      <c r="CJ16" s="2">
        <f>Setup!CJ5</f>
        <v>2</v>
      </c>
      <c r="CK16" s="2" t="str">
        <f>CONCATENATE(Setup!CK5,"-",Setup!CL5)</f>
        <v>4-6</v>
      </c>
      <c r="CL16" s="10"/>
      <c r="CM16" s="10"/>
      <c r="CN16" s="10"/>
      <c r="CO16" s="38">
        <f>mround(CO15*Setup!CO5,'Quick Setup'!$A$2)</f>
        <v>195</v>
      </c>
      <c r="CP16" s="1">
        <v>5.0</v>
      </c>
      <c r="CQ16" s="1" t="s">
        <v>76</v>
      </c>
      <c r="CR16" s="2" t="str">
        <f>CONCATENATE(Setup!CR5,"-",Setup!CS5)</f>
        <v>4-6</v>
      </c>
      <c r="CS16" s="10"/>
      <c r="CT16" s="10"/>
      <c r="CU16" s="10"/>
      <c r="CV16" s="38">
        <f>mround(CV15*Setup!CV5,'Quick Setup'!$A$2)</f>
        <v>260</v>
      </c>
      <c r="CW16" s="2">
        <f>Setup!CW5</f>
        <v>3</v>
      </c>
      <c r="CX16" s="2">
        <f>Setup!CX5</f>
        <v>2</v>
      </c>
      <c r="CY16" s="2" t="str">
        <f>CONCATENATE(Setup!CY5,"-",Setup!CZ5)</f>
        <v>4-6</v>
      </c>
      <c r="CZ16" s="10"/>
      <c r="DA16" s="10"/>
      <c r="DB16" s="10"/>
      <c r="DC16" s="38">
        <f>mround(DC15*Setup!DC5,'Quick Setup'!$A$2)</f>
        <v>277.5</v>
      </c>
      <c r="DD16" s="2">
        <f>Setup!DD5</f>
        <v>2</v>
      </c>
      <c r="DE16" s="2">
        <f>Setup!DE5</f>
        <v>2</v>
      </c>
      <c r="DF16" s="2" t="str">
        <f>CONCATENATE(Setup!DF5,"-",Setup!DG5)</f>
        <v>4-6</v>
      </c>
      <c r="DG16" s="10"/>
      <c r="DH16" s="10"/>
      <c r="DI16" s="10"/>
      <c r="DJ16" s="38">
        <f>mround(DJ15*Setup!DJ5,'Quick Setup'!$A$2)</f>
        <v>292.5</v>
      </c>
      <c r="DK16" s="2">
        <f>Setup!DK5</f>
        <v>1</v>
      </c>
      <c r="DL16" s="2">
        <f>Setup!DL5</f>
        <v>1</v>
      </c>
      <c r="DM16" s="2" t="str">
        <f>CONCATENATE(Setup!DM5,"-",Setup!DN5)</f>
        <v>4-6</v>
      </c>
      <c r="DN16" s="10"/>
      <c r="DO16" s="10"/>
      <c r="DP16" s="10"/>
      <c r="DQ16" s="38">
        <f>mround(DQ15*Setup!DQ5,'Quick Setup'!$A$2)</f>
        <v>277.5</v>
      </c>
      <c r="DR16" s="2">
        <f>Setup!DR5</f>
        <v>2</v>
      </c>
      <c r="DS16" s="2">
        <f>Setup!DS5</f>
        <v>2</v>
      </c>
      <c r="DT16" s="2" t="str">
        <f>CONCATENATE(Setup!DT5,"-",Setup!DU5)</f>
        <v>4-6</v>
      </c>
      <c r="DU16" s="10"/>
      <c r="DV16" s="10"/>
      <c r="DW16" s="10"/>
      <c r="DX16" s="38">
        <f>mround(DX15*Setup!DX5,'Quick Setup'!$A$2)</f>
        <v>292.5</v>
      </c>
      <c r="DY16" s="2">
        <f>Setup!DY5</f>
        <v>1</v>
      </c>
      <c r="DZ16" s="2">
        <f>Setup!DZ5</f>
        <v>1</v>
      </c>
      <c r="EA16" s="2" t="str">
        <f>CONCATENATE(Setup!EA5,"-",Setup!EB5)</f>
        <v>4-6</v>
      </c>
      <c r="EB16" s="10"/>
      <c r="EC16" s="10"/>
      <c r="ED16" s="10"/>
      <c r="EE16" s="38">
        <f>mround(EE15*Setup!EE5,'Quick Setup'!$A$2)</f>
        <v>310</v>
      </c>
      <c r="EF16" s="2">
        <f>Setup!EF5</f>
        <v>1</v>
      </c>
      <c r="EG16" s="2">
        <f>Setup!EG5</f>
        <v>1</v>
      </c>
      <c r="EH16" s="2" t="str">
        <f>CONCATENATE(Setup!EH5,"-",Setup!EI5)</f>
        <v>4-6</v>
      </c>
      <c r="EI16" s="10"/>
      <c r="EJ16" s="10"/>
      <c r="EK16" s="10"/>
      <c r="EL16" s="38">
        <f>mround(EL15*Setup!EL5,'Quick Setup'!$A$2)</f>
        <v>195</v>
      </c>
      <c r="EM16" s="1">
        <v>5.0</v>
      </c>
      <c r="EN16" s="1" t="s">
        <v>76</v>
      </c>
      <c r="EO16" s="2" t="str">
        <f>CONCATENATE(Setup!EO5,"-",Setup!EP5)</f>
        <v>4-6</v>
      </c>
      <c r="EP16" s="10"/>
      <c r="EQ16" s="10"/>
      <c r="ER16" s="10"/>
    </row>
    <row r="17" hidden="1">
      <c r="A17" s="33" t="str">
        <f>CONCATENATE(A18," TM")</f>
        <v>Push Press TM</v>
      </c>
      <c r="B17" s="34">
        <f>if(D17="",'Quick Setup'!D16,D17/'Quick Setup'!E16)</f>
        <v>245</v>
      </c>
      <c r="C17" s="35" t="s">
        <v>73</v>
      </c>
      <c r="D17" s="36"/>
      <c r="E17" s="37"/>
      <c r="F17" s="37"/>
      <c r="G17" s="37"/>
      <c r="H17" s="37"/>
      <c r="I17" s="34">
        <f>if(K17="", if(F18&lt;&gt;"", if(F18&gt;Setup!F15,B17*(1+Setup!G15),if(F18&lt;Setup!E15,B17*(1+Setup!H15),B17)),B17),K17/'Quick Setup'!$E16)</f>
        <v>245</v>
      </c>
      <c r="J17" s="35" t="s">
        <v>73</v>
      </c>
      <c r="K17" s="36"/>
      <c r="L17" s="37"/>
      <c r="M17" s="37"/>
      <c r="N17" s="37"/>
      <c r="O17" s="37"/>
      <c r="P17" s="34">
        <f>if(R17="", if(M18&lt;&gt;"", if(M18&gt;Setup!M15,I17*(1+Setup!N15),if(M18&lt;Setup!L15,I17*(1+Setup!O15),I17)),I17),R17/'Quick Setup'!$E16)</f>
        <v>245</v>
      </c>
      <c r="Q17" s="35" t="s">
        <v>73</v>
      </c>
      <c r="R17" s="36"/>
      <c r="S17" s="37"/>
      <c r="T17" s="37"/>
      <c r="U17" s="37"/>
      <c r="V17" s="37"/>
      <c r="W17" s="34">
        <f>if(Y17="", if(T18&lt;&gt;"", if(T18&gt;Setup!T15,P17*(1+Setup!U15),if(T18&lt;Setup!S15,P17*(1+Setup!V15),P17)),P17),Y17/'Quick Setup'!$E16)</f>
        <v>245</v>
      </c>
      <c r="X17" s="35" t="s">
        <v>73</v>
      </c>
      <c r="Y17" s="36"/>
      <c r="Z17" s="37"/>
      <c r="AA17" s="37"/>
      <c r="AB17" s="37"/>
      <c r="AC17" s="37"/>
      <c r="AD17" s="34">
        <f>if(AF17="", if(AA18&lt;&gt;"", if(AA18&gt;Setup!AA15,W17*(1+Setup!AB15),if(AA18&lt;Setup!Z15,W17*(1+Setup!AC15),W17)),W17),AF17/'Quick Setup'!$E16)</f>
        <v>245</v>
      </c>
      <c r="AE17" s="35" t="s">
        <v>73</v>
      </c>
      <c r="AF17" s="36"/>
      <c r="AG17" s="37"/>
      <c r="AH17" s="37"/>
      <c r="AI17" s="37"/>
      <c r="AJ17" s="37"/>
      <c r="AK17" s="34">
        <f>if(AM17="", if(AH18&lt;&gt;"", if(AH18&gt;Setup!AH15,AD17*(1+Setup!AI15),if(AH18&lt;Setup!AG15,AD17*(1+Setup!AJ15),AD17)),AD17),AM17/'Quick Setup'!$E16)</f>
        <v>245</v>
      </c>
      <c r="AL17" s="35" t="s">
        <v>73</v>
      </c>
      <c r="AM17" s="36"/>
      <c r="AN17" s="37"/>
      <c r="AO17" s="37"/>
      <c r="AP17" s="37"/>
      <c r="AQ17" s="37"/>
      <c r="AR17" s="34">
        <f>if(AT17="", if(AO18&lt;&gt;"", if(AO18&gt;Setup!AO15,AK17*(1+Setup!AP15),if(AO18&lt;Setup!AN15,AK17*(1+Setup!AQ15),AK17)),AK17),AT17/'Quick Setup'!$E16)</f>
        <v>245</v>
      </c>
      <c r="AS17" s="35" t="s">
        <v>73</v>
      </c>
      <c r="AT17" s="36"/>
      <c r="AU17" s="37"/>
      <c r="AV17" s="37"/>
      <c r="AW17" s="37"/>
      <c r="AX17" s="37"/>
      <c r="AY17" s="34">
        <f>if(BA17="",AR17,BA17/'Quick Setup'!$E16)</f>
        <v>245</v>
      </c>
      <c r="AZ17" s="35" t="s">
        <v>73</v>
      </c>
      <c r="BA17" s="36"/>
      <c r="BB17" s="37"/>
      <c r="BC17" s="37"/>
      <c r="BD17" s="37"/>
      <c r="BE17" s="37"/>
      <c r="BF17" s="34">
        <f>if(BH17="", if(BC18&lt;&gt;"", if(BC18&gt;Setup!BC15,AY17*(1+Setup!BD15),if(BC18&lt;Setup!BB15,AY17*(1+Setup!BE15),AY17)),AY17),BH17/'Quick Setup'!$E16)</f>
        <v>245</v>
      </c>
      <c r="BG17" s="35" t="s">
        <v>73</v>
      </c>
      <c r="BH17" s="36"/>
      <c r="BI17" s="37"/>
      <c r="BJ17" s="37"/>
      <c r="BK17" s="37"/>
      <c r="BL17" s="37"/>
      <c r="BM17" s="34">
        <f>if(BO17="", if(BJ18&lt;&gt;"", if(BJ18&gt;Setup!BJ15,BF17*(1+Setup!BK15),if(BJ18&lt;Setup!BI15,BF17*(1+Setup!BL15),BF17)),BF17),BO17/'Quick Setup'!$E16)</f>
        <v>245</v>
      </c>
      <c r="BN17" s="35" t="s">
        <v>73</v>
      </c>
      <c r="BO17" s="36"/>
      <c r="BP17" s="37"/>
      <c r="BQ17" s="37"/>
      <c r="BR17" s="37"/>
      <c r="BS17" s="37"/>
      <c r="BT17" s="34">
        <f>if(BV17="", if(BQ18&lt;&gt;"", if(BQ18&gt;Setup!BQ15,BM17*(1+Setup!BR15),if(BQ18&lt;Setup!BP15,BM17*(1+Setup!BS15),BM17)),BM17),BV17/'Quick Setup'!$E16)</f>
        <v>245</v>
      </c>
      <c r="BU17" s="35" t="s">
        <v>73</v>
      </c>
      <c r="BV17" s="36"/>
      <c r="BW17" s="37"/>
      <c r="BX17" s="37"/>
      <c r="BY17" s="37"/>
      <c r="BZ17" s="37"/>
      <c r="CA17" s="34">
        <f>if(CC17="", if(BX18&lt;&gt;"", if(BX18&gt;Setup!BX15,BT17*(1+Setup!BY15),if(BX18&lt;Setup!BW15,BT17*(1+Setup!BZ15),BT17)),BT17),CC17/'Quick Setup'!$E16)</f>
        <v>245</v>
      </c>
      <c r="CB17" s="35" t="s">
        <v>73</v>
      </c>
      <c r="CC17" s="36"/>
      <c r="CD17" s="37"/>
      <c r="CE17" s="37"/>
      <c r="CF17" s="37"/>
      <c r="CG17" s="37"/>
      <c r="CH17" s="34">
        <f>if(CJ17="", if(CE18&lt;&gt;"", if(CE18&gt;Setup!CE15,CA17*(1+Setup!CF15),if(CE18&lt;Setup!CD15,CA17*(1+Setup!CG15),CA17)),CA17),CJ17/'Quick Setup'!$E16)</f>
        <v>245</v>
      </c>
      <c r="CI17" s="35" t="s">
        <v>73</v>
      </c>
      <c r="CJ17" s="36"/>
      <c r="CK17" s="37"/>
      <c r="CL17" s="37"/>
      <c r="CM17" s="37"/>
      <c r="CN17" s="37"/>
      <c r="CO17" s="34">
        <f>if(CQ17="", if(CL18&lt;&gt;"", if(CL18&gt;Setup!CL15,CH17*(1+Setup!CM15),if(CL18&lt;Setup!CK15,CH17*(1+Setup!CN15),CH17)),CH17),CQ17/'Quick Setup'!$E16)</f>
        <v>245</v>
      </c>
      <c r="CP17" s="35" t="s">
        <v>73</v>
      </c>
      <c r="CQ17" s="36"/>
      <c r="CR17" s="37"/>
      <c r="CS17" s="37"/>
      <c r="CT17" s="37"/>
      <c r="CU17" s="37"/>
      <c r="CV17" s="34">
        <f>if(CX17="",CO17,CX17/'Quick Setup'!$E16)</f>
        <v>245</v>
      </c>
      <c r="CW17" s="35" t="s">
        <v>73</v>
      </c>
      <c r="CX17" s="36"/>
      <c r="CY17" s="37"/>
      <c r="CZ17" s="37"/>
      <c r="DA17" s="37"/>
      <c r="DB17" s="37"/>
      <c r="DC17" s="34">
        <f>if(DE17="", if(CZ18&lt;&gt;"", if(CZ18&gt;Setup!CZ15,CV17*(1+Setup!DA15),if(CZ18&lt;Setup!CY15,CV17*(1+Setup!DB15),CV17)),CV17),DE17/'Quick Setup'!$E16)</f>
        <v>245</v>
      </c>
      <c r="DD17" s="35" t="s">
        <v>73</v>
      </c>
      <c r="DE17" s="36"/>
      <c r="DF17" s="37"/>
      <c r="DG17" s="37"/>
      <c r="DH17" s="37"/>
      <c r="DI17" s="37"/>
      <c r="DJ17" s="34">
        <f>if(DL17="", if(DG18&lt;&gt;"", if(DG18&gt;Setup!DG15,DC17*(1+Setup!DH15),if(DG18&lt;Setup!DF15,DC17*(1+Setup!DI15),DC17)),DC17),DL17/'Quick Setup'!$E16)</f>
        <v>245</v>
      </c>
      <c r="DK17" s="35" t="s">
        <v>73</v>
      </c>
      <c r="DL17" s="36"/>
      <c r="DM17" s="37"/>
      <c r="DN17" s="37"/>
      <c r="DO17" s="37"/>
      <c r="DP17" s="37"/>
      <c r="DQ17" s="34">
        <f>if(DS17="", if(DN18&lt;&gt;"", if(DN18&gt;Setup!DN15,DJ17*(1+Setup!DO15),if(DN18&lt;Setup!DM15,DJ17*(1+Setup!DP15),DJ17)),DJ17),DS17/'Quick Setup'!$E16)</f>
        <v>245</v>
      </c>
      <c r="DR17" s="35" t="s">
        <v>73</v>
      </c>
      <c r="DS17" s="36"/>
      <c r="DT17" s="37"/>
      <c r="DU17" s="37"/>
      <c r="DV17" s="37"/>
      <c r="DW17" s="37"/>
      <c r="DX17" s="34">
        <f>if(DZ17="", if(DU18&lt;&gt;"", if(DU18&gt;Setup!DU15,DQ17*(1+Setup!DV15),if(DU18&lt;Setup!DT15,DQ17*(1+Setup!DW15),DQ17)),DQ17),DZ17/'Quick Setup'!$E16)</f>
        <v>245</v>
      </c>
      <c r="DY17" s="35" t="s">
        <v>73</v>
      </c>
      <c r="DZ17" s="36"/>
      <c r="EA17" s="37"/>
      <c r="EB17" s="37"/>
      <c r="EC17" s="37"/>
      <c r="ED17" s="37"/>
      <c r="EE17" s="34">
        <f>if(EG17="", if(EB18&lt;&gt;"", if(EB18&gt;Setup!EB15,DX17*(1+Setup!EC15),if(EB18&lt;Setup!EA15,DX17*(1+Setup!ED15),DX17)),DX17),EG17/'Quick Setup'!$E16)</f>
        <v>245</v>
      </c>
      <c r="EF17" s="35" t="s">
        <v>73</v>
      </c>
      <c r="EG17" s="36"/>
      <c r="EH17" s="37"/>
      <c r="EI17" s="37"/>
      <c r="EJ17" s="37"/>
      <c r="EK17" s="37"/>
      <c r="EL17" s="34">
        <f>if(EN17="", if(EI18&lt;&gt;"", if(EI18&gt;Setup!EI15,EE17*(1+Setup!EJ15),if(EI18&lt;Setup!EH15,EE17*(1+Setup!EK15),EE17)),EE17),EN17/'Quick Setup'!$E16)</f>
        <v>245</v>
      </c>
      <c r="EM17" s="35" t="s">
        <v>73</v>
      </c>
      <c r="EN17" s="36"/>
      <c r="EO17" s="37"/>
      <c r="EP17" s="37"/>
      <c r="EQ17" s="37"/>
      <c r="ER17" s="37"/>
    </row>
    <row r="18">
      <c r="A18" s="1" t="str">
        <f>Setup!A15</f>
        <v>Push Press</v>
      </c>
      <c r="B18" s="38">
        <f>mround(B17*Setup!B15,'Quick Setup'!$A$2)</f>
        <v>147.5</v>
      </c>
      <c r="C18" s="2">
        <f>Setup!C15</f>
        <v>7</v>
      </c>
      <c r="D18" s="2">
        <f>Setup!D15</f>
        <v>4</v>
      </c>
      <c r="E18" s="2" t="str">
        <f>CONCATENATE(Setup!E15,"-",Setup!F15)</f>
        <v>4-6</v>
      </c>
      <c r="F18" s="10"/>
      <c r="G18" s="10"/>
      <c r="H18" s="10"/>
      <c r="I18" s="38">
        <f>mround(I17*Setup!I15,'Quick Setup'!$A$2)</f>
        <v>160</v>
      </c>
      <c r="J18" s="2">
        <f>Setup!J15</f>
        <v>6</v>
      </c>
      <c r="K18" s="2">
        <f>Setup!K15</f>
        <v>4</v>
      </c>
      <c r="L18" s="2" t="str">
        <f>CONCATENATE(Setup!L15,"-",Setup!M15)</f>
        <v>4-6</v>
      </c>
      <c r="M18" s="10"/>
      <c r="N18" s="10"/>
      <c r="O18" s="10"/>
      <c r="P18" s="38">
        <f>mround(P17*Setup!P15,'Quick Setup'!$A$2)</f>
        <v>172.5</v>
      </c>
      <c r="Q18" s="2">
        <f>Setup!Q15</f>
        <v>5</v>
      </c>
      <c r="R18" s="2">
        <f>Setup!R15</f>
        <v>3</v>
      </c>
      <c r="S18" s="2" t="str">
        <f>CONCATENATE(Setup!S15,"-",Setup!T15)</f>
        <v>4-6</v>
      </c>
      <c r="T18" s="10"/>
      <c r="U18" s="10"/>
      <c r="V18" s="10"/>
      <c r="W18" s="38">
        <f>mround(W17*Setup!W15,'Quick Setup'!$A$2)</f>
        <v>152.5</v>
      </c>
      <c r="X18" s="2">
        <f>Setup!X15</f>
        <v>7</v>
      </c>
      <c r="Y18" s="2">
        <f>Setup!Y15</f>
        <v>4</v>
      </c>
      <c r="Z18" s="2" t="str">
        <f>CONCATENATE(Setup!Z15,"-",Setup!AA15)</f>
        <v>4-6</v>
      </c>
      <c r="AA18" s="10"/>
      <c r="AB18" s="10"/>
      <c r="AC18" s="10"/>
      <c r="AD18" s="38">
        <f>mround(AD17*Setup!AD15,'Quick Setup'!$A$2)</f>
        <v>165</v>
      </c>
      <c r="AE18" s="2">
        <f>Setup!AE15</f>
        <v>6</v>
      </c>
      <c r="AF18" s="2">
        <f>Setup!AF15</f>
        <v>4</v>
      </c>
      <c r="AG18" s="2" t="str">
        <f>CONCATENATE(Setup!AG15,"-",Setup!AH15)</f>
        <v>4-6</v>
      </c>
      <c r="AH18" s="10"/>
      <c r="AI18" s="10"/>
      <c r="AJ18" s="10"/>
      <c r="AK18" s="38">
        <f>mround(AK17*Setup!AK15,'Quick Setup'!$A$2)</f>
        <v>177.5</v>
      </c>
      <c r="AL18" s="2">
        <f>Setup!AL15</f>
        <v>5</v>
      </c>
      <c r="AM18" s="2">
        <f>Setup!AM15</f>
        <v>3</v>
      </c>
      <c r="AN18" s="2" t="str">
        <f>CONCATENATE(Setup!AN15,"-",Setup!AO15)</f>
        <v>4-6</v>
      </c>
      <c r="AO18" s="10"/>
      <c r="AP18" s="10"/>
      <c r="AQ18" s="10"/>
      <c r="AR18" s="38">
        <f>mround(AR17*Setup!AR15,'Quick Setup'!$A$2)</f>
        <v>122.5</v>
      </c>
      <c r="AS18" s="1">
        <v>5.0</v>
      </c>
      <c r="AT18" s="1" t="s">
        <v>76</v>
      </c>
      <c r="AU18" s="2" t="str">
        <f>CONCATENATE(Setup!AU15,"-",Setup!AV15)</f>
        <v>4-6</v>
      </c>
      <c r="AV18" s="10"/>
      <c r="AW18" s="10"/>
      <c r="AX18" s="10"/>
      <c r="AY18" s="38">
        <f>mround(AY17*Setup!AY15,'Quick Setup'!$A$2)</f>
        <v>160</v>
      </c>
      <c r="AZ18" s="2">
        <f>Setup!AZ15</f>
        <v>6</v>
      </c>
      <c r="BA18" s="2">
        <f>Setup!BA15</f>
        <v>4</v>
      </c>
      <c r="BB18" s="2" t="str">
        <f>CONCATENATE(Setup!BB15,"-",Setup!BC15)</f>
        <v>4-6</v>
      </c>
      <c r="BC18" s="10"/>
      <c r="BD18" s="10"/>
      <c r="BE18" s="10"/>
      <c r="BF18" s="38">
        <f>mround(BF17*Setup!BF15,'Quick Setup'!$A$2)</f>
        <v>172.5</v>
      </c>
      <c r="BG18" s="2">
        <f>Setup!BG15</f>
        <v>5</v>
      </c>
      <c r="BH18" s="2">
        <f>Setup!BH15</f>
        <v>3</v>
      </c>
      <c r="BI18" s="2" t="str">
        <f>CONCATENATE(Setup!BI15,"-",Setup!BJ15)</f>
        <v>4-6</v>
      </c>
      <c r="BJ18" s="10"/>
      <c r="BK18" s="10"/>
      <c r="BL18" s="10"/>
      <c r="BM18" s="38">
        <f>mround(BM17*Setup!BM15,'Quick Setup'!$A$2)</f>
        <v>185</v>
      </c>
      <c r="BN18" s="2">
        <f>Setup!BN15</f>
        <v>4</v>
      </c>
      <c r="BO18" s="2">
        <f>Setup!BO15</f>
        <v>3</v>
      </c>
      <c r="BP18" s="2" t="str">
        <f>CONCATENATE(Setup!BP15,"-",Setup!BQ15)</f>
        <v>4-6</v>
      </c>
      <c r="BQ18" s="10"/>
      <c r="BR18" s="10"/>
      <c r="BS18" s="10"/>
      <c r="BT18" s="38">
        <f>mround(BT17*Setup!BT15,'Quick Setup'!$A$2)</f>
        <v>165</v>
      </c>
      <c r="BU18" s="2">
        <f>Setup!BU15</f>
        <v>6</v>
      </c>
      <c r="BV18" s="2">
        <f>Setup!BV15</f>
        <v>4</v>
      </c>
      <c r="BW18" s="2" t="str">
        <f>CONCATENATE(Setup!BW15,"-",Setup!BX15)</f>
        <v>4-6</v>
      </c>
      <c r="BX18" s="10"/>
      <c r="BY18" s="10"/>
      <c r="BZ18" s="10"/>
      <c r="CA18" s="38">
        <f>mround(CA17*Setup!CA15,'Quick Setup'!$A$2)</f>
        <v>177.5</v>
      </c>
      <c r="CB18" s="2">
        <f>Setup!CB15</f>
        <v>5</v>
      </c>
      <c r="CC18" s="2">
        <f>Setup!CC15</f>
        <v>3</v>
      </c>
      <c r="CD18" s="2" t="str">
        <f>CONCATENATE(Setup!CD15,"-",Setup!CE15)</f>
        <v>4-6</v>
      </c>
      <c r="CE18" s="10"/>
      <c r="CF18" s="10"/>
      <c r="CG18" s="10"/>
      <c r="CH18" s="38">
        <f>mround(CH17*Setup!CH15,'Quick Setup'!$A$2)</f>
        <v>190</v>
      </c>
      <c r="CI18" s="2">
        <f>Setup!CI15</f>
        <v>4</v>
      </c>
      <c r="CJ18" s="2">
        <f>Setup!CJ15</f>
        <v>3</v>
      </c>
      <c r="CK18" s="2" t="str">
        <f>CONCATENATE(Setup!CK15,"-",Setup!CL15)</f>
        <v>4-6</v>
      </c>
      <c r="CL18" s="10"/>
      <c r="CM18" s="10"/>
      <c r="CN18" s="10"/>
      <c r="CO18" s="38">
        <f>mround(CO17*Setup!CO15,'Quick Setup'!$A$2)</f>
        <v>122.5</v>
      </c>
      <c r="CP18" s="1">
        <v>5.0</v>
      </c>
      <c r="CQ18" s="1" t="s">
        <v>76</v>
      </c>
      <c r="CR18" s="2" t="str">
        <f>CONCATENATE(Setup!CR15,"-",Setup!CS15)</f>
        <v>4-6</v>
      </c>
      <c r="CS18" s="10"/>
      <c r="CT18" s="10"/>
      <c r="CU18" s="10"/>
      <c r="CV18" s="38">
        <f>mround(CV17*Setup!CV15,'Quick Setup'!$A$2)</f>
        <v>172.5</v>
      </c>
      <c r="CW18" s="2">
        <f>Setup!CW15</f>
        <v>5</v>
      </c>
      <c r="CX18" s="2">
        <f>Setup!CX15</f>
        <v>3</v>
      </c>
      <c r="CY18" s="2" t="str">
        <f>CONCATENATE(Setup!CY15,"-",Setup!CZ15)</f>
        <v>4-6</v>
      </c>
      <c r="CZ18" s="10"/>
      <c r="DA18" s="10"/>
      <c r="DB18" s="10"/>
      <c r="DC18" s="38">
        <f>mround(DC17*Setup!DC15,'Quick Setup'!$A$2)</f>
        <v>185</v>
      </c>
      <c r="DD18" s="2">
        <f>Setup!DD15</f>
        <v>4</v>
      </c>
      <c r="DE18" s="2">
        <f>Setup!DE15</f>
        <v>3</v>
      </c>
      <c r="DF18" s="2" t="str">
        <f>CONCATENATE(Setup!DF15,"-",Setup!DG15)</f>
        <v>4-6</v>
      </c>
      <c r="DG18" s="10"/>
      <c r="DH18" s="10"/>
      <c r="DI18" s="10"/>
      <c r="DJ18" s="38">
        <f>mround(DJ17*Setup!DJ15,'Quick Setup'!$A$2)</f>
        <v>195</v>
      </c>
      <c r="DK18" s="2">
        <f>Setup!DK15</f>
        <v>3</v>
      </c>
      <c r="DL18" s="2">
        <f>Setup!DL15</f>
        <v>2</v>
      </c>
      <c r="DM18" s="2" t="str">
        <f>CONCATENATE(Setup!DM15,"-",Setup!DN15)</f>
        <v>4-6</v>
      </c>
      <c r="DN18" s="10"/>
      <c r="DO18" s="10"/>
      <c r="DP18" s="10"/>
      <c r="DQ18" s="38">
        <f>mround(DQ17*Setup!DQ15,'Quick Setup'!$A$2)</f>
        <v>185</v>
      </c>
      <c r="DR18" s="2">
        <f>Setup!DR15</f>
        <v>4</v>
      </c>
      <c r="DS18" s="2">
        <f>Setup!DS15</f>
        <v>3</v>
      </c>
      <c r="DT18" s="2" t="str">
        <f>CONCATENATE(Setup!DT15,"-",Setup!DU15)</f>
        <v>4-6</v>
      </c>
      <c r="DU18" s="10"/>
      <c r="DV18" s="10"/>
      <c r="DW18" s="10"/>
      <c r="DX18" s="38">
        <f>mround(DX17*Setup!DX15,'Quick Setup'!$A$2)</f>
        <v>195</v>
      </c>
      <c r="DY18" s="2">
        <f>Setup!DY15</f>
        <v>3</v>
      </c>
      <c r="DZ18" s="2">
        <f>Setup!DZ15</f>
        <v>2</v>
      </c>
      <c r="EA18" s="2" t="str">
        <f>CONCATENATE(Setup!EA15,"-",Setup!EB15)</f>
        <v>4-6</v>
      </c>
      <c r="EB18" s="10"/>
      <c r="EC18" s="10"/>
      <c r="ED18" s="10"/>
      <c r="EE18" s="38">
        <f>mround(EE17*Setup!EE15,'Quick Setup'!$A$2)</f>
        <v>207.5</v>
      </c>
      <c r="EF18" s="2">
        <f>Setup!EF15</f>
        <v>2</v>
      </c>
      <c r="EG18" s="2">
        <f>Setup!EG15</f>
        <v>2</v>
      </c>
      <c r="EH18" s="2" t="str">
        <f>CONCATENATE(Setup!EH15,"-",Setup!EI15)</f>
        <v>4-6</v>
      </c>
      <c r="EI18" s="10"/>
      <c r="EJ18" s="10"/>
      <c r="EK18" s="10"/>
      <c r="EL18" s="38">
        <f>mround(EL17*Setup!EL15,'Quick Setup'!$A$2)</f>
        <v>122.5</v>
      </c>
      <c r="EM18" s="1">
        <v>5.0</v>
      </c>
      <c r="EN18" s="1" t="s">
        <v>76</v>
      </c>
      <c r="EO18" s="2" t="str">
        <f>CONCATENATE(Setup!EO15,"-",Setup!EP15)</f>
        <v>4-6</v>
      </c>
      <c r="EP18" s="10"/>
      <c r="EQ18" s="10"/>
      <c r="ER18" s="10"/>
    </row>
    <row r="19">
      <c r="A19" s="5"/>
      <c r="B19" s="39"/>
      <c r="C19" s="10"/>
      <c r="D19" s="10"/>
      <c r="E19" s="10"/>
      <c r="F19" s="10"/>
      <c r="G19" s="10"/>
      <c r="H19" s="10"/>
      <c r="I19" s="39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39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39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39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39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39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39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39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39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39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39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39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39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39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39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39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39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39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39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39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77</v>
      </c>
      <c r="B20" s="38"/>
      <c r="C20" s="2"/>
      <c r="D20" s="2"/>
      <c r="E20" s="2"/>
      <c r="F20" s="2"/>
      <c r="G20" s="2"/>
      <c r="H20" s="2"/>
      <c r="I20" s="38"/>
      <c r="J20" s="2"/>
      <c r="K20" s="2"/>
      <c r="L20" s="2"/>
      <c r="M20" s="2"/>
      <c r="N20" s="2"/>
      <c r="O20" s="2"/>
      <c r="P20" s="38"/>
      <c r="Q20" s="2"/>
      <c r="R20" s="2"/>
      <c r="S20" s="2"/>
      <c r="T20" s="2"/>
      <c r="U20" s="2"/>
      <c r="V20" s="2"/>
      <c r="W20" s="38"/>
      <c r="X20" s="2"/>
      <c r="Y20" s="2"/>
      <c r="Z20" s="2"/>
      <c r="AA20" s="2"/>
      <c r="AB20" s="2"/>
      <c r="AC20" s="2"/>
      <c r="AD20" s="38"/>
      <c r="AE20" s="2"/>
      <c r="AF20" s="2"/>
      <c r="AG20" s="2"/>
      <c r="AH20" s="2"/>
      <c r="AI20" s="2"/>
      <c r="AJ20" s="2"/>
      <c r="AK20" s="38"/>
      <c r="AL20" s="2"/>
      <c r="AM20" s="2"/>
      <c r="AN20" s="2"/>
      <c r="AO20" s="2"/>
      <c r="AP20" s="2"/>
      <c r="AQ20" s="2"/>
      <c r="AR20" s="38"/>
      <c r="AS20" s="2"/>
      <c r="AT20" s="2"/>
      <c r="AU20" s="2"/>
      <c r="AV20" s="2"/>
      <c r="AW20" s="2"/>
      <c r="AX20" s="2"/>
      <c r="AY20" s="38"/>
      <c r="AZ20" s="2"/>
      <c r="BA20" s="2"/>
      <c r="BB20" s="2"/>
      <c r="BC20" s="2"/>
      <c r="BD20" s="2"/>
      <c r="BE20" s="2"/>
      <c r="BF20" s="38"/>
      <c r="BG20" s="2"/>
      <c r="BH20" s="2"/>
      <c r="BI20" s="2"/>
      <c r="BJ20" s="2"/>
      <c r="BK20" s="2"/>
      <c r="BL20" s="2"/>
      <c r="BM20" s="38"/>
      <c r="BN20" s="2"/>
      <c r="BO20" s="2"/>
      <c r="BP20" s="2"/>
      <c r="BQ20" s="2"/>
      <c r="BR20" s="2"/>
      <c r="BS20" s="2"/>
      <c r="BT20" s="38"/>
      <c r="BU20" s="2"/>
      <c r="BV20" s="2"/>
      <c r="BW20" s="2"/>
      <c r="BX20" s="2"/>
      <c r="BY20" s="2"/>
      <c r="BZ20" s="2"/>
      <c r="CA20" s="38"/>
      <c r="CB20" s="2"/>
      <c r="CC20" s="2"/>
      <c r="CD20" s="2"/>
      <c r="CE20" s="2"/>
      <c r="CF20" s="2"/>
      <c r="CG20" s="2"/>
      <c r="CH20" s="38"/>
      <c r="CI20" s="2"/>
      <c r="CJ20" s="2"/>
      <c r="CK20" s="2"/>
      <c r="CL20" s="2"/>
      <c r="CM20" s="2"/>
      <c r="CN20" s="2"/>
      <c r="CO20" s="38"/>
      <c r="CP20" s="2"/>
      <c r="CQ20" s="2"/>
      <c r="CR20" s="2"/>
      <c r="CS20" s="2"/>
      <c r="CT20" s="2"/>
      <c r="CU20" s="2"/>
      <c r="CV20" s="38"/>
      <c r="CW20" s="2"/>
      <c r="CX20" s="2"/>
      <c r="CY20" s="2"/>
      <c r="CZ20" s="2"/>
      <c r="DA20" s="2"/>
      <c r="DB20" s="2"/>
      <c r="DC20" s="38"/>
      <c r="DD20" s="2"/>
      <c r="DE20" s="2"/>
      <c r="DF20" s="2"/>
      <c r="DG20" s="2"/>
      <c r="DH20" s="2"/>
      <c r="DI20" s="2"/>
      <c r="DJ20" s="38"/>
      <c r="DK20" s="2"/>
      <c r="DL20" s="2"/>
      <c r="DM20" s="2"/>
      <c r="DN20" s="2"/>
      <c r="DO20" s="2"/>
      <c r="DP20" s="2"/>
      <c r="DQ20" s="38"/>
      <c r="DR20" s="2"/>
      <c r="DS20" s="2"/>
      <c r="DT20" s="2"/>
      <c r="DU20" s="2"/>
      <c r="DV20" s="2"/>
      <c r="DW20" s="2"/>
      <c r="DX20" s="38"/>
      <c r="DY20" s="2"/>
      <c r="DZ20" s="2"/>
      <c r="EA20" s="2"/>
      <c r="EB20" s="2"/>
      <c r="EC20" s="2"/>
      <c r="ED20" s="2"/>
      <c r="EE20" s="38"/>
      <c r="EF20" s="2"/>
      <c r="EG20" s="2"/>
      <c r="EH20" s="2"/>
      <c r="EI20" s="2"/>
      <c r="EJ20" s="2"/>
      <c r="EK20" s="2"/>
      <c r="EL20" s="38"/>
      <c r="EM20" s="2"/>
      <c r="EN20" s="2"/>
      <c r="EO20" s="2"/>
      <c r="EP20" s="2"/>
      <c r="EQ20" s="2"/>
      <c r="ER20" s="2"/>
    </row>
    <row r="21">
      <c r="A21" s="40"/>
      <c r="B21" s="39"/>
      <c r="C21" s="10"/>
      <c r="D21" s="10"/>
      <c r="E21" s="10"/>
      <c r="F21" s="10"/>
      <c r="G21" s="10"/>
      <c r="H21" s="10"/>
      <c r="I21" s="39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39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39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39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39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39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39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39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39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39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39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39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39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39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39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39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39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39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39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39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0"/>
      <c r="B22" s="39"/>
      <c r="C22" s="10"/>
      <c r="D22" s="10"/>
      <c r="E22" s="10"/>
      <c r="F22" s="10"/>
      <c r="G22" s="10"/>
      <c r="H22" s="10"/>
      <c r="I22" s="39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39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39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39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39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39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39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39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39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39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39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39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39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39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39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39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39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39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39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39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1"/>
      <c r="B23" s="42"/>
      <c r="C23" s="43"/>
      <c r="D23" s="43"/>
      <c r="E23" s="43"/>
      <c r="F23" s="43"/>
      <c r="G23" s="43"/>
      <c r="H23" s="43"/>
      <c r="I23" s="42" t="str">
        <f t="shared" ref="I23:M23" si="141">B23</f>
        <v/>
      </c>
      <c r="J23" s="43" t="str">
        <f t="shared" si="141"/>
        <v/>
      </c>
      <c r="K23" s="43" t="str">
        <f t="shared" si="141"/>
        <v/>
      </c>
      <c r="L23" s="43" t="str">
        <f t="shared" si="141"/>
        <v/>
      </c>
      <c r="M23" s="43" t="str">
        <f t="shared" si="141"/>
        <v/>
      </c>
      <c r="N23" s="43"/>
      <c r="O23" s="43"/>
      <c r="P23" s="42" t="str">
        <f t="shared" ref="P23:T23" si="142">I23</f>
        <v/>
      </c>
      <c r="Q23" s="43" t="str">
        <f t="shared" si="142"/>
        <v/>
      </c>
      <c r="R23" s="43" t="str">
        <f t="shared" si="142"/>
        <v/>
      </c>
      <c r="S23" s="43" t="str">
        <f t="shared" si="142"/>
        <v/>
      </c>
      <c r="T23" s="43" t="str">
        <f t="shared" si="142"/>
        <v/>
      </c>
      <c r="U23" s="43"/>
      <c r="V23" s="43"/>
      <c r="W23" s="42" t="str">
        <f t="shared" ref="W23:AA23" si="143">P23</f>
        <v/>
      </c>
      <c r="X23" s="43" t="str">
        <f t="shared" si="143"/>
        <v/>
      </c>
      <c r="Y23" s="43" t="str">
        <f t="shared" si="143"/>
        <v/>
      </c>
      <c r="Z23" s="43" t="str">
        <f t="shared" si="143"/>
        <v/>
      </c>
      <c r="AA23" s="43" t="str">
        <f t="shared" si="143"/>
        <v/>
      </c>
      <c r="AB23" s="43"/>
      <c r="AC23" s="43"/>
      <c r="AD23" s="42" t="str">
        <f t="shared" ref="AD23:AH23" si="144">W23</f>
        <v/>
      </c>
      <c r="AE23" s="43" t="str">
        <f t="shared" si="144"/>
        <v/>
      </c>
      <c r="AF23" s="43" t="str">
        <f t="shared" si="144"/>
        <v/>
      </c>
      <c r="AG23" s="43" t="str">
        <f t="shared" si="144"/>
        <v/>
      </c>
      <c r="AH23" s="43" t="str">
        <f t="shared" si="144"/>
        <v/>
      </c>
      <c r="AI23" s="43"/>
      <c r="AJ23" s="43"/>
      <c r="AK23" s="42" t="str">
        <f t="shared" ref="AK23:AO23" si="145">AD23</f>
        <v/>
      </c>
      <c r="AL23" s="43" t="str">
        <f t="shared" si="145"/>
        <v/>
      </c>
      <c r="AM23" s="43" t="str">
        <f t="shared" si="145"/>
        <v/>
      </c>
      <c r="AN23" s="43" t="str">
        <f t="shared" si="145"/>
        <v/>
      </c>
      <c r="AO23" s="43" t="str">
        <f t="shared" si="145"/>
        <v/>
      </c>
      <c r="AP23" s="43"/>
      <c r="AQ23" s="43"/>
      <c r="AR23" s="42" t="str">
        <f t="shared" ref="AR23:AV23" si="146">AK23</f>
        <v/>
      </c>
      <c r="AS23" s="43" t="str">
        <f t="shared" si="146"/>
        <v/>
      </c>
      <c r="AT23" s="43" t="str">
        <f t="shared" si="146"/>
        <v/>
      </c>
      <c r="AU23" s="43" t="str">
        <f t="shared" si="146"/>
        <v/>
      </c>
      <c r="AV23" s="43" t="str">
        <f t="shared" si="146"/>
        <v/>
      </c>
      <c r="AW23" s="43"/>
      <c r="AX23" s="43"/>
      <c r="AY23" s="42" t="str">
        <f t="shared" ref="AY23:BC23" si="147">AR23</f>
        <v/>
      </c>
      <c r="AZ23" s="43" t="str">
        <f t="shared" si="147"/>
        <v/>
      </c>
      <c r="BA23" s="43" t="str">
        <f t="shared" si="147"/>
        <v/>
      </c>
      <c r="BB23" s="43" t="str">
        <f t="shared" si="147"/>
        <v/>
      </c>
      <c r="BC23" s="43" t="str">
        <f t="shared" si="147"/>
        <v/>
      </c>
      <c r="BD23" s="43"/>
      <c r="BE23" s="43"/>
      <c r="BF23" s="42" t="str">
        <f t="shared" ref="BF23:BJ23" si="148">AY23</f>
        <v/>
      </c>
      <c r="BG23" s="43" t="str">
        <f t="shared" si="148"/>
        <v/>
      </c>
      <c r="BH23" s="43" t="str">
        <f t="shared" si="148"/>
        <v/>
      </c>
      <c r="BI23" s="43" t="str">
        <f t="shared" si="148"/>
        <v/>
      </c>
      <c r="BJ23" s="43" t="str">
        <f t="shared" si="148"/>
        <v/>
      </c>
      <c r="BK23" s="43"/>
      <c r="BL23" s="43"/>
      <c r="BM23" s="42" t="str">
        <f t="shared" ref="BM23:BQ23" si="149">BF23</f>
        <v/>
      </c>
      <c r="BN23" s="43" t="str">
        <f t="shared" si="149"/>
        <v/>
      </c>
      <c r="BO23" s="43" t="str">
        <f t="shared" si="149"/>
        <v/>
      </c>
      <c r="BP23" s="43" t="str">
        <f t="shared" si="149"/>
        <v/>
      </c>
      <c r="BQ23" s="43" t="str">
        <f t="shared" si="149"/>
        <v/>
      </c>
      <c r="BR23" s="43"/>
      <c r="BS23" s="43"/>
      <c r="BT23" s="42" t="str">
        <f t="shared" ref="BT23:BX23" si="150">BM23</f>
        <v/>
      </c>
      <c r="BU23" s="43" t="str">
        <f t="shared" si="150"/>
        <v/>
      </c>
      <c r="BV23" s="43" t="str">
        <f t="shared" si="150"/>
        <v/>
      </c>
      <c r="BW23" s="43" t="str">
        <f t="shared" si="150"/>
        <v/>
      </c>
      <c r="BX23" s="43" t="str">
        <f t="shared" si="150"/>
        <v/>
      </c>
      <c r="BY23" s="43"/>
      <c r="BZ23" s="43"/>
      <c r="CA23" s="42" t="str">
        <f t="shared" ref="CA23:CE23" si="151">BT23</f>
        <v/>
      </c>
      <c r="CB23" s="43" t="str">
        <f t="shared" si="151"/>
        <v/>
      </c>
      <c r="CC23" s="43" t="str">
        <f t="shared" si="151"/>
        <v/>
      </c>
      <c r="CD23" s="43" t="str">
        <f t="shared" si="151"/>
        <v/>
      </c>
      <c r="CE23" s="43" t="str">
        <f t="shared" si="151"/>
        <v/>
      </c>
      <c r="CF23" s="43"/>
      <c r="CG23" s="43"/>
      <c r="CH23" s="42" t="str">
        <f t="shared" ref="CH23:CL23" si="152">CA23</f>
        <v/>
      </c>
      <c r="CI23" s="43" t="str">
        <f t="shared" si="152"/>
        <v/>
      </c>
      <c r="CJ23" s="43" t="str">
        <f t="shared" si="152"/>
        <v/>
      </c>
      <c r="CK23" s="43" t="str">
        <f t="shared" si="152"/>
        <v/>
      </c>
      <c r="CL23" s="43" t="str">
        <f t="shared" si="152"/>
        <v/>
      </c>
      <c r="CM23" s="43"/>
      <c r="CN23" s="43"/>
      <c r="CO23" s="42" t="str">
        <f t="shared" ref="CO23:CS23" si="153">CH23</f>
        <v/>
      </c>
      <c r="CP23" s="43" t="str">
        <f t="shared" si="153"/>
        <v/>
      </c>
      <c r="CQ23" s="43" t="str">
        <f t="shared" si="153"/>
        <v/>
      </c>
      <c r="CR23" s="43" t="str">
        <f t="shared" si="153"/>
        <v/>
      </c>
      <c r="CS23" s="43" t="str">
        <f t="shared" si="153"/>
        <v/>
      </c>
      <c r="CT23" s="43"/>
      <c r="CU23" s="43"/>
      <c r="CV23" s="42" t="str">
        <f t="shared" ref="CV23:CZ23" si="154">CO23</f>
        <v/>
      </c>
      <c r="CW23" s="43" t="str">
        <f t="shared" si="154"/>
        <v/>
      </c>
      <c r="CX23" s="43" t="str">
        <f t="shared" si="154"/>
        <v/>
      </c>
      <c r="CY23" s="43" t="str">
        <f t="shared" si="154"/>
        <v/>
      </c>
      <c r="CZ23" s="43" t="str">
        <f t="shared" si="154"/>
        <v/>
      </c>
      <c r="DA23" s="43"/>
      <c r="DB23" s="43"/>
      <c r="DC23" s="42" t="str">
        <f t="shared" ref="DC23:DG23" si="155">CV23</f>
        <v/>
      </c>
      <c r="DD23" s="43" t="str">
        <f t="shared" si="155"/>
        <v/>
      </c>
      <c r="DE23" s="43" t="str">
        <f t="shared" si="155"/>
        <v/>
      </c>
      <c r="DF23" s="43" t="str">
        <f t="shared" si="155"/>
        <v/>
      </c>
      <c r="DG23" s="43" t="str">
        <f t="shared" si="155"/>
        <v/>
      </c>
      <c r="DH23" s="43"/>
      <c r="DI23" s="43"/>
      <c r="DJ23" s="42" t="str">
        <f t="shared" ref="DJ23:DN23" si="156">DC23</f>
        <v/>
      </c>
      <c r="DK23" s="43" t="str">
        <f t="shared" si="156"/>
        <v/>
      </c>
      <c r="DL23" s="43" t="str">
        <f t="shared" si="156"/>
        <v/>
      </c>
      <c r="DM23" s="43" t="str">
        <f t="shared" si="156"/>
        <v/>
      </c>
      <c r="DN23" s="43" t="str">
        <f t="shared" si="156"/>
        <v/>
      </c>
      <c r="DO23" s="43"/>
      <c r="DP23" s="43"/>
      <c r="DQ23" s="42" t="str">
        <f t="shared" ref="DQ23:DU23" si="157">DJ23</f>
        <v/>
      </c>
      <c r="DR23" s="43" t="str">
        <f t="shared" si="157"/>
        <v/>
      </c>
      <c r="DS23" s="43" t="str">
        <f t="shared" si="157"/>
        <v/>
      </c>
      <c r="DT23" s="43" t="str">
        <f t="shared" si="157"/>
        <v/>
      </c>
      <c r="DU23" s="43" t="str">
        <f t="shared" si="157"/>
        <v/>
      </c>
      <c r="DV23" s="43"/>
      <c r="DW23" s="43"/>
      <c r="DX23" s="42" t="str">
        <f t="shared" ref="DX23:EB23" si="158">DQ23</f>
        <v/>
      </c>
      <c r="DY23" s="43" t="str">
        <f t="shared" si="158"/>
        <v/>
      </c>
      <c r="DZ23" s="43" t="str">
        <f t="shared" si="158"/>
        <v/>
      </c>
      <c r="EA23" s="43" t="str">
        <f t="shared" si="158"/>
        <v/>
      </c>
      <c r="EB23" s="43" t="str">
        <f t="shared" si="158"/>
        <v/>
      </c>
      <c r="EC23" s="43"/>
      <c r="ED23" s="43"/>
      <c r="EE23" s="42" t="str">
        <f t="shared" ref="EE23:EI23" si="159">DX23</f>
        <v/>
      </c>
      <c r="EF23" s="43" t="str">
        <f t="shared" si="159"/>
        <v/>
      </c>
      <c r="EG23" s="43" t="str">
        <f t="shared" si="159"/>
        <v/>
      </c>
      <c r="EH23" s="43" t="str">
        <f t="shared" si="159"/>
        <v/>
      </c>
      <c r="EI23" s="43" t="str">
        <f t="shared" si="159"/>
        <v/>
      </c>
      <c r="EJ23" s="43"/>
      <c r="EK23" s="43"/>
      <c r="EL23" s="42" t="str">
        <f t="shared" ref="EL23:EP23" si="160">EE23</f>
        <v/>
      </c>
      <c r="EM23" s="43" t="str">
        <f t="shared" si="160"/>
        <v/>
      </c>
      <c r="EN23" s="43" t="str">
        <f t="shared" si="160"/>
        <v/>
      </c>
      <c r="EO23" s="43" t="str">
        <f t="shared" si="160"/>
        <v/>
      </c>
      <c r="EP23" s="43" t="str">
        <f t="shared" si="160"/>
        <v/>
      </c>
      <c r="EQ23" s="43"/>
      <c r="ER23" s="43"/>
    </row>
    <row r="24">
      <c r="A24" s="2"/>
      <c r="B24" s="38"/>
      <c r="C24" s="2"/>
      <c r="D24" s="2"/>
      <c r="E24" s="2"/>
      <c r="F24" s="2"/>
      <c r="G24" s="2"/>
      <c r="H24" s="2"/>
      <c r="I24" s="38"/>
      <c r="J24" s="2"/>
      <c r="K24" s="2"/>
      <c r="L24" s="2"/>
      <c r="M24" s="2"/>
      <c r="N24" s="2"/>
      <c r="O24" s="2"/>
      <c r="P24" s="38"/>
      <c r="Q24" s="2"/>
      <c r="R24" s="2"/>
      <c r="S24" s="2"/>
      <c r="T24" s="2"/>
      <c r="U24" s="2"/>
      <c r="V24" s="2"/>
      <c r="W24" s="38"/>
      <c r="X24" s="2"/>
      <c r="Y24" s="2"/>
      <c r="Z24" s="2"/>
      <c r="AA24" s="2"/>
      <c r="AB24" s="2"/>
      <c r="AC24" s="2"/>
      <c r="AD24" s="38"/>
      <c r="AE24" s="2"/>
      <c r="AF24" s="2"/>
      <c r="AG24" s="2"/>
      <c r="AH24" s="2"/>
      <c r="AI24" s="2"/>
      <c r="AJ24" s="2"/>
      <c r="AK24" s="38"/>
      <c r="AL24" s="2"/>
      <c r="AM24" s="2"/>
      <c r="AN24" s="2"/>
      <c r="AO24" s="2"/>
      <c r="AP24" s="2"/>
      <c r="AQ24" s="2"/>
      <c r="AR24" s="38"/>
      <c r="AS24" s="2"/>
      <c r="AT24" s="2"/>
      <c r="AU24" s="2"/>
      <c r="AV24" s="2"/>
      <c r="AW24" s="2"/>
      <c r="AX24" s="2"/>
      <c r="AY24" s="38"/>
      <c r="AZ24" s="2"/>
      <c r="BA24" s="2"/>
      <c r="BB24" s="2"/>
      <c r="BC24" s="2"/>
      <c r="BD24" s="2"/>
      <c r="BE24" s="2"/>
      <c r="BF24" s="38"/>
      <c r="BG24" s="2"/>
      <c r="BH24" s="2"/>
      <c r="BI24" s="2"/>
      <c r="BJ24" s="2"/>
      <c r="BK24" s="2"/>
      <c r="BL24" s="2"/>
      <c r="BM24" s="38"/>
      <c r="BN24" s="2"/>
      <c r="BO24" s="2"/>
      <c r="BP24" s="2"/>
      <c r="BQ24" s="2"/>
      <c r="BR24" s="2"/>
      <c r="BS24" s="2"/>
      <c r="BT24" s="38"/>
      <c r="BU24" s="2"/>
      <c r="BV24" s="2"/>
      <c r="BW24" s="2"/>
      <c r="BX24" s="2"/>
      <c r="BY24" s="2"/>
      <c r="BZ24" s="2"/>
      <c r="CA24" s="38"/>
      <c r="CB24" s="2"/>
      <c r="CC24" s="2"/>
      <c r="CD24" s="2"/>
      <c r="CE24" s="2"/>
      <c r="CF24" s="2"/>
      <c r="CG24" s="2"/>
      <c r="CH24" s="38"/>
      <c r="CI24" s="2"/>
      <c r="CJ24" s="2"/>
      <c r="CK24" s="2"/>
      <c r="CL24" s="2"/>
      <c r="CM24" s="2"/>
      <c r="CN24" s="2"/>
      <c r="CO24" s="38"/>
      <c r="CP24" s="2"/>
      <c r="CQ24" s="2"/>
      <c r="CR24" s="2"/>
      <c r="CS24" s="2"/>
      <c r="CT24" s="2"/>
      <c r="CU24" s="2"/>
      <c r="CV24" s="38"/>
      <c r="CW24" s="2"/>
      <c r="CX24" s="2"/>
      <c r="CY24" s="2"/>
      <c r="CZ24" s="2"/>
      <c r="DA24" s="2"/>
      <c r="DB24" s="2"/>
      <c r="DC24" s="38"/>
      <c r="DD24" s="2"/>
      <c r="DE24" s="2"/>
      <c r="DF24" s="2"/>
      <c r="DG24" s="2"/>
      <c r="DH24" s="2"/>
      <c r="DI24" s="2"/>
      <c r="DJ24" s="38"/>
      <c r="DK24" s="2"/>
      <c r="DL24" s="2"/>
      <c r="DM24" s="2"/>
      <c r="DN24" s="2"/>
      <c r="DO24" s="2"/>
      <c r="DP24" s="2"/>
      <c r="DQ24" s="38"/>
      <c r="DR24" s="2"/>
      <c r="DS24" s="2"/>
      <c r="DT24" s="2"/>
      <c r="DU24" s="2"/>
      <c r="DV24" s="2"/>
      <c r="DW24" s="2"/>
      <c r="DX24" s="38"/>
      <c r="DY24" s="2"/>
      <c r="DZ24" s="2"/>
      <c r="EA24" s="2"/>
      <c r="EB24" s="2"/>
      <c r="EC24" s="2"/>
      <c r="ED24" s="2"/>
      <c r="EE24" s="38"/>
      <c r="EF24" s="2"/>
      <c r="EG24" s="2"/>
      <c r="EH24" s="2"/>
      <c r="EI24" s="2"/>
      <c r="EJ24" s="2"/>
      <c r="EK24" s="2"/>
      <c r="EL24" s="38"/>
      <c r="EM24" s="2"/>
      <c r="EN24" s="2"/>
      <c r="EO24" s="2"/>
      <c r="EP24" s="2"/>
      <c r="EQ24" s="2"/>
      <c r="ER24" s="2"/>
    </row>
    <row r="25">
      <c r="A25" s="28" t="s">
        <v>79</v>
      </c>
      <c r="B25" s="29"/>
      <c r="C25" s="30"/>
      <c r="D25" s="30"/>
      <c r="E25" s="30"/>
      <c r="F25" s="30"/>
      <c r="G25" s="30"/>
      <c r="H25" s="30"/>
      <c r="I25" s="29"/>
      <c r="J25" s="30"/>
      <c r="K25" s="30"/>
      <c r="L25" s="30"/>
      <c r="M25" s="30"/>
      <c r="N25" s="30"/>
      <c r="O25" s="30"/>
      <c r="P25" s="29"/>
      <c r="Q25" s="30"/>
      <c r="R25" s="30"/>
      <c r="S25" s="30"/>
      <c r="T25" s="30"/>
      <c r="U25" s="30"/>
      <c r="V25" s="30"/>
      <c r="W25" s="29"/>
      <c r="X25" s="30"/>
      <c r="Y25" s="30"/>
      <c r="Z25" s="30"/>
      <c r="AA25" s="30"/>
      <c r="AB25" s="30"/>
      <c r="AC25" s="30"/>
      <c r="AD25" s="29"/>
      <c r="AE25" s="30"/>
      <c r="AF25" s="30"/>
      <c r="AG25" s="30"/>
      <c r="AH25" s="30"/>
      <c r="AI25" s="30"/>
      <c r="AJ25" s="30"/>
      <c r="AK25" s="29"/>
      <c r="AL25" s="30"/>
      <c r="AM25" s="30"/>
      <c r="AN25" s="30"/>
      <c r="AO25" s="30"/>
      <c r="AP25" s="30"/>
      <c r="AQ25" s="30"/>
      <c r="AR25" s="29"/>
      <c r="AS25" s="30"/>
      <c r="AT25" s="30"/>
      <c r="AU25" s="30"/>
      <c r="AV25" s="30"/>
      <c r="AW25" s="30"/>
      <c r="AX25" s="30"/>
      <c r="AY25" s="29"/>
      <c r="AZ25" s="30"/>
      <c r="BA25" s="30"/>
      <c r="BB25" s="30"/>
      <c r="BC25" s="30"/>
      <c r="BD25" s="30"/>
      <c r="BE25" s="30"/>
      <c r="BF25" s="29"/>
      <c r="BG25" s="30"/>
      <c r="BH25" s="30"/>
      <c r="BI25" s="30"/>
      <c r="BJ25" s="30"/>
      <c r="BK25" s="30"/>
      <c r="BL25" s="30"/>
      <c r="BM25" s="29"/>
      <c r="BN25" s="30"/>
      <c r="BO25" s="30"/>
      <c r="BP25" s="30"/>
      <c r="BQ25" s="30"/>
      <c r="BR25" s="30"/>
      <c r="BS25" s="30"/>
      <c r="BT25" s="29"/>
      <c r="BU25" s="30"/>
      <c r="BV25" s="30"/>
      <c r="BW25" s="30"/>
      <c r="BX25" s="30"/>
      <c r="BY25" s="30"/>
      <c r="BZ25" s="30"/>
      <c r="CA25" s="29"/>
      <c r="CB25" s="30"/>
      <c r="CC25" s="30"/>
      <c r="CD25" s="30"/>
      <c r="CE25" s="30"/>
      <c r="CF25" s="30"/>
      <c r="CG25" s="30"/>
      <c r="CH25" s="29"/>
      <c r="CI25" s="30"/>
      <c r="CJ25" s="30"/>
      <c r="CK25" s="30"/>
      <c r="CL25" s="30"/>
      <c r="CM25" s="30"/>
      <c r="CN25" s="30"/>
      <c r="CO25" s="29"/>
      <c r="CP25" s="30"/>
      <c r="CQ25" s="30"/>
      <c r="CR25" s="30"/>
      <c r="CS25" s="30"/>
      <c r="CT25" s="30"/>
      <c r="CU25" s="30"/>
      <c r="CV25" s="29"/>
      <c r="CW25" s="30"/>
      <c r="CX25" s="30"/>
      <c r="CY25" s="30"/>
      <c r="CZ25" s="30"/>
      <c r="DA25" s="30"/>
      <c r="DB25" s="30"/>
      <c r="DC25" s="29"/>
      <c r="DD25" s="30"/>
      <c r="DE25" s="30"/>
      <c r="DF25" s="30"/>
      <c r="DG25" s="30"/>
      <c r="DH25" s="30"/>
      <c r="DI25" s="30"/>
      <c r="DJ25" s="29"/>
      <c r="DK25" s="30"/>
      <c r="DL25" s="30"/>
      <c r="DM25" s="30"/>
      <c r="DN25" s="30"/>
      <c r="DO25" s="30"/>
      <c r="DP25" s="30"/>
      <c r="DQ25" s="29"/>
      <c r="DR25" s="30"/>
      <c r="DS25" s="30"/>
      <c r="DT25" s="30"/>
      <c r="DU25" s="30"/>
      <c r="DV25" s="30"/>
      <c r="DW25" s="30"/>
      <c r="DX25" s="29"/>
      <c r="DY25" s="30"/>
      <c r="DZ25" s="30"/>
      <c r="EA25" s="30"/>
      <c r="EB25" s="30"/>
      <c r="EC25" s="30"/>
      <c r="ED25" s="30"/>
      <c r="EE25" s="31" t="s">
        <v>75</v>
      </c>
      <c r="EF25" s="32"/>
      <c r="EG25" s="32"/>
      <c r="EH25" s="32"/>
      <c r="EI25" s="32"/>
      <c r="EJ25" s="32"/>
      <c r="EK25" s="32"/>
      <c r="EL25" s="29"/>
      <c r="EM25" s="30"/>
      <c r="EN25" s="30"/>
      <c r="EO25" s="30"/>
      <c r="EP25" s="30"/>
      <c r="EQ25" s="30"/>
      <c r="ER25" s="30"/>
    </row>
    <row r="26" hidden="1">
      <c r="A26" s="33" t="str">
        <f>CONCATENATE(A27," TM")</f>
        <v>Deadlift TM</v>
      </c>
      <c r="B26" s="34">
        <f>if(D26="",'Quick Setup'!D7,D26/'Quick Setup'!E7)</f>
        <v>525</v>
      </c>
      <c r="C26" s="35" t="s">
        <v>73</v>
      </c>
      <c r="D26" s="36"/>
      <c r="E26" s="37"/>
      <c r="F26" s="37"/>
      <c r="G26" s="37"/>
      <c r="H26" s="37"/>
      <c r="I26" s="34">
        <f>if(K26="", if(F27&lt;&gt;"", if(F27&gt;Setup!F6,B26*(1+Setup!G6),if(F27&lt;Setup!E6,B26*(1+Setup!H6),B26)),B26),K26/'Quick Setup'!$E7)</f>
        <v>525</v>
      </c>
      <c r="J26" s="35" t="s">
        <v>73</v>
      </c>
      <c r="K26" s="36"/>
      <c r="L26" s="37"/>
      <c r="M26" s="37"/>
      <c r="N26" s="37"/>
      <c r="O26" s="37"/>
      <c r="P26" s="34">
        <f>if(R26="", if(M27&lt;&gt;"", if(M27&gt;Setup!M6,I26*(1+Setup!N6),if(M27&lt;Setup!L6,I26*(1+Setup!O6),I26)),I26),R26/'Quick Setup'!$E7)</f>
        <v>525</v>
      </c>
      <c r="Q26" s="35" t="s">
        <v>73</v>
      </c>
      <c r="R26" s="36"/>
      <c r="S26" s="37"/>
      <c r="T26" s="37"/>
      <c r="U26" s="37"/>
      <c r="V26" s="37"/>
      <c r="W26" s="34">
        <f>if(Y26="", if(T27&lt;&gt;"", if(T27&gt;Setup!T6,P26*(1+Setup!U6),if(T27&lt;Setup!S6,P26*(1+Setup!V6),P26)),P26),Y26/'Quick Setup'!$E7)</f>
        <v>525</v>
      </c>
      <c r="X26" s="35" t="s">
        <v>73</v>
      </c>
      <c r="Y26" s="36"/>
      <c r="Z26" s="37"/>
      <c r="AA26" s="37"/>
      <c r="AB26" s="37"/>
      <c r="AC26" s="37"/>
      <c r="AD26" s="34">
        <f>if(AF26="", if(AA27&lt;&gt;"", if(AA27&gt;Setup!AA6,W26*(1+Setup!AB6),if(AA27&lt;Setup!Z6,W26*(1+Setup!AC6),W26)),W26),AF26/'Quick Setup'!$E7)</f>
        <v>525</v>
      </c>
      <c r="AE26" s="35" t="s">
        <v>73</v>
      </c>
      <c r="AF26" s="36"/>
      <c r="AG26" s="37"/>
      <c r="AH26" s="37"/>
      <c r="AI26" s="37"/>
      <c r="AJ26" s="37"/>
      <c r="AK26" s="34">
        <f>if(AM26="", if(AH27&lt;&gt;"", if(AH27&gt;Setup!AH6,AD26*(1+Setup!AI6),if(AH27&lt;Setup!AG6,AD26*(1+Setup!AJ6),AD26)),AD26),AM26/'Quick Setup'!$E7)</f>
        <v>525</v>
      </c>
      <c r="AL26" s="35" t="s">
        <v>73</v>
      </c>
      <c r="AM26" s="36"/>
      <c r="AN26" s="37"/>
      <c r="AO26" s="37"/>
      <c r="AP26" s="37"/>
      <c r="AQ26" s="37"/>
      <c r="AR26" s="34">
        <f>if(AT26="", if(AO27&lt;&gt;"", if(AO27&gt;Setup!AO6,AK26*(1+Setup!AP6),if(AO27&lt;Setup!AN6,AK26*(1+Setup!AQ6),AK26)),AK26),AT26/'Quick Setup'!$E7)</f>
        <v>525</v>
      </c>
      <c r="AS26" s="35" t="s">
        <v>73</v>
      </c>
      <c r="AT26" s="36"/>
      <c r="AU26" s="37"/>
      <c r="AV26" s="37"/>
      <c r="AW26" s="37"/>
      <c r="AX26" s="37"/>
      <c r="AY26" s="34">
        <f>if(BA26="",AR26,BA26/'Quick Setup'!$E7)</f>
        <v>525</v>
      </c>
      <c r="AZ26" s="35" t="s">
        <v>73</v>
      </c>
      <c r="BA26" s="36"/>
      <c r="BB26" s="37"/>
      <c r="BC26" s="37"/>
      <c r="BD26" s="37"/>
      <c r="BE26" s="37"/>
      <c r="BF26" s="34">
        <f>if(BH26="", if(BC27&lt;&gt;"", if(BC27&gt;Setup!BC6,AY26*(1+Setup!BD6),if(BC27&lt;Setup!BB6,AY26*(1+Setup!BE6),AY26)),AY26),BH26/'Quick Setup'!$E7)</f>
        <v>525</v>
      </c>
      <c r="BG26" s="35" t="s">
        <v>73</v>
      </c>
      <c r="BH26" s="36"/>
      <c r="BI26" s="37"/>
      <c r="BJ26" s="37"/>
      <c r="BK26" s="37"/>
      <c r="BL26" s="37"/>
      <c r="BM26" s="34">
        <f>if(BO26="", if(BJ27&lt;&gt;"", if(BJ27&gt;Setup!BJ6,BF26*(1+Setup!BK6),if(BJ27&lt;Setup!BI6,BF26*(1+Setup!BL6),BF26)),BF26),BO26/'Quick Setup'!$E7)</f>
        <v>525</v>
      </c>
      <c r="BN26" s="35" t="s">
        <v>73</v>
      </c>
      <c r="BO26" s="36"/>
      <c r="BP26" s="37"/>
      <c r="BQ26" s="37"/>
      <c r="BR26" s="37"/>
      <c r="BS26" s="37"/>
      <c r="BT26" s="34">
        <f>if(BV26="", if(BQ27&lt;&gt;"", if(BQ27&gt;Setup!BQ6,BM26*(1+Setup!BR6),if(BQ27&lt;Setup!BP6,BM26*(1+Setup!BS6),BM26)),BM26),BV26/'Quick Setup'!$E7)</f>
        <v>525</v>
      </c>
      <c r="BU26" s="35" t="s">
        <v>73</v>
      </c>
      <c r="BV26" s="36"/>
      <c r="BW26" s="37"/>
      <c r="BX26" s="37"/>
      <c r="BY26" s="37"/>
      <c r="BZ26" s="37"/>
      <c r="CA26" s="34">
        <f>if(CC26="", if(BX27&lt;&gt;"", if(BX27&gt;Setup!BX6,BT26*(1+Setup!BY6),if(BX27&lt;Setup!BW6,BT26*(1+Setup!BZ6),BT26)),BT26),CC26/'Quick Setup'!$E7)</f>
        <v>525</v>
      </c>
      <c r="CB26" s="35" t="s">
        <v>73</v>
      </c>
      <c r="CC26" s="36"/>
      <c r="CD26" s="37"/>
      <c r="CE26" s="37"/>
      <c r="CF26" s="37"/>
      <c r="CG26" s="37"/>
      <c r="CH26" s="34">
        <f>if(CJ26="", if(CE27&lt;&gt;"", if(CE27&gt;Setup!CE6,CA26*(1+Setup!CF6),if(CE27&lt;Setup!CD6,CA26*(1+Setup!CG6),CA26)),CA26),CJ26/'Quick Setup'!$E7)</f>
        <v>525</v>
      </c>
      <c r="CI26" s="35" t="s">
        <v>73</v>
      </c>
      <c r="CJ26" s="36"/>
      <c r="CK26" s="37"/>
      <c r="CL26" s="37"/>
      <c r="CM26" s="37"/>
      <c r="CN26" s="37"/>
      <c r="CO26" s="34">
        <f>if(CQ26="", if(CL27&lt;&gt;"", if(CL27&gt;Setup!CL6,CH26*(1+Setup!CM6),if(CL27&lt;Setup!CK6,CH26*(1+Setup!CN6),CH26)),CH26),CQ26/'Quick Setup'!$E7)</f>
        <v>525</v>
      </c>
      <c r="CP26" s="35" t="s">
        <v>73</v>
      </c>
      <c r="CQ26" s="36"/>
      <c r="CR26" s="37"/>
      <c r="CS26" s="37"/>
      <c r="CT26" s="37"/>
      <c r="CU26" s="37"/>
      <c r="CV26" s="34">
        <f>if(CX26="",CO26,CX26/'Quick Setup'!$E7)</f>
        <v>525</v>
      </c>
      <c r="CW26" s="35" t="s">
        <v>73</v>
      </c>
      <c r="CX26" s="36"/>
      <c r="CY26" s="37"/>
      <c r="CZ26" s="37"/>
      <c r="DA26" s="37"/>
      <c r="DB26" s="37"/>
      <c r="DC26" s="34">
        <f>if(DE26="", if(CZ27&lt;&gt;"", if(CZ27&gt;Setup!CZ6,CV26*(1+Setup!DA6),if(CZ27&lt;Setup!CY6,CV26*(1+Setup!DB6),CV26)),CV26),DE26/'Quick Setup'!$E7)</f>
        <v>525</v>
      </c>
      <c r="DD26" s="35" t="s">
        <v>73</v>
      </c>
      <c r="DE26" s="36"/>
      <c r="DF26" s="37"/>
      <c r="DG26" s="37"/>
      <c r="DH26" s="37"/>
      <c r="DI26" s="37"/>
      <c r="DJ26" s="34">
        <f>if(DL26="", if(DG27&lt;&gt;"", if(DG27&gt;Setup!DG6,DC26*(1+Setup!DH6),if(DG27&lt;Setup!DF6,DC26*(1+Setup!DI6),DC26)),DC26),DL26/'Quick Setup'!$E7)</f>
        <v>525</v>
      </c>
      <c r="DK26" s="35" t="s">
        <v>73</v>
      </c>
      <c r="DL26" s="36"/>
      <c r="DM26" s="37"/>
      <c r="DN26" s="37"/>
      <c r="DO26" s="37"/>
      <c r="DP26" s="37"/>
      <c r="DQ26" s="34">
        <f>if(DS26="", if(DN27&lt;&gt;"", if(DN27&gt;Setup!DN6,DJ26*(1+Setup!DO6),if(DN27&lt;Setup!DM6,DJ26*(1+Setup!DP6),DJ26)),DJ26),DS26/'Quick Setup'!$E7)</f>
        <v>525</v>
      </c>
      <c r="DR26" s="35" t="s">
        <v>73</v>
      </c>
      <c r="DS26" s="36"/>
      <c r="DT26" s="37"/>
      <c r="DU26" s="37"/>
      <c r="DV26" s="37"/>
      <c r="DW26" s="37"/>
      <c r="DX26" s="34">
        <f>if(DZ26="", if(DU27&lt;&gt;"", if(DU27&gt;Setup!DU6,DQ26*(1+Setup!DV6),if(DU27&lt;Setup!DT6,DQ26*(1+Setup!DW6),DQ26)),DQ26),DZ26/'Quick Setup'!$E7)</f>
        <v>525</v>
      </c>
      <c r="DY26" s="35" t="s">
        <v>73</v>
      </c>
      <c r="DZ26" s="36"/>
      <c r="EA26" s="37"/>
      <c r="EB26" s="37"/>
      <c r="EC26" s="37"/>
      <c r="ED26" s="37"/>
      <c r="EE26" s="34">
        <f>if(EG26="", if(EB27&lt;&gt;"", if(EB27&gt;Setup!EB6,DX26*(1+Setup!EC6),if(EB27&lt;Setup!EA6,DX26*(1+Setup!ED6),DX26)),DX26),EG26/'Quick Setup'!$E7)</f>
        <v>525</v>
      </c>
      <c r="EF26" s="35" t="s">
        <v>73</v>
      </c>
      <c r="EG26" s="36"/>
      <c r="EH26" s="37"/>
      <c r="EI26" s="37"/>
      <c r="EJ26" s="37"/>
      <c r="EK26" s="37"/>
      <c r="EL26" s="34">
        <f>if(EN26="", if(EI27&lt;&gt;"", if(EI27&gt;Setup!EI6,EE26*(1+Setup!EJ6),if(EI27&lt;Setup!EH6,EE26*(1+Setup!EK6),EE26)),EE26),EN26/'Quick Setup'!$E7)</f>
        <v>525</v>
      </c>
      <c r="EM26" s="35" t="s">
        <v>73</v>
      </c>
      <c r="EN26" s="36"/>
      <c r="EO26" s="37"/>
      <c r="EP26" s="37"/>
      <c r="EQ26" s="37"/>
      <c r="ER26" s="37"/>
    </row>
    <row r="27">
      <c r="A27" s="1" t="str">
        <f>Setup!A6</f>
        <v>Deadlift</v>
      </c>
      <c r="B27" s="38">
        <f>mround(B26*Setup!B6,'Quick Setup'!$A$2)</f>
        <v>367.5</v>
      </c>
      <c r="C27" s="2">
        <f>Setup!C6</f>
        <v>5</v>
      </c>
      <c r="D27" s="2">
        <f>Setup!D6</f>
        <v>3</v>
      </c>
      <c r="E27" s="2" t="str">
        <f>CONCATENATE(Setup!E6,"-",Setup!F6)</f>
        <v>4-6</v>
      </c>
      <c r="F27" s="10"/>
      <c r="G27" s="10"/>
      <c r="H27" s="10"/>
      <c r="I27" s="38">
        <f>mround(I26*Setup!I6,'Quick Setup'!$A$2)</f>
        <v>395</v>
      </c>
      <c r="J27" s="2">
        <f>Setup!J6</f>
        <v>4</v>
      </c>
      <c r="K27" s="2">
        <f>Setup!K6</f>
        <v>3</v>
      </c>
      <c r="L27" s="2" t="str">
        <f>CONCATENATE(Setup!L6,"-",Setup!M6)</f>
        <v>4-6</v>
      </c>
      <c r="M27" s="10"/>
      <c r="N27" s="10"/>
      <c r="O27" s="10"/>
      <c r="P27" s="38">
        <f>mround(P26*Setup!P6,'Quick Setup'!$A$2)</f>
        <v>420</v>
      </c>
      <c r="Q27" s="2">
        <f>Setup!Q6</f>
        <v>3</v>
      </c>
      <c r="R27" s="2">
        <f>Setup!R6</f>
        <v>2</v>
      </c>
      <c r="S27" s="2" t="str">
        <f>CONCATENATE(Setup!S6,"-",Setup!T6)</f>
        <v>4-6</v>
      </c>
      <c r="T27" s="10"/>
      <c r="U27" s="10"/>
      <c r="V27" s="10"/>
      <c r="W27" s="38">
        <f>mround(W26*Setup!W6,'Quick Setup'!$A$2)</f>
        <v>380</v>
      </c>
      <c r="X27" s="2">
        <f>Setup!X6</f>
        <v>5</v>
      </c>
      <c r="Y27" s="2">
        <f>Setup!Y6</f>
        <v>3</v>
      </c>
      <c r="Z27" s="2" t="str">
        <f>CONCATENATE(Setup!Z6,"-",Setup!AA6)</f>
        <v>4-6</v>
      </c>
      <c r="AA27" s="10"/>
      <c r="AB27" s="10"/>
      <c r="AC27" s="10"/>
      <c r="AD27" s="38">
        <f>mround(AD26*Setup!AD6,'Quick Setup'!$A$2)</f>
        <v>407.5</v>
      </c>
      <c r="AE27" s="2">
        <f>Setup!AE6</f>
        <v>4</v>
      </c>
      <c r="AF27" s="2">
        <f>Setup!AF6</f>
        <v>3</v>
      </c>
      <c r="AG27" s="2" t="str">
        <f>CONCATENATE(Setup!AG6,"-",Setup!AH6)</f>
        <v>4-6</v>
      </c>
      <c r="AH27" s="10"/>
      <c r="AI27" s="10"/>
      <c r="AJ27" s="10"/>
      <c r="AK27" s="38">
        <f>mround(AK26*Setup!AK6,'Quick Setup'!$A$2)</f>
        <v>432.5</v>
      </c>
      <c r="AL27" s="2">
        <f>Setup!AL6</f>
        <v>3</v>
      </c>
      <c r="AM27" s="2">
        <f>Setup!AM6</f>
        <v>2</v>
      </c>
      <c r="AN27" s="2" t="str">
        <f>CONCATENATE(Setup!AN6,"-",Setup!AO6)</f>
        <v>4-6</v>
      </c>
      <c r="AO27" s="10"/>
      <c r="AP27" s="10"/>
      <c r="AQ27" s="10"/>
      <c r="AR27" s="38">
        <f>mround(AR26*Setup!AR6,'Quick Setup'!$A$2)</f>
        <v>315</v>
      </c>
      <c r="AS27" s="1">
        <v>5.0</v>
      </c>
      <c r="AT27" s="1" t="s">
        <v>76</v>
      </c>
      <c r="AU27" s="2" t="str">
        <f>CONCATENATE(Setup!AU6,"-",Setup!AV6)</f>
        <v>4-6</v>
      </c>
      <c r="AV27" s="10"/>
      <c r="AW27" s="10"/>
      <c r="AX27" s="10"/>
      <c r="AY27" s="38">
        <f>mround(AY26*Setup!AY6,'Quick Setup'!$A$2)</f>
        <v>395</v>
      </c>
      <c r="AZ27" s="2">
        <f>Setup!AZ6</f>
        <v>4</v>
      </c>
      <c r="BA27" s="2">
        <f>Setup!BA6</f>
        <v>3</v>
      </c>
      <c r="BB27" s="2" t="str">
        <f>CONCATENATE(Setup!BB6,"-",Setup!BC6)</f>
        <v>4-6</v>
      </c>
      <c r="BC27" s="10"/>
      <c r="BD27" s="10"/>
      <c r="BE27" s="10"/>
      <c r="BF27" s="38">
        <f>mround(BF26*Setup!BF6,'Quick Setup'!$A$2)</f>
        <v>420</v>
      </c>
      <c r="BG27" s="2">
        <f>Setup!BG6</f>
        <v>3</v>
      </c>
      <c r="BH27" s="2">
        <f>Setup!BH6</f>
        <v>2</v>
      </c>
      <c r="BI27" s="2" t="str">
        <f>CONCATENATE(Setup!BI6,"-",Setup!BJ6)</f>
        <v>4-6</v>
      </c>
      <c r="BJ27" s="10"/>
      <c r="BK27" s="10"/>
      <c r="BL27" s="10"/>
      <c r="BM27" s="38">
        <f>mround(BM26*Setup!BM6,'Quick Setup'!$A$2)</f>
        <v>447.5</v>
      </c>
      <c r="BN27" s="2">
        <f>Setup!BN6</f>
        <v>2</v>
      </c>
      <c r="BO27" s="2">
        <f>Setup!BO6</f>
        <v>2</v>
      </c>
      <c r="BP27" s="2" t="str">
        <f>CONCATENATE(Setup!BP6,"-",Setup!BQ6)</f>
        <v>4-6</v>
      </c>
      <c r="BQ27" s="10"/>
      <c r="BR27" s="10"/>
      <c r="BS27" s="10"/>
      <c r="BT27" s="38">
        <f>mround(BT26*Setup!BT6,'Quick Setup'!$A$2)</f>
        <v>407.5</v>
      </c>
      <c r="BU27" s="2">
        <f>Setup!BU6</f>
        <v>4</v>
      </c>
      <c r="BV27" s="2">
        <f>Setup!BV6</f>
        <v>3</v>
      </c>
      <c r="BW27" s="2" t="str">
        <f>CONCATENATE(Setup!BW6,"-",Setup!BX6)</f>
        <v>4-6</v>
      </c>
      <c r="BX27" s="10"/>
      <c r="BY27" s="10"/>
      <c r="BZ27" s="10"/>
      <c r="CA27" s="38">
        <f>mround(CA26*Setup!CA6,'Quick Setup'!$A$2)</f>
        <v>432.5</v>
      </c>
      <c r="CB27" s="2">
        <f>Setup!CB6</f>
        <v>3</v>
      </c>
      <c r="CC27" s="2">
        <f>Setup!CC6</f>
        <v>2</v>
      </c>
      <c r="CD27" s="2" t="str">
        <f>CONCATENATE(Setup!CD6,"-",Setup!CE6)</f>
        <v>4-6</v>
      </c>
      <c r="CE27" s="10"/>
      <c r="CF27" s="10"/>
      <c r="CG27" s="10"/>
      <c r="CH27" s="38">
        <f>mround(CH26*Setup!CH6,'Quick Setup'!$A$2)</f>
        <v>460</v>
      </c>
      <c r="CI27" s="2">
        <f>Setup!CI6</f>
        <v>2</v>
      </c>
      <c r="CJ27" s="2">
        <f>Setup!CJ6</f>
        <v>2</v>
      </c>
      <c r="CK27" s="2" t="str">
        <f>CONCATENATE(Setup!CK6,"-",Setup!CL6)</f>
        <v>4-6</v>
      </c>
      <c r="CL27" s="10"/>
      <c r="CM27" s="10"/>
      <c r="CN27" s="10"/>
      <c r="CO27" s="38">
        <f>mround(CO26*Setup!CO6,'Quick Setup'!$A$2)</f>
        <v>315</v>
      </c>
      <c r="CP27" s="1">
        <v>5.0</v>
      </c>
      <c r="CQ27" s="1" t="s">
        <v>76</v>
      </c>
      <c r="CR27" s="2" t="str">
        <f>CONCATENATE(Setup!CR6,"-",Setup!CS6)</f>
        <v>4-6</v>
      </c>
      <c r="CS27" s="10"/>
      <c r="CT27" s="10"/>
      <c r="CU27" s="10"/>
      <c r="CV27" s="38">
        <f>mround(CV26*Setup!CV6,'Quick Setup'!$A$2)</f>
        <v>420</v>
      </c>
      <c r="CW27" s="2">
        <f>Setup!CW6</f>
        <v>3</v>
      </c>
      <c r="CX27" s="2">
        <f>Setup!CX6</f>
        <v>2</v>
      </c>
      <c r="CY27" s="2" t="str">
        <f>CONCATENATE(Setup!CY6,"-",Setup!CZ6)</f>
        <v>4-6</v>
      </c>
      <c r="CZ27" s="10"/>
      <c r="DA27" s="10"/>
      <c r="DB27" s="10"/>
      <c r="DC27" s="38">
        <f>mround(DC26*Setup!DC6,'Quick Setup'!$A$2)</f>
        <v>447.5</v>
      </c>
      <c r="DD27" s="2">
        <f>Setup!DD6</f>
        <v>2</v>
      </c>
      <c r="DE27" s="2">
        <f>Setup!DE6</f>
        <v>2</v>
      </c>
      <c r="DF27" s="2" t="str">
        <f>CONCATENATE(Setup!DF6,"-",Setup!DG6)</f>
        <v>4-6</v>
      </c>
      <c r="DG27" s="10"/>
      <c r="DH27" s="10"/>
      <c r="DI27" s="10"/>
      <c r="DJ27" s="38">
        <f>mround(DJ26*Setup!DJ6,'Quick Setup'!$A$2)</f>
        <v>472.5</v>
      </c>
      <c r="DK27" s="2">
        <f>Setup!DK6</f>
        <v>1</v>
      </c>
      <c r="DL27" s="2">
        <f>Setup!DL6</f>
        <v>1</v>
      </c>
      <c r="DM27" s="2" t="str">
        <f>CONCATENATE(Setup!DM6,"-",Setup!DN6)</f>
        <v>4-6</v>
      </c>
      <c r="DN27" s="10"/>
      <c r="DO27" s="10"/>
      <c r="DP27" s="10"/>
      <c r="DQ27" s="38">
        <f>mround(DQ26*Setup!DQ6,'Quick Setup'!$A$2)</f>
        <v>447.5</v>
      </c>
      <c r="DR27" s="2">
        <f>Setup!DR6</f>
        <v>2</v>
      </c>
      <c r="DS27" s="2">
        <f>Setup!DS6</f>
        <v>2</v>
      </c>
      <c r="DT27" s="2" t="str">
        <f>CONCATENATE(Setup!DT6,"-",Setup!DU6)</f>
        <v>4-6</v>
      </c>
      <c r="DU27" s="10"/>
      <c r="DV27" s="10"/>
      <c r="DW27" s="10"/>
      <c r="DX27" s="38">
        <f>mround(DX26*Setup!DX6,'Quick Setup'!$A$2)</f>
        <v>472.5</v>
      </c>
      <c r="DY27" s="2">
        <f>Setup!DY6</f>
        <v>1</v>
      </c>
      <c r="DZ27" s="2">
        <f>Setup!DZ6</f>
        <v>1</v>
      </c>
      <c r="EA27" s="2" t="str">
        <f>CONCATENATE(Setup!EA6,"-",Setup!EB6)</f>
        <v>4-6</v>
      </c>
      <c r="EB27" s="10"/>
      <c r="EC27" s="10"/>
      <c r="ED27" s="10"/>
      <c r="EE27" s="38">
        <f>mround(EE26*Setup!EE6,'Quick Setup'!$A$2)</f>
        <v>500</v>
      </c>
      <c r="EF27" s="2">
        <f>Setup!EF6</f>
        <v>1</v>
      </c>
      <c r="EG27" s="2">
        <f>Setup!EG6</f>
        <v>1</v>
      </c>
      <c r="EH27" s="2" t="str">
        <f>CONCATENATE(Setup!EH6,"-",Setup!EI6)</f>
        <v>4-6</v>
      </c>
      <c r="EI27" s="10"/>
      <c r="EJ27" s="10"/>
      <c r="EK27" s="10"/>
      <c r="EL27" s="38">
        <f>mround(EL26*Setup!EL6,'Quick Setup'!$A$2)</f>
        <v>315</v>
      </c>
      <c r="EM27" s="1">
        <v>5.0</v>
      </c>
      <c r="EN27" s="1" t="s">
        <v>76</v>
      </c>
      <c r="EO27" s="2" t="str">
        <f>CONCATENATE(Setup!EO6,"-",Setup!EP6)</f>
        <v>4-6</v>
      </c>
      <c r="EP27" s="10"/>
      <c r="EQ27" s="10"/>
      <c r="ER27" s="10"/>
    </row>
    <row r="28" hidden="1">
      <c r="A28" s="33" t="str">
        <f>CONCATENATE(A29," TM")</f>
        <v>Paused Squat TM</v>
      </c>
      <c r="B28" s="34">
        <f>if(D28="",'Quick Setup'!D12,D28/'Quick Setup'!E12)</f>
        <v>460</v>
      </c>
      <c r="C28" s="35" t="s">
        <v>73</v>
      </c>
      <c r="D28" s="36"/>
      <c r="E28" s="37"/>
      <c r="F28" s="37"/>
      <c r="G28" s="37"/>
      <c r="H28" s="37"/>
      <c r="I28" s="34">
        <f>if(K28="", if(F29&lt;&gt;"", if(F29&gt;Setup!F11,B28*(1+Setup!G11),if(F29&lt;Setup!E11,B28*(1+Setup!H11),B28)),B28),K28/'Quick Setup'!$E12)</f>
        <v>460</v>
      </c>
      <c r="J28" s="35" t="s">
        <v>73</v>
      </c>
      <c r="K28" s="36"/>
      <c r="L28" s="37"/>
      <c r="M28" s="37"/>
      <c r="N28" s="37"/>
      <c r="O28" s="37"/>
      <c r="P28" s="34">
        <f>if(R28="", if(M29&lt;&gt;"", if(M29&gt;Setup!M11,I28*(1+Setup!N11),if(M29&lt;Setup!L11,I28*(1+Setup!O11),I28)),I28),R28/'Quick Setup'!$E12)</f>
        <v>460</v>
      </c>
      <c r="Q28" s="35" t="s">
        <v>73</v>
      </c>
      <c r="R28" s="36"/>
      <c r="S28" s="37"/>
      <c r="T28" s="37"/>
      <c r="U28" s="37"/>
      <c r="V28" s="37"/>
      <c r="W28" s="34">
        <f>if(Y28="", if(T29&lt;&gt;"", if(T29&gt;Setup!T11,P28*(1+Setup!U11),if(T29&lt;Setup!S11,P28*(1+Setup!V11),P28)),P28),Y28/'Quick Setup'!$E12)</f>
        <v>460</v>
      </c>
      <c r="X28" s="35" t="s">
        <v>73</v>
      </c>
      <c r="Y28" s="36"/>
      <c r="Z28" s="37"/>
      <c r="AA28" s="37"/>
      <c r="AB28" s="37"/>
      <c r="AC28" s="37"/>
      <c r="AD28" s="34">
        <f>if(AF28="", if(AA29&lt;&gt;"", if(AA29&gt;Setup!AA11,W28*(1+Setup!AB11),if(AA29&lt;Setup!Z11,W28*(1+Setup!AC11),W28)),W28),AF28/'Quick Setup'!$E12)</f>
        <v>460</v>
      </c>
      <c r="AE28" s="35" t="s">
        <v>73</v>
      </c>
      <c r="AF28" s="36"/>
      <c r="AG28" s="37"/>
      <c r="AH28" s="37"/>
      <c r="AI28" s="37"/>
      <c r="AJ28" s="37"/>
      <c r="AK28" s="34">
        <f>if(AM28="", if(AH29&lt;&gt;"", if(AH29&gt;Setup!AH11,AD28*(1+Setup!AI11),if(AH29&lt;Setup!AG11,AD28*(1+Setup!AJ11),AD28)),AD28),AM28/'Quick Setup'!$E12)</f>
        <v>460</v>
      </c>
      <c r="AL28" s="35" t="s">
        <v>73</v>
      </c>
      <c r="AM28" s="36"/>
      <c r="AN28" s="37"/>
      <c r="AO28" s="37"/>
      <c r="AP28" s="37"/>
      <c r="AQ28" s="37"/>
      <c r="AR28" s="34">
        <f>if(AT28="", if(AO29&lt;&gt;"", if(AO29&gt;Setup!AO11,AK28*(1+Setup!AP11),if(AO29&lt;Setup!AN11,AK28*(1+Setup!AQ11),AK28)),AK28),AT28/'Quick Setup'!$E12)</f>
        <v>460</v>
      </c>
      <c r="AS28" s="35" t="s">
        <v>73</v>
      </c>
      <c r="AT28" s="36"/>
      <c r="AU28" s="37"/>
      <c r="AV28" s="37"/>
      <c r="AW28" s="37"/>
      <c r="AX28" s="37"/>
      <c r="AY28" s="34">
        <f>if(BA28="",AR28,BA28/'Quick Setup'!$E12)</f>
        <v>460</v>
      </c>
      <c r="AZ28" s="35" t="s">
        <v>73</v>
      </c>
      <c r="BA28" s="36"/>
      <c r="BB28" s="37"/>
      <c r="BC28" s="37"/>
      <c r="BD28" s="37"/>
      <c r="BE28" s="37"/>
      <c r="BF28" s="34">
        <f>if(BH28="", if(BC29&lt;&gt;"", if(BC29&gt;Setup!BC11,AY28*(1+Setup!BD11),if(BC29&lt;Setup!BB11,AY28*(1+Setup!BE11),AY28)),AY28),BH28/'Quick Setup'!$E12)</f>
        <v>460</v>
      </c>
      <c r="BG28" s="35" t="s">
        <v>73</v>
      </c>
      <c r="BH28" s="36"/>
      <c r="BI28" s="37"/>
      <c r="BJ28" s="37"/>
      <c r="BK28" s="37"/>
      <c r="BL28" s="37"/>
      <c r="BM28" s="34">
        <f>if(BO28="", if(BJ29&lt;&gt;"", if(BJ29&gt;Setup!BJ11,BF28*(1+Setup!BK11),if(BJ29&lt;Setup!BI11,BF28*(1+Setup!BL11),BF28)),BF28),BO28/'Quick Setup'!$E12)</f>
        <v>460</v>
      </c>
      <c r="BN28" s="35" t="s">
        <v>73</v>
      </c>
      <c r="BO28" s="36"/>
      <c r="BP28" s="37"/>
      <c r="BQ28" s="37"/>
      <c r="BR28" s="37"/>
      <c r="BS28" s="37"/>
      <c r="BT28" s="34">
        <f>if(BV28="", if(BQ29&lt;&gt;"", if(BQ29&gt;Setup!BQ11,BM28*(1+Setup!BR11),if(BQ29&lt;Setup!BP11,BM28*(1+Setup!BS11),BM28)),BM28),BV28/'Quick Setup'!$E12)</f>
        <v>460</v>
      </c>
      <c r="BU28" s="35" t="s">
        <v>73</v>
      </c>
      <c r="BV28" s="36"/>
      <c r="BW28" s="37"/>
      <c r="BX28" s="37"/>
      <c r="BY28" s="37"/>
      <c r="BZ28" s="37"/>
      <c r="CA28" s="34">
        <f>if(CC28="", if(BX29&lt;&gt;"", if(BX29&gt;Setup!BX11,BT28*(1+Setup!BY11),if(BX29&lt;Setup!BW11,BT28*(1+Setup!BZ11),BT28)),BT28),CC28/'Quick Setup'!$E12)</f>
        <v>460</v>
      </c>
      <c r="CB28" s="35" t="s">
        <v>73</v>
      </c>
      <c r="CC28" s="36"/>
      <c r="CD28" s="37"/>
      <c r="CE28" s="37"/>
      <c r="CF28" s="37"/>
      <c r="CG28" s="37"/>
      <c r="CH28" s="34">
        <f>if(CJ28="", if(CE29&lt;&gt;"", if(CE29&gt;Setup!CE11,CA28*(1+Setup!CF11),if(CE29&lt;Setup!CD11,CA28*(1+Setup!CG11),CA28)),CA28),CJ28/'Quick Setup'!$E12)</f>
        <v>460</v>
      </c>
      <c r="CI28" s="35" t="s">
        <v>73</v>
      </c>
      <c r="CJ28" s="36"/>
      <c r="CK28" s="37"/>
      <c r="CL28" s="37"/>
      <c r="CM28" s="37"/>
      <c r="CN28" s="37"/>
      <c r="CO28" s="34">
        <f>if(CQ28="", if(CL29&lt;&gt;"", if(CL29&gt;Setup!CL11,CH28*(1+Setup!CM11),if(CL29&lt;Setup!CK11,CH28*(1+Setup!CN11),CH28)),CH28),CQ28/'Quick Setup'!$E12)</f>
        <v>460</v>
      </c>
      <c r="CP28" s="35" t="s">
        <v>73</v>
      </c>
      <c r="CQ28" s="36"/>
      <c r="CR28" s="37"/>
      <c r="CS28" s="37"/>
      <c r="CT28" s="37"/>
      <c r="CU28" s="37"/>
      <c r="CV28" s="34">
        <f>if(CX28="",CO28,CX28/'Quick Setup'!$E12)</f>
        <v>460</v>
      </c>
      <c r="CW28" s="35" t="s">
        <v>73</v>
      </c>
      <c r="CX28" s="36"/>
      <c r="CY28" s="37"/>
      <c r="CZ28" s="37"/>
      <c r="DA28" s="37"/>
      <c r="DB28" s="37"/>
      <c r="DC28" s="34">
        <f>if(DE28="", if(CZ29&lt;&gt;"", if(CZ29&gt;Setup!CZ11,CV28*(1+Setup!DA11),if(CZ29&lt;Setup!CY11,CV28*(1+Setup!DB11),CV28)),CV28),DE28/'Quick Setup'!$E12)</f>
        <v>460</v>
      </c>
      <c r="DD28" s="35" t="s">
        <v>73</v>
      </c>
      <c r="DE28" s="36"/>
      <c r="DF28" s="37"/>
      <c r="DG28" s="37"/>
      <c r="DH28" s="37"/>
      <c r="DI28" s="37"/>
      <c r="DJ28" s="34">
        <f>if(DL28="", if(DG29&lt;&gt;"", if(DG29&gt;Setup!DG11,DC28*(1+Setup!DH11),if(DG29&lt;Setup!DF11,DC28*(1+Setup!DI11),DC28)),DC28),DL28/'Quick Setup'!$E12)</f>
        <v>460</v>
      </c>
      <c r="DK28" s="35" t="s">
        <v>73</v>
      </c>
      <c r="DL28" s="36"/>
      <c r="DM28" s="37"/>
      <c r="DN28" s="37"/>
      <c r="DO28" s="37"/>
      <c r="DP28" s="37"/>
      <c r="DQ28" s="34">
        <f>if(DS28="", if(DN29&lt;&gt;"", if(DN29&gt;Setup!DN11,DJ28*(1+Setup!DO11),if(DN29&lt;Setup!DM11,DJ28*(1+Setup!DP11),DJ28)),DJ28),DS28/'Quick Setup'!$E12)</f>
        <v>460</v>
      </c>
      <c r="DR28" s="35" t="s">
        <v>73</v>
      </c>
      <c r="DS28" s="36"/>
      <c r="DT28" s="37"/>
      <c r="DU28" s="37"/>
      <c r="DV28" s="37"/>
      <c r="DW28" s="37"/>
      <c r="DX28" s="34">
        <f>if(DZ28="", if(DU29&lt;&gt;"", if(DU29&gt;Setup!DU11,DQ28*(1+Setup!DV11),if(DU29&lt;Setup!DT11,DQ28*(1+Setup!DW11),DQ28)),DQ28),DZ28/'Quick Setup'!$E12)</f>
        <v>460</v>
      </c>
      <c r="DY28" s="35" t="s">
        <v>73</v>
      </c>
      <c r="DZ28" s="36"/>
      <c r="EA28" s="37"/>
      <c r="EB28" s="37"/>
      <c r="EC28" s="37"/>
      <c r="ED28" s="37"/>
      <c r="EE28" s="34">
        <f>if(EG28="", if(EB29&lt;&gt;"", if(EB29&gt;Setup!EB11,DX28*(1+Setup!EC11),if(EB29&lt;Setup!EA11,DX28*(1+Setup!ED11),DX28)),DX28),EG28/'Quick Setup'!$E12)</f>
        <v>460</v>
      </c>
      <c r="EF28" s="35" t="s">
        <v>73</v>
      </c>
      <c r="EG28" s="36"/>
      <c r="EH28" s="37"/>
      <c r="EI28" s="37"/>
      <c r="EJ28" s="37"/>
      <c r="EK28" s="37"/>
      <c r="EL28" s="34">
        <f>if(EN28="", if(EI29&lt;&gt;"", if(EI29&gt;Setup!EI11,EE28*(1+Setup!EJ11),if(EI29&lt;Setup!EH11,EE28*(1+Setup!EK11),EE28)),EE28),EN28/'Quick Setup'!$E12)</f>
        <v>460</v>
      </c>
      <c r="EM28" s="35" t="s">
        <v>73</v>
      </c>
      <c r="EN28" s="36"/>
      <c r="EO28" s="37"/>
      <c r="EP28" s="37"/>
      <c r="EQ28" s="37"/>
      <c r="ER28" s="37"/>
    </row>
    <row r="29">
      <c r="A29" s="1" t="str">
        <f>Setup!A11</f>
        <v>Paused Squat</v>
      </c>
      <c r="B29" s="38">
        <f>mround(B28*Setup!B11,'Quick Setup'!$A$2)</f>
        <v>275</v>
      </c>
      <c r="C29" s="2">
        <f>Setup!C11</f>
        <v>7</v>
      </c>
      <c r="D29" s="2">
        <f>Setup!D11</f>
        <v>4</v>
      </c>
      <c r="E29" s="2" t="str">
        <f>CONCATENATE(Setup!E11,"-",Setup!F11)</f>
        <v>4-6</v>
      </c>
      <c r="F29" s="10"/>
      <c r="G29" s="10"/>
      <c r="H29" s="10"/>
      <c r="I29" s="38">
        <f>mround(I28*Setup!I11,'Quick Setup'!$A$2)</f>
        <v>300</v>
      </c>
      <c r="J29" s="2">
        <f>Setup!J11</f>
        <v>6</v>
      </c>
      <c r="K29" s="2">
        <f>Setup!K11</f>
        <v>4</v>
      </c>
      <c r="L29" s="2" t="str">
        <f>CONCATENATE(Setup!L11,"-",Setup!M11)</f>
        <v>4-6</v>
      </c>
      <c r="M29" s="10"/>
      <c r="N29" s="10"/>
      <c r="O29" s="10"/>
      <c r="P29" s="38">
        <f>mround(P28*Setup!P11,'Quick Setup'!$A$2)</f>
        <v>322.5</v>
      </c>
      <c r="Q29" s="2">
        <f>Setup!Q11</f>
        <v>5</v>
      </c>
      <c r="R29" s="2">
        <f>Setup!R11</f>
        <v>3</v>
      </c>
      <c r="S29" s="2" t="str">
        <f>CONCATENATE(Setup!S11,"-",Setup!T11)</f>
        <v>4-6</v>
      </c>
      <c r="T29" s="10"/>
      <c r="U29" s="10"/>
      <c r="V29" s="10"/>
      <c r="W29" s="38">
        <f>mround(W28*Setup!W11,'Quick Setup'!$A$2)</f>
        <v>287.5</v>
      </c>
      <c r="X29" s="2">
        <f>Setup!X11</f>
        <v>7</v>
      </c>
      <c r="Y29" s="2">
        <f>Setup!Y11</f>
        <v>4</v>
      </c>
      <c r="Z29" s="2" t="str">
        <f>CONCATENATE(Setup!Z11,"-",Setup!AA11)</f>
        <v>4-6</v>
      </c>
      <c r="AA29" s="10"/>
      <c r="AB29" s="10"/>
      <c r="AC29" s="10"/>
      <c r="AD29" s="38">
        <f>mround(AD28*Setup!AD11,'Quick Setup'!$A$2)</f>
        <v>310</v>
      </c>
      <c r="AE29" s="2">
        <f>Setup!AE11</f>
        <v>6</v>
      </c>
      <c r="AF29" s="2">
        <f>Setup!AF11</f>
        <v>4</v>
      </c>
      <c r="AG29" s="2" t="str">
        <f>CONCATENATE(Setup!AG11,"-",Setup!AH11)</f>
        <v>4-6</v>
      </c>
      <c r="AH29" s="10"/>
      <c r="AI29" s="10"/>
      <c r="AJ29" s="10"/>
      <c r="AK29" s="38">
        <f>mround(AK28*Setup!AK11,'Quick Setup'!$A$2)</f>
        <v>332.5</v>
      </c>
      <c r="AL29" s="2">
        <f>Setup!AL11</f>
        <v>5</v>
      </c>
      <c r="AM29" s="2">
        <f>Setup!AM11</f>
        <v>3</v>
      </c>
      <c r="AN29" s="2" t="str">
        <f>CONCATENATE(Setup!AN11,"-",Setup!AO11)</f>
        <v>4-6</v>
      </c>
      <c r="AO29" s="10"/>
      <c r="AP29" s="10"/>
      <c r="AQ29" s="10"/>
      <c r="AR29" s="38">
        <f>mround(AR28*Setup!AR11,'Quick Setup'!$A$2)</f>
        <v>230</v>
      </c>
      <c r="AS29" s="1">
        <v>5.0</v>
      </c>
      <c r="AT29" s="1" t="s">
        <v>76</v>
      </c>
      <c r="AU29" s="2" t="str">
        <f>CONCATENATE(Setup!AU11,"-",Setup!AV11)</f>
        <v>4-6</v>
      </c>
      <c r="AV29" s="10"/>
      <c r="AW29" s="10"/>
      <c r="AX29" s="10"/>
      <c r="AY29" s="38">
        <f>mround(AY28*Setup!AY11,'Quick Setup'!$A$2)</f>
        <v>300</v>
      </c>
      <c r="AZ29" s="2">
        <f>Setup!AZ11</f>
        <v>6</v>
      </c>
      <c r="BA29" s="2">
        <f>Setup!BA11</f>
        <v>4</v>
      </c>
      <c r="BB29" s="2" t="str">
        <f>CONCATENATE(Setup!BB11,"-",Setup!BC11)</f>
        <v>4-6</v>
      </c>
      <c r="BC29" s="10"/>
      <c r="BD29" s="10"/>
      <c r="BE29" s="10"/>
      <c r="BF29" s="38">
        <f>mround(BF28*Setup!BF11,'Quick Setup'!$A$2)</f>
        <v>322.5</v>
      </c>
      <c r="BG29" s="2">
        <f>Setup!BG11</f>
        <v>5</v>
      </c>
      <c r="BH29" s="2">
        <f>Setup!BH11</f>
        <v>3</v>
      </c>
      <c r="BI29" s="2" t="str">
        <f>CONCATENATE(Setup!BI11,"-",Setup!BJ11)</f>
        <v>4-6</v>
      </c>
      <c r="BJ29" s="10"/>
      <c r="BK29" s="10"/>
      <c r="BL29" s="10"/>
      <c r="BM29" s="38">
        <f>mround(BM28*Setup!BM11,'Quick Setup'!$A$2)</f>
        <v>345</v>
      </c>
      <c r="BN29" s="2">
        <f>Setup!BN11</f>
        <v>4</v>
      </c>
      <c r="BO29" s="2">
        <f>Setup!BO11</f>
        <v>3</v>
      </c>
      <c r="BP29" s="2" t="str">
        <f>CONCATENATE(Setup!BP11,"-",Setup!BQ11)</f>
        <v>4-6</v>
      </c>
      <c r="BQ29" s="10"/>
      <c r="BR29" s="10"/>
      <c r="BS29" s="10"/>
      <c r="BT29" s="38">
        <f>mround(BT28*Setup!BT11,'Quick Setup'!$A$2)</f>
        <v>310</v>
      </c>
      <c r="BU29" s="2">
        <f>Setup!BU11</f>
        <v>6</v>
      </c>
      <c r="BV29" s="2">
        <f>Setup!BV11</f>
        <v>4</v>
      </c>
      <c r="BW29" s="2" t="str">
        <f>CONCATENATE(Setup!BW11,"-",Setup!BX11)</f>
        <v>4-6</v>
      </c>
      <c r="BX29" s="10"/>
      <c r="BY29" s="10"/>
      <c r="BZ29" s="10"/>
      <c r="CA29" s="38">
        <f>mround(CA28*Setup!CA11,'Quick Setup'!$A$2)</f>
        <v>332.5</v>
      </c>
      <c r="CB29" s="2">
        <f>Setup!CB11</f>
        <v>5</v>
      </c>
      <c r="CC29" s="2">
        <f>Setup!CC11</f>
        <v>3</v>
      </c>
      <c r="CD29" s="2" t="str">
        <f>CONCATENATE(Setup!CD11,"-",Setup!CE11)</f>
        <v>4-6</v>
      </c>
      <c r="CE29" s="10"/>
      <c r="CF29" s="10"/>
      <c r="CG29" s="10"/>
      <c r="CH29" s="38">
        <f>mround(CH28*Setup!CH11,'Quick Setup'!$A$2)</f>
        <v>357.5</v>
      </c>
      <c r="CI29" s="2">
        <f>Setup!CI11</f>
        <v>4</v>
      </c>
      <c r="CJ29" s="2">
        <f>Setup!CJ11</f>
        <v>3</v>
      </c>
      <c r="CK29" s="2" t="str">
        <f>CONCATENATE(Setup!CK11,"-",Setup!CL11)</f>
        <v>4-6</v>
      </c>
      <c r="CL29" s="10"/>
      <c r="CM29" s="10"/>
      <c r="CN29" s="10"/>
      <c r="CO29" s="38">
        <f>mround(CO28*Setup!CO11,'Quick Setup'!$A$2)</f>
        <v>230</v>
      </c>
      <c r="CP29" s="1">
        <v>5.0</v>
      </c>
      <c r="CQ29" s="1" t="s">
        <v>76</v>
      </c>
      <c r="CR29" s="2" t="str">
        <f>CONCATENATE(Setup!CR11,"-",Setup!CS11)</f>
        <v>4-6</v>
      </c>
      <c r="CS29" s="10"/>
      <c r="CT29" s="10"/>
      <c r="CU29" s="10"/>
      <c r="CV29" s="38">
        <f>mround(CV28*Setup!CV11,'Quick Setup'!$A$2)</f>
        <v>322.5</v>
      </c>
      <c r="CW29" s="2">
        <f>Setup!CW11</f>
        <v>5</v>
      </c>
      <c r="CX29" s="2">
        <f>Setup!CX11</f>
        <v>3</v>
      </c>
      <c r="CY29" s="2" t="str">
        <f>CONCATENATE(Setup!CY11,"-",Setup!CZ11)</f>
        <v>4-6</v>
      </c>
      <c r="CZ29" s="10"/>
      <c r="DA29" s="10"/>
      <c r="DB29" s="10"/>
      <c r="DC29" s="38">
        <f>mround(DC28*Setup!DC11,'Quick Setup'!$A$2)</f>
        <v>345</v>
      </c>
      <c r="DD29" s="2">
        <f>Setup!DD11</f>
        <v>4</v>
      </c>
      <c r="DE29" s="2">
        <f>Setup!DE11</f>
        <v>3</v>
      </c>
      <c r="DF29" s="2" t="str">
        <f>CONCATENATE(Setup!DF11,"-",Setup!DG11)</f>
        <v>4-6</v>
      </c>
      <c r="DG29" s="10"/>
      <c r="DH29" s="10"/>
      <c r="DI29" s="10"/>
      <c r="DJ29" s="38">
        <f>mround(DJ28*Setup!DJ11,'Quick Setup'!$A$2)</f>
        <v>367.5</v>
      </c>
      <c r="DK29" s="2">
        <f>Setup!DK11</f>
        <v>3</v>
      </c>
      <c r="DL29" s="2">
        <f>Setup!DL11</f>
        <v>2</v>
      </c>
      <c r="DM29" s="2" t="str">
        <f>CONCATENATE(Setup!DM11,"-",Setup!DN11)</f>
        <v>4-6</v>
      </c>
      <c r="DN29" s="10"/>
      <c r="DO29" s="10"/>
      <c r="DP29" s="10"/>
      <c r="DQ29" s="38">
        <f>mround(DQ28*Setup!DQ11,'Quick Setup'!$A$2)</f>
        <v>345</v>
      </c>
      <c r="DR29" s="2">
        <f>Setup!DR11</f>
        <v>4</v>
      </c>
      <c r="DS29" s="2">
        <f>Setup!DS11</f>
        <v>3</v>
      </c>
      <c r="DT29" s="2" t="str">
        <f>CONCATENATE(Setup!DT11,"-",Setup!DU11)</f>
        <v>4-6</v>
      </c>
      <c r="DU29" s="10"/>
      <c r="DV29" s="10"/>
      <c r="DW29" s="10"/>
      <c r="DX29" s="38">
        <f>mround(DX28*Setup!DX11,'Quick Setup'!$A$2)</f>
        <v>367.5</v>
      </c>
      <c r="DY29" s="2">
        <f>Setup!DY11</f>
        <v>3</v>
      </c>
      <c r="DZ29" s="2">
        <f>Setup!DZ11</f>
        <v>2</v>
      </c>
      <c r="EA29" s="2" t="str">
        <f>CONCATENATE(Setup!EA11,"-",Setup!EB11)</f>
        <v>4-6</v>
      </c>
      <c r="EB29" s="10"/>
      <c r="EC29" s="10"/>
      <c r="ED29" s="10"/>
      <c r="EE29" s="38">
        <f>mround(EE28*Setup!EE11,'Quick Setup'!$A$2)</f>
        <v>390</v>
      </c>
      <c r="EF29" s="2">
        <f>Setup!EF11</f>
        <v>2</v>
      </c>
      <c r="EG29" s="2">
        <f>Setup!EG11</f>
        <v>2</v>
      </c>
      <c r="EH29" s="2" t="str">
        <f>CONCATENATE(Setup!EH11,"-",Setup!EI11)</f>
        <v>4-6</v>
      </c>
      <c r="EI29" s="10"/>
      <c r="EJ29" s="10"/>
      <c r="EK29" s="10"/>
      <c r="EL29" s="38">
        <f>mround(EL28*Setup!EL11,'Quick Setup'!$A$2)</f>
        <v>230</v>
      </c>
      <c r="EM29" s="1">
        <v>5.0</v>
      </c>
      <c r="EN29" s="1" t="s">
        <v>76</v>
      </c>
      <c r="EO29" s="2" t="str">
        <f>CONCATENATE(Setup!EO11,"-",Setup!EP11)</f>
        <v>4-6</v>
      </c>
      <c r="EP29" s="10"/>
      <c r="EQ29" s="10"/>
      <c r="ER29" s="10"/>
    </row>
    <row r="30">
      <c r="A30" s="5"/>
      <c r="B30" s="39"/>
      <c r="C30" s="10"/>
      <c r="D30" s="10"/>
      <c r="E30" s="10"/>
      <c r="F30" s="10"/>
      <c r="G30" s="10"/>
      <c r="H30" s="10"/>
      <c r="I30" s="39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39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39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39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39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39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39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39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39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39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39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39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39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39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39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39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39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39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39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39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77</v>
      </c>
      <c r="B31" s="38"/>
      <c r="C31" s="2"/>
      <c r="D31" s="2"/>
      <c r="E31" s="2"/>
      <c r="F31" s="2"/>
      <c r="G31" s="2"/>
      <c r="H31" s="2"/>
      <c r="I31" s="38"/>
      <c r="J31" s="2"/>
      <c r="K31" s="2"/>
      <c r="L31" s="2"/>
      <c r="M31" s="2"/>
      <c r="N31" s="2"/>
      <c r="O31" s="2"/>
      <c r="P31" s="38"/>
      <c r="Q31" s="2"/>
      <c r="R31" s="2"/>
      <c r="S31" s="2"/>
      <c r="T31" s="2"/>
      <c r="U31" s="2"/>
      <c r="V31" s="2"/>
      <c r="W31" s="38"/>
      <c r="X31" s="2"/>
      <c r="Y31" s="2"/>
      <c r="Z31" s="2"/>
      <c r="AA31" s="2"/>
      <c r="AB31" s="2"/>
      <c r="AC31" s="2"/>
      <c r="AD31" s="38"/>
      <c r="AE31" s="2"/>
      <c r="AF31" s="2"/>
      <c r="AG31" s="2"/>
      <c r="AH31" s="2"/>
      <c r="AI31" s="2"/>
      <c r="AJ31" s="2"/>
      <c r="AK31" s="38"/>
      <c r="AL31" s="2"/>
      <c r="AM31" s="2"/>
      <c r="AN31" s="2"/>
      <c r="AO31" s="2"/>
      <c r="AP31" s="2"/>
      <c r="AQ31" s="2"/>
      <c r="AR31" s="38"/>
      <c r="AS31" s="2"/>
      <c r="AT31" s="2"/>
      <c r="AU31" s="2"/>
      <c r="AV31" s="2"/>
      <c r="AW31" s="2"/>
      <c r="AX31" s="2"/>
      <c r="AY31" s="38"/>
      <c r="AZ31" s="2"/>
      <c r="BA31" s="2"/>
      <c r="BB31" s="2"/>
      <c r="BC31" s="2"/>
      <c r="BD31" s="2"/>
      <c r="BE31" s="2"/>
      <c r="BF31" s="38"/>
      <c r="BG31" s="2"/>
      <c r="BH31" s="2"/>
      <c r="BI31" s="2"/>
      <c r="BJ31" s="2"/>
      <c r="BK31" s="2"/>
      <c r="BL31" s="2"/>
      <c r="BM31" s="38"/>
      <c r="BN31" s="2"/>
      <c r="BO31" s="2"/>
      <c r="BP31" s="2"/>
      <c r="BQ31" s="2"/>
      <c r="BR31" s="2"/>
      <c r="BS31" s="2"/>
      <c r="BT31" s="38"/>
      <c r="BU31" s="2"/>
      <c r="BV31" s="2"/>
      <c r="BW31" s="2"/>
      <c r="BX31" s="2"/>
      <c r="BY31" s="2"/>
      <c r="BZ31" s="2"/>
      <c r="CA31" s="38"/>
      <c r="CB31" s="2"/>
      <c r="CC31" s="2"/>
      <c r="CD31" s="2"/>
      <c r="CE31" s="2"/>
      <c r="CF31" s="2"/>
      <c r="CG31" s="2"/>
      <c r="CH31" s="38"/>
      <c r="CI31" s="2"/>
      <c r="CJ31" s="2"/>
      <c r="CK31" s="2"/>
      <c r="CL31" s="2"/>
      <c r="CM31" s="2"/>
      <c r="CN31" s="2"/>
      <c r="CO31" s="38"/>
      <c r="CP31" s="2"/>
      <c r="CQ31" s="2"/>
      <c r="CR31" s="2"/>
      <c r="CS31" s="2"/>
      <c r="CT31" s="2"/>
      <c r="CU31" s="2"/>
      <c r="CV31" s="38"/>
      <c r="CW31" s="2"/>
      <c r="CX31" s="2"/>
      <c r="CY31" s="2"/>
      <c r="CZ31" s="2"/>
      <c r="DA31" s="2"/>
      <c r="DB31" s="2"/>
      <c r="DC31" s="38"/>
      <c r="DD31" s="2"/>
      <c r="DE31" s="2"/>
      <c r="DF31" s="2"/>
      <c r="DG31" s="2"/>
      <c r="DH31" s="2"/>
      <c r="DI31" s="2"/>
      <c r="DJ31" s="38"/>
      <c r="DK31" s="2"/>
      <c r="DL31" s="2"/>
      <c r="DM31" s="2"/>
      <c r="DN31" s="2"/>
      <c r="DO31" s="2"/>
      <c r="DP31" s="2"/>
      <c r="DQ31" s="38"/>
      <c r="DR31" s="2"/>
      <c r="DS31" s="2"/>
      <c r="DT31" s="2"/>
      <c r="DU31" s="2"/>
      <c r="DV31" s="2"/>
      <c r="DW31" s="2"/>
      <c r="DX31" s="38"/>
      <c r="DY31" s="2"/>
      <c r="DZ31" s="2"/>
      <c r="EA31" s="2"/>
      <c r="EB31" s="2"/>
      <c r="EC31" s="2"/>
      <c r="ED31" s="2"/>
      <c r="EE31" s="38"/>
      <c r="EF31" s="2"/>
      <c r="EG31" s="2"/>
      <c r="EH31" s="2"/>
      <c r="EI31" s="2"/>
      <c r="EJ31" s="2"/>
      <c r="EK31" s="2"/>
      <c r="EL31" s="38"/>
      <c r="EM31" s="2"/>
      <c r="EN31" s="2"/>
      <c r="EO31" s="2"/>
      <c r="EP31" s="2"/>
      <c r="EQ31" s="2"/>
      <c r="ER31" s="2"/>
    </row>
    <row r="32">
      <c r="A32" s="40"/>
      <c r="B32" s="39"/>
      <c r="C32" s="10"/>
      <c r="D32" s="10"/>
      <c r="E32" s="10"/>
      <c r="F32" s="10"/>
      <c r="G32" s="10"/>
      <c r="H32" s="10"/>
      <c r="I32" s="39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39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39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39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39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39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39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39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39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39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39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39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39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39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39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39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39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39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39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39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0"/>
      <c r="B33" s="39"/>
      <c r="C33" s="10"/>
      <c r="D33" s="10"/>
      <c r="E33" s="10"/>
      <c r="F33" s="10"/>
      <c r="G33" s="10"/>
      <c r="H33" s="10"/>
      <c r="I33" s="39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39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39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39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39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39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39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39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39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39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39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39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39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39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39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39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39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39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39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39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1"/>
      <c r="B34" s="42"/>
      <c r="C34" s="43"/>
      <c r="D34" s="43"/>
      <c r="E34" s="43"/>
      <c r="F34" s="43"/>
      <c r="G34" s="43"/>
      <c r="H34" s="43"/>
      <c r="I34" s="42" t="str">
        <f t="shared" ref="I34:M34" si="221">B34</f>
        <v/>
      </c>
      <c r="J34" s="43" t="str">
        <f t="shared" si="221"/>
        <v/>
      </c>
      <c r="K34" s="43" t="str">
        <f t="shared" si="221"/>
        <v/>
      </c>
      <c r="L34" s="43" t="str">
        <f t="shared" si="221"/>
        <v/>
      </c>
      <c r="M34" s="43" t="str">
        <f t="shared" si="221"/>
        <v/>
      </c>
      <c r="N34" s="43"/>
      <c r="O34" s="43"/>
      <c r="P34" s="42" t="str">
        <f t="shared" ref="P34:T34" si="222">I34</f>
        <v/>
      </c>
      <c r="Q34" s="43" t="str">
        <f t="shared" si="222"/>
        <v/>
      </c>
      <c r="R34" s="43" t="str">
        <f t="shared" si="222"/>
        <v/>
      </c>
      <c r="S34" s="43" t="str">
        <f t="shared" si="222"/>
        <v/>
      </c>
      <c r="T34" s="43" t="str">
        <f t="shared" si="222"/>
        <v/>
      </c>
      <c r="U34" s="43"/>
      <c r="V34" s="43"/>
      <c r="W34" s="42" t="str">
        <f t="shared" ref="W34:AA34" si="223">P34</f>
        <v/>
      </c>
      <c r="X34" s="43" t="str">
        <f t="shared" si="223"/>
        <v/>
      </c>
      <c r="Y34" s="43" t="str">
        <f t="shared" si="223"/>
        <v/>
      </c>
      <c r="Z34" s="43" t="str">
        <f t="shared" si="223"/>
        <v/>
      </c>
      <c r="AA34" s="43" t="str">
        <f t="shared" si="223"/>
        <v/>
      </c>
      <c r="AB34" s="43"/>
      <c r="AC34" s="43"/>
      <c r="AD34" s="42" t="str">
        <f t="shared" ref="AD34:AH34" si="224">W34</f>
        <v/>
      </c>
      <c r="AE34" s="43" t="str">
        <f t="shared" si="224"/>
        <v/>
      </c>
      <c r="AF34" s="43" t="str">
        <f t="shared" si="224"/>
        <v/>
      </c>
      <c r="AG34" s="43" t="str">
        <f t="shared" si="224"/>
        <v/>
      </c>
      <c r="AH34" s="43" t="str">
        <f t="shared" si="224"/>
        <v/>
      </c>
      <c r="AI34" s="43"/>
      <c r="AJ34" s="43"/>
      <c r="AK34" s="42" t="str">
        <f t="shared" ref="AK34:AO34" si="225">AD34</f>
        <v/>
      </c>
      <c r="AL34" s="43" t="str">
        <f t="shared" si="225"/>
        <v/>
      </c>
      <c r="AM34" s="43" t="str">
        <f t="shared" si="225"/>
        <v/>
      </c>
      <c r="AN34" s="43" t="str">
        <f t="shared" si="225"/>
        <v/>
      </c>
      <c r="AO34" s="43" t="str">
        <f t="shared" si="225"/>
        <v/>
      </c>
      <c r="AP34" s="43"/>
      <c r="AQ34" s="43"/>
      <c r="AR34" s="42" t="str">
        <f t="shared" ref="AR34:AV34" si="226">AK34</f>
        <v/>
      </c>
      <c r="AS34" s="43" t="str">
        <f t="shared" si="226"/>
        <v/>
      </c>
      <c r="AT34" s="43" t="str">
        <f t="shared" si="226"/>
        <v/>
      </c>
      <c r="AU34" s="43" t="str">
        <f t="shared" si="226"/>
        <v/>
      </c>
      <c r="AV34" s="43" t="str">
        <f t="shared" si="226"/>
        <v/>
      </c>
      <c r="AW34" s="43"/>
      <c r="AX34" s="43"/>
      <c r="AY34" s="42" t="str">
        <f t="shared" ref="AY34:BC34" si="227">AR34</f>
        <v/>
      </c>
      <c r="AZ34" s="43" t="str">
        <f t="shared" si="227"/>
        <v/>
      </c>
      <c r="BA34" s="43" t="str">
        <f t="shared" si="227"/>
        <v/>
      </c>
      <c r="BB34" s="43" t="str">
        <f t="shared" si="227"/>
        <v/>
      </c>
      <c r="BC34" s="43" t="str">
        <f t="shared" si="227"/>
        <v/>
      </c>
      <c r="BD34" s="43"/>
      <c r="BE34" s="43"/>
      <c r="BF34" s="42" t="str">
        <f t="shared" ref="BF34:BJ34" si="228">AY34</f>
        <v/>
      </c>
      <c r="BG34" s="43" t="str">
        <f t="shared" si="228"/>
        <v/>
      </c>
      <c r="BH34" s="43" t="str">
        <f t="shared" si="228"/>
        <v/>
      </c>
      <c r="BI34" s="43" t="str">
        <f t="shared" si="228"/>
        <v/>
      </c>
      <c r="BJ34" s="43" t="str">
        <f t="shared" si="228"/>
        <v/>
      </c>
      <c r="BK34" s="43"/>
      <c r="BL34" s="43"/>
      <c r="BM34" s="42" t="str">
        <f t="shared" ref="BM34:BQ34" si="229">BF34</f>
        <v/>
      </c>
      <c r="BN34" s="43" t="str">
        <f t="shared" si="229"/>
        <v/>
      </c>
      <c r="BO34" s="43" t="str">
        <f t="shared" si="229"/>
        <v/>
      </c>
      <c r="BP34" s="43" t="str">
        <f t="shared" si="229"/>
        <v/>
      </c>
      <c r="BQ34" s="43" t="str">
        <f t="shared" si="229"/>
        <v/>
      </c>
      <c r="BR34" s="43"/>
      <c r="BS34" s="43"/>
      <c r="BT34" s="42" t="str">
        <f t="shared" ref="BT34:BX34" si="230">BM34</f>
        <v/>
      </c>
      <c r="BU34" s="43" t="str">
        <f t="shared" si="230"/>
        <v/>
      </c>
      <c r="BV34" s="43" t="str">
        <f t="shared" si="230"/>
        <v/>
      </c>
      <c r="BW34" s="43" t="str">
        <f t="shared" si="230"/>
        <v/>
      </c>
      <c r="BX34" s="43" t="str">
        <f t="shared" si="230"/>
        <v/>
      </c>
      <c r="BY34" s="43"/>
      <c r="BZ34" s="43"/>
      <c r="CA34" s="42" t="str">
        <f t="shared" ref="CA34:CE34" si="231">BT34</f>
        <v/>
      </c>
      <c r="CB34" s="43" t="str">
        <f t="shared" si="231"/>
        <v/>
      </c>
      <c r="CC34" s="43" t="str">
        <f t="shared" si="231"/>
        <v/>
      </c>
      <c r="CD34" s="43" t="str">
        <f t="shared" si="231"/>
        <v/>
      </c>
      <c r="CE34" s="43" t="str">
        <f t="shared" si="231"/>
        <v/>
      </c>
      <c r="CF34" s="43"/>
      <c r="CG34" s="43"/>
      <c r="CH34" s="42" t="str">
        <f t="shared" ref="CH34:CL34" si="232">CA34</f>
        <v/>
      </c>
      <c r="CI34" s="43" t="str">
        <f t="shared" si="232"/>
        <v/>
      </c>
      <c r="CJ34" s="43" t="str">
        <f t="shared" si="232"/>
        <v/>
      </c>
      <c r="CK34" s="43" t="str">
        <f t="shared" si="232"/>
        <v/>
      </c>
      <c r="CL34" s="43" t="str">
        <f t="shared" si="232"/>
        <v/>
      </c>
      <c r="CM34" s="43"/>
      <c r="CN34" s="43"/>
      <c r="CO34" s="42" t="str">
        <f t="shared" ref="CO34:CS34" si="233">CH34</f>
        <v/>
      </c>
      <c r="CP34" s="43" t="str">
        <f t="shared" si="233"/>
        <v/>
      </c>
      <c r="CQ34" s="43" t="str">
        <f t="shared" si="233"/>
        <v/>
      </c>
      <c r="CR34" s="43" t="str">
        <f t="shared" si="233"/>
        <v/>
      </c>
      <c r="CS34" s="43" t="str">
        <f t="shared" si="233"/>
        <v/>
      </c>
      <c r="CT34" s="43"/>
      <c r="CU34" s="43"/>
      <c r="CV34" s="42" t="str">
        <f t="shared" ref="CV34:CZ34" si="234">CO34</f>
        <v/>
      </c>
      <c r="CW34" s="43" t="str">
        <f t="shared" si="234"/>
        <v/>
      </c>
      <c r="CX34" s="43" t="str">
        <f t="shared" si="234"/>
        <v/>
      </c>
      <c r="CY34" s="43" t="str">
        <f t="shared" si="234"/>
        <v/>
      </c>
      <c r="CZ34" s="43" t="str">
        <f t="shared" si="234"/>
        <v/>
      </c>
      <c r="DA34" s="43"/>
      <c r="DB34" s="43"/>
      <c r="DC34" s="42" t="str">
        <f t="shared" ref="DC34:DG34" si="235">CV34</f>
        <v/>
      </c>
      <c r="DD34" s="43" t="str">
        <f t="shared" si="235"/>
        <v/>
      </c>
      <c r="DE34" s="43" t="str">
        <f t="shared" si="235"/>
        <v/>
      </c>
      <c r="DF34" s="43" t="str">
        <f t="shared" si="235"/>
        <v/>
      </c>
      <c r="DG34" s="43" t="str">
        <f t="shared" si="235"/>
        <v/>
      </c>
      <c r="DH34" s="43"/>
      <c r="DI34" s="43"/>
      <c r="DJ34" s="42" t="str">
        <f t="shared" ref="DJ34:DN34" si="236">DC34</f>
        <v/>
      </c>
      <c r="DK34" s="43" t="str">
        <f t="shared" si="236"/>
        <v/>
      </c>
      <c r="DL34" s="43" t="str">
        <f t="shared" si="236"/>
        <v/>
      </c>
      <c r="DM34" s="43" t="str">
        <f t="shared" si="236"/>
        <v/>
      </c>
      <c r="DN34" s="43" t="str">
        <f t="shared" si="236"/>
        <v/>
      </c>
      <c r="DO34" s="43"/>
      <c r="DP34" s="43"/>
      <c r="DQ34" s="42" t="str">
        <f t="shared" ref="DQ34:DU34" si="237">DJ34</f>
        <v/>
      </c>
      <c r="DR34" s="43" t="str">
        <f t="shared" si="237"/>
        <v/>
      </c>
      <c r="DS34" s="43" t="str">
        <f t="shared" si="237"/>
        <v/>
      </c>
      <c r="DT34" s="43" t="str">
        <f t="shared" si="237"/>
        <v/>
      </c>
      <c r="DU34" s="43" t="str">
        <f t="shared" si="237"/>
        <v/>
      </c>
      <c r="DV34" s="43"/>
      <c r="DW34" s="43"/>
      <c r="DX34" s="42" t="str">
        <f t="shared" ref="DX34:EB34" si="238">DQ34</f>
        <v/>
      </c>
      <c r="DY34" s="43" t="str">
        <f t="shared" si="238"/>
        <v/>
      </c>
      <c r="DZ34" s="43" t="str">
        <f t="shared" si="238"/>
        <v/>
      </c>
      <c r="EA34" s="43" t="str">
        <f t="shared" si="238"/>
        <v/>
      </c>
      <c r="EB34" s="43" t="str">
        <f t="shared" si="238"/>
        <v/>
      </c>
      <c r="EC34" s="43"/>
      <c r="ED34" s="43"/>
      <c r="EE34" s="42" t="str">
        <f t="shared" ref="EE34:EI34" si="239">DX34</f>
        <v/>
      </c>
      <c r="EF34" s="43" t="str">
        <f t="shared" si="239"/>
        <v/>
      </c>
      <c r="EG34" s="43" t="str">
        <f t="shared" si="239"/>
        <v/>
      </c>
      <c r="EH34" s="43" t="str">
        <f t="shared" si="239"/>
        <v/>
      </c>
      <c r="EI34" s="43" t="str">
        <f t="shared" si="239"/>
        <v/>
      </c>
      <c r="EJ34" s="43"/>
      <c r="EK34" s="43"/>
      <c r="EL34" s="42" t="str">
        <f t="shared" ref="EL34:EP34" si="240">EE34</f>
        <v/>
      </c>
      <c r="EM34" s="43" t="str">
        <f t="shared" si="240"/>
        <v/>
      </c>
      <c r="EN34" s="43" t="str">
        <f t="shared" si="240"/>
        <v/>
      </c>
      <c r="EO34" s="43" t="str">
        <f t="shared" si="240"/>
        <v/>
      </c>
      <c r="EP34" s="43" t="str">
        <f t="shared" si="240"/>
        <v/>
      </c>
      <c r="EQ34" s="43"/>
      <c r="ER34" s="43"/>
    </row>
    <row r="35">
      <c r="A35" s="2"/>
      <c r="B35" s="38"/>
      <c r="C35" s="2"/>
      <c r="D35" s="2"/>
      <c r="E35" s="2"/>
      <c r="F35" s="2"/>
      <c r="G35" s="2"/>
      <c r="H35" s="2"/>
      <c r="I35" s="38"/>
      <c r="J35" s="2"/>
      <c r="K35" s="2"/>
      <c r="L35" s="2"/>
      <c r="M35" s="2"/>
      <c r="N35" s="2"/>
      <c r="O35" s="2"/>
      <c r="P35" s="38"/>
      <c r="Q35" s="2"/>
      <c r="R35" s="2"/>
      <c r="S35" s="2"/>
      <c r="T35" s="2"/>
      <c r="U35" s="2"/>
      <c r="V35" s="2"/>
      <c r="W35" s="38"/>
      <c r="X35" s="2"/>
      <c r="Y35" s="2"/>
      <c r="Z35" s="2"/>
      <c r="AA35" s="2"/>
      <c r="AB35" s="2"/>
      <c r="AC35" s="2"/>
      <c r="AD35" s="38"/>
      <c r="AE35" s="2"/>
      <c r="AF35" s="2"/>
      <c r="AG35" s="2"/>
      <c r="AH35" s="2"/>
      <c r="AI35" s="2"/>
      <c r="AJ35" s="2"/>
      <c r="AK35" s="38"/>
      <c r="AL35" s="2"/>
      <c r="AM35" s="2"/>
      <c r="AN35" s="2"/>
      <c r="AO35" s="2"/>
      <c r="AP35" s="2"/>
      <c r="AQ35" s="2"/>
      <c r="AR35" s="38"/>
      <c r="AS35" s="2"/>
      <c r="AT35" s="2"/>
      <c r="AU35" s="2"/>
      <c r="AV35" s="2"/>
      <c r="AW35" s="2"/>
      <c r="AX35" s="2"/>
      <c r="AY35" s="38"/>
      <c r="AZ35" s="2"/>
      <c r="BA35" s="2"/>
      <c r="BB35" s="2"/>
      <c r="BC35" s="2"/>
      <c r="BD35" s="2"/>
      <c r="BE35" s="2"/>
      <c r="BF35" s="38"/>
      <c r="BG35" s="2"/>
      <c r="BH35" s="2"/>
      <c r="BI35" s="2"/>
      <c r="BJ35" s="2"/>
      <c r="BK35" s="2"/>
      <c r="BL35" s="2"/>
      <c r="BM35" s="38"/>
      <c r="BN35" s="2"/>
      <c r="BO35" s="2"/>
      <c r="BP35" s="2"/>
      <c r="BQ35" s="2"/>
      <c r="BR35" s="2"/>
      <c r="BS35" s="2"/>
      <c r="BT35" s="38"/>
      <c r="BU35" s="2"/>
      <c r="BV35" s="2"/>
      <c r="BW35" s="2"/>
      <c r="BX35" s="2"/>
      <c r="BY35" s="2"/>
      <c r="BZ35" s="2"/>
      <c r="CA35" s="38"/>
      <c r="CB35" s="2"/>
      <c r="CC35" s="2"/>
      <c r="CD35" s="2"/>
      <c r="CE35" s="2"/>
      <c r="CF35" s="2"/>
      <c r="CG35" s="2"/>
      <c r="CH35" s="38"/>
      <c r="CI35" s="2"/>
      <c r="CJ35" s="2"/>
      <c r="CK35" s="2"/>
      <c r="CL35" s="2"/>
      <c r="CM35" s="2"/>
      <c r="CN35" s="2"/>
      <c r="CO35" s="38"/>
      <c r="CP35" s="2"/>
      <c r="CQ35" s="2"/>
      <c r="CR35" s="2"/>
      <c r="CS35" s="2"/>
      <c r="CT35" s="2"/>
      <c r="CU35" s="2"/>
      <c r="CV35" s="38"/>
      <c r="CW35" s="2"/>
      <c r="CX35" s="2"/>
      <c r="CY35" s="2"/>
      <c r="CZ35" s="2"/>
      <c r="DA35" s="2"/>
      <c r="DB35" s="2"/>
      <c r="DC35" s="38"/>
      <c r="DD35" s="2"/>
      <c r="DE35" s="2"/>
      <c r="DF35" s="2"/>
      <c r="DG35" s="2"/>
      <c r="DH35" s="2"/>
      <c r="DI35" s="2"/>
      <c r="DJ35" s="38"/>
      <c r="DK35" s="2"/>
      <c r="DL35" s="2"/>
      <c r="DM35" s="2"/>
      <c r="DN35" s="2"/>
      <c r="DO35" s="2"/>
      <c r="DP35" s="2"/>
      <c r="DQ35" s="38"/>
      <c r="DR35" s="2"/>
      <c r="DS35" s="2"/>
      <c r="DT35" s="2"/>
      <c r="DU35" s="2"/>
      <c r="DV35" s="2"/>
      <c r="DW35" s="2"/>
      <c r="DX35" s="38"/>
      <c r="DY35" s="2"/>
      <c r="DZ35" s="2"/>
      <c r="EA35" s="2"/>
      <c r="EB35" s="2"/>
      <c r="EC35" s="2"/>
      <c r="ED35" s="2"/>
      <c r="EE35" s="38"/>
      <c r="EF35" s="2"/>
      <c r="EG35" s="2"/>
      <c r="EH35" s="2"/>
      <c r="EI35" s="2"/>
      <c r="EJ35" s="2"/>
      <c r="EK35" s="2"/>
      <c r="EL35" s="38"/>
      <c r="EM35" s="2"/>
      <c r="EN35" s="2"/>
      <c r="EO35" s="2"/>
      <c r="EP35" s="2"/>
      <c r="EQ35" s="2"/>
      <c r="ER35" s="2"/>
    </row>
    <row r="36">
      <c r="A36" s="28" t="s">
        <v>80</v>
      </c>
      <c r="B36" s="29"/>
      <c r="C36" s="30"/>
      <c r="D36" s="30"/>
      <c r="E36" s="30"/>
      <c r="F36" s="30"/>
      <c r="G36" s="30"/>
      <c r="H36" s="30"/>
      <c r="I36" s="29"/>
      <c r="J36" s="30"/>
      <c r="K36" s="30"/>
      <c r="L36" s="30"/>
      <c r="M36" s="30"/>
      <c r="N36" s="30"/>
      <c r="O36" s="30"/>
      <c r="P36" s="29"/>
      <c r="Q36" s="30"/>
      <c r="R36" s="30"/>
      <c r="S36" s="30"/>
      <c r="T36" s="30"/>
      <c r="U36" s="30"/>
      <c r="V36" s="30"/>
      <c r="W36" s="29"/>
      <c r="X36" s="30"/>
      <c r="Y36" s="30"/>
      <c r="Z36" s="30"/>
      <c r="AA36" s="30"/>
      <c r="AB36" s="30"/>
      <c r="AC36" s="30"/>
      <c r="AD36" s="29"/>
      <c r="AE36" s="30"/>
      <c r="AF36" s="30"/>
      <c r="AG36" s="30"/>
      <c r="AH36" s="30"/>
      <c r="AI36" s="30"/>
      <c r="AJ36" s="30"/>
      <c r="AK36" s="29"/>
      <c r="AL36" s="30"/>
      <c r="AM36" s="30"/>
      <c r="AN36" s="30"/>
      <c r="AO36" s="30"/>
      <c r="AP36" s="30"/>
      <c r="AQ36" s="30"/>
      <c r="AR36" s="29"/>
      <c r="AS36" s="30"/>
      <c r="AT36" s="30"/>
      <c r="AU36" s="30"/>
      <c r="AV36" s="30"/>
      <c r="AW36" s="30"/>
      <c r="AX36" s="30"/>
      <c r="AY36" s="29"/>
      <c r="AZ36" s="30"/>
      <c r="BA36" s="30"/>
      <c r="BB36" s="30"/>
      <c r="BC36" s="30"/>
      <c r="BD36" s="30"/>
      <c r="BE36" s="30"/>
      <c r="BF36" s="29"/>
      <c r="BG36" s="30"/>
      <c r="BH36" s="30"/>
      <c r="BI36" s="30"/>
      <c r="BJ36" s="30"/>
      <c r="BK36" s="30"/>
      <c r="BL36" s="30"/>
      <c r="BM36" s="29"/>
      <c r="BN36" s="30"/>
      <c r="BO36" s="30"/>
      <c r="BP36" s="30"/>
      <c r="BQ36" s="30"/>
      <c r="BR36" s="30"/>
      <c r="BS36" s="30"/>
      <c r="BT36" s="29"/>
      <c r="BU36" s="30"/>
      <c r="BV36" s="30"/>
      <c r="BW36" s="30"/>
      <c r="BX36" s="30"/>
      <c r="BY36" s="30"/>
      <c r="BZ36" s="30"/>
      <c r="CA36" s="29"/>
      <c r="CB36" s="30"/>
      <c r="CC36" s="30"/>
      <c r="CD36" s="30"/>
      <c r="CE36" s="30"/>
      <c r="CF36" s="30"/>
      <c r="CG36" s="30"/>
      <c r="CH36" s="29"/>
      <c r="CI36" s="30"/>
      <c r="CJ36" s="30"/>
      <c r="CK36" s="30"/>
      <c r="CL36" s="30"/>
      <c r="CM36" s="30"/>
      <c r="CN36" s="30"/>
      <c r="CO36" s="29"/>
      <c r="CP36" s="30"/>
      <c r="CQ36" s="30"/>
      <c r="CR36" s="30"/>
      <c r="CS36" s="30"/>
      <c r="CT36" s="30"/>
      <c r="CU36" s="30"/>
      <c r="CV36" s="29"/>
      <c r="CW36" s="30"/>
      <c r="CX36" s="30"/>
      <c r="CY36" s="30"/>
      <c r="CZ36" s="30"/>
      <c r="DA36" s="30"/>
      <c r="DB36" s="30"/>
      <c r="DC36" s="29"/>
      <c r="DD36" s="30"/>
      <c r="DE36" s="30"/>
      <c r="DF36" s="30"/>
      <c r="DG36" s="30"/>
      <c r="DH36" s="30"/>
      <c r="DI36" s="30"/>
      <c r="DJ36" s="29"/>
      <c r="DK36" s="30"/>
      <c r="DL36" s="30"/>
      <c r="DM36" s="30"/>
      <c r="DN36" s="30"/>
      <c r="DO36" s="30"/>
      <c r="DP36" s="30"/>
      <c r="DQ36" s="29"/>
      <c r="DR36" s="30"/>
      <c r="DS36" s="30"/>
      <c r="DT36" s="30"/>
      <c r="DU36" s="30"/>
      <c r="DV36" s="30"/>
      <c r="DW36" s="30"/>
      <c r="DX36" s="29"/>
      <c r="DY36" s="30"/>
      <c r="DZ36" s="30"/>
      <c r="EA36" s="30"/>
      <c r="EB36" s="30"/>
      <c r="EC36" s="30"/>
      <c r="ED36" s="30"/>
      <c r="EE36" s="31" t="s">
        <v>75</v>
      </c>
      <c r="EF36" s="32"/>
      <c r="EG36" s="32"/>
      <c r="EH36" s="32"/>
      <c r="EI36" s="32"/>
      <c r="EJ36" s="32"/>
      <c r="EK36" s="32"/>
      <c r="EL36" s="29"/>
      <c r="EM36" s="30"/>
      <c r="EN36" s="30"/>
      <c r="EO36" s="30"/>
      <c r="EP36" s="30"/>
      <c r="EQ36" s="30"/>
      <c r="ER36" s="30"/>
    </row>
    <row r="37" hidden="1">
      <c r="A37" s="33" t="str">
        <f>CONCATENATE(A38," TM")</f>
        <v>OHP TM</v>
      </c>
      <c r="B37" s="34">
        <f>if(D37="",'Quick Setup'!D8,D37/'Quick Setup'!E8)</f>
        <v>200</v>
      </c>
      <c r="C37" s="35" t="s">
        <v>73</v>
      </c>
      <c r="D37" s="36"/>
      <c r="E37" s="37"/>
      <c r="F37" s="37"/>
      <c r="G37" s="37"/>
      <c r="H37" s="37"/>
      <c r="I37" s="34">
        <f>if(K37="", if(F38&lt;&gt;"", if(F38&gt;Setup!F7,B37*(1+Setup!G7),if(F38&lt;Setup!E7,B37*(1+Setup!H7),B37)),B37),K37/'Quick Setup'!$E8)</f>
        <v>200</v>
      </c>
      <c r="J37" s="35" t="s">
        <v>73</v>
      </c>
      <c r="K37" s="36"/>
      <c r="L37" s="37"/>
      <c r="M37" s="37"/>
      <c r="N37" s="37"/>
      <c r="O37" s="37"/>
      <c r="P37" s="34">
        <f>if(R37="", if(M38&lt;&gt;"", if(M38&gt;Setup!M7,I37*(1+Setup!N7),if(M38&lt;Setup!L7,I37*(1+Setup!O7),I37)),I37),R37/'Quick Setup'!$E8)</f>
        <v>200</v>
      </c>
      <c r="Q37" s="35" t="s">
        <v>73</v>
      </c>
      <c r="R37" s="36"/>
      <c r="S37" s="37"/>
      <c r="T37" s="37"/>
      <c r="U37" s="37"/>
      <c r="V37" s="37"/>
      <c r="W37" s="34">
        <f>if(Y37="", if(T38&lt;&gt;"", if(T38&gt;Setup!T7,P37*(1+Setup!U7),if(T38&lt;Setup!S7,P37*(1+Setup!V7),P37)),P37),Y37/'Quick Setup'!$E8)</f>
        <v>200</v>
      </c>
      <c r="X37" s="35" t="s">
        <v>73</v>
      </c>
      <c r="Y37" s="36"/>
      <c r="Z37" s="37"/>
      <c r="AA37" s="37"/>
      <c r="AB37" s="37"/>
      <c r="AC37" s="37"/>
      <c r="AD37" s="34">
        <f>if(AF37="", if(AA38&lt;&gt;"", if(AA38&gt;Setup!AA7,W37*(1+Setup!AB7),if(AA38&lt;Setup!Z7,W37*(1+Setup!AC7),W37)),W37),AF37/'Quick Setup'!$E8)</f>
        <v>200</v>
      </c>
      <c r="AE37" s="35" t="s">
        <v>73</v>
      </c>
      <c r="AF37" s="36"/>
      <c r="AG37" s="37"/>
      <c r="AH37" s="37"/>
      <c r="AI37" s="37"/>
      <c r="AJ37" s="37"/>
      <c r="AK37" s="34">
        <f>if(AM37="", if(AH38&lt;&gt;"", if(AH38&gt;Setup!AH7,AD37*(1+Setup!AI7),if(AH38&lt;Setup!AG7,AD37*(1+Setup!AJ7),AD37)),AD37),AM37/'Quick Setup'!$E8)</f>
        <v>200</v>
      </c>
      <c r="AL37" s="35" t="s">
        <v>73</v>
      </c>
      <c r="AM37" s="36"/>
      <c r="AN37" s="37"/>
      <c r="AO37" s="37"/>
      <c r="AP37" s="37"/>
      <c r="AQ37" s="37"/>
      <c r="AR37" s="34">
        <f>if(AT37="", if(AO38&lt;&gt;"", if(AO38&gt;Setup!AO7,AK37*(1+Setup!AP7),if(AO38&lt;Setup!AN7,AK37*(1+Setup!AQ7),AK37)),AK37),AT37/'Quick Setup'!$E8)</f>
        <v>200</v>
      </c>
      <c r="AS37" s="35" t="s">
        <v>73</v>
      </c>
      <c r="AT37" s="36"/>
      <c r="AU37" s="37"/>
      <c r="AV37" s="37"/>
      <c r="AW37" s="37"/>
      <c r="AX37" s="37"/>
      <c r="AY37" s="34">
        <f>if(BA37="",AR37,BA37/'Quick Setup'!$E8)</f>
        <v>200</v>
      </c>
      <c r="AZ37" s="35" t="s">
        <v>73</v>
      </c>
      <c r="BA37" s="36"/>
      <c r="BB37" s="37"/>
      <c r="BC37" s="37"/>
      <c r="BD37" s="37"/>
      <c r="BE37" s="37"/>
      <c r="BF37" s="34">
        <f>if(BH37="", if(BC38&lt;&gt;"", if(BC38&gt;Setup!BC7,AY37*(1+Setup!BD7),if(BC38&lt;Setup!BB7,AY37*(1+Setup!BE7),AY37)),AY37),BH37/'Quick Setup'!$E8)</f>
        <v>200</v>
      </c>
      <c r="BG37" s="35" t="s">
        <v>73</v>
      </c>
      <c r="BH37" s="36"/>
      <c r="BI37" s="37"/>
      <c r="BJ37" s="37"/>
      <c r="BK37" s="37"/>
      <c r="BL37" s="37"/>
      <c r="BM37" s="34">
        <f>if(BO37="", if(BJ38&lt;&gt;"", if(BJ38&gt;Setup!BJ7,BF37*(1+Setup!BK7),if(BJ38&lt;Setup!BI7,BF37*(1+Setup!BL7),BF37)),BF37),BO37/'Quick Setup'!$E8)</f>
        <v>200</v>
      </c>
      <c r="BN37" s="35" t="s">
        <v>73</v>
      </c>
      <c r="BO37" s="36"/>
      <c r="BP37" s="37"/>
      <c r="BQ37" s="37"/>
      <c r="BR37" s="37"/>
      <c r="BS37" s="37"/>
      <c r="BT37" s="34">
        <f>if(BV37="", if(BQ38&lt;&gt;"", if(BQ38&gt;Setup!BQ7,BM37*(1+Setup!BR7),if(BQ38&lt;Setup!BP7,BM37*(1+Setup!BS7),BM37)),BM37),BV37/'Quick Setup'!$E8)</f>
        <v>200</v>
      </c>
      <c r="BU37" s="35" t="s">
        <v>73</v>
      </c>
      <c r="BV37" s="36"/>
      <c r="BW37" s="37"/>
      <c r="BX37" s="37"/>
      <c r="BY37" s="37"/>
      <c r="BZ37" s="37"/>
      <c r="CA37" s="34">
        <f>if(CC37="", if(BX38&lt;&gt;"", if(BX38&gt;Setup!BX7,BT37*(1+Setup!BY7),if(BX38&lt;Setup!BW7,BT37*(1+Setup!BZ7),BT37)),BT37),CC37/'Quick Setup'!$E8)</f>
        <v>200</v>
      </c>
      <c r="CB37" s="35" t="s">
        <v>73</v>
      </c>
      <c r="CC37" s="36"/>
      <c r="CD37" s="37"/>
      <c r="CE37" s="37"/>
      <c r="CF37" s="37"/>
      <c r="CG37" s="37"/>
      <c r="CH37" s="34">
        <f>if(CJ37="", if(CE38&lt;&gt;"", if(CE38&gt;Setup!CE7,CA37*(1+Setup!CF7),if(CE38&lt;Setup!CD7,CA37*(1+Setup!CG7),CA37)),CA37),CJ37/'Quick Setup'!$E8)</f>
        <v>200</v>
      </c>
      <c r="CI37" s="35" t="s">
        <v>73</v>
      </c>
      <c r="CJ37" s="36"/>
      <c r="CK37" s="37"/>
      <c r="CL37" s="37"/>
      <c r="CM37" s="37"/>
      <c r="CN37" s="37"/>
      <c r="CO37" s="34">
        <f>if(CQ37="", if(CL38&lt;&gt;"", if(CL38&gt;Setup!CL7,CH37*(1+Setup!CM7),if(CL38&lt;Setup!CK7,CH37*(1+Setup!CN7),CH37)),CH37),CQ37/'Quick Setup'!$E8)</f>
        <v>200</v>
      </c>
      <c r="CP37" s="35" t="s">
        <v>73</v>
      </c>
      <c r="CQ37" s="36"/>
      <c r="CR37" s="37"/>
      <c r="CS37" s="37"/>
      <c r="CT37" s="37"/>
      <c r="CU37" s="37"/>
      <c r="CV37" s="34">
        <f>if(CX37="",CO37,CX37/'Quick Setup'!$E8)</f>
        <v>200</v>
      </c>
      <c r="CW37" s="35" t="s">
        <v>73</v>
      </c>
      <c r="CX37" s="36"/>
      <c r="CY37" s="37"/>
      <c r="CZ37" s="37"/>
      <c r="DA37" s="37"/>
      <c r="DB37" s="37"/>
      <c r="DC37" s="34">
        <f>if(DE37="", if(CZ38&lt;&gt;"", if(CZ38&gt;Setup!CZ7,CV37*(1+Setup!DA7),if(CZ38&lt;Setup!CY7,CV37*(1+Setup!DB7),CV37)),CV37),DE37/'Quick Setup'!$E8)</f>
        <v>200</v>
      </c>
      <c r="DD37" s="35" t="s">
        <v>73</v>
      </c>
      <c r="DE37" s="36"/>
      <c r="DF37" s="37"/>
      <c r="DG37" s="37"/>
      <c r="DH37" s="37"/>
      <c r="DI37" s="37"/>
      <c r="DJ37" s="34">
        <f>if(DL37="", if(DG38&lt;&gt;"", if(DG38&gt;Setup!DG7,DC37*(1+Setup!DH7),if(DG38&lt;Setup!DF7,DC37*(1+Setup!DI7),DC37)),DC37),DL37/'Quick Setup'!$E8)</f>
        <v>200</v>
      </c>
      <c r="DK37" s="35" t="s">
        <v>73</v>
      </c>
      <c r="DL37" s="36"/>
      <c r="DM37" s="37"/>
      <c r="DN37" s="37"/>
      <c r="DO37" s="37"/>
      <c r="DP37" s="37"/>
      <c r="DQ37" s="34">
        <f>if(DS37="", if(DN38&lt;&gt;"", if(DN38&gt;Setup!DN7,DJ37*(1+Setup!DO7),if(DN38&lt;Setup!DM7,DJ37*(1+Setup!DP7),DJ37)),DJ37),DS37/'Quick Setup'!$E8)</f>
        <v>200</v>
      </c>
      <c r="DR37" s="35" t="s">
        <v>73</v>
      </c>
      <c r="DS37" s="36"/>
      <c r="DT37" s="37"/>
      <c r="DU37" s="37"/>
      <c r="DV37" s="37"/>
      <c r="DW37" s="37"/>
      <c r="DX37" s="34">
        <f>if(DZ37="", if(DU38&lt;&gt;"", if(DU38&gt;Setup!DU7,DQ37*(1+Setup!DV7),if(DU38&lt;Setup!DT7,DQ37*(1+Setup!DW7),DQ37)),DQ37),DZ37/'Quick Setup'!$E8)</f>
        <v>200</v>
      </c>
      <c r="DY37" s="35" t="s">
        <v>73</v>
      </c>
      <c r="DZ37" s="36"/>
      <c r="EA37" s="37"/>
      <c r="EB37" s="37"/>
      <c r="EC37" s="37"/>
      <c r="ED37" s="37"/>
      <c r="EE37" s="34">
        <f>if(EG37="", if(EB38&lt;&gt;"", if(EB38&gt;Setup!EB7,DX37*(1+Setup!EC7),if(EB38&lt;Setup!EA7,DX37*(1+Setup!ED7),DX37)),DX37),EG37/'Quick Setup'!$E8)</f>
        <v>200</v>
      </c>
      <c r="EF37" s="35" t="s">
        <v>73</v>
      </c>
      <c r="EG37" s="36"/>
      <c r="EH37" s="37"/>
      <c r="EI37" s="37"/>
      <c r="EJ37" s="37"/>
      <c r="EK37" s="37"/>
      <c r="EL37" s="34">
        <f>if(EN37="", if(EI38&lt;&gt;"", if(EI38&gt;Setup!EI7,EE37*(1+Setup!EJ7),if(EI38&lt;Setup!EH7,EE37*(1+Setup!EK7),EE37)),EE37),EN37/'Quick Setup'!$E8)</f>
        <v>200</v>
      </c>
      <c r="EM37" s="35" t="s">
        <v>73</v>
      </c>
      <c r="EN37" s="36"/>
      <c r="EO37" s="37"/>
      <c r="EP37" s="37"/>
      <c r="EQ37" s="37"/>
      <c r="ER37" s="37"/>
    </row>
    <row r="38">
      <c r="A38" s="1" t="str">
        <f>Setup!A7</f>
        <v>OHP</v>
      </c>
      <c r="B38" s="38">
        <f>mround(B37*Setup!B7,'Quick Setup'!$A$2)</f>
        <v>140</v>
      </c>
      <c r="C38" s="2">
        <f>Setup!C7</f>
        <v>5</v>
      </c>
      <c r="D38" s="2">
        <f>Setup!D7</f>
        <v>3</v>
      </c>
      <c r="E38" s="2" t="str">
        <f>CONCATENATE(Setup!E7,"-",Setup!F7)</f>
        <v>4-6</v>
      </c>
      <c r="F38" s="10"/>
      <c r="G38" s="10"/>
      <c r="H38" s="10"/>
      <c r="I38" s="38">
        <f>mround(I37*Setup!I7,'Quick Setup'!$A$2)</f>
        <v>150</v>
      </c>
      <c r="J38" s="2">
        <f>Setup!J7</f>
        <v>4</v>
      </c>
      <c r="K38" s="2">
        <f>Setup!K7</f>
        <v>3</v>
      </c>
      <c r="L38" s="2" t="str">
        <f>CONCATENATE(Setup!L7,"-",Setup!M7)</f>
        <v>4-6</v>
      </c>
      <c r="M38" s="10"/>
      <c r="N38" s="10"/>
      <c r="O38" s="10"/>
      <c r="P38" s="38">
        <f>mround(P37*Setup!P7,'Quick Setup'!$A$2)</f>
        <v>160</v>
      </c>
      <c r="Q38" s="2">
        <f>Setup!Q7</f>
        <v>3</v>
      </c>
      <c r="R38" s="2">
        <f>Setup!R7</f>
        <v>2</v>
      </c>
      <c r="S38" s="2" t="str">
        <f>CONCATENATE(Setup!S7,"-",Setup!T7)</f>
        <v>4-6</v>
      </c>
      <c r="T38" s="10"/>
      <c r="U38" s="10"/>
      <c r="V38" s="10"/>
      <c r="W38" s="38">
        <f>mround(W37*Setup!W7,'Quick Setup'!$A$2)</f>
        <v>145</v>
      </c>
      <c r="X38" s="2">
        <f>Setup!X7</f>
        <v>5</v>
      </c>
      <c r="Y38" s="2">
        <f>Setup!Y7</f>
        <v>3</v>
      </c>
      <c r="Z38" s="2" t="str">
        <f>CONCATENATE(Setup!Z7,"-",Setup!AA7)</f>
        <v>4-6</v>
      </c>
      <c r="AA38" s="10"/>
      <c r="AB38" s="10"/>
      <c r="AC38" s="10"/>
      <c r="AD38" s="38">
        <f>mround(AD37*Setup!AD7,'Quick Setup'!$A$2)</f>
        <v>155</v>
      </c>
      <c r="AE38" s="2">
        <f>Setup!AE7</f>
        <v>4</v>
      </c>
      <c r="AF38" s="2">
        <f>Setup!AF7</f>
        <v>3</v>
      </c>
      <c r="AG38" s="2" t="str">
        <f>CONCATENATE(Setup!AG7,"-",Setup!AH7)</f>
        <v>4-6</v>
      </c>
      <c r="AH38" s="10"/>
      <c r="AI38" s="10"/>
      <c r="AJ38" s="10"/>
      <c r="AK38" s="38">
        <f>mround(AK37*Setup!AK7,'Quick Setup'!$A$2)</f>
        <v>165</v>
      </c>
      <c r="AL38" s="2">
        <f>Setup!AL7</f>
        <v>3</v>
      </c>
      <c r="AM38" s="2">
        <f>Setup!AM7</f>
        <v>2</v>
      </c>
      <c r="AN38" s="2" t="str">
        <f>CONCATENATE(Setup!AN7,"-",Setup!AO7)</f>
        <v>4-6</v>
      </c>
      <c r="AO38" s="10"/>
      <c r="AP38" s="10"/>
      <c r="AQ38" s="10"/>
      <c r="AR38" s="38">
        <f>mround(AR37*Setup!AR7,'Quick Setup'!$A$2)</f>
        <v>120</v>
      </c>
      <c r="AS38" s="1">
        <v>5.0</v>
      </c>
      <c r="AT38" s="1" t="s">
        <v>76</v>
      </c>
      <c r="AU38" s="2" t="str">
        <f>CONCATENATE(Setup!AU7,"-",Setup!AV7)</f>
        <v>4-6</v>
      </c>
      <c r="AV38" s="10"/>
      <c r="AW38" s="10"/>
      <c r="AX38" s="10"/>
      <c r="AY38" s="38">
        <f>mround(AY37*Setup!AY7,'Quick Setup'!$A$2)</f>
        <v>150</v>
      </c>
      <c r="AZ38" s="2">
        <f>Setup!AZ7</f>
        <v>4</v>
      </c>
      <c r="BA38" s="2">
        <f>Setup!BA7</f>
        <v>3</v>
      </c>
      <c r="BB38" s="2" t="str">
        <f>CONCATENATE(Setup!BB7,"-",Setup!BC7)</f>
        <v>4-6</v>
      </c>
      <c r="BC38" s="10"/>
      <c r="BD38" s="10"/>
      <c r="BE38" s="10"/>
      <c r="BF38" s="38">
        <f>mround(BF37*Setup!BF7,'Quick Setup'!$A$2)</f>
        <v>160</v>
      </c>
      <c r="BG38" s="2">
        <f>Setup!BG7</f>
        <v>3</v>
      </c>
      <c r="BH38" s="2">
        <f>Setup!BH7</f>
        <v>2</v>
      </c>
      <c r="BI38" s="2" t="str">
        <f>CONCATENATE(Setup!BI7,"-",Setup!BJ7)</f>
        <v>4-6</v>
      </c>
      <c r="BJ38" s="10"/>
      <c r="BK38" s="10"/>
      <c r="BL38" s="10"/>
      <c r="BM38" s="38">
        <f>mround(BM37*Setup!BM7,'Quick Setup'!$A$2)</f>
        <v>170</v>
      </c>
      <c r="BN38" s="2">
        <f>Setup!BN7</f>
        <v>2</v>
      </c>
      <c r="BO38" s="2">
        <f>Setup!BO7</f>
        <v>2</v>
      </c>
      <c r="BP38" s="2" t="str">
        <f>CONCATENATE(Setup!BP7,"-",Setup!BQ7)</f>
        <v>4-6</v>
      </c>
      <c r="BQ38" s="10"/>
      <c r="BR38" s="10"/>
      <c r="BS38" s="10"/>
      <c r="BT38" s="38">
        <f>mround(BT37*Setup!BT7,'Quick Setup'!$A$2)</f>
        <v>155</v>
      </c>
      <c r="BU38" s="2">
        <f>Setup!BU7</f>
        <v>4</v>
      </c>
      <c r="BV38" s="2">
        <f>Setup!BV7</f>
        <v>3</v>
      </c>
      <c r="BW38" s="2" t="str">
        <f>CONCATENATE(Setup!BW7,"-",Setup!BX7)</f>
        <v>4-6</v>
      </c>
      <c r="BX38" s="10"/>
      <c r="BY38" s="10"/>
      <c r="BZ38" s="10"/>
      <c r="CA38" s="38">
        <f>mround(CA37*Setup!CA7,'Quick Setup'!$A$2)</f>
        <v>165</v>
      </c>
      <c r="CB38" s="2">
        <f>Setup!CB7</f>
        <v>3</v>
      </c>
      <c r="CC38" s="2">
        <f>Setup!CC7</f>
        <v>2</v>
      </c>
      <c r="CD38" s="2" t="str">
        <f>CONCATENATE(Setup!CD7,"-",Setup!CE7)</f>
        <v>4-6</v>
      </c>
      <c r="CE38" s="10"/>
      <c r="CF38" s="10"/>
      <c r="CG38" s="10"/>
      <c r="CH38" s="38">
        <f>mround(CH37*Setup!CH7,'Quick Setup'!$A$2)</f>
        <v>175</v>
      </c>
      <c r="CI38" s="2">
        <f>Setup!CI7</f>
        <v>2</v>
      </c>
      <c r="CJ38" s="2">
        <f>Setup!CJ7</f>
        <v>2</v>
      </c>
      <c r="CK38" s="2" t="str">
        <f>CONCATENATE(Setup!CK7,"-",Setup!CL7)</f>
        <v>4-6</v>
      </c>
      <c r="CL38" s="10"/>
      <c r="CM38" s="10"/>
      <c r="CN38" s="10"/>
      <c r="CO38" s="38">
        <f>mround(CO37*Setup!CO7,'Quick Setup'!$A$2)</f>
        <v>120</v>
      </c>
      <c r="CP38" s="1">
        <v>5.0</v>
      </c>
      <c r="CQ38" s="1" t="s">
        <v>76</v>
      </c>
      <c r="CR38" s="2" t="str">
        <f>CONCATENATE(Setup!CR7,"-",Setup!CS7)</f>
        <v>4-6</v>
      </c>
      <c r="CS38" s="10"/>
      <c r="CT38" s="10"/>
      <c r="CU38" s="10"/>
      <c r="CV38" s="38">
        <f>mround(CV37*Setup!CV7,'Quick Setup'!$A$2)</f>
        <v>160</v>
      </c>
      <c r="CW38" s="2">
        <f>Setup!CW7</f>
        <v>3</v>
      </c>
      <c r="CX38" s="2">
        <f>Setup!CX7</f>
        <v>2</v>
      </c>
      <c r="CY38" s="2" t="str">
        <f>CONCATENATE(Setup!CY7,"-",Setup!CZ7)</f>
        <v>4-6</v>
      </c>
      <c r="CZ38" s="10"/>
      <c r="DA38" s="10"/>
      <c r="DB38" s="10"/>
      <c r="DC38" s="38">
        <f>mround(DC37*Setup!DC7,'Quick Setup'!$A$2)</f>
        <v>170</v>
      </c>
      <c r="DD38" s="2">
        <f>Setup!DD7</f>
        <v>2</v>
      </c>
      <c r="DE38" s="2">
        <f>Setup!DE7</f>
        <v>2</v>
      </c>
      <c r="DF38" s="2" t="str">
        <f>CONCATENATE(Setup!DF7,"-",Setup!DG7)</f>
        <v>4-6</v>
      </c>
      <c r="DG38" s="10"/>
      <c r="DH38" s="10"/>
      <c r="DI38" s="10"/>
      <c r="DJ38" s="38">
        <f>mround(DJ37*Setup!DJ7,'Quick Setup'!$A$2)</f>
        <v>180</v>
      </c>
      <c r="DK38" s="2">
        <f>Setup!DK7</f>
        <v>1</v>
      </c>
      <c r="DL38" s="2">
        <f>Setup!DL7</f>
        <v>1</v>
      </c>
      <c r="DM38" s="2" t="str">
        <f>CONCATENATE(Setup!DM7,"-",Setup!DN7)</f>
        <v>4-6</v>
      </c>
      <c r="DN38" s="10"/>
      <c r="DO38" s="10"/>
      <c r="DP38" s="10"/>
      <c r="DQ38" s="38">
        <f>mround(DQ37*Setup!DQ7,'Quick Setup'!$A$2)</f>
        <v>170</v>
      </c>
      <c r="DR38" s="2">
        <f>Setup!DR7</f>
        <v>2</v>
      </c>
      <c r="DS38" s="2">
        <f>Setup!DS7</f>
        <v>2</v>
      </c>
      <c r="DT38" s="2" t="str">
        <f>CONCATENATE(Setup!DT7,"-",Setup!DU7)</f>
        <v>4-6</v>
      </c>
      <c r="DU38" s="10"/>
      <c r="DV38" s="10"/>
      <c r="DW38" s="10"/>
      <c r="DX38" s="38">
        <f>mround(DX37*Setup!DX7,'Quick Setup'!$A$2)</f>
        <v>180</v>
      </c>
      <c r="DY38" s="2">
        <f>Setup!DY7</f>
        <v>1</v>
      </c>
      <c r="DZ38" s="2">
        <f>Setup!DZ7</f>
        <v>1</v>
      </c>
      <c r="EA38" s="2" t="str">
        <f>CONCATENATE(Setup!EA7,"-",Setup!EB7)</f>
        <v>4-6</v>
      </c>
      <c r="EB38" s="10"/>
      <c r="EC38" s="10"/>
      <c r="ED38" s="10"/>
      <c r="EE38" s="38">
        <f>mround(EE37*Setup!EE7,'Quick Setup'!$A$2)</f>
        <v>190</v>
      </c>
      <c r="EF38" s="2">
        <f>Setup!EF7</f>
        <v>1</v>
      </c>
      <c r="EG38" s="2">
        <f>Setup!EG7</f>
        <v>1</v>
      </c>
      <c r="EH38" s="2" t="str">
        <f>CONCATENATE(Setup!EH7,"-",Setup!EI7)</f>
        <v>4-6</v>
      </c>
      <c r="EI38" s="10"/>
      <c r="EJ38" s="10"/>
      <c r="EK38" s="10"/>
      <c r="EL38" s="38">
        <f>mround(EL37*Setup!EL7,'Quick Setup'!$A$2)</f>
        <v>120</v>
      </c>
      <c r="EM38" s="1">
        <v>5.0</v>
      </c>
      <c r="EN38" s="1" t="s">
        <v>76</v>
      </c>
      <c r="EO38" s="2" t="str">
        <f>CONCATENATE(Setup!EO7,"-",Setup!EP7)</f>
        <v>4-6</v>
      </c>
      <c r="EP38" s="10"/>
      <c r="EQ38" s="10"/>
      <c r="ER38" s="10"/>
    </row>
    <row r="39" hidden="1">
      <c r="A39" s="33" t="str">
        <f>CONCATENATE(A40," TM")</f>
        <v>Close Grip Bench TM</v>
      </c>
      <c r="B39" s="34">
        <f>if(D39="",'Quick Setup'!D13,D39/'Quick Setup'!E13)</f>
        <v>310</v>
      </c>
      <c r="C39" s="35" t="s">
        <v>73</v>
      </c>
      <c r="D39" s="36"/>
      <c r="E39" s="37"/>
      <c r="F39" s="37"/>
      <c r="G39" s="37"/>
      <c r="H39" s="37"/>
      <c r="I39" s="34">
        <f>if(K39="", if(F40&lt;&gt;"", if(F40&gt;Setup!F12,B39*(1+Setup!G12),if(F40&lt;Setup!E12,B39*(1+Setup!H12),B39)),B39),K39/'Quick Setup'!$E13)</f>
        <v>310</v>
      </c>
      <c r="J39" s="35" t="s">
        <v>73</v>
      </c>
      <c r="K39" s="36"/>
      <c r="L39" s="37"/>
      <c r="M39" s="37"/>
      <c r="N39" s="37"/>
      <c r="O39" s="37"/>
      <c r="P39" s="34">
        <f>if(R39="", if(M40&lt;&gt;"", if(M40&gt;Setup!M12,I39*(1+Setup!N12),if(M40&lt;Setup!L12,I39*(1+Setup!O12),I39)),I39),R39/'Quick Setup'!$E13)</f>
        <v>310</v>
      </c>
      <c r="Q39" s="35" t="s">
        <v>73</v>
      </c>
      <c r="R39" s="36"/>
      <c r="S39" s="37"/>
      <c r="T39" s="37"/>
      <c r="U39" s="37"/>
      <c r="V39" s="37"/>
      <c r="W39" s="34">
        <f>if(Y39="", if(T40&lt;&gt;"", if(T40&gt;Setup!T12,P39*(1+Setup!U12),if(T40&lt;Setup!S12,P39*(1+Setup!V12),P39)),P39),Y39/'Quick Setup'!$E13)</f>
        <v>310</v>
      </c>
      <c r="X39" s="35" t="s">
        <v>73</v>
      </c>
      <c r="Y39" s="36"/>
      <c r="Z39" s="37"/>
      <c r="AA39" s="37"/>
      <c r="AB39" s="37"/>
      <c r="AC39" s="37"/>
      <c r="AD39" s="34">
        <f>if(AF39="", if(AA40&lt;&gt;"", if(AA40&gt;Setup!AA12,W39*(1+Setup!AB12),if(AA40&lt;Setup!Z12,W39*(1+Setup!AC12),W39)),W39),AF39/'Quick Setup'!$E13)</f>
        <v>310</v>
      </c>
      <c r="AE39" s="35" t="s">
        <v>73</v>
      </c>
      <c r="AF39" s="36"/>
      <c r="AG39" s="37"/>
      <c r="AH39" s="37"/>
      <c r="AI39" s="37"/>
      <c r="AJ39" s="37"/>
      <c r="AK39" s="34">
        <f>if(AM39="", if(AH40&lt;&gt;"", if(AH40&gt;Setup!AH12,AD39*(1+Setup!AI12),if(AH40&lt;Setup!AG12,AD39*(1+Setup!AJ12),AD39)),AD39),AM39/'Quick Setup'!$E13)</f>
        <v>310</v>
      </c>
      <c r="AL39" s="35" t="s">
        <v>73</v>
      </c>
      <c r="AM39" s="36"/>
      <c r="AN39" s="37"/>
      <c r="AO39" s="37"/>
      <c r="AP39" s="37"/>
      <c r="AQ39" s="37"/>
      <c r="AR39" s="34">
        <f>if(AT39="", if(AO40&lt;&gt;"", if(AO40&gt;Setup!AO12,AK39*(1+Setup!AP12),if(AO40&lt;Setup!AN12,AK39*(1+Setup!AQ12),AK39)),AK39),AT39/'Quick Setup'!$E13)</f>
        <v>310</v>
      </c>
      <c r="AS39" s="35" t="s">
        <v>73</v>
      </c>
      <c r="AT39" s="36"/>
      <c r="AU39" s="37"/>
      <c r="AV39" s="37"/>
      <c r="AW39" s="37"/>
      <c r="AX39" s="37"/>
      <c r="AY39" s="34">
        <f>if(BA39="",AR39,BA39/'Quick Setup'!$E13)</f>
        <v>310</v>
      </c>
      <c r="AZ39" s="35" t="s">
        <v>73</v>
      </c>
      <c r="BA39" s="36"/>
      <c r="BB39" s="37"/>
      <c r="BC39" s="37"/>
      <c r="BD39" s="37"/>
      <c r="BE39" s="37"/>
      <c r="BF39" s="34">
        <f>if(BH39="", if(BC40&lt;&gt;"", if(BC40&gt;Setup!BC12,AY39*(1+Setup!BD12),if(BC40&lt;Setup!BB12,AY39*(1+Setup!BE12),AY39)),AY39),BH39/'Quick Setup'!$E13)</f>
        <v>310</v>
      </c>
      <c r="BG39" s="35" t="s">
        <v>73</v>
      </c>
      <c r="BH39" s="36"/>
      <c r="BI39" s="37"/>
      <c r="BJ39" s="37"/>
      <c r="BK39" s="37"/>
      <c r="BL39" s="37"/>
      <c r="BM39" s="34">
        <f>if(BO39="", if(BJ40&lt;&gt;"", if(BJ40&gt;Setup!BJ12,BF39*(1+Setup!BK12),if(BJ40&lt;Setup!BI12,BF39*(1+Setup!BL12),BF39)),BF39),BO39/'Quick Setup'!$E13)</f>
        <v>310</v>
      </c>
      <c r="BN39" s="35" t="s">
        <v>73</v>
      </c>
      <c r="BO39" s="36"/>
      <c r="BP39" s="37"/>
      <c r="BQ39" s="37"/>
      <c r="BR39" s="37"/>
      <c r="BS39" s="37"/>
      <c r="BT39" s="34">
        <f>if(BV39="", if(BQ40&lt;&gt;"", if(BQ40&gt;Setup!BQ12,BM39*(1+Setup!BR12),if(BQ40&lt;Setup!BP12,BM39*(1+Setup!BS12),BM39)),BM39),BV39/'Quick Setup'!$E13)</f>
        <v>310</v>
      </c>
      <c r="BU39" s="35" t="s">
        <v>73</v>
      </c>
      <c r="BV39" s="36"/>
      <c r="BW39" s="37"/>
      <c r="BX39" s="37"/>
      <c r="BY39" s="37"/>
      <c r="BZ39" s="37"/>
      <c r="CA39" s="34">
        <f>if(CC39="", if(BX40&lt;&gt;"", if(BX40&gt;Setup!BX12,BT39*(1+Setup!BY12),if(BX40&lt;Setup!BW12,BT39*(1+Setup!BZ12),BT39)),BT39),CC39/'Quick Setup'!$E13)</f>
        <v>310</v>
      </c>
      <c r="CB39" s="35" t="s">
        <v>73</v>
      </c>
      <c r="CC39" s="36"/>
      <c r="CD39" s="37"/>
      <c r="CE39" s="37"/>
      <c r="CF39" s="37"/>
      <c r="CG39" s="37"/>
      <c r="CH39" s="34">
        <f>if(CJ39="", if(CE40&lt;&gt;"", if(CE40&gt;Setup!CE12,CA39*(1+Setup!CF12),if(CE40&lt;Setup!CD12,CA39*(1+Setup!CG12),CA39)),CA39),CJ39/'Quick Setup'!$E13)</f>
        <v>310</v>
      </c>
      <c r="CI39" s="35" t="s">
        <v>73</v>
      </c>
      <c r="CJ39" s="36"/>
      <c r="CK39" s="37"/>
      <c r="CL39" s="37"/>
      <c r="CM39" s="37"/>
      <c r="CN39" s="37"/>
      <c r="CO39" s="34">
        <f>if(CQ39="", if(CL40&lt;&gt;"", if(CL40&gt;Setup!CL12,CH39*(1+Setup!CM12),if(CL40&lt;Setup!CK12,CH39*(1+Setup!CN12),CH39)),CH39),CQ39/'Quick Setup'!$E13)</f>
        <v>310</v>
      </c>
      <c r="CP39" s="35" t="s">
        <v>73</v>
      </c>
      <c r="CQ39" s="36"/>
      <c r="CR39" s="37"/>
      <c r="CS39" s="37"/>
      <c r="CT39" s="37"/>
      <c r="CU39" s="37"/>
      <c r="CV39" s="34">
        <f>if(CX39="",CO39,CX39/'Quick Setup'!$E13)</f>
        <v>310</v>
      </c>
      <c r="CW39" s="35" t="s">
        <v>73</v>
      </c>
      <c r="CX39" s="36"/>
      <c r="CY39" s="37"/>
      <c r="CZ39" s="37"/>
      <c r="DA39" s="37"/>
      <c r="DB39" s="37"/>
      <c r="DC39" s="34">
        <f>if(DE39="", if(CZ40&lt;&gt;"", if(CZ40&gt;Setup!CZ12,CV39*(1+Setup!DA12),if(CZ40&lt;Setup!CY12,CV39*(1+Setup!DB12),CV39)),CV39),DE39/'Quick Setup'!$E13)</f>
        <v>310</v>
      </c>
      <c r="DD39" s="35" t="s">
        <v>73</v>
      </c>
      <c r="DE39" s="36"/>
      <c r="DF39" s="37"/>
      <c r="DG39" s="37"/>
      <c r="DH39" s="37"/>
      <c r="DI39" s="37"/>
      <c r="DJ39" s="34">
        <f>if(DL39="", if(DG40&lt;&gt;"", if(DG40&gt;Setup!DG12,DC39*(1+Setup!DH12),if(DG40&lt;Setup!DF12,DC39*(1+Setup!DI12),DC39)),DC39),DL39/'Quick Setup'!$E13)</f>
        <v>310</v>
      </c>
      <c r="DK39" s="35" t="s">
        <v>73</v>
      </c>
      <c r="DL39" s="36"/>
      <c r="DM39" s="37"/>
      <c r="DN39" s="37"/>
      <c r="DO39" s="37"/>
      <c r="DP39" s="37"/>
      <c r="DQ39" s="34">
        <f>if(DS39="", if(DN40&lt;&gt;"", if(DN40&gt;Setup!DN12,DJ39*(1+Setup!DO12),if(DN40&lt;Setup!DM12,DJ39*(1+Setup!DP12),DJ39)),DJ39),DS39/'Quick Setup'!$E13)</f>
        <v>310</v>
      </c>
      <c r="DR39" s="35" t="s">
        <v>73</v>
      </c>
      <c r="DS39" s="36"/>
      <c r="DT39" s="37"/>
      <c r="DU39" s="37"/>
      <c r="DV39" s="37"/>
      <c r="DW39" s="37"/>
      <c r="DX39" s="34">
        <f>if(DZ39="", if(DU40&lt;&gt;"", if(DU40&gt;Setup!DU12,DQ39*(1+Setup!DV12),if(DU40&lt;Setup!DT12,DQ39*(1+Setup!DW12),DQ39)),DQ39),DZ39/'Quick Setup'!$E13)</f>
        <v>310</v>
      </c>
      <c r="DY39" s="35" t="s">
        <v>73</v>
      </c>
      <c r="DZ39" s="36"/>
      <c r="EA39" s="37"/>
      <c r="EB39" s="37"/>
      <c r="EC39" s="37"/>
      <c r="ED39" s="37"/>
      <c r="EE39" s="34">
        <f>if(EG39="", if(EB40&lt;&gt;"", if(EB40&gt;Setup!EB12,DX39*(1+Setup!EC12),if(EB40&lt;Setup!EA12,DX39*(1+Setup!ED12),DX39)),DX39),EG39/'Quick Setup'!$E13)</f>
        <v>310</v>
      </c>
      <c r="EF39" s="35" t="s">
        <v>73</v>
      </c>
      <c r="EG39" s="36"/>
      <c r="EH39" s="37"/>
      <c r="EI39" s="37"/>
      <c r="EJ39" s="37"/>
      <c r="EK39" s="37"/>
      <c r="EL39" s="34">
        <f>if(EN39="", if(EI40&lt;&gt;"", if(EI40&gt;Setup!EI12,EE39*(1+Setup!EJ12),if(EI40&lt;Setup!EH12,EE39*(1+Setup!EK12),EE39)),EE39),EN39/'Quick Setup'!$E13)</f>
        <v>310</v>
      </c>
      <c r="EM39" s="35" t="s">
        <v>73</v>
      </c>
      <c r="EN39" s="36"/>
      <c r="EO39" s="37"/>
      <c r="EP39" s="37"/>
      <c r="EQ39" s="37"/>
      <c r="ER39" s="37"/>
    </row>
    <row r="40">
      <c r="A40" s="1" t="str">
        <f>Setup!A12</f>
        <v>Close Grip Bench</v>
      </c>
      <c r="B40" s="38">
        <f>mround(B39*Setup!B12,'Quick Setup'!$A$2)</f>
        <v>185</v>
      </c>
      <c r="C40" s="2">
        <f>Setup!C12</f>
        <v>7</v>
      </c>
      <c r="D40" s="2">
        <f>Setup!D12</f>
        <v>4</v>
      </c>
      <c r="E40" s="2" t="str">
        <f>CONCATENATE(Setup!E12,"-",Setup!F12)</f>
        <v>4-6</v>
      </c>
      <c r="F40" s="10"/>
      <c r="G40" s="10"/>
      <c r="H40" s="10"/>
      <c r="I40" s="38">
        <f>mround(I39*Setup!I12,'Quick Setup'!$A$2)</f>
        <v>202.5</v>
      </c>
      <c r="J40" s="2">
        <f>Setup!J12</f>
        <v>6</v>
      </c>
      <c r="K40" s="2">
        <f>Setup!K12</f>
        <v>4</v>
      </c>
      <c r="L40" s="2" t="str">
        <f>CONCATENATE(Setup!L12,"-",Setup!M12)</f>
        <v>4-6</v>
      </c>
      <c r="M40" s="10"/>
      <c r="N40" s="10"/>
      <c r="O40" s="10"/>
      <c r="P40" s="38">
        <f>mround(P39*Setup!P12,'Quick Setup'!$A$2)</f>
        <v>217.5</v>
      </c>
      <c r="Q40" s="2">
        <f>Setup!Q12</f>
        <v>5</v>
      </c>
      <c r="R40" s="2">
        <f>Setup!R12</f>
        <v>3</v>
      </c>
      <c r="S40" s="2" t="str">
        <f>CONCATENATE(Setup!S12,"-",Setup!T12)</f>
        <v>4-6</v>
      </c>
      <c r="T40" s="10"/>
      <c r="U40" s="10"/>
      <c r="V40" s="10"/>
      <c r="W40" s="38">
        <f>mround(W39*Setup!W12,'Quick Setup'!$A$2)</f>
        <v>195</v>
      </c>
      <c r="X40" s="2">
        <f>Setup!X12</f>
        <v>7</v>
      </c>
      <c r="Y40" s="2">
        <f>Setup!Y12</f>
        <v>4</v>
      </c>
      <c r="Z40" s="2" t="str">
        <f>CONCATENATE(Setup!Z12,"-",Setup!AA12)</f>
        <v>4-6</v>
      </c>
      <c r="AA40" s="10"/>
      <c r="AB40" s="10"/>
      <c r="AC40" s="10"/>
      <c r="AD40" s="38">
        <f>mround(AD39*Setup!AD12,'Quick Setup'!$A$2)</f>
        <v>210</v>
      </c>
      <c r="AE40" s="2">
        <f>Setup!AE12</f>
        <v>6</v>
      </c>
      <c r="AF40" s="2">
        <f>Setup!AF12</f>
        <v>4</v>
      </c>
      <c r="AG40" s="2" t="str">
        <f>CONCATENATE(Setup!AG12,"-",Setup!AH12)</f>
        <v>4-6</v>
      </c>
      <c r="AH40" s="10"/>
      <c r="AI40" s="10"/>
      <c r="AJ40" s="10"/>
      <c r="AK40" s="38">
        <f>mround(AK39*Setup!AK12,'Quick Setup'!$A$2)</f>
        <v>225</v>
      </c>
      <c r="AL40" s="2">
        <f>Setup!AL12</f>
        <v>5</v>
      </c>
      <c r="AM40" s="2">
        <f>Setup!AM12</f>
        <v>3</v>
      </c>
      <c r="AN40" s="2" t="str">
        <f>CONCATENATE(Setup!AN12,"-",Setup!AO12)</f>
        <v>4-6</v>
      </c>
      <c r="AO40" s="10"/>
      <c r="AP40" s="10"/>
      <c r="AQ40" s="10"/>
      <c r="AR40" s="38">
        <f>mround(AR39*Setup!AR12,'Quick Setup'!$A$2)</f>
        <v>155</v>
      </c>
      <c r="AS40" s="1">
        <v>5.0</v>
      </c>
      <c r="AT40" s="1" t="s">
        <v>76</v>
      </c>
      <c r="AU40" s="2" t="str">
        <f>CONCATENATE(Setup!AU12,"-",Setup!AV12)</f>
        <v>4-6</v>
      </c>
      <c r="AV40" s="10"/>
      <c r="AW40" s="10"/>
      <c r="AX40" s="10"/>
      <c r="AY40" s="38">
        <f>mround(AY39*Setup!AY12,'Quick Setup'!$A$2)</f>
        <v>202.5</v>
      </c>
      <c r="AZ40" s="2">
        <f>Setup!AZ12</f>
        <v>6</v>
      </c>
      <c r="BA40" s="2">
        <f>Setup!BA12</f>
        <v>4</v>
      </c>
      <c r="BB40" s="2" t="str">
        <f>CONCATENATE(Setup!BB12,"-",Setup!BC12)</f>
        <v>4-6</v>
      </c>
      <c r="BC40" s="10"/>
      <c r="BD40" s="10"/>
      <c r="BE40" s="10"/>
      <c r="BF40" s="38">
        <f>mround(BF39*Setup!BF12,'Quick Setup'!$A$2)</f>
        <v>217.5</v>
      </c>
      <c r="BG40" s="2">
        <f>Setup!BG12</f>
        <v>5</v>
      </c>
      <c r="BH40" s="2">
        <f>Setup!BH12</f>
        <v>3</v>
      </c>
      <c r="BI40" s="2" t="str">
        <f>CONCATENATE(Setup!BI12,"-",Setup!BJ12)</f>
        <v>4-6</v>
      </c>
      <c r="BJ40" s="10"/>
      <c r="BK40" s="10"/>
      <c r="BL40" s="10"/>
      <c r="BM40" s="38">
        <f>mround(BM39*Setup!BM12,'Quick Setup'!$A$2)</f>
        <v>232.5</v>
      </c>
      <c r="BN40" s="2">
        <f>Setup!BN12</f>
        <v>4</v>
      </c>
      <c r="BO40" s="2">
        <f>Setup!BO12</f>
        <v>3</v>
      </c>
      <c r="BP40" s="2" t="str">
        <f>CONCATENATE(Setup!BP12,"-",Setup!BQ12)</f>
        <v>4-6</v>
      </c>
      <c r="BQ40" s="10"/>
      <c r="BR40" s="10"/>
      <c r="BS40" s="10"/>
      <c r="BT40" s="38">
        <f>mround(BT39*Setup!BT12,'Quick Setup'!$A$2)</f>
        <v>210</v>
      </c>
      <c r="BU40" s="2">
        <f>Setup!BU12</f>
        <v>6</v>
      </c>
      <c r="BV40" s="2">
        <f>Setup!BV12</f>
        <v>4</v>
      </c>
      <c r="BW40" s="2" t="str">
        <f>CONCATENATE(Setup!BW12,"-",Setup!BX12)</f>
        <v>4-6</v>
      </c>
      <c r="BX40" s="10"/>
      <c r="BY40" s="10"/>
      <c r="BZ40" s="10"/>
      <c r="CA40" s="38">
        <f>mround(CA39*Setup!CA12,'Quick Setup'!$A$2)</f>
        <v>225</v>
      </c>
      <c r="CB40" s="2">
        <f>Setup!CB12</f>
        <v>5</v>
      </c>
      <c r="CC40" s="2">
        <f>Setup!CC12</f>
        <v>3</v>
      </c>
      <c r="CD40" s="2" t="str">
        <f>CONCATENATE(Setup!CD12,"-",Setup!CE12)</f>
        <v>4-6</v>
      </c>
      <c r="CE40" s="10"/>
      <c r="CF40" s="10"/>
      <c r="CG40" s="10"/>
      <c r="CH40" s="38">
        <f>mround(CH39*Setup!CH12,'Quick Setup'!$A$2)</f>
        <v>240</v>
      </c>
      <c r="CI40" s="2">
        <f>Setup!CI12</f>
        <v>4</v>
      </c>
      <c r="CJ40" s="2">
        <f>Setup!CJ12</f>
        <v>3</v>
      </c>
      <c r="CK40" s="2" t="str">
        <f>CONCATENATE(Setup!CK12,"-",Setup!CL12)</f>
        <v>4-6</v>
      </c>
      <c r="CL40" s="10"/>
      <c r="CM40" s="10"/>
      <c r="CN40" s="10"/>
      <c r="CO40" s="38">
        <f>mround(CO39*Setup!CO12,'Quick Setup'!$A$2)</f>
        <v>155</v>
      </c>
      <c r="CP40" s="1">
        <v>5.0</v>
      </c>
      <c r="CQ40" s="1" t="s">
        <v>76</v>
      </c>
      <c r="CR40" s="2" t="str">
        <f>CONCATENATE(Setup!CR12,"-",Setup!CS12)</f>
        <v>4-6</v>
      </c>
      <c r="CS40" s="10"/>
      <c r="CT40" s="10"/>
      <c r="CU40" s="10"/>
      <c r="CV40" s="38">
        <f>mround(CV39*Setup!CV12,'Quick Setup'!$A$2)</f>
        <v>217.5</v>
      </c>
      <c r="CW40" s="2">
        <f>Setup!CW12</f>
        <v>5</v>
      </c>
      <c r="CX40" s="2">
        <f>Setup!CX12</f>
        <v>3</v>
      </c>
      <c r="CY40" s="2" t="str">
        <f>CONCATENATE(Setup!CY12,"-",Setup!CZ12)</f>
        <v>4-6</v>
      </c>
      <c r="CZ40" s="10"/>
      <c r="DA40" s="10"/>
      <c r="DB40" s="10"/>
      <c r="DC40" s="38">
        <f>mround(DC39*Setup!DC12,'Quick Setup'!$A$2)</f>
        <v>232.5</v>
      </c>
      <c r="DD40" s="2">
        <f>Setup!DD12</f>
        <v>4</v>
      </c>
      <c r="DE40" s="2">
        <f>Setup!DE12</f>
        <v>3</v>
      </c>
      <c r="DF40" s="2" t="str">
        <f>CONCATENATE(Setup!DF12,"-",Setup!DG12)</f>
        <v>4-6</v>
      </c>
      <c r="DG40" s="10"/>
      <c r="DH40" s="10"/>
      <c r="DI40" s="10"/>
      <c r="DJ40" s="38">
        <f>mround(DJ39*Setup!DJ12,'Quick Setup'!$A$2)</f>
        <v>247.5</v>
      </c>
      <c r="DK40" s="2">
        <f>Setup!DK12</f>
        <v>3</v>
      </c>
      <c r="DL40" s="2">
        <f>Setup!DL12</f>
        <v>2</v>
      </c>
      <c r="DM40" s="2" t="str">
        <f>CONCATENATE(Setup!DM12,"-",Setup!DN12)</f>
        <v>4-6</v>
      </c>
      <c r="DN40" s="10"/>
      <c r="DO40" s="10"/>
      <c r="DP40" s="10"/>
      <c r="DQ40" s="38">
        <f>mround(DQ39*Setup!DQ12,'Quick Setup'!$A$2)</f>
        <v>232.5</v>
      </c>
      <c r="DR40" s="2">
        <f>Setup!DR12</f>
        <v>4</v>
      </c>
      <c r="DS40" s="2">
        <f>Setup!DS12</f>
        <v>3</v>
      </c>
      <c r="DT40" s="2" t="str">
        <f>CONCATENATE(Setup!DT12,"-",Setup!DU12)</f>
        <v>4-6</v>
      </c>
      <c r="DU40" s="10"/>
      <c r="DV40" s="10"/>
      <c r="DW40" s="10"/>
      <c r="DX40" s="38">
        <f>mround(DX39*Setup!DX12,'Quick Setup'!$A$2)</f>
        <v>247.5</v>
      </c>
      <c r="DY40" s="2">
        <f>Setup!DY12</f>
        <v>3</v>
      </c>
      <c r="DZ40" s="2">
        <f>Setup!DZ12</f>
        <v>2</v>
      </c>
      <c r="EA40" s="2" t="str">
        <f>CONCATENATE(Setup!EA12,"-",Setup!EB12)</f>
        <v>4-6</v>
      </c>
      <c r="EB40" s="10"/>
      <c r="EC40" s="10"/>
      <c r="ED40" s="10"/>
      <c r="EE40" s="38">
        <f>mround(EE39*Setup!EE12,'Quick Setup'!$A$2)</f>
        <v>262.5</v>
      </c>
      <c r="EF40" s="2">
        <f>Setup!EF12</f>
        <v>2</v>
      </c>
      <c r="EG40" s="2">
        <f>Setup!EG12</f>
        <v>2</v>
      </c>
      <c r="EH40" s="2" t="str">
        <f>CONCATENATE(Setup!EH12,"-",Setup!EI12)</f>
        <v>4-6</v>
      </c>
      <c r="EI40" s="10"/>
      <c r="EJ40" s="10"/>
      <c r="EK40" s="10"/>
      <c r="EL40" s="38">
        <f>mround(EL39*Setup!EL12,'Quick Setup'!$A$2)</f>
        <v>155</v>
      </c>
      <c r="EM40" s="1">
        <v>5.0</v>
      </c>
      <c r="EN40" s="1" t="s">
        <v>76</v>
      </c>
      <c r="EO40" s="2" t="str">
        <f>CONCATENATE(Setup!EO12,"-",Setup!EP12)</f>
        <v>4-6</v>
      </c>
      <c r="EP40" s="10"/>
      <c r="EQ40" s="10"/>
      <c r="ER40" s="10"/>
    </row>
    <row r="41">
      <c r="A41" s="5"/>
      <c r="B41" s="39"/>
      <c r="C41" s="10"/>
      <c r="D41" s="10"/>
      <c r="E41" s="10"/>
      <c r="F41" s="10"/>
      <c r="G41" s="10"/>
      <c r="H41" s="10"/>
      <c r="I41" s="39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39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39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39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39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39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39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39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39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39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39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39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39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39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39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39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39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39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39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39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77</v>
      </c>
      <c r="B42" s="38"/>
      <c r="C42" s="2"/>
      <c r="D42" s="2"/>
      <c r="E42" s="2"/>
      <c r="F42" s="2"/>
      <c r="G42" s="2"/>
      <c r="H42" s="2"/>
      <c r="I42" s="38"/>
      <c r="J42" s="2"/>
      <c r="K42" s="2"/>
      <c r="L42" s="2"/>
      <c r="M42" s="2"/>
      <c r="N42" s="2"/>
      <c r="O42" s="2"/>
      <c r="P42" s="38"/>
      <c r="Q42" s="2"/>
      <c r="R42" s="2"/>
      <c r="S42" s="2"/>
      <c r="T42" s="2"/>
      <c r="U42" s="2"/>
      <c r="V42" s="2"/>
      <c r="W42" s="38"/>
      <c r="X42" s="2"/>
      <c r="Y42" s="2"/>
      <c r="Z42" s="2"/>
      <c r="AA42" s="2"/>
      <c r="AB42" s="2"/>
      <c r="AC42" s="2"/>
      <c r="AD42" s="38"/>
      <c r="AE42" s="2"/>
      <c r="AF42" s="2"/>
      <c r="AG42" s="2"/>
      <c r="AH42" s="2"/>
      <c r="AI42" s="2"/>
      <c r="AJ42" s="2"/>
      <c r="AK42" s="38"/>
      <c r="AL42" s="2"/>
      <c r="AM42" s="2"/>
      <c r="AN42" s="2"/>
      <c r="AO42" s="2"/>
      <c r="AP42" s="2"/>
      <c r="AQ42" s="2"/>
      <c r="AR42" s="38"/>
      <c r="AS42" s="2"/>
      <c r="AT42" s="2"/>
      <c r="AU42" s="2"/>
      <c r="AV42" s="2"/>
      <c r="AW42" s="2"/>
      <c r="AX42" s="2"/>
      <c r="AY42" s="38"/>
      <c r="AZ42" s="2"/>
      <c r="BA42" s="2"/>
      <c r="BB42" s="2"/>
      <c r="BC42" s="2"/>
      <c r="BD42" s="2"/>
      <c r="BE42" s="2"/>
      <c r="BF42" s="38"/>
      <c r="BG42" s="2"/>
      <c r="BH42" s="2"/>
      <c r="BI42" s="2"/>
      <c r="BJ42" s="2"/>
      <c r="BK42" s="2"/>
      <c r="BL42" s="2"/>
      <c r="BM42" s="38"/>
      <c r="BN42" s="2"/>
      <c r="BO42" s="2"/>
      <c r="BP42" s="2"/>
      <c r="BQ42" s="2"/>
      <c r="BR42" s="2"/>
      <c r="BS42" s="2"/>
      <c r="BT42" s="38"/>
      <c r="BU42" s="2"/>
      <c r="BV42" s="2"/>
      <c r="BW42" s="2"/>
      <c r="BX42" s="2"/>
      <c r="BY42" s="2"/>
      <c r="BZ42" s="2"/>
      <c r="CA42" s="38"/>
      <c r="CB42" s="2"/>
      <c r="CC42" s="2"/>
      <c r="CD42" s="2"/>
      <c r="CE42" s="2"/>
      <c r="CF42" s="2"/>
      <c r="CG42" s="2"/>
      <c r="CH42" s="38"/>
      <c r="CI42" s="2"/>
      <c r="CJ42" s="2"/>
      <c r="CK42" s="2"/>
      <c r="CL42" s="2"/>
      <c r="CM42" s="2"/>
      <c r="CN42" s="2"/>
      <c r="CO42" s="38"/>
      <c r="CP42" s="2"/>
      <c r="CQ42" s="2"/>
      <c r="CR42" s="2"/>
      <c r="CS42" s="2"/>
      <c r="CT42" s="2"/>
      <c r="CU42" s="2"/>
      <c r="CV42" s="38"/>
      <c r="CW42" s="2"/>
      <c r="CX42" s="2"/>
      <c r="CY42" s="2"/>
      <c r="CZ42" s="2"/>
      <c r="DA42" s="2"/>
      <c r="DB42" s="2"/>
      <c r="DC42" s="38"/>
      <c r="DD42" s="2"/>
      <c r="DE42" s="2"/>
      <c r="DF42" s="2"/>
      <c r="DG42" s="2"/>
      <c r="DH42" s="2"/>
      <c r="DI42" s="2"/>
      <c r="DJ42" s="38"/>
      <c r="DK42" s="2"/>
      <c r="DL42" s="2"/>
      <c r="DM42" s="2"/>
      <c r="DN42" s="2"/>
      <c r="DO42" s="2"/>
      <c r="DP42" s="2"/>
      <c r="DQ42" s="38"/>
      <c r="DR42" s="2"/>
      <c r="DS42" s="2"/>
      <c r="DT42" s="2"/>
      <c r="DU42" s="2"/>
      <c r="DV42" s="2"/>
      <c r="DW42" s="2"/>
      <c r="DX42" s="38"/>
      <c r="DY42" s="2"/>
      <c r="DZ42" s="2"/>
      <c r="EA42" s="2"/>
      <c r="EB42" s="2"/>
      <c r="EC42" s="2"/>
      <c r="ED42" s="2"/>
      <c r="EE42" s="38"/>
      <c r="EF42" s="2"/>
      <c r="EG42" s="2"/>
      <c r="EH42" s="2"/>
      <c r="EI42" s="2"/>
      <c r="EJ42" s="2"/>
      <c r="EK42" s="2"/>
      <c r="EL42" s="38"/>
      <c r="EM42" s="2"/>
      <c r="EN42" s="2"/>
      <c r="EO42" s="2"/>
      <c r="EP42" s="2"/>
      <c r="EQ42" s="2"/>
      <c r="ER42" s="2"/>
    </row>
    <row r="43">
      <c r="A43" s="40"/>
      <c r="B43" s="39"/>
      <c r="C43" s="10"/>
      <c r="D43" s="10"/>
      <c r="E43" s="10"/>
      <c r="F43" s="10"/>
      <c r="G43" s="10"/>
      <c r="H43" s="10"/>
      <c r="I43" s="39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39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39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39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39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39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39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39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39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39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39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39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39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39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39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39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39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39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39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39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0"/>
      <c r="B44" s="39"/>
      <c r="C44" s="10"/>
      <c r="D44" s="10"/>
      <c r="E44" s="10"/>
      <c r="F44" s="10"/>
      <c r="G44" s="10"/>
      <c r="H44" s="10"/>
      <c r="I44" s="39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39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39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39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39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39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39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39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39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39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39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39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39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39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39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39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39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39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39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39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1"/>
      <c r="B45" s="42"/>
      <c r="C45" s="43"/>
      <c r="D45" s="43"/>
      <c r="E45" s="43"/>
      <c r="F45" s="43"/>
      <c r="G45" s="43"/>
      <c r="H45" s="43"/>
      <c r="I45" s="42" t="str">
        <f t="shared" ref="I45:M45" si="301">B45</f>
        <v/>
      </c>
      <c r="J45" s="43" t="str">
        <f t="shared" si="301"/>
        <v/>
      </c>
      <c r="K45" s="43" t="str">
        <f t="shared" si="301"/>
        <v/>
      </c>
      <c r="L45" s="43" t="str">
        <f t="shared" si="301"/>
        <v/>
      </c>
      <c r="M45" s="43" t="str">
        <f t="shared" si="301"/>
        <v/>
      </c>
      <c r="N45" s="43"/>
      <c r="O45" s="43"/>
      <c r="P45" s="42" t="str">
        <f t="shared" ref="P45:T45" si="302">I45</f>
        <v/>
      </c>
      <c r="Q45" s="43" t="str">
        <f t="shared" si="302"/>
        <v/>
      </c>
      <c r="R45" s="43" t="str">
        <f t="shared" si="302"/>
        <v/>
      </c>
      <c r="S45" s="43" t="str">
        <f t="shared" si="302"/>
        <v/>
      </c>
      <c r="T45" s="43" t="str">
        <f t="shared" si="302"/>
        <v/>
      </c>
      <c r="U45" s="43"/>
      <c r="V45" s="43"/>
      <c r="W45" s="42" t="str">
        <f t="shared" ref="W45:AA45" si="303">P45</f>
        <v/>
      </c>
      <c r="X45" s="43" t="str">
        <f t="shared" si="303"/>
        <v/>
      </c>
      <c r="Y45" s="43" t="str">
        <f t="shared" si="303"/>
        <v/>
      </c>
      <c r="Z45" s="43" t="str">
        <f t="shared" si="303"/>
        <v/>
      </c>
      <c r="AA45" s="43" t="str">
        <f t="shared" si="303"/>
        <v/>
      </c>
      <c r="AB45" s="43"/>
      <c r="AC45" s="43"/>
      <c r="AD45" s="42" t="str">
        <f t="shared" ref="AD45:AH45" si="304">W45</f>
        <v/>
      </c>
      <c r="AE45" s="43" t="str">
        <f t="shared" si="304"/>
        <v/>
      </c>
      <c r="AF45" s="43" t="str">
        <f t="shared" si="304"/>
        <v/>
      </c>
      <c r="AG45" s="43" t="str">
        <f t="shared" si="304"/>
        <v/>
      </c>
      <c r="AH45" s="43" t="str">
        <f t="shared" si="304"/>
        <v/>
      </c>
      <c r="AI45" s="43"/>
      <c r="AJ45" s="43"/>
      <c r="AK45" s="42" t="str">
        <f t="shared" ref="AK45:AO45" si="305">AD45</f>
        <v/>
      </c>
      <c r="AL45" s="43" t="str">
        <f t="shared" si="305"/>
        <v/>
      </c>
      <c r="AM45" s="43" t="str">
        <f t="shared" si="305"/>
        <v/>
      </c>
      <c r="AN45" s="43" t="str">
        <f t="shared" si="305"/>
        <v/>
      </c>
      <c r="AO45" s="43" t="str">
        <f t="shared" si="305"/>
        <v/>
      </c>
      <c r="AP45" s="43"/>
      <c r="AQ45" s="43"/>
      <c r="AR45" s="42" t="str">
        <f t="shared" ref="AR45:AV45" si="306">AK45</f>
        <v/>
      </c>
      <c r="AS45" s="43" t="str">
        <f t="shared" si="306"/>
        <v/>
      </c>
      <c r="AT45" s="43" t="str">
        <f t="shared" si="306"/>
        <v/>
      </c>
      <c r="AU45" s="43" t="str">
        <f t="shared" si="306"/>
        <v/>
      </c>
      <c r="AV45" s="43" t="str">
        <f t="shared" si="306"/>
        <v/>
      </c>
      <c r="AW45" s="43"/>
      <c r="AX45" s="43"/>
      <c r="AY45" s="42" t="str">
        <f t="shared" ref="AY45:BC45" si="307">AR45</f>
        <v/>
      </c>
      <c r="AZ45" s="43" t="str">
        <f t="shared" si="307"/>
        <v/>
      </c>
      <c r="BA45" s="43" t="str">
        <f t="shared" si="307"/>
        <v/>
      </c>
      <c r="BB45" s="43" t="str">
        <f t="shared" si="307"/>
        <v/>
      </c>
      <c r="BC45" s="43" t="str">
        <f t="shared" si="307"/>
        <v/>
      </c>
      <c r="BD45" s="43"/>
      <c r="BE45" s="43"/>
      <c r="BF45" s="42" t="str">
        <f t="shared" ref="BF45:BJ45" si="308">AY45</f>
        <v/>
      </c>
      <c r="BG45" s="43" t="str">
        <f t="shared" si="308"/>
        <v/>
      </c>
      <c r="BH45" s="43" t="str">
        <f t="shared" si="308"/>
        <v/>
      </c>
      <c r="BI45" s="43" t="str">
        <f t="shared" si="308"/>
        <v/>
      </c>
      <c r="BJ45" s="43" t="str">
        <f t="shared" si="308"/>
        <v/>
      </c>
      <c r="BK45" s="43"/>
      <c r="BL45" s="43"/>
      <c r="BM45" s="42" t="str">
        <f t="shared" ref="BM45:BQ45" si="309">BF45</f>
        <v/>
      </c>
      <c r="BN45" s="43" t="str">
        <f t="shared" si="309"/>
        <v/>
      </c>
      <c r="BO45" s="43" t="str">
        <f t="shared" si="309"/>
        <v/>
      </c>
      <c r="BP45" s="43" t="str">
        <f t="shared" si="309"/>
        <v/>
      </c>
      <c r="BQ45" s="43" t="str">
        <f t="shared" si="309"/>
        <v/>
      </c>
      <c r="BR45" s="43"/>
      <c r="BS45" s="43"/>
      <c r="BT45" s="42" t="str">
        <f t="shared" ref="BT45:BX45" si="310">BM45</f>
        <v/>
      </c>
      <c r="BU45" s="43" t="str">
        <f t="shared" si="310"/>
        <v/>
      </c>
      <c r="BV45" s="43" t="str">
        <f t="shared" si="310"/>
        <v/>
      </c>
      <c r="BW45" s="43" t="str">
        <f t="shared" si="310"/>
        <v/>
      </c>
      <c r="BX45" s="43" t="str">
        <f t="shared" si="310"/>
        <v/>
      </c>
      <c r="BY45" s="43"/>
      <c r="BZ45" s="43"/>
      <c r="CA45" s="42" t="str">
        <f t="shared" ref="CA45:CE45" si="311">BT45</f>
        <v/>
      </c>
      <c r="CB45" s="43" t="str">
        <f t="shared" si="311"/>
        <v/>
      </c>
      <c r="CC45" s="43" t="str">
        <f t="shared" si="311"/>
        <v/>
      </c>
      <c r="CD45" s="43" t="str">
        <f t="shared" si="311"/>
        <v/>
      </c>
      <c r="CE45" s="43" t="str">
        <f t="shared" si="311"/>
        <v/>
      </c>
      <c r="CF45" s="43"/>
      <c r="CG45" s="43"/>
      <c r="CH45" s="42" t="str">
        <f t="shared" ref="CH45:CL45" si="312">CA45</f>
        <v/>
      </c>
      <c r="CI45" s="43" t="str">
        <f t="shared" si="312"/>
        <v/>
      </c>
      <c r="CJ45" s="43" t="str">
        <f t="shared" si="312"/>
        <v/>
      </c>
      <c r="CK45" s="43" t="str">
        <f t="shared" si="312"/>
        <v/>
      </c>
      <c r="CL45" s="43" t="str">
        <f t="shared" si="312"/>
        <v/>
      </c>
      <c r="CM45" s="43"/>
      <c r="CN45" s="43"/>
      <c r="CO45" s="42" t="str">
        <f t="shared" ref="CO45:CS45" si="313">CH45</f>
        <v/>
      </c>
      <c r="CP45" s="43" t="str">
        <f t="shared" si="313"/>
        <v/>
      </c>
      <c r="CQ45" s="43" t="str">
        <f t="shared" si="313"/>
        <v/>
      </c>
      <c r="CR45" s="43" t="str">
        <f t="shared" si="313"/>
        <v/>
      </c>
      <c r="CS45" s="43" t="str">
        <f t="shared" si="313"/>
        <v/>
      </c>
      <c r="CT45" s="43"/>
      <c r="CU45" s="43"/>
      <c r="CV45" s="42" t="str">
        <f t="shared" ref="CV45:CZ45" si="314">CO45</f>
        <v/>
      </c>
      <c r="CW45" s="43" t="str">
        <f t="shared" si="314"/>
        <v/>
      </c>
      <c r="CX45" s="43" t="str">
        <f t="shared" si="314"/>
        <v/>
      </c>
      <c r="CY45" s="43" t="str">
        <f t="shared" si="314"/>
        <v/>
      </c>
      <c r="CZ45" s="43" t="str">
        <f t="shared" si="314"/>
        <v/>
      </c>
      <c r="DA45" s="43"/>
      <c r="DB45" s="43"/>
      <c r="DC45" s="42" t="str">
        <f t="shared" ref="DC45:DG45" si="315">CV45</f>
        <v/>
      </c>
      <c r="DD45" s="43" t="str">
        <f t="shared" si="315"/>
        <v/>
      </c>
      <c r="DE45" s="43" t="str">
        <f t="shared" si="315"/>
        <v/>
      </c>
      <c r="DF45" s="43" t="str">
        <f t="shared" si="315"/>
        <v/>
      </c>
      <c r="DG45" s="43" t="str">
        <f t="shared" si="315"/>
        <v/>
      </c>
      <c r="DH45" s="43"/>
      <c r="DI45" s="43"/>
      <c r="DJ45" s="42" t="str">
        <f t="shared" ref="DJ45:DN45" si="316">DC45</f>
        <v/>
      </c>
      <c r="DK45" s="43" t="str">
        <f t="shared" si="316"/>
        <v/>
      </c>
      <c r="DL45" s="43" t="str">
        <f t="shared" si="316"/>
        <v/>
      </c>
      <c r="DM45" s="43" t="str">
        <f t="shared" si="316"/>
        <v/>
      </c>
      <c r="DN45" s="43" t="str">
        <f t="shared" si="316"/>
        <v/>
      </c>
      <c r="DO45" s="43"/>
      <c r="DP45" s="43"/>
      <c r="DQ45" s="42" t="str">
        <f t="shared" ref="DQ45:DU45" si="317">DJ45</f>
        <v/>
      </c>
      <c r="DR45" s="43" t="str">
        <f t="shared" si="317"/>
        <v/>
      </c>
      <c r="DS45" s="43" t="str">
        <f t="shared" si="317"/>
        <v/>
      </c>
      <c r="DT45" s="43" t="str">
        <f t="shared" si="317"/>
        <v/>
      </c>
      <c r="DU45" s="43" t="str">
        <f t="shared" si="317"/>
        <v/>
      </c>
      <c r="DV45" s="43"/>
      <c r="DW45" s="43"/>
      <c r="DX45" s="42" t="str">
        <f t="shared" ref="DX45:EB45" si="318">DQ45</f>
        <v/>
      </c>
      <c r="DY45" s="43" t="str">
        <f t="shared" si="318"/>
        <v/>
      </c>
      <c r="DZ45" s="43" t="str">
        <f t="shared" si="318"/>
        <v/>
      </c>
      <c r="EA45" s="43" t="str">
        <f t="shared" si="318"/>
        <v/>
      </c>
      <c r="EB45" s="43" t="str">
        <f t="shared" si="318"/>
        <v/>
      </c>
      <c r="EC45" s="43"/>
      <c r="ED45" s="43"/>
      <c r="EE45" s="42" t="str">
        <f t="shared" ref="EE45:EI45" si="319">DX45</f>
        <v/>
      </c>
      <c r="EF45" s="43" t="str">
        <f t="shared" si="319"/>
        <v/>
      </c>
      <c r="EG45" s="43" t="str">
        <f t="shared" si="319"/>
        <v/>
      </c>
      <c r="EH45" s="43" t="str">
        <f t="shared" si="319"/>
        <v/>
      </c>
      <c r="EI45" s="43" t="str">
        <f t="shared" si="319"/>
        <v/>
      </c>
      <c r="EJ45" s="43"/>
      <c r="EK45" s="43"/>
      <c r="EL45" s="42" t="str">
        <f t="shared" ref="EL45:EP45" si="320">EE45</f>
        <v/>
      </c>
      <c r="EM45" s="43" t="str">
        <f t="shared" si="320"/>
        <v/>
      </c>
      <c r="EN45" s="43" t="str">
        <f t="shared" si="320"/>
        <v/>
      </c>
      <c r="EO45" s="43" t="str">
        <f t="shared" si="320"/>
        <v/>
      </c>
      <c r="EP45" s="43" t="str">
        <f t="shared" si="320"/>
        <v/>
      </c>
      <c r="EQ45" s="43"/>
      <c r="ER45" s="43"/>
    </row>
    <row r="46">
      <c r="A46" s="2"/>
      <c r="B46" s="38"/>
      <c r="C46" s="2"/>
      <c r="D46" s="2"/>
      <c r="E46" s="2"/>
      <c r="F46" s="2"/>
      <c r="G46" s="2"/>
      <c r="H46" s="2"/>
      <c r="I46" s="38"/>
      <c r="J46" s="2"/>
      <c r="K46" s="2"/>
      <c r="L46" s="2"/>
      <c r="M46" s="2"/>
      <c r="N46" s="2"/>
      <c r="O46" s="2"/>
      <c r="P46" s="38"/>
      <c r="Q46" s="2"/>
      <c r="R46" s="2"/>
      <c r="S46" s="2"/>
      <c r="T46" s="2"/>
      <c r="U46" s="2"/>
      <c r="V46" s="2"/>
      <c r="W46" s="38"/>
      <c r="X46" s="2"/>
      <c r="Y46" s="2"/>
      <c r="Z46" s="2"/>
      <c r="AA46" s="2"/>
      <c r="AB46" s="2"/>
      <c r="AC46" s="2"/>
      <c r="AD46" s="38"/>
      <c r="AE46" s="2"/>
      <c r="AF46" s="2"/>
      <c r="AG46" s="2"/>
      <c r="AH46" s="2"/>
      <c r="AI46" s="2"/>
      <c r="AJ46" s="2"/>
      <c r="AK46" s="38"/>
      <c r="AL46" s="2"/>
      <c r="AM46" s="2"/>
      <c r="AN46" s="2"/>
      <c r="AO46" s="2"/>
      <c r="AP46" s="2"/>
      <c r="AQ46" s="2"/>
      <c r="AR46" s="38"/>
      <c r="AS46" s="2"/>
      <c r="AT46" s="2"/>
      <c r="AU46" s="2"/>
      <c r="AV46" s="2"/>
      <c r="AW46" s="2"/>
      <c r="AX46" s="2"/>
      <c r="AY46" s="38"/>
      <c r="AZ46" s="2"/>
      <c r="BA46" s="2"/>
      <c r="BB46" s="2"/>
      <c r="BC46" s="2"/>
      <c r="BD46" s="2"/>
      <c r="BE46" s="2"/>
      <c r="BF46" s="38"/>
      <c r="BG46" s="2"/>
      <c r="BH46" s="2"/>
      <c r="BI46" s="2"/>
      <c r="BJ46" s="2"/>
      <c r="BK46" s="2"/>
      <c r="BL46" s="2"/>
      <c r="BM46" s="38"/>
      <c r="BN46" s="2"/>
      <c r="BO46" s="2"/>
      <c r="BP46" s="2"/>
      <c r="BQ46" s="2"/>
      <c r="BR46" s="2"/>
      <c r="BS46" s="2"/>
      <c r="BT46" s="38"/>
      <c r="BU46" s="2"/>
      <c r="BV46" s="2"/>
      <c r="BW46" s="2"/>
      <c r="BX46" s="2"/>
      <c r="BY46" s="2"/>
      <c r="BZ46" s="2"/>
      <c r="CA46" s="38"/>
      <c r="CB46" s="2"/>
      <c r="CC46" s="2"/>
      <c r="CD46" s="2"/>
      <c r="CE46" s="2"/>
      <c r="CF46" s="2"/>
      <c r="CG46" s="2"/>
      <c r="CH46" s="38"/>
      <c r="CI46" s="2"/>
      <c r="CJ46" s="2"/>
      <c r="CK46" s="2"/>
      <c r="CL46" s="2"/>
      <c r="CM46" s="2"/>
      <c r="CN46" s="2"/>
      <c r="CO46" s="38"/>
      <c r="CP46" s="2"/>
      <c r="CQ46" s="2"/>
      <c r="CR46" s="2"/>
      <c r="CS46" s="2"/>
      <c r="CT46" s="2"/>
      <c r="CU46" s="2"/>
      <c r="CV46" s="38"/>
      <c r="CW46" s="2"/>
      <c r="CX46" s="2"/>
      <c r="CY46" s="2"/>
      <c r="CZ46" s="2"/>
      <c r="DA46" s="2"/>
      <c r="DB46" s="2"/>
      <c r="DC46" s="38"/>
      <c r="DD46" s="2"/>
      <c r="DE46" s="2"/>
      <c r="DF46" s="2"/>
      <c r="DG46" s="2"/>
      <c r="DH46" s="2"/>
      <c r="DI46" s="2"/>
      <c r="DJ46" s="38"/>
      <c r="DK46" s="2"/>
      <c r="DL46" s="2"/>
      <c r="DM46" s="2"/>
      <c r="DN46" s="2"/>
      <c r="DO46" s="2"/>
      <c r="DP46" s="2"/>
      <c r="DQ46" s="38"/>
      <c r="DR46" s="2"/>
      <c r="DS46" s="2"/>
      <c r="DT46" s="2"/>
      <c r="DU46" s="2"/>
      <c r="DV46" s="2"/>
      <c r="DW46" s="2"/>
      <c r="DX46" s="38"/>
      <c r="DY46" s="2"/>
      <c r="DZ46" s="2"/>
      <c r="EA46" s="2"/>
      <c r="EB46" s="2"/>
      <c r="EC46" s="2"/>
      <c r="ED46" s="2"/>
      <c r="EE46" s="38"/>
      <c r="EF46" s="2"/>
      <c r="EG46" s="2"/>
      <c r="EH46" s="2"/>
      <c r="EI46" s="2"/>
      <c r="EJ46" s="2"/>
      <c r="EK46" s="2"/>
      <c r="EL46" s="38"/>
      <c r="EM46" s="2"/>
      <c r="EN46" s="2"/>
      <c r="EO46" s="2"/>
      <c r="EP46" s="2"/>
      <c r="EQ46" s="2"/>
      <c r="ER46" s="2"/>
    </row>
    <row r="47">
      <c r="A47" s="28" t="s">
        <v>81</v>
      </c>
      <c r="B47" s="29"/>
      <c r="C47" s="30"/>
      <c r="D47" s="30"/>
      <c r="E47" s="30"/>
      <c r="F47" s="30"/>
      <c r="G47" s="30"/>
      <c r="H47" s="30"/>
      <c r="I47" s="29"/>
      <c r="J47" s="30"/>
      <c r="K47" s="30"/>
      <c r="L47" s="30"/>
      <c r="M47" s="30"/>
      <c r="N47" s="30"/>
      <c r="O47" s="30"/>
      <c r="P47" s="29"/>
      <c r="Q47" s="30"/>
      <c r="R47" s="30"/>
      <c r="S47" s="30"/>
      <c r="T47" s="30"/>
      <c r="U47" s="30"/>
      <c r="V47" s="30"/>
      <c r="W47" s="29"/>
      <c r="X47" s="30"/>
      <c r="Y47" s="30"/>
      <c r="Z47" s="30"/>
      <c r="AA47" s="30"/>
      <c r="AB47" s="30"/>
      <c r="AC47" s="30"/>
      <c r="AD47" s="29"/>
      <c r="AE47" s="30"/>
      <c r="AF47" s="30"/>
      <c r="AG47" s="30"/>
      <c r="AH47" s="30"/>
      <c r="AI47" s="30"/>
      <c r="AJ47" s="30"/>
      <c r="AK47" s="29"/>
      <c r="AL47" s="30"/>
      <c r="AM47" s="30"/>
      <c r="AN47" s="30"/>
      <c r="AO47" s="30"/>
      <c r="AP47" s="30"/>
      <c r="AQ47" s="30"/>
      <c r="AR47" s="29"/>
      <c r="AS47" s="30"/>
      <c r="AT47" s="30"/>
      <c r="AU47" s="30"/>
      <c r="AV47" s="30"/>
      <c r="AW47" s="30"/>
      <c r="AX47" s="30"/>
      <c r="AY47" s="29"/>
      <c r="AZ47" s="30"/>
      <c r="BA47" s="30"/>
      <c r="BB47" s="30"/>
      <c r="BC47" s="30"/>
      <c r="BD47" s="30"/>
      <c r="BE47" s="30"/>
      <c r="BF47" s="29"/>
      <c r="BG47" s="30"/>
      <c r="BH47" s="30"/>
      <c r="BI47" s="30"/>
      <c r="BJ47" s="30"/>
      <c r="BK47" s="30"/>
      <c r="BL47" s="30"/>
      <c r="BM47" s="29"/>
      <c r="BN47" s="30"/>
      <c r="BO47" s="30"/>
      <c r="BP47" s="30"/>
      <c r="BQ47" s="30"/>
      <c r="BR47" s="30"/>
      <c r="BS47" s="30"/>
      <c r="BT47" s="29"/>
      <c r="BU47" s="30"/>
      <c r="BV47" s="30"/>
      <c r="BW47" s="30"/>
      <c r="BX47" s="30"/>
      <c r="BY47" s="30"/>
      <c r="BZ47" s="30"/>
      <c r="CA47" s="29"/>
      <c r="CB47" s="30"/>
      <c r="CC47" s="30"/>
      <c r="CD47" s="30"/>
      <c r="CE47" s="30"/>
      <c r="CF47" s="30"/>
      <c r="CG47" s="30"/>
      <c r="CH47" s="29"/>
      <c r="CI47" s="30"/>
      <c r="CJ47" s="30"/>
      <c r="CK47" s="30"/>
      <c r="CL47" s="30"/>
      <c r="CM47" s="30"/>
      <c r="CN47" s="30"/>
      <c r="CO47" s="29"/>
      <c r="CP47" s="30"/>
      <c r="CQ47" s="30"/>
      <c r="CR47" s="30"/>
      <c r="CS47" s="30"/>
      <c r="CT47" s="30"/>
      <c r="CU47" s="30"/>
      <c r="CV47" s="29"/>
      <c r="CW47" s="30"/>
      <c r="CX47" s="30"/>
      <c r="CY47" s="30"/>
      <c r="CZ47" s="30"/>
      <c r="DA47" s="30"/>
      <c r="DB47" s="30"/>
      <c r="DC47" s="29"/>
      <c r="DD47" s="30"/>
      <c r="DE47" s="30"/>
      <c r="DF47" s="30"/>
      <c r="DG47" s="30"/>
      <c r="DH47" s="30"/>
      <c r="DI47" s="30"/>
      <c r="DJ47" s="29"/>
      <c r="DK47" s="30"/>
      <c r="DL47" s="30"/>
      <c r="DM47" s="30"/>
      <c r="DN47" s="30"/>
      <c r="DO47" s="30"/>
      <c r="DP47" s="30"/>
      <c r="DQ47" s="29"/>
      <c r="DR47" s="30"/>
      <c r="DS47" s="30"/>
      <c r="DT47" s="30"/>
      <c r="DU47" s="30"/>
      <c r="DV47" s="30"/>
      <c r="DW47" s="30"/>
      <c r="DX47" s="29"/>
      <c r="DY47" s="30"/>
      <c r="DZ47" s="30"/>
      <c r="EA47" s="30"/>
      <c r="EB47" s="30"/>
      <c r="EC47" s="30"/>
      <c r="ED47" s="30"/>
      <c r="EE47" s="31" t="s">
        <v>75</v>
      </c>
      <c r="EF47" s="32"/>
      <c r="EG47" s="32"/>
      <c r="EH47" s="32"/>
      <c r="EI47" s="32"/>
      <c r="EJ47" s="32"/>
      <c r="EK47" s="32"/>
      <c r="EL47" s="29"/>
      <c r="EM47" s="30"/>
      <c r="EN47" s="30"/>
      <c r="EO47" s="30"/>
      <c r="EP47" s="30"/>
      <c r="EQ47" s="30"/>
      <c r="ER47" s="30"/>
    </row>
    <row r="48" hidden="1">
      <c r="A48" s="33" t="str">
        <f>CONCATENATE(A49," TM")</f>
        <v>Front Squat TM</v>
      </c>
      <c r="B48" s="34">
        <f>if(D48="",'Quick Setup'!D11,D48/'Quick Setup'!E11)</f>
        <v>420</v>
      </c>
      <c r="C48" s="35" t="s">
        <v>73</v>
      </c>
      <c r="D48" s="36"/>
      <c r="E48" s="37"/>
      <c r="F48" s="37"/>
      <c r="G48" s="37"/>
      <c r="H48" s="37"/>
      <c r="I48" s="34">
        <f>if(K48="", if(F49&lt;&gt;"", if(F49&gt;Setup!F10,B48*(1+Setup!G10),if(F49&lt;Setup!E10,B48*(1+Setup!H10),B48)),B48),K48/'Quick Setup'!$E11)</f>
        <v>420</v>
      </c>
      <c r="J48" s="35" t="s">
        <v>73</v>
      </c>
      <c r="K48" s="36"/>
      <c r="L48" s="37"/>
      <c r="M48" s="37"/>
      <c r="N48" s="37"/>
      <c r="O48" s="37"/>
      <c r="P48" s="34">
        <f>if(R48="", if(M49&lt;&gt;"", if(M49&gt;Setup!M10,I48*(1+Setup!N10),if(M49&lt;Setup!L10,I48*(1+Setup!O10),I48)),I48),R48/'Quick Setup'!$E11)</f>
        <v>420</v>
      </c>
      <c r="Q48" s="35" t="s">
        <v>73</v>
      </c>
      <c r="R48" s="36"/>
      <c r="S48" s="37"/>
      <c r="T48" s="37"/>
      <c r="U48" s="37"/>
      <c r="V48" s="37"/>
      <c r="W48" s="34">
        <f>if(Y48="", if(T49&lt;&gt;"", if(T49&gt;Setup!T10,P48*(1+Setup!U10),if(T49&lt;Setup!S10,P48*(1+Setup!V10),P48)),P48),Y48/'Quick Setup'!$E11)</f>
        <v>420</v>
      </c>
      <c r="X48" s="35" t="s">
        <v>73</v>
      </c>
      <c r="Y48" s="36"/>
      <c r="Z48" s="37"/>
      <c r="AA48" s="37"/>
      <c r="AB48" s="37"/>
      <c r="AC48" s="37"/>
      <c r="AD48" s="34">
        <f>if(AF48="", if(AA49&lt;&gt;"", if(AA49&gt;Setup!AA10,W48*(1+Setup!AB10),if(AA49&lt;Setup!Z10,W48*(1+Setup!AC10),W48)),W48),AF48/'Quick Setup'!$E11)</f>
        <v>420</v>
      </c>
      <c r="AE48" s="35" t="s">
        <v>73</v>
      </c>
      <c r="AF48" s="36"/>
      <c r="AG48" s="37"/>
      <c r="AH48" s="37"/>
      <c r="AI48" s="37"/>
      <c r="AJ48" s="37"/>
      <c r="AK48" s="34">
        <f>if(AM48="", if(AH49&lt;&gt;"", if(AH49&gt;Setup!AH10,AD48*(1+Setup!AI10),if(AH49&lt;Setup!AG10,AD48*(1+Setup!AJ10),AD48)),AD48),AM48/'Quick Setup'!$E11)</f>
        <v>420</v>
      </c>
      <c r="AL48" s="35" t="s">
        <v>73</v>
      </c>
      <c r="AM48" s="36"/>
      <c r="AN48" s="37"/>
      <c r="AO48" s="37"/>
      <c r="AP48" s="37"/>
      <c r="AQ48" s="37"/>
      <c r="AR48" s="34">
        <f>if(AT48="", if(AO49&lt;&gt;"", if(AO49&gt;Setup!AO10,AK48*(1+Setup!AP10),if(AO49&lt;Setup!AN10,AK48*(1+Setup!AQ10),AK48)),AK48),AT48/'Quick Setup'!$E11)</f>
        <v>420</v>
      </c>
      <c r="AS48" s="35" t="s">
        <v>73</v>
      </c>
      <c r="AT48" s="36"/>
      <c r="AU48" s="37"/>
      <c r="AV48" s="37"/>
      <c r="AW48" s="37"/>
      <c r="AX48" s="37"/>
      <c r="AY48" s="34">
        <f>if(BA48="",AR48,BA48/'Quick Setup'!$E11)</f>
        <v>420</v>
      </c>
      <c r="AZ48" s="35" t="s">
        <v>73</v>
      </c>
      <c r="BA48" s="36"/>
      <c r="BB48" s="37"/>
      <c r="BC48" s="37"/>
      <c r="BD48" s="37"/>
      <c r="BE48" s="37"/>
      <c r="BF48" s="34">
        <f>if(BH48="", if(BC49&lt;&gt;"", if(BC49&gt;Setup!BC10,AY48*(1+Setup!BD10),if(BC49&lt;Setup!BB10,AY48*(1+Setup!BE10),AY48)),AY48),BH48/'Quick Setup'!$E11)</f>
        <v>420</v>
      </c>
      <c r="BG48" s="35" t="s">
        <v>73</v>
      </c>
      <c r="BH48" s="36"/>
      <c r="BI48" s="37"/>
      <c r="BJ48" s="37"/>
      <c r="BK48" s="37"/>
      <c r="BL48" s="37"/>
      <c r="BM48" s="34">
        <f>if(BO48="", if(BJ49&lt;&gt;"", if(BJ49&gt;Setup!BJ10,BF48*(1+Setup!BK10),if(BJ49&lt;Setup!BI10,BF48*(1+Setup!BL10),BF48)),BF48),BO48/'Quick Setup'!$E11)</f>
        <v>420</v>
      </c>
      <c r="BN48" s="35" t="s">
        <v>73</v>
      </c>
      <c r="BO48" s="36"/>
      <c r="BP48" s="37"/>
      <c r="BQ48" s="37"/>
      <c r="BR48" s="37"/>
      <c r="BS48" s="37"/>
      <c r="BT48" s="34">
        <f>if(BV48="", if(BQ49&lt;&gt;"", if(BQ49&gt;Setup!BQ10,BM48*(1+Setup!BR10),if(BQ49&lt;Setup!BP10,BM48*(1+Setup!BS10),BM48)),BM48),BV48/'Quick Setup'!$E11)</f>
        <v>420</v>
      </c>
      <c r="BU48" s="35" t="s">
        <v>73</v>
      </c>
      <c r="BV48" s="36"/>
      <c r="BW48" s="37"/>
      <c r="BX48" s="37"/>
      <c r="BY48" s="37"/>
      <c r="BZ48" s="37"/>
      <c r="CA48" s="34">
        <f>if(CC48="", if(BX49&lt;&gt;"", if(BX49&gt;Setup!BX10,BT48*(1+Setup!BY10),if(BX49&lt;Setup!BW10,BT48*(1+Setup!BZ10),BT48)),BT48),CC48/'Quick Setup'!$E11)</f>
        <v>420</v>
      </c>
      <c r="CB48" s="35" t="s">
        <v>73</v>
      </c>
      <c r="CC48" s="36"/>
      <c r="CD48" s="37"/>
      <c r="CE48" s="37"/>
      <c r="CF48" s="37"/>
      <c r="CG48" s="37"/>
      <c r="CH48" s="34">
        <f>if(CJ48="", if(CE49&lt;&gt;"", if(CE49&gt;Setup!CE10,CA48*(1+Setup!CF10),if(CE49&lt;Setup!CD10,CA48*(1+Setup!CG10),CA48)),CA48),CJ48/'Quick Setup'!$E11)</f>
        <v>420</v>
      </c>
      <c r="CI48" s="35" t="s">
        <v>73</v>
      </c>
      <c r="CJ48" s="36"/>
      <c r="CK48" s="37"/>
      <c r="CL48" s="37"/>
      <c r="CM48" s="37"/>
      <c r="CN48" s="37"/>
      <c r="CO48" s="34">
        <f>if(CQ48="", if(CL49&lt;&gt;"", if(CL49&gt;Setup!CL10,CH48*(1+Setup!CM10),if(CL49&lt;Setup!CK10,CH48*(1+Setup!CN10),CH48)),CH48),CQ48/'Quick Setup'!$E11)</f>
        <v>420</v>
      </c>
      <c r="CP48" s="35" t="s">
        <v>73</v>
      </c>
      <c r="CQ48" s="36"/>
      <c r="CR48" s="37"/>
      <c r="CS48" s="37"/>
      <c r="CT48" s="37"/>
      <c r="CU48" s="37"/>
      <c r="CV48" s="34">
        <f>if(CX48="",CO48,CX48/'Quick Setup'!$E11)</f>
        <v>420</v>
      </c>
      <c r="CW48" s="35" t="s">
        <v>73</v>
      </c>
      <c r="CX48" s="36"/>
      <c r="CY48" s="37"/>
      <c r="CZ48" s="37"/>
      <c r="DA48" s="37"/>
      <c r="DB48" s="37"/>
      <c r="DC48" s="34">
        <f>if(DE48="", if(CZ49&lt;&gt;"", if(CZ49&gt;Setup!CZ10,CV48*(1+Setup!DA10),if(CZ49&lt;Setup!CY10,CV48*(1+Setup!DB10),CV48)),CV48),DE48/'Quick Setup'!$E11)</f>
        <v>420</v>
      </c>
      <c r="DD48" s="35" t="s">
        <v>73</v>
      </c>
      <c r="DE48" s="36"/>
      <c r="DF48" s="37"/>
      <c r="DG48" s="37"/>
      <c r="DH48" s="37"/>
      <c r="DI48" s="37"/>
      <c r="DJ48" s="34">
        <f>if(DL48="", if(DG49&lt;&gt;"", if(DG49&gt;Setup!DG10,DC48*(1+Setup!DH10),if(DG49&lt;Setup!DF10,DC48*(1+Setup!DI10),DC48)),DC48),DL48/'Quick Setup'!$E11)</f>
        <v>420</v>
      </c>
      <c r="DK48" s="35" t="s">
        <v>73</v>
      </c>
      <c r="DL48" s="36"/>
      <c r="DM48" s="37"/>
      <c r="DN48" s="37"/>
      <c r="DO48" s="37"/>
      <c r="DP48" s="37"/>
      <c r="DQ48" s="34">
        <f>if(DS48="", if(DN49&lt;&gt;"", if(DN49&gt;Setup!DN10,DJ48*(1+Setup!DO10),if(DN49&lt;Setup!DM10,DJ48*(1+Setup!DP10),DJ48)),DJ48),DS48/'Quick Setup'!$E11)</f>
        <v>420</v>
      </c>
      <c r="DR48" s="35" t="s">
        <v>73</v>
      </c>
      <c r="DS48" s="36"/>
      <c r="DT48" s="37"/>
      <c r="DU48" s="37"/>
      <c r="DV48" s="37"/>
      <c r="DW48" s="37"/>
      <c r="DX48" s="34">
        <f>if(DZ48="", if(DU49&lt;&gt;"", if(DU49&gt;Setup!DU10,DQ48*(1+Setup!DV10),if(DU49&lt;Setup!DT10,DQ48*(1+Setup!DW10),DQ48)),DQ48),DZ48/'Quick Setup'!$E11)</f>
        <v>420</v>
      </c>
      <c r="DY48" s="35" t="s">
        <v>73</v>
      </c>
      <c r="DZ48" s="36"/>
      <c r="EA48" s="37"/>
      <c r="EB48" s="37"/>
      <c r="EC48" s="37"/>
      <c r="ED48" s="37"/>
      <c r="EE48" s="34">
        <f>if(EG48="", if(EB49&lt;&gt;"", if(EB49&gt;Setup!EB10,DX48*(1+Setup!EC10),if(EB49&lt;Setup!EA10,DX48*(1+Setup!ED10),DX48)),DX48),EG48/'Quick Setup'!$E11)</f>
        <v>420</v>
      </c>
      <c r="EF48" s="35" t="s">
        <v>73</v>
      </c>
      <c r="EG48" s="36"/>
      <c r="EH48" s="37"/>
      <c r="EI48" s="37"/>
      <c r="EJ48" s="37"/>
      <c r="EK48" s="37"/>
      <c r="EL48" s="34">
        <f>if(EN48="", if(EI49&lt;&gt;"", if(EI49&gt;Setup!EI10,EE48*(1+Setup!EJ10),if(EI49&lt;Setup!EH10,EE48*(1+Setup!EK10),EE48)),EE48),EN48/'Quick Setup'!$E11)</f>
        <v>420</v>
      </c>
      <c r="EM48" s="35" t="s">
        <v>73</v>
      </c>
      <c r="EN48" s="36"/>
      <c r="EO48" s="37"/>
      <c r="EP48" s="37"/>
      <c r="EQ48" s="37"/>
      <c r="ER48" s="37"/>
    </row>
    <row r="49">
      <c r="A49" s="1" t="str">
        <f>Setup!A10</f>
        <v>Front Squat</v>
      </c>
      <c r="B49" s="38">
        <f>mround(B48*Setup!B10,'Quick Setup'!$A$2)</f>
        <v>252.5</v>
      </c>
      <c r="C49" s="2">
        <f>Setup!C10</f>
        <v>7</v>
      </c>
      <c r="D49" s="2">
        <f>Setup!D10</f>
        <v>4</v>
      </c>
      <c r="E49" s="2" t="str">
        <f>CONCATENATE(Setup!E10,"-",Setup!F10)</f>
        <v>4-6</v>
      </c>
      <c r="F49" s="10"/>
      <c r="G49" s="10"/>
      <c r="H49" s="10"/>
      <c r="I49" s="38">
        <f>mround(I48*Setup!I10,'Quick Setup'!$A$2)</f>
        <v>272.5</v>
      </c>
      <c r="J49" s="2">
        <f>Setup!J10</f>
        <v>6</v>
      </c>
      <c r="K49" s="2">
        <f>Setup!K10</f>
        <v>4</v>
      </c>
      <c r="L49" s="2" t="str">
        <f>CONCATENATE(Setup!L10,"-",Setup!M10)</f>
        <v>4-6</v>
      </c>
      <c r="M49" s="10"/>
      <c r="N49" s="10"/>
      <c r="O49" s="10"/>
      <c r="P49" s="38">
        <f>mround(P48*Setup!P10,'Quick Setup'!$A$2)</f>
        <v>295</v>
      </c>
      <c r="Q49" s="2">
        <f>Setup!Q10</f>
        <v>5</v>
      </c>
      <c r="R49" s="2">
        <f>Setup!R10</f>
        <v>3</v>
      </c>
      <c r="S49" s="2" t="str">
        <f>CONCATENATE(Setup!S10,"-",Setup!T10)</f>
        <v>4-6</v>
      </c>
      <c r="T49" s="10"/>
      <c r="U49" s="10"/>
      <c r="V49" s="10"/>
      <c r="W49" s="38">
        <f>mround(W48*Setup!W10,'Quick Setup'!$A$2)</f>
        <v>262.5</v>
      </c>
      <c r="X49" s="2">
        <f>Setup!X10</f>
        <v>7</v>
      </c>
      <c r="Y49" s="2">
        <f>Setup!Y10</f>
        <v>4</v>
      </c>
      <c r="Z49" s="2" t="str">
        <f>CONCATENATE(Setup!Z10,"-",Setup!AA10)</f>
        <v>4-6</v>
      </c>
      <c r="AA49" s="10"/>
      <c r="AB49" s="10"/>
      <c r="AC49" s="10"/>
      <c r="AD49" s="38">
        <f>mround(AD48*Setup!AD10,'Quick Setup'!$A$2)</f>
        <v>282.5</v>
      </c>
      <c r="AE49" s="2">
        <f>Setup!AE10</f>
        <v>6</v>
      </c>
      <c r="AF49" s="2">
        <f>Setup!AF10</f>
        <v>4</v>
      </c>
      <c r="AG49" s="2" t="str">
        <f>CONCATENATE(Setup!AG10,"-",Setup!AH10)</f>
        <v>4-6</v>
      </c>
      <c r="AH49" s="10"/>
      <c r="AI49" s="10"/>
      <c r="AJ49" s="10"/>
      <c r="AK49" s="38">
        <f>mround(AK48*Setup!AK10,'Quick Setup'!$A$2)</f>
        <v>305</v>
      </c>
      <c r="AL49" s="2">
        <f>Setup!AL10</f>
        <v>5</v>
      </c>
      <c r="AM49" s="2">
        <f>Setup!AM10</f>
        <v>3</v>
      </c>
      <c r="AN49" s="2" t="str">
        <f>CONCATENATE(Setup!AN10,"-",Setup!AO10)</f>
        <v>4-6</v>
      </c>
      <c r="AO49" s="10"/>
      <c r="AP49" s="10"/>
      <c r="AQ49" s="10"/>
      <c r="AR49" s="38">
        <f>mround(AR48*Setup!AR10,'Quick Setup'!$A$2)</f>
        <v>210</v>
      </c>
      <c r="AS49" s="1">
        <v>5.0</v>
      </c>
      <c r="AT49" s="1" t="s">
        <v>76</v>
      </c>
      <c r="AU49" s="2" t="str">
        <f>CONCATENATE(Setup!AU10,"-",Setup!AV10)</f>
        <v>4-6</v>
      </c>
      <c r="AV49" s="10"/>
      <c r="AW49" s="10"/>
      <c r="AX49" s="10"/>
      <c r="AY49" s="38">
        <f>mround(AY48*Setup!AY10,'Quick Setup'!$A$2)</f>
        <v>272.5</v>
      </c>
      <c r="AZ49" s="2">
        <f>Setup!AZ10</f>
        <v>6</v>
      </c>
      <c r="BA49" s="2">
        <f>Setup!BA10</f>
        <v>4</v>
      </c>
      <c r="BB49" s="2" t="str">
        <f>CONCATENATE(Setup!BB10,"-",Setup!BC10)</f>
        <v>4-6</v>
      </c>
      <c r="BC49" s="10"/>
      <c r="BD49" s="10"/>
      <c r="BE49" s="10"/>
      <c r="BF49" s="38">
        <f>mround(BF48*Setup!BF10,'Quick Setup'!$A$2)</f>
        <v>295</v>
      </c>
      <c r="BG49" s="2">
        <f>Setup!BG10</f>
        <v>5</v>
      </c>
      <c r="BH49" s="2">
        <f>Setup!BH10</f>
        <v>3</v>
      </c>
      <c r="BI49" s="2" t="str">
        <f>CONCATENATE(Setup!BI10,"-",Setup!BJ10)</f>
        <v>4-6</v>
      </c>
      <c r="BJ49" s="10"/>
      <c r="BK49" s="10"/>
      <c r="BL49" s="10"/>
      <c r="BM49" s="38">
        <f>mround(BM48*Setup!BM10,'Quick Setup'!$A$2)</f>
        <v>315</v>
      </c>
      <c r="BN49" s="2">
        <f>Setup!BN10</f>
        <v>4</v>
      </c>
      <c r="BO49" s="2">
        <f>Setup!BO10</f>
        <v>3</v>
      </c>
      <c r="BP49" s="2" t="str">
        <f>CONCATENATE(Setup!BP10,"-",Setup!BQ10)</f>
        <v>4-6</v>
      </c>
      <c r="BQ49" s="10"/>
      <c r="BR49" s="10"/>
      <c r="BS49" s="10"/>
      <c r="BT49" s="38">
        <f>mround(BT48*Setup!BT10,'Quick Setup'!$A$2)</f>
        <v>282.5</v>
      </c>
      <c r="BU49" s="2">
        <f>Setup!BU10</f>
        <v>6</v>
      </c>
      <c r="BV49" s="2">
        <f>Setup!BV10</f>
        <v>4</v>
      </c>
      <c r="BW49" s="2" t="str">
        <f>CONCATENATE(Setup!BW10,"-",Setup!BX10)</f>
        <v>4-6</v>
      </c>
      <c r="BX49" s="10"/>
      <c r="BY49" s="10"/>
      <c r="BZ49" s="10"/>
      <c r="CA49" s="38">
        <f>mround(CA48*Setup!CA10,'Quick Setup'!$A$2)</f>
        <v>305</v>
      </c>
      <c r="CB49" s="2">
        <f>Setup!CB10</f>
        <v>5</v>
      </c>
      <c r="CC49" s="2">
        <f>Setup!CC10</f>
        <v>3</v>
      </c>
      <c r="CD49" s="2" t="str">
        <f>CONCATENATE(Setup!CD10,"-",Setup!CE10)</f>
        <v>4-6</v>
      </c>
      <c r="CE49" s="10"/>
      <c r="CF49" s="10"/>
      <c r="CG49" s="10"/>
      <c r="CH49" s="38">
        <f>mround(CH48*Setup!CH10,'Quick Setup'!$A$2)</f>
        <v>325</v>
      </c>
      <c r="CI49" s="2">
        <f>Setup!CI10</f>
        <v>4</v>
      </c>
      <c r="CJ49" s="2">
        <f>Setup!CJ10</f>
        <v>3</v>
      </c>
      <c r="CK49" s="2" t="str">
        <f>CONCATENATE(Setup!CK10,"-",Setup!CL10)</f>
        <v>4-6</v>
      </c>
      <c r="CL49" s="10"/>
      <c r="CM49" s="10"/>
      <c r="CN49" s="10"/>
      <c r="CO49" s="38">
        <f>mround(CO48*Setup!CO10,'Quick Setup'!$A$2)</f>
        <v>210</v>
      </c>
      <c r="CP49" s="1">
        <v>5.0</v>
      </c>
      <c r="CQ49" s="1" t="s">
        <v>76</v>
      </c>
      <c r="CR49" s="2" t="str">
        <f>CONCATENATE(Setup!CR10,"-",Setup!CS10)</f>
        <v>4-6</v>
      </c>
      <c r="CS49" s="10"/>
      <c r="CT49" s="10"/>
      <c r="CU49" s="10"/>
      <c r="CV49" s="38">
        <f>mround(CV48*Setup!CV10,'Quick Setup'!$A$2)</f>
        <v>295</v>
      </c>
      <c r="CW49" s="2">
        <f>Setup!CW10</f>
        <v>5</v>
      </c>
      <c r="CX49" s="2">
        <f>Setup!CX10</f>
        <v>3</v>
      </c>
      <c r="CY49" s="2" t="str">
        <f>CONCATENATE(Setup!CY10,"-",Setup!CZ10)</f>
        <v>4-6</v>
      </c>
      <c r="CZ49" s="10"/>
      <c r="DA49" s="10"/>
      <c r="DB49" s="10"/>
      <c r="DC49" s="38">
        <f>mround(DC48*Setup!DC10,'Quick Setup'!$A$2)</f>
        <v>315</v>
      </c>
      <c r="DD49" s="2">
        <f>Setup!DD10</f>
        <v>4</v>
      </c>
      <c r="DE49" s="2">
        <f>Setup!DE10</f>
        <v>3</v>
      </c>
      <c r="DF49" s="2" t="str">
        <f>CONCATENATE(Setup!DF10,"-",Setup!DG10)</f>
        <v>4-6</v>
      </c>
      <c r="DG49" s="10"/>
      <c r="DH49" s="10"/>
      <c r="DI49" s="10"/>
      <c r="DJ49" s="38">
        <f>mround(DJ48*Setup!DJ10,'Quick Setup'!$A$2)</f>
        <v>335</v>
      </c>
      <c r="DK49" s="2">
        <f>Setup!DK10</f>
        <v>3</v>
      </c>
      <c r="DL49" s="2">
        <f>Setup!DL10</f>
        <v>2</v>
      </c>
      <c r="DM49" s="2" t="str">
        <f>CONCATENATE(Setup!DM10,"-",Setup!DN10)</f>
        <v>4-6</v>
      </c>
      <c r="DN49" s="10"/>
      <c r="DO49" s="10"/>
      <c r="DP49" s="10"/>
      <c r="DQ49" s="38">
        <f>mround(DQ48*Setup!DQ10,'Quick Setup'!$A$2)</f>
        <v>315</v>
      </c>
      <c r="DR49" s="2">
        <f>Setup!DR10</f>
        <v>4</v>
      </c>
      <c r="DS49" s="2">
        <f>Setup!DS10</f>
        <v>3</v>
      </c>
      <c r="DT49" s="2" t="str">
        <f>CONCATENATE(Setup!DT10,"-",Setup!DU10)</f>
        <v>4-6</v>
      </c>
      <c r="DU49" s="10"/>
      <c r="DV49" s="10"/>
      <c r="DW49" s="10"/>
      <c r="DX49" s="38">
        <f>mround(DX48*Setup!DX10,'Quick Setup'!$A$2)</f>
        <v>335</v>
      </c>
      <c r="DY49" s="2">
        <f>Setup!DY10</f>
        <v>3</v>
      </c>
      <c r="DZ49" s="2">
        <f>Setup!DZ10</f>
        <v>2</v>
      </c>
      <c r="EA49" s="2" t="str">
        <f>CONCATENATE(Setup!EA10,"-",Setup!EB10)</f>
        <v>4-6</v>
      </c>
      <c r="EB49" s="10"/>
      <c r="EC49" s="10"/>
      <c r="ED49" s="10"/>
      <c r="EE49" s="38">
        <f>mround(EE48*Setup!EE10,'Quick Setup'!$A$2)</f>
        <v>357.5</v>
      </c>
      <c r="EF49" s="2">
        <f>Setup!EF10</f>
        <v>2</v>
      </c>
      <c r="EG49" s="2">
        <f>Setup!EG10</f>
        <v>2</v>
      </c>
      <c r="EH49" s="2" t="str">
        <f>CONCATENATE(Setup!EH10,"-",Setup!EI10)</f>
        <v>4-6</v>
      </c>
      <c r="EI49" s="10"/>
      <c r="EJ49" s="10"/>
      <c r="EK49" s="10"/>
      <c r="EL49" s="38">
        <f>mround(EL48*Setup!EL10,'Quick Setup'!$A$2)</f>
        <v>210</v>
      </c>
      <c r="EM49" s="1">
        <v>5.0</v>
      </c>
      <c r="EN49" s="1" t="s">
        <v>76</v>
      </c>
      <c r="EO49" s="2" t="str">
        <f>CONCATENATE(Setup!EO10,"-",Setup!EP10)</f>
        <v>4-6</v>
      </c>
      <c r="EP49" s="10"/>
      <c r="EQ49" s="10"/>
      <c r="ER49" s="10"/>
    </row>
    <row r="50" hidden="1">
      <c r="A50" s="33" t="str">
        <f>CONCATENATE(A51," TM")</f>
        <v>Incline Press TM</v>
      </c>
      <c r="B50" s="34">
        <f>if(D50="",'Quick Setup'!D14,D50/'Quick Setup'!E14)</f>
        <v>280</v>
      </c>
      <c r="C50" s="35" t="s">
        <v>73</v>
      </c>
      <c r="D50" s="36"/>
      <c r="E50" s="37"/>
      <c r="F50" s="37"/>
      <c r="G50" s="37"/>
      <c r="H50" s="37"/>
      <c r="I50" s="34">
        <f>if(K50="", if(F51&lt;&gt;"", if(F51&gt;Setup!F13,B50*(1+Setup!G13),if(F51&lt;Setup!E13,B50*(1+Setup!H13),B50)),B50),K50/'Quick Setup'!$E14)</f>
        <v>280</v>
      </c>
      <c r="J50" s="35" t="s">
        <v>73</v>
      </c>
      <c r="K50" s="36"/>
      <c r="L50" s="37"/>
      <c r="M50" s="37"/>
      <c r="N50" s="37"/>
      <c r="O50" s="37"/>
      <c r="P50" s="34">
        <f>if(R50="", if(M51&lt;&gt;"", if(M51&gt;Setup!M13,I50*(1+Setup!N13),if(M51&lt;Setup!L13,I50*(1+Setup!O13),I50)),I50),R50/'Quick Setup'!$E14)</f>
        <v>280</v>
      </c>
      <c r="Q50" s="35" t="s">
        <v>73</v>
      </c>
      <c r="R50" s="36"/>
      <c r="S50" s="37"/>
      <c r="T50" s="37"/>
      <c r="U50" s="37"/>
      <c r="V50" s="37"/>
      <c r="W50" s="34">
        <f>if(Y50="", if(T51&lt;&gt;"", if(T51&gt;Setup!T13,P50*(1+Setup!U13),if(T51&lt;Setup!S13,P50*(1+Setup!V13),P50)),P50),Y50/'Quick Setup'!$E14)</f>
        <v>280</v>
      </c>
      <c r="X50" s="35" t="s">
        <v>73</v>
      </c>
      <c r="Y50" s="36"/>
      <c r="Z50" s="37"/>
      <c r="AA50" s="37"/>
      <c r="AB50" s="37"/>
      <c r="AC50" s="37"/>
      <c r="AD50" s="34">
        <f>if(AF50="", if(AA51&lt;&gt;"", if(AA51&gt;Setup!AA13,W50*(1+Setup!AB13),if(AA51&lt;Setup!Z13,W50*(1+Setup!AC13),W50)),W50),AF50/'Quick Setup'!$E14)</f>
        <v>280</v>
      </c>
      <c r="AE50" s="35" t="s">
        <v>73</v>
      </c>
      <c r="AF50" s="36"/>
      <c r="AG50" s="37"/>
      <c r="AH50" s="37"/>
      <c r="AI50" s="37"/>
      <c r="AJ50" s="37"/>
      <c r="AK50" s="34">
        <f>if(AM50="", if(AH51&lt;&gt;"", if(AH51&gt;Setup!AH13,AD50*(1+Setup!AI13),if(AH51&lt;Setup!AG13,AD50*(1+Setup!AJ13),AD50)),AD50),AM50/'Quick Setup'!$E14)</f>
        <v>280</v>
      </c>
      <c r="AL50" s="35" t="s">
        <v>73</v>
      </c>
      <c r="AM50" s="36"/>
      <c r="AN50" s="37"/>
      <c r="AO50" s="37"/>
      <c r="AP50" s="37"/>
      <c r="AQ50" s="37"/>
      <c r="AR50" s="34">
        <f>if(AT50="", if(AO51&lt;&gt;"", if(AO51&gt;Setup!AO13,AK50*(1+Setup!AP13),if(AO51&lt;Setup!AN13,AK50*(1+Setup!AQ13),AK50)),AK50),AT50/'Quick Setup'!$E14)</f>
        <v>280</v>
      </c>
      <c r="AS50" s="35" t="s">
        <v>73</v>
      </c>
      <c r="AT50" s="36"/>
      <c r="AU50" s="37"/>
      <c r="AV50" s="37"/>
      <c r="AW50" s="37"/>
      <c r="AX50" s="37"/>
      <c r="AY50" s="34">
        <f>if(BA50="",AR50,BA50/'Quick Setup'!$E14)</f>
        <v>280</v>
      </c>
      <c r="AZ50" s="35" t="s">
        <v>73</v>
      </c>
      <c r="BA50" s="36"/>
      <c r="BB50" s="37"/>
      <c r="BC50" s="37"/>
      <c r="BD50" s="37"/>
      <c r="BE50" s="37"/>
      <c r="BF50" s="34">
        <f>if(BH50="", if(BC51&lt;&gt;"", if(BC51&gt;Setup!BC13,AY50*(1+Setup!BD13),if(BC51&lt;Setup!BB13,AY50*(1+Setup!BE13),AY50)),AY50),BH50/'Quick Setup'!$E14)</f>
        <v>280</v>
      </c>
      <c r="BG50" s="35" t="s">
        <v>73</v>
      </c>
      <c r="BH50" s="36"/>
      <c r="BI50" s="37"/>
      <c r="BJ50" s="37"/>
      <c r="BK50" s="37"/>
      <c r="BL50" s="37"/>
      <c r="BM50" s="34">
        <f>if(BO50="", if(BJ51&lt;&gt;"", if(BJ51&gt;Setup!BJ13,BF50*(1+Setup!BK13),if(BJ51&lt;Setup!BI13,BF50*(1+Setup!BL13),BF50)),BF50),BO50/'Quick Setup'!$E14)</f>
        <v>280</v>
      </c>
      <c r="BN50" s="35" t="s">
        <v>73</v>
      </c>
      <c r="BO50" s="36"/>
      <c r="BP50" s="37"/>
      <c r="BQ50" s="37"/>
      <c r="BR50" s="37"/>
      <c r="BS50" s="37"/>
      <c r="BT50" s="34">
        <f>if(BV50="", if(BQ51&lt;&gt;"", if(BQ51&gt;Setup!BQ13,BM50*(1+Setup!BR13),if(BQ51&lt;Setup!BP13,BM50*(1+Setup!BS13),BM50)),BM50),BV50/'Quick Setup'!$E14)</f>
        <v>280</v>
      </c>
      <c r="BU50" s="35" t="s">
        <v>73</v>
      </c>
      <c r="BV50" s="36"/>
      <c r="BW50" s="37"/>
      <c r="BX50" s="37"/>
      <c r="BY50" s="37"/>
      <c r="BZ50" s="37"/>
      <c r="CA50" s="34">
        <f>if(CC50="", if(BX51&lt;&gt;"", if(BX51&gt;Setup!BX13,BT50*(1+Setup!BY13),if(BX51&lt;Setup!BW13,BT50*(1+Setup!BZ13),BT50)),BT50),CC50/'Quick Setup'!$E14)</f>
        <v>280</v>
      </c>
      <c r="CB50" s="35" t="s">
        <v>73</v>
      </c>
      <c r="CC50" s="36"/>
      <c r="CD50" s="37"/>
      <c r="CE50" s="37"/>
      <c r="CF50" s="37"/>
      <c r="CG50" s="37"/>
      <c r="CH50" s="34">
        <f>if(CJ50="", if(CE51&lt;&gt;"", if(CE51&gt;Setup!CE13,CA50*(1+Setup!CF13),if(CE51&lt;Setup!CD13,CA50*(1+Setup!CG13),CA50)),CA50),CJ50/'Quick Setup'!$E14)</f>
        <v>280</v>
      </c>
      <c r="CI50" s="35" t="s">
        <v>73</v>
      </c>
      <c r="CJ50" s="36"/>
      <c r="CK50" s="37"/>
      <c r="CL50" s="37"/>
      <c r="CM50" s="37"/>
      <c r="CN50" s="37"/>
      <c r="CO50" s="34">
        <f>if(CQ50="", if(CL51&lt;&gt;"", if(CL51&gt;Setup!CL13,CH50*(1+Setup!CM13),if(CL51&lt;Setup!CK13,CH50*(1+Setup!CN13),CH50)),CH50),CQ50/'Quick Setup'!$E14)</f>
        <v>280</v>
      </c>
      <c r="CP50" s="35" t="s">
        <v>73</v>
      </c>
      <c r="CQ50" s="36"/>
      <c r="CR50" s="37"/>
      <c r="CS50" s="37"/>
      <c r="CT50" s="37"/>
      <c r="CU50" s="37"/>
      <c r="CV50" s="34">
        <f>if(CX50="",CO50,CX50/'Quick Setup'!$E14)</f>
        <v>280</v>
      </c>
      <c r="CW50" s="35" t="s">
        <v>73</v>
      </c>
      <c r="CX50" s="36"/>
      <c r="CY50" s="37"/>
      <c r="CZ50" s="37"/>
      <c r="DA50" s="37"/>
      <c r="DB50" s="37"/>
      <c r="DC50" s="34">
        <f>if(DE50="", if(CZ51&lt;&gt;"", if(CZ51&gt;Setup!CZ13,CV50*(1+Setup!DA13),if(CZ51&lt;Setup!CY13,CV50*(1+Setup!DB13),CV50)),CV50),DE50/'Quick Setup'!$E14)</f>
        <v>280</v>
      </c>
      <c r="DD50" s="35" t="s">
        <v>73</v>
      </c>
      <c r="DE50" s="36"/>
      <c r="DF50" s="37"/>
      <c r="DG50" s="37"/>
      <c r="DH50" s="37"/>
      <c r="DI50" s="37"/>
      <c r="DJ50" s="34">
        <f>if(DL50="", if(DG51&lt;&gt;"", if(DG51&gt;Setup!DG13,DC50*(1+Setup!DH13),if(DG51&lt;Setup!DF13,DC50*(1+Setup!DI13),DC50)),DC50),DL50/'Quick Setup'!$E14)</f>
        <v>280</v>
      </c>
      <c r="DK50" s="35" t="s">
        <v>73</v>
      </c>
      <c r="DL50" s="36"/>
      <c r="DM50" s="37"/>
      <c r="DN50" s="37"/>
      <c r="DO50" s="37"/>
      <c r="DP50" s="37"/>
      <c r="DQ50" s="34">
        <f>if(DS50="", if(DN51&lt;&gt;"", if(DN51&gt;Setup!DN13,DJ50*(1+Setup!DO13),if(DN51&lt;Setup!DM13,DJ50*(1+Setup!DP13),DJ50)),DJ50),DS50/'Quick Setup'!$E14)</f>
        <v>280</v>
      </c>
      <c r="DR50" s="35" t="s">
        <v>73</v>
      </c>
      <c r="DS50" s="36"/>
      <c r="DT50" s="37"/>
      <c r="DU50" s="37"/>
      <c r="DV50" s="37"/>
      <c r="DW50" s="37"/>
      <c r="DX50" s="34">
        <f>if(DZ50="", if(DU51&lt;&gt;"", if(DU51&gt;Setup!DU13,DQ50*(1+Setup!DV13),if(DU51&lt;Setup!DT13,DQ50*(1+Setup!DW13),DQ50)),DQ50),DZ50/'Quick Setup'!$E14)</f>
        <v>280</v>
      </c>
      <c r="DY50" s="35" t="s">
        <v>73</v>
      </c>
      <c r="DZ50" s="36"/>
      <c r="EA50" s="37"/>
      <c r="EB50" s="37"/>
      <c r="EC50" s="37"/>
      <c r="ED50" s="37"/>
      <c r="EE50" s="34">
        <f>if(EG50="", if(EB51&lt;&gt;"", if(EB51&gt;Setup!EB13,DX50*(1+Setup!EC13),if(EB51&lt;Setup!EA13,DX50*(1+Setup!ED13),DX50)),DX50),EG50/'Quick Setup'!$E14)</f>
        <v>280</v>
      </c>
      <c r="EF50" s="35" t="s">
        <v>73</v>
      </c>
      <c r="EG50" s="36"/>
      <c r="EH50" s="37"/>
      <c r="EI50" s="37"/>
      <c r="EJ50" s="37"/>
      <c r="EK50" s="37"/>
      <c r="EL50" s="34">
        <f>if(EN50="", if(EI51&lt;&gt;"", if(EI51&gt;Setup!EI13,EE50*(1+Setup!EJ13),if(EI51&lt;Setup!EH13,EE50*(1+Setup!EK13),EE50)),EE50),EN50/'Quick Setup'!$E14)</f>
        <v>280</v>
      </c>
      <c r="EM50" s="35" t="s">
        <v>73</v>
      </c>
      <c r="EN50" s="36"/>
      <c r="EO50" s="37"/>
      <c r="EP50" s="37"/>
      <c r="EQ50" s="37"/>
      <c r="ER50" s="37"/>
    </row>
    <row r="51">
      <c r="A51" s="1" t="str">
        <f>Setup!A13</f>
        <v>Incline Press</v>
      </c>
      <c r="B51" s="38">
        <f>mround(B50*Setup!B13,'Quick Setup'!$A$2)</f>
        <v>167.5</v>
      </c>
      <c r="C51" s="2">
        <f>Setup!C13</f>
        <v>7</v>
      </c>
      <c r="D51" s="2">
        <f>Setup!D13</f>
        <v>4</v>
      </c>
      <c r="E51" s="2" t="str">
        <f>CONCATENATE(Setup!E13,"-",Setup!F13)</f>
        <v>4-6</v>
      </c>
      <c r="F51" s="10"/>
      <c r="G51" s="10"/>
      <c r="H51" s="10"/>
      <c r="I51" s="38">
        <f>mround(I50*Setup!I13,'Quick Setup'!$A$2)</f>
        <v>182.5</v>
      </c>
      <c r="J51" s="2">
        <f>Setup!J13</f>
        <v>6</v>
      </c>
      <c r="K51" s="2">
        <f>Setup!K13</f>
        <v>4</v>
      </c>
      <c r="L51" s="2" t="str">
        <f>CONCATENATE(Setup!L13,"-",Setup!M13)</f>
        <v>4-6</v>
      </c>
      <c r="M51" s="10"/>
      <c r="N51" s="10"/>
      <c r="O51" s="10"/>
      <c r="P51" s="38">
        <f>mround(P50*Setup!P13,'Quick Setup'!$A$2)</f>
        <v>195</v>
      </c>
      <c r="Q51" s="2">
        <f>Setup!Q13</f>
        <v>5</v>
      </c>
      <c r="R51" s="2">
        <f>Setup!R13</f>
        <v>3</v>
      </c>
      <c r="S51" s="2" t="str">
        <f>CONCATENATE(Setup!S13,"-",Setup!T13)</f>
        <v>4-6</v>
      </c>
      <c r="T51" s="10"/>
      <c r="U51" s="10"/>
      <c r="V51" s="10"/>
      <c r="W51" s="38">
        <f>mround(W50*Setup!W13,'Quick Setup'!$A$2)</f>
        <v>175</v>
      </c>
      <c r="X51" s="2">
        <f>Setup!X13</f>
        <v>7</v>
      </c>
      <c r="Y51" s="2">
        <f>Setup!Y13</f>
        <v>4</v>
      </c>
      <c r="Z51" s="2" t="str">
        <f>CONCATENATE(Setup!Z13,"-",Setup!AA13)</f>
        <v>4-6</v>
      </c>
      <c r="AA51" s="10"/>
      <c r="AB51" s="10"/>
      <c r="AC51" s="10"/>
      <c r="AD51" s="38">
        <f>mround(AD50*Setup!AD13,'Quick Setup'!$A$2)</f>
        <v>190</v>
      </c>
      <c r="AE51" s="2">
        <f>Setup!AE13</f>
        <v>6</v>
      </c>
      <c r="AF51" s="2">
        <f>Setup!AF13</f>
        <v>4</v>
      </c>
      <c r="AG51" s="2" t="str">
        <f>CONCATENATE(Setup!AG13,"-",Setup!AH13)</f>
        <v>4-6</v>
      </c>
      <c r="AH51" s="10"/>
      <c r="AI51" s="10"/>
      <c r="AJ51" s="10"/>
      <c r="AK51" s="38">
        <f>mround(AK50*Setup!AK13,'Quick Setup'!$A$2)</f>
        <v>202.5</v>
      </c>
      <c r="AL51" s="2">
        <f>Setup!AL13</f>
        <v>5</v>
      </c>
      <c r="AM51" s="2">
        <f>Setup!AM13</f>
        <v>3</v>
      </c>
      <c r="AN51" s="2" t="str">
        <f>CONCATENATE(Setup!AN13,"-",Setup!AO13)</f>
        <v>4-6</v>
      </c>
      <c r="AO51" s="10"/>
      <c r="AP51" s="10"/>
      <c r="AQ51" s="10"/>
      <c r="AR51" s="38">
        <f>mround(AR50*Setup!AR13,'Quick Setup'!$A$2)</f>
        <v>140</v>
      </c>
      <c r="AS51" s="1">
        <v>5.0</v>
      </c>
      <c r="AT51" s="1" t="s">
        <v>76</v>
      </c>
      <c r="AU51" s="2" t="str">
        <f>CONCATENATE(Setup!AU13,"-",Setup!AV13)</f>
        <v>4-6</v>
      </c>
      <c r="AV51" s="10"/>
      <c r="AW51" s="10"/>
      <c r="AX51" s="10"/>
      <c r="AY51" s="38">
        <f>mround(AY50*Setup!AY13,'Quick Setup'!$A$2)</f>
        <v>182.5</v>
      </c>
      <c r="AZ51" s="2">
        <f>Setup!AZ13</f>
        <v>6</v>
      </c>
      <c r="BA51" s="2">
        <f>Setup!BA13</f>
        <v>4</v>
      </c>
      <c r="BB51" s="2" t="str">
        <f>CONCATENATE(Setup!BB13,"-",Setup!BC13)</f>
        <v>4-6</v>
      </c>
      <c r="BC51" s="10"/>
      <c r="BD51" s="10"/>
      <c r="BE51" s="10"/>
      <c r="BF51" s="38">
        <f>mround(BF50*Setup!BF13,'Quick Setup'!$A$2)</f>
        <v>195</v>
      </c>
      <c r="BG51" s="2">
        <f>Setup!BG13</f>
        <v>5</v>
      </c>
      <c r="BH51" s="2">
        <f>Setup!BH13</f>
        <v>3</v>
      </c>
      <c r="BI51" s="2" t="str">
        <f>CONCATENATE(Setup!BI13,"-",Setup!BJ13)</f>
        <v>4-6</v>
      </c>
      <c r="BJ51" s="10"/>
      <c r="BK51" s="10"/>
      <c r="BL51" s="10"/>
      <c r="BM51" s="38">
        <f>mround(BM50*Setup!BM13,'Quick Setup'!$A$2)</f>
        <v>210</v>
      </c>
      <c r="BN51" s="2">
        <f>Setup!BN13</f>
        <v>4</v>
      </c>
      <c r="BO51" s="2">
        <f>Setup!BO13</f>
        <v>3</v>
      </c>
      <c r="BP51" s="2" t="str">
        <f>CONCATENATE(Setup!BP13,"-",Setup!BQ13)</f>
        <v>4-6</v>
      </c>
      <c r="BQ51" s="10"/>
      <c r="BR51" s="10"/>
      <c r="BS51" s="10"/>
      <c r="BT51" s="38">
        <f>mround(BT50*Setup!BT13,'Quick Setup'!$A$2)</f>
        <v>190</v>
      </c>
      <c r="BU51" s="2">
        <f>Setup!BU13</f>
        <v>6</v>
      </c>
      <c r="BV51" s="2">
        <f>Setup!BV13</f>
        <v>4</v>
      </c>
      <c r="BW51" s="2" t="str">
        <f>CONCATENATE(Setup!BW13,"-",Setup!BX13)</f>
        <v>4-6</v>
      </c>
      <c r="BX51" s="10"/>
      <c r="BY51" s="10"/>
      <c r="BZ51" s="10"/>
      <c r="CA51" s="38">
        <f>mround(CA50*Setup!CA13,'Quick Setup'!$A$2)</f>
        <v>202.5</v>
      </c>
      <c r="CB51" s="2">
        <f>Setup!CB13</f>
        <v>5</v>
      </c>
      <c r="CC51" s="2">
        <f>Setup!CC13</f>
        <v>3</v>
      </c>
      <c r="CD51" s="2" t="str">
        <f>CONCATENATE(Setup!CD13,"-",Setup!CE13)</f>
        <v>4-6</v>
      </c>
      <c r="CE51" s="10"/>
      <c r="CF51" s="10"/>
      <c r="CG51" s="10"/>
      <c r="CH51" s="38">
        <f>mround(CH50*Setup!CH13,'Quick Setup'!$A$2)</f>
        <v>217.5</v>
      </c>
      <c r="CI51" s="2">
        <f>Setup!CI13</f>
        <v>4</v>
      </c>
      <c r="CJ51" s="2">
        <f>Setup!CJ13</f>
        <v>3</v>
      </c>
      <c r="CK51" s="2" t="str">
        <f>CONCATENATE(Setup!CK13,"-",Setup!CL13)</f>
        <v>4-6</v>
      </c>
      <c r="CL51" s="10"/>
      <c r="CM51" s="10"/>
      <c r="CN51" s="10"/>
      <c r="CO51" s="38">
        <f>mround(CO50*Setup!CO13,'Quick Setup'!$A$2)</f>
        <v>140</v>
      </c>
      <c r="CP51" s="1">
        <v>5.0</v>
      </c>
      <c r="CQ51" s="1" t="s">
        <v>76</v>
      </c>
      <c r="CR51" s="2" t="str">
        <f>CONCATENATE(Setup!CR13,"-",Setup!CS13)</f>
        <v>4-6</v>
      </c>
      <c r="CS51" s="10"/>
      <c r="CT51" s="10"/>
      <c r="CU51" s="10"/>
      <c r="CV51" s="38">
        <f>mround(CV50*Setup!CV13,'Quick Setup'!$A$2)</f>
        <v>195</v>
      </c>
      <c r="CW51" s="2">
        <f>Setup!CW13</f>
        <v>5</v>
      </c>
      <c r="CX51" s="2">
        <f>Setup!CX13</f>
        <v>3</v>
      </c>
      <c r="CY51" s="2" t="str">
        <f>CONCATENATE(Setup!CY13,"-",Setup!CZ13)</f>
        <v>4-6</v>
      </c>
      <c r="CZ51" s="10"/>
      <c r="DA51" s="10"/>
      <c r="DB51" s="10"/>
      <c r="DC51" s="38">
        <f>mround(DC50*Setup!DC13,'Quick Setup'!$A$2)</f>
        <v>210</v>
      </c>
      <c r="DD51" s="2">
        <f>Setup!DD13</f>
        <v>4</v>
      </c>
      <c r="DE51" s="2">
        <f>Setup!DE13</f>
        <v>3</v>
      </c>
      <c r="DF51" s="2" t="str">
        <f>CONCATENATE(Setup!DF13,"-",Setup!DG13)</f>
        <v>4-6</v>
      </c>
      <c r="DG51" s="10"/>
      <c r="DH51" s="10"/>
      <c r="DI51" s="10"/>
      <c r="DJ51" s="38">
        <f>mround(DJ50*Setup!DJ13,'Quick Setup'!$A$2)</f>
        <v>225</v>
      </c>
      <c r="DK51" s="2">
        <f>Setup!DK13</f>
        <v>3</v>
      </c>
      <c r="DL51" s="2">
        <f>Setup!DL13</f>
        <v>2</v>
      </c>
      <c r="DM51" s="2" t="str">
        <f>CONCATENATE(Setup!DM13,"-",Setup!DN13)</f>
        <v>4-6</v>
      </c>
      <c r="DN51" s="10"/>
      <c r="DO51" s="10"/>
      <c r="DP51" s="10"/>
      <c r="DQ51" s="38">
        <f>mround(DQ50*Setup!DQ13,'Quick Setup'!$A$2)</f>
        <v>210</v>
      </c>
      <c r="DR51" s="2">
        <f>Setup!DR13</f>
        <v>4</v>
      </c>
      <c r="DS51" s="2">
        <f>Setup!DS13</f>
        <v>3</v>
      </c>
      <c r="DT51" s="2" t="str">
        <f>CONCATENATE(Setup!DT13,"-",Setup!DU13)</f>
        <v>4-6</v>
      </c>
      <c r="DU51" s="10"/>
      <c r="DV51" s="10"/>
      <c r="DW51" s="10"/>
      <c r="DX51" s="38">
        <f>mround(DX50*Setup!DX13,'Quick Setup'!$A$2)</f>
        <v>225</v>
      </c>
      <c r="DY51" s="2">
        <f>Setup!DY13</f>
        <v>3</v>
      </c>
      <c r="DZ51" s="2">
        <f>Setup!DZ13</f>
        <v>2</v>
      </c>
      <c r="EA51" s="2" t="str">
        <f>CONCATENATE(Setup!EA13,"-",Setup!EB13)</f>
        <v>4-6</v>
      </c>
      <c r="EB51" s="10"/>
      <c r="EC51" s="10"/>
      <c r="ED51" s="10"/>
      <c r="EE51" s="38">
        <f>mround(EE50*Setup!EE13,'Quick Setup'!$A$2)</f>
        <v>237.5</v>
      </c>
      <c r="EF51" s="2">
        <f>Setup!EF13</f>
        <v>2</v>
      </c>
      <c r="EG51" s="2">
        <f>Setup!EG13</f>
        <v>2</v>
      </c>
      <c r="EH51" s="2" t="str">
        <f>CONCATENATE(Setup!EH13,"-",Setup!EI13)</f>
        <v>4-6</v>
      </c>
      <c r="EI51" s="10"/>
      <c r="EJ51" s="10"/>
      <c r="EK51" s="10"/>
      <c r="EL51" s="38">
        <f>mround(EL50*Setup!EL13,'Quick Setup'!$A$2)</f>
        <v>140</v>
      </c>
      <c r="EM51" s="1">
        <v>5.0</v>
      </c>
      <c r="EN51" s="1" t="s">
        <v>76</v>
      </c>
      <c r="EO51" s="2" t="str">
        <f>CONCATENATE(Setup!EO13,"-",Setup!EP13)</f>
        <v>4-6</v>
      </c>
      <c r="EP51" s="10"/>
      <c r="EQ51" s="10"/>
      <c r="ER51" s="10"/>
    </row>
    <row r="52">
      <c r="A52" s="5"/>
      <c r="B52" s="39"/>
      <c r="C52" s="10"/>
      <c r="D52" s="10"/>
      <c r="E52" s="10"/>
      <c r="F52" s="10"/>
      <c r="G52" s="10"/>
      <c r="H52" s="10"/>
      <c r="I52" s="39" t="str">
        <f t="shared" ref="I52:M52" si="321">B52</f>
        <v/>
      </c>
      <c r="J52" s="10" t="str">
        <f t="shared" si="321"/>
        <v/>
      </c>
      <c r="K52" s="10" t="str">
        <f t="shared" si="321"/>
        <v/>
      </c>
      <c r="L52" s="10" t="str">
        <f t="shared" si="321"/>
        <v/>
      </c>
      <c r="M52" s="10" t="str">
        <f t="shared" si="321"/>
        <v/>
      </c>
      <c r="N52" s="10"/>
      <c r="O52" s="10"/>
      <c r="P52" s="39" t="str">
        <f t="shared" ref="P52:T52" si="322">I52</f>
        <v/>
      </c>
      <c r="Q52" s="10" t="str">
        <f t="shared" si="322"/>
        <v/>
      </c>
      <c r="R52" s="10" t="str">
        <f t="shared" si="322"/>
        <v/>
      </c>
      <c r="S52" s="10" t="str">
        <f t="shared" si="322"/>
        <v/>
      </c>
      <c r="T52" s="10" t="str">
        <f t="shared" si="322"/>
        <v/>
      </c>
      <c r="U52" s="10"/>
      <c r="V52" s="10"/>
      <c r="W52" s="39" t="str">
        <f t="shared" ref="W52:AA52" si="323">P52</f>
        <v/>
      </c>
      <c r="X52" s="10" t="str">
        <f t="shared" si="323"/>
        <v/>
      </c>
      <c r="Y52" s="10" t="str">
        <f t="shared" si="323"/>
        <v/>
      </c>
      <c r="Z52" s="10" t="str">
        <f t="shared" si="323"/>
        <v/>
      </c>
      <c r="AA52" s="10" t="str">
        <f t="shared" si="323"/>
        <v/>
      </c>
      <c r="AB52" s="10"/>
      <c r="AC52" s="10"/>
      <c r="AD52" s="39" t="str">
        <f t="shared" ref="AD52:AH52" si="324">W52</f>
        <v/>
      </c>
      <c r="AE52" s="10" t="str">
        <f t="shared" si="324"/>
        <v/>
      </c>
      <c r="AF52" s="10" t="str">
        <f t="shared" si="324"/>
        <v/>
      </c>
      <c r="AG52" s="10" t="str">
        <f t="shared" si="324"/>
        <v/>
      </c>
      <c r="AH52" s="10" t="str">
        <f t="shared" si="324"/>
        <v/>
      </c>
      <c r="AI52" s="10"/>
      <c r="AJ52" s="10"/>
      <c r="AK52" s="39" t="str">
        <f t="shared" ref="AK52:AO52" si="325">AD52</f>
        <v/>
      </c>
      <c r="AL52" s="10" t="str">
        <f t="shared" si="325"/>
        <v/>
      </c>
      <c r="AM52" s="10" t="str">
        <f t="shared" si="325"/>
        <v/>
      </c>
      <c r="AN52" s="10" t="str">
        <f t="shared" si="325"/>
        <v/>
      </c>
      <c r="AO52" s="10" t="str">
        <f t="shared" si="325"/>
        <v/>
      </c>
      <c r="AP52" s="10"/>
      <c r="AQ52" s="10"/>
      <c r="AR52" s="39" t="str">
        <f t="shared" ref="AR52:AV52" si="326">AK52</f>
        <v/>
      </c>
      <c r="AS52" s="10" t="str">
        <f t="shared" si="326"/>
        <v/>
      </c>
      <c r="AT52" s="10" t="str">
        <f t="shared" si="326"/>
        <v/>
      </c>
      <c r="AU52" s="10" t="str">
        <f t="shared" si="326"/>
        <v/>
      </c>
      <c r="AV52" s="10" t="str">
        <f t="shared" si="326"/>
        <v/>
      </c>
      <c r="AW52" s="10"/>
      <c r="AX52" s="10"/>
      <c r="AY52" s="39" t="str">
        <f t="shared" ref="AY52:BC52" si="327">AR52</f>
        <v/>
      </c>
      <c r="AZ52" s="10" t="str">
        <f t="shared" si="327"/>
        <v/>
      </c>
      <c r="BA52" s="10" t="str">
        <f t="shared" si="327"/>
        <v/>
      </c>
      <c r="BB52" s="10" t="str">
        <f t="shared" si="327"/>
        <v/>
      </c>
      <c r="BC52" s="10" t="str">
        <f t="shared" si="327"/>
        <v/>
      </c>
      <c r="BD52" s="10"/>
      <c r="BE52" s="10"/>
      <c r="BF52" s="39" t="str">
        <f t="shared" ref="BF52:BJ52" si="328">AY52</f>
        <v/>
      </c>
      <c r="BG52" s="10" t="str">
        <f t="shared" si="328"/>
        <v/>
      </c>
      <c r="BH52" s="10" t="str">
        <f t="shared" si="328"/>
        <v/>
      </c>
      <c r="BI52" s="10" t="str">
        <f t="shared" si="328"/>
        <v/>
      </c>
      <c r="BJ52" s="10" t="str">
        <f t="shared" si="328"/>
        <v/>
      </c>
      <c r="BK52" s="10"/>
      <c r="BL52" s="10"/>
      <c r="BM52" s="39" t="str">
        <f t="shared" ref="BM52:BQ52" si="329">BF52</f>
        <v/>
      </c>
      <c r="BN52" s="10" t="str">
        <f t="shared" si="329"/>
        <v/>
      </c>
      <c r="BO52" s="10" t="str">
        <f t="shared" si="329"/>
        <v/>
      </c>
      <c r="BP52" s="10" t="str">
        <f t="shared" si="329"/>
        <v/>
      </c>
      <c r="BQ52" s="10" t="str">
        <f t="shared" si="329"/>
        <v/>
      </c>
      <c r="BR52" s="10"/>
      <c r="BS52" s="10"/>
      <c r="BT52" s="39" t="str">
        <f t="shared" ref="BT52:BX52" si="330">BM52</f>
        <v/>
      </c>
      <c r="BU52" s="10" t="str">
        <f t="shared" si="330"/>
        <v/>
      </c>
      <c r="BV52" s="10" t="str">
        <f t="shared" si="330"/>
        <v/>
      </c>
      <c r="BW52" s="10" t="str">
        <f t="shared" si="330"/>
        <v/>
      </c>
      <c r="BX52" s="10" t="str">
        <f t="shared" si="330"/>
        <v/>
      </c>
      <c r="BY52" s="10"/>
      <c r="BZ52" s="10"/>
      <c r="CA52" s="39" t="str">
        <f t="shared" ref="CA52:CE52" si="331">BT52</f>
        <v/>
      </c>
      <c r="CB52" s="10" t="str">
        <f t="shared" si="331"/>
        <v/>
      </c>
      <c r="CC52" s="10" t="str">
        <f t="shared" si="331"/>
        <v/>
      </c>
      <c r="CD52" s="10" t="str">
        <f t="shared" si="331"/>
        <v/>
      </c>
      <c r="CE52" s="10" t="str">
        <f t="shared" si="331"/>
        <v/>
      </c>
      <c r="CF52" s="10"/>
      <c r="CG52" s="10"/>
      <c r="CH52" s="39" t="str">
        <f t="shared" ref="CH52:CL52" si="332">CA52</f>
        <v/>
      </c>
      <c r="CI52" s="10" t="str">
        <f t="shared" si="332"/>
        <v/>
      </c>
      <c r="CJ52" s="10" t="str">
        <f t="shared" si="332"/>
        <v/>
      </c>
      <c r="CK52" s="10" t="str">
        <f t="shared" si="332"/>
        <v/>
      </c>
      <c r="CL52" s="10" t="str">
        <f t="shared" si="332"/>
        <v/>
      </c>
      <c r="CM52" s="10"/>
      <c r="CN52" s="10"/>
      <c r="CO52" s="39" t="str">
        <f t="shared" ref="CO52:CS52" si="333">CH52</f>
        <v/>
      </c>
      <c r="CP52" s="10" t="str">
        <f t="shared" si="333"/>
        <v/>
      </c>
      <c r="CQ52" s="10" t="str">
        <f t="shared" si="333"/>
        <v/>
      </c>
      <c r="CR52" s="10" t="str">
        <f t="shared" si="333"/>
        <v/>
      </c>
      <c r="CS52" s="10" t="str">
        <f t="shared" si="333"/>
        <v/>
      </c>
      <c r="CT52" s="10"/>
      <c r="CU52" s="10"/>
      <c r="CV52" s="39" t="str">
        <f t="shared" ref="CV52:CZ52" si="334">CO52</f>
        <v/>
      </c>
      <c r="CW52" s="10" t="str">
        <f t="shared" si="334"/>
        <v/>
      </c>
      <c r="CX52" s="10" t="str">
        <f t="shared" si="334"/>
        <v/>
      </c>
      <c r="CY52" s="10" t="str">
        <f t="shared" si="334"/>
        <v/>
      </c>
      <c r="CZ52" s="10" t="str">
        <f t="shared" si="334"/>
        <v/>
      </c>
      <c r="DA52" s="10"/>
      <c r="DB52" s="10"/>
      <c r="DC52" s="39" t="str">
        <f t="shared" ref="DC52:DG52" si="335">CV52</f>
        <v/>
      </c>
      <c r="DD52" s="10" t="str">
        <f t="shared" si="335"/>
        <v/>
      </c>
      <c r="DE52" s="10" t="str">
        <f t="shared" si="335"/>
        <v/>
      </c>
      <c r="DF52" s="10" t="str">
        <f t="shared" si="335"/>
        <v/>
      </c>
      <c r="DG52" s="10" t="str">
        <f t="shared" si="335"/>
        <v/>
      </c>
      <c r="DH52" s="10"/>
      <c r="DI52" s="10"/>
      <c r="DJ52" s="39" t="str">
        <f t="shared" ref="DJ52:DN52" si="336">DC52</f>
        <v/>
      </c>
      <c r="DK52" s="10" t="str">
        <f t="shared" si="336"/>
        <v/>
      </c>
      <c r="DL52" s="10" t="str">
        <f t="shared" si="336"/>
        <v/>
      </c>
      <c r="DM52" s="10" t="str">
        <f t="shared" si="336"/>
        <v/>
      </c>
      <c r="DN52" s="10" t="str">
        <f t="shared" si="336"/>
        <v/>
      </c>
      <c r="DO52" s="10"/>
      <c r="DP52" s="10"/>
      <c r="DQ52" s="39" t="str">
        <f t="shared" ref="DQ52:DU52" si="337">DJ52</f>
        <v/>
      </c>
      <c r="DR52" s="10" t="str">
        <f t="shared" si="337"/>
        <v/>
      </c>
      <c r="DS52" s="10" t="str">
        <f t="shared" si="337"/>
        <v/>
      </c>
      <c r="DT52" s="10" t="str">
        <f t="shared" si="337"/>
        <v/>
      </c>
      <c r="DU52" s="10" t="str">
        <f t="shared" si="337"/>
        <v/>
      </c>
      <c r="DV52" s="10"/>
      <c r="DW52" s="10"/>
      <c r="DX52" s="39" t="str">
        <f t="shared" ref="DX52:EB52" si="338">DQ52</f>
        <v/>
      </c>
      <c r="DY52" s="10" t="str">
        <f t="shared" si="338"/>
        <v/>
      </c>
      <c r="DZ52" s="10" t="str">
        <f t="shared" si="338"/>
        <v/>
      </c>
      <c r="EA52" s="10" t="str">
        <f t="shared" si="338"/>
        <v/>
      </c>
      <c r="EB52" s="10" t="str">
        <f t="shared" si="338"/>
        <v/>
      </c>
      <c r="EC52" s="10"/>
      <c r="ED52" s="10"/>
      <c r="EE52" s="39" t="str">
        <f t="shared" ref="EE52:EI52" si="339">DX52</f>
        <v/>
      </c>
      <c r="EF52" s="10" t="str">
        <f t="shared" si="339"/>
        <v/>
      </c>
      <c r="EG52" s="10" t="str">
        <f t="shared" si="339"/>
        <v/>
      </c>
      <c r="EH52" s="10" t="str">
        <f t="shared" si="339"/>
        <v/>
      </c>
      <c r="EI52" s="10" t="str">
        <f t="shared" si="339"/>
        <v/>
      </c>
      <c r="EJ52" s="10"/>
      <c r="EK52" s="10"/>
      <c r="EL52" s="39" t="str">
        <f t="shared" ref="EL52:EP52" si="340">EE52</f>
        <v/>
      </c>
      <c r="EM52" s="10" t="str">
        <f t="shared" si="340"/>
        <v/>
      </c>
      <c r="EN52" s="10" t="str">
        <f t="shared" si="340"/>
        <v/>
      </c>
      <c r="EO52" s="10" t="str">
        <f t="shared" si="340"/>
        <v/>
      </c>
      <c r="EP52" s="10" t="str">
        <f t="shared" si="340"/>
        <v/>
      </c>
      <c r="EQ52" s="10"/>
      <c r="ER52" s="10"/>
    </row>
    <row r="53">
      <c r="A53" s="1" t="s">
        <v>77</v>
      </c>
      <c r="B53" s="38"/>
      <c r="C53" s="2"/>
      <c r="D53" s="2"/>
      <c r="E53" s="2"/>
      <c r="F53" s="2"/>
      <c r="G53" s="2"/>
      <c r="H53" s="2"/>
      <c r="I53" s="38"/>
      <c r="J53" s="2"/>
      <c r="K53" s="2"/>
      <c r="L53" s="2"/>
      <c r="M53" s="2"/>
      <c r="N53" s="2"/>
      <c r="O53" s="2"/>
      <c r="P53" s="38"/>
      <c r="Q53" s="2"/>
      <c r="R53" s="2"/>
      <c r="S53" s="2"/>
      <c r="T53" s="2"/>
      <c r="U53" s="2"/>
      <c r="V53" s="2"/>
      <c r="W53" s="38"/>
      <c r="X53" s="2"/>
      <c r="Y53" s="2"/>
      <c r="Z53" s="2"/>
      <c r="AA53" s="2"/>
      <c r="AB53" s="2"/>
      <c r="AC53" s="2"/>
      <c r="AD53" s="38"/>
      <c r="AE53" s="2"/>
      <c r="AF53" s="2"/>
      <c r="AG53" s="2"/>
      <c r="AH53" s="2"/>
      <c r="AI53" s="2"/>
      <c r="AJ53" s="2"/>
      <c r="AK53" s="38"/>
      <c r="AL53" s="2"/>
      <c r="AM53" s="2"/>
      <c r="AN53" s="2"/>
      <c r="AO53" s="2"/>
      <c r="AP53" s="2"/>
      <c r="AQ53" s="2"/>
      <c r="AR53" s="38"/>
      <c r="AS53" s="2"/>
      <c r="AT53" s="2"/>
      <c r="AU53" s="2"/>
      <c r="AV53" s="2"/>
      <c r="AW53" s="2"/>
      <c r="AX53" s="2"/>
      <c r="AY53" s="38"/>
      <c r="AZ53" s="2"/>
      <c r="BA53" s="2"/>
      <c r="BB53" s="2"/>
      <c r="BC53" s="2"/>
      <c r="BD53" s="2"/>
      <c r="BE53" s="2"/>
      <c r="BF53" s="38"/>
      <c r="BG53" s="2"/>
      <c r="BH53" s="2"/>
      <c r="BI53" s="2"/>
      <c r="BJ53" s="2"/>
      <c r="BK53" s="2"/>
      <c r="BL53" s="2"/>
      <c r="BM53" s="38"/>
      <c r="BN53" s="2"/>
      <c r="BO53" s="2"/>
      <c r="BP53" s="2"/>
      <c r="BQ53" s="2"/>
      <c r="BR53" s="2"/>
      <c r="BS53" s="2"/>
      <c r="BT53" s="38"/>
      <c r="BU53" s="2"/>
      <c r="BV53" s="2"/>
      <c r="BW53" s="2"/>
      <c r="BX53" s="2"/>
      <c r="BY53" s="2"/>
      <c r="BZ53" s="2"/>
      <c r="CA53" s="38"/>
      <c r="CB53" s="2"/>
      <c r="CC53" s="2"/>
      <c r="CD53" s="2"/>
      <c r="CE53" s="2"/>
      <c r="CF53" s="2"/>
      <c r="CG53" s="2"/>
      <c r="CH53" s="38"/>
      <c r="CI53" s="2"/>
      <c r="CJ53" s="2"/>
      <c r="CK53" s="2"/>
      <c r="CL53" s="2"/>
      <c r="CM53" s="2"/>
      <c r="CN53" s="2"/>
      <c r="CO53" s="38"/>
      <c r="CP53" s="2"/>
      <c r="CQ53" s="2"/>
      <c r="CR53" s="2"/>
      <c r="CS53" s="2"/>
      <c r="CT53" s="2"/>
      <c r="CU53" s="2"/>
      <c r="CV53" s="38"/>
      <c r="CW53" s="2"/>
      <c r="CX53" s="2"/>
      <c r="CY53" s="2"/>
      <c r="CZ53" s="2"/>
      <c r="DA53" s="2"/>
      <c r="DB53" s="2"/>
      <c r="DC53" s="38"/>
      <c r="DD53" s="2"/>
      <c r="DE53" s="2"/>
      <c r="DF53" s="2"/>
      <c r="DG53" s="2"/>
      <c r="DH53" s="2"/>
      <c r="DI53" s="2"/>
      <c r="DJ53" s="38"/>
      <c r="DK53" s="2"/>
      <c r="DL53" s="2"/>
      <c r="DM53" s="2"/>
      <c r="DN53" s="2"/>
      <c r="DO53" s="2"/>
      <c r="DP53" s="2"/>
      <c r="DQ53" s="38"/>
      <c r="DR53" s="2"/>
      <c r="DS53" s="2"/>
      <c r="DT53" s="2"/>
      <c r="DU53" s="2"/>
      <c r="DV53" s="2"/>
      <c r="DW53" s="2"/>
      <c r="DX53" s="38"/>
      <c r="DY53" s="2"/>
      <c r="DZ53" s="2"/>
      <c r="EA53" s="2"/>
      <c r="EB53" s="2"/>
      <c r="EC53" s="2"/>
      <c r="ED53" s="2"/>
      <c r="EE53" s="38"/>
      <c r="EF53" s="2"/>
      <c r="EG53" s="2"/>
      <c r="EH53" s="2"/>
      <c r="EI53" s="2"/>
      <c r="EJ53" s="2"/>
      <c r="EK53" s="2"/>
      <c r="EL53" s="38"/>
      <c r="EM53" s="2"/>
      <c r="EN53" s="2"/>
      <c r="EO53" s="2"/>
      <c r="EP53" s="2"/>
      <c r="EQ53" s="2"/>
      <c r="ER53" s="2"/>
    </row>
    <row r="54">
      <c r="A54" s="40"/>
      <c r="B54" s="39"/>
      <c r="C54" s="10"/>
      <c r="D54" s="10"/>
      <c r="E54" s="10"/>
      <c r="F54" s="10"/>
      <c r="G54" s="10"/>
      <c r="H54" s="10"/>
      <c r="I54" s="39" t="str">
        <f t="shared" ref="I54:M54" si="341">B54</f>
        <v/>
      </c>
      <c r="J54" s="10" t="str">
        <f t="shared" si="341"/>
        <v/>
      </c>
      <c r="K54" s="10" t="str">
        <f t="shared" si="341"/>
        <v/>
      </c>
      <c r="L54" s="10" t="str">
        <f t="shared" si="341"/>
        <v/>
      </c>
      <c r="M54" s="10" t="str">
        <f t="shared" si="341"/>
        <v/>
      </c>
      <c r="N54" s="10"/>
      <c r="O54" s="10"/>
      <c r="P54" s="39" t="str">
        <f t="shared" ref="P54:T54" si="342">I54</f>
        <v/>
      </c>
      <c r="Q54" s="10" t="str">
        <f t="shared" si="342"/>
        <v/>
      </c>
      <c r="R54" s="10" t="str">
        <f t="shared" si="342"/>
        <v/>
      </c>
      <c r="S54" s="10" t="str">
        <f t="shared" si="342"/>
        <v/>
      </c>
      <c r="T54" s="10" t="str">
        <f t="shared" si="342"/>
        <v/>
      </c>
      <c r="U54" s="10"/>
      <c r="V54" s="10"/>
      <c r="W54" s="39" t="str">
        <f t="shared" ref="W54:AA54" si="343">P54</f>
        <v/>
      </c>
      <c r="X54" s="10" t="str">
        <f t="shared" si="343"/>
        <v/>
      </c>
      <c r="Y54" s="10" t="str">
        <f t="shared" si="343"/>
        <v/>
      </c>
      <c r="Z54" s="10" t="str">
        <f t="shared" si="343"/>
        <v/>
      </c>
      <c r="AA54" s="10" t="str">
        <f t="shared" si="343"/>
        <v/>
      </c>
      <c r="AB54" s="10"/>
      <c r="AC54" s="10"/>
      <c r="AD54" s="39" t="str">
        <f t="shared" ref="AD54:AH54" si="344">W54</f>
        <v/>
      </c>
      <c r="AE54" s="10" t="str">
        <f t="shared" si="344"/>
        <v/>
      </c>
      <c r="AF54" s="10" t="str">
        <f t="shared" si="344"/>
        <v/>
      </c>
      <c r="AG54" s="10" t="str">
        <f t="shared" si="344"/>
        <v/>
      </c>
      <c r="AH54" s="10" t="str">
        <f t="shared" si="344"/>
        <v/>
      </c>
      <c r="AI54" s="10"/>
      <c r="AJ54" s="10"/>
      <c r="AK54" s="39" t="str">
        <f t="shared" ref="AK54:AO54" si="345">AD54</f>
        <v/>
      </c>
      <c r="AL54" s="10" t="str">
        <f t="shared" si="345"/>
        <v/>
      </c>
      <c r="AM54" s="10" t="str">
        <f t="shared" si="345"/>
        <v/>
      </c>
      <c r="AN54" s="10" t="str">
        <f t="shared" si="345"/>
        <v/>
      </c>
      <c r="AO54" s="10" t="str">
        <f t="shared" si="345"/>
        <v/>
      </c>
      <c r="AP54" s="10"/>
      <c r="AQ54" s="10"/>
      <c r="AR54" s="39" t="str">
        <f t="shared" ref="AR54:AV54" si="346">AK54</f>
        <v/>
      </c>
      <c r="AS54" s="10" t="str">
        <f t="shared" si="346"/>
        <v/>
      </c>
      <c r="AT54" s="10" t="str">
        <f t="shared" si="346"/>
        <v/>
      </c>
      <c r="AU54" s="10" t="str">
        <f t="shared" si="346"/>
        <v/>
      </c>
      <c r="AV54" s="10" t="str">
        <f t="shared" si="346"/>
        <v/>
      </c>
      <c r="AW54" s="10"/>
      <c r="AX54" s="10"/>
      <c r="AY54" s="39" t="str">
        <f t="shared" ref="AY54:BC54" si="347">AR54</f>
        <v/>
      </c>
      <c r="AZ54" s="10" t="str">
        <f t="shared" si="347"/>
        <v/>
      </c>
      <c r="BA54" s="10" t="str">
        <f t="shared" si="347"/>
        <v/>
      </c>
      <c r="BB54" s="10" t="str">
        <f t="shared" si="347"/>
        <v/>
      </c>
      <c r="BC54" s="10" t="str">
        <f t="shared" si="347"/>
        <v/>
      </c>
      <c r="BD54" s="10"/>
      <c r="BE54" s="10"/>
      <c r="BF54" s="39" t="str">
        <f t="shared" ref="BF54:BJ54" si="348">AY54</f>
        <v/>
      </c>
      <c r="BG54" s="10" t="str">
        <f t="shared" si="348"/>
        <v/>
      </c>
      <c r="BH54" s="10" t="str">
        <f t="shared" si="348"/>
        <v/>
      </c>
      <c r="BI54" s="10" t="str">
        <f t="shared" si="348"/>
        <v/>
      </c>
      <c r="BJ54" s="10" t="str">
        <f t="shared" si="348"/>
        <v/>
      </c>
      <c r="BK54" s="10"/>
      <c r="BL54" s="10"/>
      <c r="BM54" s="39" t="str">
        <f t="shared" ref="BM54:BQ54" si="349">BF54</f>
        <v/>
      </c>
      <c r="BN54" s="10" t="str">
        <f t="shared" si="349"/>
        <v/>
      </c>
      <c r="BO54" s="10" t="str">
        <f t="shared" si="349"/>
        <v/>
      </c>
      <c r="BP54" s="10" t="str">
        <f t="shared" si="349"/>
        <v/>
      </c>
      <c r="BQ54" s="10" t="str">
        <f t="shared" si="349"/>
        <v/>
      </c>
      <c r="BR54" s="10"/>
      <c r="BS54" s="10"/>
      <c r="BT54" s="39" t="str">
        <f t="shared" ref="BT54:BX54" si="350">BM54</f>
        <v/>
      </c>
      <c r="BU54" s="10" t="str">
        <f t="shared" si="350"/>
        <v/>
      </c>
      <c r="BV54" s="10" t="str">
        <f t="shared" si="350"/>
        <v/>
      </c>
      <c r="BW54" s="10" t="str">
        <f t="shared" si="350"/>
        <v/>
      </c>
      <c r="BX54" s="10" t="str">
        <f t="shared" si="350"/>
        <v/>
      </c>
      <c r="BY54" s="10"/>
      <c r="BZ54" s="10"/>
      <c r="CA54" s="39" t="str">
        <f t="shared" ref="CA54:CE54" si="351">BT54</f>
        <v/>
      </c>
      <c r="CB54" s="10" t="str">
        <f t="shared" si="351"/>
        <v/>
      </c>
      <c r="CC54" s="10" t="str">
        <f t="shared" si="351"/>
        <v/>
      </c>
      <c r="CD54" s="10" t="str">
        <f t="shared" si="351"/>
        <v/>
      </c>
      <c r="CE54" s="10" t="str">
        <f t="shared" si="351"/>
        <v/>
      </c>
      <c r="CF54" s="10"/>
      <c r="CG54" s="10"/>
      <c r="CH54" s="39" t="str">
        <f t="shared" ref="CH54:CL54" si="352">CA54</f>
        <v/>
      </c>
      <c r="CI54" s="10" t="str">
        <f t="shared" si="352"/>
        <v/>
      </c>
      <c r="CJ54" s="10" t="str">
        <f t="shared" si="352"/>
        <v/>
      </c>
      <c r="CK54" s="10" t="str">
        <f t="shared" si="352"/>
        <v/>
      </c>
      <c r="CL54" s="10" t="str">
        <f t="shared" si="352"/>
        <v/>
      </c>
      <c r="CM54" s="10"/>
      <c r="CN54" s="10"/>
      <c r="CO54" s="39" t="str">
        <f t="shared" ref="CO54:CS54" si="353">CH54</f>
        <v/>
      </c>
      <c r="CP54" s="10" t="str">
        <f t="shared" si="353"/>
        <v/>
      </c>
      <c r="CQ54" s="10" t="str">
        <f t="shared" si="353"/>
        <v/>
      </c>
      <c r="CR54" s="10" t="str">
        <f t="shared" si="353"/>
        <v/>
      </c>
      <c r="CS54" s="10" t="str">
        <f t="shared" si="353"/>
        <v/>
      </c>
      <c r="CT54" s="10"/>
      <c r="CU54" s="10"/>
      <c r="CV54" s="39" t="str">
        <f t="shared" ref="CV54:CZ54" si="354">CO54</f>
        <v/>
      </c>
      <c r="CW54" s="10" t="str">
        <f t="shared" si="354"/>
        <v/>
      </c>
      <c r="CX54" s="10" t="str">
        <f t="shared" si="354"/>
        <v/>
      </c>
      <c r="CY54" s="10" t="str">
        <f t="shared" si="354"/>
        <v/>
      </c>
      <c r="CZ54" s="10" t="str">
        <f t="shared" si="354"/>
        <v/>
      </c>
      <c r="DA54" s="10"/>
      <c r="DB54" s="10"/>
      <c r="DC54" s="39" t="str">
        <f t="shared" ref="DC54:DG54" si="355">CV54</f>
        <v/>
      </c>
      <c r="DD54" s="10" t="str">
        <f t="shared" si="355"/>
        <v/>
      </c>
      <c r="DE54" s="10" t="str">
        <f t="shared" si="355"/>
        <v/>
      </c>
      <c r="DF54" s="10" t="str">
        <f t="shared" si="355"/>
        <v/>
      </c>
      <c r="DG54" s="10" t="str">
        <f t="shared" si="355"/>
        <v/>
      </c>
      <c r="DH54" s="10"/>
      <c r="DI54" s="10"/>
      <c r="DJ54" s="39" t="str">
        <f t="shared" ref="DJ54:DN54" si="356">DC54</f>
        <v/>
      </c>
      <c r="DK54" s="10" t="str">
        <f t="shared" si="356"/>
        <v/>
      </c>
      <c r="DL54" s="10" t="str">
        <f t="shared" si="356"/>
        <v/>
      </c>
      <c r="DM54" s="10" t="str">
        <f t="shared" si="356"/>
        <v/>
      </c>
      <c r="DN54" s="10" t="str">
        <f t="shared" si="356"/>
        <v/>
      </c>
      <c r="DO54" s="10"/>
      <c r="DP54" s="10"/>
      <c r="DQ54" s="39" t="str">
        <f t="shared" ref="DQ54:DU54" si="357">DJ54</f>
        <v/>
      </c>
      <c r="DR54" s="10" t="str">
        <f t="shared" si="357"/>
        <v/>
      </c>
      <c r="DS54" s="10" t="str">
        <f t="shared" si="357"/>
        <v/>
      </c>
      <c r="DT54" s="10" t="str">
        <f t="shared" si="357"/>
        <v/>
      </c>
      <c r="DU54" s="10" t="str">
        <f t="shared" si="357"/>
        <v/>
      </c>
      <c r="DV54" s="10"/>
      <c r="DW54" s="10"/>
      <c r="DX54" s="39" t="str">
        <f t="shared" ref="DX54:EB54" si="358">DQ54</f>
        <v/>
      </c>
      <c r="DY54" s="10" t="str">
        <f t="shared" si="358"/>
        <v/>
      </c>
      <c r="DZ54" s="10" t="str">
        <f t="shared" si="358"/>
        <v/>
      </c>
      <c r="EA54" s="10" t="str">
        <f t="shared" si="358"/>
        <v/>
      </c>
      <c r="EB54" s="10" t="str">
        <f t="shared" si="358"/>
        <v/>
      </c>
      <c r="EC54" s="10"/>
      <c r="ED54" s="10"/>
      <c r="EE54" s="39" t="str">
        <f t="shared" ref="EE54:EI54" si="359">DX54</f>
        <v/>
      </c>
      <c r="EF54" s="10" t="str">
        <f t="shared" si="359"/>
        <v/>
      </c>
      <c r="EG54" s="10" t="str">
        <f t="shared" si="359"/>
        <v/>
      </c>
      <c r="EH54" s="10" t="str">
        <f t="shared" si="359"/>
        <v/>
      </c>
      <c r="EI54" s="10" t="str">
        <f t="shared" si="359"/>
        <v/>
      </c>
      <c r="EJ54" s="10"/>
      <c r="EK54" s="10"/>
      <c r="EL54" s="39" t="str">
        <f t="shared" ref="EL54:EP54" si="360">EE54</f>
        <v/>
      </c>
      <c r="EM54" s="10" t="str">
        <f t="shared" si="360"/>
        <v/>
      </c>
      <c r="EN54" s="10" t="str">
        <f t="shared" si="360"/>
        <v/>
      </c>
      <c r="EO54" s="10" t="str">
        <f t="shared" si="360"/>
        <v/>
      </c>
      <c r="EP54" s="10" t="str">
        <f t="shared" si="360"/>
        <v/>
      </c>
      <c r="EQ54" s="10"/>
      <c r="ER54" s="10"/>
    </row>
    <row r="55">
      <c r="A55" s="40"/>
      <c r="B55" s="39"/>
      <c r="C55" s="10"/>
      <c r="D55" s="10"/>
      <c r="E55" s="10"/>
      <c r="F55" s="10"/>
      <c r="G55" s="10"/>
      <c r="H55" s="10"/>
      <c r="I55" s="39" t="str">
        <f t="shared" ref="I55:M55" si="361">B55</f>
        <v/>
      </c>
      <c r="J55" s="10" t="str">
        <f t="shared" si="361"/>
        <v/>
      </c>
      <c r="K55" s="10" t="str">
        <f t="shared" si="361"/>
        <v/>
      </c>
      <c r="L55" s="10" t="str">
        <f t="shared" si="361"/>
        <v/>
      </c>
      <c r="M55" s="10" t="str">
        <f t="shared" si="361"/>
        <v/>
      </c>
      <c r="N55" s="10"/>
      <c r="O55" s="10"/>
      <c r="P55" s="39" t="str">
        <f t="shared" ref="P55:T55" si="362">I55</f>
        <v/>
      </c>
      <c r="Q55" s="10" t="str">
        <f t="shared" si="362"/>
        <v/>
      </c>
      <c r="R55" s="10" t="str">
        <f t="shared" si="362"/>
        <v/>
      </c>
      <c r="S55" s="10" t="str">
        <f t="shared" si="362"/>
        <v/>
      </c>
      <c r="T55" s="10" t="str">
        <f t="shared" si="362"/>
        <v/>
      </c>
      <c r="U55" s="10"/>
      <c r="V55" s="10"/>
      <c r="W55" s="39" t="str">
        <f t="shared" ref="W55:AA55" si="363">P55</f>
        <v/>
      </c>
      <c r="X55" s="10" t="str">
        <f t="shared" si="363"/>
        <v/>
      </c>
      <c r="Y55" s="10" t="str">
        <f t="shared" si="363"/>
        <v/>
      </c>
      <c r="Z55" s="10" t="str">
        <f t="shared" si="363"/>
        <v/>
      </c>
      <c r="AA55" s="10" t="str">
        <f t="shared" si="363"/>
        <v/>
      </c>
      <c r="AB55" s="10"/>
      <c r="AC55" s="10"/>
      <c r="AD55" s="39" t="str">
        <f t="shared" ref="AD55:AH55" si="364">W55</f>
        <v/>
      </c>
      <c r="AE55" s="10" t="str">
        <f t="shared" si="364"/>
        <v/>
      </c>
      <c r="AF55" s="10" t="str">
        <f t="shared" si="364"/>
        <v/>
      </c>
      <c r="AG55" s="10" t="str">
        <f t="shared" si="364"/>
        <v/>
      </c>
      <c r="AH55" s="10" t="str">
        <f t="shared" si="364"/>
        <v/>
      </c>
      <c r="AI55" s="10"/>
      <c r="AJ55" s="10"/>
      <c r="AK55" s="39" t="str">
        <f t="shared" ref="AK55:AO55" si="365">AD55</f>
        <v/>
      </c>
      <c r="AL55" s="10" t="str">
        <f t="shared" si="365"/>
        <v/>
      </c>
      <c r="AM55" s="10" t="str">
        <f t="shared" si="365"/>
        <v/>
      </c>
      <c r="AN55" s="10" t="str">
        <f t="shared" si="365"/>
        <v/>
      </c>
      <c r="AO55" s="10" t="str">
        <f t="shared" si="365"/>
        <v/>
      </c>
      <c r="AP55" s="10"/>
      <c r="AQ55" s="10"/>
      <c r="AR55" s="39" t="str">
        <f t="shared" ref="AR55:AV55" si="366">AK55</f>
        <v/>
      </c>
      <c r="AS55" s="10" t="str">
        <f t="shared" si="366"/>
        <v/>
      </c>
      <c r="AT55" s="10" t="str">
        <f t="shared" si="366"/>
        <v/>
      </c>
      <c r="AU55" s="10" t="str">
        <f t="shared" si="366"/>
        <v/>
      </c>
      <c r="AV55" s="10" t="str">
        <f t="shared" si="366"/>
        <v/>
      </c>
      <c r="AW55" s="10"/>
      <c r="AX55" s="10"/>
      <c r="AY55" s="39" t="str">
        <f t="shared" ref="AY55:BC55" si="367">AR55</f>
        <v/>
      </c>
      <c r="AZ55" s="10" t="str">
        <f t="shared" si="367"/>
        <v/>
      </c>
      <c r="BA55" s="10" t="str">
        <f t="shared" si="367"/>
        <v/>
      </c>
      <c r="BB55" s="10" t="str">
        <f t="shared" si="367"/>
        <v/>
      </c>
      <c r="BC55" s="10" t="str">
        <f t="shared" si="367"/>
        <v/>
      </c>
      <c r="BD55" s="10"/>
      <c r="BE55" s="10"/>
      <c r="BF55" s="39" t="str">
        <f t="shared" ref="BF55:BJ55" si="368">AY55</f>
        <v/>
      </c>
      <c r="BG55" s="10" t="str">
        <f t="shared" si="368"/>
        <v/>
      </c>
      <c r="BH55" s="10" t="str">
        <f t="shared" si="368"/>
        <v/>
      </c>
      <c r="BI55" s="10" t="str">
        <f t="shared" si="368"/>
        <v/>
      </c>
      <c r="BJ55" s="10" t="str">
        <f t="shared" si="368"/>
        <v/>
      </c>
      <c r="BK55" s="10"/>
      <c r="BL55" s="10"/>
      <c r="BM55" s="39" t="str">
        <f t="shared" ref="BM55:BQ55" si="369">BF55</f>
        <v/>
      </c>
      <c r="BN55" s="10" t="str">
        <f t="shared" si="369"/>
        <v/>
      </c>
      <c r="BO55" s="10" t="str">
        <f t="shared" si="369"/>
        <v/>
      </c>
      <c r="BP55" s="10" t="str">
        <f t="shared" si="369"/>
        <v/>
      </c>
      <c r="BQ55" s="10" t="str">
        <f t="shared" si="369"/>
        <v/>
      </c>
      <c r="BR55" s="10"/>
      <c r="BS55" s="10"/>
      <c r="BT55" s="39" t="str">
        <f t="shared" ref="BT55:BX55" si="370">BM55</f>
        <v/>
      </c>
      <c r="BU55" s="10" t="str">
        <f t="shared" si="370"/>
        <v/>
      </c>
      <c r="BV55" s="10" t="str">
        <f t="shared" si="370"/>
        <v/>
      </c>
      <c r="BW55" s="10" t="str">
        <f t="shared" si="370"/>
        <v/>
      </c>
      <c r="BX55" s="10" t="str">
        <f t="shared" si="370"/>
        <v/>
      </c>
      <c r="BY55" s="10"/>
      <c r="BZ55" s="10"/>
      <c r="CA55" s="39" t="str">
        <f t="shared" ref="CA55:CE55" si="371">BT55</f>
        <v/>
      </c>
      <c r="CB55" s="10" t="str">
        <f t="shared" si="371"/>
        <v/>
      </c>
      <c r="CC55" s="10" t="str">
        <f t="shared" si="371"/>
        <v/>
      </c>
      <c r="CD55" s="10" t="str">
        <f t="shared" si="371"/>
        <v/>
      </c>
      <c r="CE55" s="10" t="str">
        <f t="shared" si="371"/>
        <v/>
      </c>
      <c r="CF55" s="10"/>
      <c r="CG55" s="10"/>
      <c r="CH55" s="39" t="str">
        <f t="shared" ref="CH55:CL55" si="372">CA55</f>
        <v/>
      </c>
      <c r="CI55" s="10" t="str">
        <f t="shared" si="372"/>
        <v/>
      </c>
      <c r="CJ55" s="10" t="str">
        <f t="shared" si="372"/>
        <v/>
      </c>
      <c r="CK55" s="10" t="str">
        <f t="shared" si="372"/>
        <v/>
      </c>
      <c r="CL55" s="10" t="str">
        <f t="shared" si="372"/>
        <v/>
      </c>
      <c r="CM55" s="10"/>
      <c r="CN55" s="10"/>
      <c r="CO55" s="39" t="str">
        <f t="shared" ref="CO55:CS55" si="373">CH55</f>
        <v/>
      </c>
      <c r="CP55" s="10" t="str">
        <f t="shared" si="373"/>
        <v/>
      </c>
      <c r="CQ55" s="10" t="str">
        <f t="shared" si="373"/>
        <v/>
      </c>
      <c r="CR55" s="10" t="str">
        <f t="shared" si="373"/>
        <v/>
      </c>
      <c r="CS55" s="10" t="str">
        <f t="shared" si="373"/>
        <v/>
      </c>
      <c r="CT55" s="10"/>
      <c r="CU55" s="10"/>
      <c r="CV55" s="39" t="str">
        <f t="shared" ref="CV55:CZ55" si="374">CO55</f>
        <v/>
      </c>
      <c r="CW55" s="10" t="str">
        <f t="shared" si="374"/>
        <v/>
      </c>
      <c r="CX55" s="10" t="str">
        <f t="shared" si="374"/>
        <v/>
      </c>
      <c r="CY55" s="10" t="str">
        <f t="shared" si="374"/>
        <v/>
      </c>
      <c r="CZ55" s="10" t="str">
        <f t="shared" si="374"/>
        <v/>
      </c>
      <c r="DA55" s="10"/>
      <c r="DB55" s="10"/>
      <c r="DC55" s="39" t="str">
        <f t="shared" ref="DC55:DG55" si="375">CV55</f>
        <v/>
      </c>
      <c r="DD55" s="10" t="str">
        <f t="shared" si="375"/>
        <v/>
      </c>
      <c r="DE55" s="10" t="str">
        <f t="shared" si="375"/>
        <v/>
      </c>
      <c r="DF55" s="10" t="str">
        <f t="shared" si="375"/>
        <v/>
      </c>
      <c r="DG55" s="10" t="str">
        <f t="shared" si="375"/>
        <v/>
      </c>
      <c r="DH55" s="10"/>
      <c r="DI55" s="10"/>
      <c r="DJ55" s="39" t="str">
        <f t="shared" ref="DJ55:DN55" si="376">DC55</f>
        <v/>
      </c>
      <c r="DK55" s="10" t="str">
        <f t="shared" si="376"/>
        <v/>
      </c>
      <c r="DL55" s="10" t="str">
        <f t="shared" si="376"/>
        <v/>
      </c>
      <c r="DM55" s="10" t="str">
        <f t="shared" si="376"/>
        <v/>
      </c>
      <c r="DN55" s="10" t="str">
        <f t="shared" si="376"/>
        <v/>
      </c>
      <c r="DO55" s="10"/>
      <c r="DP55" s="10"/>
      <c r="DQ55" s="39" t="str">
        <f t="shared" ref="DQ55:DU55" si="377">DJ55</f>
        <v/>
      </c>
      <c r="DR55" s="10" t="str">
        <f t="shared" si="377"/>
        <v/>
      </c>
      <c r="DS55" s="10" t="str">
        <f t="shared" si="377"/>
        <v/>
      </c>
      <c r="DT55" s="10" t="str">
        <f t="shared" si="377"/>
        <v/>
      </c>
      <c r="DU55" s="10" t="str">
        <f t="shared" si="377"/>
        <v/>
      </c>
      <c r="DV55" s="10"/>
      <c r="DW55" s="10"/>
      <c r="DX55" s="39" t="str">
        <f t="shared" ref="DX55:EB55" si="378">DQ55</f>
        <v/>
      </c>
      <c r="DY55" s="10" t="str">
        <f t="shared" si="378"/>
        <v/>
      </c>
      <c r="DZ55" s="10" t="str">
        <f t="shared" si="378"/>
        <v/>
      </c>
      <c r="EA55" s="10" t="str">
        <f t="shared" si="378"/>
        <v/>
      </c>
      <c r="EB55" s="10" t="str">
        <f t="shared" si="378"/>
        <v/>
      </c>
      <c r="EC55" s="10"/>
      <c r="ED55" s="10"/>
      <c r="EE55" s="39" t="str">
        <f t="shared" ref="EE55:EI55" si="379">DX55</f>
        <v/>
      </c>
      <c r="EF55" s="10" t="str">
        <f t="shared" si="379"/>
        <v/>
      </c>
      <c r="EG55" s="10" t="str">
        <f t="shared" si="379"/>
        <v/>
      </c>
      <c r="EH55" s="10" t="str">
        <f t="shared" si="379"/>
        <v/>
      </c>
      <c r="EI55" s="10" t="str">
        <f t="shared" si="379"/>
        <v/>
      </c>
      <c r="EJ55" s="10"/>
      <c r="EK55" s="10"/>
      <c r="EL55" s="39" t="str">
        <f t="shared" ref="EL55:EP55" si="380">EE55</f>
        <v/>
      </c>
      <c r="EM55" s="10" t="str">
        <f t="shared" si="380"/>
        <v/>
      </c>
      <c r="EN55" s="10" t="str">
        <f t="shared" si="380"/>
        <v/>
      </c>
      <c r="EO55" s="10" t="str">
        <f t="shared" si="380"/>
        <v/>
      </c>
      <c r="EP55" s="10" t="str">
        <f t="shared" si="380"/>
        <v/>
      </c>
      <c r="EQ55" s="10"/>
      <c r="ER55" s="10"/>
    </row>
    <row r="56">
      <c r="A56" s="41"/>
      <c r="B56" s="42"/>
      <c r="C56" s="43"/>
      <c r="D56" s="43"/>
      <c r="E56" s="43"/>
      <c r="F56" s="43"/>
      <c r="G56" s="43"/>
      <c r="H56" s="43"/>
      <c r="I56" s="42" t="str">
        <f t="shared" ref="I56:M56" si="381">B56</f>
        <v/>
      </c>
      <c r="J56" s="43" t="str">
        <f t="shared" si="381"/>
        <v/>
      </c>
      <c r="K56" s="43" t="str">
        <f t="shared" si="381"/>
        <v/>
      </c>
      <c r="L56" s="43" t="str">
        <f t="shared" si="381"/>
        <v/>
      </c>
      <c r="M56" s="43" t="str">
        <f t="shared" si="381"/>
        <v/>
      </c>
      <c r="N56" s="43"/>
      <c r="O56" s="43"/>
      <c r="P56" s="42" t="str">
        <f t="shared" ref="P56:T56" si="382">I56</f>
        <v/>
      </c>
      <c r="Q56" s="43" t="str">
        <f t="shared" si="382"/>
        <v/>
      </c>
      <c r="R56" s="43" t="str">
        <f t="shared" si="382"/>
        <v/>
      </c>
      <c r="S56" s="43" t="str">
        <f t="shared" si="382"/>
        <v/>
      </c>
      <c r="T56" s="43" t="str">
        <f t="shared" si="382"/>
        <v/>
      </c>
      <c r="U56" s="43"/>
      <c r="V56" s="43"/>
      <c r="W56" s="42" t="str">
        <f t="shared" ref="W56:AA56" si="383">P56</f>
        <v/>
      </c>
      <c r="X56" s="43" t="str">
        <f t="shared" si="383"/>
        <v/>
      </c>
      <c r="Y56" s="43" t="str">
        <f t="shared" si="383"/>
        <v/>
      </c>
      <c r="Z56" s="43" t="str">
        <f t="shared" si="383"/>
        <v/>
      </c>
      <c r="AA56" s="43" t="str">
        <f t="shared" si="383"/>
        <v/>
      </c>
      <c r="AB56" s="43"/>
      <c r="AC56" s="43"/>
      <c r="AD56" s="42" t="str">
        <f t="shared" ref="AD56:AH56" si="384">W56</f>
        <v/>
      </c>
      <c r="AE56" s="43" t="str">
        <f t="shared" si="384"/>
        <v/>
      </c>
      <c r="AF56" s="43" t="str">
        <f t="shared" si="384"/>
        <v/>
      </c>
      <c r="AG56" s="43" t="str">
        <f t="shared" si="384"/>
        <v/>
      </c>
      <c r="AH56" s="43" t="str">
        <f t="shared" si="384"/>
        <v/>
      </c>
      <c r="AI56" s="43"/>
      <c r="AJ56" s="43"/>
      <c r="AK56" s="42" t="str">
        <f t="shared" ref="AK56:AO56" si="385">AD56</f>
        <v/>
      </c>
      <c r="AL56" s="43" t="str">
        <f t="shared" si="385"/>
        <v/>
      </c>
      <c r="AM56" s="43" t="str">
        <f t="shared" si="385"/>
        <v/>
      </c>
      <c r="AN56" s="43" t="str">
        <f t="shared" si="385"/>
        <v/>
      </c>
      <c r="AO56" s="43" t="str">
        <f t="shared" si="385"/>
        <v/>
      </c>
      <c r="AP56" s="43"/>
      <c r="AQ56" s="43"/>
      <c r="AR56" s="42" t="str">
        <f t="shared" ref="AR56:AV56" si="386">AK56</f>
        <v/>
      </c>
      <c r="AS56" s="43" t="str">
        <f t="shared" si="386"/>
        <v/>
      </c>
      <c r="AT56" s="43" t="str">
        <f t="shared" si="386"/>
        <v/>
      </c>
      <c r="AU56" s="43" t="str">
        <f t="shared" si="386"/>
        <v/>
      </c>
      <c r="AV56" s="43" t="str">
        <f t="shared" si="386"/>
        <v/>
      </c>
      <c r="AW56" s="43"/>
      <c r="AX56" s="43"/>
      <c r="AY56" s="42" t="str">
        <f t="shared" ref="AY56:BC56" si="387">AR56</f>
        <v/>
      </c>
      <c r="AZ56" s="43" t="str">
        <f t="shared" si="387"/>
        <v/>
      </c>
      <c r="BA56" s="43" t="str">
        <f t="shared" si="387"/>
        <v/>
      </c>
      <c r="BB56" s="43" t="str">
        <f t="shared" si="387"/>
        <v/>
      </c>
      <c r="BC56" s="43" t="str">
        <f t="shared" si="387"/>
        <v/>
      </c>
      <c r="BD56" s="43"/>
      <c r="BE56" s="43"/>
      <c r="BF56" s="42" t="str">
        <f t="shared" ref="BF56:BJ56" si="388">AY56</f>
        <v/>
      </c>
      <c r="BG56" s="43" t="str">
        <f t="shared" si="388"/>
        <v/>
      </c>
      <c r="BH56" s="43" t="str">
        <f t="shared" si="388"/>
        <v/>
      </c>
      <c r="BI56" s="43" t="str">
        <f t="shared" si="388"/>
        <v/>
      </c>
      <c r="BJ56" s="43" t="str">
        <f t="shared" si="388"/>
        <v/>
      </c>
      <c r="BK56" s="43"/>
      <c r="BL56" s="43"/>
      <c r="BM56" s="42" t="str">
        <f t="shared" ref="BM56:BQ56" si="389">BF56</f>
        <v/>
      </c>
      <c r="BN56" s="43" t="str">
        <f t="shared" si="389"/>
        <v/>
      </c>
      <c r="BO56" s="43" t="str">
        <f t="shared" si="389"/>
        <v/>
      </c>
      <c r="BP56" s="43" t="str">
        <f t="shared" si="389"/>
        <v/>
      </c>
      <c r="BQ56" s="43" t="str">
        <f t="shared" si="389"/>
        <v/>
      </c>
      <c r="BR56" s="43"/>
      <c r="BS56" s="43"/>
      <c r="BT56" s="42" t="str">
        <f t="shared" ref="BT56:BX56" si="390">BM56</f>
        <v/>
      </c>
      <c r="BU56" s="43" t="str">
        <f t="shared" si="390"/>
        <v/>
      </c>
      <c r="BV56" s="43" t="str">
        <f t="shared" si="390"/>
        <v/>
      </c>
      <c r="BW56" s="43" t="str">
        <f t="shared" si="390"/>
        <v/>
      </c>
      <c r="BX56" s="43" t="str">
        <f t="shared" si="390"/>
        <v/>
      </c>
      <c r="BY56" s="43"/>
      <c r="BZ56" s="43"/>
      <c r="CA56" s="42" t="str">
        <f t="shared" ref="CA56:CE56" si="391">BT56</f>
        <v/>
      </c>
      <c r="CB56" s="43" t="str">
        <f t="shared" si="391"/>
        <v/>
      </c>
      <c r="CC56" s="43" t="str">
        <f t="shared" si="391"/>
        <v/>
      </c>
      <c r="CD56" s="43" t="str">
        <f t="shared" si="391"/>
        <v/>
      </c>
      <c r="CE56" s="43" t="str">
        <f t="shared" si="391"/>
        <v/>
      </c>
      <c r="CF56" s="43"/>
      <c r="CG56" s="43"/>
      <c r="CH56" s="42" t="str">
        <f t="shared" ref="CH56:CL56" si="392">CA56</f>
        <v/>
      </c>
      <c r="CI56" s="43" t="str">
        <f t="shared" si="392"/>
        <v/>
      </c>
      <c r="CJ56" s="43" t="str">
        <f t="shared" si="392"/>
        <v/>
      </c>
      <c r="CK56" s="43" t="str">
        <f t="shared" si="392"/>
        <v/>
      </c>
      <c r="CL56" s="43" t="str">
        <f t="shared" si="392"/>
        <v/>
      </c>
      <c r="CM56" s="43"/>
      <c r="CN56" s="43"/>
      <c r="CO56" s="42" t="str">
        <f t="shared" ref="CO56:CS56" si="393">CH56</f>
        <v/>
      </c>
      <c r="CP56" s="43" t="str">
        <f t="shared" si="393"/>
        <v/>
      </c>
      <c r="CQ56" s="43" t="str">
        <f t="shared" si="393"/>
        <v/>
      </c>
      <c r="CR56" s="43" t="str">
        <f t="shared" si="393"/>
        <v/>
      </c>
      <c r="CS56" s="43" t="str">
        <f t="shared" si="393"/>
        <v/>
      </c>
      <c r="CT56" s="43"/>
      <c r="CU56" s="43"/>
      <c r="CV56" s="42" t="str">
        <f t="shared" ref="CV56:CZ56" si="394">CO56</f>
        <v/>
      </c>
      <c r="CW56" s="43" t="str">
        <f t="shared" si="394"/>
        <v/>
      </c>
      <c r="CX56" s="43" t="str">
        <f t="shared" si="394"/>
        <v/>
      </c>
      <c r="CY56" s="43" t="str">
        <f t="shared" si="394"/>
        <v/>
      </c>
      <c r="CZ56" s="43" t="str">
        <f t="shared" si="394"/>
        <v/>
      </c>
      <c r="DA56" s="43"/>
      <c r="DB56" s="43"/>
      <c r="DC56" s="42" t="str">
        <f t="shared" ref="DC56:DG56" si="395">CV56</f>
        <v/>
      </c>
      <c r="DD56" s="43" t="str">
        <f t="shared" si="395"/>
        <v/>
      </c>
      <c r="DE56" s="43" t="str">
        <f t="shared" si="395"/>
        <v/>
      </c>
      <c r="DF56" s="43" t="str">
        <f t="shared" si="395"/>
        <v/>
      </c>
      <c r="DG56" s="43" t="str">
        <f t="shared" si="395"/>
        <v/>
      </c>
      <c r="DH56" s="43"/>
      <c r="DI56" s="43"/>
      <c r="DJ56" s="42" t="str">
        <f t="shared" ref="DJ56:DN56" si="396">DC56</f>
        <v/>
      </c>
      <c r="DK56" s="43" t="str">
        <f t="shared" si="396"/>
        <v/>
      </c>
      <c r="DL56" s="43" t="str">
        <f t="shared" si="396"/>
        <v/>
      </c>
      <c r="DM56" s="43" t="str">
        <f t="shared" si="396"/>
        <v/>
      </c>
      <c r="DN56" s="43" t="str">
        <f t="shared" si="396"/>
        <v/>
      </c>
      <c r="DO56" s="43"/>
      <c r="DP56" s="43"/>
      <c r="DQ56" s="42" t="str">
        <f t="shared" ref="DQ56:DU56" si="397">DJ56</f>
        <v/>
      </c>
      <c r="DR56" s="43" t="str">
        <f t="shared" si="397"/>
        <v/>
      </c>
      <c r="DS56" s="43" t="str">
        <f t="shared" si="397"/>
        <v/>
      </c>
      <c r="DT56" s="43" t="str">
        <f t="shared" si="397"/>
        <v/>
      </c>
      <c r="DU56" s="43" t="str">
        <f t="shared" si="397"/>
        <v/>
      </c>
      <c r="DV56" s="43"/>
      <c r="DW56" s="43"/>
      <c r="DX56" s="42" t="str">
        <f t="shared" ref="DX56:EB56" si="398">DQ56</f>
        <v/>
      </c>
      <c r="DY56" s="43" t="str">
        <f t="shared" si="398"/>
        <v/>
      </c>
      <c r="DZ56" s="43" t="str">
        <f t="shared" si="398"/>
        <v/>
      </c>
      <c r="EA56" s="43" t="str">
        <f t="shared" si="398"/>
        <v/>
      </c>
      <c r="EB56" s="43" t="str">
        <f t="shared" si="398"/>
        <v/>
      </c>
      <c r="EC56" s="43"/>
      <c r="ED56" s="43"/>
      <c r="EE56" s="42" t="str">
        <f t="shared" ref="EE56:EI56" si="399">DX56</f>
        <v/>
      </c>
      <c r="EF56" s="43" t="str">
        <f t="shared" si="399"/>
        <v/>
      </c>
      <c r="EG56" s="43" t="str">
        <f t="shared" si="399"/>
        <v/>
      </c>
      <c r="EH56" s="43" t="str">
        <f t="shared" si="399"/>
        <v/>
      </c>
      <c r="EI56" s="43" t="str">
        <f t="shared" si="399"/>
        <v/>
      </c>
      <c r="EJ56" s="43"/>
      <c r="EK56" s="43"/>
      <c r="EL56" s="42" t="str">
        <f t="shared" ref="EL56:EP56" si="400">EE56</f>
        <v/>
      </c>
      <c r="EM56" s="43" t="str">
        <f t="shared" si="400"/>
        <v/>
      </c>
      <c r="EN56" s="43" t="str">
        <f t="shared" si="400"/>
        <v/>
      </c>
      <c r="EO56" s="43" t="str">
        <f t="shared" si="400"/>
        <v/>
      </c>
      <c r="EP56" s="43" t="str">
        <f t="shared" si="400"/>
        <v/>
      </c>
      <c r="EQ56" s="43"/>
      <c r="ER56" s="43"/>
    </row>
  </sheetData>
  <mergeCells count="26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2">
      <formula1>'Quick Setup'!$B$19:$D$26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25"/>
      <c r="B1" s="26" t="s">
        <v>45</v>
      </c>
      <c r="I1" s="26" t="s">
        <v>46</v>
      </c>
      <c r="P1" s="26" t="s">
        <v>47</v>
      </c>
      <c r="W1" s="26" t="s">
        <v>48</v>
      </c>
      <c r="AD1" s="26" t="s">
        <v>49</v>
      </c>
      <c r="AK1" s="26" t="s">
        <v>50</v>
      </c>
      <c r="AR1" s="26" t="s">
        <v>51</v>
      </c>
      <c r="AY1" s="26" t="s">
        <v>52</v>
      </c>
      <c r="BF1" s="26" t="s">
        <v>53</v>
      </c>
      <c r="BM1" s="26" t="s">
        <v>54</v>
      </c>
      <c r="BT1" s="26" t="s">
        <v>55</v>
      </c>
      <c r="CA1" s="26" t="s">
        <v>56</v>
      </c>
      <c r="CH1" s="26" t="s">
        <v>57</v>
      </c>
      <c r="CO1" s="26" t="s">
        <v>58</v>
      </c>
      <c r="CV1" s="26" t="s">
        <v>59</v>
      </c>
      <c r="DC1" s="26" t="s">
        <v>60</v>
      </c>
      <c r="DJ1" s="26" t="s">
        <v>61</v>
      </c>
      <c r="DQ1" s="26" t="s">
        <v>62</v>
      </c>
      <c r="DX1" s="26" t="s">
        <v>63</v>
      </c>
      <c r="EE1" s="26" t="s">
        <v>64</v>
      </c>
      <c r="EL1" s="26" t="s">
        <v>65</v>
      </c>
    </row>
    <row r="2">
      <c r="A2" s="2"/>
      <c r="B2" s="27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27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7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27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27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27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27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27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27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27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27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27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27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27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27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27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27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27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27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27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27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28" t="s">
        <v>74</v>
      </c>
      <c r="B3" s="29"/>
      <c r="C3" s="30"/>
      <c r="D3" s="30"/>
      <c r="E3" s="30"/>
      <c r="F3" s="30"/>
      <c r="G3" s="30"/>
      <c r="H3" s="30"/>
      <c r="I3" s="29"/>
      <c r="J3" s="30"/>
      <c r="K3" s="30"/>
      <c r="L3" s="30"/>
      <c r="M3" s="30"/>
      <c r="N3" s="30"/>
      <c r="O3" s="30"/>
      <c r="P3" s="29"/>
      <c r="Q3" s="30"/>
      <c r="R3" s="30"/>
      <c r="S3" s="30"/>
      <c r="T3" s="30"/>
      <c r="U3" s="30"/>
      <c r="V3" s="30"/>
      <c r="W3" s="29"/>
      <c r="X3" s="30"/>
      <c r="Y3" s="30"/>
      <c r="Z3" s="30"/>
      <c r="AA3" s="30"/>
      <c r="AB3" s="30"/>
      <c r="AC3" s="30"/>
      <c r="AD3" s="29"/>
      <c r="AE3" s="30"/>
      <c r="AF3" s="30"/>
      <c r="AG3" s="30"/>
      <c r="AH3" s="30"/>
      <c r="AI3" s="30"/>
      <c r="AJ3" s="30"/>
      <c r="AK3" s="29"/>
      <c r="AL3" s="30"/>
      <c r="AM3" s="30"/>
      <c r="AN3" s="30"/>
      <c r="AO3" s="30"/>
      <c r="AP3" s="30"/>
      <c r="AQ3" s="30"/>
      <c r="AR3" s="29"/>
      <c r="AS3" s="30"/>
      <c r="AT3" s="30"/>
      <c r="AU3" s="30"/>
      <c r="AV3" s="30"/>
      <c r="AW3" s="30"/>
      <c r="AX3" s="30"/>
      <c r="AY3" s="29"/>
      <c r="AZ3" s="30"/>
      <c r="BA3" s="30"/>
      <c r="BB3" s="30"/>
      <c r="BC3" s="30"/>
      <c r="BD3" s="30"/>
      <c r="BE3" s="30"/>
      <c r="BF3" s="29"/>
      <c r="BG3" s="30"/>
      <c r="BH3" s="30"/>
      <c r="BI3" s="30"/>
      <c r="BJ3" s="30"/>
      <c r="BK3" s="30"/>
      <c r="BL3" s="30"/>
      <c r="BM3" s="29"/>
      <c r="BN3" s="30"/>
      <c r="BO3" s="30"/>
      <c r="BP3" s="30"/>
      <c r="BQ3" s="30"/>
      <c r="BR3" s="30"/>
      <c r="BS3" s="30"/>
      <c r="BT3" s="29"/>
      <c r="BU3" s="30"/>
      <c r="BV3" s="30"/>
      <c r="BW3" s="30"/>
      <c r="BX3" s="30"/>
      <c r="BY3" s="30"/>
      <c r="BZ3" s="30"/>
      <c r="CA3" s="29"/>
      <c r="CB3" s="30"/>
      <c r="CC3" s="30"/>
      <c r="CD3" s="30"/>
      <c r="CE3" s="30"/>
      <c r="CF3" s="30"/>
      <c r="CG3" s="30"/>
      <c r="CH3" s="29"/>
      <c r="CI3" s="30"/>
      <c r="CJ3" s="30"/>
      <c r="CK3" s="30"/>
      <c r="CL3" s="30"/>
      <c r="CM3" s="30"/>
      <c r="CN3" s="30"/>
      <c r="CO3" s="29"/>
      <c r="CP3" s="30"/>
      <c r="CQ3" s="30"/>
      <c r="CR3" s="30"/>
      <c r="CS3" s="30"/>
      <c r="CT3" s="30"/>
      <c r="CU3" s="30"/>
      <c r="CV3" s="29"/>
      <c r="CW3" s="30"/>
      <c r="CX3" s="30"/>
      <c r="CY3" s="30"/>
      <c r="CZ3" s="30"/>
      <c r="DA3" s="30"/>
      <c r="DB3" s="30"/>
      <c r="DC3" s="29"/>
      <c r="DD3" s="30"/>
      <c r="DE3" s="30"/>
      <c r="DF3" s="30"/>
      <c r="DG3" s="30"/>
      <c r="DH3" s="30"/>
      <c r="DI3" s="30"/>
      <c r="DJ3" s="29"/>
      <c r="DK3" s="30"/>
      <c r="DL3" s="30"/>
      <c r="DM3" s="30"/>
      <c r="DN3" s="30"/>
      <c r="DO3" s="30"/>
      <c r="DP3" s="30"/>
      <c r="DQ3" s="29"/>
      <c r="DR3" s="30"/>
      <c r="DS3" s="30"/>
      <c r="DT3" s="30"/>
      <c r="DU3" s="30"/>
      <c r="DV3" s="30"/>
      <c r="DW3" s="30"/>
      <c r="DX3" s="29"/>
      <c r="DY3" s="30"/>
      <c r="DZ3" s="30"/>
      <c r="EA3" s="30"/>
      <c r="EB3" s="30"/>
      <c r="EC3" s="30"/>
      <c r="ED3" s="30"/>
      <c r="EE3" s="31" t="s">
        <v>75</v>
      </c>
      <c r="EF3" s="32"/>
      <c r="EG3" s="32"/>
      <c r="EH3" s="32"/>
      <c r="EI3" s="32"/>
      <c r="EJ3" s="32"/>
      <c r="EK3" s="32"/>
      <c r="EL3" s="29"/>
      <c r="EM3" s="30"/>
      <c r="EN3" s="30"/>
      <c r="EO3" s="30"/>
      <c r="EP3" s="30"/>
      <c r="EQ3" s="30"/>
      <c r="ER3" s="30"/>
    </row>
    <row r="4" hidden="1">
      <c r="A4" s="33" t="str">
        <f>CONCATENATE(A5," TM")</f>
        <v>Squat TM</v>
      </c>
      <c r="B4" s="34">
        <f>if(D4="",'Quick Setup'!D5,D4/'Quick Setup'!E5)</f>
        <v>490</v>
      </c>
      <c r="C4" s="35" t="s">
        <v>73</v>
      </c>
      <c r="D4" s="36"/>
      <c r="E4" s="37"/>
      <c r="F4" s="37"/>
      <c r="G4" s="37"/>
      <c r="H4" s="37"/>
      <c r="I4" s="34">
        <f>if(K4="", if(F5&lt;&gt;"", if(F5&gt;Setup!F4,B4*(1+Setup!G4),if(F5&lt;Setup!E4,B4*(1+Setup!H4),B4)),B4),K4/'Quick Setup'!$E5)</f>
        <v>490</v>
      </c>
      <c r="J4" s="35" t="s">
        <v>73</v>
      </c>
      <c r="K4" s="36"/>
      <c r="L4" s="37"/>
      <c r="M4" s="37"/>
      <c r="N4" s="37"/>
      <c r="O4" s="37"/>
      <c r="P4" s="34">
        <f>if(R4="", if(M5&lt;&gt;"", if(M5&gt;Setup!M4,I4*(1+Setup!N4),if(M5&lt;Setup!L4,I4*(1+Setup!O4),I4)),I4),R4/'Quick Setup'!$E5)</f>
        <v>490</v>
      </c>
      <c r="Q4" s="35" t="s">
        <v>73</v>
      </c>
      <c r="R4" s="36"/>
      <c r="S4" s="37"/>
      <c r="T4" s="37"/>
      <c r="U4" s="37"/>
      <c r="V4" s="37"/>
      <c r="W4" s="34">
        <f>if(Y4="", if(T5&lt;&gt;"", if(T5&gt;Setup!T4,P4*(1+Setup!U4),if(T5&lt;Setup!S4,P4*(1+Setup!V4),P4)),P4),Y4/'Quick Setup'!$E5)</f>
        <v>490</v>
      </c>
      <c r="X4" s="35" t="s">
        <v>73</v>
      </c>
      <c r="Y4" s="36"/>
      <c r="Z4" s="37"/>
      <c r="AA4" s="37"/>
      <c r="AB4" s="37"/>
      <c r="AC4" s="37"/>
      <c r="AD4" s="34">
        <f>if(AF4="", if(AA5&lt;&gt;"", if(AA5&gt;Setup!AA4,W4*(1+Setup!AB4),if(AA5&lt;Setup!Z4,W4*(1+Setup!AC4),W4)),W4),AF4/'Quick Setup'!$E5)</f>
        <v>490</v>
      </c>
      <c r="AE4" s="35" t="s">
        <v>73</v>
      </c>
      <c r="AF4" s="36"/>
      <c r="AG4" s="37"/>
      <c r="AH4" s="37"/>
      <c r="AI4" s="37"/>
      <c r="AJ4" s="37"/>
      <c r="AK4" s="34">
        <f>if(AM4="", if(AH5&lt;&gt;"", if(AH5&gt;Setup!AH4,AD4*(1+Setup!AI4),if(AH5&lt;Setup!AG4,AD4*(1+Setup!AJ4),AD4)),AD4),AM4/'Quick Setup'!$E5)</f>
        <v>490</v>
      </c>
      <c r="AL4" s="35" t="s">
        <v>73</v>
      </c>
      <c r="AM4" s="36"/>
      <c r="AN4" s="37"/>
      <c r="AO4" s="37"/>
      <c r="AP4" s="37"/>
      <c r="AQ4" s="37"/>
      <c r="AR4" s="34">
        <f>if(AT4="", if(AO5&lt;&gt;"", if(AO5&gt;Setup!AO4,AK4*(1+Setup!AP4),if(AO5&lt;Setup!AN4,AK4*(1+Setup!AQ4),AK4)),AK4),AT4/'Quick Setup'!$E5)</f>
        <v>490</v>
      </c>
      <c r="AS4" s="35" t="s">
        <v>73</v>
      </c>
      <c r="AT4" s="36"/>
      <c r="AU4" s="37"/>
      <c r="AV4" s="37"/>
      <c r="AW4" s="37"/>
      <c r="AX4" s="37"/>
      <c r="AY4" s="34">
        <f>if(BA4="",AR4,BA4/'Quick Setup'!$E5)</f>
        <v>490</v>
      </c>
      <c r="AZ4" s="35" t="s">
        <v>73</v>
      </c>
      <c r="BA4" s="36"/>
      <c r="BB4" s="37"/>
      <c r="BC4" s="37"/>
      <c r="BD4" s="37"/>
      <c r="BE4" s="37"/>
      <c r="BF4" s="34">
        <f>if(BH4="", if(BC5&lt;&gt;"", if(BC5&gt;Setup!BC4,AY4*(1+Setup!BD4),if(BC5&lt;Setup!BB4,AY4*(1+Setup!BE4),AY4)),AY4),BH4/'Quick Setup'!$E5)</f>
        <v>490</v>
      </c>
      <c r="BG4" s="35" t="s">
        <v>73</v>
      </c>
      <c r="BH4" s="36"/>
      <c r="BI4" s="37"/>
      <c r="BJ4" s="37"/>
      <c r="BK4" s="37"/>
      <c r="BL4" s="37"/>
      <c r="BM4" s="34">
        <f>if(BO4="", if(BJ5&lt;&gt;"", if(BJ5&gt;Setup!BJ4,BF4*(1+Setup!BK4),if(BJ5&lt;Setup!BI4,BF4*(1+Setup!BL4),BF4)),BF4),BO4/'Quick Setup'!$E5)</f>
        <v>490</v>
      </c>
      <c r="BN4" s="35" t="s">
        <v>73</v>
      </c>
      <c r="BO4" s="36"/>
      <c r="BP4" s="37"/>
      <c r="BQ4" s="37"/>
      <c r="BR4" s="37"/>
      <c r="BS4" s="37"/>
      <c r="BT4" s="34">
        <f>if(BV4="", if(BQ5&lt;&gt;"", if(BQ5&gt;Setup!BQ4,BM4*(1+Setup!BR4),if(BQ5&lt;Setup!BP4,BM4*(1+Setup!BS4),BM4)),BM4),BV4/'Quick Setup'!$E5)</f>
        <v>490</v>
      </c>
      <c r="BU4" s="35" t="s">
        <v>73</v>
      </c>
      <c r="BV4" s="36"/>
      <c r="BW4" s="37"/>
      <c r="BX4" s="37"/>
      <c r="BY4" s="37"/>
      <c r="BZ4" s="37"/>
      <c r="CA4" s="34">
        <f>if(CC4="", if(BX5&lt;&gt;"", if(BX5&gt;Setup!BX4,BT4*(1+Setup!BY4),if(BX5&lt;Setup!BW4,BT4*(1+Setup!BZ4),BT4)),BT4),CC4/'Quick Setup'!$E5)</f>
        <v>490</v>
      </c>
      <c r="CB4" s="35" t="s">
        <v>73</v>
      </c>
      <c r="CC4" s="36"/>
      <c r="CD4" s="37"/>
      <c r="CE4" s="37"/>
      <c r="CF4" s="37"/>
      <c r="CG4" s="37"/>
      <c r="CH4" s="34">
        <f>if(CJ4="", if(CE5&lt;&gt;"", if(CE5&gt;Setup!CE4,CA4*(1+Setup!CF4),if(CE5&lt;Setup!CD4,CA4*(1+Setup!CG4),CA4)),CA4),CJ4/'Quick Setup'!$E5)</f>
        <v>490</v>
      </c>
      <c r="CI4" s="35" t="s">
        <v>73</v>
      </c>
      <c r="CJ4" s="36"/>
      <c r="CK4" s="37"/>
      <c r="CL4" s="37"/>
      <c r="CM4" s="37"/>
      <c r="CN4" s="37"/>
      <c r="CO4" s="34">
        <f>if(CQ4="", if(CL5&lt;&gt;"", if(CL5&gt;Setup!CL4,CH4*(1+Setup!CM4),if(CL5&lt;Setup!CK4,CH4*(1+Setup!CN4),CH4)),CH4),CQ4/'Quick Setup'!$E5)</f>
        <v>490</v>
      </c>
      <c r="CP4" s="35" t="s">
        <v>73</v>
      </c>
      <c r="CQ4" s="36"/>
      <c r="CR4" s="37"/>
      <c r="CS4" s="37"/>
      <c r="CT4" s="37"/>
      <c r="CU4" s="37"/>
      <c r="CV4" s="34">
        <f>if(CX4="",CO4,CX4/'Quick Setup'!$E5)</f>
        <v>490</v>
      </c>
      <c r="CW4" s="35" t="s">
        <v>73</v>
      </c>
      <c r="CX4" s="36"/>
      <c r="CY4" s="37"/>
      <c r="CZ4" s="37"/>
      <c r="DA4" s="37"/>
      <c r="DB4" s="37"/>
      <c r="DC4" s="34">
        <f>if(DE4="", if(CZ5&lt;&gt;"", if(CZ5&gt;Setup!CZ4,CV4*(1+Setup!DA4),if(CZ5&lt;Setup!CY4,CV4*(1+Setup!DB4),CV4)),CV4),DE4/'Quick Setup'!$E5)</f>
        <v>490</v>
      </c>
      <c r="DD4" s="35" t="s">
        <v>73</v>
      </c>
      <c r="DE4" s="36"/>
      <c r="DF4" s="37"/>
      <c r="DG4" s="37"/>
      <c r="DH4" s="37"/>
      <c r="DI4" s="37"/>
      <c r="DJ4" s="34">
        <f>if(DL4="", if(DG5&lt;&gt;"", if(DG5&gt;Setup!DG4,DC4*(1+Setup!DH4),if(DG5&lt;Setup!DF4,DC4*(1+Setup!DI4),DC4)),DC4),DL4/'Quick Setup'!$E5)</f>
        <v>490</v>
      </c>
      <c r="DK4" s="35" t="s">
        <v>73</v>
      </c>
      <c r="DL4" s="36"/>
      <c r="DM4" s="37"/>
      <c r="DN4" s="37"/>
      <c r="DO4" s="37"/>
      <c r="DP4" s="37"/>
      <c r="DQ4" s="34">
        <f>if(DS4="", if(DN5&lt;&gt;"", if(DN5&gt;Setup!DN4,DJ4*(1+Setup!DO4),if(DN5&lt;Setup!DM4,DJ4*(1+Setup!DP4),DJ4)),DJ4),DS4/'Quick Setup'!$E5)</f>
        <v>490</v>
      </c>
      <c r="DR4" s="35" t="s">
        <v>73</v>
      </c>
      <c r="DS4" s="36"/>
      <c r="DT4" s="37"/>
      <c r="DU4" s="37"/>
      <c r="DV4" s="37"/>
      <c r="DW4" s="37"/>
      <c r="DX4" s="34">
        <f>if(DZ4="", if(DU5&lt;&gt;"", if(DU5&gt;Setup!DU4,DQ4*(1+Setup!DV4),if(DU5&lt;Setup!DT4,DQ4*(1+Setup!DW4),DQ4)),DQ4),DZ4/'Quick Setup'!$E5)</f>
        <v>490</v>
      </c>
      <c r="DY4" s="35" t="s">
        <v>73</v>
      </c>
      <c r="DZ4" s="36"/>
      <c r="EA4" s="37"/>
      <c r="EB4" s="37"/>
      <c r="EC4" s="37"/>
      <c r="ED4" s="37"/>
      <c r="EE4" s="34">
        <f>if(EG4="", if(EB5&lt;&gt;"", if(EB5&gt;Setup!EB4,DX4*(1+Setup!EC4),if(EB5&lt;Setup!EA4,DX4*(1+Setup!ED4),DX4)),DX4),EG4/'Quick Setup'!$E5)</f>
        <v>490</v>
      </c>
      <c r="EF4" s="35" t="s">
        <v>73</v>
      </c>
      <c r="EG4" s="36"/>
      <c r="EH4" s="37"/>
      <c r="EI4" s="37"/>
      <c r="EJ4" s="37"/>
      <c r="EK4" s="37"/>
      <c r="EL4" s="34">
        <f>if(EN4="", if(EI5&lt;&gt;"", if(EI5&gt;Setup!EI4,EE4*(1+Setup!EJ4),if(EI5&lt;Setup!EH4,EE4*(1+Setup!EK4),EE4)),EE4),EN4/'Quick Setup'!$E5)</f>
        <v>490</v>
      </c>
      <c r="EM4" s="35" t="s">
        <v>73</v>
      </c>
      <c r="EN4" s="36"/>
      <c r="EO4" s="37"/>
      <c r="EP4" s="37"/>
      <c r="EQ4" s="37"/>
      <c r="ER4" s="37"/>
    </row>
    <row r="5">
      <c r="A5" s="1" t="str">
        <f>Setup!A4</f>
        <v>Squat</v>
      </c>
      <c r="B5" s="38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0"/>
      <c r="G5" s="10"/>
      <c r="H5" s="10"/>
      <c r="I5" s="38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0"/>
      <c r="N5" s="10"/>
      <c r="O5" s="10"/>
      <c r="P5" s="38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0"/>
      <c r="U5" s="10"/>
      <c r="V5" s="10"/>
      <c r="W5" s="38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0"/>
      <c r="AB5" s="10"/>
      <c r="AC5" s="10"/>
      <c r="AD5" s="38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0"/>
      <c r="AI5" s="10"/>
      <c r="AJ5" s="10"/>
      <c r="AK5" s="38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0"/>
      <c r="AP5" s="10"/>
      <c r="AQ5" s="10"/>
      <c r="AR5" s="38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0"/>
      <c r="AW5" s="10"/>
      <c r="AX5" s="10"/>
      <c r="AY5" s="38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0"/>
      <c r="BD5" s="10"/>
      <c r="BE5" s="10"/>
      <c r="BF5" s="38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0"/>
      <c r="BK5" s="10"/>
      <c r="BL5" s="10"/>
      <c r="BM5" s="38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0"/>
      <c r="BR5" s="10"/>
      <c r="BS5" s="10"/>
      <c r="BT5" s="38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0"/>
      <c r="BY5" s="10"/>
      <c r="BZ5" s="10"/>
      <c r="CA5" s="38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0"/>
      <c r="CF5" s="10"/>
      <c r="CG5" s="10"/>
      <c r="CH5" s="38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0"/>
      <c r="CM5" s="10"/>
      <c r="CN5" s="10"/>
      <c r="CO5" s="38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0"/>
      <c r="CT5" s="10"/>
      <c r="CU5" s="10"/>
      <c r="CV5" s="38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0"/>
      <c r="DA5" s="10"/>
      <c r="DB5" s="10"/>
      <c r="DC5" s="38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0"/>
      <c r="DH5" s="10"/>
      <c r="DI5" s="10"/>
      <c r="DJ5" s="38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0"/>
      <c r="DO5" s="10"/>
      <c r="DP5" s="10"/>
      <c r="DQ5" s="38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0"/>
      <c r="DV5" s="10"/>
      <c r="DW5" s="10"/>
      <c r="DX5" s="38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0"/>
      <c r="EC5" s="10"/>
      <c r="ED5" s="10"/>
      <c r="EE5" s="38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0"/>
      <c r="EJ5" s="10"/>
      <c r="EK5" s="10"/>
      <c r="EL5" s="38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0"/>
      <c r="EQ5" s="10"/>
      <c r="ER5" s="10"/>
    </row>
    <row r="6" hidden="1">
      <c r="A6" s="33" t="str">
        <f>CONCATENATE(A7," TM")</f>
        <v>Paused Squat TM</v>
      </c>
      <c r="B6" s="34">
        <f>if(D6="",'Quick Setup'!D12,D6/'Quick Setup'!E12)</f>
        <v>460</v>
      </c>
      <c r="C6" s="35" t="s">
        <v>73</v>
      </c>
      <c r="D6" s="36"/>
      <c r="E6" s="37"/>
      <c r="F6" s="37"/>
      <c r="G6" s="37"/>
      <c r="H6" s="37"/>
      <c r="I6" s="34">
        <f>if(K6="", if(F7&lt;&gt;"", if(F7&gt;Setup!F11,B6*(1+Setup!G11),if(F7&lt;Setup!E11,B6*(1+Setup!H11),B6)),B6),K6/'Quick Setup'!$E12)</f>
        <v>460</v>
      </c>
      <c r="J6" s="35" t="s">
        <v>73</v>
      </c>
      <c r="K6" s="36"/>
      <c r="L6" s="37"/>
      <c r="M6" s="37"/>
      <c r="N6" s="37"/>
      <c r="O6" s="37"/>
      <c r="P6" s="34">
        <f>if(R6="", if(M7&lt;&gt;"", if(M7&gt;Setup!M11,I6*(1+Setup!N11),if(M7&lt;Setup!L11,I6*(1+Setup!O11),I6)),I6),R6/'Quick Setup'!$E12)</f>
        <v>460</v>
      </c>
      <c r="Q6" s="35" t="s">
        <v>73</v>
      </c>
      <c r="R6" s="36"/>
      <c r="S6" s="37"/>
      <c r="T6" s="37"/>
      <c r="U6" s="37"/>
      <c r="V6" s="37"/>
      <c r="W6" s="34">
        <f>if(Y6="", if(T7&lt;&gt;"", if(T7&gt;Setup!T11,P6*(1+Setup!U11),if(T7&lt;Setup!S11,P6*(1+Setup!V11),P6)),P6),Y6/'Quick Setup'!$E12)</f>
        <v>460</v>
      </c>
      <c r="X6" s="35" t="s">
        <v>73</v>
      </c>
      <c r="Y6" s="36"/>
      <c r="Z6" s="37"/>
      <c r="AA6" s="37"/>
      <c r="AB6" s="37"/>
      <c r="AC6" s="37"/>
      <c r="AD6" s="34">
        <f>if(AF6="", if(AA7&lt;&gt;"", if(AA7&gt;Setup!AA11,W6*(1+Setup!AB11),if(AA7&lt;Setup!Z11,W6*(1+Setup!AC11),W6)),W6),AF6/'Quick Setup'!$E12)</f>
        <v>460</v>
      </c>
      <c r="AE6" s="35" t="s">
        <v>73</v>
      </c>
      <c r="AF6" s="36"/>
      <c r="AG6" s="37"/>
      <c r="AH6" s="37"/>
      <c r="AI6" s="37"/>
      <c r="AJ6" s="37"/>
      <c r="AK6" s="34">
        <f>if(AM6="", if(AH7&lt;&gt;"", if(AH7&gt;Setup!AH11,AD6*(1+Setup!AI11),if(AH7&lt;Setup!AG11,AD6*(1+Setup!AJ11),AD6)),AD6),AM6/'Quick Setup'!$E12)</f>
        <v>460</v>
      </c>
      <c r="AL6" s="35" t="s">
        <v>73</v>
      </c>
      <c r="AM6" s="36"/>
      <c r="AN6" s="37"/>
      <c r="AO6" s="37"/>
      <c r="AP6" s="37"/>
      <c r="AQ6" s="37"/>
      <c r="AR6" s="34">
        <f>if(AT6="", if(AO7&lt;&gt;"", if(AO7&gt;Setup!AO11,AK6*(1+Setup!AP11),if(AO7&lt;Setup!AN11,AK6*(1+Setup!AQ11),AK6)),AK6),AT6/'Quick Setup'!$E12)</f>
        <v>460</v>
      </c>
      <c r="AS6" s="35" t="s">
        <v>73</v>
      </c>
      <c r="AT6" s="36"/>
      <c r="AU6" s="37"/>
      <c r="AV6" s="37"/>
      <c r="AW6" s="37"/>
      <c r="AX6" s="37"/>
      <c r="AY6" s="34">
        <f>if(BA6="",AR6,BA6/'Quick Setup'!$E12)</f>
        <v>460</v>
      </c>
      <c r="AZ6" s="35" t="s">
        <v>73</v>
      </c>
      <c r="BA6" s="36"/>
      <c r="BB6" s="37"/>
      <c r="BC6" s="37"/>
      <c r="BD6" s="37"/>
      <c r="BE6" s="37"/>
      <c r="BF6" s="34">
        <f>if(BH6="", if(BC7&lt;&gt;"", if(BC7&gt;Setup!BC11,AY6*(1+Setup!BD11),if(BC7&lt;Setup!BB11,AY6*(1+Setup!BE11),AY6)),AY6),BH6/'Quick Setup'!$E12)</f>
        <v>460</v>
      </c>
      <c r="BG6" s="35" t="s">
        <v>73</v>
      </c>
      <c r="BH6" s="36"/>
      <c r="BI6" s="37"/>
      <c r="BJ6" s="37"/>
      <c r="BK6" s="37"/>
      <c r="BL6" s="37"/>
      <c r="BM6" s="34">
        <f>if(BO6="", if(BJ7&lt;&gt;"", if(BJ7&gt;Setup!BJ11,BF6*(1+Setup!BK11),if(BJ7&lt;Setup!BI11,BF6*(1+Setup!BL11),BF6)),BF6),BO6/'Quick Setup'!$E12)</f>
        <v>460</v>
      </c>
      <c r="BN6" s="35" t="s">
        <v>73</v>
      </c>
      <c r="BO6" s="36"/>
      <c r="BP6" s="37"/>
      <c r="BQ6" s="37"/>
      <c r="BR6" s="37"/>
      <c r="BS6" s="37"/>
      <c r="BT6" s="34">
        <f>if(BV6="", if(BQ7&lt;&gt;"", if(BQ7&gt;Setup!BQ11,BM6*(1+Setup!BR11),if(BQ7&lt;Setup!BP11,BM6*(1+Setup!BS11),BM6)),BM6),BV6/'Quick Setup'!$E12)</f>
        <v>460</v>
      </c>
      <c r="BU6" s="35" t="s">
        <v>73</v>
      </c>
      <c r="BV6" s="36"/>
      <c r="BW6" s="37"/>
      <c r="BX6" s="37"/>
      <c r="BY6" s="37"/>
      <c r="BZ6" s="37"/>
      <c r="CA6" s="34">
        <f>if(CC6="", if(BX7&lt;&gt;"", if(BX7&gt;Setup!BX11,BT6*(1+Setup!BY11),if(BX7&lt;Setup!BW11,BT6*(1+Setup!BZ11),BT6)),BT6),CC6/'Quick Setup'!$E12)</f>
        <v>460</v>
      </c>
      <c r="CB6" s="35" t="s">
        <v>73</v>
      </c>
      <c r="CC6" s="36"/>
      <c r="CD6" s="37"/>
      <c r="CE6" s="37"/>
      <c r="CF6" s="37"/>
      <c r="CG6" s="37"/>
      <c r="CH6" s="34">
        <f>if(CJ6="", if(CE7&lt;&gt;"", if(CE7&gt;Setup!CE11,CA6*(1+Setup!CF11),if(CE7&lt;Setup!CD11,CA6*(1+Setup!CG11),CA6)),CA6),CJ6/'Quick Setup'!$E12)</f>
        <v>460</v>
      </c>
      <c r="CI6" s="35" t="s">
        <v>73</v>
      </c>
      <c r="CJ6" s="36"/>
      <c r="CK6" s="37"/>
      <c r="CL6" s="37"/>
      <c r="CM6" s="37"/>
      <c r="CN6" s="37"/>
      <c r="CO6" s="34">
        <f>if(CQ6="", if(CL7&lt;&gt;"", if(CL7&gt;Setup!CL11,CH6*(1+Setup!CM11),if(CL7&lt;Setup!CK11,CH6*(1+Setup!CN11),CH6)),CH6),CQ6/'Quick Setup'!$E12)</f>
        <v>460</v>
      </c>
      <c r="CP6" s="35" t="s">
        <v>73</v>
      </c>
      <c r="CQ6" s="36"/>
      <c r="CR6" s="37"/>
      <c r="CS6" s="37"/>
      <c r="CT6" s="37"/>
      <c r="CU6" s="37"/>
      <c r="CV6" s="34">
        <f>if(CX6="",CO6,CX6/'Quick Setup'!$E12)</f>
        <v>460</v>
      </c>
      <c r="CW6" s="35" t="s">
        <v>73</v>
      </c>
      <c r="CX6" s="36"/>
      <c r="CY6" s="37"/>
      <c r="CZ6" s="37"/>
      <c r="DA6" s="37"/>
      <c r="DB6" s="37"/>
      <c r="DC6" s="34">
        <f>if(DE6="", if(CZ7&lt;&gt;"", if(CZ7&gt;Setup!CZ11,CV6*(1+Setup!DA11),if(CZ7&lt;Setup!CY11,CV6*(1+Setup!DB11),CV6)),CV6),DE6/'Quick Setup'!$E12)</f>
        <v>460</v>
      </c>
      <c r="DD6" s="35" t="s">
        <v>73</v>
      </c>
      <c r="DE6" s="36"/>
      <c r="DF6" s="37"/>
      <c r="DG6" s="37"/>
      <c r="DH6" s="37"/>
      <c r="DI6" s="37"/>
      <c r="DJ6" s="34">
        <f>if(DL6="", if(DG7&lt;&gt;"", if(DG7&gt;Setup!DG11,DC6*(1+Setup!DH11),if(DG7&lt;Setup!DF11,DC6*(1+Setup!DI11),DC6)),DC6),DL6/'Quick Setup'!$E12)</f>
        <v>460</v>
      </c>
      <c r="DK6" s="35" t="s">
        <v>73</v>
      </c>
      <c r="DL6" s="36"/>
      <c r="DM6" s="37"/>
      <c r="DN6" s="37"/>
      <c r="DO6" s="37"/>
      <c r="DP6" s="37"/>
      <c r="DQ6" s="34">
        <f>if(DS6="", if(DN7&lt;&gt;"", if(DN7&gt;Setup!DN11,DJ6*(1+Setup!DO11),if(DN7&lt;Setup!DM11,DJ6*(1+Setup!DP11),DJ6)),DJ6),DS6/'Quick Setup'!$E12)</f>
        <v>460</v>
      </c>
      <c r="DR6" s="35" t="s">
        <v>73</v>
      </c>
      <c r="DS6" s="36"/>
      <c r="DT6" s="37"/>
      <c r="DU6" s="37"/>
      <c r="DV6" s="37"/>
      <c r="DW6" s="37"/>
      <c r="DX6" s="34">
        <f>if(DZ6="", if(DU7&lt;&gt;"", if(DU7&gt;Setup!DU11,DQ6*(1+Setup!DV11),if(DU7&lt;Setup!DT11,DQ6*(1+Setup!DW11),DQ6)),DQ6),DZ6/'Quick Setup'!$E12)</f>
        <v>460</v>
      </c>
      <c r="DY6" s="35" t="s">
        <v>73</v>
      </c>
      <c r="DZ6" s="36"/>
      <c r="EA6" s="37"/>
      <c r="EB6" s="37"/>
      <c r="EC6" s="37"/>
      <c r="ED6" s="37"/>
      <c r="EE6" s="34">
        <f>if(EG6="", if(EB7&lt;&gt;"", if(EB7&gt;Setup!EB11,DX6*(1+Setup!EC11),if(EB7&lt;Setup!EA11,DX6*(1+Setup!ED11),DX6)),DX6),EG6/'Quick Setup'!$E12)</f>
        <v>460</v>
      </c>
      <c r="EF6" s="35" t="s">
        <v>73</v>
      </c>
      <c r="EG6" s="36"/>
      <c r="EH6" s="37"/>
      <c r="EI6" s="37"/>
      <c r="EJ6" s="37"/>
      <c r="EK6" s="37"/>
      <c r="EL6" s="34">
        <f>if(EN6="", if(EI7&lt;&gt;"", if(EI7&gt;Setup!EI11,EE6*(1+Setup!EJ11),if(EI7&lt;Setup!EH11,EE6*(1+Setup!EK11),EE6)),EE6),EN6/'Quick Setup'!$E12)</f>
        <v>460</v>
      </c>
      <c r="EM6" s="35" t="s">
        <v>73</v>
      </c>
      <c r="EN6" s="36"/>
      <c r="EO6" s="37"/>
      <c r="EP6" s="37"/>
      <c r="EQ6" s="37"/>
      <c r="ER6" s="37"/>
    </row>
    <row r="7">
      <c r="A7" s="1" t="str">
        <f>Setup!A11</f>
        <v>Paused Squat</v>
      </c>
      <c r="B7" s="38">
        <f>mround(B6*Setup!B11,'Quick Setup'!$A$2)</f>
        <v>275</v>
      </c>
      <c r="C7" s="2">
        <f>Setup!C11</f>
        <v>7</v>
      </c>
      <c r="D7" s="2">
        <f>Setup!D11</f>
        <v>4</v>
      </c>
      <c r="E7" s="2" t="str">
        <f>CONCATENATE(Setup!E11,"-",Setup!F11)</f>
        <v>4-6</v>
      </c>
      <c r="F7" s="10"/>
      <c r="G7" s="10"/>
      <c r="H7" s="10"/>
      <c r="I7" s="38">
        <f>mround(I6*Setup!I11,'Quick Setup'!$A$2)</f>
        <v>300</v>
      </c>
      <c r="J7" s="2">
        <f>Setup!J11</f>
        <v>6</v>
      </c>
      <c r="K7" s="2">
        <f>Setup!K11</f>
        <v>4</v>
      </c>
      <c r="L7" s="2" t="str">
        <f>CONCATENATE(Setup!L11,"-",Setup!M11)</f>
        <v>4-6</v>
      </c>
      <c r="M7" s="10"/>
      <c r="N7" s="10"/>
      <c r="O7" s="10"/>
      <c r="P7" s="38">
        <f>mround(P6*Setup!P11,'Quick Setup'!$A$2)</f>
        <v>322.5</v>
      </c>
      <c r="Q7" s="2">
        <f>Setup!Q11</f>
        <v>5</v>
      </c>
      <c r="R7" s="2">
        <f>Setup!R11</f>
        <v>3</v>
      </c>
      <c r="S7" s="2" t="str">
        <f>CONCATENATE(Setup!S11,"-",Setup!T11)</f>
        <v>4-6</v>
      </c>
      <c r="T7" s="10"/>
      <c r="U7" s="10"/>
      <c r="V7" s="10"/>
      <c r="W7" s="38">
        <f>mround(W6*Setup!W11,'Quick Setup'!$A$2)</f>
        <v>287.5</v>
      </c>
      <c r="X7" s="2">
        <f>Setup!X11</f>
        <v>7</v>
      </c>
      <c r="Y7" s="2">
        <f>Setup!Y11</f>
        <v>4</v>
      </c>
      <c r="Z7" s="2" t="str">
        <f>CONCATENATE(Setup!Z11,"-",Setup!AA11)</f>
        <v>4-6</v>
      </c>
      <c r="AA7" s="10"/>
      <c r="AB7" s="10"/>
      <c r="AC7" s="10"/>
      <c r="AD7" s="38">
        <f>mround(AD6*Setup!AD11,'Quick Setup'!$A$2)</f>
        <v>310</v>
      </c>
      <c r="AE7" s="2">
        <f>Setup!AE11</f>
        <v>6</v>
      </c>
      <c r="AF7" s="2">
        <f>Setup!AF11</f>
        <v>4</v>
      </c>
      <c r="AG7" s="2" t="str">
        <f>CONCATENATE(Setup!AG11,"-",Setup!AH11)</f>
        <v>4-6</v>
      </c>
      <c r="AH7" s="10"/>
      <c r="AI7" s="10"/>
      <c r="AJ7" s="10"/>
      <c r="AK7" s="38">
        <f>mround(AK6*Setup!AK11,'Quick Setup'!$A$2)</f>
        <v>332.5</v>
      </c>
      <c r="AL7" s="2">
        <f>Setup!AL11</f>
        <v>5</v>
      </c>
      <c r="AM7" s="2">
        <f>Setup!AM11</f>
        <v>3</v>
      </c>
      <c r="AN7" s="2" t="str">
        <f>CONCATENATE(Setup!AN11,"-",Setup!AO11)</f>
        <v>4-6</v>
      </c>
      <c r="AO7" s="10"/>
      <c r="AP7" s="10"/>
      <c r="AQ7" s="10"/>
      <c r="AR7" s="38">
        <f>mround(AR6*Setup!AR11,'Quick Setup'!$A$2)</f>
        <v>230</v>
      </c>
      <c r="AS7" s="1">
        <v>5.0</v>
      </c>
      <c r="AT7" s="1" t="s">
        <v>76</v>
      </c>
      <c r="AU7" s="2" t="str">
        <f>CONCATENATE(Setup!AU11,"-",Setup!AV11)</f>
        <v>4-6</v>
      </c>
      <c r="AV7" s="10"/>
      <c r="AW7" s="10"/>
      <c r="AX7" s="10"/>
      <c r="AY7" s="38">
        <f>mround(AY6*Setup!AY11,'Quick Setup'!$A$2)</f>
        <v>300</v>
      </c>
      <c r="AZ7" s="2">
        <f>Setup!AZ11</f>
        <v>6</v>
      </c>
      <c r="BA7" s="2">
        <f>Setup!BA11</f>
        <v>4</v>
      </c>
      <c r="BB7" s="2" t="str">
        <f>CONCATENATE(Setup!BB11,"-",Setup!BC11)</f>
        <v>4-6</v>
      </c>
      <c r="BC7" s="10"/>
      <c r="BD7" s="10"/>
      <c r="BE7" s="10"/>
      <c r="BF7" s="38">
        <f>mround(BF6*Setup!BF11,'Quick Setup'!$A$2)</f>
        <v>322.5</v>
      </c>
      <c r="BG7" s="2">
        <f>Setup!BG11</f>
        <v>5</v>
      </c>
      <c r="BH7" s="2">
        <f>Setup!BH11</f>
        <v>3</v>
      </c>
      <c r="BI7" s="2" t="str">
        <f>CONCATENATE(Setup!BI11,"-",Setup!BJ11)</f>
        <v>4-6</v>
      </c>
      <c r="BJ7" s="10"/>
      <c r="BK7" s="10"/>
      <c r="BL7" s="10"/>
      <c r="BM7" s="38">
        <f>mround(BM6*Setup!BM11,'Quick Setup'!$A$2)</f>
        <v>345</v>
      </c>
      <c r="BN7" s="2">
        <f>Setup!BN11</f>
        <v>4</v>
      </c>
      <c r="BO7" s="2">
        <f>Setup!BO11</f>
        <v>3</v>
      </c>
      <c r="BP7" s="2" t="str">
        <f>CONCATENATE(Setup!BP11,"-",Setup!BQ11)</f>
        <v>4-6</v>
      </c>
      <c r="BQ7" s="10"/>
      <c r="BR7" s="10"/>
      <c r="BS7" s="10"/>
      <c r="BT7" s="38">
        <f>mround(BT6*Setup!BT11,'Quick Setup'!$A$2)</f>
        <v>310</v>
      </c>
      <c r="BU7" s="2">
        <f>Setup!BU11</f>
        <v>6</v>
      </c>
      <c r="BV7" s="2">
        <f>Setup!BV11</f>
        <v>4</v>
      </c>
      <c r="BW7" s="2" t="str">
        <f>CONCATENATE(Setup!BW11,"-",Setup!BX11)</f>
        <v>4-6</v>
      </c>
      <c r="BX7" s="10"/>
      <c r="BY7" s="10"/>
      <c r="BZ7" s="10"/>
      <c r="CA7" s="38">
        <f>mround(CA6*Setup!CA11,'Quick Setup'!$A$2)</f>
        <v>332.5</v>
      </c>
      <c r="CB7" s="2">
        <f>Setup!CB11</f>
        <v>5</v>
      </c>
      <c r="CC7" s="2">
        <f>Setup!CC11</f>
        <v>3</v>
      </c>
      <c r="CD7" s="2" t="str">
        <f>CONCATENATE(Setup!CD11,"-",Setup!CE11)</f>
        <v>4-6</v>
      </c>
      <c r="CE7" s="10"/>
      <c r="CF7" s="10"/>
      <c r="CG7" s="10"/>
      <c r="CH7" s="38">
        <f>mround(CH6*Setup!CH11,'Quick Setup'!$A$2)</f>
        <v>357.5</v>
      </c>
      <c r="CI7" s="2">
        <f>Setup!CI11</f>
        <v>4</v>
      </c>
      <c r="CJ7" s="2">
        <f>Setup!CJ11</f>
        <v>3</v>
      </c>
      <c r="CK7" s="2" t="str">
        <f>CONCATENATE(Setup!CK11,"-",Setup!CL11)</f>
        <v>4-6</v>
      </c>
      <c r="CL7" s="10"/>
      <c r="CM7" s="10"/>
      <c r="CN7" s="10"/>
      <c r="CO7" s="38">
        <f>mround(CO6*Setup!CO11,'Quick Setup'!$A$2)</f>
        <v>230</v>
      </c>
      <c r="CP7" s="1">
        <v>5.0</v>
      </c>
      <c r="CQ7" s="1" t="s">
        <v>76</v>
      </c>
      <c r="CR7" s="2" t="str">
        <f>CONCATENATE(Setup!CR11,"-",Setup!CS11)</f>
        <v>4-6</v>
      </c>
      <c r="CS7" s="10"/>
      <c r="CT7" s="10"/>
      <c r="CU7" s="10"/>
      <c r="CV7" s="38">
        <f>mround(CV6*Setup!CV11,'Quick Setup'!$A$2)</f>
        <v>322.5</v>
      </c>
      <c r="CW7" s="2">
        <f>Setup!CW11</f>
        <v>5</v>
      </c>
      <c r="CX7" s="2">
        <f>Setup!CX11</f>
        <v>3</v>
      </c>
      <c r="CY7" s="2" t="str">
        <f>CONCATENATE(Setup!CY11,"-",Setup!CZ11)</f>
        <v>4-6</v>
      </c>
      <c r="CZ7" s="10"/>
      <c r="DA7" s="10"/>
      <c r="DB7" s="10"/>
      <c r="DC7" s="38">
        <f>mround(DC6*Setup!DC11,'Quick Setup'!$A$2)</f>
        <v>345</v>
      </c>
      <c r="DD7" s="2">
        <f>Setup!DD11</f>
        <v>4</v>
      </c>
      <c r="DE7" s="2">
        <f>Setup!DE11</f>
        <v>3</v>
      </c>
      <c r="DF7" s="2" t="str">
        <f>CONCATENATE(Setup!DF11,"-",Setup!DG11)</f>
        <v>4-6</v>
      </c>
      <c r="DG7" s="10"/>
      <c r="DH7" s="10"/>
      <c r="DI7" s="10"/>
      <c r="DJ7" s="38">
        <f>mround(DJ6*Setup!DJ11,'Quick Setup'!$A$2)</f>
        <v>367.5</v>
      </c>
      <c r="DK7" s="2">
        <f>Setup!DK11</f>
        <v>3</v>
      </c>
      <c r="DL7" s="2">
        <f>Setup!DL11</f>
        <v>2</v>
      </c>
      <c r="DM7" s="2" t="str">
        <f>CONCATENATE(Setup!DM11,"-",Setup!DN11)</f>
        <v>4-6</v>
      </c>
      <c r="DN7" s="10"/>
      <c r="DO7" s="10"/>
      <c r="DP7" s="10"/>
      <c r="DQ7" s="38">
        <f>mround(DQ6*Setup!DQ11,'Quick Setup'!$A$2)</f>
        <v>345</v>
      </c>
      <c r="DR7" s="2">
        <f>Setup!DR11</f>
        <v>4</v>
      </c>
      <c r="DS7" s="2">
        <f>Setup!DS11</f>
        <v>3</v>
      </c>
      <c r="DT7" s="2" t="str">
        <f>CONCATENATE(Setup!DT11,"-",Setup!DU11)</f>
        <v>4-6</v>
      </c>
      <c r="DU7" s="10"/>
      <c r="DV7" s="10"/>
      <c r="DW7" s="10"/>
      <c r="DX7" s="38">
        <f>mround(DX6*Setup!DX11,'Quick Setup'!$A$2)</f>
        <v>367.5</v>
      </c>
      <c r="DY7" s="2">
        <f>Setup!DY11</f>
        <v>3</v>
      </c>
      <c r="DZ7" s="2">
        <f>Setup!DZ11</f>
        <v>2</v>
      </c>
      <c r="EA7" s="2" t="str">
        <f>CONCATENATE(Setup!EA11,"-",Setup!EB11)</f>
        <v>4-6</v>
      </c>
      <c r="EB7" s="10"/>
      <c r="EC7" s="10"/>
      <c r="ED7" s="10"/>
      <c r="EE7" s="38">
        <f>mround(EE6*Setup!EE11,'Quick Setup'!$A$2)</f>
        <v>390</v>
      </c>
      <c r="EF7" s="2">
        <f>Setup!EF11</f>
        <v>2</v>
      </c>
      <c r="EG7" s="2">
        <f>Setup!EG11</f>
        <v>2</v>
      </c>
      <c r="EH7" s="2" t="str">
        <f>CONCATENATE(Setup!EH11,"-",Setup!EI11)</f>
        <v>4-6</v>
      </c>
      <c r="EI7" s="10"/>
      <c r="EJ7" s="10"/>
      <c r="EK7" s="10"/>
      <c r="EL7" s="38">
        <f>mround(EL6*Setup!EL11,'Quick Setup'!$A$2)</f>
        <v>230</v>
      </c>
      <c r="EM7" s="1">
        <v>5.0</v>
      </c>
      <c r="EN7" s="1" t="s">
        <v>76</v>
      </c>
      <c r="EO7" s="2" t="str">
        <f>CONCATENATE(Setup!EO11,"-",Setup!EP11)</f>
        <v>4-6</v>
      </c>
      <c r="EP7" s="10"/>
      <c r="EQ7" s="10"/>
      <c r="ER7" s="10"/>
    </row>
    <row r="8">
      <c r="A8" s="5"/>
      <c r="B8" s="39"/>
      <c r="C8" s="10"/>
      <c r="D8" s="10"/>
      <c r="E8" s="10"/>
      <c r="F8" s="10"/>
      <c r="G8" s="10"/>
      <c r="H8" s="10"/>
      <c r="I8" s="39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39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39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39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39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39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39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39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39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39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39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39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39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39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39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39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39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39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39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39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77</v>
      </c>
      <c r="B9" s="38"/>
      <c r="C9" s="2"/>
      <c r="D9" s="2"/>
      <c r="E9" s="2"/>
      <c r="F9" s="2"/>
      <c r="G9" s="2"/>
      <c r="H9" s="2"/>
      <c r="I9" s="38"/>
      <c r="J9" s="2"/>
      <c r="K9" s="2"/>
      <c r="L9" s="2"/>
      <c r="M9" s="2"/>
      <c r="N9" s="2"/>
      <c r="O9" s="2"/>
      <c r="P9" s="38"/>
      <c r="Q9" s="2"/>
      <c r="R9" s="2"/>
      <c r="S9" s="2"/>
      <c r="T9" s="2"/>
      <c r="U9" s="2"/>
      <c r="V9" s="2"/>
      <c r="W9" s="38"/>
      <c r="X9" s="2"/>
      <c r="Y9" s="2"/>
      <c r="Z9" s="2"/>
      <c r="AA9" s="2"/>
      <c r="AB9" s="2"/>
      <c r="AC9" s="2"/>
      <c r="AD9" s="38"/>
      <c r="AE9" s="2"/>
      <c r="AF9" s="2"/>
      <c r="AG9" s="2"/>
      <c r="AH9" s="2"/>
      <c r="AI9" s="2"/>
      <c r="AJ9" s="2"/>
      <c r="AK9" s="38"/>
      <c r="AL9" s="2"/>
      <c r="AM9" s="2"/>
      <c r="AN9" s="2"/>
      <c r="AO9" s="2"/>
      <c r="AP9" s="2"/>
      <c r="AQ9" s="2"/>
      <c r="AR9" s="38"/>
      <c r="AS9" s="2"/>
      <c r="AT9" s="2"/>
      <c r="AU9" s="2"/>
      <c r="AV9" s="2"/>
      <c r="AW9" s="2"/>
      <c r="AX9" s="2"/>
      <c r="AY9" s="38"/>
      <c r="AZ9" s="2"/>
      <c r="BA9" s="2"/>
      <c r="BB9" s="2"/>
      <c r="BC9" s="2"/>
      <c r="BD9" s="2"/>
      <c r="BE9" s="2"/>
      <c r="BF9" s="38"/>
      <c r="BG9" s="2"/>
      <c r="BH9" s="2"/>
      <c r="BI9" s="2"/>
      <c r="BJ9" s="2"/>
      <c r="BK9" s="2"/>
      <c r="BL9" s="2"/>
      <c r="BM9" s="38"/>
      <c r="BN9" s="2"/>
      <c r="BO9" s="2"/>
      <c r="BP9" s="2"/>
      <c r="BQ9" s="2"/>
      <c r="BR9" s="2"/>
      <c r="BS9" s="2"/>
      <c r="BT9" s="38"/>
      <c r="BU9" s="2"/>
      <c r="BV9" s="2"/>
      <c r="BW9" s="2"/>
      <c r="BX9" s="2"/>
      <c r="BY9" s="2"/>
      <c r="BZ9" s="2"/>
      <c r="CA9" s="38"/>
      <c r="CB9" s="2"/>
      <c r="CC9" s="2"/>
      <c r="CD9" s="2"/>
      <c r="CE9" s="2"/>
      <c r="CF9" s="2"/>
      <c r="CG9" s="2"/>
      <c r="CH9" s="38"/>
      <c r="CI9" s="2"/>
      <c r="CJ9" s="2"/>
      <c r="CK9" s="2"/>
      <c r="CL9" s="2"/>
      <c r="CM9" s="2"/>
      <c r="CN9" s="2"/>
      <c r="CO9" s="38"/>
      <c r="CP9" s="2"/>
      <c r="CQ9" s="2"/>
      <c r="CR9" s="2"/>
      <c r="CS9" s="2"/>
      <c r="CT9" s="2"/>
      <c r="CU9" s="2"/>
      <c r="CV9" s="38"/>
      <c r="CW9" s="2"/>
      <c r="CX9" s="2"/>
      <c r="CY9" s="2"/>
      <c r="CZ9" s="2"/>
      <c r="DA9" s="2"/>
      <c r="DB9" s="2"/>
      <c r="DC9" s="38"/>
      <c r="DD9" s="2"/>
      <c r="DE9" s="2"/>
      <c r="DF9" s="2"/>
      <c r="DG9" s="2"/>
      <c r="DH9" s="2"/>
      <c r="DI9" s="2"/>
      <c r="DJ9" s="38"/>
      <c r="DK9" s="2"/>
      <c r="DL9" s="2"/>
      <c r="DM9" s="2"/>
      <c r="DN9" s="2"/>
      <c r="DO9" s="2"/>
      <c r="DP9" s="2"/>
      <c r="DQ9" s="38"/>
      <c r="DR9" s="2"/>
      <c r="DS9" s="2"/>
      <c r="DT9" s="2"/>
      <c r="DU9" s="2"/>
      <c r="DV9" s="2"/>
      <c r="DW9" s="2"/>
      <c r="DX9" s="38"/>
      <c r="DY9" s="2"/>
      <c r="DZ9" s="2"/>
      <c r="EA9" s="2"/>
      <c r="EB9" s="2"/>
      <c r="EC9" s="2"/>
      <c r="ED9" s="2"/>
      <c r="EE9" s="38"/>
      <c r="EF9" s="2"/>
      <c r="EG9" s="2"/>
      <c r="EH9" s="2"/>
      <c r="EI9" s="2"/>
      <c r="EJ9" s="2"/>
      <c r="EK9" s="2"/>
      <c r="EL9" s="38"/>
      <c r="EM9" s="2"/>
      <c r="EN9" s="2"/>
      <c r="EO9" s="2"/>
      <c r="EP9" s="2"/>
      <c r="EQ9" s="2"/>
      <c r="ER9" s="2"/>
    </row>
    <row r="10">
      <c r="A10" s="40"/>
      <c r="B10" s="39"/>
      <c r="C10" s="10"/>
      <c r="D10" s="10"/>
      <c r="E10" s="10"/>
      <c r="F10" s="10"/>
      <c r="G10" s="10"/>
      <c r="H10" s="10"/>
      <c r="I10" s="39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39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39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39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39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39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39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39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39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39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39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39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39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39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39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39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39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39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39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39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0"/>
      <c r="B11" s="39"/>
      <c r="C11" s="10"/>
      <c r="D11" s="10"/>
      <c r="E11" s="10"/>
      <c r="F11" s="10"/>
      <c r="G11" s="10"/>
      <c r="H11" s="10"/>
      <c r="I11" s="39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39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39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39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39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39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39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39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39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39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39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39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39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39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39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39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39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39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39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39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1"/>
      <c r="B12" s="42"/>
      <c r="C12" s="43"/>
      <c r="D12" s="43"/>
      <c r="E12" s="43"/>
      <c r="F12" s="43"/>
      <c r="G12" s="43"/>
      <c r="H12" s="43"/>
      <c r="I12" s="42" t="str">
        <f t="shared" ref="I12:M12" si="61">B12</f>
        <v/>
      </c>
      <c r="J12" s="43" t="str">
        <f t="shared" si="61"/>
        <v/>
      </c>
      <c r="K12" s="43" t="str">
        <f t="shared" si="61"/>
        <v/>
      </c>
      <c r="L12" s="43" t="str">
        <f t="shared" si="61"/>
        <v/>
      </c>
      <c r="M12" s="43" t="str">
        <f t="shared" si="61"/>
        <v/>
      </c>
      <c r="N12" s="43"/>
      <c r="O12" s="43"/>
      <c r="P12" s="42" t="str">
        <f t="shared" ref="P12:T12" si="62">I12</f>
        <v/>
      </c>
      <c r="Q12" s="43" t="str">
        <f t="shared" si="62"/>
        <v/>
      </c>
      <c r="R12" s="43" t="str">
        <f t="shared" si="62"/>
        <v/>
      </c>
      <c r="S12" s="43" t="str">
        <f t="shared" si="62"/>
        <v/>
      </c>
      <c r="T12" s="43" t="str">
        <f t="shared" si="62"/>
        <v/>
      </c>
      <c r="U12" s="43"/>
      <c r="V12" s="43"/>
      <c r="W12" s="42" t="str">
        <f t="shared" ref="W12:AA12" si="63">P12</f>
        <v/>
      </c>
      <c r="X12" s="43" t="str">
        <f t="shared" si="63"/>
        <v/>
      </c>
      <c r="Y12" s="43" t="str">
        <f t="shared" si="63"/>
        <v/>
      </c>
      <c r="Z12" s="43" t="str">
        <f t="shared" si="63"/>
        <v/>
      </c>
      <c r="AA12" s="43" t="str">
        <f t="shared" si="63"/>
        <v/>
      </c>
      <c r="AB12" s="43"/>
      <c r="AC12" s="43"/>
      <c r="AD12" s="42" t="str">
        <f t="shared" ref="AD12:AH12" si="64">W12</f>
        <v/>
      </c>
      <c r="AE12" s="43" t="str">
        <f t="shared" si="64"/>
        <v/>
      </c>
      <c r="AF12" s="43" t="str">
        <f t="shared" si="64"/>
        <v/>
      </c>
      <c r="AG12" s="43" t="str">
        <f t="shared" si="64"/>
        <v/>
      </c>
      <c r="AH12" s="43" t="str">
        <f t="shared" si="64"/>
        <v/>
      </c>
      <c r="AI12" s="43"/>
      <c r="AJ12" s="43"/>
      <c r="AK12" s="42" t="str">
        <f t="shared" ref="AK12:AO12" si="65">AD12</f>
        <v/>
      </c>
      <c r="AL12" s="43" t="str">
        <f t="shared" si="65"/>
        <v/>
      </c>
      <c r="AM12" s="43" t="str">
        <f t="shared" si="65"/>
        <v/>
      </c>
      <c r="AN12" s="43" t="str">
        <f t="shared" si="65"/>
        <v/>
      </c>
      <c r="AO12" s="43" t="str">
        <f t="shared" si="65"/>
        <v/>
      </c>
      <c r="AP12" s="43"/>
      <c r="AQ12" s="43"/>
      <c r="AR12" s="42" t="str">
        <f t="shared" ref="AR12:AV12" si="66">AK12</f>
        <v/>
      </c>
      <c r="AS12" s="43" t="str">
        <f t="shared" si="66"/>
        <v/>
      </c>
      <c r="AT12" s="43" t="str">
        <f t="shared" si="66"/>
        <v/>
      </c>
      <c r="AU12" s="43" t="str">
        <f t="shared" si="66"/>
        <v/>
      </c>
      <c r="AV12" s="43" t="str">
        <f t="shared" si="66"/>
        <v/>
      </c>
      <c r="AW12" s="43"/>
      <c r="AX12" s="43"/>
      <c r="AY12" s="42" t="str">
        <f t="shared" ref="AY12:BC12" si="67">AR12</f>
        <v/>
      </c>
      <c r="AZ12" s="43" t="str">
        <f t="shared" si="67"/>
        <v/>
      </c>
      <c r="BA12" s="43" t="str">
        <f t="shared" si="67"/>
        <v/>
      </c>
      <c r="BB12" s="43" t="str">
        <f t="shared" si="67"/>
        <v/>
      </c>
      <c r="BC12" s="43" t="str">
        <f t="shared" si="67"/>
        <v/>
      </c>
      <c r="BD12" s="43"/>
      <c r="BE12" s="43"/>
      <c r="BF12" s="42" t="str">
        <f t="shared" ref="BF12:BJ12" si="68">AY12</f>
        <v/>
      </c>
      <c r="BG12" s="43" t="str">
        <f t="shared" si="68"/>
        <v/>
      </c>
      <c r="BH12" s="43" t="str">
        <f t="shared" si="68"/>
        <v/>
      </c>
      <c r="BI12" s="43" t="str">
        <f t="shared" si="68"/>
        <v/>
      </c>
      <c r="BJ12" s="43" t="str">
        <f t="shared" si="68"/>
        <v/>
      </c>
      <c r="BK12" s="43"/>
      <c r="BL12" s="43"/>
      <c r="BM12" s="42" t="str">
        <f t="shared" ref="BM12:BQ12" si="69">BF12</f>
        <v/>
      </c>
      <c r="BN12" s="43" t="str">
        <f t="shared" si="69"/>
        <v/>
      </c>
      <c r="BO12" s="43" t="str">
        <f t="shared" si="69"/>
        <v/>
      </c>
      <c r="BP12" s="43" t="str">
        <f t="shared" si="69"/>
        <v/>
      </c>
      <c r="BQ12" s="43" t="str">
        <f t="shared" si="69"/>
        <v/>
      </c>
      <c r="BR12" s="43"/>
      <c r="BS12" s="43"/>
      <c r="BT12" s="42" t="str">
        <f t="shared" ref="BT12:BX12" si="70">BM12</f>
        <v/>
      </c>
      <c r="BU12" s="43" t="str">
        <f t="shared" si="70"/>
        <v/>
      </c>
      <c r="BV12" s="43" t="str">
        <f t="shared" si="70"/>
        <v/>
      </c>
      <c r="BW12" s="43" t="str">
        <f t="shared" si="70"/>
        <v/>
      </c>
      <c r="BX12" s="43" t="str">
        <f t="shared" si="70"/>
        <v/>
      </c>
      <c r="BY12" s="43"/>
      <c r="BZ12" s="43"/>
      <c r="CA12" s="42" t="str">
        <f t="shared" ref="CA12:CE12" si="71">BT12</f>
        <v/>
      </c>
      <c r="CB12" s="43" t="str">
        <f t="shared" si="71"/>
        <v/>
      </c>
      <c r="CC12" s="43" t="str">
        <f t="shared" si="71"/>
        <v/>
      </c>
      <c r="CD12" s="43" t="str">
        <f t="shared" si="71"/>
        <v/>
      </c>
      <c r="CE12" s="43" t="str">
        <f t="shared" si="71"/>
        <v/>
      </c>
      <c r="CF12" s="43"/>
      <c r="CG12" s="43"/>
      <c r="CH12" s="42" t="str">
        <f t="shared" ref="CH12:CL12" si="72">CA12</f>
        <v/>
      </c>
      <c r="CI12" s="43" t="str">
        <f t="shared" si="72"/>
        <v/>
      </c>
      <c r="CJ12" s="43" t="str">
        <f t="shared" si="72"/>
        <v/>
      </c>
      <c r="CK12" s="43" t="str">
        <f t="shared" si="72"/>
        <v/>
      </c>
      <c r="CL12" s="43" t="str">
        <f t="shared" si="72"/>
        <v/>
      </c>
      <c r="CM12" s="43"/>
      <c r="CN12" s="43"/>
      <c r="CO12" s="42" t="str">
        <f t="shared" ref="CO12:CS12" si="73">CH12</f>
        <v/>
      </c>
      <c r="CP12" s="43" t="str">
        <f t="shared" si="73"/>
        <v/>
      </c>
      <c r="CQ12" s="43" t="str">
        <f t="shared" si="73"/>
        <v/>
      </c>
      <c r="CR12" s="43" t="str">
        <f t="shared" si="73"/>
        <v/>
      </c>
      <c r="CS12" s="43" t="str">
        <f t="shared" si="73"/>
        <v/>
      </c>
      <c r="CT12" s="43"/>
      <c r="CU12" s="43"/>
      <c r="CV12" s="42" t="str">
        <f t="shared" ref="CV12:CZ12" si="74">CO12</f>
        <v/>
      </c>
      <c r="CW12" s="43" t="str">
        <f t="shared" si="74"/>
        <v/>
      </c>
      <c r="CX12" s="43" t="str">
        <f t="shared" si="74"/>
        <v/>
      </c>
      <c r="CY12" s="43" t="str">
        <f t="shared" si="74"/>
        <v/>
      </c>
      <c r="CZ12" s="43" t="str">
        <f t="shared" si="74"/>
        <v/>
      </c>
      <c r="DA12" s="43"/>
      <c r="DB12" s="43"/>
      <c r="DC12" s="42" t="str">
        <f t="shared" ref="DC12:DG12" si="75">CV12</f>
        <v/>
      </c>
      <c r="DD12" s="43" t="str">
        <f t="shared" si="75"/>
        <v/>
      </c>
      <c r="DE12" s="43" t="str">
        <f t="shared" si="75"/>
        <v/>
      </c>
      <c r="DF12" s="43" t="str">
        <f t="shared" si="75"/>
        <v/>
      </c>
      <c r="DG12" s="43" t="str">
        <f t="shared" si="75"/>
        <v/>
      </c>
      <c r="DH12" s="43"/>
      <c r="DI12" s="43"/>
      <c r="DJ12" s="42" t="str">
        <f t="shared" ref="DJ12:DN12" si="76">DC12</f>
        <v/>
      </c>
      <c r="DK12" s="43" t="str">
        <f t="shared" si="76"/>
        <v/>
      </c>
      <c r="DL12" s="43" t="str">
        <f t="shared" si="76"/>
        <v/>
      </c>
      <c r="DM12" s="43" t="str">
        <f t="shared" si="76"/>
        <v/>
      </c>
      <c r="DN12" s="43" t="str">
        <f t="shared" si="76"/>
        <v/>
      </c>
      <c r="DO12" s="43"/>
      <c r="DP12" s="43"/>
      <c r="DQ12" s="42" t="str">
        <f t="shared" ref="DQ12:DU12" si="77">DJ12</f>
        <v/>
      </c>
      <c r="DR12" s="43" t="str">
        <f t="shared" si="77"/>
        <v/>
      </c>
      <c r="DS12" s="43" t="str">
        <f t="shared" si="77"/>
        <v/>
      </c>
      <c r="DT12" s="43" t="str">
        <f t="shared" si="77"/>
        <v/>
      </c>
      <c r="DU12" s="43" t="str">
        <f t="shared" si="77"/>
        <v/>
      </c>
      <c r="DV12" s="43"/>
      <c r="DW12" s="43"/>
      <c r="DX12" s="42" t="str">
        <f t="shared" ref="DX12:EB12" si="78">DQ12</f>
        <v/>
      </c>
      <c r="DY12" s="43" t="str">
        <f t="shared" si="78"/>
        <v/>
      </c>
      <c r="DZ12" s="43" t="str">
        <f t="shared" si="78"/>
        <v/>
      </c>
      <c r="EA12" s="43" t="str">
        <f t="shared" si="78"/>
        <v/>
      </c>
      <c r="EB12" s="43" t="str">
        <f t="shared" si="78"/>
        <v/>
      </c>
      <c r="EC12" s="43"/>
      <c r="ED12" s="43"/>
      <c r="EE12" s="42" t="str">
        <f t="shared" ref="EE12:EI12" si="79">DX12</f>
        <v/>
      </c>
      <c r="EF12" s="43" t="str">
        <f t="shared" si="79"/>
        <v/>
      </c>
      <c r="EG12" s="43" t="str">
        <f t="shared" si="79"/>
        <v/>
      </c>
      <c r="EH12" s="43" t="str">
        <f t="shared" si="79"/>
        <v/>
      </c>
      <c r="EI12" s="43" t="str">
        <f t="shared" si="79"/>
        <v/>
      </c>
      <c r="EJ12" s="43"/>
      <c r="EK12" s="43"/>
      <c r="EL12" s="42" t="str">
        <f t="shared" ref="EL12:EP12" si="80">EE12</f>
        <v/>
      </c>
      <c r="EM12" s="43" t="str">
        <f t="shared" si="80"/>
        <v/>
      </c>
      <c r="EN12" s="43" t="str">
        <f t="shared" si="80"/>
        <v/>
      </c>
      <c r="EO12" s="43" t="str">
        <f t="shared" si="80"/>
        <v/>
      </c>
      <c r="EP12" s="43" t="str">
        <f t="shared" si="80"/>
        <v/>
      </c>
      <c r="EQ12" s="43"/>
      <c r="ER12" s="43"/>
    </row>
    <row r="13">
      <c r="A13" s="2"/>
      <c r="B13" s="38"/>
      <c r="C13" s="2"/>
      <c r="D13" s="2"/>
      <c r="E13" s="2"/>
      <c r="F13" s="2"/>
      <c r="G13" s="2"/>
      <c r="H13" s="2"/>
      <c r="I13" s="38"/>
      <c r="J13" s="2"/>
      <c r="K13" s="2"/>
      <c r="L13" s="2"/>
      <c r="M13" s="2"/>
      <c r="N13" s="2"/>
      <c r="O13" s="2"/>
      <c r="P13" s="38"/>
      <c r="Q13" s="2"/>
      <c r="R13" s="2"/>
      <c r="S13" s="2"/>
      <c r="T13" s="2"/>
      <c r="U13" s="2"/>
      <c r="V13" s="2"/>
      <c r="W13" s="38"/>
      <c r="X13" s="2"/>
      <c r="Y13" s="2"/>
      <c r="Z13" s="2"/>
      <c r="AA13" s="2"/>
      <c r="AB13" s="2"/>
      <c r="AC13" s="2"/>
      <c r="AD13" s="38"/>
      <c r="AE13" s="2"/>
      <c r="AF13" s="2"/>
      <c r="AG13" s="2"/>
      <c r="AH13" s="2"/>
      <c r="AI13" s="2"/>
      <c r="AJ13" s="2"/>
      <c r="AK13" s="38"/>
      <c r="AL13" s="2"/>
      <c r="AM13" s="2"/>
      <c r="AN13" s="2"/>
      <c r="AO13" s="2"/>
      <c r="AP13" s="2"/>
      <c r="AQ13" s="2"/>
      <c r="AR13" s="38"/>
      <c r="AS13" s="2"/>
      <c r="AT13" s="2"/>
      <c r="AU13" s="2"/>
      <c r="AV13" s="2"/>
      <c r="AW13" s="2"/>
      <c r="AX13" s="2"/>
      <c r="AY13" s="38"/>
      <c r="AZ13" s="2"/>
      <c r="BA13" s="2"/>
      <c r="BB13" s="2"/>
      <c r="BC13" s="2"/>
      <c r="BD13" s="2"/>
      <c r="BE13" s="2"/>
      <c r="BF13" s="38"/>
      <c r="BG13" s="2"/>
      <c r="BH13" s="2"/>
      <c r="BI13" s="2"/>
      <c r="BJ13" s="2"/>
      <c r="BK13" s="2"/>
      <c r="BL13" s="2"/>
      <c r="BM13" s="38"/>
      <c r="BN13" s="2"/>
      <c r="BO13" s="2"/>
      <c r="BP13" s="2"/>
      <c r="BQ13" s="2"/>
      <c r="BR13" s="2"/>
      <c r="BS13" s="2"/>
      <c r="BT13" s="38"/>
      <c r="BU13" s="2"/>
      <c r="BV13" s="2"/>
      <c r="BW13" s="2"/>
      <c r="BX13" s="2"/>
      <c r="BY13" s="2"/>
      <c r="BZ13" s="2"/>
      <c r="CA13" s="38"/>
      <c r="CB13" s="2"/>
      <c r="CC13" s="2"/>
      <c r="CD13" s="2"/>
      <c r="CE13" s="2"/>
      <c r="CF13" s="2"/>
      <c r="CG13" s="2"/>
      <c r="CH13" s="38"/>
      <c r="CI13" s="2"/>
      <c r="CJ13" s="2"/>
      <c r="CK13" s="2"/>
      <c r="CL13" s="2"/>
      <c r="CM13" s="2"/>
      <c r="CN13" s="2"/>
      <c r="CO13" s="38"/>
      <c r="CP13" s="2"/>
      <c r="CQ13" s="2"/>
      <c r="CR13" s="2"/>
      <c r="CS13" s="2"/>
      <c r="CT13" s="2"/>
      <c r="CU13" s="2"/>
      <c r="CV13" s="38"/>
      <c r="CW13" s="2"/>
      <c r="CX13" s="2"/>
      <c r="CY13" s="2"/>
      <c r="CZ13" s="2"/>
      <c r="DA13" s="2"/>
      <c r="DB13" s="2"/>
      <c r="DC13" s="38"/>
      <c r="DD13" s="2"/>
      <c r="DE13" s="2"/>
      <c r="DF13" s="2"/>
      <c r="DG13" s="2"/>
      <c r="DH13" s="2"/>
      <c r="DI13" s="2"/>
      <c r="DJ13" s="38"/>
      <c r="DK13" s="2"/>
      <c r="DL13" s="2"/>
      <c r="DM13" s="2"/>
      <c r="DN13" s="2"/>
      <c r="DO13" s="2"/>
      <c r="DP13" s="2"/>
      <c r="DQ13" s="38"/>
      <c r="DR13" s="2"/>
      <c r="DS13" s="2"/>
      <c r="DT13" s="2"/>
      <c r="DU13" s="2"/>
      <c r="DV13" s="2"/>
      <c r="DW13" s="2"/>
      <c r="DX13" s="38"/>
      <c r="DY13" s="2"/>
      <c r="DZ13" s="2"/>
      <c r="EA13" s="2"/>
      <c r="EB13" s="2"/>
      <c r="EC13" s="2"/>
      <c r="ED13" s="2"/>
      <c r="EE13" s="38"/>
      <c r="EF13" s="2"/>
      <c r="EG13" s="2"/>
      <c r="EH13" s="2"/>
      <c r="EI13" s="2"/>
      <c r="EJ13" s="2"/>
      <c r="EK13" s="2"/>
      <c r="EL13" s="38"/>
      <c r="EM13" s="2"/>
      <c r="EN13" s="2"/>
      <c r="EO13" s="2"/>
      <c r="EP13" s="2"/>
      <c r="EQ13" s="2"/>
      <c r="ER13" s="2"/>
    </row>
    <row r="14">
      <c r="A14" s="28" t="s">
        <v>78</v>
      </c>
      <c r="B14" s="29"/>
      <c r="C14" s="30"/>
      <c r="D14" s="30"/>
      <c r="E14" s="30"/>
      <c r="F14" s="30"/>
      <c r="G14" s="30"/>
      <c r="H14" s="30"/>
      <c r="I14" s="29"/>
      <c r="J14" s="30"/>
      <c r="K14" s="30"/>
      <c r="L14" s="30"/>
      <c r="M14" s="30"/>
      <c r="N14" s="30"/>
      <c r="O14" s="30"/>
      <c r="P14" s="29"/>
      <c r="Q14" s="30"/>
      <c r="R14" s="30"/>
      <c r="S14" s="30"/>
      <c r="T14" s="30"/>
      <c r="U14" s="30"/>
      <c r="V14" s="30"/>
      <c r="W14" s="29"/>
      <c r="X14" s="30"/>
      <c r="Y14" s="30"/>
      <c r="Z14" s="30"/>
      <c r="AA14" s="30"/>
      <c r="AB14" s="30"/>
      <c r="AC14" s="30"/>
      <c r="AD14" s="29"/>
      <c r="AE14" s="30"/>
      <c r="AF14" s="30"/>
      <c r="AG14" s="30"/>
      <c r="AH14" s="30"/>
      <c r="AI14" s="30"/>
      <c r="AJ14" s="30"/>
      <c r="AK14" s="29"/>
      <c r="AL14" s="30"/>
      <c r="AM14" s="30"/>
      <c r="AN14" s="30"/>
      <c r="AO14" s="30"/>
      <c r="AP14" s="30"/>
      <c r="AQ14" s="30"/>
      <c r="AR14" s="29"/>
      <c r="AS14" s="30"/>
      <c r="AT14" s="30"/>
      <c r="AU14" s="30"/>
      <c r="AV14" s="30"/>
      <c r="AW14" s="30"/>
      <c r="AX14" s="30"/>
      <c r="AY14" s="29"/>
      <c r="AZ14" s="30"/>
      <c r="BA14" s="30"/>
      <c r="BB14" s="30"/>
      <c r="BC14" s="30"/>
      <c r="BD14" s="30"/>
      <c r="BE14" s="30"/>
      <c r="BF14" s="29"/>
      <c r="BG14" s="30"/>
      <c r="BH14" s="30"/>
      <c r="BI14" s="30"/>
      <c r="BJ14" s="30"/>
      <c r="BK14" s="30"/>
      <c r="BL14" s="30"/>
      <c r="BM14" s="29"/>
      <c r="BN14" s="30"/>
      <c r="BO14" s="30"/>
      <c r="BP14" s="30"/>
      <c r="BQ14" s="30"/>
      <c r="BR14" s="30"/>
      <c r="BS14" s="30"/>
      <c r="BT14" s="29"/>
      <c r="BU14" s="30"/>
      <c r="BV14" s="30"/>
      <c r="BW14" s="30"/>
      <c r="BX14" s="30"/>
      <c r="BY14" s="30"/>
      <c r="BZ14" s="30"/>
      <c r="CA14" s="29"/>
      <c r="CB14" s="30"/>
      <c r="CC14" s="30"/>
      <c r="CD14" s="30"/>
      <c r="CE14" s="30"/>
      <c r="CF14" s="30"/>
      <c r="CG14" s="30"/>
      <c r="CH14" s="29"/>
      <c r="CI14" s="30"/>
      <c r="CJ14" s="30"/>
      <c r="CK14" s="30"/>
      <c r="CL14" s="30"/>
      <c r="CM14" s="30"/>
      <c r="CN14" s="30"/>
      <c r="CO14" s="29"/>
      <c r="CP14" s="30"/>
      <c r="CQ14" s="30"/>
      <c r="CR14" s="30"/>
      <c r="CS14" s="30"/>
      <c r="CT14" s="30"/>
      <c r="CU14" s="30"/>
      <c r="CV14" s="29"/>
      <c r="CW14" s="30"/>
      <c r="CX14" s="30"/>
      <c r="CY14" s="30"/>
      <c r="CZ14" s="30"/>
      <c r="DA14" s="30"/>
      <c r="DB14" s="30"/>
      <c r="DC14" s="29"/>
      <c r="DD14" s="30"/>
      <c r="DE14" s="30"/>
      <c r="DF14" s="30"/>
      <c r="DG14" s="30"/>
      <c r="DH14" s="30"/>
      <c r="DI14" s="30"/>
      <c r="DJ14" s="29"/>
      <c r="DK14" s="30"/>
      <c r="DL14" s="30"/>
      <c r="DM14" s="30"/>
      <c r="DN14" s="30"/>
      <c r="DO14" s="30"/>
      <c r="DP14" s="30"/>
      <c r="DQ14" s="29"/>
      <c r="DR14" s="30"/>
      <c r="DS14" s="30"/>
      <c r="DT14" s="30"/>
      <c r="DU14" s="30"/>
      <c r="DV14" s="30"/>
      <c r="DW14" s="30"/>
      <c r="DX14" s="29"/>
      <c r="DY14" s="30"/>
      <c r="DZ14" s="30"/>
      <c r="EA14" s="30"/>
      <c r="EB14" s="30"/>
      <c r="EC14" s="30"/>
      <c r="ED14" s="30"/>
      <c r="EE14" s="31" t="s">
        <v>75</v>
      </c>
      <c r="EF14" s="32"/>
      <c r="EG14" s="32"/>
      <c r="EH14" s="32"/>
      <c r="EI14" s="32"/>
      <c r="EJ14" s="32"/>
      <c r="EK14" s="32"/>
      <c r="EL14" s="29"/>
      <c r="EM14" s="30"/>
      <c r="EN14" s="30"/>
      <c r="EO14" s="30"/>
      <c r="EP14" s="30"/>
      <c r="EQ14" s="30"/>
      <c r="ER14" s="30"/>
    </row>
    <row r="15" hidden="1">
      <c r="A15" s="33" t="str">
        <f>CONCATENATE(A16," TM")</f>
        <v>Bench Press TM</v>
      </c>
      <c r="B15" s="34">
        <f>if(D15="",'Quick Setup'!D6,D15/'Quick Setup'!E6)</f>
        <v>325</v>
      </c>
      <c r="C15" s="35" t="s">
        <v>73</v>
      </c>
      <c r="D15" s="36"/>
      <c r="E15" s="37"/>
      <c r="F15" s="37"/>
      <c r="G15" s="37"/>
      <c r="H15" s="37"/>
      <c r="I15" s="34">
        <f>if(K15="", if(F16&lt;&gt;"", if(F16&gt;Setup!F5,B15*(1+Setup!G5),if(F16&lt;Setup!E5,B15*(1+Setup!H5),B15)),B15),K15/'Quick Setup'!$E6)</f>
        <v>325</v>
      </c>
      <c r="J15" s="35" t="s">
        <v>73</v>
      </c>
      <c r="K15" s="36"/>
      <c r="L15" s="37"/>
      <c r="M15" s="37"/>
      <c r="N15" s="37"/>
      <c r="O15" s="37"/>
      <c r="P15" s="34">
        <f>if(R15="", if(M16&lt;&gt;"", if(M16&gt;Setup!M5,I15*(1+Setup!N5),if(M16&lt;Setup!L5,I15*(1+Setup!O5),I15)),I15),R15/'Quick Setup'!$E6)</f>
        <v>325</v>
      </c>
      <c r="Q15" s="35" t="s">
        <v>73</v>
      </c>
      <c r="R15" s="36"/>
      <c r="S15" s="37"/>
      <c r="T15" s="37"/>
      <c r="U15" s="37"/>
      <c r="V15" s="37"/>
      <c r="W15" s="34">
        <f>if(Y15="", if(T16&lt;&gt;"", if(T16&gt;Setup!T5,P15*(1+Setup!U5),if(T16&lt;Setup!S5,P15*(1+Setup!V5),P15)),P15),Y15/'Quick Setup'!$E6)</f>
        <v>325</v>
      </c>
      <c r="X15" s="35" t="s">
        <v>73</v>
      </c>
      <c r="Y15" s="36"/>
      <c r="Z15" s="37"/>
      <c r="AA15" s="37"/>
      <c r="AB15" s="37"/>
      <c r="AC15" s="37"/>
      <c r="AD15" s="34">
        <f>if(AF15="", if(AA16&lt;&gt;"", if(AA16&gt;Setup!AA5,W15*(1+Setup!AB5),if(AA16&lt;Setup!Z5,W15*(1+Setup!AC5),W15)),W15),AF15/'Quick Setup'!$E6)</f>
        <v>325</v>
      </c>
      <c r="AE15" s="35" t="s">
        <v>73</v>
      </c>
      <c r="AF15" s="36"/>
      <c r="AG15" s="37"/>
      <c r="AH15" s="37"/>
      <c r="AI15" s="37"/>
      <c r="AJ15" s="37"/>
      <c r="AK15" s="34">
        <f>if(AM15="", if(AH16&lt;&gt;"", if(AH16&gt;Setup!AH5,AD15*(1+Setup!AI5),if(AH16&lt;Setup!AG5,AD15*(1+Setup!AJ5),AD15)),AD15),AM15/'Quick Setup'!$E6)</f>
        <v>325</v>
      </c>
      <c r="AL15" s="35" t="s">
        <v>73</v>
      </c>
      <c r="AM15" s="36"/>
      <c r="AN15" s="37"/>
      <c r="AO15" s="37"/>
      <c r="AP15" s="37"/>
      <c r="AQ15" s="37"/>
      <c r="AR15" s="34">
        <f>if(AT15="", if(AO16&lt;&gt;"", if(AO16&gt;Setup!AO5,AK15*(1+Setup!AP5),if(AO16&lt;Setup!AN5,AK15*(1+Setup!AQ5),AK15)),AK15),AT15/'Quick Setup'!$E6)</f>
        <v>325</v>
      </c>
      <c r="AS15" s="35" t="s">
        <v>73</v>
      </c>
      <c r="AT15" s="36"/>
      <c r="AU15" s="37"/>
      <c r="AV15" s="37"/>
      <c r="AW15" s="37"/>
      <c r="AX15" s="37"/>
      <c r="AY15" s="34">
        <f>if(BA15="",AR15,BA15/'Quick Setup'!$E6)</f>
        <v>325</v>
      </c>
      <c r="AZ15" s="35" t="s">
        <v>73</v>
      </c>
      <c r="BA15" s="36"/>
      <c r="BB15" s="37"/>
      <c r="BC15" s="37"/>
      <c r="BD15" s="37"/>
      <c r="BE15" s="37"/>
      <c r="BF15" s="34">
        <f>if(BH15="", if(BC16&lt;&gt;"", if(BC16&gt;Setup!BC5,AY15*(1+Setup!BD5),if(BC16&lt;Setup!BB5,AY15*(1+Setup!BE5),AY15)),AY15),BH15/'Quick Setup'!$E6)</f>
        <v>325</v>
      </c>
      <c r="BG15" s="35" t="s">
        <v>73</v>
      </c>
      <c r="BH15" s="36"/>
      <c r="BI15" s="37"/>
      <c r="BJ15" s="37"/>
      <c r="BK15" s="37"/>
      <c r="BL15" s="37"/>
      <c r="BM15" s="34">
        <f>if(BO15="", if(BJ16&lt;&gt;"", if(BJ16&gt;Setup!BJ5,BF15*(1+Setup!BK5),if(BJ16&lt;Setup!BI5,BF15*(1+Setup!BL5),BF15)),BF15),BO15/'Quick Setup'!$E6)</f>
        <v>325</v>
      </c>
      <c r="BN15" s="35" t="s">
        <v>73</v>
      </c>
      <c r="BO15" s="36"/>
      <c r="BP15" s="37"/>
      <c r="BQ15" s="37"/>
      <c r="BR15" s="37"/>
      <c r="BS15" s="37"/>
      <c r="BT15" s="34">
        <f>if(BV15="", if(BQ16&lt;&gt;"", if(BQ16&gt;Setup!BQ5,BM15*(1+Setup!BR5),if(BQ16&lt;Setup!BP5,BM15*(1+Setup!BS5),BM15)),BM15),BV15/'Quick Setup'!$E6)</f>
        <v>325</v>
      </c>
      <c r="BU15" s="35" t="s">
        <v>73</v>
      </c>
      <c r="BV15" s="36"/>
      <c r="BW15" s="37"/>
      <c r="BX15" s="37"/>
      <c r="BY15" s="37"/>
      <c r="BZ15" s="37"/>
      <c r="CA15" s="34">
        <f>if(CC15="", if(BX16&lt;&gt;"", if(BX16&gt;Setup!BX5,BT15*(1+Setup!BY5),if(BX16&lt;Setup!BW5,BT15*(1+Setup!BZ5),BT15)),BT15),CC15/'Quick Setup'!$E6)</f>
        <v>325</v>
      </c>
      <c r="CB15" s="35" t="s">
        <v>73</v>
      </c>
      <c r="CC15" s="36"/>
      <c r="CD15" s="37"/>
      <c r="CE15" s="37"/>
      <c r="CF15" s="37"/>
      <c r="CG15" s="37"/>
      <c r="CH15" s="34">
        <f>if(CJ15="", if(CE16&lt;&gt;"", if(CE16&gt;Setup!CE5,CA15*(1+Setup!CF5),if(CE16&lt;Setup!CD5,CA15*(1+Setup!CG5),CA15)),CA15),CJ15/'Quick Setup'!$E6)</f>
        <v>325</v>
      </c>
      <c r="CI15" s="35" t="s">
        <v>73</v>
      </c>
      <c r="CJ15" s="36"/>
      <c r="CK15" s="37"/>
      <c r="CL15" s="37"/>
      <c r="CM15" s="37"/>
      <c r="CN15" s="37"/>
      <c r="CO15" s="34">
        <f>if(CQ15="", if(CL16&lt;&gt;"", if(CL16&gt;Setup!CL5,CH15*(1+Setup!CM5),if(CL16&lt;Setup!CK5,CH15*(1+Setup!CN5),CH15)),CH15),CQ15/'Quick Setup'!$E6)</f>
        <v>325</v>
      </c>
      <c r="CP15" s="35" t="s">
        <v>73</v>
      </c>
      <c r="CQ15" s="36"/>
      <c r="CR15" s="37"/>
      <c r="CS15" s="37"/>
      <c r="CT15" s="37"/>
      <c r="CU15" s="37"/>
      <c r="CV15" s="34">
        <f>if(CX15="",CO15,CX15/'Quick Setup'!$E6)</f>
        <v>325</v>
      </c>
      <c r="CW15" s="35" t="s">
        <v>73</v>
      </c>
      <c r="CX15" s="36"/>
      <c r="CY15" s="37"/>
      <c r="CZ15" s="37"/>
      <c r="DA15" s="37"/>
      <c r="DB15" s="37"/>
      <c r="DC15" s="34">
        <f>if(DE15="", if(CZ16&lt;&gt;"", if(CZ16&gt;Setup!CZ5,CV15*(1+Setup!DA5),if(CZ16&lt;Setup!CY5,CV15*(1+Setup!DB5),CV15)),CV15),DE15/'Quick Setup'!$E6)</f>
        <v>325</v>
      </c>
      <c r="DD15" s="35" t="s">
        <v>73</v>
      </c>
      <c r="DE15" s="36"/>
      <c r="DF15" s="37"/>
      <c r="DG15" s="37"/>
      <c r="DH15" s="37"/>
      <c r="DI15" s="37"/>
      <c r="DJ15" s="34">
        <f>if(DL15="", if(DG16&lt;&gt;"", if(DG16&gt;Setup!DG5,DC15*(1+Setup!DH5),if(DG16&lt;Setup!DF5,DC15*(1+Setup!DI5),DC15)),DC15),DL15/'Quick Setup'!$E6)</f>
        <v>325</v>
      </c>
      <c r="DK15" s="35" t="s">
        <v>73</v>
      </c>
      <c r="DL15" s="36"/>
      <c r="DM15" s="37"/>
      <c r="DN15" s="37"/>
      <c r="DO15" s="37"/>
      <c r="DP15" s="37"/>
      <c r="DQ15" s="34">
        <f>if(DS15="", if(DN16&lt;&gt;"", if(DN16&gt;Setup!DN5,DJ15*(1+Setup!DO5),if(DN16&lt;Setup!DM5,DJ15*(1+Setup!DP5),DJ15)),DJ15),DS15/'Quick Setup'!$E6)</f>
        <v>325</v>
      </c>
      <c r="DR15" s="35" t="s">
        <v>73</v>
      </c>
      <c r="DS15" s="36"/>
      <c r="DT15" s="37"/>
      <c r="DU15" s="37"/>
      <c r="DV15" s="37"/>
      <c r="DW15" s="37"/>
      <c r="DX15" s="34">
        <f>if(DZ15="", if(DU16&lt;&gt;"", if(DU16&gt;Setup!DU5,DQ15*(1+Setup!DV5),if(DU16&lt;Setup!DT5,DQ15*(1+Setup!DW5),DQ15)),DQ15),DZ15/'Quick Setup'!$E6)</f>
        <v>325</v>
      </c>
      <c r="DY15" s="35" t="s">
        <v>73</v>
      </c>
      <c r="DZ15" s="36"/>
      <c r="EA15" s="37"/>
      <c r="EB15" s="37"/>
      <c r="EC15" s="37"/>
      <c r="ED15" s="37"/>
      <c r="EE15" s="34">
        <f>if(EG15="", if(EB16&lt;&gt;"", if(EB16&gt;Setup!EB5,DX15*(1+Setup!EC5),if(EB16&lt;Setup!EA5,DX15*(1+Setup!ED5),DX15)),DX15),EG15/'Quick Setup'!$E6)</f>
        <v>325</v>
      </c>
      <c r="EF15" s="35" t="s">
        <v>73</v>
      </c>
      <c r="EG15" s="36"/>
      <c r="EH15" s="37"/>
      <c r="EI15" s="37"/>
      <c r="EJ15" s="37"/>
      <c r="EK15" s="37"/>
      <c r="EL15" s="34">
        <f>if(EN15="", if(EI16&lt;&gt;"", if(EI16&gt;Setup!EI5,EE15*(1+Setup!EJ5),if(EI16&lt;Setup!EH5,EE15*(1+Setup!EK5),EE15)),EE15),EN15/'Quick Setup'!$E6)</f>
        <v>325</v>
      </c>
      <c r="EM15" s="35" t="s">
        <v>73</v>
      </c>
      <c r="EN15" s="36"/>
      <c r="EO15" s="37"/>
      <c r="EP15" s="37"/>
      <c r="EQ15" s="37"/>
      <c r="ER15" s="37"/>
    </row>
    <row r="16">
      <c r="A16" s="1" t="str">
        <f>Setup!A5</f>
        <v>Bench Press</v>
      </c>
      <c r="B16" s="38">
        <f>mround(B15*Setup!B5,'Quick Setup'!$A$2)</f>
        <v>227.5</v>
      </c>
      <c r="C16" s="2">
        <f>Setup!C5</f>
        <v>5</v>
      </c>
      <c r="D16" s="2">
        <f>Setup!D5</f>
        <v>3</v>
      </c>
      <c r="E16" s="2" t="str">
        <f>CONCATENATE(Setup!E5,"-",Setup!F5)</f>
        <v>4-6</v>
      </c>
      <c r="F16" s="10"/>
      <c r="G16" s="10"/>
      <c r="H16" s="10"/>
      <c r="I16" s="38">
        <f>mround(I15*Setup!I5,'Quick Setup'!$A$2)</f>
        <v>245</v>
      </c>
      <c r="J16" s="2">
        <f>Setup!J5</f>
        <v>4</v>
      </c>
      <c r="K16" s="2">
        <f>Setup!K5</f>
        <v>3</v>
      </c>
      <c r="L16" s="2" t="str">
        <f>CONCATENATE(Setup!L5,"-",Setup!M5)</f>
        <v>4-6</v>
      </c>
      <c r="M16" s="10"/>
      <c r="N16" s="10"/>
      <c r="O16" s="10"/>
      <c r="P16" s="38">
        <f>mround(P15*Setup!P5,'Quick Setup'!$A$2)</f>
        <v>260</v>
      </c>
      <c r="Q16" s="2">
        <f>Setup!Q5</f>
        <v>3</v>
      </c>
      <c r="R16" s="2">
        <f>Setup!R5</f>
        <v>2</v>
      </c>
      <c r="S16" s="2" t="str">
        <f>CONCATENATE(Setup!S5,"-",Setup!T5)</f>
        <v>4-6</v>
      </c>
      <c r="T16" s="10"/>
      <c r="U16" s="10"/>
      <c r="V16" s="10"/>
      <c r="W16" s="38">
        <f>mround(W15*Setup!W5,'Quick Setup'!$A$2)</f>
        <v>235</v>
      </c>
      <c r="X16" s="2">
        <f>Setup!X5</f>
        <v>5</v>
      </c>
      <c r="Y16" s="2">
        <f>Setup!Y5</f>
        <v>3</v>
      </c>
      <c r="Z16" s="2" t="str">
        <f>CONCATENATE(Setup!Z5,"-",Setup!AA5)</f>
        <v>4-6</v>
      </c>
      <c r="AA16" s="10"/>
      <c r="AB16" s="10"/>
      <c r="AC16" s="10"/>
      <c r="AD16" s="38">
        <f>mround(AD15*Setup!AD5,'Quick Setup'!$A$2)</f>
        <v>252.5</v>
      </c>
      <c r="AE16" s="2">
        <f>Setup!AE5</f>
        <v>4</v>
      </c>
      <c r="AF16" s="2">
        <f>Setup!AF5</f>
        <v>3</v>
      </c>
      <c r="AG16" s="2" t="str">
        <f>CONCATENATE(Setup!AG5,"-",Setup!AH5)</f>
        <v>4-6</v>
      </c>
      <c r="AH16" s="10"/>
      <c r="AI16" s="10"/>
      <c r="AJ16" s="10"/>
      <c r="AK16" s="38">
        <f>mround(AK15*Setup!AK5,'Quick Setup'!$A$2)</f>
        <v>267.5</v>
      </c>
      <c r="AL16" s="2">
        <f>Setup!AL5</f>
        <v>3</v>
      </c>
      <c r="AM16" s="2">
        <f>Setup!AM5</f>
        <v>2</v>
      </c>
      <c r="AN16" s="2" t="str">
        <f>CONCATENATE(Setup!AN5,"-",Setup!AO5)</f>
        <v>4-6</v>
      </c>
      <c r="AO16" s="10"/>
      <c r="AP16" s="10"/>
      <c r="AQ16" s="10"/>
      <c r="AR16" s="38">
        <f>mround(AR15*Setup!AR5,'Quick Setup'!$A$2)</f>
        <v>195</v>
      </c>
      <c r="AS16" s="1">
        <v>5.0</v>
      </c>
      <c r="AT16" s="1" t="s">
        <v>76</v>
      </c>
      <c r="AU16" s="2" t="str">
        <f>CONCATENATE(Setup!AU5,"-",Setup!AV5)</f>
        <v>4-6</v>
      </c>
      <c r="AV16" s="10"/>
      <c r="AW16" s="10"/>
      <c r="AX16" s="10"/>
      <c r="AY16" s="38">
        <f>mround(AY15*Setup!AY5,'Quick Setup'!$A$2)</f>
        <v>245</v>
      </c>
      <c r="AZ16" s="2">
        <f>Setup!AZ5</f>
        <v>4</v>
      </c>
      <c r="BA16" s="2">
        <f>Setup!BA5</f>
        <v>3</v>
      </c>
      <c r="BB16" s="2" t="str">
        <f>CONCATENATE(Setup!BB5,"-",Setup!BC5)</f>
        <v>4-6</v>
      </c>
      <c r="BC16" s="10"/>
      <c r="BD16" s="10"/>
      <c r="BE16" s="10"/>
      <c r="BF16" s="38">
        <f>mround(BF15*Setup!BF5,'Quick Setup'!$A$2)</f>
        <v>260</v>
      </c>
      <c r="BG16" s="2">
        <f>Setup!BG5</f>
        <v>3</v>
      </c>
      <c r="BH16" s="2">
        <f>Setup!BH5</f>
        <v>2</v>
      </c>
      <c r="BI16" s="2" t="str">
        <f>CONCATENATE(Setup!BI5,"-",Setup!BJ5)</f>
        <v>4-6</v>
      </c>
      <c r="BJ16" s="10"/>
      <c r="BK16" s="10"/>
      <c r="BL16" s="10"/>
      <c r="BM16" s="38">
        <f>mround(BM15*Setup!BM5,'Quick Setup'!$A$2)</f>
        <v>277.5</v>
      </c>
      <c r="BN16" s="2">
        <f>Setup!BN5</f>
        <v>2</v>
      </c>
      <c r="BO16" s="2">
        <f>Setup!BO5</f>
        <v>2</v>
      </c>
      <c r="BP16" s="2" t="str">
        <f>CONCATENATE(Setup!BP5,"-",Setup!BQ5)</f>
        <v>4-6</v>
      </c>
      <c r="BQ16" s="10"/>
      <c r="BR16" s="10"/>
      <c r="BS16" s="10"/>
      <c r="BT16" s="38">
        <f>mround(BT15*Setup!BT5,'Quick Setup'!$A$2)</f>
        <v>252.5</v>
      </c>
      <c r="BU16" s="2">
        <f>Setup!BU5</f>
        <v>4</v>
      </c>
      <c r="BV16" s="2">
        <f>Setup!BV5</f>
        <v>3</v>
      </c>
      <c r="BW16" s="2" t="str">
        <f>CONCATENATE(Setup!BW5,"-",Setup!BX5)</f>
        <v>4-6</v>
      </c>
      <c r="BX16" s="10"/>
      <c r="BY16" s="10"/>
      <c r="BZ16" s="10"/>
      <c r="CA16" s="38">
        <f>mround(CA15*Setup!CA5,'Quick Setup'!$A$2)</f>
        <v>267.5</v>
      </c>
      <c r="CB16" s="2">
        <f>Setup!CB5</f>
        <v>3</v>
      </c>
      <c r="CC16" s="2">
        <f>Setup!CC5</f>
        <v>2</v>
      </c>
      <c r="CD16" s="2" t="str">
        <f>CONCATENATE(Setup!CD5,"-",Setup!CE5)</f>
        <v>4-6</v>
      </c>
      <c r="CE16" s="10"/>
      <c r="CF16" s="10"/>
      <c r="CG16" s="10"/>
      <c r="CH16" s="38">
        <f>mround(CH15*Setup!CH5,'Quick Setup'!$A$2)</f>
        <v>285</v>
      </c>
      <c r="CI16" s="2">
        <f>Setup!CI5</f>
        <v>2</v>
      </c>
      <c r="CJ16" s="2">
        <f>Setup!CJ5</f>
        <v>2</v>
      </c>
      <c r="CK16" s="2" t="str">
        <f>CONCATENATE(Setup!CK5,"-",Setup!CL5)</f>
        <v>4-6</v>
      </c>
      <c r="CL16" s="10"/>
      <c r="CM16" s="10"/>
      <c r="CN16" s="10"/>
      <c r="CO16" s="38">
        <f>mround(CO15*Setup!CO5,'Quick Setup'!$A$2)</f>
        <v>195</v>
      </c>
      <c r="CP16" s="1">
        <v>5.0</v>
      </c>
      <c r="CQ16" s="1" t="s">
        <v>76</v>
      </c>
      <c r="CR16" s="2" t="str">
        <f>CONCATENATE(Setup!CR5,"-",Setup!CS5)</f>
        <v>4-6</v>
      </c>
      <c r="CS16" s="10"/>
      <c r="CT16" s="10"/>
      <c r="CU16" s="10"/>
      <c r="CV16" s="38">
        <f>mround(CV15*Setup!CV5,'Quick Setup'!$A$2)</f>
        <v>260</v>
      </c>
      <c r="CW16" s="2">
        <f>Setup!CW5</f>
        <v>3</v>
      </c>
      <c r="CX16" s="2">
        <f>Setup!CX5</f>
        <v>2</v>
      </c>
      <c r="CY16" s="2" t="str">
        <f>CONCATENATE(Setup!CY5,"-",Setup!CZ5)</f>
        <v>4-6</v>
      </c>
      <c r="CZ16" s="10"/>
      <c r="DA16" s="10"/>
      <c r="DB16" s="10"/>
      <c r="DC16" s="38">
        <f>mround(DC15*Setup!DC5,'Quick Setup'!$A$2)</f>
        <v>277.5</v>
      </c>
      <c r="DD16" s="2">
        <f>Setup!DD5</f>
        <v>2</v>
      </c>
      <c r="DE16" s="2">
        <f>Setup!DE5</f>
        <v>2</v>
      </c>
      <c r="DF16" s="2" t="str">
        <f>CONCATENATE(Setup!DF5,"-",Setup!DG5)</f>
        <v>4-6</v>
      </c>
      <c r="DG16" s="10"/>
      <c r="DH16" s="10"/>
      <c r="DI16" s="10"/>
      <c r="DJ16" s="38">
        <f>mround(DJ15*Setup!DJ5,'Quick Setup'!$A$2)</f>
        <v>292.5</v>
      </c>
      <c r="DK16" s="2">
        <f>Setup!DK5</f>
        <v>1</v>
      </c>
      <c r="DL16" s="2">
        <f>Setup!DL5</f>
        <v>1</v>
      </c>
      <c r="DM16" s="2" t="str">
        <f>CONCATENATE(Setup!DM5,"-",Setup!DN5)</f>
        <v>4-6</v>
      </c>
      <c r="DN16" s="10"/>
      <c r="DO16" s="10"/>
      <c r="DP16" s="10"/>
      <c r="DQ16" s="38">
        <f>mround(DQ15*Setup!DQ5,'Quick Setup'!$A$2)</f>
        <v>277.5</v>
      </c>
      <c r="DR16" s="2">
        <f>Setup!DR5</f>
        <v>2</v>
      </c>
      <c r="DS16" s="2">
        <f>Setup!DS5</f>
        <v>2</v>
      </c>
      <c r="DT16" s="2" t="str">
        <f>CONCATENATE(Setup!DT5,"-",Setup!DU5)</f>
        <v>4-6</v>
      </c>
      <c r="DU16" s="10"/>
      <c r="DV16" s="10"/>
      <c r="DW16" s="10"/>
      <c r="DX16" s="38">
        <f>mround(DX15*Setup!DX5,'Quick Setup'!$A$2)</f>
        <v>292.5</v>
      </c>
      <c r="DY16" s="2">
        <f>Setup!DY5</f>
        <v>1</v>
      </c>
      <c r="DZ16" s="2">
        <f>Setup!DZ5</f>
        <v>1</v>
      </c>
      <c r="EA16" s="2" t="str">
        <f>CONCATENATE(Setup!EA5,"-",Setup!EB5)</f>
        <v>4-6</v>
      </c>
      <c r="EB16" s="10"/>
      <c r="EC16" s="10"/>
      <c r="ED16" s="10"/>
      <c r="EE16" s="38">
        <f>mround(EE15*Setup!EE5,'Quick Setup'!$A$2)</f>
        <v>310</v>
      </c>
      <c r="EF16" s="2">
        <f>Setup!EF5</f>
        <v>1</v>
      </c>
      <c r="EG16" s="2">
        <f>Setup!EG5</f>
        <v>1</v>
      </c>
      <c r="EH16" s="2" t="str">
        <f>CONCATENATE(Setup!EH5,"-",Setup!EI5)</f>
        <v>4-6</v>
      </c>
      <c r="EI16" s="10"/>
      <c r="EJ16" s="10"/>
      <c r="EK16" s="10"/>
      <c r="EL16" s="38">
        <f>mround(EL15*Setup!EL5,'Quick Setup'!$A$2)</f>
        <v>195</v>
      </c>
      <c r="EM16" s="1">
        <v>5.0</v>
      </c>
      <c r="EN16" s="1" t="s">
        <v>76</v>
      </c>
      <c r="EO16" s="2" t="str">
        <f>CONCATENATE(Setup!EO5,"-",Setup!EP5)</f>
        <v>4-6</v>
      </c>
      <c r="EP16" s="10"/>
      <c r="EQ16" s="10"/>
      <c r="ER16" s="10"/>
    </row>
    <row r="17" hidden="1">
      <c r="A17" s="33" t="str">
        <f>CONCATENATE(A18," TM")</f>
        <v>Close Grip Bench TM</v>
      </c>
      <c r="B17" s="34">
        <f>if(D17="",'Quick Setup'!D13,D17/'Quick Setup'!E13)</f>
        <v>310</v>
      </c>
      <c r="C17" s="35" t="s">
        <v>73</v>
      </c>
      <c r="D17" s="36"/>
      <c r="E17" s="37"/>
      <c r="F17" s="37"/>
      <c r="G17" s="37"/>
      <c r="H17" s="37"/>
      <c r="I17" s="34">
        <f>if(K17="", if(F18&lt;&gt;"", if(F18&gt;Setup!F12,B17*(1+Setup!G12),if(F18&lt;Setup!E12,B17*(1+Setup!H12),B17)),B17),K17/'Quick Setup'!$E13)</f>
        <v>310</v>
      </c>
      <c r="J17" s="35" t="s">
        <v>73</v>
      </c>
      <c r="K17" s="36"/>
      <c r="L17" s="37"/>
      <c r="M17" s="37"/>
      <c r="N17" s="37"/>
      <c r="O17" s="37"/>
      <c r="P17" s="34">
        <f>if(R17="", if(M18&lt;&gt;"", if(M18&gt;Setup!M12,I17*(1+Setup!N12),if(M18&lt;Setup!L12,I17*(1+Setup!O12),I17)),I17),R17/'Quick Setup'!$E13)</f>
        <v>310</v>
      </c>
      <c r="Q17" s="35" t="s">
        <v>73</v>
      </c>
      <c r="R17" s="36"/>
      <c r="S17" s="37"/>
      <c r="T17" s="37"/>
      <c r="U17" s="37"/>
      <c r="V17" s="37"/>
      <c r="W17" s="34">
        <f>if(Y17="", if(T18&lt;&gt;"", if(T18&gt;Setup!T12,P17*(1+Setup!U12),if(T18&lt;Setup!S12,P17*(1+Setup!V12),P17)),P17),Y17/'Quick Setup'!$E13)</f>
        <v>310</v>
      </c>
      <c r="X17" s="35" t="s">
        <v>73</v>
      </c>
      <c r="Y17" s="36"/>
      <c r="Z17" s="37"/>
      <c r="AA17" s="37"/>
      <c r="AB17" s="37"/>
      <c r="AC17" s="37"/>
      <c r="AD17" s="34">
        <f>if(AF17="", if(AA18&lt;&gt;"", if(AA18&gt;Setup!AA12,W17*(1+Setup!AB12),if(AA18&lt;Setup!Z12,W17*(1+Setup!AC12),W17)),W17),AF17/'Quick Setup'!$E13)</f>
        <v>310</v>
      </c>
      <c r="AE17" s="35" t="s">
        <v>73</v>
      </c>
      <c r="AF17" s="36"/>
      <c r="AG17" s="37"/>
      <c r="AH17" s="37"/>
      <c r="AI17" s="37"/>
      <c r="AJ17" s="37"/>
      <c r="AK17" s="34">
        <f>if(AM17="", if(AH18&lt;&gt;"", if(AH18&gt;Setup!AH12,AD17*(1+Setup!AI12),if(AH18&lt;Setup!AG12,AD17*(1+Setup!AJ12),AD17)),AD17),AM17/'Quick Setup'!$E13)</f>
        <v>310</v>
      </c>
      <c r="AL17" s="35" t="s">
        <v>73</v>
      </c>
      <c r="AM17" s="36"/>
      <c r="AN17" s="37"/>
      <c r="AO17" s="37"/>
      <c r="AP17" s="37"/>
      <c r="AQ17" s="37"/>
      <c r="AR17" s="34">
        <f>if(AT17="", if(AO18&lt;&gt;"", if(AO18&gt;Setup!AO12,AK17*(1+Setup!AP12),if(AO18&lt;Setup!AN12,AK17*(1+Setup!AQ12),AK17)),AK17),AT17/'Quick Setup'!$E13)</f>
        <v>310</v>
      </c>
      <c r="AS17" s="35" t="s">
        <v>73</v>
      </c>
      <c r="AT17" s="36"/>
      <c r="AU17" s="37"/>
      <c r="AV17" s="37"/>
      <c r="AW17" s="37"/>
      <c r="AX17" s="37"/>
      <c r="AY17" s="34">
        <f>if(BA17="",AR17,BA17/'Quick Setup'!$E13)</f>
        <v>310</v>
      </c>
      <c r="AZ17" s="35" t="s">
        <v>73</v>
      </c>
      <c r="BA17" s="36"/>
      <c r="BB17" s="37"/>
      <c r="BC17" s="37"/>
      <c r="BD17" s="37"/>
      <c r="BE17" s="37"/>
      <c r="BF17" s="34">
        <f>if(BH17="", if(BC18&lt;&gt;"", if(BC18&gt;Setup!BC12,AY17*(1+Setup!BD12),if(BC18&lt;Setup!BB12,AY17*(1+Setup!BE12),AY17)),AY17),BH17/'Quick Setup'!$E13)</f>
        <v>310</v>
      </c>
      <c r="BG17" s="35" t="s">
        <v>73</v>
      </c>
      <c r="BH17" s="36"/>
      <c r="BI17" s="37"/>
      <c r="BJ17" s="37"/>
      <c r="BK17" s="37"/>
      <c r="BL17" s="37"/>
      <c r="BM17" s="34">
        <f>if(BO17="", if(BJ18&lt;&gt;"", if(BJ18&gt;Setup!BJ12,BF17*(1+Setup!BK12),if(BJ18&lt;Setup!BI12,BF17*(1+Setup!BL12),BF17)),BF17),BO17/'Quick Setup'!$E13)</f>
        <v>310</v>
      </c>
      <c r="BN17" s="35" t="s">
        <v>73</v>
      </c>
      <c r="BO17" s="36"/>
      <c r="BP17" s="37"/>
      <c r="BQ17" s="37"/>
      <c r="BR17" s="37"/>
      <c r="BS17" s="37"/>
      <c r="BT17" s="34">
        <f>if(BV17="", if(BQ18&lt;&gt;"", if(BQ18&gt;Setup!BQ12,BM17*(1+Setup!BR12),if(BQ18&lt;Setup!BP12,BM17*(1+Setup!BS12),BM17)),BM17),BV17/'Quick Setup'!$E13)</f>
        <v>310</v>
      </c>
      <c r="BU17" s="35" t="s">
        <v>73</v>
      </c>
      <c r="BV17" s="36"/>
      <c r="BW17" s="37"/>
      <c r="BX17" s="37"/>
      <c r="BY17" s="37"/>
      <c r="BZ17" s="37"/>
      <c r="CA17" s="34">
        <f>if(CC17="", if(BX18&lt;&gt;"", if(BX18&gt;Setup!BX12,BT17*(1+Setup!BY12),if(BX18&lt;Setup!BW12,BT17*(1+Setup!BZ12),BT17)),BT17),CC17/'Quick Setup'!$E13)</f>
        <v>310</v>
      </c>
      <c r="CB17" s="35" t="s">
        <v>73</v>
      </c>
      <c r="CC17" s="36"/>
      <c r="CD17" s="37"/>
      <c r="CE17" s="37"/>
      <c r="CF17" s="37"/>
      <c r="CG17" s="37"/>
      <c r="CH17" s="34">
        <f>if(CJ17="", if(CE18&lt;&gt;"", if(CE18&gt;Setup!CE12,CA17*(1+Setup!CF12),if(CE18&lt;Setup!CD12,CA17*(1+Setup!CG12),CA17)),CA17),CJ17/'Quick Setup'!$E13)</f>
        <v>310</v>
      </c>
      <c r="CI17" s="35" t="s">
        <v>73</v>
      </c>
      <c r="CJ17" s="36"/>
      <c r="CK17" s="37"/>
      <c r="CL17" s="37"/>
      <c r="CM17" s="37"/>
      <c r="CN17" s="37"/>
      <c r="CO17" s="34">
        <f>if(CQ17="", if(CL18&lt;&gt;"", if(CL18&gt;Setup!CL12,CH17*(1+Setup!CM12),if(CL18&lt;Setup!CK12,CH17*(1+Setup!CN12),CH17)),CH17),CQ17/'Quick Setup'!$E13)</f>
        <v>310</v>
      </c>
      <c r="CP17" s="35" t="s">
        <v>73</v>
      </c>
      <c r="CQ17" s="36"/>
      <c r="CR17" s="37"/>
      <c r="CS17" s="37"/>
      <c r="CT17" s="37"/>
      <c r="CU17" s="37"/>
      <c r="CV17" s="34">
        <f>if(CX17="",CO17,CX17/'Quick Setup'!$E13)</f>
        <v>310</v>
      </c>
      <c r="CW17" s="35" t="s">
        <v>73</v>
      </c>
      <c r="CX17" s="36"/>
      <c r="CY17" s="37"/>
      <c r="CZ17" s="37"/>
      <c r="DA17" s="37"/>
      <c r="DB17" s="37"/>
      <c r="DC17" s="34">
        <f>if(DE17="", if(CZ18&lt;&gt;"", if(CZ18&gt;Setup!CZ12,CV17*(1+Setup!DA12),if(CZ18&lt;Setup!CY12,CV17*(1+Setup!DB12),CV17)),CV17),DE17/'Quick Setup'!$E13)</f>
        <v>310</v>
      </c>
      <c r="DD17" s="35" t="s">
        <v>73</v>
      </c>
      <c r="DE17" s="36"/>
      <c r="DF17" s="37"/>
      <c r="DG17" s="37"/>
      <c r="DH17" s="37"/>
      <c r="DI17" s="37"/>
      <c r="DJ17" s="34">
        <f>if(DL17="", if(DG18&lt;&gt;"", if(DG18&gt;Setup!DG12,DC17*(1+Setup!DH12),if(DG18&lt;Setup!DF12,DC17*(1+Setup!DI12),DC17)),DC17),DL17/'Quick Setup'!$E13)</f>
        <v>310</v>
      </c>
      <c r="DK17" s="35" t="s">
        <v>73</v>
      </c>
      <c r="DL17" s="36"/>
      <c r="DM17" s="37"/>
      <c r="DN17" s="37"/>
      <c r="DO17" s="37"/>
      <c r="DP17" s="37"/>
      <c r="DQ17" s="34">
        <f>if(DS17="", if(DN18&lt;&gt;"", if(DN18&gt;Setup!DN12,DJ17*(1+Setup!DO12),if(DN18&lt;Setup!DM12,DJ17*(1+Setup!DP12),DJ17)),DJ17),DS17/'Quick Setup'!$E13)</f>
        <v>310</v>
      </c>
      <c r="DR17" s="35" t="s">
        <v>73</v>
      </c>
      <c r="DS17" s="36"/>
      <c r="DT17" s="37"/>
      <c r="DU17" s="37"/>
      <c r="DV17" s="37"/>
      <c r="DW17" s="37"/>
      <c r="DX17" s="34">
        <f>if(DZ17="", if(DU18&lt;&gt;"", if(DU18&gt;Setup!DU12,DQ17*(1+Setup!DV12),if(DU18&lt;Setup!DT12,DQ17*(1+Setup!DW12),DQ17)),DQ17),DZ17/'Quick Setup'!$E13)</f>
        <v>310</v>
      </c>
      <c r="DY17" s="35" t="s">
        <v>73</v>
      </c>
      <c r="DZ17" s="36"/>
      <c r="EA17" s="37"/>
      <c r="EB17" s="37"/>
      <c r="EC17" s="37"/>
      <c r="ED17" s="37"/>
      <c r="EE17" s="34">
        <f>if(EG17="", if(EB18&lt;&gt;"", if(EB18&gt;Setup!EB12,DX17*(1+Setup!EC12),if(EB18&lt;Setup!EA12,DX17*(1+Setup!ED12),DX17)),DX17),EG17/'Quick Setup'!$E13)</f>
        <v>310</v>
      </c>
      <c r="EF17" s="35" t="s">
        <v>73</v>
      </c>
      <c r="EG17" s="36"/>
      <c r="EH17" s="37"/>
      <c r="EI17" s="37"/>
      <c r="EJ17" s="37"/>
      <c r="EK17" s="37"/>
      <c r="EL17" s="34">
        <f>if(EN17="", if(EI18&lt;&gt;"", if(EI18&gt;Setup!EI12,EE17*(1+Setup!EJ12),if(EI18&lt;Setup!EH12,EE17*(1+Setup!EK12),EE17)),EE17),EN17/'Quick Setup'!$E13)</f>
        <v>310</v>
      </c>
      <c r="EM17" s="35" t="s">
        <v>73</v>
      </c>
      <c r="EN17" s="36"/>
      <c r="EO17" s="37"/>
      <c r="EP17" s="37"/>
      <c r="EQ17" s="37"/>
      <c r="ER17" s="37"/>
    </row>
    <row r="18">
      <c r="A18" s="1" t="str">
        <f>Setup!A12</f>
        <v>Close Grip Bench</v>
      </c>
      <c r="B18" s="38">
        <f>mround(B17*Setup!B12,'Quick Setup'!$A$2)</f>
        <v>185</v>
      </c>
      <c r="C18" s="2">
        <f>Setup!C12</f>
        <v>7</v>
      </c>
      <c r="D18" s="2">
        <f>Setup!D12</f>
        <v>4</v>
      </c>
      <c r="E18" s="2" t="str">
        <f>CONCATENATE(Setup!E12,"-",Setup!F12)</f>
        <v>4-6</v>
      </c>
      <c r="F18" s="10"/>
      <c r="G18" s="10"/>
      <c r="H18" s="10"/>
      <c r="I18" s="38">
        <f>mround(I17*Setup!I12,'Quick Setup'!$A$2)</f>
        <v>202.5</v>
      </c>
      <c r="J18" s="2">
        <f>Setup!J12</f>
        <v>6</v>
      </c>
      <c r="K18" s="2">
        <f>Setup!K12</f>
        <v>4</v>
      </c>
      <c r="L18" s="2" t="str">
        <f>CONCATENATE(Setup!L12,"-",Setup!M12)</f>
        <v>4-6</v>
      </c>
      <c r="M18" s="10"/>
      <c r="N18" s="10"/>
      <c r="O18" s="10"/>
      <c r="P18" s="38">
        <f>mround(P17*Setup!P12,'Quick Setup'!$A$2)</f>
        <v>217.5</v>
      </c>
      <c r="Q18" s="2">
        <f>Setup!Q12</f>
        <v>5</v>
      </c>
      <c r="R18" s="2">
        <f>Setup!R12</f>
        <v>3</v>
      </c>
      <c r="S18" s="2" t="str">
        <f>CONCATENATE(Setup!S12,"-",Setup!T12)</f>
        <v>4-6</v>
      </c>
      <c r="T18" s="10"/>
      <c r="U18" s="10"/>
      <c r="V18" s="10"/>
      <c r="W18" s="38">
        <f>mround(W17*Setup!W12,'Quick Setup'!$A$2)</f>
        <v>195</v>
      </c>
      <c r="X18" s="2">
        <f>Setup!X12</f>
        <v>7</v>
      </c>
      <c r="Y18" s="2">
        <f>Setup!Y12</f>
        <v>4</v>
      </c>
      <c r="Z18" s="2" t="str">
        <f>CONCATENATE(Setup!Z12,"-",Setup!AA12)</f>
        <v>4-6</v>
      </c>
      <c r="AA18" s="10"/>
      <c r="AB18" s="10"/>
      <c r="AC18" s="10"/>
      <c r="AD18" s="38">
        <f>mround(AD17*Setup!AD12,'Quick Setup'!$A$2)</f>
        <v>210</v>
      </c>
      <c r="AE18" s="2">
        <f>Setup!AE12</f>
        <v>6</v>
      </c>
      <c r="AF18" s="2">
        <f>Setup!AF12</f>
        <v>4</v>
      </c>
      <c r="AG18" s="2" t="str">
        <f>CONCATENATE(Setup!AG12,"-",Setup!AH12)</f>
        <v>4-6</v>
      </c>
      <c r="AH18" s="10"/>
      <c r="AI18" s="10"/>
      <c r="AJ18" s="10"/>
      <c r="AK18" s="38">
        <f>mround(AK17*Setup!AK12,'Quick Setup'!$A$2)</f>
        <v>225</v>
      </c>
      <c r="AL18" s="2">
        <f>Setup!AL12</f>
        <v>5</v>
      </c>
      <c r="AM18" s="2">
        <f>Setup!AM12</f>
        <v>3</v>
      </c>
      <c r="AN18" s="2" t="str">
        <f>CONCATENATE(Setup!AN12,"-",Setup!AO12)</f>
        <v>4-6</v>
      </c>
      <c r="AO18" s="10"/>
      <c r="AP18" s="10"/>
      <c r="AQ18" s="10"/>
      <c r="AR18" s="38">
        <f>mround(AR17*Setup!AR12,'Quick Setup'!$A$2)</f>
        <v>155</v>
      </c>
      <c r="AS18" s="1">
        <v>5.0</v>
      </c>
      <c r="AT18" s="1" t="s">
        <v>76</v>
      </c>
      <c r="AU18" s="2" t="str">
        <f>CONCATENATE(Setup!AU12,"-",Setup!AV12)</f>
        <v>4-6</v>
      </c>
      <c r="AV18" s="10"/>
      <c r="AW18" s="10"/>
      <c r="AX18" s="10"/>
      <c r="AY18" s="38">
        <f>mround(AY17*Setup!AY12,'Quick Setup'!$A$2)</f>
        <v>202.5</v>
      </c>
      <c r="AZ18" s="2">
        <f>Setup!AZ12</f>
        <v>6</v>
      </c>
      <c r="BA18" s="2">
        <f>Setup!BA12</f>
        <v>4</v>
      </c>
      <c r="BB18" s="2" t="str">
        <f>CONCATENATE(Setup!BB12,"-",Setup!BC12)</f>
        <v>4-6</v>
      </c>
      <c r="BC18" s="10"/>
      <c r="BD18" s="10"/>
      <c r="BE18" s="10"/>
      <c r="BF18" s="38">
        <f>mround(BF17*Setup!BF12,'Quick Setup'!$A$2)</f>
        <v>217.5</v>
      </c>
      <c r="BG18" s="2">
        <f>Setup!BG12</f>
        <v>5</v>
      </c>
      <c r="BH18" s="2">
        <f>Setup!BH12</f>
        <v>3</v>
      </c>
      <c r="BI18" s="2" t="str">
        <f>CONCATENATE(Setup!BI12,"-",Setup!BJ12)</f>
        <v>4-6</v>
      </c>
      <c r="BJ18" s="10"/>
      <c r="BK18" s="10"/>
      <c r="BL18" s="10"/>
      <c r="BM18" s="38">
        <f>mround(BM17*Setup!BM12,'Quick Setup'!$A$2)</f>
        <v>232.5</v>
      </c>
      <c r="BN18" s="2">
        <f>Setup!BN12</f>
        <v>4</v>
      </c>
      <c r="BO18" s="2">
        <f>Setup!BO12</f>
        <v>3</v>
      </c>
      <c r="BP18" s="2" t="str">
        <f>CONCATENATE(Setup!BP12,"-",Setup!BQ12)</f>
        <v>4-6</v>
      </c>
      <c r="BQ18" s="10"/>
      <c r="BR18" s="10"/>
      <c r="BS18" s="10"/>
      <c r="BT18" s="38">
        <f>mround(BT17*Setup!BT12,'Quick Setup'!$A$2)</f>
        <v>210</v>
      </c>
      <c r="BU18" s="2">
        <f>Setup!BU12</f>
        <v>6</v>
      </c>
      <c r="BV18" s="2">
        <f>Setup!BV12</f>
        <v>4</v>
      </c>
      <c r="BW18" s="2" t="str">
        <f>CONCATENATE(Setup!BW12,"-",Setup!BX12)</f>
        <v>4-6</v>
      </c>
      <c r="BX18" s="10"/>
      <c r="BY18" s="10"/>
      <c r="BZ18" s="10"/>
      <c r="CA18" s="38">
        <f>mround(CA17*Setup!CA12,'Quick Setup'!$A$2)</f>
        <v>225</v>
      </c>
      <c r="CB18" s="2">
        <f>Setup!CB12</f>
        <v>5</v>
      </c>
      <c r="CC18" s="2">
        <f>Setup!CC12</f>
        <v>3</v>
      </c>
      <c r="CD18" s="2" t="str">
        <f>CONCATENATE(Setup!CD12,"-",Setup!CE12)</f>
        <v>4-6</v>
      </c>
      <c r="CE18" s="10"/>
      <c r="CF18" s="10"/>
      <c r="CG18" s="10"/>
      <c r="CH18" s="38">
        <f>mround(CH17*Setup!CH12,'Quick Setup'!$A$2)</f>
        <v>240</v>
      </c>
      <c r="CI18" s="2">
        <f>Setup!CI12</f>
        <v>4</v>
      </c>
      <c r="CJ18" s="2">
        <f>Setup!CJ12</f>
        <v>3</v>
      </c>
      <c r="CK18" s="2" t="str">
        <f>CONCATENATE(Setup!CK12,"-",Setup!CL12)</f>
        <v>4-6</v>
      </c>
      <c r="CL18" s="10"/>
      <c r="CM18" s="10"/>
      <c r="CN18" s="10"/>
      <c r="CO18" s="38">
        <f>mround(CO17*Setup!CO12,'Quick Setup'!$A$2)</f>
        <v>155</v>
      </c>
      <c r="CP18" s="1">
        <v>5.0</v>
      </c>
      <c r="CQ18" s="1" t="s">
        <v>76</v>
      </c>
      <c r="CR18" s="2" t="str">
        <f>CONCATENATE(Setup!CR12,"-",Setup!CS12)</f>
        <v>4-6</v>
      </c>
      <c r="CS18" s="10"/>
      <c r="CT18" s="10"/>
      <c r="CU18" s="10"/>
      <c r="CV18" s="38">
        <f>mround(CV17*Setup!CV12,'Quick Setup'!$A$2)</f>
        <v>217.5</v>
      </c>
      <c r="CW18" s="2">
        <f>Setup!CW12</f>
        <v>5</v>
      </c>
      <c r="CX18" s="2">
        <f>Setup!CX12</f>
        <v>3</v>
      </c>
      <c r="CY18" s="2" t="str">
        <f>CONCATENATE(Setup!CY12,"-",Setup!CZ12)</f>
        <v>4-6</v>
      </c>
      <c r="CZ18" s="10"/>
      <c r="DA18" s="10"/>
      <c r="DB18" s="10"/>
      <c r="DC18" s="38">
        <f>mround(DC17*Setup!DC12,'Quick Setup'!$A$2)</f>
        <v>232.5</v>
      </c>
      <c r="DD18" s="2">
        <f>Setup!DD12</f>
        <v>4</v>
      </c>
      <c r="DE18" s="2">
        <f>Setup!DE12</f>
        <v>3</v>
      </c>
      <c r="DF18" s="2" t="str">
        <f>CONCATENATE(Setup!DF12,"-",Setup!DG12)</f>
        <v>4-6</v>
      </c>
      <c r="DG18" s="10"/>
      <c r="DH18" s="10"/>
      <c r="DI18" s="10"/>
      <c r="DJ18" s="38">
        <f>mround(DJ17*Setup!DJ12,'Quick Setup'!$A$2)</f>
        <v>247.5</v>
      </c>
      <c r="DK18" s="2">
        <f>Setup!DK12</f>
        <v>3</v>
      </c>
      <c r="DL18" s="2">
        <f>Setup!DL12</f>
        <v>2</v>
      </c>
      <c r="DM18" s="2" t="str">
        <f>CONCATENATE(Setup!DM12,"-",Setup!DN12)</f>
        <v>4-6</v>
      </c>
      <c r="DN18" s="10"/>
      <c r="DO18" s="10"/>
      <c r="DP18" s="10"/>
      <c r="DQ18" s="38">
        <f>mround(DQ17*Setup!DQ12,'Quick Setup'!$A$2)</f>
        <v>232.5</v>
      </c>
      <c r="DR18" s="2">
        <f>Setup!DR12</f>
        <v>4</v>
      </c>
      <c r="DS18" s="2">
        <f>Setup!DS12</f>
        <v>3</v>
      </c>
      <c r="DT18" s="2" t="str">
        <f>CONCATENATE(Setup!DT12,"-",Setup!DU12)</f>
        <v>4-6</v>
      </c>
      <c r="DU18" s="10"/>
      <c r="DV18" s="10"/>
      <c r="DW18" s="10"/>
      <c r="DX18" s="38">
        <f>mround(DX17*Setup!DX12,'Quick Setup'!$A$2)</f>
        <v>247.5</v>
      </c>
      <c r="DY18" s="2">
        <f>Setup!DY12</f>
        <v>3</v>
      </c>
      <c r="DZ18" s="2">
        <f>Setup!DZ12</f>
        <v>2</v>
      </c>
      <c r="EA18" s="2" t="str">
        <f>CONCATENATE(Setup!EA12,"-",Setup!EB12)</f>
        <v>4-6</v>
      </c>
      <c r="EB18" s="10"/>
      <c r="EC18" s="10"/>
      <c r="ED18" s="10"/>
      <c r="EE18" s="38">
        <f>mround(EE17*Setup!EE12,'Quick Setup'!$A$2)</f>
        <v>262.5</v>
      </c>
      <c r="EF18" s="2">
        <f>Setup!EF12</f>
        <v>2</v>
      </c>
      <c r="EG18" s="2">
        <f>Setup!EG12</f>
        <v>2</v>
      </c>
      <c r="EH18" s="2" t="str">
        <f>CONCATENATE(Setup!EH12,"-",Setup!EI12)</f>
        <v>4-6</v>
      </c>
      <c r="EI18" s="10"/>
      <c r="EJ18" s="10"/>
      <c r="EK18" s="10"/>
      <c r="EL18" s="38">
        <f>mround(EL17*Setup!EL12,'Quick Setup'!$A$2)</f>
        <v>155</v>
      </c>
      <c r="EM18" s="1">
        <v>5.0</v>
      </c>
      <c r="EN18" s="1" t="s">
        <v>76</v>
      </c>
      <c r="EO18" s="2" t="str">
        <f>CONCATENATE(Setup!EO12,"-",Setup!EP12)</f>
        <v>4-6</v>
      </c>
      <c r="EP18" s="10"/>
      <c r="EQ18" s="10"/>
      <c r="ER18" s="10"/>
    </row>
    <row r="19">
      <c r="A19" s="5"/>
      <c r="B19" s="39"/>
      <c r="C19" s="10"/>
      <c r="D19" s="10"/>
      <c r="E19" s="10"/>
      <c r="F19" s="10"/>
      <c r="G19" s="10"/>
      <c r="H19" s="10"/>
      <c r="I19" s="39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39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39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39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39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39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39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39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39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39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39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39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39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39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39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39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39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39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39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39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77</v>
      </c>
      <c r="B20" s="38"/>
      <c r="C20" s="2"/>
      <c r="D20" s="2"/>
      <c r="E20" s="2"/>
      <c r="F20" s="2"/>
      <c r="G20" s="2"/>
      <c r="H20" s="2"/>
      <c r="I20" s="38"/>
      <c r="J20" s="2"/>
      <c r="K20" s="2"/>
      <c r="L20" s="2"/>
      <c r="M20" s="2"/>
      <c r="N20" s="2"/>
      <c r="O20" s="2"/>
      <c r="P20" s="38"/>
      <c r="Q20" s="2"/>
      <c r="R20" s="2"/>
      <c r="S20" s="2"/>
      <c r="T20" s="2"/>
      <c r="U20" s="2"/>
      <c r="V20" s="2"/>
      <c r="W20" s="38"/>
      <c r="X20" s="2"/>
      <c r="Y20" s="2"/>
      <c r="Z20" s="2"/>
      <c r="AA20" s="2"/>
      <c r="AB20" s="2"/>
      <c r="AC20" s="2"/>
      <c r="AD20" s="38"/>
      <c r="AE20" s="2"/>
      <c r="AF20" s="2"/>
      <c r="AG20" s="2"/>
      <c r="AH20" s="2"/>
      <c r="AI20" s="2"/>
      <c r="AJ20" s="2"/>
      <c r="AK20" s="38"/>
      <c r="AL20" s="2"/>
      <c r="AM20" s="2"/>
      <c r="AN20" s="2"/>
      <c r="AO20" s="2"/>
      <c r="AP20" s="2"/>
      <c r="AQ20" s="2"/>
      <c r="AR20" s="38"/>
      <c r="AS20" s="2"/>
      <c r="AT20" s="2"/>
      <c r="AU20" s="2"/>
      <c r="AV20" s="2"/>
      <c r="AW20" s="2"/>
      <c r="AX20" s="2"/>
      <c r="AY20" s="38"/>
      <c r="AZ20" s="2"/>
      <c r="BA20" s="2"/>
      <c r="BB20" s="2"/>
      <c r="BC20" s="2"/>
      <c r="BD20" s="2"/>
      <c r="BE20" s="2"/>
      <c r="BF20" s="38"/>
      <c r="BG20" s="2"/>
      <c r="BH20" s="2"/>
      <c r="BI20" s="2"/>
      <c r="BJ20" s="2"/>
      <c r="BK20" s="2"/>
      <c r="BL20" s="2"/>
      <c r="BM20" s="38"/>
      <c r="BN20" s="2"/>
      <c r="BO20" s="2"/>
      <c r="BP20" s="2"/>
      <c r="BQ20" s="2"/>
      <c r="BR20" s="2"/>
      <c r="BS20" s="2"/>
      <c r="BT20" s="38"/>
      <c r="BU20" s="2"/>
      <c r="BV20" s="2"/>
      <c r="BW20" s="2"/>
      <c r="BX20" s="2"/>
      <c r="BY20" s="2"/>
      <c r="BZ20" s="2"/>
      <c r="CA20" s="38"/>
      <c r="CB20" s="2"/>
      <c r="CC20" s="2"/>
      <c r="CD20" s="2"/>
      <c r="CE20" s="2"/>
      <c r="CF20" s="2"/>
      <c r="CG20" s="2"/>
      <c r="CH20" s="38"/>
      <c r="CI20" s="2"/>
      <c r="CJ20" s="2"/>
      <c r="CK20" s="2"/>
      <c r="CL20" s="2"/>
      <c r="CM20" s="2"/>
      <c r="CN20" s="2"/>
      <c r="CO20" s="38"/>
      <c r="CP20" s="2"/>
      <c r="CQ20" s="2"/>
      <c r="CR20" s="2"/>
      <c r="CS20" s="2"/>
      <c r="CT20" s="2"/>
      <c r="CU20" s="2"/>
      <c r="CV20" s="38"/>
      <c r="CW20" s="2"/>
      <c r="CX20" s="2"/>
      <c r="CY20" s="2"/>
      <c r="CZ20" s="2"/>
      <c r="DA20" s="2"/>
      <c r="DB20" s="2"/>
      <c r="DC20" s="38"/>
      <c r="DD20" s="2"/>
      <c r="DE20" s="2"/>
      <c r="DF20" s="2"/>
      <c r="DG20" s="2"/>
      <c r="DH20" s="2"/>
      <c r="DI20" s="2"/>
      <c r="DJ20" s="38"/>
      <c r="DK20" s="2"/>
      <c r="DL20" s="2"/>
      <c r="DM20" s="2"/>
      <c r="DN20" s="2"/>
      <c r="DO20" s="2"/>
      <c r="DP20" s="2"/>
      <c r="DQ20" s="38"/>
      <c r="DR20" s="2"/>
      <c r="DS20" s="2"/>
      <c r="DT20" s="2"/>
      <c r="DU20" s="2"/>
      <c r="DV20" s="2"/>
      <c r="DW20" s="2"/>
      <c r="DX20" s="38"/>
      <c r="DY20" s="2"/>
      <c r="DZ20" s="2"/>
      <c r="EA20" s="2"/>
      <c r="EB20" s="2"/>
      <c r="EC20" s="2"/>
      <c r="ED20" s="2"/>
      <c r="EE20" s="38"/>
      <c r="EF20" s="2"/>
      <c r="EG20" s="2"/>
      <c r="EH20" s="2"/>
      <c r="EI20" s="2"/>
      <c r="EJ20" s="2"/>
      <c r="EK20" s="2"/>
      <c r="EL20" s="38"/>
      <c r="EM20" s="2"/>
      <c r="EN20" s="2"/>
      <c r="EO20" s="2"/>
      <c r="EP20" s="2"/>
      <c r="EQ20" s="2"/>
      <c r="ER20" s="2"/>
    </row>
    <row r="21">
      <c r="A21" s="40"/>
      <c r="B21" s="39"/>
      <c r="C21" s="10"/>
      <c r="D21" s="10"/>
      <c r="E21" s="10"/>
      <c r="F21" s="10"/>
      <c r="G21" s="10"/>
      <c r="H21" s="10"/>
      <c r="I21" s="39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39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39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39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39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39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39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39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39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39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39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39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39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39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39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39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39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39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39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39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0"/>
      <c r="B22" s="39"/>
      <c r="C22" s="10"/>
      <c r="D22" s="10"/>
      <c r="E22" s="10"/>
      <c r="F22" s="10"/>
      <c r="G22" s="10"/>
      <c r="H22" s="10"/>
      <c r="I22" s="39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39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39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39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39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39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39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39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39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39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39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39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39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39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39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39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39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39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39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39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1"/>
      <c r="B23" s="42"/>
      <c r="C23" s="43"/>
      <c r="D23" s="43"/>
      <c r="E23" s="43"/>
      <c r="F23" s="43"/>
      <c r="G23" s="43"/>
      <c r="H23" s="43"/>
      <c r="I23" s="42" t="str">
        <f t="shared" ref="I23:M23" si="141">B23</f>
        <v/>
      </c>
      <c r="J23" s="43" t="str">
        <f t="shared" si="141"/>
        <v/>
      </c>
      <c r="K23" s="43" t="str">
        <f t="shared" si="141"/>
        <v/>
      </c>
      <c r="L23" s="43" t="str">
        <f t="shared" si="141"/>
        <v/>
      </c>
      <c r="M23" s="43" t="str">
        <f t="shared" si="141"/>
        <v/>
      </c>
      <c r="N23" s="43"/>
      <c r="O23" s="43"/>
      <c r="P23" s="42" t="str">
        <f t="shared" ref="P23:T23" si="142">I23</f>
        <v/>
      </c>
      <c r="Q23" s="43" t="str">
        <f t="shared" si="142"/>
        <v/>
      </c>
      <c r="R23" s="43" t="str">
        <f t="shared" si="142"/>
        <v/>
      </c>
      <c r="S23" s="43" t="str">
        <f t="shared" si="142"/>
        <v/>
      </c>
      <c r="T23" s="43" t="str">
        <f t="shared" si="142"/>
        <v/>
      </c>
      <c r="U23" s="43"/>
      <c r="V23" s="43"/>
      <c r="W23" s="42" t="str">
        <f t="shared" ref="W23:AA23" si="143">P23</f>
        <v/>
      </c>
      <c r="X23" s="43" t="str">
        <f t="shared" si="143"/>
        <v/>
      </c>
      <c r="Y23" s="43" t="str">
        <f t="shared" si="143"/>
        <v/>
      </c>
      <c r="Z23" s="43" t="str">
        <f t="shared" si="143"/>
        <v/>
      </c>
      <c r="AA23" s="43" t="str">
        <f t="shared" si="143"/>
        <v/>
      </c>
      <c r="AB23" s="43"/>
      <c r="AC23" s="43"/>
      <c r="AD23" s="42" t="str">
        <f t="shared" ref="AD23:AH23" si="144">W23</f>
        <v/>
      </c>
      <c r="AE23" s="43" t="str">
        <f t="shared" si="144"/>
        <v/>
      </c>
      <c r="AF23" s="43" t="str">
        <f t="shared" si="144"/>
        <v/>
      </c>
      <c r="AG23" s="43" t="str">
        <f t="shared" si="144"/>
        <v/>
      </c>
      <c r="AH23" s="43" t="str">
        <f t="shared" si="144"/>
        <v/>
      </c>
      <c r="AI23" s="43"/>
      <c r="AJ23" s="43"/>
      <c r="AK23" s="42" t="str">
        <f t="shared" ref="AK23:AO23" si="145">AD23</f>
        <v/>
      </c>
      <c r="AL23" s="43" t="str">
        <f t="shared" si="145"/>
        <v/>
      </c>
      <c r="AM23" s="43" t="str">
        <f t="shared" si="145"/>
        <v/>
      </c>
      <c r="AN23" s="43" t="str">
        <f t="shared" si="145"/>
        <v/>
      </c>
      <c r="AO23" s="43" t="str">
        <f t="shared" si="145"/>
        <v/>
      </c>
      <c r="AP23" s="43"/>
      <c r="AQ23" s="43"/>
      <c r="AR23" s="42" t="str">
        <f t="shared" ref="AR23:AV23" si="146">AK23</f>
        <v/>
      </c>
      <c r="AS23" s="43" t="str">
        <f t="shared" si="146"/>
        <v/>
      </c>
      <c r="AT23" s="43" t="str">
        <f t="shared" si="146"/>
        <v/>
      </c>
      <c r="AU23" s="43" t="str">
        <f t="shared" si="146"/>
        <v/>
      </c>
      <c r="AV23" s="43" t="str">
        <f t="shared" si="146"/>
        <v/>
      </c>
      <c r="AW23" s="43"/>
      <c r="AX23" s="43"/>
      <c r="AY23" s="42" t="str">
        <f t="shared" ref="AY23:BC23" si="147">AR23</f>
        <v/>
      </c>
      <c r="AZ23" s="43" t="str">
        <f t="shared" si="147"/>
        <v/>
      </c>
      <c r="BA23" s="43" t="str">
        <f t="shared" si="147"/>
        <v/>
      </c>
      <c r="BB23" s="43" t="str">
        <f t="shared" si="147"/>
        <v/>
      </c>
      <c r="BC23" s="43" t="str">
        <f t="shared" si="147"/>
        <v/>
      </c>
      <c r="BD23" s="43"/>
      <c r="BE23" s="43"/>
      <c r="BF23" s="42" t="str">
        <f t="shared" ref="BF23:BJ23" si="148">AY23</f>
        <v/>
      </c>
      <c r="BG23" s="43" t="str">
        <f t="shared" si="148"/>
        <v/>
      </c>
      <c r="BH23" s="43" t="str">
        <f t="shared" si="148"/>
        <v/>
      </c>
      <c r="BI23" s="43" t="str">
        <f t="shared" si="148"/>
        <v/>
      </c>
      <c r="BJ23" s="43" t="str">
        <f t="shared" si="148"/>
        <v/>
      </c>
      <c r="BK23" s="43"/>
      <c r="BL23" s="43"/>
      <c r="BM23" s="42" t="str">
        <f t="shared" ref="BM23:BQ23" si="149">BF23</f>
        <v/>
      </c>
      <c r="BN23" s="43" t="str">
        <f t="shared" si="149"/>
        <v/>
      </c>
      <c r="BO23" s="43" t="str">
        <f t="shared" si="149"/>
        <v/>
      </c>
      <c r="BP23" s="43" t="str">
        <f t="shared" si="149"/>
        <v/>
      </c>
      <c r="BQ23" s="43" t="str">
        <f t="shared" si="149"/>
        <v/>
      </c>
      <c r="BR23" s="43"/>
      <c r="BS23" s="43"/>
      <c r="BT23" s="42" t="str">
        <f t="shared" ref="BT23:BX23" si="150">BM23</f>
        <v/>
      </c>
      <c r="BU23" s="43" t="str">
        <f t="shared" si="150"/>
        <v/>
      </c>
      <c r="BV23" s="43" t="str">
        <f t="shared" si="150"/>
        <v/>
      </c>
      <c r="BW23" s="43" t="str">
        <f t="shared" si="150"/>
        <v/>
      </c>
      <c r="BX23" s="43" t="str">
        <f t="shared" si="150"/>
        <v/>
      </c>
      <c r="BY23" s="43"/>
      <c r="BZ23" s="43"/>
      <c r="CA23" s="42" t="str">
        <f t="shared" ref="CA23:CE23" si="151">BT23</f>
        <v/>
      </c>
      <c r="CB23" s="43" t="str">
        <f t="shared" si="151"/>
        <v/>
      </c>
      <c r="CC23" s="43" t="str">
        <f t="shared" si="151"/>
        <v/>
      </c>
      <c r="CD23" s="43" t="str">
        <f t="shared" si="151"/>
        <v/>
      </c>
      <c r="CE23" s="43" t="str">
        <f t="shared" si="151"/>
        <v/>
      </c>
      <c r="CF23" s="43"/>
      <c r="CG23" s="43"/>
      <c r="CH23" s="42" t="str">
        <f t="shared" ref="CH23:CL23" si="152">CA23</f>
        <v/>
      </c>
      <c r="CI23" s="43" t="str">
        <f t="shared" si="152"/>
        <v/>
      </c>
      <c r="CJ23" s="43" t="str">
        <f t="shared" si="152"/>
        <v/>
      </c>
      <c r="CK23" s="43" t="str">
        <f t="shared" si="152"/>
        <v/>
      </c>
      <c r="CL23" s="43" t="str">
        <f t="shared" si="152"/>
        <v/>
      </c>
      <c r="CM23" s="43"/>
      <c r="CN23" s="43"/>
      <c r="CO23" s="42" t="str">
        <f t="shared" ref="CO23:CS23" si="153">CH23</f>
        <v/>
      </c>
      <c r="CP23" s="43" t="str">
        <f t="shared" si="153"/>
        <v/>
      </c>
      <c r="CQ23" s="43" t="str">
        <f t="shared" si="153"/>
        <v/>
      </c>
      <c r="CR23" s="43" t="str">
        <f t="shared" si="153"/>
        <v/>
      </c>
      <c r="CS23" s="43" t="str">
        <f t="shared" si="153"/>
        <v/>
      </c>
      <c r="CT23" s="43"/>
      <c r="CU23" s="43"/>
      <c r="CV23" s="42" t="str">
        <f t="shared" ref="CV23:CZ23" si="154">CO23</f>
        <v/>
      </c>
      <c r="CW23" s="43" t="str">
        <f t="shared" si="154"/>
        <v/>
      </c>
      <c r="CX23" s="43" t="str">
        <f t="shared" si="154"/>
        <v/>
      </c>
      <c r="CY23" s="43" t="str">
        <f t="shared" si="154"/>
        <v/>
      </c>
      <c r="CZ23" s="43" t="str">
        <f t="shared" si="154"/>
        <v/>
      </c>
      <c r="DA23" s="43"/>
      <c r="DB23" s="43"/>
      <c r="DC23" s="42" t="str">
        <f t="shared" ref="DC23:DG23" si="155">CV23</f>
        <v/>
      </c>
      <c r="DD23" s="43" t="str">
        <f t="shared" si="155"/>
        <v/>
      </c>
      <c r="DE23" s="43" t="str">
        <f t="shared" si="155"/>
        <v/>
      </c>
      <c r="DF23" s="43" t="str">
        <f t="shared" si="155"/>
        <v/>
      </c>
      <c r="DG23" s="43" t="str">
        <f t="shared" si="155"/>
        <v/>
      </c>
      <c r="DH23" s="43"/>
      <c r="DI23" s="43"/>
      <c r="DJ23" s="42" t="str">
        <f t="shared" ref="DJ23:DN23" si="156">DC23</f>
        <v/>
      </c>
      <c r="DK23" s="43" t="str">
        <f t="shared" si="156"/>
        <v/>
      </c>
      <c r="DL23" s="43" t="str">
        <f t="shared" si="156"/>
        <v/>
      </c>
      <c r="DM23" s="43" t="str">
        <f t="shared" si="156"/>
        <v/>
      </c>
      <c r="DN23" s="43" t="str">
        <f t="shared" si="156"/>
        <v/>
      </c>
      <c r="DO23" s="43"/>
      <c r="DP23" s="43"/>
      <c r="DQ23" s="42" t="str">
        <f t="shared" ref="DQ23:DU23" si="157">DJ23</f>
        <v/>
      </c>
      <c r="DR23" s="43" t="str">
        <f t="shared" si="157"/>
        <v/>
      </c>
      <c r="DS23" s="43" t="str">
        <f t="shared" si="157"/>
        <v/>
      </c>
      <c r="DT23" s="43" t="str">
        <f t="shared" si="157"/>
        <v/>
      </c>
      <c r="DU23" s="43" t="str">
        <f t="shared" si="157"/>
        <v/>
      </c>
      <c r="DV23" s="43"/>
      <c r="DW23" s="43"/>
      <c r="DX23" s="42" t="str">
        <f t="shared" ref="DX23:EB23" si="158">DQ23</f>
        <v/>
      </c>
      <c r="DY23" s="43" t="str">
        <f t="shared" si="158"/>
        <v/>
      </c>
      <c r="DZ23" s="43" t="str">
        <f t="shared" si="158"/>
        <v/>
      </c>
      <c r="EA23" s="43" t="str">
        <f t="shared" si="158"/>
        <v/>
      </c>
      <c r="EB23" s="43" t="str">
        <f t="shared" si="158"/>
        <v/>
      </c>
      <c r="EC23" s="43"/>
      <c r="ED23" s="43"/>
      <c r="EE23" s="42" t="str">
        <f t="shared" ref="EE23:EI23" si="159">DX23</f>
        <v/>
      </c>
      <c r="EF23" s="43" t="str">
        <f t="shared" si="159"/>
        <v/>
      </c>
      <c r="EG23" s="43" t="str">
        <f t="shared" si="159"/>
        <v/>
      </c>
      <c r="EH23" s="43" t="str">
        <f t="shared" si="159"/>
        <v/>
      </c>
      <c r="EI23" s="43" t="str">
        <f t="shared" si="159"/>
        <v/>
      </c>
      <c r="EJ23" s="43"/>
      <c r="EK23" s="43"/>
      <c r="EL23" s="42" t="str">
        <f t="shared" ref="EL23:EP23" si="160">EE23</f>
        <v/>
      </c>
      <c r="EM23" s="43" t="str">
        <f t="shared" si="160"/>
        <v/>
      </c>
      <c r="EN23" s="43" t="str">
        <f t="shared" si="160"/>
        <v/>
      </c>
      <c r="EO23" s="43" t="str">
        <f t="shared" si="160"/>
        <v/>
      </c>
      <c r="EP23" s="43" t="str">
        <f t="shared" si="160"/>
        <v/>
      </c>
      <c r="EQ23" s="43"/>
      <c r="ER23" s="43"/>
    </row>
    <row r="24">
      <c r="A24" s="2"/>
      <c r="B24" s="38"/>
      <c r="C24" s="2"/>
      <c r="D24" s="2"/>
      <c r="E24" s="2"/>
      <c r="F24" s="2"/>
      <c r="G24" s="2"/>
      <c r="H24" s="2"/>
      <c r="I24" s="38"/>
      <c r="J24" s="2"/>
      <c r="K24" s="2"/>
      <c r="L24" s="2"/>
      <c r="M24" s="2"/>
      <c r="N24" s="2"/>
      <c r="O24" s="2"/>
      <c r="P24" s="38"/>
      <c r="Q24" s="2"/>
      <c r="R24" s="2"/>
      <c r="S24" s="2"/>
      <c r="T24" s="2"/>
      <c r="U24" s="2"/>
      <c r="V24" s="2"/>
      <c r="W24" s="38"/>
      <c r="X24" s="2"/>
      <c r="Y24" s="2"/>
      <c r="Z24" s="2"/>
      <c r="AA24" s="2"/>
      <c r="AB24" s="2"/>
      <c r="AC24" s="2"/>
      <c r="AD24" s="38"/>
      <c r="AE24" s="2"/>
      <c r="AF24" s="2"/>
      <c r="AG24" s="2"/>
      <c r="AH24" s="2"/>
      <c r="AI24" s="2"/>
      <c r="AJ24" s="2"/>
      <c r="AK24" s="38"/>
      <c r="AL24" s="2"/>
      <c r="AM24" s="2"/>
      <c r="AN24" s="2"/>
      <c r="AO24" s="2"/>
      <c r="AP24" s="2"/>
      <c r="AQ24" s="2"/>
      <c r="AR24" s="38"/>
      <c r="AS24" s="2"/>
      <c r="AT24" s="2"/>
      <c r="AU24" s="2"/>
      <c r="AV24" s="2"/>
      <c r="AW24" s="2"/>
      <c r="AX24" s="2"/>
      <c r="AY24" s="38"/>
      <c r="AZ24" s="2"/>
      <c r="BA24" s="2"/>
      <c r="BB24" s="2"/>
      <c r="BC24" s="2"/>
      <c r="BD24" s="2"/>
      <c r="BE24" s="2"/>
      <c r="BF24" s="38"/>
      <c r="BG24" s="2"/>
      <c r="BH24" s="2"/>
      <c r="BI24" s="2"/>
      <c r="BJ24" s="2"/>
      <c r="BK24" s="2"/>
      <c r="BL24" s="2"/>
      <c r="BM24" s="38"/>
      <c r="BN24" s="2"/>
      <c r="BO24" s="2"/>
      <c r="BP24" s="2"/>
      <c r="BQ24" s="2"/>
      <c r="BR24" s="2"/>
      <c r="BS24" s="2"/>
      <c r="BT24" s="38"/>
      <c r="BU24" s="2"/>
      <c r="BV24" s="2"/>
      <c r="BW24" s="2"/>
      <c r="BX24" s="2"/>
      <c r="BY24" s="2"/>
      <c r="BZ24" s="2"/>
      <c r="CA24" s="38"/>
      <c r="CB24" s="2"/>
      <c r="CC24" s="2"/>
      <c r="CD24" s="2"/>
      <c r="CE24" s="2"/>
      <c r="CF24" s="2"/>
      <c r="CG24" s="2"/>
      <c r="CH24" s="38"/>
      <c r="CI24" s="2"/>
      <c r="CJ24" s="2"/>
      <c r="CK24" s="2"/>
      <c r="CL24" s="2"/>
      <c r="CM24" s="2"/>
      <c r="CN24" s="2"/>
      <c r="CO24" s="38"/>
      <c r="CP24" s="2"/>
      <c r="CQ24" s="2"/>
      <c r="CR24" s="2"/>
      <c r="CS24" s="2"/>
      <c r="CT24" s="2"/>
      <c r="CU24" s="2"/>
      <c r="CV24" s="38"/>
      <c r="CW24" s="2"/>
      <c r="CX24" s="2"/>
      <c r="CY24" s="2"/>
      <c r="CZ24" s="2"/>
      <c r="DA24" s="2"/>
      <c r="DB24" s="2"/>
      <c r="DC24" s="38"/>
      <c r="DD24" s="2"/>
      <c r="DE24" s="2"/>
      <c r="DF24" s="2"/>
      <c r="DG24" s="2"/>
      <c r="DH24" s="2"/>
      <c r="DI24" s="2"/>
      <c r="DJ24" s="38"/>
      <c r="DK24" s="2"/>
      <c r="DL24" s="2"/>
      <c r="DM24" s="2"/>
      <c r="DN24" s="2"/>
      <c r="DO24" s="2"/>
      <c r="DP24" s="2"/>
      <c r="DQ24" s="38"/>
      <c r="DR24" s="2"/>
      <c r="DS24" s="2"/>
      <c r="DT24" s="2"/>
      <c r="DU24" s="2"/>
      <c r="DV24" s="2"/>
      <c r="DW24" s="2"/>
      <c r="DX24" s="38"/>
      <c r="DY24" s="2"/>
      <c r="DZ24" s="2"/>
      <c r="EA24" s="2"/>
      <c r="EB24" s="2"/>
      <c r="EC24" s="2"/>
      <c r="ED24" s="2"/>
      <c r="EE24" s="38"/>
      <c r="EF24" s="2"/>
      <c r="EG24" s="2"/>
      <c r="EH24" s="2"/>
      <c r="EI24" s="2"/>
      <c r="EJ24" s="2"/>
      <c r="EK24" s="2"/>
      <c r="EL24" s="38"/>
      <c r="EM24" s="2"/>
      <c r="EN24" s="2"/>
      <c r="EO24" s="2"/>
      <c r="EP24" s="2"/>
      <c r="EQ24" s="2"/>
      <c r="ER24" s="2"/>
    </row>
    <row r="25">
      <c r="A25" s="28" t="s">
        <v>79</v>
      </c>
      <c r="B25" s="29"/>
      <c r="C25" s="30"/>
      <c r="D25" s="30"/>
      <c r="E25" s="30"/>
      <c r="F25" s="30"/>
      <c r="G25" s="30"/>
      <c r="H25" s="30"/>
      <c r="I25" s="29"/>
      <c r="J25" s="30"/>
      <c r="K25" s="30"/>
      <c r="L25" s="30"/>
      <c r="M25" s="30"/>
      <c r="N25" s="30"/>
      <c r="O25" s="30"/>
      <c r="P25" s="29"/>
      <c r="Q25" s="30"/>
      <c r="R25" s="30"/>
      <c r="S25" s="30"/>
      <c r="T25" s="30"/>
      <c r="U25" s="30"/>
      <c r="V25" s="30"/>
      <c r="W25" s="29"/>
      <c r="X25" s="30"/>
      <c r="Y25" s="30"/>
      <c r="Z25" s="30"/>
      <c r="AA25" s="30"/>
      <c r="AB25" s="30"/>
      <c r="AC25" s="30"/>
      <c r="AD25" s="29"/>
      <c r="AE25" s="30"/>
      <c r="AF25" s="30"/>
      <c r="AG25" s="30"/>
      <c r="AH25" s="30"/>
      <c r="AI25" s="30"/>
      <c r="AJ25" s="30"/>
      <c r="AK25" s="29"/>
      <c r="AL25" s="30"/>
      <c r="AM25" s="30"/>
      <c r="AN25" s="30"/>
      <c r="AO25" s="30"/>
      <c r="AP25" s="30"/>
      <c r="AQ25" s="30"/>
      <c r="AR25" s="29"/>
      <c r="AS25" s="30"/>
      <c r="AT25" s="30"/>
      <c r="AU25" s="30"/>
      <c r="AV25" s="30"/>
      <c r="AW25" s="30"/>
      <c r="AX25" s="30"/>
      <c r="AY25" s="29"/>
      <c r="AZ25" s="30"/>
      <c r="BA25" s="30"/>
      <c r="BB25" s="30"/>
      <c r="BC25" s="30"/>
      <c r="BD25" s="30"/>
      <c r="BE25" s="30"/>
      <c r="BF25" s="29"/>
      <c r="BG25" s="30"/>
      <c r="BH25" s="30"/>
      <c r="BI25" s="30"/>
      <c r="BJ25" s="30"/>
      <c r="BK25" s="30"/>
      <c r="BL25" s="30"/>
      <c r="BM25" s="29"/>
      <c r="BN25" s="30"/>
      <c r="BO25" s="30"/>
      <c r="BP25" s="30"/>
      <c r="BQ25" s="30"/>
      <c r="BR25" s="30"/>
      <c r="BS25" s="30"/>
      <c r="BT25" s="29"/>
      <c r="BU25" s="30"/>
      <c r="BV25" s="30"/>
      <c r="BW25" s="30"/>
      <c r="BX25" s="30"/>
      <c r="BY25" s="30"/>
      <c r="BZ25" s="30"/>
      <c r="CA25" s="29"/>
      <c r="CB25" s="30"/>
      <c r="CC25" s="30"/>
      <c r="CD25" s="30"/>
      <c r="CE25" s="30"/>
      <c r="CF25" s="30"/>
      <c r="CG25" s="30"/>
      <c r="CH25" s="29"/>
      <c r="CI25" s="30"/>
      <c r="CJ25" s="30"/>
      <c r="CK25" s="30"/>
      <c r="CL25" s="30"/>
      <c r="CM25" s="30"/>
      <c r="CN25" s="30"/>
      <c r="CO25" s="29"/>
      <c r="CP25" s="30"/>
      <c r="CQ25" s="30"/>
      <c r="CR25" s="30"/>
      <c r="CS25" s="30"/>
      <c r="CT25" s="30"/>
      <c r="CU25" s="30"/>
      <c r="CV25" s="29"/>
      <c r="CW25" s="30"/>
      <c r="CX25" s="30"/>
      <c r="CY25" s="30"/>
      <c r="CZ25" s="30"/>
      <c r="DA25" s="30"/>
      <c r="DB25" s="30"/>
      <c r="DC25" s="29"/>
      <c r="DD25" s="30"/>
      <c r="DE25" s="30"/>
      <c r="DF25" s="30"/>
      <c r="DG25" s="30"/>
      <c r="DH25" s="30"/>
      <c r="DI25" s="30"/>
      <c r="DJ25" s="29"/>
      <c r="DK25" s="30"/>
      <c r="DL25" s="30"/>
      <c r="DM25" s="30"/>
      <c r="DN25" s="30"/>
      <c r="DO25" s="30"/>
      <c r="DP25" s="30"/>
      <c r="DQ25" s="29"/>
      <c r="DR25" s="30"/>
      <c r="DS25" s="30"/>
      <c r="DT25" s="30"/>
      <c r="DU25" s="30"/>
      <c r="DV25" s="30"/>
      <c r="DW25" s="30"/>
      <c r="DX25" s="29"/>
      <c r="DY25" s="30"/>
      <c r="DZ25" s="30"/>
      <c r="EA25" s="30"/>
      <c r="EB25" s="30"/>
      <c r="EC25" s="30"/>
      <c r="ED25" s="30"/>
      <c r="EE25" s="31" t="s">
        <v>75</v>
      </c>
      <c r="EF25" s="32"/>
      <c r="EG25" s="32"/>
      <c r="EH25" s="32"/>
      <c r="EI25" s="32"/>
      <c r="EJ25" s="32"/>
      <c r="EK25" s="32"/>
      <c r="EL25" s="29"/>
      <c r="EM25" s="30"/>
      <c r="EN25" s="30"/>
      <c r="EO25" s="30"/>
      <c r="EP25" s="30"/>
      <c r="EQ25" s="30"/>
      <c r="ER25" s="30"/>
    </row>
    <row r="26" hidden="1">
      <c r="A26" s="33" t="str">
        <f>CONCATENATE(A27," TM")</f>
        <v>Deadlift TM</v>
      </c>
      <c r="B26" s="34">
        <f>if(D26="",'Quick Setup'!D7,D26/'Quick Setup'!E7)</f>
        <v>525</v>
      </c>
      <c r="C26" s="35" t="s">
        <v>73</v>
      </c>
      <c r="D26" s="36"/>
      <c r="E26" s="37"/>
      <c r="F26" s="37"/>
      <c r="G26" s="37"/>
      <c r="H26" s="37"/>
      <c r="I26" s="34">
        <f>if(K26="", if(F27&lt;&gt;"", if(F27&gt;Setup!F6,B26*(1+Setup!G6),if(F27&lt;Setup!E6,B26*(1+Setup!H6),B26)),B26),K26/'Quick Setup'!$E7)</f>
        <v>525</v>
      </c>
      <c r="J26" s="35" t="s">
        <v>73</v>
      </c>
      <c r="K26" s="36"/>
      <c r="L26" s="37"/>
      <c r="M26" s="37"/>
      <c r="N26" s="37"/>
      <c r="O26" s="37"/>
      <c r="P26" s="34">
        <f>if(R26="", if(M27&lt;&gt;"", if(M27&gt;Setup!M6,I26*(1+Setup!N6),if(M27&lt;Setup!L6,I26*(1+Setup!O6),I26)),I26),R26/'Quick Setup'!$E7)</f>
        <v>525</v>
      </c>
      <c r="Q26" s="35" t="s">
        <v>73</v>
      </c>
      <c r="R26" s="36"/>
      <c r="S26" s="37"/>
      <c r="T26" s="37"/>
      <c r="U26" s="37"/>
      <c r="V26" s="37"/>
      <c r="W26" s="34">
        <f>if(Y26="", if(T27&lt;&gt;"", if(T27&gt;Setup!T6,P26*(1+Setup!U6),if(T27&lt;Setup!S6,P26*(1+Setup!V6),P26)),P26),Y26/'Quick Setup'!$E7)</f>
        <v>525</v>
      </c>
      <c r="X26" s="35" t="s">
        <v>73</v>
      </c>
      <c r="Y26" s="36"/>
      <c r="Z26" s="37"/>
      <c r="AA26" s="37"/>
      <c r="AB26" s="37"/>
      <c r="AC26" s="37"/>
      <c r="AD26" s="34">
        <f>if(AF26="", if(AA27&lt;&gt;"", if(AA27&gt;Setup!AA6,W26*(1+Setup!AB6),if(AA27&lt;Setup!Z6,W26*(1+Setup!AC6),W26)),W26),AF26/'Quick Setup'!$E7)</f>
        <v>525</v>
      </c>
      <c r="AE26" s="35" t="s">
        <v>73</v>
      </c>
      <c r="AF26" s="36"/>
      <c r="AG26" s="37"/>
      <c r="AH26" s="37"/>
      <c r="AI26" s="37"/>
      <c r="AJ26" s="37"/>
      <c r="AK26" s="34">
        <f>if(AM26="", if(AH27&lt;&gt;"", if(AH27&gt;Setup!AH6,AD26*(1+Setup!AI6),if(AH27&lt;Setup!AG6,AD26*(1+Setup!AJ6),AD26)),AD26),AM26/'Quick Setup'!$E7)</f>
        <v>525</v>
      </c>
      <c r="AL26" s="35" t="s">
        <v>73</v>
      </c>
      <c r="AM26" s="36"/>
      <c r="AN26" s="37"/>
      <c r="AO26" s="37"/>
      <c r="AP26" s="37"/>
      <c r="AQ26" s="37"/>
      <c r="AR26" s="34">
        <f>if(AT26="", if(AO27&lt;&gt;"", if(AO27&gt;Setup!AO6,AK26*(1+Setup!AP6),if(AO27&lt;Setup!AN6,AK26*(1+Setup!AQ6),AK26)),AK26),AT26/'Quick Setup'!$E7)</f>
        <v>525</v>
      </c>
      <c r="AS26" s="35" t="s">
        <v>73</v>
      </c>
      <c r="AT26" s="36"/>
      <c r="AU26" s="37"/>
      <c r="AV26" s="37"/>
      <c r="AW26" s="37"/>
      <c r="AX26" s="37"/>
      <c r="AY26" s="34">
        <f>if(BA26="",AR26,BA26/'Quick Setup'!$E7)</f>
        <v>525</v>
      </c>
      <c r="AZ26" s="35" t="s">
        <v>73</v>
      </c>
      <c r="BA26" s="36"/>
      <c r="BB26" s="37"/>
      <c r="BC26" s="37"/>
      <c r="BD26" s="37"/>
      <c r="BE26" s="37"/>
      <c r="BF26" s="34">
        <f>if(BH26="", if(BC27&lt;&gt;"", if(BC27&gt;Setup!BC6,AY26*(1+Setup!BD6),if(BC27&lt;Setup!BB6,AY26*(1+Setup!BE6),AY26)),AY26),BH26/'Quick Setup'!$E7)</f>
        <v>525</v>
      </c>
      <c r="BG26" s="35" t="s">
        <v>73</v>
      </c>
      <c r="BH26" s="36"/>
      <c r="BI26" s="37"/>
      <c r="BJ26" s="37"/>
      <c r="BK26" s="37"/>
      <c r="BL26" s="37"/>
      <c r="BM26" s="34">
        <f>if(BO26="", if(BJ27&lt;&gt;"", if(BJ27&gt;Setup!BJ6,BF26*(1+Setup!BK6),if(BJ27&lt;Setup!BI6,BF26*(1+Setup!BL6),BF26)),BF26),BO26/'Quick Setup'!$E7)</f>
        <v>525</v>
      </c>
      <c r="BN26" s="35" t="s">
        <v>73</v>
      </c>
      <c r="BO26" s="36"/>
      <c r="BP26" s="37"/>
      <c r="BQ26" s="37"/>
      <c r="BR26" s="37"/>
      <c r="BS26" s="37"/>
      <c r="BT26" s="34">
        <f>if(BV26="", if(BQ27&lt;&gt;"", if(BQ27&gt;Setup!BQ6,BM26*(1+Setup!BR6),if(BQ27&lt;Setup!BP6,BM26*(1+Setup!BS6),BM26)),BM26),BV26/'Quick Setup'!$E7)</f>
        <v>525</v>
      </c>
      <c r="BU26" s="35" t="s">
        <v>73</v>
      </c>
      <c r="BV26" s="36"/>
      <c r="BW26" s="37"/>
      <c r="BX26" s="37"/>
      <c r="BY26" s="37"/>
      <c r="BZ26" s="37"/>
      <c r="CA26" s="34">
        <f>if(CC26="", if(BX27&lt;&gt;"", if(BX27&gt;Setup!BX6,BT26*(1+Setup!BY6),if(BX27&lt;Setup!BW6,BT26*(1+Setup!BZ6),BT26)),BT26),CC26/'Quick Setup'!$E7)</f>
        <v>525</v>
      </c>
      <c r="CB26" s="35" t="s">
        <v>73</v>
      </c>
      <c r="CC26" s="36"/>
      <c r="CD26" s="37"/>
      <c r="CE26" s="37"/>
      <c r="CF26" s="37"/>
      <c r="CG26" s="37"/>
      <c r="CH26" s="34">
        <f>if(CJ26="", if(CE27&lt;&gt;"", if(CE27&gt;Setup!CE6,CA26*(1+Setup!CF6),if(CE27&lt;Setup!CD6,CA26*(1+Setup!CG6),CA26)),CA26),CJ26/'Quick Setup'!$E7)</f>
        <v>525</v>
      </c>
      <c r="CI26" s="35" t="s">
        <v>73</v>
      </c>
      <c r="CJ26" s="36"/>
      <c r="CK26" s="37"/>
      <c r="CL26" s="37"/>
      <c r="CM26" s="37"/>
      <c r="CN26" s="37"/>
      <c r="CO26" s="34">
        <f>if(CQ26="", if(CL27&lt;&gt;"", if(CL27&gt;Setup!CL6,CH26*(1+Setup!CM6),if(CL27&lt;Setup!CK6,CH26*(1+Setup!CN6),CH26)),CH26),CQ26/'Quick Setup'!$E7)</f>
        <v>525</v>
      </c>
      <c r="CP26" s="35" t="s">
        <v>73</v>
      </c>
      <c r="CQ26" s="36"/>
      <c r="CR26" s="37"/>
      <c r="CS26" s="37"/>
      <c r="CT26" s="37"/>
      <c r="CU26" s="37"/>
      <c r="CV26" s="34">
        <f>if(CX26="",CO26,CX26/'Quick Setup'!$E7)</f>
        <v>525</v>
      </c>
      <c r="CW26" s="35" t="s">
        <v>73</v>
      </c>
      <c r="CX26" s="36"/>
      <c r="CY26" s="37"/>
      <c r="CZ26" s="37"/>
      <c r="DA26" s="37"/>
      <c r="DB26" s="37"/>
      <c r="DC26" s="34">
        <f>if(DE26="", if(CZ27&lt;&gt;"", if(CZ27&gt;Setup!CZ6,CV26*(1+Setup!DA6),if(CZ27&lt;Setup!CY6,CV26*(1+Setup!DB6),CV26)),CV26),DE26/'Quick Setup'!$E7)</f>
        <v>525</v>
      </c>
      <c r="DD26" s="35" t="s">
        <v>73</v>
      </c>
      <c r="DE26" s="36"/>
      <c r="DF26" s="37"/>
      <c r="DG26" s="37"/>
      <c r="DH26" s="37"/>
      <c r="DI26" s="37"/>
      <c r="DJ26" s="34">
        <f>if(DL26="", if(DG27&lt;&gt;"", if(DG27&gt;Setup!DG6,DC26*(1+Setup!DH6),if(DG27&lt;Setup!DF6,DC26*(1+Setup!DI6),DC26)),DC26),DL26/'Quick Setup'!$E7)</f>
        <v>525</v>
      </c>
      <c r="DK26" s="35" t="s">
        <v>73</v>
      </c>
      <c r="DL26" s="36"/>
      <c r="DM26" s="37"/>
      <c r="DN26" s="37"/>
      <c r="DO26" s="37"/>
      <c r="DP26" s="37"/>
      <c r="DQ26" s="34">
        <f>if(DS26="", if(DN27&lt;&gt;"", if(DN27&gt;Setup!DN6,DJ26*(1+Setup!DO6),if(DN27&lt;Setup!DM6,DJ26*(1+Setup!DP6),DJ26)),DJ26),DS26/'Quick Setup'!$E7)</f>
        <v>525</v>
      </c>
      <c r="DR26" s="35" t="s">
        <v>73</v>
      </c>
      <c r="DS26" s="36"/>
      <c r="DT26" s="37"/>
      <c r="DU26" s="37"/>
      <c r="DV26" s="37"/>
      <c r="DW26" s="37"/>
      <c r="DX26" s="34">
        <f>if(DZ26="", if(DU27&lt;&gt;"", if(DU27&gt;Setup!DU6,DQ26*(1+Setup!DV6),if(DU27&lt;Setup!DT6,DQ26*(1+Setup!DW6),DQ26)),DQ26),DZ26/'Quick Setup'!$E7)</f>
        <v>525</v>
      </c>
      <c r="DY26" s="35" t="s">
        <v>73</v>
      </c>
      <c r="DZ26" s="36"/>
      <c r="EA26" s="37"/>
      <c r="EB26" s="37"/>
      <c r="EC26" s="37"/>
      <c r="ED26" s="37"/>
      <c r="EE26" s="34">
        <f>if(EG26="", if(EB27&lt;&gt;"", if(EB27&gt;Setup!EB6,DX26*(1+Setup!EC6),if(EB27&lt;Setup!EA6,DX26*(1+Setup!ED6),DX26)),DX26),EG26/'Quick Setup'!$E7)</f>
        <v>525</v>
      </c>
      <c r="EF26" s="35" t="s">
        <v>73</v>
      </c>
      <c r="EG26" s="36"/>
      <c r="EH26" s="37"/>
      <c r="EI26" s="37"/>
      <c r="EJ26" s="37"/>
      <c r="EK26" s="37"/>
      <c r="EL26" s="34">
        <f>if(EN26="", if(EI27&lt;&gt;"", if(EI27&gt;Setup!EI6,EE26*(1+Setup!EJ6),if(EI27&lt;Setup!EH6,EE26*(1+Setup!EK6),EE26)),EE26),EN26/'Quick Setup'!$E7)</f>
        <v>525</v>
      </c>
      <c r="EM26" s="35" t="s">
        <v>73</v>
      </c>
      <c r="EN26" s="36"/>
      <c r="EO26" s="37"/>
      <c r="EP26" s="37"/>
      <c r="EQ26" s="37"/>
      <c r="ER26" s="37"/>
    </row>
    <row r="27">
      <c r="A27" s="1" t="str">
        <f>Setup!A6</f>
        <v>Deadlift</v>
      </c>
      <c r="B27" s="38">
        <f>mround(B26*Setup!B6,'Quick Setup'!$A$2)</f>
        <v>367.5</v>
      </c>
      <c r="C27" s="2">
        <f>Setup!C6</f>
        <v>5</v>
      </c>
      <c r="D27" s="2">
        <f>Setup!D6</f>
        <v>3</v>
      </c>
      <c r="E27" s="2" t="str">
        <f>CONCATENATE(Setup!E6,"-",Setup!F6)</f>
        <v>4-6</v>
      </c>
      <c r="F27" s="10"/>
      <c r="G27" s="10"/>
      <c r="H27" s="10"/>
      <c r="I27" s="38">
        <f>mround(I26*Setup!I6,'Quick Setup'!$A$2)</f>
        <v>395</v>
      </c>
      <c r="J27" s="2">
        <f>Setup!J6</f>
        <v>4</v>
      </c>
      <c r="K27" s="2">
        <f>Setup!K6</f>
        <v>3</v>
      </c>
      <c r="L27" s="2" t="str">
        <f>CONCATENATE(Setup!L6,"-",Setup!M6)</f>
        <v>4-6</v>
      </c>
      <c r="M27" s="10"/>
      <c r="N27" s="10"/>
      <c r="O27" s="10"/>
      <c r="P27" s="38">
        <f>mround(P26*Setup!P6,'Quick Setup'!$A$2)</f>
        <v>420</v>
      </c>
      <c r="Q27" s="2">
        <f>Setup!Q6</f>
        <v>3</v>
      </c>
      <c r="R27" s="2">
        <f>Setup!R6</f>
        <v>2</v>
      </c>
      <c r="S27" s="2" t="str">
        <f>CONCATENATE(Setup!S6,"-",Setup!T6)</f>
        <v>4-6</v>
      </c>
      <c r="T27" s="10"/>
      <c r="U27" s="10"/>
      <c r="V27" s="10"/>
      <c r="W27" s="38">
        <f>mround(W26*Setup!W6,'Quick Setup'!$A$2)</f>
        <v>380</v>
      </c>
      <c r="X27" s="2">
        <f>Setup!X6</f>
        <v>5</v>
      </c>
      <c r="Y27" s="2">
        <f>Setup!Y6</f>
        <v>3</v>
      </c>
      <c r="Z27" s="2" t="str">
        <f>CONCATENATE(Setup!Z6,"-",Setup!AA6)</f>
        <v>4-6</v>
      </c>
      <c r="AA27" s="10"/>
      <c r="AB27" s="10"/>
      <c r="AC27" s="10"/>
      <c r="AD27" s="38">
        <f>mround(AD26*Setup!AD6,'Quick Setup'!$A$2)</f>
        <v>407.5</v>
      </c>
      <c r="AE27" s="2">
        <f>Setup!AE6</f>
        <v>4</v>
      </c>
      <c r="AF27" s="2">
        <f>Setup!AF6</f>
        <v>3</v>
      </c>
      <c r="AG27" s="2" t="str">
        <f>CONCATENATE(Setup!AG6,"-",Setup!AH6)</f>
        <v>4-6</v>
      </c>
      <c r="AH27" s="10"/>
      <c r="AI27" s="10"/>
      <c r="AJ27" s="10"/>
      <c r="AK27" s="38">
        <f>mround(AK26*Setup!AK6,'Quick Setup'!$A$2)</f>
        <v>432.5</v>
      </c>
      <c r="AL27" s="2">
        <f>Setup!AL6</f>
        <v>3</v>
      </c>
      <c r="AM27" s="2">
        <f>Setup!AM6</f>
        <v>2</v>
      </c>
      <c r="AN27" s="2" t="str">
        <f>CONCATENATE(Setup!AN6,"-",Setup!AO6)</f>
        <v>4-6</v>
      </c>
      <c r="AO27" s="10"/>
      <c r="AP27" s="10"/>
      <c r="AQ27" s="10"/>
      <c r="AR27" s="38">
        <f>mround(AR26*Setup!AR6,'Quick Setup'!$A$2)</f>
        <v>315</v>
      </c>
      <c r="AS27" s="1">
        <v>5.0</v>
      </c>
      <c r="AT27" s="1" t="s">
        <v>76</v>
      </c>
      <c r="AU27" s="2" t="str">
        <f>CONCATENATE(Setup!AU6,"-",Setup!AV6)</f>
        <v>4-6</v>
      </c>
      <c r="AV27" s="10"/>
      <c r="AW27" s="10"/>
      <c r="AX27" s="10"/>
      <c r="AY27" s="38">
        <f>mround(AY26*Setup!AY6,'Quick Setup'!$A$2)</f>
        <v>395</v>
      </c>
      <c r="AZ27" s="2">
        <f>Setup!AZ6</f>
        <v>4</v>
      </c>
      <c r="BA27" s="2">
        <f>Setup!BA6</f>
        <v>3</v>
      </c>
      <c r="BB27" s="2" t="str">
        <f>CONCATENATE(Setup!BB6,"-",Setup!BC6)</f>
        <v>4-6</v>
      </c>
      <c r="BC27" s="10"/>
      <c r="BD27" s="10"/>
      <c r="BE27" s="10"/>
      <c r="BF27" s="38">
        <f>mround(BF26*Setup!BF6,'Quick Setup'!$A$2)</f>
        <v>420</v>
      </c>
      <c r="BG27" s="2">
        <f>Setup!BG6</f>
        <v>3</v>
      </c>
      <c r="BH27" s="2">
        <f>Setup!BH6</f>
        <v>2</v>
      </c>
      <c r="BI27" s="2" t="str">
        <f>CONCATENATE(Setup!BI6,"-",Setup!BJ6)</f>
        <v>4-6</v>
      </c>
      <c r="BJ27" s="10"/>
      <c r="BK27" s="10"/>
      <c r="BL27" s="10"/>
      <c r="BM27" s="38">
        <f>mround(BM26*Setup!BM6,'Quick Setup'!$A$2)</f>
        <v>447.5</v>
      </c>
      <c r="BN27" s="2">
        <f>Setup!BN6</f>
        <v>2</v>
      </c>
      <c r="BO27" s="2">
        <f>Setup!BO6</f>
        <v>2</v>
      </c>
      <c r="BP27" s="2" t="str">
        <f>CONCATENATE(Setup!BP6,"-",Setup!BQ6)</f>
        <v>4-6</v>
      </c>
      <c r="BQ27" s="10"/>
      <c r="BR27" s="10"/>
      <c r="BS27" s="10"/>
      <c r="BT27" s="38">
        <f>mround(BT26*Setup!BT6,'Quick Setup'!$A$2)</f>
        <v>407.5</v>
      </c>
      <c r="BU27" s="2">
        <f>Setup!BU6</f>
        <v>4</v>
      </c>
      <c r="BV27" s="2">
        <f>Setup!BV6</f>
        <v>3</v>
      </c>
      <c r="BW27" s="2" t="str">
        <f>CONCATENATE(Setup!BW6,"-",Setup!BX6)</f>
        <v>4-6</v>
      </c>
      <c r="BX27" s="10"/>
      <c r="BY27" s="10"/>
      <c r="BZ27" s="10"/>
      <c r="CA27" s="38">
        <f>mround(CA26*Setup!CA6,'Quick Setup'!$A$2)</f>
        <v>432.5</v>
      </c>
      <c r="CB27" s="2">
        <f>Setup!CB6</f>
        <v>3</v>
      </c>
      <c r="CC27" s="2">
        <f>Setup!CC6</f>
        <v>2</v>
      </c>
      <c r="CD27" s="2" t="str">
        <f>CONCATENATE(Setup!CD6,"-",Setup!CE6)</f>
        <v>4-6</v>
      </c>
      <c r="CE27" s="10"/>
      <c r="CF27" s="10"/>
      <c r="CG27" s="10"/>
      <c r="CH27" s="38">
        <f>mround(CH26*Setup!CH6,'Quick Setup'!$A$2)</f>
        <v>460</v>
      </c>
      <c r="CI27" s="2">
        <f>Setup!CI6</f>
        <v>2</v>
      </c>
      <c r="CJ27" s="2">
        <f>Setup!CJ6</f>
        <v>2</v>
      </c>
      <c r="CK27" s="2" t="str">
        <f>CONCATENATE(Setup!CK6,"-",Setup!CL6)</f>
        <v>4-6</v>
      </c>
      <c r="CL27" s="10"/>
      <c r="CM27" s="10"/>
      <c r="CN27" s="10"/>
      <c r="CO27" s="38">
        <f>mround(CO26*Setup!CO6,'Quick Setup'!$A$2)</f>
        <v>315</v>
      </c>
      <c r="CP27" s="1">
        <v>5.0</v>
      </c>
      <c r="CQ27" s="1" t="s">
        <v>76</v>
      </c>
      <c r="CR27" s="2" t="str">
        <f>CONCATENATE(Setup!CR6,"-",Setup!CS6)</f>
        <v>4-6</v>
      </c>
      <c r="CS27" s="10"/>
      <c r="CT27" s="10"/>
      <c r="CU27" s="10"/>
      <c r="CV27" s="38">
        <f>mround(CV26*Setup!CV6,'Quick Setup'!$A$2)</f>
        <v>420</v>
      </c>
      <c r="CW27" s="2">
        <f>Setup!CW6</f>
        <v>3</v>
      </c>
      <c r="CX27" s="2">
        <f>Setup!CX6</f>
        <v>2</v>
      </c>
      <c r="CY27" s="2" t="str">
        <f>CONCATENATE(Setup!CY6,"-",Setup!CZ6)</f>
        <v>4-6</v>
      </c>
      <c r="CZ27" s="10"/>
      <c r="DA27" s="10"/>
      <c r="DB27" s="10"/>
      <c r="DC27" s="38">
        <f>mround(DC26*Setup!DC6,'Quick Setup'!$A$2)</f>
        <v>447.5</v>
      </c>
      <c r="DD27" s="2">
        <f>Setup!DD6</f>
        <v>2</v>
      </c>
      <c r="DE27" s="2">
        <f>Setup!DE6</f>
        <v>2</v>
      </c>
      <c r="DF27" s="2" t="str">
        <f>CONCATENATE(Setup!DF6,"-",Setup!DG6)</f>
        <v>4-6</v>
      </c>
      <c r="DG27" s="10"/>
      <c r="DH27" s="10"/>
      <c r="DI27" s="10"/>
      <c r="DJ27" s="38">
        <f>mround(DJ26*Setup!DJ6,'Quick Setup'!$A$2)</f>
        <v>472.5</v>
      </c>
      <c r="DK27" s="2">
        <f>Setup!DK6</f>
        <v>1</v>
      </c>
      <c r="DL27" s="2">
        <f>Setup!DL6</f>
        <v>1</v>
      </c>
      <c r="DM27" s="2" t="str">
        <f>CONCATENATE(Setup!DM6,"-",Setup!DN6)</f>
        <v>4-6</v>
      </c>
      <c r="DN27" s="10"/>
      <c r="DO27" s="10"/>
      <c r="DP27" s="10"/>
      <c r="DQ27" s="38">
        <f>mround(DQ26*Setup!DQ6,'Quick Setup'!$A$2)</f>
        <v>447.5</v>
      </c>
      <c r="DR27" s="2">
        <f>Setup!DR6</f>
        <v>2</v>
      </c>
      <c r="DS27" s="2">
        <f>Setup!DS6</f>
        <v>2</v>
      </c>
      <c r="DT27" s="2" t="str">
        <f>CONCATENATE(Setup!DT6,"-",Setup!DU6)</f>
        <v>4-6</v>
      </c>
      <c r="DU27" s="10"/>
      <c r="DV27" s="10"/>
      <c r="DW27" s="10"/>
      <c r="DX27" s="38">
        <f>mround(DX26*Setup!DX6,'Quick Setup'!$A$2)</f>
        <v>472.5</v>
      </c>
      <c r="DY27" s="2">
        <f>Setup!DY6</f>
        <v>1</v>
      </c>
      <c r="DZ27" s="2">
        <f>Setup!DZ6</f>
        <v>1</v>
      </c>
      <c r="EA27" s="2" t="str">
        <f>CONCATENATE(Setup!EA6,"-",Setup!EB6)</f>
        <v>4-6</v>
      </c>
      <c r="EB27" s="10"/>
      <c r="EC27" s="10"/>
      <c r="ED27" s="10"/>
      <c r="EE27" s="38">
        <f>mround(EE26*Setup!EE6,'Quick Setup'!$A$2)</f>
        <v>500</v>
      </c>
      <c r="EF27" s="2">
        <f>Setup!EF6</f>
        <v>1</v>
      </c>
      <c r="EG27" s="2">
        <f>Setup!EG6</f>
        <v>1</v>
      </c>
      <c r="EH27" s="2" t="str">
        <f>CONCATENATE(Setup!EH6,"-",Setup!EI6)</f>
        <v>4-6</v>
      </c>
      <c r="EI27" s="10"/>
      <c r="EJ27" s="10"/>
      <c r="EK27" s="10"/>
      <c r="EL27" s="38">
        <f>mround(EL26*Setup!EL6,'Quick Setup'!$A$2)</f>
        <v>315</v>
      </c>
      <c r="EM27" s="1">
        <v>5.0</v>
      </c>
      <c r="EN27" s="1" t="s">
        <v>76</v>
      </c>
      <c r="EO27" s="2" t="str">
        <f>CONCATENATE(Setup!EO6,"-",Setup!EP6)</f>
        <v>4-6</v>
      </c>
      <c r="EP27" s="10"/>
      <c r="EQ27" s="10"/>
      <c r="ER27" s="10"/>
    </row>
    <row r="28">
      <c r="A28" s="5"/>
      <c r="B28" s="39"/>
      <c r="C28" s="10"/>
      <c r="D28" s="10"/>
      <c r="E28" s="10"/>
      <c r="F28" s="10"/>
      <c r="G28" s="10"/>
      <c r="H28" s="10"/>
      <c r="I28" s="39" t="str">
        <f t="shared" ref="I28:M28" si="161">B28</f>
        <v/>
      </c>
      <c r="J28" s="10" t="str">
        <f t="shared" si="161"/>
        <v/>
      </c>
      <c r="K28" s="10" t="str">
        <f t="shared" si="161"/>
        <v/>
      </c>
      <c r="L28" s="10" t="str">
        <f t="shared" si="161"/>
        <v/>
      </c>
      <c r="M28" s="10" t="str">
        <f t="shared" si="161"/>
        <v/>
      </c>
      <c r="N28" s="10"/>
      <c r="O28" s="10"/>
      <c r="P28" s="39" t="str">
        <f t="shared" ref="P28:T28" si="162">I28</f>
        <v/>
      </c>
      <c r="Q28" s="10" t="str">
        <f t="shared" si="162"/>
        <v/>
      </c>
      <c r="R28" s="10" t="str">
        <f t="shared" si="162"/>
        <v/>
      </c>
      <c r="S28" s="10" t="str">
        <f t="shared" si="162"/>
        <v/>
      </c>
      <c r="T28" s="10" t="str">
        <f t="shared" si="162"/>
        <v/>
      </c>
      <c r="U28" s="10"/>
      <c r="V28" s="10"/>
      <c r="W28" s="39" t="str">
        <f t="shared" ref="W28:AA28" si="163">P28</f>
        <v/>
      </c>
      <c r="X28" s="10" t="str">
        <f t="shared" si="163"/>
        <v/>
      </c>
      <c r="Y28" s="10" t="str">
        <f t="shared" si="163"/>
        <v/>
      </c>
      <c r="Z28" s="10" t="str">
        <f t="shared" si="163"/>
        <v/>
      </c>
      <c r="AA28" s="10" t="str">
        <f t="shared" si="163"/>
        <v/>
      </c>
      <c r="AB28" s="10"/>
      <c r="AC28" s="10"/>
      <c r="AD28" s="39" t="str">
        <f t="shared" ref="AD28:AH28" si="164">W28</f>
        <v/>
      </c>
      <c r="AE28" s="10" t="str">
        <f t="shared" si="164"/>
        <v/>
      </c>
      <c r="AF28" s="10" t="str">
        <f t="shared" si="164"/>
        <v/>
      </c>
      <c r="AG28" s="10" t="str">
        <f t="shared" si="164"/>
        <v/>
      </c>
      <c r="AH28" s="10" t="str">
        <f t="shared" si="164"/>
        <v/>
      </c>
      <c r="AI28" s="10"/>
      <c r="AJ28" s="10"/>
      <c r="AK28" s="39" t="str">
        <f t="shared" ref="AK28:AO28" si="165">AD28</f>
        <v/>
      </c>
      <c r="AL28" s="10" t="str">
        <f t="shared" si="165"/>
        <v/>
      </c>
      <c r="AM28" s="10" t="str">
        <f t="shared" si="165"/>
        <v/>
      </c>
      <c r="AN28" s="10" t="str">
        <f t="shared" si="165"/>
        <v/>
      </c>
      <c r="AO28" s="10" t="str">
        <f t="shared" si="165"/>
        <v/>
      </c>
      <c r="AP28" s="10"/>
      <c r="AQ28" s="10"/>
      <c r="AR28" s="39" t="str">
        <f t="shared" ref="AR28:AV28" si="166">AK28</f>
        <v/>
      </c>
      <c r="AS28" s="10" t="str">
        <f t="shared" si="166"/>
        <v/>
      </c>
      <c r="AT28" s="10" t="str">
        <f t="shared" si="166"/>
        <v/>
      </c>
      <c r="AU28" s="10" t="str">
        <f t="shared" si="166"/>
        <v/>
      </c>
      <c r="AV28" s="10" t="str">
        <f t="shared" si="166"/>
        <v/>
      </c>
      <c r="AW28" s="10"/>
      <c r="AX28" s="10"/>
      <c r="AY28" s="39" t="str">
        <f t="shared" ref="AY28:BC28" si="167">AR28</f>
        <v/>
      </c>
      <c r="AZ28" s="10" t="str">
        <f t="shared" si="167"/>
        <v/>
      </c>
      <c r="BA28" s="10" t="str">
        <f t="shared" si="167"/>
        <v/>
      </c>
      <c r="BB28" s="10" t="str">
        <f t="shared" si="167"/>
        <v/>
      </c>
      <c r="BC28" s="10" t="str">
        <f t="shared" si="167"/>
        <v/>
      </c>
      <c r="BD28" s="10"/>
      <c r="BE28" s="10"/>
      <c r="BF28" s="39" t="str">
        <f t="shared" ref="BF28:BJ28" si="168">AY28</f>
        <v/>
      </c>
      <c r="BG28" s="10" t="str">
        <f t="shared" si="168"/>
        <v/>
      </c>
      <c r="BH28" s="10" t="str">
        <f t="shared" si="168"/>
        <v/>
      </c>
      <c r="BI28" s="10" t="str">
        <f t="shared" si="168"/>
        <v/>
      </c>
      <c r="BJ28" s="10" t="str">
        <f t="shared" si="168"/>
        <v/>
      </c>
      <c r="BK28" s="10"/>
      <c r="BL28" s="10"/>
      <c r="BM28" s="39" t="str">
        <f t="shared" ref="BM28:BQ28" si="169">BF28</f>
        <v/>
      </c>
      <c r="BN28" s="10" t="str">
        <f t="shared" si="169"/>
        <v/>
      </c>
      <c r="BO28" s="10" t="str">
        <f t="shared" si="169"/>
        <v/>
      </c>
      <c r="BP28" s="10" t="str">
        <f t="shared" si="169"/>
        <v/>
      </c>
      <c r="BQ28" s="10" t="str">
        <f t="shared" si="169"/>
        <v/>
      </c>
      <c r="BR28" s="10"/>
      <c r="BS28" s="10"/>
      <c r="BT28" s="39" t="str">
        <f t="shared" ref="BT28:BX28" si="170">BM28</f>
        <v/>
      </c>
      <c r="BU28" s="10" t="str">
        <f t="shared" si="170"/>
        <v/>
      </c>
      <c r="BV28" s="10" t="str">
        <f t="shared" si="170"/>
        <v/>
      </c>
      <c r="BW28" s="10" t="str">
        <f t="shared" si="170"/>
        <v/>
      </c>
      <c r="BX28" s="10" t="str">
        <f t="shared" si="170"/>
        <v/>
      </c>
      <c r="BY28" s="10"/>
      <c r="BZ28" s="10"/>
      <c r="CA28" s="39" t="str">
        <f t="shared" ref="CA28:CE28" si="171">BT28</f>
        <v/>
      </c>
      <c r="CB28" s="10" t="str">
        <f t="shared" si="171"/>
        <v/>
      </c>
      <c r="CC28" s="10" t="str">
        <f t="shared" si="171"/>
        <v/>
      </c>
      <c r="CD28" s="10" t="str">
        <f t="shared" si="171"/>
        <v/>
      </c>
      <c r="CE28" s="10" t="str">
        <f t="shared" si="171"/>
        <v/>
      </c>
      <c r="CF28" s="10"/>
      <c r="CG28" s="10"/>
      <c r="CH28" s="39" t="str">
        <f t="shared" ref="CH28:CL28" si="172">CA28</f>
        <v/>
      </c>
      <c r="CI28" s="10" t="str">
        <f t="shared" si="172"/>
        <v/>
      </c>
      <c r="CJ28" s="10" t="str">
        <f t="shared" si="172"/>
        <v/>
      </c>
      <c r="CK28" s="10" t="str">
        <f t="shared" si="172"/>
        <v/>
      </c>
      <c r="CL28" s="10" t="str">
        <f t="shared" si="172"/>
        <v/>
      </c>
      <c r="CM28" s="10"/>
      <c r="CN28" s="10"/>
      <c r="CO28" s="39" t="str">
        <f t="shared" ref="CO28:CS28" si="173">CH28</f>
        <v/>
      </c>
      <c r="CP28" s="10" t="str">
        <f t="shared" si="173"/>
        <v/>
      </c>
      <c r="CQ28" s="10" t="str">
        <f t="shared" si="173"/>
        <v/>
      </c>
      <c r="CR28" s="10" t="str">
        <f t="shared" si="173"/>
        <v/>
      </c>
      <c r="CS28" s="10" t="str">
        <f t="shared" si="173"/>
        <v/>
      </c>
      <c r="CT28" s="10"/>
      <c r="CU28" s="10"/>
      <c r="CV28" s="39" t="str">
        <f t="shared" ref="CV28:CZ28" si="174">CO28</f>
        <v/>
      </c>
      <c r="CW28" s="10" t="str">
        <f t="shared" si="174"/>
        <v/>
      </c>
      <c r="CX28" s="10" t="str">
        <f t="shared" si="174"/>
        <v/>
      </c>
      <c r="CY28" s="10" t="str">
        <f t="shared" si="174"/>
        <v/>
      </c>
      <c r="CZ28" s="10" t="str">
        <f t="shared" si="174"/>
        <v/>
      </c>
      <c r="DA28" s="10"/>
      <c r="DB28" s="10"/>
      <c r="DC28" s="39" t="str">
        <f t="shared" ref="DC28:DG28" si="175">CV28</f>
        <v/>
      </c>
      <c r="DD28" s="10" t="str">
        <f t="shared" si="175"/>
        <v/>
      </c>
      <c r="DE28" s="10" t="str">
        <f t="shared" si="175"/>
        <v/>
      </c>
      <c r="DF28" s="10" t="str">
        <f t="shared" si="175"/>
        <v/>
      </c>
      <c r="DG28" s="10" t="str">
        <f t="shared" si="175"/>
        <v/>
      </c>
      <c r="DH28" s="10"/>
      <c r="DI28" s="10"/>
      <c r="DJ28" s="39" t="str">
        <f t="shared" ref="DJ28:DN28" si="176">DC28</f>
        <v/>
      </c>
      <c r="DK28" s="10" t="str">
        <f t="shared" si="176"/>
        <v/>
      </c>
      <c r="DL28" s="10" t="str">
        <f t="shared" si="176"/>
        <v/>
      </c>
      <c r="DM28" s="10" t="str">
        <f t="shared" si="176"/>
        <v/>
      </c>
      <c r="DN28" s="10" t="str">
        <f t="shared" si="176"/>
        <v/>
      </c>
      <c r="DO28" s="10"/>
      <c r="DP28" s="10"/>
      <c r="DQ28" s="39" t="str">
        <f t="shared" ref="DQ28:DU28" si="177">DJ28</f>
        <v/>
      </c>
      <c r="DR28" s="10" t="str">
        <f t="shared" si="177"/>
        <v/>
      </c>
      <c r="DS28" s="10" t="str">
        <f t="shared" si="177"/>
        <v/>
      </c>
      <c r="DT28" s="10" t="str">
        <f t="shared" si="177"/>
        <v/>
      </c>
      <c r="DU28" s="10" t="str">
        <f t="shared" si="177"/>
        <v/>
      </c>
      <c r="DV28" s="10"/>
      <c r="DW28" s="10"/>
      <c r="DX28" s="39" t="str">
        <f t="shared" ref="DX28:EB28" si="178">DQ28</f>
        <v/>
      </c>
      <c r="DY28" s="10" t="str">
        <f t="shared" si="178"/>
        <v/>
      </c>
      <c r="DZ28" s="10" t="str">
        <f t="shared" si="178"/>
        <v/>
      </c>
      <c r="EA28" s="10" t="str">
        <f t="shared" si="178"/>
        <v/>
      </c>
      <c r="EB28" s="10" t="str">
        <f t="shared" si="178"/>
        <v/>
      </c>
      <c r="EC28" s="10"/>
      <c r="ED28" s="10"/>
      <c r="EE28" s="39" t="str">
        <f t="shared" ref="EE28:EI28" si="179">DX28</f>
        <v/>
      </c>
      <c r="EF28" s="10" t="str">
        <f t="shared" si="179"/>
        <v/>
      </c>
      <c r="EG28" s="10" t="str">
        <f t="shared" si="179"/>
        <v/>
      </c>
      <c r="EH28" s="10" t="str">
        <f t="shared" si="179"/>
        <v/>
      </c>
      <c r="EI28" s="10" t="str">
        <f t="shared" si="179"/>
        <v/>
      </c>
      <c r="EJ28" s="10"/>
      <c r="EK28" s="10"/>
      <c r="EL28" s="39" t="str">
        <f t="shared" ref="EL28:EP28" si="180">EE28</f>
        <v/>
      </c>
      <c r="EM28" s="10" t="str">
        <f t="shared" si="180"/>
        <v/>
      </c>
      <c r="EN28" s="10" t="str">
        <f t="shared" si="180"/>
        <v/>
      </c>
      <c r="EO28" s="10" t="str">
        <f t="shared" si="180"/>
        <v/>
      </c>
      <c r="EP28" s="10" t="str">
        <f t="shared" si="180"/>
        <v/>
      </c>
      <c r="EQ28" s="10"/>
      <c r="ER28" s="10"/>
    </row>
    <row r="29">
      <c r="A29" s="1" t="s">
        <v>77</v>
      </c>
      <c r="B29" s="38"/>
      <c r="C29" s="2"/>
      <c r="D29" s="2"/>
      <c r="E29" s="2"/>
      <c r="F29" s="2"/>
      <c r="G29" s="2"/>
      <c r="H29" s="2"/>
      <c r="I29" s="38"/>
      <c r="J29" s="2"/>
      <c r="K29" s="2"/>
      <c r="L29" s="2"/>
      <c r="M29" s="2"/>
      <c r="N29" s="2"/>
      <c r="O29" s="2"/>
      <c r="P29" s="38"/>
      <c r="Q29" s="2"/>
      <c r="R29" s="2"/>
      <c r="S29" s="2"/>
      <c r="T29" s="2"/>
      <c r="U29" s="2"/>
      <c r="V29" s="2"/>
      <c r="W29" s="38"/>
      <c r="X29" s="2"/>
      <c r="Y29" s="2"/>
      <c r="Z29" s="2"/>
      <c r="AA29" s="2"/>
      <c r="AB29" s="2"/>
      <c r="AC29" s="2"/>
      <c r="AD29" s="38"/>
      <c r="AE29" s="2"/>
      <c r="AF29" s="2"/>
      <c r="AG29" s="2"/>
      <c r="AH29" s="2"/>
      <c r="AI29" s="2"/>
      <c r="AJ29" s="2"/>
      <c r="AK29" s="38"/>
      <c r="AL29" s="2"/>
      <c r="AM29" s="2"/>
      <c r="AN29" s="2"/>
      <c r="AO29" s="2"/>
      <c r="AP29" s="2"/>
      <c r="AQ29" s="2"/>
      <c r="AR29" s="38"/>
      <c r="AS29" s="2"/>
      <c r="AT29" s="2"/>
      <c r="AU29" s="2"/>
      <c r="AV29" s="2"/>
      <c r="AW29" s="2"/>
      <c r="AX29" s="2"/>
      <c r="AY29" s="38"/>
      <c r="AZ29" s="2"/>
      <c r="BA29" s="2"/>
      <c r="BB29" s="2"/>
      <c r="BC29" s="2"/>
      <c r="BD29" s="2"/>
      <c r="BE29" s="2"/>
      <c r="BF29" s="38"/>
      <c r="BG29" s="2"/>
      <c r="BH29" s="2"/>
      <c r="BI29" s="2"/>
      <c r="BJ29" s="2"/>
      <c r="BK29" s="2"/>
      <c r="BL29" s="2"/>
      <c r="BM29" s="38"/>
      <c r="BN29" s="2"/>
      <c r="BO29" s="2"/>
      <c r="BP29" s="2"/>
      <c r="BQ29" s="2"/>
      <c r="BR29" s="2"/>
      <c r="BS29" s="2"/>
      <c r="BT29" s="38"/>
      <c r="BU29" s="2"/>
      <c r="BV29" s="2"/>
      <c r="BW29" s="2"/>
      <c r="BX29" s="2"/>
      <c r="BY29" s="2"/>
      <c r="BZ29" s="2"/>
      <c r="CA29" s="38"/>
      <c r="CB29" s="2"/>
      <c r="CC29" s="2"/>
      <c r="CD29" s="2"/>
      <c r="CE29" s="2"/>
      <c r="CF29" s="2"/>
      <c r="CG29" s="2"/>
      <c r="CH29" s="38"/>
      <c r="CI29" s="2"/>
      <c r="CJ29" s="2"/>
      <c r="CK29" s="2"/>
      <c r="CL29" s="2"/>
      <c r="CM29" s="2"/>
      <c r="CN29" s="2"/>
      <c r="CO29" s="38"/>
      <c r="CP29" s="2"/>
      <c r="CQ29" s="2"/>
      <c r="CR29" s="2"/>
      <c r="CS29" s="2"/>
      <c r="CT29" s="2"/>
      <c r="CU29" s="2"/>
      <c r="CV29" s="38"/>
      <c r="CW29" s="2"/>
      <c r="CX29" s="2"/>
      <c r="CY29" s="2"/>
      <c r="CZ29" s="2"/>
      <c r="DA29" s="2"/>
      <c r="DB29" s="2"/>
      <c r="DC29" s="38"/>
      <c r="DD29" s="2"/>
      <c r="DE29" s="2"/>
      <c r="DF29" s="2"/>
      <c r="DG29" s="2"/>
      <c r="DH29" s="2"/>
      <c r="DI29" s="2"/>
      <c r="DJ29" s="38"/>
      <c r="DK29" s="2"/>
      <c r="DL29" s="2"/>
      <c r="DM29" s="2"/>
      <c r="DN29" s="2"/>
      <c r="DO29" s="2"/>
      <c r="DP29" s="2"/>
      <c r="DQ29" s="38"/>
      <c r="DR29" s="2"/>
      <c r="DS29" s="2"/>
      <c r="DT29" s="2"/>
      <c r="DU29" s="2"/>
      <c r="DV29" s="2"/>
      <c r="DW29" s="2"/>
      <c r="DX29" s="38"/>
      <c r="DY29" s="2"/>
      <c r="DZ29" s="2"/>
      <c r="EA29" s="2"/>
      <c r="EB29" s="2"/>
      <c r="EC29" s="2"/>
      <c r="ED29" s="2"/>
      <c r="EE29" s="38"/>
      <c r="EF29" s="2"/>
      <c r="EG29" s="2"/>
      <c r="EH29" s="2"/>
      <c r="EI29" s="2"/>
      <c r="EJ29" s="2"/>
      <c r="EK29" s="2"/>
      <c r="EL29" s="38"/>
      <c r="EM29" s="2"/>
      <c r="EN29" s="2"/>
      <c r="EO29" s="2"/>
      <c r="EP29" s="2"/>
      <c r="EQ29" s="2"/>
      <c r="ER29" s="2"/>
    </row>
    <row r="30">
      <c r="A30" s="40"/>
      <c r="B30" s="39"/>
      <c r="C30" s="10"/>
      <c r="D30" s="10"/>
      <c r="E30" s="10"/>
      <c r="F30" s="10"/>
      <c r="G30" s="10"/>
      <c r="H30" s="10"/>
      <c r="I30" s="39" t="str">
        <f t="shared" ref="I30:M30" si="181">B30</f>
        <v/>
      </c>
      <c r="J30" s="10" t="str">
        <f t="shared" si="181"/>
        <v/>
      </c>
      <c r="K30" s="10" t="str">
        <f t="shared" si="181"/>
        <v/>
      </c>
      <c r="L30" s="10" t="str">
        <f t="shared" si="181"/>
        <v/>
      </c>
      <c r="M30" s="10" t="str">
        <f t="shared" si="181"/>
        <v/>
      </c>
      <c r="N30" s="10"/>
      <c r="O30" s="10"/>
      <c r="P30" s="39" t="str">
        <f t="shared" ref="P30:T30" si="182">I30</f>
        <v/>
      </c>
      <c r="Q30" s="10" t="str">
        <f t="shared" si="182"/>
        <v/>
      </c>
      <c r="R30" s="10" t="str">
        <f t="shared" si="182"/>
        <v/>
      </c>
      <c r="S30" s="10" t="str">
        <f t="shared" si="182"/>
        <v/>
      </c>
      <c r="T30" s="10" t="str">
        <f t="shared" si="182"/>
        <v/>
      </c>
      <c r="U30" s="10"/>
      <c r="V30" s="10"/>
      <c r="W30" s="39" t="str">
        <f t="shared" ref="W30:AA30" si="183">P30</f>
        <v/>
      </c>
      <c r="X30" s="10" t="str">
        <f t="shared" si="183"/>
        <v/>
      </c>
      <c r="Y30" s="10" t="str">
        <f t="shared" si="183"/>
        <v/>
      </c>
      <c r="Z30" s="10" t="str">
        <f t="shared" si="183"/>
        <v/>
      </c>
      <c r="AA30" s="10" t="str">
        <f t="shared" si="183"/>
        <v/>
      </c>
      <c r="AB30" s="10"/>
      <c r="AC30" s="10"/>
      <c r="AD30" s="39" t="str">
        <f t="shared" ref="AD30:AH30" si="184">W30</f>
        <v/>
      </c>
      <c r="AE30" s="10" t="str">
        <f t="shared" si="184"/>
        <v/>
      </c>
      <c r="AF30" s="10" t="str">
        <f t="shared" si="184"/>
        <v/>
      </c>
      <c r="AG30" s="10" t="str">
        <f t="shared" si="184"/>
        <v/>
      </c>
      <c r="AH30" s="10" t="str">
        <f t="shared" si="184"/>
        <v/>
      </c>
      <c r="AI30" s="10"/>
      <c r="AJ30" s="10"/>
      <c r="AK30" s="39" t="str">
        <f t="shared" ref="AK30:AO30" si="185">AD30</f>
        <v/>
      </c>
      <c r="AL30" s="10" t="str">
        <f t="shared" si="185"/>
        <v/>
      </c>
      <c r="AM30" s="10" t="str">
        <f t="shared" si="185"/>
        <v/>
      </c>
      <c r="AN30" s="10" t="str">
        <f t="shared" si="185"/>
        <v/>
      </c>
      <c r="AO30" s="10" t="str">
        <f t="shared" si="185"/>
        <v/>
      </c>
      <c r="AP30" s="10"/>
      <c r="AQ30" s="10"/>
      <c r="AR30" s="39" t="str">
        <f t="shared" ref="AR30:AV30" si="186">AK30</f>
        <v/>
      </c>
      <c r="AS30" s="10" t="str">
        <f t="shared" si="186"/>
        <v/>
      </c>
      <c r="AT30" s="10" t="str">
        <f t="shared" si="186"/>
        <v/>
      </c>
      <c r="AU30" s="10" t="str">
        <f t="shared" si="186"/>
        <v/>
      </c>
      <c r="AV30" s="10" t="str">
        <f t="shared" si="186"/>
        <v/>
      </c>
      <c r="AW30" s="10"/>
      <c r="AX30" s="10"/>
      <c r="AY30" s="39" t="str">
        <f t="shared" ref="AY30:BC30" si="187">AR30</f>
        <v/>
      </c>
      <c r="AZ30" s="10" t="str">
        <f t="shared" si="187"/>
        <v/>
      </c>
      <c r="BA30" s="10" t="str">
        <f t="shared" si="187"/>
        <v/>
      </c>
      <c r="BB30" s="10" t="str">
        <f t="shared" si="187"/>
        <v/>
      </c>
      <c r="BC30" s="10" t="str">
        <f t="shared" si="187"/>
        <v/>
      </c>
      <c r="BD30" s="10"/>
      <c r="BE30" s="10"/>
      <c r="BF30" s="39" t="str">
        <f t="shared" ref="BF30:BJ30" si="188">AY30</f>
        <v/>
      </c>
      <c r="BG30" s="10" t="str">
        <f t="shared" si="188"/>
        <v/>
      </c>
      <c r="BH30" s="10" t="str">
        <f t="shared" si="188"/>
        <v/>
      </c>
      <c r="BI30" s="10" t="str">
        <f t="shared" si="188"/>
        <v/>
      </c>
      <c r="BJ30" s="10" t="str">
        <f t="shared" si="188"/>
        <v/>
      </c>
      <c r="BK30" s="10"/>
      <c r="BL30" s="10"/>
      <c r="BM30" s="39" t="str">
        <f t="shared" ref="BM30:BQ30" si="189">BF30</f>
        <v/>
      </c>
      <c r="BN30" s="10" t="str">
        <f t="shared" si="189"/>
        <v/>
      </c>
      <c r="BO30" s="10" t="str">
        <f t="shared" si="189"/>
        <v/>
      </c>
      <c r="BP30" s="10" t="str">
        <f t="shared" si="189"/>
        <v/>
      </c>
      <c r="BQ30" s="10" t="str">
        <f t="shared" si="189"/>
        <v/>
      </c>
      <c r="BR30" s="10"/>
      <c r="BS30" s="10"/>
      <c r="BT30" s="39" t="str">
        <f t="shared" ref="BT30:BX30" si="190">BM30</f>
        <v/>
      </c>
      <c r="BU30" s="10" t="str">
        <f t="shared" si="190"/>
        <v/>
      </c>
      <c r="BV30" s="10" t="str">
        <f t="shared" si="190"/>
        <v/>
      </c>
      <c r="BW30" s="10" t="str">
        <f t="shared" si="190"/>
        <v/>
      </c>
      <c r="BX30" s="10" t="str">
        <f t="shared" si="190"/>
        <v/>
      </c>
      <c r="BY30" s="10"/>
      <c r="BZ30" s="10"/>
      <c r="CA30" s="39" t="str">
        <f t="shared" ref="CA30:CE30" si="191">BT30</f>
        <v/>
      </c>
      <c r="CB30" s="10" t="str">
        <f t="shared" si="191"/>
        <v/>
      </c>
      <c r="CC30" s="10" t="str">
        <f t="shared" si="191"/>
        <v/>
      </c>
      <c r="CD30" s="10" t="str">
        <f t="shared" si="191"/>
        <v/>
      </c>
      <c r="CE30" s="10" t="str">
        <f t="shared" si="191"/>
        <v/>
      </c>
      <c r="CF30" s="10"/>
      <c r="CG30" s="10"/>
      <c r="CH30" s="39" t="str">
        <f t="shared" ref="CH30:CL30" si="192">CA30</f>
        <v/>
      </c>
      <c r="CI30" s="10" t="str">
        <f t="shared" si="192"/>
        <v/>
      </c>
      <c r="CJ30" s="10" t="str">
        <f t="shared" si="192"/>
        <v/>
      </c>
      <c r="CK30" s="10" t="str">
        <f t="shared" si="192"/>
        <v/>
      </c>
      <c r="CL30" s="10" t="str">
        <f t="shared" si="192"/>
        <v/>
      </c>
      <c r="CM30" s="10"/>
      <c r="CN30" s="10"/>
      <c r="CO30" s="39" t="str">
        <f t="shared" ref="CO30:CS30" si="193">CH30</f>
        <v/>
      </c>
      <c r="CP30" s="10" t="str">
        <f t="shared" si="193"/>
        <v/>
      </c>
      <c r="CQ30" s="10" t="str">
        <f t="shared" si="193"/>
        <v/>
      </c>
      <c r="CR30" s="10" t="str">
        <f t="shared" si="193"/>
        <v/>
      </c>
      <c r="CS30" s="10" t="str">
        <f t="shared" si="193"/>
        <v/>
      </c>
      <c r="CT30" s="10"/>
      <c r="CU30" s="10"/>
      <c r="CV30" s="39" t="str">
        <f t="shared" ref="CV30:CZ30" si="194">CO30</f>
        <v/>
      </c>
      <c r="CW30" s="10" t="str">
        <f t="shared" si="194"/>
        <v/>
      </c>
      <c r="CX30" s="10" t="str">
        <f t="shared" si="194"/>
        <v/>
      </c>
      <c r="CY30" s="10" t="str">
        <f t="shared" si="194"/>
        <v/>
      </c>
      <c r="CZ30" s="10" t="str">
        <f t="shared" si="194"/>
        <v/>
      </c>
      <c r="DA30" s="10"/>
      <c r="DB30" s="10"/>
      <c r="DC30" s="39" t="str">
        <f t="shared" ref="DC30:DG30" si="195">CV30</f>
        <v/>
      </c>
      <c r="DD30" s="10" t="str">
        <f t="shared" si="195"/>
        <v/>
      </c>
      <c r="DE30" s="10" t="str">
        <f t="shared" si="195"/>
        <v/>
      </c>
      <c r="DF30" s="10" t="str">
        <f t="shared" si="195"/>
        <v/>
      </c>
      <c r="DG30" s="10" t="str">
        <f t="shared" si="195"/>
        <v/>
      </c>
      <c r="DH30" s="10"/>
      <c r="DI30" s="10"/>
      <c r="DJ30" s="39" t="str">
        <f t="shared" ref="DJ30:DN30" si="196">DC30</f>
        <v/>
      </c>
      <c r="DK30" s="10" t="str">
        <f t="shared" si="196"/>
        <v/>
      </c>
      <c r="DL30" s="10" t="str">
        <f t="shared" si="196"/>
        <v/>
      </c>
      <c r="DM30" s="10" t="str">
        <f t="shared" si="196"/>
        <v/>
      </c>
      <c r="DN30" s="10" t="str">
        <f t="shared" si="196"/>
        <v/>
      </c>
      <c r="DO30" s="10"/>
      <c r="DP30" s="10"/>
      <c r="DQ30" s="39" t="str">
        <f t="shared" ref="DQ30:DU30" si="197">DJ30</f>
        <v/>
      </c>
      <c r="DR30" s="10" t="str">
        <f t="shared" si="197"/>
        <v/>
      </c>
      <c r="DS30" s="10" t="str">
        <f t="shared" si="197"/>
        <v/>
      </c>
      <c r="DT30" s="10" t="str">
        <f t="shared" si="197"/>
        <v/>
      </c>
      <c r="DU30" s="10" t="str">
        <f t="shared" si="197"/>
        <v/>
      </c>
      <c r="DV30" s="10"/>
      <c r="DW30" s="10"/>
      <c r="DX30" s="39" t="str">
        <f t="shared" ref="DX30:EB30" si="198">DQ30</f>
        <v/>
      </c>
      <c r="DY30" s="10" t="str">
        <f t="shared" si="198"/>
        <v/>
      </c>
      <c r="DZ30" s="10" t="str">
        <f t="shared" si="198"/>
        <v/>
      </c>
      <c r="EA30" s="10" t="str">
        <f t="shared" si="198"/>
        <v/>
      </c>
      <c r="EB30" s="10" t="str">
        <f t="shared" si="198"/>
        <v/>
      </c>
      <c r="EC30" s="10"/>
      <c r="ED30" s="10"/>
      <c r="EE30" s="39" t="str">
        <f t="shared" ref="EE30:EI30" si="199">DX30</f>
        <v/>
      </c>
      <c r="EF30" s="10" t="str">
        <f t="shared" si="199"/>
        <v/>
      </c>
      <c r="EG30" s="10" t="str">
        <f t="shared" si="199"/>
        <v/>
      </c>
      <c r="EH30" s="10" t="str">
        <f t="shared" si="199"/>
        <v/>
      </c>
      <c r="EI30" s="10" t="str">
        <f t="shared" si="199"/>
        <v/>
      </c>
      <c r="EJ30" s="10"/>
      <c r="EK30" s="10"/>
      <c r="EL30" s="39" t="str">
        <f t="shared" ref="EL30:EP30" si="200">EE30</f>
        <v/>
      </c>
      <c r="EM30" s="10" t="str">
        <f t="shared" si="200"/>
        <v/>
      </c>
      <c r="EN30" s="10" t="str">
        <f t="shared" si="200"/>
        <v/>
      </c>
      <c r="EO30" s="10" t="str">
        <f t="shared" si="200"/>
        <v/>
      </c>
      <c r="EP30" s="10" t="str">
        <f t="shared" si="200"/>
        <v/>
      </c>
      <c r="EQ30" s="10"/>
      <c r="ER30" s="10"/>
    </row>
    <row r="31">
      <c r="A31" s="40"/>
      <c r="B31" s="39"/>
      <c r="C31" s="10"/>
      <c r="D31" s="10"/>
      <c r="E31" s="10"/>
      <c r="F31" s="10"/>
      <c r="G31" s="10"/>
      <c r="H31" s="10"/>
      <c r="I31" s="39" t="str">
        <f t="shared" ref="I31:M31" si="201">B31</f>
        <v/>
      </c>
      <c r="J31" s="10" t="str">
        <f t="shared" si="201"/>
        <v/>
      </c>
      <c r="K31" s="10" t="str">
        <f t="shared" si="201"/>
        <v/>
      </c>
      <c r="L31" s="10" t="str">
        <f t="shared" si="201"/>
        <v/>
      </c>
      <c r="M31" s="10" t="str">
        <f t="shared" si="201"/>
        <v/>
      </c>
      <c r="N31" s="10"/>
      <c r="O31" s="10"/>
      <c r="P31" s="39" t="str">
        <f t="shared" ref="P31:T31" si="202">I31</f>
        <v/>
      </c>
      <c r="Q31" s="10" t="str">
        <f t="shared" si="202"/>
        <v/>
      </c>
      <c r="R31" s="10" t="str">
        <f t="shared" si="202"/>
        <v/>
      </c>
      <c r="S31" s="10" t="str">
        <f t="shared" si="202"/>
        <v/>
      </c>
      <c r="T31" s="10" t="str">
        <f t="shared" si="202"/>
        <v/>
      </c>
      <c r="U31" s="10"/>
      <c r="V31" s="10"/>
      <c r="W31" s="39" t="str">
        <f t="shared" ref="W31:AA31" si="203">P31</f>
        <v/>
      </c>
      <c r="X31" s="10" t="str">
        <f t="shared" si="203"/>
        <v/>
      </c>
      <c r="Y31" s="10" t="str">
        <f t="shared" si="203"/>
        <v/>
      </c>
      <c r="Z31" s="10" t="str">
        <f t="shared" si="203"/>
        <v/>
      </c>
      <c r="AA31" s="10" t="str">
        <f t="shared" si="203"/>
        <v/>
      </c>
      <c r="AB31" s="10"/>
      <c r="AC31" s="10"/>
      <c r="AD31" s="39" t="str">
        <f t="shared" ref="AD31:AH31" si="204">W31</f>
        <v/>
      </c>
      <c r="AE31" s="10" t="str">
        <f t="shared" si="204"/>
        <v/>
      </c>
      <c r="AF31" s="10" t="str">
        <f t="shared" si="204"/>
        <v/>
      </c>
      <c r="AG31" s="10" t="str">
        <f t="shared" si="204"/>
        <v/>
      </c>
      <c r="AH31" s="10" t="str">
        <f t="shared" si="204"/>
        <v/>
      </c>
      <c r="AI31" s="10"/>
      <c r="AJ31" s="10"/>
      <c r="AK31" s="39" t="str">
        <f t="shared" ref="AK31:AO31" si="205">AD31</f>
        <v/>
      </c>
      <c r="AL31" s="10" t="str">
        <f t="shared" si="205"/>
        <v/>
      </c>
      <c r="AM31" s="10" t="str">
        <f t="shared" si="205"/>
        <v/>
      </c>
      <c r="AN31" s="10" t="str">
        <f t="shared" si="205"/>
        <v/>
      </c>
      <c r="AO31" s="10" t="str">
        <f t="shared" si="205"/>
        <v/>
      </c>
      <c r="AP31" s="10"/>
      <c r="AQ31" s="10"/>
      <c r="AR31" s="39" t="str">
        <f t="shared" ref="AR31:AV31" si="206">AK31</f>
        <v/>
      </c>
      <c r="AS31" s="10" t="str">
        <f t="shared" si="206"/>
        <v/>
      </c>
      <c r="AT31" s="10" t="str">
        <f t="shared" si="206"/>
        <v/>
      </c>
      <c r="AU31" s="10" t="str">
        <f t="shared" si="206"/>
        <v/>
      </c>
      <c r="AV31" s="10" t="str">
        <f t="shared" si="206"/>
        <v/>
      </c>
      <c r="AW31" s="10"/>
      <c r="AX31" s="10"/>
      <c r="AY31" s="39" t="str">
        <f t="shared" ref="AY31:BC31" si="207">AR31</f>
        <v/>
      </c>
      <c r="AZ31" s="10" t="str">
        <f t="shared" si="207"/>
        <v/>
      </c>
      <c r="BA31" s="10" t="str">
        <f t="shared" si="207"/>
        <v/>
      </c>
      <c r="BB31" s="10" t="str">
        <f t="shared" si="207"/>
        <v/>
      </c>
      <c r="BC31" s="10" t="str">
        <f t="shared" si="207"/>
        <v/>
      </c>
      <c r="BD31" s="10"/>
      <c r="BE31" s="10"/>
      <c r="BF31" s="39" t="str">
        <f t="shared" ref="BF31:BJ31" si="208">AY31</f>
        <v/>
      </c>
      <c r="BG31" s="10" t="str">
        <f t="shared" si="208"/>
        <v/>
      </c>
      <c r="BH31" s="10" t="str">
        <f t="shared" si="208"/>
        <v/>
      </c>
      <c r="BI31" s="10" t="str">
        <f t="shared" si="208"/>
        <v/>
      </c>
      <c r="BJ31" s="10" t="str">
        <f t="shared" si="208"/>
        <v/>
      </c>
      <c r="BK31" s="10"/>
      <c r="BL31" s="10"/>
      <c r="BM31" s="39" t="str">
        <f t="shared" ref="BM31:BQ31" si="209">BF31</f>
        <v/>
      </c>
      <c r="BN31" s="10" t="str">
        <f t="shared" si="209"/>
        <v/>
      </c>
      <c r="BO31" s="10" t="str">
        <f t="shared" si="209"/>
        <v/>
      </c>
      <c r="BP31" s="10" t="str">
        <f t="shared" si="209"/>
        <v/>
      </c>
      <c r="BQ31" s="10" t="str">
        <f t="shared" si="209"/>
        <v/>
      </c>
      <c r="BR31" s="10"/>
      <c r="BS31" s="10"/>
      <c r="BT31" s="39" t="str">
        <f t="shared" ref="BT31:BX31" si="210">BM31</f>
        <v/>
      </c>
      <c r="BU31" s="10" t="str">
        <f t="shared" si="210"/>
        <v/>
      </c>
      <c r="BV31" s="10" t="str">
        <f t="shared" si="210"/>
        <v/>
      </c>
      <c r="BW31" s="10" t="str">
        <f t="shared" si="210"/>
        <v/>
      </c>
      <c r="BX31" s="10" t="str">
        <f t="shared" si="210"/>
        <v/>
      </c>
      <c r="BY31" s="10"/>
      <c r="BZ31" s="10"/>
      <c r="CA31" s="39" t="str">
        <f t="shared" ref="CA31:CE31" si="211">BT31</f>
        <v/>
      </c>
      <c r="CB31" s="10" t="str">
        <f t="shared" si="211"/>
        <v/>
      </c>
      <c r="CC31" s="10" t="str">
        <f t="shared" si="211"/>
        <v/>
      </c>
      <c r="CD31" s="10" t="str">
        <f t="shared" si="211"/>
        <v/>
      </c>
      <c r="CE31" s="10" t="str">
        <f t="shared" si="211"/>
        <v/>
      </c>
      <c r="CF31" s="10"/>
      <c r="CG31" s="10"/>
      <c r="CH31" s="39" t="str">
        <f t="shared" ref="CH31:CL31" si="212">CA31</f>
        <v/>
      </c>
      <c r="CI31" s="10" t="str">
        <f t="shared" si="212"/>
        <v/>
      </c>
      <c r="CJ31" s="10" t="str">
        <f t="shared" si="212"/>
        <v/>
      </c>
      <c r="CK31" s="10" t="str">
        <f t="shared" si="212"/>
        <v/>
      </c>
      <c r="CL31" s="10" t="str">
        <f t="shared" si="212"/>
        <v/>
      </c>
      <c r="CM31" s="10"/>
      <c r="CN31" s="10"/>
      <c r="CO31" s="39" t="str">
        <f t="shared" ref="CO31:CS31" si="213">CH31</f>
        <v/>
      </c>
      <c r="CP31" s="10" t="str">
        <f t="shared" si="213"/>
        <v/>
      </c>
      <c r="CQ31" s="10" t="str">
        <f t="shared" si="213"/>
        <v/>
      </c>
      <c r="CR31" s="10" t="str">
        <f t="shared" si="213"/>
        <v/>
      </c>
      <c r="CS31" s="10" t="str">
        <f t="shared" si="213"/>
        <v/>
      </c>
      <c r="CT31" s="10"/>
      <c r="CU31" s="10"/>
      <c r="CV31" s="39" t="str">
        <f t="shared" ref="CV31:CZ31" si="214">CO31</f>
        <v/>
      </c>
      <c r="CW31" s="10" t="str">
        <f t="shared" si="214"/>
        <v/>
      </c>
      <c r="CX31" s="10" t="str">
        <f t="shared" si="214"/>
        <v/>
      </c>
      <c r="CY31" s="10" t="str">
        <f t="shared" si="214"/>
        <v/>
      </c>
      <c r="CZ31" s="10" t="str">
        <f t="shared" si="214"/>
        <v/>
      </c>
      <c r="DA31" s="10"/>
      <c r="DB31" s="10"/>
      <c r="DC31" s="39" t="str">
        <f t="shared" ref="DC31:DG31" si="215">CV31</f>
        <v/>
      </c>
      <c r="DD31" s="10" t="str">
        <f t="shared" si="215"/>
        <v/>
      </c>
      <c r="DE31" s="10" t="str">
        <f t="shared" si="215"/>
        <v/>
      </c>
      <c r="DF31" s="10" t="str">
        <f t="shared" si="215"/>
        <v/>
      </c>
      <c r="DG31" s="10" t="str">
        <f t="shared" si="215"/>
        <v/>
      </c>
      <c r="DH31" s="10"/>
      <c r="DI31" s="10"/>
      <c r="DJ31" s="39" t="str">
        <f t="shared" ref="DJ31:DN31" si="216">DC31</f>
        <v/>
      </c>
      <c r="DK31" s="10" t="str">
        <f t="shared" si="216"/>
        <v/>
      </c>
      <c r="DL31" s="10" t="str">
        <f t="shared" si="216"/>
        <v/>
      </c>
      <c r="DM31" s="10" t="str">
        <f t="shared" si="216"/>
        <v/>
      </c>
      <c r="DN31" s="10" t="str">
        <f t="shared" si="216"/>
        <v/>
      </c>
      <c r="DO31" s="10"/>
      <c r="DP31" s="10"/>
      <c r="DQ31" s="39" t="str">
        <f t="shared" ref="DQ31:DU31" si="217">DJ31</f>
        <v/>
      </c>
      <c r="DR31" s="10" t="str">
        <f t="shared" si="217"/>
        <v/>
      </c>
      <c r="DS31" s="10" t="str">
        <f t="shared" si="217"/>
        <v/>
      </c>
      <c r="DT31" s="10" t="str">
        <f t="shared" si="217"/>
        <v/>
      </c>
      <c r="DU31" s="10" t="str">
        <f t="shared" si="217"/>
        <v/>
      </c>
      <c r="DV31" s="10"/>
      <c r="DW31" s="10"/>
      <c r="DX31" s="39" t="str">
        <f t="shared" ref="DX31:EB31" si="218">DQ31</f>
        <v/>
      </c>
      <c r="DY31" s="10" t="str">
        <f t="shared" si="218"/>
        <v/>
      </c>
      <c r="DZ31" s="10" t="str">
        <f t="shared" si="218"/>
        <v/>
      </c>
      <c r="EA31" s="10" t="str">
        <f t="shared" si="218"/>
        <v/>
      </c>
      <c r="EB31" s="10" t="str">
        <f t="shared" si="218"/>
        <v/>
      </c>
      <c r="EC31" s="10"/>
      <c r="ED31" s="10"/>
      <c r="EE31" s="39" t="str">
        <f t="shared" ref="EE31:EI31" si="219">DX31</f>
        <v/>
      </c>
      <c r="EF31" s="10" t="str">
        <f t="shared" si="219"/>
        <v/>
      </c>
      <c r="EG31" s="10" t="str">
        <f t="shared" si="219"/>
        <v/>
      </c>
      <c r="EH31" s="10" t="str">
        <f t="shared" si="219"/>
        <v/>
      </c>
      <c r="EI31" s="10" t="str">
        <f t="shared" si="219"/>
        <v/>
      </c>
      <c r="EJ31" s="10"/>
      <c r="EK31" s="10"/>
      <c r="EL31" s="39" t="str">
        <f t="shared" ref="EL31:EP31" si="220">EE31</f>
        <v/>
      </c>
      <c r="EM31" s="10" t="str">
        <f t="shared" si="220"/>
        <v/>
      </c>
      <c r="EN31" s="10" t="str">
        <f t="shared" si="220"/>
        <v/>
      </c>
      <c r="EO31" s="10" t="str">
        <f t="shared" si="220"/>
        <v/>
      </c>
      <c r="EP31" s="10" t="str">
        <f t="shared" si="220"/>
        <v/>
      </c>
      <c r="EQ31" s="10"/>
      <c r="ER31" s="10"/>
    </row>
    <row r="32">
      <c r="A32" s="41"/>
      <c r="B32" s="42"/>
      <c r="C32" s="43"/>
      <c r="D32" s="43"/>
      <c r="E32" s="43"/>
      <c r="F32" s="43"/>
      <c r="G32" s="43"/>
      <c r="H32" s="43"/>
      <c r="I32" s="42" t="str">
        <f t="shared" ref="I32:M32" si="221">B32</f>
        <v/>
      </c>
      <c r="J32" s="43" t="str">
        <f t="shared" si="221"/>
        <v/>
      </c>
      <c r="K32" s="43" t="str">
        <f t="shared" si="221"/>
        <v/>
      </c>
      <c r="L32" s="43" t="str">
        <f t="shared" si="221"/>
        <v/>
      </c>
      <c r="M32" s="43" t="str">
        <f t="shared" si="221"/>
        <v/>
      </c>
      <c r="N32" s="43"/>
      <c r="O32" s="43"/>
      <c r="P32" s="42" t="str">
        <f t="shared" ref="P32:T32" si="222">I32</f>
        <v/>
      </c>
      <c r="Q32" s="43" t="str">
        <f t="shared" si="222"/>
        <v/>
      </c>
      <c r="R32" s="43" t="str">
        <f t="shared" si="222"/>
        <v/>
      </c>
      <c r="S32" s="43" t="str">
        <f t="shared" si="222"/>
        <v/>
      </c>
      <c r="T32" s="43" t="str">
        <f t="shared" si="222"/>
        <v/>
      </c>
      <c r="U32" s="43"/>
      <c r="V32" s="43"/>
      <c r="W32" s="42" t="str">
        <f t="shared" ref="W32:AA32" si="223">P32</f>
        <v/>
      </c>
      <c r="X32" s="43" t="str">
        <f t="shared" si="223"/>
        <v/>
      </c>
      <c r="Y32" s="43" t="str">
        <f t="shared" si="223"/>
        <v/>
      </c>
      <c r="Z32" s="43" t="str">
        <f t="shared" si="223"/>
        <v/>
      </c>
      <c r="AA32" s="43" t="str">
        <f t="shared" si="223"/>
        <v/>
      </c>
      <c r="AB32" s="43"/>
      <c r="AC32" s="43"/>
      <c r="AD32" s="42" t="str">
        <f t="shared" ref="AD32:AH32" si="224">W32</f>
        <v/>
      </c>
      <c r="AE32" s="43" t="str">
        <f t="shared" si="224"/>
        <v/>
      </c>
      <c r="AF32" s="43" t="str">
        <f t="shared" si="224"/>
        <v/>
      </c>
      <c r="AG32" s="43" t="str">
        <f t="shared" si="224"/>
        <v/>
      </c>
      <c r="AH32" s="43" t="str">
        <f t="shared" si="224"/>
        <v/>
      </c>
      <c r="AI32" s="43"/>
      <c r="AJ32" s="43"/>
      <c r="AK32" s="42" t="str">
        <f t="shared" ref="AK32:AO32" si="225">AD32</f>
        <v/>
      </c>
      <c r="AL32" s="43" t="str">
        <f t="shared" si="225"/>
        <v/>
      </c>
      <c r="AM32" s="43" t="str">
        <f t="shared" si="225"/>
        <v/>
      </c>
      <c r="AN32" s="43" t="str">
        <f t="shared" si="225"/>
        <v/>
      </c>
      <c r="AO32" s="43" t="str">
        <f t="shared" si="225"/>
        <v/>
      </c>
      <c r="AP32" s="43"/>
      <c r="AQ32" s="43"/>
      <c r="AR32" s="42" t="str">
        <f t="shared" ref="AR32:AV32" si="226">AK32</f>
        <v/>
      </c>
      <c r="AS32" s="43" t="str">
        <f t="shared" si="226"/>
        <v/>
      </c>
      <c r="AT32" s="43" t="str">
        <f t="shared" si="226"/>
        <v/>
      </c>
      <c r="AU32" s="43" t="str">
        <f t="shared" si="226"/>
        <v/>
      </c>
      <c r="AV32" s="43" t="str">
        <f t="shared" si="226"/>
        <v/>
      </c>
      <c r="AW32" s="43"/>
      <c r="AX32" s="43"/>
      <c r="AY32" s="42" t="str">
        <f t="shared" ref="AY32:BC32" si="227">AR32</f>
        <v/>
      </c>
      <c r="AZ32" s="43" t="str">
        <f t="shared" si="227"/>
        <v/>
      </c>
      <c r="BA32" s="43" t="str">
        <f t="shared" si="227"/>
        <v/>
      </c>
      <c r="BB32" s="43" t="str">
        <f t="shared" si="227"/>
        <v/>
      </c>
      <c r="BC32" s="43" t="str">
        <f t="shared" si="227"/>
        <v/>
      </c>
      <c r="BD32" s="43"/>
      <c r="BE32" s="43"/>
      <c r="BF32" s="42" t="str">
        <f t="shared" ref="BF32:BJ32" si="228">AY32</f>
        <v/>
      </c>
      <c r="BG32" s="43" t="str">
        <f t="shared" si="228"/>
        <v/>
      </c>
      <c r="BH32" s="43" t="str">
        <f t="shared" si="228"/>
        <v/>
      </c>
      <c r="BI32" s="43" t="str">
        <f t="shared" si="228"/>
        <v/>
      </c>
      <c r="BJ32" s="43" t="str">
        <f t="shared" si="228"/>
        <v/>
      </c>
      <c r="BK32" s="43"/>
      <c r="BL32" s="43"/>
      <c r="BM32" s="42" t="str">
        <f t="shared" ref="BM32:BQ32" si="229">BF32</f>
        <v/>
      </c>
      <c r="BN32" s="43" t="str">
        <f t="shared" si="229"/>
        <v/>
      </c>
      <c r="BO32" s="43" t="str">
        <f t="shared" si="229"/>
        <v/>
      </c>
      <c r="BP32" s="43" t="str">
        <f t="shared" si="229"/>
        <v/>
      </c>
      <c r="BQ32" s="43" t="str">
        <f t="shared" si="229"/>
        <v/>
      </c>
      <c r="BR32" s="43"/>
      <c r="BS32" s="43"/>
      <c r="BT32" s="42" t="str">
        <f t="shared" ref="BT32:BX32" si="230">BM32</f>
        <v/>
      </c>
      <c r="BU32" s="43" t="str">
        <f t="shared" si="230"/>
        <v/>
      </c>
      <c r="BV32" s="43" t="str">
        <f t="shared" si="230"/>
        <v/>
      </c>
      <c r="BW32" s="43" t="str">
        <f t="shared" si="230"/>
        <v/>
      </c>
      <c r="BX32" s="43" t="str">
        <f t="shared" si="230"/>
        <v/>
      </c>
      <c r="BY32" s="43"/>
      <c r="BZ32" s="43"/>
      <c r="CA32" s="42" t="str">
        <f t="shared" ref="CA32:CE32" si="231">BT32</f>
        <v/>
      </c>
      <c r="CB32" s="43" t="str">
        <f t="shared" si="231"/>
        <v/>
      </c>
      <c r="CC32" s="43" t="str">
        <f t="shared" si="231"/>
        <v/>
      </c>
      <c r="CD32" s="43" t="str">
        <f t="shared" si="231"/>
        <v/>
      </c>
      <c r="CE32" s="43" t="str">
        <f t="shared" si="231"/>
        <v/>
      </c>
      <c r="CF32" s="43"/>
      <c r="CG32" s="43"/>
      <c r="CH32" s="42" t="str">
        <f t="shared" ref="CH32:CL32" si="232">CA32</f>
        <v/>
      </c>
      <c r="CI32" s="43" t="str">
        <f t="shared" si="232"/>
        <v/>
      </c>
      <c r="CJ32" s="43" t="str">
        <f t="shared" si="232"/>
        <v/>
      </c>
      <c r="CK32" s="43" t="str">
        <f t="shared" si="232"/>
        <v/>
      </c>
      <c r="CL32" s="43" t="str">
        <f t="shared" si="232"/>
        <v/>
      </c>
      <c r="CM32" s="43"/>
      <c r="CN32" s="43"/>
      <c r="CO32" s="42" t="str">
        <f t="shared" ref="CO32:CS32" si="233">CH32</f>
        <v/>
      </c>
      <c r="CP32" s="43" t="str">
        <f t="shared" si="233"/>
        <v/>
      </c>
      <c r="CQ32" s="43" t="str">
        <f t="shared" si="233"/>
        <v/>
      </c>
      <c r="CR32" s="43" t="str">
        <f t="shared" si="233"/>
        <v/>
      </c>
      <c r="CS32" s="43" t="str">
        <f t="shared" si="233"/>
        <v/>
      </c>
      <c r="CT32" s="43"/>
      <c r="CU32" s="43"/>
      <c r="CV32" s="42" t="str">
        <f t="shared" ref="CV32:CZ32" si="234">CO32</f>
        <v/>
      </c>
      <c r="CW32" s="43" t="str">
        <f t="shared" si="234"/>
        <v/>
      </c>
      <c r="CX32" s="43" t="str">
        <f t="shared" si="234"/>
        <v/>
      </c>
      <c r="CY32" s="43" t="str">
        <f t="shared" si="234"/>
        <v/>
      </c>
      <c r="CZ32" s="43" t="str">
        <f t="shared" si="234"/>
        <v/>
      </c>
      <c r="DA32" s="43"/>
      <c r="DB32" s="43"/>
      <c r="DC32" s="42" t="str">
        <f t="shared" ref="DC32:DG32" si="235">CV32</f>
        <v/>
      </c>
      <c r="DD32" s="43" t="str">
        <f t="shared" si="235"/>
        <v/>
      </c>
      <c r="DE32" s="43" t="str">
        <f t="shared" si="235"/>
        <v/>
      </c>
      <c r="DF32" s="43" t="str">
        <f t="shared" si="235"/>
        <v/>
      </c>
      <c r="DG32" s="43" t="str">
        <f t="shared" si="235"/>
        <v/>
      </c>
      <c r="DH32" s="43"/>
      <c r="DI32" s="43"/>
      <c r="DJ32" s="42" t="str">
        <f t="shared" ref="DJ32:DN32" si="236">DC32</f>
        <v/>
      </c>
      <c r="DK32" s="43" t="str">
        <f t="shared" si="236"/>
        <v/>
      </c>
      <c r="DL32" s="43" t="str">
        <f t="shared" si="236"/>
        <v/>
      </c>
      <c r="DM32" s="43" t="str">
        <f t="shared" si="236"/>
        <v/>
      </c>
      <c r="DN32" s="43" t="str">
        <f t="shared" si="236"/>
        <v/>
      </c>
      <c r="DO32" s="43"/>
      <c r="DP32" s="43"/>
      <c r="DQ32" s="42" t="str">
        <f t="shared" ref="DQ32:DU32" si="237">DJ32</f>
        <v/>
      </c>
      <c r="DR32" s="43" t="str">
        <f t="shared" si="237"/>
        <v/>
      </c>
      <c r="DS32" s="43" t="str">
        <f t="shared" si="237"/>
        <v/>
      </c>
      <c r="DT32" s="43" t="str">
        <f t="shared" si="237"/>
        <v/>
      </c>
      <c r="DU32" s="43" t="str">
        <f t="shared" si="237"/>
        <v/>
      </c>
      <c r="DV32" s="43"/>
      <c r="DW32" s="43"/>
      <c r="DX32" s="42" t="str">
        <f t="shared" ref="DX32:EB32" si="238">DQ32</f>
        <v/>
      </c>
      <c r="DY32" s="43" t="str">
        <f t="shared" si="238"/>
        <v/>
      </c>
      <c r="DZ32" s="43" t="str">
        <f t="shared" si="238"/>
        <v/>
      </c>
      <c r="EA32" s="43" t="str">
        <f t="shared" si="238"/>
        <v/>
      </c>
      <c r="EB32" s="43" t="str">
        <f t="shared" si="238"/>
        <v/>
      </c>
      <c r="EC32" s="43"/>
      <c r="ED32" s="43"/>
      <c r="EE32" s="42" t="str">
        <f t="shared" ref="EE32:EI32" si="239">DX32</f>
        <v/>
      </c>
      <c r="EF32" s="43" t="str">
        <f t="shared" si="239"/>
        <v/>
      </c>
      <c r="EG32" s="43" t="str">
        <f t="shared" si="239"/>
        <v/>
      </c>
      <c r="EH32" s="43" t="str">
        <f t="shared" si="239"/>
        <v/>
      </c>
      <c r="EI32" s="43" t="str">
        <f t="shared" si="239"/>
        <v/>
      </c>
      <c r="EJ32" s="43"/>
      <c r="EK32" s="43"/>
      <c r="EL32" s="42" t="str">
        <f t="shared" ref="EL32:EP32" si="240">EE32</f>
        <v/>
      </c>
      <c r="EM32" s="43" t="str">
        <f t="shared" si="240"/>
        <v/>
      </c>
      <c r="EN32" s="43" t="str">
        <f t="shared" si="240"/>
        <v/>
      </c>
      <c r="EO32" s="43" t="str">
        <f t="shared" si="240"/>
        <v/>
      </c>
      <c r="EP32" s="43" t="str">
        <f t="shared" si="240"/>
        <v/>
      </c>
      <c r="EQ32" s="43"/>
      <c r="ER32" s="43"/>
    </row>
    <row r="33">
      <c r="A33" s="2"/>
      <c r="B33" s="38"/>
      <c r="C33" s="2"/>
      <c r="D33" s="2"/>
      <c r="E33" s="2"/>
      <c r="F33" s="2"/>
      <c r="G33" s="2"/>
      <c r="H33" s="2"/>
      <c r="I33" s="38"/>
      <c r="J33" s="2"/>
      <c r="K33" s="2"/>
      <c r="L33" s="2"/>
      <c r="M33" s="2"/>
      <c r="N33" s="2"/>
      <c r="O33" s="2"/>
      <c r="P33" s="38"/>
      <c r="Q33" s="2"/>
      <c r="R33" s="2"/>
      <c r="S33" s="2"/>
      <c r="T33" s="2"/>
      <c r="U33" s="2"/>
      <c r="V33" s="2"/>
      <c r="W33" s="38"/>
      <c r="X33" s="2"/>
      <c r="Y33" s="2"/>
      <c r="Z33" s="2"/>
      <c r="AA33" s="2"/>
      <c r="AB33" s="2"/>
      <c r="AC33" s="2"/>
      <c r="AD33" s="38"/>
      <c r="AE33" s="2"/>
      <c r="AF33" s="2"/>
      <c r="AG33" s="2"/>
      <c r="AH33" s="2"/>
      <c r="AI33" s="2"/>
      <c r="AJ33" s="2"/>
      <c r="AK33" s="38"/>
      <c r="AL33" s="2"/>
      <c r="AM33" s="2"/>
      <c r="AN33" s="2"/>
      <c r="AO33" s="2"/>
      <c r="AP33" s="2"/>
      <c r="AQ33" s="2"/>
      <c r="AR33" s="38"/>
      <c r="AS33" s="2"/>
      <c r="AT33" s="2"/>
      <c r="AU33" s="2"/>
      <c r="AV33" s="2"/>
      <c r="AW33" s="2"/>
      <c r="AX33" s="2"/>
      <c r="AY33" s="38"/>
      <c r="AZ33" s="2"/>
      <c r="BA33" s="2"/>
      <c r="BB33" s="2"/>
      <c r="BC33" s="2"/>
      <c r="BD33" s="2"/>
      <c r="BE33" s="2"/>
      <c r="BF33" s="38"/>
      <c r="BG33" s="2"/>
      <c r="BH33" s="2"/>
      <c r="BI33" s="2"/>
      <c r="BJ33" s="2"/>
      <c r="BK33" s="2"/>
      <c r="BL33" s="2"/>
      <c r="BM33" s="38"/>
      <c r="BN33" s="2"/>
      <c r="BO33" s="2"/>
      <c r="BP33" s="2"/>
      <c r="BQ33" s="2"/>
      <c r="BR33" s="2"/>
      <c r="BS33" s="2"/>
      <c r="BT33" s="38"/>
      <c r="BU33" s="2"/>
      <c r="BV33" s="2"/>
      <c r="BW33" s="2"/>
      <c r="BX33" s="2"/>
      <c r="BY33" s="2"/>
      <c r="BZ33" s="2"/>
      <c r="CA33" s="38"/>
      <c r="CB33" s="2"/>
      <c r="CC33" s="2"/>
      <c r="CD33" s="2"/>
      <c r="CE33" s="2"/>
      <c r="CF33" s="2"/>
      <c r="CG33" s="2"/>
      <c r="CH33" s="38"/>
      <c r="CI33" s="2"/>
      <c r="CJ33" s="2"/>
      <c r="CK33" s="2"/>
      <c r="CL33" s="2"/>
      <c r="CM33" s="2"/>
      <c r="CN33" s="2"/>
      <c r="CO33" s="38"/>
      <c r="CP33" s="2"/>
      <c r="CQ33" s="2"/>
      <c r="CR33" s="2"/>
      <c r="CS33" s="2"/>
      <c r="CT33" s="2"/>
      <c r="CU33" s="2"/>
      <c r="CV33" s="38"/>
      <c r="CW33" s="2"/>
      <c r="CX33" s="2"/>
      <c r="CY33" s="2"/>
      <c r="CZ33" s="2"/>
      <c r="DA33" s="2"/>
      <c r="DB33" s="2"/>
      <c r="DC33" s="38"/>
      <c r="DD33" s="2"/>
      <c r="DE33" s="2"/>
      <c r="DF33" s="2"/>
      <c r="DG33" s="2"/>
      <c r="DH33" s="2"/>
      <c r="DI33" s="2"/>
      <c r="DJ33" s="38"/>
      <c r="DK33" s="2"/>
      <c r="DL33" s="2"/>
      <c r="DM33" s="2"/>
      <c r="DN33" s="2"/>
      <c r="DO33" s="2"/>
      <c r="DP33" s="2"/>
      <c r="DQ33" s="38"/>
      <c r="DR33" s="2"/>
      <c r="DS33" s="2"/>
      <c r="DT33" s="2"/>
      <c r="DU33" s="2"/>
      <c r="DV33" s="2"/>
      <c r="DW33" s="2"/>
      <c r="DX33" s="38"/>
      <c r="DY33" s="2"/>
      <c r="DZ33" s="2"/>
      <c r="EA33" s="2"/>
      <c r="EB33" s="2"/>
      <c r="EC33" s="2"/>
      <c r="ED33" s="2"/>
      <c r="EE33" s="38"/>
      <c r="EF33" s="2"/>
      <c r="EG33" s="2"/>
      <c r="EH33" s="2"/>
      <c r="EI33" s="2"/>
      <c r="EJ33" s="2"/>
      <c r="EK33" s="2"/>
      <c r="EL33" s="38"/>
      <c r="EM33" s="2"/>
      <c r="EN33" s="2"/>
      <c r="EO33" s="2"/>
      <c r="EP33" s="2"/>
      <c r="EQ33" s="2"/>
      <c r="ER33" s="2"/>
    </row>
    <row r="34">
      <c r="A34" s="28" t="s">
        <v>80</v>
      </c>
      <c r="B34" s="29"/>
      <c r="C34" s="30"/>
      <c r="D34" s="30"/>
      <c r="E34" s="30"/>
      <c r="F34" s="30"/>
      <c r="G34" s="30"/>
      <c r="H34" s="30"/>
      <c r="I34" s="29"/>
      <c r="J34" s="30"/>
      <c r="K34" s="30"/>
      <c r="L34" s="30"/>
      <c r="M34" s="30"/>
      <c r="N34" s="30"/>
      <c r="O34" s="30"/>
      <c r="P34" s="29"/>
      <c r="Q34" s="30"/>
      <c r="R34" s="30"/>
      <c r="S34" s="30"/>
      <c r="T34" s="30"/>
      <c r="U34" s="30"/>
      <c r="V34" s="30"/>
      <c r="W34" s="29"/>
      <c r="X34" s="30"/>
      <c r="Y34" s="30"/>
      <c r="Z34" s="30"/>
      <c r="AA34" s="30"/>
      <c r="AB34" s="30"/>
      <c r="AC34" s="30"/>
      <c r="AD34" s="29"/>
      <c r="AE34" s="30"/>
      <c r="AF34" s="30"/>
      <c r="AG34" s="30"/>
      <c r="AH34" s="30"/>
      <c r="AI34" s="30"/>
      <c r="AJ34" s="30"/>
      <c r="AK34" s="29"/>
      <c r="AL34" s="30"/>
      <c r="AM34" s="30"/>
      <c r="AN34" s="30"/>
      <c r="AO34" s="30"/>
      <c r="AP34" s="30"/>
      <c r="AQ34" s="30"/>
      <c r="AR34" s="29"/>
      <c r="AS34" s="30"/>
      <c r="AT34" s="30"/>
      <c r="AU34" s="30"/>
      <c r="AV34" s="30"/>
      <c r="AW34" s="30"/>
      <c r="AX34" s="30"/>
      <c r="AY34" s="29"/>
      <c r="AZ34" s="30"/>
      <c r="BA34" s="30"/>
      <c r="BB34" s="30"/>
      <c r="BC34" s="30"/>
      <c r="BD34" s="30"/>
      <c r="BE34" s="30"/>
      <c r="BF34" s="29"/>
      <c r="BG34" s="30"/>
      <c r="BH34" s="30"/>
      <c r="BI34" s="30"/>
      <c r="BJ34" s="30"/>
      <c r="BK34" s="30"/>
      <c r="BL34" s="30"/>
      <c r="BM34" s="29"/>
      <c r="BN34" s="30"/>
      <c r="BO34" s="30"/>
      <c r="BP34" s="30"/>
      <c r="BQ34" s="30"/>
      <c r="BR34" s="30"/>
      <c r="BS34" s="30"/>
      <c r="BT34" s="29"/>
      <c r="BU34" s="30"/>
      <c r="BV34" s="30"/>
      <c r="BW34" s="30"/>
      <c r="BX34" s="30"/>
      <c r="BY34" s="30"/>
      <c r="BZ34" s="30"/>
      <c r="CA34" s="29"/>
      <c r="CB34" s="30"/>
      <c r="CC34" s="30"/>
      <c r="CD34" s="30"/>
      <c r="CE34" s="30"/>
      <c r="CF34" s="30"/>
      <c r="CG34" s="30"/>
      <c r="CH34" s="29"/>
      <c r="CI34" s="30"/>
      <c r="CJ34" s="30"/>
      <c r="CK34" s="30"/>
      <c r="CL34" s="30"/>
      <c r="CM34" s="30"/>
      <c r="CN34" s="30"/>
      <c r="CO34" s="29"/>
      <c r="CP34" s="30"/>
      <c r="CQ34" s="30"/>
      <c r="CR34" s="30"/>
      <c r="CS34" s="30"/>
      <c r="CT34" s="30"/>
      <c r="CU34" s="30"/>
      <c r="CV34" s="29"/>
      <c r="CW34" s="30"/>
      <c r="CX34" s="30"/>
      <c r="CY34" s="30"/>
      <c r="CZ34" s="30"/>
      <c r="DA34" s="30"/>
      <c r="DB34" s="30"/>
      <c r="DC34" s="29"/>
      <c r="DD34" s="30"/>
      <c r="DE34" s="30"/>
      <c r="DF34" s="30"/>
      <c r="DG34" s="30"/>
      <c r="DH34" s="30"/>
      <c r="DI34" s="30"/>
      <c r="DJ34" s="29"/>
      <c r="DK34" s="30"/>
      <c r="DL34" s="30"/>
      <c r="DM34" s="30"/>
      <c r="DN34" s="30"/>
      <c r="DO34" s="30"/>
      <c r="DP34" s="30"/>
      <c r="DQ34" s="29"/>
      <c r="DR34" s="30"/>
      <c r="DS34" s="30"/>
      <c r="DT34" s="30"/>
      <c r="DU34" s="30"/>
      <c r="DV34" s="30"/>
      <c r="DW34" s="30"/>
      <c r="DX34" s="29"/>
      <c r="DY34" s="30"/>
      <c r="DZ34" s="30"/>
      <c r="EA34" s="30"/>
      <c r="EB34" s="30"/>
      <c r="EC34" s="30"/>
      <c r="ED34" s="30"/>
      <c r="EE34" s="31" t="s">
        <v>75</v>
      </c>
      <c r="EF34" s="32"/>
      <c r="EG34" s="32"/>
      <c r="EH34" s="32"/>
      <c r="EI34" s="32"/>
      <c r="EJ34" s="32"/>
      <c r="EK34" s="32"/>
      <c r="EL34" s="29"/>
      <c r="EM34" s="30"/>
      <c r="EN34" s="30"/>
      <c r="EO34" s="30"/>
      <c r="EP34" s="30"/>
      <c r="EQ34" s="30"/>
      <c r="ER34" s="30"/>
    </row>
    <row r="35" hidden="1">
      <c r="A35" s="33" t="str">
        <f>CONCATENATE(A36," TM")</f>
        <v>OHP TM</v>
      </c>
      <c r="B35" s="34">
        <f>if(D35="",'Quick Setup'!D8,D35/'Quick Setup'!E8)</f>
        <v>200</v>
      </c>
      <c r="C35" s="35" t="s">
        <v>73</v>
      </c>
      <c r="D35" s="36"/>
      <c r="E35" s="37"/>
      <c r="F35" s="37"/>
      <c r="G35" s="37"/>
      <c r="H35" s="37"/>
      <c r="I35" s="34">
        <f>if(K35="", if(F36&lt;&gt;"", if(F36&gt;Setup!F7,B35*(1+Setup!G7),if(F36&lt;Setup!E7,B35*(1+Setup!H7),B35)),B35),K35/'Quick Setup'!$E8)</f>
        <v>200</v>
      </c>
      <c r="J35" s="35" t="s">
        <v>73</v>
      </c>
      <c r="K35" s="36"/>
      <c r="L35" s="37"/>
      <c r="M35" s="37"/>
      <c r="N35" s="37"/>
      <c r="O35" s="37"/>
      <c r="P35" s="34">
        <f>if(R35="", if(M36&lt;&gt;"", if(M36&gt;Setup!M7,I35*(1+Setup!N7),if(M36&lt;Setup!L7,I35*(1+Setup!O7),I35)),I35),R35/'Quick Setup'!$E8)</f>
        <v>200</v>
      </c>
      <c r="Q35" s="35" t="s">
        <v>73</v>
      </c>
      <c r="R35" s="36"/>
      <c r="S35" s="37"/>
      <c r="T35" s="37"/>
      <c r="U35" s="37"/>
      <c r="V35" s="37"/>
      <c r="W35" s="34">
        <f>if(Y35="", if(T36&lt;&gt;"", if(T36&gt;Setup!T7,P35*(1+Setup!U7),if(T36&lt;Setup!S7,P35*(1+Setup!V7),P35)),P35),Y35/'Quick Setup'!$E8)</f>
        <v>200</v>
      </c>
      <c r="X35" s="35" t="s">
        <v>73</v>
      </c>
      <c r="Y35" s="36"/>
      <c r="Z35" s="37"/>
      <c r="AA35" s="37"/>
      <c r="AB35" s="37"/>
      <c r="AC35" s="37"/>
      <c r="AD35" s="34">
        <f>if(AF35="", if(AA36&lt;&gt;"", if(AA36&gt;Setup!AA7,W35*(1+Setup!AB7),if(AA36&lt;Setup!Z7,W35*(1+Setup!AC7),W35)),W35),AF35/'Quick Setup'!$E8)</f>
        <v>200</v>
      </c>
      <c r="AE35" s="35" t="s">
        <v>73</v>
      </c>
      <c r="AF35" s="36"/>
      <c r="AG35" s="37"/>
      <c r="AH35" s="37"/>
      <c r="AI35" s="37"/>
      <c r="AJ35" s="37"/>
      <c r="AK35" s="34">
        <f>if(AM35="", if(AH36&lt;&gt;"", if(AH36&gt;Setup!AH7,AD35*(1+Setup!AI7),if(AH36&lt;Setup!AG7,AD35*(1+Setup!AJ7),AD35)),AD35),AM35/'Quick Setup'!$E8)</f>
        <v>200</v>
      </c>
      <c r="AL35" s="35" t="s">
        <v>73</v>
      </c>
      <c r="AM35" s="36"/>
      <c r="AN35" s="37"/>
      <c r="AO35" s="37"/>
      <c r="AP35" s="37"/>
      <c r="AQ35" s="37"/>
      <c r="AR35" s="34">
        <f>if(AT35="", if(AO36&lt;&gt;"", if(AO36&gt;Setup!AO7,AK35*(1+Setup!AP7),if(AO36&lt;Setup!AN7,AK35*(1+Setup!AQ7),AK35)),AK35),AT35/'Quick Setup'!$E8)</f>
        <v>200</v>
      </c>
      <c r="AS35" s="35" t="s">
        <v>73</v>
      </c>
      <c r="AT35" s="36"/>
      <c r="AU35" s="37"/>
      <c r="AV35" s="37"/>
      <c r="AW35" s="37"/>
      <c r="AX35" s="37"/>
      <c r="AY35" s="34">
        <f>if(BA35="",AR35,BA35/'Quick Setup'!$E8)</f>
        <v>200</v>
      </c>
      <c r="AZ35" s="35" t="s">
        <v>73</v>
      </c>
      <c r="BA35" s="36"/>
      <c r="BB35" s="37"/>
      <c r="BC35" s="37"/>
      <c r="BD35" s="37"/>
      <c r="BE35" s="37"/>
      <c r="BF35" s="34">
        <f>if(BH35="", if(BC36&lt;&gt;"", if(BC36&gt;Setup!BC7,AY35*(1+Setup!BD7),if(BC36&lt;Setup!BB7,AY35*(1+Setup!BE7),AY35)),AY35),BH35/'Quick Setup'!$E8)</f>
        <v>200</v>
      </c>
      <c r="BG35" s="35" t="s">
        <v>73</v>
      </c>
      <c r="BH35" s="36"/>
      <c r="BI35" s="37"/>
      <c r="BJ35" s="37"/>
      <c r="BK35" s="37"/>
      <c r="BL35" s="37"/>
      <c r="BM35" s="34">
        <f>if(BO35="", if(BJ36&lt;&gt;"", if(BJ36&gt;Setup!BJ7,BF35*(1+Setup!BK7),if(BJ36&lt;Setup!BI7,BF35*(1+Setup!BL7),BF35)),BF35),BO35/'Quick Setup'!$E8)</f>
        <v>200</v>
      </c>
      <c r="BN35" s="35" t="s">
        <v>73</v>
      </c>
      <c r="BO35" s="36"/>
      <c r="BP35" s="37"/>
      <c r="BQ35" s="37"/>
      <c r="BR35" s="37"/>
      <c r="BS35" s="37"/>
      <c r="BT35" s="34">
        <f>if(BV35="", if(BQ36&lt;&gt;"", if(BQ36&gt;Setup!BQ7,BM35*(1+Setup!BR7),if(BQ36&lt;Setup!BP7,BM35*(1+Setup!BS7),BM35)),BM35),BV35/'Quick Setup'!$E8)</f>
        <v>200</v>
      </c>
      <c r="BU35" s="35" t="s">
        <v>73</v>
      </c>
      <c r="BV35" s="36"/>
      <c r="BW35" s="37"/>
      <c r="BX35" s="37"/>
      <c r="BY35" s="37"/>
      <c r="BZ35" s="37"/>
      <c r="CA35" s="34">
        <f>if(CC35="", if(BX36&lt;&gt;"", if(BX36&gt;Setup!BX7,BT35*(1+Setup!BY7),if(BX36&lt;Setup!BW7,BT35*(1+Setup!BZ7),BT35)),BT35),CC35/'Quick Setup'!$E8)</f>
        <v>200</v>
      </c>
      <c r="CB35" s="35" t="s">
        <v>73</v>
      </c>
      <c r="CC35" s="36"/>
      <c r="CD35" s="37"/>
      <c r="CE35" s="37"/>
      <c r="CF35" s="37"/>
      <c r="CG35" s="37"/>
      <c r="CH35" s="34">
        <f>if(CJ35="", if(CE36&lt;&gt;"", if(CE36&gt;Setup!CE7,CA35*(1+Setup!CF7),if(CE36&lt;Setup!CD7,CA35*(1+Setup!CG7),CA35)),CA35),CJ35/'Quick Setup'!$E8)</f>
        <v>200</v>
      </c>
      <c r="CI35" s="35" t="s">
        <v>73</v>
      </c>
      <c r="CJ35" s="36"/>
      <c r="CK35" s="37"/>
      <c r="CL35" s="37"/>
      <c r="CM35" s="37"/>
      <c r="CN35" s="37"/>
      <c r="CO35" s="34">
        <f>if(CQ35="", if(CL36&lt;&gt;"", if(CL36&gt;Setup!CL7,CH35*(1+Setup!CM7),if(CL36&lt;Setup!CK7,CH35*(1+Setup!CN7),CH35)),CH35),CQ35/'Quick Setup'!$E8)</f>
        <v>200</v>
      </c>
      <c r="CP35" s="35" t="s">
        <v>73</v>
      </c>
      <c r="CQ35" s="36"/>
      <c r="CR35" s="37"/>
      <c r="CS35" s="37"/>
      <c r="CT35" s="37"/>
      <c r="CU35" s="37"/>
      <c r="CV35" s="34">
        <f>if(CX35="",CO35,CX35/'Quick Setup'!$E8)</f>
        <v>200</v>
      </c>
      <c r="CW35" s="35" t="s">
        <v>73</v>
      </c>
      <c r="CX35" s="36"/>
      <c r="CY35" s="37"/>
      <c r="CZ35" s="37"/>
      <c r="DA35" s="37"/>
      <c r="DB35" s="37"/>
      <c r="DC35" s="34">
        <f>if(DE35="", if(CZ36&lt;&gt;"", if(CZ36&gt;Setup!CZ7,CV35*(1+Setup!DA7),if(CZ36&lt;Setup!CY7,CV35*(1+Setup!DB7),CV35)),CV35),DE35/'Quick Setup'!$E8)</f>
        <v>200</v>
      </c>
      <c r="DD35" s="35" t="s">
        <v>73</v>
      </c>
      <c r="DE35" s="36"/>
      <c r="DF35" s="37"/>
      <c r="DG35" s="37"/>
      <c r="DH35" s="37"/>
      <c r="DI35" s="37"/>
      <c r="DJ35" s="34">
        <f>if(DL35="", if(DG36&lt;&gt;"", if(DG36&gt;Setup!DG7,DC35*(1+Setup!DH7),if(DG36&lt;Setup!DF7,DC35*(1+Setup!DI7),DC35)),DC35),DL35/'Quick Setup'!$E8)</f>
        <v>200</v>
      </c>
      <c r="DK35" s="35" t="s">
        <v>73</v>
      </c>
      <c r="DL35" s="36"/>
      <c r="DM35" s="37"/>
      <c r="DN35" s="37"/>
      <c r="DO35" s="37"/>
      <c r="DP35" s="37"/>
      <c r="DQ35" s="34">
        <f>if(DS35="", if(DN36&lt;&gt;"", if(DN36&gt;Setup!DN7,DJ35*(1+Setup!DO7),if(DN36&lt;Setup!DM7,DJ35*(1+Setup!DP7),DJ35)),DJ35),DS35/'Quick Setup'!$E8)</f>
        <v>200</v>
      </c>
      <c r="DR35" s="35" t="s">
        <v>73</v>
      </c>
      <c r="DS35" s="36"/>
      <c r="DT35" s="37"/>
      <c r="DU35" s="37"/>
      <c r="DV35" s="37"/>
      <c r="DW35" s="37"/>
      <c r="DX35" s="34">
        <f>if(DZ35="", if(DU36&lt;&gt;"", if(DU36&gt;Setup!DU7,DQ35*(1+Setup!DV7),if(DU36&lt;Setup!DT7,DQ35*(1+Setup!DW7),DQ35)),DQ35),DZ35/'Quick Setup'!$E8)</f>
        <v>200</v>
      </c>
      <c r="DY35" s="35" t="s">
        <v>73</v>
      </c>
      <c r="DZ35" s="36"/>
      <c r="EA35" s="37"/>
      <c r="EB35" s="37"/>
      <c r="EC35" s="37"/>
      <c r="ED35" s="37"/>
      <c r="EE35" s="34">
        <f>if(EG35="", if(EB36&lt;&gt;"", if(EB36&gt;Setup!EB7,DX35*(1+Setup!EC7),if(EB36&lt;Setup!EA7,DX35*(1+Setup!ED7),DX35)),DX35),EG35/'Quick Setup'!$E8)</f>
        <v>200</v>
      </c>
      <c r="EF35" s="35" t="s">
        <v>73</v>
      </c>
      <c r="EG35" s="36"/>
      <c r="EH35" s="37"/>
      <c r="EI35" s="37"/>
      <c r="EJ35" s="37"/>
      <c r="EK35" s="37"/>
      <c r="EL35" s="34">
        <f>if(EN35="", if(EI36&lt;&gt;"", if(EI36&gt;Setup!EI7,EE35*(1+Setup!EJ7),if(EI36&lt;Setup!EH7,EE35*(1+Setup!EK7),EE35)),EE35),EN35/'Quick Setup'!$E8)</f>
        <v>200</v>
      </c>
      <c r="EM35" s="35" t="s">
        <v>73</v>
      </c>
      <c r="EN35" s="36"/>
      <c r="EO35" s="37"/>
      <c r="EP35" s="37"/>
      <c r="EQ35" s="37"/>
      <c r="ER35" s="37"/>
    </row>
    <row r="36">
      <c r="A36" s="1" t="str">
        <f>Setup!A7</f>
        <v>OHP</v>
      </c>
      <c r="B36" s="38">
        <f>mround(B35*Setup!B7,'Quick Setup'!$A$2)</f>
        <v>140</v>
      </c>
      <c r="C36" s="2">
        <f>Setup!C7</f>
        <v>5</v>
      </c>
      <c r="D36" s="2">
        <f>Setup!D7</f>
        <v>3</v>
      </c>
      <c r="E36" s="2" t="str">
        <f>CONCATENATE(Setup!E7,"-",Setup!F7)</f>
        <v>4-6</v>
      </c>
      <c r="F36" s="10"/>
      <c r="G36" s="10"/>
      <c r="H36" s="10"/>
      <c r="I36" s="38">
        <f>mround(I35*Setup!I7,'Quick Setup'!$A$2)</f>
        <v>150</v>
      </c>
      <c r="J36" s="2">
        <f>Setup!J7</f>
        <v>4</v>
      </c>
      <c r="K36" s="2">
        <f>Setup!K7</f>
        <v>3</v>
      </c>
      <c r="L36" s="2" t="str">
        <f>CONCATENATE(Setup!L7,"-",Setup!M7)</f>
        <v>4-6</v>
      </c>
      <c r="M36" s="10"/>
      <c r="N36" s="10"/>
      <c r="O36" s="10"/>
      <c r="P36" s="38">
        <f>mround(P35*Setup!P7,'Quick Setup'!$A$2)</f>
        <v>160</v>
      </c>
      <c r="Q36" s="2">
        <f>Setup!Q7</f>
        <v>3</v>
      </c>
      <c r="R36" s="2">
        <f>Setup!R7</f>
        <v>2</v>
      </c>
      <c r="S36" s="2" t="str">
        <f>CONCATENATE(Setup!S7,"-",Setup!T7)</f>
        <v>4-6</v>
      </c>
      <c r="T36" s="10"/>
      <c r="U36" s="10"/>
      <c r="V36" s="10"/>
      <c r="W36" s="38">
        <f>mround(W35*Setup!W7,'Quick Setup'!$A$2)</f>
        <v>145</v>
      </c>
      <c r="X36" s="2">
        <f>Setup!X7</f>
        <v>5</v>
      </c>
      <c r="Y36" s="2">
        <f>Setup!Y7</f>
        <v>3</v>
      </c>
      <c r="Z36" s="2" t="str">
        <f>CONCATENATE(Setup!Z7,"-",Setup!AA7)</f>
        <v>4-6</v>
      </c>
      <c r="AA36" s="10"/>
      <c r="AB36" s="10"/>
      <c r="AC36" s="10"/>
      <c r="AD36" s="38">
        <f>mround(AD35*Setup!AD7,'Quick Setup'!$A$2)</f>
        <v>155</v>
      </c>
      <c r="AE36" s="2">
        <f>Setup!AE7</f>
        <v>4</v>
      </c>
      <c r="AF36" s="2">
        <f>Setup!AF7</f>
        <v>3</v>
      </c>
      <c r="AG36" s="2" t="str">
        <f>CONCATENATE(Setup!AG7,"-",Setup!AH7)</f>
        <v>4-6</v>
      </c>
      <c r="AH36" s="10"/>
      <c r="AI36" s="10"/>
      <c r="AJ36" s="10"/>
      <c r="AK36" s="38">
        <f>mround(AK35*Setup!AK7,'Quick Setup'!$A$2)</f>
        <v>165</v>
      </c>
      <c r="AL36" s="2">
        <f>Setup!AL7</f>
        <v>3</v>
      </c>
      <c r="AM36" s="2">
        <f>Setup!AM7</f>
        <v>2</v>
      </c>
      <c r="AN36" s="2" t="str">
        <f>CONCATENATE(Setup!AN7,"-",Setup!AO7)</f>
        <v>4-6</v>
      </c>
      <c r="AO36" s="10"/>
      <c r="AP36" s="10"/>
      <c r="AQ36" s="10"/>
      <c r="AR36" s="38">
        <f>mround(AR35*Setup!AR7,'Quick Setup'!$A$2)</f>
        <v>120</v>
      </c>
      <c r="AS36" s="1">
        <v>5.0</v>
      </c>
      <c r="AT36" s="1" t="s">
        <v>76</v>
      </c>
      <c r="AU36" s="2" t="str">
        <f>CONCATENATE(Setup!AU7,"-",Setup!AV7)</f>
        <v>4-6</v>
      </c>
      <c r="AV36" s="10"/>
      <c r="AW36" s="10"/>
      <c r="AX36" s="10"/>
      <c r="AY36" s="38">
        <f>mround(AY35*Setup!AY7,'Quick Setup'!$A$2)</f>
        <v>150</v>
      </c>
      <c r="AZ36" s="2">
        <f>Setup!AZ7</f>
        <v>4</v>
      </c>
      <c r="BA36" s="2">
        <f>Setup!BA7</f>
        <v>3</v>
      </c>
      <c r="BB36" s="2" t="str">
        <f>CONCATENATE(Setup!BB7,"-",Setup!BC7)</f>
        <v>4-6</v>
      </c>
      <c r="BC36" s="10"/>
      <c r="BD36" s="10"/>
      <c r="BE36" s="10"/>
      <c r="BF36" s="38">
        <f>mround(BF35*Setup!BF7,'Quick Setup'!$A$2)</f>
        <v>160</v>
      </c>
      <c r="BG36" s="2">
        <f>Setup!BG7</f>
        <v>3</v>
      </c>
      <c r="BH36" s="2">
        <f>Setup!BH7</f>
        <v>2</v>
      </c>
      <c r="BI36" s="2" t="str">
        <f>CONCATENATE(Setup!BI7,"-",Setup!BJ7)</f>
        <v>4-6</v>
      </c>
      <c r="BJ36" s="10"/>
      <c r="BK36" s="10"/>
      <c r="BL36" s="10"/>
      <c r="BM36" s="38">
        <f>mround(BM35*Setup!BM7,'Quick Setup'!$A$2)</f>
        <v>170</v>
      </c>
      <c r="BN36" s="2">
        <f>Setup!BN7</f>
        <v>2</v>
      </c>
      <c r="BO36" s="2">
        <f>Setup!BO7</f>
        <v>2</v>
      </c>
      <c r="BP36" s="2" t="str">
        <f>CONCATENATE(Setup!BP7,"-",Setup!BQ7)</f>
        <v>4-6</v>
      </c>
      <c r="BQ36" s="10"/>
      <c r="BR36" s="10"/>
      <c r="BS36" s="10"/>
      <c r="BT36" s="38">
        <f>mround(BT35*Setup!BT7,'Quick Setup'!$A$2)</f>
        <v>155</v>
      </c>
      <c r="BU36" s="2">
        <f>Setup!BU7</f>
        <v>4</v>
      </c>
      <c r="BV36" s="2">
        <f>Setup!BV7</f>
        <v>3</v>
      </c>
      <c r="BW36" s="2" t="str">
        <f>CONCATENATE(Setup!BW7,"-",Setup!BX7)</f>
        <v>4-6</v>
      </c>
      <c r="BX36" s="10"/>
      <c r="BY36" s="10"/>
      <c r="BZ36" s="10"/>
      <c r="CA36" s="38">
        <f>mround(CA35*Setup!CA7,'Quick Setup'!$A$2)</f>
        <v>165</v>
      </c>
      <c r="CB36" s="2">
        <f>Setup!CB7</f>
        <v>3</v>
      </c>
      <c r="CC36" s="2">
        <f>Setup!CC7</f>
        <v>2</v>
      </c>
      <c r="CD36" s="2" t="str">
        <f>CONCATENATE(Setup!CD7,"-",Setup!CE7)</f>
        <v>4-6</v>
      </c>
      <c r="CE36" s="10"/>
      <c r="CF36" s="10"/>
      <c r="CG36" s="10"/>
      <c r="CH36" s="38">
        <f>mround(CH35*Setup!CH7,'Quick Setup'!$A$2)</f>
        <v>175</v>
      </c>
      <c r="CI36" s="2">
        <f>Setup!CI7</f>
        <v>2</v>
      </c>
      <c r="CJ36" s="2">
        <f>Setup!CJ7</f>
        <v>2</v>
      </c>
      <c r="CK36" s="2" t="str">
        <f>CONCATENATE(Setup!CK7,"-",Setup!CL7)</f>
        <v>4-6</v>
      </c>
      <c r="CL36" s="10"/>
      <c r="CM36" s="10"/>
      <c r="CN36" s="10"/>
      <c r="CO36" s="38">
        <f>mround(CO35*Setup!CO7,'Quick Setup'!$A$2)</f>
        <v>120</v>
      </c>
      <c r="CP36" s="1">
        <v>5.0</v>
      </c>
      <c r="CQ36" s="1" t="s">
        <v>76</v>
      </c>
      <c r="CR36" s="2" t="str">
        <f>CONCATENATE(Setup!CR7,"-",Setup!CS7)</f>
        <v>4-6</v>
      </c>
      <c r="CS36" s="10"/>
      <c r="CT36" s="10"/>
      <c r="CU36" s="10"/>
      <c r="CV36" s="38">
        <f>mround(CV35*Setup!CV7,'Quick Setup'!$A$2)</f>
        <v>160</v>
      </c>
      <c r="CW36" s="2">
        <f>Setup!CW7</f>
        <v>3</v>
      </c>
      <c r="CX36" s="2">
        <f>Setup!CX7</f>
        <v>2</v>
      </c>
      <c r="CY36" s="2" t="str">
        <f>CONCATENATE(Setup!CY7,"-",Setup!CZ7)</f>
        <v>4-6</v>
      </c>
      <c r="CZ36" s="10"/>
      <c r="DA36" s="10"/>
      <c r="DB36" s="10"/>
      <c r="DC36" s="38">
        <f>mround(DC35*Setup!DC7,'Quick Setup'!$A$2)</f>
        <v>170</v>
      </c>
      <c r="DD36" s="2">
        <f>Setup!DD7</f>
        <v>2</v>
      </c>
      <c r="DE36" s="2">
        <f>Setup!DE7</f>
        <v>2</v>
      </c>
      <c r="DF36" s="2" t="str">
        <f>CONCATENATE(Setup!DF7,"-",Setup!DG7)</f>
        <v>4-6</v>
      </c>
      <c r="DG36" s="10"/>
      <c r="DH36" s="10"/>
      <c r="DI36" s="10"/>
      <c r="DJ36" s="38">
        <f>mround(DJ35*Setup!DJ7,'Quick Setup'!$A$2)</f>
        <v>180</v>
      </c>
      <c r="DK36" s="2">
        <f>Setup!DK7</f>
        <v>1</v>
      </c>
      <c r="DL36" s="2">
        <f>Setup!DL7</f>
        <v>1</v>
      </c>
      <c r="DM36" s="2" t="str">
        <f>CONCATENATE(Setup!DM7,"-",Setup!DN7)</f>
        <v>4-6</v>
      </c>
      <c r="DN36" s="10"/>
      <c r="DO36" s="10"/>
      <c r="DP36" s="10"/>
      <c r="DQ36" s="38">
        <f>mround(DQ35*Setup!DQ7,'Quick Setup'!$A$2)</f>
        <v>170</v>
      </c>
      <c r="DR36" s="2">
        <f>Setup!DR7</f>
        <v>2</v>
      </c>
      <c r="DS36" s="2">
        <f>Setup!DS7</f>
        <v>2</v>
      </c>
      <c r="DT36" s="2" t="str">
        <f>CONCATENATE(Setup!DT7,"-",Setup!DU7)</f>
        <v>4-6</v>
      </c>
      <c r="DU36" s="10"/>
      <c r="DV36" s="10"/>
      <c r="DW36" s="10"/>
      <c r="DX36" s="38">
        <f>mround(DX35*Setup!DX7,'Quick Setup'!$A$2)</f>
        <v>180</v>
      </c>
      <c r="DY36" s="2">
        <f>Setup!DY7</f>
        <v>1</v>
      </c>
      <c r="DZ36" s="2">
        <f>Setup!DZ7</f>
        <v>1</v>
      </c>
      <c r="EA36" s="2" t="str">
        <f>CONCATENATE(Setup!EA7,"-",Setup!EB7)</f>
        <v>4-6</v>
      </c>
      <c r="EB36" s="10"/>
      <c r="EC36" s="10"/>
      <c r="ED36" s="10"/>
      <c r="EE36" s="38">
        <f>mround(EE35*Setup!EE7,'Quick Setup'!$A$2)</f>
        <v>190</v>
      </c>
      <c r="EF36" s="2">
        <f>Setup!EF7</f>
        <v>1</v>
      </c>
      <c r="EG36" s="2">
        <f>Setup!EG7</f>
        <v>1</v>
      </c>
      <c r="EH36" s="2" t="str">
        <f>CONCATENATE(Setup!EH7,"-",Setup!EI7)</f>
        <v>4-6</v>
      </c>
      <c r="EI36" s="10"/>
      <c r="EJ36" s="10"/>
      <c r="EK36" s="10"/>
      <c r="EL36" s="38">
        <f>mround(EL35*Setup!EL7,'Quick Setup'!$A$2)</f>
        <v>120</v>
      </c>
      <c r="EM36" s="1">
        <v>5.0</v>
      </c>
      <c r="EN36" s="1" t="s">
        <v>76</v>
      </c>
      <c r="EO36" s="2" t="str">
        <f>CONCATENATE(Setup!EO7,"-",Setup!EP7)</f>
        <v>4-6</v>
      </c>
      <c r="EP36" s="10"/>
      <c r="EQ36" s="10"/>
      <c r="ER36" s="10"/>
    </row>
    <row r="37">
      <c r="A37" s="5"/>
      <c r="B37" s="39"/>
      <c r="C37" s="10"/>
      <c r="D37" s="10"/>
      <c r="E37" s="10"/>
      <c r="F37" s="10"/>
      <c r="G37" s="10"/>
      <c r="H37" s="10"/>
      <c r="I37" s="39" t="str">
        <f t="shared" ref="I37:M37" si="241">B37</f>
        <v/>
      </c>
      <c r="J37" s="10" t="str">
        <f t="shared" si="241"/>
        <v/>
      </c>
      <c r="K37" s="10" t="str">
        <f t="shared" si="241"/>
        <v/>
      </c>
      <c r="L37" s="10" t="str">
        <f t="shared" si="241"/>
        <v/>
      </c>
      <c r="M37" s="10" t="str">
        <f t="shared" si="241"/>
        <v/>
      </c>
      <c r="N37" s="10"/>
      <c r="O37" s="10"/>
      <c r="P37" s="39" t="str">
        <f t="shared" ref="P37:T37" si="242">I37</f>
        <v/>
      </c>
      <c r="Q37" s="10" t="str">
        <f t="shared" si="242"/>
        <v/>
      </c>
      <c r="R37" s="10" t="str">
        <f t="shared" si="242"/>
        <v/>
      </c>
      <c r="S37" s="10" t="str">
        <f t="shared" si="242"/>
        <v/>
      </c>
      <c r="T37" s="10" t="str">
        <f t="shared" si="242"/>
        <v/>
      </c>
      <c r="U37" s="10"/>
      <c r="V37" s="10"/>
      <c r="W37" s="39" t="str">
        <f t="shared" ref="W37:AA37" si="243">P37</f>
        <v/>
      </c>
      <c r="X37" s="10" t="str">
        <f t="shared" si="243"/>
        <v/>
      </c>
      <c r="Y37" s="10" t="str">
        <f t="shared" si="243"/>
        <v/>
      </c>
      <c r="Z37" s="10" t="str">
        <f t="shared" si="243"/>
        <v/>
      </c>
      <c r="AA37" s="10" t="str">
        <f t="shared" si="243"/>
        <v/>
      </c>
      <c r="AB37" s="10"/>
      <c r="AC37" s="10"/>
      <c r="AD37" s="39" t="str">
        <f t="shared" ref="AD37:AH37" si="244">W37</f>
        <v/>
      </c>
      <c r="AE37" s="10" t="str">
        <f t="shared" si="244"/>
        <v/>
      </c>
      <c r="AF37" s="10" t="str">
        <f t="shared" si="244"/>
        <v/>
      </c>
      <c r="AG37" s="10" t="str">
        <f t="shared" si="244"/>
        <v/>
      </c>
      <c r="AH37" s="10" t="str">
        <f t="shared" si="244"/>
        <v/>
      </c>
      <c r="AI37" s="10"/>
      <c r="AJ37" s="10"/>
      <c r="AK37" s="39" t="str">
        <f t="shared" ref="AK37:AO37" si="245">AD37</f>
        <v/>
      </c>
      <c r="AL37" s="10" t="str">
        <f t="shared" si="245"/>
        <v/>
      </c>
      <c r="AM37" s="10" t="str">
        <f t="shared" si="245"/>
        <v/>
      </c>
      <c r="AN37" s="10" t="str">
        <f t="shared" si="245"/>
        <v/>
      </c>
      <c r="AO37" s="10" t="str">
        <f t="shared" si="245"/>
        <v/>
      </c>
      <c r="AP37" s="10"/>
      <c r="AQ37" s="10"/>
      <c r="AR37" s="39" t="str">
        <f t="shared" ref="AR37:AV37" si="246">AK37</f>
        <v/>
      </c>
      <c r="AS37" s="10" t="str">
        <f t="shared" si="246"/>
        <v/>
      </c>
      <c r="AT37" s="10" t="str">
        <f t="shared" si="246"/>
        <v/>
      </c>
      <c r="AU37" s="10" t="str">
        <f t="shared" si="246"/>
        <v/>
      </c>
      <c r="AV37" s="10" t="str">
        <f t="shared" si="246"/>
        <v/>
      </c>
      <c r="AW37" s="10"/>
      <c r="AX37" s="10"/>
      <c r="AY37" s="39" t="str">
        <f t="shared" ref="AY37:BC37" si="247">AR37</f>
        <v/>
      </c>
      <c r="AZ37" s="10" t="str">
        <f t="shared" si="247"/>
        <v/>
      </c>
      <c r="BA37" s="10" t="str">
        <f t="shared" si="247"/>
        <v/>
      </c>
      <c r="BB37" s="10" t="str">
        <f t="shared" si="247"/>
        <v/>
      </c>
      <c r="BC37" s="10" t="str">
        <f t="shared" si="247"/>
        <v/>
      </c>
      <c r="BD37" s="10"/>
      <c r="BE37" s="10"/>
      <c r="BF37" s="39" t="str">
        <f t="shared" ref="BF37:BJ37" si="248">AY37</f>
        <v/>
      </c>
      <c r="BG37" s="10" t="str">
        <f t="shared" si="248"/>
        <v/>
      </c>
      <c r="BH37" s="10" t="str">
        <f t="shared" si="248"/>
        <v/>
      </c>
      <c r="BI37" s="10" t="str">
        <f t="shared" si="248"/>
        <v/>
      </c>
      <c r="BJ37" s="10" t="str">
        <f t="shared" si="248"/>
        <v/>
      </c>
      <c r="BK37" s="10"/>
      <c r="BL37" s="10"/>
      <c r="BM37" s="39" t="str">
        <f t="shared" ref="BM37:BQ37" si="249">BF37</f>
        <v/>
      </c>
      <c r="BN37" s="10" t="str">
        <f t="shared" si="249"/>
        <v/>
      </c>
      <c r="BO37" s="10" t="str">
        <f t="shared" si="249"/>
        <v/>
      </c>
      <c r="BP37" s="10" t="str">
        <f t="shared" si="249"/>
        <v/>
      </c>
      <c r="BQ37" s="10" t="str">
        <f t="shared" si="249"/>
        <v/>
      </c>
      <c r="BR37" s="10"/>
      <c r="BS37" s="10"/>
      <c r="BT37" s="39" t="str">
        <f t="shared" ref="BT37:BX37" si="250">BM37</f>
        <v/>
      </c>
      <c r="BU37" s="10" t="str">
        <f t="shared" si="250"/>
        <v/>
      </c>
      <c r="BV37" s="10" t="str">
        <f t="shared" si="250"/>
        <v/>
      </c>
      <c r="BW37" s="10" t="str">
        <f t="shared" si="250"/>
        <v/>
      </c>
      <c r="BX37" s="10" t="str">
        <f t="shared" si="250"/>
        <v/>
      </c>
      <c r="BY37" s="10"/>
      <c r="BZ37" s="10"/>
      <c r="CA37" s="39" t="str">
        <f t="shared" ref="CA37:CE37" si="251">BT37</f>
        <v/>
      </c>
      <c r="CB37" s="10" t="str">
        <f t="shared" si="251"/>
        <v/>
      </c>
      <c r="CC37" s="10" t="str">
        <f t="shared" si="251"/>
        <v/>
      </c>
      <c r="CD37" s="10" t="str">
        <f t="shared" si="251"/>
        <v/>
      </c>
      <c r="CE37" s="10" t="str">
        <f t="shared" si="251"/>
        <v/>
      </c>
      <c r="CF37" s="10"/>
      <c r="CG37" s="10"/>
      <c r="CH37" s="39" t="str">
        <f t="shared" ref="CH37:CL37" si="252">CA37</f>
        <v/>
      </c>
      <c r="CI37" s="10" t="str">
        <f t="shared" si="252"/>
        <v/>
      </c>
      <c r="CJ37" s="10" t="str">
        <f t="shared" si="252"/>
        <v/>
      </c>
      <c r="CK37" s="10" t="str">
        <f t="shared" si="252"/>
        <v/>
      </c>
      <c r="CL37" s="10" t="str">
        <f t="shared" si="252"/>
        <v/>
      </c>
      <c r="CM37" s="10"/>
      <c r="CN37" s="10"/>
      <c r="CO37" s="39" t="str">
        <f t="shared" ref="CO37:CS37" si="253">CH37</f>
        <v/>
      </c>
      <c r="CP37" s="10" t="str">
        <f t="shared" si="253"/>
        <v/>
      </c>
      <c r="CQ37" s="10" t="str">
        <f t="shared" si="253"/>
        <v/>
      </c>
      <c r="CR37" s="10" t="str">
        <f t="shared" si="253"/>
        <v/>
      </c>
      <c r="CS37" s="10" t="str">
        <f t="shared" si="253"/>
        <v/>
      </c>
      <c r="CT37" s="10"/>
      <c r="CU37" s="10"/>
      <c r="CV37" s="39" t="str">
        <f t="shared" ref="CV37:CZ37" si="254">CO37</f>
        <v/>
      </c>
      <c r="CW37" s="10" t="str">
        <f t="shared" si="254"/>
        <v/>
      </c>
      <c r="CX37" s="10" t="str">
        <f t="shared" si="254"/>
        <v/>
      </c>
      <c r="CY37" s="10" t="str">
        <f t="shared" si="254"/>
        <v/>
      </c>
      <c r="CZ37" s="10" t="str">
        <f t="shared" si="254"/>
        <v/>
      </c>
      <c r="DA37" s="10"/>
      <c r="DB37" s="10"/>
      <c r="DC37" s="39" t="str">
        <f t="shared" ref="DC37:DG37" si="255">CV37</f>
        <v/>
      </c>
      <c r="DD37" s="10" t="str">
        <f t="shared" si="255"/>
        <v/>
      </c>
      <c r="DE37" s="10" t="str">
        <f t="shared" si="255"/>
        <v/>
      </c>
      <c r="DF37" s="10" t="str">
        <f t="shared" si="255"/>
        <v/>
      </c>
      <c r="DG37" s="10" t="str">
        <f t="shared" si="255"/>
        <v/>
      </c>
      <c r="DH37" s="10"/>
      <c r="DI37" s="10"/>
      <c r="DJ37" s="39" t="str">
        <f t="shared" ref="DJ37:DN37" si="256">DC37</f>
        <v/>
      </c>
      <c r="DK37" s="10" t="str">
        <f t="shared" si="256"/>
        <v/>
      </c>
      <c r="DL37" s="10" t="str">
        <f t="shared" si="256"/>
        <v/>
      </c>
      <c r="DM37" s="10" t="str">
        <f t="shared" si="256"/>
        <v/>
      </c>
      <c r="DN37" s="10" t="str">
        <f t="shared" si="256"/>
        <v/>
      </c>
      <c r="DO37" s="10"/>
      <c r="DP37" s="10"/>
      <c r="DQ37" s="39" t="str">
        <f t="shared" ref="DQ37:DU37" si="257">DJ37</f>
        <v/>
      </c>
      <c r="DR37" s="10" t="str">
        <f t="shared" si="257"/>
        <v/>
      </c>
      <c r="DS37" s="10" t="str">
        <f t="shared" si="257"/>
        <v/>
      </c>
      <c r="DT37" s="10" t="str">
        <f t="shared" si="257"/>
        <v/>
      </c>
      <c r="DU37" s="10" t="str">
        <f t="shared" si="257"/>
        <v/>
      </c>
      <c r="DV37" s="10"/>
      <c r="DW37" s="10"/>
      <c r="DX37" s="39" t="str">
        <f t="shared" ref="DX37:EB37" si="258">DQ37</f>
        <v/>
      </c>
      <c r="DY37" s="10" t="str">
        <f t="shared" si="258"/>
        <v/>
      </c>
      <c r="DZ37" s="10" t="str">
        <f t="shared" si="258"/>
        <v/>
      </c>
      <c r="EA37" s="10" t="str">
        <f t="shared" si="258"/>
        <v/>
      </c>
      <c r="EB37" s="10" t="str">
        <f t="shared" si="258"/>
        <v/>
      </c>
      <c r="EC37" s="10"/>
      <c r="ED37" s="10"/>
      <c r="EE37" s="39" t="str">
        <f t="shared" ref="EE37:EI37" si="259">DX37</f>
        <v/>
      </c>
      <c r="EF37" s="10" t="str">
        <f t="shared" si="259"/>
        <v/>
      </c>
      <c r="EG37" s="10" t="str">
        <f t="shared" si="259"/>
        <v/>
      </c>
      <c r="EH37" s="10" t="str">
        <f t="shared" si="259"/>
        <v/>
      </c>
      <c r="EI37" s="10" t="str">
        <f t="shared" si="259"/>
        <v/>
      </c>
      <c r="EJ37" s="10"/>
      <c r="EK37" s="10"/>
      <c r="EL37" s="39" t="str">
        <f t="shared" ref="EL37:EP37" si="260">EE37</f>
        <v/>
      </c>
      <c r="EM37" s="10" t="str">
        <f t="shared" si="260"/>
        <v/>
      </c>
      <c r="EN37" s="10" t="str">
        <f t="shared" si="260"/>
        <v/>
      </c>
      <c r="EO37" s="10" t="str">
        <f t="shared" si="260"/>
        <v/>
      </c>
      <c r="EP37" s="10" t="str">
        <f t="shared" si="260"/>
        <v/>
      </c>
      <c r="EQ37" s="10"/>
      <c r="ER37" s="10"/>
    </row>
    <row r="38">
      <c r="A38" s="1" t="s">
        <v>77</v>
      </c>
      <c r="B38" s="38"/>
      <c r="C38" s="2"/>
      <c r="D38" s="2"/>
      <c r="E38" s="2"/>
      <c r="F38" s="2"/>
      <c r="G38" s="2"/>
      <c r="H38" s="2"/>
      <c r="I38" s="38"/>
      <c r="J38" s="2"/>
      <c r="K38" s="2"/>
      <c r="L38" s="2"/>
      <c r="M38" s="2"/>
      <c r="N38" s="2"/>
      <c r="O38" s="2"/>
      <c r="P38" s="38"/>
      <c r="Q38" s="2"/>
      <c r="R38" s="2"/>
      <c r="S38" s="2"/>
      <c r="T38" s="2"/>
      <c r="U38" s="2"/>
      <c r="V38" s="2"/>
      <c r="W38" s="38"/>
      <c r="X38" s="2"/>
      <c r="Y38" s="2"/>
      <c r="Z38" s="2"/>
      <c r="AA38" s="2"/>
      <c r="AB38" s="2"/>
      <c r="AC38" s="2"/>
      <c r="AD38" s="38"/>
      <c r="AE38" s="2"/>
      <c r="AF38" s="2"/>
      <c r="AG38" s="2"/>
      <c r="AH38" s="2"/>
      <c r="AI38" s="2"/>
      <c r="AJ38" s="2"/>
      <c r="AK38" s="38"/>
      <c r="AL38" s="2"/>
      <c r="AM38" s="2"/>
      <c r="AN38" s="2"/>
      <c r="AO38" s="2"/>
      <c r="AP38" s="2"/>
      <c r="AQ38" s="2"/>
      <c r="AR38" s="38"/>
      <c r="AS38" s="2"/>
      <c r="AT38" s="2"/>
      <c r="AU38" s="2"/>
      <c r="AV38" s="2"/>
      <c r="AW38" s="2"/>
      <c r="AX38" s="2"/>
      <c r="AY38" s="38"/>
      <c r="AZ38" s="2"/>
      <c r="BA38" s="2"/>
      <c r="BB38" s="2"/>
      <c r="BC38" s="2"/>
      <c r="BD38" s="2"/>
      <c r="BE38" s="2"/>
      <c r="BF38" s="38"/>
      <c r="BG38" s="2"/>
      <c r="BH38" s="2"/>
      <c r="BI38" s="2"/>
      <c r="BJ38" s="2"/>
      <c r="BK38" s="2"/>
      <c r="BL38" s="2"/>
      <c r="BM38" s="38"/>
      <c r="BN38" s="2"/>
      <c r="BO38" s="2"/>
      <c r="BP38" s="2"/>
      <c r="BQ38" s="2"/>
      <c r="BR38" s="2"/>
      <c r="BS38" s="2"/>
      <c r="BT38" s="38"/>
      <c r="BU38" s="2"/>
      <c r="BV38" s="2"/>
      <c r="BW38" s="2"/>
      <c r="BX38" s="2"/>
      <c r="BY38" s="2"/>
      <c r="BZ38" s="2"/>
      <c r="CA38" s="38"/>
      <c r="CB38" s="2"/>
      <c r="CC38" s="2"/>
      <c r="CD38" s="2"/>
      <c r="CE38" s="2"/>
      <c r="CF38" s="2"/>
      <c r="CG38" s="2"/>
      <c r="CH38" s="38"/>
      <c r="CI38" s="2"/>
      <c r="CJ38" s="2"/>
      <c r="CK38" s="2"/>
      <c r="CL38" s="2"/>
      <c r="CM38" s="2"/>
      <c r="CN38" s="2"/>
      <c r="CO38" s="38"/>
      <c r="CP38" s="2"/>
      <c r="CQ38" s="2"/>
      <c r="CR38" s="2"/>
      <c r="CS38" s="2"/>
      <c r="CT38" s="2"/>
      <c r="CU38" s="2"/>
      <c r="CV38" s="38"/>
      <c r="CW38" s="2"/>
      <c r="CX38" s="2"/>
      <c r="CY38" s="2"/>
      <c r="CZ38" s="2"/>
      <c r="DA38" s="2"/>
      <c r="DB38" s="2"/>
      <c r="DC38" s="38"/>
      <c r="DD38" s="2"/>
      <c r="DE38" s="2"/>
      <c r="DF38" s="2"/>
      <c r="DG38" s="2"/>
      <c r="DH38" s="2"/>
      <c r="DI38" s="2"/>
      <c r="DJ38" s="38"/>
      <c r="DK38" s="2"/>
      <c r="DL38" s="2"/>
      <c r="DM38" s="2"/>
      <c r="DN38" s="2"/>
      <c r="DO38" s="2"/>
      <c r="DP38" s="2"/>
      <c r="DQ38" s="38"/>
      <c r="DR38" s="2"/>
      <c r="DS38" s="2"/>
      <c r="DT38" s="2"/>
      <c r="DU38" s="2"/>
      <c r="DV38" s="2"/>
      <c r="DW38" s="2"/>
      <c r="DX38" s="38"/>
      <c r="DY38" s="2"/>
      <c r="DZ38" s="2"/>
      <c r="EA38" s="2"/>
      <c r="EB38" s="2"/>
      <c r="EC38" s="2"/>
      <c r="ED38" s="2"/>
      <c r="EE38" s="38"/>
      <c r="EF38" s="2"/>
      <c r="EG38" s="2"/>
      <c r="EH38" s="2"/>
      <c r="EI38" s="2"/>
      <c r="EJ38" s="2"/>
      <c r="EK38" s="2"/>
      <c r="EL38" s="38"/>
      <c r="EM38" s="2"/>
      <c r="EN38" s="2"/>
      <c r="EO38" s="2"/>
      <c r="EP38" s="2"/>
      <c r="EQ38" s="2"/>
      <c r="ER38" s="2"/>
    </row>
    <row r="39">
      <c r="A39" s="40"/>
      <c r="B39" s="39"/>
      <c r="C39" s="10"/>
      <c r="D39" s="10"/>
      <c r="E39" s="10"/>
      <c r="F39" s="10"/>
      <c r="G39" s="10"/>
      <c r="H39" s="10"/>
      <c r="I39" s="39" t="str">
        <f t="shared" ref="I39:M39" si="261">B39</f>
        <v/>
      </c>
      <c r="J39" s="10" t="str">
        <f t="shared" si="261"/>
        <v/>
      </c>
      <c r="K39" s="10" t="str">
        <f t="shared" si="261"/>
        <v/>
      </c>
      <c r="L39" s="10" t="str">
        <f t="shared" si="261"/>
        <v/>
      </c>
      <c r="M39" s="10" t="str">
        <f t="shared" si="261"/>
        <v/>
      </c>
      <c r="N39" s="10"/>
      <c r="O39" s="10"/>
      <c r="P39" s="39" t="str">
        <f t="shared" ref="P39:T39" si="262">I39</f>
        <v/>
      </c>
      <c r="Q39" s="10" t="str">
        <f t="shared" si="262"/>
        <v/>
      </c>
      <c r="R39" s="10" t="str">
        <f t="shared" si="262"/>
        <v/>
      </c>
      <c r="S39" s="10" t="str">
        <f t="shared" si="262"/>
        <v/>
      </c>
      <c r="T39" s="10" t="str">
        <f t="shared" si="262"/>
        <v/>
      </c>
      <c r="U39" s="10"/>
      <c r="V39" s="10"/>
      <c r="W39" s="39" t="str">
        <f t="shared" ref="W39:AA39" si="263">P39</f>
        <v/>
      </c>
      <c r="X39" s="10" t="str">
        <f t="shared" si="263"/>
        <v/>
      </c>
      <c r="Y39" s="10" t="str">
        <f t="shared" si="263"/>
        <v/>
      </c>
      <c r="Z39" s="10" t="str">
        <f t="shared" si="263"/>
        <v/>
      </c>
      <c r="AA39" s="10" t="str">
        <f t="shared" si="263"/>
        <v/>
      </c>
      <c r="AB39" s="10"/>
      <c r="AC39" s="10"/>
      <c r="AD39" s="39" t="str">
        <f t="shared" ref="AD39:AH39" si="264">W39</f>
        <v/>
      </c>
      <c r="AE39" s="10" t="str">
        <f t="shared" si="264"/>
        <v/>
      </c>
      <c r="AF39" s="10" t="str">
        <f t="shared" si="264"/>
        <v/>
      </c>
      <c r="AG39" s="10" t="str">
        <f t="shared" si="264"/>
        <v/>
      </c>
      <c r="AH39" s="10" t="str">
        <f t="shared" si="264"/>
        <v/>
      </c>
      <c r="AI39" s="10"/>
      <c r="AJ39" s="10"/>
      <c r="AK39" s="39" t="str">
        <f t="shared" ref="AK39:AO39" si="265">AD39</f>
        <v/>
      </c>
      <c r="AL39" s="10" t="str">
        <f t="shared" si="265"/>
        <v/>
      </c>
      <c r="AM39" s="10" t="str">
        <f t="shared" si="265"/>
        <v/>
      </c>
      <c r="AN39" s="10" t="str">
        <f t="shared" si="265"/>
        <v/>
      </c>
      <c r="AO39" s="10" t="str">
        <f t="shared" si="265"/>
        <v/>
      </c>
      <c r="AP39" s="10"/>
      <c r="AQ39" s="10"/>
      <c r="AR39" s="39" t="str">
        <f t="shared" ref="AR39:AV39" si="266">AK39</f>
        <v/>
      </c>
      <c r="AS39" s="10" t="str">
        <f t="shared" si="266"/>
        <v/>
      </c>
      <c r="AT39" s="10" t="str">
        <f t="shared" si="266"/>
        <v/>
      </c>
      <c r="AU39" s="10" t="str">
        <f t="shared" si="266"/>
        <v/>
      </c>
      <c r="AV39" s="10" t="str">
        <f t="shared" si="266"/>
        <v/>
      </c>
      <c r="AW39" s="10"/>
      <c r="AX39" s="10"/>
      <c r="AY39" s="39" t="str">
        <f t="shared" ref="AY39:BC39" si="267">AR39</f>
        <v/>
      </c>
      <c r="AZ39" s="10" t="str">
        <f t="shared" si="267"/>
        <v/>
      </c>
      <c r="BA39" s="10" t="str">
        <f t="shared" si="267"/>
        <v/>
      </c>
      <c r="BB39" s="10" t="str">
        <f t="shared" si="267"/>
        <v/>
      </c>
      <c r="BC39" s="10" t="str">
        <f t="shared" si="267"/>
        <v/>
      </c>
      <c r="BD39" s="10"/>
      <c r="BE39" s="10"/>
      <c r="BF39" s="39" t="str">
        <f t="shared" ref="BF39:BJ39" si="268">AY39</f>
        <v/>
      </c>
      <c r="BG39" s="10" t="str">
        <f t="shared" si="268"/>
        <v/>
      </c>
      <c r="BH39" s="10" t="str">
        <f t="shared" si="268"/>
        <v/>
      </c>
      <c r="BI39" s="10" t="str">
        <f t="shared" si="268"/>
        <v/>
      </c>
      <c r="BJ39" s="10" t="str">
        <f t="shared" si="268"/>
        <v/>
      </c>
      <c r="BK39" s="10"/>
      <c r="BL39" s="10"/>
      <c r="BM39" s="39" t="str">
        <f t="shared" ref="BM39:BQ39" si="269">BF39</f>
        <v/>
      </c>
      <c r="BN39" s="10" t="str">
        <f t="shared" si="269"/>
        <v/>
      </c>
      <c r="BO39" s="10" t="str">
        <f t="shared" si="269"/>
        <v/>
      </c>
      <c r="BP39" s="10" t="str">
        <f t="shared" si="269"/>
        <v/>
      </c>
      <c r="BQ39" s="10" t="str">
        <f t="shared" si="269"/>
        <v/>
      </c>
      <c r="BR39" s="10"/>
      <c r="BS39" s="10"/>
      <c r="BT39" s="39" t="str">
        <f t="shared" ref="BT39:BX39" si="270">BM39</f>
        <v/>
      </c>
      <c r="BU39" s="10" t="str">
        <f t="shared" si="270"/>
        <v/>
      </c>
      <c r="BV39" s="10" t="str">
        <f t="shared" si="270"/>
        <v/>
      </c>
      <c r="BW39" s="10" t="str">
        <f t="shared" si="270"/>
        <v/>
      </c>
      <c r="BX39" s="10" t="str">
        <f t="shared" si="270"/>
        <v/>
      </c>
      <c r="BY39" s="10"/>
      <c r="BZ39" s="10"/>
      <c r="CA39" s="39" t="str">
        <f t="shared" ref="CA39:CE39" si="271">BT39</f>
        <v/>
      </c>
      <c r="CB39" s="10" t="str">
        <f t="shared" si="271"/>
        <v/>
      </c>
      <c r="CC39" s="10" t="str">
        <f t="shared" si="271"/>
        <v/>
      </c>
      <c r="CD39" s="10" t="str">
        <f t="shared" si="271"/>
        <v/>
      </c>
      <c r="CE39" s="10" t="str">
        <f t="shared" si="271"/>
        <v/>
      </c>
      <c r="CF39" s="10"/>
      <c r="CG39" s="10"/>
      <c r="CH39" s="39" t="str">
        <f t="shared" ref="CH39:CL39" si="272">CA39</f>
        <v/>
      </c>
      <c r="CI39" s="10" t="str">
        <f t="shared" si="272"/>
        <v/>
      </c>
      <c r="CJ39" s="10" t="str">
        <f t="shared" si="272"/>
        <v/>
      </c>
      <c r="CK39" s="10" t="str">
        <f t="shared" si="272"/>
        <v/>
      </c>
      <c r="CL39" s="10" t="str">
        <f t="shared" si="272"/>
        <v/>
      </c>
      <c r="CM39" s="10"/>
      <c r="CN39" s="10"/>
      <c r="CO39" s="39" t="str">
        <f t="shared" ref="CO39:CS39" si="273">CH39</f>
        <v/>
      </c>
      <c r="CP39" s="10" t="str">
        <f t="shared" si="273"/>
        <v/>
      </c>
      <c r="CQ39" s="10" t="str">
        <f t="shared" si="273"/>
        <v/>
      </c>
      <c r="CR39" s="10" t="str">
        <f t="shared" si="273"/>
        <v/>
      </c>
      <c r="CS39" s="10" t="str">
        <f t="shared" si="273"/>
        <v/>
      </c>
      <c r="CT39" s="10"/>
      <c r="CU39" s="10"/>
      <c r="CV39" s="39" t="str">
        <f t="shared" ref="CV39:CZ39" si="274">CO39</f>
        <v/>
      </c>
      <c r="CW39" s="10" t="str">
        <f t="shared" si="274"/>
        <v/>
      </c>
      <c r="CX39" s="10" t="str">
        <f t="shared" si="274"/>
        <v/>
      </c>
      <c r="CY39" s="10" t="str">
        <f t="shared" si="274"/>
        <v/>
      </c>
      <c r="CZ39" s="10" t="str">
        <f t="shared" si="274"/>
        <v/>
      </c>
      <c r="DA39" s="10"/>
      <c r="DB39" s="10"/>
      <c r="DC39" s="39" t="str">
        <f t="shared" ref="DC39:DG39" si="275">CV39</f>
        <v/>
      </c>
      <c r="DD39" s="10" t="str">
        <f t="shared" si="275"/>
        <v/>
      </c>
      <c r="DE39" s="10" t="str">
        <f t="shared" si="275"/>
        <v/>
      </c>
      <c r="DF39" s="10" t="str">
        <f t="shared" si="275"/>
        <v/>
      </c>
      <c r="DG39" s="10" t="str">
        <f t="shared" si="275"/>
        <v/>
      </c>
      <c r="DH39" s="10"/>
      <c r="DI39" s="10"/>
      <c r="DJ39" s="39" t="str">
        <f t="shared" ref="DJ39:DN39" si="276">DC39</f>
        <v/>
      </c>
      <c r="DK39" s="10" t="str">
        <f t="shared" si="276"/>
        <v/>
      </c>
      <c r="DL39" s="10" t="str">
        <f t="shared" si="276"/>
        <v/>
      </c>
      <c r="DM39" s="10" t="str">
        <f t="shared" si="276"/>
        <v/>
      </c>
      <c r="DN39" s="10" t="str">
        <f t="shared" si="276"/>
        <v/>
      </c>
      <c r="DO39" s="10"/>
      <c r="DP39" s="10"/>
      <c r="DQ39" s="39" t="str">
        <f t="shared" ref="DQ39:DU39" si="277">DJ39</f>
        <v/>
      </c>
      <c r="DR39" s="10" t="str">
        <f t="shared" si="277"/>
        <v/>
      </c>
      <c r="DS39" s="10" t="str">
        <f t="shared" si="277"/>
        <v/>
      </c>
      <c r="DT39" s="10" t="str">
        <f t="shared" si="277"/>
        <v/>
      </c>
      <c r="DU39" s="10" t="str">
        <f t="shared" si="277"/>
        <v/>
      </c>
      <c r="DV39" s="10"/>
      <c r="DW39" s="10"/>
      <c r="DX39" s="39" t="str">
        <f t="shared" ref="DX39:EB39" si="278">DQ39</f>
        <v/>
      </c>
      <c r="DY39" s="10" t="str">
        <f t="shared" si="278"/>
        <v/>
      </c>
      <c r="DZ39" s="10" t="str">
        <f t="shared" si="278"/>
        <v/>
      </c>
      <c r="EA39" s="10" t="str">
        <f t="shared" si="278"/>
        <v/>
      </c>
      <c r="EB39" s="10" t="str">
        <f t="shared" si="278"/>
        <v/>
      </c>
      <c r="EC39" s="10"/>
      <c r="ED39" s="10"/>
      <c r="EE39" s="39" t="str">
        <f t="shared" ref="EE39:EI39" si="279">DX39</f>
        <v/>
      </c>
      <c r="EF39" s="10" t="str">
        <f t="shared" si="279"/>
        <v/>
      </c>
      <c r="EG39" s="10" t="str">
        <f t="shared" si="279"/>
        <v/>
      </c>
      <c r="EH39" s="10" t="str">
        <f t="shared" si="279"/>
        <v/>
      </c>
      <c r="EI39" s="10" t="str">
        <f t="shared" si="279"/>
        <v/>
      </c>
      <c r="EJ39" s="10"/>
      <c r="EK39" s="10"/>
      <c r="EL39" s="39" t="str">
        <f t="shared" ref="EL39:EP39" si="280">EE39</f>
        <v/>
      </c>
      <c r="EM39" s="10" t="str">
        <f t="shared" si="280"/>
        <v/>
      </c>
      <c r="EN39" s="10" t="str">
        <f t="shared" si="280"/>
        <v/>
      </c>
      <c r="EO39" s="10" t="str">
        <f t="shared" si="280"/>
        <v/>
      </c>
      <c r="EP39" s="10" t="str">
        <f t="shared" si="280"/>
        <v/>
      </c>
      <c r="EQ39" s="10"/>
      <c r="ER39" s="10"/>
    </row>
    <row r="40">
      <c r="A40" s="40"/>
      <c r="B40" s="39"/>
      <c r="C40" s="10"/>
      <c r="D40" s="10"/>
      <c r="E40" s="10"/>
      <c r="F40" s="10"/>
      <c r="G40" s="10"/>
      <c r="H40" s="10"/>
      <c r="I40" s="39" t="str">
        <f t="shared" ref="I40:M40" si="281">B40</f>
        <v/>
      </c>
      <c r="J40" s="10" t="str">
        <f t="shared" si="281"/>
        <v/>
      </c>
      <c r="K40" s="10" t="str">
        <f t="shared" si="281"/>
        <v/>
      </c>
      <c r="L40" s="10" t="str">
        <f t="shared" si="281"/>
        <v/>
      </c>
      <c r="M40" s="10" t="str">
        <f t="shared" si="281"/>
        <v/>
      </c>
      <c r="N40" s="10"/>
      <c r="O40" s="10"/>
      <c r="P40" s="39" t="str">
        <f t="shared" ref="P40:T40" si="282">I40</f>
        <v/>
      </c>
      <c r="Q40" s="10" t="str">
        <f t="shared" si="282"/>
        <v/>
      </c>
      <c r="R40" s="10" t="str">
        <f t="shared" si="282"/>
        <v/>
      </c>
      <c r="S40" s="10" t="str">
        <f t="shared" si="282"/>
        <v/>
      </c>
      <c r="T40" s="10" t="str">
        <f t="shared" si="282"/>
        <v/>
      </c>
      <c r="U40" s="10"/>
      <c r="V40" s="10"/>
      <c r="W40" s="39" t="str">
        <f t="shared" ref="W40:AA40" si="283">P40</f>
        <v/>
      </c>
      <c r="X40" s="10" t="str">
        <f t="shared" si="283"/>
        <v/>
      </c>
      <c r="Y40" s="10" t="str">
        <f t="shared" si="283"/>
        <v/>
      </c>
      <c r="Z40" s="10" t="str">
        <f t="shared" si="283"/>
        <v/>
      </c>
      <c r="AA40" s="10" t="str">
        <f t="shared" si="283"/>
        <v/>
      </c>
      <c r="AB40" s="10"/>
      <c r="AC40" s="10"/>
      <c r="AD40" s="39" t="str">
        <f t="shared" ref="AD40:AH40" si="284">W40</f>
        <v/>
      </c>
      <c r="AE40" s="10" t="str">
        <f t="shared" si="284"/>
        <v/>
      </c>
      <c r="AF40" s="10" t="str">
        <f t="shared" si="284"/>
        <v/>
      </c>
      <c r="AG40" s="10" t="str">
        <f t="shared" si="284"/>
        <v/>
      </c>
      <c r="AH40" s="10" t="str">
        <f t="shared" si="284"/>
        <v/>
      </c>
      <c r="AI40" s="10"/>
      <c r="AJ40" s="10"/>
      <c r="AK40" s="39" t="str">
        <f t="shared" ref="AK40:AO40" si="285">AD40</f>
        <v/>
      </c>
      <c r="AL40" s="10" t="str">
        <f t="shared" si="285"/>
        <v/>
      </c>
      <c r="AM40" s="10" t="str">
        <f t="shared" si="285"/>
        <v/>
      </c>
      <c r="AN40" s="10" t="str">
        <f t="shared" si="285"/>
        <v/>
      </c>
      <c r="AO40" s="10" t="str">
        <f t="shared" si="285"/>
        <v/>
      </c>
      <c r="AP40" s="10"/>
      <c r="AQ40" s="10"/>
      <c r="AR40" s="39" t="str">
        <f t="shared" ref="AR40:AV40" si="286">AK40</f>
        <v/>
      </c>
      <c r="AS40" s="10" t="str">
        <f t="shared" si="286"/>
        <v/>
      </c>
      <c r="AT40" s="10" t="str">
        <f t="shared" si="286"/>
        <v/>
      </c>
      <c r="AU40" s="10" t="str">
        <f t="shared" si="286"/>
        <v/>
      </c>
      <c r="AV40" s="10" t="str">
        <f t="shared" si="286"/>
        <v/>
      </c>
      <c r="AW40" s="10"/>
      <c r="AX40" s="10"/>
      <c r="AY40" s="39" t="str">
        <f t="shared" ref="AY40:BC40" si="287">AR40</f>
        <v/>
      </c>
      <c r="AZ40" s="10" t="str">
        <f t="shared" si="287"/>
        <v/>
      </c>
      <c r="BA40" s="10" t="str">
        <f t="shared" si="287"/>
        <v/>
      </c>
      <c r="BB40" s="10" t="str">
        <f t="shared" si="287"/>
        <v/>
      </c>
      <c r="BC40" s="10" t="str">
        <f t="shared" si="287"/>
        <v/>
      </c>
      <c r="BD40" s="10"/>
      <c r="BE40" s="10"/>
      <c r="BF40" s="39" t="str">
        <f t="shared" ref="BF40:BJ40" si="288">AY40</f>
        <v/>
      </c>
      <c r="BG40" s="10" t="str">
        <f t="shared" si="288"/>
        <v/>
      </c>
      <c r="BH40" s="10" t="str">
        <f t="shared" si="288"/>
        <v/>
      </c>
      <c r="BI40" s="10" t="str">
        <f t="shared" si="288"/>
        <v/>
      </c>
      <c r="BJ40" s="10" t="str">
        <f t="shared" si="288"/>
        <v/>
      </c>
      <c r="BK40" s="10"/>
      <c r="BL40" s="10"/>
      <c r="BM40" s="39" t="str">
        <f t="shared" ref="BM40:BQ40" si="289">BF40</f>
        <v/>
      </c>
      <c r="BN40" s="10" t="str">
        <f t="shared" si="289"/>
        <v/>
      </c>
      <c r="BO40" s="10" t="str">
        <f t="shared" si="289"/>
        <v/>
      </c>
      <c r="BP40" s="10" t="str">
        <f t="shared" si="289"/>
        <v/>
      </c>
      <c r="BQ40" s="10" t="str">
        <f t="shared" si="289"/>
        <v/>
      </c>
      <c r="BR40" s="10"/>
      <c r="BS40" s="10"/>
      <c r="BT40" s="39" t="str">
        <f t="shared" ref="BT40:BX40" si="290">BM40</f>
        <v/>
      </c>
      <c r="BU40" s="10" t="str">
        <f t="shared" si="290"/>
        <v/>
      </c>
      <c r="BV40" s="10" t="str">
        <f t="shared" si="290"/>
        <v/>
      </c>
      <c r="BW40" s="10" t="str">
        <f t="shared" si="290"/>
        <v/>
      </c>
      <c r="BX40" s="10" t="str">
        <f t="shared" si="290"/>
        <v/>
      </c>
      <c r="BY40" s="10"/>
      <c r="BZ40" s="10"/>
      <c r="CA40" s="39" t="str">
        <f t="shared" ref="CA40:CE40" si="291">BT40</f>
        <v/>
      </c>
      <c r="CB40" s="10" t="str">
        <f t="shared" si="291"/>
        <v/>
      </c>
      <c r="CC40" s="10" t="str">
        <f t="shared" si="291"/>
        <v/>
      </c>
      <c r="CD40" s="10" t="str">
        <f t="shared" si="291"/>
        <v/>
      </c>
      <c r="CE40" s="10" t="str">
        <f t="shared" si="291"/>
        <v/>
      </c>
      <c r="CF40" s="10"/>
      <c r="CG40" s="10"/>
      <c r="CH40" s="39" t="str">
        <f t="shared" ref="CH40:CL40" si="292">CA40</f>
        <v/>
      </c>
      <c r="CI40" s="10" t="str">
        <f t="shared" si="292"/>
        <v/>
      </c>
      <c r="CJ40" s="10" t="str">
        <f t="shared" si="292"/>
        <v/>
      </c>
      <c r="CK40" s="10" t="str">
        <f t="shared" si="292"/>
        <v/>
      </c>
      <c r="CL40" s="10" t="str">
        <f t="shared" si="292"/>
        <v/>
      </c>
      <c r="CM40" s="10"/>
      <c r="CN40" s="10"/>
      <c r="CO40" s="39" t="str">
        <f t="shared" ref="CO40:CS40" si="293">CH40</f>
        <v/>
      </c>
      <c r="CP40" s="10" t="str">
        <f t="shared" si="293"/>
        <v/>
      </c>
      <c r="CQ40" s="10" t="str">
        <f t="shared" si="293"/>
        <v/>
      </c>
      <c r="CR40" s="10" t="str">
        <f t="shared" si="293"/>
        <v/>
      </c>
      <c r="CS40" s="10" t="str">
        <f t="shared" si="293"/>
        <v/>
      </c>
      <c r="CT40" s="10"/>
      <c r="CU40" s="10"/>
      <c r="CV40" s="39" t="str">
        <f t="shared" ref="CV40:CZ40" si="294">CO40</f>
        <v/>
      </c>
      <c r="CW40" s="10" t="str">
        <f t="shared" si="294"/>
        <v/>
      </c>
      <c r="CX40" s="10" t="str">
        <f t="shared" si="294"/>
        <v/>
      </c>
      <c r="CY40" s="10" t="str">
        <f t="shared" si="294"/>
        <v/>
      </c>
      <c r="CZ40" s="10" t="str">
        <f t="shared" si="294"/>
        <v/>
      </c>
      <c r="DA40" s="10"/>
      <c r="DB40" s="10"/>
      <c r="DC40" s="39" t="str">
        <f t="shared" ref="DC40:DG40" si="295">CV40</f>
        <v/>
      </c>
      <c r="DD40" s="10" t="str">
        <f t="shared" si="295"/>
        <v/>
      </c>
      <c r="DE40" s="10" t="str">
        <f t="shared" si="295"/>
        <v/>
      </c>
      <c r="DF40" s="10" t="str">
        <f t="shared" si="295"/>
        <v/>
      </c>
      <c r="DG40" s="10" t="str">
        <f t="shared" si="295"/>
        <v/>
      </c>
      <c r="DH40" s="10"/>
      <c r="DI40" s="10"/>
      <c r="DJ40" s="39" t="str">
        <f t="shared" ref="DJ40:DN40" si="296">DC40</f>
        <v/>
      </c>
      <c r="DK40" s="10" t="str">
        <f t="shared" si="296"/>
        <v/>
      </c>
      <c r="DL40" s="10" t="str">
        <f t="shared" si="296"/>
        <v/>
      </c>
      <c r="DM40" s="10" t="str">
        <f t="shared" si="296"/>
        <v/>
      </c>
      <c r="DN40" s="10" t="str">
        <f t="shared" si="296"/>
        <v/>
      </c>
      <c r="DO40" s="10"/>
      <c r="DP40" s="10"/>
      <c r="DQ40" s="39" t="str">
        <f t="shared" ref="DQ40:DU40" si="297">DJ40</f>
        <v/>
      </c>
      <c r="DR40" s="10" t="str">
        <f t="shared" si="297"/>
        <v/>
      </c>
      <c r="DS40" s="10" t="str">
        <f t="shared" si="297"/>
        <v/>
      </c>
      <c r="DT40" s="10" t="str">
        <f t="shared" si="297"/>
        <v/>
      </c>
      <c r="DU40" s="10" t="str">
        <f t="shared" si="297"/>
        <v/>
      </c>
      <c r="DV40" s="10"/>
      <c r="DW40" s="10"/>
      <c r="DX40" s="39" t="str">
        <f t="shared" ref="DX40:EB40" si="298">DQ40</f>
        <v/>
      </c>
      <c r="DY40" s="10" t="str">
        <f t="shared" si="298"/>
        <v/>
      </c>
      <c r="DZ40" s="10" t="str">
        <f t="shared" si="298"/>
        <v/>
      </c>
      <c r="EA40" s="10" t="str">
        <f t="shared" si="298"/>
        <v/>
      </c>
      <c r="EB40" s="10" t="str">
        <f t="shared" si="298"/>
        <v/>
      </c>
      <c r="EC40" s="10"/>
      <c r="ED40" s="10"/>
      <c r="EE40" s="39" t="str">
        <f t="shared" ref="EE40:EI40" si="299">DX40</f>
        <v/>
      </c>
      <c r="EF40" s="10" t="str">
        <f t="shared" si="299"/>
        <v/>
      </c>
      <c r="EG40" s="10" t="str">
        <f t="shared" si="299"/>
        <v/>
      </c>
      <c r="EH40" s="10" t="str">
        <f t="shared" si="299"/>
        <v/>
      </c>
      <c r="EI40" s="10" t="str">
        <f t="shared" si="299"/>
        <v/>
      </c>
      <c r="EJ40" s="10"/>
      <c r="EK40" s="10"/>
      <c r="EL40" s="39" t="str">
        <f t="shared" ref="EL40:EP40" si="300">EE40</f>
        <v/>
      </c>
      <c r="EM40" s="10" t="str">
        <f t="shared" si="300"/>
        <v/>
      </c>
      <c r="EN40" s="10" t="str">
        <f t="shared" si="300"/>
        <v/>
      </c>
      <c r="EO40" s="10" t="str">
        <f t="shared" si="300"/>
        <v/>
      </c>
      <c r="EP40" s="10" t="str">
        <f t="shared" si="300"/>
        <v/>
      </c>
      <c r="EQ40" s="10"/>
      <c r="ER40" s="10"/>
    </row>
    <row r="41">
      <c r="A41" s="41"/>
      <c r="B41" s="42"/>
      <c r="C41" s="43"/>
      <c r="D41" s="43"/>
      <c r="E41" s="43"/>
      <c r="F41" s="43"/>
      <c r="G41" s="43"/>
      <c r="H41" s="43"/>
      <c r="I41" s="42" t="str">
        <f t="shared" ref="I41:M41" si="301">B41</f>
        <v/>
      </c>
      <c r="J41" s="43" t="str">
        <f t="shared" si="301"/>
        <v/>
      </c>
      <c r="K41" s="43" t="str">
        <f t="shared" si="301"/>
        <v/>
      </c>
      <c r="L41" s="43" t="str">
        <f t="shared" si="301"/>
        <v/>
      </c>
      <c r="M41" s="43" t="str">
        <f t="shared" si="301"/>
        <v/>
      </c>
      <c r="N41" s="43"/>
      <c r="O41" s="43"/>
      <c r="P41" s="42" t="str">
        <f t="shared" ref="P41:T41" si="302">I41</f>
        <v/>
      </c>
      <c r="Q41" s="43" t="str">
        <f t="shared" si="302"/>
        <v/>
      </c>
      <c r="R41" s="43" t="str">
        <f t="shared" si="302"/>
        <v/>
      </c>
      <c r="S41" s="43" t="str">
        <f t="shared" si="302"/>
        <v/>
      </c>
      <c r="T41" s="43" t="str">
        <f t="shared" si="302"/>
        <v/>
      </c>
      <c r="U41" s="43"/>
      <c r="V41" s="43"/>
      <c r="W41" s="42" t="str">
        <f t="shared" ref="W41:AA41" si="303">P41</f>
        <v/>
      </c>
      <c r="X41" s="43" t="str">
        <f t="shared" si="303"/>
        <v/>
      </c>
      <c r="Y41" s="43" t="str">
        <f t="shared" si="303"/>
        <v/>
      </c>
      <c r="Z41" s="43" t="str">
        <f t="shared" si="303"/>
        <v/>
      </c>
      <c r="AA41" s="43" t="str">
        <f t="shared" si="303"/>
        <v/>
      </c>
      <c r="AB41" s="43"/>
      <c r="AC41" s="43"/>
      <c r="AD41" s="42" t="str">
        <f t="shared" ref="AD41:AH41" si="304">W41</f>
        <v/>
      </c>
      <c r="AE41" s="43" t="str">
        <f t="shared" si="304"/>
        <v/>
      </c>
      <c r="AF41" s="43" t="str">
        <f t="shared" si="304"/>
        <v/>
      </c>
      <c r="AG41" s="43" t="str">
        <f t="shared" si="304"/>
        <v/>
      </c>
      <c r="AH41" s="43" t="str">
        <f t="shared" si="304"/>
        <v/>
      </c>
      <c r="AI41" s="43"/>
      <c r="AJ41" s="43"/>
      <c r="AK41" s="42" t="str">
        <f t="shared" ref="AK41:AO41" si="305">AD41</f>
        <v/>
      </c>
      <c r="AL41" s="43" t="str">
        <f t="shared" si="305"/>
        <v/>
      </c>
      <c r="AM41" s="43" t="str">
        <f t="shared" si="305"/>
        <v/>
      </c>
      <c r="AN41" s="43" t="str">
        <f t="shared" si="305"/>
        <v/>
      </c>
      <c r="AO41" s="43" t="str">
        <f t="shared" si="305"/>
        <v/>
      </c>
      <c r="AP41" s="43"/>
      <c r="AQ41" s="43"/>
      <c r="AR41" s="42" t="str">
        <f t="shared" ref="AR41:AV41" si="306">AK41</f>
        <v/>
      </c>
      <c r="AS41" s="43" t="str">
        <f t="shared" si="306"/>
        <v/>
      </c>
      <c r="AT41" s="43" t="str">
        <f t="shared" si="306"/>
        <v/>
      </c>
      <c r="AU41" s="43" t="str">
        <f t="shared" si="306"/>
        <v/>
      </c>
      <c r="AV41" s="43" t="str">
        <f t="shared" si="306"/>
        <v/>
      </c>
      <c r="AW41" s="43"/>
      <c r="AX41" s="43"/>
      <c r="AY41" s="42" t="str">
        <f t="shared" ref="AY41:BC41" si="307">AR41</f>
        <v/>
      </c>
      <c r="AZ41" s="43" t="str">
        <f t="shared" si="307"/>
        <v/>
      </c>
      <c r="BA41" s="43" t="str">
        <f t="shared" si="307"/>
        <v/>
      </c>
      <c r="BB41" s="43" t="str">
        <f t="shared" si="307"/>
        <v/>
      </c>
      <c r="BC41" s="43" t="str">
        <f t="shared" si="307"/>
        <v/>
      </c>
      <c r="BD41" s="43"/>
      <c r="BE41" s="43"/>
      <c r="BF41" s="42" t="str">
        <f t="shared" ref="BF41:BJ41" si="308">AY41</f>
        <v/>
      </c>
      <c r="BG41" s="43" t="str">
        <f t="shared" si="308"/>
        <v/>
      </c>
      <c r="BH41" s="43" t="str">
        <f t="shared" si="308"/>
        <v/>
      </c>
      <c r="BI41" s="43" t="str">
        <f t="shared" si="308"/>
        <v/>
      </c>
      <c r="BJ41" s="43" t="str">
        <f t="shared" si="308"/>
        <v/>
      </c>
      <c r="BK41" s="43"/>
      <c r="BL41" s="43"/>
      <c r="BM41" s="42" t="str">
        <f t="shared" ref="BM41:BQ41" si="309">BF41</f>
        <v/>
      </c>
      <c r="BN41" s="43" t="str">
        <f t="shared" si="309"/>
        <v/>
      </c>
      <c r="BO41" s="43" t="str">
        <f t="shared" si="309"/>
        <v/>
      </c>
      <c r="BP41" s="43" t="str">
        <f t="shared" si="309"/>
        <v/>
      </c>
      <c r="BQ41" s="43" t="str">
        <f t="shared" si="309"/>
        <v/>
      </c>
      <c r="BR41" s="43"/>
      <c r="BS41" s="43"/>
      <c r="BT41" s="42" t="str">
        <f t="shared" ref="BT41:BX41" si="310">BM41</f>
        <v/>
      </c>
      <c r="BU41" s="43" t="str">
        <f t="shared" si="310"/>
        <v/>
      </c>
      <c r="BV41" s="43" t="str">
        <f t="shared" si="310"/>
        <v/>
      </c>
      <c r="BW41" s="43" t="str">
        <f t="shared" si="310"/>
        <v/>
      </c>
      <c r="BX41" s="43" t="str">
        <f t="shared" si="310"/>
        <v/>
      </c>
      <c r="BY41" s="43"/>
      <c r="BZ41" s="43"/>
      <c r="CA41" s="42" t="str">
        <f t="shared" ref="CA41:CE41" si="311">BT41</f>
        <v/>
      </c>
      <c r="CB41" s="43" t="str">
        <f t="shared" si="311"/>
        <v/>
      </c>
      <c r="CC41" s="43" t="str">
        <f t="shared" si="311"/>
        <v/>
      </c>
      <c r="CD41" s="43" t="str">
        <f t="shared" si="311"/>
        <v/>
      </c>
      <c r="CE41" s="43" t="str">
        <f t="shared" si="311"/>
        <v/>
      </c>
      <c r="CF41" s="43"/>
      <c r="CG41" s="43"/>
      <c r="CH41" s="42" t="str">
        <f t="shared" ref="CH41:CL41" si="312">CA41</f>
        <v/>
      </c>
      <c r="CI41" s="43" t="str">
        <f t="shared" si="312"/>
        <v/>
      </c>
      <c r="CJ41" s="43" t="str">
        <f t="shared" si="312"/>
        <v/>
      </c>
      <c r="CK41" s="43" t="str">
        <f t="shared" si="312"/>
        <v/>
      </c>
      <c r="CL41" s="43" t="str">
        <f t="shared" si="312"/>
        <v/>
      </c>
      <c r="CM41" s="43"/>
      <c r="CN41" s="43"/>
      <c r="CO41" s="42" t="str">
        <f t="shared" ref="CO41:CS41" si="313">CH41</f>
        <v/>
      </c>
      <c r="CP41" s="43" t="str">
        <f t="shared" si="313"/>
        <v/>
      </c>
      <c r="CQ41" s="43" t="str">
        <f t="shared" si="313"/>
        <v/>
      </c>
      <c r="CR41" s="43" t="str">
        <f t="shared" si="313"/>
        <v/>
      </c>
      <c r="CS41" s="43" t="str">
        <f t="shared" si="313"/>
        <v/>
      </c>
      <c r="CT41" s="43"/>
      <c r="CU41" s="43"/>
      <c r="CV41" s="42" t="str">
        <f t="shared" ref="CV41:CZ41" si="314">CO41</f>
        <v/>
      </c>
      <c r="CW41" s="43" t="str">
        <f t="shared" si="314"/>
        <v/>
      </c>
      <c r="CX41" s="43" t="str">
        <f t="shared" si="314"/>
        <v/>
      </c>
      <c r="CY41" s="43" t="str">
        <f t="shared" si="314"/>
        <v/>
      </c>
      <c r="CZ41" s="43" t="str">
        <f t="shared" si="314"/>
        <v/>
      </c>
      <c r="DA41" s="43"/>
      <c r="DB41" s="43"/>
      <c r="DC41" s="42" t="str">
        <f t="shared" ref="DC41:DG41" si="315">CV41</f>
        <v/>
      </c>
      <c r="DD41" s="43" t="str">
        <f t="shared" si="315"/>
        <v/>
      </c>
      <c r="DE41" s="43" t="str">
        <f t="shared" si="315"/>
        <v/>
      </c>
      <c r="DF41" s="43" t="str">
        <f t="shared" si="315"/>
        <v/>
      </c>
      <c r="DG41" s="43" t="str">
        <f t="shared" si="315"/>
        <v/>
      </c>
      <c r="DH41" s="43"/>
      <c r="DI41" s="43"/>
      <c r="DJ41" s="42" t="str">
        <f t="shared" ref="DJ41:DN41" si="316">DC41</f>
        <v/>
      </c>
      <c r="DK41" s="43" t="str">
        <f t="shared" si="316"/>
        <v/>
      </c>
      <c r="DL41" s="43" t="str">
        <f t="shared" si="316"/>
        <v/>
      </c>
      <c r="DM41" s="43" t="str">
        <f t="shared" si="316"/>
        <v/>
      </c>
      <c r="DN41" s="43" t="str">
        <f t="shared" si="316"/>
        <v/>
      </c>
      <c r="DO41" s="43"/>
      <c r="DP41" s="43"/>
      <c r="DQ41" s="42" t="str">
        <f t="shared" ref="DQ41:DU41" si="317">DJ41</f>
        <v/>
      </c>
      <c r="DR41" s="43" t="str">
        <f t="shared" si="317"/>
        <v/>
      </c>
      <c r="DS41" s="43" t="str">
        <f t="shared" si="317"/>
        <v/>
      </c>
      <c r="DT41" s="43" t="str">
        <f t="shared" si="317"/>
        <v/>
      </c>
      <c r="DU41" s="43" t="str">
        <f t="shared" si="317"/>
        <v/>
      </c>
      <c r="DV41" s="43"/>
      <c r="DW41" s="43"/>
      <c r="DX41" s="42" t="str">
        <f t="shared" ref="DX41:EB41" si="318">DQ41</f>
        <v/>
      </c>
      <c r="DY41" s="43" t="str">
        <f t="shared" si="318"/>
        <v/>
      </c>
      <c r="DZ41" s="43" t="str">
        <f t="shared" si="318"/>
        <v/>
      </c>
      <c r="EA41" s="43" t="str">
        <f t="shared" si="318"/>
        <v/>
      </c>
      <c r="EB41" s="43" t="str">
        <f t="shared" si="318"/>
        <v/>
      </c>
      <c r="EC41" s="43"/>
      <c r="ED41" s="43"/>
      <c r="EE41" s="42" t="str">
        <f t="shared" ref="EE41:EI41" si="319">DX41</f>
        <v/>
      </c>
      <c r="EF41" s="43" t="str">
        <f t="shared" si="319"/>
        <v/>
      </c>
      <c r="EG41" s="43" t="str">
        <f t="shared" si="319"/>
        <v/>
      </c>
      <c r="EH41" s="43" t="str">
        <f t="shared" si="319"/>
        <v/>
      </c>
      <c r="EI41" s="43" t="str">
        <f t="shared" si="319"/>
        <v/>
      </c>
      <c r="EJ41" s="43"/>
      <c r="EK41" s="43"/>
      <c r="EL41" s="42" t="str">
        <f t="shared" ref="EL41:EP41" si="320">EE41</f>
        <v/>
      </c>
      <c r="EM41" s="43" t="str">
        <f t="shared" si="320"/>
        <v/>
      </c>
      <c r="EN41" s="43" t="str">
        <f t="shared" si="320"/>
        <v/>
      </c>
      <c r="EO41" s="43" t="str">
        <f t="shared" si="320"/>
        <v/>
      </c>
      <c r="EP41" s="43" t="str">
        <f t="shared" si="320"/>
        <v/>
      </c>
      <c r="EQ41" s="43"/>
      <c r="ER41" s="43"/>
    </row>
    <row r="42">
      <c r="A42" s="2"/>
      <c r="B42" s="38"/>
      <c r="C42" s="2"/>
      <c r="D42" s="2"/>
      <c r="E42" s="2"/>
      <c r="F42" s="2"/>
      <c r="G42" s="2"/>
      <c r="H42" s="2"/>
      <c r="I42" s="38"/>
      <c r="J42" s="2"/>
      <c r="K42" s="2"/>
      <c r="L42" s="2"/>
      <c r="M42" s="2"/>
      <c r="N42" s="2"/>
      <c r="O42" s="2"/>
      <c r="P42" s="38"/>
      <c r="Q42" s="2"/>
      <c r="R42" s="2"/>
      <c r="S42" s="2"/>
      <c r="T42" s="2"/>
      <c r="U42" s="2"/>
      <c r="V42" s="2"/>
      <c r="W42" s="38"/>
      <c r="X42" s="2"/>
      <c r="Y42" s="2"/>
      <c r="Z42" s="2"/>
      <c r="AA42" s="2"/>
      <c r="AB42" s="2"/>
      <c r="AC42" s="2"/>
      <c r="AD42" s="38"/>
      <c r="AE42" s="2"/>
      <c r="AF42" s="2"/>
      <c r="AG42" s="2"/>
      <c r="AH42" s="2"/>
      <c r="AI42" s="2"/>
      <c r="AJ42" s="2"/>
      <c r="AK42" s="38"/>
      <c r="AL42" s="2"/>
      <c r="AM42" s="2"/>
      <c r="AN42" s="2"/>
      <c r="AO42" s="2"/>
      <c r="AP42" s="2"/>
      <c r="AQ42" s="2"/>
      <c r="AR42" s="38"/>
      <c r="AS42" s="2"/>
      <c r="AT42" s="2"/>
      <c r="AU42" s="2"/>
      <c r="AV42" s="2"/>
      <c r="AW42" s="2"/>
      <c r="AX42" s="2"/>
      <c r="AY42" s="38"/>
      <c r="AZ42" s="2"/>
      <c r="BA42" s="2"/>
      <c r="BB42" s="2"/>
      <c r="BC42" s="2"/>
      <c r="BD42" s="2"/>
      <c r="BE42" s="2"/>
      <c r="BF42" s="38"/>
      <c r="BG42" s="2"/>
      <c r="BH42" s="2"/>
      <c r="BI42" s="2"/>
      <c r="BJ42" s="2"/>
      <c r="BK42" s="2"/>
      <c r="BL42" s="2"/>
      <c r="BM42" s="38"/>
      <c r="BN42" s="2"/>
      <c r="BO42" s="2"/>
      <c r="BP42" s="2"/>
      <c r="BQ42" s="2"/>
      <c r="BR42" s="2"/>
      <c r="BS42" s="2"/>
      <c r="BT42" s="38"/>
      <c r="BU42" s="2"/>
      <c r="BV42" s="2"/>
      <c r="BW42" s="2"/>
      <c r="BX42" s="2"/>
      <c r="BY42" s="2"/>
      <c r="BZ42" s="2"/>
      <c r="CA42" s="38"/>
      <c r="CB42" s="2"/>
      <c r="CC42" s="2"/>
      <c r="CD42" s="2"/>
      <c r="CE42" s="2"/>
      <c r="CF42" s="2"/>
      <c r="CG42" s="2"/>
      <c r="CH42" s="38"/>
      <c r="CI42" s="2"/>
      <c r="CJ42" s="2"/>
      <c r="CK42" s="2"/>
      <c r="CL42" s="2"/>
      <c r="CM42" s="2"/>
      <c r="CN42" s="2"/>
      <c r="CO42" s="38"/>
      <c r="CP42" s="2"/>
      <c r="CQ42" s="2"/>
      <c r="CR42" s="2"/>
      <c r="CS42" s="2"/>
      <c r="CT42" s="2"/>
      <c r="CU42" s="2"/>
      <c r="CV42" s="38"/>
      <c r="CW42" s="2"/>
      <c r="CX42" s="2"/>
      <c r="CY42" s="2"/>
      <c r="CZ42" s="2"/>
      <c r="DA42" s="2"/>
      <c r="DB42" s="2"/>
      <c r="DC42" s="38"/>
      <c r="DD42" s="2"/>
      <c r="DE42" s="2"/>
      <c r="DF42" s="2"/>
      <c r="DG42" s="2"/>
      <c r="DH42" s="2"/>
      <c r="DI42" s="2"/>
      <c r="DJ42" s="38"/>
      <c r="DK42" s="2"/>
      <c r="DL42" s="2"/>
      <c r="DM42" s="2"/>
      <c r="DN42" s="2"/>
      <c r="DO42" s="2"/>
      <c r="DP42" s="2"/>
      <c r="DQ42" s="38"/>
      <c r="DR42" s="2"/>
      <c r="DS42" s="2"/>
      <c r="DT42" s="2"/>
      <c r="DU42" s="2"/>
      <c r="DV42" s="2"/>
      <c r="DW42" s="2"/>
      <c r="DX42" s="38"/>
      <c r="DY42" s="2"/>
      <c r="DZ42" s="2"/>
      <c r="EA42" s="2"/>
      <c r="EB42" s="2"/>
      <c r="EC42" s="2"/>
      <c r="ED42" s="2"/>
      <c r="EE42" s="38"/>
      <c r="EF42" s="2"/>
      <c r="EG42" s="2"/>
      <c r="EH42" s="2"/>
      <c r="EI42" s="2"/>
      <c r="EJ42" s="2"/>
      <c r="EK42" s="2"/>
      <c r="EL42" s="38"/>
      <c r="EM42" s="2"/>
      <c r="EN42" s="2"/>
      <c r="EO42" s="2"/>
      <c r="EP42" s="2"/>
      <c r="EQ42" s="2"/>
      <c r="ER42" s="2"/>
    </row>
    <row r="43">
      <c r="A43" s="28" t="s">
        <v>81</v>
      </c>
      <c r="B43" s="29"/>
      <c r="C43" s="30"/>
      <c r="D43" s="30"/>
      <c r="E43" s="30"/>
      <c r="F43" s="30"/>
      <c r="G43" s="30"/>
      <c r="H43" s="30"/>
      <c r="I43" s="29"/>
      <c r="J43" s="30"/>
      <c r="K43" s="30"/>
      <c r="L43" s="30"/>
      <c r="M43" s="30"/>
      <c r="N43" s="30"/>
      <c r="O43" s="30"/>
      <c r="P43" s="29"/>
      <c r="Q43" s="30"/>
      <c r="R43" s="30"/>
      <c r="S43" s="30"/>
      <c r="T43" s="30"/>
      <c r="U43" s="30"/>
      <c r="V43" s="30"/>
      <c r="W43" s="29"/>
      <c r="X43" s="30"/>
      <c r="Y43" s="30"/>
      <c r="Z43" s="30"/>
      <c r="AA43" s="30"/>
      <c r="AB43" s="30"/>
      <c r="AC43" s="30"/>
      <c r="AD43" s="29"/>
      <c r="AE43" s="30"/>
      <c r="AF43" s="30"/>
      <c r="AG43" s="30"/>
      <c r="AH43" s="30"/>
      <c r="AI43" s="30"/>
      <c r="AJ43" s="30"/>
      <c r="AK43" s="29"/>
      <c r="AL43" s="30"/>
      <c r="AM43" s="30"/>
      <c r="AN43" s="30"/>
      <c r="AO43" s="30"/>
      <c r="AP43" s="30"/>
      <c r="AQ43" s="30"/>
      <c r="AR43" s="29"/>
      <c r="AS43" s="30"/>
      <c r="AT43" s="30"/>
      <c r="AU43" s="30"/>
      <c r="AV43" s="30"/>
      <c r="AW43" s="30"/>
      <c r="AX43" s="30"/>
      <c r="AY43" s="29"/>
      <c r="AZ43" s="30"/>
      <c r="BA43" s="30"/>
      <c r="BB43" s="30"/>
      <c r="BC43" s="30"/>
      <c r="BD43" s="30"/>
      <c r="BE43" s="30"/>
      <c r="BF43" s="29"/>
      <c r="BG43" s="30"/>
      <c r="BH43" s="30"/>
      <c r="BI43" s="30"/>
      <c r="BJ43" s="30"/>
      <c r="BK43" s="30"/>
      <c r="BL43" s="30"/>
      <c r="BM43" s="29"/>
      <c r="BN43" s="30"/>
      <c r="BO43" s="30"/>
      <c r="BP43" s="30"/>
      <c r="BQ43" s="30"/>
      <c r="BR43" s="30"/>
      <c r="BS43" s="30"/>
      <c r="BT43" s="29"/>
      <c r="BU43" s="30"/>
      <c r="BV43" s="30"/>
      <c r="BW43" s="30"/>
      <c r="BX43" s="30"/>
      <c r="BY43" s="30"/>
      <c r="BZ43" s="30"/>
      <c r="CA43" s="29"/>
      <c r="CB43" s="30"/>
      <c r="CC43" s="30"/>
      <c r="CD43" s="30"/>
      <c r="CE43" s="30"/>
      <c r="CF43" s="30"/>
      <c r="CG43" s="30"/>
      <c r="CH43" s="29"/>
      <c r="CI43" s="30"/>
      <c r="CJ43" s="30"/>
      <c r="CK43" s="30"/>
      <c r="CL43" s="30"/>
      <c r="CM43" s="30"/>
      <c r="CN43" s="30"/>
      <c r="CO43" s="29"/>
      <c r="CP43" s="30"/>
      <c r="CQ43" s="30"/>
      <c r="CR43" s="30"/>
      <c r="CS43" s="30"/>
      <c r="CT43" s="30"/>
      <c r="CU43" s="30"/>
      <c r="CV43" s="29"/>
      <c r="CW43" s="30"/>
      <c r="CX43" s="30"/>
      <c r="CY43" s="30"/>
      <c r="CZ43" s="30"/>
      <c r="DA43" s="30"/>
      <c r="DB43" s="30"/>
      <c r="DC43" s="29"/>
      <c r="DD43" s="30"/>
      <c r="DE43" s="30"/>
      <c r="DF43" s="30"/>
      <c r="DG43" s="30"/>
      <c r="DH43" s="30"/>
      <c r="DI43" s="30"/>
      <c r="DJ43" s="29"/>
      <c r="DK43" s="30"/>
      <c r="DL43" s="30"/>
      <c r="DM43" s="30"/>
      <c r="DN43" s="30"/>
      <c r="DO43" s="30"/>
      <c r="DP43" s="30"/>
      <c r="DQ43" s="29"/>
      <c r="DR43" s="30"/>
      <c r="DS43" s="30"/>
      <c r="DT43" s="30"/>
      <c r="DU43" s="30"/>
      <c r="DV43" s="30"/>
      <c r="DW43" s="30"/>
      <c r="DX43" s="29"/>
      <c r="DY43" s="30"/>
      <c r="DZ43" s="30"/>
      <c r="EA43" s="30"/>
      <c r="EB43" s="30"/>
      <c r="EC43" s="30"/>
      <c r="ED43" s="30"/>
      <c r="EE43" s="31" t="s">
        <v>75</v>
      </c>
      <c r="EF43" s="32"/>
      <c r="EG43" s="32"/>
      <c r="EH43" s="32"/>
      <c r="EI43" s="32"/>
      <c r="EJ43" s="32"/>
      <c r="EK43" s="32"/>
      <c r="EL43" s="29"/>
      <c r="EM43" s="30"/>
      <c r="EN43" s="30"/>
      <c r="EO43" s="30"/>
      <c r="EP43" s="30"/>
      <c r="EQ43" s="30"/>
      <c r="ER43" s="30"/>
    </row>
    <row r="44" hidden="1">
      <c r="A44" s="33" t="str">
        <f>CONCATENATE(A45," TM")</f>
        <v>Front Squat TM</v>
      </c>
      <c r="B44" s="34">
        <f>if(D44="",'Quick Setup'!D11,D44/'Quick Setup'!E11)</f>
        <v>420</v>
      </c>
      <c r="C44" s="35" t="s">
        <v>73</v>
      </c>
      <c r="D44" s="36"/>
      <c r="E44" s="37"/>
      <c r="F44" s="37"/>
      <c r="G44" s="37"/>
      <c r="H44" s="37"/>
      <c r="I44" s="34">
        <f>if(K44="", if(F45&lt;&gt;"", if(F45&gt;Setup!F10,B44*(1+Setup!G10),if(F45&lt;Setup!E10,B44*(1+Setup!H10),B44)),B44),K44/'Quick Setup'!$E11)</f>
        <v>420</v>
      </c>
      <c r="J44" s="35" t="s">
        <v>73</v>
      </c>
      <c r="K44" s="36"/>
      <c r="L44" s="37"/>
      <c r="M44" s="37"/>
      <c r="N44" s="37"/>
      <c r="O44" s="37"/>
      <c r="P44" s="34">
        <f>if(R44="", if(M45&lt;&gt;"", if(M45&gt;Setup!M10,I44*(1+Setup!N10),if(M45&lt;Setup!L10,I44*(1+Setup!O10),I44)),I44),R44/'Quick Setup'!$E11)</f>
        <v>420</v>
      </c>
      <c r="Q44" s="35" t="s">
        <v>73</v>
      </c>
      <c r="R44" s="36"/>
      <c r="S44" s="37"/>
      <c r="T44" s="37"/>
      <c r="U44" s="37"/>
      <c r="V44" s="37"/>
      <c r="W44" s="34">
        <f>if(Y44="", if(T45&lt;&gt;"", if(T45&gt;Setup!T10,P44*(1+Setup!U10),if(T45&lt;Setup!S10,P44*(1+Setup!V10),P44)),P44),Y44/'Quick Setup'!$E11)</f>
        <v>420</v>
      </c>
      <c r="X44" s="35" t="s">
        <v>73</v>
      </c>
      <c r="Y44" s="36"/>
      <c r="Z44" s="37"/>
      <c r="AA44" s="37"/>
      <c r="AB44" s="37"/>
      <c r="AC44" s="37"/>
      <c r="AD44" s="34">
        <f>if(AF44="", if(AA45&lt;&gt;"", if(AA45&gt;Setup!AA10,W44*(1+Setup!AB10),if(AA45&lt;Setup!Z10,W44*(1+Setup!AC10),W44)),W44),AF44/'Quick Setup'!$E11)</f>
        <v>420</v>
      </c>
      <c r="AE44" s="35" t="s">
        <v>73</v>
      </c>
      <c r="AF44" s="36"/>
      <c r="AG44" s="37"/>
      <c r="AH44" s="37"/>
      <c r="AI44" s="37"/>
      <c r="AJ44" s="37"/>
      <c r="AK44" s="34">
        <f>if(AM44="", if(AH45&lt;&gt;"", if(AH45&gt;Setup!AH10,AD44*(1+Setup!AI10),if(AH45&lt;Setup!AG10,AD44*(1+Setup!AJ10),AD44)),AD44),AM44/'Quick Setup'!$E11)</f>
        <v>420</v>
      </c>
      <c r="AL44" s="35" t="s">
        <v>73</v>
      </c>
      <c r="AM44" s="36"/>
      <c r="AN44" s="37"/>
      <c r="AO44" s="37"/>
      <c r="AP44" s="37"/>
      <c r="AQ44" s="37"/>
      <c r="AR44" s="34">
        <f>if(AT44="", if(AO45&lt;&gt;"", if(AO45&gt;Setup!AO10,AK44*(1+Setup!AP10),if(AO45&lt;Setup!AN10,AK44*(1+Setup!AQ10),AK44)),AK44),AT44/'Quick Setup'!$E11)</f>
        <v>420</v>
      </c>
      <c r="AS44" s="35" t="s">
        <v>73</v>
      </c>
      <c r="AT44" s="36"/>
      <c r="AU44" s="37"/>
      <c r="AV44" s="37"/>
      <c r="AW44" s="37"/>
      <c r="AX44" s="37"/>
      <c r="AY44" s="34">
        <f>if(BA44="",AR44,BA44/'Quick Setup'!$E11)</f>
        <v>420</v>
      </c>
      <c r="AZ44" s="35" t="s">
        <v>73</v>
      </c>
      <c r="BA44" s="36"/>
      <c r="BB44" s="37"/>
      <c r="BC44" s="37"/>
      <c r="BD44" s="37"/>
      <c r="BE44" s="37"/>
      <c r="BF44" s="34">
        <f>if(BH44="", if(BC45&lt;&gt;"", if(BC45&gt;Setup!BC10,AY44*(1+Setup!BD10),if(BC45&lt;Setup!BB10,AY44*(1+Setup!BE10),AY44)),AY44),BH44/'Quick Setup'!$E11)</f>
        <v>420</v>
      </c>
      <c r="BG44" s="35" t="s">
        <v>73</v>
      </c>
      <c r="BH44" s="36"/>
      <c r="BI44" s="37"/>
      <c r="BJ44" s="37"/>
      <c r="BK44" s="37"/>
      <c r="BL44" s="37"/>
      <c r="BM44" s="34">
        <f>if(BO44="", if(BJ45&lt;&gt;"", if(BJ45&gt;Setup!BJ10,BF44*(1+Setup!BK10),if(BJ45&lt;Setup!BI10,BF44*(1+Setup!BL10),BF44)),BF44),BO44/'Quick Setup'!$E11)</f>
        <v>420</v>
      </c>
      <c r="BN44" s="35" t="s">
        <v>73</v>
      </c>
      <c r="BO44" s="36"/>
      <c r="BP44" s="37"/>
      <c r="BQ44" s="37"/>
      <c r="BR44" s="37"/>
      <c r="BS44" s="37"/>
      <c r="BT44" s="34">
        <f>if(BV44="", if(BQ45&lt;&gt;"", if(BQ45&gt;Setup!BQ10,BM44*(1+Setup!BR10),if(BQ45&lt;Setup!BP10,BM44*(1+Setup!BS10),BM44)),BM44),BV44/'Quick Setup'!$E11)</f>
        <v>420</v>
      </c>
      <c r="BU44" s="35" t="s">
        <v>73</v>
      </c>
      <c r="BV44" s="36"/>
      <c r="BW44" s="37"/>
      <c r="BX44" s="37"/>
      <c r="BY44" s="37"/>
      <c r="BZ44" s="37"/>
      <c r="CA44" s="34">
        <f>if(CC44="", if(BX45&lt;&gt;"", if(BX45&gt;Setup!BX10,BT44*(1+Setup!BY10),if(BX45&lt;Setup!BW10,BT44*(1+Setup!BZ10),BT44)),BT44),CC44/'Quick Setup'!$E11)</f>
        <v>420</v>
      </c>
      <c r="CB44" s="35" t="s">
        <v>73</v>
      </c>
      <c r="CC44" s="36"/>
      <c r="CD44" s="37"/>
      <c r="CE44" s="37"/>
      <c r="CF44" s="37"/>
      <c r="CG44" s="37"/>
      <c r="CH44" s="34">
        <f>if(CJ44="", if(CE45&lt;&gt;"", if(CE45&gt;Setup!CE10,CA44*(1+Setup!CF10),if(CE45&lt;Setup!CD10,CA44*(1+Setup!CG10),CA44)),CA44),CJ44/'Quick Setup'!$E11)</f>
        <v>420</v>
      </c>
      <c r="CI44" s="35" t="s">
        <v>73</v>
      </c>
      <c r="CJ44" s="36"/>
      <c r="CK44" s="37"/>
      <c r="CL44" s="37"/>
      <c r="CM44" s="37"/>
      <c r="CN44" s="37"/>
      <c r="CO44" s="34">
        <f>if(CQ44="", if(CL45&lt;&gt;"", if(CL45&gt;Setup!CL10,CH44*(1+Setup!CM10),if(CL45&lt;Setup!CK10,CH44*(1+Setup!CN10),CH44)),CH44),CQ44/'Quick Setup'!$E11)</f>
        <v>420</v>
      </c>
      <c r="CP44" s="35" t="s">
        <v>73</v>
      </c>
      <c r="CQ44" s="36"/>
      <c r="CR44" s="37"/>
      <c r="CS44" s="37"/>
      <c r="CT44" s="37"/>
      <c r="CU44" s="37"/>
      <c r="CV44" s="34">
        <f>if(CX44="",CO44,CX44/'Quick Setup'!$E11)</f>
        <v>420</v>
      </c>
      <c r="CW44" s="35" t="s">
        <v>73</v>
      </c>
      <c r="CX44" s="36"/>
      <c r="CY44" s="37"/>
      <c r="CZ44" s="37"/>
      <c r="DA44" s="37"/>
      <c r="DB44" s="37"/>
      <c r="DC44" s="34">
        <f>if(DE44="", if(CZ45&lt;&gt;"", if(CZ45&gt;Setup!CZ10,CV44*(1+Setup!DA10),if(CZ45&lt;Setup!CY10,CV44*(1+Setup!DB10),CV44)),CV44),DE44/'Quick Setup'!$E11)</f>
        <v>420</v>
      </c>
      <c r="DD44" s="35" t="s">
        <v>73</v>
      </c>
      <c r="DE44" s="36"/>
      <c r="DF44" s="37"/>
      <c r="DG44" s="37"/>
      <c r="DH44" s="37"/>
      <c r="DI44" s="37"/>
      <c r="DJ44" s="34">
        <f>if(DL44="", if(DG45&lt;&gt;"", if(DG45&gt;Setup!DG10,DC44*(1+Setup!DH10),if(DG45&lt;Setup!DF10,DC44*(1+Setup!DI10),DC44)),DC44),DL44/'Quick Setup'!$E11)</f>
        <v>420</v>
      </c>
      <c r="DK44" s="35" t="s">
        <v>73</v>
      </c>
      <c r="DL44" s="36"/>
      <c r="DM44" s="37"/>
      <c r="DN44" s="37"/>
      <c r="DO44" s="37"/>
      <c r="DP44" s="37"/>
      <c r="DQ44" s="34">
        <f>if(DS44="", if(DN45&lt;&gt;"", if(DN45&gt;Setup!DN10,DJ44*(1+Setup!DO10),if(DN45&lt;Setup!DM10,DJ44*(1+Setup!DP10),DJ44)),DJ44),DS44/'Quick Setup'!$E11)</f>
        <v>420</v>
      </c>
      <c r="DR44" s="35" t="s">
        <v>73</v>
      </c>
      <c r="DS44" s="36"/>
      <c r="DT44" s="37"/>
      <c r="DU44" s="37"/>
      <c r="DV44" s="37"/>
      <c r="DW44" s="37"/>
      <c r="DX44" s="34">
        <f>if(DZ44="", if(DU45&lt;&gt;"", if(DU45&gt;Setup!DU10,DQ44*(1+Setup!DV10),if(DU45&lt;Setup!DT10,DQ44*(1+Setup!DW10),DQ44)),DQ44),DZ44/'Quick Setup'!$E11)</f>
        <v>420</v>
      </c>
      <c r="DY44" s="35" t="s">
        <v>73</v>
      </c>
      <c r="DZ44" s="36"/>
      <c r="EA44" s="37"/>
      <c r="EB44" s="37"/>
      <c r="EC44" s="37"/>
      <c r="ED44" s="37"/>
      <c r="EE44" s="34">
        <f>if(EG44="", if(EB45&lt;&gt;"", if(EB45&gt;Setup!EB10,DX44*(1+Setup!EC10),if(EB45&lt;Setup!EA10,DX44*(1+Setup!ED10),DX44)),DX44),EG44/'Quick Setup'!$E11)</f>
        <v>420</v>
      </c>
      <c r="EF44" s="35" t="s">
        <v>73</v>
      </c>
      <c r="EG44" s="36"/>
      <c r="EH44" s="37"/>
      <c r="EI44" s="37"/>
      <c r="EJ44" s="37"/>
      <c r="EK44" s="37"/>
      <c r="EL44" s="34">
        <f>if(EN44="", if(EI45&lt;&gt;"", if(EI45&gt;Setup!EI10,EE44*(1+Setup!EJ10),if(EI45&lt;Setup!EH10,EE44*(1+Setup!EK10),EE44)),EE44),EN44/'Quick Setup'!$E11)</f>
        <v>420</v>
      </c>
      <c r="EM44" s="35" t="s">
        <v>73</v>
      </c>
      <c r="EN44" s="36"/>
      <c r="EO44" s="37"/>
      <c r="EP44" s="37"/>
      <c r="EQ44" s="37"/>
      <c r="ER44" s="37"/>
    </row>
    <row r="45">
      <c r="A45" s="1" t="str">
        <f>Setup!A10</f>
        <v>Front Squat</v>
      </c>
      <c r="B45" s="38">
        <f>mround(B44*Setup!B10,'Quick Setup'!$A$2)</f>
        <v>252.5</v>
      </c>
      <c r="C45" s="2">
        <f>Setup!C10</f>
        <v>7</v>
      </c>
      <c r="D45" s="2">
        <f>Setup!D10</f>
        <v>4</v>
      </c>
      <c r="E45" s="2" t="str">
        <f>CONCATENATE(Setup!E10,"-",Setup!F10)</f>
        <v>4-6</v>
      </c>
      <c r="F45" s="10"/>
      <c r="G45" s="10"/>
      <c r="H45" s="10"/>
      <c r="I45" s="38">
        <f>mround(I44*Setup!I10,'Quick Setup'!$A$2)</f>
        <v>272.5</v>
      </c>
      <c r="J45" s="2">
        <f>Setup!J10</f>
        <v>6</v>
      </c>
      <c r="K45" s="2">
        <f>Setup!K10</f>
        <v>4</v>
      </c>
      <c r="L45" s="2" t="str">
        <f>CONCATENATE(Setup!L10,"-",Setup!M10)</f>
        <v>4-6</v>
      </c>
      <c r="M45" s="10"/>
      <c r="N45" s="10"/>
      <c r="O45" s="10"/>
      <c r="P45" s="38">
        <f>mround(P44*Setup!P10,'Quick Setup'!$A$2)</f>
        <v>295</v>
      </c>
      <c r="Q45" s="2">
        <f>Setup!Q10</f>
        <v>5</v>
      </c>
      <c r="R45" s="2">
        <f>Setup!R10</f>
        <v>3</v>
      </c>
      <c r="S45" s="2" t="str">
        <f>CONCATENATE(Setup!S10,"-",Setup!T10)</f>
        <v>4-6</v>
      </c>
      <c r="T45" s="10"/>
      <c r="U45" s="10"/>
      <c r="V45" s="10"/>
      <c r="W45" s="38">
        <f>mround(W44*Setup!W10,'Quick Setup'!$A$2)</f>
        <v>262.5</v>
      </c>
      <c r="X45" s="2">
        <f>Setup!X10</f>
        <v>7</v>
      </c>
      <c r="Y45" s="2">
        <f>Setup!Y10</f>
        <v>4</v>
      </c>
      <c r="Z45" s="2" t="str">
        <f>CONCATENATE(Setup!Z10,"-",Setup!AA10)</f>
        <v>4-6</v>
      </c>
      <c r="AA45" s="10"/>
      <c r="AB45" s="10"/>
      <c r="AC45" s="10"/>
      <c r="AD45" s="38">
        <f>mround(AD44*Setup!AD10,'Quick Setup'!$A$2)</f>
        <v>282.5</v>
      </c>
      <c r="AE45" s="2">
        <f>Setup!AE10</f>
        <v>6</v>
      </c>
      <c r="AF45" s="2">
        <f>Setup!AF10</f>
        <v>4</v>
      </c>
      <c r="AG45" s="2" t="str">
        <f>CONCATENATE(Setup!AG10,"-",Setup!AH10)</f>
        <v>4-6</v>
      </c>
      <c r="AH45" s="10"/>
      <c r="AI45" s="10"/>
      <c r="AJ45" s="10"/>
      <c r="AK45" s="38">
        <f>mround(AK44*Setup!AK10,'Quick Setup'!$A$2)</f>
        <v>305</v>
      </c>
      <c r="AL45" s="2">
        <f>Setup!AL10</f>
        <v>5</v>
      </c>
      <c r="AM45" s="2">
        <f>Setup!AM10</f>
        <v>3</v>
      </c>
      <c r="AN45" s="2" t="str">
        <f>CONCATENATE(Setup!AN10,"-",Setup!AO10)</f>
        <v>4-6</v>
      </c>
      <c r="AO45" s="10"/>
      <c r="AP45" s="10"/>
      <c r="AQ45" s="10"/>
      <c r="AR45" s="38">
        <f>mround(AR44*Setup!AR10,'Quick Setup'!$A$2)</f>
        <v>210</v>
      </c>
      <c r="AS45" s="1">
        <v>5.0</v>
      </c>
      <c r="AT45" s="1" t="s">
        <v>76</v>
      </c>
      <c r="AU45" s="2" t="str">
        <f>CONCATENATE(Setup!AU10,"-",Setup!AV10)</f>
        <v>4-6</v>
      </c>
      <c r="AV45" s="10"/>
      <c r="AW45" s="10"/>
      <c r="AX45" s="10"/>
      <c r="AY45" s="38">
        <f>mround(AY44*Setup!AY10,'Quick Setup'!$A$2)</f>
        <v>272.5</v>
      </c>
      <c r="AZ45" s="2">
        <f>Setup!AZ10</f>
        <v>6</v>
      </c>
      <c r="BA45" s="2">
        <f>Setup!BA10</f>
        <v>4</v>
      </c>
      <c r="BB45" s="2" t="str">
        <f>CONCATENATE(Setup!BB10,"-",Setup!BC10)</f>
        <v>4-6</v>
      </c>
      <c r="BC45" s="10"/>
      <c r="BD45" s="10"/>
      <c r="BE45" s="10"/>
      <c r="BF45" s="38">
        <f>mround(BF44*Setup!BF10,'Quick Setup'!$A$2)</f>
        <v>295</v>
      </c>
      <c r="BG45" s="2">
        <f>Setup!BG10</f>
        <v>5</v>
      </c>
      <c r="BH45" s="2">
        <f>Setup!BH10</f>
        <v>3</v>
      </c>
      <c r="BI45" s="2" t="str">
        <f>CONCATENATE(Setup!BI10,"-",Setup!BJ10)</f>
        <v>4-6</v>
      </c>
      <c r="BJ45" s="10"/>
      <c r="BK45" s="10"/>
      <c r="BL45" s="10"/>
      <c r="BM45" s="38">
        <f>mround(BM44*Setup!BM10,'Quick Setup'!$A$2)</f>
        <v>315</v>
      </c>
      <c r="BN45" s="2">
        <f>Setup!BN10</f>
        <v>4</v>
      </c>
      <c r="BO45" s="2">
        <f>Setup!BO10</f>
        <v>3</v>
      </c>
      <c r="BP45" s="2" t="str">
        <f>CONCATENATE(Setup!BP10,"-",Setup!BQ10)</f>
        <v>4-6</v>
      </c>
      <c r="BQ45" s="10"/>
      <c r="BR45" s="10"/>
      <c r="BS45" s="10"/>
      <c r="BT45" s="38">
        <f>mround(BT44*Setup!BT10,'Quick Setup'!$A$2)</f>
        <v>282.5</v>
      </c>
      <c r="BU45" s="2">
        <f>Setup!BU10</f>
        <v>6</v>
      </c>
      <c r="BV45" s="2">
        <f>Setup!BV10</f>
        <v>4</v>
      </c>
      <c r="BW45" s="2" t="str">
        <f>CONCATENATE(Setup!BW10,"-",Setup!BX10)</f>
        <v>4-6</v>
      </c>
      <c r="BX45" s="10"/>
      <c r="BY45" s="10"/>
      <c r="BZ45" s="10"/>
      <c r="CA45" s="38">
        <f>mround(CA44*Setup!CA10,'Quick Setup'!$A$2)</f>
        <v>305</v>
      </c>
      <c r="CB45" s="2">
        <f>Setup!CB10</f>
        <v>5</v>
      </c>
      <c r="CC45" s="2">
        <f>Setup!CC10</f>
        <v>3</v>
      </c>
      <c r="CD45" s="2" t="str">
        <f>CONCATENATE(Setup!CD10,"-",Setup!CE10)</f>
        <v>4-6</v>
      </c>
      <c r="CE45" s="10"/>
      <c r="CF45" s="10"/>
      <c r="CG45" s="10"/>
      <c r="CH45" s="38">
        <f>mround(CH44*Setup!CH10,'Quick Setup'!$A$2)</f>
        <v>325</v>
      </c>
      <c r="CI45" s="2">
        <f>Setup!CI10</f>
        <v>4</v>
      </c>
      <c r="CJ45" s="2">
        <f>Setup!CJ10</f>
        <v>3</v>
      </c>
      <c r="CK45" s="2" t="str">
        <f>CONCATENATE(Setup!CK10,"-",Setup!CL10)</f>
        <v>4-6</v>
      </c>
      <c r="CL45" s="10"/>
      <c r="CM45" s="10"/>
      <c r="CN45" s="10"/>
      <c r="CO45" s="38">
        <f>mround(CO44*Setup!CO10,'Quick Setup'!$A$2)</f>
        <v>210</v>
      </c>
      <c r="CP45" s="1">
        <v>5.0</v>
      </c>
      <c r="CQ45" s="1" t="s">
        <v>76</v>
      </c>
      <c r="CR45" s="2" t="str">
        <f>CONCATENATE(Setup!CR10,"-",Setup!CS10)</f>
        <v>4-6</v>
      </c>
      <c r="CS45" s="10"/>
      <c r="CT45" s="10"/>
      <c r="CU45" s="10"/>
      <c r="CV45" s="38">
        <f>mround(CV44*Setup!CV10,'Quick Setup'!$A$2)</f>
        <v>295</v>
      </c>
      <c r="CW45" s="2">
        <f>Setup!CW10</f>
        <v>5</v>
      </c>
      <c r="CX45" s="2">
        <f>Setup!CX10</f>
        <v>3</v>
      </c>
      <c r="CY45" s="2" t="str">
        <f>CONCATENATE(Setup!CY10,"-",Setup!CZ10)</f>
        <v>4-6</v>
      </c>
      <c r="CZ45" s="10"/>
      <c r="DA45" s="10"/>
      <c r="DB45" s="10"/>
      <c r="DC45" s="38">
        <f>mround(DC44*Setup!DC10,'Quick Setup'!$A$2)</f>
        <v>315</v>
      </c>
      <c r="DD45" s="2">
        <f>Setup!DD10</f>
        <v>4</v>
      </c>
      <c r="DE45" s="2">
        <f>Setup!DE10</f>
        <v>3</v>
      </c>
      <c r="DF45" s="2" t="str">
        <f>CONCATENATE(Setup!DF10,"-",Setup!DG10)</f>
        <v>4-6</v>
      </c>
      <c r="DG45" s="10"/>
      <c r="DH45" s="10"/>
      <c r="DI45" s="10"/>
      <c r="DJ45" s="38">
        <f>mround(DJ44*Setup!DJ10,'Quick Setup'!$A$2)</f>
        <v>335</v>
      </c>
      <c r="DK45" s="2">
        <f>Setup!DK10</f>
        <v>3</v>
      </c>
      <c r="DL45" s="2">
        <f>Setup!DL10</f>
        <v>2</v>
      </c>
      <c r="DM45" s="2" t="str">
        <f>CONCATENATE(Setup!DM10,"-",Setup!DN10)</f>
        <v>4-6</v>
      </c>
      <c r="DN45" s="10"/>
      <c r="DO45" s="10"/>
      <c r="DP45" s="10"/>
      <c r="DQ45" s="38">
        <f>mround(DQ44*Setup!DQ10,'Quick Setup'!$A$2)</f>
        <v>315</v>
      </c>
      <c r="DR45" s="2">
        <f>Setup!DR10</f>
        <v>4</v>
      </c>
      <c r="DS45" s="2">
        <f>Setup!DS10</f>
        <v>3</v>
      </c>
      <c r="DT45" s="2" t="str">
        <f>CONCATENATE(Setup!DT10,"-",Setup!DU10)</f>
        <v>4-6</v>
      </c>
      <c r="DU45" s="10"/>
      <c r="DV45" s="10"/>
      <c r="DW45" s="10"/>
      <c r="DX45" s="38">
        <f>mround(DX44*Setup!DX10,'Quick Setup'!$A$2)</f>
        <v>335</v>
      </c>
      <c r="DY45" s="2">
        <f>Setup!DY10</f>
        <v>3</v>
      </c>
      <c r="DZ45" s="2">
        <f>Setup!DZ10</f>
        <v>2</v>
      </c>
      <c r="EA45" s="2" t="str">
        <f>CONCATENATE(Setup!EA10,"-",Setup!EB10)</f>
        <v>4-6</v>
      </c>
      <c r="EB45" s="10"/>
      <c r="EC45" s="10"/>
      <c r="ED45" s="10"/>
      <c r="EE45" s="38">
        <f>mround(EE44*Setup!EE10,'Quick Setup'!$A$2)</f>
        <v>357.5</v>
      </c>
      <c r="EF45" s="2">
        <f>Setup!EF10</f>
        <v>2</v>
      </c>
      <c r="EG45" s="2">
        <f>Setup!EG10</f>
        <v>2</v>
      </c>
      <c r="EH45" s="2" t="str">
        <f>CONCATENATE(Setup!EH10,"-",Setup!EI10)</f>
        <v>4-6</v>
      </c>
      <c r="EI45" s="10"/>
      <c r="EJ45" s="10"/>
      <c r="EK45" s="10"/>
      <c r="EL45" s="38">
        <f>mround(EL44*Setup!EL10,'Quick Setup'!$A$2)</f>
        <v>210</v>
      </c>
      <c r="EM45" s="1">
        <v>5.0</v>
      </c>
      <c r="EN45" s="1" t="s">
        <v>76</v>
      </c>
      <c r="EO45" s="2" t="str">
        <f>CONCATENATE(Setup!EO10,"-",Setup!EP10)</f>
        <v>4-6</v>
      </c>
      <c r="EP45" s="10"/>
      <c r="EQ45" s="10"/>
      <c r="ER45" s="10"/>
    </row>
    <row r="46" hidden="1">
      <c r="A46" s="33" t="str">
        <f>CONCATENATE(A47," TM")</f>
        <v>Sumo Deadlift TM</v>
      </c>
      <c r="B46" s="34">
        <f>if(D46="",'Quick Setup'!D15,D46/'Quick Setup'!E15)</f>
        <v>500</v>
      </c>
      <c r="C46" s="35" t="s">
        <v>73</v>
      </c>
      <c r="D46" s="36"/>
      <c r="E46" s="37"/>
      <c r="F46" s="37"/>
      <c r="G46" s="37"/>
      <c r="H46" s="37"/>
      <c r="I46" s="34">
        <f>if(K46="", if(F47&lt;&gt;"", if(F47&gt;Setup!F14,B46*(1+Setup!G14),if(F47&lt;Setup!E14,B46*(1+Setup!H14),B46)),B46),K46/'Quick Setup'!$E15)</f>
        <v>500</v>
      </c>
      <c r="J46" s="35" t="s">
        <v>73</v>
      </c>
      <c r="K46" s="36"/>
      <c r="L46" s="37"/>
      <c r="M46" s="37"/>
      <c r="N46" s="37"/>
      <c r="O46" s="37"/>
      <c r="P46" s="34">
        <f>if(R46="", if(M47&lt;&gt;"", if(M47&gt;Setup!M14,I46*(1+Setup!N14),if(M47&lt;Setup!L14,I46*(1+Setup!O14),I46)),I46),R46/'Quick Setup'!$E15)</f>
        <v>500</v>
      </c>
      <c r="Q46" s="35" t="s">
        <v>73</v>
      </c>
      <c r="R46" s="36"/>
      <c r="S46" s="37"/>
      <c r="T46" s="37"/>
      <c r="U46" s="37"/>
      <c r="V46" s="37"/>
      <c r="W46" s="34">
        <f>if(Y46="", if(T47&lt;&gt;"", if(T47&gt;Setup!T14,P46*(1+Setup!U14),if(T47&lt;Setup!S14,P46*(1+Setup!V14),P46)),P46),Y46/'Quick Setup'!$E15)</f>
        <v>500</v>
      </c>
      <c r="X46" s="35" t="s">
        <v>73</v>
      </c>
      <c r="Y46" s="36"/>
      <c r="Z46" s="37"/>
      <c r="AA46" s="37"/>
      <c r="AB46" s="37"/>
      <c r="AC46" s="37"/>
      <c r="AD46" s="34">
        <f>if(AF46="", if(AA47&lt;&gt;"", if(AA47&gt;Setup!AA14,W46*(1+Setup!AB14),if(AA47&lt;Setup!Z14,W46*(1+Setup!AC14),W46)),W46),AF46/'Quick Setup'!$E15)</f>
        <v>500</v>
      </c>
      <c r="AE46" s="35" t="s">
        <v>73</v>
      </c>
      <c r="AF46" s="36"/>
      <c r="AG46" s="37"/>
      <c r="AH46" s="37"/>
      <c r="AI46" s="37"/>
      <c r="AJ46" s="37"/>
      <c r="AK46" s="34">
        <f>if(AM46="", if(AH47&lt;&gt;"", if(AH47&gt;Setup!AH14,AD46*(1+Setup!AI14),if(AH47&lt;Setup!AG14,AD46*(1+Setup!AJ14),AD46)),AD46),AM46/'Quick Setup'!$E15)</f>
        <v>500</v>
      </c>
      <c r="AL46" s="35" t="s">
        <v>73</v>
      </c>
      <c r="AM46" s="36"/>
      <c r="AN46" s="37"/>
      <c r="AO46" s="37"/>
      <c r="AP46" s="37"/>
      <c r="AQ46" s="37"/>
      <c r="AR46" s="34">
        <f>if(AT46="", if(AO47&lt;&gt;"", if(AO47&gt;Setup!AO14,AK46*(1+Setup!AP14),if(AO47&lt;Setup!AN14,AK46*(1+Setup!AQ14),AK46)),AK46),AT46/'Quick Setup'!$E15)</f>
        <v>500</v>
      </c>
      <c r="AS46" s="35" t="s">
        <v>73</v>
      </c>
      <c r="AT46" s="36"/>
      <c r="AU46" s="37"/>
      <c r="AV46" s="37"/>
      <c r="AW46" s="37"/>
      <c r="AX46" s="37"/>
      <c r="AY46" s="34">
        <f>if(BA46="",AR46,BA46/'Quick Setup'!$E15)</f>
        <v>500</v>
      </c>
      <c r="AZ46" s="35" t="s">
        <v>73</v>
      </c>
      <c r="BA46" s="36"/>
      <c r="BB46" s="37"/>
      <c r="BC46" s="37"/>
      <c r="BD46" s="37"/>
      <c r="BE46" s="37"/>
      <c r="BF46" s="34">
        <f>if(BH46="", if(BC47&lt;&gt;"", if(BC47&gt;Setup!BC14,AY46*(1+Setup!BD14),if(BC47&lt;Setup!BB14,AY46*(1+Setup!BE14),AY46)),AY46),BH46/'Quick Setup'!$E15)</f>
        <v>500</v>
      </c>
      <c r="BG46" s="35" t="s">
        <v>73</v>
      </c>
      <c r="BH46" s="36"/>
      <c r="BI46" s="37"/>
      <c r="BJ46" s="37"/>
      <c r="BK46" s="37"/>
      <c r="BL46" s="37"/>
      <c r="BM46" s="34">
        <f>if(BO46="", if(BJ47&lt;&gt;"", if(BJ47&gt;Setup!BJ14,BF46*(1+Setup!BK14),if(BJ47&lt;Setup!BI14,BF46*(1+Setup!BL14),BF46)),BF46),BO46/'Quick Setup'!$E15)</f>
        <v>500</v>
      </c>
      <c r="BN46" s="35" t="s">
        <v>73</v>
      </c>
      <c r="BO46" s="36"/>
      <c r="BP46" s="37"/>
      <c r="BQ46" s="37"/>
      <c r="BR46" s="37"/>
      <c r="BS46" s="37"/>
      <c r="BT46" s="34">
        <f>if(BV46="", if(BQ47&lt;&gt;"", if(BQ47&gt;Setup!BQ14,BM46*(1+Setup!BR14),if(BQ47&lt;Setup!BP14,BM46*(1+Setup!BS14),BM46)),BM46),BV46/'Quick Setup'!$E15)</f>
        <v>500</v>
      </c>
      <c r="BU46" s="35" t="s">
        <v>73</v>
      </c>
      <c r="BV46" s="36"/>
      <c r="BW46" s="37"/>
      <c r="BX46" s="37"/>
      <c r="BY46" s="37"/>
      <c r="BZ46" s="37"/>
      <c r="CA46" s="34">
        <f>if(CC46="", if(BX47&lt;&gt;"", if(BX47&gt;Setup!BX14,BT46*(1+Setup!BY14),if(BX47&lt;Setup!BW14,BT46*(1+Setup!BZ14),BT46)),BT46),CC46/'Quick Setup'!$E15)</f>
        <v>500</v>
      </c>
      <c r="CB46" s="35" t="s">
        <v>73</v>
      </c>
      <c r="CC46" s="36"/>
      <c r="CD46" s="37"/>
      <c r="CE46" s="37"/>
      <c r="CF46" s="37"/>
      <c r="CG46" s="37"/>
      <c r="CH46" s="34">
        <f>if(CJ46="", if(CE47&lt;&gt;"", if(CE47&gt;Setup!CE14,CA46*(1+Setup!CF14),if(CE47&lt;Setup!CD14,CA46*(1+Setup!CG14),CA46)),CA46),CJ46/'Quick Setup'!$E15)</f>
        <v>500</v>
      </c>
      <c r="CI46" s="35" t="s">
        <v>73</v>
      </c>
      <c r="CJ46" s="36"/>
      <c r="CK46" s="37"/>
      <c r="CL46" s="37"/>
      <c r="CM46" s="37"/>
      <c r="CN46" s="37"/>
      <c r="CO46" s="34">
        <f>if(CQ46="", if(CL47&lt;&gt;"", if(CL47&gt;Setup!CL14,CH46*(1+Setup!CM14),if(CL47&lt;Setup!CK14,CH46*(1+Setup!CN14),CH46)),CH46),CQ46/'Quick Setup'!$E15)</f>
        <v>500</v>
      </c>
      <c r="CP46" s="35" t="s">
        <v>73</v>
      </c>
      <c r="CQ46" s="36"/>
      <c r="CR46" s="37"/>
      <c r="CS46" s="37"/>
      <c r="CT46" s="37"/>
      <c r="CU46" s="37"/>
      <c r="CV46" s="34">
        <f>if(CX46="",CO46,CX46/'Quick Setup'!$E15)</f>
        <v>500</v>
      </c>
      <c r="CW46" s="35" t="s">
        <v>73</v>
      </c>
      <c r="CX46" s="36"/>
      <c r="CY46" s="37"/>
      <c r="CZ46" s="37"/>
      <c r="DA46" s="37"/>
      <c r="DB46" s="37"/>
      <c r="DC46" s="34">
        <f>if(DE46="", if(CZ47&lt;&gt;"", if(CZ47&gt;Setup!CZ14,CV46*(1+Setup!DA14),if(CZ47&lt;Setup!CY14,CV46*(1+Setup!DB14),CV46)),CV46),DE46/'Quick Setup'!$E15)</f>
        <v>500</v>
      </c>
      <c r="DD46" s="35" t="s">
        <v>73</v>
      </c>
      <c r="DE46" s="36"/>
      <c r="DF46" s="37"/>
      <c r="DG46" s="37"/>
      <c r="DH46" s="37"/>
      <c r="DI46" s="37"/>
      <c r="DJ46" s="34">
        <f>if(DL46="", if(DG47&lt;&gt;"", if(DG47&gt;Setup!DG14,DC46*(1+Setup!DH14),if(DG47&lt;Setup!DF14,DC46*(1+Setup!DI14),DC46)),DC46),DL46/'Quick Setup'!$E15)</f>
        <v>500</v>
      </c>
      <c r="DK46" s="35" t="s">
        <v>73</v>
      </c>
      <c r="DL46" s="36"/>
      <c r="DM46" s="37"/>
      <c r="DN46" s="37"/>
      <c r="DO46" s="37"/>
      <c r="DP46" s="37"/>
      <c r="DQ46" s="34">
        <f>if(DS46="", if(DN47&lt;&gt;"", if(DN47&gt;Setup!DN14,DJ46*(1+Setup!DO14),if(DN47&lt;Setup!DM14,DJ46*(1+Setup!DP14),DJ46)),DJ46),DS46/'Quick Setup'!$E15)</f>
        <v>500</v>
      </c>
      <c r="DR46" s="35" t="s">
        <v>73</v>
      </c>
      <c r="DS46" s="36"/>
      <c r="DT46" s="37"/>
      <c r="DU46" s="37"/>
      <c r="DV46" s="37"/>
      <c r="DW46" s="37"/>
      <c r="DX46" s="34">
        <f>if(DZ46="", if(DU47&lt;&gt;"", if(DU47&gt;Setup!DU14,DQ46*(1+Setup!DV14),if(DU47&lt;Setup!DT14,DQ46*(1+Setup!DW14),DQ46)),DQ46),DZ46/'Quick Setup'!$E15)</f>
        <v>500</v>
      </c>
      <c r="DY46" s="35" t="s">
        <v>73</v>
      </c>
      <c r="DZ46" s="36"/>
      <c r="EA46" s="37"/>
      <c r="EB46" s="37"/>
      <c r="EC46" s="37"/>
      <c r="ED46" s="37"/>
      <c r="EE46" s="34">
        <f>if(EG46="", if(EB47&lt;&gt;"", if(EB47&gt;Setup!EB14,DX46*(1+Setup!EC14),if(EB47&lt;Setup!EA14,DX46*(1+Setup!ED14),DX46)),DX46),EG46/'Quick Setup'!$E15)</f>
        <v>500</v>
      </c>
      <c r="EF46" s="35" t="s">
        <v>73</v>
      </c>
      <c r="EG46" s="36"/>
      <c r="EH46" s="37"/>
      <c r="EI46" s="37"/>
      <c r="EJ46" s="37"/>
      <c r="EK46" s="37"/>
      <c r="EL46" s="34">
        <f>if(EN46="", if(EI47&lt;&gt;"", if(EI47&gt;Setup!EI14,EE46*(1+Setup!EJ14),if(EI47&lt;Setup!EH14,EE46*(1+Setup!EK14),EE46)),EE46),EN46/'Quick Setup'!$E15)</f>
        <v>500</v>
      </c>
      <c r="EM46" s="35" t="s">
        <v>73</v>
      </c>
      <c r="EN46" s="36"/>
      <c r="EO46" s="37"/>
      <c r="EP46" s="37"/>
      <c r="EQ46" s="37"/>
      <c r="ER46" s="37"/>
    </row>
    <row r="47">
      <c r="A47" s="1" t="str">
        <f>Setup!A14</f>
        <v>Sumo Deadlift</v>
      </c>
      <c r="B47" s="38">
        <f>mround(B46*Setup!B14,'Quick Setup'!$A$2)</f>
        <v>300</v>
      </c>
      <c r="C47" s="2">
        <f>Setup!C14</f>
        <v>7</v>
      </c>
      <c r="D47" s="2">
        <f>Setup!D14</f>
        <v>4</v>
      </c>
      <c r="E47" s="2" t="str">
        <f>CONCATENATE(Setup!E14,"-",Setup!F14)</f>
        <v>4-6</v>
      </c>
      <c r="F47" s="10"/>
      <c r="G47" s="10"/>
      <c r="H47" s="10"/>
      <c r="I47" s="38">
        <f>mround(I46*Setup!I14,'Quick Setup'!$A$2)</f>
        <v>325</v>
      </c>
      <c r="J47" s="2">
        <f>Setup!J14</f>
        <v>6</v>
      </c>
      <c r="K47" s="2">
        <f>Setup!K14</f>
        <v>4</v>
      </c>
      <c r="L47" s="2" t="str">
        <f>CONCATENATE(Setup!L14,"-",Setup!M14)</f>
        <v>4-6</v>
      </c>
      <c r="M47" s="10"/>
      <c r="N47" s="10"/>
      <c r="O47" s="10"/>
      <c r="P47" s="38">
        <f>mround(P46*Setup!P14,'Quick Setup'!$A$2)</f>
        <v>350</v>
      </c>
      <c r="Q47" s="2">
        <f>Setup!Q14</f>
        <v>5</v>
      </c>
      <c r="R47" s="2">
        <f>Setup!R14</f>
        <v>3</v>
      </c>
      <c r="S47" s="2" t="str">
        <f>CONCATENATE(Setup!S14,"-",Setup!T14)</f>
        <v>4-6</v>
      </c>
      <c r="T47" s="10"/>
      <c r="U47" s="10"/>
      <c r="V47" s="10"/>
      <c r="W47" s="38">
        <f>mround(W46*Setup!W14,'Quick Setup'!$A$2)</f>
        <v>312.5</v>
      </c>
      <c r="X47" s="2">
        <f>Setup!X14</f>
        <v>7</v>
      </c>
      <c r="Y47" s="2">
        <f>Setup!Y14</f>
        <v>4</v>
      </c>
      <c r="Z47" s="2" t="str">
        <f>CONCATENATE(Setup!Z14,"-",Setup!AA14)</f>
        <v>4-6</v>
      </c>
      <c r="AA47" s="10"/>
      <c r="AB47" s="10"/>
      <c r="AC47" s="10"/>
      <c r="AD47" s="38">
        <f>mround(AD46*Setup!AD14,'Quick Setup'!$A$2)</f>
        <v>337.5</v>
      </c>
      <c r="AE47" s="2">
        <f>Setup!AE14</f>
        <v>6</v>
      </c>
      <c r="AF47" s="2">
        <f>Setup!AF14</f>
        <v>4</v>
      </c>
      <c r="AG47" s="2" t="str">
        <f>CONCATENATE(Setup!AG14,"-",Setup!AH14)</f>
        <v>4-6</v>
      </c>
      <c r="AH47" s="10"/>
      <c r="AI47" s="10"/>
      <c r="AJ47" s="10"/>
      <c r="AK47" s="38">
        <f>mround(AK46*Setup!AK14,'Quick Setup'!$A$2)</f>
        <v>362.5</v>
      </c>
      <c r="AL47" s="2">
        <f>Setup!AL14</f>
        <v>5</v>
      </c>
      <c r="AM47" s="2">
        <f>Setup!AM14</f>
        <v>3</v>
      </c>
      <c r="AN47" s="2" t="str">
        <f>CONCATENATE(Setup!AN14,"-",Setup!AO14)</f>
        <v>4-6</v>
      </c>
      <c r="AO47" s="10"/>
      <c r="AP47" s="10"/>
      <c r="AQ47" s="10"/>
      <c r="AR47" s="38">
        <f>mround(AR46*Setup!AR14,'Quick Setup'!$A$2)</f>
        <v>250</v>
      </c>
      <c r="AS47" s="1">
        <v>5.0</v>
      </c>
      <c r="AT47" s="1" t="s">
        <v>76</v>
      </c>
      <c r="AU47" s="2" t="str">
        <f>CONCATENATE(Setup!AU14,"-",Setup!AV14)</f>
        <v>4-6</v>
      </c>
      <c r="AV47" s="10"/>
      <c r="AW47" s="10"/>
      <c r="AX47" s="10"/>
      <c r="AY47" s="38">
        <f>mround(AY46*Setup!AY14,'Quick Setup'!$A$2)</f>
        <v>325</v>
      </c>
      <c r="AZ47" s="2">
        <f>Setup!AZ14</f>
        <v>6</v>
      </c>
      <c r="BA47" s="2">
        <f>Setup!BA14</f>
        <v>4</v>
      </c>
      <c r="BB47" s="2" t="str">
        <f>CONCATENATE(Setup!BB14,"-",Setup!BC14)</f>
        <v>4-6</v>
      </c>
      <c r="BC47" s="10"/>
      <c r="BD47" s="10"/>
      <c r="BE47" s="10"/>
      <c r="BF47" s="38">
        <f>mround(BF46*Setup!BF14,'Quick Setup'!$A$2)</f>
        <v>350</v>
      </c>
      <c r="BG47" s="2">
        <f>Setup!BG14</f>
        <v>5</v>
      </c>
      <c r="BH47" s="2">
        <f>Setup!BH14</f>
        <v>3</v>
      </c>
      <c r="BI47" s="2" t="str">
        <f>CONCATENATE(Setup!BI14,"-",Setup!BJ14)</f>
        <v>4-6</v>
      </c>
      <c r="BJ47" s="10"/>
      <c r="BK47" s="10"/>
      <c r="BL47" s="10"/>
      <c r="BM47" s="38">
        <f>mround(BM46*Setup!BM14,'Quick Setup'!$A$2)</f>
        <v>375</v>
      </c>
      <c r="BN47" s="2">
        <f>Setup!BN14</f>
        <v>4</v>
      </c>
      <c r="BO47" s="2">
        <f>Setup!BO14</f>
        <v>3</v>
      </c>
      <c r="BP47" s="2" t="str">
        <f>CONCATENATE(Setup!BP14,"-",Setup!BQ14)</f>
        <v>4-6</v>
      </c>
      <c r="BQ47" s="10"/>
      <c r="BR47" s="10"/>
      <c r="BS47" s="10"/>
      <c r="BT47" s="38">
        <f>mround(BT46*Setup!BT14,'Quick Setup'!$A$2)</f>
        <v>337.5</v>
      </c>
      <c r="BU47" s="2">
        <f>Setup!BU14</f>
        <v>6</v>
      </c>
      <c r="BV47" s="2">
        <f>Setup!BV14</f>
        <v>4</v>
      </c>
      <c r="BW47" s="2" t="str">
        <f>CONCATENATE(Setup!BW14,"-",Setup!BX14)</f>
        <v>4-6</v>
      </c>
      <c r="BX47" s="10"/>
      <c r="BY47" s="10"/>
      <c r="BZ47" s="10"/>
      <c r="CA47" s="38">
        <f>mround(CA46*Setup!CA14,'Quick Setup'!$A$2)</f>
        <v>362.5</v>
      </c>
      <c r="CB47" s="2">
        <f>Setup!CB14</f>
        <v>5</v>
      </c>
      <c r="CC47" s="2">
        <f>Setup!CC14</f>
        <v>3</v>
      </c>
      <c r="CD47" s="2" t="str">
        <f>CONCATENATE(Setup!CD14,"-",Setup!CE14)</f>
        <v>4-6</v>
      </c>
      <c r="CE47" s="10"/>
      <c r="CF47" s="10"/>
      <c r="CG47" s="10"/>
      <c r="CH47" s="38">
        <f>mround(CH46*Setup!CH14,'Quick Setup'!$A$2)</f>
        <v>387.5</v>
      </c>
      <c r="CI47" s="2">
        <f>Setup!CI14</f>
        <v>4</v>
      </c>
      <c r="CJ47" s="2">
        <f>Setup!CJ14</f>
        <v>3</v>
      </c>
      <c r="CK47" s="2" t="str">
        <f>CONCATENATE(Setup!CK14,"-",Setup!CL14)</f>
        <v>4-6</v>
      </c>
      <c r="CL47" s="10"/>
      <c r="CM47" s="10"/>
      <c r="CN47" s="10"/>
      <c r="CO47" s="38">
        <f>mround(CO46*Setup!CO14,'Quick Setup'!$A$2)</f>
        <v>250</v>
      </c>
      <c r="CP47" s="1">
        <v>5.0</v>
      </c>
      <c r="CQ47" s="1" t="s">
        <v>76</v>
      </c>
      <c r="CR47" s="2" t="str">
        <f>CONCATENATE(Setup!CR14,"-",Setup!CS14)</f>
        <v>4-6</v>
      </c>
      <c r="CS47" s="10"/>
      <c r="CT47" s="10"/>
      <c r="CU47" s="10"/>
      <c r="CV47" s="38">
        <f>mround(CV46*Setup!CV14,'Quick Setup'!$A$2)</f>
        <v>350</v>
      </c>
      <c r="CW47" s="2">
        <f>Setup!CW14</f>
        <v>5</v>
      </c>
      <c r="CX47" s="2">
        <f>Setup!CX14</f>
        <v>3</v>
      </c>
      <c r="CY47" s="2" t="str">
        <f>CONCATENATE(Setup!CY14,"-",Setup!CZ14)</f>
        <v>4-6</v>
      </c>
      <c r="CZ47" s="10"/>
      <c r="DA47" s="10"/>
      <c r="DB47" s="10"/>
      <c r="DC47" s="38">
        <f>mround(DC46*Setup!DC14,'Quick Setup'!$A$2)</f>
        <v>375</v>
      </c>
      <c r="DD47" s="2">
        <f>Setup!DD14</f>
        <v>4</v>
      </c>
      <c r="DE47" s="2">
        <f>Setup!DE14</f>
        <v>3</v>
      </c>
      <c r="DF47" s="2" t="str">
        <f>CONCATENATE(Setup!DF14,"-",Setup!DG14)</f>
        <v>4-6</v>
      </c>
      <c r="DG47" s="10"/>
      <c r="DH47" s="10"/>
      <c r="DI47" s="10"/>
      <c r="DJ47" s="38">
        <f>mround(DJ46*Setup!DJ14,'Quick Setup'!$A$2)</f>
        <v>400</v>
      </c>
      <c r="DK47" s="2">
        <f>Setup!DK14</f>
        <v>3</v>
      </c>
      <c r="DL47" s="2">
        <f>Setup!DL14</f>
        <v>2</v>
      </c>
      <c r="DM47" s="2" t="str">
        <f>CONCATENATE(Setup!DM14,"-",Setup!DN14)</f>
        <v>4-6</v>
      </c>
      <c r="DN47" s="10"/>
      <c r="DO47" s="10"/>
      <c r="DP47" s="10"/>
      <c r="DQ47" s="38">
        <f>mround(DQ46*Setup!DQ14,'Quick Setup'!$A$2)</f>
        <v>375</v>
      </c>
      <c r="DR47" s="2">
        <f>Setup!DR14</f>
        <v>4</v>
      </c>
      <c r="DS47" s="2">
        <f>Setup!DS14</f>
        <v>3</v>
      </c>
      <c r="DT47" s="2" t="str">
        <f>CONCATENATE(Setup!DT14,"-",Setup!DU14)</f>
        <v>4-6</v>
      </c>
      <c r="DU47" s="10"/>
      <c r="DV47" s="10"/>
      <c r="DW47" s="10"/>
      <c r="DX47" s="38">
        <f>mround(DX46*Setup!DX14,'Quick Setup'!$A$2)</f>
        <v>400</v>
      </c>
      <c r="DY47" s="2">
        <f>Setup!DY14</f>
        <v>3</v>
      </c>
      <c r="DZ47" s="2">
        <f>Setup!DZ14</f>
        <v>2</v>
      </c>
      <c r="EA47" s="2" t="str">
        <f>CONCATENATE(Setup!EA14,"-",Setup!EB14)</f>
        <v>4-6</v>
      </c>
      <c r="EB47" s="10"/>
      <c r="EC47" s="10"/>
      <c r="ED47" s="10"/>
      <c r="EE47" s="38">
        <f>mround(EE46*Setup!EE14,'Quick Setup'!$A$2)</f>
        <v>425</v>
      </c>
      <c r="EF47" s="2">
        <f>Setup!EF14</f>
        <v>2</v>
      </c>
      <c r="EG47" s="2">
        <f>Setup!EG14</f>
        <v>2</v>
      </c>
      <c r="EH47" s="2" t="str">
        <f>CONCATENATE(Setup!EH14,"-",Setup!EI14)</f>
        <v>4-6</v>
      </c>
      <c r="EI47" s="10"/>
      <c r="EJ47" s="10"/>
      <c r="EK47" s="10"/>
      <c r="EL47" s="38">
        <f>mround(EL46*Setup!EL14,'Quick Setup'!$A$2)</f>
        <v>250</v>
      </c>
      <c r="EM47" s="1">
        <v>5.0</v>
      </c>
      <c r="EN47" s="1" t="s">
        <v>76</v>
      </c>
      <c r="EO47" s="2" t="str">
        <f>CONCATENATE(Setup!EO14,"-",Setup!EP14)</f>
        <v>4-6</v>
      </c>
      <c r="EP47" s="10"/>
      <c r="EQ47" s="10"/>
      <c r="ER47" s="10"/>
    </row>
    <row r="48">
      <c r="A48" s="5"/>
      <c r="B48" s="39"/>
      <c r="C48" s="10"/>
      <c r="D48" s="10"/>
      <c r="E48" s="10"/>
      <c r="F48" s="10"/>
      <c r="G48" s="10"/>
      <c r="H48" s="10"/>
      <c r="I48" s="39" t="str">
        <f t="shared" ref="I48:M48" si="321">B48</f>
        <v/>
      </c>
      <c r="J48" s="10" t="str">
        <f t="shared" si="321"/>
        <v/>
      </c>
      <c r="K48" s="10" t="str">
        <f t="shared" si="321"/>
        <v/>
      </c>
      <c r="L48" s="10" t="str">
        <f t="shared" si="321"/>
        <v/>
      </c>
      <c r="M48" s="10" t="str">
        <f t="shared" si="321"/>
        <v/>
      </c>
      <c r="N48" s="10"/>
      <c r="O48" s="10"/>
      <c r="P48" s="39" t="str">
        <f t="shared" ref="P48:T48" si="322">I48</f>
        <v/>
      </c>
      <c r="Q48" s="10" t="str">
        <f t="shared" si="322"/>
        <v/>
      </c>
      <c r="R48" s="10" t="str">
        <f t="shared" si="322"/>
        <v/>
      </c>
      <c r="S48" s="10" t="str">
        <f t="shared" si="322"/>
        <v/>
      </c>
      <c r="T48" s="10" t="str">
        <f t="shared" si="322"/>
        <v/>
      </c>
      <c r="U48" s="10"/>
      <c r="V48" s="10"/>
      <c r="W48" s="39" t="str">
        <f t="shared" ref="W48:AA48" si="323">P48</f>
        <v/>
      </c>
      <c r="X48" s="10" t="str">
        <f t="shared" si="323"/>
        <v/>
      </c>
      <c r="Y48" s="10" t="str">
        <f t="shared" si="323"/>
        <v/>
      </c>
      <c r="Z48" s="10" t="str">
        <f t="shared" si="323"/>
        <v/>
      </c>
      <c r="AA48" s="10" t="str">
        <f t="shared" si="323"/>
        <v/>
      </c>
      <c r="AB48" s="10"/>
      <c r="AC48" s="10"/>
      <c r="AD48" s="39" t="str">
        <f t="shared" ref="AD48:AH48" si="324">W48</f>
        <v/>
      </c>
      <c r="AE48" s="10" t="str">
        <f t="shared" si="324"/>
        <v/>
      </c>
      <c r="AF48" s="10" t="str">
        <f t="shared" si="324"/>
        <v/>
      </c>
      <c r="AG48" s="10" t="str">
        <f t="shared" si="324"/>
        <v/>
      </c>
      <c r="AH48" s="10" t="str">
        <f t="shared" si="324"/>
        <v/>
      </c>
      <c r="AI48" s="10"/>
      <c r="AJ48" s="10"/>
      <c r="AK48" s="39" t="str">
        <f t="shared" ref="AK48:AO48" si="325">AD48</f>
        <v/>
      </c>
      <c r="AL48" s="10" t="str">
        <f t="shared" si="325"/>
        <v/>
      </c>
      <c r="AM48" s="10" t="str">
        <f t="shared" si="325"/>
        <v/>
      </c>
      <c r="AN48" s="10" t="str">
        <f t="shared" si="325"/>
        <v/>
      </c>
      <c r="AO48" s="10" t="str">
        <f t="shared" si="325"/>
        <v/>
      </c>
      <c r="AP48" s="10"/>
      <c r="AQ48" s="10"/>
      <c r="AR48" s="39" t="str">
        <f t="shared" ref="AR48:AV48" si="326">AK48</f>
        <v/>
      </c>
      <c r="AS48" s="10" t="str">
        <f t="shared" si="326"/>
        <v/>
      </c>
      <c r="AT48" s="10" t="str">
        <f t="shared" si="326"/>
        <v/>
      </c>
      <c r="AU48" s="10" t="str">
        <f t="shared" si="326"/>
        <v/>
      </c>
      <c r="AV48" s="10" t="str">
        <f t="shared" si="326"/>
        <v/>
      </c>
      <c r="AW48" s="10"/>
      <c r="AX48" s="10"/>
      <c r="AY48" s="39" t="str">
        <f t="shared" ref="AY48:BC48" si="327">AR48</f>
        <v/>
      </c>
      <c r="AZ48" s="10" t="str">
        <f t="shared" si="327"/>
        <v/>
      </c>
      <c r="BA48" s="10" t="str">
        <f t="shared" si="327"/>
        <v/>
      </c>
      <c r="BB48" s="10" t="str">
        <f t="shared" si="327"/>
        <v/>
      </c>
      <c r="BC48" s="10" t="str">
        <f t="shared" si="327"/>
        <v/>
      </c>
      <c r="BD48" s="10"/>
      <c r="BE48" s="10"/>
      <c r="BF48" s="39" t="str">
        <f t="shared" ref="BF48:BJ48" si="328">AY48</f>
        <v/>
      </c>
      <c r="BG48" s="10" t="str">
        <f t="shared" si="328"/>
        <v/>
      </c>
      <c r="BH48" s="10" t="str">
        <f t="shared" si="328"/>
        <v/>
      </c>
      <c r="BI48" s="10" t="str">
        <f t="shared" si="328"/>
        <v/>
      </c>
      <c r="BJ48" s="10" t="str">
        <f t="shared" si="328"/>
        <v/>
      </c>
      <c r="BK48" s="10"/>
      <c r="BL48" s="10"/>
      <c r="BM48" s="39" t="str">
        <f t="shared" ref="BM48:BQ48" si="329">BF48</f>
        <v/>
      </c>
      <c r="BN48" s="10" t="str">
        <f t="shared" si="329"/>
        <v/>
      </c>
      <c r="BO48" s="10" t="str">
        <f t="shared" si="329"/>
        <v/>
      </c>
      <c r="BP48" s="10" t="str">
        <f t="shared" si="329"/>
        <v/>
      </c>
      <c r="BQ48" s="10" t="str">
        <f t="shared" si="329"/>
        <v/>
      </c>
      <c r="BR48" s="10"/>
      <c r="BS48" s="10"/>
      <c r="BT48" s="39" t="str">
        <f t="shared" ref="BT48:BX48" si="330">BM48</f>
        <v/>
      </c>
      <c r="BU48" s="10" t="str">
        <f t="shared" si="330"/>
        <v/>
      </c>
      <c r="BV48" s="10" t="str">
        <f t="shared" si="330"/>
        <v/>
      </c>
      <c r="BW48" s="10" t="str">
        <f t="shared" si="330"/>
        <v/>
      </c>
      <c r="BX48" s="10" t="str">
        <f t="shared" si="330"/>
        <v/>
      </c>
      <c r="BY48" s="10"/>
      <c r="BZ48" s="10"/>
      <c r="CA48" s="39" t="str">
        <f t="shared" ref="CA48:CE48" si="331">BT48</f>
        <v/>
      </c>
      <c r="CB48" s="10" t="str">
        <f t="shared" si="331"/>
        <v/>
      </c>
      <c r="CC48" s="10" t="str">
        <f t="shared" si="331"/>
        <v/>
      </c>
      <c r="CD48" s="10" t="str">
        <f t="shared" si="331"/>
        <v/>
      </c>
      <c r="CE48" s="10" t="str">
        <f t="shared" si="331"/>
        <v/>
      </c>
      <c r="CF48" s="10"/>
      <c r="CG48" s="10"/>
      <c r="CH48" s="39" t="str">
        <f t="shared" ref="CH48:CL48" si="332">CA48</f>
        <v/>
      </c>
      <c r="CI48" s="10" t="str">
        <f t="shared" si="332"/>
        <v/>
      </c>
      <c r="CJ48" s="10" t="str">
        <f t="shared" si="332"/>
        <v/>
      </c>
      <c r="CK48" s="10" t="str">
        <f t="shared" si="332"/>
        <v/>
      </c>
      <c r="CL48" s="10" t="str">
        <f t="shared" si="332"/>
        <v/>
      </c>
      <c r="CM48" s="10"/>
      <c r="CN48" s="10"/>
      <c r="CO48" s="39" t="str">
        <f t="shared" ref="CO48:CS48" si="333">CH48</f>
        <v/>
      </c>
      <c r="CP48" s="10" t="str">
        <f t="shared" si="333"/>
        <v/>
      </c>
      <c r="CQ48" s="10" t="str">
        <f t="shared" si="333"/>
        <v/>
      </c>
      <c r="CR48" s="10" t="str">
        <f t="shared" si="333"/>
        <v/>
      </c>
      <c r="CS48" s="10" t="str">
        <f t="shared" si="333"/>
        <v/>
      </c>
      <c r="CT48" s="10"/>
      <c r="CU48" s="10"/>
      <c r="CV48" s="39" t="str">
        <f t="shared" ref="CV48:CZ48" si="334">CO48</f>
        <v/>
      </c>
      <c r="CW48" s="10" t="str">
        <f t="shared" si="334"/>
        <v/>
      </c>
      <c r="CX48" s="10" t="str">
        <f t="shared" si="334"/>
        <v/>
      </c>
      <c r="CY48" s="10" t="str">
        <f t="shared" si="334"/>
        <v/>
      </c>
      <c r="CZ48" s="10" t="str">
        <f t="shared" si="334"/>
        <v/>
      </c>
      <c r="DA48" s="10"/>
      <c r="DB48" s="10"/>
      <c r="DC48" s="39" t="str">
        <f t="shared" ref="DC48:DG48" si="335">CV48</f>
        <v/>
      </c>
      <c r="DD48" s="10" t="str">
        <f t="shared" si="335"/>
        <v/>
      </c>
      <c r="DE48" s="10" t="str">
        <f t="shared" si="335"/>
        <v/>
      </c>
      <c r="DF48" s="10" t="str">
        <f t="shared" si="335"/>
        <v/>
      </c>
      <c r="DG48" s="10" t="str">
        <f t="shared" si="335"/>
        <v/>
      </c>
      <c r="DH48" s="10"/>
      <c r="DI48" s="10"/>
      <c r="DJ48" s="39" t="str">
        <f t="shared" ref="DJ48:DN48" si="336">DC48</f>
        <v/>
      </c>
      <c r="DK48" s="10" t="str">
        <f t="shared" si="336"/>
        <v/>
      </c>
      <c r="DL48" s="10" t="str">
        <f t="shared" si="336"/>
        <v/>
      </c>
      <c r="DM48" s="10" t="str">
        <f t="shared" si="336"/>
        <v/>
      </c>
      <c r="DN48" s="10" t="str">
        <f t="shared" si="336"/>
        <v/>
      </c>
      <c r="DO48" s="10"/>
      <c r="DP48" s="10"/>
      <c r="DQ48" s="39" t="str">
        <f t="shared" ref="DQ48:DU48" si="337">DJ48</f>
        <v/>
      </c>
      <c r="DR48" s="10" t="str">
        <f t="shared" si="337"/>
        <v/>
      </c>
      <c r="DS48" s="10" t="str">
        <f t="shared" si="337"/>
        <v/>
      </c>
      <c r="DT48" s="10" t="str">
        <f t="shared" si="337"/>
        <v/>
      </c>
      <c r="DU48" s="10" t="str">
        <f t="shared" si="337"/>
        <v/>
      </c>
      <c r="DV48" s="10"/>
      <c r="DW48" s="10"/>
      <c r="DX48" s="39" t="str">
        <f t="shared" ref="DX48:EB48" si="338">DQ48</f>
        <v/>
      </c>
      <c r="DY48" s="10" t="str">
        <f t="shared" si="338"/>
        <v/>
      </c>
      <c r="DZ48" s="10" t="str">
        <f t="shared" si="338"/>
        <v/>
      </c>
      <c r="EA48" s="10" t="str">
        <f t="shared" si="338"/>
        <v/>
      </c>
      <c r="EB48" s="10" t="str">
        <f t="shared" si="338"/>
        <v/>
      </c>
      <c r="EC48" s="10"/>
      <c r="ED48" s="10"/>
      <c r="EE48" s="39" t="str">
        <f t="shared" ref="EE48:EI48" si="339">DX48</f>
        <v/>
      </c>
      <c r="EF48" s="10" t="str">
        <f t="shared" si="339"/>
        <v/>
      </c>
      <c r="EG48" s="10" t="str">
        <f t="shared" si="339"/>
        <v/>
      </c>
      <c r="EH48" s="10" t="str">
        <f t="shared" si="339"/>
        <v/>
      </c>
      <c r="EI48" s="10" t="str">
        <f t="shared" si="339"/>
        <v/>
      </c>
      <c r="EJ48" s="10"/>
      <c r="EK48" s="10"/>
      <c r="EL48" s="39" t="str">
        <f t="shared" ref="EL48:EP48" si="340">EE48</f>
        <v/>
      </c>
      <c r="EM48" s="10" t="str">
        <f t="shared" si="340"/>
        <v/>
      </c>
      <c r="EN48" s="10" t="str">
        <f t="shared" si="340"/>
        <v/>
      </c>
      <c r="EO48" s="10" t="str">
        <f t="shared" si="340"/>
        <v/>
      </c>
      <c r="EP48" s="10" t="str">
        <f t="shared" si="340"/>
        <v/>
      </c>
      <c r="EQ48" s="10"/>
      <c r="ER48" s="10"/>
    </row>
    <row r="49">
      <c r="A49" s="1" t="s">
        <v>77</v>
      </c>
      <c r="B49" s="38"/>
      <c r="C49" s="2"/>
      <c r="D49" s="2"/>
      <c r="E49" s="2"/>
      <c r="F49" s="2"/>
      <c r="G49" s="2"/>
      <c r="H49" s="2"/>
      <c r="I49" s="38"/>
      <c r="J49" s="2"/>
      <c r="K49" s="2"/>
      <c r="L49" s="2"/>
      <c r="M49" s="2"/>
      <c r="N49" s="2"/>
      <c r="O49" s="2"/>
      <c r="P49" s="38"/>
      <c r="Q49" s="2"/>
      <c r="R49" s="2"/>
      <c r="S49" s="2"/>
      <c r="T49" s="2"/>
      <c r="U49" s="2"/>
      <c r="V49" s="2"/>
      <c r="W49" s="38"/>
      <c r="X49" s="2"/>
      <c r="Y49" s="2"/>
      <c r="Z49" s="2"/>
      <c r="AA49" s="2"/>
      <c r="AB49" s="2"/>
      <c r="AC49" s="2"/>
      <c r="AD49" s="38"/>
      <c r="AE49" s="2"/>
      <c r="AF49" s="2"/>
      <c r="AG49" s="2"/>
      <c r="AH49" s="2"/>
      <c r="AI49" s="2"/>
      <c r="AJ49" s="2"/>
      <c r="AK49" s="38"/>
      <c r="AL49" s="2"/>
      <c r="AM49" s="2"/>
      <c r="AN49" s="2"/>
      <c r="AO49" s="2"/>
      <c r="AP49" s="2"/>
      <c r="AQ49" s="2"/>
      <c r="AR49" s="38"/>
      <c r="AS49" s="2"/>
      <c r="AT49" s="2"/>
      <c r="AU49" s="2"/>
      <c r="AV49" s="2"/>
      <c r="AW49" s="2"/>
      <c r="AX49" s="2"/>
      <c r="AY49" s="38"/>
      <c r="AZ49" s="2"/>
      <c r="BA49" s="2"/>
      <c r="BB49" s="2"/>
      <c r="BC49" s="2"/>
      <c r="BD49" s="2"/>
      <c r="BE49" s="2"/>
      <c r="BF49" s="38"/>
      <c r="BG49" s="2"/>
      <c r="BH49" s="2"/>
      <c r="BI49" s="2"/>
      <c r="BJ49" s="2"/>
      <c r="BK49" s="2"/>
      <c r="BL49" s="2"/>
      <c r="BM49" s="38"/>
      <c r="BN49" s="2"/>
      <c r="BO49" s="2"/>
      <c r="BP49" s="2"/>
      <c r="BQ49" s="2"/>
      <c r="BR49" s="2"/>
      <c r="BS49" s="2"/>
      <c r="BT49" s="38"/>
      <c r="BU49" s="2"/>
      <c r="BV49" s="2"/>
      <c r="BW49" s="2"/>
      <c r="BX49" s="2"/>
      <c r="BY49" s="2"/>
      <c r="BZ49" s="2"/>
      <c r="CA49" s="38"/>
      <c r="CB49" s="2"/>
      <c r="CC49" s="2"/>
      <c r="CD49" s="2"/>
      <c r="CE49" s="2"/>
      <c r="CF49" s="2"/>
      <c r="CG49" s="2"/>
      <c r="CH49" s="38"/>
      <c r="CI49" s="2"/>
      <c r="CJ49" s="2"/>
      <c r="CK49" s="2"/>
      <c r="CL49" s="2"/>
      <c r="CM49" s="2"/>
      <c r="CN49" s="2"/>
      <c r="CO49" s="38"/>
      <c r="CP49" s="2"/>
      <c r="CQ49" s="2"/>
      <c r="CR49" s="2"/>
      <c r="CS49" s="2"/>
      <c r="CT49" s="2"/>
      <c r="CU49" s="2"/>
      <c r="CV49" s="38"/>
      <c r="CW49" s="2"/>
      <c r="CX49" s="2"/>
      <c r="CY49" s="2"/>
      <c r="CZ49" s="2"/>
      <c r="DA49" s="2"/>
      <c r="DB49" s="2"/>
      <c r="DC49" s="38"/>
      <c r="DD49" s="2"/>
      <c r="DE49" s="2"/>
      <c r="DF49" s="2"/>
      <c r="DG49" s="2"/>
      <c r="DH49" s="2"/>
      <c r="DI49" s="2"/>
      <c r="DJ49" s="38"/>
      <c r="DK49" s="2"/>
      <c r="DL49" s="2"/>
      <c r="DM49" s="2"/>
      <c r="DN49" s="2"/>
      <c r="DO49" s="2"/>
      <c r="DP49" s="2"/>
      <c r="DQ49" s="38"/>
      <c r="DR49" s="2"/>
      <c r="DS49" s="2"/>
      <c r="DT49" s="2"/>
      <c r="DU49" s="2"/>
      <c r="DV49" s="2"/>
      <c r="DW49" s="2"/>
      <c r="DX49" s="38"/>
      <c r="DY49" s="2"/>
      <c r="DZ49" s="2"/>
      <c r="EA49" s="2"/>
      <c r="EB49" s="2"/>
      <c r="EC49" s="2"/>
      <c r="ED49" s="2"/>
      <c r="EE49" s="38"/>
      <c r="EF49" s="2"/>
      <c r="EG49" s="2"/>
      <c r="EH49" s="2"/>
      <c r="EI49" s="2"/>
      <c r="EJ49" s="2"/>
      <c r="EK49" s="2"/>
      <c r="EL49" s="38"/>
      <c r="EM49" s="2"/>
      <c r="EN49" s="2"/>
      <c r="EO49" s="2"/>
      <c r="EP49" s="2"/>
      <c r="EQ49" s="2"/>
      <c r="ER49" s="2"/>
    </row>
    <row r="50">
      <c r="A50" s="40"/>
      <c r="B50" s="39"/>
      <c r="C50" s="10"/>
      <c r="D50" s="10"/>
      <c r="E50" s="10"/>
      <c r="F50" s="10"/>
      <c r="G50" s="10"/>
      <c r="H50" s="10"/>
      <c r="I50" s="39" t="str">
        <f t="shared" ref="I50:M50" si="341">B50</f>
        <v/>
      </c>
      <c r="J50" s="10" t="str">
        <f t="shared" si="341"/>
        <v/>
      </c>
      <c r="K50" s="10" t="str">
        <f t="shared" si="341"/>
        <v/>
      </c>
      <c r="L50" s="10" t="str">
        <f t="shared" si="341"/>
        <v/>
      </c>
      <c r="M50" s="10" t="str">
        <f t="shared" si="341"/>
        <v/>
      </c>
      <c r="N50" s="10"/>
      <c r="O50" s="10"/>
      <c r="P50" s="39" t="str">
        <f t="shared" ref="P50:T50" si="342">I50</f>
        <v/>
      </c>
      <c r="Q50" s="10" t="str">
        <f t="shared" si="342"/>
        <v/>
      </c>
      <c r="R50" s="10" t="str">
        <f t="shared" si="342"/>
        <v/>
      </c>
      <c r="S50" s="10" t="str">
        <f t="shared" si="342"/>
        <v/>
      </c>
      <c r="T50" s="10" t="str">
        <f t="shared" si="342"/>
        <v/>
      </c>
      <c r="U50" s="10"/>
      <c r="V50" s="10"/>
      <c r="W50" s="39" t="str">
        <f t="shared" ref="W50:AA50" si="343">P50</f>
        <v/>
      </c>
      <c r="X50" s="10" t="str">
        <f t="shared" si="343"/>
        <v/>
      </c>
      <c r="Y50" s="10" t="str">
        <f t="shared" si="343"/>
        <v/>
      </c>
      <c r="Z50" s="10" t="str">
        <f t="shared" si="343"/>
        <v/>
      </c>
      <c r="AA50" s="10" t="str">
        <f t="shared" si="343"/>
        <v/>
      </c>
      <c r="AB50" s="10"/>
      <c r="AC50" s="10"/>
      <c r="AD50" s="39" t="str">
        <f t="shared" ref="AD50:AH50" si="344">W50</f>
        <v/>
      </c>
      <c r="AE50" s="10" t="str">
        <f t="shared" si="344"/>
        <v/>
      </c>
      <c r="AF50" s="10" t="str">
        <f t="shared" si="344"/>
        <v/>
      </c>
      <c r="AG50" s="10" t="str">
        <f t="shared" si="344"/>
        <v/>
      </c>
      <c r="AH50" s="10" t="str">
        <f t="shared" si="344"/>
        <v/>
      </c>
      <c r="AI50" s="10"/>
      <c r="AJ50" s="10"/>
      <c r="AK50" s="39" t="str">
        <f t="shared" ref="AK50:AO50" si="345">AD50</f>
        <v/>
      </c>
      <c r="AL50" s="10" t="str">
        <f t="shared" si="345"/>
        <v/>
      </c>
      <c r="AM50" s="10" t="str">
        <f t="shared" si="345"/>
        <v/>
      </c>
      <c r="AN50" s="10" t="str">
        <f t="shared" si="345"/>
        <v/>
      </c>
      <c r="AO50" s="10" t="str">
        <f t="shared" si="345"/>
        <v/>
      </c>
      <c r="AP50" s="10"/>
      <c r="AQ50" s="10"/>
      <c r="AR50" s="39" t="str">
        <f t="shared" ref="AR50:AV50" si="346">AK50</f>
        <v/>
      </c>
      <c r="AS50" s="10" t="str">
        <f t="shared" si="346"/>
        <v/>
      </c>
      <c r="AT50" s="10" t="str">
        <f t="shared" si="346"/>
        <v/>
      </c>
      <c r="AU50" s="10" t="str">
        <f t="shared" si="346"/>
        <v/>
      </c>
      <c r="AV50" s="10" t="str">
        <f t="shared" si="346"/>
        <v/>
      </c>
      <c r="AW50" s="10"/>
      <c r="AX50" s="10"/>
      <c r="AY50" s="39" t="str">
        <f t="shared" ref="AY50:BC50" si="347">AR50</f>
        <v/>
      </c>
      <c r="AZ50" s="10" t="str">
        <f t="shared" si="347"/>
        <v/>
      </c>
      <c r="BA50" s="10" t="str">
        <f t="shared" si="347"/>
        <v/>
      </c>
      <c r="BB50" s="10" t="str">
        <f t="shared" si="347"/>
        <v/>
      </c>
      <c r="BC50" s="10" t="str">
        <f t="shared" si="347"/>
        <v/>
      </c>
      <c r="BD50" s="10"/>
      <c r="BE50" s="10"/>
      <c r="BF50" s="39" t="str">
        <f t="shared" ref="BF50:BJ50" si="348">AY50</f>
        <v/>
      </c>
      <c r="BG50" s="10" t="str">
        <f t="shared" si="348"/>
        <v/>
      </c>
      <c r="BH50" s="10" t="str">
        <f t="shared" si="348"/>
        <v/>
      </c>
      <c r="BI50" s="10" t="str">
        <f t="shared" si="348"/>
        <v/>
      </c>
      <c r="BJ50" s="10" t="str">
        <f t="shared" si="348"/>
        <v/>
      </c>
      <c r="BK50" s="10"/>
      <c r="BL50" s="10"/>
      <c r="BM50" s="39" t="str">
        <f t="shared" ref="BM50:BQ50" si="349">BF50</f>
        <v/>
      </c>
      <c r="BN50" s="10" t="str">
        <f t="shared" si="349"/>
        <v/>
      </c>
      <c r="BO50" s="10" t="str">
        <f t="shared" si="349"/>
        <v/>
      </c>
      <c r="BP50" s="10" t="str">
        <f t="shared" si="349"/>
        <v/>
      </c>
      <c r="BQ50" s="10" t="str">
        <f t="shared" si="349"/>
        <v/>
      </c>
      <c r="BR50" s="10"/>
      <c r="BS50" s="10"/>
      <c r="BT50" s="39" t="str">
        <f t="shared" ref="BT50:BX50" si="350">BM50</f>
        <v/>
      </c>
      <c r="BU50" s="10" t="str">
        <f t="shared" si="350"/>
        <v/>
      </c>
      <c r="BV50" s="10" t="str">
        <f t="shared" si="350"/>
        <v/>
      </c>
      <c r="BW50" s="10" t="str">
        <f t="shared" si="350"/>
        <v/>
      </c>
      <c r="BX50" s="10" t="str">
        <f t="shared" si="350"/>
        <v/>
      </c>
      <c r="BY50" s="10"/>
      <c r="BZ50" s="10"/>
      <c r="CA50" s="39" t="str">
        <f t="shared" ref="CA50:CE50" si="351">BT50</f>
        <v/>
      </c>
      <c r="CB50" s="10" t="str">
        <f t="shared" si="351"/>
        <v/>
      </c>
      <c r="CC50" s="10" t="str">
        <f t="shared" si="351"/>
        <v/>
      </c>
      <c r="CD50" s="10" t="str">
        <f t="shared" si="351"/>
        <v/>
      </c>
      <c r="CE50" s="10" t="str">
        <f t="shared" si="351"/>
        <v/>
      </c>
      <c r="CF50" s="10"/>
      <c r="CG50" s="10"/>
      <c r="CH50" s="39" t="str">
        <f t="shared" ref="CH50:CL50" si="352">CA50</f>
        <v/>
      </c>
      <c r="CI50" s="10" t="str">
        <f t="shared" si="352"/>
        <v/>
      </c>
      <c r="CJ50" s="10" t="str">
        <f t="shared" si="352"/>
        <v/>
      </c>
      <c r="CK50" s="10" t="str">
        <f t="shared" si="352"/>
        <v/>
      </c>
      <c r="CL50" s="10" t="str">
        <f t="shared" si="352"/>
        <v/>
      </c>
      <c r="CM50" s="10"/>
      <c r="CN50" s="10"/>
      <c r="CO50" s="39" t="str">
        <f t="shared" ref="CO50:CS50" si="353">CH50</f>
        <v/>
      </c>
      <c r="CP50" s="10" t="str">
        <f t="shared" si="353"/>
        <v/>
      </c>
      <c r="CQ50" s="10" t="str">
        <f t="shared" si="353"/>
        <v/>
      </c>
      <c r="CR50" s="10" t="str">
        <f t="shared" si="353"/>
        <v/>
      </c>
      <c r="CS50" s="10" t="str">
        <f t="shared" si="353"/>
        <v/>
      </c>
      <c r="CT50" s="10"/>
      <c r="CU50" s="10"/>
      <c r="CV50" s="39" t="str">
        <f t="shared" ref="CV50:CZ50" si="354">CO50</f>
        <v/>
      </c>
      <c r="CW50" s="10" t="str">
        <f t="shared" si="354"/>
        <v/>
      </c>
      <c r="CX50" s="10" t="str">
        <f t="shared" si="354"/>
        <v/>
      </c>
      <c r="CY50" s="10" t="str">
        <f t="shared" si="354"/>
        <v/>
      </c>
      <c r="CZ50" s="10" t="str">
        <f t="shared" si="354"/>
        <v/>
      </c>
      <c r="DA50" s="10"/>
      <c r="DB50" s="10"/>
      <c r="DC50" s="39" t="str">
        <f t="shared" ref="DC50:DG50" si="355">CV50</f>
        <v/>
      </c>
      <c r="DD50" s="10" t="str">
        <f t="shared" si="355"/>
        <v/>
      </c>
      <c r="DE50" s="10" t="str">
        <f t="shared" si="355"/>
        <v/>
      </c>
      <c r="DF50" s="10" t="str">
        <f t="shared" si="355"/>
        <v/>
      </c>
      <c r="DG50" s="10" t="str">
        <f t="shared" si="355"/>
        <v/>
      </c>
      <c r="DH50" s="10"/>
      <c r="DI50" s="10"/>
      <c r="DJ50" s="39" t="str">
        <f t="shared" ref="DJ50:DN50" si="356">DC50</f>
        <v/>
      </c>
      <c r="DK50" s="10" t="str">
        <f t="shared" si="356"/>
        <v/>
      </c>
      <c r="DL50" s="10" t="str">
        <f t="shared" si="356"/>
        <v/>
      </c>
      <c r="DM50" s="10" t="str">
        <f t="shared" si="356"/>
        <v/>
      </c>
      <c r="DN50" s="10" t="str">
        <f t="shared" si="356"/>
        <v/>
      </c>
      <c r="DO50" s="10"/>
      <c r="DP50" s="10"/>
      <c r="DQ50" s="39" t="str">
        <f t="shared" ref="DQ50:DU50" si="357">DJ50</f>
        <v/>
      </c>
      <c r="DR50" s="10" t="str">
        <f t="shared" si="357"/>
        <v/>
      </c>
      <c r="DS50" s="10" t="str">
        <f t="shared" si="357"/>
        <v/>
      </c>
      <c r="DT50" s="10" t="str">
        <f t="shared" si="357"/>
        <v/>
      </c>
      <c r="DU50" s="10" t="str">
        <f t="shared" si="357"/>
        <v/>
      </c>
      <c r="DV50" s="10"/>
      <c r="DW50" s="10"/>
      <c r="DX50" s="39" t="str">
        <f t="shared" ref="DX50:EB50" si="358">DQ50</f>
        <v/>
      </c>
      <c r="DY50" s="10" t="str">
        <f t="shared" si="358"/>
        <v/>
      </c>
      <c r="DZ50" s="10" t="str">
        <f t="shared" si="358"/>
        <v/>
      </c>
      <c r="EA50" s="10" t="str">
        <f t="shared" si="358"/>
        <v/>
      </c>
      <c r="EB50" s="10" t="str">
        <f t="shared" si="358"/>
        <v/>
      </c>
      <c r="EC50" s="10"/>
      <c r="ED50" s="10"/>
      <c r="EE50" s="39" t="str">
        <f t="shared" ref="EE50:EI50" si="359">DX50</f>
        <v/>
      </c>
      <c r="EF50" s="10" t="str">
        <f t="shared" si="359"/>
        <v/>
      </c>
      <c r="EG50" s="10" t="str">
        <f t="shared" si="359"/>
        <v/>
      </c>
      <c r="EH50" s="10" t="str">
        <f t="shared" si="359"/>
        <v/>
      </c>
      <c r="EI50" s="10" t="str">
        <f t="shared" si="359"/>
        <v/>
      </c>
      <c r="EJ50" s="10"/>
      <c r="EK50" s="10"/>
      <c r="EL50" s="39" t="str">
        <f t="shared" ref="EL50:EP50" si="360">EE50</f>
        <v/>
      </c>
      <c r="EM50" s="10" t="str">
        <f t="shared" si="360"/>
        <v/>
      </c>
      <c r="EN50" s="10" t="str">
        <f t="shared" si="360"/>
        <v/>
      </c>
      <c r="EO50" s="10" t="str">
        <f t="shared" si="360"/>
        <v/>
      </c>
      <c r="EP50" s="10" t="str">
        <f t="shared" si="360"/>
        <v/>
      </c>
      <c r="EQ50" s="10"/>
      <c r="ER50" s="10"/>
    </row>
    <row r="51">
      <c r="A51" s="40"/>
      <c r="B51" s="39"/>
      <c r="C51" s="10"/>
      <c r="D51" s="10"/>
      <c r="E51" s="10"/>
      <c r="F51" s="10"/>
      <c r="G51" s="10"/>
      <c r="H51" s="10"/>
      <c r="I51" s="39" t="str">
        <f t="shared" ref="I51:M51" si="361">B51</f>
        <v/>
      </c>
      <c r="J51" s="10" t="str">
        <f t="shared" si="361"/>
        <v/>
      </c>
      <c r="K51" s="10" t="str">
        <f t="shared" si="361"/>
        <v/>
      </c>
      <c r="L51" s="10" t="str">
        <f t="shared" si="361"/>
        <v/>
      </c>
      <c r="M51" s="10" t="str">
        <f t="shared" si="361"/>
        <v/>
      </c>
      <c r="N51" s="10"/>
      <c r="O51" s="10"/>
      <c r="P51" s="39" t="str">
        <f t="shared" ref="P51:T51" si="362">I51</f>
        <v/>
      </c>
      <c r="Q51" s="10" t="str">
        <f t="shared" si="362"/>
        <v/>
      </c>
      <c r="R51" s="10" t="str">
        <f t="shared" si="362"/>
        <v/>
      </c>
      <c r="S51" s="10" t="str">
        <f t="shared" si="362"/>
        <v/>
      </c>
      <c r="T51" s="10" t="str">
        <f t="shared" si="362"/>
        <v/>
      </c>
      <c r="U51" s="10"/>
      <c r="V51" s="10"/>
      <c r="W51" s="39" t="str">
        <f t="shared" ref="W51:AA51" si="363">P51</f>
        <v/>
      </c>
      <c r="X51" s="10" t="str">
        <f t="shared" si="363"/>
        <v/>
      </c>
      <c r="Y51" s="10" t="str">
        <f t="shared" si="363"/>
        <v/>
      </c>
      <c r="Z51" s="10" t="str">
        <f t="shared" si="363"/>
        <v/>
      </c>
      <c r="AA51" s="10" t="str">
        <f t="shared" si="363"/>
        <v/>
      </c>
      <c r="AB51" s="10"/>
      <c r="AC51" s="10"/>
      <c r="AD51" s="39" t="str">
        <f t="shared" ref="AD51:AH51" si="364">W51</f>
        <v/>
      </c>
      <c r="AE51" s="10" t="str">
        <f t="shared" si="364"/>
        <v/>
      </c>
      <c r="AF51" s="10" t="str">
        <f t="shared" si="364"/>
        <v/>
      </c>
      <c r="AG51" s="10" t="str">
        <f t="shared" si="364"/>
        <v/>
      </c>
      <c r="AH51" s="10" t="str">
        <f t="shared" si="364"/>
        <v/>
      </c>
      <c r="AI51" s="10"/>
      <c r="AJ51" s="10"/>
      <c r="AK51" s="39" t="str">
        <f t="shared" ref="AK51:AO51" si="365">AD51</f>
        <v/>
      </c>
      <c r="AL51" s="10" t="str">
        <f t="shared" si="365"/>
        <v/>
      </c>
      <c r="AM51" s="10" t="str">
        <f t="shared" si="365"/>
        <v/>
      </c>
      <c r="AN51" s="10" t="str">
        <f t="shared" si="365"/>
        <v/>
      </c>
      <c r="AO51" s="10" t="str">
        <f t="shared" si="365"/>
        <v/>
      </c>
      <c r="AP51" s="10"/>
      <c r="AQ51" s="10"/>
      <c r="AR51" s="39" t="str">
        <f t="shared" ref="AR51:AV51" si="366">AK51</f>
        <v/>
      </c>
      <c r="AS51" s="10" t="str">
        <f t="shared" si="366"/>
        <v/>
      </c>
      <c r="AT51" s="10" t="str">
        <f t="shared" si="366"/>
        <v/>
      </c>
      <c r="AU51" s="10" t="str">
        <f t="shared" si="366"/>
        <v/>
      </c>
      <c r="AV51" s="10" t="str">
        <f t="shared" si="366"/>
        <v/>
      </c>
      <c r="AW51" s="10"/>
      <c r="AX51" s="10"/>
      <c r="AY51" s="39" t="str">
        <f t="shared" ref="AY51:BC51" si="367">AR51</f>
        <v/>
      </c>
      <c r="AZ51" s="10" t="str">
        <f t="shared" si="367"/>
        <v/>
      </c>
      <c r="BA51" s="10" t="str">
        <f t="shared" si="367"/>
        <v/>
      </c>
      <c r="BB51" s="10" t="str">
        <f t="shared" si="367"/>
        <v/>
      </c>
      <c r="BC51" s="10" t="str">
        <f t="shared" si="367"/>
        <v/>
      </c>
      <c r="BD51" s="10"/>
      <c r="BE51" s="10"/>
      <c r="BF51" s="39" t="str">
        <f t="shared" ref="BF51:BJ51" si="368">AY51</f>
        <v/>
      </c>
      <c r="BG51" s="10" t="str">
        <f t="shared" si="368"/>
        <v/>
      </c>
      <c r="BH51" s="10" t="str">
        <f t="shared" si="368"/>
        <v/>
      </c>
      <c r="BI51" s="10" t="str">
        <f t="shared" si="368"/>
        <v/>
      </c>
      <c r="BJ51" s="10" t="str">
        <f t="shared" si="368"/>
        <v/>
      </c>
      <c r="BK51" s="10"/>
      <c r="BL51" s="10"/>
      <c r="BM51" s="39" t="str">
        <f t="shared" ref="BM51:BQ51" si="369">BF51</f>
        <v/>
      </c>
      <c r="BN51" s="10" t="str">
        <f t="shared" si="369"/>
        <v/>
      </c>
      <c r="BO51" s="10" t="str">
        <f t="shared" si="369"/>
        <v/>
      </c>
      <c r="BP51" s="10" t="str">
        <f t="shared" si="369"/>
        <v/>
      </c>
      <c r="BQ51" s="10" t="str">
        <f t="shared" si="369"/>
        <v/>
      </c>
      <c r="BR51" s="10"/>
      <c r="BS51" s="10"/>
      <c r="BT51" s="39" t="str">
        <f t="shared" ref="BT51:BX51" si="370">BM51</f>
        <v/>
      </c>
      <c r="BU51" s="10" t="str">
        <f t="shared" si="370"/>
        <v/>
      </c>
      <c r="BV51" s="10" t="str">
        <f t="shared" si="370"/>
        <v/>
      </c>
      <c r="BW51" s="10" t="str">
        <f t="shared" si="370"/>
        <v/>
      </c>
      <c r="BX51" s="10" t="str">
        <f t="shared" si="370"/>
        <v/>
      </c>
      <c r="BY51" s="10"/>
      <c r="BZ51" s="10"/>
      <c r="CA51" s="39" t="str">
        <f t="shared" ref="CA51:CE51" si="371">BT51</f>
        <v/>
      </c>
      <c r="CB51" s="10" t="str">
        <f t="shared" si="371"/>
        <v/>
      </c>
      <c r="CC51" s="10" t="str">
        <f t="shared" si="371"/>
        <v/>
      </c>
      <c r="CD51" s="10" t="str">
        <f t="shared" si="371"/>
        <v/>
      </c>
      <c r="CE51" s="10" t="str">
        <f t="shared" si="371"/>
        <v/>
      </c>
      <c r="CF51" s="10"/>
      <c r="CG51" s="10"/>
      <c r="CH51" s="39" t="str">
        <f t="shared" ref="CH51:CL51" si="372">CA51</f>
        <v/>
      </c>
      <c r="CI51" s="10" t="str">
        <f t="shared" si="372"/>
        <v/>
      </c>
      <c r="CJ51" s="10" t="str">
        <f t="shared" si="372"/>
        <v/>
      </c>
      <c r="CK51" s="10" t="str">
        <f t="shared" si="372"/>
        <v/>
      </c>
      <c r="CL51" s="10" t="str">
        <f t="shared" si="372"/>
        <v/>
      </c>
      <c r="CM51" s="10"/>
      <c r="CN51" s="10"/>
      <c r="CO51" s="39" t="str">
        <f t="shared" ref="CO51:CS51" si="373">CH51</f>
        <v/>
      </c>
      <c r="CP51" s="10" t="str">
        <f t="shared" si="373"/>
        <v/>
      </c>
      <c r="CQ51" s="10" t="str">
        <f t="shared" si="373"/>
        <v/>
      </c>
      <c r="CR51" s="10" t="str">
        <f t="shared" si="373"/>
        <v/>
      </c>
      <c r="CS51" s="10" t="str">
        <f t="shared" si="373"/>
        <v/>
      </c>
      <c r="CT51" s="10"/>
      <c r="CU51" s="10"/>
      <c r="CV51" s="39" t="str">
        <f t="shared" ref="CV51:CZ51" si="374">CO51</f>
        <v/>
      </c>
      <c r="CW51" s="10" t="str">
        <f t="shared" si="374"/>
        <v/>
      </c>
      <c r="CX51" s="10" t="str">
        <f t="shared" si="374"/>
        <v/>
      </c>
      <c r="CY51" s="10" t="str">
        <f t="shared" si="374"/>
        <v/>
      </c>
      <c r="CZ51" s="10" t="str">
        <f t="shared" si="374"/>
        <v/>
      </c>
      <c r="DA51" s="10"/>
      <c r="DB51" s="10"/>
      <c r="DC51" s="39" t="str">
        <f t="shared" ref="DC51:DG51" si="375">CV51</f>
        <v/>
      </c>
      <c r="DD51" s="10" t="str">
        <f t="shared" si="375"/>
        <v/>
      </c>
      <c r="DE51" s="10" t="str">
        <f t="shared" si="375"/>
        <v/>
      </c>
      <c r="DF51" s="10" t="str">
        <f t="shared" si="375"/>
        <v/>
      </c>
      <c r="DG51" s="10" t="str">
        <f t="shared" si="375"/>
        <v/>
      </c>
      <c r="DH51" s="10"/>
      <c r="DI51" s="10"/>
      <c r="DJ51" s="39" t="str">
        <f t="shared" ref="DJ51:DN51" si="376">DC51</f>
        <v/>
      </c>
      <c r="DK51" s="10" t="str">
        <f t="shared" si="376"/>
        <v/>
      </c>
      <c r="DL51" s="10" t="str">
        <f t="shared" si="376"/>
        <v/>
      </c>
      <c r="DM51" s="10" t="str">
        <f t="shared" si="376"/>
        <v/>
      </c>
      <c r="DN51" s="10" t="str">
        <f t="shared" si="376"/>
        <v/>
      </c>
      <c r="DO51" s="10"/>
      <c r="DP51" s="10"/>
      <c r="DQ51" s="39" t="str">
        <f t="shared" ref="DQ51:DU51" si="377">DJ51</f>
        <v/>
      </c>
      <c r="DR51" s="10" t="str">
        <f t="shared" si="377"/>
        <v/>
      </c>
      <c r="DS51" s="10" t="str">
        <f t="shared" si="377"/>
        <v/>
      </c>
      <c r="DT51" s="10" t="str">
        <f t="shared" si="377"/>
        <v/>
      </c>
      <c r="DU51" s="10" t="str">
        <f t="shared" si="377"/>
        <v/>
      </c>
      <c r="DV51" s="10"/>
      <c r="DW51" s="10"/>
      <c r="DX51" s="39" t="str">
        <f t="shared" ref="DX51:EB51" si="378">DQ51</f>
        <v/>
      </c>
      <c r="DY51" s="10" t="str">
        <f t="shared" si="378"/>
        <v/>
      </c>
      <c r="DZ51" s="10" t="str">
        <f t="shared" si="378"/>
        <v/>
      </c>
      <c r="EA51" s="10" t="str">
        <f t="shared" si="378"/>
        <v/>
      </c>
      <c r="EB51" s="10" t="str">
        <f t="shared" si="378"/>
        <v/>
      </c>
      <c r="EC51" s="10"/>
      <c r="ED51" s="10"/>
      <c r="EE51" s="39" t="str">
        <f t="shared" ref="EE51:EI51" si="379">DX51</f>
        <v/>
      </c>
      <c r="EF51" s="10" t="str">
        <f t="shared" si="379"/>
        <v/>
      </c>
      <c r="EG51" s="10" t="str">
        <f t="shared" si="379"/>
        <v/>
      </c>
      <c r="EH51" s="10" t="str">
        <f t="shared" si="379"/>
        <v/>
      </c>
      <c r="EI51" s="10" t="str">
        <f t="shared" si="379"/>
        <v/>
      </c>
      <c r="EJ51" s="10"/>
      <c r="EK51" s="10"/>
      <c r="EL51" s="39" t="str">
        <f t="shared" ref="EL51:EP51" si="380">EE51</f>
        <v/>
      </c>
      <c r="EM51" s="10" t="str">
        <f t="shared" si="380"/>
        <v/>
      </c>
      <c r="EN51" s="10" t="str">
        <f t="shared" si="380"/>
        <v/>
      </c>
      <c r="EO51" s="10" t="str">
        <f t="shared" si="380"/>
        <v/>
      </c>
      <c r="EP51" s="10" t="str">
        <f t="shared" si="380"/>
        <v/>
      </c>
      <c r="EQ51" s="10"/>
      <c r="ER51" s="10"/>
    </row>
    <row r="52">
      <c r="A52" s="41"/>
      <c r="B52" s="42"/>
      <c r="C52" s="43"/>
      <c r="D52" s="43"/>
      <c r="E52" s="43"/>
      <c r="F52" s="43"/>
      <c r="G52" s="43"/>
      <c r="H52" s="43"/>
      <c r="I52" s="42" t="str">
        <f t="shared" ref="I52:M52" si="381">B52</f>
        <v/>
      </c>
      <c r="J52" s="43" t="str">
        <f t="shared" si="381"/>
        <v/>
      </c>
      <c r="K52" s="43" t="str">
        <f t="shared" si="381"/>
        <v/>
      </c>
      <c r="L52" s="43" t="str">
        <f t="shared" si="381"/>
        <v/>
      </c>
      <c r="M52" s="43" t="str">
        <f t="shared" si="381"/>
        <v/>
      </c>
      <c r="N52" s="43"/>
      <c r="O52" s="43"/>
      <c r="P52" s="42" t="str">
        <f t="shared" ref="P52:T52" si="382">I52</f>
        <v/>
      </c>
      <c r="Q52" s="43" t="str">
        <f t="shared" si="382"/>
        <v/>
      </c>
      <c r="R52" s="43" t="str">
        <f t="shared" si="382"/>
        <v/>
      </c>
      <c r="S52" s="43" t="str">
        <f t="shared" si="382"/>
        <v/>
      </c>
      <c r="T52" s="43" t="str">
        <f t="shared" si="382"/>
        <v/>
      </c>
      <c r="U52" s="43"/>
      <c r="V52" s="43"/>
      <c r="W52" s="42" t="str">
        <f t="shared" ref="W52:AA52" si="383">P52</f>
        <v/>
      </c>
      <c r="X52" s="43" t="str">
        <f t="shared" si="383"/>
        <v/>
      </c>
      <c r="Y52" s="43" t="str">
        <f t="shared" si="383"/>
        <v/>
      </c>
      <c r="Z52" s="43" t="str">
        <f t="shared" si="383"/>
        <v/>
      </c>
      <c r="AA52" s="43" t="str">
        <f t="shared" si="383"/>
        <v/>
      </c>
      <c r="AB52" s="43"/>
      <c r="AC52" s="43"/>
      <c r="AD52" s="42" t="str">
        <f t="shared" ref="AD52:AH52" si="384">W52</f>
        <v/>
      </c>
      <c r="AE52" s="43" t="str">
        <f t="shared" si="384"/>
        <v/>
      </c>
      <c r="AF52" s="43" t="str">
        <f t="shared" si="384"/>
        <v/>
      </c>
      <c r="AG52" s="43" t="str">
        <f t="shared" si="384"/>
        <v/>
      </c>
      <c r="AH52" s="43" t="str">
        <f t="shared" si="384"/>
        <v/>
      </c>
      <c r="AI52" s="43"/>
      <c r="AJ52" s="43"/>
      <c r="AK52" s="42" t="str">
        <f t="shared" ref="AK52:AO52" si="385">AD52</f>
        <v/>
      </c>
      <c r="AL52" s="43" t="str">
        <f t="shared" si="385"/>
        <v/>
      </c>
      <c r="AM52" s="43" t="str">
        <f t="shared" si="385"/>
        <v/>
      </c>
      <c r="AN52" s="43" t="str">
        <f t="shared" si="385"/>
        <v/>
      </c>
      <c r="AO52" s="43" t="str">
        <f t="shared" si="385"/>
        <v/>
      </c>
      <c r="AP52" s="43"/>
      <c r="AQ52" s="43"/>
      <c r="AR52" s="42" t="str">
        <f t="shared" ref="AR52:AV52" si="386">AK52</f>
        <v/>
      </c>
      <c r="AS52" s="43" t="str">
        <f t="shared" si="386"/>
        <v/>
      </c>
      <c r="AT52" s="43" t="str">
        <f t="shared" si="386"/>
        <v/>
      </c>
      <c r="AU52" s="43" t="str">
        <f t="shared" si="386"/>
        <v/>
      </c>
      <c r="AV52" s="43" t="str">
        <f t="shared" si="386"/>
        <v/>
      </c>
      <c r="AW52" s="43"/>
      <c r="AX52" s="43"/>
      <c r="AY52" s="42" t="str">
        <f t="shared" ref="AY52:BC52" si="387">AR52</f>
        <v/>
      </c>
      <c r="AZ52" s="43" t="str">
        <f t="shared" si="387"/>
        <v/>
      </c>
      <c r="BA52" s="43" t="str">
        <f t="shared" si="387"/>
        <v/>
      </c>
      <c r="BB52" s="43" t="str">
        <f t="shared" si="387"/>
        <v/>
      </c>
      <c r="BC52" s="43" t="str">
        <f t="shared" si="387"/>
        <v/>
      </c>
      <c r="BD52" s="43"/>
      <c r="BE52" s="43"/>
      <c r="BF52" s="42" t="str">
        <f t="shared" ref="BF52:BJ52" si="388">AY52</f>
        <v/>
      </c>
      <c r="BG52" s="43" t="str">
        <f t="shared" si="388"/>
        <v/>
      </c>
      <c r="BH52" s="43" t="str">
        <f t="shared" si="388"/>
        <v/>
      </c>
      <c r="BI52" s="43" t="str">
        <f t="shared" si="388"/>
        <v/>
      </c>
      <c r="BJ52" s="43" t="str">
        <f t="shared" si="388"/>
        <v/>
      </c>
      <c r="BK52" s="43"/>
      <c r="BL52" s="43"/>
      <c r="BM52" s="42" t="str">
        <f t="shared" ref="BM52:BQ52" si="389">BF52</f>
        <v/>
      </c>
      <c r="BN52" s="43" t="str">
        <f t="shared" si="389"/>
        <v/>
      </c>
      <c r="BO52" s="43" t="str">
        <f t="shared" si="389"/>
        <v/>
      </c>
      <c r="BP52" s="43" t="str">
        <f t="shared" si="389"/>
        <v/>
      </c>
      <c r="BQ52" s="43" t="str">
        <f t="shared" si="389"/>
        <v/>
      </c>
      <c r="BR52" s="43"/>
      <c r="BS52" s="43"/>
      <c r="BT52" s="42" t="str">
        <f t="shared" ref="BT52:BX52" si="390">BM52</f>
        <v/>
      </c>
      <c r="BU52" s="43" t="str">
        <f t="shared" si="390"/>
        <v/>
      </c>
      <c r="BV52" s="43" t="str">
        <f t="shared" si="390"/>
        <v/>
      </c>
      <c r="BW52" s="43" t="str">
        <f t="shared" si="390"/>
        <v/>
      </c>
      <c r="BX52" s="43" t="str">
        <f t="shared" si="390"/>
        <v/>
      </c>
      <c r="BY52" s="43"/>
      <c r="BZ52" s="43"/>
      <c r="CA52" s="42" t="str">
        <f t="shared" ref="CA52:CE52" si="391">BT52</f>
        <v/>
      </c>
      <c r="CB52" s="43" t="str">
        <f t="shared" si="391"/>
        <v/>
      </c>
      <c r="CC52" s="43" t="str">
        <f t="shared" si="391"/>
        <v/>
      </c>
      <c r="CD52" s="43" t="str">
        <f t="shared" si="391"/>
        <v/>
      </c>
      <c r="CE52" s="43" t="str">
        <f t="shared" si="391"/>
        <v/>
      </c>
      <c r="CF52" s="43"/>
      <c r="CG52" s="43"/>
      <c r="CH52" s="42" t="str">
        <f t="shared" ref="CH52:CL52" si="392">CA52</f>
        <v/>
      </c>
      <c r="CI52" s="43" t="str">
        <f t="shared" si="392"/>
        <v/>
      </c>
      <c r="CJ52" s="43" t="str">
        <f t="shared" si="392"/>
        <v/>
      </c>
      <c r="CK52" s="43" t="str">
        <f t="shared" si="392"/>
        <v/>
      </c>
      <c r="CL52" s="43" t="str">
        <f t="shared" si="392"/>
        <v/>
      </c>
      <c r="CM52" s="43"/>
      <c r="CN52" s="43"/>
      <c r="CO52" s="42" t="str">
        <f t="shared" ref="CO52:CS52" si="393">CH52</f>
        <v/>
      </c>
      <c r="CP52" s="43" t="str">
        <f t="shared" si="393"/>
        <v/>
      </c>
      <c r="CQ52" s="43" t="str">
        <f t="shared" si="393"/>
        <v/>
      </c>
      <c r="CR52" s="43" t="str">
        <f t="shared" si="393"/>
        <v/>
      </c>
      <c r="CS52" s="43" t="str">
        <f t="shared" si="393"/>
        <v/>
      </c>
      <c r="CT52" s="43"/>
      <c r="CU52" s="43"/>
      <c r="CV52" s="42" t="str">
        <f t="shared" ref="CV52:CZ52" si="394">CO52</f>
        <v/>
      </c>
      <c r="CW52" s="43" t="str">
        <f t="shared" si="394"/>
        <v/>
      </c>
      <c r="CX52" s="43" t="str">
        <f t="shared" si="394"/>
        <v/>
      </c>
      <c r="CY52" s="43" t="str">
        <f t="shared" si="394"/>
        <v/>
      </c>
      <c r="CZ52" s="43" t="str">
        <f t="shared" si="394"/>
        <v/>
      </c>
      <c r="DA52" s="43"/>
      <c r="DB52" s="43"/>
      <c r="DC52" s="42" t="str">
        <f t="shared" ref="DC52:DG52" si="395">CV52</f>
        <v/>
      </c>
      <c r="DD52" s="43" t="str">
        <f t="shared" si="395"/>
        <v/>
      </c>
      <c r="DE52" s="43" t="str">
        <f t="shared" si="395"/>
        <v/>
      </c>
      <c r="DF52" s="43" t="str">
        <f t="shared" si="395"/>
        <v/>
      </c>
      <c r="DG52" s="43" t="str">
        <f t="shared" si="395"/>
        <v/>
      </c>
      <c r="DH52" s="43"/>
      <c r="DI52" s="43"/>
      <c r="DJ52" s="42" t="str">
        <f t="shared" ref="DJ52:DN52" si="396">DC52</f>
        <v/>
      </c>
      <c r="DK52" s="43" t="str">
        <f t="shared" si="396"/>
        <v/>
      </c>
      <c r="DL52" s="43" t="str">
        <f t="shared" si="396"/>
        <v/>
      </c>
      <c r="DM52" s="43" t="str">
        <f t="shared" si="396"/>
        <v/>
      </c>
      <c r="DN52" s="43" t="str">
        <f t="shared" si="396"/>
        <v/>
      </c>
      <c r="DO52" s="43"/>
      <c r="DP52" s="43"/>
      <c r="DQ52" s="42" t="str">
        <f t="shared" ref="DQ52:DU52" si="397">DJ52</f>
        <v/>
      </c>
      <c r="DR52" s="43" t="str">
        <f t="shared" si="397"/>
        <v/>
      </c>
      <c r="DS52" s="43" t="str">
        <f t="shared" si="397"/>
        <v/>
      </c>
      <c r="DT52" s="43" t="str">
        <f t="shared" si="397"/>
        <v/>
      </c>
      <c r="DU52" s="43" t="str">
        <f t="shared" si="397"/>
        <v/>
      </c>
      <c r="DV52" s="43"/>
      <c r="DW52" s="43"/>
      <c r="DX52" s="42" t="str">
        <f t="shared" ref="DX52:EB52" si="398">DQ52</f>
        <v/>
      </c>
      <c r="DY52" s="43" t="str">
        <f t="shared" si="398"/>
        <v/>
      </c>
      <c r="DZ52" s="43" t="str">
        <f t="shared" si="398"/>
        <v/>
      </c>
      <c r="EA52" s="43" t="str">
        <f t="shared" si="398"/>
        <v/>
      </c>
      <c r="EB52" s="43" t="str">
        <f t="shared" si="398"/>
        <v/>
      </c>
      <c r="EC52" s="43"/>
      <c r="ED52" s="43"/>
      <c r="EE52" s="42" t="str">
        <f t="shared" ref="EE52:EI52" si="399">DX52</f>
        <v/>
      </c>
      <c r="EF52" s="43" t="str">
        <f t="shared" si="399"/>
        <v/>
      </c>
      <c r="EG52" s="43" t="str">
        <f t="shared" si="399"/>
        <v/>
      </c>
      <c r="EH52" s="43" t="str">
        <f t="shared" si="399"/>
        <v/>
      </c>
      <c r="EI52" s="43" t="str">
        <f t="shared" si="399"/>
        <v/>
      </c>
      <c r="EJ52" s="43"/>
      <c r="EK52" s="43"/>
      <c r="EL52" s="42" t="str">
        <f t="shared" ref="EL52:EP52" si="400">EE52</f>
        <v/>
      </c>
      <c r="EM52" s="43" t="str">
        <f t="shared" si="400"/>
        <v/>
      </c>
      <c r="EN52" s="43" t="str">
        <f t="shared" si="400"/>
        <v/>
      </c>
      <c r="EO52" s="43" t="str">
        <f t="shared" si="400"/>
        <v/>
      </c>
      <c r="EP52" s="43" t="str">
        <f t="shared" si="400"/>
        <v/>
      </c>
      <c r="EQ52" s="43"/>
      <c r="ER52" s="43"/>
    </row>
    <row r="53">
      <c r="A53" s="2"/>
      <c r="B53" s="38"/>
      <c r="C53" s="2"/>
      <c r="D53" s="2"/>
      <c r="E53" s="2"/>
      <c r="F53" s="2"/>
      <c r="G53" s="2"/>
      <c r="H53" s="2"/>
      <c r="I53" s="38"/>
      <c r="J53" s="2"/>
      <c r="K53" s="2"/>
      <c r="L53" s="2"/>
      <c r="M53" s="2"/>
      <c r="N53" s="2"/>
      <c r="O53" s="2"/>
      <c r="P53" s="38"/>
      <c r="Q53" s="2"/>
      <c r="R53" s="2"/>
      <c r="S53" s="2"/>
      <c r="T53" s="2"/>
      <c r="U53" s="2"/>
      <c r="V53" s="2"/>
      <c r="W53" s="38"/>
      <c r="X53" s="2"/>
      <c r="Y53" s="2"/>
      <c r="Z53" s="2"/>
      <c r="AA53" s="2"/>
      <c r="AB53" s="2"/>
      <c r="AC53" s="2"/>
      <c r="AD53" s="38"/>
      <c r="AE53" s="2"/>
      <c r="AF53" s="2"/>
      <c r="AG53" s="2"/>
      <c r="AH53" s="2"/>
      <c r="AI53" s="2"/>
      <c r="AJ53" s="2"/>
      <c r="AK53" s="38"/>
      <c r="AL53" s="2"/>
      <c r="AM53" s="2"/>
      <c r="AN53" s="2"/>
      <c r="AO53" s="2"/>
      <c r="AP53" s="2"/>
      <c r="AQ53" s="2"/>
      <c r="AR53" s="38"/>
      <c r="AS53" s="2"/>
      <c r="AT53" s="2"/>
      <c r="AU53" s="2"/>
      <c r="AV53" s="2"/>
      <c r="AW53" s="2"/>
      <c r="AX53" s="2"/>
      <c r="AY53" s="38"/>
      <c r="AZ53" s="2"/>
      <c r="BA53" s="2"/>
      <c r="BB53" s="2"/>
      <c r="BC53" s="2"/>
      <c r="BD53" s="2"/>
      <c r="BE53" s="2"/>
      <c r="BF53" s="38"/>
      <c r="BG53" s="2"/>
      <c r="BH53" s="2"/>
      <c r="BI53" s="2"/>
      <c r="BJ53" s="2"/>
      <c r="BK53" s="2"/>
      <c r="BL53" s="2"/>
      <c r="BM53" s="38"/>
      <c r="BN53" s="2"/>
      <c r="BO53" s="2"/>
      <c r="BP53" s="2"/>
      <c r="BQ53" s="2"/>
      <c r="BR53" s="2"/>
      <c r="BS53" s="2"/>
      <c r="BT53" s="38"/>
      <c r="BU53" s="2"/>
      <c r="BV53" s="2"/>
      <c r="BW53" s="2"/>
      <c r="BX53" s="2"/>
      <c r="BY53" s="2"/>
      <c r="BZ53" s="2"/>
      <c r="CA53" s="38"/>
      <c r="CB53" s="2"/>
      <c r="CC53" s="2"/>
      <c r="CD53" s="2"/>
      <c r="CE53" s="2"/>
      <c r="CF53" s="2"/>
      <c r="CG53" s="2"/>
      <c r="CH53" s="38"/>
      <c r="CI53" s="2"/>
      <c r="CJ53" s="2"/>
      <c r="CK53" s="2"/>
      <c r="CL53" s="2"/>
      <c r="CM53" s="2"/>
      <c r="CN53" s="2"/>
      <c r="CO53" s="38"/>
      <c r="CP53" s="2"/>
      <c r="CQ53" s="2"/>
      <c r="CR53" s="2"/>
      <c r="CS53" s="2"/>
      <c r="CT53" s="2"/>
      <c r="CU53" s="2"/>
      <c r="CV53" s="38"/>
      <c r="CW53" s="2"/>
      <c r="CX53" s="2"/>
      <c r="CY53" s="2"/>
      <c r="CZ53" s="2"/>
      <c r="DA53" s="2"/>
      <c r="DB53" s="2"/>
      <c r="DC53" s="38"/>
      <c r="DD53" s="2"/>
      <c r="DE53" s="2"/>
      <c r="DF53" s="2"/>
      <c r="DG53" s="2"/>
      <c r="DH53" s="2"/>
      <c r="DI53" s="2"/>
      <c r="DJ53" s="38"/>
      <c r="DK53" s="2"/>
      <c r="DL53" s="2"/>
      <c r="DM53" s="2"/>
      <c r="DN53" s="2"/>
      <c r="DO53" s="2"/>
      <c r="DP53" s="2"/>
      <c r="DQ53" s="38"/>
      <c r="DR53" s="2"/>
      <c r="DS53" s="2"/>
      <c r="DT53" s="2"/>
      <c r="DU53" s="2"/>
      <c r="DV53" s="2"/>
      <c r="DW53" s="2"/>
      <c r="DX53" s="38"/>
      <c r="DY53" s="2"/>
      <c r="DZ53" s="2"/>
      <c r="EA53" s="2"/>
      <c r="EB53" s="2"/>
      <c r="EC53" s="2"/>
      <c r="ED53" s="2"/>
      <c r="EE53" s="38"/>
      <c r="EF53" s="2"/>
      <c r="EG53" s="2"/>
      <c r="EH53" s="2"/>
      <c r="EI53" s="2"/>
      <c r="EJ53" s="2"/>
      <c r="EK53" s="2"/>
      <c r="EL53" s="38"/>
      <c r="EM53" s="2"/>
      <c r="EN53" s="2"/>
      <c r="EO53" s="2"/>
      <c r="EP53" s="2"/>
      <c r="EQ53" s="2"/>
      <c r="ER53" s="2"/>
    </row>
    <row r="54">
      <c r="A54" s="28" t="s">
        <v>82</v>
      </c>
      <c r="B54" s="29"/>
      <c r="C54" s="30"/>
      <c r="D54" s="30"/>
      <c r="E54" s="30"/>
      <c r="F54" s="30"/>
      <c r="G54" s="30"/>
      <c r="H54" s="30"/>
      <c r="I54" s="29"/>
      <c r="J54" s="30"/>
      <c r="K54" s="30"/>
      <c r="L54" s="30"/>
      <c r="M54" s="30"/>
      <c r="N54" s="30"/>
      <c r="O54" s="30"/>
      <c r="P54" s="29"/>
      <c r="Q54" s="30"/>
      <c r="R54" s="30"/>
      <c r="S54" s="30"/>
      <c r="T54" s="30"/>
      <c r="U54" s="30"/>
      <c r="V54" s="30"/>
      <c r="W54" s="29"/>
      <c r="X54" s="30"/>
      <c r="Y54" s="30"/>
      <c r="Z54" s="30"/>
      <c r="AA54" s="30"/>
      <c r="AB54" s="30"/>
      <c r="AC54" s="30"/>
      <c r="AD54" s="29"/>
      <c r="AE54" s="30"/>
      <c r="AF54" s="30"/>
      <c r="AG54" s="30"/>
      <c r="AH54" s="30"/>
      <c r="AI54" s="30"/>
      <c r="AJ54" s="30"/>
      <c r="AK54" s="29"/>
      <c r="AL54" s="30"/>
      <c r="AM54" s="30"/>
      <c r="AN54" s="30"/>
      <c r="AO54" s="30"/>
      <c r="AP54" s="30"/>
      <c r="AQ54" s="30"/>
      <c r="AR54" s="29"/>
      <c r="AS54" s="30"/>
      <c r="AT54" s="30"/>
      <c r="AU54" s="30"/>
      <c r="AV54" s="30"/>
      <c r="AW54" s="30"/>
      <c r="AX54" s="30"/>
      <c r="AY54" s="29"/>
      <c r="AZ54" s="30"/>
      <c r="BA54" s="30"/>
      <c r="BB54" s="30"/>
      <c r="BC54" s="30"/>
      <c r="BD54" s="30"/>
      <c r="BE54" s="30"/>
      <c r="BF54" s="29"/>
      <c r="BG54" s="30"/>
      <c r="BH54" s="30"/>
      <c r="BI54" s="30"/>
      <c r="BJ54" s="30"/>
      <c r="BK54" s="30"/>
      <c r="BL54" s="30"/>
      <c r="BM54" s="29"/>
      <c r="BN54" s="30"/>
      <c r="BO54" s="30"/>
      <c r="BP54" s="30"/>
      <c r="BQ54" s="30"/>
      <c r="BR54" s="30"/>
      <c r="BS54" s="30"/>
      <c r="BT54" s="29"/>
      <c r="BU54" s="30"/>
      <c r="BV54" s="30"/>
      <c r="BW54" s="30"/>
      <c r="BX54" s="30"/>
      <c r="BY54" s="30"/>
      <c r="BZ54" s="30"/>
      <c r="CA54" s="29"/>
      <c r="CB54" s="30"/>
      <c r="CC54" s="30"/>
      <c r="CD54" s="30"/>
      <c r="CE54" s="30"/>
      <c r="CF54" s="30"/>
      <c r="CG54" s="30"/>
      <c r="CH54" s="29"/>
      <c r="CI54" s="30"/>
      <c r="CJ54" s="30"/>
      <c r="CK54" s="30"/>
      <c r="CL54" s="30"/>
      <c r="CM54" s="30"/>
      <c r="CN54" s="30"/>
      <c r="CO54" s="29"/>
      <c r="CP54" s="30"/>
      <c r="CQ54" s="30"/>
      <c r="CR54" s="30"/>
      <c r="CS54" s="30"/>
      <c r="CT54" s="30"/>
      <c r="CU54" s="30"/>
      <c r="CV54" s="29"/>
      <c r="CW54" s="30"/>
      <c r="CX54" s="30"/>
      <c r="CY54" s="30"/>
      <c r="CZ54" s="30"/>
      <c r="DA54" s="30"/>
      <c r="DB54" s="30"/>
      <c r="DC54" s="29"/>
      <c r="DD54" s="30"/>
      <c r="DE54" s="30"/>
      <c r="DF54" s="30"/>
      <c r="DG54" s="30"/>
      <c r="DH54" s="30"/>
      <c r="DI54" s="30"/>
      <c r="DJ54" s="29"/>
      <c r="DK54" s="30"/>
      <c r="DL54" s="30"/>
      <c r="DM54" s="30"/>
      <c r="DN54" s="30"/>
      <c r="DO54" s="30"/>
      <c r="DP54" s="30"/>
      <c r="DQ54" s="29"/>
      <c r="DR54" s="30"/>
      <c r="DS54" s="30"/>
      <c r="DT54" s="30"/>
      <c r="DU54" s="30"/>
      <c r="DV54" s="30"/>
      <c r="DW54" s="30"/>
      <c r="DX54" s="29"/>
      <c r="DY54" s="30"/>
      <c r="DZ54" s="30"/>
      <c r="EA54" s="30"/>
      <c r="EB54" s="30"/>
      <c r="EC54" s="30"/>
      <c r="ED54" s="30"/>
      <c r="EE54" s="31" t="s">
        <v>75</v>
      </c>
      <c r="EF54" s="32"/>
      <c r="EG54" s="32"/>
      <c r="EH54" s="32"/>
      <c r="EI54" s="32"/>
      <c r="EJ54" s="32"/>
      <c r="EK54" s="32"/>
      <c r="EL54" s="29"/>
      <c r="EM54" s="30"/>
      <c r="EN54" s="30"/>
      <c r="EO54" s="30"/>
      <c r="EP54" s="30"/>
      <c r="EQ54" s="30"/>
      <c r="ER54" s="30"/>
    </row>
    <row r="55" hidden="1">
      <c r="A55" s="33" t="str">
        <f>CONCATENATE(A56," TM")</f>
        <v>Incline Press TM</v>
      </c>
      <c r="B55" s="34">
        <f>if(D55="",'Quick Setup'!D14,D55/'Quick Setup'!E14)</f>
        <v>280</v>
      </c>
      <c r="C55" s="35" t="s">
        <v>73</v>
      </c>
      <c r="D55" s="36"/>
      <c r="E55" s="37"/>
      <c r="F55" s="37"/>
      <c r="G55" s="37"/>
      <c r="H55" s="37"/>
      <c r="I55" s="34">
        <f>if(K55="", if(F56&lt;&gt;"", if(F56&gt;Setup!F13,B55*(1+Setup!G13),if(F56&lt;Setup!E13,B55*(1+Setup!H13),B55)),B55),K55/'Quick Setup'!$E14)</f>
        <v>280</v>
      </c>
      <c r="J55" s="35" t="s">
        <v>73</v>
      </c>
      <c r="K55" s="36"/>
      <c r="L55" s="37"/>
      <c r="M55" s="37"/>
      <c r="N55" s="37"/>
      <c r="O55" s="37"/>
      <c r="P55" s="34">
        <f>if(R55="", if(M56&lt;&gt;"", if(M56&gt;Setup!M13,I55*(1+Setup!N13),if(M56&lt;Setup!L13,I55*(1+Setup!O13),I55)),I55),R55/'Quick Setup'!$E14)</f>
        <v>280</v>
      </c>
      <c r="Q55" s="35" t="s">
        <v>73</v>
      </c>
      <c r="R55" s="36"/>
      <c r="S55" s="37"/>
      <c r="T55" s="37"/>
      <c r="U55" s="37"/>
      <c r="V55" s="37"/>
      <c r="W55" s="34">
        <f>if(Y55="", if(T56&lt;&gt;"", if(T56&gt;Setup!T13,P55*(1+Setup!U13),if(T56&lt;Setup!S13,P55*(1+Setup!V13),P55)),P55),Y55/'Quick Setup'!$E14)</f>
        <v>280</v>
      </c>
      <c r="X55" s="35" t="s">
        <v>73</v>
      </c>
      <c r="Y55" s="36"/>
      <c r="Z55" s="37"/>
      <c r="AA55" s="37"/>
      <c r="AB55" s="37"/>
      <c r="AC55" s="37"/>
      <c r="AD55" s="34">
        <f>if(AF55="", if(AA56&lt;&gt;"", if(AA56&gt;Setup!AA13,W55*(1+Setup!AB13),if(AA56&lt;Setup!Z13,W55*(1+Setup!AC13),W55)),W55),AF55/'Quick Setup'!$E14)</f>
        <v>280</v>
      </c>
      <c r="AE55" s="35" t="s">
        <v>73</v>
      </c>
      <c r="AF55" s="36"/>
      <c r="AG55" s="37"/>
      <c r="AH55" s="37"/>
      <c r="AI55" s="37"/>
      <c r="AJ55" s="37"/>
      <c r="AK55" s="34">
        <f>if(AM55="", if(AH56&lt;&gt;"", if(AH56&gt;Setup!AH13,AD55*(1+Setup!AI13),if(AH56&lt;Setup!AG13,AD55*(1+Setup!AJ13),AD55)),AD55),AM55/'Quick Setup'!$E14)</f>
        <v>280</v>
      </c>
      <c r="AL55" s="35" t="s">
        <v>73</v>
      </c>
      <c r="AM55" s="36"/>
      <c r="AN55" s="37"/>
      <c r="AO55" s="37"/>
      <c r="AP55" s="37"/>
      <c r="AQ55" s="37"/>
      <c r="AR55" s="34">
        <f>if(AT55="", if(AO56&lt;&gt;"", if(AO56&gt;Setup!AO13,AK55*(1+Setup!AP13),if(AO56&lt;Setup!AN13,AK55*(1+Setup!AQ13),AK55)),AK55),AT55/'Quick Setup'!$E14)</f>
        <v>280</v>
      </c>
      <c r="AS55" s="35" t="s">
        <v>73</v>
      </c>
      <c r="AT55" s="36"/>
      <c r="AU55" s="37"/>
      <c r="AV55" s="37"/>
      <c r="AW55" s="37"/>
      <c r="AX55" s="37"/>
      <c r="AY55" s="34">
        <f>if(BA55="",AR55,BA55/'Quick Setup'!$E14)</f>
        <v>280</v>
      </c>
      <c r="AZ55" s="35" t="s">
        <v>73</v>
      </c>
      <c r="BA55" s="36"/>
      <c r="BB55" s="37"/>
      <c r="BC55" s="37"/>
      <c r="BD55" s="37"/>
      <c r="BE55" s="37"/>
      <c r="BF55" s="34">
        <f>if(BH55="", if(BC56&lt;&gt;"", if(BC56&gt;Setup!BC13,AY55*(1+Setup!BD13),if(BC56&lt;Setup!BB13,AY55*(1+Setup!BE13),AY55)),AY55),BH55/'Quick Setup'!$E14)</f>
        <v>280</v>
      </c>
      <c r="BG55" s="35" t="s">
        <v>73</v>
      </c>
      <c r="BH55" s="36"/>
      <c r="BI55" s="37"/>
      <c r="BJ55" s="37"/>
      <c r="BK55" s="37"/>
      <c r="BL55" s="37"/>
      <c r="BM55" s="34">
        <f>if(BO55="", if(BJ56&lt;&gt;"", if(BJ56&gt;Setup!BJ13,BF55*(1+Setup!BK13),if(BJ56&lt;Setup!BI13,BF55*(1+Setup!BL13),BF55)),BF55),BO55/'Quick Setup'!$E14)</f>
        <v>280</v>
      </c>
      <c r="BN55" s="35" t="s">
        <v>73</v>
      </c>
      <c r="BO55" s="36"/>
      <c r="BP55" s="37"/>
      <c r="BQ55" s="37"/>
      <c r="BR55" s="37"/>
      <c r="BS55" s="37"/>
      <c r="BT55" s="34">
        <f>if(BV55="", if(BQ56&lt;&gt;"", if(BQ56&gt;Setup!BQ13,BM55*(1+Setup!BR13),if(BQ56&lt;Setup!BP13,BM55*(1+Setup!BS13),BM55)),BM55),BV55/'Quick Setup'!$E14)</f>
        <v>280</v>
      </c>
      <c r="BU55" s="35" t="s">
        <v>73</v>
      </c>
      <c r="BV55" s="36"/>
      <c r="BW55" s="37"/>
      <c r="BX55" s="37"/>
      <c r="BY55" s="37"/>
      <c r="BZ55" s="37"/>
      <c r="CA55" s="34">
        <f>if(CC55="", if(BX56&lt;&gt;"", if(BX56&gt;Setup!BX13,BT55*(1+Setup!BY13),if(BX56&lt;Setup!BW13,BT55*(1+Setup!BZ13),BT55)),BT55),CC55/'Quick Setup'!$E14)</f>
        <v>280</v>
      </c>
      <c r="CB55" s="35" t="s">
        <v>73</v>
      </c>
      <c r="CC55" s="36"/>
      <c r="CD55" s="37"/>
      <c r="CE55" s="37"/>
      <c r="CF55" s="37"/>
      <c r="CG55" s="37"/>
      <c r="CH55" s="34">
        <f>if(CJ55="", if(CE56&lt;&gt;"", if(CE56&gt;Setup!CE13,CA55*(1+Setup!CF13),if(CE56&lt;Setup!CD13,CA55*(1+Setup!CG13),CA55)),CA55),CJ55/'Quick Setup'!$E14)</f>
        <v>280</v>
      </c>
      <c r="CI55" s="35" t="s">
        <v>73</v>
      </c>
      <c r="CJ55" s="36"/>
      <c r="CK55" s="37"/>
      <c r="CL55" s="37"/>
      <c r="CM55" s="37"/>
      <c r="CN55" s="37"/>
      <c r="CO55" s="34">
        <f>if(CQ55="", if(CL56&lt;&gt;"", if(CL56&gt;Setup!CL13,CH55*(1+Setup!CM13),if(CL56&lt;Setup!CK13,CH55*(1+Setup!CN13),CH55)),CH55),CQ55/'Quick Setup'!$E14)</f>
        <v>280</v>
      </c>
      <c r="CP55" s="35" t="s">
        <v>73</v>
      </c>
      <c r="CQ55" s="36"/>
      <c r="CR55" s="37"/>
      <c r="CS55" s="37"/>
      <c r="CT55" s="37"/>
      <c r="CU55" s="37"/>
      <c r="CV55" s="34">
        <f>if(CX55="",CO55,CX55/'Quick Setup'!$E14)</f>
        <v>280</v>
      </c>
      <c r="CW55" s="35" t="s">
        <v>73</v>
      </c>
      <c r="CX55" s="36"/>
      <c r="CY55" s="37"/>
      <c r="CZ55" s="37"/>
      <c r="DA55" s="37"/>
      <c r="DB55" s="37"/>
      <c r="DC55" s="34">
        <f>if(DE55="", if(CZ56&lt;&gt;"", if(CZ56&gt;Setup!CZ13,CV55*(1+Setup!DA13),if(CZ56&lt;Setup!CY13,CV55*(1+Setup!DB13),CV55)),CV55),DE55/'Quick Setup'!$E14)</f>
        <v>280</v>
      </c>
      <c r="DD55" s="35" t="s">
        <v>73</v>
      </c>
      <c r="DE55" s="36"/>
      <c r="DF55" s="37"/>
      <c r="DG55" s="37"/>
      <c r="DH55" s="37"/>
      <c r="DI55" s="37"/>
      <c r="DJ55" s="34">
        <f>if(DL55="", if(DG56&lt;&gt;"", if(DG56&gt;Setup!DG13,DC55*(1+Setup!DH13),if(DG56&lt;Setup!DF13,DC55*(1+Setup!DI13),DC55)),DC55),DL55/'Quick Setup'!$E14)</f>
        <v>280</v>
      </c>
      <c r="DK55" s="35" t="s">
        <v>73</v>
      </c>
      <c r="DL55" s="36"/>
      <c r="DM55" s="37"/>
      <c r="DN55" s="37"/>
      <c r="DO55" s="37"/>
      <c r="DP55" s="37"/>
      <c r="DQ55" s="34">
        <f>if(DS55="", if(DN56&lt;&gt;"", if(DN56&gt;Setup!DN13,DJ55*(1+Setup!DO13),if(DN56&lt;Setup!DM13,DJ55*(1+Setup!DP13),DJ55)),DJ55),DS55/'Quick Setup'!$E14)</f>
        <v>280</v>
      </c>
      <c r="DR55" s="35" t="s">
        <v>73</v>
      </c>
      <c r="DS55" s="36"/>
      <c r="DT55" s="37"/>
      <c r="DU55" s="37"/>
      <c r="DV55" s="37"/>
      <c r="DW55" s="37"/>
      <c r="DX55" s="34">
        <f>if(DZ55="", if(DU56&lt;&gt;"", if(DU56&gt;Setup!DU13,DQ55*(1+Setup!DV13),if(DU56&lt;Setup!DT13,DQ55*(1+Setup!DW13),DQ55)),DQ55),DZ55/'Quick Setup'!$E14)</f>
        <v>280</v>
      </c>
      <c r="DY55" s="35" t="s">
        <v>73</v>
      </c>
      <c r="DZ55" s="36"/>
      <c r="EA55" s="37"/>
      <c r="EB55" s="37"/>
      <c r="EC55" s="37"/>
      <c r="ED55" s="37"/>
      <c r="EE55" s="34">
        <f>if(EG55="", if(EB56&lt;&gt;"", if(EB56&gt;Setup!EB13,DX55*(1+Setup!EC13),if(EB56&lt;Setup!EA13,DX55*(1+Setup!ED13),DX55)),DX55),EG55/'Quick Setup'!$E14)</f>
        <v>280</v>
      </c>
      <c r="EF55" s="35" t="s">
        <v>73</v>
      </c>
      <c r="EG55" s="36"/>
      <c r="EH55" s="37"/>
      <c r="EI55" s="37"/>
      <c r="EJ55" s="37"/>
      <c r="EK55" s="37"/>
      <c r="EL55" s="34">
        <f>if(EN55="", if(EI56&lt;&gt;"", if(EI56&gt;Setup!EI13,EE55*(1+Setup!EJ13),if(EI56&lt;Setup!EH13,EE55*(1+Setup!EK13),EE55)),EE55),EN55/'Quick Setup'!$E14)</f>
        <v>280</v>
      </c>
      <c r="EM55" s="35" t="s">
        <v>73</v>
      </c>
      <c r="EN55" s="36"/>
      <c r="EO55" s="37"/>
      <c r="EP55" s="37"/>
      <c r="EQ55" s="37"/>
      <c r="ER55" s="37"/>
    </row>
    <row r="56">
      <c r="A56" s="1" t="str">
        <f>Setup!A13</f>
        <v>Incline Press</v>
      </c>
      <c r="B56" s="38">
        <f>mround(B55*Setup!B13,'Quick Setup'!$A$2)</f>
        <v>167.5</v>
      </c>
      <c r="C56" s="2">
        <f>Setup!C13</f>
        <v>7</v>
      </c>
      <c r="D56" s="2">
        <f>Setup!D13</f>
        <v>4</v>
      </c>
      <c r="E56" s="2" t="str">
        <f>CONCATENATE(Setup!E13,"-",Setup!F13)</f>
        <v>4-6</v>
      </c>
      <c r="F56" s="10"/>
      <c r="G56" s="10"/>
      <c r="H56" s="10"/>
      <c r="I56" s="38">
        <f>mround(I55*Setup!I13,'Quick Setup'!$A$2)</f>
        <v>182.5</v>
      </c>
      <c r="J56" s="2">
        <f>Setup!J13</f>
        <v>6</v>
      </c>
      <c r="K56" s="2">
        <f>Setup!K13</f>
        <v>4</v>
      </c>
      <c r="L56" s="2" t="str">
        <f>CONCATENATE(Setup!L13,"-",Setup!M13)</f>
        <v>4-6</v>
      </c>
      <c r="M56" s="10"/>
      <c r="N56" s="10"/>
      <c r="O56" s="10"/>
      <c r="P56" s="38">
        <f>mround(P55*Setup!P13,'Quick Setup'!$A$2)</f>
        <v>195</v>
      </c>
      <c r="Q56" s="2">
        <f>Setup!Q13</f>
        <v>5</v>
      </c>
      <c r="R56" s="2">
        <f>Setup!R13</f>
        <v>3</v>
      </c>
      <c r="S56" s="2" t="str">
        <f>CONCATENATE(Setup!S13,"-",Setup!T13)</f>
        <v>4-6</v>
      </c>
      <c r="T56" s="10"/>
      <c r="U56" s="10"/>
      <c r="V56" s="10"/>
      <c r="W56" s="38">
        <f>mround(W55*Setup!W13,'Quick Setup'!$A$2)</f>
        <v>175</v>
      </c>
      <c r="X56" s="2">
        <f>Setup!X13</f>
        <v>7</v>
      </c>
      <c r="Y56" s="2">
        <f>Setup!Y13</f>
        <v>4</v>
      </c>
      <c r="Z56" s="2" t="str">
        <f>CONCATENATE(Setup!Z13,"-",Setup!AA13)</f>
        <v>4-6</v>
      </c>
      <c r="AA56" s="10"/>
      <c r="AB56" s="10"/>
      <c r="AC56" s="10"/>
      <c r="AD56" s="38">
        <f>mround(AD55*Setup!AD13,'Quick Setup'!$A$2)</f>
        <v>190</v>
      </c>
      <c r="AE56" s="2">
        <f>Setup!AE13</f>
        <v>6</v>
      </c>
      <c r="AF56" s="2">
        <f>Setup!AF13</f>
        <v>4</v>
      </c>
      <c r="AG56" s="2" t="str">
        <f>CONCATENATE(Setup!AG13,"-",Setup!AH13)</f>
        <v>4-6</v>
      </c>
      <c r="AH56" s="10"/>
      <c r="AI56" s="10"/>
      <c r="AJ56" s="10"/>
      <c r="AK56" s="38">
        <f>mround(AK55*Setup!AK13,'Quick Setup'!$A$2)</f>
        <v>202.5</v>
      </c>
      <c r="AL56" s="2">
        <f>Setup!AL13</f>
        <v>5</v>
      </c>
      <c r="AM56" s="2">
        <f>Setup!AM13</f>
        <v>3</v>
      </c>
      <c r="AN56" s="2" t="str">
        <f>CONCATENATE(Setup!AN13,"-",Setup!AO13)</f>
        <v>4-6</v>
      </c>
      <c r="AO56" s="10"/>
      <c r="AP56" s="10"/>
      <c r="AQ56" s="10"/>
      <c r="AR56" s="38">
        <f>mround(AR55*Setup!AR13,'Quick Setup'!$A$2)</f>
        <v>140</v>
      </c>
      <c r="AS56" s="1">
        <v>5.0</v>
      </c>
      <c r="AT56" s="1" t="s">
        <v>76</v>
      </c>
      <c r="AU56" s="2" t="str">
        <f>CONCATENATE(Setup!AU13,"-",Setup!AV13)</f>
        <v>4-6</v>
      </c>
      <c r="AV56" s="10"/>
      <c r="AW56" s="10"/>
      <c r="AX56" s="10"/>
      <c r="AY56" s="38">
        <f>mround(AY55*Setup!AY13,'Quick Setup'!$A$2)</f>
        <v>182.5</v>
      </c>
      <c r="AZ56" s="2">
        <f>Setup!AZ13</f>
        <v>6</v>
      </c>
      <c r="BA56" s="2">
        <f>Setup!BA13</f>
        <v>4</v>
      </c>
      <c r="BB56" s="2" t="str">
        <f>CONCATENATE(Setup!BB13,"-",Setup!BC13)</f>
        <v>4-6</v>
      </c>
      <c r="BC56" s="10"/>
      <c r="BD56" s="10"/>
      <c r="BE56" s="10"/>
      <c r="BF56" s="38">
        <f>mround(BF55*Setup!BF13,'Quick Setup'!$A$2)</f>
        <v>195</v>
      </c>
      <c r="BG56" s="2">
        <f>Setup!BG13</f>
        <v>5</v>
      </c>
      <c r="BH56" s="2">
        <f>Setup!BH13</f>
        <v>3</v>
      </c>
      <c r="BI56" s="2" t="str">
        <f>CONCATENATE(Setup!BI13,"-",Setup!BJ13)</f>
        <v>4-6</v>
      </c>
      <c r="BJ56" s="10"/>
      <c r="BK56" s="10"/>
      <c r="BL56" s="10"/>
      <c r="BM56" s="38">
        <f>mround(BM55*Setup!BM13,'Quick Setup'!$A$2)</f>
        <v>210</v>
      </c>
      <c r="BN56" s="2">
        <f>Setup!BN13</f>
        <v>4</v>
      </c>
      <c r="BO56" s="2">
        <f>Setup!BO13</f>
        <v>3</v>
      </c>
      <c r="BP56" s="2" t="str">
        <f>CONCATENATE(Setup!BP13,"-",Setup!BQ13)</f>
        <v>4-6</v>
      </c>
      <c r="BQ56" s="10"/>
      <c r="BR56" s="10"/>
      <c r="BS56" s="10"/>
      <c r="BT56" s="38">
        <f>mround(BT55*Setup!BT13,'Quick Setup'!$A$2)</f>
        <v>190</v>
      </c>
      <c r="BU56" s="2">
        <f>Setup!BU13</f>
        <v>6</v>
      </c>
      <c r="BV56" s="2">
        <f>Setup!BV13</f>
        <v>4</v>
      </c>
      <c r="BW56" s="2" t="str">
        <f>CONCATENATE(Setup!BW13,"-",Setup!BX13)</f>
        <v>4-6</v>
      </c>
      <c r="BX56" s="10"/>
      <c r="BY56" s="10"/>
      <c r="BZ56" s="10"/>
      <c r="CA56" s="38">
        <f>mround(CA55*Setup!CA13,'Quick Setup'!$A$2)</f>
        <v>202.5</v>
      </c>
      <c r="CB56" s="2">
        <f>Setup!CB13</f>
        <v>5</v>
      </c>
      <c r="CC56" s="2">
        <f>Setup!CC13</f>
        <v>3</v>
      </c>
      <c r="CD56" s="2" t="str">
        <f>CONCATENATE(Setup!CD13,"-",Setup!CE13)</f>
        <v>4-6</v>
      </c>
      <c r="CE56" s="10"/>
      <c r="CF56" s="10"/>
      <c r="CG56" s="10"/>
      <c r="CH56" s="38">
        <f>mround(CH55*Setup!CH13,'Quick Setup'!$A$2)</f>
        <v>217.5</v>
      </c>
      <c r="CI56" s="2">
        <f>Setup!CI13</f>
        <v>4</v>
      </c>
      <c r="CJ56" s="2">
        <f>Setup!CJ13</f>
        <v>3</v>
      </c>
      <c r="CK56" s="2" t="str">
        <f>CONCATENATE(Setup!CK13,"-",Setup!CL13)</f>
        <v>4-6</v>
      </c>
      <c r="CL56" s="10"/>
      <c r="CM56" s="10"/>
      <c r="CN56" s="10"/>
      <c r="CO56" s="38">
        <f>mround(CO55*Setup!CO13,'Quick Setup'!$A$2)</f>
        <v>140</v>
      </c>
      <c r="CP56" s="1">
        <v>5.0</v>
      </c>
      <c r="CQ56" s="1" t="s">
        <v>76</v>
      </c>
      <c r="CR56" s="2" t="str">
        <f>CONCATENATE(Setup!CR13,"-",Setup!CS13)</f>
        <v>4-6</v>
      </c>
      <c r="CS56" s="10"/>
      <c r="CT56" s="10"/>
      <c r="CU56" s="10"/>
      <c r="CV56" s="38">
        <f>mround(CV55*Setup!CV13,'Quick Setup'!$A$2)</f>
        <v>195</v>
      </c>
      <c r="CW56" s="2">
        <f>Setup!CW13</f>
        <v>5</v>
      </c>
      <c r="CX56" s="2">
        <f>Setup!CX13</f>
        <v>3</v>
      </c>
      <c r="CY56" s="2" t="str">
        <f>CONCATENATE(Setup!CY13,"-",Setup!CZ13)</f>
        <v>4-6</v>
      </c>
      <c r="CZ56" s="10"/>
      <c r="DA56" s="10"/>
      <c r="DB56" s="10"/>
      <c r="DC56" s="38">
        <f>mround(DC55*Setup!DC13,'Quick Setup'!$A$2)</f>
        <v>210</v>
      </c>
      <c r="DD56" s="2">
        <f>Setup!DD13</f>
        <v>4</v>
      </c>
      <c r="DE56" s="2">
        <f>Setup!DE13</f>
        <v>3</v>
      </c>
      <c r="DF56" s="2" t="str">
        <f>CONCATENATE(Setup!DF13,"-",Setup!DG13)</f>
        <v>4-6</v>
      </c>
      <c r="DG56" s="10"/>
      <c r="DH56" s="10"/>
      <c r="DI56" s="10"/>
      <c r="DJ56" s="38">
        <f>mround(DJ55*Setup!DJ13,'Quick Setup'!$A$2)</f>
        <v>225</v>
      </c>
      <c r="DK56" s="2">
        <f>Setup!DK13</f>
        <v>3</v>
      </c>
      <c r="DL56" s="2">
        <f>Setup!DL13</f>
        <v>2</v>
      </c>
      <c r="DM56" s="2" t="str">
        <f>CONCATENATE(Setup!DM13,"-",Setup!DN13)</f>
        <v>4-6</v>
      </c>
      <c r="DN56" s="10"/>
      <c r="DO56" s="10"/>
      <c r="DP56" s="10"/>
      <c r="DQ56" s="38">
        <f>mround(DQ55*Setup!DQ13,'Quick Setup'!$A$2)</f>
        <v>210</v>
      </c>
      <c r="DR56" s="2">
        <f>Setup!DR13</f>
        <v>4</v>
      </c>
      <c r="DS56" s="2">
        <f>Setup!DS13</f>
        <v>3</v>
      </c>
      <c r="DT56" s="2" t="str">
        <f>CONCATENATE(Setup!DT13,"-",Setup!DU13)</f>
        <v>4-6</v>
      </c>
      <c r="DU56" s="10"/>
      <c r="DV56" s="10"/>
      <c r="DW56" s="10"/>
      <c r="DX56" s="38">
        <f>mround(DX55*Setup!DX13,'Quick Setup'!$A$2)</f>
        <v>225</v>
      </c>
      <c r="DY56" s="2">
        <f>Setup!DY13</f>
        <v>3</v>
      </c>
      <c r="DZ56" s="2">
        <f>Setup!DZ13</f>
        <v>2</v>
      </c>
      <c r="EA56" s="2" t="str">
        <f>CONCATENATE(Setup!EA13,"-",Setup!EB13)</f>
        <v>4-6</v>
      </c>
      <c r="EB56" s="10"/>
      <c r="EC56" s="10"/>
      <c r="ED56" s="10"/>
      <c r="EE56" s="38">
        <f>mround(EE55*Setup!EE13,'Quick Setup'!$A$2)</f>
        <v>237.5</v>
      </c>
      <c r="EF56" s="2">
        <f>Setup!EF13</f>
        <v>2</v>
      </c>
      <c r="EG56" s="2">
        <f>Setup!EG13</f>
        <v>2</v>
      </c>
      <c r="EH56" s="2" t="str">
        <f>CONCATENATE(Setup!EH13,"-",Setup!EI13)</f>
        <v>4-6</v>
      </c>
      <c r="EI56" s="10"/>
      <c r="EJ56" s="10"/>
      <c r="EK56" s="10"/>
      <c r="EL56" s="38">
        <f>mround(EL55*Setup!EL13,'Quick Setup'!$A$2)</f>
        <v>140</v>
      </c>
      <c r="EM56" s="1">
        <v>5.0</v>
      </c>
      <c r="EN56" s="1" t="s">
        <v>76</v>
      </c>
      <c r="EO56" s="2" t="str">
        <f>CONCATENATE(Setup!EO13,"-",Setup!EP13)</f>
        <v>4-6</v>
      </c>
      <c r="EP56" s="10"/>
      <c r="EQ56" s="10"/>
      <c r="ER56" s="10"/>
    </row>
    <row r="57" hidden="1">
      <c r="A57" s="33" t="str">
        <f>CONCATENATE(A58," TM")</f>
        <v>Push Press TM</v>
      </c>
      <c r="B57" s="34">
        <f>if(D57="",'Quick Setup'!D16,D57/'Quick Setup'!E16)</f>
        <v>245</v>
      </c>
      <c r="C57" s="35" t="s">
        <v>73</v>
      </c>
      <c r="D57" s="36"/>
      <c r="E57" s="37"/>
      <c r="F57" s="37"/>
      <c r="G57" s="37"/>
      <c r="H57" s="37"/>
      <c r="I57" s="34">
        <f>if(K57="", if(F58&lt;&gt;"", if(F58&gt;Setup!F15,B57*(1+Setup!G15),if(F58&lt;Setup!E15,B57*(1+Setup!H15),B57)),B57),K57/'Quick Setup'!$E16)</f>
        <v>245</v>
      </c>
      <c r="J57" s="35" t="s">
        <v>73</v>
      </c>
      <c r="K57" s="36"/>
      <c r="L57" s="37"/>
      <c r="M57" s="37"/>
      <c r="N57" s="37"/>
      <c r="O57" s="37"/>
      <c r="P57" s="34">
        <f>if(R57="", if(M58&lt;&gt;"", if(M58&gt;Setup!M15,I57*(1+Setup!N15),if(M58&lt;Setup!L15,I57*(1+Setup!O15),I57)),I57),R57/'Quick Setup'!$E16)</f>
        <v>245</v>
      </c>
      <c r="Q57" s="35" t="s">
        <v>73</v>
      </c>
      <c r="R57" s="36"/>
      <c r="S57" s="37"/>
      <c r="T57" s="37"/>
      <c r="U57" s="37"/>
      <c r="V57" s="37"/>
      <c r="W57" s="34">
        <f>if(Y57="", if(T58&lt;&gt;"", if(T58&gt;Setup!T15,P57*(1+Setup!U15),if(T58&lt;Setup!S15,P57*(1+Setup!V15),P57)),P57),Y57/'Quick Setup'!$E16)</f>
        <v>245</v>
      </c>
      <c r="X57" s="35" t="s">
        <v>73</v>
      </c>
      <c r="Y57" s="36"/>
      <c r="Z57" s="37"/>
      <c r="AA57" s="37"/>
      <c r="AB57" s="37"/>
      <c r="AC57" s="37"/>
      <c r="AD57" s="34">
        <f>if(AF57="", if(AA58&lt;&gt;"", if(AA58&gt;Setup!AA15,W57*(1+Setup!AB15),if(AA58&lt;Setup!Z15,W57*(1+Setup!AC15),W57)),W57),AF57/'Quick Setup'!$E16)</f>
        <v>245</v>
      </c>
      <c r="AE57" s="35" t="s">
        <v>73</v>
      </c>
      <c r="AF57" s="36"/>
      <c r="AG57" s="37"/>
      <c r="AH57" s="37"/>
      <c r="AI57" s="37"/>
      <c r="AJ57" s="37"/>
      <c r="AK57" s="34">
        <f>if(AM57="", if(AH58&lt;&gt;"", if(AH58&gt;Setup!AH15,AD57*(1+Setup!AI15),if(AH58&lt;Setup!AG15,AD57*(1+Setup!AJ15),AD57)),AD57),AM57/'Quick Setup'!$E16)</f>
        <v>245</v>
      </c>
      <c r="AL57" s="35" t="s">
        <v>73</v>
      </c>
      <c r="AM57" s="36"/>
      <c r="AN57" s="37"/>
      <c r="AO57" s="37"/>
      <c r="AP57" s="37"/>
      <c r="AQ57" s="37"/>
      <c r="AR57" s="34">
        <f>if(AT57="", if(AO58&lt;&gt;"", if(AO58&gt;Setup!AO15,AK57*(1+Setup!AP15),if(AO58&lt;Setup!AN15,AK57*(1+Setup!AQ15),AK57)),AK57),AT57/'Quick Setup'!$E16)</f>
        <v>245</v>
      </c>
      <c r="AS57" s="35" t="s">
        <v>73</v>
      </c>
      <c r="AT57" s="36"/>
      <c r="AU57" s="37"/>
      <c r="AV57" s="37"/>
      <c r="AW57" s="37"/>
      <c r="AX57" s="37"/>
      <c r="AY57" s="34">
        <f>if(BA57="",AR57,BA57/'Quick Setup'!$E16)</f>
        <v>245</v>
      </c>
      <c r="AZ57" s="35" t="s">
        <v>73</v>
      </c>
      <c r="BA57" s="36"/>
      <c r="BB57" s="37"/>
      <c r="BC57" s="37"/>
      <c r="BD57" s="37"/>
      <c r="BE57" s="37"/>
      <c r="BF57" s="34">
        <f>if(BH57="", if(BC58&lt;&gt;"", if(BC58&gt;Setup!BC15,AY57*(1+Setup!BD15),if(BC58&lt;Setup!BB15,AY57*(1+Setup!BE15),AY57)),AY57),BH57/'Quick Setup'!$E16)</f>
        <v>245</v>
      </c>
      <c r="BG57" s="35" t="s">
        <v>73</v>
      </c>
      <c r="BH57" s="36"/>
      <c r="BI57" s="37"/>
      <c r="BJ57" s="37"/>
      <c r="BK57" s="37"/>
      <c r="BL57" s="37"/>
      <c r="BM57" s="34">
        <f>if(BO57="", if(BJ58&lt;&gt;"", if(BJ58&gt;Setup!BJ15,BF57*(1+Setup!BK15),if(BJ58&lt;Setup!BI15,BF57*(1+Setup!BL15),BF57)),BF57),BO57/'Quick Setup'!$E16)</f>
        <v>245</v>
      </c>
      <c r="BN57" s="35" t="s">
        <v>73</v>
      </c>
      <c r="BO57" s="36"/>
      <c r="BP57" s="37"/>
      <c r="BQ57" s="37"/>
      <c r="BR57" s="37"/>
      <c r="BS57" s="37"/>
      <c r="BT57" s="34">
        <f>if(BV57="", if(BQ58&lt;&gt;"", if(BQ58&gt;Setup!BQ15,BM57*(1+Setup!BR15),if(BQ58&lt;Setup!BP15,BM57*(1+Setup!BS15),BM57)),BM57),BV57/'Quick Setup'!$E16)</f>
        <v>245</v>
      </c>
      <c r="BU57" s="35" t="s">
        <v>73</v>
      </c>
      <c r="BV57" s="36"/>
      <c r="BW57" s="37"/>
      <c r="BX57" s="37"/>
      <c r="BY57" s="37"/>
      <c r="BZ57" s="37"/>
      <c r="CA57" s="34">
        <f>if(CC57="", if(BX58&lt;&gt;"", if(BX58&gt;Setup!BX15,BT57*(1+Setup!BY15),if(BX58&lt;Setup!BW15,BT57*(1+Setup!BZ15),BT57)),BT57),CC57/'Quick Setup'!$E16)</f>
        <v>245</v>
      </c>
      <c r="CB57" s="35" t="s">
        <v>73</v>
      </c>
      <c r="CC57" s="36"/>
      <c r="CD57" s="37"/>
      <c r="CE57" s="37"/>
      <c r="CF57" s="37"/>
      <c r="CG57" s="37"/>
      <c r="CH57" s="34">
        <f>if(CJ57="", if(CE58&lt;&gt;"", if(CE58&gt;Setup!CE15,CA57*(1+Setup!CF15),if(CE58&lt;Setup!CD15,CA57*(1+Setup!CG15),CA57)),CA57),CJ57/'Quick Setup'!$E16)</f>
        <v>245</v>
      </c>
      <c r="CI57" s="35" t="s">
        <v>73</v>
      </c>
      <c r="CJ57" s="36"/>
      <c r="CK57" s="37"/>
      <c r="CL57" s="37"/>
      <c r="CM57" s="37"/>
      <c r="CN57" s="37"/>
      <c r="CO57" s="34">
        <f>if(CQ57="", if(CL58&lt;&gt;"", if(CL58&gt;Setup!CL15,CH57*(1+Setup!CM15),if(CL58&lt;Setup!CK15,CH57*(1+Setup!CN15),CH57)),CH57),CQ57/'Quick Setup'!$E16)</f>
        <v>245</v>
      </c>
      <c r="CP57" s="35" t="s">
        <v>73</v>
      </c>
      <c r="CQ57" s="36"/>
      <c r="CR57" s="37"/>
      <c r="CS57" s="37"/>
      <c r="CT57" s="37"/>
      <c r="CU57" s="37"/>
      <c r="CV57" s="34">
        <f>if(CX57="",CO57,CX57/'Quick Setup'!$E16)</f>
        <v>245</v>
      </c>
      <c r="CW57" s="35" t="s">
        <v>73</v>
      </c>
      <c r="CX57" s="36"/>
      <c r="CY57" s="37"/>
      <c r="CZ57" s="37"/>
      <c r="DA57" s="37"/>
      <c r="DB57" s="37"/>
      <c r="DC57" s="34">
        <f>if(DE57="", if(CZ58&lt;&gt;"", if(CZ58&gt;Setup!CZ15,CV57*(1+Setup!DA15),if(CZ58&lt;Setup!CY15,CV57*(1+Setup!DB15),CV57)),CV57),DE57/'Quick Setup'!$E16)</f>
        <v>245</v>
      </c>
      <c r="DD57" s="35" t="s">
        <v>73</v>
      </c>
      <c r="DE57" s="36"/>
      <c r="DF57" s="37"/>
      <c r="DG57" s="37"/>
      <c r="DH57" s="37"/>
      <c r="DI57" s="37"/>
      <c r="DJ57" s="34">
        <f>if(DL57="", if(DG58&lt;&gt;"", if(DG58&gt;Setup!DG15,DC57*(1+Setup!DH15),if(DG58&lt;Setup!DF15,DC57*(1+Setup!DI15),DC57)),DC57),DL57/'Quick Setup'!$E16)</f>
        <v>245</v>
      </c>
      <c r="DK57" s="35" t="s">
        <v>73</v>
      </c>
      <c r="DL57" s="36"/>
      <c r="DM57" s="37"/>
      <c r="DN57" s="37"/>
      <c r="DO57" s="37"/>
      <c r="DP57" s="37"/>
      <c r="DQ57" s="34">
        <f>if(DS57="", if(DN58&lt;&gt;"", if(DN58&gt;Setup!DN15,DJ57*(1+Setup!DO15),if(DN58&lt;Setup!DM15,DJ57*(1+Setup!DP15),DJ57)),DJ57),DS57/'Quick Setup'!$E16)</f>
        <v>245</v>
      </c>
      <c r="DR57" s="35" t="s">
        <v>73</v>
      </c>
      <c r="DS57" s="36"/>
      <c r="DT57" s="37"/>
      <c r="DU57" s="37"/>
      <c r="DV57" s="37"/>
      <c r="DW57" s="37"/>
      <c r="DX57" s="34">
        <f>if(DZ57="", if(DU58&lt;&gt;"", if(DU58&gt;Setup!DU15,DQ57*(1+Setup!DV15),if(DU58&lt;Setup!DT15,DQ57*(1+Setup!DW15),DQ57)),DQ57),DZ57/'Quick Setup'!$E16)</f>
        <v>245</v>
      </c>
      <c r="DY57" s="35" t="s">
        <v>73</v>
      </c>
      <c r="DZ57" s="36"/>
      <c r="EA57" s="37"/>
      <c r="EB57" s="37"/>
      <c r="EC57" s="37"/>
      <c r="ED57" s="37"/>
      <c r="EE57" s="34">
        <f>if(EG57="", if(EB58&lt;&gt;"", if(EB58&gt;Setup!EB15,DX57*(1+Setup!EC15),if(EB58&lt;Setup!EA15,DX57*(1+Setup!ED15),DX57)),DX57),EG57/'Quick Setup'!$E16)</f>
        <v>245</v>
      </c>
      <c r="EF57" s="35" t="s">
        <v>73</v>
      </c>
      <c r="EG57" s="36"/>
      <c r="EH57" s="37"/>
      <c r="EI57" s="37"/>
      <c r="EJ57" s="37"/>
      <c r="EK57" s="37"/>
      <c r="EL57" s="34">
        <f>if(EN57="", if(EI58&lt;&gt;"", if(EI58&gt;Setup!EI15,EE57*(1+Setup!EJ15),if(EI58&lt;Setup!EH15,EE57*(1+Setup!EK15),EE57)),EE57),EN57/'Quick Setup'!$E16)</f>
        <v>245</v>
      </c>
      <c r="EM57" s="35" t="s">
        <v>73</v>
      </c>
      <c r="EN57" s="36"/>
      <c r="EO57" s="37"/>
      <c r="EP57" s="37"/>
      <c r="EQ57" s="37"/>
      <c r="ER57" s="37"/>
    </row>
    <row r="58">
      <c r="A58" s="1" t="str">
        <f>Setup!A15</f>
        <v>Push Press</v>
      </c>
      <c r="B58" s="38">
        <f>mround(B57*Setup!B15,'Quick Setup'!$A$2)</f>
        <v>147.5</v>
      </c>
      <c r="C58" s="2">
        <f>Setup!C15</f>
        <v>7</v>
      </c>
      <c r="D58" s="2">
        <f>Setup!D15</f>
        <v>4</v>
      </c>
      <c r="E58" s="2" t="str">
        <f>CONCATENATE(Setup!E15,"-",Setup!F15)</f>
        <v>4-6</v>
      </c>
      <c r="F58" s="10"/>
      <c r="G58" s="10"/>
      <c r="H58" s="10"/>
      <c r="I58" s="38">
        <f>mround(I57*Setup!I15,'Quick Setup'!$A$2)</f>
        <v>160</v>
      </c>
      <c r="J58" s="2">
        <f>Setup!J15</f>
        <v>6</v>
      </c>
      <c r="K58" s="2">
        <f>Setup!K15</f>
        <v>4</v>
      </c>
      <c r="L58" s="2" t="str">
        <f>CONCATENATE(Setup!L15,"-",Setup!M15)</f>
        <v>4-6</v>
      </c>
      <c r="M58" s="10"/>
      <c r="N58" s="10"/>
      <c r="O58" s="10"/>
      <c r="P58" s="38">
        <f>mround(P57*Setup!P15,'Quick Setup'!$A$2)</f>
        <v>172.5</v>
      </c>
      <c r="Q58" s="2">
        <f>Setup!Q15</f>
        <v>5</v>
      </c>
      <c r="R58" s="2">
        <f>Setup!R15</f>
        <v>3</v>
      </c>
      <c r="S58" s="2" t="str">
        <f>CONCATENATE(Setup!S15,"-",Setup!T15)</f>
        <v>4-6</v>
      </c>
      <c r="T58" s="10"/>
      <c r="U58" s="10"/>
      <c r="V58" s="10"/>
      <c r="W58" s="38">
        <f>mround(W57*Setup!W15,'Quick Setup'!$A$2)</f>
        <v>152.5</v>
      </c>
      <c r="X58" s="2">
        <f>Setup!X15</f>
        <v>7</v>
      </c>
      <c r="Y58" s="2">
        <f>Setup!Y15</f>
        <v>4</v>
      </c>
      <c r="Z58" s="2" t="str">
        <f>CONCATENATE(Setup!Z15,"-",Setup!AA15)</f>
        <v>4-6</v>
      </c>
      <c r="AA58" s="10"/>
      <c r="AB58" s="10"/>
      <c r="AC58" s="10"/>
      <c r="AD58" s="38">
        <f>mround(AD57*Setup!AD15,'Quick Setup'!$A$2)</f>
        <v>165</v>
      </c>
      <c r="AE58" s="2">
        <f>Setup!AE15</f>
        <v>6</v>
      </c>
      <c r="AF58" s="2">
        <f>Setup!AF15</f>
        <v>4</v>
      </c>
      <c r="AG58" s="2" t="str">
        <f>CONCATENATE(Setup!AG15,"-",Setup!AH15)</f>
        <v>4-6</v>
      </c>
      <c r="AH58" s="10"/>
      <c r="AI58" s="10"/>
      <c r="AJ58" s="10"/>
      <c r="AK58" s="38">
        <f>mround(AK57*Setup!AK15,'Quick Setup'!$A$2)</f>
        <v>177.5</v>
      </c>
      <c r="AL58" s="2">
        <f>Setup!AL15</f>
        <v>5</v>
      </c>
      <c r="AM58" s="2">
        <f>Setup!AM15</f>
        <v>3</v>
      </c>
      <c r="AN58" s="2" t="str">
        <f>CONCATENATE(Setup!AN15,"-",Setup!AO15)</f>
        <v>4-6</v>
      </c>
      <c r="AO58" s="10"/>
      <c r="AP58" s="10"/>
      <c r="AQ58" s="10"/>
      <c r="AR58" s="38">
        <f>mround(AR57*Setup!AR15,'Quick Setup'!$A$2)</f>
        <v>122.5</v>
      </c>
      <c r="AS58" s="1">
        <v>5.0</v>
      </c>
      <c r="AT58" s="1" t="s">
        <v>76</v>
      </c>
      <c r="AU58" s="2" t="str">
        <f>CONCATENATE(Setup!AU15,"-",Setup!AV15)</f>
        <v>4-6</v>
      </c>
      <c r="AV58" s="10"/>
      <c r="AW58" s="10"/>
      <c r="AX58" s="10"/>
      <c r="AY58" s="38">
        <f>mround(AY57*Setup!AY15,'Quick Setup'!$A$2)</f>
        <v>160</v>
      </c>
      <c r="AZ58" s="2">
        <f>Setup!AZ15</f>
        <v>6</v>
      </c>
      <c r="BA58" s="2">
        <f>Setup!BA15</f>
        <v>4</v>
      </c>
      <c r="BB58" s="2" t="str">
        <f>CONCATENATE(Setup!BB15,"-",Setup!BC15)</f>
        <v>4-6</v>
      </c>
      <c r="BC58" s="10"/>
      <c r="BD58" s="10"/>
      <c r="BE58" s="10"/>
      <c r="BF58" s="38">
        <f>mround(BF57*Setup!BF15,'Quick Setup'!$A$2)</f>
        <v>172.5</v>
      </c>
      <c r="BG58" s="2">
        <f>Setup!BG15</f>
        <v>5</v>
      </c>
      <c r="BH58" s="2">
        <f>Setup!BH15</f>
        <v>3</v>
      </c>
      <c r="BI58" s="2" t="str">
        <f>CONCATENATE(Setup!BI15,"-",Setup!BJ15)</f>
        <v>4-6</v>
      </c>
      <c r="BJ58" s="10"/>
      <c r="BK58" s="10"/>
      <c r="BL58" s="10"/>
      <c r="BM58" s="38">
        <f>mround(BM57*Setup!BM15,'Quick Setup'!$A$2)</f>
        <v>185</v>
      </c>
      <c r="BN58" s="2">
        <f>Setup!BN15</f>
        <v>4</v>
      </c>
      <c r="BO58" s="2">
        <f>Setup!BO15</f>
        <v>3</v>
      </c>
      <c r="BP58" s="2" t="str">
        <f>CONCATENATE(Setup!BP15,"-",Setup!BQ15)</f>
        <v>4-6</v>
      </c>
      <c r="BQ58" s="10"/>
      <c r="BR58" s="10"/>
      <c r="BS58" s="10"/>
      <c r="BT58" s="38">
        <f>mround(BT57*Setup!BT15,'Quick Setup'!$A$2)</f>
        <v>165</v>
      </c>
      <c r="BU58" s="2">
        <f>Setup!BU15</f>
        <v>6</v>
      </c>
      <c r="BV58" s="2">
        <f>Setup!BV15</f>
        <v>4</v>
      </c>
      <c r="BW58" s="2" t="str">
        <f>CONCATENATE(Setup!BW15,"-",Setup!BX15)</f>
        <v>4-6</v>
      </c>
      <c r="BX58" s="10"/>
      <c r="BY58" s="10"/>
      <c r="BZ58" s="10"/>
      <c r="CA58" s="38">
        <f>mround(CA57*Setup!CA15,'Quick Setup'!$A$2)</f>
        <v>177.5</v>
      </c>
      <c r="CB58" s="2">
        <f>Setup!CB15</f>
        <v>5</v>
      </c>
      <c r="CC58" s="2">
        <f>Setup!CC15</f>
        <v>3</v>
      </c>
      <c r="CD58" s="2" t="str">
        <f>CONCATENATE(Setup!CD15,"-",Setup!CE15)</f>
        <v>4-6</v>
      </c>
      <c r="CE58" s="10"/>
      <c r="CF58" s="10"/>
      <c r="CG58" s="10"/>
      <c r="CH58" s="38">
        <f>mround(CH57*Setup!CH15,'Quick Setup'!$A$2)</f>
        <v>190</v>
      </c>
      <c r="CI58" s="2">
        <f>Setup!CI15</f>
        <v>4</v>
      </c>
      <c r="CJ58" s="2">
        <f>Setup!CJ15</f>
        <v>3</v>
      </c>
      <c r="CK58" s="2" t="str">
        <f>CONCATENATE(Setup!CK15,"-",Setup!CL15)</f>
        <v>4-6</v>
      </c>
      <c r="CL58" s="10"/>
      <c r="CM58" s="10"/>
      <c r="CN58" s="10"/>
      <c r="CO58" s="38">
        <f>mround(CO57*Setup!CO15,'Quick Setup'!$A$2)</f>
        <v>122.5</v>
      </c>
      <c r="CP58" s="1">
        <v>5.0</v>
      </c>
      <c r="CQ58" s="1" t="s">
        <v>76</v>
      </c>
      <c r="CR58" s="2" t="str">
        <f>CONCATENATE(Setup!CR15,"-",Setup!CS15)</f>
        <v>4-6</v>
      </c>
      <c r="CS58" s="10"/>
      <c r="CT58" s="10"/>
      <c r="CU58" s="10"/>
      <c r="CV58" s="38">
        <f>mround(CV57*Setup!CV15,'Quick Setup'!$A$2)</f>
        <v>172.5</v>
      </c>
      <c r="CW58" s="2">
        <f>Setup!CW15</f>
        <v>5</v>
      </c>
      <c r="CX58" s="2">
        <f>Setup!CX15</f>
        <v>3</v>
      </c>
      <c r="CY58" s="2" t="str">
        <f>CONCATENATE(Setup!CY15,"-",Setup!CZ15)</f>
        <v>4-6</v>
      </c>
      <c r="CZ58" s="10"/>
      <c r="DA58" s="10"/>
      <c r="DB58" s="10"/>
      <c r="DC58" s="38">
        <f>mround(DC57*Setup!DC15,'Quick Setup'!$A$2)</f>
        <v>185</v>
      </c>
      <c r="DD58" s="2">
        <f>Setup!DD15</f>
        <v>4</v>
      </c>
      <c r="DE58" s="2">
        <f>Setup!DE15</f>
        <v>3</v>
      </c>
      <c r="DF58" s="2" t="str">
        <f>CONCATENATE(Setup!DF15,"-",Setup!DG15)</f>
        <v>4-6</v>
      </c>
      <c r="DG58" s="10"/>
      <c r="DH58" s="10"/>
      <c r="DI58" s="10"/>
      <c r="DJ58" s="38">
        <f>mround(DJ57*Setup!DJ15,'Quick Setup'!$A$2)</f>
        <v>195</v>
      </c>
      <c r="DK58" s="2">
        <f>Setup!DK15</f>
        <v>3</v>
      </c>
      <c r="DL58" s="2">
        <f>Setup!DL15</f>
        <v>2</v>
      </c>
      <c r="DM58" s="2" t="str">
        <f>CONCATENATE(Setup!DM15,"-",Setup!DN15)</f>
        <v>4-6</v>
      </c>
      <c r="DN58" s="10"/>
      <c r="DO58" s="10"/>
      <c r="DP58" s="10"/>
      <c r="DQ58" s="38">
        <f>mround(DQ57*Setup!DQ15,'Quick Setup'!$A$2)</f>
        <v>185</v>
      </c>
      <c r="DR58" s="2">
        <f>Setup!DR15</f>
        <v>4</v>
      </c>
      <c r="DS58" s="2">
        <f>Setup!DS15</f>
        <v>3</v>
      </c>
      <c r="DT58" s="2" t="str">
        <f>CONCATENATE(Setup!DT15,"-",Setup!DU15)</f>
        <v>4-6</v>
      </c>
      <c r="DU58" s="10"/>
      <c r="DV58" s="10"/>
      <c r="DW58" s="10"/>
      <c r="DX58" s="38">
        <f>mround(DX57*Setup!DX15,'Quick Setup'!$A$2)</f>
        <v>195</v>
      </c>
      <c r="DY58" s="2">
        <f>Setup!DY15</f>
        <v>3</v>
      </c>
      <c r="DZ58" s="2">
        <f>Setup!DZ15</f>
        <v>2</v>
      </c>
      <c r="EA58" s="2" t="str">
        <f>CONCATENATE(Setup!EA15,"-",Setup!EB15)</f>
        <v>4-6</v>
      </c>
      <c r="EB58" s="10"/>
      <c r="EC58" s="10"/>
      <c r="ED58" s="10"/>
      <c r="EE58" s="38">
        <f>mround(EE57*Setup!EE15,'Quick Setup'!$A$2)</f>
        <v>207.5</v>
      </c>
      <c r="EF58" s="2">
        <f>Setup!EF15</f>
        <v>2</v>
      </c>
      <c r="EG58" s="2">
        <f>Setup!EG15</f>
        <v>2</v>
      </c>
      <c r="EH58" s="2" t="str">
        <f>CONCATENATE(Setup!EH15,"-",Setup!EI15)</f>
        <v>4-6</v>
      </c>
      <c r="EI58" s="10"/>
      <c r="EJ58" s="10"/>
      <c r="EK58" s="10"/>
      <c r="EL58" s="38">
        <f>mround(EL57*Setup!EL15,'Quick Setup'!$A$2)</f>
        <v>122.5</v>
      </c>
      <c r="EM58" s="1">
        <v>5.0</v>
      </c>
      <c r="EN58" s="1" t="s">
        <v>76</v>
      </c>
      <c r="EO58" s="2" t="str">
        <f>CONCATENATE(Setup!EO15,"-",Setup!EP15)</f>
        <v>4-6</v>
      </c>
      <c r="EP58" s="10"/>
      <c r="EQ58" s="10"/>
      <c r="ER58" s="10"/>
    </row>
    <row r="59">
      <c r="A59" s="5"/>
      <c r="B59" s="39"/>
      <c r="C59" s="10"/>
      <c r="D59" s="10"/>
      <c r="E59" s="10"/>
      <c r="F59" s="10"/>
      <c r="G59" s="10"/>
      <c r="H59" s="10"/>
      <c r="I59" s="39" t="str">
        <f t="shared" ref="I59:M59" si="401">B59</f>
        <v/>
      </c>
      <c r="J59" s="10" t="str">
        <f t="shared" si="401"/>
        <v/>
      </c>
      <c r="K59" s="10" t="str">
        <f t="shared" si="401"/>
        <v/>
      </c>
      <c r="L59" s="10" t="str">
        <f t="shared" si="401"/>
        <v/>
      </c>
      <c r="M59" s="10" t="str">
        <f t="shared" si="401"/>
        <v/>
      </c>
      <c r="N59" s="10"/>
      <c r="O59" s="10"/>
      <c r="P59" s="39" t="str">
        <f t="shared" ref="P59:T59" si="402">I59</f>
        <v/>
      </c>
      <c r="Q59" s="10" t="str">
        <f t="shared" si="402"/>
        <v/>
      </c>
      <c r="R59" s="10" t="str">
        <f t="shared" si="402"/>
        <v/>
      </c>
      <c r="S59" s="10" t="str">
        <f t="shared" si="402"/>
        <v/>
      </c>
      <c r="T59" s="10" t="str">
        <f t="shared" si="402"/>
        <v/>
      </c>
      <c r="U59" s="10"/>
      <c r="V59" s="10"/>
      <c r="W59" s="39" t="str">
        <f t="shared" ref="W59:AA59" si="403">P59</f>
        <v/>
      </c>
      <c r="X59" s="10" t="str">
        <f t="shared" si="403"/>
        <v/>
      </c>
      <c r="Y59" s="10" t="str">
        <f t="shared" si="403"/>
        <v/>
      </c>
      <c r="Z59" s="10" t="str">
        <f t="shared" si="403"/>
        <v/>
      </c>
      <c r="AA59" s="10" t="str">
        <f t="shared" si="403"/>
        <v/>
      </c>
      <c r="AB59" s="10"/>
      <c r="AC59" s="10"/>
      <c r="AD59" s="39" t="str">
        <f t="shared" ref="AD59:AH59" si="404">W59</f>
        <v/>
      </c>
      <c r="AE59" s="10" t="str">
        <f t="shared" si="404"/>
        <v/>
      </c>
      <c r="AF59" s="10" t="str">
        <f t="shared" si="404"/>
        <v/>
      </c>
      <c r="AG59" s="10" t="str">
        <f t="shared" si="404"/>
        <v/>
      </c>
      <c r="AH59" s="10" t="str">
        <f t="shared" si="404"/>
        <v/>
      </c>
      <c r="AI59" s="10"/>
      <c r="AJ59" s="10"/>
      <c r="AK59" s="39" t="str">
        <f t="shared" ref="AK59:AO59" si="405">AD59</f>
        <v/>
      </c>
      <c r="AL59" s="10" t="str">
        <f t="shared" si="405"/>
        <v/>
      </c>
      <c r="AM59" s="10" t="str">
        <f t="shared" si="405"/>
        <v/>
      </c>
      <c r="AN59" s="10" t="str">
        <f t="shared" si="405"/>
        <v/>
      </c>
      <c r="AO59" s="10" t="str">
        <f t="shared" si="405"/>
        <v/>
      </c>
      <c r="AP59" s="10"/>
      <c r="AQ59" s="10"/>
      <c r="AR59" s="39" t="str">
        <f t="shared" ref="AR59:AV59" si="406">AK59</f>
        <v/>
      </c>
      <c r="AS59" s="10" t="str">
        <f t="shared" si="406"/>
        <v/>
      </c>
      <c r="AT59" s="10" t="str">
        <f t="shared" si="406"/>
        <v/>
      </c>
      <c r="AU59" s="10" t="str">
        <f t="shared" si="406"/>
        <v/>
      </c>
      <c r="AV59" s="10" t="str">
        <f t="shared" si="406"/>
        <v/>
      </c>
      <c r="AW59" s="10"/>
      <c r="AX59" s="10"/>
      <c r="AY59" s="39" t="str">
        <f t="shared" ref="AY59:BC59" si="407">AR59</f>
        <v/>
      </c>
      <c r="AZ59" s="10" t="str">
        <f t="shared" si="407"/>
        <v/>
      </c>
      <c r="BA59" s="10" t="str">
        <f t="shared" si="407"/>
        <v/>
      </c>
      <c r="BB59" s="10" t="str">
        <f t="shared" si="407"/>
        <v/>
      </c>
      <c r="BC59" s="10" t="str">
        <f t="shared" si="407"/>
        <v/>
      </c>
      <c r="BD59" s="10"/>
      <c r="BE59" s="10"/>
      <c r="BF59" s="39" t="str">
        <f t="shared" ref="BF59:BJ59" si="408">AY59</f>
        <v/>
      </c>
      <c r="BG59" s="10" t="str">
        <f t="shared" si="408"/>
        <v/>
      </c>
      <c r="BH59" s="10" t="str">
        <f t="shared" si="408"/>
        <v/>
      </c>
      <c r="BI59" s="10" t="str">
        <f t="shared" si="408"/>
        <v/>
      </c>
      <c r="BJ59" s="10" t="str">
        <f t="shared" si="408"/>
        <v/>
      </c>
      <c r="BK59" s="10"/>
      <c r="BL59" s="10"/>
      <c r="BM59" s="39" t="str">
        <f t="shared" ref="BM59:BQ59" si="409">BF59</f>
        <v/>
      </c>
      <c r="BN59" s="10" t="str">
        <f t="shared" si="409"/>
        <v/>
      </c>
      <c r="BO59" s="10" t="str">
        <f t="shared" si="409"/>
        <v/>
      </c>
      <c r="BP59" s="10" t="str">
        <f t="shared" si="409"/>
        <v/>
      </c>
      <c r="BQ59" s="10" t="str">
        <f t="shared" si="409"/>
        <v/>
      </c>
      <c r="BR59" s="10"/>
      <c r="BS59" s="10"/>
      <c r="BT59" s="39" t="str">
        <f t="shared" ref="BT59:BX59" si="410">BM59</f>
        <v/>
      </c>
      <c r="BU59" s="10" t="str">
        <f t="shared" si="410"/>
        <v/>
      </c>
      <c r="BV59" s="10" t="str">
        <f t="shared" si="410"/>
        <v/>
      </c>
      <c r="BW59" s="10" t="str">
        <f t="shared" si="410"/>
        <v/>
      </c>
      <c r="BX59" s="10" t="str">
        <f t="shared" si="410"/>
        <v/>
      </c>
      <c r="BY59" s="10"/>
      <c r="BZ59" s="10"/>
      <c r="CA59" s="39" t="str">
        <f t="shared" ref="CA59:CE59" si="411">BT59</f>
        <v/>
      </c>
      <c r="CB59" s="10" t="str">
        <f t="shared" si="411"/>
        <v/>
      </c>
      <c r="CC59" s="10" t="str">
        <f t="shared" si="411"/>
        <v/>
      </c>
      <c r="CD59" s="10" t="str">
        <f t="shared" si="411"/>
        <v/>
      </c>
      <c r="CE59" s="10" t="str">
        <f t="shared" si="411"/>
        <v/>
      </c>
      <c r="CF59" s="10"/>
      <c r="CG59" s="10"/>
      <c r="CH59" s="39" t="str">
        <f t="shared" ref="CH59:CL59" si="412">CA59</f>
        <v/>
      </c>
      <c r="CI59" s="10" t="str">
        <f t="shared" si="412"/>
        <v/>
      </c>
      <c r="CJ59" s="10" t="str">
        <f t="shared" si="412"/>
        <v/>
      </c>
      <c r="CK59" s="10" t="str">
        <f t="shared" si="412"/>
        <v/>
      </c>
      <c r="CL59" s="10" t="str">
        <f t="shared" si="412"/>
        <v/>
      </c>
      <c r="CM59" s="10"/>
      <c r="CN59" s="10"/>
      <c r="CO59" s="39" t="str">
        <f t="shared" ref="CO59:CS59" si="413">CH59</f>
        <v/>
      </c>
      <c r="CP59" s="10" t="str">
        <f t="shared" si="413"/>
        <v/>
      </c>
      <c r="CQ59" s="10" t="str">
        <f t="shared" si="413"/>
        <v/>
      </c>
      <c r="CR59" s="10" t="str">
        <f t="shared" si="413"/>
        <v/>
      </c>
      <c r="CS59" s="10" t="str">
        <f t="shared" si="413"/>
        <v/>
      </c>
      <c r="CT59" s="10"/>
      <c r="CU59" s="10"/>
      <c r="CV59" s="39" t="str">
        <f t="shared" ref="CV59:CZ59" si="414">CO59</f>
        <v/>
      </c>
      <c r="CW59" s="10" t="str">
        <f t="shared" si="414"/>
        <v/>
      </c>
      <c r="CX59" s="10" t="str">
        <f t="shared" si="414"/>
        <v/>
      </c>
      <c r="CY59" s="10" t="str">
        <f t="shared" si="414"/>
        <v/>
      </c>
      <c r="CZ59" s="10" t="str">
        <f t="shared" si="414"/>
        <v/>
      </c>
      <c r="DA59" s="10"/>
      <c r="DB59" s="10"/>
      <c r="DC59" s="39" t="str">
        <f t="shared" ref="DC59:DG59" si="415">CV59</f>
        <v/>
      </c>
      <c r="DD59" s="10" t="str">
        <f t="shared" si="415"/>
        <v/>
      </c>
      <c r="DE59" s="10" t="str">
        <f t="shared" si="415"/>
        <v/>
      </c>
      <c r="DF59" s="10" t="str">
        <f t="shared" si="415"/>
        <v/>
      </c>
      <c r="DG59" s="10" t="str">
        <f t="shared" si="415"/>
        <v/>
      </c>
      <c r="DH59" s="10"/>
      <c r="DI59" s="10"/>
      <c r="DJ59" s="39" t="str">
        <f t="shared" ref="DJ59:DN59" si="416">DC59</f>
        <v/>
      </c>
      <c r="DK59" s="10" t="str">
        <f t="shared" si="416"/>
        <v/>
      </c>
      <c r="DL59" s="10" t="str">
        <f t="shared" si="416"/>
        <v/>
      </c>
      <c r="DM59" s="10" t="str">
        <f t="shared" si="416"/>
        <v/>
      </c>
      <c r="DN59" s="10" t="str">
        <f t="shared" si="416"/>
        <v/>
      </c>
      <c r="DO59" s="10"/>
      <c r="DP59" s="10"/>
      <c r="DQ59" s="39" t="str">
        <f t="shared" ref="DQ59:DU59" si="417">DJ59</f>
        <v/>
      </c>
      <c r="DR59" s="10" t="str">
        <f t="shared" si="417"/>
        <v/>
      </c>
      <c r="DS59" s="10" t="str">
        <f t="shared" si="417"/>
        <v/>
      </c>
      <c r="DT59" s="10" t="str">
        <f t="shared" si="417"/>
        <v/>
      </c>
      <c r="DU59" s="10" t="str">
        <f t="shared" si="417"/>
        <v/>
      </c>
      <c r="DV59" s="10"/>
      <c r="DW59" s="10"/>
      <c r="DX59" s="39" t="str">
        <f t="shared" ref="DX59:EB59" si="418">DQ59</f>
        <v/>
      </c>
      <c r="DY59" s="10" t="str">
        <f t="shared" si="418"/>
        <v/>
      </c>
      <c r="DZ59" s="10" t="str">
        <f t="shared" si="418"/>
        <v/>
      </c>
      <c r="EA59" s="10" t="str">
        <f t="shared" si="418"/>
        <v/>
      </c>
      <c r="EB59" s="10" t="str">
        <f t="shared" si="418"/>
        <v/>
      </c>
      <c r="EC59" s="10"/>
      <c r="ED59" s="10"/>
      <c r="EE59" s="39" t="str">
        <f t="shared" ref="EE59:EI59" si="419">DX59</f>
        <v/>
      </c>
      <c r="EF59" s="10" t="str">
        <f t="shared" si="419"/>
        <v/>
      </c>
      <c r="EG59" s="10" t="str">
        <f t="shared" si="419"/>
        <v/>
      </c>
      <c r="EH59" s="10" t="str">
        <f t="shared" si="419"/>
        <v/>
      </c>
      <c r="EI59" s="10" t="str">
        <f t="shared" si="419"/>
        <v/>
      </c>
      <c r="EJ59" s="10"/>
      <c r="EK59" s="10"/>
      <c r="EL59" s="39" t="str">
        <f t="shared" ref="EL59:EP59" si="420">EE59</f>
        <v/>
      </c>
      <c r="EM59" s="10" t="str">
        <f t="shared" si="420"/>
        <v/>
      </c>
      <c r="EN59" s="10" t="str">
        <f t="shared" si="420"/>
        <v/>
      </c>
      <c r="EO59" s="10" t="str">
        <f t="shared" si="420"/>
        <v/>
      </c>
      <c r="EP59" s="10" t="str">
        <f t="shared" si="420"/>
        <v/>
      </c>
      <c r="EQ59" s="10"/>
      <c r="ER59" s="10"/>
    </row>
    <row r="60">
      <c r="A60" s="1" t="s">
        <v>77</v>
      </c>
      <c r="B60" s="38"/>
      <c r="C60" s="2"/>
      <c r="D60" s="2"/>
      <c r="E60" s="2"/>
      <c r="F60" s="2"/>
      <c r="G60" s="2"/>
      <c r="H60" s="2"/>
      <c r="I60" s="38"/>
      <c r="J60" s="2"/>
      <c r="K60" s="2"/>
      <c r="L60" s="2"/>
      <c r="M60" s="2"/>
      <c r="N60" s="2"/>
      <c r="O60" s="2"/>
      <c r="P60" s="38"/>
      <c r="Q60" s="2"/>
      <c r="R60" s="2"/>
      <c r="S60" s="2"/>
      <c r="T60" s="2"/>
      <c r="U60" s="2"/>
      <c r="V60" s="2"/>
      <c r="W60" s="38"/>
      <c r="X60" s="2"/>
      <c r="Y60" s="2"/>
      <c r="Z60" s="2"/>
      <c r="AA60" s="2"/>
      <c r="AB60" s="2"/>
      <c r="AC60" s="2"/>
      <c r="AD60" s="38"/>
      <c r="AE60" s="2"/>
      <c r="AF60" s="2"/>
      <c r="AG60" s="2"/>
      <c r="AH60" s="2"/>
      <c r="AI60" s="2"/>
      <c r="AJ60" s="2"/>
      <c r="AK60" s="38"/>
      <c r="AL60" s="2"/>
      <c r="AM60" s="2"/>
      <c r="AN60" s="2"/>
      <c r="AO60" s="2"/>
      <c r="AP60" s="2"/>
      <c r="AQ60" s="2"/>
      <c r="AR60" s="38"/>
      <c r="AS60" s="2"/>
      <c r="AT60" s="2"/>
      <c r="AU60" s="2"/>
      <c r="AV60" s="2"/>
      <c r="AW60" s="2"/>
      <c r="AX60" s="2"/>
      <c r="AY60" s="38"/>
      <c r="AZ60" s="2"/>
      <c r="BA60" s="2"/>
      <c r="BB60" s="2"/>
      <c r="BC60" s="2"/>
      <c r="BD60" s="2"/>
      <c r="BE60" s="2"/>
      <c r="BF60" s="38"/>
      <c r="BG60" s="2"/>
      <c r="BH60" s="2"/>
      <c r="BI60" s="2"/>
      <c r="BJ60" s="2"/>
      <c r="BK60" s="2"/>
      <c r="BL60" s="2"/>
      <c r="BM60" s="38"/>
      <c r="BN60" s="2"/>
      <c r="BO60" s="2"/>
      <c r="BP60" s="2"/>
      <c r="BQ60" s="2"/>
      <c r="BR60" s="2"/>
      <c r="BS60" s="2"/>
      <c r="BT60" s="38"/>
      <c r="BU60" s="2"/>
      <c r="BV60" s="2"/>
      <c r="BW60" s="2"/>
      <c r="BX60" s="2"/>
      <c r="BY60" s="2"/>
      <c r="BZ60" s="2"/>
      <c r="CA60" s="38"/>
      <c r="CB60" s="2"/>
      <c r="CC60" s="2"/>
      <c r="CD60" s="2"/>
      <c r="CE60" s="2"/>
      <c r="CF60" s="2"/>
      <c r="CG60" s="2"/>
      <c r="CH60" s="38"/>
      <c r="CI60" s="2"/>
      <c r="CJ60" s="2"/>
      <c r="CK60" s="2"/>
      <c r="CL60" s="2"/>
      <c r="CM60" s="2"/>
      <c r="CN60" s="2"/>
      <c r="CO60" s="38"/>
      <c r="CP60" s="2"/>
      <c r="CQ60" s="2"/>
      <c r="CR60" s="2"/>
      <c r="CS60" s="2"/>
      <c r="CT60" s="2"/>
      <c r="CU60" s="2"/>
      <c r="CV60" s="38"/>
      <c r="CW60" s="2"/>
      <c r="CX60" s="2"/>
      <c r="CY60" s="2"/>
      <c r="CZ60" s="2"/>
      <c r="DA60" s="2"/>
      <c r="DB60" s="2"/>
      <c r="DC60" s="38"/>
      <c r="DD60" s="2"/>
      <c r="DE60" s="2"/>
      <c r="DF60" s="2"/>
      <c r="DG60" s="2"/>
      <c r="DH60" s="2"/>
      <c r="DI60" s="2"/>
      <c r="DJ60" s="38"/>
      <c r="DK60" s="2"/>
      <c r="DL60" s="2"/>
      <c r="DM60" s="2"/>
      <c r="DN60" s="2"/>
      <c r="DO60" s="2"/>
      <c r="DP60" s="2"/>
      <c r="DQ60" s="38"/>
      <c r="DR60" s="2"/>
      <c r="DS60" s="2"/>
      <c r="DT60" s="2"/>
      <c r="DU60" s="2"/>
      <c r="DV60" s="2"/>
      <c r="DW60" s="2"/>
      <c r="DX60" s="38"/>
      <c r="DY60" s="2"/>
      <c r="DZ60" s="2"/>
      <c r="EA60" s="2"/>
      <c r="EB60" s="2"/>
      <c r="EC60" s="2"/>
      <c r="ED60" s="2"/>
      <c r="EE60" s="38"/>
      <c r="EF60" s="2"/>
      <c r="EG60" s="2"/>
      <c r="EH60" s="2"/>
      <c r="EI60" s="2"/>
      <c r="EJ60" s="2"/>
      <c r="EK60" s="2"/>
      <c r="EL60" s="38"/>
      <c r="EM60" s="2"/>
      <c r="EN60" s="2"/>
      <c r="EO60" s="2"/>
      <c r="EP60" s="2"/>
      <c r="EQ60" s="2"/>
      <c r="ER60" s="2"/>
    </row>
    <row r="61">
      <c r="A61" s="40"/>
      <c r="B61" s="39"/>
      <c r="C61" s="10"/>
      <c r="D61" s="10"/>
      <c r="E61" s="10"/>
      <c r="F61" s="10"/>
      <c r="G61" s="10"/>
      <c r="H61" s="10"/>
      <c r="I61" s="39" t="str">
        <f t="shared" ref="I61:M61" si="421">B61</f>
        <v/>
      </c>
      <c r="J61" s="10" t="str">
        <f t="shared" si="421"/>
        <v/>
      </c>
      <c r="K61" s="10" t="str">
        <f t="shared" si="421"/>
        <v/>
      </c>
      <c r="L61" s="10" t="str">
        <f t="shared" si="421"/>
        <v/>
      </c>
      <c r="M61" s="10" t="str">
        <f t="shared" si="421"/>
        <v/>
      </c>
      <c r="N61" s="10"/>
      <c r="O61" s="10"/>
      <c r="P61" s="39" t="str">
        <f t="shared" ref="P61:T61" si="422">I61</f>
        <v/>
      </c>
      <c r="Q61" s="10" t="str">
        <f t="shared" si="422"/>
        <v/>
      </c>
      <c r="R61" s="10" t="str">
        <f t="shared" si="422"/>
        <v/>
      </c>
      <c r="S61" s="10" t="str">
        <f t="shared" si="422"/>
        <v/>
      </c>
      <c r="T61" s="10" t="str">
        <f t="shared" si="422"/>
        <v/>
      </c>
      <c r="U61" s="10"/>
      <c r="V61" s="10"/>
      <c r="W61" s="39" t="str">
        <f t="shared" ref="W61:AA61" si="423">P61</f>
        <v/>
      </c>
      <c r="X61" s="10" t="str">
        <f t="shared" si="423"/>
        <v/>
      </c>
      <c r="Y61" s="10" t="str">
        <f t="shared" si="423"/>
        <v/>
      </c>
      <c r="Z61" s="10" t="str">
        <f t="shared" si="423"/>
        <v/>
      </c>
      <c r="AA61" s="10" t="str">
        <f t="shared" si="423"/>
        <v/>
      </c>
      <c r="AB61" s="10"/>
      <c r="AC61" s="10"/>
      <c r="AD61" s="39" t="str">
        <f t="shared" ref="AD61:AH61" si="424">W61</f>
        <v/>
      </c>
      <c r="AE61" s="10" t="str">
        <f t="shared" si="424"/>
        <v/>
      </c>
      <c r="AF61" s="10" t="str">
        <f t="shared" si="424"/>
        <v/>
      </c>
      <c r="AG61" s="10" t="str">
        <f t="shared" si="424"/>
        <v/>
      </c>
      <c r="AH61" s="10" t="str">
        <f t="shared" si="424"/>
        <v/>
      </c>
      <c r="AI61" s="10"/>
      <c r="AJ61" s="10"/>
      <c r="AK61" s="39" t="str">
        <f t="shared" ref="AK61:AO61" si="425">AD61</f>
        <v/>
      </c>
      <c r="AL61" s="10" t="str">
        <f t="shared" si="425"/>
        <v/>
      </c>
      <c r="AM61" s="10" t="str">
        <f t="shared" si="425"/>
        <v/>
      </c>
      <c r="AN61" s="10" t="str">
        <f t="shared" si="425"/>
        <v/>
      </c>
      <c r="AO61" s="10" t="str">
        <f t="shared" si="425"/>
        <v/>
      </c>
      <c r="AP61" s="10"/>
      <c r="AQ61" s="10"/>
      <c r="AR61" s="39" t="str">
        <f t="shared" ref="AR61:AV61" si="426">AK61</f>
        <v/>
      </c>
      <c r="AS61" s="10" t="str">
        <f t="shared" si="426"/>
        <v/>
      </c>
      <c r="AT61" s="10" t="str">
        <f t="shared" si="426"/>
        <v/>
      </c>
      <c r="AU61" s="10" t="str">
        <f t="shared" si="426"/>
        <v/>
      </c>
      <c r="AV61" s="10" t="str">
        <f t="shared" si="426"/>
        <v/>
      </c>
      <c r="AW61" s="10"/>
      <c r="AX61" s="10"/>
      <c r="AY61" s="39" t="str">
        <f t="shared" ref="AY61:BC61" si="427">AR61</f>
        <v/>
      </c>
      <c r="AZ61" s="10" t="str">
        <f t="shared" si="427"/>
        <v/>
      </c>
      <c r="BA61" s="10" t="str">
        <f t="shared" si="427"/>
        <v/>
      </c>
      <c r="BB61" s="10" t="str">
        <f t="shared" si="427"/>
        <v/>
      </c>
      <c r="BC61" s="10" t="str">
        <f t="shared" si="427"/>
        <v/>
      </c>
      <c r="BD61" s="10"/>
      <c r="BE61" s="10"/>
      <c r="BF61" s="39" t="str">
        <f t="shared" ref="BF61:BJ61" si="428">AY61</f>
        <v/>
      </c>
      <c r="BG61" s="10" t="str">
        <f t="shared" si="428"/>
        <v/>
      </c>
      <c r="BH61" s="10" t="str">
        <f t="shared" si="428"/>
        <v/>
      </c>
      <c r="BI61" s="10" t="str">
        <f t="shared" si="428"/>
        <v/>
      </c>
      <c r="BJ61" s="10" t="str">
        <f t="shared" si="428"/>
        <v/>
      </c>
      <c r="BK61" s="10"/>
      <c r="BL61" s="10"/>
      <c r="BM61" s="39" t="str">
        <f t="shared" ref="BM61:BQ61" si="429">BF61</f>
        <v/>
      </c>
      <c r="BN61" s="10" t="str">
        <f t="shared" si="429"/>
        <v/>
      </c>
      <c r="BO61" s="10" t="str">
        <f t="shared" si="429"/>
        <v/>
      </c>
      <c r="BP61" s="10" t="str">
        <f t="shared" si="429"/>
        <v/>
      </c>
      <c r="BQ61" s="10" t="str">
        <f t="shared" si="429"/>
        <v/>
      </c>
      <c r="BR61" s="10"/>
      <c r="BS61" s="10"/>
      <c r="BT61" s="39" t="str">
        <f t="shared" ref="BT61:BX61" si="430">BM61</f>
        <v/>
      </c>
      <c r="BU61" s="10" t="str">
        <f t="shared" si="430"/>
        <v/>
      </c>
      <c r="BV61" s="10" t="str">
        <f t="shared" si="430"/>
        <v/>
      </c>
      <c r="BW61" s="10" t="str">
        <f t="shared" si="430"/>
        <v/>
      </c>
      <c r="BX61" s="10" t="str">
        <f t="shared" si="430"/>
        <v/>
      </c>
      <c r="BY61" s="10"/>
      <c r="BZ61" s="10"/>
      <c r="CA61" s="39" t="str">
        <f t="shared" ref="CA61:CE61" si="431">BT61</f>
        <v/>
      </c>
      <c r="CB61" s="10" t="str">
        <f t="shared" si="431"/>
        <v/>
      </c>
      <c r="CC61" s="10" t="str">
        <f t="shared" si="431"/>
        <v/>
      </c>
      <c r="CD61" s="10" t="str">
        <f t="shared" si="431"/>
        <v/>
      </c>
      <c r="CE61" s="10" t="str">
        <f t="shared" si="431"/>
        <v/>
      </c>
      <c r="CF61" s="10"/>
      <c r="CG61" s="10"/>
      <c r="CH61" s="39" t="str">
        <f t="shared" ref="CH61:CL61" si="432">CA61</f>
        <v/>
      </c>
      <c r="CI61" s="10" t="str">
        <f t="shared" si="432"/>
        <v/>
      </c>
      <c r="CJ61" s="10" t="str">
        <f t="shared" si="432"/>
        <v/>
      </c>
      <c r="CK61" s="10" t="str">
        <f t="shared" si="432"/>
        <v/>
      </c>
      <c r="CL61" s="10" t="str">
        <f t="shared" si="432"/>
        <v/>
      </c>
      <c r="CM61" s="10"/>
      <c r="CN61" s="10"/>
      <c r="CO61" s="39" t="str">
        <f t="shared" ref="CO61:CS61" si="433">CH61</f>
        <v/>
      </c>
      <c r="CP61" s="10" t="str">
        <f t="shared" si="433"/>
        <v/>
      </c>
      <c r="CQ61" s="10" t="str">
        <f t="shared" si="433"/>
        <v/>
      </c>
      <c r="CR61" s="10" t="str">
        <f t="shared" si="433"/>
        <v/>
      </c>
      <c r="CS61" s="10" t="str">
        <f t="shared" si="433"/>
        <v/>
      </c>
      <c r="CT61" s="10"/>
      <c r="CU61" s="10"/>
      <c r="CV61" s="39" t="str">
        <f t="shared" ref="CV61:CZ61" si="434">CO61</f>
        <v/>
      </c>
      <c r="CW61" s="10" t="str">
        <f t="shared" si="434"/>
        <v/>
      </c>
      <c r="CX61" s="10" t="str">
        <f t="shared" si="434"/>
        <v/>
      </c>
      <c r="CY61" s="10" t="str">
        <f t="shared" si="434"/>
        <v/>
      </c>
      <c r="CZ61" s="10" t="str">
        <f t="shared" si="434"/>
        <v/>
      </c>
      <c r="DA61" s="10"/>
      <c r="DB61" s="10"/>
      <c r="DC61" s="39" t="str">
        <f t="shared" ref="DC61:DG61" si="435">CV61</f>
        <v/>
      </c>
      <c r="DD61" s="10" t="str">
        <f t="shared" si="435"/>
        <v/>
      </c>
      <c r="DE61" s="10" t="str">
        <f t="shared" si="435"/>
        <v/>
      </c>
      <c r="DF61" s="10" t="str">
        <f t="shared" si="435"/>
        <v/>
      </c>
      <c r="DG61" s="10" t="str">
        <f t="shared" si="435"/>
        <v/>
      </c>
      <c r="DH61" s="10"/>
      <c r="DI61" s="10"/>
      <c r="DJ61" s="39" t="str">
        <f t="shared" ref="DJ61:DN61" si="436">DC61</f>
        <v/>
      </c>
      <c r="DK61" s="10" t="str">
        <f t="shared" si="436"/>
        <v/>
      </c>
      <c r="DL61" s="10" t="str">
        <f t="shared" si="436"/>
        <v/>
      </c>
      <c r="DM61" s="10" t="str">
        <f t="shared" si="436"/>
        <v/>
      </c>
      <c r="DN61" s="10" t="str">
        <f t="shared" si="436"/>
        <v/>
      </c>
      <c r="DO61" s="10"/>
      <c r="DP61" s="10"/>
      <c r="DQ61" s="39" t="str">
        <f t="shared" ref="DQ61:DU61" si="437">DJ61</f>
        <v/>
      </c>
      <c r="DR61" s="10" t="str">
        <f t="shared" si="437"/>
        <v/>
      </c>
      <c r="DS61" s="10" t="str">
        <f t="shared" si="437"/>
        <v/>
      </c>
      <c r="DT61" s="10" t="str">
        <f t="shared" si="437"/>
        <v/>
      </c>
      <c r="DU61" s="10" t="str">
        <f t="shared" si="437"/>
        <v/>
      </c>
      <c r="DV61" s="10"/>
      <c r="DW61" s="10"/>
      <c r="DX61" s="39" t="str">
        <f t="shared" ref="DX61:EB61" si="438">DQ61</f>
        <v/>
      </c>
      <c r="DY61" s="10" t="str">
        <f t="shared" si="438"/>
        <v/>
      </c>
      <c r="DZ61" s="10" t="str">
        <f t="shared" si="438"/>
        <v/>
      </c>
      <c r="EA61" s="10" t="str">
        <f t="shared" si="438"/>
        <v/>
      </c>
      <c r="EB61" s="10" t="str">
        <f t="shared" si="438"/>
        <v/>
      </c>
      <c r="EC61" s="10"/>
      <c r="ED61" s="10"/>
      <c r="EE61" s="39" t="str">
        <f t="shared" ref="EE61:EI61" si="439">DX61</f>
        <v/>
      </c>
      <c r="EF61" s="10" t="str">
        <f t="shared" si="439"/>
        <v/>
      </c>
      <c r="EG61" s="10" t="str">
        <f t="shared" si="439"/>
        <v/>
      </c>
      <c r="EH61" s="10" t="str">
        <f t="shared" si="439"/>
        <v/>
      </c>
      <c r="EI61" s="10" t="str">
        <f t="shared" si="439"/>
        <v/>
      </c>
      <c r="EJ61" s="10"/>
      <c r="EK61" s="10"/>
      <c r="EL61" s="39" t="str">
        <f t="shared" ref="EL61:EP61" si="440">EE61</f>
        <v/>
      </c>
      <c r="EM61" s="10" t="str">
        <f t="shared" si="440"/>
        <v/>
      </c>
      <c r="EN61" s="10" t="str">
        <f t="shared" si="440"/>
        <v/>
      </c>
      <c r="EO61" s="10" t="str">
        <f t="shared" si="440"/>
        <v/>
      </c>
      <c r="EP61" s="10" t="str">
        <f t="shared" si="440"/>
        <v/>
      </c>
      <c r="EQ61" s="10"/>
      <c r="ER61" s="10"/>
    </row>
    <row r="62">
      <c r="A62" s="40"/>
      <c r="B62" s="39"/>
      <c r="C62" s="10"/>
      <c r="D62" s="10"/>
      <c r="E62" s="10"/>
      <c r="F62" s="10"/>
      <c r="G62" s="10"/>
      <c r="H62" s="10"/>
      <c r="I62" s="39" t="str">
        <f t="shared" ref="I62:M62" si="441">B62</f>
        <v/>
      </c>
      <c r="J62" s="10" t="str">
        <f t="shared" si="441"/>
        <v/>
      </c>
      <c r="K62" s="10" t="str">
        <f t="shared" si="441"/>
        <v/>
      </c>
      <c r="L62" s="10" t="str">
        <f t="shared" si="441"/>
        <v/>
      </c>
      <c r="M62" s="10" t="str">
        <f t="shared" si="441"/>
        <v/>
      </c>
      <c r="N62" s="10"/>
      <c r="O62" s="10"/>
      <c r="P62" s="39" t="str">
        <f t="shared" ref="P62:T62" si="442">I62</f>
        <v/>
      </c>
      <c r="Q62" s="10" t="str">
        <f t="shared" si="442"/>
        <v/>
      </c>
      <c r="R62" s="10" t="str">
        <f t="shared" si="442"/>
        <v/>
      </c>
      <c r="S62" s="10" t="str">
        <f t="shared" si="442"/>
        <v/>
      </c>
      <c r="T62" s="10" t="str">
        <f t="shared" si="442"/>
        <v/>
      </c>
      <c r="U62" s="10"/>
      <c r="V62" s="10"/>
      <c r="W62" s="39" t="str">
        <f t="shared" ref="W62:AA62" si="443">P62</f>
        <v/>
      </c>
      <c r="X62" s="10" t="str">
        <f t="shared" si="443"/>
        <v/>
      </c>
      <c r="Y62" s="10" t="str">
        <f t="shared" si="443"/>
        <v/>
      </c>
      <c r="Z62" s="10" t="str">
        <f t="shared" si="443"/>
        <v/>
      </c>
      <c r="AA62" s="10" t="str">
        <f t="shared" si="443"/>
        <v/>
      </c>
      <c r="AB62" s="10"/>
      <c r="AC62" s="10"/>
      <c r="AD62" s="39" t="str">
        <f t="shared" ref="AD62:AH62" si="444">W62</f>
        <v/>
      </c>
      <c r="AE62" s="10" t="str">
        <f t="shared" si="444"/>
        <v/>
      </c>
      <c r="AF62" s="10" t="str">
        <f t="shared" si="444"/>
        <v/>
      </c>
      <c r="AG62" s="10" t="str">
        <f t="shared" si="444"/>
        <v/>
      </c>
      <c r="AH62" s="10" t="str">
        <f t="shared" si="444"/>
        <v/>
      </c>
      <c r="AI62" s="10"/>
      <c r="AJ62" s="10"/>
      <c r="AK62" s="39" t="str">
        <f t="shared" ref="AK62:AO62" si="445">AD62</f>
        <v/>
      </c>
      <c r="AL62" s="10" t="str">
        <f t="shared" si="445"/>
        <v/>
      </c>
      <c r="AM62" s="10" t="str">
        <f t="shared" si="445"/>
        <v/>
      </c>
      <c r="AN62" s="10" t="str">
        <f t="shared" si="445"/>
        <v/>
      </c>
      <c r="AO62" s="10" t="str">
        <f t="shared" si="445"/>
        <v/>
      </c>
      <c r="AP62" s="10"/>
      <c r="AQ62" s="10"/>
      <c r="AR62" s="39" t="str">
        <f t="shared" ref="AR62:AV62" si="446">AK62</f>
        <v/>
      </c>
      <c r="AS62" s="10" t="str">
        <f t="shared" si="446"/>
        <v/>
      </c>
      <c r="AT62" s="10" t="str">
        <f t="shared" si="446"/>
        <v/>
      </c>
      <c r="AU62" s="10" t="str">
        <f t="shared" si="446"/>
        <v/>
      </c>
      <c r="AV62" s="10" t="str">
        <f t="shared" si="446"/>
        <v/>
      </c>
      <c r="AW62" s="10"/>
      <c r="AX62" s="10"/>
      <c r="AY62" s="39" t="str">
        <f t="shared" ref="AY62:BC62" si="447">AR62</f>
        <v/>
      </c>
      <c r="AZ62" s="10" t="str">
        <f t="shared" si="447"/>
        <v/>
      </c>
      <c r="BA62" s="10" t="str">
        <f t="shared" si="447"/>
        <v/>
      </c>
      <c r="BB62" s="10" t="str">
        <f t="shared" si="447"/>
        <v/>
      </c>
      <c r="BC62" s="10" t="str">
        <f t="shared" si="447"/>
        <v/>
      </c>
      <c r="BD62" s="10"/>
      <c r="BE62" s="10"/>
      <c r="BF62" s="39" t="str">
        <f t="shared" ref="BF62:BJ62" si="448">AY62</f>
        <v/>
      </c>
      <c r="BG62" s="10" t="str">
        <f t="shared" si="448"/>
        <v/>
      </c>
      <c r="BH62" s="10" t="str">
        <f t="shared" si="448"/>
        <v/>
      </c>
      <c r="BI62" s="10" t="str">
        <f t="shared" si="448"/>
        <v/>
      </c>
      <c r="BJ62" s="10" t="str">
        <f t="shared" si="448"/>
        <v/>
      </c>
      <c r="BK62" s="10"/>
      <c r="BL62" s="10"/>
      <c r="BM62" s="39" t="str">
        <f t="shared" ref="BM62:BQ62" si="449">BF62</f>
        <v/>
      </c>
      <c r="BN62" s="10" t="str">
        <f t="shared" si="449"/>
        <v/>
      </c>
      <c r="BO62" s="10" t="str">
        <f t="shared" si="449"/>
        <v/>
      </c>
      <c r="BP62" s="10" t="str">
        <f t="shared" si="449"/>
        <v/>
      </c>
      <c r="BQ62" s="10" t="str">
        <f t="shared" si="449"/>
        <v/>
      </c>
      <c r="BR62" s="10"/>
      <c r="BS62" s="10"/>
      <c r="BT62" s="39" t="str">
        <f t="shared" ref="BT62:BX62" si="450">BM62</f>
        <v/>
      </c>
      <c r="BU62" s="10" t="str">
        <f t="shared" si="450"/>
        <v/>
      </c>
      <c r="BV62" s="10" t="str">
        <f t="shared" si="450"/>
        <v/>
      </c>
      <c r="BW62" s="10" t="str">
        <f t="shared" si="450"/>
        <v/>
      </c>
      <c r="BX62" s="10" t="str">
        <f t="shared" si="450"/>
        <v/>
      </c>
      <c r="BY62" s="10"/>
      <c r="BZ62" s="10"/>
      <c r="CA62" s="39" t="str">
        <f t="shared" ref="CA62:CE62" si="451">BT62</f>
        <v/>
      </c>
      <c r="CB62" s="10" t="str">
        <f t="shared" si="451"/>
        <v/>
      </c>
      <c r="CC62" s="10" t="str">
        <f t="shared" si="451"/>
        <v/>
      </c>
      <c r="CD62" s="10" t="str">
        <f t="shared" si="451"/>
        <v/>
      </c>
      <c r="CE62" s="10" t="str">
        <f t="shared" si="451"/>
        <v/>
      </c>
      <c r="CF62" s="10"/>
      <c r="CG62" s="10"/>
      <c r="CH62" s="39" t="str">
        <f t="shared" ref="CH62:CL62" si="452">CA62</f>
        <v/>
      </c>
      <c r="CI62" s="10" t="str">
        <f t="shared" si="452"/>
        <v/>
      </c>
      <c r="CJ62" s="10" t="str">
        <f t="shared" si="452"/>
        <v/>
      </c>
      <c r="CK62" s="10" t="str">
        <f t="shared" si="452"/>
        <v/>
      </c>
      <c r="CL62" s="10" t="str">
        <f t="shared" si="452"/>
        <v/>
      </c>
      <c r="CM62" s="10"/>
      <c r="CN62" s="10"/>
      <c r="CO62" s="39" t="str">
        <f t="shared" ref="CO62:CS62" si="453">CH62</f>
        <v/>
      </c>
      <c r="CP62" s="10" t="str">
        <f t="shared" si="453"/>
        <v/>
      </c>
      <c r="CQ62" s="10" t="str">
        <f t="shared" si="453"/>
        <v/>
      </c>
      <c r="CR62" s="10" t="str">
        <f t="shared" si="453"/>
        <v/>
      </c>
      <c r="CS62" s="10" t="str">
        <f t="shared" si="453"/>
        <v/>
      </c>
      <c r="CT62" s="10"/>
      <c r="CU62" s="10"/>
      <c r="CV62" s="39" t="str">
        <f t="shared" ref="CV62:CZ62" si="454">CO62</f>
        <v/>
      </c>
      <c r="CW62" s="10" t="str">
        <f t="shared" si="454"/>
        <v/>
      </c>
      <c r="CX62" s="10" t="str">
        <f t="shared" si="454"/>
        <v/>
      </c>
      <c r="CY62" s="10" t="str">
        <f t="shared" si="454"/>
        <v/>
      </c>
      <c r="CZ62" s="10" t="str">
        <f t="shared" si="454"/>
        <v/>
      </c>
      <c r="DA62" s="10"/>
      <c r="DB62" s="10"/>
      <c r="DC62" s="39" t="str">
        <f t="shared" ref="DC62:DG62" si="455">CV62</f>
        <v/>
      </c>
      <c r="DD62" s="10" t="str">
        <f t="shared" si="455"/>
        <v/>
      </c>
      <c r="DE62" s="10" t="str">
        <f t="shared" si="455"/>
        <v/>
      </c>
      <c r="DF62" s="10" t="str">
        <f t="shared" si="455"/>
        <v/>
      </c>
      <c r="DG62" s="10" t="str">
        <f t="shared" si="455"/>
        <v/>
      </c>
      <c r="DH62" s="10"/>
      <c r="DI62" s="10"/>
      <c r="DJ62" s="39" t="str">
        <f t="shared" ref="DJ62:DN62" si="456">DC62</f>
        <v/>
      </c>
      <c r="DK62" s="10" t="str">
        <f t="shared" si="456"/>
        <v/>
      </c>
      <c r="DL62" s="10" t="str">
        <f t="shared" si="456"/>
        <v/>
      </c>
      <c r="DM62" s="10" t="str">
        <f t="shared" si="456"/>
        <v/>
      </c>
      <c r="DN62" s="10" t="str">
        <f t="shared" si="456"/>
        <v/>
      </c>
      <c r="DO62" s="10"/>
      <c r="DP62" s="10"/>
      <c r="DQ62" s="39" t="str">
        <f t="shared" ref="DQ62:DU62" si="457">DJ62</f>
        <v/>
      </c>
      <c r="DR62" s="10" t="str">
        <f t="shared" si="457"/>
        <v/>
      </c>
      <c r="DS62" s="10" t="str">
        <f t="shared" si="457"/>
        <v/>
      </c>
      <c r="DT62" s="10" t="str">
        <f t="shared" si="457"/>
        <v/>
      </c>
      <c r="DU62" s="10" t="str">
        <f t="shared" si="457"/>
        <v/>
      </c>
      <c r="DV62" s="10"/>
      <c r="DW62" s="10"/>
      <c r="DX62" s="39" t="str">
        <f t="shared" ref="DX62:EB62" si="458">DQ62</f>
        <v/>
      </c>
      <c r="DY62" s="10" t="str">
        <f t="shared" si="458"/>
        <v/>
      </c>
      <c r="DZ62" s="10" t="str">
        <f t="shared" si="458"/>
        <v/>
      </c>
      <c r="EA62" s="10" t="str">
        <f t="shared" si="458"/>
        <v/>
      </c>
      <c r="EB62" s="10" t="str">
        <f t="shared" si="458"/>
        <v/>
      </c>
      <c r="EC62" s="10"/>
      <c r="ED62" s="10"/>
      <c r="EE62" s="39" t="str">
        <f t="shared" ref="EE62:EI62" si="459">DX62</f>
        <v/>
      </c>
      <c r="EF62" s="10" t="str">
        <f t="shared" si="459"/>
        <v/>
      </c>
      <c r="EG62" s="10" t="str">
        <f t="shared" si="459"/>
        <v/>
      </c>
      <c r="EH62" s="10" t="str">
        <f t="shared" si="459"/>
        <v/>
      </c>
      <c r="EI62" s="10" t="str">
        <f t="shared" si="459"/>
        <v/>
      </c>
      <c r="EJ62" s="10"/>
      <c r="EK62" s="10"/>
      <c r="EL62" s="39" t="str">
        <f t="shared" ref="EL62:EP62" si="460">EE62</f>
        <v/>
      </c>
      <c r="EM62" s="10" t="str">
        <f t="shared" si="460"/>
        <v/>
      </c>
      <c r="EN62" s="10" t="str">
        <f t="shared" si="460"/>
        <v/>
      </c>
      <c r="EO62" s="10" t="str">
        <f t="shared" si="460"/>
        <v/>
      </c>
      <c r="EP62" s="10" t="str">
        <f t="shared" si="460"/>
        <v/>
      </c>
      <c r="EQ62" s="10"/>
      <c r="ER62" s="10"/>
    </row>
    <row r="63">
      <c r="A63" s="41"/>
      <c r="B63" s="42"/>
      <c r="C63" s="43"/>
      <c r="D63" s="43"/>
      <c r="E63" s="43"/>
      <c r="F63" s="43"/>
      <c r="G63" s="43"/>
      <c r="H63" s="43"/>
      <c r="I63" s="42" t="str">
        <f t="shared" ref="I63:M63" si="461">B63</f>
        <v/>
      </c>
      <c r="J63" s="43" t="str">
        <f t="shared" si="461"/>
        <v/>
      </c>
      <c r="K63" s="43" t="str">
        <f t="shared" si="461"/>
        <v/>
      </c>
      <c r="L63" s="43" t="str">
        <f t="shared" si="461"/>
        <v/>
      </c>
      <c r="M63" s="43" t="str">
        <f t="shared" si="461"/>
        <v/>
      </c>
      <c r="N63" s="43"/>
      <c r="O63" s="43"/>
      <c r="P63" s="42" t="str">
        <f t="shared" ref="P63:T63" si="462">I63</f>
        <v/>
      </c>
      <c r="Q63" s="43" t="str">
        <f t="shared" si="462"/>
        <v/>
      </c>
      <c r="R63" s="43" t="str">
        <f t="shared" si="462"/>
        <v/>
      </c>
      <c r="S63" s="43" t="str">
        <f t="shared" si="462"/>
        <v/>
      </c>
      <c r="T63" s="43" t="str">
        <f t="shared" si="462"/>
        <v/>
      </c>
      <c r="U63" s="43"/>
      <c r="V63" s="43"/>
      <c r="W63" s="42" t="str">
        <f t="shared" ref="W63:AA63" si="463">P63</f>
        <v/>
      </c>
      <c r="X63" s="43" t="str">
        <f t="shared" si="463"/>
        <v/>
      </c>
      <c r="Y63" s="43" t="str">
        <f t="shared" si="463"/>
        <v/>
      </c>
      <c r="Z63" s="43" t="str">
        <f t="shared" si="463"/>
        <v/>
      </c>
      <c r="AA63" s="43" t="str">
        <f t="shared" si="463"/>
        <v/>
      </c>
      <c r="AB63" s="43"/>
      <c r="AC63" s="43"/>
      <c r="AD63" s="42" t="str">
        <f t="shared" ref="AD63:AH63" si="464">W63</f>
        <v/>
      </c>
      <c r="AE63" s="43" t="str">
        <f t="shared" si="464"/>
        <v/>
      </c>
      <c r="AF63" s="43" t="str">
        <f t="shared" si="464"/>
        <v/>
      </c>
      <c r="AG63" s="43" t="str">
        <f t="shared" si="464"/>
        <v/>
      </c>
      <c r="AH63" s="43" t="str">
        <f t="shared" si="464"/>
        <v/>
      </c>
      <c r="AI63" s="43"/>
      <c r="AJ63" s="43"/>
      <c r="AK63" s="42" t="str">
        <f t="shared" ref="AK63:AO63" si="465">AD63</f>
        <v/>
      </c>
      <c r="AL63" s="43" t="str">
        <f t="shared" si="465"/>
        <v/>
      </c>
      <c r="AM63" s="43" t="str">
        <f t="shared" si="465"/>
        <v/>
      </c>
      <c r="AN63" s="43" t="str">
        <f t="shared" si="465"/>
        <v/>
      </c>
      <c r="AO63" s="43" t="str">
        <f t="shared" si="465"/>
        <v/>
      </c>
      <c r="AP63" s="43"/>
      <c r="AQ63" s="43"/>
      <c r="AR63" s="42" t="str">
        <f t="shared" ref="AR63:AV63" si="466">AK63</f>
        <v/>
      </c>
      <c r="AS63" s="43" t="str">
        <f t="shared" si="466"/>
        <v/>
      </c>
      <c r="AT63" s="43" t="str">
        <f t="shared" si="466"/>
        <v/>
      </c>
      <c r="AU63" s="43" t="str">
        <f t="shared" si="466"/>
        <v/>
      </c>
      <c r="AV63" s="43" t="str">
        <f t="shared" si="466"/>
        <v/>
      </c>
      <c r="AW63" s="43"/>
      <c r="AX63" s="43"/>
      <c r="AY63" s="42" t="str">
        <f t="shared" ref="AY63:BC63" si="467">AR63</f>
        <v/>
      </c>
      <c r="AZ63" s="43" t="str">
        <f t="shared" si="467"/>
        <v/>
      </c>
      <c r="BA63" s="43" t="str">
        <f t="shared" si="467"/>
        <v/>
      </c>
      <c r="BB63" s="43" t="str">
        <f t="shared" si="467"/>
        <v/>
      </c>
      <c r="BC63" s="43" t="str">
        <f t="shared" si="467"/>
        <v/>
      </c>
      <c r="BD63" s="43"/>
      <c r="BE63" s="43"/>
      <c r="BF63" s="42" t="str">
        <f t="shared" ref="BF63:BJ63" si="468">AY63</f>
        <v/>
      </c>
      <c r="BG63" s="43" t="str">
        <f t="shared" si="468"/>
        <v/>
      </c>
      <c r="BH63" s="43" t="str">
        <f t="shared" si="468"/>
        <v/>
      </c>
      <c r="BI63" s="43" t="str">
        <f t="shared" si="468"/>
        <v/>
      </c>
      <c r="BJ63" s="43" t="str">
        <f t="shared" si="468"/>
        <v/>
      </c>
      <c r="BK63" s="43"/>
      <c r="BL63" s="43"/>
      <c r="BM63" s="42" t="str">
        <f t="shared" ref="BM63:BQ63" si="469">BF63</f>
        <v/>
      </c>
      <c r="BN63" s="43" t="str">
        <f t="shared" si="469"/>
        <v/>
      </c>
      <c r="BO63" s="43" t="str">
        <f t="shared" si="469"/>
        <v/>
      </c>
      <c r="BP63" s="43" t="str">
        <f t="shared" si="469"/>
        <v/>
      </c>
      <c r="BQ63" s="43" t="str">
        <f t="shared" si="469"/>
        <v/>
      </c>
      <c r="BR63" s="43"/>
      <c r="BS63" s="43"/>
      <c r="BT63" s="42" t="str">
        <f t="shared" ref="BT63:BX63" si="470">BM63</f>
        <v/>
      </c>
      <c r="BU63" s="43" t="str">
        <f t="shared" si="470"/>
        <v/>
      </c>
      <c r="BV63" s="43" t="str">
        <f t="shared" si="470"/>
        <v/>
      </c>
      <c r="BW63" s="43" t="str">
        <f t="shared" si="470"/>
        <v/>
      </c>
      <c r="BX63" s="43" t="str">
        <f t="shared" si="470"/>
        <v/>
      </c>
      <c r="BY63" s="43"/>
      <c r="BZ63" s="43"/>
      <c r="CA63" s="42" t="str">
        <f t="shared" ref="CA63:CE63" si="471">BT63</f>
        <v/>
      </c>
      <c r="CB63" s="43" t="str">
        <f t="shared" si="471"/>
        <v/>
      </c>
      <c r="CC63" s="43" t="str">
        <f t="shared" si="471"/>
        <v/>
      </c>
      <c r="CD63" s="43" t="str">
        <f t="shared" si="471"/>
        <v/>
      </c>
      <c r="CE63" s="43" t="str">
        <f t="shared" si="471"/>
        <v/>
      </c>
      <c r="CF63" s="43"/>
      <c r="CG63" s="43"/>
      <c r="CH63" s="42" t="str">
        <f t="shared" ref="CH63:CL63" si="472">CA63</f>
        <v/>
      </c>
      <c r="CI63" s="43" t="str">
        <f t="shared" si="472"/>
        <v/>
      </c>
      <c r="CJ63" s="43" t="str">
        <f t="shared" si="472"/>
        <v/>
      </c>
      <c r="CK63" s="43" t="str">
        <f t="shared" si="472"/>
        <v/>
      </c>
      <c r="CL63" s="43" t="str">
        <f t="shared" si="472"/>
        <v/>
      </c>
      <c r="CM63" s="43"/>
      <c r="CN63" s="43"/>
      <c r="CO63" s="42" t="str">
        <f t="shared" ref="CO63:CS63" si="473">CH63</f>
        <v/>
      </c>
      <c r="CP63" s="43" t="str">
        <f t="shared" si="473"/>
        <v/>
      </c>
      <c r="CQ63" s="43" t="str">
        <f t="shared" si="473"/>
        <v/>
      </c>
      <c r="CR63" s="43" t="str">
        <f t="shared" si="473"/>
        <v/>
      </c>
      <c r="CS63" s="43" t="str">
        <f t="shared" si="473"/>
        <v/>
      </c>
      <c r="CT63" s="43"/>
      <c r="CU63" s="43"/>
      <c r="CV63" s="42" t="str">
        <f t="shared" ref="CV63:CZ63" si="474">CO63</f>
        <v/>
      </c>
      <c r="CW63" s="43" t="str">
        <f t="shared" si="474"/>
        <v/>
      </c>
      <c r="CX63" s="43" t="str">
        <f t="shared" si="474"/>
        <v/>
      </c>
      <c r="CY63" s="43" t="str">
        <f t="shared" si="474"/>
        <v/>
      </c>
      <c r="CZ63" s="43" t="str">
        <f t="shared" si="474"/>
        <v/>
      </c>
      <c r="DA63" s="43"/>
      <c r="DB63" s="43"/>
      <c r="DC63" s="42" t="str">
        <f t="shared" ref="DC63:DG63" si="475">CV63</f>
        <v/>
      </c>
      <c r="DD63" s="43" t="str">
        <f t="shared" si="475"/>
        <v/>
      </c>
      <c r="DE63" s="43" t="str">
        <f t="shared" si="475"/>
        <v/>
      </c>
      <c r="DF63" s="43" t="str">
        <f t="shared" si="475"/>
        <v/>
      </c>
      <c r="DG63" s="43" t="str">
        <f t="shared" si="475"/>
        <v/>
      </c>
      <c r="DH63" s="43"/>
      <c r="DI63" s="43"/>
      <c r="DJ63" s="42" t="str">
        <f t="shared" ref="DJ63:DN63" si="476">DC63</f>
        <v/>
      </c>
      <c r="DK63" s="43" t="str">
        <f t="shared" si="476"/>
        <v/>
      </c>
      <c r="DL63" s="43" t="str">
        <f t="shared" si="476"/>
        <v/>
      </c>
      <c r="DM63" s="43" t="str">
        <f t="shared" si="476"/>
        <v/>
      </c>
      <c r="DN63" s="43" t="str">
        <f t="shared" si="476"/>
        <v/>
      </c>
      <c r="DO63" s="43"/>
      <c r="DP63" s="43"/>
      <c r="DQ63" s="42" t="str">
        <f t="shared" ref="DQ63:DU63" si="477">DJ63</f>
        <v/>
      </c>
      <c r="DR63" s="43" t="str">
        <f t="shared" si="477"/>
        <v/>
      </c>
      <c r="DS63" s="43" t="str">
        <f t="shared" si="477"/>
        <v/>
      </c>
      <c r="DT63" s="43" t="str">
        <f t="shared" si="477"/>
        <v/>
      </c>
      <c r="DU63" s="43" t="str">
        <f t="shared" si="477"/>
        <v/>
      </c>
      <c r="DV63" s="43"/>
      <c r="DW63" s="43"/>
      <c r="DX63" s="42" t="str">
        <f t="shared" ref="DX63:EB63" si="478">DQ63</f>
        <v/>
      </c>
      <c r="DY63" s="43" t="str">
        <f t="shared" si="478"/>
        <v/>
      </c>
      <c r="DZ63" s="43" t="str">
        <f t="shared" si="478"/>
        <v/>
      </c>
      <c r="EA63" s="43" t="str">
        <f t="shared" si="478"/>
        <v/>
      </c>
      <c r="EB63" s="43" t="str">
        <f t="shared" si="478"/>
        <v/>
      </c>
      <c r="EC63" s="43"/>
      <c r="ED63" s="43"/>
      <c r="EE63" s="42" t="str">
        <f t="shared" ref="EE63:EI63" si="479">DX63</f>
        <v/>
      </c>
      <c r="EF63" s="43" t="str">
        <f t="shared" si="479"/>
        <v/>
      </c>
      <c r="EG63" s="43" t="str">
        <f t="shared" si="479"/>
        <v/>
      </c>
      <c r="EH63" s="43" t="str">
        <f t="shared" si="479"/>
        <v/>
      </c>
      <c r="EI63" s="43" t="str">
        <f t="shared" si="479"/>
        <v/>
      </c>
      <c r="EJ63" s="43"/>
      <c r="EK63" s="43"/>
      <c r="EL63" s="42" t="str">
        <f t="shared" ref="EL63:EP63" si="480">EE63</f>
        <v/>
      </c>
      <c r="EM63" s="43" t="str">
        <f t="shared" si="480"/>
        <v/>
      </c>
      <c r="EN63" s="43" t="str">
        <f t="shared" si="480"/>
        <v/>
      </c>
      <c r="EO63" s="43" t="str">
        <f t="shared" si="480"/>
        <v/>
      </c>
      <c r="EP63" s="43" t="str">
        <f t="shared" si="480"/>
        <v/>
      </c>
      <c r="EQ63" s="43"/>
      <c r="ER63" s="43"/>
    </row>
  </sheetData>
  <mergeCells count="27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4:EK34"/>
    <mergeCell ref="EE43:EK43"/>
    <mergeCell ref="EE54:EK54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28 A37 A48 A59">
      <formula1>'Quick Setup'!$B$19:$D$26</formula1>
    </dataValidation>
  </dataValidations>
  <drawing r:id="rId1"/>
</worksheet>
</file>