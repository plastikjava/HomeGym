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 Setup" sheetId="1" r:id="rId4"/>
    <sheet state="visible" name="Setup" sheetId="2" r:id="rId5"/>
    <sheet state="visible" name="Untouched" sheetId="3" r:id="rId6"/>
    <sheet state="visible" name="3x" sheetId="4" r:id="rId7"/>
    <sheet state="visible" name="4x" sheetId="5" r:id="rId8"/>
    <sheet state="visible" name="5xa" sheetId="6" r:id="rId9"/>
    <sheet state="visible" name="5xb" sheetId="7" r:id="rId10"/>
    <sheet state="visible" name="6x" sheetId="8" r:id="rId11"/>
  </sheets>
  <definedNames/>
  <calcPr/>
</workbook>
</file>

<file path=xl/sharedStrings.xml><?xml version="1.0" encoding="utf-8"?>
<sst xmlns="http://schemas.openxmlformats.org/spreadsheetml/2006/main" count="3040" uniqueCount="85">
  <si>
    <t>Rounding</t>
  </si>
  <si>
    <r>
      <rPr>
        <color rgb="FFFF0000"/>
      </rPr>
      <t xml:space="preserve">Make a copy (for google drive; recommended) or download this spreadsheet (for other spreadsheet programs).  </t>
    </r>
    <r>
      <rPr>
        <b/>
        <color rgb="FFFF0000"/>
      </rPr>
      <t>Do not request editing access</t>
    </r>
  </si>
  <si>
    <t>Main Lifts</t>
  </si>
  <si>
    <t>Maxes</t>
  </si>
  <si>
    <t>Single @8 percentage</t>
  </si>
  <si>
    <t>When above or below rep target</t>
  </si>
  <si>
    <t>Squat</t>
  </si>
  <si>
    <t>Sets</t>
  </si>
  <si>
    <t>Below rep target by 2+ reps</t>
  </si>
  <si>
    <t>Below rep target by 1 rep</t>
  </si>
  <si>
    <t>Hit rep target</t>
  </si>
  <si>
    <t>Beat by 1 rep</t>
  </si>
  <si>
    <t>Beat by 2 reps</t>
  </si>
  <si>
    <t>Beat by 3 reps</t>
  </si>
  <si>
    <t>Beat by 4 reps</t>
  </si>
  <si>
    <t>Beat by 5+ reps</t>
  </si>
  <si>
    <t>Bench Press</t>
  </si>
  <si>
    <t>Primary stance</t>
  </si>
  <si>
    <t>Deadlift</t>
  </si>
  <si>
    <t>OHP</t>
  </si>
  <si>
    <t>Variations: Note - if you don't know your max, you can estimate it.  When in doubt, estimate low to start with</t>
  </si>
  <si>
    <t>Squat auxiliary 1</t>
  </si>
  <si>
    <t>Front Squat</t>
  </si>
  <si>
    <t>Squat auxiliary 2</t>
  </si>
  <si>
    <t>Paused Squat</t>
  </si>
  <si>
    <t>Bench auxiliary 1</t>
  </si>
  <si>
    <t>Close Grip Bench</t>
  </si>
  <si>
    <t>Bench auxiliary 2</t>
  </si>
  <si>
    <t>Incline Press</t>
  </si>
  <si>
    <t>Deadlift auxiliary</t>
  </si>
  <si>
    <t>Sumo Deadlift</t>
  </si>
  <si>
    <t>OHP auxiliary</t>
  </si>
  <si>
    <t>Push Press</t>
  </si>
  <si>
    <t>Back exercises</t>
  </si>
  <si>
    <t>Barbell rows</t>
  </si>
  <si>
    <t>DB rows</t>
  </si>
  <si>
    <t>Chest supported rows</t>
  </si>
  <si>
    <t>T-bar rows</t>
  </si>
  <si>
    <t>Pull-ups</t>
  </si>
  <si>
    <t>Chin-ups</t>
  </si>
  <si>
    <t>Neutral grip pull-ups</t>
  </si>
  <si>
    <t>Pull-downs</t>
  </si>
  <si>
    <t>Normal set rep target</t>
  </si>
  <si>
    <t>Last set rep target</t>
  </si>
  <si>
    <t>Intensity</t>
  </si>
  <si>
    <t>Week</t>
  </si>
  <si>
    <t>Lift</t>
  </si>
  <si>
    <t>Reps per normal set</t>
  </si>
  <si>
    <t>Rep out target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</si>
  <si>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</si>
  <si>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</si>
  <si>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</si>
  <si>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</si>
  <si>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</si>
  <si>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</si>
  <si>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</si>
  <si>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</si>
  <si>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</si>
  <si>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</si>
  <si>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</si>
  <si>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</si>
  <si>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</si>
  <si>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</si>
  <si>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</si>
  <si>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</si>
  <si>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</si>
  <si>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</si>
  <si>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</si>
  <si>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</si>
  <si>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</si>
  <si>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Weight</t>
  </si>
  <si>
    <t>Set goal</t>
  </si>
  <si>
    <t>Reps on last set</t>
  </si>
  <si>
    <t>Video</t>
  </si>
  <si>
    <t>Notes</t>
  </si>
  <si>
    <t>single @8</t>
  </si>
  <si>
    <t>Day 1</t>
  </si>
  <si>
    <t>See highlighted text in instructions document</t>
  </si>
  <si>
    <t>n/a</t>
  </si>
  <si>
    <t>Accessories</t>
  </si>
  <si>
    <t>Day 2</t>
  </si>
  <si>
    <t>Day 3</t>
  </si>
  <si>
    <t>Day 4</t>
  </si>
  <si>
    <t>Day 5</t>
  </si>
  <si>
    <t>Day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</si>
</sst>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0.0"/>
      <color rgb="FF000000"/>
      <name val="Arial"/>
    </font>
    <font/>
    <font>
      <color rgb="FFFF0000"/>
    </font>
    <font>
      <name val="Arial"/>
    </font>
    <font>
      <b/>
      <sz val="18.0"/>
    </font>
    <font>
      <sz val="10.0"/>
      <color rgb="FF000000"/>
    </font>
    <font>
      <b/>
      <sz val="12.0"/>
      <name val="Arial"/>
    </font>
    <font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1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left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3" numFmtId="9" xfId="0" applyAlignment="1" applyFont="1" applyNumberFormat="1">
      <alignment horizontal="center" vertical="bottom"/>
    </xf>
    <xf borderId="0" fillId="2" fontId="1" numFmtId="10" xfId="0" applyAlignment="1" applyFont="1" applyNumberFormat="1">
      <alignment horizontal="center" readingOrder="0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left" readingOrder="0"/>
    </xf>
    <xf borderId="0" fillId="2" fontId="1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2" fontId="3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/>
    </xf>
    <xf borderId="0" fillId="2" fontId="1" numFmtId="164" xfId="0" applyAlignment="1" applyFont="1" applyNumberFormat="1">
      <alignment horizontal="center" readingOrder="0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horizontal="center" readingOrder="0"/>
    </xf>
    <xf borderId="4" fillId="0" fontId="1" numFmtId="0" xfId="0" applyBorder="1" applyFont="1"/>
    <xf borderId="5" fillId="0" fontId="1" numFmtId="0" xfId="0" applyBorder="1" applyFont="1"/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10" xfId="0" applyAlignment="1" applyFont="1" applyNumberFormat="1">
      <alignment readingOrder="0"/>
    </xf>
    <xf borderId="0" fillId="2" fontId="3" numFmtId="0" xfId="0" applyAlignment="1" applyFont="1">
      <alignment horizontal="right" vertical="bottom"/>
    </xf>
    <xf borderId="0" fillId="2" fontId="3" numFmtId="10" xfId="0" applyAlignment="1" applyFont="1" applyNumberFormat="1">
      <alignment horizontal="right" vertical="bottom"/>
    </xf>
    <xf borderId="6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readingOrder="0"/>
    </xf>
    <xf borderId="7" fillId="0" fontId="1" numFmtId="0" xfId="0" applyBorder="1" applyFont="1"/>
    <xf borderId="0" fillId="0" fontId="1" numFmtId="2" xfId="0" applyAlignment="1" applyFont="1" applyNumberFormat="1">
      <alignment horizontal="center" readingOrder="0"/>
    </xf>
    <xf borderId="6" fillId="0" fontId="1" numFmtId="2" xfId="0" applyAlignment="1" applyBorder="1" applyFont="1" applyNumberFormat="1">
      <alignment horizontal="center"/>
    </xf>
    <xf borderId="0" fillId="0" fontId="3" numFmtId="2" xfId="0" applyAlignment="1" applyFont="1" applyNumberFormat="1">
      <alignment horizontal="center" vertical="bottom"/>
    </xf>
    <xf borderId="0" fillId="2" fontId="1" numFmtId="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6" fillId="0" fontId="1" numFmtId="0" xfId="0" applyAlignment="1" applyBorder="1" applyFont="1">
      <alignment horizontal="center"/>
    </xf>
    <xf borderId="6" fillId="2" fontId="1" numFmtId="0" xfId="0" applyAlignment="1" applyBorder="1" applyFont="1">
      <alignment horizontal="center"/>
    </xf>
    <xf borderId="0" fillId="2" fontId="7" numFmtId="0" xfId="0" applyAlignment="1" applyFont="1">
      <alignment horizontal="center"/>
    </xf>
    <xf borderId="9" fillId="2" fontId="7" numFmtId="0" xfId="0" applyAlignment="1" applyBorder="1" applyFont="1">
      <alignment horizontal="center"/>
    </xf>
    <xf borderId="10" fillId="2" fontId="1" numFmtId="0" xfId="0" applyAlignment="1" applyBorder="1" applyFont="1">
      <alignment horizontal="center"/>
    </xf>
    <xf borderId="9" fillId="2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3" width="16.75"/>
    <col customWidth="1" min="4" max="4" width="8.13"/>
    <col customWidth="1" min="5" max="5" width="8.63"/>
    <col customWidth="1" min="6" max="6" width="8.13"/>
    <col customWidth="1" min="7" max="7" width="13.75"/>
    <col customWidth="1" min="8" max="8" width="8.13"/>
    <col customWidth="1" min="9" max="9" width="23.75"/>
    <col customWidth="1" min="10" max="10" width="19.13"/>
    <col customWidth="1" min="11" max="11" width="10.38"/>
    <col customWidth="1" min="12" max="12" width="10.75"/>
    <col customWidth="1" min="13" max="15" width="11.63"/>
    <col customWidth="1" min="16" max="16" width="12.63"/>
    <col customWidth="1" min="17" max="23" width="8.13"/>
  </cols>
  <sheetData>
    <row r="1">
      <c r="A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1">
        <v>2.5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3"/>
      <c r="B4" s="3"/>
      <c r="C4" s="1" t="s">
        <v>2</v>
      </c>
      <c r="D4" s="1" t="s">
        <v>3</v>
      </c>
      <c r="E4" s="4" t="s">
        <v>4</v>
      </c>
      <c r="F4" s="3"/>
      <c r="G4" s="3"/>
      <c r="H4" s="3"/>
      <c r="I4" s="1" t="s">
        <v>5</v>
      </c>
      <c r="Q4" s="3"/>
      <c r="R4" s="3"/>
      <c r="S4" s="3"/>
      <c r="T4" s="3"/>
      <c r="U4" s="3"/>
      <c r="V4" s="3"/>
      <c r="W4" s="3"/>
    </row>
    <row r="5">
      <c r="A5" s="3"/>
      <c r="B5" s="3"/>
      <c r="C5" s="5" t="s">
        <v>6</v>
      </c>
      <c r="D5" s="5">
        <v>490.0</v>
      </c>
      <c r="E5" s="6">
        <v>0.9</v>
      </c>
      <c r="F5" s="3"/>
      <c r="G5" s="3"/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3"/>
      <c r="R5" s="3"/>
      <c r="S5" s="3"/>
      <c r="T5" s="3"/>
      <c r="U5" s="3"/>
      <c r="V5" s="3"/>
      <c r="W5" s="3"/>
    </row>
    <row r="6">
      <c r="A6" s="3"/>
      <c r="B6" s="3"/>
      <c r="C6" s="5" t="s">
        <v>16</v>
      </c>
      <c r="D6" s="5">
        <v>325.0</v>
      </c>
      <c r="E6" s="6">
        <v>0.9</v>
      </c>
      <c r="F6" s="3"/>
      <c r="G6" s="3" t="str">
        <f t="shared" ref="G6:G9" si="1">C5</f>
        <v>Squat</v>
      </c>
      <c r="H6" s="5">
        <v>5.0</v>
      </c>
      <c r="I6" s="7">
        <v>-0.05</v>
      </c>
      <c r="J6" s="7">
        <v>-0.02</v>
      </c>
      <c r="K6" s="7">
        <v>0.0</v>
      </c>
      <c r="L6" s="7">
        <v>0.005</v>
      </c>
      <c r="M6" s="7">
        <v>0.01</v>
      </c>
      <c r="N6" s="7">
        <v>0.015</v>
      </c>
      <c r="O6" s="7">
        <v>0.02</v>
      </c>
      <c r="P6" s="7">
        <v>0.03</v>
      </c>
      <c r="Q6" s="3"/>
      <c r="R6" s="3"/>
      <c r="S6" s="3"/>
      <c r="T6" s="3"/>
      <c r="U6" s="3"/>
      <c r="V6" s="3"/>
      <c r="W6" s="3"/>
    </row>
    <row r="7">
      <c r="A7" s="3"/>
      <c r="B7" s="1" t="s">
        <v>17</v>
      </c>
      <c r="C7" s="5" t="s">
        <v>18</v>
      </c>
      <c r="D7" s="5">
        <v>525.0</v>
      </c>
      <c r="E7" s="6">
        <v>0.9</v>
      </c>
      <c r="F7" s="3"/>
      <c r="G7" s="3" t="str">
        <f t="shared" si="1"/>
        <v>Bench Press</v>
      </c>
      <c r="H7" s="5">
        <v>5.0</v>
      </c>
      <c r="I7" s="7">
        <v>-0.05</v>
      </c>
      <c r="J7" s="7">
        <v>-0.02</v>
      </c>
      <c r="K7" s="7">
        <v>0.0</v>
      </c>
      <c r="L7" s="7">
        <v>0.005</v>
      </c>
      <c r="M7" s="7">
        <v>0.01</v>
      </c>
      <c r="N7" s="7">
        <v>0.015</v>
      </c>
      <c r="O7" s="7">
        <v>0.02</v>
      </c>
      <c r="P7" s="7">
        <v>0.03</v>
      </c>
      <c r="Q7" s="3"/>
      <c r="R7" s="3"/>
      <c r="S7" s="3"/>
      <c r="T7" s="3"/>
      <c r="U7" s="3"/>
      <c r="V7" s="3"/>
      <c r="W7" s="3"/>
    </row>
    <row r="8">
      <c r="A8" s="3"/>
      <c r="B8" s="3"/>
      <c r="C8" s="5" t="s">
        <v>19</v>
      </c>
      <c r="D8" s="5">
        <v>200.0</v>
      </c>
      <c r="E8" s="6">
        <v>0.9</v>
      </c>
      <c r="F8" s="3"/>
      <c r="G8" s="3" t="str">
        <f t="shared" si="1"/>
        <v>Deadlift</v>
      </c>
      <c r="H8" s="5">
        <v>5.0</v>
      </c>
      <c r="I8" s="7">
        <v>-0.05</v>
      </c>
      <c r="J8" s="7">
        <v>-0.02</v>
      </c>
      <c r="K8" s="7">
        <v>0.0</v>
      </c>
      <c r="L8" s="7">
        <v>0.005</v>
      </c>
      <c r="M8" s="7">
        <v>0.01</v>
      </c>
      <c r="N8" s="7">
        <v>0.015</v>
      </c>
      <c r="O8" s="7">
        <v>0.02</v>
      </c>
      <c r="P8" s="7">
        <v>0.03</v>
      </c>
      <c r="Q8" s="3"/>
      <c r="R8" s="3"/>
      <c r="S8" s="3"/>
      <c r="T8" s="3"/>
      <c r="U8" s="3"/>
      <c r="V8" s="3"/>
      <c r="W8" s="3"/>
    </row>
    <row r="9">
      <c r="A9" s="3"/>
      <c r="B9" s="3"/>
      <c r="C9" s="3"/>
      <c r="D9" s="3"/>
      <c r="E9" s="8"/>
      <c r="F9" s="3"/>
      <c r="G9" s="3" t="str">
        <f t="shared" si="1"/>
        <v>OHP</v>
      </c>
      <c r="H9" s="5">
        <v>5.0</v>
      </c>
      <c r="I9" s="7">
        <v>-0.05</v>
      </c>
      <c r="J9" s="7">
        <v>-0.02</v>
      </c>
      <c r="K9" s="7">
        <v>0.0</v>
      </c>
      <c r="L9" s="7">
        <v>0.005</v>
      </c>
      <c r="M9" s="7">
        <v>0.01</v>
      </c>
      <c r="N9" s="7">
        <v>0.015</v>
      </c>
      <c r="O9" s="7">
        <v>0.02</v>
      </c>
      <c r="P9" s="7">
        <v>0.03</v>
      </c>
      <c r="Q9" s="3"/>
      <c r="R9" s="3"/>
      <c r="S9" s="3"/>
      <c r="T9" s="3"/>
      <c r="U9" s="3"/>
      <c r="V9" s="3"/>
      <c r="W9" s="3"/>
    </row>
    <row r="10">
      <c r="A10" s="3"/>
      <c r="B10" s="3"/>
      <c r="C10" s="9" t="s">
        <v>20</v>
      </c>
      <c r="D10" s="1" t="s">
        <v>3</v>
      </c>
      <c r="E10" s="8"/>
      <c r="F10" s="3"/>
      <c r="G10" s="3" t="str">
        <f t="shared" ref="G10:G15" si="2">C11</f>
        <v>Front Squat</v>
      </c>
      <c r="H10" s="5">
        <v>5.0</v>
      </c>
      <c r="I10" s="7">
        <v>-0.05</v>
      </c>
      <c r="J10" s="7">
        <v>-0.02</v>
      </c>
      <c r="K10" s="7">
        <v>0.0</v>
      </c>
      <c r="L10" s="7">
        <v>0.005</v>
      </c>
      <c r="M10" s="7">
        <v>0.01</v>
      </c>
      <c r="N10" s="7">
        <v>0.015</v>
      </c>
      <c r="O10" s="7">
        <v>0.02</v>
      </c>
      <c r="P10" s="7">
        <v>0.03</v>
      </c>
      <c r="Q10" s="3"/>
      <c r="R10" s="3"/>
      <c r="S10" s="3"/>
      <c r="T10" s="3"/>
      <c r="U10" s="3"/>
      <c r="V10" s="3"/>
      <c r="W10" s="3"/>
    </row>
    <row r="11">
      <c r="A11" s="3"/>
      <c r="B11" s="1" t="s">
        <v>21</v>
      </c>
      <c r="C11" s="5" t="s">
        <v>22</v>
      </c>
      <c r="D11" s="5">
        <v>420.0</v>
      </c>
      <c r="E11" s="6">
        <v>0.9</v>
      </c>
      <c r="F11" s="3"/>
      <c r="G11" s="3" t="str">
        <f t="shared" si="2"/>
        <v>Paused Squat</v>
      </c>
      <c r="H11" s="5">
        <v>5.0</v>
      </c>
      <c r="I11" s="7">
        <v>-0.05</v>
      </c>
      <c r="J11" s="7">
        <v>-0.02</v>
      </c>
      <c r="K11" s="7">
        <v>0.0</v>
      </c>
      <c r="L11" s="7">
        <v>0.005</v>
      </c>
      <c r="M11" s="7">
        <v>0.01</v>
      </c>
      <c r="N11" s="7">
        <v>0.015</v>
      </c>
      <c r="O11" s="7">
        <v>0.02</v>
      </c>
      <c r="P11" s="7">
        <v>0.03</v>
      </c>
      <c r="Q11" s="3"/>
      <c r="R11" s="3"/>
      <c r="S11" s="3"/>
      <c r="T11" s="3"/>
      <c r="U11" s="3"/>
      <c r="V11" s="3"/>
      <c r="W11" s="3"/>
    </row>
    <row r="12">
      <c r="A12" s="3"/>
      <c r="B12" s="1" t="s">
        <v>23</v>
      </c>
      <c r="C12" s="5" t="s">
        <v>24</v>
      </c>
      <c r="D12" s="5">
        <v>460.0</v>
      </c>
      <c r="E12" s="6">
        <v>0.9</v>
      </c>
      <c r="F12" s="3"/>
      <c r="G12" s="3" t="str">
        <f t="shared" si="2"/>
        <v>Close Grip Bench</v>
      </c>
      <c r="H12" s="5">
        <v>5.0</v>
      </c>
      <c r="I12" s="7">
        <v>-0.05</v>
      </c>
      <c r="J12" s="7">
        <v>-0.02</v>
      </c>
      <c r="K12" s="7">
        <v>0.0</v>
      </c>
      <c r="L12" s="7">
        <v>0.005</v>
      </c>
      <c r="M12" s="7">
        <v>0.01</v>
      </c>
      <c r="N12" s="7">
        <v>0.015</v>
      </c>
      <c r="O12" s="7">
        <v>0.02</v>
      </c>
      <c r="P12" s="7">
        <v>0.03</v>
      </c>
      <c r="Q12" s="3"/>
      <c r="R12" s="3"/>
      <c r="S12" s="3"/>
      <c r="T12" s="3"/>
      <c r="U12" s="3"/>
      <c r="V12" s="3"/>
      <c r="W12" s="3"/>
    </row>
    <row r="13">
      <c r="A13" s="3"/>
      <c r="B13" s="1" t="s">
        <v>25</v>
      </c>
      <c r="C13" s="5" t="s">
        <v>26</v>
      </c>
      <c r="D13" s="5">
        <v>310.0</v>
      </c>
      <c r="E13" s="6">
        <v>0.9</v>
      </c>
      <c r="F13" s="3"/>
      <c r="G13" s="3" t="str">
        <f t="shared" si="2"/>
        <v>Incline Press</v>
      </c>
      <c r="H13" s="5">
        <v>5.0</v>
      </c>
      <c r="I13" s="7">
        <v>-0.05</v>
      </c>
      <c r="J13" s="7">
        <v>-0.02</v>
      </c>
      <c r="K13" s="7">
        <v>0.0</v>
      </c>
      <c r="L13" s="7">
        <v>0.005</v>
      </c>
      <c r="M13" s="7">
        <v>0.01</v>
      </c>
      <c r="N13" s="7">
        <v>0.015</v>
      </c>
      <c r="O13" s="7">
        <v>0.02</v>
      </c>
      <c r="P13" s="7">
        <v>0.03</v>
      </c>
      <c r="Q13" s="3"/>
      <c r="R13" s="3"/>
      <c r="S13" s="3"/>
      <c r="T13" s="3"/>
      <c r="U13" s="3"/>
      <c r="V13" s="3"/>
      <c r="W13" s="3"/>
    </row>
    <row r="14">
      <c r="A14" s="3"/>
      <c r="B14" s="1" t="s">
        <v>27</v>
      </c>
      <c r="C14" s="5" t="s">
        <v>28</v>
      </c>
      <c r="D14" s="5">
        <v>280.0</v>
      </c>
      <c r="E14" s="6">
        <v>0.9</v>
      </c>
      <c r="F14" s="3"/>
      <c r="G14" s="3" t="str">
        <f t="shared" si="2"/>
        <v>Sumo Deadlift</v>
      </c>
      <c r="H14" s="5">
        <v>5.0</v>
      </c>
      <c r="I14" s="7">
        <v>-0.05</v>
      </c>
      <c r="J14" s="7">
        <v>-0.02</v>
      </c>
      <c r="K14" s="7">
        <v>0.0</v>
      </c>
      <c r="L14" s="7">
        <v>0.005</v>
      </c>
      <c r="M14" s="7">
        <v>0.01</v>
      </c>
      <c r="N14" s="7">
        <v>0.015</v>
      </c>
      <c r="O14" s="7">
        <v>0.02</v>
      </c>
      <c r="P14" s="7">
        <v>0.03</v>
      </c>
      <c r="Q14" s="3"/>
      <c r="R14" s="3"/>
      <c r="S14" s="3"/>
      <c r="T14" s="3"/>
      <c r="U14" s="3"/>
      <c r="V14" s="3"/>
      <c r="W14" s="3"/>
    </row>
    <row r="15">
      <c r="A15" s="3"/>
      <c r="B15" s="1" t="s">
        <v>29</v>
      </c>
      <c r="C15" s="5" t="s">
        <v>30</v>
      </c>
      <c r="D15" s="5">
        <v>500.0</v>
      </c>
      <c r="E15" s="6">
        <v>0.9</v>
      </c>
      <c r="F15" s="3"/>
      <c r="G15" s="3" t="str">
        <f t="shared" si="2"/>
        <v>Push Press</v>
      </c>
      <c r="H15" s="5">
        <v>5.0</v>
      </c>
      <c r="I15" s="7">
        <v>-0.05</v>
      </c>
      <c r="J15" s="7">
        <v>-0.02</v>
      </c>
      <c r="K15" s="7">
        <v>0.0</v>
      </c>
      <c r="L15" s="7">
        <v>0.005</v>
      </c>
      <c r="M15" s="7">
        <v>0.01</v>
      </c>
      <c r="N15" s="7">
        <v>0.015</v>
      </c>
      <c r="O15" s="7">
        <v>0.02</v>
      </c>
      <c r="P15" s="7">
        <v>0.03</v>
      </c>
      <c r="Q15" s="3"/>
      <c r="R15" s="3"/>
      <c r="S15" s="3"/>
      <c r="T15" s="3"/>
      <c r="U15" s="3"/>
      <c r="V15" s="3"/>
      <c r="W15" s="3"/>
    </row>
    <row r="16">
      <c r="A16" s="3"/>
      <c r="B16" s="1" t="s">
        <v>31</v>
      </c>
      <c r="C16" s="5" t="s">
        <v>32</v>
      </c>
      <c r="D16" s="5">
        <v>245.0</v>
      </c>
      <c r="E16" s="6">
        <v>0.9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3"/>
      <c r="B18" s="1" t="s">
        <v>33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3"/>
      <c r="B19" s="5" t="s">
        <v>34</v>
      </c>
      <c r="C19" s="10"/>
      <c r="D19" s="10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3"/>
      <c r="B20" s="5" t="s">
        <v>35</v>
      </c>
      <c r="C20" s="10"/>
      <c r="D20" s="10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3"/>
      <c r="B21" s="5" t="s">
        <v>36</v>
      </c>
      <c r="C21" s="10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3"/>
      <c r="B22" s="5" t="s">
        <v>37</v>
      </c>
      <c r="C22" s="10"/>
      <c r="D22" s="10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3"/>
      <c r="B23" s="5" t="s">
        <v>38</v>
      </c>
      <c r="C23" s="10"/>
      <c r="D23" s="1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3"/>
      <c r="B24" s="5" t="s">
        <v>39</v>
      </c>
      <c r="C24" s="10"/>
      <c r="D24" s="10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3"/>
      <c r="B25" s="5" t="s">
        <v>40</v>
      </c>
      <c r="C25" s="10"/>
      <c r="D25" s="10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3"/>
      <c r="B26" s="5" t="s">
        <v>41</v>
      </c>
      <c r="C26" s="10"/>
      <c r="D26" s="10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3"/>
      <c r="B30" s="11"/>
      <c r="C30" s="11" t="s">
        <v>42</v>
      </c>
    </row>
    <row r="31">
      <c r="A31" s="3"/>
      <c r="B31" s="3"/>
      <c r="C31" s="12">
        <v>0.5</v>
      </c>
      <c r="D31" s="12">
        <v>0.525</v>
      </c>
      <c r="E31" s="12">
        <v>0.55</v>
      </c>
      <c r="F31" s="12">
        <v>0.5750000000000001</v>
      </c>
      <c r="G31" s="12">
        <v>0.6000000000000001</v>
      </c>
      <c r="H31" s="12">
        <v>0.6250000000000001</v>
      </c>
      <c r="I31" s="12">
        <v>0.6500000000000001</v>
      </c>
      <c r="J31" s="12">
        <v>0.6750000000000002</v>
      </c>
      <c r="K31" s="12">
        <v>0.7000000000000002</v>
      </c>
      <c r="L31" s="12">
        <v>0.7250000000000002</v>
      </c>
      <c r="M31" s="12">
        <v>0.7500000000000002</v>
      </c>
      <c r="N31" s="12">
        <v>0.7750000000000002</v>
      </c>
      <c r="O31" s="12">
        <v>0.8000000000000003</v>
      </c>
      <c r="P31" s="12">
        <v>0.8250000000000003</v>
      </c>
      <c r="Q31" s="12">
        <v>0.8500000000000003</v>
      </c>
      <c r="R31" s="12">
        <v>0.8750000000000003</v>
      </c>
      <c r="S31" s="12">
        <v>0.9000000000000004</v>
      </c>
      <c r="T31" s="12">
        <v>0.9250000000000004</v>
      </c>
      <c r="U31" s="12">
        <v>0.9500000000000004</v>
      </c>
      <c r="V31" s="12">
        <v>0.9750000000000004</v>
      </c>
      <c r="W31" s="12">
        <v>1.0000000000000004</v>
      </c>
    </row>
    <row r="32">
      <c r="A32" s="3"/>
      <c r="B32" s="13" t="str">
        <f>'Quick Setup'!C5</f>
        <v>Squat</v>
      </c>
      <c r="C32" s="14">
        <v>8.0</v>
      </c>
      <c r="D32" s="14">
        <v>8.0</v>
      </c>
      <c r="E32" s="14">
        <v>8.0</v>
      </c>
      <c r="F32" s="14">
        <v>8.0</v>
      </c>
      <c r="G32" s="14">
        <v>7.0</v>
      </c>
      <c r="H32" s="14">
        <v>7.0</v>
      </c>
      <c r="I32" s="14">
        <v>6.0</v>
      </c>
      <c r="J32" s="14">
        <v>6.0</v>
      </c>
      <c r="K32" s="14">
        <v>5.0</v>
      </c>
      <c r="L32" s="14">
        <v>5.0</v>
      </c>
      <c r="M32" s="14">
        <v>4.0</v>
      </c>
      <c r="N32" s="14">
        <v>4.0</v>
      </c>
      <c r="O32" s="14">
        <v>3.0</v>
      </c>
      <c r="P32" s="14">
        <v>3.0</v>
      </c>
      <c r="Q32" s="14">
        <v>2.0</v>
      </c>
      <c r="R32" s="14">
        <v>2.0</v>
      </c>
      <c r="S32" s="14">
        <v>1.0</v>
      </c>
      <c r="T32" s="14">
        <v>1.0</v>
      </c>
      <c r="U32" s="14">
        <v>1.0</v>
      </c>
      <c r="V32" s="14">
        <v>1.0</v>
      </c>
      <c r="W32" s="14">
        <v>1.0</v>
      </c>
    </row>
    <row r="33">
      <c r="A33" s="3"/>
      <c r="B33" s="13" t="str">
        <f>'Quick Setup'!C6</f>
        <v>Bench Press</v>
      </c>
      <c r="C33" s="14">
        <f t="shared" ref="C33:W33" si="3">C32</f>
        <v>8</v>
      </c>
      <c r="D33" s="14">
        <f t="shared" si="3"/>
        <v>8</v>
      </c>
      <c r="E33" s="14">
        <f t="shared" si="3"/>
        <v>8</v>
      </c>
      <c r="F33" s="14">
        <f t="shared" si="3"/>
        <v>8</v>
      </c>
      <c r="G33" s="14">
        <f t="shared" si="3"/>
        <v>7</v>
      </c>
      <c r="H33" s="14">
        <f t="shared" si="3"/>
        <v>7</v>
      </c>
      <c r="I33" s="14">
        <f t="shared" si="3"/>
        <v>6</v>
      </c>
      <c r="J33" s="14">
        <f t="shared" si="3"/>
        <v>6</v>
      </c>
      <c r="K33" s="14">
        <f t="shared" si="3"/>
        <v>5</v>
      </c>
      <c r="L33" s="14">
        <f t="shared" si="3"/>
        <v>5</v>
      </c>
      <c r="M33" s="14">
        <f t="shared" si="3"/>
        <v>4</v>
      </c>
      <c r="N33" s="14">
        <f t="shared" si="3"/>
        <v>4</v>
      </c>
      <c r="O33" s="14">
        <f t="shared" si="3"/>
        <v>3</v>
      </c>
      <c r="P33" s="14">
        <f t="shared" si="3"/>
        <v>3</v>
      </c>
      <c r="Q33" s="14">
        <f t="shared" si="3"/>
        <v>2</v>
      </c>
      <c r="R33" s="14">
        <f t="shared" si="3"/>
        <v>2</v>
      </c>
      <c r="S33" s="14">
        <f t="shared" si="3"/>
        <v>1</v>
      </c>
      <c r="T33" s="14">
        <f t="shared" si="3"/>
        <v>1</v>
      </c>
      <c r="U33" s="14">
        <f t="shared" si="3"/>
        <v>1</v>
      </c>
      <c r="V33" s="14">
        <f t="shared" si="3"/>
        <v>1</v>
      </c>
      <c r="W33" s="14">
        <f t="shared" si="3"/>
        <v>1</v>
      </c>
    </row>
    <row r="34">
      <c r="A34" s="3"/>
      <c r="B34" s="13" t="str">
        <f>'Quick Setup'!C7</f>
        <v>Deadlift</v>
      </c>
      <c r="C34" s="14">
        <f t="shared" ref="C34:W34" si="4">C33</f>
        <v>8</v>
      </c>
      <c r="D34" s="14">
        <f t="shared" si="4"/>
        <v>8</v>
      </c>
      <c r="E34" s="14">
        <f t="shared" si="4"/>
        <v>8</v>
      </c>
      <c r="F34" s="14">
        <f t="shared" si="4"/>
        <v>8</v>
      </c>
      <c r="G34" s="14">
        <f t="shared" si="4"/>
        <v>7</v>
      </c>
      <c r="H34" s="14">
        <f t="shared" si="4"/>
        <v>7</v>
      </c>
      <c r="I34" s="14">
        <f t="shared" si="4"/>
        <v>6</v>
      </c>
      <c r="J34" s="14">
        <f t="shared" si="4"/>
        <v>6</v>
      </c>
      <c r="K34" s="14">
        <f t="shared" si="4"/>
        <v>5</v>
      </c>
      <c r="L34" s="14">
        <f t="shared" si="4"/>
        <v>5</v>
      </c>
      <c r="M34" s="14">
        <f t="shared" si="4"/>
        <v>4</v>
      </c>
      <c r="N34" s="14">
        <f t="shared" si="4"/>
        <v>4</v>
      </c>
      <c r="O34" s="14">
        <f t="shared" si="4"/>
        <v>3</v>
      </c>
      <c r="P34" s="14">
        <f t="shared" si="4"/>
        <v>3</v>
      </c>
      <c r="Q34" s="14">
        <f t="shared" si="4"/>
        <v>2</v>
      </c>
      <c r="R34" s="14">
        <f t="shared" si="4"/>
        <v>2</v>
      </c>
      <c r="S34" s="14">
        <f t="shared" si="4"/>
        <v>1</v>
      </c>
      <c r="T34" s="14">
        <f t="shared" si="4"/>
        <v>1</v>
      </c>
      <c r="U34" s="14">
        <f t="shared" si="4"/>
        <v>1</v>
      </c>
      <c r="V34" s="14">
        <f t="shared" si="4"/>
        <v>1</v>
      </c>
      <c r="W34" s="14">
        <f t="shared" si="4"/>
        <v>1</v>
      </c>
    </row>
    <row r="35">
      <c r="A35" s="3"/>
      <c r="B35" s="13" t="str">
        <f>'Quick Setup'!C8</f>
        <v>OHP</v>
      </c>
      <c r="C35" s="14">
        <f t="shared" ref="C35:W35" si="5">C34</f>
        <v>8</v>
      </c>
      <c r="D35" s="14">
        <f t="shared" si="5"/>
        <v>8</v>
      </c>
      <c r="E35" s="14">
        <f t="shared" si="5"/>
        <v>8</v>
      </c>
      <c r="F35" s="14">
        <f t="shared" si="5"/>
        <v>8</v>
      </c>
      <c r="G35" s="14">
        <f t="shared" si="5"/>
        <v>7</v>
      </c>
      <c r="H35" s="14">
        <f t="shared" si="5"/>
        <v>7</v>
      </c>
      <c r="I35" s="14">
        <f t="shared" si="5"/>
        <v>6</v>
      </c>
      <c r="J35" s="14">
        <f t="shared" si="5"/>
        <v>6</v>
      </c>
      <c r="K35" s="14">
        <f t="shared" si="5"/>
        <v>5</v>
      </c>
      <c r="L35" s="14">
        <f t="shared" si="5"/>
        <v>5</v>
      </c>
      <c r="M35" s="14">
        <f t="shared" si="5"/>
        <v>4</v>
      </c>
      <c r="N35" s="14">
        <f t="shared" si="5"/>
        <v>4</v>
      </c>
      <c r="O35" s="14">
        <f t="shared" si="5"/>
        <v>3</v>
      </c>
      <c r="P35" s="14">
        <f t="shared" si="5"/>
        <v>3</v>
      </c>
      <c r="Q35" s="14">
        <f t="shared" si="5"/>
        <v>2</v>
      </c>
      <c r="R35" s="14">
        <f t="shared" si="5"/>
        <v>2</v>
      </c>
      <c r="S35" s="14">
        <f t="shared" si="5"/>
        <v>1</v>
      </c>
      <c r="T35" s="14">
        <f t="shared" si="5"/>
        <v>1</v>
      </c>
      <c r="U35" s="14">
        <f t="shared" si="5"/>
        <v>1</v>
      </c>
      <c r="V35" s="14">
        <f t="shared" si="5"/>
        <v>1</v>
      </c>
      <c r="W35" s="14">
        <f t="shared" si="5"/>
        <v>1</v>
      </c>
    </row>
    <row r="36">
      <c r="A36" s="3"/>
      <c r="B36" s="13" t="str">
        <f>'Quick Setup'!C11</f>
        <v>Front Squat</v>
      </c>
      <c r="C36" s="14">
        <f t="shared" ref="C36:W36" si="6">C35</f>
        <v>8</v>
      </c>
      <c r="D36" s="14">
        <f t="shared" si="6"/>
        <v>8</v>
      </c>
      <c r="E36" s="14">
        <f t="shared" si="6"/>
        <v>8</v>
      </c>
      <c r="F36" s="14">
        <f t="shared" si="6"/>
        <v>8</v>
      </c>
      <c r="G36" s="14">
        <f t="shared" si="6"/>
        <v>7</v>
      </c>
      <c r="H36" s="14">
        <f t="shared" si="6"/>
        <v>7</v>
      </c>
      <c r="I36" s="14">
        <f t="shared" si="6"/>
        <v>6</v>
      </c>
      <c r="J36" s="14">
        <f t="shared" si="6"/>
        <v>6</v>
      </c>
      <c r="K36" s="14">
        <f t="shared" si="6"/>
        <v>5</v>
      </c>
      <c r="L36" s="14">
        <f t="shared" si="6"/>
        <v>5</v>
      </c>
      <c r="M36" s="14">
        <f t="shared" si="6"/>
        <v>4</v>
      </c>
      <c r="N36" s="14">
        <f t="shared" si="6"/>
        <v>4</v>
      </c>
      <c r="O36" s="14">
        <f t="shared" si="6"/>
        <v>3</v>
      </c>
      <c r="P36" s="14">
        <f t="shared" si="6"/>
        <v>3</v>
      </c>
      <c r="Q36" s="14">
        <f t="shared" si="6"/>
        <v>2</v>
      </c>
      <c r="R36" s="14">
        <f t="shared" si="6"/>
        <v>2</v>
      </c>
      <c r="S36" s="14">
        <f t="shared" si="6"/>
        <v>1</v>
      </c>
      <c r="T36" s="14">
        <f t="shared" si="6"/>
        <v>1</v>
      </c>
      <c r="U36" s="14">
        <f t="shared" si="6"/>
        <v>1</v>
      </c>
      <c r="V36" s="14">
        <f t="shared" si="6"/>
        <v>1</v>
      </c>
      <c r="W36" s="14">
        <f t="shared" si="6"/>
        <v>1</v>
      </c>
    </row>
    <row r="37">
      <c r="A37" s="3"/>
      <c r="B37" s="13" t="str">
        <f>'Quick Setup'!C12</f>
        <v>Paused Squat</v>
      </c>
      <c r="C37" s="14">
        <f t="shared" ref="C37:W37" si="7">C36</f>
        <v>8</v>
      </c>
      <c r="D37" s="14">
        <f t="shared" si="7"/>
        <v>8</v>
      </c>
      <c r="E37" s="14">
        <f t="shared" si="7"/>
        <v>8</v>
      </c>
      <c r="F37" s="14">
        <f t="shared" si="7"/>
        <v>8</v>
      </c>
      <c r="G37" s="14">
        <f t="shared" si="7"/>
        <v>7</v>
      </c>
      <c r="H37" s="14">
        <f t="shared" si="7"/>
        <v>7</v>
      </c>
      <c r="I37" s="14">
        <f t="shared" si="7"/>
        <v>6</v>
      </c>
      <c r="J37" s="14">
        <f t="shared" si="7"/>
        <v>6</v>
      </c>
      <c r="K37" s="14">
        <f t="shared" si="7"/>
        <v>5</v>
      </c>
      <c r="L37" s="14">
        <f t="shared" si="7"/>
        <v>5</v>
      </c>
      <c r="M37" s="14">
        <f t="shared" si="7"/>
        <v>4</v>
      </c>
      <c r="N37" s="14">
        <f t="shared" si="7"/>
        <v>4</v>
      </c>
      <c r="O37" s="14">
        <f t="shared" si="7"/>
        <v>3</v>
      </c>
      <c r="P37" s="14">
        <f t="shared" si="7"/>
        <v>3</v>
      </c>
      <c r="Q37" s="14">
        <f t="shared" si="7"/>
        <v>2</v>
      </c>
      <c r="R37" s="14">
        <f t="shared" si="7"/>
        <v>2</v>
      </c>
      <c r="S37" s="14">
        <f t="shared" si="7"/>
        <v>1</v>
      </c>
      <c r="T37" s="14">
        <f t="shared" si="7"/>
        <v>1</v>
      </c>
      <c r="U37" s="14">
        <f t="shared" si="7"/>
        <v>1</v>
      </c>
      <c r="V37" s="14">
        <f t="shared" si="7"/>
        <v>1</v>
      </c>
      <c r="W37" s="14">
        <f t="shared" si="7"/>
        <v>1</v>
      </c>
    </row>
    <row r="38">
      <c r="A38" s="3"/>
      <c r="B38" s="13" t="str">
        <f>'Quick Setup'!C13</f>
        <v>Close Grip Bench</v>
      </c>
      <c r="C38" s="14">
        <f t="shared" ref="C38:W38" si="8">C37</f>
        <v>8</v>
      </c>
      <c r="D38" s="14">
        <f t="shared" si="8"/>
        <v>8</v>
      </c>
      <c r="E38" s="14">
        <f t="shared" si="8"/>
        <v>8</v>
      </c>
      <c r="F38" s="14">
        <f t="shared" si="8"/>
        <v>8</v>
      </c>
      <c r="G38" s="14">
        <f t="shared" si="8"/>
        <v>7</v>
      </c>
      <c r="H38" s="14">
        <f t="shared" si="8"/>
        <v>7</v>
      </c>
      <c r="I38" s="14">
        <f t="shared" si="8"/>
        <v>6</v>
      </c>
      <c r="J38" s="14">
        <f t="shared" si="8"/>
        <v>6</v>
      </c>
      <c r="K38" s="14">
        <f t="shared" si="8"/>
        <v>5</v>
      </c>
      <c r="L38" s="14">
        <f t="shared" si="8"/>
        <v>5</v>
      </c>
      <c r="M38" s="14">
        <f t="shared" si="8"/>
        <v>4</v>
      </c>
      <c r="N38" s="14">
        <f t="shared" si="8"/>
        <v>4</v>
      </c>
      <c r="O38" s="14">
        <f t="shared" si="8"/>
        <v>3</v>
      </c>
      <c r="P38" s="14">
        <f t="shared" si="8"/>
        <v>3</v>
      </c>
      <c r="Q38" s="14">
        <f t="shared" si="8"/>
        <v>2</v>
      </c>
      <c r="R38" s="14">
        <f t="shared" si="8"/>
        <v>2</v>
      </c>
      <c r="S38" s="14">
        <f t="shared" si="8"/>
        <v>1</v>
      </c>
      <c r="T38" s="14">
        <f t="shared" si="8"/>
        <v>1</v>
      </c>
      <c r="U38" s="14">
        <f t="shared" si="8"/>
        <v>1</v>
      </c>
      <c r="V38" s="14">
        <f t="shared" si="8"/>
        <v>1</v>
      </c>
      <c r="W38" s="14">
        <f t="shared" si="8"/>
        <v>1</v>
      </c>
    </row>
    <row r="39">
      <c r="A39" s="3"/>
      <c r="B39" s="13" t="str">
        <f>'Quick Setup'!C14</f>
        <v>Incline Press</v>
      </c>
      <c r="C39" s="14">
        <f t="shared" ref="C39:W39" si="9">C38</f>
        <v>8</v>
      </c>
      <c r="D39" s="14">
        <f t="shared" si="9"/>
        <v>8</v>
      </c>
      <c r="E39" s="14">
        <f t="shared" si="9"/>
        <v>8</v>
      </c>
      <c r="F39" s="14">
        <f t="shared" si="9"/>
        <v>8</v>
      </c>
      <c r="G39" s="14">
        <f t="shared" si="9"/>
        <v>7</v>
      </c>
      <c r="H39" s="14">
        <f t="shared" si="9"/>
        <v>7</v>
      </c>
      <c r="I39" s="14">
        <f t="shared" si="9"/>
        <v>6</v>
      </c>
      <c r="J39" s="14">
        <f t="shared" si="9"/>
        <v>6</v>
      </c>
      <c r="K39" s="14">
        <f t="shared" si="9"/>
        <v>5</v>
      </c>
      <c r="L39" s="14">
        <f t="shared" si="9"/>
        <v>5</v>
      </c>
      <c r="M39" s="14">
        <f t="shared" si="9"/>
        <v>4</v>
      </c>
      <c r="N39" s="14">
        <f t="shared" si="9"/>
        <v>4</v>
      </c>
      <c r="O39" s="14">
        <f t="shared" si="9"/>
        <v>3</v>
      </c>
      <c r="P39" s="14">
        <f t="shared" si="9"/>
        <v>3</v>
      </c>
      <c r="Q39" s="14">
        <f t="shared" si="9"/>
        <v>2</v>
      </c>
      <c r="R39" s="14">
        <f t="shared" si="9"/>
        <v>2</v>
      </c>
      <c r="S39" s="14">
        <f t="shared" si="9"/>
        <v>1</v>
      </c>
      <c r="T39" s="14">
        <f t="shared" si="9"/>
        <v>1</v>
      </c>
      <c r="U39" s="14">
        <f t="shared" si="9"/>
        <v>1</v>
      </c>
      <c r="V39" s="14">
        <f t="shared" si="9"/>
        <v>1</v>
      </c>
      <c r="W39" s="14">
        <f t="shared" si="9"/>
        <v>1</v>
      </c>
    </row>
    <row r="40">
      <c r="A40" s="3"/>
      <c r="B40" s="13" t="str">
        <f>'Quick Setup'!C15</f>
        <v>Sumo Deadlift</v>
      </c>
      <c r="C40" s="14">
        <f t="shared" ref="C40:W40" si="10">C39</f>
        <v>8</v>
      </c>
      <c r="D40" s="14">
        <f t="shared" si="10"/>
        <v>8</v>
      </c>
      <c r="E40" s="14">
        <f t="shared" si="10"/>
        <v>8</v>
      </c>
      <c r="F40" s="14">
        <f t="shared" si="10"/>
        <v>8</v>
      </c>
      <c r="G40" s="14">
        <f t="shared" si="10"/>
        <v>7</v>
      </c>
      <c r="H40" s="14">
        <f t="shared" si="10"/>
        <v>7</v>
      </c>
      <c r="I40" s="14">
        <f t="shared" si="10"/>
        <v>6</v>
      </c>
      <c r="J40" s="14">
        <f t="shared" si="10"/>
        <v>6</v>
      </c>
      <c r="K40" s="14">
        <f t="shared" si="10"/>
        <v>5</v>
      </c>
      <c r="L40" s="14">
        <f t="shared" si="10"/>
        <v>5</v>
      </c>
      <c r="M40" s="14">
        <f t="shared" si="10"/>
        <v>4</v>
      </c>
      <c r="N40" s="14">
        <f t="shared" si="10"/>
        <v>4</v>
      </c>
      <c r="O40" s="14">
        <f t="shared" si="10"/>
        <v>3</v>
      </c>
      <c r="P40" s="14">
        <f t="shared" si="10"/>
        <v>3</v>
      </c>
      <c r="Q40" s="14">
        <f t="shared" si="10"/>
        <v>2</v>
      </c>
      <c r="R40" s="14">
        <f t="shared" si="10"/>
        <v>2</v>
      </c>
      <c r="S40" s="14">
        <f t="shared" si="10"/>
        <v>1</v>
      </c>
      <c r="T40" s="14">
        <f t="shared" si="10"/>
        <v>1</v>
      </c>
      <c r="U40" s="14">
        <f t="shared" si="10"/>
        <v>1</v>
      </c>
      <c r="V40" s="14">
        <f t="shared" si="10"/>
        <v>1</v>
      </c>
      <c r="W40" s="14">
        <f t="shared" si="10"/>
        <v>1</v>
      </c>
    </row>
    <row r="41">
      <c r="A41" s="3"/>
      <c r="B41" s="13" t="str">
        <f>'Quick Setup'!C16</f>
        <v>Push Press</v>
      </c>
      <c r="C41" s="14">
        <f t="shared" ref="C41:W41" si="11">C40</f>
        <v>8</v>
      </c>
      <c r="D41" s="14">
        <f t="shared" si="11"/>
        <v>8</v>
      </c>
      <c r="E41" s="14">
        <f t="shared" si="11"/>
        <v>8</v>
      </c>
      <c r="F41" s="14">
        <f t="shared" si="11"/>
        <v>8</v>
      </c>
      <c r="G41" s="14">
        <f t="shared" si="11"/>
        <v>7</v>
      </c>
      <c r="H41" s="14">
        <f t="shared" si="11"/>
        <v>7</v>
      </c>
      <c r="I41" s="14">
        <f t="shared" si="11"/>
        <v>6</v>
      </c>
      <c r="J41" s="14">
        <f t="shared" si="11"/>
        <v>6</v>
      </c>
      <c r="K41" s="14">
        <f t="shared" si="11"/>
        <v>5</v>
      </c>
      <c r="L41" s="14">
        <f t="shared" si="11"/>
        <v>5</v>
      </c>
      <c r="M41" s="14">
        <f t="shared" si="11"/>
        <v>4</v>
      </c>
      <c r="N41" s="14">
        <f t="shared" si="11"/>
        <v>4</v>
      </c>
      <c r="O41" s="14">
        <f t="shared" si="11"/>
        <v>3</v>
      </c>
      <c r="P41" s="14">
        <f t="shared" si="11"/>
        <v>3</v>
      </c>
      <c r="Q41" s="14">
        <f t="shared" si="11"/>
        <v>2</v>
      </c>
      <c r="R41" s="14">
        <f t="shared" si="11"/>
        <v>2</v>
      </c>
      <c r="S41" s="14">
        <f t="shared" si="11"/>
        <v>1</v>
      </c>
      <c r="T41" s="14">
        <f t="shared" si="11"/>
        <v>1</v>
      </c>
      <c r="U41" s="14">
        <f t="shared" si="11"/>
        <v>1</v>
      </c>
      <c r="V41" s="14">
        <f t="shared" si="11"/>
        <v>1</v>
      </c>
      <c r="W41" s="14">
        <f t="shared" si="11"/>
        <v>1</v>
      </c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11"/>
      <c r="B44" s="11"/>
      <c r="C44" s="11" t="s">
        <v>43</v>
      </c>
    </row>
    <row r="45">
      <c r="A45" s="12"/>
      <c r="B45" s="3"/>
      <c r="C45" s="12">
        <v>0.5</v>
      </c>
      <c r="D45" s="12">
        <v>0.525</v>
      </c>
      <c r="E45" s="12">
        <v>0.55</v>
      </c>
      <c r="F45" s="12">
        <v>0.5750000000000001</v>
      </c>
      <c r="G45" s="12">
        <v>0.6000000000000001</v>
      </c>
      <c r="H45" s="12">
        <v>0.6250000000000001</v>
      </c>
      <c r="I45" s="12">
        <v>0.6500000000000001</v>
      </c>
      <c r="J45" s="12">
        <v>0.6750000000000002</v>
      </c>
      <c r="K45" s="12">
        <v>0.7000000000000002</v>
      </c>
      <c r="L45" s="12">
        <v>0.7250000000000002</v>
      </c>
      <c r="M45" s="12">
        <v>0.7500000000000002</v>
      </c>
      <c r="N45" s="12">
        <v>0.7750000000000002</v>
      </c>
      <c r="O45" s="12">
        <v>0.8000000000000003</v>
      </c>
      <c r="P45" s="12">
        <v>0.8250000000000003</v>
      </c>
      <c r="Q45" s="12">
        <v>0.8500000000000003</v>
      </c>
      <c r="R45" s="12">
        <v>0.8750000000000003</v>
      </c>
      <c r="S45" s="12">
        <v>0.9000000000000004</v>
      </c>
      <c r="T45" s="12">
        <v>0.9250000000000004</v>
      </c>
      <c r="U45" s="12">
        <v>0.9500000000000004</v>
      </c>
      <c r="V45" s="12">
        <v>0.9750000000000004</v>
      </c>
      <c r="W45" s="12">
        <v>1.0000000000000004</v>
      </c>
    </row>
    <row r="46">
      <c r="A46" s="3"/>
      <c r="B46" s="1" t="str">
        <f>'Quick Setup'!C5</f>
        <v>Squat</v>
      </c>
      <c r="C46" s="5">
        <v>18.0</v>
      </c>
      <c r="D46" s="5">
        <v>17.0</v>
      </c>
      <c r="E46" s="5">
        <v>16.0</v>
      </c>
      <c r="F46" s="5">
        <v>15.0</v>
      </c>
      <c r="G46" s="5">
        <v>14.0</v>
      </c>
      <c r="H46" s="5">
        <v>13.0</v>
      </c>
      <c r="I46" s="5">
        <v>12.0</v>
      </c>
      <c r="J46" s="5">
        <v>11.0</v>
      </c>
      <c r="K46" s="5">
        <v>10.0</v>
      </c>
      <c r="L46" s="5">
        <v>9.0</v>
      </c>
      <c r="M46" s="5">
        <v>8.0</v>
      </c>
      <c r="N46" s="5">
        <v>7.0</v>
      </c>
      <c r="O46" s="5">
        <v>6.0</v>
      </c>
      <c r="P46" s="5">
        <v>5.0</v>
      </c>
      <c r="Q46" s="5">
        <v>4.0</v>
      </c>
      <c r="R46" s="5">
        <v>3.0</v>
      </c>
      <c r="S46" s="5">
        <v>2.0</v>
      </c>
      <c r="T46" s="5">
        <v>2.0</v>
      </c>
      <c r="U46" s="5">
        <v>1.0</v>
      </c>
      <c r="V46" s="5">
        <v>1.0</v>
      </c>
      <c r="W46" s="5">
        <v>1.0</v>
      </c>
    </row>
    <row r="47">
      <c r="A47" s="3"/>
      <c r="B47" s="1" t="str">
        <f>'Quick Setup'!C6</f>
        <v>Bench Press</v>
      </c>
      <c r="C47" s="5">
        <f t="shared" ref="C47:W47" si="12">C46</f>
        <v>18</v>
      </c>
      <c r="D47" s="5">
        <f t="shared" si="12"/>
        <v>17</v>
      </c>
      <c r="E47" s="5">
        <f t="shared" si="12"/>
        <v>16</v>
      </c>
      <c r="F47" s="5">
        <f t="shared" si="12"/>
        <v>15</v>
      </c>
      <c r="G47" s="5">
        <f t="shared" si="12"/>
        <v>14</v>
      </c>
      <c r="H47" s="5">
        <f t="shared" si="12"/>
        <v>13</v>
      </c>
      <c r="I47" s="5">
        <f t="shared" si="12"/>
        <v>12</v>
      </c>
      <c r="J47" s="5">
        <f t="shared" si="12"/>
        <v>11</v>
      </c>
      <c r="K47" s="5">
        <f t="shared" si="12"/>
        <v>10</v>
      </c>
      <c r="L47" s="5">
        <f t="shared" si="12"/>
        <v>9</v>
      </c>
      <c r="M47" s="5">
        <f t="shared" si="12"/>
        <v>8</v>
      </c>
      <c r="N47" s="5">
        <f t="shared" si="12"/>
        <v>7</v>
      </c>
      <c r="O47" s="5">
        <f t="shared" si="12"/>
        <v>6</v>
      </c>
      <c r="P47" s="5">
        <f t="shared" si="12"/>
        <v>5</v>
      </c>
      <c r="Q47" s="5">
        <f t="shared" si="12"/>
        <v>4</v>
      </c>
      <c r="R47" s="5">
        <f t="shared" si="12"/>
        <v>3</v>
      </c>
      <c r="S47" s="5">
        <f t="shared" si="12"/>
        <v>2</v>
      </c>
      <c r="T47" s="5">
        <f t="shared" si="12"/>
        <v>2</v>
      </c>
      <c r="U47" s="5">
        <f t="shared" si="12"/>
        <v>1</v>
      </c>
      <c r="V47" s="5">
        <f t="shared" si="12"/>
        <v>1</v>
      </c>
      <c r="W47" s="5">
        <f t="shared" si="12"/>
        <v>1</v>
      </c>
    </row>
    <row r="48">
      <c r="A48" s="3"/>
      <c r="B48" s="1" t="str">
        <f>'Quick Setup'!C7</f>
        <v>Deadlift</v>
      </c>
      <c r="C48" s="5">
        <f t="shared" ref="C48:W48" si="13">C47</f>
        <v>18</v>
      </c>
      <c r="D48" s="5">
        <f t="shared" si="13"/>
        <v>17</v>
      </c>
      <c r="E48" s="5">
        <f t="shared" si="13"/>
        <v>16</v>
      </c>
      <c r="F48" s="5">
        <f t="shared" si="13"/>
        <v>15</v>
      </c>
      <c r="G48" s="5">
        <f t="shared" si="13"/>
        <v>14</v>
      </c>
      <c r="H48" s="5">
        <f t="shared" si="13"/>
        <v>13</v>
      </c>
      <c r="I48" s="5">
        <f t="shared" si="13"/>
        <v>12</v>
      </c>
      <c r="J48" s="5">
        <f t="shared" si="13"/>
        <v>11</v>
      </c>
      <c r="K48" s="5">
        <f t="shared" si="13"/>
        <v>10</v>
      </c>
      <c r="L48" s="5">
        <f t="shared" si="13"/>
        <v>9</v>
      </c>
      <c r="M48" s="5">
        <f t="shared" si="13"/>
        <v>8</v>
      </c>
      <c r="N48" s="5">
        <f t="shared" si="13"/>
        <v>7</v>
      </c>
      <c r="O48" s="5">
        <f t="shared" si="13"/>
        <v>6</v>
      </c>
      <c r="P48" s="5">
        <f t="shared" si="13"/>
        <v>5</v>
      </c>
      <c r="Q48" s="5">
        <f t="shared" si="13"/>
        <v>4</v>
      </c>
      <c r="R48" s="5">
        <f t="shared" si="13"/>
        <v>3</v>
      </c>
      <c r="S48" s="5">
        <f t="shared" si="13"/>
        <v>2</v>
      </c>
      <c r="T48" s="5">
        <f t="shared" si="13"/>
        <v>2</v>
      </c>
      <c r="U48" s="5">
        <f t="shared" si="13"/>
        <v>1</v>
      </c>
      <c r="V48" s="5">
        <f t="shared" si="13"/>
        <v>1</v>
      </c>
      <c r="W48" s="5">
        <f t="shared" si="13"/>
        <v>1</v>
      </c>
    </row>
    <row r="49">
      <c r="A49" s="3"/>
      <c r="B49" s="1" t="str">
        <f>'Quick Setup'!C8</f>
        <v>OHP</v>
      </c>
      <c r="C49" s="5">
        <f t="shared" ref="C49:W49" si="14">C48</f>
        <v>18</v>
      </c>
      <c r="D49" s="5">
        <f t="shared" si="14"/>
        <v>17</v>
      </c>
      <c r="E49" s="5">
        <f t="shared" si="14"/>
        <v>16</v>
      </c>
      <c r="F49" s="5">
        <f t="shared" si="14"/>
        <v>15</v>
      </c>
      <c r="G49" s="5">
        <f t="shared" si="14"/>
        <v>14</v>
      </c>
      <c r="H49" s="5">
        <f t="shared" si="14"/>
        <v>13</v>
      </c>
      <c r="I49" s="5">
        <f t="shared" si="14"/>
        <v>12</v>
      </c>
      <c r="J49" s="5">
        <f t="shared" si="14"/>
        <v>11</v>
      </c>
      <c r="K49" s="5">
        <f t="shared" si="14"/>
        <v>10</v>
      </c>
      <c r="L49" s="5">
        <f t="shared" si="14"/>
        <v>9</v>
      </c>
      <c r="M49" s="5">
        <f t="shared" si="14"/>
        <v>8</v>
      </c>
      <c r="N49" s="5">
        <f t="shared" si="14"/>
        <v>7</v>
      </c>
      <c r="O49" s="5">
        <f t="shared" si="14"/>
        <v>6</v>
      </c>
      <c r="P49" s="5">
        <f t="shared" si="14"/>
        <v>5</v>
      </c>
      <c r="Q49" s="5">
        <f t="shared" si="14"/>
        <v>4</v>
      </c>
      <c r="R49" s="5">
        <f t="shared" si="14"/>
        <v>3</v>
      </c>
      <c r="S49" s="5">
        <f t="shared" si="14"/>
        <v>2</v>
      </c>
      <c r="T49" s="5">
        <f t="shared" si="14"/>
        <v>2</v>
      </c>
      <c r="U49" s="5">
        <f t="shared" si="14"/>
        <v>1</v>
      </c>
      <c r="V49" s="5">
        <f t="shared" si="14"/>
        <v>1</v>
      </c>
      <c r="W49" s="5">
        <f t="shared" si="14"/>
        <v>1</v>
      </c>
    </row>
    <row r="50">
      <c r="A50" s="3"/>
      <c r="B50" s="3" t="str">
        <f>'Quick Setup'!C11</f>
        <v>Front Squat</v>
      </c>
      <c r="C50" s="5">
        <f t="shared" ref="C50:W50" si="15">C49</f>
        <v>18</v>
      </c>
      <c r="D50" s="5">
        <f t="shared" si="15"/>
        <v>17</v>
      </c>
      <c r="E50" s="5">
        <f t="shared" si="15"/>
        <v>16</v>
      </c>
      <c r="F50" s="5">
        <f t="shared" si="15"/>
        <v>15</v>
      </c>
      <c r="G50" s="5">
        <f t="shared" si="15"/>
        <v>14</v>
      </c>
      <c r="H50" s="5">
        <f t="shared" si="15"/>
        <v>13</v>
      </c>
      <c r="I50" s="5">
        <f t="shared" si="15"/>
        <v>12</v>
      </c>
      <c r="J50" s="5">
        <f t="shared" si="15"/>
        <v>11</v>
      </c>
      <c r="K50" s="5">
        <f t="shared" si="15"/>
        <v>10</v>
      </c>
      <c r="L50" s="5">
        <f t="shared" si="15"/>
        <v>9</v>
      </c>
      <c r="M50" s="5">
        <f t="shared" si="15"/>
        <v>8</v>
      </c>
      <c r="N50" s="5">
        <f t="shared" si="15"/>
        <v>7</v>
      </c>
      <c r="O50" s="5">
        <f t="shared" si="15"/>
        <v>6</v>
      </c>
      <c r="P50" s="5">
        <f t="shared" si="15"/>
        <v>5</v>
      </c>
      <c r="Q50" s="5">
        <f t="shared" si="15"/>
        <v>4</v>
      </c>
      <c r="R50" s="5">
        <f t="shared" si="15"/>
        <v>3</v>
      </c>
      <c r="S50" s="5">
        <f t="shared" si="15"/>
        <v>2</v>
      </c>
      <c r="T50" s="5">
        <f t="shared" si="15"/>
        <v>2</v>
      </c>
      <c r="U50" s="5">
        <f t="shared" si="15"/>
        <v>1</v>
      </c>
      <c r="V50" s="5">
        <f t="shared" si="15"/>
        <v>1</v>
      </c>
      <c r="W50" s="5">
        <f t="shared" si="15"/>
        <v>1</v>
      </c>
    </row>
    <row r="51">
      <c r="A51" s="3"/>
      <c r="B51" s="3" t="str">
        <f>'Quick Setup'!C12</f>
        <v>Paused Squat</v>
      </c>
      <c r="C51" s="5">
        <f t="shared" ref="C51:W51" si="16">C50</f>
        <v>18</v>
      </c>
      <c r="D51" s="5">
        <f t="shared" si="16"/>
        <v>17</v>
      </c>
      <c r="E51" s="5">
        <f t="shared" si="16"/>
        <v>16</v>
      </c>
      <c r="F51" s="5">
        <f t="shared" si="16"/>
        <v>15</v>
      </c>
      <c r="G51" s="5">
        <f t="shared" si="16"/>
        <v>14</v>
      </c>
      <c r="H51" s="5">
        <f t="shared" si="16"/>
        <v>13</v>
      </c>
      <c r="I51" s="5">
        <f t="shared" si="16"/>
        <v>12</v>
      </c>
      <c r="J51" s="5">
        <f t="shared" si="16"/>
        <v>11</v>
      </c>
      <c r="K51" s="5">
        <f t="shared" si="16"/>
        <v>10</v>
      </c>
      <c r="L51" s="5">
        <f t="shared" si="16"/>
        <v>9</v>
      </c>
      <c r="M51" s="5">
        <f t="shared" si="16"/>
        <v>8</v>
      </c>
      <c r="N51" s="5">
        <f t="shared" si="16"/>
        <v>7</v>
      </c>
      <c r="O51" s="5">
        <f t="shared" si="16"/>
        <v>6</v>
      </c>
      <c r="P51" s="5">
        <f t="shared" si="16"/>
        <v>5</v>
      </c>
      <c r="Q51" s="5">
        <f t="shared" si="16"/>
        <v>4</v>
      </c>
      <c r="R51" s="5">
        <f t="shared" si="16"/>
        <v>3</v>
      </c>
      <c r="S51" s="5">
        <f t="shared" si="16"/>
        <v>2</v>
      </c>
      <c r="T51" s="5">
        <f t="shared" si="16"/>
        <v>2</v>
      </c>
      <c r="U51" s="5">
        <f t="shared" si="16"/>
        <v>1</v>
      </c>
      <c r="V51" s="5">
        <f t="shared" si="16"/>
        <v>1</v>
      </c>
      <c r="W51" s="5">
        <f t="shared" si="16"/>
        <v>1</v>
      </c>
    </row>
    <row r="52">
      <c r="A52" s="3"/>
      <c r="B52" s="3" t="str">
        <f>'Quick Setup'!C13</f>
        <v>Close Grip Bench</v>
      </c>
      <c r="C52" s="5">
        <f t="shared" ref="C52:W52" si="17">C51</f>
        <v>18</v>
      </c>
      <c r="D52" s="5">
        <f t="shared" si="17"/>
        <v>17</v>
      </c>
      <c r="E52" s="5">
        <f t="shared" si="17"/>
        <v>16</v>
      </c>
      <c r="F52" s="5">
        <f t="shared" si="17"/>
        <v>15</v>
      </c>
      <c r="G52" s="5">
        <f t="shared" si="17"/>
        <v>14</v>
      </c>
      <c r="H52" s="5">
        <f t="shared" si="17"/>
        <v>13</v>
      </c>
      <c r="I52" s="5">
        <f t="shared" si="17"/>
        <v>12</v>
      </c>
      <c r="J52" s="5">
        <f t="shared" si="17"/>
        <v>11</v>
      </c>
      <c r="K52" s="5">
        <f t="shared" si="17"/>
        <v>10</v>
      </c>
      <c r="L52" s="5">
        <f t="shared" si="17"/>
        <v>9</v>
      </c>
      <c r="M52" s="5">
        <f t="shared" si="17"/>
        <v>8</v>
      </c>
      <c r="N52" s="5">
        <f t="shared" si="17"/>
        <v>7</v>
      </c>
      <c r="O52" s="5">
        <f t="shared" si="17"/>
        <v>6</v>
      </c>
      <c r="P52" s="5">
        <f t="shared" si="17"/>
        <v>5</v>
      </c>
      <c r="Q52" s="5">
        <f t="shared" si="17"/>
        <v>4</v>
      </c>
      <c r="R52" s="5">
        <f t="shared" si="17"/>
        <v>3</v>
      </c>
      <c r="S52" s="5">
        <f t="shared" si="17"/>
        <v>2</v>
      </c>
      <c r="T52" s="5">
        <f t="shared" si="17"/>
        <v>2</v>
      </c>
      <c r="U52" s="5">
        <f t="shared" si="17"/>
        <v>1</v>
      </c>
      <c r="V52" s="5">
        <f t="shared" si="17"/>
        <v>1</v>
      </c>
      <c r="W52" s="5">
        <f t="shared" si="17"/>
        <v>1</v>
      </c>
    </row>
    <row r="53">
      <c r="A53" s="3"/>
      <c r="B53" s="3" t="str">
        <f>'Quick Setup'!C14</f>
        <v>Incline Press</v>
      </c>
      <c r="C53" s="5">
        <f t="shared" ref="C53:W53" si="18">C52</f>
        <v>18</v>
      </c>
      <c r="D53" s="5">
        <f t="shared" si="18"/>
        <v>17</v>
      </c>
      <c r="E53" s="5">
        <f t="shared" si="18"/>
        <v>16</v>
      </c>
      <c r="F53" s="5">
        <f t="shared" si="18"/>
        <v>15</v>
      </c>
      <c r="G53" s="5">
        <f t="shared" si="18"/>
        <v>14</v>
      </c>
      <c r="H53" s="5">
        <f t="shared" si="18"/>
        <v>13</v>
      </c>
      <c r="I53" s="5">
        <f t="shared" si="18"/>
        <v>12</v>
      </c>
      <c r="J53" s="5">
        <f t="shared" si="18"/>
        <v>11</v>
      </c>
      <c r="K53" s="5">
        <f t="shared" si="18"/>
        <v>10</v>
      </c>
      <c r="L53" s="5">
        <f t="shared" si="18"/>
        <v>9</v>
      </c>
      <c r="M53" s="5">
        <f t="shared" si="18"/>
        <v>8</v>
      </c>
      <c r="N53" s="5">
        <f t="shared" si="18"/>
        <v>7</v>
      </c>
      <c r="O53" s="5">
        <f t="shared" si="18"/>
        <v>6</v>
      </c>
      <c r="P53" s="5">
        <f t="shared" si="18"/>
        <v>5</v>
      </c>
      <c r="Q53" s="5">
        <f t="shared" si="18"/>
        <v>4</v>
      </c>
      <c r="R53" s="5">
        <f t="shared" si="18"/>
        <v>3</v>
      </c>
      <c r="S53" s="5">
        <f t="shared" si="18"/>
        <v>2</v>
      </c>
      <c r="T53" s="5">
        <f t="shared" si="18"/>
        <v>2</v>
      </c>
      <c r="U53" s="5">
        <f t="shared" si="18"/>
        <v>1</v>
      </c>
      <c r="V53" s="5">
        <f t="shared" si="18"/>
        <v>1</v>
      </c>
      <c r="W53" s="5">
        <f t="shared" si="18"/>
        <v>1</v>
      </c>
    </row>
    <row r="54">
      <c r="A54" s="3"/>
      <c r="B54" s="3" t="str">
        <f>'Quick Setup'!C15</f>
        <v>Sumo Deadlift</v>
      </c>
      <c r="C54" s="5">
        <f t="shared" ref="C54:W54" si="19">C53</f>
        <v>18</v>
      </c>
      <c r="D54" s="5">
        <f t="shared" si="19"/>
        <v>17</v>
      </c>
      <c r="E54" s="5">
        <f t="shared" si="19"/>
        <v>16</v>
      </c>
      <c r="F54" s="5">
        <f t="shared" si="19"/>
        <v>15</v>
      </c>
      <c r="G54" s="5">
        <f t="shared" si="19"/>
        <v>14</v>
      </c>
      <c r="H54" s="5">
        <f t="shared" si="19"/>
        <v>13</v>
      </c>
      <c r="I54" s="5">
        <f t="shared" si="19"/>
        <v>12</v>
      </c>
      <c r="J54" s="5">
        <f t="shared" si="19"/>
        <v>11</v>
      </c>
      <c r="K54" s="5">
        <f t="shared" si="19"/>
        <v>10</v>
      </c>
      <c r="L54" s="5">
        <f t="shared" si="19"/>
        <v>9</v>
      </c>
      <c r="M54" s="5">
        <f t="shared" si="19"/>
        <v>8</v>
      </c>
      <c r="N54" s="5">
        <f t="shared" si="19"/>
        <v>7</v>
      </c>
      <c r="O54" s="5">
        <f t="shared" si="19"/>
        <v>6</v>
      </c>
      <c r="P54" s="5">
        <f t="shared" si="19"/>
        <v>5</v>
      </c>
      <c r="Q54" s="5">
        <f t="shared" si="19"/>
        <v>4</v>
      </c>
      <c r="R54" s="5">
        <f t="shared" si="19"/>
        <v>3</v>
      </c>
      <c r="S54" s="5">
        <f t="shared" si="19"/>
        <v>2</v>
      </c>
      <c r="T54" s="5">
        <f t="shared" si="19"/>
        <v>2</v>
      </c>
      <c r="U54" s="5">
        <f t="shared" si="19"/>
        <v>1</v>
      </c>
      <c r="V54" s="5">
        <f t="shared" si="19"/>
        <v>1</v>
      </c>
      <c r="W54" s="5">
        <f t="shared" si="19"/>
        <v>1</v>
      </c>
    </row>
    <row r="55">
      <c r="A55" s="3"/>
      <c r="B55" s="3" t="str">
        <f>'Quick Setup'!C16</f>
        <v>Push Press</v>
      </c>
      <c r="C55" s="5">
        <f t="shared" ref="C55:W55" si="20">C54</f>
        <v>18</v>
      </c>
      <c r="D55" s="5">
        <f t="shared" si="20"/>
        <v>17</v>
      </c>
      <c r="E55" s="5">
        <f t="shared" si="20"/>
        <v>16</v>
      </c>
      <c r="F55" s="5">
        <f t="shared" si="20"/>
        <v>15</v>
      </c>
      <c r="G55" s="5">
        <f t="shared" si="20"/>
        <v>14</v>
      </c>
      <c r="H55" s="5">
        <f t="shared" si="20"/>
        <v>13</v>
      </c>
      <c r="I55" s="5">
        <f t="shared" si="20"/>
        <v>12</v>
      </c>
      <c r="J55" s="5">
        <f t="shared" si="20"/>
        <v>11</v>
      </c>
      <c r="K55" s="5">
        <f t="shared" si="20"/>
        <v>10</v>
      </c>
      <c r="L55" s="5">
        <f t="shared" si="20"/>
        <v>9</v>
      </c>
      <c r="M55" s="5">
        <f t="shared" si="20"/>
        <v>8</v>
      </c>
      <c r="N55" s="5">
        <f t="shared" si="20"/>
        <v>7</v>
      </c>
      <c r="O55" s="5">
        <f t="shared" si="20"/>
        <v>6</v>
      </c>
      <c r="P55" s="5">
        <f t="shared" si="20"/>
        <v>5</v>
      </c>
      <c r="Q55" s="5">
        <f t="shared" si="20"/>
        <v>4</v>
      </c>
      <c r="R55" s="5">
        <f t="shared" si="20"/>
        <v>3</v>
      </c>
      <c r="S55" s="5">
        <f t="shared" si="20"/>
        <v>2</v>
      </c>
      <c r="T55" s="5">
        <f t="shared" si="20"/>
        <v>2</v>
      </c>
      <c r="U55" s="5">
        <f t="shared" si="20"/>
        <v>1</v>
      </c>
      <c r="V55" s="5">
        <f t="shared" si="20"/>
        <v>1</v>
      </c>
      <c r="W55" s="5">
        <f t="shared" si="20"/>
        <v>1</v>
      </c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11" t="s">
        <v>44</v>
      </c>
    </row>
    <row r="59">
      <c r="A59" s="3"/>
      <c r="B59" s="12" t="s">
        <v>45</v>
      </c>
      <c r="C59" s="1">
        <v>1.0</v>
      </c>
      <c r="D59" s="1">
        <f t="shared" ref="D59:W59" si="21">C59+1</f>
        <v>2</v>
      </c>
      <c r="E59" s="1">
        <f t="shared" si="21"/>
        <v>3</v>
      </c>
      <c r="F59" s="1">
        <f t="shared" si="21"/>
        <v>4</v>
      </c>
      <c r="G59" s="1">
        <f t="shared" si="21"/>
        <v>5</v>
      </c>
      <c r="H59" s="1">
        <f t="shared" si="21"/>
        <v>6</v>
      </c>
      <c r="I59" s="1">
        <f t="shared" si="21"/>
        <v>7</v>
      </c>
      <c r="J59" s="1">
        <f t="shared" si="21"/>
        <v>8</v>
      </c>
      <c r="K59" s="1">
        <f t="shared" si="21"/>
        <v>9</v>
      </c>
      <c r="L59" s="1">
        <f t="shared" si="21"/>
        <v>10</v>
      </c>
      <c r="M59" s="1">
        <f t="shared" si="21"/>
        <v>11</v>
      </c>
      <c r="N59" s="1">
        <f t="shared" si="21"/>
        <v>12</v>
      </c>
      <c r="O59" s="1">
        <f t="shared" si="21"/>
        <v>13</v>
      </c>
      <c r="P59" s="1">
        <f t="shared" si="21"/>
        <v>14</v>
      </c>
      <c r="Q59" s="1">
        <f t="shared" si="21"/>
        <v>15</v>
      </c>
      <c r="R59" s="1">
        <f t="shared" si="21"/>
        <v>16</v>
      </c>
      <c r="S59" s="1">
        <f t="shared" si="21"/>
        <v>17</v>
      </c>
      <c r="T59" s="1">
        <f t="shared" si="21"/>
        <v>18</v>
      </c>
      <c r="U59" s="1">
        <f t="shared" si="21"/>
        <v>19</v>
      </c>
      <c r="V59" s="1">
        <f t="shared" si="21"/>
        <v>20</v>
      </c>
      <c r="W59" s="1">
        <f t="shared" si="21"/>
        <v>21</v>
      </c>
    </row>
    <row r="60">
      <c r="A60" s="3"/>
      <c r="B60" s="15" t="str">
        <f>'Quick Setup'!C5</f>
        <v>Squat</v>
      </c>
      <c r="C60" s="16">
        <v>0.7</v>
      </c>
      <c r="D60" s="16">
        <v>0.75</v>
      </c>
      <c r="E60" s="16">
        <v>0.8</v>
      </c>
      <c r="F60" s="16">
        <v>0.725</v>
      </c>
      <c r="G60" s="16">
        <v>0.775</v>
      </c>
      <c r="H60" s="16">
        <v>0.825</v>
      </c>
      <c r="I60" s="16">
        <v>0.6</v>
      </c>
      <c r="J60" s="16">
        <v>0.75</v>
      </c>
      <c r="K60" s="16">
        <v>0.8</v>
      </c>
      <c r="L60" s="16">
        <v>0.85</v>
      </c>
      <c r="M60" s="16">
        <v>0.775</v>
      </c>
      <c r="N60" s="16">
        <v>0.825</v>
      </c>
      <c r="O60" s="16">
        <v>0.875</v>
      </c>
      <c r="P60" s="16">
        <v>0.6</v>
      </c>
      <c r="Q60" s="16">
        <v>0.8</v>
      </c>
      <c r="R60" s="16">
        <v>0.85</v>
      </c>
      <c r="S60" s="16">
        <v>0.9</v>
      </c>
      <c r="T60" s="16">
        <v>0.85</v>
      </c>
      <c r="U60" s="16">
        <v>0.9</v>
      </c>
      <c r="V60" s="16">
        <v>0.95</v>
      </c>
      <c r="W60" s="16">
        <v>0.6</v>
      </c>
    </row>
    <row r="61">
      <c r="A61" s="3"/>
      <c r="B61" s="15" t="str">
        <f>'Quick Setup'!C6</f>
        <v>Bench Press</v>
      </c>
      <c r="C61" s="16">
        <f t="shared" ref="C61:W61" si="22">C60</f>
        <v>0.7</v>
      </c>
      <c r="D61" s="16">
        <f t="shared" si="22"/>
        <v>0.75</v>
      </c>
      <c r="E61" s="16">
        <f t="shared" si="22"/>
        <v>0.8</v>
      </c>
      <c r="F61" s="16">
        <f t="shared" si="22"/>
        <v>0.725</v>
      </c>
      <c r="G61" s="16">
        <f t="shared" si="22"/>
        <v>0.775</v>
      </c>
      <c r="H61" s="16">
        <f t="shared" si="22"/>
        <v>0.825</v>
      </c>
      <c r="I61" s="16">
        <f t="shared" si="22"/>
        <v>0.6</v>
      </c>
      <c r="J61" s="16">
        <f t="shared" si="22"/>
        <v>0.75</v>
      </c>
      <c r="K61" s="16">
        <f t="shared" si="22"/>
        <v>0.8</v>
      </c>
      <c r="L61" s="16">
        <f t="shared" si="22"/>
        <v>0.85</v>
      </c>
      <c r="M61" s="16">
        <f t="shared" si="22"/>
        <v>0.775</v>
      </c>
      <c r="N61" s="16">
        <f t="shared" si="22"/>
        <v>0.825</v>
      </c>
      <c r="O61" s="16">
        <f t="shared" si="22"/>
        <v>0.875</v>
      </c>
      <c r="P61" s="16">
        <f t="shared" si="22"/>
        <v>0.6</v>
      </c>
      <c r="Q61" s="16">
        <f t="shared" si="22"/>
        <v>0.8</v>
      </c>
      <c r="R61" s="16">
        <f t="shared" si="22"/>
        <v>0.85</v>
      </c>
      <c r="S61" s="16">
        <f t="shared" si="22"/>
        <v>0.9</v>
      </c>
      <c r="T61" s="16">
        <f t="shared" si="22"/>
        <v>0.85</v>
      </c>
      <c r="U61" s="16">
        <f t="shared" si="22"/>
        <v>0.9</v>
      </c>
      <c r="V61" s="16">
        <f t="shared" si="22"/>
        <v>0.95</v>
      </c>
      <c r="W61" s="16">
        <f t="shared" si="22"/>
        <v>0.6</v>
      </c>
    </row>
    <row r="62">
      <c r="A62" s="3"/>
      <c r="B62" s="15" t="str">
        <f>'Quick Setup'!C7</f>
        <v>Deadlift</v>
      </c>
      <c r="C62" s="16">
        <f t="shared" ref="C62:W62" si="23">C61</f>
        <v>0.7</v>
      </c>
      <c r="D62" s="16">
        <f t="shared" si="23"/>
        <v>0.75</v>
      </c>
      <c r="E62" s="16">
        <f t="shared" si="23"/>
        <v>0.8</v>
      </c>
      <c r="F62" s="16">
        <f t="shared" si="23"/>
        <v>0.725</v>
      </c>
      <c r="G62" s="16">
        <f t="shared" si="23"/>
        <v>0.775</v>
      </c>
      <c r="H62" s="16">
        <f t="shared" si="23"/>
        <v>0.825</v>
      </c>
      <c r="I62" s="16">
        <f t="shared" si="23"/>
        <v>0.6</v>
      </c>
      <c r="J62" s="16">
        <f t="shared" si="23"/>
        <v>0.75</v>
      </c>
      <c r="K62" s="16">
        <f t="shared" si="23"/>
        <v>0.8</v>
      </c>
      <c r="L62" s="16">
        <f t="shared" si="23"/>
        <v>0.85</v>
      </c>
      <c r="M62" s="16">
        <f t="shared" si="23"/>
        <v>0.775</v>
      </c>
      <c r="N62" s="16">
        <f t="shared" si="23"/>
        <v>0.825</v>
      </c>
      <c r="O62" s="16">
        <f t="shared" si="23"/>
        <v>0.875</v>
      </c>
      <c r="P62" s="16">
        <f t="shared" si="23"/>
        <v>0.6</v>
      </c>
      <c r="Q62" s="16">
        <f t="shared" si="23"/>
        <v>0.8</v>
      </c>
      <c r="R62" s="16">
        <f t="shared" si="23"/>
        <v>0.85</v>
      </c>
      <c r="S62" s="16">
        <f t="shared" si="23"/>
        <v>0.9</v>
      </c>
      <c r="T62" s="16">
        <f t="shared" si="23"/>
        <v>0.85</v>
      </c>
      <c r="U62" s="16">
        <f t="shared" si="23"/>
        <v>0.9</v>
      </c>
      <c r="V62" s="16">
        <f t="shared" si="23"/>
        <v>0.95</v>
      </c>
      <c r="W62" s="16">
        <f t="shared" si="23"/>
        <v>0.6</v>
      </c>
    </row>
    <row r="63">
      <c r="A63" s="3"/>
      <c r="B63" s="15" t="str">
        <f>'Quick Setup'!C8</f>
        <v>OHP</v>
      </c>
      <c r="C63" s="16">
        <f t="shared" ref="C63:W63" si="24">C62</f>
        <v>0.7</v>
      </c>
      <c r="D63" s="16">
        <f t="shared" si="24"/>
        <v>0.75</v>
      </c>
      <c r="E63" s="16">
        <f t="shared" si="24"/>
        <v>0.8</v>
      </c>
      <c r="F63" s="16">
        <f t="shared" si="24"/>
        <v>0.725</v>
      </c>
      <c r="G63" s="16">
        <f t="shared" si="24"/>
        <v>0.775</v>
      </c>
      <c r="H63" s="16">
        <f t="shared" si="24"/>
        <v>0.825</v>
      </c>
      <c r="I63" s="16">
        <f t="shared" si="24"/>
        <v>0.6</v>
      </c>
      <c r="J63" s="16">
        <f t="shared" si="24"/>
        <v>0.75</v>
      </c>
      <c r="K63" s="16">
        <f t="shared" si="24"/>
        <v>0.8</v>
      </c>
      <c r="L63" s="16">
        <f t="shared" si="24"/>
        <v>0.85</v>
      </c>
      <c r="M63" s="16">
        <f t="shared" si="24"/>
        <v>0.775</v>
      </c>
      <c r="N63" s="16">
        <f t="shared" si="24"/>
        <v>0.825</v>
      </c>
      <c r="O63" s="16">
        <f t="shared" si="24"/>
        <v>0.875</v>
      </c>
      <c r="P63" s="16">
        <f t="shared" si="24"/>
        <v>0.6</v>
      </c>
      <c r="Q63" s="16">
        <f t="shared" si="24"/>
        <v>0.8</v>
      </c>
      <c r="R63" s="16">
        <f t="shared" si="24"/>
        <v>0.85</v>
      </c>
      <c r="S63" s="16">
        <f t="shared" si="24"/>
        <v>0.9</v>
      </c>
      <c r="T63" s="16">
        <f t="shared" si="24"/>
        <v>0.85</v>
      </c>
      <c r="U63" s="16">
        <f t="shared" si="24"/>
        <v>0.9</v>
      </c>
      <c r="V63" s="16">
        <f t="shared" si="24"/>
        <v>0.95</v>
      </c>
      <c r="W63" s="16">
        <f t="shared" si="24"/>
        <v>0.6</v>
      </c>
    </row>
    <row r="64">
      <c r="A64" s="3"/>
      <c r="B64" s="15" t="str">
        <f>'Quick Setup'!C11</f>
        <v>Front Squat</v>
      </c>
      <c r="C64" s="16">
        <f t="shared" ref="C64:W64" si="25">C60-0.1</f>
        <v>0.6</v>
      </c>
      <c r="D64" s="16">
        <f t="shared" si="25"/>
        <v>0.65</v>
      </c>
      <c r="E64" s="16">
        <f t="shared" si="25"/>
        <v>0.7</v>
      </c>
      <c r="F64" s="16">
        <f t="shared" si="25"/>
        <v>0.625</v>
      </c>
      <c r="G64" s="16">
        <f t="shared" si="25"/>
        <v>0.675</v>
      </c>
      <c r="H64" s="16">
        <f t="shared" si="25"/>
        <v>0.725</v>
      </c>
      <c r="I64" s="16">
        <f t="shared" si="25"/>
        <v>0.5</v>
      </c>
      <c r="J64" s="16">
        <f t="shared" si="25"/>
        <v>0.65</v>
      </c>
      <c r="K64" s="16">
        <f t="shared" si="25"/>
        <v>0.7</v>
      </c>
      <c r="L64" s="16">
        <f t="shared" si="25"/>
        <v>0.75</v>
      </c>
      <c r="M64" s="16">
        <f t="shared" si="25"/>
        <v>0.675</v>
      </c>
      <c r="N64" s="16">
        <f t="shared" si="25"/>
        <v>0.725</v>
      </c>
      <c r="O64" s="16">
        <f t="shared" si="25"/>
        <v>0.775</v>
      </c>
      <c r="P64" s="16">
        <f t="shared" si="25"/>
        <v>0.5</v>
      </c>
      <c r="Q64" s="16">
        <f t="shared" si="25"/>
        <v>0.7</v>
      </c>
      <c r="R64" s="16">
        <f t="shared" si="25"/>
        <v>0.75</v>
      </c>
      <c r="S64" s="16">
        <f t="shared" si="25"/>
        <v>0.8</v>
      </c>
      <c r="T64" s="16">
        <f t="shared" si="25"/>
        <v>0.75</v>
      </c>
      <c r="U64" s="16">
        <f t="shared" si="25"/>
        <v>0.8</v>
      </c>
      <c r="V64" s="16">
        <f t="shared" si="25"/>
        <v>0.85</v>
      </c>
      <c r="W64" s="16">
        <f t="shared" si="25"/>
        <v>0.5</v>
      </c>
    </row>
    <row r="65">
      <c r="A65" s="3"/>
      <c r="B65" s="15" t="str">
        <f>'Quick Setup'!C12</f>
        <v>Paused Squat</v>
      </c>
      <c r="C65" s="16">
        <f t="shared" ref="C65:W65" si="26">C64</f>
        <v>0.6</v>
      </c>
      <c r="D65" s="16">
        <f t="shared" si="26"/>
        <v>0.65</v>
      </c>
      <c r="E65" s="16">
        <f t="shared" si="26"/>
        <v>0.7</v>
      </c>
      <c r="F65" s="16">
        <f t="shared" si="26"/>
        <v>0.625</v>
      </c>
      <c r="G65" s="16">
        <f t="shared" si="26"/>
        <v>0.675</v>
      </c>
      <c r="H65" s="16">
        <f t="shared" si="26"/>
        <v>0.725</v>
      </c>
      <c r="I65" s="16">
        <f t="shared" si="26"/>
        <v>0.5</v>
      </c>
      <c r="J65" s="16">
        <f t="shared" si="26"/>
        <v>0.65</v>
      </c>
      <c r="K65" s="16">
        <f t="shared" si="26"/>
        <v>0.7</v>
      </c>
      <c r="L65" s="16">
        <f t="shared" si="26"/>
        <v>0.75</v>
      </c>
      <c r="M65" s="16">
        <f t="shared" si="26"/>
        <v>0.675</v>
      </c>
      <c r="N65" s="16">
        <f t="shared" si="26"/>
        <v>0.725</v>
      </c>
      <c r="O65" s="16">
        <f t="shared" si="26"/>
        <v>0.775</v>
      </c>
      <c r="P65" s="16">
        <f t="shared" si="26"/>
        <v>0.5</v>
      </c>
      <c r="Q65" s="16">
        <f t="shared" si="26"/>
        <v>0.7</v>
      </c>
      <c r="R65" s="16">
        <f t="shared" si="26"/>
        <v>0.75</v>
      </c>
      <c r="S65" s="16">
        <f t="shared" si="26"/>
        <v>0.8</v>
      </c>
      <c r="T65" s="16">
        <f t="shared" si="26"/>
        <v>0.75</v>
      </c>
      <c r="U65" s="16">
        <f t="shared" si="26"/>
        <v>0.8</v>
      </c>
      <c r="V65" s="16">
        <f t="shared" si="26"/>
        <v>0.85</v>
      </c>
      <c r="W65" s="16">
        <f t="shared" si="26"/>
        <v>0.5</v>
      </c>
    </row>
    <row r="66">
      <c r="A66" s="3"/>
      <c r="B66" s="15" t="str">
        <f>'Quick Setup'!C13</f>
        <v>Close Grip Bench</v>
      </c>
      <c r="C66" s="16">
        <f t="shared" ref="C66:W66" si="27">C65</f>
        <v>0.6</v>
      </c>
      <c r="D66" s="16">
        <f t="shared" si="27"/>
        <v>0.65</v>
      </c>
      <c r="E66" s="16">
        <f t="shared" si="27"/>
        <v>0.7</v>
      </c>
      <c r="F66" s="16">
        <f t="shared" si="27"/>
        <v>0.625</v>
      </c>
      <c r="G66" s="16">
        <f t="shared" si="27"/>
        <v>0.675</v>
      </c>
      <c r="H66" s="16">
        <f t="shared" si="27"/>
        <v>0.725</v>
      </c>
      <c r="I66" s="16">
        <f t="shared" si="27"/>
        <v>0.5</v>
      </c>
      <c r="J66" s="16">
        <f t="shared" si="27"/>
        <v>0.65</v>
      </c>
      <c r="K66" s="16">
        <f t="shared" si="27"/>
        <v>0.7</v>
      </c>
      <c r="L66" s="16">
        <f t="shared" si="27"/>
        <v>0.75</v>
      </c>
      <c r="M66" s="16">
        <f t="shared" si="27"/>
        <v>0.675</v>
      </c>
      <c r="N66" s="16">
        <f t="shared" si="27"/>
        <v>0.725</v>
      </c>
      <c r="O66" s="16">
        <f t="shared" si="27"/>
        <v>0.775</v>
      </c>
      <c r="P66" s="16">
        <f t="shared" si="27"/>
        <v>0.5</v>
      </c>
      <c r="Q66" s="16">
        <f t="shared" si="27"/>
        <v>0.7</v>
      </c>
      <c r="R66" s="16">
        <f t="shared" si="27"/>
        <v>0.75</v>
      </c>
      <c r="S66" s="16">
        <f t="shared" si="27"/>
        <v>0.8</v>
      </c>
      <c r="T66" s="16">
        <f t="shared" si="27"/>
        <v>0.75</v>
      </c>
      <c r="U66" s="16">
        <f t="shared" si="27"/>
        <v>0.8</v>
      </c>
      <c r="V66" s="16">
        <f t="shared" si="27"/>
        <v>0.85</v>
      </c>
      <c r="W66" s="16">
        <f t="shared" si="27"/>
        <v>0.5</v>
      </c>
    </row>
    <row r="67">
      <c r="A67" s="3"/>
      <c r="B67" s="15" t="str">
        <f>'Quick Setup'!C14</f>
        <v>Incline Press</v>
      </c>
      <c r="C67" s="16">
        <f t="shared" ref="C67:W67" si="28">C66</f>
        <v>0.6</v>
      </c>
      <c r="D67" s="16">
        <f t="shared" si="28"/>
        <v>0.65</v>
      </c>
      <c r="E67" s="16">
        <f t="shared" si="28"/>
        <v>0.7</v>
      </c>
      <c r="F67" s="16">
        <f t="shared" si="28"/>
        <v>0.625</v>
      </c>
      <c r="G67" s="16">
        <f t="shared" si="28"/>
        <v>0.675</v>
      </c>
      <c r="H67" s="16">
        <f t="shared" si="28"/>
        <v>0.725</v>
      </c>
      <c r="I67" s="16">
        <f t="shared" si="28"/>
        <v>0.5</v>
      </c>
      <c r="J67" s="16">
        <f t="shared" si="28"/>
        <v>0.65</v>
      </c>
      <c r="K67" s="16">
        <f t="shared" si="28"/>
        <v>0.7</v>
      </c>
      <c r="L67" s="16">
        <f t="shared" si="28"/>
        <v>0.75</v>
      </c>
      <c r="M67" s="16">
        <f t="shared" si="28"/>
        <v>0.675</v>
      </c>
      <c r="N67" s="16">
        <f t="shared" si="28"/>
        <v>0.725</v>
      </c>
      <c r="O67" s="16">
        <f t="shared" si="28"/>
        <v>0.775</v>
      </c>
      <c r="P67" s="16">
        <f t="shared" si="28"/>
        <v>0.5</v>
      </c>
      <c r="Q67" s="16">
        <f t="shared" si="28"/>
        <v>0.7</v>
      </c>
      <c r="R67" s="16">
        <f t="shared" si="28"/>
        <v>0.75</v>
      </c>
      <c r="S67" s="16">
        <f t="shared" si="28"/>
        <v>0.8</v>
      </c>
      <c r="T67" s="16">
        <f t="shared" si="28"/>
        <v>0.75</v>
      </c>
      <c r="U67" s="16">
        <f t="shared" si="28"/>
        <v>0.8</v>
      </c>
      <c r="V67" s="16">
        <f t="shared" si="28"/>
        <v>0.85</v>
      </c>
      <c r="W67" s="16">
        <f t="shared" si="28"/>
        <v>0.5</v>
      </c>
    </row>
    <row r="68">
      <c r="A68" s="3"/>
      <c r="B68" s="15" t="str">
        <f>'Quick Setup'!C15</f>
        <v>Sumo Deadlift</v>
      </c>
      <c r="C68" s="16">
        <f t="shared" ref="C68:W68" si="29">C67</f>
        <v>0.6</v>
      </c>
      <c r="D68" s="16">
        <f t="shared" si="29"/>
        <v>0.65</v>
      </c>
      <c r="E68" s="16">
        <f t="shared" si="29"/>
        <v>0.7</v>
      </c>
      <c r="F68" s="16">
        <f t="shared" si="29"/>
        <v>0.625</v>
      </c>
      <c r="G68" s="16">
        <f t="shared" si="29"/>
        <v>0.675</v>
      </c>
      <c r="H68" s="16">
        <f t="shared" si="29"/>
        <v>0.725</v>
      </c>
      <c r="I68" s="16">
        <f t="shared" si="29"/>
        <v>0.5</v>
      </c>
      <c r="J68" s="16">
        <f t="shared" si="29"/>
        <v>0.65</v>
      </c>
      <c r="K68" s="16">
        <f t="shared" si="29"/>
        <v>0.7</v>
      </c>
      <c r="L68" s="16">
        <f t="shared" si="29"/>
        <v>0.75</v>
      </c>
      <c r="M68" s="16">
        <f t="shared" si="29"/>
        <v>0.675</v>
      </c>
      <c r="N68" s="16">
        <f t="shared" si="29"/>
        <v>0.725</v>
      </c>
      <c r="O68" s="16">
        <f t="shared" si="29"/>
        <v>0.775</v>
      </c>
      <c r="P68" s="16">
        <f t="shared" si="29"/>
        <v>0.5</v>
      </c>
      <c r="Q68" s="16">
        <f t="shared" si="29"/>
        <v>0.7</v>
      </c>
      <c r="R68" s="16">
        <f t="shared" si="29"/>
        <v>0.75</v>
      </c>
      <c r="S68" s="16">
        <f t="shared" si="29"/>
        <v>0.8</v>
      </c>
      <c r="T68" s="16">
        <f t="shared" si="29"/>
        <v>0.75</v>
      </c>
      <c r="U68" s="16">
        <f t="shared" si="29"/>
        <v>0.8</v>
      </c>
      <c r="V68" s="16">
        <f t="shared" si="29"/>
        <v>0.85</v>
      </c>
      <c r="W68" s="16">
        <f t="shared" si="29"/>
        <v>0.5</v>
      </c>
    </row>
    <row r="69">
      <c r="A69" s="3"/>
      <c r="B69" s="15" t="str">
        <f>'Quick Setup'!C16</f>
        <v>Push Press</v>
      </c>
      <c r="C69" s="16">
        <f t="shared" ref="C69:W69" si="30">C68</f>
        <v>0.6</v>
      </c>
      <c r="D69" s="16">
        <f t="shared" si="30"/>
        <v>0.65</v>
      </c>
      <c r="E69" s="16">
        <f t="shared" si="30"/>
        <v>0.7</v>
      </c>
      <c r="F69" s="16">
        <f t="shared" si="30"/>
        <v>0.625</v>
      </c>
      <c r="G69" s="16">
        <f t="shared" si="30"/>
        <v>0.675</v>
      </c>
      <c r="H69" s="16">
        <f t="shared" si="30"/>
        <v>0.725</v>
      </c>
      <c r="I69" s="16">
        <f t="shared" si="30"/>
        <v>0.5</v>
      </c>
      <c r="J69" s="16">
        <f t="shared" si="30"/>
        <v>0.65</v>
      </c>
      <c r="K69" s="16">
        <f t="shared" si="30"/>
        <v>0.7</v>
      </c>
      <c r="L69" s="16">
        <f t="shared" si="30"/>
        <v>0.75</v>
      </c>
      <c r="M69" s="16">
        <f t="shared" si="30"/>
        <v>0.675</v>
      </c>
      <c r="N69" s="16">
        <f t="shared" si="30"/>
        <v>0.725</v>
      </c>
      <c r="O69" s="16">
        <f t="shared" si="30"/>
        <v>0.775</v>
      </c>
      <c r="P69" s="16">
        <f t="shared" si="30"/>
        <v>0.5</v>
      </c>
      <c r="Q69" s="16">
        <f t="shared" si="30"/>
        <v>0.7</v>
      </c>
      <c r="R69" s="16">
        <f t="shared" si="30"/>
        <v>0.75</v>
      </c>
      <c r="S69" s="16">
        <f t="shared" si="30"/>
        <v>0.8</v>
      </c>
      <c r="T69" s="16">
        <f t="shared" si="30"/>
        <v>0.75</v>
      </c>
      <c r="U69" s="16">
        <f t="shared" si="30"/>
        <v>0.8</v>
      </c>
      <c r="V69" s="16">
        <f t="shared" si="30"/>
        <v>0.85</v>
      </c>
      <c r="W69" s="16">
        <f t="shared" si="30"/>
        <v>0.5</v>
      </c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</sheetData>
  <mergeCells count="4">
    <mergeCell ref="I4:P4"/>
    <mergeCell ref="C30:W30"/>
    <mergeCell ref="C44:W44"/>
    <mergeCell ref="C58:W58"/>
  </mergeCells>
  <dataValidations>
    <dataValidation type="list" allowBlank="1" sqref="A2">
      <formula1>"1,2,2.5,5"</formula1>
    </dataValidation>
    <dataValidation type="list" allowBlank="1" sqref="I6:P15">
      <formula1>"-0.25%,-0.50%,-0.75%,-1.00%,-1.25%,-1.50%,-1.75%,-2.00%,-2.5%,-3.00%,-4.00%,-5.00%,0.00%,0.25%,0.50%,0.75%,1.00%,1.25%,1.50%,1.75%,2.00%,2.50%,3.00%,4.00%,5.00%"</formula1>
    </dataValidation>
    <dataValidation type="list" allowBlank="1" sqref="C16">
      <formula1>"Push Press,Behind The Neck OHP,Seated OHP,Incline Press,DB OHP"</formula1>
    </dataValidation>
    <dataValidation type="list" allowBlank="1" sqref="C60:W69">
      <formula1>"50.0%,52.5%,55.0%,57.5%,60.0%,62.5%,65.0%,67.5%,70.0%,72.5%,75.0%,77.5%,80.0%,82.5%,85.0%,87.5%,90.0%,92.5%,95.0%,97.5%,100.0%"</formula1>
    </dataValidation>
    <dataValidation type="list" allowBlank="1" sqref="C15">
      <formula1>"Sumo Deadlift,Conventional Deadlift,Block Pull,Rack Pull,Deficit Deadlift,Romanian Deadlift,Stiff Leg Deadlift,Snatch Grip Deadlift,Trap Bar Deadlift"</formula1>
    </dataValidation>
    <dataValidation type="list" allowBlank="1" sqref="H6:H15">
      <formula1>"1,2,3,4,5,6,7,8"</formula1>
    </dataValidation>
    <dataValidation type="list" allowBlank="1" sqref="C11:C12">
      <formula1>"Front Squat,Paused Squat,High Bar Squat,Beltless Squat,Wider Stance Squat,Narrower Stance Squat,Box Squat,Pin Squat,Half Squat,Good Morning,Squat With Slow Eccentric,Leg Press"</formula1>
    </dataValidation>
    <dataValidation type="list" allowBlank="1" sqref="C13:C14">
      <formula1>"Close Grip Bench,Long Pause Bench,Spoto Press,Incline Press,Wider Grip Bench,Board Press,Pin Press,Slingshot Bench,Bench With Feet Up,Bench With Slow Eccentric,DB Bench"</formula1>
    </dataValidation>
    <dataValidation type="list" allowBlank="1" sqref="C32:W41 C46:W55">
      <formula1>"1,2,3,4,5,6,7,8,9,10,11,12,13,14,15,16,17,18,19,20"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6" max="6" width="21.0"/>
  </cols>
  <sheetData>
    <row r="1">
      <c r="A1" s="17" t="s">
        <v>45</v>
      </c>
      <c r="B1" s="18">
        <v>1.0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18">
        <f>B1+1</f>
        <v>2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18">
        <f>N1+1</f>
        <v>3</v>
      </c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20"/>
      <c r="AL1" s="18">
        <f>Z1+1</f>
        <v>4</v>
      </c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20"/>
      <c r="AX1" s="18">
        <f>AL1+1</f>
        <v>5</v>
      </c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20"/>
      <c r="BJ1" s="18">
        <f>AX1+1</f>
        <v>6</v>
      </c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20"/>
      <c r="BV1" s="18">
        <f>BJ1+1</f>
        <v>7</v>
      </c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20"/>
      <c r="CH1" s="18">
        <f>BV1+1</f>
        <v>8</v>
      </c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20"/>
      <c r="CT1" s="18">
        <f>CH1+1</f>
        <v>9</v>
      </c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20"/>
      <c r="DF1" s="18">
        <f>CT1+1</f>
        <v>10</v>
      </c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20"/>
      <c r="DR1" s="18">
        <f>DF1+1</f>
        <v>11</v>
      </c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20"/>
      <c r="ED1" s="18">
        <f>DR1+1</f>
        <v>12</v>
      </c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20"/>
      <c r="EP1" s="18">
        <f>ED1+1</f>
        <v>13</v>
      </c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20"/>
      <c r="FB1" s="18">
        <f>EP1+1</f>
        <v>14</v>
      </c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20"/>
      <c r="FN1" s="18">
        <f>FB1+1</f>
        <v>15</v>
      </c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20"/>
      <c r="FZ1" s="18">
        <f>FN1+1</f>
        <v>16</v>
      </c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20"/>
      <c r="GL1" s="18">
        <f>FZ1+1</f>
        <v>17</v>
      </c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20"/>
      <c r="GX1" s="18">
        <f>GL1+1</f>
        <v>18</v>
      </c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20"/>
      <c r="HJ1" s="18">
        <f>GX1+1</f>
        <v>19</v>
      </c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20"/>
      <c r="HV1" s="18">
        <f>HJ1+1</f>
        <v>20</v>
      </c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20"/>
      <c r="IH1" s="18">
        <f>HV1+1</f>
        <v>21</v>
      </c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20"/>
    </row>
    <row r="2">
      <c r="A2" s="21" t="s">
        <v>46</v>
      </c>
      <c r="B2" s="21" t="s">
        <v>44</v>
      </c>
      <c r="C2" s="21" t="s">
        <v>47</v>
      </c>
      <c r="D2" s="21" t="s">
        <v>48</v>
      </c>
      <c r="E2" s="21" t="s">
        <v>7</v>
      </c>
      <c r="F2" s="21" t="s">
        <v>8</v>
      </c>
      <c r="G2" s="21" t="s">
        <v>9</v>
      </c>
      <c r="H2" s="21" t="s">
        <v>10</v>
      </c>
      <c r="I2" s="21" t="s">
        <v>11</v>
      </c>
      <c r="J2" s="21" t="s">
        <v>12</v>
      </c>
      <c r="K2" s="21" t="s">
        <v>13</v>
      </c>
      <c r="L2" s="21" t="s">
        <v>14</v>
      </c>
      <c r="M2" s="21" t="s">
        <v>15</v>
      </c>
      <c r="N2" s="21" t="s">
        <v>44</v>
      </c>
      <c r="O2" s="21" t="s">
        <v>47</v>
      </c>
      <c r="P2" s="21" t="s">
        <v>48</v>
      </c>
      <c r="Q2" s="21" t="s">
        <v>7</v>
      </c>
      <c r="R2" s="21" t="s">
        <v>8</v>
      </c>
      <c r="S2" s="21" t="s">
        <v>9</v>
      </c>
      <c r="T2" s="21" t="s">
        <v>10</v>
      </c>
      <c r="U2" s="21" t="s">
        <v>11</v>
      </c>
      <c r="V2" s="21" t="s">
        <v>12</v>
      </c>
      <c r="W2" s="21" t="s">
        <v>13</v>
      </c>
      <c r="X2" s="21" t="s">
        <v>14</v>
      </c>
      <c r="Y2" s="21" t="s">
        <v>15</v>
      </c>
      <c r="Z2" s="21" t="s">
        <v>44</v>
      </c>
      <c r="AA2" s="21" t="s">
        <v>47</v>
      </c>
      <c r="AB2" s="21" t="s">
        <v>48</v>
      </c>
      <c r="AC2" s="21" t="s">
        <v>7</v>
      </c>
      <c r="AD2" s="21" t="s">
        <v>8</v>
      </c>
      <c r="AE2" s="21" t="s">
        <v>9</v>
      </c>
      <c r="AF2" s="21" t="s">
        <v>10</v>
      </c>
      <c r="AG2" s="21" t="s">
        <v>11</v>
      </c>
      <c r="AH2" s="21" t="s">
        <v>12</v>
      </c>
      <c r="AI2" s="21" t="s">
        <v>13</v>
      </c>
      <c r="AJ2" s="21" t="s">
        <v>14</v>
      </c>
      <c r="AK2" s="21" t="s">
        <v>15</v>
      </c>
      <c r="AL2" s="21" t="s">
        <v>44</v>
      </c>
      <c r="AM2" s="21" t="s">
        <v>47</v>
      </c>
      <c r="AN2" s="21" t="s">
        <v>48</v>
      </c>
      <c r="AO2" s="21" t="s">
        <v>7</v>
      </c>
      <c r="AP2" s="21" t="s">
        <v>8</v>
      </c>
      <c r="AQ2" s="21" t="s">
        <v>9</v>
      </c>
      <c r="AR2" s="21" t="s">
        <v>10</v>
      </c>
      <c r="AS2" s="21" t="s">
        <v>11</v>
      </c>
      <c r="AT2" s="21" t="s">
        <v>12</v>
      </c>
      <c r="AU2" s="21" t="s">
        <v>13</v>
      </c>
      <c r="AV2" s="21" t="s">
        <v>14</v>
      </c>
      <c r="AW2" s="21" t="s">
        <v>15</v>
      </c>
      <c r="AX2" s="21" t="s">
        <v>44</v>
      </c>
      <c r="AY2" s="21" t="s">
        <v>47</v>
      </c>
      <c r="AZ2" s="21" t="s">
        <v>48</v>
      </c>
      <c r="BA2" s="21" t="s">
        <v>7</v>
      </c>
      <c r="BB2" s="21" t="s">
        <v>8</v>
      </c>
      <c r="BC2" s="21" t="s">
        <v>9</v>
      </c>
      <c r="BD2" s="21" t="s">
        <v>10</v>
      </c>
      <c r="BE2" s="21" t="s">
        <v>11</v>
      </c>
      <c r="BF2" s="21" t="s">
        <v>12</v>
      </c>
      <c r="BG2" s="21" t="s">
        <v>13</v>
      </c>
      <c r="BH2" s="21" t="s">
        <v>14</v>
      </c>
      <c r="BI2" s="21" t="s">
        <v>15</v>
      </c>
      <c r="BJ2" s="21" t="s">
        <v>44</v>
      </c>
      <c r="BK2" s="21" t="s">
        <v>47</v>
      </c>
      <c r="BL2" s="21" t="s">
        <v>48</v>
      </c>
      <c r="BM2" s="22" t="s">
        <v>7</v>
      </c>
      <c r="BN2" s="23" t="s">
        <v>8</v>
      </c>
      <c r="BO2" s="22" t="s">
        <v>9</v>
      </c>
      <c r="BP2" s="22" t="s">
        <v>10</v>
      </c>
      <c r="BQ2" s="22" t="s">
        <v>11</v>
      </c>
      <c r="BR2" s="22" t="s">
        <v>12</v>
      </c>
      <c r="BS2" s="22" t="s">
        <v>13</v>
      </c>
      <c r="BT2" s="22" t="s">
        <v>14</v>
      </c>
      <c r="BU2" s="22" t="s">
        <v>15</v>
      </c>
      <c r="BV2" s="21" t="s">
        <v>44</v>
      </c>
      <c r="BW2" s="21" t="s">
        <v>47</v>
      </c>
      <c r="BX2" s="21" t="s">
        <v>48</v>
      </c>
      <c r="BY2" s="22" t="s">
        <v>7</v>
      </c>
      <c r="BZ2" s="23" t="s">
        <v>8</v>
      </c>
      <c r="CA2" s="22" t="s">
        <v>9</v>
      </c>
      <c r="CB2" s="22" t="s">
        <v>10</v>
      </c>
      <c r="CC2" s="22" t="s">
        <v>11</v>
      </c>
      <c r="CD2" s="22" t="s">
        <v>12</v>
      </c>
      <c r="CE2" s="22" t="s">
        <v>13</v>
      </c>
      <c r="CF2" s="22" t="s">
        <v>14</v>
      </c>
      <c r="CG2" s="22" t="s">
        <v>15</v>
      </c>
      <c r="CH2" s="21" t="s">
        <v>44</v>
      </c>
      <c r="CI2" s="21" t="s">
        <v>47</v>
      </c>
      <c r="CJ2" s="21" t="s">
        <v>48</v>
      </c>
      <c r="CK2" s="22" t="s">
        <v>7</v>
      </c>
      <c r="CL2" s="23" t="s">
        <v>8</v>
      </c>
      <c r="CM2" s="22" t="s">
        <v>9</v>
      </c>
      <c r="CN2" s="22" t="s">
        <v>10</v>
      </c>
      <c r="CO2" s="22" t="s">
        <v>11</v>
      </c>
      <c r="CP2" s="22" t="s">
        <v>12</v>
      </c>
      <c r="CQ2" s="22" t="s">
        <v>13</v>
      </c>
      <c r="CR2" s="22" t="s">
        <v>14</v>
      </c>
      <c r="CS2" s="22" t="s">
        <v>15</v>
      </c>
      <c r="CT2" s="21" t="s">
        <v>44</v>
      </c>
      <c r="CU2" s="21" t="s">
        <v>47</v>
      </c>
      <c r="CV2" s="21" t="s">
        <v>48</v>
      </c>
      <c r="CW2" s="22" t="s">
        <v>7</v>
      </c>
      <c r="CX2" s="23" t="s">
        <v>8</v>
      </c>
      <c r="CY2" s="22" t="s">
        <v>9</v>
      </c>
      <c r="CZ2" s="22" t="s">
        <v>10</v>
      </c>
      <c r="DA2" s="22" t="s">
        <v>11</v>
      </c>
      <c r="DB2" s="22" t="s">
        <v>12</v>
      </c>
      <c r="DC2" s="22" t="s">
        <v>13</v>
      </c>
      <c r="DD2" s="22" t="s">
        <v>14</v>
      </c>
      <c r="DE2" s="22" t="s">
        <v>15</v>
      </c>
      <c r="DF2" s="21" t="s">
        <v>44</v>
      </c>
      <c r="DG2" s="21" t="s">
        <v>47</v>
      </c>
      <c r="DH2" s="21" t="s">
        <v>48</v>
      </c>
      <c r="DI2" s="22" t="s">
        <v>7</v>
      </c>
      <c r="DJ2" s="23" t="s">
        <v>8</v>
      </c>
      <c r="DK2" s="22" t="s">
        <v>9</v>
      </c>
      <c r="DL2" s="22" t="s">
        <v>10</v>
      </c>
      <c r="DM2" s="22" t="s">
        <v>11</v>
      </c>
      <c r="DN2" s="22" t="s">
        <v>12</v>
      </c>
      <c r="DO2" s="22" t="s">
        <v>13</v>
      </c>
      <c r="DP2" s="22" t="s">
        <v>14</v>
      </c>
      <c r="DQ2" s="22" t="s">
        <v>15</v>
      </c>
      <c r="DR2" s="21" t="s">
        <v>44</v>
      </c>
      <c r="DS2" s="21" t="s">
        <v>47</v>
      </c>
      <c r="DT2" s="21" t="s">
        <v>48</v>
      </c>
      <c r="DU2" s="22" t="s">
        <v>7</v>
      </c>
      <c r="DV2" s="23" t="s">
        <v>8</v>
      </c>
      <c r="DW2" s="22" t="s">
        <v>9</v>
      </c>
      <c r="DX2" s="22" t="s">
        <v>10</v>
      </c>
      <c r="DY2" s="22" t="s">
        <v>11</v>
      </c>
      <c r="DZ2" s="22" t="s">
        <v>12</v>
      </c>
      <c r="EA2" s="22" t="s">
        <v>13</v>
      </c>
      <c r="EB2" s="22" t="s">
        <v>14</v>
      </c>
      <c r="EC2" s="22" t="s">
        <v>15</v>
      </c>
      <c r="ED2" s="21" t="s">
        <v>44</v>
      </c>
      <c r="EE2" s="21" t="s">
        <v>47</v>
      </c>
      <c r="EF2" s="21" t="s">
        <v>48</v>
      </c>
      <c r="EG2" s="22" t="s">
        <v>7</v>
      </c>
      <c r="EH2" s="23" t="s">
        <v>8</v>
      </c>
      <c r="EI2" s="22" t="s">
        <v>9</v>
      </c>
      <c r="EJ2" s="22" t="s">
        <v>10</v>
      </c>
      <c r="EK2" s="22" t="s">
        <v>11</v>
      </c>
      <c r="EL2" s="22" t="s">
        <v>12</v>
      </c>
      <c r="EM2" s="22" t="s">
        <v>13</v>
      </c>
      <c r="EN2" s="22" t="s">
        <v>14</v>
      </c>
      <c r="EO2" s="22" t="s">
        <v>15</v>
      </c>
      <c r="EP2" s="21" t="s">
        <v>44</v>
      </c>
      <c r="EQ2" s="21" t="s">
        <v>47</v>
      </c>
      <c r="ER2" s="21" t="s">
        <v>48</v>
      </c>
      <c r="ES2" s="22" t="s">
        <v>7</v>
      </c>
      <c r="ET2" s="23" t="s">
        <v>8</v>
      </c>
      <c r="EU2" s="22" t="s">
        <v>9</v>
      </c>
      <c r="EV2" s="22" t="s">
        <v>10</v>
      </c>
      <c r="EW2" s="22" t="s">
        <v>11</v>
      </c>
      <c r="EX2" s="22" t="s">
        <v>12</v>
      </c>
      <c r="EY2" s="22" t="s">
        <v>13</v>
      </c>
      <c r="EZ2" s="22" t="s">
        <v>14</v>
      </c>
      <c r="FA2" s="22" t="s">
        <v>15</v>
      </c>
      <c r="FB2" s="21" t="s">
        <v>44</v>
      </c>
      <c r="FC2" s="21" t="s">
        <v>47</v>
      </c>
      <c r="FD2" s="21" t="s">
        <v>48</v>
      </c>
      <c r="FE2" s="22" t="s">
        <v>7</v>
      </c>
      <c r="FF2" s="23" t="s">
        <v>8</v>
      </c>
      <c r="FG2" s="22" t="s">
        <v>9</v>
      </c>
      <c r="FH2" s="22" t="s">
        <v>10</v>
      </c>
      <c r="FI2" s="22" t="s">
        <v>11</v>
      </c>
      <c r="FJ2" s="22" t="s">
        <v>12</v>
      </c>
      <c r="FK2" s="22" t="s">
        <v>13</v>
      </c>
      <c r="FL2" s="22" t="s">
        <v>14</v>
      </c>
      <c r="FM2" s="22" t="s">
        <v>15</v>
      </c>
      <c r="FN2" s="21" t="s">
        <v>44</v>
      </c>
      <c r="FO2" s="21" t="s">
        <v>47</v>
      </c>
      <c r="FP2" s="21" t="s">
        <v>48</v>
      </c>
      <c r="FQ2" s="22" t="s">
        <v>7</v>
      </c>
      <c r="FR2" s="23" t="s">
        <v>8</v>
      </c>
      <c r="FS2" s="22" t="s">
        <v>9</v>
      </c>
      <c r="FT2" s="22" t="s">
        <v>10</v>
      </c>
      <c r="FU2" s="22" t="s">
        <v>11</v>
      </c>
      <c r="FV2" s="22" t="s">
        <v>12</v>
      </c>
      <c r="FW2" s="22" t="s">
        <v>13</v>
      </c>
      <c r="FX2" s="22" t="s">
        <v>14</v>
      </c>
      <c r="FY2" s="22" t="s">
        <v>15</v>
      </c>
      <c r="FZ2" s="21" t="s">
        <v>44</v>
      </c>
      <c r="GA2" s="21" t="s">
        <v>47</v>
      </c>
      <c r="GB2" s="21" t="s">
        <v>48</v>
      </c>
      <c r="GC2" s="22" t="s">
        <v>7</v>
      </c>
      <c r="GD2" s="23" t="s">
        <v>8</v>
      </c>
      <c r="GE2" s="22" t="s">
        <v>9</v>
      </c>
      <c r="GF2" s="22" t="s">
        <v>10</v>
      </c>
      <c r="GG2" s="22" t="s">
        <v>11</v>
      </c>
      <c r="GH2" s="22" t="s">
        <v>12</v>
      </c>
      <c r="GI2" s="22" t="s">
        <v>13</v>
      </c>
      <c r="GJ2" s="22" t="s">
        <v>14</v>
      </c>
      <c r="GK2" s="22" t="s">
        <v>15</v>
      </c>
      <c r="GL2" s="21" t="s">
        <v>44</v>
      </c>
      <c r="GM2" s="21" t="s">
        <v>47</v>
      </c>
      <c r="GN2" s="21" t="s">
        <v>48</v>
      </c>
      <c r="GO2" s="22" t="s">
        <v>7</v>
      </c>
      <c r="GP2" s="23" t="s">
        <v>8</v>
      </c>
      <c r="GQ2" s="22" t="s">
        <v>9</v>
      </c>
      <c r="GR2" s="22" t="s">
        <v>10</v>
      </c>
      <c r="GS2" s="22" t="s">
        <v>11</v>
      </c>
      <c r="GT2" s="22" t="s">
        <v>12</v>
      </c>
      <c r="GU2" s="22" t="s">
        <v>13</v>
      </c>
      <c r="GV2" s="22" t="s">
        <v>14</v>
      </c>
      <c r="GW2" s="22" t="s">
        <v>15</v>
      </c>
      <c r="GX2" s="21" t="s">
        <v>44</v>
      </c>
      <c r="GY2" s="21" t="s">
        <v>47</v>
      </c>
      <c r="GZ2" s="21" t="s">
        <v>48</v>
      </c>
      <c r="HA2" s="22" t="s">
        <v>7</v>
      </c>
      <c r="HB2" s="23" t="s">
        <v>8</v>
      </c>
      <c r="HC2" s="22" t="s">
        <v>9</v>
      </c>
      <c r="HD2" s="22" t="s">
        <v>10</v>
      </c>
      <c r="HE2" s="22" t="s">
        <v>11</v>
      </c>
      <c r="HF2" s="22" t="s">
        <v>12</v>
      </c>
      <c r="HG2" s="22" t="s">
        <v>13</v>
      </c>
      <c r="HH2" s="22" t="s">
        <v>14</v>
      </c>
      <c r="HI2" s="22" t="s">
        <v>15</v>
      </c>
      <c r="HJ2" s="21" t="s">
        <v>44</v>
      </c>
      <c r="HK2" s="21" t="s">
        <v>47</v>
      </c>
      <c r="HL2" s="21" t="s">
        <v>48</v>
      </c>
      <c r="HM2" s="22" t="s">
        <v>7</v>
      </c>
      <c r="HN2" s="23" t="s">
        <v>8</v>
      </c>
      <c r="HO2" s="22" t="s">
        <v>9</v>
      </c>
      <c r="HP2" s="22" t="s">
        <v>10</v>
      </c>
      <c r="HQ2" s="22" t="s">
        <v>11</v>
      </c>
      <c r="HR2" s="22" t="s">
        <v>12</v>
      </c>
      <c r="HS2" s="22" t="s">
        <v>13</v>
      </c>
      <c r="HT2" s="22" t="s">
        <v>14</v>
      </c>
      <c r="HU2" s="22" t="s">
        <v>15</v>
      </c>
      <c r="HV2" s="21" t="s">
        <v>44</v>
      </c>
      <c r="HW2" s="21" t="s">
        <v>47</v>
      </c>
      <c r="HX2" s="21" t="s">
        <v>48</v>
      </c>
      <c r="HY2" s="22" t="s">
        <v>7</v>
      </c>
      <c r="HZ2" s="23" t="s">
        <v>8</v>
      </c>
      <c r="IA2" s="22" t="s">
        <v>9</v>
      </c>
      <c r="IB2" s="22" t="s">
        <v>10</v>
      </c>
      <c r="IC2" s="22" t="s">
        <v>11</v>
      </c>
      <c r="ID2" s="22" t="s">
        <v>12</v>
      </c>
      <c r="IE2" s="22" t="s">
        <v>13</v>
      </c>
      <c r="IF2" s="22" t="s">
        <v>14</v>
      </c>
      <c r="IG2" s="22" t="s">
        <v>15</v>
      </c>
      <c r="IH2" s="21" t="s">
        <v>44</v>
      </c>
      <c r="II2" s="21" t="s">
        <v>47</v>
      </c>
      <c r="IJ2" s="21" t="s">
        <v>48</v>
      </c>
      <c r="IK2" s="22" t="s">
        <v>7</v>
      </c>
      <c r="IL2" s="23" t="s">
        <v>8</v>
      </c>
      <c r="IM2" s="22" t="s">
        <v>9</v>
      </c>
      <c r="IN2" s="22" t="s">
        <v>10</v>
      </c>
      <c r="IO2" s="22" t="s">
        <v>11</v>
      </c>
      <c r="IP2" s="22" t="s">
        <v>12</v>
      </c>
      <c r="IQ2" s="22" t="s">
        <v>13</v>
      </c>
      <c r="IR2" s="22" t="s">
        <v>14</v>
      </c>
      <c r="IS2" s="22" t="s">
        <v>15</v>
      </c>
    </row>
    <row r="3">
      <c r="A3" t="str">
        <f>'Quick Setup'!C5</f>
        <v>Squat</v>
      </c>
      <c r="B3" s="24">
        <f>'Quick Setup'!C60</f>
        <v>0.7</v>
      </c>
      <c r="C3" s="25">
        <f>if(B3='Quick Setup'!$C$31,'Quick Setup'!$C32,if(B3='Quick Setup'!$D$31,'Quick Setup'!$D32,if(B3='Quick Setup'!$E$31,'Quick Setup'!$E32,if(B3='Quick Setup'!$F$31,'Quick Setup'!$F32,if(B3='Quick Setup'!$G$31,'Quick Setup'!$G32,if(B3='Quick Setup'!$H$31,'Quick Setup'!$H32,if(B3='Quick Setup'!$I$31,'Quick Setup'!$I32,if(B3='Quick Setup'!$J$31,'Quick Setup'!$J32,if(B3='Quick Setup'!$K$31,'Quick Setup'!$K32,if(B3='Quick Setup'!$L$31,'Quick Setup'!$L32,if(B3='Quick Setup'!$M$31,'Quick Setup'!$M32,if(B3='Quick Setup'!$N$31,'Quick Setup'!$N32,if(B3='Quick Setup'!$O$31,'Quick Setup'!$O32,if(B3='Quick Setup'!$P$31,'Quick Setup'!$P32,if(B3='Quick Setup'!$Q$31,'Quick Setup'!$Q32,if(B3='Quick Setup'!$R$31,'Quick Setup'!$R32,if(B3='Quick Setup'!$S$31,'Quick Setup'!$S32,if(B3='Quick Setup'!$T$31,'Quick Setup'!$T32,if(B3='Quick Setup'!$U$31,'Quick Setup'!$U32,if(B3='Quick Setup'!$V$31,'Quick Setup'!$V32,'Quick Setup'!$W32))))))))))))))))))))</f>
        <v>5</v>
      </c>
      <c r="D3" s="25">
        <f>if(B3='Quick Setup'!$C$45,'Quick Setup'!$C46,if(B3='Quick Setup'!$D$45,'Quick Setup'!$D46,if(B3='Quick Setup'!$E$45,'Quick Setup'!$E46,if(B3='Quick Setup'!$F$45,'Quick Setup'!$F46,if(B3='Quick Setup'!$G$45,'Quick Setup'!$G46,if(B3='Quick Setup'!$H$45,'Quick Setup'!$H46,if(B3='Quick Setup'!$I$45,'Quick Setup'!$I46,if(B3='Quick Setup'!$J$45,'Quick Setup'!$J46,if(B3='Quick Setup'!$K$45,'Quick Setup'!$K46,if(B3='Quick Setup'!$L$45,'Quick Setup'!$L46,if(B3='Quick Setup'!$M$45,'Quick Setup'!$M46,if(B3='Quick Setup'!$N$45,'Quick Setup'!$N46,if(B3='Quick Setup'!$O$45,'Quick Setup'!$O46,if(B3='Quick Setup'!$P$45,'Quick Setup'!$P46,if(B3='Quick Setup'!$Q$45,'Quick Setup'!$Q46,if(B3='Quick Setup'!$R$45,'Quick Setup'!$R46,if(B3='Quick Setup'!$S$45,'Quick Setup'!$S46,if(B3='Quick Setup'!$T$45,'Quick Setup'!$T46,if(B3='Quick Setup'!$U$45,'Quick Setup'!$U46,if(B3='Quick Setup'!$V$45,'Quick Setup'!$V46,'Quick Setup'!$W46))))))))))))))))))))</f>
        <v>10</v>
      </c>
      <c r="E3" s="25">
        <f>'Quick Setup'!H6</f>
        <v>5</v>
      </c>
      <c r="F3" s="26">
        <f>'Quick Setup'!I6</f>
        <v>-0.05</v>
      </c>
      <c r="G3" s="26">
        <f>'Quick Setup'!J6</f>
        <v>-0.02</v>
      </c>
      <c r="H3" s="26">
        <f>'Quick Setup'!K6</f>
        <v>0</v>
      </c>
      <c r="I3" s="26">
        <f>'Quick Setup'!L6</f>
        <v>0.005</v>
      </c>
      <c r="J3" s="26">
        <f>'Quick Setup'!M6</f>
        <v>0.01</v>
      </c>
      <c r="K3" s="26">
        <f>'Quick Setup'!N6</f>
        <v>0.015</v>
      </c>
      <c r="L3" s="26">
        <f>'Quick Setup'!O6</f>
        <v>0.02</v>
      </c>
      <c r="M3" s="26">
        <f>'Quick Setup'!P6</f>
        <v>0.03</v>
      </c>
      <c r="N3" s="24">
        <f>'Quick Setup'!D60</f>
        <v>0.75</v>
      </c>
      <c r="O3" s="25">
        <f>if(N3='Quick Setup'!$C$31,'Quick Setup'!$C32,if(N3='Quick Setup'!$D$31,'Quick Setup'!$D32,if(N3='Quick Setup'!$E$31,'Quick Setup'!$E32,if(N3='Quick Setup'!$F$31,'Quick Setup'!$F32,if(N3='Quick Setup'!$G$31,'Quick Setup'!$G32,if(N3='Quick Setup'!$H$31,'Quick Setup'!$H32,if(N3='Quick Setup'!$I$31,'Quick Setup'!$I32,if(N3='Quick Setup'!$J$31,'Quick Setup'!$J32,if(N3='Quick Setup'!$K$31,'Quick Setup'!$K32,if(N3='Quick Setup'!$L$31,'Quick Setup'!$L32,if(N3='Quick Setup'!$M$31,'Quick Setup'!$M32,if(N3='Quick Setup'!$N$31,'Quick Setup'!$N32,if(N3='Quick Setup'!$O$31,'Quick Setup'!$O32,if(N3='Quick Setup'!$P$31,'Quick Setup'!$P32,if(N3='Quick Setup'!$Q$31,'Quick Setup'!$Q32,if(N3='Quick Setup'!$R$31,'Quick Setup'!$R32,if(N3='Quick Setup'!$S$31,'Quick Setup'!$S32,if(N3='Quick Setup'!$T$31,'Quick Setup'!$T32,if(N3='Quick Setup'!$U$31,'Quick Setup'!$U32,if(N3='Quick Setup'!$V$31,'Quick Setup'!$V32,'Quick Setup'!$W32))))))))))))))))))))</f>
        <v>4</v>
      </c>
      <c r="P3" s="25">
        <f>if(N3='Quick Setup'!$C$45,'Quick Setup'!$C46,if(N3='Quick Setup'!$D$45,'Quick Setup'!$D46,if(N3='Quick Setup'!$E$45,'Quick Setup'!$E46,if(N3='Quick Setup'!$F$45,'Quick Setup'!$F46,if(N3='Quick Setup'!$G$45,'Quick Setup'!$G46,if(N3='Quick Setup'!$H$45,'Quick Setup'!$H46,if(N3='Quick Setup'!$I$45,'Quick Setup'!$I46,if(N3='Quick Setup'!$J$45,'Quick Setup'!$J46,if(N3='Quick Setup'!$K$45,'Quick Setup'!$K46,if(N3='Quick Setup'!$L$45,'Quick Setup'!$L46,if(N3='Quick Setup'!$M$45,'Quick Setup'!$M46,if(N3='Quick Setup'!$N$45,'Quick Setup'!$N46,if(N3='Quick Setup'!$O$45,'Quick Setup'!$O46,if(N3='Quick Setup'!$P$45,'Quick Setup'!$P46,if(N3='Quick Setup'!$Q$45,'Quick Setup'!$Q46,if(N3='Quick Setup'!$R$45,'Quick Setup'!$R46,if(N3='Quick Setup'!$S$45,'Quick Setup'!$S46,if(N3='Quick Setup'!$T$45,'Quick Setup'!$T46,if(N3='Quick Setup'!$U$45,'Quick Setup'!$U46,if(N3='Quick Setup'!$V$45,'Quick Setup'!$V46,'Quick Setup'!$W46))))))))))))))))))))</f>
        <v>8</v>
      </c>
      <c r="Q3" s="25">
        <f t="shared" ref="Q3:Y3" si="1">E3</f>
        <v>5</v>
      </c>
      <c r="R3" s="26">
        <f t="shared" si="1"/>
        <v>-0.05</v>
      </c>
      <c r="S3" s="26">
        <f t="shared" si="1"/>
        <v>-0.02</v>
      </c>
      <c r="T3" s="26">
        <f t="shared" si="1"/>
        <v>0</v>
      </c>
      <c r="U3" s="26">
        <f t="shared" si="1"/>
        <v>0.005</v>
      </c>
      <c r="V3" s="26">
        <f t="shared" si="1"/>
        <v>0.01</v>
      </c>
      <c r="W3" s="26">
        <f t="shared" si="1"/>
        <v>0.015</v>
      </c>
      <c r="X3" s="26">
        <f t="shared" si="1"/>
        <v>0.02</v>
      </c>
      <c r="Y3" s="26">
        <f t="shared" si="1"/>
        <v>0.03</v>
      </c>
      <c r="Z3" s="24">
        <f>'Quick Setup'!E60</f>
        <v>0.8</v>
      </c>
      <c r="AA3" s="25">
        <f>if(Z3='Quick Setup'!$C$31,'Quick Setup'!$C32,if(Z3='Quick Setup'!$D$31,'Quick Setup'!$D32,if(Z3='Quick Setup'!$E$31,'Quick Setup'!$E32,if(Z3='Quick Setup'!$F$31,'Quick Setup'!$F32,if(Z3='Quick Setup'!$G$31,'Quick Setup'!$G32,if(Z3='Quick Setup'!$H$31,'Quick Setup'!$H32,if(Z3='Quick Setup'!$I$31,'Quick Setup'!$I32,if(Z3='Quick Setup'!$J$31,'Quick Setup'!$J32,if(Z3='Quick Setup'!$K$31,'Quick Setup'!$K32,if(Z3='Quick Setup'!$L$31,'Quick Setup'!$L32,if(Z3='Quick Setup'!$M$31,'Quick Setup'!$M32,if(Z3='Quick Setup'!$N$31,'Quick Setup'!$N32,if(Z3='Quick Setup'!$O$31,'Quick Setup'!$O32,if(Z3='Quick Setup'!$P$31,'Quick Setup'!$P32,if(Z3='Quick Setup'!$Q$31,'Quick Setup'!$Q32,if(Z3='Quick Setup'!$R$31,'Quick Setup'!$R32,if(Z3='Quick Setup'!$S$31,'Quick Setup'!$S32,if(Z3='Quick Setup'!$T$31,'Quick Setup'!$T32,if(Z3='Quick Setup'!$U$31,'Quick Setup'!$U32,if(Z3='Quick Setup'!$V$31,'Quick Setup'!$V32,'Quick Setup'!$W32))))))))))))))))))))</f>
        <v>3</v>
      </c>
      <c r="AB3" s="25">
        <f>if(Z3='Quick Setup'!$C$45,'Quick Setup'!$C46,if(Z3='Quick Setup'!$D$45,'Quick Setup'!$D46,if(Z3='Quick Setup'!$E$45,'Quick Setup'!$E46,if(Z3='Quick Setup'!$F$45,'Quick Setup'!$F46,if(Z3='Quick Setup'!$G$45,'Quick Setup'!$G46,if(Z3='Quick Setup'!$H$45,'Quick Setup'!$H46,if(Z3='Quick Setup'!$I$45,'Quick Setup'!$I46,if(Z3='Quick Setup'!$J$45,'Quick Setup'!$J46,if(Z3='Quick Setup'!$K$45,'Quick Setup'!$K46,if(Z3='Quick Setup'!$L$45,'Quick Setup'!$L46,if(Z3='Quick Setup'!$M$45,'Quick Setup'!$M46,if(Z3='Quick Setup'!$N$45,'Quick Setup'!$N46,if(Z3='Quick Setup'!$O$45,'Quick Setup'!$O46,if(Z3='Quick Setup'!$P$45,'Quick Setup'!$P46,if(Z3='Quick Setup'!$Q$45,'Quick Setup'!$Q46,if(Z3='Quick Setup'!$R$45,'Quick Setup'!$R46,if(Z3='Quick Setup'!$S$45,'Quick Setup'!$S46,if(Z3='Quick Setup'!$T$45,'Quick Setup'!$T46,if(Z3='Quick Setup'!$U$45,'Quick Setup'!$U46,if(Z3='Quick Setup'!$V$45,'Quick Setup'!$V46,'Quick Setup'!$W46))))))))))))))))))))</f>
        <v>6</v>
      </c>
      <c r="AC3" s="25">
        <f t="shared" ref="AC3:AK3" si="2">Q3</f>
        <v>5</v>
      </c>
      <c r="AD3" s="26">
        <f t="shared" si="2"/>
        <v>-0.05</v>
      </c>
      <c r="AE3" s="26">
        <f t="shared" si="2"/>
        <v>-0.02</v>
      </c>
      <c r="AF3" s="26">
        <f t="shared" si="2"/>
        <v>0</v>
      </c>
      <c r="AG3" s="26">
        <f t="shared" si="2"/>
        <v>0.005</v>
      </c>
      <c r="AH3" s="26">
        <f t="shared" si="2"/>
        <v>0.01</v>
      </c>
      <c r="AI3" s="26">
        <f t="shared" si="2"/>
        <v>0.015</v>
      </c>
      <c r="AJ3" s="26">
        <f t="shared" si="2"/>
        <v>0.02</v>
      </c>
      <c r="AK3" s="26">
        <f t="shared" si="2"/>
        <v>0.03</v>
      </c>
      <c r="AL3" s="24">
        <f>'Quick Setup'!F60</f>
        <v>0.725</v>
      </c>
      <c r="AM3" s="25">
        <f>if(AL3='Quick Setup'!$C$31,'Quick Setup'!$C32,if(AL3='Quick Setup'!$D$31,'Quick Setup'!$D32,if(AL3='Quick Setup'!$E$31,'Quick Setup'!$E32,if(AL3='Quick Setup'!$F$31,'Quick Setup'!$F32,if(AL3='Quick Setup'!$G$31,'Quick Setup'!$G32,if(AL3='Quick Setup'!$H$31,'Quick Setup'!$H32,if(AL3='Quick Setup'!$I$31,'Quick Setup'!$I32,if(AL3='Quick Setup'!$J$31,'Quick Setup'!$J32,if(AL3='Quick Setup'!$K$31,'Quick Setup'!$K32,if(AL3='Quick Setup'!$L$31,'Quick Setup'!$L32,if(AL3='Quick Setup'!$M$31,'Quick Setup'!$M32,if(AL3='Quick Setup'!$N$31,'Quick Setup'!$N32,if(AL3='Quick Setup'!$O$31,'Quick Setup'!$O32,if(AL3='Quick Setup'!$P$31,'Quick Setup'!$P32,if(AL3='Quick Setup'!$Q$31,'Quick Setup'!$Q32,if(AL3='Quick Setup'!$R$31,'Quick Setup'!$R32,if(AL3='Quick Setup'!$S$31,'Quick Setup'!$S32,if(AL3='Quick Setup'!$T$31,'Quick Setup'!$T32,if(AL3='Quick Setup'!$U$31,'Quick Setup'!$U32,if(AL3='Quick Setup'!$V$31,'Quick Setup'!$V32,'Quick Setup'!$W32))))))))))))))))))))</f>
        <v>5</v>
      </c>
      <c r="AN3" s="25">
        <f>if(AL3='Quick Setup'!$C$45,'Quick Setup'!$C46,if(AL3='Quick Setup'!$D$45,'Quick Setup'!$D46,if(AL3='Quick Setup'!$E$45,'Quick Setup'!$E46,if(AL3='Quick Setup'!$F$45,'Quick Setup'!$F46,if(AL3='Quick Setup'!$G$45,'Quick Setup'!$G46,if(AL3='Quick Setup'!$H$45,'Quick Setup'!$H46,if(AL3='Quick Setup'!$I$45,'Quick Setup'!$I46,if(AL3='Quick Setup'!$J$45,'Quick Setup'!$J46,if(AL3='Quick Setup'!$K$45,'Quick Setup'!$K46,if(AL3='Quick Setup'!$L$45,'Quick Setup'!$L46,if(AL3='Quick Setup'!$M$45,'Quick Setup'!$M46,if(AL3='Quick Setup'!$N$45,'Quick Setup'!$N46,if(AL3='Quick Setup'!$O$45,'Quick Setup'!$O46,if(AL3='Quick Setup'!$P$45,'Quick Setup'!$P46,if(AL3='Quick Setup'!$Q$45,'Quick Setup'!$Q46,if(AL3='Quick Setup'!$R$45,'Quick Setup'!$R46,if(AL3='Quick Setup'!$S$45,'Quick Setup'!$S46,if(AL3='Quick Setup'!$T$45,'Quick Setup'!$T46,if(AL3='Quick Setup'!$U$45,'Quick Setup'!$U46,if(AL3='Quick Setup'!$V$45,'Quick Setup'!$V46,'Quick Setup'!$W46))))))))))))))))))))</f>
        <v>9</v>
      </c>
      <c r="AO3" s="25">
        <f t="shared" ref="AO3:AW3" si="3">AC3</f>
        <v>5</v>
      </c>
      <c r="AP3" s="26">
        <f t="shared" si="3"/>
        <v>-0.05</v>
      </c>
      <c r="AQ3" s="26">
        <f t="shared" si="3"/>
        <v>-0.02</v>
      </c>
      <c r="AR3" s="26">
        <f t="shared" si="3"/>
        <v>0</v>
      </c>
      <c r="AS3" s="26">
        <f t="shared" si="3"/>
        <v>0.005</v>
      </c>
      <c r="AT3" s="26">
        <f t="shared" si="3"/>
        <v>0.01</v>
      </c>
      <c r="AU3" s="26">
        <f t="shared" si="3"/>
        <v>0.015</v>
      </c>
      <c r="AV3" s="26">
        <f t="shared" si="3"/>
        <v>0.02</v>
      </c>
      <c r="AW3" s="26">
        <f t="shared" si="3"/>
        <v>0.03</v>
      </c>
      <c r="AX3" s="24">
        <f>'Quick Setup'!G60</f>
        <v>0.775</v>
      </c>
      <c r="AY3" s="25">
        <f>if(AX3='Quick Setup'!$C$31,'Quick Setup'!$C32,if(AX3='Quick Setup'!$D$31,'Quick Setup'!$D32,if(AX3='Quick Setup'!$E$31,'Quick Setup'!$E32,if(AX3='Quick Setup'!$F$31,'Quick Setup'!$F32,if(AX3='Quick Setup'!$G$31,'Quick Setup'!$G32,if(AX3='Quick Setup'!$H$31,'Quick Setup'!$H32,if(AX3='Quick Setup'!$I$31,'Quick Setup'!$I32,if(AX3='Quick Setup'!$J$31,'Quick Setup'!$J32,if(AX3='Quick Setup'!$K$31,'Quick Setup'!$K32,if(AX3='Quick Setup'!$L$31,'Quick Setup'!$L32,if(AX3='Quick Setup'!$M$31,'Quick Setup'!$M32,if(AX3='Quick Setup'!$N$31,'Quick Setup'!$N32,if(AX3='Quick Setup'!$O$31,'Quick Setup'!$O32,if(AX3='Quick Setup'!$P$31,'Quick Setup'!$P32,if(AX3='Quick Setup'!$Q$31,'Quick Setup'!$Q32,if(AX3='Quick Setup'!$R$31,'Quick Setup'!$R32,if(AX3='Quick Setup'!$S$31,'Quick Setup'!$S32,if(AX3='Quick Setup'!$T$31,'Quick Setup'!$T32,if(AX3='Quick Setup'!$U$31,'Quick Setup'!$U32,if(AX3='Quick Setup'!$V$31,'Quick Setup'!$V32,'Quick Setup'!$W32))))))))))))))))))))</f>
        <v>4</v>
      </c>
      <c r="AZ3" s="25">
        <f>if(AX3='Quick Setup'!$C$45,'Quick Setup'!$C46,if(AX3='Quick Setup'!$D$45,'Quick Setup'!$D46,if(AX3='Quick Setup'!$E$45,'Quick Setup'!$E46,if(AX3='Quick Setup'!$F$45,'Quick Setup'!$F46,if(AX3='Quick Setup'!$G$45,'Quick Setup'!$G46,if(AX3='Quick Setup'!$H$45,'Quick Setup'!$H46,if(AX3='Quick Setup'!$I$45,'Quick Setup'!$I46,if(AX3='Quick Setup'!$J$45,'Quick Setup'!$J46,if(AX3='Quick Setup'!$K$45,'Quick Setup'!$K46,if(AX3='Quick Setup'!$L$45,'Quick Setup'!$L46,if(AX3='Quick Setup'!$M$45,'Quick Setup'!$M46,if(AX3='Quick Setup'!$N$45,'Quick Setup'!$N46,if(AX3='Quick Setup'!$O$45,'Quick Setup'!$O46,if(AX3='Quick Setup'!$P$45,'Quick Setup'!$P46,if(AX3='Quick Setup'!$Q$45,'Quick Setup'!$Q46,if(AX3='Quick Setup'!$R$45,'Quick Setup'!$R46,if(AX3='Quick Setup'!$S$45,'Quick Setup'!$S46,if(AX3='Quick Setup'!$T$45,'Quick Setup'!$T46,if(AX3='Quick Setup'!$U$45,'Quick Setup'!$U46,if(AX3='Quick Setup'!$V$45,'Quick Setup'!$V46,'Quick Setup'!$W46))))))))))))))))))))</f>
        <v>7</v>
      </c>
      <c r="BA3" s="25">
        <f t="shared" ref="BA3:BI3" si="4">AO3</f>
        <v>5</v>
      </c>
      <c r="BB3" s="26">
        <f t="shared" si="4"/>
        <v>-0.05</v>
      </c>
      <c r="BC3" s="26">
        <f t="shared" si="4"/>
        <v>-0.02</v>
      </c>
      <c r="BD3" s="26">
        <f t="shared" si="4"/>
        <v>0</v>
      </c>
      <c r="BE3" s="26">
        <f t="shared" si="4"/>
        <v>0.005</v>
      </c>
      <c r="BF3" s="26">
        <f t="shared" si="4"/>
        <v>0.01</v>
      </c>
      <c r="BG3" s="26">
        <f t="shared" si="4"/>
        <v>0.015</v>
      </c>
      <c r="BH3" s="26">
        <f t="shared" si="4"/>
        <v>0.02</v>
      </c>
      <c r="BI3" s="26">
        <f t="shared" si="4"/>
        <v>0.03</v>
      </c>
      <c r="BJ3" s="24">
        <f>'Quick Setup'!H60</f>
        <v>0.825</v>
      </c>
      <c r="BK3" s="25">
        <f>if(BJ3='Quick Setup'!$C$31,'Quick Setup'!$C32,if(BJ3='Quick Setup'!$D$31,'Quick Setup'!$D32,if(BJ3='Quick Setup'!$E$31,'Quick Setup'!$E32,if(BJ3='Quick Setup'!$F$31,'Quick Setup'!$F32,if(BJ3='Quick Setup'!$G$31,'Quick Setup'!$G32,if(BJ3='Quick Setup'!$H$31,'Quick Setup'!$H32,if(BJ3='Quick Setup'!$I$31,'Quick Setup'!$I32,if(BJ3='Quick Setup'!$J$31,'Quick Setup'!$J32,if(BJ3='Quick Setup'!$K$31,'Quick Setup'!$K32,if(BJ3='Quick Setup'!$L$31,'Quick Setup'!$L32,if(BJ3='Quick Setup'!$M$31,'Quick Setup'!$M32,if(BJ3='Quick Setup'!$N$31,'Quick Setup'!$N32,if(BJ3='Quick Setup'!$O$31,'Quick Setup'!$O32,if(BJ3='Quick Setup'!$P$31,'Quick Setup'!$P32,if(BJ3='Quick Setup'!$Q$31,'Quick Setup'!$Q32,if(BJ3='Quick Setup'!$R$31,'Quick Setup'!$R32,if(BJ3='Quick Setup'!$S$31,'Quick Setup'!$S32,if(BJ3='Quick Setup'!$T$31,'Quick Setup'!$T32,if(BJ3='Quick Setup'!$U$31,'Quick Setup'!$U32,if(BJ3='Quick Setup'!$V$31,'Quick Setup'!$V32,'Quick Setup'!$W32))))))))))))))))))))</f>
        <v>3</v>
      </c>
      <c r="BL3" s="25">
        <f>if(BJ3='Quick Setup'!$C$45,'Quick Setup'!$C46,if(BJ3='Quick Setup'!$D$45,'Quick Setup'!$D46,if(BJ3='Quick Setup'!$E$45,'Quick Setup'!$E46,if(BJ3='Quick Setup'!$F$45,'Quick Setup'!$F46,if(BJ3='Quick Setup'!$G$45,'Quick Setup'!$G46,if(BJ3='Quick Setup'!$H$45,'Quick Setup'!$H46,if(BJ3='Quick Setup'!$I$45,'Quick Setup'!$I46,if(BJ3='Quick Setup'!$J$45,'Quick Setup'!$J46,if(BJ3='Quick Setup'!$K$45,'Quick Setup'!$K46,if(BJ3='Quick Setup'!$L$45,'Quick Setup'!$L46,if(BJ3='Quick Setup'!$M$45,'Quick Setup'!$M46,if(BJ3='Quick Setup'!$N$45,'Quick Setup'!$N46,if(BJ3='Quick Setup'!$O$45,'Quick Setup'!$O46,if(BJ3='Quick Setup'!$P$45,'Quick Setup'!$P46,if(BJ3='Quick Setup'!$Q$45,'Quick Setup'!$Q46,if(BJ3='Quick Setup'!$R$45,'Quick Setup'!$R46,if(BJ3='Quick Setup'!$S$45,'Quick Setup'!$S46,if(BJ3='Quick Setup'!$T$45,'Quick Setup'!$T46,if(BJ3='Quick Setup'!$U$45,'Quick Setup'!$U46,if(BJ3='Quick Setup'!$V$45,'Quick Setup'!$V46,'Quick Setup'!$W46))))))))))))))))))))</f>
        <v>5</v>
      </c>
      <c r="BM3" s="27">
        <f t="shared" ref="BM3:BU3" si="5">BA3</f>
        <v>5</v>
      </c>
      <c r="BN3" s="28">
        <f t="shared" si="5"/>
        <v>-0.05</v>
      </c>
      <c r="BO3" s="28">
        <f t="shared" si="5"/>
        <v>-0.02</v>
      </c>
      <c r="BP3" s="28">
        <f t="shared" si="5"/>
        <v>0</v>
      </c>
      <c r="BQ3" s="28">
        <f t="shared" si="5"/>
        <v>0.005</v>
      </c>
      <c r="BR3" s="28">
        <f t="shared" si="5"/>
        <v>0.01</v>
      </c>
      <c r="BS3" s="28">
        <f t="shared" si="5"/>
        <v>0.015</v>
      </c>
      <c r="BT3" s="28">
        <f t="shared" si="5"/>
        <v>0.02</v>
      </c>
      <c r="BU3" s="28">
        <f t="shared" si="5"/>
        <v>0.03</v>
      </c>
      <c r="BV3" s="24">
        <f>'Quick Setup'!I60</f>
        <v>0.6</v>
      </c>
      <c r="BW3" s="25">
        <f>if(BV3='Quick Setup'!$C$31,'Quick Setup'!$C32,if(BV3='Quick Setup'!$D$31,'Quick Setup'!$D32,if(BV3='Quick Setup'!$E$31,'Quick Setup'!$E32,if(BV3='Quick Setup'!$F$31,'Quick Setup'!$F32,if(BV3='Quick Setup'!$G$31,'Quick Setup'!$G32,if(BV3='Quick Setup'!$H$31,'Quick Setup'!$H32,if(BV3='Quick Setup'!$I$31,'Quick Setup'!$I32,if(BV3='Quick Setup'!$J$31,'Quick Setup'!$J32,if(BV3='Quick Setup'!$K$31,'Quick Setup'!$K32,if(BV3='Quick Setup'!$L$31,'Quick Setup'!$L32,if(BV3='Quick Setup'!$M$31,'Quick Setup'!$M32,if(BV3='Quick Setup'!$N$31,'Quick Setup'!$N32,if(BV3='Quick Setup'!$O$31,'Quick Setup'!$O32,if(BV3='Quick Setup'!$P$31,'Quick Setup'!$P32,if(BV3='Quick Setup'!$Q$31,'Quick Setup'!$Q32,if(BV3='Quick Setup'!$R$31,'Quick Setup'!$R32,if(BV3='Quick Setup'!$S$31,'Quick Setup'!$S32,if(BV3='Quick Setup'!$T$31,'Quick Setup'!$T32,if(BV3='Quick Setup'!$U$31,'Quick Setup'!$U32,if(BV3='Quick Setup'!$V$31,'Quick Setup'!$V32,'Quick Setup'!$W32))))))))))))))))))))</f>
        <v>7</v>
      </c>
      <c r="BX3" s="25">
        <f>if(BV3='Quick Setup'!$C$45,'Quick Setup'!$C46,if(BV3='Quick Setup'!$D$45,'Quick Setup'!$D46,if(BV3='Quick Setup'!$E$45,'Quick Setup'!$E46,if(BV3='Quick Setup'!$F$45,'Quick Setup'!$F46,if(BV3='Quick Setup'!$G$45,'Quick Setup'!$G46,if(BV3='Quick Setup'!$H$45,'Quick Setup'!$H46,if(BV3='Quick Setup'!$I$45,'Quick Setup'!$I46,if(BV3='Quick Setup'!$J$45,'Quick Setup'!$J46,if(BV3='Quick Setup'!$K$45,'Quick Setup'!$K46,if(BV3='Quick Setup'!$L$45,'Quick Setup'!$L46,if(BV3='Quick Setup'!$M$45,'Quick Setup'!$M46,if(BV3='Quick Setup'!$N$45,'Quick Setup'!$N46,if(BV3='Quick Setup'!$O$45,'Quick Setup'!$O46,if(BV3='Quick Setup'!$P$45,'Quick Setup'!$P46,if(BV3='Quick Setup'!$Q$45,'Quick Setup'!$Q46,if(BV3='Quick Setup'!$R$45,'Quick Setup'!$R46,if(BV3='Quick Setup'!$S$45,'Quick Setup'!$S46,if(BV3='Quick Setup'!$T$45,'Quick Setup'!$T46,if(BV3='Quick Setup'!$U$45,'Quick Setup'!$U46,if(BV3='Quick Setup'!$V$45,'Quick Setup'!$V46,'Quick Setup'!$W46))))))))))))))))))))</f>
        <v>14</v>
      </c>
      <c r="BY3" s="27">
        <f t="shared" ref="BY3:CG3" si="6">BM3</f>
        <v>5</v>
      </c>
      <c r="BZ3" s="28">
        <f t="shared" si="6"/>
        <v>-0.05</v>
      </c>
      <c r="CA3" s="28">
        <f t="shared" si="6"/>
        <v>-0.02</v>
      </c>
      <c r="CB3" s="28">
        <f t="shared" si="6"/>
        <v>0</v>
      </c>
      <c r="CC3" s="28">
        <f t="shared" si="6"/>
        <v>0.005</v>
      </c>
      <c r="CD3" s="28">
        <f t="shared" si="6"/>
        <v>0.01</v>
      </c>
      <c r="CE3" s="28">
        <f t="shared" si="6"/>
        <v>0.015</v>
      </c>
      <c r="CF3" s="28">
        <f t="shared" si="6"/>
        <v>0.02</v>
      </c>
      <c r="CG3" s="28">
        <f t="shared" si="6"/>
        <v>0.03</v>
      </c>
      <c r="CH3" s="24">
        <f>'Quick Setup'!J60</f>
        <v>0.75</v>
      </c>
      <c r="CI3" s="25">
        <f>if(CH3='Quick Setup'!$C$31,'Quick Setup'!$C32,if(CH3='Quick Setup'!$D$31,'Quick Setup'!$D32,if(CH3='Quick Setup'!$E$31,'Quick Setup'!$E32,if(CH3='Quick Setup'!$F$31,'Quick Setup'!$F32,if(CH3='Quick Setup'!$G$31,'Quick Setup'!$G32,if(CH3='Quick Setup'!$H$31,'Quick Setup'!$H32,if(CH3='Quick Setup'!$I$31,'Quick Setup'!$I32,if(CH3='Quick Setup'!$J$31,'Quick Setup'!$J32,if(CH3='Quick Setup'!$K$31,'Quick Setup'!$K32,if(CH3='Quick Setup'!$L$31,'Quick Setup'!$L32,if(CH3='Quick Setup'!$M$31,'Quick Setup'!$M32,if(CH3='Quick Setup'!$N$31,'Quick Setup'!$N32,if(CH3='Quick Setup'!$O$31,'Quick Setup'!$O32,if(CH3='Quick Setup'!$P$31,'Quick Setup'!$P32,if(CH3='Quick Setup'!$Q$31,'Quick Setup'!$Q32,if(CH3='Quick Setup'!$R$31,'Quick Setup'!$R32,if(CH3='Quick Setup'!$S$31,'Quick Setup'!$S32,if(CH3='Quick Setup'!$T$31,'Quick Setup'!$T32,if(CH3='Quick Setup'!$U$31,'Quick Setup'!$U32,if(CH3='Quick Setup'!$V$31,'Quick Setup'!$V32,'Quick Setup'!$W32))))))))))))))))))))</f>
        <v>4</v>
      </c>
      <c r="CJ3" s="25">
        <f>if(CH3='Quick Setup'!$C$45,'Quick Setup'!$C46,if(CH3='Quick Setup'!$D$45,'Quick Setup'!$D46,if(CH3='Quick Setup'!$E$45,'Quick Setup'!$E46,if(CH3='Quick Setup'!$F$45,'Quick Setup'!$F46,if(CH3='Quick Setup'!$G$45,'Quick Setup'!$G46,if(CH3='Quick Setup'!$H$45,'Quick Setup'!$H46,if(CH3='Quick Setup'!$I$45,'Quick Setup'!$I46,if(CH3='Quick Setup'!$J$45,'Quick Setup'!$J46,if(CH3='Quick Setup'!$K$45,'Quick Setup'!$K46,if(CH3='Quick Setup'!$L$45,'Quick Setup'!$L46,if(CH3='Quick Setup'!$M$45,'Quick Setup'!$M46,if(CH3='Quick Setup'!$N$45,'Quick Setup'!$N46,if(CH3='Quick Setup'!$O$45,'Quick Setup'!$O46,if(CH3='Quick Setup'!$P$45,'Quick Setup'!$P46,if(CH3='Quick Setup'!$Q$45,'Quick Setup'!$Q46,if(CH3='Quick Setup'!$R$45,'Quick Setup'!$R46,if(CH3='Quick Setup'!$S$45,'Quick Setup'!$S46,if(CH3='Quick Setup'!$T$45,'Quick Setup'!$T46,if(CH3='Quick Setup'!$U$45,'Quick Setup'!$U46,if(CH3='Quick Setup'!$V$45,'Quick Setup'!$V46,'Quick Setup'!$W46))))))))))))))))))))</f>
        <v>8</v>
      </c>
      <c r="CK3" s="27">
        <f t="shared" ref="CK3:CS3" si="7">BY3</f>
        <v>5</v>
      </c>
      <c r="CL3" s="28">
        <f t="shared" si="7"/>
        <v>-0.05</v>
      </c>
      <c r="CM3" s="28">
        <f t="shared" si="7"/>
        <v>-0.02</v>
      </c>
      <c r="CN3" s="28">
        <f t="shared" si="7"/>
        <v>0</v>
      </c>
      <c r="CO3" s="28">
        <f t="shared" si="7"/>
        <v>0.005</v>
      </c>
      <c r="CP3" s="28">
        <f t="shared" si="7"/>
        <v>0.01</v>
      </c>
      <c r="CQ3" s="28">
        <f t="shared" si="7"/>
        <v>0.015</v>
      </c>
      <c r="CR3" s="28">
        <f t="shared" si="7"/>
        <v>0.02</v>
      </c>
      <c r="CS3" s="28">
        <f t="shared" si="7"/>
        <v>0.03</v>
      </c>
      <c r="CT3" s="24">
        <f>'Quick Setup'!K60</f>
        <v>0.8</v>
      </c>
      <c r="CU3" s="25">
        <f>if(CT3='Quick Setup'!$C$31,'Quick Setup'!$C32,if(CT3='Quick Setup'!$D$31,'Quick Setup'!$D32,if(CT3='Quick Setup'!$E$31,'Quick Setup'!$E32,if(CT3='Quick Setup'!$F$31,'Quick Setup'!$F32,if(CT3='Quick Setup'!$G$31,'Quick Setup'!$G32,if(CT3='Quick Setup'!$H$31,'Quick Setup'!$H32,if(CT3='Quick Setup'!$I$31,'Quick Setup'!$I32,if(CT3='Quick Setup'!$J$31,'Quick Setup'!$J32,if(CT3='Quick Setup'!$K$31,'Quick Setup'!$K32,if(CT3='Quick Setup'!$L$31,'Quick Setup'!$L32,if(CT3='Quick Setup'!$M$31,'Quick Setup'!$M32,if(CT3='Quick Setup'!$N$31,'Quick Setup'!$N32,if(CT3='Quick Setup'!$O$31,'Quick Setup'!$O32,if(CT3='Quick Setup'!$P$31,'Quick Setup'!$P32,if(CT3='Quick Setup'!$Q$31,'Quick Setup'!$Q32,if(CT3='Quick Setup'!$R$31,'Quick Setup'!$R32,if(CT3='Quick Setup'!$S$31,'Quick Setup'!$S32,if(CT3='Quick Setup'!$T$31,'Quick Setup'!$T32,if(CT3='Quick Setup'!$U$31,'Quick Setup'!$U32,if(CT3='Quick Setup'!$V$31,'Quick Setup'!$V32,'Quick Setup'!$W32))))))))))))))))))))</f>
        <v>3</v>
      </c>
      <c r="CV3" s="25">
        <f>if(CT3='Quick Setup'!$C$45,'Quick Setup'!$C46,if(CT3='Quick Setup'!$D$45,'Quick Setup'!$D46,if(CT3='Quick Setup'!$E$45,'Quick Setup'!$E46,if(CT3='Quick Setup'!$F$45,'Quick Setup'!$F46,if(CT3='Quick Setup'!$G$45,'Quick Setup'!$G46,if(CT3='Quick Setup'!$H$45,'Quick Setup'!$H46,if(CT3='Quick Setup'!$I$45,'Quick Setup'!$I46,if(CT3='Quick Setup'!$J$45,'Quick Setup'!$J46,if(CT3='Quick Setup'!$K$45,'Quick Setup'!$K46,if(CT3='Quick Setup'!$L$45,'Quick Setup'!$L46,if(CT3='Quick Setup'!$M$45,'Quick Setup'!$M46,if(CT3='Quick Setup'!$N$45,'Quick Setup'!$N46,if(CT3='Quick Setup'!$O$45,'Quick Setup'!$O46,if(CT3='Quick Setup'!$P$45,'Quick Setup'!$P46,if(CT3='Quick Setup'!$Q$45,'Quick Setup'!$Q46,if(CT3='Quick Setup'!$R$45,'Quick Setup'!$R46,if(CT3='Quick Setup'!$S$45,'Quick Setup'!$S46,if(CT3='Quick Setup'!$T$45,'Quick Setup'!$T46,if(CT3='Quick Setup'!$U$45,'Quick Setup'!$U46,if(CT3='Quick Setup'!$V$45,'Quick Setup'!$V46,'Quick Setup'!$W46))))))))))))))))))))</f>
        <v>6</v>
      </c>
      <c r="CW3" s="27">
        <f t="shared" ref="CW3:DE3" si="8">CK3</f>
        <v>5</v>
      </c>
      <c r="CX3" s="28">
        <f t="shared" si="8"/>
        <v>-0.05</v>
      </c>
      <c r="CY3" s="28">
        <f t="shared" si="8"/>
        <v>-0.02</v>
      </c>
      <c r="CZ3" s="28">
        <f t="shared" si="8"/>
        <v>0</v>
      </c>
      <c r="DA3" s="28">
        <f t="shared" si="8"/>
        <v>0.005</v>
      </c>
      <c r="DB3" s="28">
        <f t="shared" si="8"/>
        <v>0.01</v>
      </c>
      <c r="DC3" s="28">
        <f t="shared" si="8"/>
        <v>0.015</v>
      </c>
      <c r="DD3" s="28">
        <f t="shared" si="8"/>
        <v>0.02</v>
      </c>
      <c r="DE3" s="28">
        <f t="shared" si="8"/>
        <v>0.03</v>
      </c>
      <c r="DF3" s="24">
        <f>'Quick Setup'!L60</f>
        <v>0.85</v>
      </c>
      <c r="DG3" s="25">
        <f>if(DF3='Quick Setup'!$C$31,'Quick Setup'!$C32,if(DF3='Quick Setup'!$D$31,'Quick Setup'!$D32,if(DF3='Quick Setup'!$E$31,'Quick Setup'!$E32,if(DF3='Quick Setup'!$F$31,'Quick Setup'!$F32,if(DF3='Quick Setup'!$G$31,'Quick Setup'!$G32,if(DF3='Quick Setup'!$H$31,'Quick Setup'!$H32,if(DF3='Quick Setup'!$I$31,'Quick Setup'!$I32,if(DF3='Quick Setup'!$J$31,'Quick Setup'!$J32,if(DF3='Quick Setup'!$K$31,'Quick Setup'!$K32,if(DF3='Quick Setup'!$L$31,'Quick Setup'!$L32,if(DF3='Quick Setup'!$M$31,'Quick Setup'!$M32,if(DF3='Quick Setup'!$N$31,'Quick Setup'!$N32,if(DF3='Quick Setup'!$O$31,'Quick Setup'!$O32,if(DF3='Quick Setup'!$P$31,'Quick Setup'!$P32,if(DF3='Quick Setup'!$Q$31,'Quick Setup'!$Q32,if(DF3='Quick Setup'!$R$31,'Quick Setup'!$R32,if(DF3='Quick Setup'!$S$31,'Quick Setup'!$S32,if(DF3='Quick Setup'!$T$31,'Quick Setup'!$T32,if(DF3='Quick Setup'!$U$31,'Quick Setup'!$U32,if(DF3='Quick Setup'!$V$31,'Quick Setup'!$V32,'Quick Setup'!$W32))))))))))))))))))))</f>
        <v>2</v>
      </c>
      <c r="DH3" s="25">
        <f>if(DF3='Quick Setup'!$C$45,'Quick Setup'!$C46,if(DF3='Quick Setup'!$D$45,'Quick Setup'!$D46,if(DF3='Quick Setup'!$E$45,'Quick Setup'!$E46,if(DF3='Quick Setup'!$F$45,'Quick Setup'!$F46,if(DF3='Quick Setup'!$G$45,'Quick Setup'!$G46,if(DF3='Quick Setup'!$H$45,'Quick Setup'!$H46,if(DF3='Quick Setup'!$I$45,'Quick Setup'!$I46,if(DF3='Quick Setup'!$J$45,'Quick Setup'!$J46,if(DF3='Quick Setup'!$K$45,'Quick Setup'!$K46,if(DF3='Quick Setup'!$L$45,'Quick Setup'!$L46,if(DF3='Quick Setup'!$M$45,'Quick Setup'!$M46,if(DF3='Quick Setup'!$N$45,'Quick Setup'!$N46,if(DF3='Quick Setup'!$O$45,'Quick Setup'!$O46,if(DF3='Quick Setup'!$P$45,'Quick Setup'!$P46,if(DF3='Quick Setup'!$Q$45,'Quick Setup'!$Q46,if(DF3='Quick Setup'!$R$45,'Quick Setup'!$R46,if(DF3='Quick Setup'!$S$45,'Quick Setup'!$S46,if(DF3='Quick Setup'!$T$45,'Quick Setup'!$T46,if(DF3='Quick Setup'!$U$45,'Quick Setup'!$U46,if(DF3='Quick Setup'!$V$45,'Quick Setup'!$V46,'Quick Setup'!$W46))))))))))))))))))))</f>
        <v>4</v>
      </c>
      <c r="DI3" s="27">
        <f t="shared" ref="DI3:DQ3" si="9">CW3</f>
        <v>5</v>
      </c>
      <c r="DJ3" s="28">
        <f t="shared" si="9"/>
        <v>-0.05</v>
      </c>
      <c r="DK3" s="28">
        <f t="shared" si="9"/>
        <v>-0.02</v>
      </c>
      <c r="DL3" s="28">
        <f t="shared" si="9"/>
        <v>0</v>
      </c>
      <c r="DM3" s="28">
        <f t="shared" si="9"/>
        <v>0.005</v>
      </c>
      <c r="DN3" s="28">
        <f t="shared" si="9"/>
        <v>0.01</v>
      </c>
      <c r="DO3" s="28">
        <f t="shared" si="9"/>
        <v>0.015</v>
      </c>
      <c r="DP3" s="28">
        <f t="shared" si="9"/>
        <v>0.02</v>
      </c>
      <c r="DQ3" s="28">
        <f t="shared" si="9"/>
        <v>0.03</v>
      </c>
      <c r="DR3" s="24">
        <f>'Quick Setup'!M60</f>
        <v>0.775</v>
      </c>
      <c r="DS3" s="25">
        <f>if(DR3='Quick Setup'!$C$31,'Quick Setup'!$C32,if(DR3='Quick Setup'!$D$31,'Quick Setup'!$D32,if(DR3='Quick Setup'!$E$31,'Quick Setup'!$E32,if(DR3='Quick Setup'!$F$31,'Quick Setup'!$F32,if(DR3='Quick Setup'!$G$31,'Quick Setup'!$G32,if(DR3='Quick Setup'!$H$31,'Quick Setup'!$H32,if(DR3='Quick Setup'!$I$31,'Quick Setup'!$I32,if(DR3='Quick Setup'!$J$31,'Quick Setup'!$J32,if(DR3='Quick Setup'!$K$31,'Quick Setup'!$K32,if(DR3='Quick Setup'!$L$31,'Quick Setup'!$L32,if(DR3='Quick Setup'!$M$31,'Quick Setup'!$M32,if(DR3='Quick Setup'!$N$31,'Quick Setup'!$N32,if(DR3='Quick Setup'!$O$31,'Quick Setup'!$O32,if(DR3='Quick Setup'!$P$31,'Quick Setup'!$P32,if(DR3='Quick Setup'!$Q$31,'Quick Setup'!$Q32,if(DR3='Quick Setup'!$R$31,'Quick Setup'!$R32,if(DR3='Quick Setup'!$S$31,'Quick Setup'!$S32,if(DR3='Quick Setup'!$T$31,'Quick Setup'!$T32,if(DR3='Quick Setup'!$U$31,'Quick Setup'!$U32,if(DR3='Quick Setup'!$V$31,'Quick Setup'!$V32,'Quick Setup'!$W32))))))))))))))))))))</f>
        <v>4</v>
      </c>
      <c r="DT3" s="25">
        <f>if(DR3='Quick Setup'!$C$45,'Quick Setup'!$C46,if(DR3='Quick Setup'!$D$45,'Quick Setup'!$D46,if(DR3='Quick Setup'!$E$45,'Quick Setup'!$E46,if(DR3='Quick Setup'!$F$45,'Quick Setup'!$F46,if(DR3='Quick Setup'!$G$45,'Quick Setup'!$G46,if(DR3='Quick Setup'!$H$45,'Quick Setup'!$H46,if(DR3='Quick Setup'!$I$45,'Quick Setup'!$I46,if(DR3='Quick Setup'!$J$45,'Quick Setup'!$J46,if(DR3='Quick Setup'!$K$45,'Quick Setup'!$K46,if(DR3='Quick Setup'!$L$45,'Quick Setup'!$L46,if(DR3='Quick Setup'!$M$45,'Quick Setup'!$M46,if(DR3='Quick Setup'!$N$45,'Quick Setup'!$N46,if(DR3='Quick Setup'!$O$45,'Quick Setup'!$O46,if(DR3='Quick Setup'!$P$45,'Quick Setup'!$P46,if(DR3='Quick Setup'!$Q$45,'Quick Setup'!$Q46,if(DR3='Quick Setup'!$R$45,'Quick Setup'!$R46,if(DR3='Quick Setup'!$S$45,'Quick Setup'!$S46,if(DR3='Quick Setup'!$T$45,'Quick Setup'!$T46,if(DR3='Quick Setup'!$U$45,'Quick Setup'!$U46,if(DR3='Quick Setup'!$V$45,'Quick Setup'!$V46,'Quick Setup'!$W46))))))))))))))))))))</f>
        <v>7</v>
      </c>
      <c r="DU3" s="27">
        <f t="shared" ref="DU3:EC3" si="10">DI3</f>
        <v>5</v>
      </c>
      <c r="DV3" s="28">
        <f t="shared" si="10"/>
        <v>-0.05</v>
      </c>
      <c r="DW3" s="28">
        <f t="shared" si="10"/>
        <v>-0.02</v>
      </c>
      <c r="DX3" s="28">
        <f t="shared" si="10"/>
        <v>0</v>
      </c>
      <c r="DY3" s="28">
        <f t="shared" si="10"/>
        <v>0.005</v>
      </c>
      <c r="DZ3" s="28">
        <f t="shared" si="10"/>
        <v>0.01</v>
      </c>
      <c r="EA3" s="28">
        <f t="shared" si="10"/>
        <v>0.015</v>
      </c>
      <c r="EB3" s="28">
        <f t="shared" si="10"/>
        <v>0.02</v>
      </c>
      <c r="EC3" s="28">
        <f t="shared" si="10"/>
        <v>0.03</v>
      </c>
      <c r="ED3" s="24">
        <f>'Quick Setup'!N60</f>
        <v>0.825</v>
      </c>
      <c r="EE3" s="25">
        <f>if(ED3='Quick Setup'!$C$31,'Quick Setup'!$C32,if(ED3='Quick Setup'!$D$31,'Quick Setup'!$D32,if(ED3='Quick Setup'!$E$31,'Quick Setup'!$E32,if(ED3='Quick Setup'!$F$31,'Quick Setup'!$F32,if(ED3='Quick Setup'!$G$31,'Quick Setup'!$G32,if(ED3='Quick Setup'!$H$31,'Quick Setup'!$H32,if(ED3='Quick Setup'!$I$31,'Quick Setup'!$I32,if(ED3='Quick Setup'!$J$31,'Quick Setup'!$J32,if(ED3='Quick Setup'!$K$31,'Quick Setup'!$K32,if(ED3='Quick Setup'!$L$31,'Quick Setup'!$L32,if(ED3='Quick Setup'!$M$31,'Quick Setup'!$M32,if(ED3='Quick Setup'!$N$31,'Quick Setup'!$N32,if(ED3='Quick Setup'!$O$31,'Quick Setup'!$O32,if(ED3='Quick Setup'!$P$31,'Quick Setup'!$P32,if(ED3='Quick Setup'!$Q$31,'Quick Setup'!$Q32,if(ED3='Quick Setup'!$R$31,'Quick Setup'!$R32,if(ED3='Quick Setup'!$S$31,'Quick Setup'!$S32,if(ED3='Quick Setup'!$T$31,'Quick Setup'!$T32,if(ED3='Quick Setup'!$U$31,'Quick Setup'!$U32,if(ED3='Quick Setup'!$V$31,'Quick Setup'!$V32,'Quick Setup'!$W32))))))))))))))))))))</f>
        <v>3</v>
      </c>
      <c r="EF3" s="25">
        <f>if(ED3='Quick Setup'!$C$45,'Quick Setup'!$C46,if(ED3='Quick Setup'!$D$45,'Quick Setup'!$D46,if(ED3='Quick Setup'!$E$45,'Quick Setup'!$E46,if(ED3='Quick Setup'!$F$45,'Quick Setup'!$F46,if(ED3='Quick Setup'!$G$45,'Quick Setup'!$G46,if(ED3='Quick Setup'!$H$45,'Quick Setup'!$H46,if(ED3='Quick Setup'!$I$45,'Quick Setup'!$I46,if(ED3='Quick Setup'!$J$45,'Quick Setup'!$J46,if(ED3='Quick Setup'!$K$45,'Quick Setup'!$K46,if(ED3='Quick Setup'!$L$45,'Quick Setup'!$L46,if(ED3='Quick Setup'!$M$45,'Quick Setup'!$M46,if(ED3='Quick Setup'!$N$45,'Quick Setup'!$N46,if(ED3='Quick Setup'!$O$45,'Quick Setup'!$O46,if(ED3='Quick Setup'!$P$45,'Quick Setup'!$P46,if(ED3='Quick Setup'!$Q$45,'Quick Setup'!$Q46,if(ED3='Quick Setup'!$R$45,'Quick Setup'!$R46,if(ED3='Quick Setup'!$S$45,'Quick Setup'!$S46,if(ED3='Quick Setup'!$T$45,'Quick Setup'!$T46,if(ED3='Quick Setup'!$U$45,'Quick Setup'!$U46,if(ED3='Quick Setup'!$V$45,'Quick Setup'!$V46,'Quick Setup'!$W46))))))))))))))))))))</f>
        <v>5</v>
      </c>
      <c r="EG3" s="27">
        <f t="shared" ref="EG3:EO3" si="11">DU3</f>
        <v>5</v>
      </c>
      <c r="EH3" s="28">
        <f t="shared" si="11"/>
        <v>-0.05</v>
      </c>
      <c r="EI3" s="28">
        <f t="shared" si="11"/>
        <v>-0.02</v>
      </c>
      <c r="EJ3" s="28">
        <f t="shared" si="11"/>
        <v>0</v>
      </c>
      <c r="EK3" s="28">
        <f t="shared" si="11"/>
        <v>0.005</v>
      </c>
      <c r="EL3" s="28">
        <f t="shared" si="11"/>
        <v>0.01</v>
      </c>
      <c r="EM3" s="28">
        <f t="shared" si="11"/>
        <v>0.015</v>
      </c>
      <c r="EN3" s="28">
        <f t="shared" si="11"/>
        <v>0.02</v>
      </c>
      <c r="EO3" s="28">
        <f t="shared" si="11"/>
        <v>0.03</v>
      </c>
      <c r="EP3" s="24">
        <f>'Quick Setup'!O60</f>
        <v>0.875</v>
      </c>
      <c r="EQ3" s="25">
        <f>if(EP3='Quick Setup'!$C$31,'Quick Setup'!$C32,if(EP3='Quick Setup'!$D$31,'Quick Setup'!$D32,if(EP3='Quick Setup'!$E$31,'Quick Setup'!$E32,if(EP3='Quick Setup'!$F$31,'Quick Setup'!$F32,if(EP3='Quick Setup'!$G$31,'Quick Setup'!$G32,if(EP3='Quick Setup'!$H$31,'Quick Setup'!$H32,if(EP3='Quick Setup'!$I$31,'Quick Setup'!$I32,if(EP3='Quick Setup'!$J$31,'Quick Setup'!$J32,if(EP3='Quick Setup'!$K$31,'Quick Setup'!$K32,if(EP3='Quick Setup'!$L$31,'Quick Setup'!$L32,if(EP3='Quick Setup'!$M$31,'Quick Setup'!$M32,if(EP3='Quick Setup'!$N$31,'Quick Setup'!$N32,if(EP3='Quick Setup'!$O$31,'Quick Setup'!$O32,if(EP3='Quick Setup'!$P$31,'Quick Setup'!$P32,if(EP3='Quick Setup'!$Q$31,'Quick Setup'!$Q32,if(EP3='Quick Setup'!$R$31,'Quick Setup'!$R32,if(EP3='Quick Setup'!$S$31,'Quick Setup'!$S32,if(EP3='Quick Setup'!$T$31,'Quick Setup'!$T32,if(EP3='Quick Setup'!$U$31,'Quick Setup'!$U32,if(EP3='Quick Setup'!$V$31,'Quick Setup'!$V32,'Quick Setup'!$W32))))))))))))))))))))</f>
        <v>2</v>
      </c>
      <c r="ER3" s="25">
        <f>if(EP3='Quick Setup'!$C$45,'Quick Setup'!$C46,if(EP3='Quick Setup'!$D$45,'Quick Setup'!$D46,if(EP3='Quick Setup'!$E$45,'Quick Setup'!$E46,if(EP3='Quick Setup'!$F$45,'Quick Setup'!$F46,if(EP3='Quick Setup'!$G$45,'Quick Setup'!$G46,if(EP3='Quick Setup'!$H$45,'Quick Setup'!$H46,if(EP3='Quick Setup'!$I$45,'Quick Setup'!$I46,if(EP3='Quick Setup'!$J$45,'Quick Setup'!$J46,if(EP3='Quick Setup'!$K$45,'Quick Setup'!$K46,if(EP3='Quick Setup'!$L$45,'Quick Setup'!$L46,if(EP3='Quick Setup'!$M$45,'Quick Setup'!$M46,if(EP3='Quick Setup'!$N$45,'Quick Setup'!$N46,if(EP3='Quick Setup'!$O$45,'Quick Setup'!$O46,if(EP3='Quick Setup'!$P$45,'Quick Setup'!$P46,if(EP3='Quick Setup'!$Q$45,'Quick Setup'!$Q46,if(EP3='Quick Setup'!$R$45,'Quick Setup'!$R46,if(EP3='Quick Setup'!$S$45,'Quick Setup'!$S46,if(EP3='Quick Setup'!$T$45,'Quick Setup'!$T46,if(EP3='Quick Setup'!$U$45,'Quick Setup'!$U46,if(EP3='Quick Setup'!$V$45,'Quick Setup'!$V46,'Quick Setup'!$W46))))))))))))))))))))</f>
        <v>3</v>
      </c>
      <c r="ES3" s="27">
        <f t="shared" ref="ES3:FA3" si="12">EG3</f>
        <v>5</v>
      </c>
      <c r="ET3" s="28">
        <f t="shared" si="12"/>
        <v>-0.05</v>
      </c>
      <c r="EU3" s="28">
        <f t="shared" si="12"/>
        <v>-0.02</v>
      </c>
      <c r="EV3" s="28">
        <f t="shared" si="12"/>
        <v>0</v>
      </c>
      <c r="EW3" s="28">
        <f t="shared" si="12"/>
        <v>0.005</v>
      </c>
      <c r="EX3" s="28">
        <f t="shared" si="12"/>
        <v>0.01</v>
      </c>
      <c r="EY3" s="28">
        <f t="shared" si="12"/>
        <v>0.015</v>
      </c>
      <c r="EZ3" s="28">
        <f t="shared" si="12"/>
        <v>0.02</v>
      </c>
      <c r="FA3" s="28">
        <f t="shared" si="12"/>
        <v>0.03</v>
      </c>
      <c r="FB3" s="24">
        <f>'Quick Setup'!P60</f>
        <v>0.6</v>
      </c>
      <c r="FC3" s="25">
        <f>if(FB3='Quick Setup'!$C$31,'Quick Setup'!$C32,if(FB3='Quick Setup'!$D$31,'Quick Setup'!$D32,if(FB3='Quick Setup'!$E$31,'Quick Setup'!$E32,if(FB3='Quick Setup'!$F$31,'Quick Setup'!$F32,if(FB3='Quick Setup'!$G$31,'Quick Setup'!$G32,if(FB3='Quick Setup'!$H$31,'Quick Setup'!$H32,if(FB3='Quick Setup'!$I$31,'Quick Setup'!$I32,if(FB3='Quick Setup'!$J$31,'Quick Setup'!$J32,if(FB3='Quick Setup'!$K$31,'Quick Setup'!$K32,if(FB3='Quick Setup'!$L$31,'Quick Setup'!$L32,if(FB3='Quick Setup'!$M$31,'Quick Setup'!$M32,if(FB3='Quick Setup'!$N$31,'Quick Setup'!$N32,if(FB3='Quick Setup'!$O$31,'Quick Setup'!$O32,if(FB3='Quick Setup'!$P$31,'Quick Setup'!$P32,if(FB3='Quick Setup'!$Q$31,'Quick Setup'!$Q32,if(FB3='Quick Setup'!$R$31,'Quick Setup'!$R32,if(FB3='Quick Setup'!$S$31,'Quick Setup'!$S32,if(FB3='Quick Setup'!$T$31,'Quick Setup'!$T32,if(FB3='Quick Setup'!$U$31,'Quick Setup'!$U32,if(FB3='Quick Setup'!$V$31,'Quick Setup'!$V32,'Quick Setup'!$W32))))))))))))))))))))</f>
        <v>7</v>
      </c>
      <c r="FD3" s="25">
        <f>if(FB3='Quick Setup'!$C$45,'Quick Setup'!$C46,if(FB3='Quick Setup'!$D$45,'Quick Setup'!$D46,if(FB3='Quick Setup'!$E$45,'Quick Setup'!$E46,if(FB3='Quick Setup'!$F$45,'Quick Setup'!$F46,if(FB3='Quick Setup'!$G$45,'Quick Setup'!$G46,if(FB3='Quick Setup'!$H$45,'Quick Setup'!$H46,if(FB3='Quick Setup'!$I$45,'Quick Setup'!$I46,if(FB3='Quick Setup'!$J$45,'Quick Setup'!$J46,if(FB3='Quick Setup'!$K$45,'Quick Setup'!$K46,if(FB3='Quick Setup'!$L$45,'Quick Setup'!$L46,if(FB3='Quick Setup'!$M$45,'Quick Setup'!$M46,if(FB3='Quick Setup'!$N$45,'Quick Setup'!$N46,if(FB3='Quick Setup'!$O$45,'Quick Setup'!$O46,if(FB3='Quick Setup'!$P$45,'Quick Setup'!$P46,if(FB3='Quick Setup'!$Q$45,'Quick Setup'!$Q46,if(FB3='Quick Setup'!$R$45,'Quick Setup'!$R46,if(FB3='Quick Setup'!$S$45,'Quick Setup'!$S46,if(FB3='Quick Setup'!$T$45,'Quick Setup'!$T46,if(FB3='Quick Setup'!$U$45,'Quick Setup'!$U46,if(FB3='Quick Setup'!$V$45,'Quick Setup'!$V46,'Quick Setup'!$W46))))))))))))))))))))</f>
        <v>14</v>
      </c>
      <c r="FE3" s="27">
        <f t="shared" ref="FE3:FM3" si="13">ES3</f>
        <v>5</v>
      </c>
      <c r="FF3" s="28">
        <f t="shared" si="13"/>
        <v>-0.05</v>
      </c>
      <c r="FG3" s="28">
        <f t="shared" si="13"/>
        <v>-0.02</v>
      </c>
      <c r="FH3" s="28">
        <f t="shared" si="13"/>
        <v>0</v>
      </c>
      <c r="FI3" s="28">
        <f t="shared" si="13"/>
        <v>0.005</v>
      </c>
      <c r="FJ3" s="28">
        <f t="shared" si="13"/>
        <v>0.01</v>
      </c>
      <c r="FK3" s="28">
        <f t="shared" si="13"/>
        <v>0.015</v>
      </c>
      <c r="FL3" s="28">
        <f t="shared" si="13"/>
        <v>0.02</v>
      </c>
      <c r="FM3" s="28">
        <f t="shared" si="13"/>
        <v>0.03</v>
      </c>
      <c r="FN3" s="24">
        <f>'Quick Setup'!Q60</f>
        <v>0.8</v>
      </c>
      <c r="FO3" s="25">
        <f>if(FN3='Quick Setup'!$C$31,'Quick Setup'!$C32,if(FN3='Quick Setup'!$D$31,'Quick Setup'!$D32,if(FN3='Quick Setup'!$E$31,'Quick Setup'!$E32,if(FN3='Quick Setup'!$F$31,'Quick Setup'!$F32,if(FN3='Quick Setup'!$G$31,'Quick Setup'!$G32,if(FN3='Quick Setup'!$H$31,'Quick Setup'!$H32,if(FN3='Quick Setup'!$I$31,'Quick Setup'!$I32,if(FN3='Quick Setup'!$J$31,'Quick Setup'!$J32,if(FN3='Quick Setup'!$K$31,'Quick Setup'!$K32,if(FN3='Quick Setup'!$L$31,'Quick Setup'!$L32,if(FN3='Quick Setup'!$M$31,'Quick Setup'!$M32,if(FN3='Quick Setup'!$N$31,'Quick Setup'!$N32,if(FN3='Quick Setup'!$O$31,'Quick Setup'!$O32,if(FN3='Quick Setup'!$P$31,'Quick Setup'!$P32,if(FN3='Quick Setup'!$Q$31,'Quick Setup'!$Q32,if(FN3='Quick Setup'!$R$31,'Quick Setup'!$R32,if(FN3='Quick Setup'!$S$31,'Quick Setup'!$S32,if(FN3='Quick Setup'!$T$31,'Quick Setup'!$T32,if(FN3='Quick Setup'!$U$31,'Quick Setup'!$U32,if(FN3='Quick Setup'!$V$31,'Quick Setup'!$V32,'Quick Setup'!$W32))))))))))))))))))))</f>
        <v>3</v>
      </c>
      <c r="FP3" s="25">
        <f>if(FN3='Quick Setup'!$C$45,'Quick Setup'!$C46,if(FN3='Quick Setup'!$D$45,'Quick Setup'!$D46,if(FN3='Quick Setup'!$E$45,'Quick Setup'!$E46,if(FN3='Quick Setup'!$F$45,'Quick Setup'!$F46,if(FN3='Quick Setup'!$G$45,'Quick Setup'!$G46,if(FN3='Quick Setup'!$H$45,'Quick Setup'!$H46,if(FN3='Quick Setup'!$I$45,'Quick Setup'!$I46,if(FN3='Quick Setup'!$J$45,'Quick Setup'!$J46,if(FN3='Quick Setup'!$K$45,'Quick Setup'!$K46,if(FN3='Quick Setup'!$L$45,'Quick Setup'!$L46,if(FN3='Quick Setup'!$M$45,'Quick Setup'!$M46,if(FN3='Quick Setup'!$N$45,'Quick Setup'!$N46,if(FN3='Quick Setup'!$O$45,'Quick Setup'!$O46,if(FN3='Quick Setup'!$P$45,'Quick Setup'!$P46,if(FN3='Quick Setup'!$Q$45,'Quick Setup'!$Q46,if(FN3='Quick Setup'!$R$45,'Quick Setup'!$R46,if(FN3='Quick Setup'!$S$45,'Quick Setup'!$S46,if(FN3='Quick Setup'!$T$45,'Quick Setup'!$T46,if(FN3='Quick Setup'!$U$45,'Quick Setup'!$U46,if(FN3='Quick Setup'!$V$45,'Quick Setup'!$V46,'Quick Setup'!$W46))))))))))))))))))))</f>
        <v>6</v>
      </c>
      <c r="FQ3" s="27">
        <f t="shared" ref="FQ3:FY3" si="14">FE3</f>
        <v>5</v>
      </c>
      <c r="FR3" s="28">
        <f t="shared" si="14"/>
        <v>-0.05</v>
      </c>
      <c r="FS3" s="28">
        <f t="shared" si="14"/>
        <v>-0.02</v>
      </c>
      <c r="FT3" s="28">
        <f t="shared" si="14"/>
        <v>0</v>
      </c>
      <c r="FU3" s="28">
        <f t="shared" si="14"/>
        <v>0.005</v>
      </c>
      <c r="FV3" s="28">
        <f t="shared" si="14"/>
        <v>0.01</v>
      </c>
      <c r="FW3" s="28">
        <f t="shared" si="14"/>
        <v>0.015</v>
      </c>
      <c r="FX3" s="28">
        <f t="shared" si="14"/>
        <v>0.02</v>
      </c>
      <c r="FY3" s="28">
        <f t="shared" si="14"/>
        <v>0.03</v>
      </c>
      <c r="FZ3" s="24">
        <f>'Quick Setup'!R60</f>
        <v>0.85</v>
      </c>
      <c r="GA3" s="25">
        <f>if(FZ3='Quick Setup'!$C$31,'Quick Setup'!$C32,if(FZ3='Quick Setup'!$D$31,'Quick Setup'!$D32,if(FZ3='Quick Setup'!$E$31,'Quick Setup'!$E32,if(FZ3='Quick Setup'!$F$31,'Quick Setup'!$F32,if(FZ3='Quick Setup'!$G$31,'Quick Setup'!$G32,if(FZ3='Quick Setup'!$H$31,'Quick Setup'!$H32,if(FZ3='Quick Setup'!$I$31,'Quick Setup'!$I32,if(FZ3='Quick Setup'!$J$31,'Quick Setup'!$J32,if(FZ3='Quick Setup'!$K$31,'Quick Setup'!$K32,if(FZ3='Quick Setup'!$L$31,'Quick Setup'!$L32,if(FZ3='Quick Setup'!$M$31,'Quick Setup'!$M32,if(FZ3='Quick Setup'!$N$31,'Quick Setup'!$N32,if(FZ3='Quick Setup'!$O$31,'Quick Setup'!$O32,if(FZ3='Quick Setup'!$P$31,'Quick Setup'!$P32,if(FZ3='Quick Setup'!$Q$31,'Quick Setup'!$Q32,if(FZ3='Quick Setup'!$R$31,'Quick Setup'!$R32,if(FZ3='Quick Setup'!$S$31,'Quick Setup'!$S32,if(FZ3='Quick Setup'!$T$31,'Quick Setup'!$T32,if(FZ3='Quick Setup'!$U$31,'Quick Setup'!$U32,if(FZ3='Quick Setup'!$V$31,'Quick Setup'!$V32,'Quick Setup'!$W32))))))))))))))))))))</f>
        <v>2</v>
      </c>
      <c r="GB3" s="25">
        <f>if(FZ3='Quick Setup'!$C$45,'Quick Setup'!$C46,if(FZ3='Quick Setup'!$D$45,'Quick Setup'!$D46,if(FZ3='Quick Setup'!$E$45,'Quick Setup'!$E46,if(FZ3='Quick Setup'!$F$45,'Quick Setup'!$F46,if(FZ3='Quick Setup'!$G$45,'Quick Setup'!$G46,if(FZ3='Quick Setup'!$H$45,'Quick Setup'!$H46,if(FZ3='Quick Setup'!$I$45,'Quick Setup'!$I46,if(FZ3='Quick Setup'!$J$45,'Quick Setup'!$J46,if(FZ3='Quick Setup'!$K$45,'Quick Setup'!$K46,if(FZ3='Quick Setup'!$L$45,'Quick Setup'!$L46,if(FZ3='Quick Setup'!$M$45,'Quick Setup'!$M46,if(FZ3='Quick Setup'!$N$45,'Quick Setup'!$N46,if(FZ3='Quick Setup'!$O$45,'Quick Setup'!$O46,if(FZ3='Quick Setup'!$P$45,'Quick Setup'!$P46,if(FZ3='Quick Setup'!$Q$45,'Quick Setup'!$Q46,if(FZ3='Quick Setup'!$R$45,'Quick Setup'!$R46,if(FZ3='Quick Setup'!$S$45,'Quick Setup'!$S46,if(FZ3='Quick Setup'!$T$45,'Quick Setup'!$T46,if(FZ3='Quick Setup'!$U$45,'Quick Setup'!$U46,if(FZ3='Quick Setup'!$V$45,'Quick Setup'!$V46,'Quick Setup'!$W46))))))))))))))))))))</f>
        <v>4</v>
      </c>
      <c r="GC3" s="27">
        <f t="shared" ref="GC3:GK3" si="15">FQ3</f>
        <v>5</v>
      </c>
      <c r="GD3" s="28">
        <f t="shared" si="15"/>
        <v>-0.05</v>
      </c>
      <c r="GE3" s="28">
        <f t="shared" si="15"/>
        <v>-0.02</v>
      </c>
      <c r="GF3" s="28">
        <f t="shared" si="15"/>
        <v>0</v>
      </c>
      <c r="GG3" s="28">
        <f t="shared" si="15"/>
        <v>0.005</v>
      </c>
      <c r="GH3" s="28">
        <f t="shared" si="15"/>
        <v>0.01</v>
      </c>
      <c r="GI3" s="28">
        <f t="shared" si="15"/>
        <v>0.015</v>
      </c>
      <c r="GJ3" s="28">
        <f t="shared" si="15"/>
        <v>0.02</v>
      </c>
      <c r="GK3" s="28">
        <f t="shared" si="15"/>
        <v>0.03</v>
      </c>
      <c r="GL3" s="24">
        <f>'Quick Setup'!S60</f>
        <v>0.9</v>
      </c>
      <c r="GM3" s="25">
        <f>if(GL3='Quick Setup'!$C$31,'Quick Setup'!$C32,if(GL3='Quick Setup'!$D$31,'Quick Setup'!$D32,if(GL3='Quick Setup'!$E$31,'Quick Setup'!$E32,if(GL3='Quick Setup'!$F$31,'Quick Setup'!$F32,if(GL3='Quick Setup'!$G$31,'Quick Setup'!$G32,if(GL3='Quick Setup'!$H$31,'Quick Setup'!$H32,if(GL3='Quick Setup'!$I$31,'Quick Setup'!$I32,if(GL3='Quick Setup'!$J$31,'Quick Setup'!$J32,if(GL3='Quick Setup'!$K$31,'Quick Setup'!$K32,if(GL3='Quick Setup'!$L$31,'Quick Setup'!$L32,if(GL3='Quick Setup'!$M$31,'Quick Setup'!$M32,if(GL3='Quick Setup'!$N$31,'Quick Setup'!$N32,if(GL3='Quick Setup'!$O$31,'Quick Setup'!$O32,if(GL3='Quick Setup'!$P$31,'Quick Setup'!$P32,if(GL3='Quick Setup'!$Q$31,'Quick Setup'!$Q32,if(GL3='Quick Setup'!$R$31,'Quick Setup'!$R32,if(GL3='Quick Setup'!$S$31,'Quick Setup'!$S32,if(GL3='Quick Setup'!$T$31,'Quick Setup'!$T32,if(GL3='Quick Setup'!$U$31,'Quick Setup'!$U32,if(GL3='Quick Setup'!$V$31,'Quick Setup'!$V32,'Quick Setup'!$W32))))))))))))))))))))</f>
        <v>1</v>
      </c>
      <c r="GN3" s="25">
        <f>if(GL3='Quick Setup'!$C$45,'Quick Setup'!$C46,if(GL3='Quick Setup'!$D$45,'Quick Setup'!$D46,if(GL3='Quick Setup'!$E$45,'Quick Setup'!$E46,if(GL3='Quick Setup'!$F$45,'Quick Setup'!$F46,if(GL3='Quick Setup'!$G$45,'Quick Setup'!$G46,if(GL3='Quick Setup'!$H$45,'Quick Setup'!$H46,if(GL3='Quick Setup'!$I$45,'Quick Setup'!$I46,if(GL3='Quick Setup'!$J$45,'Quick Setup'!$J46,if(GL3='Quick Setup'!$K$45,'Quick Setup'!$K46,if(GL3='Quick Setup'!$L$45,'Quick Setup'!$L46,if(GL3='Quick Setup'!$M$45,'Quick Setup'!$M46,if(GL3='Quick Setup'!$N$45,'Quick Setup'!$N46,if(GL3='Quick Setup'!$O$45,'Quick Setup'!$O46,if(GL3='Quick Setup'!$P$45,'Quick Setup'!$P46,if(GL3='Quick Setup'!$Q$45,'Quick Setup'!$Q46,if(GL3='Quick Setup'!$R$45,'Quick Setup'!$R46,if(GL3='Quick Setup'!$S$45,'Quick Setup'!$S46,if(GL3='Quick Setup'!$T$45,'Quick Setup'!$T46,if(GL3='Quick Setup'!$U$45,'Quick Setup'!$U46,if(GL3='Quick Setup'!$V$45,'Quick Setup'!$V46,'Quick Setup'!$W46))))))))))))))))))))</f>
        <v>2</v>
      </c>
      <c r="GO3" s="27">
        <f t="shared" ref="GO3:GW3" si="16">GC3</f>
        <v>5</v>
      </c>
      <c r="GP3" s="28">
        <f t="shared" si="16"/>
        <v>-0.05</v>
      </c>
      <c r="GQ3" s="28">
        <f t="shared" si="16"/>
        <v>-0.02</v>
      </c>
      <c r="GR3" s="28">
        <f t="shared" si="16"/>
        <v>0</v>
      </c>
      <c r="GS3" s="28">
        <f t="shared" si="16"/>
        <v>0.005</v>
      </c>
      <c r="GT3" s="28">
        <f t="shared" si="16"/>
        <v>0.01</v>
      </c>
      <c r="GU3" s="28">
        <f t="shared" si="16"/>
        <v>0.015</v>
      </c>
      <c r="GV3" s="28">
        <f t="shared" si="16"/>
        <v>0.02</v>
      </c>
      <c r="GW3" s="28">
        <f t="shared" si="16"/>
        <v>0.03</v>
      </c>
      <c r="GX3" s="24">
        <f>'Quick Setup'!T60</f>
        <v>0.85</v>
      </c>
      <c r="GY3" s="25">
        <f>if(GX3='Quick Setup'!$C$31,'Quick Setup'!$C32,if(GX3='Quick Setup'!$D$31,'Quick Setup'!$D32,if(GX3='Quick Setup'!$E$31,'Quick Setup'!$E32,if(GX3='Quick Setup'!$F$31,'Quick Setup'!$F32,if(GX3='Quick Setup'!$G$31,'Quick Setup'!$G32,if(GX3='Quick Setup'!$H$31,'Quick Setup'!$H32,if(GX3='Quick Setup'!$I$31,'Quick Setup'!$I32,if(GX3='Quick Setup'!$J$31,'Quick Setup'!$J32,if(GX3='Quick Setup'!$K$31,'Quick Setup'!$K32,if(GX3='Quick Setup'!$L$31,'Quick Setup'!$L32,if(GX3='Quick Setup'!$M$31,'Quick Setup'!$M32,if(GX3='Quick Setup'!$N$31,'Quick Setup'!$N32,if(GX3='Quick Setup'!$O$31,'Quick Setup'!$O32,if(GX3='Quick Setup'!$P$31,'Quick Setup'!$P32,if(GX3='Quick Setup'!$Q$31,'Quick Setup'!$Q32,if(GX3='Quick Setup'!$R$31,'Quick Setup'!$R32,if(GX3='Quick Setup'!$S$31,'Quick Setup'!$S32,if(GX3='Quick Setup'!$T$31,'Quick Setup'!$T32,if(GX3='Quick Setup'!$U$31,'Quick Setup'!$U32,if(GX3='Quick Setup'!$V$31,'Quick Setup'!$V32,'Quick Setup'!$W32))))))))))))))))))))</f>
        <v>2</v>
      </c>
      <c r="GZ3" s="25">
        <f>if(GX3='Quick Setup'!$C$45,'Quick Setup'!$C46,if(GX3='Quick Setup'!$D$45,'Quick Setup'!$D46,if(GX3='Quick Setup'!$E$45,'Quick Setup'!$E46,if(GX3='Quick Setup'!$F$45,'Quick Setup'!$F46,if(GX3='Quick Setup'!$G$45,'Quick Setup'!$G46,if(GX3='Quick Setup'!$H$45,'Quick Setup'!$H46,if(GX3='Quick Setup'!$I$45,'Quick Setup'!$I46,if(GX3='Quick Setup'!$J$45,'Quick Setup'!$J46,if(GX3='Quick Setup'!$K$45,'Quick Setup'!$K46,if(GX3='Quick Setup'!$L$45,'Quick Setup'!$L46,if(GX3='Quick Setup'!$M$45,'Quick Setup'!$M46,if(GX3='Quick Setup'!$N$45,'Quick Setup'!$N46,if(GX3='Quick Setup'!$O$45,'Quick Setup'!$O46,if(GX3='Quick Setup'!$P$45,'Quick Setup'!$P46,if(GX3='Quick Setup'!$Q$45,'Quick Setup'!$Q46,if(GX3='Quick Setup'!$R$45,'Quick Setup'!$R46,if(GX3='Quick Setup'!$S$45,'Quick Setup'!$S46,if(GX3='Quick Setup'!$T$45,'Quick Setup'!$T46,if(GX3='Quick Setup'!$U$45,'Quick Setup'!$U46,if(GX3='Quick Setup'!$V$45,'Quick Setup'!$V46,'Quick Setup'!$W46))))))))))))))))))))</f>
        <v>4</v>
      </c>
      <c r="HA3" s="27">
        <f t="shared" ref="HA3:HI3" si="17">GO3</f>
        <v>5</v>
      </c>
      <c r="HB3" s="28">
        <f t="shared" si="17"/>
        <v>-0.05</v>
      </c>
      <c r="HC3" s="28">
        <f t="shared" si="17"/>
        <v>-0.02</v>
      </c>
      <c r="HD3" s="28">
        <f t="shared" si="17"/>
        <v>0</v>
      </c>
      <c r="HE3" s="28">
        <f t="shared" si="17"/>
        <v>0.005</v>
      </c>
      <c r="HF3" s="28">
        <f t="shared" si="17"/>
        <v>0.01</v>
      </c>
      <c r="HG3" s="28">
        <f t="shared" si="17"/>
        <v>0.015</v>
      </c>
      <c r="HH3" s="28">
        <f t="shared" si="17"/>
        <v>0.02</v>
      </c>
      <c r="HI3" s="28">
        <f t="shared" si="17"/>
        <v>0.03</v>
      </c>
      <c r="HJ3" s="24">
        <f>'Quick Setup'!U60</f>
        <v>0.9</v>
      </c>
      <c r="HK3" s="25">
        <f>if(HJ3='Quick Setup'!$C$31,'Quick Setup'!$C32,if(HJ3='Quick Setup'!$D$31,'Quick Setup'!$D32,if(HJ3='Quick Setup'!$E$31,'Quick Setup'!$E32,if(HJ3='Quick Setup'!$F$31,'Quick Setup'!$F32,if(HJ3='Quick Setup'!$G$31,'Quick Setup'!$G32,if(HJ3='Quick Setup'!$H$31,'Quick Setup'!$H32,if(HJ3='Quick Setup'!$I$31,'Quick Setup'!$I32,if(HJ3='Quick Setup'!$J$31,'Quick Setup'!$J32,if(HJ3='Quick Setup'!$K$31,'Quick Setup'!$K32,if(HJ3='Quick Setup'!$L$31,'Quick Setup'!$L32,if(HJ3='Quick Setup'!$M$31,'Quick Setup'!$M32,if(HJ3='Quick Setup'!$N$31,'Quick Setup'!$N32,if(HJ3='Quick Setup'!$O$31,'Quick Setup'!$O32,if(HJ3='Quick Setup'!$P$31,'Quick Setup'!$P32,if(HJ3='Quick Setup'!$Q$31,'Quick Setup'!$Q32,if(HJ3='Quick Setup'!$R$31,'Quick Setup'!$R32,if(HJ3='Quick Setup'!$S$31,'Quick Setup'!$S32,if(HJ3='Quick Setup'!$T$31,'Quick Setup'!$T32,if(HJ3='Quick Setup'!$U$31,'Quick Setup'!$U32,if(HJ3='Quick Setup'!$V$31,'Quick Setup'!$V32,'Quick Setup'!$W32))))))))))))))))))))</f>
        <v>1</v>
      </c>
      <c r="HL3" s="25">
        <f>if(HJ3='Quick Setup'!$C$45,'Quick Setup'!$C46,if(HJ3='Quick Setup'!$D$45,'Quick Setup'!$D46,if(HJ3='Quick Setup'!$E$45,'Quick Setup'!$E46,if(HJ3='Quick Setup'!$F$45,'Quick Setup'!$F46,if(HJ3='Quick Setup'!$G$45,'Quick Setup'!$G46,if(HJ3='Quick Setup'!$H$45,'Quick Setup'!$H46,if(HJ3='Quick Setup'!$I$45,'Quick Setup'!$I46,if(HJ3='Quick Setup'!$J$45,'Quick Setup'!$J46,if(HJ3='Quick Setup'!$K$45,'Quick Setup'!$K46,if(HJ3='Quick Setup'!$L$45,'Quick Setup'!$L46,if(HJ3='Quick Setup'!$M$45,'Quick Setup'!$M46,if(HJ3='Quick Setup'!$N$45,'Quick Setup'!$N46,if(HJ3='Quick Setup'!$O$45,'Quick Setup'!$O46,if(HJ3='Quick Setup'!$P$45,'Quick Setup'!$P46,if(HJ3='Quick Setup'!$Q$45,'Quick Setup'!$Q46,if(HJ3='Quick Setup'!$R$45,'Quick Setup'!$R46,if(HJ3='Quick Setup'!$S$45,'Quick Setup'!$S46,if(HJ3='Quick Setup'!$T$45,'Quick Setup'!$T46,if(HJ3='Quick Setup'!$U$45,'Quick Setup'!$U46,if(HJ3='Quick Setup'!$V$45,'Quick Setup'!$V46,'Quick Setup'!$W46))))))))))))))))))))</f>
        <v>2</v>
      </c>
      <c r="HM3" s="27">
        <f t="shared" ref="HM3:HU3" si="18">HA3</f>
        <v>5</v>
      </c>
      <c r="HN3" s="28">
        <f t="shared" si="18"/>
        <v>-0.05</v>
      </c>
      <c r="HO3" s="28">
        <f t="shared" si="18"/>
        <v>-0.02</v>
      </c>
      <c r="HP3" s="28">
        <f t="shared" si="18"/>
        <v>0</v>
      </c>
      <c r="HQ3" s="28">
        <f t="shared" si="18"/>
        <v>0.005</v>
      </c>
      <c r="HR3" s="28">
        <f t="shared" si="18"/>
        <v>0.01</v>
      </c>
      <c r="HS3" s="28">
        <f t="shared" si="18"/>
        <v>0.015</v>
      </c>
      <c r="HT3" s="28">
        <f t="shared" si="18"/>
        <v>0.02</v>
      </c>
      <c r="HU3" s="28">
        <f t="shared" si="18"/>
        <v>0.03</v>
      </c>
      <c r="HV3" s="24">
        <f>'Quick Setup'!V60</f>
        <v>0.95</v>
      </c>
      <c r="HW3" s="25">
        <f>if(HV3='Quick Setup'!$C$31,'Quick Setup'!$C32,if(HV3='Quick Setup'!$D$31,'Quick Setup'!$D32,if(HV3='Quick Setup'!$E$31,'Quick Setup'!$E32,if(HV3='Quick Setup'!$F$31,'Quick Setup'!$F32,if(HV3='Quick Setup'!$G$31,'Quick Setup'!$G32,if(HV3='Quick Setup'!$H$31,'Quick Setup'!$H32,if(HV3='Quick Setup'!$I$31,'Quick Setup'!$I32,if(HV3='Quick Setup'!$J$31,'Quick Setup'!$J32,if(HV3='Quick Setup'!$K$31,'Quick Setup'!$K32,if(HV3='Quick Setup'!$L$31,'Quick Setup'!$L32,if(HV3='Quick Setup'!$M$31,'Quick Setup'!$M32,if(HV3='Quick Setup'!$N$31,'Quick Setup'!$N32,if(HV3='Quick Setup'!$O$31,'Quick Setup'!$O32,if(HV3='Quick Setup'!$P$31,'Quick Setup'!$P32,if(HV3='Quick Setup'!$Q$31,'Quick Setup'!$Q32,if(HV3='Quick Setup'!$R$31,'Quick Setup'!$R32,if(HV3='Quick Setup'!$S$31,'Quick Setup'!$S32,if(HV3='Quick Setup'!$T$31,'Quick Setup'!$T32,if(HV3='Quick Setup'!$U$31,'Quick Setup'!$U32,if(HV3='Quick Setup'!$V$31,'Quick Setup'!$V32,'Quick Setup'!$W32))))))))))))))))))))</f>
        <v>1</v>
      </c>
      <c r="HX3" s="25">
        <f>if(HV3='Quick Setup'!$C$45,'Quick Setup'!$C46,if(HV3='Quick Setup'!$D$45,'Quick Setup'!$D46,if(HV3='Quick Setup'!$E$45,'Quick Setup'!$E46,if(HV3='Quick Setup'!$F$45,'Quick Setup'!$F46,if(HV3='Quick Setup'!$G$45,'Quick Setup'!$G46,if(HV3='Quick Setup'!$H$45,'Quick Setup'!$H46,if(HV3='Quick Setup'!$I$45,'Quick Setup'!$I46,if(HV3='Quick Setup'!$J$45,'Quick Setup'!$J46,if(HV3='Quick Setup'!$K$45,'Quick Setup'!$K46,if(HV3='Quick Setup'!$L$45,'Quick Setup'!$L46,if(HV3='Quick Setup'!$M$45,'Quick Setup'!$M46,if(HV3='Quick Setup'!$N$45,'Quick Setup'!$N46,if(HV3='Quick Setup'!$O$45,'Quick Setup'!$O46,if(HV3='Quick Setup'!$P$45,'Quick Setup'!$P46,if(HV3='Quick Setup'!$Q$45,'Quick Setup'!$Q46,if(HV3='Quick Setup'!$R$45,'Quick Setup'!$R46,if(HV3='Quick Setup'!$S$45,'Quick Setup'!$S46,if(HV3='Quick Setup'!$T$45,'Quick Setup'!$T46,if(HV3='Quick Setup'!$U$45,'Quick Setup'!$U46,if(HV3='Quick Setup'!$V$45,'Quick Setup'!$V46,'Quick Setup'!$W46))))))))))))))))))))</f>
        <v>1</v>
      </c>
      <c r="HY3" s="27">
        <f t="shared" ref="HY3:IG3" si="19">HM3</f>
        <v>5</v>
      </c>
      <c r="HZ3" s="28">
        <f t="shared" si="19"/>
        <v>-0.05</v>
      </c>
      <c r="IA3" s="28">
        <f t="shared" si="19"/>
        <v>-0.02</v>
      </c>
      <c r="IB3" s="28">
        <f t="shared" si="19"/>
        <v>0</v>
      </c>
      <c r="IC3" s="28">
        <f t="shared" si="19"/>
        <v>0.005</v>
      </c>
      <c r="ID3" s="28">
        <f t="shared" si="19"/>
        <v>0.01</v>
      </c>
      <c r="IE3" s="28">
        <f t="shared" si="19"/>
        <v>0.015</v>
      </c>
      <c r="IF3" s="28">
        <f t="shared" si="19"/>
        <v>0.02</v>
      </c>
      <c r="IG3" s="28">
        <f t="shared" si="19"/>
        <v>0.03</v>
      </c>
      <c r="IH3" s="24">
        <f>'Quick Setup'!W60</f>
        <v>0.6</v>
      </c>
      <c r="II3" s="25">
        <f>if(IH3='Quick Setup'!$C$31,'Quick Setup'!$C32,if(IH3='Quick Setup'!$D$31,'Quick Setup'!$D32,if(IH3='Quick Setup'!$E$31,'Quick Setup'!$E32,if(IH3='Quick Setup'!$F$31,'Quick Setup'!$F32,if(IH3='Quick Setup'!$G$31,'Quick Setup'!$G32,if(IH3='Quick Setup'!$H$31,'Quick Setup'!$H32,if(IH3='Quick Setup'!$I$31,'Quick Setup'!$I32,if(IH3='Quick Setup'!$J$31,'Quick Setup'!$J32,if(IH3='Quick Setup'!$K$31,'Quick Setup'!$K32,if(IH3='Quick Setup'!$L$31,'Quick Setup'!$L32,if(IH3='Quick Setup'!$M$31,'Quick Setup'!$M32,if(IH3='Quick Setup'!$N$31,'Quick Setup'!$N32,if(IH3='Quick Setup'!$O$31,'Quick Setup'!$O32,if(IH3='Quick Setup'!$P$31,'Quick Setup'!$P32,if(IH3='Quick Setup'!$Q$31,'Quick Setup'!$Q32,if(IH3='Quick Setup'!$R$31,'Quick Setup'!$R32,if(IH3='Quick Setup'!$S$31,'Quick Setup'!$S32,if(IH3='Quick Setup'!$T$31,'Quick Setup'!$T32,if(IH3='Quick Setup'!$U$31,'Quick Setup'!$U32,if(IH3='Quick Setup'!$V$31,'Quick Setup'!$V32,'Quick Setup'!$W32))))))))))))))))))))</f>
        <v>7</v>
      </c>
      <c r="IJ3" s="25">
        <f>if(IH3='Quick Setup'!$C$45,'Quick Setup'!$C46,if(IH3='Quick Setup'!$D$45,'Quick Setup'!$D46,if(IH3='Quick Setup'!$E$45,'Quick Setup'!$E46,if(IH3='Quick Setup'!$F$45,'Quick Setup'!$F46,if(IH3='Quick Setup'!$G$45,'Quick Setup'!$G46,if(IH3='Quick Setup'!$H$45,'Quick Setup'!$H46,if(IH3='Quick Setup'!$I$45,'Quick Setup'!$I46,if(IH3='Quick Setup'!$J$45,'Quick Setup'!$J46,if(IH3='Quick Setup'!$K$45,'Quick Setup'!$K46,if(IH3='Quick Setup'!$L$45,'Quick Setup'!$L46,if(IH3='Quick Setup'!$M$45,'Quick Setup'!$M46,if(IH3='Quick Setup'!$N$45,'Quick Setup'!$N46,if(IH3='Quick Setup'!$O$45,'Quick Setup'!$O46,if(IH3='Quick Setup'!$P$45,'Quick Setup'!$P46,if(IH3='Quick Setup'!$Q$45,'Quick Setup'!$Q46,if(IH3='Quick Setup'!$R$45,'Quick Setup'!$R46,if(IH3='Quick Setup'!$S$45,'Quick Setup'!$S46,if(IH3='Quick Setup'!$T$45,'Quick Setup'!$T46,if(IH3='Quick Setup'!$U$45,'Quick Setup'!$U46,if(IH3='Quick Setup'!$V$45,'Quick Setup'!$V46,'Quick Setup'!$W46))))))))))))))))))))</f>
        <v>14</v>
      </c>
      <c r="IK3" s="27">
        <f t="shared" ref="IK3:IS3" si="20">HY3</f>
        <v>5</v>
      </c>
      <c r="IL3" s="28">
        <f t="shared" si="20"/>
        <v>-0.05</v>
      </c>
      <c r="IM3" s="28">
        <f t="shared" si="20"/>
        <v>-0.02</v>
      </c>
      <c r="IN3" s="28">
        <f t="shared" si="20"/>
        <v>0</v>
      </c>
      <c r="IO3" s="28">
        <f t="shared" si="20"/>
        <v>0.005</v>
      </c>
      <c r="IP3" s="28">
        <f t="shared" si="20"/>
        <v>0.01</v>
      </c>
      <c r="IQ3" s="28">
        <f t="shared" si="20"/>
        <v>0.015</v>
      </c>
      <c r="IR3" s="28">
        <f t="shared" si="20"/>
        <v>0.02</v>
      </c>
      <c r="IS3" s="28">
        <f t="shared" si="20"/>
        <v>0.03</v>
      </c>
    </row>
    <row r="4">
      <c r="A4" t="str">
        <f>'Quick Setup'!C6</f>
        <v>Bench Press</v>
      </c>
      <c r="B4" s="24">
        <f>'Quick Setup'!C61</f>
        <v>0.7</v>
      </c>
      <c r="C4" s="25">
        <f>if(B4='Quick Setup'!$C$31,'Quick Setup'!$C33,if(B4='Quick Setup'!$D$31,'Quick Setup'!$D33,if(B4='Quick Setup'!$E$31,'Quick Setup'!$E33,if(B4='Quick Setup'!$F$31,'Quick Setup'!$F33,if(B4='Quick Setup'!$G$31,'Quick Setup'!$G33,if(B4='Quick Setup'!$H$31,'Quick Setup'!$H33,if(B4='Quick Setup'!$I$31,'Quick Setup'!$I33,if(B4='Quick Setup'!$J$31,'Quick Setup'!$J33,if(B4='Quick Setup'!$K$31,'Quick Setup'!$K33,if(B4='Quick Setup'!$L$31,'Quick Setup'!$L33,if(B4='Quick Setup'!$M$31,'Quick Setup'!$M33,if(B4='Quick Setup'!$N$31,'Quick Setup'!$N33,if(B4='Quick Setup'!$O$31,'Quick Setup'!$O33,if(B4='Quick Setup'!$P$31,'Quick Setup'!$P33,if(B4='Quick Setup'!$Q$31,'Quick Setup'!$Q33,if(B4='Quick Setup'!$R$31,'Quick Setup'!$R33,if(B4='Quick Setup'!$S$31,'Quick Setup'!$S33,if(B4='Quick Setup'!$T$31,'Quick Setup'!$T33,if(B4='Quick Setup'!$U$31,'Quick Setup'!$U33,if(B4='Quick Setup'!$V$31,'Quick Setup'!$V33,'Quick Setup'!$W33))))))))))))))))))))</f>
        <v>5</v>
      </c>
      <c r="D4" s="25">
        <f>if(B4='Quick Setup'!$C$45,'Quick Setup'!$C47,if(B4='Quick Setup'!$D$45,'Quick Setup'!$D47,if(B4='Quick Setup'!$E$45,'Quick Setup'!$E47,if(B4='Quick Setup'!$F$45,'Quick Setup'!$F47,if(B4='Quick Setup'!$G$45,'Quick Setup'!$G47,if(B4='Quick Setup'!$H$45,'Quick Setup'!$H47,if(B4='Quick Setup'!$I$45,'Quick Setup'!$I47,if(B4='Quick Setup'!$J$45,'Quick Setup'!$J47,if(B4='Quick Setup'!$K$45,'Quick Setup'!$K47,if(B4='Quick Setup'!$L$45,'Quick Setup'!$L47,if(B4='Quick Setup'!$M$45,'Quick Setup'!$M47,if(B4='Quick Setup'!$N$45,'Quick Setup'!$N47,if(B4='Quick Setup'!$O$45,'Quick Setup'!$O47,if(B4='Quick Setup'!$P$45,'Quick Setup'!$P47,if(B4='Quick Setup'!$Q$45,'Quick Setup'!$Q47,if(B4='Quick Setup'!$R$45,'Quick Setup'!$R47,if(B4='Quick Setup'!$S$45,'Quick Setup'!$S47,if(B4='Quick Setup'!$T$45,'Quick Setup'!$T47,if(B4='Quick Setup'!$U$45,'Quick Setup'!$U47,if(B4='Quick Setup'!$V$45,'Quick Setup'!$V47,'Quick Setup'!$W47))))))))))))))))))))</f>
        <v>10</v>
      </c>
      <c r="E4" s="25">
        <f>'Quick Setup'!H7</f>
        <v>5</v>
      </c>
      <c r="F4" s="26">
        <f>'Quick Setup'!I7</f>
        <v>-0.05</v>
      </c>
      <c r="G4" s="26">
        <f>'Quick Setup'!J7</f>
        <v>-0.02</v>
      </c>
      <c r="H4" s="26">
        <f>'Quick Setup'!K7</f>
        <v>0</v>
      </c>
      <c r="I4" s="26">
        <f>'Quick Setup'!L7</f>
        <v>0.005</v>
      </c>
      <c r="J4" s="26">
        <f>'Quick Setup'!M7</f>
        <v>0.01</v>
      </c>
      <c r="K4" s="26">
        <f>'Quick Setup'!N7</f>
        <v>0.015</v>
      </c>
      <c r="L4" s="26">
        <f>'Quick Setup'!O7</f>
        <v>0.02</v>
      </c>
      <c r="M4" s="26">
        <f>'Quick Setup'!P7</f>
        <v>0.03</v>
      </c>
      <c r="N4" s="24">
        <f>'Quick Setup'!D61</f>
        <v>0.75</v>
      </c>
      <c r="O4" s="25">
        <f>if(N4='Quick Setup'!$C$31,'Quick Setup'!$C33,if(N4='Quick Setup'!$D$31,'Quick Setup'!$D33,if(N4='Quick Setup'!$E$31,'Quick Setup'!$E33,if(N4='Quick Setup'!$F$31,'Quick Setup'!$F33,if(N4='Quick Setup'!$G$31,'Quick Setup'!$G33,if(N4='Quick Setup'!$H$31,'Quick Setup'!$H33,if(N4='Quick Setup'!$I$31,'Quick Setup'!$I33,if(N4='Quick Setup'!$J$31,'Quick Setup'!$J33,if(N4='Quick Setup'!$K$31,'Quick Setup'!$K33,if(N4='Quick Setup'!$L$31,'Quick Setup'!$L33,if(N4='Quick Setup'!$M$31,'Quick Setup'!$M33,if(N4='Quick Setup'!$N$31,'Quick Setup'!$N33,if(N4='Quick Setup'!$O$31,'Quick Setup'!$O33,if(N4='Quick Setup'!$P$31,'Quick Setup'!$P33,if(N4='Quick Setup'!$Q$31,'Quick Setup'!$Q33,if(N4='Quick Setup'!$R$31,'Quick Setup'!$R33,if(N4='Quick Setup'!$S$31,'Quick Setup'!$S33,if(N4='Quick Setup'!$T$31,'Quick Setup'!$T33,if(N4='Quick Setup'!$U$31,'Quick Setup'!$U33,if(N4='Quick Setup'!$V$31,'Quick Setup'!$V33,'Quick Setup'!$W33))))))))))))))))))))</f>
        <v>4</v>
      </c>
      <c r="P4" s="25">
        <f>if(N4='Quick Setup'!$C$45,'Quick Setup'!$C47,if(N4='Quick Setup'!$D$45,'Quick Setup'!$D47,if(N4='Quick Setup'!$E$45,'Quick Setup'!$E47,if(N4='Quick Setup'!$F$45,'Quick Setup'!$F47,if(N4='Quick Setup'!$G$45,'Quick Setup'!$G47,if(N4='Quick Setup'!$H$45,'Quick Setup'!$H47,if(N4='Quick Setup'!$I$45,'Quick Setup'!$I47,if(N4='Quick Setup'!$J$45,'Quick Setup'!$J47,if(N4='Quick Setup'!$K$45,'Quick Setup'!$K47,if(N4='Quick Setup'!$L$45,'Quick Setup'!$L47,if(N4='Quick Setup'!$M$45,'Quick Setup'!$M47,if(N4='Quick Setup'!$N$45,'Quick Setup'!$N47,if(N4='Quick Setup'!$O$45,'Quick Setup'!$O47,if(N4='Quick Setup'!$P$45,'Quick Setup'!$P47,if(N4='Quick Setup'!$Q$45,'Quick Setup'!$Q47,if(N4='Quick Setup'!$R$45,'Quick Setup'!$R47,if(N4='Quick Setup'!$S$45,'Quick Setup'!$S47,if(N4='Quick Setup'!$T$45,'Quick Setup'!$T47,if(N4='Quick Setup'!$U$45,'Quick Setup'!$U47,if(N4='Quick Setup'!$V$45,'Quick Setup'!$V47,'Quick Setup'!$W47))))))))))))))))))))</f>
        <v>8</v>
      </c>
      <c r="Q4" s="25">
        <f t="shared" ref="Q4:Y4" si="21">E4</f>
        <v>5</v>
      </c>
      <c r="R4" s="26">
        <f t="shared" si="21"/>
        <v>-0.05</v>
      </c>
      <c r="S4" s="26">
        <f t="shared" si="21"/>
        <v>-0.02</v>
      </c>
      <c r="T4" s="26">
        <f t="shared" si="21"/>
        <v>0</v>
      </c>
      <c r="U4" s="26">
        <f t="shared" si="21"/>
        <v>0.005</v>
      </c>
      <c r="V4" s="26">
        <f t="shared" si="21"/>
        <v>0.01</v>
      </c>
      <c r="W4" s="26">
        <f t="shared" si="21"/>
        <v>0.015</v>
      </c>
      <c r="X4" s="26">
        <f t="shared" si="21"/>
        <v>0.02</v>
      </c>
      <c r="Y4" s="26">
        <f t="shared" si="21"/>
        <v>0.03</v>
      </c>
      <c r="Z4" s="24">
        <f>'Quick Setup'!E61</f>
        <v>0.8</v>
      </c>
      <c r="AA4" s="25">
        <f>if(Z4='Quick Setup'!$C$31,'Quick Setup'!$C33,if(Z4='Quick Setup'!$D$31,'Quick Setup'!$D33,if(Z4='Quick Setup'!$E$31,'Quick Setup'!$E33,if(Z4='Quick Setup'!$F$31,'Quick Setup'!$F33,if(Z4='Quick Setup'!$G$31,'Quick Setup'!$G33,if(Z4='Quick Setup'!$H$31,'Quick Setup'!$H33,if(Z4='Quick Setup'!$I$31,'Quick Setup'!$I33,if(Z4='Quick Setup'!$J$31,'Quick Setup'!$J33,if(Z4='Quick Setup'!$K$31,'Quick Setup'!$K33,if(Z4='Quick Setup'!$L$31,'Quick Setup'!$L33,if(Z4='Quick Setup'!$M$31,'Quick Setup'!$M33,if(Z4='Quick Setup'!$N$31,'Quick Setup'!$N33,if(Z4='Quick Setup'!$O$31,'Quick Setup'!$O33,if(Z4='Quick Setup'!$P$31,'Quick Setup'!$P33,if(Z4='Quick Setup'!$Q$31,'Quick Setup'!$Q33,if(Z4='Quick Setup'!$R$31,'Quick Setup'!$R33,if(Z4='Quick Setup'!$S$31,'Quick Setup'!$S33,if(Z4='Quick Setup'!$T$31,'Quick Setup'!$T33,if(Z4='Quick Setup'!$U$31,'Quick Setup'!$U33,if(Z4='Quick Setup'!$V$31,'Quick Setup'!$V33,'Quick Setup'!$W33))))))))))))))))))))</f>
        <v>3</v>
      </c>
      <c r="AB4" s="25">
        <f>if(Z4='Quick Setup'!$C$45,'Quick Setup'!$C47,if(Z4='Quick Setup'!$D$45,'Quick Setup'!$D47,if(Z4='Quick Setup'!$E$45,'Quick Setup'!$E47,if(Z4='Quick Setup'!$F$45,'Quick Setup'!$F47,if(Z4='Quick Setup'!$G$45,'Quick Setup'!$G47,if(Z4='Quick Setup'!$H$45,'Quick Setup'!$H47,if(Z4='Quick Setup'!$I$45,'Quick Setup'!$I47,if(Z4='Quick Setup'!$J$45,'Quick Setup'!$J47,if(Z4='Quick Setup'!$K$45,'Quick Setup'!$K47,if(Z4='Quick Setup'!$L$45,'Quick Setup'!$L47,if(Z4='Quick Setup'!$M$45,'Quick Setup'!$M47,if(Z4='Quick Setup'!$N$45,'Quick Setup'!$N47,if(Z4='Quick Setup'!$O$45,'Quick Setup'!$O47,if(Z4='Quick Setup'!$P$45,'Quick Setup'!$P47,if(Z4='Quick Setup'!$Q$45,'Quick Setup'!$Q47,if(Z4='Quick Setup'!$R$45,'Quick Setup'!$R47,if(Z4='Quick Setup'!$S$45,'Quick Setup'!$S47,if(Z4='Quick Setup'!$T$45,'Quick Setup'!$T47,if(Z4='Quick Setup'!$U$45,'Quick Setup'!$U47,if(Z4='Quick Setup'!$V$45,'Quick Setup'!$V47,'Quick Setup'!$W47))))))))))))))))))))</f>
        <v>6</v>
      </c>
      <c r="AC4" s="25">
        <f t="shared" ref="AC4:AK4" si="22">Q4</f>
        <v>5</v>
      </c>
      <c r="AD4" s="26">
        <f t="shared" si="22"/>
        <v>-0.05</v>
      </c>
      <c r="AE4" s="26">
        <f t="shared" si="22"/>
        <v>-0.02</v>
      </c>
      <c r="AF4" s="26">
        <f t="shared" si="22"/>
        <v>0</v>
      </c>
      <c r="AG4" s="26">
        <f t="shared" si="22"/>
        <v>0.005</v>
      </c>
      <c r="AH4" s="26">
        <f t="shared" si="22"/>
        <v>0.01</v>
      </c>
      <c r="AI4" s="26">
        <f t="shared" si="22"/>
        <v>0.015</v>
      </c>
      <c r="AJ4" s="26">
        <f t="shared" si="22"/>
        <v>0.02</v>
      </c>
      <c r="AK4" s="26">
        <f t="shared" si="22"/>
        <v>0.03</v>
      </c>
      <c r="AL4" s="24">
        <f>'Quick Setup'!F61</f>
        <v>0.725</v>
      </c>
      <c r="AM4" s="25">
        <f>if(AL4='Quick Setup'!$C$31,'Quick Setup'!$C33,if(AL4='Quick Setup'!$D$31,'Quick Setup'!$D33,if(AL4='Quick Setup'!$E$31,'Quick Setup'!$E33,if(AL4='Quick Setup'!$F$31,'Quick Setup'!$F33,if(AL4='Quick Setup'!$G$31,'Quick Setup'!$G33,if(AL4='Quick Setup'!$H$31,'Quick Setup'!$H33,if(AL4='Quick Setup'!$I$31,'Quick Setup'!$I33,if(AL4='Quick Setup'!$J$31,'Quick Setup'!$J33,if(AL4='Quick Setup'!$K$31,'Quick Setup'!$K33,if(AL4='Quick Setup'!$L$31,'Quick Setup'!$L33,if(AL4='Quick Setup'!$M$31,'Quick Setup'!$M33,if(AL4='Quick Setup'!$N$31,'Quick Setup'!$N33,if(AL4='Quick Setup'!$O$31,'Quick Setup'!$O33,if(AL4='Quick Setup'!$P$31,'Quick Setup'!$P33,if(AL4='Quick Setup'!$Q$31,'Quick Setup'!$Q33,if(AL4='Quick Setup'!$R$31,'Quick Setup'!$R33,if(AL4='Quick Setup'!$S$31,'Quick Setup'!$S33,if(AL4='Quick Setup'!$T$31,'Quick Setup'!$T33,if(AL4='Quick Setup'!$U$31,'Quick Setup'!$U33,if(AL4='Quick Setup'!$V$31,'Quick Setup'!$V33,'Quick Setup'!$W33))))))))))))))))))))</f>
        <v>5</v>
      </c>
      <c r="AN4" s="25">
        <f>if(AL4='Quick Setup'!$C$45,'Quick Setup'!$C47,if(AL4='Quick Setup'!$D$45,'Quick Setup'!$D47,if(AL4='Quick Setup'!$E$45,'Quick Setup'!$E47,if(AL4='Quick Setup'!$F$45,'Quick Setup'!$F47,if(AL4='Quick Setup'!$G$45,'Quick Setup'!$G47,if(AL4='Quick Setup'!$H$45,'Quick Setup'!$H47,if(AL4='Quick Setup'!$I$45,'Quick Setup'!$I47,if(AL4='Quick Setup'!$J$45,'Quick Setup'!$J47,if(AL4='Quick Setup'!$K$45,'Quick Setup'!$K47,if(AL4='Quick Setup'!$L$45,'Quick Setup'!$L47,if(AL4='Quick Setup'!$M$45,'Quick Setup'!$M47,if(AL4='Quick Setup'!$N$45,'Quick Setup'!$N47,if(AL4='Quick Setup'!$O$45,'Quick Setup'!$O47,if(AL4='Quick Setup'!$P$45,'Quick Setup'!$P47,if(AL4='Quick Setup'!$Q$45,'Quick Setup'!$Q47,if(AL4='Quick Setup'!$R$45,'Quick Setup'!$R47,if(AL4='Quick Setup'!$S$45,'Quick Setup'!$S47,if(AL4='Quick Setup'!$T$45,'Quick Setup'!$T47,if(AL4='Quick Setup'!$U$45,'Quick Setup'!$U47,if(AL4='Quick Setup'!$V$45,'Quick Setup'!$V47,'Quick Setup'!$W47))))))))))))))))))))</f>
        <v>9</v>
      </c>
      <c r="AO4" s="25">
        <f t="shared" ref="AO4:AW4" si="23">AC4</f>
        <v>5</v>
      </c>
      <c r="AP4" s="26">
        <f t="shared" si="23"/>
        <v>-0.05</v>
      </c>
      <c r="AQ4" s="26">
        <f t="shared" si="23"/>
        <v>-0.02</v>
      </c>
      <c r="AR4" s="26">
        <f t="shared" si="23"/>
        <v>0</v>
      </c>
      <c r="AS4" s="26">
        <f t="shared" si="23"/>
        <v>0.005</v>
      </c>
      <c r="AT4" s="26">
        <f t="shared" si="23"/>
        <v>0.01</v>
      </c>
      <c r="AU4" s="26">
        <f t="shared" si="23"/>
        <v>0.015</v>
      </c>
      <c r="AV4" s="26">
        <f t="shared" si="23"/>
        <v>0.02</v>
      </c>
      <c r="AW4" s="26">
        <f t="shared" si="23"/>
        <v>0.03</v>
      </c>
      <c r="AX4" s="24">
        <f>'Quick Setup'!G61</f>
        <v>0.775</v>
      </c>
      <c r="AY4" s="25">
        <f>if(AX4='Quick Setup'!$C$31,'Quick Setup'!$C33,if(AX4='Quick Setup'!$D$31,'Quick Setup'!$D33,if(AX4='Quick Setup'!$E$31,'Quick Setup'!$E33,if(AX4='Quick Setup'!$F$31,'Quick Setup'!$F33,if(AX4='Quick Setup'!$G$31,'Quick Setup'!$G33,if(AX4='Quick Setup'!$H$31,'Quick Setup'!$H33,if(AX4='Quick Setup'!$I$31,'Quick Setup'!$I33,if(AX4='Quick Setup'!$J$31,'Quick Setup'!$J33,if(AX4='Quick Setup'!$K$31,'Quick Setup'!$K33,if(AX4='Quick Setup'!$L$31,'Quick Setup'!$L33,if(AX4='Quick Setup'!$M$31,'Quick Setup'!$M33,if(AX4='Quick Setup'!$N$31,'Quick Setup'!$N33,if(AX4='Quick Setup'!$O$31,'Quick Setup'!$O33,if(AX4='Quick Setup'!$P$31,'Quick Setup'!$P33,if(AX4='Quick Setup'!$Q$31,'Quick Setup'!$Q33,if(AX4='Quick Setup'!$R$31,'Quick Setup'!$R33,if(AX4='Quick Setup'!$S$31,'Quick Setup'!$S33,if(AX4='Quick Setup'!$T$31,'Quick Setup'!$T33,if(AX4='Quick Setup'!$U$31,'Quick Setup'!$U33,if(AX4='Quick Setup'!$V$31,'Quick Setup'!$V33,'Quick Setup'!$W33))))))))))))))))))))</f>
        <v>4</v>
      </c>
      <c r="AZ4" s="25">
        <f>if(AX4='Quick Setup'!$C$45,'Quick Setup'!$C47,if(AX4='Quick Setup'!$D$45,'Quick Setup'!$D47,if(AX4='Quick Setup'!$E$45,'Quick Setup'!$E47,if(AX4='Quick Setup'!$F$45,'Quick Setup'!$F47,if(AX4='Quick Setup'!$G$45,'Quick Setup'!$G47,if(AX4='Quick Setup'!$H$45,'Quick Setup'!$H47,if(AX4='Quick Setup'!$I$45,'Quick Setup'!$I47,if(AX4='Quick Setup'!$J$45,'Quick Setup'!$J47,if(AX4='Quick Setup'!$K$45,'Quick Setup'!$K47,if(AX4='Quick Setup'!$L$45,'Quick Setup'!$L47,if(AX4='Quick Setup'!$M$45,'Quick Setup'!$M47,if(AX4='Quick Setup'!$N$45,'Quick Setup'!$N47,if(AX4='Quick Setup'!$O$45,'Quick Setup'!$O47,if(AX4='Quick Setup'!$P$45,'Quick Setup'!$P47,if(AX4='Quick Setup'!$Q$45,'Quick Setup'!$Q47,if(AX4='Quick Setup'!$R$45,'Quick Setup'!$R47,if(AX4='Quick Setup'!$S$45,'Quick Setup'!$S47,if(AX4='Quick Setup'!$T$45,'Quick Setup'!$T47,if(AX4='Quick Setup'!$U$45,'Quick Setup'!$U47,if(AX4='Quick Setup'!$V$45,'Quick Setup'!$V47,'Quick Setup'!$W47))))))))))))))))))))</f>
        <v>7</v>
      </c>
      <c r="BA4" s="25">
        <f t="shared" ref="BA4:BI4" si="24">AO4</f>
        <v>5</v>
      </c>
      <c r="BB4" s="26">
        <f t="shared" si="24"/>
        <v>-0.05</v>
      </c>
      <c r="BC4" s="26">
        <f t="shared" si="24"/>
        <v>-0.02</v>
      </c>
      <c r="BD4" s="26">
        <f t="shared" si="24"/>
        <v>0</v>
      </c>
      <c r="BE4" s="26">
        <f t="shared" si="24"/>
        <v>0.005</v>
      </c>
      <c r="BF4" s="26">
        <f t="shared" si="24"/>
        <v>0.01</v>
      </c>
      <c r="BG4" s="26">
        <f t="shared" si="24"/>
        <v>0.015</v>
      </c>
      <c r="BH4" s="26">
        <f t="shared" si="24"/>
        <v>0.02</v>
      </c>
      <c r="BI4" s="26">
        <f t="shared" si="24"/>
        <v>0.03</v>
      </c>
      <c r="BJ4" s="24">
        <f>'Quick Setup'!H61</f>
        <v>0.825</v>
      </c>
      <c r="BK4" s="25">
        <f>if(BJ4='Quick Setup'!$C$31,'Quick Setup'!$C33,if(BJ4='Quick Setup'!$D$31,'Quick Setup'!$D33,if(BJ4='Quick Setup'!$E$31,'Quick Setup'!$E33,if(BJ4='Quick Setup'!$F$31,'Quick Setup'!$F33,if(BJ4='Quick Setup'!$G$31,'Quick Setup'!$G33,if(BJ4='Quick Setup'!$H$31,'Quick Setup'!$H33,if(BJ4='Quick Setup'!$I$31,'Quick Setup'!$I33,if(BJ4='Quick Setup'!$J$31,'Quick Setup'!$J33,if(BJ4='Quick Setup'!$K$31,'Quick Setup'!$K33,if(BJ4='Quick Setup'!$L$31,'Quick Setup'!$L33,if(BJ4='Quick Setup'!$M$31,'Quick Setup'!$M33,if(BJ4='Quick Setup'!$N$31,'Quick Setup'!$N33,if(BJ4='Quick Setup'!$O$31,'Quick Setup'!$O33,if(BJ4='Quick Setup'!$P$31,'Quick Setup'!$P33,if(BJ4='Quick Setup'!$Q$31,'Quick Setup'!$Q33,if(BJ4='Quick Setup'!$R$31,'Quick Setup'!$R33,if(BJ4='Quick Setup'!$S$31,'Quick Setup'!$S33,if(BJ4='Quick Setup'!$T$31,'Quick Setup'!$T33,if(BJ4='Quick Setup'!$U$31,'Quick Setup'!$U33,if(BJ4='Quick Setup'!$V$31,'Quick Setup'!$V33,'Quick Setup'!$W33))))))))))))))))))))</f>
        <v>3</v>
      </c>
      <c r="BL4" s="25">
        <f>if(BJ4='Quick Setup'!$C$45,'Quick Setup'!$C47,if(BJ4='Quick Setup'!$D$45,'Quick Setup'!$D47,if(BJ4='Quick Setup'!$E$45,'Quick Setup'!$E47,if(BJ4='Quick Setup'!$F$45,'Quick Setup'!$F47,if(BJ4='Quick Setup'!$G$45,'Quick Setup'!$G47,if(BJ4='Quick Setup'!$H$45,'Quick Setup'!$H47,if(BJ4='Quick Setup'!$I$45,'Quick Setup'!$I47,if(BJ4='Quick Setup'!$J$45,'Quick Setup'!$J47,if(BJ4='Quick Setup'!$K$45,'Quick Setup'!$K47,if(BJ4='Quick Setup'!$L$45,'Quick Setup'!$L47,if(BJ4='Quick Setup'!$M$45,'Quick Setup'!$M47,if(BJ4='Quick Setup'!$N$45,'Quick Setup'!$N47,if(BJ4='Quick Setup'!$O$45,'Quick Setup'!$O47,if(BJ4='Quick Setup'!$P$45,'Quick Setup'!$P47,if(BJ4='Quick Setup'!$Q$45,'Quick Setup'!$Q47,if(BJ4='Quick Setup'!$R$45,'Quick Setup'!$R47,if(BJ4='Quick Setup'!$S$45,'Quick Setup'!$S47,if(BJ4='Quick Setup'!$T$45,'Quick Setup'!$T47,if(BJ4='Quick Setup'!$U$45,'Quick Setup'!$U47,if(BJ4='Quick Setup'!$V$45,'Quick Setup'!$V47,'Quick Setup'!$W47))))))))))))))))))))</f>
        <v>5</v>
      </c>
      <c r="BM4" s="27">
        <f t="shared" ref="BM4:BU4" si="25">BA4</f>
        <v>5</v>
      </c>
      <c r="BN4" s="28">
        <f t="shared" si="25"/>
        <v>-0.05</v>
      </c>
      <c r="BO4" s="28">
        <f t="shared" si="25"/>
        <v>-0.02</v>
      </c>
      <c r="BP4" s="28">
        <f t="shared" si="25"/>
        <v>0</v>
      </c>
      <c r="BQ4" s="28">
        <f t="shared" si="25"/>
        <v>0.005</v>
      </c>
      <c r="BR4" s="28">
        <f t="shared" si="25"/>
        <v>0.01</v>
      </c>
      <c r="BS4" s="28">
        <f t="shared" si="25"/>
        <v>0.015</v>
      </c>
      <c r="BT4" s="28">
        <f t="shared" si="25"/>
        <v>0.02</v>
      </c>
      <c r="BU4" s="28">
        <f t="shared" si="25"/>
        <v>0.03</v>
      </c>
      <c r="BV4" s="24">
        <f>'Quick Setup'!I61</f>
        <v>0.6</v>
      </c>
      <c r="BW4" s="25">
        <f>if(BV4='Quick Setup'!$C$31,'Quick Setup'!$C33,if(BV4='Quick Setup'!$D$31,'Quick Setup'!$D33,if(BV4='Quick Setup'!$E$31,'Quick Setup'!$E33,if(BV4='Quick Setup'!$F$31,'Quick Setup'!$F33,if(BV4='Quick Setup'!$G$31,'Quick Setup'!$G33,if(BV4='Quick Setup'!$H$31,'Quick Setup'!$H33,if(BV4='Quick Setup'!$I$31,'Quick Setup'!$I33,if(BV4='Quick Setup'!$J$31,'Quick Setup'!$J33,if(BV4='Quick Setup'!$K$31,'Quick Setup'!$K33,if(BV4='Quick Setup'!$L$31,'Quick Setup'!$L33,if(BV4='Quick Setup'!$M$31,'Quick Setup'!$M33,if(BV4='Quick Setup'!$N$31,'Quick Setup'!$N33,if(BV4='Quick Setup'!$O$31,'Quick Setup'!$O33,if(BV4='Quick Setup'!$P$31,'Quick Setup'!$P33,if(BV4='Quick Setup'!$Q$31,'Quick Setup'!$Q33,if(BV4='Quick Setup'!$R$31,'Quick Setup'!$R33,if(BV4='Quick Setup'!$S$31,'Quick Setup'!$S33,if(BV4='Quick Setup'!$T$31,'Quick Setup'!$T33,if(BV4='Quick Setup'!$U$31,'Quick Setup'!$U33,if(BV4='Quick Setup'!$V$31,'Quick Setup'!$V33,'Quick Setup'!$W33))))))))))))))))))))</f>
        <v>7</v>
      </c>
      <c r="BX4" s="25">
        <f>if(BV4='Quick Setup'!$C$45,'Quick Setup'!$C47,if(BV4='Quick Setup'!$D$45,'Quick Setup'!$D47,if(BV4='Quick Setup'!$E$45,'Quick Setup'!$E47,if(BV4='Quick Setup'!$F$45,'Quick Setup'!$F47,if(BV4='Quick Setup'!$G$45,'Quick Setup'!$G47,if(BV4='Quick Setup'!$H$45,'Quick Setup'!$H47,if(BV4='Quick Setup'!$I$45,'Quick Setup'!$I47,if(BV4='Quick Setup'!$J$45,'Quick Setup'!$J47,if(BV4='Quick Setup'!$K$45,'Quick Setup'!$K47,if(BV4='Quick Setup'!$L$45,'Quick Setup'!$L47,if(BV4='Quick Setup'!$M$45,'Quick Setup'!$M47,if(BV4='Quick Setup'!$N$45,'Quick Setup'!$N47,if(BV4='Quick Setup'!$O$45,'Quick Setup'!$O47,if(BV4='Quick Setup'!$P$45,'Quick Setup'!$P47,if(BV4='Quick Setup'!$Q$45,'Quick Setup'!$Q47,if(BV4='Quick Setup'!$R$45,'Quick Setup'!$R47,if(BV4='Quick Setup'!$S$45,'Quick Setup'!$S47,if(BV4='Quick Setup'!$T$45,'Quick Setup'!$T47,if(BV4='Quick Setup'!$U$45,'Quick Setup'!$U47,if(BV4='Quick Setup'!$V$45,'Quick Setup'!$V47,'Quick Setup'!$W47))))))))))))))))))))</f>
        <v>14</v>
      </c>
      <c r="BY4" s="27">
        <f t="shared" ref="BY4:CG4" si="26">BM4</f>
        <v>5</v>
      </c>
      <c r="BZ4" s="28">
        <f t="shared" si="26"/>
        <v>-0.05</v>
      </c>
      <c r="CA4" s="28">
        <f t="shared" si="26"/>
        <v>-0.02</v>
      </c>
      <c r="CB4" s="28">
        <f t="shared" si="26"/>
        <v>0</v>
      </c>
      <c r="CC4" s="28">
        <f t="shared" si="26"/>
        <v>0.005</v>
      </c>
      <c r="CD4" s="28">
        <f t="shared" si="26"/>
        <v>0.01</v>
      </c>
      <c r="CE4" s="28">
        <f t="shared" si="26"/>
        <v>0.015</v>
      </c>
      <c r="CF4" s="28">
        <f t="shared" si="26"/>
        <v>0.02</v>
      </c>
      <c r="CG4" s="28">
        <f t="shared" si="26"/>
        <v>0.03</v>
      </c>
      <c r="CH4" s="24">
        <f>'Quick Setup'!J61</f>
        <v>0.75</v>
      </c>
      <c r="CI4" s="25">
        <f>if(CH4='Quick Setup'!$C$31,'Quick Setup'!$C33,if(CH4='Quick Setup'!$D$31,'Quick Setup'!$D33,if(CH4='Quick Setup'!$E$31,'Quick Setup'!$E33,if(CH4='Quick Setup'!$F$31,'Quick Setup'!$F33,if(CH4='Quick Setup'!$G$31,'Quick Setup'!$G33,if(CH4='Quick Setup'!$H$31,'Quick Setup'!$H33,if(CH4='Quick Setup'!$I$31,'Quick Setup'!$I33,if(CH4='Quick Setup'!$J$31,'Quick Setup'!$J33,if(CH4='Quick Setup'!$K$31,'Quick Setup'!$K33,if(CH4='Quick Setup'!$L$31,'Quick Setup'!$L33,if(CH4='Quick Setup'!$M$31,'Quick Setup'!$M33,if(CH4='Quick Setup'!$N$31,'Quick Setup'!$N33,if(CH4='Quick Setup'!$O$31,'Quick Setup'!$O33,if(CH4='Quick Setup'!$P$31,'Quick Setup'!$P33,if(CH4='Quick Setup'!$Q$31,'Quick Setup'!$Q33,if(CH4='Quick Setup'!$R$31,'Quick Setup'!$R33,if(CH4='Quick Setup'!$S$31,'Quick Setup'!$S33,if(CH4='Quick Setup'!$T$31,'Quick Setup'!$T33,if(CH4='Quick Setup'!$U$31,'Quick Setup'!$U33,if(CH4='Quick Setup'!$V$31,'Quick Setup'!$V33,'Quick Setup'!$W33))))))))))))))))))))</f>
        <v>4</v>
      </c>
      <c r="CJ4" s="25">
        <f>if(CH4='Quick Setup'!$C$45,'Quick Setup'!$C47,if(CH4='Quick Setup'!$D$45,'Quick Setup'!$D47,if(CH4='Quick Setup'!$E$45,'Quick Setup'!$E47,if(CH4='Quick Setup'!$F$45,'Quick Setup'!$F47,if(CH4='Quick Setup'!$G$45,'Quick Setup'!$G47,if(CH4='Quick Setup'!$H$45,'Quick Setup'!$H47,if(CH4='Quick Setup'!$I$45,'Quick Setup'!$I47,if(CH4='Quick Setup'!$J$45,'Quick Setup'!$J47,if(CH4='Quick Setup'!$K$45,'Quick Setup'!$K47,if(CH4='Quick Setup'!$L$45,'Quick Setup'!$L47,if(CH4='Quick Setup'!$M$45,'Quick Setup'!$M47,if(CH4='Quick Setup'!$N$45,'Quick Setup'!$N47,if(CH4='Quick Setup'!$O$45,'Quick Setup'!$O47,if(CH4='Quick Setup'!$P$45,'Quick Setup'!$P47,if(CH4='Quick Setup'!$Q$45,'Quick Setup'!$Q47,if(CH4='Quick Setup'!$R$45,'Quick Setup'!$R47,if(CH4='Quick Setup'!$S$45,'Quick Setup'!$S47,if(CH4='Quick Setup'!$T$45,'Quick Setup'!$T47,if(CH4='Quick Setup'!$U$45,'Quick Setup'!$U47,if(CH4='Quick Setup'!$V$45,'Quick Setup'!$V47,'Quick Setup'!$W47))))))))))))))))))))</f>
        <v>8</v>
      </c>
      <c r="CK4" s="27">
        <f t="shared" ref="CK4:CS4" si="27">BY4</f>
        <v>5</v>
      </c>
      <c r="CL4" s="28">
        <f t="shared" si="27"/>
        <v>-0.05</v>
      </c>
      <c r="CM4" s="28">
        <f t="shared" si="27"/>
        <v>-0.02</v>
      </c>
      <c r="CN4" s="28">
        <f t="shared" si="27"/>
        <v>0</v>
      </c>
      <c r="CO4" s="28">
        <f t="shared" si="27"/>
        <v>0.005</v>
      </c>
      <c r="CP4" s="28">
        <f t="shared" si="27"/>
        <v>0.01</v>
      </c>
      <c r="CQ4" s="28">
        <f t="shared" si="27"/>
        <v>0.015</v>
      </c>
      <c r="CR4" s="28">
        <f t="shared" si="27"/>
        <v>0.02</v>
      </c>
      <c r="CS4" s="28">
        <f t="shared" si="27"/>
        <v>0.03</v>
      </c>
      <c r="CT4" s="24">
        <f>'Quick Setup'!K61</f>
        <v>0.8</v>
      </c>
      <c r="CU4" s="25">
        <f>if(CT4='Quick Setup'!$C$31,'Quick Setup'!$C33,if(CT4='Quick Setup'!$D$31,'Quick Setup'!$D33,if(CT4='Quick Setup'!$E$31,'Quick Setup'!$E33,if(CT4='Quick Setup'!$F$31,'Quick Setup'!$F33,if(CT4='Quick Setup'!$G$31,'Quick Setup'!$G33,if(CT4='Quick Setup'!$H$31,'Quick Setup'!$H33,if(CT4='Quick Setup'!$I$31,'Quick Setup'!$I33,if(CT4='Quick Setup'!$J$31,'Quick Setup'!$J33,if(CT4='Quick Setup'!$K$31,'Quick Setup'!$K33,if(CT4='Quick Setup'!$L$31,'Quick Setup'!$L33,if(CT4='Quick Setup'!$M$31,'Quick Setup'!$M33,if(CT4='Quick Setup'!$N$31,'Quick Setup'!$N33,if(CT4='Quick Setup'!$O$31,'Quick Setup'!$O33,if(CT4='Quick Setup'!$P$31,'Quick Setup'!$P33,if(CT4='Quick Setup'!$Q$31,'Quick Setup'!$Q33,if(CT4='Quick Setup'!$R$31,'Quick Setup'!$R33,if(CT4='Quick Setup'!$S$31,'Quick Setup'!$S33,if(CT4='Quick Setup'!$T$31,'Quick Setup'!$T33,if(CT4='Quick Setup'!$U$31,'Quick Setup'!$U33,if(CT4='Quick Setup'!$V$31,'Quick Setup'!$V33,'Quick Setup'!$W33))))))))))))))))))))</f>
        <v>3</v>
      </c>
      <c r="CV4" s="25">
        <f>if(CT4='Quick Setup'!$C$45,'Quick Setup'!$C47,if(CT4='Quick Setup'!$D$45,'Quick Setup'!$D47,if(CT4='Quick Setup'!$E$45,'Quick Setup'!$E47,if(CT4='Quick Setup'!$F$45,'Quick Setup'!$F47,if(CT4='Quick Setup'!$G$45,'Quick Setup'!$G47,if(CT4='Quick Setup'!$H$45,'Quick Setup'!$H47,if(CT4='Quick Setup'!$I$45,'Quick Setup'!$I47,if(CT4='Quick Setup'!$J$45,'Quick Setup'!$J47,if(CT4='Quick Setup'!$K$45,'Quick Setup'!$K47,if(CT4='Quick Setup'!$L$45,'Quick Setup'!$L47,if(CT4='Quick Setup'!$M$45,'Quick Setup'!$M47,if(CT4='Quick Setup'!$N$45,'Quick Setup'!$N47,if(CT4='Quick Setup'!$O$45,'Quick Setup'!$O47,if(CT4='Quick Setup'!$P$45,'Quick Setup'!$P47,if(CT4='Quick Setup'!$Q$45,'Quick Setup'!$Q47,if(CT4='Quick Setup'!$R$45,'Quick Setup'!$R47,if(CT4='Quick Setup'!$S$45,'Quick Setup'!$S47,if(CT4='Quick Setup'!$T$45,'Quick Setup'!$T47,if(CT4='Quick Setup'!$U$45,'Quick Setup'!$U47,if(CT4='Quick Setup'!$V$45,'Quick Setup'!$V47,'Quick Setup'!$W47))))))))))))))))))))</f>
        <v>6</v>
      </c>
      <c r="CW4" s="27">
        <f t="shared" ref="CW4:DE4" si="28">CK4</f>
        <v>5</v>
      </c>
      <c r="CX4" s="28">
        <f t="shared" si="28"/>
        <v>-0.05</v>
      </c>
      <c r="CY4" s="28">
        <f t="shared" si="28"/>
        <v>-0.02</v>
      </c>
      <c r="CZ4" s="28">
        <f t="shared" si="28"/>
        <v>0</v>
      </c>
      <c r="DA4" s="28">
        <f t="shared" si="28"/>
        <v>0.005</v>
      </c>
      <c r="DB4" s="28">
        <f t="shared" si="28"/>
        <v>0.01</v>
      </c>
      <c r="DC4" s="28">
        <f t="shared" si="28"/>
        <v>0.015</v>
      </c>
      <c r="DD4" s="28">
        <f t="shared" si="28"/>
        <v>0.02</v>
      </c>
      <c r="DE4" s="28">
        <f t="shared" si="28"/>
        <v>0.03</v>
      </c>
      <c r="DF4" s="24">
        <f>'Quick Setup'!L61</f>
        <v>0.85</v>
      </c>
      <c r="DG4" s="25">
        <f>if(DF4='Quick Setup'!$C$31,'Quick Setup'!$C33,if(DF4='Quick Setup'!$D$31,'Quick Setup'!$D33,if(DF4='Quick Setup'!$E$31,'Quick Setup'!$E33,if(DF4='Quick Setup'!$F$31,'Quick Setup'!$F33,if(DF4='Quick Setup'!$G$31,'Quick Setup'!$G33,if(DF4='Quick Setup'!$H$31,'Quick Setup'!$H33,if(DF4='Quick Setup'!$I$31,'Quick Setup'!$I33,if(DF4='Quick Setup'!$J$31,'Quick Setup'!$J33,if(DF4='Quick Setup'!$K$31,'Quick Setup'!$K33,if(DF4='Quick Setup'!$L$31,'Quick Setup'!$L33,if(DF4='Quick Setup'!$M$31,'Quick Setup'!$M33,if(DF4='Quick Setup'!$N$31,'Quick Setup'!$N33,if(DF4='Quick Setup'!$O$31,'Quick Setup'!$O33,if(DF4='Quick Setup'!$P$31,'Quick Setup'!$P33,if(DF4='Quick Setup'!$Q$31,'Quick Setup'!$Q33,if(DF4='Quick Setup'!$R$31,'Quick Setup'!$R33,if(DF4='Quick Setup'!$S$31,'Quick Setup'!$S33,if(DF4='Quick Setup'!$T$31,'Quick Setup'!$T33,if(DF4='Quick Setup'!$U$31,'Quick Setup'!$U33,if(DF4='Quick Setup'!$V$31,'Quick Setup'!$V33,'Quick Setup'!$W33))))))))))))))))))))</f>
        <v>2</v>
      </c>
      <c r="DH4" s="25">
        <f>if(DF4='Quick Setup'!$C$45,'Quick Setup'!$C47,if(DF4='Quick Setup'!$D$45,'Quick Setup'!$D47,if(DF4='Quick Setup'!$E$45,'Quick Setup'!$E47,if(DF4='Quick Setup'!$F$45,'Quick Setup'!$F47,if(DF4='Quick Setup'!$G$45,'Quick Setup'!$G47,if(DF4='Quick Setup'!$H$45,'Quick Setup'!$H47,if(DF4='Quick Setup'!$I$45,'Quick Setup'!$I47,if(DF4='Quick Setup'!$J$45,'Quick Setup'!$J47,if(DF4='Quick Setup'!$K$45,'Quick Setup'!$K47,if(DF4='Quick Setup'!$L$45,'Quick Setup'!$L47,if(DF4='Quick Setup'!$M$45,'Quick Setup'!$M47,if(DF4='Quick Setup'!$N$45,'Quick Setup'!$N47,if(DF4='Quick Setup'!$O$45,'Quick Setup'!$O47,if(DF4='Quick Setup'!$P$45,'Quick Setup'!$P47,if(DF4='Quick Setup'!$Q$45,'Quick Setup'!$Q47,if(DF4='Quick Setup'!$R$45,'Quick Setup'!$R47,if(DF4='Quick Setup'!$S$45,'Quick Setup'!$S47,if(DF4='Quick Setup'!$T$45,'Quick Setup'!$T47,if(DF4='Quick Setup'!$U$45,'Quick Setup'!$U47,if(DF4='Quick Setup'!$V$45,'Quick Setup'!$V47,'Quick Setup'!$W47))))))))))))))))))))</f>
        <v>4</v>
      </c>
      <c r="DI4" s="27">
        <f t="shared" ref="DI4:DQ4" si="29">CW4</f>
        <v>5</v>
      </c>
      <c r="DJ4" s="28">
        <f t="shared" si="29"/>
        <v>-0.05</v>
      </c>
      <c r="DK4" s="28">
        <f t="shared" si="29"/>
        <v>-0.02</v>
      </c>
      <c r="DL4" s="28">
        <f t="shared" si="29"/>
        <v>0</v>
      </c>
      <c r="DM4" s="28">
        <f t="shared" si="29"/>
        <v>0.005</v>
      </c>
      <c r="DN4" s="28">
        <f t="shared" si="29"/>
        <v>0.01</v>
      </c>
      <c r="DO4" s="28">
        <f t="shared" si="29"/>
        <v>0.015</v>
      </c>
      <c r="DP4" s="28">
        <f t="shared" si="29"/>
        <v>0.02</v>
      </c>
      <c r="DQ4" s="28">
        <f t="shared" si="29"/>
        <v>0.03</v>
      </c>
      <c r="DR4" s="24">
        <f>'Quick Setup'!M61</f>
        <v>0.775</v>
      </c>
      <c r="DS4" s="25">
        <f>if(DR4='Quick Setup'!$C$31,'Quick Setup'!$C33,if(DR4='Quick Setup'!$D$31,'Quick Setup'!$D33,if(DR4='Quick Setup'!$E$31,'Quick Setup'!$E33,if(DR4='Quick Setup'!$F$31,'Quick Setup'!$F33,if(DR4='Quick Setup'!$G$31,'Quick Setup'!$G33,if(DR4='Quick Setup'!$H$31,'Quick Setup'!$H33,if(DR4='Quick Setup'!$I$31,'Quick Setup'!$I33,if(DR4='Quick Setup'!$J$31,'Quick Setup'!$J33,if(DR4='Quick Setup'!$K$31,'Quick Setup'!$K33,if(DR4='Quick Setup'!$L$31,'Quick Setup'!$L33,if(DR4='Quick Setup'!$M$31,'Quick Setup'!$M33,if(DR4='Quick Setup'!$N$31,'Quick Setup'!$N33,if(DR4='Quick Setup'!$O$31,'Quick Setup'!$O33,if(DR4='Quick Setup'!$P$31,'Quick Setup'!$P33,if(DR4='Quick Setup'!$Q$31,'Quick Setup'!$Q33,if(DR4='Quick Setup'!$R$31,'Quick Setup'!$R33,if(DR4='Quick Setup'!$S$31,'Quick Setup'!$S33,if(DR4='Quick Setup'!$T$31,'Quick Setup'!$T33,if(DR4='Quick Setup'!$U$31,'Quick Setup'!$U33,if(DR4='Quick Setup'!$V$31,'Quick Setup'!$V33,'Quick Setup'!$W33))))))))))))))))))))</f>
        <v>4</v>
      </c>
      <c r="DT4" s="25">
        <f>if(DR4='Quick Setup'!$C$45,'Quick Setup'!$C47,if(DR4='Quick Setup'!$D$45,'Quick Setup'!$D47,if(DR4='Quick Setup'!$E$45,'Quick Setup'!$E47,if(DR4='Quick Setup'!$F$45,'Quick Setup'!$F47,if(DR4='Quick Setup'!$G$45,'Quick Setup'!$G47,if(DR4='Quick Setup'!$H$45,'Quick Setup'!$H47,if(DR4='Quick Setup'!$I$45,'Quick Setup'!$I47,if(DR4='Quick Setup'!$J$45,'Quick Setup'!$J47,if(DR4='Quick Setup'!$K$45,'Quick Setup'!$K47,if(DR4='Quick Setup'!$L$45,'Quick Setup'!$L47,if(DR4='Quick Setup'!$M$45,'Quick Setup'!$M47,if(DR4='Quick Setup'!$N$45,'Quick Setup'!$N47,if(DR4='Quick Setup'!$O$45,'Quick Setup'!$O47,if(DR4='Quick Setup'!$P$45,'Quick Setup'!$P47,if(DR4='Quick Setup'!$Q$45,'Quick Setup'!$Q47,if(DR4='Quick Setup'!$R$45,'Quick Setup'!$R47,if(DR4='Quick Setup'!$S$45,'Quick Setup'!$S47,if(DR4='Quick Setup'!$T$45,'Quick Setup'!$T47,if(DR4='Quick Setup'!$U$45,'Quick Setup'!$U47,if(DR4='Quick Setup'!$V$45,'Quick Setup'!$V47,'Quick Setup'!$W47))))))))))))))))))))</f>
        <v>7</v>
      </c>
      <c r="DU4" s="27">
        <f t="shared" ref="DU4:EC4" si="30">DI4</f>
        <v>5</v>
      </c>
      <c r="DV4" s="28">
        <f t="shared" si="30"/>
        <v>-0.05</v>
      </c>
      <c r="DW4" s="28">
        <f t="shared" si="30"/>
        <v>-0.02</v>
      </c>
      <c r="DX4" s="28">
        <f t="shared" si="30"/>
        <v>0</v>
      </c>
      <c r="DY4" s="28">
        <f t="shared" si="30"/>
        <v>0.005</v>
      </c>
      <c r="DZ4" s="28">
        <f t="shared" si="30"/>
        <v>0.01</v>
      </c>
      <c r="EA4" s="28">
        <f t="shared" si="30"/>
        <v>0.015</v>
      </c>
      <c r="EB4" s="28">
        <f t="shared" si="30"/>
        <v>0.02</v>
      </c>
      <c r="EC4" s="28">
        <f t="shared" si="30"/>
        <v>0.03</v>
      </c>
      <c r="ED4" s="24">
        <f>'Quick Setup'!N61</f>
        <v>0.825</v>
      </c>
      <c r="EE4" s="25">
        <f>if(ED4='Quick Setup'!$C$31,'Quick Setup'!$C33,if(ED4='Quick Setup'!$D$31,'Quick Setup'!$D33,if(ED4='Quick Setup'!$E$31,'Quick Setup'!$E33,if(ED4='Quick Setup'!$F$31,'Quick Setup'!$F33,if(ED4='Quick Setup'!$G$31,'Quick Setup'!$G33,if(ED4='Quick Setup'!$H$31,'Quick Setup'!$H33,if(ED4='Quick Setup'!$I$31,'Quick Setup'!$I33,if(ED4='Quick Setup'!$J$31,'Quick Setup'!$J33,if(ED4='Quick Setup'!$K$31,'Quick Setup'!$K33,if(ED4='Quick Setup'!$L$31,'Quick Setup'!$L33,if(ED4='Quick Setup'!$M$31,'Quick Setup'!$M33,if(ED4='Quick Setup'!$N$31,'Quick Setup'!$N33,if(ED4='Quick Setup'!$O$31,'Quick Setup'!$O33,if(ED4='Quick Setup'!$P$31,'Quick Setup'!$P33,if(ED4='Quick Setup'!$Q$31,'Quick Setup'!$Q33,if(ED4='Quick Setup'!$R$31,'Quick Setup'!$R33,if(ED4='Quick Setup'!$S$31,'Quick Setup'!$S33,if(ED4='Quick Setup'!$T$31,'Quick Setup'!$T33,if(ED4='Quick Setup'!$U$31,'Quick Setup'!$U33,if(ED4='Quick Setup'!$V$31,'Quick Setup'!$V33,'Quick Setup'!$W33))))))))))))))))))))</f>
        <v>3</v>
      </c>
      <c r="EF4" s="25">
        <f>if(ED4='Quick Setup'!$C$45,'Quick Setup'!$C47,if(ED4='Quick Setup'!$D$45,'Quick Setup'!$D47,if(ED4='Quick Setup'!$E$45,'Quick Setup'!$E47,if(ED4='Quick Setup'!$F$45,'Quick Setup'!$F47,if(ED4='Quick Setup'!$G$45,'Quick Setup'!$G47,if(ED4='Quick Setup'!$H$45,'Quick Setup'!$H47,if(ED4='Quick Setup'!$I$45,'Quick Setup'!$I47,if(ED4='Quick Setup'!$J$45,'Quick Setup'!$J47,if(ED4='Quick Setup'!$K$45,'Quick Setup'!$K47,if(ED4='Quick Setup'!$L$45,'Quick Setup'!$L47,if(ED4='Quick Setup'!$M$45,'Quick Setup'!$M47,if(ED4='Quick Setup'!$N$45,'Quick Setup'!$N47,if(ED4='Quick Setup'!$O$45,'Quick Setup'!$O47,if(ED4='Quick Setup'!$P$45,'Quick Setup'!$P47,if(ED4='Quick Setup'!$Q$45,'Quick Setup'!$Q47,if(ED4='Quick Setup'!$R$45,'Quick Setup'!$R47,if(ED4='Quick Setup'!$S$45,'Quick Setup'!$S47,if(ED4='Quick Setup'!$T$45,'Quick Setup'!$T47,if(ED4='Quick Setup'!$U$45,'Quick Setup'!$U47,if(ED4='Quick Setup'!$V$45,'Quick Setup'!$V47,'Quick Setup'!$W47))))))))))))))))))))</f>
        <v>5</v>
      </c>
      <c r="EG4" s="27">
        <f t="shared" ref="EG4:EO4" si="31">DU4</f>
        <v>5</v>
      </c>
      <c r="EH4" s="28">
        <f t="shared" si="31"/>
        <v>-0.05</v>
      </c>
      <c r="EI4" s="28">
        <f t="shared" si="31"/>
        <v>-0.02</v>
      </c>
      <c r="EJ4" s="28">
        <f t="shared" si="31"/>
        <v>0</v>
      </c>
      <c r="EK4" s="28">
        <f t="shared" si="31"/>
        <v>0.005</v>
      </c>
      <c r="EL4" s="28">
        <f t="shared" si="31"/>
        <v>0.01</v>
      </c>
      <c r="EM4" s="28">
        <f t="shared" si="31"/>
        <v>0.015</v>
      </c>
      <c r="EN4" s="28">
        <f t="shared" si="31"/>
        <v>0.02</v>
      </c>
      <c r="EO4" s="28">
        <f t="shared" si="31"/>
        <v>0.03</v>
      </c>
      <c r="EP4" s="24">
        <f>'Quick Setup'!O61</f>
        <v>0.875</v>
      </c>
      <c r="EQ4" s="25">
        <f>if(EP4='Quick Setup'!$C$31,'Quick Setup'!$C33,if(EP4='Quick Setup'!$D$31,'Quick Setup'!$D33,if(EP4='Quick Setup'!$E$31,'Quick Setup'!$E33,if(EP4='Quick Setup'!$F$31,'Quick Setup'!$F33,if(EP4='Quick Setup'!$G$31,'Quick Setup'!$G33,if(EP4='Quick Setup'!$H$31,'Quick Setup'!$H33,if(EP4='Quick Setup'!$I$31,'Quick Setup'!$I33,if(EP4='Quick Setup'!$J$31,'Quick Setup'!$J33,if(EP4='Quick Setup'!$K$31,'Quick Setup'!$K33,if(EP4='Quick Setup'!$L$31,'Quick Setup'!$L33,if(EP4='Quick Setup'!$M$31,'Quick Setup'!$M33,if(EP4='Quick Setup'!$N$31,'Quick Setup'!$N33,if(EP4='Quick Setup'!$O$31,'Quick Setup'!$O33,if(EP4='Quick Setup'!$P$31,'Quick Setup'!$P33,if(EP4='Quick Setup'!$Q$31,'Quick Setup'!$Q33,if(EP4='Quick Setup'!$R$31,'Quick Setup'!$R33,if(EP4='Quick Setup'!$S$31,'Quick Setup'!$S33,if(EP4='Quick Setup'!$T$31,'Quick Setup'!$T33,if(EP4='Quick Setup'!$U$31,'Quick Setup'!$U33,if(EP4='Quick Setup'!$V$31,'Quick Setup'!$V33,'Quick Setup'!$W33))))))))))))))))))))</f>
        <v>2</v>
      </c>
      <c r="ER4" s="25">
        <f>if(EP4='Quick Setup'!$C$45,'Quick Setup'!$C47,if(EP4='Quick Setup'!$D$45,'Quick Setup'!$D47,if(EP4='Quick Setup'!$E$45,'Quick Setup'!$E47,if(EP4='Quick Setup'!$F$45,'Quick Setup'!$F47,if(EP4='Quick Setup'!$G$45,'Quick Setup'!$G47,if(EP4='Quick Setup'!$H$45,'Quick Setup'!$H47,if(EP4='Quick Setup'!$I$45,'Quick Setup'!$I47,if(EP4='Quick Setup'!$J$45,'Quick Setup'!$J47,if(EP4='Quick Setup'!$K$45,'Quick Setup'!$K47,if(EP4='Quick Setup'!$L$45,'Quick Setup'!$L47,if(EP4='Quick Setup'!$M$45,'Quick Setup'!$M47,if(EP4='Quick Setup'!$N$45,'Quick Setup'!$N47,if(EP4='Quick Setup'!$O$45,'Quick Setup'!$O47,if(EP4='Quick Setup'!$P$45,'Quick Setup'!$P47,if(EP4='Quick Setup'!$Q$45,'Quick Setup'!$Q47,if(EP4='Quick Setup'!$R$45,'Quick Setup'!$R47,if(EP4='Quick Setup'!$S$45,'Quick Setup'!$S47,if(EP4='Quick Setup'!$T$45,'Quick Setup'!$T47,if(EP4='Quick Setup'!$U$45,'Quick Setup'!$U47,if(EP4='Quick Setup'!$V$45,'Quick Setup'!$V47,'Quick Setup'!$W47))))))))))))))))))))</f>
        <v>3</v>
      </c>
      <c r="ES4" s="27">
        <f t="shared" ref="ES4:FA4" si="32">EG4</f>
        <v>5</v>
      </c>
      <c r="ET4" s="28">
        <f t="shared" si="32"/>
        <v>-0.05</v>
      </c>
      <c r="EU4" s="28">
        <f t="shared" si="32"/>
        <v>-0.02</v>
      </c>
      <c r="EV4" s="28">
        <f t="shared" si="32"/>
        <v>0</v>
      </c>
      <c r="EW4" s="28">
        <f t="shared" si="32"/>
        <v>0.005</v>
      </c>
      <c r="EX4" s="28">
        <f t="shared" si="32"/>
        <v>0.01</v>
      </c>
      <c r="EY4" s="28">
        <f t="shared" si="32"/>
        <v>0.015</v>
      </c>
      <c r="EZ4" s="28">
        <f t="shared" si="32"/>
        <v>0.02</v>
      </c>
      <c r="FA4" s="28">
        <f t="shared" si="32"/>
        <v>0.03</v>
      </c>
      <c r="FB4" s="24">
        <f>'Quick Setup'!P61</f>
        <v>0.6</v>
      </c>
      <c r="FC4" s="25">
        <f>if(FB4='Quick Setup'!$C$31,'Quick Setup'!$C33,if(FB4='Quick Setup'!$D$31,'Quick Setup'!$D33,if(FB4='Quick Setup'!$E$31,'Quick Setup'!$E33,if(FB4='Quick Setup'!$F$31,'Quick Setup'!$F33,if(FB4='Quick Setup'!$G$31,'Quick Setup'!$G33,if(FB4='Quick Setup'!$H$31,'Quick Setup'!$H33,if(FB4='Quick Setup'!$I$31,'Quick Setup'!$I33,if(FB4='Quick Setup'!$J$31,'Quick Setup'!$J33,if(FB4='Quick Setup'!$K$31,'Quick Setup'!$K33,if(FB4='Quick Setup'!$L$31,'Quick Setup'!$L33,if(FB4='Quick Setup'!$M$31,'Quick Setup'!$M33,if(FB4='Quick Setup'!$N$31,'Quick Setup'!$N33,if(FB4='Quick Setup'!$O$31,'Quick Setup'!$O33,if(FB4='Quick Setup'!$P$31,'Quick Setup'!$P33,if(FB4='Quick Setup'!$Q$31,'Quick Setup'!$Q33,if(FB4='Quick Setup'!$R$31,'Quick Setup'!$R33,if(FB4='Quick Setup'!$S$31,'Quick Setup'!$S33,if(FB4='Quick Setup'!$T$31,'Quick Setup'!$T33,if(FB4='Quick Setup'!$U$31,'Quick Setup'!$U33,if(FB4='Quick Setup'!$V$31,'Quick Setup'!$V33,'Quick Setup'!$W33))))))))))))))))))))</f>
        <v>7</v>
      </c>
      <c r="FD4" s="25">
        <f>if(FB4='Quick Setup'!$C$45,'Quick Setup'!$C47,if(FB4='Quick Setup'!$D$45,'Quick Setup'!$D47,if(FB4='Quick Setup'!$E$45,'Quick Setup'!$E47,if(FB4='Quick Setup'!$F$45,'Quick Setup'!$F47,if(FB4='Quick Setup'!$G$45,'Quick Setup'!$G47,if(FB4='Quick Setup'!$H$45,'Quick Setup'!$H47,if(FB4='Quick Setup'!$I$45,'Quick Setup'!$I47,if(FB4='Quick Setup'!$J$45,'Quick Setup'!$J47,if(FB4='Quick Setup'!$K$45,'Quick Setup'!$K47,if(FB4='Quick Setup'!$L$45,'Quick Setup'!$L47,if(FB4='Quick Setup'!$M$45,'Quick Setup'!$M47,if(FB4='Quick Setup'!$N$45,'Quick Setup'!$N47,if(FB4='Quick Setup'!$O$45,'Quick Setup'!$O47,if(FB4='Quick Setup'!$P$45,'Quick Setup'!$P47,if(FB4='Quick Setup'!$Q$45,'Quick Setup'!$Q47,if(FB4='Quick Setup'!$R$45,'Quick Setup'!$R47,if(FB4='Quick Setup'!$S$45,'Quick Setup'!$S47,if(FB4='Quick Setup'!$T$45,'Quick Setup'!$T47,if(FB4='Quick Setup'!$U$45,'Quick Setup'!$U47,if(FB4='Quick Setup'!$V$45,'Quick Setup'!$V47,'Quick Setup'!$W47))))))))))))))))))))</f>
        <v>14</v>
      </c>
      <c r="FE4" s="27">
        <f t="shared" ref="FE4:FM4" si="33">ES4</f>
        <v>5</v>
      </c>
      <c r="FF4" s="28">
        <f t="shared" si="33"/>
        <v>-0.05</v>
      </c>
      <c r="FG4" s="28">
        <f t="shared" si="33"/>
        <v>-0.02</v>
      </c>
      <c r="FH4" s="28">
        <f t="shared" si="33"/>
        <v>0</v>
      </c>
      <c r="FI4" s="28">
        <f t="shared" si="33"/>
        <v>0.005</v>
      </c>
      <c r="FJ4" s="28">
        <f t="shared" si="33"/>
        <v>0.01</v>
      </c>
      <c r="FK4" s="28">
        <f t="shared" si="33"/>
        <v>0.015</v>
      </c>
      <c r="FL4" s="28">
        <f t="shared" si="33"/>
        <v>0.02</v>
      </c>
      <c r="FM4" s="28">
        <f t="shared" si="33"/>
        <v>0.03</v>
      </c>
      <c r="FN4" s="24">
        <f>'Quick Setup'!Q61</f>
        <v>0.8</v>
      </c>
      <c r="FO4" s="25">
        <f>if(FN4='Quick Setup'!$C$31,'Quick Setup'!$C33,if(FN4='Quick Setup'!$D$31,'Quick Setup'!$D33,if(FN4='Quick Setup'!$E$31,'Quick Setup'!$E33,if(FN4='Quick Setup'!$F$31,'Quick Setup'!$F33,if(FN4='Quick Setup'!$G$31,'Quick Setup'!$G33,if(FN4='Quick Setup'!$H$31,'Quick Setup'!$H33,if(FN4='Quick Setup'!$I$31,'Quick Setup'!$I33,if(FN4='Quick Setup'!$J$31,'Quick Setup'!$J33,if(FN4='Quick Setup'!$K$31,'Quick Setup'!$K33,if(FN4='Quick Setup'!$L$31,'Quick Setup'!$L33,if(FN4='Quick Setup'!$M$31,'Quick Setup'!$M33,if(FN4='Quick Setup'!$N$31,'Quick Setup'!$N33,if(FN4='Quick Setup'!$O$31,'Quick Setup'!$O33,if(FN4='Quick Setup'!$P$31,'Quick Setup'!$P33,if(FN4='Quick Setup'!$Q$31,'Quick Setup'!$Q33,if(FN4='Quick Setup'!$R$31,'Quick Setup'!$R33,if(FN4='Quick Setup'!$S$31,'Quick Setup'!$S33,if(FN4='Quick Setup'!$T$31,'Quick Setup'!$T33,if(FN4='Quick Setup'!$U$31,'Quick Setup'!$U33,if(FN4='Quick Setup'!$V$31,'Quick Setup'!$V33,'Quick Setup'!$W33))))))))))))))))))))</f>
        <v>3</v>
      </c>
      <c r="FP4" s="25">
        <f>if(FN4='Quick Setup'!$C$45,'Quick Setup'!$C47,if(FN4='Quick Setup'!$D$45,'Quick Setup'!$D47,if(FN4='Quick Setup'!$E$45,'Quick Setup'!$E47,if(FN4='Quick Setup'!$F$45,'Quick Setup'!$F47,if(FN4='Quick Setup'!$G$45,'Quick Setup'!$G47,if(FN4='Quick Setup'!$H$45,'Quick Setup'!$H47,if(FN4='Quick Setup'!$I$45,'Quick Setup'!$I47,if(FN4='Quick Setup'!$J$45,'Quick Setup'!$J47,if(FN4='Quick Setup'!$K$45,'Quick Setup'!$K47,if(FN4='Quick Setup'!$L$45,'Quick Setup'!$L47,if(FN4='Quick Setup'!$M$45,'Quick Setup'!$M47,if(FN4='Quick Setup'!$N$45,'Quick Setup'!$N47,if(FN4='Quick Setup'!$O$45,'Quick Setup'!$O47,if(FN4='Quick Setup'!$P$45,'Quick Setup'!$P47,if(FN4='Quick Setup'!$Q$45,'Quick Setup'!$Q47,if(FN4='Quick Setup'!$R$45,'Quick Setup'!$R47,if(FN4='Quick Setup'!$S$45,'Quick Setup'!$S47,if(FN4='Quick Setup'!$T$45,'Quick Setup'!$T47,if(FN4='Quick Setup'!$U$45,'Quick Setup'!$U47,if(FN4='Quick Setup'!$V$45,'Quick Setup'!$V47,'Quick Setup'!$W47))))))))))))))))))))</f>
        <v>6</v>
      </c>
      <c r="FQ4" s="27">
        <f t="shared" ref="FQ4:FY4" si="34">FE4</f>
        <v>5</v>
      </c>
      <c r="FR4" s="28">
        <f t="shared" si="34"/>
        <v>-0.05</v>
      </c>
      <c r="FS4" s="28">
        <f t="shared" si="34"/>
        <v>-0.02</v>
      </c>
      <c r="FT4" s="28">
        <f t="shared" si="34"/>
        <v>0</v>
      </c>
      <c r="FU4" s="28">
        <f t="shared" si="34"/>
        <v>0.005</v>
      </c>
      <c r="FV4" s="28">
        <f t="shared" si="34"/>
        <v>0.01</v>
      </c>
      <c r="FW4" s="28">
        <f t="shared" si="34"/>
        <v>0.015</v>
      </c>
      <c r="FX4" s="28">
        <f t="shared" si="34"/>
        <v>0.02</v>
      </c>
      <c r="FY4" s="28">
        <f t="shared" si="34"/>
        <v>0.03</v>
      </c>
      <c r="FZ4" s="24">
        <f>'Quick Setup'!R61</f>
        <v>0.85</v>
      </c>
      <c r="GA4" s="25">
        <f>if(FZ4='Quick Setup'!$C$31,'Quick Setup'!$C33,if(FZ4='Quick Setup'!$D$31,'Quick Setup'!$D33,if(FZ4='Quick Setup'!$E$31,'Quick Setup'!$E33,if(FZ4='Quick Setup'!$F$31,'Quick Setup'!$F33,if(FZ4='Quick Setup'!$G$31,'Quick Setup'!$G33,if(FZ4='Quick Setup'!$H$31,'Quick Setup'!$H33,if(FZ4='Quick Setup'!$I$31,'Quick Setup'!$I33,if(FZ4='Quick Setup'!$J$31,'Quick Setup'!$J33,if(FZ4='Quick Setup'!$K$31,'Quick Setup'!$K33,if(FZ4='Quick Setup'!$L$31,'Quick Setup'!$L33,if(FZ4='Quick Setup'!$M$31,'Quick Setup'!$M33,if(FZ4='Quick Setup'!$N$31,'Quick Setup'!$N33,if(FZ4='Quick Setup'!$O$31,'Quick Setup'!$O33,if(FZ4='Quick Setup'!$P$31,'Quick Setup'!$P33,if(FZ4='Quick Setup'!$Q$31,'Quick Setup'!$Q33,if(FZ4='Quick Setup'!$R$31,'Quick Setup'!$R33,if(FZ4='Quick Setup'!$S$31,'Quick Setup'!$S33,if(FZ4='Quick Setup'!$T$31,'Quick Setup'!$T33,if(FZ4='Quick Setup'!$U$31,'Quick Setup'!$U33,if(FZ4='Quick Setup'!$V$31,'Quick Setup'!$V33,'Quick Setup'!$W33))))))))))))))))))))</f>
        <v>2</v>
      </c>
      <c r="GB4" s="25">
        <f>if(FZ4='Quick Setup'!$C$45,'Quick Setup'!$C47,if(FZ4='Quick Setup'!$D$45,'Quick Setup'!$D47,if(FZ4='Quick Setup'!$E$45,'Quick Setup'!$E47,if(FZ4='Quick Setup'!$F$45,'Quick Setup'!$F47,if(FZ4='Quick Setup'!$G$45,'Quick Setup'!$G47,if(FZ4='Quick Setup'!$H$45,'Quick Setup'!$H47,if(FZ4='Quick Setup'!$I$45,'Quick Setup'!$I47,if(FZ4='Quick Setup'!$J$45,'Quick Setup'!$J47,if(FZ4='Quick Setup'!$K$45,'Quick Setup'!$K47,if(FZ4='Quick Setup'!$L$45,'Quick Setup'!$L47,if(FZ4='Quick Setup'!$M$45,'Quick Setup'!$M47,if(FZ4='Quick Setup'!$N$45,'Quick Setup'!$N47,if(FZ4='Quick Setup'!$O$45,'Quick Setup'!$O47,if(FZ4='Quick Setup'!$P$45,'Quick Setup'!$P47,if(FZ4='Quick Setup'!$Q$45,'Quick Setup'!$Q47,if(FZ4='Quick Setup'!$R$45,'Quick Setup'!$R47,if(FZ4='Quick Setup'!$S$45,'Quick Setup'!$S47,if(FZ4='Quick Setup'!$T$45,'Quick Setup'!$T47,if(FZ4='Quick Setup'!$U$45,'Quick Setup'!$U47,if(FZ4='Quick Setup'!$V$45,'Quick Setup'!$V47,'Quick Setup'!$W47))))))))))))))))))))</f>
        <v>4</v>
      </c>
      <c r="GC4" s="27">
        <f t="shared" ref="GC4:GK4" si="35">FQ4</f>
        <v>5</v>
      </c>
      <c r="GD4" s="28">
        <f t="shared" si="35"/>
        <v>-0.05</v>
      </c>
      <c r="GE4" s="28">
        <f t="shared" si="35"/>
        <v>-0.02</v>
      </c>
      <c r="GF4" s="28">
        <f t="shared" si="35"/>
        <v>0</v>
      </c>
      <c r="GG4" s="28">
        <f t="shared" si="35"/>
        <v>0.005</v>
      </c>
      <c r="GH4" s="28">
        <f t="shared" si="35"/>
        <v>0.01</v>
      </c>
      <c r="GI4" s="28">
        <f t="shared" si="35"/>
        <v>0.015</v>
      </c>
      <c r="GJ4" s="28">
        <f t="shared" si="35"/>
        <v>0.02</v>
      </c>
      <c r="GK4" s="28">
        <f t="shared" si="35"/>
        <v>0.03</v>
      </c>
      <c r="GL4" s="24">
        <f>'Quick Setup'!S61</f>
        <v>0.9</v>
      </c>
      <c r="GM4" s="25">
        <f>if(GL4='Quick Setup'!$C$31,'Quick Setup'!$C33,if(GL4='Quick Setup'!$D$31,'Quick Setup'!$D33,if(GL4='Quick Setup'!$E$31,'Quick Setup'!$E33,if(GL4='Quick Setup'!$F$31,'Quick Setup'!$F33,if(GL4='Quick Setup'!$G$31,'Quick Setup'!$G33,if(GL4='Quick Setup'!$H$31,'Quick Setup'!$H33,if(GL4='Quick Setup'!$I$31,'Quick Setup'!$I33,if(GL4='Quick Setup'!$J$31,'Quick Setup'!$J33,if(GL4='Quick Setup'!$K$31,'Quick Setup'!$K33,if(GL4='Quick Setup'!$L$31,'Quick Setup'!$L33,if(GL4='Quick Setup'!$M$31,'Quick Setup'!$M33,if(GL4='Quick Setup'!$N$31,'Quick Setup'!$N33,if(GL4='Quick Setup'!$O$31,'Quick Setup'!$O33,if(GL4='Quick Setup'!$P$31,'Quick Setup'!$P33,if(GL4='Quick Setup'!$Q$31,'Quick Setup'!$Q33,if(GL4='Quick Setup'!$R$31,'Quick Setup'!$R33,if(GL4='Quick Setup'!$S$31,'Quick Setup'!$S33,if(GL4='Quick Setup'!$T$31,'Quick Setup'!$T33,if(GL4='Quick Setup'!$U$31,'Quick Setup'!$U33,if(GL4='Quick Setup'!$V$31,'Quick Setup'!$V33,'Quick Setup'!$W33))))))))))))))))))))</f>
        <v>1</v>
      </c>
      <c r="GN4" s="25">
        <f>if(GL4='Quick Setup'!$C$45,'Quick Setup'!$C47,if(GL4='Quick Setup'!$D$45,'Quick Setup'!$D47,if(GL4='Quick Setup'!$E$45,'Quick Setup'!$E47,if(GL4='Quick Setup'!$F$45,'Quick Setup'!$F47,if(GL4='Quick Setup'!$G$45,'Quick Setup'!$G47,if(GL4='Quick Setup'!$H$45,'Quick Setup'!$H47,if(GL4='Quick Setup'!$I$45,'Quick Setup'!$I47,if(GL4='Quick Setup'!$J$45,'Quick Setup'!$J47,if(GL4='Quick Setup'!$K$45,'Quick Setup'!$K47,if(GL4='Quick Setup'!$L$45,'Quick Setup'!$L47,if(GL4='Quick Setup'!$M$45,'Quick Setup'!$M47,if(GL4='Quick Setup'!$N$45,'Quick Setup'!$N47,if(GL4='Quick Setup'!$O$45,'Quick Setup'!$O47,if(GL4='Quick Setup'!$P$45,'Quick Setup'!$P47,if(GL4='Quick Setup'!$Q$45,'Quick Setup'!$Q47,if(GL4='Quick Setup'!$R$45,'Quick Setup'!$R47,if(GL4='Quick Setup'!$S$45,'Quick Setup'!$S47,if(GL4='Quick Setup'!$T$45,'Quick Setup'!$T47,if(GL4='Quick Setup'!$U$45,'Quick Setup'!$U47,if(GL4='Quick Setup'!$V$45,'Quick Setup'!$V47,'Quick Setup'!$W47))))))))))))))))))))</f>
        <v>2</v>
      </c>
      <c r="GO4" s="27">
        <f t="shared" ref="GO4:GW4" si="36">GC4</f>
        <v>5</v>
      </c>
      <c r="GP4" s="28">
        <f t="shared" si="36"/>
        <v>-0.05</v>
      </c>
      <c r="GQ4" s="28">
        <f t="shared" si="36"/>
        <v>-0.02</v>
      </c>
      <c r="GR4" s="28">
        <f t="shared" si="36"/>
        <v>0</v>
      </c>
      <c r="GS4" s="28">
        <f t="shared" si="36"/>
        <v>0.005</v>
      </c>
      <c r="GT4" s="28">
        <f t="shared" si="36"/>
        <v>0.01</v>
      </c>
      <c r="GU4" s="28">
        <f t="shared" si="36"/>
        <v>0.015</v>
      </c>
      <c r="GV4" s="28">
        <f t="shared" si="36"/>
        <v>0.02</v>
      </c>
      <c r="GW4" s="28">
        <f t="shared" si="36"/>
        <v>0.03</v>
      </c>
      <c r="GX4" s="24">
        <f>'Quick Setup'!T61</f>
        <v>0.85</v>
      </c>
      <c r="GY4" s="25">
        <f>if(GX4='Quick Setup'!$C$31,'Quick Setup'!$C33,if(GX4='Quick Setup'!$D$31,'Quick Setup'!$D33,if(GX4='Quick Setup'!$E$31,'Quick Setup'!$E33,if(GX4='Quick Setup'!$F$31,'Quick Setup'!$F33,if(GX4='Quick Setup'!$G$31,'Quick Setup'!$G33,if(GX4='Quick Setup'!$H$31,'Quick Setup'!$H33,if(GX4='Quick Setup'!$I$31,'Quick Setup'!$I33,if(GX4='Quick Setup'!$J$31,'Quick Setup'!$J33,if(GX4='Quick Setup'!$K$31,'Quick Setup'!$K33,if(GX4='Quick Setup'!$L$31,'Quick Setup'!$L33,if(GX4='Quick Setup'!$M$31,'Quick Setup'!$M33,if(GX4='Quick Setup'!$N$31,'Quick Setup'!$N33,if(GX4='Quick Setup'!$O$31,'Quick Setup'!$O33,if(GX4='Quick Setup'!$P$31,'Quick Setup'!$P33,if(GX4='Quick Setup'!$Q$31,'Quick Setup'!$Q33,if(GX4='Quick Setup'!$R$31,'Quick Setup'!$R33,if(GX4='Quick Setup'!$S$31,'Quick Setup'!$S33,if(GX4='Quick Setup'!$T$31,'Quick Setup'!$T33,if(GX4='Quick Setup'!$U$31,'Quick Setup'!$U33,if(GX4='Quick Setup'!$V$31,'Quick Setup'!$V33,'Quick Setup'!$W33))))))))))))))))))))</f>
        <v>2</v>
      </c>
      <c r="GZ4" s="25">
        <f>if(GX4='Quick Setup'!$C$45,'Quick Setup'!$C47,if(GX4='Quick Setup'!$D$45,'Quick Setup'!$D47,if(GX4='Quick Setup'!$E$45,'Quick Setup'!$E47,if(GX4='Quick Setup'!$F$45,'Quick Setup'!$F47,if(GX4='Quick Setup'!$G$45,'Quick Setup'!$G47,if(GX4='Quick Setup'!$H$45,'Quick Setup'!$H47,if(GX4='Quick Setup'!$I$45,'Quick Setup'!$I47,if(GX4='Quick Setup'!$J$45,'Quick Setup'!$J47,if(GX4='Quick Setup'!$K$45,'Quick Setup'!$K47,if(GX4='Quick Setup'!$L$45,'Quick Setup'!$L47,if(GX4='Quick Setup'!$M$45,'Quick Setup'!$M47,if(GX4='Quick Setup'!$N$45,'Quick Setup'!$N47,if(GX4='Quick Setup'!$O$45,'Quick Setup'!$O47,if(GX4='Quick Setup'!$P$45,'Quick Setup'!$P47,if(GX4='Quick Setup'!$Q$45,'Quick Setup'!$Q47,if(GX4='Quick Setup'!$R$45,'Quick Setup'!$R47,if(GX4='Quick Setup'!$S$45,'Quick Setup'!$S47,if(GX4='Quick Setup'!$T$45,'Quick Setup'!$T47,if(GX4='Quick Setup'!$U$45,'Quick Setup'!$U47,if(GX4='Quick Setup'!$V$45,'Quick Setup'!$V47,'Quick Setup'!$W47))))))))))))))))))))</f>
        <v>4</v>
      </c>
      <c r="HA4" s="27">
        <f t="shared" ref="HA4:HI4" si="37">GO4</f>
        <v>5</v>
      </c>
      <c r="HB4" s="28">
        <f t="shared" si="37"/>
        <v>-0.05</v>
      </c>
      <c r="HC4" s="28">
        <f t="shared" si="37"/>
        <v>-0.02</v>
      </c>
      <c r="HD4" s="28">
        <f t="shared" si="37"/>
        <v>0</v>
      </c>
      <c r="HE4" s="28">
        <f t="shared" si="37"/>
        <v>0.005</v>
      </c>
      <c r="HF4" s="28">
        <f t="shared" si="37"/>
        <v>0.01</v>
      </c>
      <c r="HG4" s="28">
        <f t="shared" si="37"/>
        <v>0.015</v>
      </c>
      <c r="HH4" s="28">
        <f t="shared" si="37"/>
        <v>0.02</v>
      </c>
      <c r="HI4" s="28">
        <f t="shared" si="37"/>
        <v>0.03</v>
      </c>
      <c r="HJ4" s="24">
        <f>'Quick Setup'!U61</f>
        <v>0.9</v>
      </c>
      <c r="HK4" s="25">
        <f>if(HJ4='Quick Setup'!$C$31,'Quick Setup'!$C33,if(HJ4='Quick Setup'!$D$31,'Quick Setup'!$D33,if(HJ4='Quick Setup'!$E$31,'Quick Setup'!$E33,if(HJ4='Quick Setup'!$F$31,'Quick Setup'!$F33,if(HJ4='Quick Setup'!$G$31,'Quick Setup'!$G33,if(HJ4='Quick Setup'!$H$31,'Quick Setup'!$H33,if(HJ4='Quick Setup'!$I$31,'Quick Setup'!$I33,if(HJ4='Quick Setup'!$J$31,'Quick Setup'!$J33,if(HJ4='Quick Setup'!$K$31,'Quick Setup'!$K33,if(HJ4='Quick Setup'!$L$31,'Quick Setup'!$L33,if(HJ4='Quick Setup'!$M$31,'Quick Setup'!$M33,if(HJ4='Quick Setup'!$N$31,'Quick Setup'!$N33,if(HJ4='Quick Setup'!$O$31,'Quick Setup'!$O33,if(HJ4='Quick Setup'!$P$31,'Quick Setup'!$P33,if(HJ4='Quick Setup'!$Q$31,'Quick Setup'!$Q33,if(HJ4='Quick Setup'!$R$31,'Quick Setup'!$R33,if(HJ4='Quick Setup'!$S$31,'Quick Setup'!$S33,if(HJ4='Quick Setup'!$T$31,'Quick Setup'!$T33,if(HJ4='Quick Setup'!$U$31,'Quick Setup'!$U33,if(HJ4='Quick Setup'!$V$31,'Quick Setup'!$V33,'Quick Setup'!$W33))))))))))))))))))))</f>
        <v>1</v>
      </c>
      <c r="HL4" s="25">
        <f>if(HJ4='Quick Setup'!$C$45,'Quick Setup'!$C47,if(HJ4='Quick Setup'!$D$45,'Quick Setup'!$D47,if(HJ4='Quick Setup'!$E$45,'Quick Setup'!$E47,if(HJ4='Quick Setup'!$F$45,'Quick Setup'!$F47,if(HJ4='Quick Setup'!$G$45,'Quick Setup'!$G47,if(HJ4='Quick Setup'!$H$45,'Quick Setup'!$H47,if(HJ4='Quick Setup'!$I$45,'Quick Setup'!$I47,if(HJ4='Quick Setup'!$J$45,'Quick Setup'!$J47,if(HJ4='Quick Setup'!$K$45,'Quick Setup'!$K47,if(HJ4='Quick Setup'!$L$45,'Quick Setup'!$L47,if(HJ4='Quick Setup'!$M$45,'Quick Setup'!$M47,if(HJ4='Quick Setup'!$N$45,'Quick Setup'!$N47,if(HJ4='Quick Setup'!$O$45,'Quick Setup'!$O47,if(HJ4='Quick Setup'!$P$45,'Quick Setup'!$P47,if(HJ4='Quick Setup'!$Q$45,'Quick Setup'!$Q47,if(HJ4='Quick Setup'!$R$45,'Quick Setup'!$R47,if(HJ4='Quick Setup'!$S$45,'Quick Setup'!$S47,if(HJ4='Quick Setup'!$T$45,'Quick Setup'!$T47,if(HJ4='Quick Setup'!$U$45,'Quick Setup'!$U47,if(HJ4='Quick Setup'!$V$45,'Quick Setup'!$V47,'Quick Setup'!$W47))))))))))))))))))))</f>
        <v>2</v>
      </c>
      <c r="HM4" s="27">
        <f t="shared" ref="HM4:HU4" si="38">HA4</f>
        <v>5</v>
      </c>
      <c r="HN4" s="28">
        <f t="shared" si="38"/>
        <v>-0.05</v>
      </c>
      <c r="HO4" s="28">
        <f t="shared" si="38"/>
        <v>-0.02</v>
      </c>
      <c r="HP4" s="28">
        <f t="shared" si="38"/>
        <v>0</v>
      </c>
      <c r="HQ4" s="28">
        <f t="shared" si="38"/>
        <v>0.005</v>
      </c>
      <c r="HR4" s="28">
        <f t="shared" si="38"/>
        <v>0.01</v>
      </c>
      <c r="HS4" s="28">
        <f t="shared" si="38"/>
        <v>0.015</v>
      </c>
      <c r="HT4" s="28">
        <f t="shared" si="38"/>
        <v>0.02</v>
      </c>
      <c r="HU4" s="28">
        <f t="shared" si="38"/>
        <v>0.03</v>
      </c>
      <c r="HV4" s="24">
        <f>'Quick Setup'!V61</f>
        <v>0.95</v>
      </c>
      <c r="HW4" s="25">
        <f>if(HV4='Quick Setup'!$C$31,'Quick Setup'!$C33,if(HV4='Quick Setup'!$D$31,'Quick Setup'!$D33,if(HV4='Quick Setup'!$E$31,'Quick Setup'!$E33,if(HV4='Quick Setup'!$F$31,'Quick Setup'!$F33,if(HV4='Quick Setup'!$G$31,'Quick Setup'!$G33,if(HV4='Quick Setup'!$H$31,'Quick Setup'!$H33,if(HV4='Quick Setup'!$I$31,'Quick Setup'!$I33,if(HV4='Quick Setup'!$J$31,'Quick Setup'!$J33,if(HV4='Quick Setup'!$K$31,'Quick Setup'!$K33,if(HV4='Quick Setup'!$L$31,'Quick Setup'!$L33,if(HV4='Quick Setup'!$M$31,'Quick Setup'!$M33,if(HV4='Quick Setup'!$N$31,'Quick Setup'!$N33,if(HV4='Quick Setup'!$O$31,'Quick Setup'!$O33,if(HV4='Quick Setup'!$P$31,'Quick Setup'!$P33,if(HV4='Quick Setup'!$Q$31,'Quick Setup'!$Q33,if(HV4='Quick Setup'!$R$31,'Quick Setup'!$R33,if(HV4='Quick Setup'!$S$31,'Quick Setup'!$S33,if(HV4='Quick Setup'!$T$31,'Quick Setup'!$T33,if(HV4='Quick Setup'!$U$31,'Quick Setup'!$U33,if(HV4='Quick Setup'!$V$31,'Quick Setup'!$V33,'Quick Setup'!$W33))))))))))))))))))))</f>
        <v>1</v>
      </c>
      <c r="HX4" s="25">
        <f>if(HV4='Quick Setup'!$C$45,'Quick Setup'!$C47,if(HV4='Quick Setup'!$D$45,'Quick Setup'!$D47,if(HV4='Quick Setup'!$E$45,'Quick Setup'!$E47,if(HV4='Quick Setup'!$F$45,'Quick Setup'!$F47,if(HV4='Quick Setup'!$G$45,'Quick Setup'!$G47,if(HV4='Quick Setup'!$H$45,'Quick Setup'!$H47,if(HV4='Quick Setup'!$I$45,'Quick Setup'!$I47,if(HV4='Quick Setup'!$J$45,'Quick Setup'!$J47,if(HV4='Quick Setup'!$K$45,'Quick Setup'!$K47,if(HV4='Quick Setup'!$L$45,'Quick Setup'!$L47,if(HV4='Quick Setup'!$M$45,'Quick Setup'!$M47,if(HV4='Quick Setup'!$N$45,'Quick Setup'!$N47,if(HV4='Quick Setup'!$O$45,'Quick Setup'!$O47,if(HV4='Quick Setup'!$P$45,'Quick Setup'!$P47,if(HV4='Quick Setup'!$Q$45,'Quick Setup'!$Q47,if(HV4='Quick Setup'!$R$45,'Quick Setup'!$R47,if(HV4='Quick Setup'!$S$45,'Quick Setup'!$S47,if(HV4='Quick Setup'!$T$45,'Quick Setup'!$T47,if(HV4='Quick Setup'!$U$45,'Quick Setup'!$U47,if(HV4='Quick Setup'!$V$45,'Quick Setup'!$V47,'Quick Setup'!$W47))))))))))))))))))))</f>
        <v>1</v>
      </c>
      <c r="HY4" s="27">
        <f t="shared" ref="HY4:IG4" si="39">HM4</f>
        <v>5</v>
      </c>
      <c r="HZ4" s="28">
        <f t="shared" si="39"/>
        <v>-0.05</v>
      </c>
      <c r="IA4" s="28">
        <f t="shared" si="39"/>
        <v>-0.02</v>
      </c>
      <c r="IB4" s="28">
        <f t="shared" si="39"/>
        <v>0</v>
      </c>
      <c r="IC4" s="28">
        <f t="shared" si="39"/>
        <v>0.005</v>
      </c>
      <c r="ID4" s="28">
        <f t="shared" si="39"/>
        <v>0.01</v>
      </c>
      <c r="IE4" s="28">
        <f t="shared" si="39"/>
        <v>0.015</v>
      </c>
      <c r="IF4" s="28">
        <f t="shared" si="39"/>
        <v>0.02</v>
      </c>
      <c r="IG4" s="28">
        <f t="shared" si="39"/>
        <v>0.03</v>
      </c>
      <c r="IH4" s="24">
        <f>'Quick Setup'!W61</f>
        <v>0.6</v>
      </c>
      <c r="II4" s="25">
        <f>if(IH4='Quick Setup'!$C$31,'Quick Setup'!$C33,if(IH4='Quick Setup'!$D$31,'Quick Setup'!$D33,if(IH4='Quick Setup'!$E$31,'Quick Setup'!$E33,if(IH4='Quick Setup'!$F$31,'Quick Setup'!$F33,if(IH4='Quick Setup'!$G$31,'Quick Setup'!$G33,if(IH4='Quick Setup'!$H$31,'Quick Setup'!$H33,if(IH4='Quick Setup'!$I$31,'Quick Setup'!$I33,if(IH4='Quick Setup'!$J$31,'Quick Setup'!$J33,if(IH4='Quick Setup'!$K$31,'Quick Setup'!$K33,if(IH4='Quick Setup'!$L$31,'Quick Setup'!$L33,if(IH4='Quick Setup'!$M$31,'Quick Setup'!$M33,if(IH4='Quick Setup'!$N$31,'Quick Setup'!$N33,if(IH4='Quick Setup'!$O$31,'Quick Setup'!$O33,if(IH4='Quick Setup'!$P$31,'Quick Setup'!$P33,if(IH4='Quick Setup'!$Q$31,'Quick Setup'!$Q33,if(IH4='Quick Setup'!$R$31,'Quick Setup'!$R33,if(IH4='Quick Setup'!$S$31,'Quick Setup'!$S33,if(IH4='Quick Setup'!$T$31,'Quick Setup'!$T33,if(IH4='Quick Setup'!$U$31,'Quick Setup'!$U33,if(IH4='Quick Setup'!$V$31,'Quick Setup'!$V33,'Quick Setup'!$W33))))))))))))))))))))</f>
        <v>7</v>
      </c>
      <c r="IJ4" s="25">
        <f>if(IH4='Quick Setup'!$C$45,'Quick Setup'!$C47,if(IH4='Quick Setup'!$D$45,'Quick Setup'!$D47,if(IH4='Quick Setup'!$E$45,'Quick Setup'!$E47,if(IH4='Quick Setup'!$F$45,'Quick Setup'!$F47,if(IH4='Quick Setup'!$G$45,'Quick Setup'!$G47,if(IH4='Quick Setup'!$H$45,'Quick Setup'!$H47,if(IH4='Quick Setup'!$I$45,'Quick Setup'!$I47,if(IH4='Quick Setup'!$J$45,'Quick Setup'!$J47,if(IH4='Quick Setup'!$K$45,'Quick Setup'!$K47,if(IH4='Quick Setup'!$L$45,'Quick Setup'!$L47,if(IH4='Quick Setup'!$M$45,'Quick Setup'!$M47,if(IH4='Quick Setup'!$N$45,'Quick Setup'!$N47,if(IH4='Quick Setup'!$O$45,'Quick Setup'!$O47,if(IH4='Quick Setup'!$P$45,'Quick Setup'!$P47,if(IH4='Quick Setup'!$Q$45,'Quick Setup'!$Q47,if(IH4='Quick Setup'!$R$45,'Quick Setup'!$R47,if(IH4='Quick Setup'!$S$45,'Quick Setup'!$S47,if(IH4='Quick Setup'!$T$45,'Quick Setup'!$T47,if(IH4='Quick Setup'!$U$45,'Quick Setup'!$U47,if(IH4='Quick Setup'!$V$45,'Quick Setup'!$V47,'Quick Setup'!$W47))))))))))))))))))))</f>
        <v>14</v>
      </c>
      <c r="IK4" s="27">
        <f t="shared" ref="IK4:IS4" si="40">HY4</f>
        <v>5</v>
      </c>
      <c r="IL4" s="28">
        <f t="shared" si="40"/>
        <v>-0.05</v>
      </c>
      <c r="IM4" s="28">
        <f t="shared" si="40"/>
        <v>-0.02</v>
      </c>
      <c r="IN4" s="28">
        <f t="shared" si="40"/>
        <v>0</v>
      </c>
      <c r="IO4" s="28">
        <f t="shared" si="40"/>
        <v>0.005</v>
      </c>
      <c r="IP4" s="28">
        <f t="shared" si="40"/>
        <v>0.01</v>
      </c>
      <c r="IQ4" s="28">
        <f t="shared" si="40"/>
        <v>0.015</v>
      </c>
      <c r="IR4" s="28">
        <f t="shared" si="40"/>
        <v>0.02</v>
      </c>
      <c r="IS4" s="28">
        <f t="shared" si="40"/>
        <v>0.03</v>
      </c>
    </row>
    <row r="5">
      <c r="A5" t="str">
        <f>'Quick Setup'!C7</f>
        <v>Deadlift</v>
      </c>
      <c r="B5" s="24">
        <f>'Quick Setup'!C62</f>
        <v>0.7</v>
      </c>
      <c r="C5" s="25">
        <f>if(B5='Quick Setup'!$C$31,'Quick Setup'!$C34,if(B5='Quick Setup'!$D$31,'Quick Setup'!$D34,if(B5='Quick Setup'!$E$31,'Quick Setup'!$E34,if(B5='Quick Setup'!$F$31,'Quick Setup'!$F34,if(B5='Quick Setup'!$G$31,'Quick Setup'!$G34,if(B5='Quick Setup'!$H$31,'Quick Setup'!$H34,if(B5='Quick Setup'!$I$31,'Quick Setup'!$I34,if(B5='Quick Setup'!$J$31,'Quick Setup'!$J34,if(B5='Quick Setup'!$K$31,'Quick Setup'!$K34,if(B5='Quick Setup'!$L$31,'Quick Setup'!$L34,if(B5='Quick Setup'!$M$31,'Quick Setup'!$M34,if(B5='Quick Setup'!$N$31,'Quick Setup'!$N34,if(B5='Quick Setup'!$O$31,'Quick Setup'!$O34,if(B5='Quick Setup'!$P$31,'Quick Setup'!$P34,if(B5='Quick Setup'!$Q$31,'Quick Setup'!$Q34,if(B5='Quick Setup'!$R$31,'Quick Setup'!$R34,if(B5='Quick Setup'!$S$31,'Quick Setup'!$S34,if(B5='Quick Setup'!$T$31,'Quick Setup'!$T34,if(B5='Quick Setup'!$U$31,'Quick Setup'!$U34,if(B5='Quick Setup'!$V$31,'Quick Setup'!$V34,'Quick Setup'!$W34))))))))))))))))))))</f>
        <v>5</v>
      </c>
      <c r="D5" s="25">
        <f>if(B5='Quick Setup'!$C$45,'Quick Setup'!$C48,if(B5='Quick Setup'!$D$45,'Quick Setup'!$D48,if(B5='Quick Setup'!$E$45,'Quick Setup'!$E48,if(B5='Quick Setup'!$F$45,'Quick Setup'!$F48,if(B5='Quick Setup'!$G$45,'Quick Setup'!$G48,if(B5='Quick Setup'!$H$45,'Quick Setup'!$H48,if(B5='Quick Setup'!$I$45,'Quick Setup'!$I48,if(B5='Quick Setup'!$J$45,'Quick Setup'!$J48,if(B5='Quick Setup'!$K$45,'Quick Setup'!$K48,if(B5='Quick Setup'!$L$45,'Quick Setup'!$L48,if(B5='Quick Setup'!$M$45,'Quick Setup'!$M48,if(B5='Quick Setup'!$N$45,'Quick Setup'!$N48,if(B5='Quick Setup'!$O$45,'Quick Setup'!$O48,if(B5='Quick Setup'!$P$45,'Quick Setup'!$P48,if(B5='Quick Setup'!$Q$45,'Quick Setup'!$Q48,if(B5='Quick Setup'!$R$45,'Quick Setup'!$R48,if(B5='Quick Setup'!$S$45,'Quick Setup'!$S48,if(B5='Quick Setup'!$T$45,'Quick Setup'!$T48,if(B5='Quick Setup'!$U$45,'Quick Setup'!$U48,if(B5='Quick Setup'!$V$45,'Quick Setup'!$V48,'Quick Setup'!$W48))))))))))))))))))))</f>
        <v>10</v>
      </c>
      <c r="E5" s="25">
        <f>'Quick Setup'!H8</f>
        <v>5</v>
      </c>
      <c r="F5" s="26">
        <f>'Quick Setup'!I8</f>
        <v>-0.05</v>
      </c>
      <c r="G5" s="26">
        <f>'Quick Setup'!J8</f>
        <v>-0.02</v>
      </c>
      <c r="H5" s="26">
        <f>'Quick Setup'!K8</f>
        <v>0</v>
      </c>
      <c r="I5" s="26">
        <f>'Quick Setup'!L8</f>
        <v>0.005</v>
      </c>
      <c r="J5" s="26">
        <f>'Quick Setup'!M8</f>
        <v>0.01</v>
      </c>
      <c r="K5" s="26">
        <f>'Quick Setup'!N8</f>
        <v>0.015</v>
      </c>
      <c r="L5" s="26">
        <f>'Quick Setup'!O8</f>
        <v>0.02</v>
      </c>
      <c r="M5" s="26">
        <f>'Quick Setup'!P8</f>
        <v>0.03</v>
      </c>
      <c r="N5" s="24">
        <f>'Quick Setup'!D62</f>
        <v>0.75</v>
      </c>
      <c r="O5" s="25">
        <f>if(N5='Quick Setup'!$C$31,'Quick Setup'!$C34,if(N5='Quick Setup'!$D$31,'Quick Setup'!$D34,if(N5='Quick Setup'!$E$31,'Quick Setup'!$E34,if(N5='Quick Setup'!$F$31,'Quick Setup'!$F34,if(N5='Quick Setup'!$G$31,'Quick Setup'!$G34,if(N5='Quick Setup'!$H$31,'Quick Setup'!$H34,if(N5='Quick Setup'!$I$31,'Quick Setup'!$I34,if(N5='Quick Setup'!$J$31,'Quick Setup'!$J34,if(N5='Quick Setup'!$K$31,'Quick Setup'!$K34,if(N5='Quick Setup'!$L$31,'Quick Setup'!$L34,if(N5='Quick Setup'!$M$31,'Quick Setup'!$M34,if(N5='Quick Setup'!$N$31,'Quick Setup'!$N34,if(N5='Quick Setup'!$O$31,'Quick Setup'!$O34,if(N5='Quick Setup'!$P$31,'Quick Setup'!$P34,if(N5='Quick Setup'!$Q$31,'Quick Setup'!$Q34,if(N5='Quick Setup'!$R$31,'Quick Setup'!$R34,if(N5='Quick Setup'!$S$31,'Quick Setup'!$S34,if(N5='Quick Setup'!$T$31,'Quick Setup'!$T34,if(N5='Quick Setup'!$U$31,'Quick Setup'!$U34,if(N5='Quick Setup'!$V$31,'Quick Setup'!$V34,'Quick Setup'!$W34))))))))))))))))))))</f>
        <v>4</v>
      </c>
      <c r="P5" s="25">
        <f>if(N5='Quick Setup'!$C$45,'Quick Setup'!$C48,if(N5='Quick Setup'!$D$45,'Quick Setup'!$D48,if(N5='Quick Setup'!$E$45,'Quick Setup'!$E48,if(N5='Quick Setup'!$F$45,'Quick Setup'!$F48,if(N5='Quick Setup'!$G$45,'Quick Setup'!$G48,if(N5='Quick Setup'!$H$45,'Quick Setup'!$H48,if(N5='Quick Setup'!$I$45,'Quick Setup'!$I48,if(N5='Quick Setup'!$J$45,'Quick Setup'!$J48,if(N5='Quick Setup'!$K$45,'Quick Setup'!$K48,if(N5='Quick Setup'!$L$45,'Quick Setup'!$L48,if(N5='Quick Setup'!$M$45,'Quick Setup'!$M48,if(N5='Quick Setup'!$N$45,'Quick Setup'!$N48,if(N5='Quick Setup'!$O$45,'Quick Setup'!$O48,if(N5='Quick Setup'!$P$45,'Quick Setup'!$P48,if(N5='Quick Setup'!$Q$45,'Quick Setup'!$Q48,if(N5='Quick Setup'!$R$45,'Quick Setup'!$R48,if(N5='Quick Setup'!$S$45,'Quick Setup'!$S48,if(N5='Quick Setup'!$T$45,'Quick Setup'!$T48,if(N5='Quick Setup'!$U$45,'Quick Setup'!$U48,if(N5='Quick Setup'!$V$45,'Quick Setup'!$V48,'Quick Setup'!$W48))))))))))))))))))))</f>
        <v>8</v>
      </c>
      <c r="Q5" s="25">
        <f t="shared" ref="Q5:Y5" si="41">E5</f>
        <v>5</v>
      </c>
      <c r="R5" s="26">
        <f t="shared" si="41"/>
        <v>-0.05</v>
      </c>
      <c r="S5" s="26">
        <f t="shared" si="41"/>
        <v>-0.02</v>
      </c>
      <c r="T5" s="26">
        <f t="shared" si="41"/>
        <v>0</v>
      </c>
      <c r="U5" s="26">
        <f t="shared" si="41"/>
        <v>0.005</v>
      </c>
      <c r="V5" s="26">
        <f t="shared" si="41"/>
        <v>0.01</v>
      </c>
      <c r="W5" s="26">
        <f t="shared" si="41"/>
        <v>0.015</v>
      </c>
      <c r="X5" s="26">
        <f t="shared" si="41"/>
        <v>0.02</v>
      </c>
      <c r="Y5" s="26">
        <f t="shared" si="41"/>
        <v>0.03</v>
      </c>
      <c r="Z5" s="24">
        <f>'Quick Setup'!E62</f>
        <v>0.8</v>
      </c>
      <c r="AA5" s="25">
        <f>if(Z5='Quick Setup'!$C$31,'Quick Setup'!$C34,if(Z5='Quick Setup'!$D$31,'Quick Setup'!$D34,if(Z5='Quick Setup'!$E$31,'Quick Setup'!$E34,if(Z5='Quick Setup'!$F$31,'Quick Setup'!$F34,if(Z5='Quick Setup'!$G$31,'Quick Setup'!$G34,if(Z5='Quick Setup'!$H$31,'Quick Setup'!$H34,if(Z5='Quick Setup'!$I$31,'Quick Setup'!$I34,if(Z5='Quick Setup'!$J$31,'Quick Setup'!$J34,if(Z5='Quick Setup'!$K$31,'Quick Setup'!$K34,if(Z5='Quick Setup'!$L$31,'Quick Setup'!$L34,if(Z5='Quick Setup'!$M$31,'Quick Setup'!$M34,if(Z5='Quick Setup'!$N$31,'Quick Setup'!$N34,if(Z5='Quick Setup'!$O$31,'Quick Setup'!$O34,if(Z5='Quick Setup'!$P$31,'Quick Setup'!$P34,if(Z5='Quick Setup'!$Q$31,'Quick Setup'!$Q34,if(Z5='Quick Setup'!$R$31,'Quick Setup'!$R34,if(Z5='Quick Setup'!$S$31,'Quick Setup'!$S34,if(Z5='Quick Setup'!$T$31,'Quick Setup'!$T34,if(Z5='Quick Setup'!$U$31,'Quick Setup'!$U34,if(Z5='Quick Setup'!$V$31,'Quick Setup'!$V34,'Quick Setup'!$W34))))))))))))))))))))</f>
        <v>3</v>
      </c>
      <c r="AB5" s="25">
        <f>if(Z5='Quick Setup'!$C$45,'Quick Setup'!$C48,if(Z5='Quick Setup'!$D$45,'Quick Setup'!$D48,if(Z5='Quick Setup'!$E$45,'Quick Setup'!$E48,if(Z5='Quick Setup'!$F$45,'Quick Setup'!$F48,if(Z5='Quick Setup'!$G$45,'Quick Setup'!$G48,if(Z5='Quick Setup'!$H$45,'Quick Setup'!$H48,if(Z5='Quick Setup'!$I$45,'Quick Setup'!$I48,if(Z5='Quick Setup'!$J$45,'Quick Setup'!$J48,if(Z5='Quick Setup'!$K$45,'Quick Setup'!$K48,if(Z5='Quick Setup'!$L$45,'Quick Setup'!$L48,if(Z5='Quick Setup'!$M$45,'Quick Setup'!$M48,if(Z5='Quick Setup'!$N$45,'Quick Setup'!$N48,if(Z5='Quick Setup'!$O$45,'Quick Setup'!$O48,if(Z5='Quick Setup'!$P$45,'Quick Setup'!$P48,if(Z5='Quick Setup'!$Q$45,'Quick Setup'!$Q48,if(Z5='Quick Setup'!$R$45,'Quick Setup'!$R48,if(Z5='Quick Setup'!$S$45,'Quick Setup'!$S48,if(Z5='Quick Setup'!$T$45,'Quick Setup'!$T48,if(Z5='Quick Setup'!$U$45,'Quick Setup'!$U48,if(Z5='Quick Setup'!$V$45,'Quick Setup'!$V48,'Quick Setup'!$W48))))))))))))))))))))</f>
        <v>6</v>
      </c>
      <c r="AC5" s="25">
        <f t="shared" ref="AC5:AK5" si="42">Q5</f>
        <v>5</v>
      </c>
      <c r="AD5" s="26">
        <f t="shared" si="42"/>
        <v>-0.05</v>
      </c>
      <c r="AE5" s="26">
        <f t="shared" si="42"/>
        <v>-0.02</v>
      </c>
      <c r="AF5" s="26">
        <f t="shared" si="42"/>
        <v>0</v>
      </c>
      <c r="AG5" s="26">
        <f t="shared" si="42"/>
        <v>0.005</v>
      </c>
      <c r="AH5" s="26">
        <f t="shared" si="42"/>
        <v>0.01</v>
      </c>
      <c r="AI5" s="26">
        <f t="shared" si="42"/>
        <v>0.015</v>
      </c>
      <c r="AJ5" s="26">
        <f t="shared" si="42"/>
        <v>0.02</v>
      </c>
      <c r="AK5" s="26">
        <f t="shared" si="42"/>
        <v>0.03</v>
      </c>
      <c r="AL5" s="24">
        <f>'Quick Setup'!F62</f>
        <v>0.725</v>
      </c>
      <c r="AM5" s="25">
        <f>if(AL5='Quick Setup'!$C$31,'Quick Setup'!$C34,if(AL5='Quick Setup'!$D$31,'Quick Setup'!$D34,if(AL5='Quick Setup'!$E$31,'Quick Setup'!$E34,if(AL5='Quick Setup'!$F$31,'Quick Setup'!$F34,if(AL5='Quick Setup'!$G$31,'Quick Setup'!$G34,if(AL5='Quick Setup'!$H$31,'Quick Setup'!$H34,if(AL5='Quick Setup'!$I$31,'Quick Setup'!$I34,if(AL5='Quick Setup'!$J$31,'Quick Setup'!$J34,if(AL5='Quick Setup'!$K$31,'Quick Setup'!$K34,if(AL5='Quick Setup'!$L$31,'Quick Setup'!$L34,if(AL5='Quick Setup'!$M$31,'Quick Setup'!$M34,if(AL5='Quick Setup'!$N$31,'Quick Setup'!$N34,if(AL5='Quick Setup'!$O$31,'Quick Setup'!$O34,if(AL5='Quick Setup'!$P$31,'Quick Setup'!$P34,if(AL5='Quick Setup'!$Q$31,'Quick Setup'!$Q34,if(AL5='Quick Setup'!$R$31,'Quick Setup'!$R34,if(AL5='Quick Setup'!$S$31,'Quick Setup'!$S34,if(AL5='Quick Setup'!$T$31,'Quick Setup'!$T34,if(AL5='Quick Setup'!$U$31,'Quick Setup'!$U34,if(AL5='Quick Setup'!$V$31,'Quick Setup'!$V34,'Quick Setup'!$W34))))))))))))))))))))</f>
        <v>5</v>
      </c>
      <c r="AN5" s="25">
        <f>if(AL5='Quick Setup'!$C$45,'Quick Setup'!$C48,if(AL5='Quick Setup'!$D$45,'Quick Setup'!$D48,if(AL5='Quick Setup'!$E$45,'Quick Setup'!$E48,if(AL5='Quick Setup'!$F$45,'Quick Setup'!$F48,if(AL5='Quick Setup'!$G$45,'Quick Setup'!$G48,if(AL5='Quick Setup'!$H$45,'Quick Setup'!$H48,if(AL5='Quick Setup'!$I$45,'Quick Setup'!$I48,if(AL5='Quick Setup'!$J$45,'Quick Setup'!$J48,if(AL5='Quick Setup'!$K$45,'Quick Setup'!$K48,if(AL5='Quick Setup'!$L$45,'Quick Setup'!$L48,if(AL5='Quick Setup'!$M$45,'Quick Setup'!$M48,if(AL5='Quick Setup'!$N$45,'Quick Setup'!$N48,if(AL5='Quick Setup'!$O$45,'Quick Setup'!$O48,if(AL5='Quick Setup'!$P$45,'Quick Setup'!$P48,if(AL5='Quick Setup'!$Q$45,'Quick Setup'!$Q48,if(AL5='Quick Setup'!$R$45,'Quick Setup'!$R48,if(AL5='Quick Setup'!$S$45,'Quick Setup'!$S48,if(AL5='Quick Setup'!$T$45,'Quick Setup'!$T48,if(AL5='Quick Setup'!$U$45,'Quick Setup'!$U48,if(AL5='Quick Setup'!$V$45,'Quick Setup'!$V48,'Quick Setup'!$W48))))))))))))))))))))</f>
        <v>9</v>
      </c>
      <c r="AO5" s="25">
        <f t="shared" ref="AO5:AW5" si="43">AC5</f>
        <v>5</v>
      </c>
      <c r="AP5" s="26">
        <f t="shared" si="43"/>
        <v>-0.05</v>
      </c>
      <c r="AQ5" s="26">
        <f t="shared" si="43"/>
        <v>-0.02</v>
      </c>
      <c r="AR5" s="26">
        <f t="shared" si="43"/>
        <v>0</v>
      </c>
      <c r="AS5" s="26">
        <f t="shared" si="43"/>
        <v>0.005</v>
      </c>
      <c r="AT5" s="26">
        <f t="shared" si="43"/>
        <v>0.01</v>
      </c>
      <c r="AU5" s="26">
        <f t="shared" si="43"/>
        <v>0.015</v>
      </c>
      <c r="AV5" s="26">
        <f t="shared" si="43"/>
        <v>0.02</v>
      </c>
      <c r="AW5" s="26">
        <f t="shared" si="43"/>
        <v>0.03</v>
      </c>
      <c r="AX5" s="24">
        <f>'Quick Setup'!G62</f>
        <v>0.775</v>
      </c>
      <c r="AY5" s="25">
        <f>if(AX5='Quick Setup'!$C$31,'Quick Setup'!$C34,if(AX5='Quick Setup'!$D$31,'Quick Setup'!$D34,if(AX5='Quick Setup'!$E$31,'Quick Setup'!$E34,if(AX5='Quick Setup'!$F$31,'Quick Setup'!$F34,if(AX5='Quick Setup'!$G$31,'Quick Setup'!$G34,if(AX5='Quick Setup'!$H$31,'Quick Setup'!$H34,if(AX5='Quick Setup'!$I$31,'Quick Setup'!$I34,if(AX5='Quick Setup'!$J$31,'Quick Setup'!$J34,if(AX5='Quick Setup'!$K$31,'Quick Setup'!$K34,if(AX5='Quick Setup'!$L$31,'Quick Setup'!$L34,if(AX5='Quick Setup'!$M$31,'Quick Setup'!$M34,if(AX5='Quick Setup'!$N$31,'Quick Setup'!$N34,if(AX5='Quick Setup'!$O$31,'Quick Setup'!$O34,if(AX5='Quick Setup'!$P$31,'Quick Setup'!$P34,if(AX5='Quick Setup'!$Q$31,'Quick Setup'!$Q34,if(AX5='Quick Setup'!$R$31,'Quick Setup'!$R34,if(AX5='Quick Setup'!$S$31,'Quick Setup'!$S34,if(AX5='Quick Setup'!$T$31,'Quick Setup'!$T34,if(AX5='Quick Setup'!$U$31,'Quick Setup'!$U34,if(AX5='Quick Setup'!$V$31,'Quick Setup'!$V34,'Quick Setup'!$W34))))))))))))))))))))</f>
        <v>4</v>
      </c>
      <c r="AZ5" s="25">
        <f>if(AX5='Quick Setup'!$C$45,'Quick Setup'!$C48,if(AX5='Quick Setup'!$D$45,'Quick Setup'!$D48,if(AX5='Quick Setup'!$E$45,'Quick Setup'!$E48,if(AX5='Quick Setup'!$F$45,'Quick Setup'!$F48,if(AX5='Quick Setup'!$G$45,'Quick Setup'!$G48,if(AX5='Quick Setup'!$H$45,'Quick Setup'!$H48,if(AX5='Quick Setup'!$I$45,'Quick Setup'!$I48,if(AX5='Quick Setup'!$J$45,'Quick Setup'!$J48,if(AX5='Quick Setup'!$K$45,'Quick Setup'!$K48,if(AX5='Quick Setup'!$L$45,'Quick Setup'!$L48,if(AX5='Quick Setup'!$M$45,'Quick Setup'!$M48,if(AX5='Quick Setup'!$N$45,'Quick Setup'!$N48,if(AX5='Quick Setup'!$O$45,'Quick Setup'!$O48,if(AX5='Quick Setup'!$P$45,'Quick Setup'!$P48,if(AX5='Quick Setup'!$Q$45,'Quick Setup'!$Q48,if(AX5='Quick Setup'!$R$45,'Quick Setup'!$R48,if(AX5='Quick Setup'!$S$45,'Quick Setup'!$S48,if(AX5='Quick Setup'!$T$45,'Quick Setup'!$T48,if(AX5='Quick Setup'!$U$45,'Quick Setup'!$U48,if(AX5='Quick Setup'!$V$45,'Quick Setup'!$V48,'Quick Setup'!$W48))))))))))))))))))))</f>
        <v>7</v>
      </c>
      <c r="BA5" s="25">
        <f t="shared" ref="BA5:BI5" si="44">AO5</f>
        <v>5</v>
      </c>
      <c r="BB5" s="26">
        <f t="shared" si="44"/>
        <v>-0.05</v>
      </c>
      <c r="BC5" s="26">
        <f t="shared" si="44"/>
        <v>-0.02</v>
      </c>
      <c r="BD5" s="26">
        <f t="shared" si="44"/>
        <v>0</v>
      </c>
      <c r="BE5" s="26">
        <f t="shared" si="44"/>
        <v>0.005</v>
      </c>
      <c r="BF5" s="26">
        <f t="shared" si="44"/>
        <v>0.01</v>
      </c>
      <c r="BG5" s="26">
        <f t="shared" si="44"/>
        <v>0.015</v>
      </c>
      <c r="BH5" s="26">
        <f t="shared" si="44"/>
        <v>0.02</v>
      </c>
      <c r="BI5" s="26">
        <f t="shared" si="44"/>
        <v>0.03</v>
      </c>
      <c r="BJ5" s="24">
        <f>'Quick Setup'!H62</f>
        <v>0.825</v>
      </c>
      <c r="BK5" s="25">
        <f>if(BJ5='Quick Setup'!$C$31,'Quick Setup'!$C34,if(BJ5='Quick Setup'!$D$31,'Quick Setup'!$D34,if(BJ5='Quick Setup'!$E$31,'Quick Setup'!$E34,if(BJ5='Quick Setup'!$F$31,'Quick Setup'!$F34,if(BJ5='Quick Setup'!$G$31,'Quick Setup'!$G34,if(BJ5='Quick Setup'!$H$31,'Quick Setup'!$H34,if(BJ5='Quick Setup'!$I$31,'Quick Setup'!$I34,if(BJ5='Quick Setup'!$J$31,'Quick Setup'!$J34,if(BJ5='Quick Setup'!$K$31,'Quick Setup'!$K34,if(BJ5='Quick Setup'!$L$31,'Quick Setup'!$L34,if(BJ5='Quick Setup'!$M$31,'Quick Setup'!$M34,if(BJ5='Quick Setup'!$N$31,'Quick Setup'!$N34,if(BJ5='Quick Setup'!$O$31,'Quick Setup'!$O34,if(BJ5='Quick Setup'!$P$31,'Quick Setup'!$P34,if(BJ5='Quick Setup'!$Q$31,'Quick Setup'!$Q34,if(BJ5='Quick Setup'!$R$31,'Quick Setup'!$R34,if(BJ5='Quick Setup'!$S$31,'Quick Setup'!$S34,if(BJ5='Quick Setup'!$T$31,'Quick Setup'!$T34,if(BJ5='Quick Setup'!$U$31,'Quick Setup'!$U34,if(BJ5='Quick Setup'!$V$31,'Quick Setup'!$V34,'Quick Setup'!$W34))))))))))))))))))))</f>
        <v>3</v>
      </c>
      <c r="BL5" s="25">
        <f>if(BJ5='Quick Setup'!$C$45,'Quick Setup'!$C48,if(BJ5='Quick Setup'!$D$45,'Quick Setup'!$D48,if(BJ5='Quick Setup'!$E$45,'Quick Setup'!$E48,if(BJ5='Quick Setup'!$F$45,'Quick Setup'!$F48,if(BJ5='Quick Setup'!$G$45,'Quick Setup'!$G48,if(BJ5='Quick Setup'!$H$45,'Quick Setup'!$H48,if(BJ5='Quick Setup'!$I$45,'Quick Setup'!$I48,if(BJ5='Quick Setup'!$J$45,'Quick Setup'!$J48,if(BJ5='Quick Setup'!$K$45,'Quick Setup'!$K48,if(BJ5='Quick Setup'!$L$45,'Quick Setup'!$L48,if(BJ5='Quick Setup'!$M$45,'Quick Setup'!$M48,if(BJ5='Quick Setup'!$N$45,'Quick Setup'!$N48,if(BJ5='Quick Setup'!$O$45,'Quick Setup'!$O48,if(BJ5='Quick Setup'!$P$45,'Quick Setup'!$P48,if(BJ5='Quick Setup'!$Q$45,'Quick Setup'!$Q48,if(BJ5='Quick Setup'!$R$45,'Quick Setup'!$R48,if(BJ5='Quick Setup'!$S$45,'Quick Setup'!$S48,if(BJ5='Quick Setup'!$T$45,'Quick Setup'!$T48,if(BJ5='Quick Setup'!$U$45,'Quick Setup'!$U48,if(BJ5='Quick Setup'!$V$45,'Quick Setup'!$V48,'Quick Setup'!$W48))))))))))))))))))))</f>
        <v>5</v>
      </c>
      <c r="BM5" s="27">
        <f t="shared" ref="BM5:BU5" si="45">BA5</f>
        <v>5</v>
      </c>
      <c r="BN5" s="28">
        <f t="shared" si="45"/>
        <v>-0.05</v>
      </c>
      <c r="BO5" s="28">
        <f t="shared" si="45"/>
        <v>-0.02</v>
      </c>
      <c r="BP5" s="28">
        <f t="shared" si="45"/>
        <v>0</v>
      </c>
      <c r="BQ5" s="28">
        <f t="shared" si="45"/>
        <v>0.005</v>
      </c>
      <c r="BR5" s="28">
        <f t="shared" si="45"/>
        <v>0.01</v>
      </c>
      <c r="BS5" s="28">
        <f t="shared" si="45"/>
        <v>0.015</v>
      </c>
      <c r="BT5" s="28">
        <f t="shared" si="45"/>
        <v>0.02</v>
      </c>
      <c r="BU5" s="28">
        <f t="shared" si="45"/>
        <v>0.03</v>
      </c>
      <c r="BV5" s="24">
        <f>'Quick Setup'!I62</f>
        <v>0.6</v>
      </c>
      <c r="BW5" s="25">
        <f>if(BV5='Quick Setup'!$C$31,'Quick Setup'!$C34,if(BV5='Quick Setup'!$D$31,'Quick Setup'!$D34,if(BV5='Quick Setup'!$E$31,'Quick Setup'!$E34,if(BV5='Quick Setup'!$F$31,'Quick Setup'!$F34,if(BV5='Quick Setup'!$G$31,'Quick Setup'!$G34,if(BV5='Quick Setup'!$H$31,'Quick Setup'!$H34,if(BV5='Quick Setup'!$I$31,'Quick Setup'!$I34,if(BV5='Quick Setup'!$J$31,'Quick Setup'!$J34,if(BV5='Quick Setup'!$K$31,'Quick Setup'!$K34,if(BV5='Quick Setup'!$L$31,'Quick Setup'!$L34,if(BV5='Quick Setup'!$M$31,'Quick Setup'!$M34,if(BV5='Quick Setup'!$N$31,'Quick Setup'!$N34,if(BV5='Quick Setup'!$O$31,'Quick Setup'!$O34,if(BV5='Quick Setup'!$P$31,'Quick Setup'!$P34,if(BV5='Quick Setup'!$Q$31,'Quick Setup'!$Q34,if(BV5='Quick Setup'!$R$31,'Quick Setup'!$R34,if(BV5='Quick Setup'!$S$31,'Quick Setup'!$S34,if(BV5='Quick Setup'!$T$31,'Quick Setup'!$T34,if(BV5='Quick Setup'!$U$31,'Quick Setup'!$U34,if(BV5='Quick Setup'!$V$31,'Quick Setup'!$V34,'Quick Setup'!$W34))))))))))))))))))))</f>
        <v>7</v>
      </c>
      <c r="BX5" s="25">
        <f>if(BV5='Quick Setup'!$C$45,'Quick Setup'!$C48,if(BV5='Quick Setup'!$D$45,'Quick Setup'!$D48,if(BV5='Quick Setup'!$E$45,'Quick Setup'!$E48,if(BV5='Quick Setup'!$F$45,'Quick Setup'!$F48,if(BV5='Quick Setup'!$G$45,'Quick Setup'!$G48,if(BV5='Quick Setup'!$H$45,'Quick Setup'!$H48,if(BV5='Quick Setup'!$I$45,'Quick Setup'!$I48,if(BV5='Quick Setup'!$J$45,'Quick Setup'!$J48,if(BV5='Quick Setup'!$K$45,'Quick Setup'!$K48,if(BV5='Quick Setup'!$L$45,'Quick Setup'!$L48,if(BV5='Quick Setup'!$M$45,'Quick Setup'!$M48,if(BV5='Quick Setup'!$N$45,'Quick Setup'!$N48,if(BV5='Quick Setup'!$O$45,'Quick Setup'!$O48,if(BV5='Quick Setup'!$P$45,'Quick Setup'!$P48,if(BV5='Quick Setup'!$Q$45,'Quick Setup'!$Q48,if(BV5='Quick Setup'!$R$45,'Quick Setup'!$R48,if(BV5='Quick Setup'!$S$45,'Quick Setup'!$S48,if(BV5='Quick Setup'!$T$45,'Quick Setup'!$T48,if(BV5='Quick Setup'!$U$45,'Quick Setup'!$U48,if(BV5='Quick Setup'!$V$45,'Quick Setup'!$V48,'Quick Setup'!$W48))))))))))))))))))))</f>
        <v>14</v>
      </c>
      <c r="BY5" s="27">
        <f t="shared" ref="BY5:CG5" si="46">BM5</f>
        <v>5</v>
      </c>
      <c r="BZ5" s="28">
        <f t="shared" si="46"/>
        <v>-0.05</v>
      </c>
      <c r="CA5" s="28">
        <f t="shared" si="46"/>
        <v>-0.02</v>
      </c>
      <c r="CB5" s="28">
        <f t="shared" si="46"/>
        <v>0</v>
      </c>
      <c r="CC5" s="28">
        <f t="shared" si="46"/>
        <v>0.005</v>
      </c>
      <c r="CD5" s="28">
        <f t="shared" si="46"/>
        <v>0.01</v>
      </c>
      <c r="CE5" s="28">
        <f t="shared" si="46"/>
        <v>0.015</v>
      </c>
      <c r="CF5" s="28">
        <f t="shared" si="46"/>
        <v>0.02</v>
      </c>
      <c r="CG5" s="28">
        <f t="shared" si="46"/>
        <v>0.03</v>
      </c>
      <c r="CH5" s="24">
        <f>'Quick Setup'!J62</f>
        <v>0.75</v>
      </c>
      <c r="CI5" s="25">
        <f>if(CH5='Quick Setup'!$C$31,'Quick Setup'!$C34,if(CH5='Quick Setup'!$D$31,'Quick Setup'!$D34,if(CH5='Quick Setup'!$E$31,'Quick Setup'!$E34,if(CH5='Quick Setup'!$F$31,'Quick Setup'!$F34,if(CH5='Quick Setup'!$G$31,'Quick Setup'!$G34,if(CH5='Quick Setup'!$H$31,'Quick Setup'!$H34,if(CH5='Quick Setup'!$I$31,'Quick Setup'!$I34,if(CH5='Quick Setup'!$J$31,'Quick Setup'!$J34,if(CH5='Quick Setup'!$K$31,'Quick Setup'!$K34,if(CH5='Quick Setup'!$L$31,'Quick Setup'!$L34,if(CH5='Quick Setup'!$M$31,'Quick Setup'!$M34,if(CH5='Quick Setup'!$N$31,'Quick Setup'!$N34,if(CH5='Quick Setup'!$O$31,'Quick Setup'!$O34,if(CH5='Quick Setup'!$P$31,'Quick Setup'!$P34,if(CH5='Quick Setup'!$Q$31,'Quick Setup'!$Q34,if(CH5='Quick Setup'!$R$31,'Quick Setup'!$R34,if(CH5='Quick Setup'!$S$31,'Quick Setup'!$S34,if(CH5='Quick Setup'!$T$31,'Quick Setup'!$T34,if(CH5='Quick Setup'!$U$31,'Quick Setup'!$U34,if(CH5='Quick Setup'!$V$31,'Quick Setup'!$V34,'Quick Setup'!$W34))))))))))))))))))))</f>
        <v>4</v>
      </c>
      <c r="CJ5" s="25">
        <f>if(CH5='Quick Setup'!$C$45,'Quick Setup'!$C48,if(CH5='Quick Setup'!$D$45,'Quick Setup'!$D48,if(CH5='Quick Setup'!$E$45,'Quick Setup'!$E48,if(CH5='Quick Setup'!$F$45,'Quick Setup'!$F48,if(CH5='Quick Setup'!$G$45,'Quick Setup'!$G48,if(CH5='Quick Setup'!$H$45,'Quick Setup'!$H48,if(CH5='Quick Setup'!$I$45,'Quick Setup'!$I48,if(CH5='Quick Setup'!$J$45,'Quick Setup'!$J48,if(CH5='Quick Setup'!$K$45,'Quick Setup'!$K48,if(CH5='Quick Setup'!$L$45,'Quick Setup'!$L48,if(CH5='Quick Setup'!$M$45,'Quick Setup'!$M48,if(CH5='Quick Setup'!$N$45,'Quick Setup'!$N48,if(CH5='Quick Setup'!$O$45,'Quick Setup'!$O48,if(CH5='Quick Setup'!$P$45,'Quick Setup'!$P48,if(CH5='Quick Setup'!$Q$45,'Quick Setup'!$Q48,if(CH5='Quick Setup'!$R$45,'Quick Setup'!$R48,if(CH5='Quick Setup'!$S$45,'Quick Setup'!$S48,if(CH5='Quick Setup'!$T$45,'Quick Setup'!$T48,if(CH5='Quick Setup'!$U$45,'Quick Setup'!$U48,if(CH5='Quick Setup'!$V$45,'Quick Setup'!$V48,'Quick Setup'!$W48))))))))))))))))))))</f>
        <v>8</v>
      </c>
      <c r="CK5" s="27">
        <f t="shared" ref="CK5:CS5" si="47">BY5</f>
        <v>5</v>
      </c>
      <c r="CL5" s="28">
        <f t="shared" si="47"/>
        <v>-0.05</v>
      </c>
      <c r="CM5" s="28">
        <f t="shared" si="47"/>
        <v>-0.02</v>
      </c>
      <c r="CN5" s="28">
        <f t="shared" si="47"/>
        <v>0</v>
      </c>
      <c r="CO5" s="28">
        <f t="shared" si="47"/>
        <v>0.005</v>
      </c>
      <c r="CP5" s="28">
        <f t="shared" si="47"/>
        <v>0.01</v>
      </c>
      <c r="CQ5" s="28">
        <f t="shared" si="47"/>
        <v>0.015</v>
      </c>
      <c r="CR5" s="28">
        <f t="shared" si="47"/>
        <v>0.02</v>
      </c>
      <c r="CS5" s="28">
        <f t="shared" si="47"/>
        <v>0.03</v>
      </c>
      <c r="CT5" s="24">
        <f>'Quick Setup'!K62</f>
        <v>0.8</v>
      </c>
      <c r="CU5" s="25">
        <f>if(CT5='Quick Setup'!$C$31,'Quick Setup'!$C34,if(CT5='Quick Setup'!$D$31,'Quick Setup'!$D34,if(CT5='Quick Setup'!$E$31,'Quick Setup'!$E34,if(CT5='Quick Setup'!$F$31,'Quick Setup'!$F34,if(CT5='Quick Setup'!$G$31,'Quick Setup'!$G34,if(CT5='Quick Setup'!$H$31,'Quick Setup'!$H34,if(CT5='Quick Setup'!$I$31,'Quick Setup'!$I34,if(CT5='Quick Setup'!$J$31,'Quick Setup'!$J34,if(CT5='Quick Setup'!$K$31,'Quick Setup'!$K34,if(CT5='Quick Setup'!$L$31,'Quick Setup'!$L34,if(CT5='Quick Setup'!$M$31,'Quick Setup'!$M34,if(CT5='Quick Setup'!$N$31,'Quick Setup'!$N34,if(CT5='Quick Setup'!$O$31,'Quick Setup'!$O34,if(CT5='Quick Setup'!$P$31,'Quick Setup'!$P34,if(CT5='Quick Setup'!$Q$31,'Quick Setup'!$Q34,if(CT5='Quick Setup'!$R$31,'Quick Setup'!$R34,if(CT5='Quick Setup'!$S$31,'Quick Setup'!$S34,if(CT5='Quick Setup'!$T$31,'Quick Setup'!$T34,if(CT5='Quick Setup'!$U$31,'Quick Setup'!$U34,if(CT5='Quick Setup'!$V$31,'Quick Setup'!$V34,'Quick Setup'!$W34))))))))))))))))))))</f>
        <v>3</v>
      </c>
      <c r="CV5" s="25">
        <f>if(CT5='Quick Setup'!$C$45,'Quick Setup'!$C48,if(CT5='Quick Setup'!$D$45,'Quick Setup'!$D48,if(CT5='Quick Setup'!$E$45,'Quick Setup'!$E48,if(CT5='Quick Setup'!$F$45,'Quick Setup'!$F48,if(CT5='Quick Setup'!$G$45,'Quick Setup'!$G48,if(CT5='Quick Setup'!$H$45,'Quick Setup'!$H48,if(CT5='Quick Setup'!$I$45,'Quick Setup'!$I48,if(CT5='Quick Setup'!$J$45,'Quick Setup'!$J48,if(CT5='Quick Setup'!$K$45,'Quick Setup'!$K48,if(CT5='Quick Setup'!$L$45,'Quick Setup'!$L48,if(CT5='Quick Setup'!$M$45,'Quick Setup'!$M48,if(CT5='Quick Setup'!$N$45,'Quick Setup'!$N48,if(CT5='Quick Setup'!$O$45,'Quick Setup'!$O48,if(CT5='Quick Setup'!$P$45,'Quick Setup'!$P48,if(CT5='Quick Setup'!$Q$45,'Quick Setup'!$Q48,if(CT5='Quick Setup'!$R$45,'Quick Setup'!$R48,if(CT5='Quick Setup'!$S$45,'Quick Setup'!$S48,if(CT5='Quick Setup'!$T$45,'Quick Setup'!$T48,if(CT5='Quick Setup'!$U$45,'Quick Setup'!$U48,if(CT5='Quick Setup'!$V$45,'Quick Setup'!$V48,'Quick Setup'!$W48))))))))))))))))))))</f>
        <v>6</v>
      </c>
      <c r="CW5" s="27">
        <f t="shared" ref="CW5:DE5" si="48">CK5</f>
        <v>5</v>
      </c>
      <c r="CX5" s="28">
        <f t="shared" si="48"/>
        <v>-0.05</v>
      </c>
      <c r="CY5" s="28">
        <f t="shared" si="48"/>
        <v>-0.02</v>
      </c>
      <c r="CZ5" s="28">
        <f t="shared" si="48"/>
        <v>0</v>
      </c>
      <c r="DA5" s="28">
        <f t="shared" si="48"/>
        <v>0.005</v>
      </c>
      <c r="DB5" s="28">
        <f t="shared" si="48"/>
        <v>0.01</v>
      </c>
      <c r="DC5" s="28">
        <f t="shared" si="48"/>
        <v>0.015</v>
      </c>
      <c r="DD5" s="28">
        <f t="shared" si="48"/>
        <v>0.02</v>
      </c>
      <c r="DE5" s="28">
        <f t="shared" si="48"/>
        <v>0.03</v>
      </c>
      <c r="DF5" s="24">
        <f>'Quick Setup'!L62</f>
        <v>0.85</v>
      </c>
      <c r="DG5" s="25">
        <f>if(DF5='Quick Setup'!$C$31,'Quick Setup'!$C34,if(DF5='Quick Setup'!$D$31,'Quick Setup'!$D34,if(DF5='Quick Setup'!$E$31,'Quick Setup'!$E34,if(DF5='Quick Setup'!$F$31,'Quick Setup'!$F34,if(DF5='Quick Setup'!$G$31,'Quick Setup'!$G34,if(DF5='Quick Setup'!$H$31,'Quick Setup'!$H34,if(DF5='Quick Setup'!$I$31,'Quick Setup'!$I34,if(DF5='Quick Setup'!$J$31,'Quick Setup'!$J34,if(DF5='Quick Setup'!$K$31,'Quick Setup'!$K34,if(DF5='Quick Setup'!$L$31,'Quick Setup'!$L34,if(DF5='Quick Setup'!$M$31,'Quick Setup'!$M34,if(DF5='Quick Setup'!$N$31,'Quick Setup'!$N34,if(DF5='Quick Setup'!$O$31,'Quick Setup'!$O34,if(DF5='Quick Setup'!$P$31,'Quick Setup'!$P34,if(DF5='Quick Setup'!$Q$31,'Quick Setup'!$Q34,if(DF5='Quick Setup'!$R$31,'Quick Setup'!$R34,if(DF5='Quick Setup'!$S$31,'Quick Setup'!$S34,if(DF5='Quick Setup'!$T$31,'Quick Setup'!$T34,if(DF5='Quick Setup'!$U$31,'Quick Setup'!$U34,if(DF5='Quick Setup'!$V$31,'Quick Setup'!$V34,'Quick Setup'!$W34))))))))))))))))))))</f>
        <v>2</v>
      </c>
      <c r="DH5" s="25">
        <f>if(DF5='Quick Setup'!$C$45,'Quick Setup'!$C48,if(DF5='Quick Setup'!$D$45,'Quick Setup'!$D48,if(DF5='Quick Setup'!$E$45,'Quick Setup'!$E48,if(DF5='Quick Setup'!$F$45,'Quick Setup'!$F48,if(DF5='Quick Setup'!$G$45,'Quick Setup'!$G48,if(DF5='Quick Setup'!$H$45,'Quick Setup'!$H48,if(DF5='Quick Setup'!$I$45,'Quick Setup'!$I48,if(DF5='Quick Setup'!$J$45,'Quick Setup'!$J48,if(DF5='Quick Setup'!$K$45,'Quick Setup'!$K48,if(DF5='Quick Setup'!$L$45,'Quick Setup'!$L48,if(DF5='Quick Setup'!$M$45,'Quick Setup'!$M48,if(DF5='Quick Setup'!$N$45,'Quick Setup'!$N48,if(DF5='Quick Setup'!$O$45,'Quick Setup'!$O48,if(DF5='Quick Setup'!$P$45,'Quick Setup'!$P48,if(DF5='Quick Setup'!$Q$45,'Quick Setup'!$Q48,if(DF5='Quick Setup'!$R$45,'Quick Setup'!$R48,if(DF5='Quick Setup'!$S$45,'Quick Setup'!$S48,if(DF5='Quick Setup'!$T$45,'Quick Setup'!$T48,if(DF5='Quick Setup'!$U$45,'Quick Setup'!$U48,if(DF5='Quick Setup'!$V$45,'Quick Setup'!$V48,'Quick Setup'!$W48))))))))))))))))))))</f>
        <v>4</v>
      </c>
      <c r="DI5" s="27">
        <f t="shared" ref="DI5:DQ5" si="49">CW5</f>
        <v>5</v>
      </c>
      <c r="DJ5" s="28">
        <f t="shared" si="49"/>
        <v>-0.05</v>
      </c>
      <c r="DK5" s="28">
        <f t="shared" si="49"/>
        <v>-0.02</v>
      </c>
      <c r="DL5" s="28">
        <f t="shared" si="49"/>
        <v>0</v>
      </c>
      <c r="DM5" s="28">
        <f t="shared" si="49"/>
        <v>0.005</v>
      </c>
      <c r="DN5" s="28">
        <f t="shared" si="49"/>
        <v>0.01</v>
      </c>
      <c r="DO5" s="28">
        <f t="shared" si="49"/>
        <v>0.015</v>
      </c>
      <c r="DP5" s="28">
        <f t="shared" si="49"/>
        <v>0.02</v>
      </c>
      <c r="DQ5" s="28">
        <f t="shared" si="49"/>
        <v>0.03</v>
      </c>
      <c r="DR5" s="24">
        <f>'Quick Setup'!M62</f>
        <v>0.775</v>
      </c>
      <c r="DS5" s="25">
        <f>if(DR5='Quick Setup'!$C$31,'Quick Setup'!$C34,if(DR5='Quick Setup'!$D$31,'Quick Setup'!$D34,if(DR5='Quick Setup'!$E$31,'Quick Setup'!$E34,if(DR5='Quick Setup'!$F$31,'Quick Setup'!$F34,if(DR5='Quick Setup'!$G$31,'Quick Setup'!$G34,if(DR5='Quick Setup'!$H$31,'Quick Setup'!$H34,if(DR5='Quick Setup'!$I$31,'Quick Setup'!$I34,if(DR5='Quick Setup'!$J$31,'Quick Setup'!$J34,if(DR5='Quick Setup'!$K$31,'Quick Setup'!$K34,if(DR5='Quick Setup'!$L$31,'Quick Setup'!$L34,if(DR5='Quick Setup'!$M$31,'Quick Setup'!$M34,if(DR5='Quick Setup'!$N$31,'Quick Setup'!$N34,if(DR5='Quick Setup'!$O$31,'Quick Setup'!$O34,if(DR5='Quick Setup'!$P$31,'Quick Setup'!$P34,if(DR5='Quick Setup'!$Q$31,'Quick Setup'!$Q34,if(DR5='Quick Setup'!$R$31,'Quick Setup'!$R34,if(DR5='Quick Setup'!$S$31,'Quick Setup'!$S34,if(DR5='Quick Setup'!$T$31,'Quick Setup'!$T34,if(DR5='Quick Setup'!$U$31,'Quick Setup'!$U34,if(DR5='Quick Setup'!$V$31,'Quick Setup'!$V34,'Quick Setup'!$W34))))))))))))))))))))</f>
        <v>4</v>
      </c>
      <c r="DT5" s="25">
        <f>if(DR5='Quick Setup'!$C$45,'Quick Setup'!$C48,if(DR5='Quick Setup'!$D$45,'Quick Setup'!$D48,if(DR5='Quick Setup'!$E$45,'Quick Setup'!$E48,if(DR5='Quick Setup'!$F$45,'Quick Setup'!$F48,if(DR5='Quick Setup'!$G$45,'Quick Setup'!$G48,if(DR5='Quick Setup'!$H$45,'Quick Setup'!$H48,if(DR5='Quick Setup'!$I$45,'Quick Setup'!$I48,if(DR5='Quick Setup'!$J$45,'Quick Setup'!$J48,if(DR5='Quick Setup'!$K$45,'Quick Setup'!$K48,if(DR5='Quick Setup'!$L$45,'Quick Setup'!$L48,if(DR5='Quick Setup'!$M$45,'Quick Setup'!$M48,if(DR5='Quick Setup'!$N$45,'Quick Setup'!$N48,if(DR5='Quick Setup'!$O$45,'Quick Setup'!$O48,if(DR5='Quick Setup'!$P$45,'Quick Setup'!$P48,if(DR5='Quick Setup'!$Q$45,'Quick Setup'!$Q48,if(DR5='Quick Setup'!$R$45,'Quick Setup'!$R48,if(DR5='Quick Setup'!$S$45,'Quick Setup'!$S48,if(DR5='Quick Setup'!$T$45,'Quick Setup'!$T48,if(DR5='Quick Setup'!$U$45,'Quick Setup'!$U48,if(DR5='Quick Setup'!$V$45,'Quick Setup'!$V48,'Quick Setup'!$W48))))))))))))))))))))</f>
        <v>7</v>
      </c>
      <c r="DU5" s="27">
        <f t="shared" ref="DU5:EC5" si="50">DI5</f>
        <v>5</v>
      </c>
      <c r="DV5" s="28">
        <f t="shared" si="50"/>
        <v>-0.05</v>
      </c>
      <c r="DW5" s="28">
        <f t="shared" si="50"/>
        <v>-0.02</v>
      </c>
      <c r="DX5" s="28">
        <f t="shared" si="50"/>
        <v>0</v>
      </c>
      <c r="DY5" s="28">
        <f t="shared" si="50"/>
        <v>0.005</v>
      </c>
      <c r="DZ5" s="28">
        <f t="shared" si="50"/>
        <v>0.01</v>
      </c>
      <c r="EA5" s="28">
        <f t="shared" si="50"/>
        <v>0.015</v>
      </c>
      <c r="EB5" s="28">
        <f t="shared" si="50"/>
        <v>0.02</v>
      </c>
      <c r="EC5" s="28">
        <f t="shared" si="50"/>
        <v>0.03</v>
      </c>
      <c r="ED5" s="24">
        <f>'Quick Setup'!N62</f>
        <v>0.825</v>
      </c>
      <c r="EE5" s="25">
        <f>if(ED5='Quick Setup'!$C$31,'Quick Setup'!$C34,if(ED5='Quick Setup'!$D$31,'Quick Setup'!$D34,if(ED5='Quick Setup'!$E$31,'Quick Setup'!$E34,if(ED5='Quick Setup'!$F$31,'Quick Setup'!$F34,if(ED5='Quick Setup'!$G$31,'Quick Setup'!$G34,if(ED5='Quick Setup'!$H$31,'Quick Setup'!$H34,if(ED5='Quick Setup'!$I$31,'Quick Setup'!$I34,if(ED5='Quick Setup'!$J$31,'Quick Setup'!$J34,if(ED5='Quick Setup'!$K$31,'Quick Setup'!$K34,if(ED5='Quick Setup'!$L$31,'Quick Setup'!$L34,if(ED5='Quick Setup'!$M$31,'Quick Setup'!$M34,if(ED5='Quick Setup'!$N$31,'Quick Setup'!$N34,if(ED5='Quick Setup'!$O$31,'Quick Setup'!$O34,if(ED5='Quick Setup'!$P$31,'Quick Setup'!$P34,if(ED5='Quick Setup'!$Q$31,'Quick Setup'!$Q34,if(ED5='Quick Setup'!$R$31,'Quick Setup'!$R34,if(ED5='Quick Setup'!$S$31,'Quick Setup'!$S34,if(ED5='Quick Setup'!$T$31,'Quick Setup'!$T34,if(ED5='Quick Setup'!$U$31,'Quick Setup'!$U34,if(ED5='Quick Setup'!$V$31,'Quick Setup'!$V34,'Quick Setup'!$W34))))))))))))))))))))</f>
        <v>3</v>
      </c>
      <c r="EF5" s="25">
        <f>if(ED5='Quick Setup'!$C$45,'Quick Setup'!$C48,if(ED5='Quick Setup'!$D$45,'Quick Setup'!$D48,if(ED5='Quick Setup'!$E$45,'Quick Setup'!$E48,if(ED5='Quick Setup'!$F$45,'Quick Setup'!$F48,if(ED5='Quick Setup'!$G$45,'Quick Setup'!$G48,if(ED5='Quick Setup'!$H$45,'Quick Setup'!$H48,if(ED5='Quick Setup'!$I$45,'Quick Setup'!$I48,if(ED5='Quick Setup'!$J$45,'Quick Setup'!$J48,if(ED5='Quick Setup'!$K$45,'Quick Setup'!$K48,if(ED5='Quick Setup'!$L$45,'Quick Setup'!$L48,if(ED5='Quick Setup'!$M$45,'Quick Setup'!$M48,if(ED5='Quick Setup'!$N$45,'Quick Setup'!$N48,if(ED5='Quick Setup'!$O$45,'Quick Setup'!$O48,if(ED5='Quick Setup'!$P$45,'Quick Setup'!$P48,if(ED5='Quick Setup'!$Q$45,'Quick Setup'!$Q48,if(ED5='Quick Setup'!$R$45,'Quick Setup'!$R48,if(ED5='Quick Setup'!$S$45,'Quick Setup'!$S48,if(ED5='Quick Setup'!$T$45,'Quick Setup'!$T48,if(ED5='Quick Setup'!$U$45,'Quick Setup'!$U48,if(ED5='Quick Setup'!$V$45,'Quick Setup'!$V48,'Quick Setup'!$W48))))))))))))))))))))</f>
        <v>5</v>
      </c>
      <c r="EG5" s="27">
        <f t="shared" ref="EG5:EO5" si="51">DU5</f>
        <v>5</v>
      </c>
      <c r="EH5" s="28">
        <f t="shared" si="51"/>
        <v>-0.05</v>
      </c>
      <c r="EI5" s="28">
        <f t="shared" si="51"/>
        <v>-0.02</v>
      </c>
      <c r="EJ5" s="28">
        <f t="shared" si="51"/>
        <v>0</v>
      </c>
      <c r="EK5" s="28">
        <f t="shared" si="51"/>
        <v>0.005</v>
      </c>
      <c r="EL5" s="28">
        <f t="shared" si="51"/>
        <v>0.01</v>
      </c>
      <c r="EM5" s="28">
        <f t="shared" si="51"/>
        <v>0.015</v>
      </c>
      <c r="EN5" s="28">
        <f t="shared" si="51"/>
        <v>0.02</v>
      </c>
      <c r="EO5" s="28">
        <f t="shared" si="51"/>
        <v>0.03</v>
      </c>
      <c r="EP5" s="24">
        <f>'Quick Setup'!O62</f>
        <v>0.875</v>
      </c>
      <c r="EQ5" s="25">
        <f>if(EP5='Quick Setup'!$C$31,'Quick Setup'!$C34,if(EP5='Quick Setup'!$D$31,'Quick Setup'!$D34,if(EP5='Quick Setup'!$E$31,'Quick Setup'!$E34,if(EP5='Quick Setup'!$F$31,'Quick Setup'!$F34,if(EP5='Quick Setup'!$G$31,'Quick Setup'!$G34,if(EP5='Quick Setup'!$H$31,'Quick Setup'!$H34,if(EP5='Quick Setup'!$I$31,'Quick Setup'!$I34,if(EP5='Quick Setup'!$J$31,'Quick Setup'!$J34,if(EP5='Quick Setup'!$K$31,'Quick Setup'!$K34,if(EP5='Quick Setup'!$L$31,'Quick Setup'!$L34,if(EP5='Quick Setup'!$M$31,'Quick Setup'!$M34,if(EP5='Quick Setup'!$N$31,'Quick Setup'!$N34,if(EP5='Quick Setup'!$O$31,'Quick Setup'!$O34,if(EP5='Quick Setup'!$P$31,'Quick Setup'!$P34,if(EP5='Quick Setup'!$Q$31,'Quick Setup'!$Q34,if(EP5='Quick Setup'!$R$31,'Quick Setup'!$R34,if(EP5='Quick Setup'!$S$31,'Quick Setup'!$S34,if(EP5='Quick Setup'!$T$31,'Quick Setup'!$T34,if(EP5='Quick Setup'!$U$31,'Quick Setup'!$U34,if(EP5='Quick Setup'!$V$31,'Quick Setup'!$V34,'Quick Setup'!$W34))))))))))))))))))))</f>
        <v>2</v>
      </c>
      <c r="ER5" s="25">
        <f>if(EP5='Quick Setup'!$C$45,'Quick Setup'!$C48,if(EP5='Quick Setup'!$D$45,'Quick Setup'!$D48,if(EP5='Quick Setup'!$E$45,'Quick Setup'!$E48,if(EP5='Quick Setup'!$F$45,'Quick Setup'!$F48,if(EP5='Quick Setup'!$G$45,'Quick Setup'!$G48,if(EP5='Quick Setup'!$H$45,'Quick Setup'!$H48,if(EP5='Quick Setup'!$I$45,'Quick Setup'!$I48,if(EP5='Quick Setup'!$J$45,'Quick Setup'!$J48,if(EP5='Quick Setup'!$K$45,'Quick Setup'!$K48,if(EP5='Quick Setup'!$L$45,'Quick Setup'!$L48,if(EP5='Quick Setup'!$M$45,'Quick Setup'!$M48,if(EP5='Quick Setup'!$N$45,'Quick Setup'!$N48,if(EP5='Quick Setup'!$O$45,'Quick Setup'!$O48,if(EP5='Quick Setup'!$P$45,'Quick Setup'!$P48,if(EP5='Quick Setup'!$Q$45,'Quick Setup'!$Q48,if(EP5='Quick Setup'!$R$45,'Quick Setup'!$R48,if(EP5='Quick Setup'!$S$45,'Quick Setup'!$S48,if(EP5='Quick Setup'!$T$45,'Quick Setup'!$T48,if(EP5='Quick Setup'!$U$45,'Quick Setup'!$U48,if(EP5='Quick Setup'!$V$45,'Quick Setup'!$V48,'Quick Setup'!$W48))))))))))))))))))))</f>
        <v>3</v>
      </c>
      <c r="ES5" s="27">
        <f t="shared" ref="ES5:FA5" si="52">EG5</f>
        <v>5</v>
      </c>
      <c r="ET5" s="28">
        <f t="shared" si="52"/>
        <v>-0.05</v>
      </c>
      <c r="EU5" s="28">
        <f t="shared" si="52"/>
        <v>-0.02</v>
      </c>
      <c r="EV5" s="28">
        <f t="shared" si="52"/>
        <v>0</v>
      </c>
      <c r="EW5" s="28">
        <f t="shared" si="52"/>
        <v>0.005</v>
      </c>
      <c r="EX5" s="28">
        <f t="shared" si="52"/>
        <v>0.01</v>
      </c>
      <c r="EY5" s="28">
        <f t="shared" si="52"/>
        <v>0.015</v>
      </c>
      <c r="EZ5" s="28">
        <f t="shared" si="52"/>
        <v>0.02</v>
      </c>
      <c r="FA5" s="28">
        <f t="shared" si="52"/>
        <v>0.03</v>
      </c>
      <c r="FB5" s="24">
        <f>'Quick Setup'!P62</f>
        <v>0.6</v>
      </c>
      <c r="FC5" s="25">
        <f>if(FB5='Quick Setup'!$C$31,'Quick Setup'!$C34,if(FB5='Quick Setup'!$D$31,'Quick Setup'!$D34,if(FB5='Quick Setup'!$E$31,'Quick Setup'!$E34,if(FB5='Quick Setup'!$F$31,'Quick Setup'!$F34,if(FB5='Quick Setup'!$G$31,'Quick Setup'!$G34,if(FB5='Quick Setup'!$H$31,'Quick Setup'!$H34,if(FB5='Quick Setup'!$I$31,'Quick Setup'!$I34,if(FB5='Quick Setup'!$J$31,'Quick Setup'!$J34,if(FB5='Quick Setup'!$K$31,'Quick Setup'!$K34,if(FB5='Quick Setup'!$L$31,'Quick Setup'!$L34,if(FB5='Quick Setup'!$M$31,'Quick Setup'!$M34,if(FB5='Quick Setup'!$N$31,'Quick Setup'!$N34,if(FB5='Quick Setup'!$O$31,'Quick Setup'!$O34,if(FB5='Quick Setup'!$P$31,'Quick Setup'!$P34,if(FB5='Quick Setup'!$Q$31,'Quick Setup'!$Q34,if(FB5='Quick Setup'!$R$31,'Quick Setup'!$R34,if(FB5='Quick Setup'!$S$31,'Quick Setup'!$S34,if(FB5='Quick Setup'!$T$31,'Quick Setup'!$T34,if(FB5='Quick Setup'!$U$31,'Quick Setup'!$U34,if(FB5='Quick Setup'!$V$31,'Quick Setup'!$V34,'Quick Setup'!$W34))))))))))))))))))))</f>
        <v>7</v>
      </c>
      <c r="FD5" s="25">
        <f>if(FB5='Quick Setup'!$C$45,'Quick Setup'!$C48,if(FB5='Quick Setup'!$D$45,'Quick Setup'!$D48,if(FB5='Quick Setup'!$E$45,'Quick Setup'!$E48,if(FB5='Quick Setup'!$F$45,'Quick Setup'!$F48,if(FB5='Quick Setup'!$G$45,'Quick Setup'!$G48,if(FB5='Quick Setup'!$H$45,'Quick Setup'!$H48,if(FB5='Quick Setup'!$I$45,'Quick Setup'!$I48,if(FB5='Quick Setup'!$J$45,'Quick Setup'!$J48,if(FB5='Quick Setup'!$K$45,'Quick Setup'!$K48,if(FB5='Quick Setup'!$L$45,'Quick Setup'!$L48,if(FB5='Quick Setup'!$M$45,'Quick Setup'!$M48,if(FB5='Quick Setup'!$N$45,'Quick Setup'!$N48,if(FB5='Quick Setup'!$O$45,'Quick Setup'!$O48,if(FB5='Quick Setup'!$P$45,'Quick Setup'!$P48,if(FB5='Quick Setup'!$Q$45,'Quick Setup'!$Q48,if(FB5='Quick Setup'!$R$45,'Quick Setup'!$R48,if(FB5='Quick Setup'!$S$45,'Quick Setup'!$S48,if(FB5='Quick Setup'!$T$45,'Quick Setup'!$T48,if(FB5='Quick Setup'!$U$45,'Quick Setup'!$U48,if(FB5='Quick Setup'!$V$45,'Quick Setup'!$V48,'Quick Setup'!$W48))))))))))))))))))))</f>
        <v>14</v>
      </c>
      <c r="FE5" s="27">
        <f t="shared" ref="FE5:FM5" si="53">ES5</f>
        <v>5</v>
      </c>
      <c r="FF5" s="28">
        <f t="shared" si="53"/>
        <v>-0.05</v>
      </c>
      <c r="FG5" s="28">
        <f t="shared" si="53"/>
        <v>-0.02</v>
      </c>
      <c r="FH5" s="28">
        <f t="shared" si="53"/>
        <v>0</v>
      </c>
      <c r="FI5" s="28">
        <f t="shared" si="53"/>
        <v>0.005</v>
      </c>
      <c r="FJ5" s="28">
        <f t="shared" si="53"/>
        <v>0.01</v>
      </c>
      <c r="FK5" s="28">
        <f t="shared" si="53"/>
        <v>0.015</v>
      </c>
      <c r="FL5" s="28">
        <f t="shared" si="53"/>
        <v>0.02</v>
      </c>
      <c r="FM5" s="28">
        <f t="shared" si="53"/>
        <v>0.03</v>
      </c>
      <c r="FN5" s="24">
        <f>'Quick Setup'!Q62</f>
        <v>0.8</v>
      </c>
      <c r="FO5" s="25">
        <f>if(FN5='Quick Setup'!$C$31,'Quick Setup'!$C34,if(FN5='Quick Setup'!$D$31,'Quick Setup'!$D34,if(FN5='Quick Setup'!$E$31,'Quick Setup'!$E34,if(FN5='Quick Setup'!$F$31,'Quick Setup'!$F34,if(FN5='Quick Setup'!$G$31,'Quick Setup'!$G34,if(FN5='Quick Setup'!$H$31,'Quick Setup'!$H34,if(FN5='Quick Setup'!$I$31,'Quick Setup'!$I34,if(FN5='Quick Setup'!$J$31,'Quick Setup'!$J34,if(FN5='Quick Setup'!$K$31,'Quick Setup'!$K34,if(FN5='Quick Setup'!$L$31,'Quick Setup'!$L34,if(FN5='Quick Setup'!$M$31,'Quick Setup'!$M34,if(FN5='Quick Setup'!$N$31,'Quick Setup'!$N34,if(FN5='Quick Setup'!$O$31,'Quick Setup'!$O34,if(FN5='Quick Setup'!$P$31,'Quick Setup'!$P34,if(FN5='Quick Setup'!$Q$31,'Quick Setup'!$Q34,if(FN5='Quick Setup'!$R$31,'Quick Setup'!$R34,if(FN5='Quick Setup'!$S$31,'Quick Setup'!$S34,if(FN5='Quick Setup'!$T$31,'Quick Setup'!$T34,if(FN5='Quick Setup'!$U$31,'Quick Setup'!$U34,if(FN5='Quick Setup'!$V$31,'Quick Setup'!$V34,'Quick Setup'!$W34))))))))))))))))))))</f>
        <v>3</v>
      </c>
      <c r="FP5" s="25">
        <f>if(FN5='Quick Setup'!$C$45,'Quick Setup'!$C48,if(FN5='Quick Setup'!$D$45,'Quick Setup'!$D48,if(FN5='Quick Setup'!$E$45,'Quick Setup'!$E48,if(FN5='Quick Setup'!$F$45,'Quick Setup'!$F48,if(FN5='Quick Setup'!$G$45,'Quick Setup'!$G48,if(FN5='Quick Setup'!$H$45,'Quick Setup'!$H48,if(FN5='Quick Setup'!$I$45,'Quick Setup'!$I48,if(FN5='Quick Setup'!$J$45,'Quick Setup'!$J48,if(FN5='Quick Setup'!$K$45,'Quick Setup'!$K48,if(FN5='Quick Setup'!$L$45,'Quick Setup'!$L48,if(FN5='Quick Setup'!$M$45,'Quick Setup'!$M48,if(FN5='Quick Setup'!$N$45,'Quick Setup'!$N48,if(FN5='Quick Setup'!$O$45,'Quick Setup'!$O48,if(FN5='Quick Setup'!$P$45,'Quick Setup'!$P48,if(FN5='Quick Setup'!$Q$45,'Quick Setup'!$Q48,if(FN5='Quick Setup'!$R$45,'Quick Setup'!$R48,if(FN5='Quick Setup'!$S$45,'Quick Setup'!$S48,if(FN5='Quick Setup'!$T$45,'Quick Setup'!$T48,if(FN5='Quick Setup'!$U$45,'Quick Setup'!$U48,if(FN5='Quick Setup'!$V$45,'Quick Setup'!$V48,'Quick Setup'!$W48))))))))))))))))))))</f>
        <v>6</v>
      </c>
      <c r="FQ5" s="27">
        <f t="shared" ref="FQ5:FY5" si="54">FE5</f>
        <v>5</v>
      </c>
      <c r="FR5" s="28">
        <f t="shared" si="54"/>
        <v>-0.05</v>
      </c>
      <c r="FS5" s="28">
        <f t="shared" si="54"/>
        <v>-0.02</v>
      </c>
      <c r="FT5" s="28">
        <f t="shared" si="54"/>
        <v>0</v>
      </c>
      <c r="FU5" s="28">
        <f t="shared" si="54"/>
        <v>0.005</v>
      </c>
      <c r="FV5" s="28">
        <f t="shared" si="54"/>
        <v>0.01</v>
      </c>
      <c r="FW5" s="28">
        <f t="shared" si="54"/>
        <v>0.015</v>
      </c>
      <c r="FX5" s="28">
        <f t="shared" si="54"/>
        <v>0.02</v>
      </c>
      <c r="FY5" s="28">
        <f t="shared" si="54"/>
        <v>0.03</v>
      </c>
      <c r="FZ5" s="24">
        <f>'Quick Setup'!R62</f>
        <v>0.85</v>
      </c>
      <c r="GA5" s="25">
        <f>if(FZ5='Quick Setup'!$C$31,'Quick Setup'!$C34,if(FZ5='Quick Setup'!$D$31,'Quick Setup'!$D34,if(FZ5='Quick Setup'!$E$31,'Quick Setup'!$E34,if(FZ5='Quick Setup'!$F$31,'Quick Setup'!$F34,if(FZ5='Quick Setup'!$G$31,'Quick Setup'!$G34,if(FZ5='Quick Setup'!$H$31,'Quick Setup'!$H34,if(FZ5='Quick Setup'!$I$31,'Quick Setup'!$I34,if(FZ5='Quick Setup'!$J$31,'Quick Setup'!$J34,if(FZ5='Quick Setup'!$K$31,'Quick Setup'!$K34,if(FZ5='Quick Setup'!$L$31,'Quick Setup'!$L34,if(FZ5='Quick Setup'!$M$31,'Quick Setup'!$M34,if(FZ5='Quick Setup'!$N$31,'Quick Setup'!$N34,if(FZ5='Quick Setup'!$O$31,'Quick Setup'!$O34,if(FZ5='Quick Setup'!$P$31,'Quick Setup'!$P34,if(FZ5='Quick Setup'!$Q$31,'Quick Setup'!$Q34,if(FZ5='Quick Setup'!$R$31,'Quick Setup'!$R34,if(FZ5='Quick Setup'!$S$31,'Quick Setup'!$S34,if(FZ5='Quick Setup'!$T$31,'Quick Setup'!$T34,if(FZ5='Quick Setup'!$U$31,'Quick Setup'!$U34,if(FZ5='Quick Setup'!$V$31,'Quick Setup'!$V34,'Quick Setup'!$W34))))))))))))))))))))</f>
        <v>2</v>
      </c>
      <c r="GB5" s="25">
        <f>if(FZ5='Quick Setup'!$C$45,'Quick Setup'!$C48,if(FZ5='Quick Setup'!$D$45,'Quick Setup'!$D48,if(FZ5='Quick Setup'!$E$45,'Quick Setup'!$E48,if(FZ5='Quick Setup'!$F$45,'Quick Setup'!$F48,if(FZ5='Quick Setup'!$G$45,'Quick Setup'!$G48,if(FZ5='Quick Setup'!$H$45,'Quick Setup'!$H48,if(FZ5='Quick Setup'!$I$45,'Quick Setup'!$I48,if(FZ5='Quick Setup'!$J$45,'Quick Setup'!$J48,if(FZ5='Quick Setup'!$K$45,'Quick Setup'!$K48,if(FZ5='Quick Setup'!$L$45,'Quick Setup'!$L48,if(FZ5='Quick Setup'!$M$45,'Quick Setup'!$M48,if(FZ5='Quick Setup'!$N$45,'Quick Setup'!$N48,if(FZ5='Quick Setup'!$O$45,'Quick Setup'!$O48,if(FZ5='Quick Setup'!$P$45,'Quick Setup'!$P48,if(FZ5='Quick Setup'!$Q$45,'Quick Setup'!$Q48,if(FZ5='Quick Setup'!$R$45,'Quick Setup'!$R48,if(FZ5='Quick Setup'!$S$45,'Quick Setup'!$S48,if(FZ5='Quick Setup'!$T$45,'Quick Setup'!$T48,if(FZ5='Quick Setup'!$U$45,'Quick Setup'!$U48,if(FZ5='Quick Setup'!$V$45,'Quick Setup'!$V48,'Quick Setup'!$W48))))))))))))))))))))</f>
        <v>4</v>
      </c>
      <c r="GC5" s="27">
        <f t="shared" ref="GC5:GK5" si="55">FQ5</f>
        <v>5</v>
      </c>
      <c r="GD5" s="28">
        <f t="shared" si="55"/>
        <v>-0.05</v>
      </c>
      <c r="GE5" s="28">
        <f t="shared" si="55"/>
        <v>-0.02</v>
      </c>
      <c r="GF5" s="28">
        <f t="shared" si="55"/>
        <v>0</v>
      </c>
      <c r="GG5" s="28">
        <f t="shared" si="55"/>
        <v>0.005</v>
      </c>
      <c r="GH5" s="28">
        <f t="shared" si="55"/>
        <v>0.01</v>
      </c>
      <c r="GI5" s="28">
        <f t="shared" si="55"/>
        <v>0.015</v>
      </c>
      <c r="GJ5" s="28">
        <f t="shared" si="55"/>
        <v>0.02</v>
      </c>
      <c r="GK5" s="28">
        <f t="shared" si="55"/>
        <v>0.03</v>
      </c>
      <c r="GL5" s="24">
        <f>'Quick Setup'!S62</f>
        <v>0.9</v>
      </c>
      <c r="GM5" s="25">
        <f>if(GL5='Quick Setup'!$C$31,'Quick Setup'!$C34,if(GL5='Quick Setup'!$D$31,'Quick Setup'!$D34,if(GL5='Quick Setup'!$E$31,'Quick Setup'!$E34,if(GL5='Quick Setup'!$F$31,'Quick Setup'!$F34,if(GL5='Quick Setup'!$G$31,'Quick Setup'!$G34,if(GL5='Quick Setup'!$H$31,'Quick Setup'!$H34,if(GL5='Quick Setup'!$I$31,'Quick Setup'!$I34,if(GL5='Quick Setup'!$J$31,'Quick Setup'!$J34,if(GL5='Quick Setup'!$K$31,'Quick Setup'!$K34,if(GL5='Quick Setup'!$L$31,'Quick Setup'!$L34,if(GL5='Quick Setup'!$M$31,'Quick Setup'!$M34,if(GL5='Quick Setup'!$N$31,'Quick Setup'!$N34,if(GL5='Quick Setup'!$O$31,'Quick Setup'!$O34,if(GL5='Quick Setup'!$P$31,'Quick Setup'!$P34,if(GL5='Quick Setup'!$Q$31,'Quick Setup'!$Q34,if(GL5='Quick Setup'!$R$31,'Quick Setup'!$R34,if(GL5='Quick Setup'!$S$31,'Quick Setup'!$S34,if(GL5='Quick Setup'!$T$31,'Quick Setup'!$T34,if(GL5='Quick Setup'!$U$31,'Quick Setup'!$U34,if(GL5='Quick Setup'!$V$31,'Quick Setup'!$V34,'Quick Setup'!$W34))))))))))))))))))))</f>
        <v>1</v>
      </c>
      <c r="GN5" s="25">
        <f>if(GL5='Quick Setup'!$C$45,'Quick Setup'!$C48,if(GL5='Quick Setup'!$D$45,'Quick Setup'!$D48,if(GL5='Quick Setup'!$E$45,'Quick Setup'!$E48,if(GL5='Quick Setup'!$F$45,'Quick Setup'!$F48,if(GL5='Quick Setup'!$G$45,'Quick Setup'!$G48,if(GL5='Quick Setup'!$H$45,'Quick Setup'!$H48,if(GL5='Quick Setup'!$I$45,'Quick Setup'!$I48,if(GL5='Quick Setup'!$J$45,'Quick Setup'!$J48,if(GL5='Quick Setup'!$K$45,'Quick Setup'!$K48,if(GL5='Quick Setup'!$L$45,'Quick Setup'!$L48,if(GL5='Quick Setup'!$M$45,'Quick Setup'!$M48,if(GL5='Quick Setup'!$N$45,'Quick Setup'!$N48,if(GL5='Quick Setup'!$O$45,'Quick Setup'!$O48,if(GL5='Quick Setup'!$P$45,'Quick Setup'!$P48,if(GL5='Quick Setup'!$Q$45,'Quick Setup'!$Q48,if(GL5='Quick Setup'!$R$45,'Quick Setup'!$R48,if(GL5='Quick Setup'!$S$45,'Quick Setup'!$S48,if(GL5='Quick Setup'!$T$45,'Quick Setup'!$T48,if(GL5='Quick Setup'!$U$45,'Quick Setup'!$U48,if(GL5='Quick Setup'!$V$45,'Quick Setup'!$V48,'Quick Setup'!$W48))))))))))))))))))))</f>
        <v>2</v>
      </c>
      <c r="GO5" s="27">
        <f t="shared" ref="GO5:GW5" si="56">GC5</f>
        <v>5</v>
      </c>
      <c r="GP5" s="28">
        <f t="shared" si="56"/>
        <v>-0.05</v>
      </c>
      <c r="GQ5" s="28">
        <f t="shared" si="56"/>
        <v>-0.02</v>
      </c>
      <c r="GR5" s="28">
        <f t="shared" si="56"/>
        <v>0</v>
      </c>
      <c r="GS5" s="28">
        <f t="shared" si="56"/>
        <v>0.005</v>
      </c>
      <c r="GT5" s="28">
        <f t="shared" si="56"/>
        <v>0.01</v>
      </c>
      <c r="GU5" s="28">
        <f t="shared" si="56"/>
        <v>0.015</v>
      </c>
      <c r="GV5" s="28">
        <f t="shared" si="56"/>
        <v>0.02</v>
      </c>
      <c r="GW5" s="28">
        <f t="shared" si="56"/>
        <v>0.03</v>
      </c>
      <c r="GX5" s="24">
        <f>'Quick Setup'!T62</f>
        <v>0.85</v>
      </c>
      <c r="GY5" s="25">
        <f>if(GX5='Quick Setup'!$C$31,'Quick Setup'!$C34,if(GX5='Quick Setup'!$D$31,'Quick Setup'!$D34,if(GX5='Quick Setup'!$E$31,'Quick Setup'!$E34,if(GX5='Quick Setup'!$F$31,'Quick Setup'!$F34,if(GX5='Quick Setup'!$G$31,'Quick Setup'!$G34,if(GX5='Quick Setup'!$H$31,'Quick Setup'!$H34,if(GX5='Quick Setup'!$I$31,'Quick Setup'!$I34,if(GX5='Quick Setup'!$J$31,'Quick Setup'!$J34,if(GX5='Quick Setup'!$K$31,'Quick Setup'!$K34,if(GX5='Quick Setup'!$L$31,'Quick Setup'!$L34,if(GX5='Quick Setup'!$M$31,'Quick Setup'!$M34,if(GX5='Quick Setup'!$N$31,'Quick Setup'!$N34,if(GX5='Quick Setup'!$O$31,'Quick Setup'!$O34,if(GX5='Quick Setup'!$P$31,'Quick Setup'!$P34,if(GX5='Quick Setup'!$Q$31,'Quick Setup'!$Q34,if(GX5='Quick Setup'!$R$31,'Quick Setup'!$R34,if(GX5='Quick Setup'!$S$31,'Quick Setup'!$S34,if(GX5='Quick Setup'!$T$31,'Quick Setup'!$T34,if(GX5='Quick Setup'!$U$31,'Quick Setup'!$U34,if(GX5='Quick Setup'!$V$31,'Quick Setup'!$V34,'Quick Setup'!$W34))))))))))))))))))))</f>
        <v>2</v>
      </c>
      <c r="GZ5" s="25">
        <f>if(GX5='Quick Setup'!$C$45,'Quick Setup'!$C48,if(GX5='Quick Setup'!$D$45,'Quick Setup'!$D48,if(GX5='Quick Setup'!$E$45,'Quick Setup'!$E48,if(GX5='Quick Setup'!$F$45,'Quick Setup'!$F48,if(GX5='Quick Setup'!$G$45,'Quick Setup'!$G48,if(GX5='Quick Setup'!$H$45,'Quick Setup'!$H48,if(GX5='Quick Setup'!$I$45,'Quick Setup'!$I48,if(GX5='Quick Setup'!$J$45,'Quick Setup'!$J48,if(GX5='Quick Setup'!$K$45,'Quick Setup'!$K48,if(GX5='Quick Setup'!$L$45,'Quick Setup'!$L48,if(GX5='Quick Setup'!$M$45,'Quick Setup'!$M48,if(GX5='Quick Setup'!$N$45,'Quick Setup'!$N48,if(GX5='Quick Setup'!$O$45,'Quick Setup'!$O48,if(GX5='Quick Setup'!$P$45,'Quick Setup'!$P48,if(GX5='Quick Setup'!$Q$45,'Quick Setup'!$Q48,if(GX5='Quick Setup'!$R$45,'Quick Setup'!$R48,if(GX5='Quick Setup'!$S$45,'Quick Setup'!$S48,if(GX5='Quick Setup'!$T$45,'Quick Setup'!$T48,if(GX5='Quick Setup'!$U$45,'Quick Setup'!$U48,if(GX5='Quick Setup'!$V$45,'Quick Setup'!$V48,'Quick Setup'!$W48))))))))))))))))))))</f>
        <v>4</v>
      </c>
      <c r="HA5" s="27">
        <f t="shared" ref="HA5:HI5" si="57">GO5</f>
        <v>5</v>
      </c>
      <c r="HB5" s="28">
        <f t="shared" si="57"/>
        <v>-0.05</v>
      </c>
      <c r="HC5" s="28">
        <f t="shared" si="57"/>
        <v>-0.02</v>
      </c>
      <c r="HD5" s="28">
        <f t="shared" si="57"/>
        <v>0</v>
      </c>
      <c r="HE5" s="28">
        <f t="shared" si="57"/>
        <v>0.005</v>
      </c>
      <c r="HF5" s="28">
        <f t="shared" si="57"/>
        <v>0.01</v>
      </c>
      <c r="HG5" s="28">
        <f t="shared" si="57"/>
        <v>0.015</v>
      </c>
      <c r="HH5" s="28">
        <f t="shared" si="57"/>
        <v>0.02</v>
      </c>
      <c r="HI5" s="28">
        <f t="shared" si="57"/>
        <v>0.03</v>
      </c>
      <c r="HJ5" s="24">
        <f>'Quick Setup'!U62</f>
        <v>0.9</v>
      </c>
      <c r="HK5" s="25">
        <f>if(HJ5='Quick Setup'!$C$31,'Quick Setup'!$C34,if(HJ5='Quick Setup'!$D$31,'Quick Setup'!$D34,if(HJ5='Quick Setup'!$E$31,'Quick Setup'!$E34,if(HJ5='Quick Setup'!$F$31,'Quick Setup'!$F34,if(HJ5='Quick Setup'!$G$31,'Quick Setup'!$G34,if(HJ5='Quick Setup'!$H$31,'Quick Setup'!$H34,if(HJ5='Quick Setup'!$I$31,'Quick Setup'!$I34,if(HJ5='Quick Setup'!$J$31,'Quick Setup'!$J34,if(HJ5='Quick Setup'!$K$31,'Quick Setup'!$K34,if(HJ5='Quick Setup'!$L$31,'Quick Setup'!$L34,if(HJ5='Quick Setup'!$M$31,'Quick Setup'!$M34,if(HJ5='Quick Setup'!$N$31,'Quick Setup'!$N34,if(HJ5='Quick Setup'!$O$31,'Quick Setup'!$O34,if(HJ5='Quick Setup'!$P$31,'Quick Setup'!$P34,if(HJ5='Quick Setup'!$Q$31,'Quick Setup'!$Q34,if(HJ5='Quick Setup'!$R$31,'Quick Setup'!$R34,if(HJ5='Quick Setup'!$S$31,'Quick Setup'!$S34,if(HJ5='Quick Setup'!$T$31,'Quick Setup'!$T34,if(HJ5='Quick Setup'!$U$31,'Quick Setup'!$U34,if(HJ5='Quick Setup'!$V$31,'Quick Setup'!$V34,'Quick Setup'!$W34))))))))))))))))))))</f>
        <v>1</v>
      </c>
      <c r="HL5" s="25">
        <f>if(HJ5='Quick Setup'!$C$45,'Quick Setup'!$C48,if(HJ5='Quick Setup'!$D$45,'Quick Setup'!$D48,if(HJ5='Quick Setup'!$E$45,'Quick Setup'!$E48,if(HJ5='Quick Setup'!$F$45,'Quick Setup'!$F48,if(HJ5='Quick Setup'!$G$45,'Quick Setup'!$G48,if(HJ5='Quick Setup'!$H$45,'Quick Setup'!$H48,if(HJ5='Quick Setup'!$I$45,'Quick Setup'!$I48,if(HJ5='Quick Setup'!$J$45,'Quick Setup'!$J48,if(HJ5='Quick Setup'!$K$45,'Quick Setup'!$K48,if(HJ5='Quick Setup'!$L$45,'Quick Setup'!$L48,if(HJ5='Quick Setup'!$M$45,'Quick Setup'!$M48,if(HJ5='Quick Setup'!$N$45,'Quick Setup'!$N48,if(HJ5='Quick Setup'!$O$45,'Quick Setup'!$O48,if(HJ5='Quick Setup'!$P$45,'Quick Setup'!$P48,if(HJ5='Quick Setup'!$Q$45,'Quick Setup'!$Q48,if(HJ5='Quick Setup'!$R$45,'Quick Setup'!$R48,if(HJ5='Quick Setup'!$S$45,'Quick Setup'!$S48,if(HJ5='Quick Setup'!$T$45,'Quick Setup'!$T48,if(HJ5='Quick Setup'!$U$45,'Quick Setup'!$U48,if(HJ5='Quick Setup'!$V$45,'Quick Setup'!$V48,'Quick Setup'!$W48))))))))))))))))))))</f>
        <v>2</v>
      </c>
      <c r="HM5" s="27">
        <f t="shared" ref="HM5:HU5" si="58">HA5</f>
        <v>5</v>
      </c>
      <c r="HN5" s="28">
        <f t="shared" si="58"/>
        <v>-0.05</v>
      </c>
      <c r="HO5" s="28">
        <f t="shared" si="58"/>
        <v>-0.02</v>
      </c>
      <c r="HP5" s="28">
        <f t="shared" si="58"/>
        <v>0</v>
      </c>
      <c r="HQ5" s="28">
        <f t="shared" si="58"/>
        <v>0.005</v>
      </c>
      <c r="HR5" s="28">
        <f t="shared" si="58"/>
        <v>0.01</v>
      </c>
      <c r="HS5" s="28">
        <f t="shared" si="58"/>
        <v>0.015</v>
      </c>
      <c r="HT5" s="28">
        <f t="shared" si="58"/>
        <v>0.02</v>
      </c>
      <c r="HU5" s="28">
        <f t="shared" si="58"/>
        <v>0.03</v>
      </c>
      <c r="HV5" s="24">
        <f>'Quick Setup'!V62</f>
        <v>0.95</v>
      </c>
      <c r="HW5" s="25">
        <f>if(HV5='Quick Setup'!$C$31,'Quick Setup'!$C34,if(HV5='Quick Setup'!$D$31,'Quick Setup'!$D34,if(HV5='Quick Setup'!$E$31,'Quick Setup'!$E34,if(HV5='Quick Setup'!$F$31,'Quick Setup'!$F34,if(HV5='Quick Setup'!$G$31,'Quick Setup'!$G34,if(HV5='Quick Setup'!$H$31,'Quick Setup'!$H34,if(HV5='Quick Setup'!$I$31,'Quick Setup'!$I34,if(HV5='Quick Setup'!$J$31,'Quick Setup'!$J34,if(HV5='Quick Setup'!$K$31,'Quick Setup'!$K34,if(HV5='Quick Setup'!$L$31,'Quick Setup'!$L34,if(HV5='Quick Setup'!$M$31,'Quick Setup'!$M34,if(HV5='Quick Setup'!$N$31,'Quick Setup'!$N34,if(HV5='Quick Setup'!$O$31,'Quick Setup'!$O34,if(HV5='Quick Setup'!$P$31,'Quick Setup'!$P34,if(HV5='Quick Setup'!$Q$31,'Quick Setup'!$Q34,if(HV5='Quick Setup'!$R$31,'Quick Setup'!$R34,if(HV5='Quick Setup'!$S$31,'Quick Setup'!$S34,if(HV5='Quick Setup'!$T$31,'Quick Setup'!$T34,if(HV5='Quick Setup'!$U$31,'Quick Setup'!$U34,if(HV5='Quick Setup'!$V$31,'Quick Setup'!$V34,'Quick Setup'!$W34))))))))))))))))))))</f>
        <v>1</v>
      </c>
      <c r="HX5" s="25">
        <f>if(HV5='Quick Setup'!$C$45,'Quick Setup'!$C48,if(HV5='Quick Setup'!$D$45,'Quick Setup'!$D48,if(HV5='Quick Setup'!$E$45,'Quick Setup'!$E48,if(HV5='Quick Setup'!$F$45,'Quick Setup'!$F48,if(HV5='Quick Setup'!$G$45,'Quick Setup'!$G48,if(HV5='Quick Setup'!$H$45,'Quick Setup'!$H48,if(HV5='Quick Setup'!$I$45,'Quick Setup'!$I48,if(HV5='Quick Setup'!$J$45,'Quick Setup'!$J48,if(HV5='Quick Setup'!$K$45,'Quick Setup'!$K48,if(HV5='Quick Setup'!$L$45,'Quick Setup'!$L48,if(HV5='Quick Setup'!$M$45,'Quick Setup'!$M48,if(HV5='Quick Setup'!$N$45,'Quick Setup'!$N48,if(HV5='Quick Setup'!$O$45,'Quick Setup'!$O48,if(HV5='Quick Setup'!$P$45,'Quick Setup'!$P48,if(HV5='Quick Setup'!$Q$45,'Quick Setup'!$Q48,if(HV5='Quick Setup'!$R$45,'Quick Setup'!$R48,if(HV5='Quick Setup'!$S$45,'Quick Setup'!$S48,if(HV5='Quick Setup'!$T$45,'Quick Setup'!$T48,if(HV5='Quick Setup'!$U$45,'Quick Setup'!$U48,if(HV5='Quick Setup'!$V$45,'Quick Setup'!$V48,'Quick Setup'!$W48))))))))))))))))))))</f>
        <v>1</v>
      </c>
      <c r="HY5" s="27">
        <f t="shared" ref="HY5:IG5" si="59">HM5</f>
        <v>5</v>
      </c>
      <c r="HZ5" s="28">
        <f t="shared" si="59"/>
        <v>-0.05</v>
      </c>
      <c r="IA5" s="28">
        <f t="shared" si="59"/>
        <v>-0.02</v>
      </c>
      <c r="IB5" s="28">
        <f t="shared" si="59"/>
        <v>0</v>
      </c>
      <c r="IC5" s="28">
        <f t="shared" si="59"/>
        <v>0.005</v>
      </c>
      <c r="ID5" s="28">
        <f t="shared" si="59"/>
        <v>0.01</v>
      </c>
      <c r="IE5" s="28">
        <f t="shared" si="59"/>
        <v>0.015</v>
      </c>
      <c r="IF5" s="28">
        <f t="shared" si="59"/>
        <v>0.02</v>
      </c>
      <c r="IG5" s="28">
        <f t="shared" si="59"/>
        <v>0.03</v>
      </c>
      <c r="IH5" s="24">
        <f>'Quick Setup'!W62</f>
        <v>0.6</v>
      </c>
      <c r="II5" s="25">
        <f>if(IH5='Quick Setup'!$C$31,'Quick Setup'!$C34,if(IH5='Quick Setup'!$D$31,'Quick Setup'!$D34,if(IH5='Quick Setup'!$E$31,'Quick Setup'!$E34,if(IH5='Quick Setup'!$F$31,'Quick Setup'!$F34,if(IH5='Quick Setup'!$G$31,'Quick Setup'!$G34,if(IH5='Quick Setup'!$H$31,'Quick Setup'!$H34,if(IH5='Quick Setup'!$I$31,'Quick Setup'!$I34,if(IH5='Quick Setup'!$J$31,'Quick Setup'!$J34,if(IH5='Quick Setup'!$K$31,'Quick Setup'!$K34,if(IH5='Quick Setup'!$L$31,'Quick Setup'!$L34,if(IH5='Quick Setup'!$M$31,'Quick Setup'!$M34,if(IH5='Quick Setup'!$N$31,'Quick Setup'!$N34,if(IH5='Quick Setup'!$O$31,'Quick Setup'!$O34,if(IH5='Quick Setup'!$P$31,'Quick Setup'!$P34,if(IH5='Quick Setup'!$Q$31,'Quick Setup'!$Q34,if(IH5='Quick Setup'!$R$31,'Quick Setup'!$R34,if(IH5='Quick Setup'!$S$31,'Quick Setup'!$S34,if(IH5='Quick Setup'!$T$31,'Quick Setup'!$T34,if(IH5='Quick Setup'!$U$31,'Quick Setup'!$U34,if(IH5='Quick Setup'!$V$31,'Quick Setup'!$V34,'Quick Setup'!$W34))))))))))))))))))))</f>
        <v>7</v>
      </c>
      <c r="IJ5" s="25">
        <f>if(IH5='Quick Setup'!$C$45,'Quick Setup'!$C48,if(IH5='Quick Setup'!$D$45,'Quick Setup'!$D48,if(IH5='Quick Setup'!$E$45,'Quick Setup'!$E48,if(IH5='Quick Setup'!$F$45,'Quick Setup'!$F48,if(IH5='Quick Setup'!$G$45,'Quick Setup'!$G48,if(IH5='Quick Setup'!$H$45,'Quick Setup'!$H48,if(IH5='Quick Setup'!$I$45,'Quick Setup'!$I48,if(IH5='Quick Setup'!$J$45,'Quick Setup'!$J48,if(IH5='Quick Setup'!$K$45,'Quick Setup'!$K48,if(IH5='Quick Setup'!$L$45,'Quick Setup'!$L48,if(IH5='Quick Setup'!$M$45,'Quick Setup'!$M48,if(IH5='Quick Setup'!$N$45,'Quick Setup'!$N48,if(IH5='Quick Setup'!$O$45,'Quick Setup'!$O48,if(IH5='Quick Setup'!$P$45,'Quick Setup'!$P48,if(IH5='Quick Setup'!$Q$45,'Quick Setup'!$Q48,if(IH5='Quick Setup'!$R$45,'Quick Setup'!$R48,if(IH5='Quick Setup'!$S$45,'Quick Setup'!$S48,if(IH5='Quick Setup'!$T$45,'Quick Setup'!$T48,if(IH5='Quick Setup'!$U$45,'Quick Setup'!$U48,if(IH5='Quick Setup'!$V$45,'Quick Setup'!$V48,'Quick Setup'!$W48))))))))))))))))))))</f>
        <v>14</v>
      </c>
      <c r="IK5" s="27">
        <f t="shared" ref="IK5:IS5" si="60">HY5</f>
        <v>5</v>
      </c>
      <c r="IL5" s="28">
        <f t="shared" si="60"/>
        <v>-0.05</v>
      </c>
      <c r="IM5" s="28">
        <f t="shared" si="60"/>
        <v>-0.02</v>
      </c>
      <c r="IN5" s="28">
        <f t="shared" si="60"/>
        <v>0</v>
      </c>
      <c r="IO5" s="28">
        <f t="shared" si="60"/>
        <v>0.005</v>
      </c>
      <c r="IP5" s="28">
        <f t="shared" si="60"/>
        <v>0.01</v>
      </c>
      <c r="IQ5" s="28">
        <f t="shared" si="60"/>
        <v>0.015</v>
      </c>
      <c r="IR5" s="28">
        <f t="shared" si="60"/>
        <v>0.02</v>
      </c>
      <c r="IS5" s="28">
        <f t="shared" si="60"/>
        <v>0.03</v>
      </c>
    </row>
    <row r="6">
      <c r="A6" t="str">
        <f>'Quick Setup'!C8</f>
        <v>OHP</v>
      </c>
      <c r="B6" s="24">
        <f>'Quick Setup'!C63</f>
        <v>0.7</v>
      </c>
      <c r="C6" s="25">
        <f>if(B6='Quick Setup'!$C$31,'Quick Setup'!$C35,if(B6='Quick Setup'!$D$31,'Quick Setup'!$D35,if(B6='Quick Setup'!$E$31,'Quick Setup'!$E35,if(B6='Quick Setup'!$F$31,'Quick Setup'!$F35,if(B6='Quick Setup'!$G$31,'Quick Setup'!$G35,if(B6='Quick Setup'!$H$31,'Quick Setup'!$H35,if(B6='Quick Setup'!$I$31,'Quick Setup'!$I35,if(B6='Quick Setup'!$J$31,'Quick Setup'!$J35,if(B6='Quick Setup'!$K$31,'Quick Setup'!$K35,if(B6='Quick Setup'!$L$31,'Quick Setup'!$L35,if(B6='Quick Setup'!$M$31,'Quick Setup'!$M35,if(B6='Quick Setup'!$N$31,'Quick Setup'!$N35,if(B6='Quick Setup'!$O$31,'Quick Setup'!$O35,if(B6='Quick Setup'!$P$31,'Quick Setup'!$P35,if(B6='Quick Setup'!$Q$31,'Quick Setup'!$Q35,if(B6='Quick Setup'!$R$31,'Quick Setup'!$R35,if(B6='Quick Setup'!$S$31,'Quick Setup'!$S35,if(B6='Quick Setup'!$T$31,'Quick Setup'!$T35,if(B6='Quick Setup'!$U$31,'Quick Setup'!$U35,if(B6='Quick Setup'!$V$31,'Quick Setup'!$V35,'Quick Setup'!$W35))))))))))))))))))))</f>
        <v>5</v>
      </c>
      <c r="D6" s="25">
        <f>if(B6='Quick Setup'!$C$45,'Quick Setup'!$C49,if(B6='Quick Setup'!$D$45,'Quick Setup'!$D49,if(B6='Quick Setup'!$E$45,'Quick Setup'!$E49,if(B6='Quick Setup'!$F$45,'Quick Setup'!$F49,if(B6='Quick Setup'!$G$45,'Quick Setup'!$G49,if(B6='Quick Setup'!$H$45,'Quick Setup'!$H49,if(B6='Quick Setup'!$I$45,'Quick Setup'!$I49,if(B6='Quick Setup'!$J$45,'Quick Setup'!$J49,if(B6='Quick Setup'!$K$45,'Quick Setup'!$K49,if(B6='Quick Setup'!$L$45,'Quick Setup'!$L49,if(B6='Quick Setup'!$M$45,'Quick Setup'!$M49,if(B6='Quick Setup'!$N$45,'Quick Setup'!$N49,if(B6='Quick Setup'!$O$45,'Quick Setup'!$O49,if(B6='Quick Setup'!$P$45,'Quick Setup'!$P49,if(B6='Quick Setup'!$Q$45,'Quick Setup'!$Q49,if(B6='Quick Setup'!$R$45,'Quick Setup'!$R49,if(B6='Quick Setup'!$S$45,'Quick Setup'!$S49,if(B6='Quick Setup'!$T$45,'Quick Setup'!$T49,if(B6='Quick Setup'!$U$45,'Quick Setup'!$U49,if(B6='Quick Setup'!$V$45,'Quick Setup'!$V49,'Quick Setup'!$W49))))))))))))))))))))</f>
        <v>10</v>
      </c>
      <c r="E6" s="25">
        <f>'Quick Setup'!H9</f>
        <v>5</v>
      </c>
      <c r="F6" s="26">
        <f>'Quick Setup'!I9</f>
        <v>-0.05</v>
      </c>
      <c r="G6" s="26">
        <f>'Quick Setup'!J9</f>
        <v>-0.02</v>
      </c>
      <c r="H6" s="26">
        <f>'Quick Setup'!K9</f>
        <v>0</v>
      </c>
      <c r="I6" s="26">
        <f>'Quick Setup'!L9</f>
        <v>0.005</v>
      </c>
      <c r="J6" s="26">
        <f>'Quick Setup'!M9</f>
        <v>0.01</v>
      </c>
      <c r="K6" s="26">
        <f>'Quick Setup'!N9</f>
        <v>0.015</v>
      </c>
      <c r="L6" s="26">
        <f>'Quick Setup'!O9</f>
        <v>0.02</v>
      </c>
      <c r="M6" s="26">
        <f>'Quick Setup'!P9</f>
        <v>0.03</v>
      </c>
      <c r="N6" s="24">
        <f>'Quick Setup'!D63</f>
        <v>0.75</v>
      </c>
      <c r="O6" s="25">
        <f>if(N6='Quick Setup'!$C$31,'Quick Setup'!$C35,if(N6='Quick Setup'!$D$31,'Quick Setup'!$D35,if(N6='Quick Setup'!$E$31,'Quick Setup'!$E35,if(N6='Quick Setup'!$F$31,'Quick Setup'!$F35,if(N6='Quick Setup'!$G$31,'Quick Setup'!$G35,if(N6='Quick Setup'!$H$31,'Quick Setup'!$H35,if(N6='Quick Setup'!$I$31,'Quick Setup'!$I35,if(N6='Quick Setup'!$J$31,'Quick Setup'!$J35,if(N6='Quick Setup'!$K$31,'Quick Setup'!$K35,if(N6='Quick Setup'!$L$31,'Quick Setup'!$L35,if(N6='Quick Setup'!$M$31,'Quick Setup'!$M35,if(N6='Quick Setup'!$N$31,'Quick Setup'!$N35,if(N6='Quick Setup'!$O$31,'Quick Setup'!$O35,if(N6='Quick Setup'!$P$31,'Quick Setup'!$P35,if(N6='Quick Setup'!$Q$31,'Quick Setup'!$Q35,if(N6='Quick Setup'!$R$31,'Quick Setup'!$R35,if(N6='Quick Setup'!$S$31,'Quick Setup'!$S35,if(N6='Quick Setup'!$T$31,'Quick Setup'!$T35,if(N6='Quick Setup'!$U$31,'Quick Setup'!$U35,if(N6='Quick Setup'!$V$31,'Quick Setup'!$V35,'Quick Setup'!$W35))))))))))))))))))))</f>
        <v>4</v>
      </c>
      <c r="P6" s="25">
        <f>if(N6='Quick Setup'!$C$45,'Quick Setup'!$C49,if(N6='Quick Setup'!$D$45,'Quick Setup'!$D49,if(N6='Quick Setup'!$E$45,'Quick Setup'!$E49,if(N6='Quick Setup'!$F$45,'Quick Setup'!$F49,if(N6='Quick Setup'!$G$45,'Quick Setup'!$G49,if(N6='Quick Setup'!$H$45,'Quick Setup'!$H49,if(N6='Quick Setup'!$I$45,'Quick Setup'!$I49,if(N6='Quick Setup'!$J$45,'Quick Setup'!$J49,if(N6='Quick Setup'!$K$45,'Quick Setup'!$K49,if(N6='Quick Setup'!$L$45,'Quick Setup'!$L49,if(N6='Quick Setup'!$M$45,'Quick Setup'!$M49,if(N6='Quick Setup'!$N$45,'Quick Setup'!$N49,if(N6='Quick Setup'!$O$45,'Quick Setup'!$O49,if(N6='Quick Setup'!$P$45,'Quick Setup'!$P49,if(N6='Quick Setup'!$Q$45,'Quick Setup'!$Q49,if(N6='Quick Setup'!$R$45,'Quick Setup'!$R49,if(N6='Quick Setup'!$S$45,'Quick Setup'!$S49,if(N6='Quick Setup'!$T$45,'Quick Setup'!$T49,if(N6='Quick Setup'!$U$45,'Quick Setup'!$U49,if(N6='Quick Setup'!$V$45,'Quick Setup'!$V49,'Quick Setup'!$W49))))))))))))))))))))</f>
        <v>8</v>
      </c>
      <c r="Q6" s="25">
        <f t="shared" ref="Q6:Y6" si="61">E6</f>
        <v>5</v>
      </c>
      <c r="R6" s="26">
        <f t="shared" si="61"/>
        <v>-0.05</v>
      </c>
      <c r="S6" s="26">
        <f t="shared" si="61"/>
        <v>-0.02</v>
      </c>
      <c r="T6" s="26">
        <f t="shared" si="61"/>
        <v>0</v>
      </c>
      <c r="U6" s="26">
        <f t="shared" si="61"/>
        <v>0.005</v>
      </c>
      <c r="V6" s="26">
        <f t="shared" si="61"/>
        <v>0.01</v>
      </c>
      <c r="W6" s="26">
        <f t="shared" si="61"/>
        <v>0.015</v>
      </c>
      <c r="X6" s="26">
        <f t="shared" si="61"/>
        <v>0.02</v>
      </c>
      <c r="Y6" s="26">
        <f t="shared" si="61"/>
        <v>0.03</v>
      </c>
      <c r="Z6" s="24">
        <f>'Quick Setup'!E63</f>
        <v>0.8</v>
      </c>
      <c r="AA6" s="25">
        <f>if(Z6='Quick Setup'!$C$31,'Quick Setup'!$C35,if(Z6='Quick Setup'!$D$31,'Quick Setup'!$D35,if(Z6='Quick Setup'!$E$31,'Quick Setup'!$E35,if(Z6='Quick Setup'!$F$31,'Quick Setup'!$F35,if(Z6='Quick Setup'!$G$31,'Quick Setup'!$G35,if(Z6='Quick Setup'!$H$31,'Quick Setup'!$H35,if(Z6='Quick Setup'!$I$31,'Quick Setup'!$I35,if(Z6='Quick Setup'!$J$31,'Quick Setup'!$J35,if(Z6='Quick Setup'!$K$31,'Quick Setup'!$K35,if(Z6='Quick Setup'!$L$31,'Quick Setup'!$L35,if(Z6='Quick Setup'!$M$31,'Quick Setup'!$M35,if(Z6='Quick Setup'!$N$31,'Quick Setup'!$N35,if(Z6='Quick Setup'!$O$31,'Quick Setup'!$O35,if(Z6='Quick Setup'!$P$31,'Quick Setup'!$P35,if(Z6='Quick Setup'!$Q$31,'Quick Setup'!$Q35,if(Z6='Quick Setup'!$R$31,'Quick Setup'!$R35,if(Z6='Quick Setup'!$S$31,'Quick Setup'!$S35,if(Z6='Quick Setup'!$T$31,'Quick Setup'!$T35,if(Z6='Quick Setup'!$U$31,'Quick Setup'!$U35,if(Z6='Quick Setup'!$V$31,'Quick Setup'!$V35,'Quick Setup'!$W35))))))))))))))))))))</f>
        <v>3</v>
      </c>
      <c r="AB6" s="25">
        <f>if(Z6='Quick Setup'!$C$45,'Quick Setup'!$C49,if(Z6='Quick Setup'!$D$45,'Quick Setup'!$D49,if(Z6='Quick Setup'!$E$45,'Quick Setup'!$E49,if(Z6='Quick Setup'!$F$45,'Quick Setup'!$F49,if(Z6='Quick Setup'!$G$45,'Quick Setup'!$G49,if(Z6='Quick Setup'!$H$45,'Quick Setup'!$H49,if(Z6='Quick Setup'!$I$45,'Quick Setup'!$I49,if(Z6='Quick Setup'!$J$45,'Quick Setup'!$J49,if(Z6='Quick Setup'!$K$45,'Quick Setup'!$K49,if(Z6='Quick Setup'!$L$45,'Quick Setup'!$L49,if(Z6='Quick Setup'!$M$45,'Quick Setup'!$M49,if(Z6='Quick Setup'!$N$45,'Quick Setup'!$N49,if(Z6='Quick Setup'!$O$45,'Quick Setup'!$O49,if(Z6='Quick Setup'!$P$45,'Quick Setup'!$P49,if(Z6='Quick Setup'!$Q$45,'Quick Setup'!$Q49,if(Z6='Quick Setup'!$R$45,'Quick Setup'!$R49,if(Z6='Quick Setup'!$S$45,'Quick Setup'!$S49,if(Z6='Quick Setup'!$T$45,'Quick Setup'!$T49,if(Z6='Quick Setup'!$U$45,'Quick Setup'!$U49,if(Z6='Quick Setup'!$V$45,'Quick Setup'!$V49,'Quick Setup'!$W49))))))))))))))))))))</f>
        <v>6</v>
      </c>
      <c r="AC6" s="25">
        <f t="shared" ref="AC6:AK6" si="62">Q6</f>
        <v>5</v>
      </c>
      <c r="AD6" s="26">
        <f t="shared" si="62"/>
        <v>-0.05</v>
      </c>
      <c r="AE6" s="26">
        <f t="shared" si="62"/>
        <v>-0.02</v>
      </c>
      <c r="AF6" s="26">
        <f t="shared" si="62"/>
        <v>0</v>
      </c>
      <c r="AG6" s="26">
        <f t="shared" si="62"/>
        <v>0.005</v>
      </c>
      <c r="AH6" s="26">
        <f t="shared" si="62"/>
        <v>0.01</v>
      </c>
      <c r="AI6" s="26">
        <f t="shared" si="62"/>
        <v>0.015</v>
      </c>
      <c r="AJ6" s="26">
        <f t="shared" si="62"/>
        <v>0.02</v>
      </c>
      <c r="AK6" s="26">
        <f t="shared" si="62"/>
        <v>0.03</v>
      </c>
      <c r="AL6" s="24">
        <f>'Quick Setup'!F63</f>
        <v>0.725</v>
      </c>
      <c r="AM6" s="25">
        <f>if(AL6='Quick Setup'!$C$31,'Quick Setup'!$C35,if(AL6='Quick Setup'!$D$31,'Quick Setup'!$D35,if(AL6='Quick Setup'!$E$31,'Quick Setup'!$E35,if(AL6='Quick Setup'!$F$31,'Quick Setup'!$F35,if(AL6='Quick Setup'!$G$31,'Quick Setup'!$G35,if(AL6='Quick Setup'!$H$31,'Quick Setup'!$H35,if(AL6='Quick Setup'!$I$31,'Quick Setup'!$I35,if(AL6='Quick Setup'!$J$31,'Quick Setup'!$J35,if(AL6='Quick Setup'!$K$31,'Quick Setup'!$K35,if(AL6='Quick Setup'!$L$31,'Quick Setup'!$L35,if(AL6='Quick Setup'!$M$31,'Quick Setup'!$M35,if(AL6='Quick Setup'!$N$31,'Quick Setup'!$N35,if(AL6='Quick Setup'!$O$31,'Quick Setup'!$O35,if(AL6='Quick Setup'!$P$31,'Quick Setup'!$P35,if(AL6='Quick Setup'!$Q$31,'Quick Setup'!$Q35,if(AL6='Quick Setup'!$R$31,'Quick Setup'!$R35,if(AL6='Quick Setup'!$S$31,'Quick Setup'!$S35,if(AL6='Quick Setup'!$T$31,'Quick Setup'!$T35,if(AL6='Quick Setup'!$U$31,'Quick Setup'!$U35,if(AL6='Quick Setup'!$V$31,'Quick Setup'!$V35,'Quick Setup'!$W35))))))))))))))))))))</f>
        <v>5</v>
      </c>
      <c r="AN6" s="25">
        <f>if(AL6='Quick Setup'!$C$45,'Quick Setup'!$C49,if(AL6='Quick Setup'!$D$45,'Quick Setup'!$D49,if(AL6='Quick Setup'!$E$45,'Quick Setup'!$E49,if(AL6='Quick Setup'!$F$45,'Quick Setup'!$F49,if(AL6='Quick Setup'!$G$45,'Quick Setup'!$G49,if(AL6='Quick Setup'!$H$45,'Quick Setup'!$H49,if(AL6='Quick Setup'!$I$45,'Quick Setup'!$I49,if(AL6='Quick Setup'!$J$45,'Quick Setup'!$J49,if(AL6='Quick Setup'!$K$45,'Quick Setup'!$K49,if(AL6='Quick Setup'!$L$45,'Quick Setup'!$L49,if(AL6='Quick Setup'!$M$45,'Quick Setup'!$M49,if(AL6='Quick Setup'!$N$45,'Quick Setup'!$N49,if(AL6='Quick Setup'!$O$45,'Quick Setup'!$O49,if(AL6='Quick Setup'!$P$45,'Quick Setup'!$P49,if(AL6='Quick Setup'!$Q$45,'Quick Setup'!$Q49,if(AL6='Quick Setup'!$R$45,'Quick Setup'!$R49,if(AL6='Quick Setup'!$S$45,'Quick Setup'!$S49,if(AL6='Quick Setup'!$T$45,'Quick Setup'!$T49,if(AL6='Quick Setup'!$U$45,'Quick Setup'!$U49,if(AL6='Quick Setup'!$V$45,'Quick Setup'!$V49,'Quick Setup'!$W49))))))))))))))))))))</f>
        <v>9</v>
      </c>
      <c r="AO6" s="25">
        <f t="shared" ref="AO6:AW6" si="63">AC6</f>
        <v>5</v>
      </c>
      <c r="AP6" s="26">
        <f t="shared" si="63"/>
        <v>-0.05</v>
      </c>
      <c r="AQ6" s="26">
        <f t="shared" si="63"/>
        <v>-0.02</v>
      </c>
      <c r="AR6" s="26">
        <f t="shared" si="63"/>
        <v>0</v>
      </c>
      <c r="AS6" s="26">
        <f t="shared" si="63"/>
        <v>0.005</v>
      </c>
      <c r="AT6" s="26">
        <f t="shared" si="63"/>
        <v>0.01</v>
      </c>
      <c r="AU6" s="26">
        <f t="shared" si="63"/>
        <v>0.015</v>
      </c>
      <c r="AV6" s="26">
        <f t="shared" si="63"/>
        <v>0.02</v>
      </c>
      <c r="AW6" s="26">
        <f t="shared" si="63"/>
        <v>0.03</v>
      </c>
      <c r="AX6" s="24">
        <f>'Quick Setup'!G63</f>
        <v>0.775</v>
      </c>
      <c r="AY6" s="25">
        <f>if(AX6='Quick Setup'!$C$31,'Quick Setup'!$C35,if(AX6='Quick Setup'!$D$31,'Quick Setup'!$D35,if(AX6='Quick Setup'!$E$31,'Quick Setup'!$E35,if(AX6='Quick Setup'!$F$31,'Quick Setup'!$F35,if(AX6='Quick Setup'!$G$31,'Quick Setup'!$G35,if(AX6='Quick Setup'!$H$31,'Quick Setup'!$H35,if(AX6='Quick Setup'!$I$31,'Quick Setup'!$I35,if(AX6='Quick Setup'!$J$31,'Quick Setup'!$J35,if(AX6='Quick Setup'!$K$31,'Quick Setup'!$K35,if(AX6='Quick Setup'!$L$31,'Quick Setup'!$L35,if(AX6='Quick Setup'!$M$31,'Quick Setup'!$M35,if(AX6='Quick Setup'!$N$31,'Quick Setup'!$N35,if(AX6='Quick Setup'!$O$31,'Quick Setup'!$O35,if(AX6='Quick Setup'!$P$31,'Quick Setup'!$P35,if(AX6='Quick Setup'!$Q$31,'Quick Setup'!$Q35,if(AX6='Quick Setup'!$R$31,'Quick Setup'!$R35,if(AX6='Quick Setup'!$S$31,'Quick Setup'!$S35,if(AX6='Quick Setup'!$T$31,'Quick Setup'!$T35,if(AX6='Quick Setup'!$U$31,'Quick Setup'!$U35,if(AX6='Quick Setup'!$V$31,'Quick Setup'!$V35,'Quick Setup'!$W35))))))))))))))))))))</f>
        <v>4</v>
      </c>
      <c r="AZ6" s="25">
        <f>if(AX6='Quick Setup'!$C$45,'Quick Setup'!$C49,if(AX6='Quick Setup'!$D$45,'Quick Setup'!$D49,if(AX6='Quick Setup'!$E$45,'Quick Setup'!$E49,if(AX6='Quick Setup'!$F$45,'Quick Setup'!$F49,if(AX6='Quick Setup'!$G$45,'Quick Setup'!$G49,if(AX6='Quick Setup'!$H$45,'Quick Setup'!$H49,if(AX6='Quick Setup'!$I$45,'Quick Setup'!$I49,if(AX6='Quick Setup'!$J$45,'Quick Setup'!$J49,if(AX6='Quick Setup'!$K$45,'Quick Setup'!$K49,if(AX6='Quick Setup'!$L$45,'Quick Setup'!$L49,if(AX6='Quick Setup'!$M$45,'Quick Setup'!$M49,if(AX6='Quick Setup'!$N$45,'Quick Setup'!$N49,if(AX6='Quick Setup'!$O$45,'Quick Setup'!$O49,if(AX6='Quick Setup'!$P$45,'Quick Setup'!$P49,if(AX6='Quick Setup'!$Q$45,'Quick Setup'!$Q49,if(AX6='Quick Setup'!$R$45,'Quick Setup'!$R49,if(AX6='Quick Setup'!$S$45,'Quick Setup'!$S49,if(AX6='Quick Setup'!$T$45,'Quick Setup'!$T49,if(AX6='Quick Setup'!$U$45,'Quick Setup'!$U49,if(AX6='Quick Setup'!$V$45,'Quick Setup'!$V49,'Quick Setup'!$W49))))))))))))))))))))</f>
        <v>7</v>
      </c>
      <c r="BA6" s="25">
        <f t="shared" ref="BA6:BI6" si="64">AO6</f>
        <v>5</v>
      </c>
      <c r="BB6" s="26">
        <f t="shared" si="64"/>
        <v>-0.05</v>
      </c>
      <c r="BC6" s="26">
        <f t="shared" si="64"/>
        <v>-0.02</v>
      </c>
      <c r="BD6" s="26">
        <f t="shared" si="64"/>
        <v>0</v>
      </c>
      <c r="BE6" s="26">
        <f t="shared" si="64"/>
        <v>0.005</v>
      </c>
      <c r="BF6" s="26">
        <f t="shared" si="64"/>
        <v>0.01</v>
      </c>
      <c r="BG6" s="26">
        <f t="shared" si="64"/>
        <v>0.015</v>
      </c>
      <c r="BH6" s="26">
        <f t="shared" si="64"/>
        <v>0.02</v>
      </c>
      <c r="BI6" s="26">
        <f t="shared" si="64"/>
        <v>0.03</v>
      </c>
      <c r="BJ6" s="24">
        <f>'Quick Setup'!H63</f>
        <v>0.825</v>
      </c>
      <c r="BK6" s="25">
        <f>if(BJ6='Quick Setup'!$C$31,'Quick Setup'!$C35,if(BJ6='Quick Setup'!$D$31,'Quick Setup'!$D35,if(BJ6='Quick Setup'!$E$31,'Quick Setup'!$E35,if(BJ6='Quick Setup'!$F$31,'Quick Setup'!$F35,if(BJ6='Quick Setup'!$G$31,'Quick Setup'!$G35,if(BJ6='Quick Setup'!$H$31,'Quick Setup'!$H35,if(BJ6='Quick Setup'!$I$31,'Quick Setup'!$I35,if(BJ6='Quick Setup'!$J$31,'Quick Setup'!$J35,if(BJ6='Quick Setup'!$K$31,'Quick Setup'!$K35,if(BJ6='Quick Setup'!$L$31,'Quick Setup'!$L35,if(BJ6='Quick Setup'!$M$31,'Quick Setup'!$M35,if(BJ6='Quick Setup'!$N$31,'Quick Setup'!$N35,if(BJ6='Quick Setup'!$O$31,'Quick Setup'!$O35,if(BJ6='Quick Setup'!$P$31,'Quick Setup'!$P35,if(BJ6='Quick Setup'!$Q$31,'Quick Setup'!$Q35,if(BJ6='Quick Setup'!$R$31,'Quick Setup'!$R35,if(BJ6='Quick Setup'!$S$31,'Quick Setup'!$S35,if(BJ6='Quick Setup'!$T$31,'Quick Setup'!$T35,if(BJ6='Quick Setup'!$U$31,'Quick Setup'!$U35,if(BJ6='Quick Setup'!$V$31,'Quick Setup'!$V35,'Quick Setup'!$W35))))))))))))))))))))</f>
        <v>3</v>
      </c>
      <c r="BL6" s="25">
        <f>if(BJ6='Quick Setup'!$C$45,'Quick Setup'!$C49,if(BJ6='Quick Setup'!$D$45,'Quick Setup'!$D49,if(BJ6='Quick Setup'!$E$45,'Quick Setup'!$E49,if(BJ6='Quick Setup'!$F$45,'Quick Setup'!$F49,if(BJ6='Quick Setup'!$G$45,'Quick Setup'!$G49,if(BJ6='Quick Setup'!$H$45,'Quick Setup'!$H49,if(BJ6='Quick Setup'!$I$45,'Quick Setup'!$I49,if(BJ6='Quick Setup'!$J$45,'Quick Setup'!$J49,if(BJ6='Quick Setup'!$K$45,'Quick Setup'!$K49,if(BJ6='Quick Setup'!$L$45,'Quick Setup'!$L49,if(BJ6='Quick Setup'!$M$45,'Quick Setup'!$M49,if(BJ6='Quick Setup'!$N$45,'Quick Setup'!$N49,if(BJ6='Quick Setup'!$O$45,'Quick Setup'!$O49,if(BJ6='Quick Setup'!$P$45,'Quick Setup'!$P49,if(BJ6='Quick Setup'!$Q$45,'Quick Setup'!$Q49,if(BJ6='Quick Setup'!$R$45,'Quick Setup'!$R49,if(BJ6='Quick Setup'!$S$45,'Quick Setup'!$S49,if(BJ6='Quick Setup'!$T$45,'Quick Setup'!$T49,if(BJ6='Quick Setup'!$U$45,'Quick Setup'!$U49,if(BJ6='Quick Setup'!$V$45,'Quick Setup'!$V49,'Quick Setup'!$W49))))))))))))))))))))</f>
        <v>5</v>
      </c>
      <c r="BM6" s="27">
        <f t="shared" ref="BM6:BU6" si="65">BA6</f>
        <v>5</v>
      </c>
      <c r="BN6" s="28">
        <f t="shared" si="65"/>
        <v>-0.05</v>
      </c>
      <c r="BO6" s="28">
        <f t="shared" si="65"/>
        <v>-0.02</v>
      </c>
      <c r="BP6" s="28">
        <f t="shared" si="65"/>
        <v>0</v>
      </c>
      <c r="BQ6" s="28">
        <f t="shared" si="65"/>
        <v>0.005</v>
      </c>
      <c r="BR6" s="28">
        <f t="shared" si="65"/>
        <v>0.01</v>
      </c>
      <c r="BS6" s="28">
        <f t="shared" si="65"/>
        <v>0.015</v>
      </c>
      <c r="BT6" s="28">
        <f t="shared" si="65"/>
        <v>0.02</v>
      </c>
      <c r="BU6" s="28">
        <f t="shared" si="65"/>
        <v>0.03</v>
      </c>
      <c r="BV6" s="24">
        <f>'Quick Setup'!I63</f>
        <v>0.6</v>
      </c>
      <c r="BW6" s="25">
        <f>if(BV6='Quick Setup'!$C$31,'Quick Setup'!$C35,if(BV6='Quick Setup'!$D$31,'Quick Setup'!$D35,if(BV6='Quick Setup'!$E$31,'Quick Setup'!$E35,if(BV6='Quick Setup'!$F$31,'Quick Setup'!$F35,if(BV6='Quick Setup'!$G$31,'Quick Setup'!$G35,if(BV6='Quick Setup'!$H$31,'Quick Setup'!$H35,if(BV6='Quick Setup'!$I$31,'Quick Setup'!$I35,if(BV6='Quick Setup'!$J$31,'Quick Setup'!$J35,if(BV6='Quick Setup'!$K$31,'Quick Setup'!$K35,if(BV6='Quick Setup'!$L$31,'Quick Setup'!$L35,if(BV6='Quick Setup'!$M$31,'Quick Setup'!$M35,if(BV6='Quick Setup'!$N$31,'Quick Setup'!$N35,if(BV6='Quick Setup'!$O$31,'Quick Setup'!$O35,if(BV6='Quick Setup'!$P$31,'Quick Setup'!$P35,if(BV6='Quick Setup'!$Q$31,'Quick Setup'!$Q35,if(BV6='Quick Setup'!$R$31,'Quick Setup'!$R35,if(BV6='Quick Setup'!$S$31,'Quick Setup'!$S35,if(BV6='Quick Setup'!$T$31,'Quick Setup'!$T35,if(BV6='Quick Setup'!$U$31,'Quick Setup'!$U35,if(BV6='Quick Setup'!$V$31,'Quick Setup'!$V35,'Quick Setup'!$W35))))))))))))))))))))</f>
        <v>7</v>
      </c>
      <c r="BX6" s="25">
        <f>if(BV6='Quick Setup'!$C$45,'Quick Setup'!$C49,if(BV6='Quick Setup'!$D$45,'Quick Setup'!$D49,if(BV6='Quick Setup'!$E$45,'Quick Setup'!$E49,if(BV6='Quick Setup'!$F$45,'Quick Setup'!$F49,if(BV6='Quick Setup'!$G$45,'Quick Setup'!$G49,if(BV6='Quick Setup'!$H$45,'Quick Setup'!$H49,if(BV6='Quick Setup'!$I$45,'Quick Setup'!$I49,if(BV6='Quick Setup'!$J$45,'Quick Setup'!$J49,if(BV6='Quick Setup'!$K$45,'Quick Setup'!$K49,if(BV6='Quick Setup'!$L$45,'Quick Setup'!$L49,if(BV6='Quick Setup'!$M$45,'Quick Setup'!$M49,if(BV6='Quick Setup'!$N$45,'Quick Setup'!$N49,if(BV6='Quick Setup'!$O$45,'Quick Setup'!$O49,if(BV6='Quick Setup'!$P$45,'Quick Setup'!$P49,if(BV6='Quick Setup'!$Q$45,'Quick Setup'!$Q49,if(BV6='Quick Setup'!$R$45,'Quick Setup'!$R49,if(BV6='Quick Setup'!$S$45,'Quick Setup'!$S49,if(BV6='Quick Setup'!$T$45,'Quick Setup'!$T49,if(BV6='Quick Setup'!$U$45,'Quick Setup'!$U49,if(BV6='Quick Setup'!$V$45,'Quick Setup'!$V49,'Quick Setup'!$W49))))))))))))))))))))</f>
        <v>14</v>
      </c>
      <c r="BY6" s="27">
        <f t="shared" ref="BY6:CG6" si="66">BM6</f>
        <v>5</v>
      </c>
      <c r="BZ6" s="28">
        <f t="shared" si="66"/>
        <v>-0.05</v>
      </c>
      <c r="CA6" s="28">
        <f t="shared" si="66"/>
        <v>-0.02</v>
      </c>
      <c r="CB6" s="28">
        <f t="shared" si="66"/>
        <v>0</v>
      </c>
      <c r="CC6" s="28">
        <f t="shared" si="66"/>
        <v>0.005</v>
      </c>
      <c r="CD6" s="28">
        <f t="shared" si="66"/>
        <v>0.01</v>
      </c>
      <c r="CE6" s="28">
        <f t="shared" si="66"/>
        <v>0.015</v>
      </c>
      <c r="CF6" s="28">
        <f t="shared" si="66"/>
        <v>0.02</v>
      </c>
      <c r="CG6" s="28">
        <f t="shared" si="66"/>
        <v>0.03</v>
      </c>
      <c r="CH6" s="24">
        <f>'Quick Setup'!J63</f>
        <v>0.75</v>
      </c>
      <c r="CI6" s="25">
        <f>if(CH6='Quick Setup'!$C$31,'Quick Setup'!$C35,if(CH6='Quick Setup'!$D$31,'Quick Setup'!$D35,if(CH6='Quick Setup'!$E$31,'Quick Setup'!$E35,if(CH6='Quick Setup'!$F$31,'Quick Setup'!$F35,if(CH6='Quick Setup'!$G$31,'Quick Setup'!$G35,if(CH6='Quick Setup'!$H$31,'Quick Setup'!$H35,if(CH6='Quick Setup'!$I$31,'Quick Setup'!$I35,if(CH6='Quick Setup'!$J$31,'Quick Setup'!$J35,if(CH6='Quick Setup'!$K$31,'Quick Setup'!$K35,if(CH6='Quick Setup'!$L$31,'Quick Setup'!$L35,if(CH6='Quick Setup'!$M$31,'Quick Setup'!$M35,if(CH6='Quick Setup'!$N$31,'Quick Setup'!$N35,if(CH6='Quick Setup'!$O$31,'Quick Setup'!$O35,if(CH6='Quick Setup'!$P$31,'Quick Setup'!$P35,if(CH6='Quick Setup'!$Q$31,'Quick Setup'!$Q35,if(CH6='Quick Setup'!$R$31,'Quick Setup'!$R35,if(CH6='Quick Setup'!$S$31,'Quick Setup'!$S35,if(CH6='Quick Setup'!$T$31,'Quick Setup'!$T35,if(CH6='Quick Setup'!$U$31,'Quick Setup'!$U35,if(CH6='Quick Setup'!$V$31,'Quick Setup'!$V35,'Quick Setup'!$W35))))))))))))))))))))</f>
        <v>4</v>
      </c>
      <c r="CJ6" s="25">
        <f>if(CH6='Quick Setup'!$C$45,'Quick Setup'!$C49,if(CH6='Quick Setup'!$D$45,'Quick Setup'!$D49,if(CH6='Quick Setup'!$E$45,'Quick Setup'!$E49,if(CH6='Quick Setup'!$F$45,'Quick Setup'!$F49,if(CH6='Quick Setup'!$G$45,'Quick Setup'!$G49,if(CH6='Quick Setup'!$H$45,'Quick Setup'!$H49,if(CH6='Quick Setup'!$I$45,'Quick Setup'!$I49,if(CH6='Quick Setup'!$J$45,'Quick Setup'!$J49,if(CH6='Quick Setup'!$K$45,'Quick Setup'!$K49,if(CH6='Quick Setup'!$L$45,'Quick Setup'!$L49,if(CH6='Quick Setup'!$M$45,'Quick Setup'!$M49,if(CH6='Quick Setup'!$N$45,'Quick Setup'!$N49,if(CH6='Quick Setup'!$O$45,'Quick Setup'!$O49,if(CH6='Quick Setup'!$P$45,'Quick Setup'!$P49,if(CH6='Quick Setup'!$Q$45,'Quick Setup'!$Q49,if(CH6='Quick Setup'!$R$45,'Quick Setup'!$R49,if(CH6='Quick Setup'!$S$45,'Quick Setup'!$S49,if(CH6='Quick Setup'!$T$45,'Quick Setup'!$T49,if(CH6='Quick Setup'!$U$45,'Quick Setup'!$U49,if(CH6='Quick Setup'!$V$45,'Quick Setup'!$V49,'Quick Setup'!$W49))))))))))))))))))))</f>
        <v>8</v>
      </c>
      <c r="CK6" s="27">
        <f t="shared" ref="CK6:CS6" si="67">BY6</f>
        <v>5</v>
      </c>
      <c r="CL6" s="28">
        <f t="shared" si="67"/>
        <v>-0.05</v>
      </c>
      <c r="CM6" s="28">
        <f t="shared" si="67"/>
        <v>-0.02</v>
      </c>
      <c r="CN6" s="28">
        <f t="shared" si="67"/>
        <v>0</v>
      </c>
      <c r="CO6" s="28">
        <f t="shared" si="67"/>
        <v>0.005</v>
      </c>
      <c r="CP6" s="28">
        <f t="shared" si="67"/>
        <v>0.01</v>
      </c>
      <c r="CQ6" s="28">
        <f t="shared" si="67"/>
        <v>0.015</v>
      </c>
      <c r="CR6" s="28">
        <f t="shared" si="67"/>
        <v>0.02</v>
      </c>
      <c r="CS6" s="28">
        <f t="shared" si="67"/>
        <v>0.03</v>
      </c>
      <c r="CT6" s="24">
        <f>'Quick Setup'!K63</f>
        <v>0.8</v>
      </c>
      <c r="CU6" s="25">
        <f>if(CT6='Quick Setup'!$C$31,'Quick Setup'!$C35,if(CT6='Quick Setup'!$D$31,'Quick Setup'!$D35,if(CT6='Quick Setup'!$E$31,'Quick Setup'!$E35,if(CT6='Quick Setup'!$F$31,'Quick Setup'!$F35,if(CT6='Quick Setup'!$G$31,'Quick Setup'!$G35,if(CT6='Quick Setup'!$H$31,'Quick Setup'!$H35,if(CT6='Quick Setup'!$I$31,'Quick Setup'!$I35,if(CT6='Quick Setup'!$J$31,'Quick Setup'!$J35,if(CT6='Quick Setup'!$K$31,'Quick Setup'!$K35,if(CT6='Quick Setup'!$L$31,'Quick Setup'!$L35,if(CT6='Quick Setup'!$M$31,'Quick Setup'!$M35,if(CT6='Quick Setup'!$N$31,'Quick Setup'!$N35,if(CT6='Quick Setup'!$O$31,'Quick Setup'!$O35,if(CT6='Quick Setup'!$P$31,'Quick Setup'!$P35,if(CT6='Quick Setup'!$Q$31,'Quick Setup'!$Q35,if(CT6='Quick Setup'!$R$31,'Quick Setup'!$R35,if(CT6='Quick Setup'!$S$31,'Quick Setup'!$S35,if(CT6='Quick Setup'!$T$31,'Quick Setup'!$T35,if(CT6='Quick Setup'!$U$31,'Quick Setup'!$U35,if(CT6='Quick Setup'!$V$31,'Quick Setup'!$V35,'Quick Setup'!$W35))))))))))))))))))))</f>
        <v>3</v>
      </c>
      <c r="CV6" s="25">
        <f>if(CT6='Quick Setup'!$C$45,'Quick Setup'!$C49,if(CT6='Quick Setup'!$D$45,'Quick Setup'!$D49,if(CT6='Quick Setup'!$E$45,'Quick Setup'!$E49,if(CT6='Quick Setup'!$F$45,'Quick Setup'!$F49,if(CT6='Quick Setup'!$G$45,'Quick Setup'!$G49,if(CT6='Quick Setup'!$H$45,'Quick Setup'!$H49,if(CT6='Quick Setup'!$I$45,'Quick Setup'!$I49,if(CT6='Quick Setup'!$J$45,'Quick Setup'!$J49,if(CT6='Quick Setup'!$K$45,'Quick Setup'!$K49,if(CT6='Quick Setup'!$L$45,'Quick Setup'!$L49,if(CT6='Quick Setup'!$M$45,'Quick Setup'!$M49,if(CT6='Quick Setup'!$N$45,'Quick Setup'!$N49,if(CT6='Quick Setup'!$O$45,'Quick Setup'!$O49,if(CT6='Quick Setup'!$P$45,'Quick Setup'!$P49,if(CT6='Quick Setup'!$Q$45,'Quick Setup'!$Q49,if(CT6='Quick Setup'!$R$45,'Quick Setup'!$R49,if(CT6='Quick Setup'!$S$45,'Quick Setup'!$S49,if(CT6='Quick Setup'!$T$45,'Quick Setup'!$T49,if(CT6='Quick Setup'!$U$45,'Quick Setup'!$U49,if(CT6='Quick Setup'!$V$45,'Quick Setup'!$V49,'Quick Setup'!$W49))))))))))))))))))))</f>
        <v>6</v>
      </c>
      <c r="CW6" s="27">
        <f t="shared" ref="CW6:DE6" si="68">CK6</f>
        <v>5</v>
      </c>
      <c r="CX6" s="28">
        <f t="shared" si="68"/>
        <v>-0.05</v>
      </c>
      <c r="CY6" s="28">
        <f t="shared" si="68"/>
        <v>-0.02</v>
      </c>
      <c r="CZ6" s="28">
        <f t="shared" si="68"/>
        <v>0</v>
      </c>
      <c r="DA6" s="28">
        <f t="shared" si="68"/>
        <v>0.005</v>
      </c>
      <c r="DB6" s="28">
        <f t="shared" si="68"/>
        <v>0.01</v>
      </c>
      <c r="DC6" s="28">
        <f t="shared" si="68"/>
        <v>0.015</v>
      </c>
      <c r="DD6" s="28">
        <f t="shared" si="68"/>
        <v>0.02</v>
      </c>
      <c r="DE6" s="28">
        <f t="shared" si="68"/>
        <v>0.03</v>
      </c>
      <c r="DF6" s="24">
        <f>'Quick Setup'!L63</f>
        <v>0.85</v>
      </c>
      <c r="DG6" s="25">
        <f>if(DF6='Quick Setup'!$C$31,'Quick Setup'!$C35,if(DF6='Quick Setup'!$D$31,'Quick Setup'!$D35,if(DF6='Quick Setup'!$E$31,'Quick Setup'!$E35,if(DF6='Quick Setup'!$F$31,'Quick Setup'!$F35,if(DF6='Quick Setup'!$G$31,'Quick Setup'!$G35,if(DF6='Quick Setup'!$H$31,'Quick Setup'!$H35,if(DF6='Quick Setup'!$I$31,'Quick Setup'!$I35,if(DF6='Quick Setup'!$J$31,'Quick Setup'!$J35,if(DF6='Quick Setup'!$K$31,'Quick Setup'!$K35,if(DF6='Quick Setup'!$L$31,'Quick Setup'!$L35,if(DF6='Quick Setup'!$M$31,'Quick Setup'!$M35,if(DF6='Quick Setup'!$N$31,'Quick Setup'!$N35,if(DF6='Quick Setup'!$O$31,'Quick Setup'!$O35,if(DF6='Quick Setup'!$P$31,'Quick Setup'!$P35,if(DF6='Quick Setup'!$Q$31,'Quick Setup'!$Q35,if(DF6='Quick Setup'!$R$31,'Quick Setup'!$R35,if(DF6='Quick Setup'!$S$31,'Quick Setup'!$S35,if(DF6='Quick Setup'!$T$31,'Quick Setup'!$T35,if(DF6='Quick Setup'!$U$31,'Quick Setup'!$U35,if(DF6='Quick Setup'!$V$31,'Quick Setup'!$V35,'Quick Setup'!$W35))))))))))))))))))))</f>
        <v>2</v>
      </c>
      <c r="DH6" s="25">
        <f>if(DF6='Quick Setup'!$C$45,'Quick Setup'!$C49,if(DF6='Quick Setup'!$D$45,'Quick Setup'!$D49,if(DF6='Quick Setup'!$E$45,'Quick Setup'!$E49,if(DF6='Quick Setup'!$F$45,'Quick Setup'!$F49,if(DF6='Quick Setup'!$G$45,'Quick Setup'!$G49,if(DF6='Quick Setup'!$H$45,'Quick Setup'!$H49,if(DF6='Quick Setup'!$I$45,'Quick Setup'!$I49,if(DF6='Quick Setup'!$J$45,'Quick Setup'!$J49,if(DF6='Quick Setup'!$K$45,'Quick Setup'!$K49,if(DF6='Quick Setup'!$L$45,'Quick Setup'!$L49,if(DF6='Quick Setup'!$M$45,'Quick Setup'!$M49,if(DF6='Quick Setup'!$N$45,'Quick Setup'!$N49,if(DF6='Quick Setup'!$O$45,'Quick Setup'!$O49,if(DF6='Quick Setup'!$P$45,'Quick Setup'!$P49,if(DF6='Quick Setup'!$Q$45,'Quick Setup'!$Q49,if(DF6='Quick Setup'!$R$45,'Quick Setup'!$R49,if(DF6='Quick Setup'!$S$45,'Quick Setup'!$S49,if(DF6='Quick Setup'!$T$45,'Quick Setup'!$T49,if(DF6='Quick Setup'!$U$45,'Quick Setup'!$U49,if(DF6='Quick Setup'!$V$45,'Quick Setup'!$V49,'Quick Setup'!$W49))))))))))))))))))))</f>
        <v>4</v>
      </c>
      <c r="DI6" s="27">
        <f t="shared" ref="DI6:DQ6" si="69">CW6</f>
        <v>5</v>
      </c>
      <c r="DJ6" s="28">
        <f t="shared" si="69"/>
        <v>-0.05</v>
      </c>
      <c r="DK6" s="28">
        <f t="shared" si="69"/>
        <v>-0.02</v>
      </c>
      <c r="DL6" s="28">
        <f t="shared" si="69"/>
        <v>0</v>
      </c>
      <c r="DM6" s="28">
        <f t="shared" si="69"/>
        <v>0.005</v>
      </c>
      <c r="DN6" s="28">
        <f t="shared" si="69"/>
        <v>0.01</v>
      </c>
      <c r="DO6" s="28">
        <f t="shared" si="69"/>
        <v>0.015</v>
      </c>
      <c r="DP6" s="28">
        <f t="shared" si="69"/>
        <v>0.02</v>
      </c>
      <c r="DQ6" s="28">
        <f t="shared" si="69"/>
        <v>0.03</v>
      </c>
      <c r="DR6" s="24">
        <f>'Quick Setup'!M63</f>
        <v>0.775</v>
      </c>
      <c r="DS6" s="25">
        <f>if(DR6='Quick Setup'!$C$31,'Quick Setup'!$C35,if(DR6='Quick Setup'!$D$31,'Quick Setup'!$D35,if(DR6='Quick Setup'!$E$31,'Quick Setup'!$E35,if(DR6='Quick Setup'!$F$31,'Quick Setup'!$F35,if(DR6='Quick Setup'!$G$31,'Quick Setup'!$G35,if(DR6='Quick Setup'!$H$31,'Quick Setup'!$H35,if(DR6='Quick Setup'!$I$31,'Quick Setup'!$I35,if(DR6='Quick Setup'!$J$31,'Quick Setup'!$J35,if(DR6='Quick Setup'!$K$31,'Quick Setup'!$K35,if(DR6='Quick Setup'!$L$31,'Quick Setup'!$L35,if(DR6='Quick Setup'!$M$31,'Quick Setup'!$M35,if(DR6='Quick Setup'!$N$31,'Quick Setup'!$N35,if(DR6='Quick Setup'!$O$31,'Quick Setup'!$O35,if(DR6='Quick Setup'!$P$31,'Quick Setup'!$P35,if(DR6='Quick Setup'!$Q$31,'Quick Setup'!$Q35,if(DR6='Quick Setup'!$R$31,'Quick Setup'!$R35,if(DR6='Quick Setup'!$S$31,'Quick Setup'!$S35,if(DR6='Quick Setup'!$T$31,'Quick Setup'!$T35,if(DR6='Quick Setup'!$U$31,'Quick Setup'!$U35,if(DR6='Quick Setup'!$V$31,'Quick Setup'!$V35,'Quick Setup'!$W35))))))))))))))))))))</f>
        <v>4</v>
      </c>
      <c r="DT6" s="25">
        <f>if(DR6='Quick Setup'!$C$45,'Quick Setup'!$C49,if(DR6='Quick Setup'!$D$45,'Quick Setup'!$D49,if(DR6='Quick Setup'!$E$45,'Quick Setup'!$E49,if(DR6='Quick Setup'!$F$45,'Quick Setup'!$F49,if(DR6='Quick Setup'!$G$45,'Quick Setup'!$G49,if(DR6='Quick Setup'!$H$45,'Quick Setup'!$H49,if(DR6='Quick Setup'!$I$45,'Quick Setup'!$I49,if(DR6='Quick Setup'!$J$45,'Quick Setup'!$J49,if(DR6='Quick Setup'!$K$45,'Quick Setup'!$K49,if(DR6='Quick Setup'!$L$45,'Quick Setup'!$L49,if(DR6='Quick Setup'!$M$45,'Quick Setup'!$M49,if(DR6='Quick Setup'!$N$45,'Quick Setup'!$N49,if(DR6='Quick Setup'!$O$45,'Quick Setup'!$O49,if(DR6='Quick Setup'!$P$45,'Quick Setup'!$P49,if(DR6='Quick Setup'!$Q$45,'Quick Setup'!$Q49,if(DR6='Quick Setup'!$R$45,'Quick Setup'!$R49,if(DR6='Quick Setup'!$S$45,'Quick Setup'!$S49,if(DR6='Quick Setup'!$T$45,'Quick Setup'!$T49,if(DR6='Quick Setup'!$U$45,'Quick Setup'!$U49,if(DR6='Quick Setup'!$V$45,'Quick Setup'!$V49,'Quick Setup'!$W49))))))))))))))))))))</f>
        <v>7</v>
      </c>
      <c r="DU6" s="27">
        <f t="shared" ref="DU6:EC6" si="70">DI6</f>
        <v>5</v>
      </c>
      <c r="DV6" s="28">
        <f t="shared" si="70"/>
        <v>-0.05</v>
      </c>
      <c r="DW6" s="28">
        <f t="shared" si="70"/>
        <v>-0.02</v>
      </c>
      <c r="DX6" s="28">
        <f t="shared" si="70"/>
        <v>0</v>
      </c>
      <c r="DY6" s="28">
        <f t="shared" si="70"/>
        <v>0.005</v>
      </c>
      <c r="DZ6" s="28">
        <f t="shared" si="70"/>
        <v>0.01</v>
      </c>
      <c r="EA6" s="28">
        <f t="shared" si="70"/>
        <v>0.015</v>
      </c>
      <c r="EB6" s="28">
        <f t="shared" si="70"/>
        <v>0.02</v>
      </c>
      <c r="EC6" s="28">
        <f t="shared" si="70"/>
        <v>0.03</v>
      </c>
      <c r="ED6" s="24">
        <f>'Quick Setup'!N63</f>
        <v>0.825</v>
      </c>
      <c r="EE6" s="25">
        <f>if(ED6='Quick Setup'!$C$31,'Quick Setup'!$C35,if(ED6='Quick Setup'!$D$31,'Quick Setup'!$D35,if(ED6='Quick Setup'!$E$31,'Quick Setup'!$E35,if(ED6='Quick Setup'!$F$31,'Quick Setup'!$F35,if(ED6='Quick Setup'!$G$31,'Quick Setup'!$G35,if(ED6='Quick Setup'!$H$31,'Quick Setup'!$H35,if(ED6='Quick Setup'!$I$31,'Quick Setup'!$I35,if(ED6='Quick Setup'!$J$31,'Quick Setup'!$J35,if(ED6='Quick Setup'!$K$31,'Quick Setup'!$K35,if(ED6='Quick Setup'!$L$31,'Quick Setup'!$L35,if(ED6='Quick Setup'!$M$31,'Quick Setup'!$M35,if(ED6='Quick Setup'!$N$31,'Quick Setup'!$N35,if(ED6='Quick Setup'!$O$31,'Quick Setup'!$O35,if(ED6='Quick Setup'!$P$31,'Quick Setup'!$P35,if(ED6='Quick Setup'!$Q$31,'Quick Setup'!$Q35,if(ED6='Quick Setup'!$R$31,'Quick Setup'!$R35,if(ED6='Quick Setup'!$S$31,'Quick Setup'!$S35,if(ED6='Quick Setup'!$T$31,'Quick Setup'!$T35,if(ED6='Quick Setup'!$U$31,'Quick Setup'!$U35,if(ED6='Quick Setup'!$V$31,'Quick Setup'!$V35,'Quick Setup'!$W35))))))))))))))))))))</f>
        <v>3</v>
      </c>
      <c r="EF6" s="25">
        <f>if(ED6='Quick Setup'!$C$45,'Quick Setup'!$C49,if(ED6='Quick Setup'!$D$45,'Quick Setup'!$D49,if(ED6='Quick Setup'!$E$45,'Quick Setup'!$E49,if(ED6='Quick Setup'!$F$45,'Quick Setup'!$F49,if(ED6='Quick Setup'!$G$45,'Quick Setup'!$G49,if(ED6='Quick Setup'!$H$45,'Quick Setup'!$H49,if(ED6='Quick Setup'!$I$45,'Quick Setup'!$I49,if(ED6='Quick Setup'!$J$45,'Quick Setup'!$J49,if(ED6='Quick Setup'!$K$45,'Quick Setup'!$K49,if(ED6='Quick Setup'!$L$45,'Quick Setup'!$L49,if(ED6='Quick Setup'!$M$45,'Quick Setup'!$M49,if(ED6='Quick Setup'!$N$45,'Quick Setup'!$N49,if(ED6='Quick Setup'!$O$45,'Quick Setup'!$O49,if(ED6='Quick Setup'!$P$45,'Quick Setup'!$P49,if(ED6='Quick Setup'!$Q$45,'Quick Setup'!$Q49,if(ED6='Quick Setup'!$R$45,'Quick Setup'!$R49,if(ED6='Quick Setup'!$S$45,'Quick Setup'!$S49,if(ED6='Quick Setup'!$T$45,'Quick Setup'!$T49,if(ED6='Quick Setup'!$U$45,'Quick Setup'!$U49,if(ED6='Quick Setup'!$V$45,'Quick Setup'!$V49,'Quick Setup'!$W49))))))))))))))))))))</f>
        <v>5</v>
      </c>
      <c r="EG6" s="27">
        <f t="shared" ref="EG6:EO6" si="71">DU6</f>
        <v>5</v>
      </c>
      <c r="EH6" s="28">
        <f t="shared" si="71"/>
        <v>-0.05</v>
      </c>
      <c r="EI6" s="28">
        <f t="shared" si="71"/>
        <v>-0.02</v>
      </c>
      <c r="EJ6" s="28">
        <f t="shared" si="71"/>
        <v>0</v>
      </c>
      <c r="EK6" s="28">
        <f t="shared" si="71"/>
        <v>0.005</v>
      </c>
      <c r="EL6" s="28">
        <f t="shared" si="71"/>
        <v>0.01</v>
      </c>
      <c r="EM6" s="28">
        <f t="shared" si="71"/>
        <v>0.015</v>
      </c>
      <c r="EN6" s="28">
        <f t="shared" si="71"/>
        <v>0.02</v>
      </c>
      <c r="EO6" s="28">
        <f t="shared" si="71"/>
        <v>0.03</v>
      </c>
      <c r="EP6" s="24">
        <f>'Quick Setup'!O63</f>
        <v>0.875</v>
      </c>
      <c r="EQ6" s="25">
        <f>if(EP6='Quick Setup'!$C$31,'Quick Setup'!$C35,if(EP6='Quick Setup'!$D$31,'Quick Setup'!$D35,if(EP6='Quick Setup'!$E$31,'Quick Setup'!$E35,if(EP6='Quick Setup'!$F$31,'Quick Setup'!$F35,if(EP6='Quick Setup'!$G$31,'Quick Setup'!$G35,if(EP6='Quick Setup'!$H$31,'Quick Setup'!$H35,if(EP6='Quick Setup'!$I$31,'Quick Setup'!$I35,if(EP6='Quick Setup'!$J$31,'Quick Setup'!$J35,if(EP6='Quick Setup'!$K$31,'Quick Setup'!$K35,if(EP6='Quick Setup'!$L$31,'Quick Setup'!$L35,if(EP6='Quick Setup'!$M$31,'Quick Setup'!$M35,if(EP6='Quick Setup'!$N$31,'Quick Setup'!$N35,if(EP6='Quick Setup'!$O$31,'Quick Setup'!$O35,if(EP6='Quick Setup'!$P$31,'Quick Setup'!$P35,if(EP6='Quick Setup'!$Q$31,'Quick Setup'!$Q35,if(EP6='Quick Setup'!$R$31,'Quick Setup'!$R35,if(EP6='Quick Setup'!$S$31,'Quick Setup'!$S35,if(EP6='Quick Setup'!$T$31,'Quick Setup'!$T35,if(EP6='Quick Setup'!$U$31,'Quick Setup'!$U35,if(EP6='Quick Setup'!$V$31,'Quick Setup'!$V35,'Quick Setup'!$W35))))))))))))))))))))</f>
        <v>2</v>
      </c>
      <c r="ER6" s="25">
        <f>if(EP6='Quick Setup'!$C$45,'Quick Setup'!$C49,if(EP6='Quick Setup'!$D$45,'Quick Setup'!$D49,if(EP6='Quick Setup'!$E$45,'Quick Setup'!$E49,if(EP6='Quick Setup'!$F$45,'Quick Setup'!$F49,if(EP6='Quick Setup'!$G$45,'Quick Setup'!$G49,if(EP6='Quick Setup'!$H$45,'Quick Setup'!$H49,if(EP6='Quick Setup'!$I$45,'Quick Setup'!$I49,if(EP6='Quick Setup'!$J$45,'Quick Setup'!$J49,if(EP6='Quick Setup'!$K$45,'Quick Setup'!$K49,if(EP6='Quick Setup'!$L$45,'Quick Setup'!$L49,if(EP6='Quick Setup'!$M$45,'Quick Setup'!$M49,if(EP6='Quick Setup'!$N$45,'Quick Setup'!$N49,if(EP6='Quick Setup'!$O$45,'Quick Setup'!$O49,if(EP6='Quick Setup'!$P$45,'Quick Setup'!$P49,if(EP6='Quick Setup'!$Q$45,'Quick Setup'!$Q49,if(EP6='Quick Setup'!$R$45,'Quick Setup'!$R49,if(EP6='Quick Setup'!$S$45,'Quick Setup'!$S49,if(EP6='Quick Setup'!$T$45,'Quick Setup'!$T49,if(EP6='Quick Setup'!$U$45,'Quick Setup'!$U49,if(EP6='Quick Setup'!$V$45,'Quick Setup'!$V49,'Quick Setup'!$W49))))))))))))))))))))</f>
        <v>3</v>
      </c>
      <c r="ES6" s="27">
        <f t="shared" ref="ES6:FA6" si="72">EG6</f>
        <v>5</v>
      </c>
      <c r="ET6" s="28">
        <f t="shared" si="72"/>
        <v>-0.05</v>
      </c>
      <c r="EU6" s="28">
        <f t="shared" si="72"/>
        <v>-0.02</v>
      </c>
      <c r="EV6" s="28">
        <f t="shared" si="72"/>
        <v>0</v>
      </c>
      <c r="EW6" s="28">
        <f t="shared" si="72"/>
        <v>0.005</v>
      </c>
      <c r="EX6" s="28">
        <f t="shared" si="72"/>
        <v>0.01</v>
      </c>
      <c r="EY6" s="28">
        <f t="shared" si="72"/>
        <v>0.015</v>
      </c>
      <c r="EZ6" s="28">
        <f t="shared" si="72"/>
        <v>0.02</v>
      </c>
      <c r="FA6" s="28">
        <f t="shared" si="72"/>
        <v>0.03</v>
      </c>
      <c r="FB6" s="24">
        <f>'Quick Setup'!P63</f>
        <v>0.6</v>
      </c>
      <c r="FC6" s="25">
        <f>if(FB6='Quick Setup'!$C$31,'Quick Setup'!$C35,if(FB6='Quick Setup'!$D$31,'Quick Setup'!$D35,if(FB6='Quick Setup'!$E$31,'Quick Setup'!$E35,if(FB6='Quick Setup'!$F$31,'Quick Setup'!$F35,if(FB6='Quick Setup'!$G$31,'Quick Setup'!$G35,if(FB6='Quick Setup'!$H$31,'Quick Setup'!$H35,if(FB6='Quick Setup'!$I$31,'Quick Setup'!$I35,if(FB6='Quick Setup'!$J$31,'Quick Setup'!$J35,if(FB6='Quick Setup'!$K$31,'Quick Setup'!$K35,if(FB6='Quick Setup'!$L$31,'Quick Setup'!$L35,if(FB6='Quick Setup'!$M$31,'Quick Setup'!$M35,if(FB6='Quick Setup'!$N$31,'Quick Setup'!$N35,if(FB6='Quick Setup'!$O$31,'Quick Setup'!$O35,if(FB6='Quick Setup'!$P$31,'Quick Setup'!$P35,if(FB6='Quick Setup'!$Q$31,'Quick Setup'!$Q35,if(FB6='Quick Setup'!$R$31,'Quick Setup'!$R35,if(FB6='Quick Setup'!$S$31,'Quick Setup'!$S35,if(FB6='Quick Setup'!$T$31,'Quick Setup'!$T35,if(FB6='Quick Setup'!$U$31,'Quick Setup'!$U35,if(FB6='Quick Setup'!$V$31,'Quick Setup'!$V35,'Quick Setup'!$W35))))))))))))))))))))</f>
        <v>7</v>
      </c>
      <c r="FD6" s="25">
        <f>if(FB6='Quick Setup'!$C$45,'Quick Setup'!$C49,if(FB6='Quick Setup'!$D$45,'Quick Setup'!$D49,if(FB6='Quick Setup'!$E$45,'Quick Setup'!$E49,if(FB6='Quick Setup'!$F$45,'Quick Setup'!$F49,if(FB6='Quick Setup'!$G$45,'Quick Setup'!$G49,if(FB6='Quick Setup'!$H$45,'Quick Setup'!$H49,if(FB6='Quick Setup'!$I$45,'Quick Setup'!$I49,if(FB6='Quick Setup'!$J$45,'Quick Setup'!$J49,if(FB6='Quick Setup'!$K$45,'Quick Setup'!$K49,if(FB6='Quick Setup'!$L$45,'Quick Setup'!$L49,if(FB6='Quick Setup'!$M$45,'Quick Setup'!$M49,if(FB6='Quick Setup'!$N$45,'Quick Setup'!$N49,if(FB6='Quick Setup'!$O$45,'Quick Setup'!$O49,if(FB6='Quick Setup'!$P$45,'Quick Setup'!$P49,if(FB6='Quick Setup'!$Q$45,'Quick Setup'!$Q49,if(FB6='Quick Setup'!$R$45,'Quick Setup'!$R49,if(FB6='Quick Setup'!$S$45,'Quick Setup'!$S49,if(FB6='Quick Setup'!$T$45,'Quick Setup'!$T49,if(FB6='Quick Setup'!$U$45,'Quick Setup'!$U49,if(FB6='Quick Setup'!$V$45,'Quick Setup'!$V49,'Quick Setup'!$W49))))))))))))))))))))</f>
        <v>14</v>
      </c>
      <c r="FE6" s="27">
        <f t="shared" ref="FE6:FM6" si="73">ES6</f>
        <v>5</v>
      </c>
      <c r="FF6" s="28">
        <f t="shared" si="73"/>
        <v>-0.05</v>
      </c>
      <c r="FG6" s="28">
        <f t="shared" si="73"/>
        <v>-0.02</v>
      </c>
      <c r="FH6" s="28">
        <f t="shared" si="73"/>
        <v>0</v>
      </c>
      <c r="FI6" s="28">
        <f t="shared" si="73"/>
        <v>0.005</v>
      </c>
      <c r="FJ6" s="28">
        <f t="shared" si="73"/>
        <v>0.01</v>
      </c>
      <c r="FK6" s="28">
        <f t="shared" si="73"/>
        <v>0.015</v>
      </c>
      <c r="FL6" s="28">
        <f t="shared" si="73"/>
        <v>0.02</v>
      </c>
      <c r="FM6" s="28">
        <f t="shared" si="73"/>
        <v>0.03</v>
      </c>
      <c r="FN6" s="24">
        <f>'Quick Setup'!Q63</f>
        <v>0.8</v>
      </c>
      <c r="FO6" s="25">
        <f>if(FN6='Quick Setup'!$C$31,'Quick Setup'!$C35,if(FN6='Quick Setup'!$D$31,'Quick Setup'!$D35,if(FN6='Quick Setup'!$E$31,'Quick Setup'!$E35,if(FN6='Quick Setup'!$F$31,'Quick Setup'!$F35,if(FN6='Quick Setup'!$G$31,'Quick Setup'!$G35,if(FN6='Quick Setup'!$H$31,'Quick Setup'!$H35,if(FN6='Quick Setup'!$I$31,'Quick Setup'!$I35,if(FN6='Quick Setup'!$J$31,'Quick Setup'!$J35,if(FN6='Quick Setup'!$K$31,'Quick Setup'!$K35,if(FN6='Quick Setup'!$L$31,'Quick Setup'!$L35,if(FN6='Quick Setup'!$M$31,'Quick Setup'!$M35,if(FN6='Quick Setup'!$N$31,'Quick Setup'!$N35,if(FN6='Quick Setup'!$O$31,'Quick Setup'!$O35,if(FN6='Quick Setup'!$P$31,'Quick Setup'!$P35,if(FN6='Quick Setup'!$Q$31,'Quick Setup'!$Q35,if(FN6='Quick Setup'!$R$31,'Quick Setup'!$R35,if(FN6='Quick Setup'!$S$31,'Quick Setup'!$S35,if(FN6='Quick Setup'!$T$31,'Quick Setup'!$T35,if(FN6='Quick Setup'!$U$31,'Quick Setup'!$U35,if(FN6='Quick Setup'!$V$31,'Quick Setup'!$V35,'Quick Setup'!$W35))))))))))))))))))))</f>
        <v>3</v>
      </c>
      <c r="FP6" s="25">
        <f>if(FN6='Quick Setup'!$C$45,'Quick Setup'!$C49,if(FN6='Quick Setup'!$D$45,'Quick Setup'!$D49,if(FN6='Quick Setup'!$E$45,'Quick Setup'!$E49,if(FN6='Quick Setup'!$F$45,'Quick Setup'!$F49,if(FN6='Quick Setup'!$G$45,'Quick Setup'!$G49,if(FN6='Quick Setup'!$H$45,'Quick Setup'!$H49,if(FN6='Quick Setup'!$I$45,'Quick Setup'!$I49,if(FN6='Quick Setup'!$J$45,'Quick Setup'!$J49,if(FN6='Quick Setup'!$K$45,'Quick Setup'!$K49,if(FN6='Quick Setup'!$L$45,'Quick Setup'!$L49,if(FN6='Quick Setup'!$M$45,'Quick Setup'!$M49,if(FN6='Quick Setup'!$N$45,'Quick Setup'!$N49,if(FN6='Quick Setup'!$O$45,'Quick Setup'!$O49,if(FN6='Quick Setup'!$P$45,'Quick Setup'!$P49,if(FN6='Quick Setup'!$Q$45,'Quick Setup'!$Q49,if(FN6='Quick Setup'!$R$45,'Quick Setup'!$R49,if(FN6='Quick Setup'!$S$45,'Quick Setup'!$S49,if(FN6='Quick Setup'!$T$45,'Quick Setup'!$T49,if(FN6='Quick Setup'!$U$45,'Quick Setup'!$U49,if(FN6='Quick Setup'!$V$45,'Quick Setup'!$V49,'Quick Setup'!$W49))))))))))))))))))))</f>
        <v>6</v>
      </c>
      <c r="FQ6" s="27">
        <f t="shared" ref="FQ6:FY6" si="74">FE6</f>
        <v>5</v>
      </c>
      <c r="FR6" s="28">
        <f t="shared" si="74"/>
        <v>-0.05</v>
      </c>
      <c r="FS6" s="28">
        <f t="shared" si="74"/>
        <v>-0.02</v>
      </c>
      <c r="FT6" s="28">
        <f t="shared" si="74"/>
        <v>0</v>
      </c>
      <c r="FU6" s="28">
        <f t="shared" si="74"/>
        <v>0.005</v>
      </c>
      <c r="FV6" s="28">
        <f t="shared" si="74"/>
        <v>0.01</v>
      </c>
      <c r="FW6" s="28">
        <f t="shared" si="74"/>
        <v>0.015</v>
      </c>
      <c r="FX6" s="28">
        <f t="shared" si="74"/>
        <v>0.02</v>
      </c>
      <c r="FY6" s="28">
        <f t="shared" si="74"/>
        <v>0.03</v>
      </c>
      <c r="FZ6" s="24">
        <f>'Quick Setup'!R63</f>
        <v>0.85</v>
      </c>
      <c r="GA6" s="25">
        <f>if(FZ6='Quick Setup'!$C$31,'Quick Setup'!$C35,if(FZ6='Quick Setup'!$D$31,'Quick Setup'!$D35,if(FZ6='Quick Setup'!$E$31,'Quick Setup'!$E35,if(FZ6='Quick Setup'!$F$31,'Quick Setup'!$F35,if(FZ6='Quick Setup'!$G$31,'Quick Setup'!$G35,if(FZ6='Quick Setup'!$H$31,'Quick Setup'!$H35,if(FZ6='Quick Setup'!$I$31,'Quick Setup'!$I35,if(FZ6='Quick Setup'!$J$31,'Quick Setup'!$J35,if(FZ6='Quick Setup'!$K$31,'Quick Setup'!$K35,if(FZ6='Quick Setup'!$L$31,'Quick Setup'!$L35,if(FZ6='Quick Setup'!$M$31,'Quick Setup'!$M35,if(FZ6='Quick Setup'!$N$31,'Quick Setup'!$N35,if(FZ6='Quick Setup'!$O$31,'Quick Setup'!$O35,if(FZ6='Quick Setup'!$P$31,'Quick Setup'!$P35,if(FZ6='Quick Setup'!$Q$31,'Quick Setup'!$Q35,if(FZ6='Quick Setup'!$R$31,'Quick Setup'!$R35,if(FZ6='Quick Setup'!$S$31,'Quick Setup'!$S35,if(FZ6='Quick Setup'!$T$31,'Quick Setup'!$T35,if(FZ6='Quick Setup'!$U$31,'Quick Setup'!$U35,if(FZ6='Quick Setup'!$V$31,'Quick Setup'!$V35,'Quick Setup'!$W35))))))))))))))))))))</f>
        <v>2</v>
      </c>
      <c r="GB6" s="25">
        <f>if(FZ6='Quick Setup'!$C$45,'Quick Setup'!$C49,if(FZ6='Quick Setup'!$D$45,'Quick Setup'!$D49,if(FZ6='Quick Setup'!$E$45,'Quick Setup'!$E49,if(FZ6='Quick Setup'!$F$45,'Quick Setup'!$F49,if(FZ6='Quick Setup'!$G$45,'Quick Setup'!$G49,if(FZ6='Quick Setup'!$H$45,'Quick Setup'!$H49,if(FZ6='Quick Setup'!$I$45,'Quick Setup'!$I49,if(FZ6='Quick Setup'!$J$45,'Quick Setup'!$J49,if(FZ6='Quick Setup'!$K$45,'Quick Setup'!$K49,if(FZ6='Quick Setup'!$L$45,'Quick Setup'!$L49,if(FZ6='Quick Setup'!$M$45,'Quick Setup'!$M49,if(FZ6='Quick Setup'!$N$45,'Quick Setup'!$N49,if(FZ6='Quick Setup'!$O$45,'Quick Setup'!$O49,if(FZ6='Quick Setup'!$P$45,'Quick Setup'!$P49,if(FZ6='Quick Setup'!$Q$45,'Quick Setup'!$Q49,if(FZ6='Quick Setup'!$R$45,'Quick Setup'!$R49,if(FZ6='Quick Setup'!$S$45,'Quick Setup'!$S49,if(FZ6='Quick Setup'!$T$45,'Quick Setup'!$T49,if(FZ6='Quick Setup'!$U$45,'Quick Setup'!$U49,if(FZ6='Quick Setup'!$V$45,'Quick Setup'!$V49,'Quick Setup'!$W49))))))))))))))))))))</f>
        <v>4</v>
      </c>
      <c r="GC6" s="27">
        <f t="shared" ref="GC6:GK6" si="75">FQ6</f>
        <v>5</v>
      </c>
      <c r="GD6" s="28">
        <f t="shared" si="75"/>
        <v>-0.05</v>
      </c>
      <c r="GE6" s="28">
        <f t="shared" si="75"/>
        <v>-0.02</v>
      </c>
      <c r="GF6" s="28">
        <f t="shared" si="75"/>
        <v>0</v>
      </c>
      <c r="GG6" s="28">
        <f t="shared" si="75"/>
        <v>0.005</v>
      </c>
      <c r="GH6" s="28">
        <f t="shared" si="75"/>
        <v>0.01</v>
      </c>
      <c r="GI6" s="28">
        <f t="shared" si="75"/>
        <v>0.015</v>
      </c>
      <c r="GJ6" s="28">
        <f t="shared" si="75"/>
        <v>0.02</v>
      </c>
      <c r="GK6" s="28">
        <f t="shared" si="75"/>
        <v>0.03</v>
      </c>
      <c r="GL6" s="24">
        <f>'Quick Setup'!S63</f>
        <v>0.9</v>
      </c>
      <c r="GM6" s="25">
        <f>if(GL6='Quick Setup'!$C$31,'Quick Setup'!$C35,if(GL6='Quick Setup'!$D$31,'Quick Setup'!$D35,if(GL6='Quick Setup'!$E$31,'Quick Setup'!$E35,if(GL6='Quick Setup'!$F$31,'Quick Setup'!$F35,if(GL6='Quick Setup'!$G$31,'Quick Setup'!$G35,if(GL6='Quick Setup'!$H$31,'Quick Setup'!$H35,if(GL6='Quick Setup'!$I$31,'Quick Setup'!$I35,if(GL6='Quick Setup'!$J$31,'Quick Setup'!$J35,if(GL6='Quick Setup'!$K$31,'Quick Setup'!$K35,if(GL6='Quick Setup'!$L$31,'Quick Setup'!$L35,if(GL6='Quick Setup'!$M$31,'Quick Setup'!$M35,if(GL6='Quick Setup'!$N$31,'Quick Setup'!$N35,if(GL6='Quick Setup'!$O$31,'Quick Setup'!$O35,if(GL6='Quick Setup'!$P$31,'Quick Setup'!$P35,if(GL6='Quick Setup'!$Q$31,'Quick Setup'!$Q35,if(GL6='Quick Setup'!$R$31,'Quick Setup'!$R35,if(GL6='Quick Setup'!$S$31,'Quick Setup'!$S35,if(GL6='Quick Setup'!$T$31,'Quick Setup'!$T35,if(GL6='Quick Setup'!$U$31,'Quick Setup'!$U35,if(GL6='Quick Setup'!$V$31,'Quick Setup'!$V35,'Quick Setup'!$W35))))))))))))))))))))</f>
        <v>1</v>
      </c>
      <c r="GN6" s="25">
        <f>if(GL6='Quick Setup'!$C$45,'Quick Setup'!$C49,if(GL6='Quick Setup'!$D$45,'Quick Setup'!$D49,if(GL6='Quick Setup'!$E$45,'Quick Setup'!$E49,if(GL6='Quick Setup'!$F$45,'Quick Setup'!$F49,if(GL6='Quick Setup'!$G$45,'Quick Setup'!$G49,if(GL6='Quick Setup'!$H$45,'Quick Setup'!$H49,if(GL6='Quick Setup'!$I$45,'Quick Setup'!$I49,if(GL6='Quick Setup'!$J$45,'Quick Setup'!$J49,if(GL6='Quick Setup'!$K$45,'Quick Setup'!$K49,if(GL6='Quick Setup'!$L$45,'Quick Setup'!$L49,if(GL6='Quick Setup'!$M$45,'Quick Setup'!$M49,if(GL6='Quick Setup'!$N$45,'Quick Setup'!$N49,if(GL6='Quick Setup'!$O$45,'Quick Setup'!$O49,if(GL6='Quick Setup'!$P$45,'Quick Setup'!$P49,if(GL6='Quick Setup'!$Q$45,'Quick Setup'!$Q49,if(GL6='Quick Setup'!$R$45,'Quick Setup'!$R49,if(GL6='Quick Setup'!$S$45,'Quick Setup'!$S49,if(GL6='Quick Setup'!$T$45,'Quick Setup'!$T49,if(GL6='Quick Setup'!$U$45,'Quick Setup'!$U49,if(GL6='Quick Setup'!$V$45,'Quick Setup'!$V49,'Quick Setup'!$W49))))))))))))))))))))</f>
        <v>2</v>
      </c>
      <c r="GO6" s="27">
        <f t="shared" ref="GO6:GW6" si="76">GC6</f>
        <v>5</v>
      </c>
      <c r="GP6" s="28">
        <f t="shared" si="76"/>
        <v>-0.05</v>
      </c>
      <c r="GQ6" s="28">
        <f t="shared" si="76"/>
        <v>-0.02</v>
      </c>
      <c r="GR6" s="28">
        <f t="shared" si="76"/>
        <v>0</v>
      </c>
      <c r="GS6" s="28">
        <f t="shared" si="76"/>
        <v>0.005</v>
      </c>
      <c r="GT6" s="28">
        <f t="shared" si="76"/>
        <v>0.01</v>
      </c>
      <c r="GU6" s="28">
        <f t="shared" si="76"/>
        <v>0.015</v>
      </c>
      <c r="GV6" s="28">
        <f t="shared" si="76"/>
        <v>0.02</v>
      </c>
      <c r="GW6" s="28">
        <f t="shared" si="76"/>
        <v>0.03</v>
      </c>
      <c r="GX6" s="24">
        <f>'Quick Setup'!T63</f>
        <v>0.85</v>
      </c>
      <c r="GY6" s="25">
        <f>if(GX6='Quick Setup'!$C$31,'Quick Setup'!$C35,if(GX6='Quick Setup'!$D$31,'Quick Setup'!$D35,if(GX6='Quick Setup'!$E$31,'Quick Setup'!$E35,if(GX6='Quick Setup'!$F$31,'Quick Setup'!$F35,if(GX6='Quick Setup'!$G$31,'Quick Setup'!$G35,if(GX6='Quick Setup'!$H$31,'Quick Setup'!$H35,if(GX6='Quick Setup'!$I$31,'Quick Setup'!$I35,if(GX6='Quick Setup'!$J$31,'Quick Setup'!$J35,if(GX6='Quick Setup'!$K$31,'Quick Setup'!$K35,if(GX6='Quick Setup'!$L$31,'Quick Setup'!$L35,if(GX6='Quick Setup'!$M$31,'Quick Setup'!$M35,if(GX6='Quick Setup'!$N$31,'Quick Setup'!$N35,if(GX6='Quick Setup'!$O$31,'Quick Setup'!$O35,if(GX6='Quick Setup'!$P$31,'Quick Setup'!$P35,if(GX6='Quick Setup'!$Q$31,'Quick Setup'!$Q35,if(GX6='Quick Setup'!$R$31,'Quick Setup'!$R35,if(GX6='Quick Setup'!$S$31,'Quick Setup'!$S35,if(GX6='Quick Setup'!$T$31,'Quick Setup'!$T35,if(GX6='Quick Setup'!$U$31,'Quick Setup'!$U35,if(GX6='Quick Setup'!$V$31,'Quick Setup'!$V35,'Quick Setup'!$W35))))))))))))))))))))</f>
        <v>2</v>
      </c>
      <c r="GZ6" s="25">
        <f>if(GX6='Quick Setup'!$C$45,'Quick Setup'!$C49,if(GX6='Quick Setup'!$D$45,'Quick Setup'!$D49,if(GX6='Quick Setup'!$E$45,'Quick Setup'!$E49,if(GX6='Quick Setup'!$F$45,'Quick Setup'!$F49,if(GX6='Quick Setup'!$G$45,'Quick Setup'!$G49,if(GX6='Quick Setup'!$H$45,'Quick Setup'!$H49,if(GX6='Quick Setup'!$I$45,'Quick Setup'!$I49,if(GX6='Quick Setup'!$J$45,'Quick Setup'!$J49,if(GX6='Quick Setup'!$K$45,'Quick Setup'!$K49,if(GX6='Quick Setup'!$L$45,'Quick Setup'!$L49,if(GX6='Quick Setup'!$M$45,'Quick Setup'!$M49,if(GX6='Quick Setup'!$N$45,'Quick Setup'!$N49,if(GX6='Quick Setup'!$O$45,'Quick Setup'!$O49,if(GX6='Quick Setup'!$P$45,'Quick Setup'!$P49,if(GX6='Quick Setup'!$Q$45,'Quick Setup'!$Q49,if(GX6='Quick Setup'!$R$45,'Quick Setup'!$R49,if(GX6='Quick Setup'!$S$45,'Quick Setup'!$S49,if(GX6='Quick Setup'!$T$45,'Quick Setup'!$T49,if(GX6='Quick Setup'!$U$45,'Quick Setup'!$U49,if(GX6='Quick Setup'!$V$45,'Quick Setup'!$V49,'Quick Setup'!$W49))))))))))))))))))))</f>
        <v>4</v>
      </c>
      <c r="HA6" s="27">
        <f t="shared" ref="HA6:HI6" si="77">GO6</f>
        <v>5</v>
      </c>
      <c r="HB6" s="28">
        <f t="shared" si="77"/>
        <v>-0.05</v>
      </c>
      <c r="HC6" s="28">
        <f t="shared" si="77"/>
        <v>-0.02</v>
      </c>
      <c r="HD6" s="28">
        <f t="shared" si="77"/>
        <v>0</v>
      </c>
      <c r="HE6" s="28">
        <f t="shared" si="77"/>
        <v>0.005</v>
      </c>
      <c r="HF6" s="28">
        <f t="shared" si="77"/>
        <v>0.01</v>
      </c>
      <c r="HG6" s="28">
        <f t="shared" si="77"/>
        <v>0.015</v>
      </c>
      <c r="HH6" s="28">
        <f t="shared" si="77"/>
        <v>0.02</v>
      </c>
      <c r="HI6" s="28">
        <f t="shared" si="77"/>
        <v>0.03</v>
      </c>
      <c r="HJ6" s="24">
        <f>'Quick Setup'!U63</f>
        <v>0.9</v>
      </c>
      <c r="HK6" s="25">
        <f>if(HJ6='Quick Setup'!$C$31,'Quick Setup'!$C35,if(HJ6='Quick Setup'!$D$31,'Quick Setup'!$D35,if(HJ6='Quick Setup'!$E$31,'Quick Setup'!$E35,if(HJ6='Quick Setup'!$F$31,'Quick Setup'!$F35,if(HJ6='Quick Setup'!$G$31,'Quick Setup'!$G35,if(HJ6='Quick Setup'!$H$31,'Quick Setup'!$H35,if(HJ6='Quick Setup'!$I$31,'Quick Setup'!$I35,if(HJ6='Quick Setup'!$J$31,'Quick Setup'!$J35,if(HJ6='Quick Setup'!$K$31,'Quick Setup'!$K35,if(HJ6='Quick Setup'!$L$31,'Quick Setup'!$L35,if(HJ6='Quick Setup'!$M$31,'Quick Setup'!$M35,if(HJ6='Quick Setup'!$N$31,'Quick Setup'!$N35,if(HJ6='Quick Setup'!$O$31,'Quick Setup'!$O35,if(HJ6='Quick Setup'!$P$31,'Quick Setup'!$P35,if(HJ6='Quick Setup'!$Q$31,'Quick Setup'!$Q35,if(HJ6='Quick Setup'!$R$31,'Quick Setup'!$R35,if(HJ6='Quick Setup'!$S$31,'Quick Setup'!$S35,if(HJ6='Quick Setup'!$T$31,'Quick Setup'!$T35,if(HJ6='Quick Setup'!$U$31,'Quick Setup'!$U35,if(HJ6='Quick Setup'!$V$31,'Quick Setup'!$V35,'Quick Setup'!$W35))))))))))))))))))))</f>
        <v>1</v>
      </c>
      <c r="HL6" s="25">
        <f>if(HJ6='Quick Setup'!$C$45,'Quick Setup'!$C49,if(HJ6='Quick Setup'!$D$45,'Quick Setup'!$D49,if(HJ6='Quick Setup'!$E$45,'Quick Setup'!$E49,if(HJ6='Quick Setup'!$F$45,'Quick Setup'!$F49,if(HJ6='Quick Setup'!$G$45,'Quick Setup'!$G49,if(HJ6='Quick Setup'!$H$45,'Quick Setup'!$H49,if(HJ6='Quick Setup'!$I$45,'Quick Setup'!$I49,if(HJ6='Quick Setup'!$J$45,'Quick Setup'!$J49,if(HJ6='Quick Setup'!$K$45,'Quick Setup'!$K49,if(HJ6='Quick Setup'!$L$45,'Quick Setup'!$L49,if(HJ6='Quick Setup'!$M$45,'Quick Setup'!$M49,if(HJ6='Quick Setup'!$N$45,'Quick Setup'!$N49,if(HJ6='Quick Setup'!$O$45,'Quick Setup'!$O49,if(HJ6='Quick Setup'!$P$45,'Quick Setup'!$P49,if(HJ6='Quick Setup'!$Q$45,'Quick Setup'!$Q49,if(HJ6='Quick Setup'!$R$45,'Quick Setup'!$R49,if(HJ6='Quick Setup'!$S$45,'Quick Setup'!$S49,if(HJ6='Quick Setup'!$T$45,'Quick Setup'!$T49,if(HJ6='Quick Setup'!$U$45,'Quick Setup'!$U49,if(HJ6='Quick Setup'!$V$45,'Quick Setup'!$V49,'Quick Setup'!$W49))))))))))))))))))))</f>
        <v>2</v>
      </c>
      <c r="HM6" s="27">
        <f t="shared" ref="HM6:HU6" si="78">HA6</f>
        <v>5</v>
      </c>
      <c r="HN6" s="28">
        <f t="shared" si="78"/>
        <v>-0.05</v>
      </c>
      <c r="HO6" s="28">
        <f t="shared" si="78"/>
        <v>-0.02</v>
      </c>
      <c r="HP6" s="28">
        <f t="shared" si="78"/>
        <v>0</v>
      </c>
      <c r="HQ6" s="28">
        <f t="shared" si="78"/>
        <v>0.005</v>
      </c>
      <c r="HR6" s="28">
        <f t="shared" si="78"/>
        <v>0.01</v>
      </c>
      <c r="HS6" s="28">
        <f t="shared" si="78"/>
        <v>0.015</v>
      </c>
      <c r="HT6" s="28">
        <f t="shared" si="78"/>
        <v>0.02</v>
      </c>
      <c r="HU6" s="28">
        <f t="shared" si="78"/>
        <v>0.03</v>
      </c>
      <c r="HV6" s="24">
        <f>'Quick Setup'!V63</f>
        <v>0.95</v>
      </c>
      <c r="HW6" s="25">
        <f>if(HV6='Quick Setup'!$C$31,'Quick Setup'!$C35,if(HV6='Quick Setup'!$D$31,'Quick Setup'!$D35,if(HV6='Quick Setup'!$E$31,'Quick Setup'!$E35,if(HV6='Quick Setup'!$F$31,'Quick Setup'!$F35,if(HV6='Quick Setup'!$G$31,'Quick Setup'!$G35,if(HV6='Quick Setup'!$H$31,'Quick Setup'!$H35,if(HV6='Quick Setup'!$I$31,'Quick Setup'!$I35,if(HV6='Quick Setup'!$J$31,'Quick Setup'!$J35,if(HV6='Quick Setup'!$K$31,'Quick Setup'!$K35,if(HV6='Quick Setup'!$L$31,'Quick Setup'!$L35,if(HV6='Quick Setup'!$M$31,'Quick Setup'!$M35,if(HV6='Quick Setup'!$N$31,'Quick Setup'!$N35,if(HV6='Quick Setup'!$O$31,'Quick Setup'!$O35,if(HV6='Quick Setup'!$P$31,'Quick Setup'!$P35,if(HV6='Quick Setup'!$Q$31,'Quick Setup'!$Q35,if(HV6='Quick Setup'!$R$31,'Quick Setup'!$R35,if(HV6='Quick Setup'!$S$31,'Quick Setup'!$S35,if(HV6='Quick Setup'!$T$31,'Quick Setup'!$T35,if(HV6='Quick Setup'!$U$31,'Quick Setup'!$U35,if(HV6='Quick Setup'!$V$31,'Quick Setup'!$V35,'Quick Setup'!$W35))))))))))))))))))))</f>
        <v>1</v>
      </c>
      <c r="HX6" s="25">
        <f>if(HV6='Quick Setup'!$C$45,'Quick Setup'!$C49,if(HV6='Quick Setup'!$D$45,'Quick Setup'!$D49,if(HV6='Quick Setup'!$E$45,'Quick Setup'!$E49,if(HV6='Quick Setup'!$F$45,'Quick Setup'!$F49,if(HV6='Quick Setup'!$G$45,'Quick Setup'!$G49,if(HV6='Quick Setup'!$H$45,'Quick Setup'!$H49,if(HV6='Quick Setup'!$I$45,'Quick Setup'!$I49,if(HV6='Quick Setup'!$J$45,'Quick Setup'!$J49,if(HV6='Quick Setup'!$K$45,'Quick Setup'!$K49,if(HV6='Quick Setup'!$L$45,'Quick Setup'!$L49,if(HV6='Quick Setup'!$M$45,'Quick Setup'!$M49,if(HV6='Quick Setup'!$N$45,'Quick Setup'!$N49,if(HV6='Quick Setup'!$O$45,'Quick Setup'!$O49,if(HV6='Quick Setup'!$P$45,'Quick Setup'!$P49,if(HV6='Quick Setup'!$Q$45,'Quick Setup'!$Q49,if(HV6='Quick Setup'!$R$45,'Quick Setup'!$R49,if(HV6='Quick Setup'!$S$45,'Quick Setup'!$S49,if(HV6='Quick Setup'!$T$45,'Quick Setup'!$T49,if(HV6='Quick Setup'!$U$45,'Quick Setup'!$U49,if(HV6='Quick Setup'!$V$45,'Quick Setup'!$V49,'Quick Setup'!$W49))))))))))))))))))))</f>
        <v>1</v>
      </c>
      <c r="HY6" s="27">
        <f t="shared" ref="HY6:IG6" si="79">HM6</f>
        <v>5</v>
      </c>
      <c r="HZ6" s="28">
        <f t="shared" si="79"/>
        <v>-0.05</v>
      </c>
      <c r="IA6" s="28">
        <f t="shared" si="79"/>
        <v>-0.02</v>
      </c>
      <c r="IB6" s="28">
        <f t="shared" si="79"/>
        <v>0</v>
      </c>
      <c r="IC6" s="28">
        <f t="shared" si="79"/>
        <v>0.005</v>
      </c>
      <c r="ID6" s="28">
        <f t="shared" si="79"/>
        <v>0.01</v>
      </c>
      <c r="IE6" s="28">
        <f t="shared" si="79"/>
        <v>0.015</v>
      </c>
      <c r="IF6" s="28">
        <f t="shared" si="79"/>
        <v>0.02</v>
      </c>
      <c r="IG6" s="28">
        <f t="shared" si="79"/>
        <v>0.03</v>
      </c>
      <c r="IH6" s="24">
        <f>'Quick Setup'!W63</f>
        <v>0.6</v>
      </c>
      <c r="II6" s="25">
        <f>if(IH6='Quick Setup'!$C$31,'Quick Setup'!$C35,if(IH6='Quick Setup'!$D$31,'Quick Setup'!$D35,if(IH6='Quick Setup'!$E$31,'Quick Setup'!$E35,if(IH6='Quick Setup'!$F$31,'Quick Setup'!$F35,if(IH6='Quick Setup'!$G$31,'Quick Setup'!$G35,if(IH6='Quick Setup'!$H$31,'Quick Setup'!$H35,if(IH6='Quick Setup'!$I$31,'Quick Setup'!$I35,if(IH6='Quick Setup'!$J$31,'Quick Setup'!$J35,if(IH6='Quick Setup'!$K$31,'Quick Setup'!$K35,if(IH6='Quick Setup'!$L$31,'Quick Setup'!$L35,if(IH6='Quick Setup'!$M$31,'Quick Setup'!$M35,if(IH6='Quick Setup'!$N$31,'Quick Setup'!$N35,if(IH6='Quick Setup'!$O$31,'Quick Setup'!$O35,if(IH6='Quick Setup'!$P$31,'Quick Setup'!$P35,if(IH6='Quick Setup'!$Q$31,'Quick Setup'!$Q35,if(IH6='Quick Setup'!$R$31,'Quick Setup'!$R35,if(IH6='Quick Setup'!$S$31,'Quick Setup'!$S35,if(IH6='Quick Setup'!$T$31,'Quick Setup'!$T35,if(IH6='Quick Setup'!$U$31,'Quick Setup'!$U35,if(IH6='Quick Setup'!$V$31,'Quick Setup'!$V35,'Quick Setup'!$W35))))))))))))))))))))</f>
        <v>7</v>
      </c>
      <c r="IJ6" s="25">
        <f>if(IH6='Quick Setup'!$C$45,'Quick Setup'!$C49,if(IH6='Quick Setup'!$D$45,'Quick Setup'!$D49,if(IH6='Quick Setup'!$E$45,'Quick Setup'!$E49,if(IH6='Quick Setup'!$F$45,'Quick Setup'!$F49,if(IH6='Quick Setup'!$G$45,'Quick Setup'!$G49,if(IH6='Quick Setup'!$H$45,'Quick Setup'!$H49,if(IH6='Quick Setup'!$I$45,'Quick Setup'!$I49,if(IH6='Quick Setup'!$J$45,'Quick Setup'!$J49,if(IH6='Quick Setup'!$K$45,'Quick Setup'!$K49,if(IH6='Quick Setup'!$L$45,'Quick Setup'!$L49,if(IH6='Quick Setup'!$M$45,'Quick Setup'!$M49,if(IH6='Quick Setup'!$N$45,'Quick Setup'!$N49,if(IH6='Quick Setup'!$O$45,'Quick Setup'!$O49,if(IH6='Quick Setup'!$P$45,'Quick Setup'!$P49,if(IH6='Quick Setup'!$Q$45,'Quick Setup'!$Q49,if(IH6='Quick Setup'!$R$45,'Quick Setup'!$R49,if(IH6='Quick Setup'!$S$45,'Quick Setup'!$S49,if(IH6='Quick Setup'!$T$45,'Quick Setup'!$T49,if(IH6='Quick Setup'!$U$45,'Quick Setup'!$U49,if(IH6='Quick Setup'!$V$45,'Quick Setup'!$V49,'Quick Setup'!$W49))))))))))))))))))))</f>
        <v>14</v>
      </c>
      <c r="IK6" s="27">
        <f t="shared" ref="IK6:IS6" si="80">HY6</f>
        <v>5</v>
      </c>
      <c r="IL6" s="28">
        <f t="shared" si="80"/>
        <v>-0.05</v>
      </c>
      <c r="IM6" s="28">
        <f t="shared" si="80"/>
        <v>-0.02</v>
      </c>
      <c r="IN6" s="28">
        <f t="shared" si="80"/>
        <v>0</v>
      </c>
      <c r="IO6" s="28">
        <f t="shared" si="80"/>
        <v>0.005</v>
      </c>
      <c r="IP6" s="28">
        <f t="shared" si="80"/>
        <v>0.01</v>
      </c>
      <c r="IQ6" s="28">
        <f t="shared" si="80"/>
        <v>0.015</v>
      </c>
      <c r="IR6" s="28">
        <f t="shared" si="80"/>
        <v>0.02</v>
      </c>
      <c r="IS6" s="28">
        <f t="shared" si="80"/>
        <v>0.03</v>
      </c>
    </row>
    <row r="7">
      <c r="BM7" s="23"/>
      <c r="BN7" s="23"/>
      <c r="BO7" s="23"/>
      <c r="BP7" s="23"/>
      <c r="BQ7" s="23"/>
      <c r="BR7" s="23"/>
      <c r="BS7" s="23"/>
      <c r="BT7" s="23"/>
      <c r="BU7" s="23"/>
      <c r="BY7" s="23"/>
      <c r="BZ7" s="23"/>
      <c r="CA7" s="23"/>
      <c r="CB7" s="23"/>
      <c r="CC7" s="23"/>
      <c r="CD7" s="23"/>
      <c r="CE7" s="23"/>
      <c r="CF7" s="23"/>
      <c r="CG7" s="23"/>
      <c r="CK7" s="23"/>
      <c r="CL7" s="23"/>
      <c r="CM7" s="23"/>
      <c r="CN7" s="23"/>
      <c r="CO7" s="23"/>
      <c r="CP7" s="23"/>
      <c r="CQ7" s="23"/>
      <c r="CR7" s="23"/>
      <c r="CS7" s="23"/>
      <c r="CW7" s="23"/>
      <c r="CX7" s="23"/>
      <c r="CY7" s="23"/>
      <c r="CZ7" s="23"/>
      <c r="DA7" s="23"/>
      <c r="DB7" s="23"/>
      <c r="DC7" s="23"/>
      <c r="DD7" s="23"/>
      <c r="DE7" s="23"/>
      <c r="DI7" s="23"/>
      <c r="DJ7" s="23"/>
      <c r="DK7" s="23"/>
      <c r="DL7" s="23"/>
      <c r="DM7" s="23"/>
      <c r="DN7" s="23"/>
      <c r="DO7" s="23"/>
      <c r="DP7" s="23"/>
      <c r="DQ7" s="23"/>
      <c r="DU7" s="23"/>
      <c r="DV7" s="23"/>
      <c r="DW7" s="23"/>
      <c r="DX7" s="23"/>
      <c r="DY7" s="23"/>
      <c r="DZ7" s="23"/>
      <c r="EA7" s="23"/>
      <c r="EB7" s="23"/>
      <c r="EC7" s="23"/>
      <c r="EG7" s="23"/>
      <c r="EH7" s="23"/>
      <c r="EI7" s="23"/>
      <c r="EJ7" s="23"/>
      <c r="EK7" s="23"/>
      <c r="EL7" s="23"/>
      <c r="EM7" s="23"/>
      <c r="EN7" s="23"/>
      <c r="EO7" s="23"/>
      <c r="ES7" s="23"/>
      <c r="ET7" s="23"/>
      <c r="EU7" s="23"/>
      <c r="EV7" s="23"/>
      <c r="EW7" s="23"/>
      <c r="EX7" s="23"/>
      <c r="EY7" s="23"/>
      <c r="EZ7" s="23"/>
      <c r="FA7" s="23"/>
      <c r="FE7" s="23"/>
      <c r="FF7" s="23"/>
      <c r="FG7" s="23"/>
      <c r="FH7" s="23"/>
      <c r="FI7" s="23"/>
      <c r="FJ7" s="23"/>
      <c r="FK7" s="23"/>
      <c r="FL7" s="23"/>
      <c r="FM7" s="23"/>
      <c r="FQ7" s="23"/>
      <c r="FR7" s="23"/>
      <c r="FS7" s="23"/>
      <c r="FT7" s="23"/>
      <c r="FU7" s="23"/>
      <c r="FV7" s="23"/>
      <c r="FW7" s="23"/>
      <c r="FX7" s="23"/>
      <c r="FY7" s="23"/>
      <c r="GC7" s="23"/>
      <c r="GD7" s="23"/>
      <c r="GE7" s="23"/>
      <c r="GF7" s="23"/>
      <c r="GG7" s="23"/>
      <c r="GH7" s="23"/>
      <c r="GI7" s="23"/>
      <c r="GJ7" s="23"/>
      <c r="GK7" s="23"/>
      <c r="GO7" s="23"/>
      <c r="GP7" s="23"/>
      <c r="GQ7" s="23"/>
      <c r="GR7" s="23"/>
      <c r="GS7" s="23"/>
      <c r="GT7" s="23"/>
      <c r="GU7" s="23"/>
      <c r="GV7" s="23"/>
      <c r="GW7" s="23"/>
      <c r="HA7" s="23"/>
      <c r="HB7" s="23"/>
      <c r="HC7" s="23"/>
      <c r="HD7" s="23"/>
      <c r="HE7" s="23"/>
      <c r="HF7" s="23"/>
      <c r="HG7" s="23"/>
      <c r="HH7" s="23"/>
      <c r="HI7" s="23"/>
      <c r="HM7" s="23"/>
      <c r="HN7" s="23"/>
      <c r="HO7" s="23"/>
      <c r="HP7" s="23"/>
      <c r="HQ7" s="23"/>
      <c r="HR7" s="23"/>
      <c r="HS7" s="23"/>
      <c r="HT7" s="23"/>
      <c r="HU7" s="23"/>
      <c r="HY7" s="23"/>
      <c r="HZ7" s="23"/>
      <c r="IA7" s="23"/>
      <c r="IB7" s="23"/>
      <c r="IC7" s="23"/>
      <c r="ID7" s="23"/>
      <c r="IE7" s="23"/>
      <c r="IF7" s="23"/>
      <c r="IG7" s="23"/>
      <c r="IK7" s="23"/>
      <c r="IL7" s="23"/>
      <c r="IM7" s="23"/>
      <c r="IN7" s="23"/>
      <c r="IO7" s="23"/>
      <c r="IP7" s="23"/>
      <c r="IQ7" s="23"/>
      <c r="IR7" s="23"/>
      <c r="IS7" s="23"/>
    </row>
    <row r="8">
      <c r="B8" s="21" t="s">
        <v>44</v>
      </c>
      <c r="C8" s="21" t="s">
        <v>47</v>
      </c>
      <c r="D8" s="21" t="s">
        <v>48</v>
      </c>
      <c r="E8" s="21" t="s">
        <v>7</v>
      </c>
      <c r="F8" s="21" t="s">
        <v>8</v>
      </c>
      <c r="G8" s="21" t="s">
        <v>9</v>
      </c>
      <c r="H8" s="21" t="s">
        <v>10</v>
      </c>
      <c r="I8" s="21" t="s">
        <v>11</v>
      </c>
      <c r="J8" s="21" t="s">
        <v>12</v>
      </c>
      <c r="K8" s="21" t="s">
        <v>13</v>
      </c>
      <c r="L8" s="21" t="s">
        <v>14</v>
      </c>
      <c r="M8" s="21" t="s">
        <v>15</v>
      </c>
      <c r="N8" s="21" t="s">
        <v>44</v>
      </c>
      <c r="O8" s="21" t="s">
        <v>47</v>
      </c>
      <c r="P8" s="21" t="s">
        <v>48</v>
      </c>
      <c r="Q8" s="21" t="s">
        <v>7</v>
      </c>
      <c r="R8" s="21" t="s">
        <v>8</v>
      </c>
      <c r="S8" s="21" t="s">
        <v>9</v>
      </c>
      <c r="T8" s="21" t="s">
        <v>10</v>
      </c>
      <c r="U8" s="21" t="s">
        <v>11</v>
      </c>
      <c r="V8" s="21" t="s">
        <v>12</v>
      </c>
      <c r="W8" s="21" t="s">
        <v>13</v>
      </c>
      <c r="X8" s="21" t="s">
        <v>14</v>
      </c>
      <c r="Y8" s="21" t="s">
        <v>15</v>
      </c>
      <c r="Z8" s="21" t="s">
        <v>44</v>
      </c>
      <c r="AA8" s="21" t="s">
        <v>47</v>
      </c>
      <c r="AB8" s="21" t="s">
        <v>48</v>
      </c>
      <c r="AC8" s="21" t="s">
        <v>7</v>
      </c>
      <c r="AD8" s="21" t="s">
        <v>8</v>
      </c>
      <c r="AE8" s="21" t="s">
        <v>9</v>
      </c>
      <c r="AF8" s="21" t="s">
        <v>10</v>
      </c>
      <c r="AG8" s="21" t="s">
        <v>11</v>
      </c>
      <c r="AH8" s="21" t="s">
        <v>12</v>
      </c>
      <c r="AI8" s="21" t="s">
        <v>13</v>
      </c>
      <c r="AJ8" s="21" t="s">
        <v>14</v>
      </c>
      <c r="AK8" s="21" t="s">
        <v>15</v>
      </c>
      <c r="AL8" s="21" t="s">
        <v>44</v>
      </c>
      <c r="AM8" s="21" t="s">
        <v>47</v>
      </c>
      <c r="AN8" s="21" t="s">
        <v>48</v>
      </c>
      <c r="AO8" s="21" t="s">
        <v>7</v>
      </c>
      <c r="AP8" s="21" t="s">
        <v>8</v>
      </c>
      <c r="AQ8" s="21" t="s">
        <v>9</v>
      </c>
      <c r="AR8" s="21" t="s">
        <v>10</v>
      </c>
      <c r="AS8" s="21" t="s">
        <v>11</v>
      </c>
      <c r="AT8" s="21" t="s">
        <v>12</v>
      </c>
      <c r="AU8" s="21" t="s">
        <v>13</v>
      </c>
      <c r="AV8" s="21" t="s">
        <v>14</v>
      </c>
      <c r="AW8" s="21" t="s">
        <v>15</v>
      </c>
      <c r="AX8" s="21" t="s">
        <v>44</v>
      </c>
      <c r="AY8" s="21" t="s">
        <v>47</v>
      </c>
      <c r="AZ8" s="21" t="s">
        <v>48</v>
      </c>
      <c r="BA8" s="21" t="s">
        <v>7</v>
      </c>
      <c r="BB8" s="21" t="s">
        <v>8</v>
      </c>
      <c r="BC8" s="21" t="s">
        <v>9</v>
      </c>
      <c r="BD8" s="21" t="s">
        <v>10</v>
      </c>
      <c r="BE8" s="21" t="s">
        <v>11</v>
      </c>
      <c r="BF8" s="21" t="s">
        <v>12</v>
      </c>
      <c r="BG8" s="21" t="s">
        <v>13</v>
      </c>
      <c r="BH8" s="21" t="s">
        <v>14</v>
      </c>
      <c r="BI8" s="21" t="s">
        <v>15</v>
      </c>
      <c r="BJ8" s="21" t="s">
        <v>44</v>
      </c>
      <c r="BK8" s="21" t="s">
        <v>47</v>
      </c>
      <c r="BL8" s="21" t="s">
        <v>48</v>
      </c>
      <c r="BM8" s="22" t="s">
        <v>7</v>
      </c>
      <c r="BN8" s="23" t="s">
        <v>8</v>
      </c>
      <c r="BO8" s="22" t="s">
        <v>9</v>
      </c>
      <c r="BP8" s="22" t="s">
        <v>10</v>
      </c>
      <c r="BQ8" s="22" t="s">
        <v>11</v>
      </c>
      <c r="BR8" s="22" t="s">
        <v>12</v>
      </c>
      <c r="BS8" s="22" t="s">
        <v>13</v>
      </c>
      <c r="BT8" s="22" t="s">
        <v>14</v>
      </c>
      <c r="BU8" s="22" t="s">
        <v>15</v>
      </c>
      <c r="BV8" s="21" t="s">
        <v>44</v>
      </c>
      <c r="BW8" s="21" t="s">
        <v>47</v>
      </c>
      <c r="BX8" s="21" t="s">
        <v>48</v>
      </c>
      <c r="BY8" s="22" t="s">
        <v>7</v>
      </c>
      <c r="BZ8" s="23" t="s">
        <v>8</v>
      </c>
      <c r="CA8" s="22" t="s">
        <v>9</v>
      </c>
      <c r="CB8" s="22" t="s">
        <v>10</v>
      </c>
      <c r="CC8" s="22" t="s">
        <v>11</v>
      </c>
      <c r="CD8" s="22" t="s">
        <v>12</v>
      </c>
      <c r="CE8" s="22" t="s">
        <v>13</v>
      </c>
      <c r="CF8" s="22" t="s">
        <v>14</v>
      </c>
      <c r="CG8" s="22" t="s">
        <v>15</v>
      </c>
      <c r="CH8" s="21" t="s">
        <v>44</v>
      </c>
      <c r="CI8" s="21" t="s">
        <v>47</v>
      </c>
      <c r="CJ8" s="21" t="s">
        <v>48</v>
      </c>
      <c r="CK8" s="22" t="s">
        <v>7</v>
      </c>
      <c r="CL8" s="23" t="s">
        <v>8</v>
      </c>
      <c r="CM8" s="22" t="s">
        <v>9</v>
      </c>
      <c r="CN8" s="22" t="s">
        <v>10</v>
      </c>
      <c r="CO8" s="22" t="s">
        <v>11</v>
      </c>
      <c r="CP8" s="22" t="s">
        <v>12</v>
      </c>
      <c r="CQ8" s="22" t="s">
        <v>13</v>
      </c>
      <c r="CR8" s="22" t="s">
        <v>14</v>
      </c>
      <c r="CS8" s="22" t="s">
        <v>15</v>
      </c>
      <c r="CT8" s="21" t="s">
        <v>44</v>
      </c>
      <c r="CU8" s="21" t="s">
        <v>47</v>
      </c>
      <c r="CV8" s="21" t="s">
        <v>48</v>
      </c>
      <c r="CW8" s="22" t="s">
        <v>7</v>
      </c>
      <c r="CX8" s="23" t="s">
        <v>8</v>
      </c>
      <c r="CY8" s="22" t="s">
        <v>9</v>
      </c>
      <c r="CZ8" s="22" t="s">
        <v>10</v>
      </c>
      <c r="DA8" s="22" t="s">
        <v>11</v>
      </c>
      <c r="DB8" s="22" t="s">
        <v>12</v>
      </c>
      <c r="DC8" s="22" t="s">
        <v>13</v>
      </c>
      <c r="DD8" s="22" t="s">
        <v>14</v>
      </c>
      <c r="DE8" s="22" t="s">
        <v>15</v>
      </c>
      <c r="DF8" s="21" t="s">
        <v>44</v>
      </c>
      <c r="DG8" s="21" t="s">
        <v>47</v>
      </c>
      <c r="DH8" s="21" t="s">
        <v>48</v>
      </c>
      <c r="DI8" s="22" t="s">
        <v>7</v>
      </c>
      <c r="DJ8" s="23" t="s">
        <v>8</v>
      </c>
      <c r="DK8" s="22" t="s">
        <v>9</v>
      </c>
      <c r="DL8" s="22" t="s">
        <v>10</v>
      </c>
      <c r="DM8" s="22" t="s">
        <v>11</v>
      </c>
      <c r="DN8" s="22" t="s">
        <v>12</v>
      </c>
      <c r="DO8" s="22" t="s">
        <v>13</v>
      </c>
      <c r="DP8" s="22" t="s">
        <v>14</v>
      </c>
      <c r="DQ8" s="22" t="s">
        <v>15</v>
      </c>
      <c r="DR8" s="21" t="s">
        <v>44</v>
      </c>
      <c r="DS8" s="21" t="s">
        <v>47</v>
      </c>
      <c r="DT8" s="21" t="s">
        <v>48</v>
      </c>
      <c r="DU8" s="22" t="s">
        <v>7</v>
      </c>
      <c r="DV8" s="23" t="s">
        <v>8</v>
      </c>
      <c r="DW8" s="22" t="s">
        <v>9</v>
      </c>
      <c r="DX8" s="22" t="s">
        <v>10</v>
      </c>
      <c r="DY8" s="22" t="s">
        <v>11</v>
      </c>
      <c r="DZ8" s="22" t="s">
        <v>12</v>
      </c>
      <c r="EA8" s="22" t="s">
        <v>13</v>
      </c>
      <c r="EB8" s="22" t="s">
        <v>14</v>
      </c>
      <c r="EC8" s="22" t="s">
        <v>15</v>
      </c>
      <c r="ED8" s="21" t="s">
        <v>44</v>
      </c>
      <c r="EE8" s="21" t="s">
        <v>47</v>
      </c>
      <c r="EF8" s="21" t="s">
        <v>48</v>
      </c>
      <c r="EG8" s="22" t="s">
        <v>7</v>
      </c>
      <c r="EH8" s="23" t="s">
        <v>8</v>
      </c>
      <c r="EI8" s="22" t="s">
        <v>9</v>
      </c>
      <c r="EJ8" s="22" t="s">
        <v>10</v>
      </c>
      <c r="EK8" s="22" t="s">
        <v>11</v>
      </c>
      <c r="EL8" s="22" t="s">
        <v>12</v>
      </c>
      <c r="EM8" s="22" t="s">
        <v>13</v>
      </c>
      <c r="EN8" s="22" t="s">
        <v>14</v>
      </c>
      <c r="EO8" s="22" t="s">
        <v>15</v>
      </c>
      <c r="EP8" s="21" t="s">
        <v>44</v>
      </c>
      <c r="EQ8" s="21" t="s">
        <v>47</v>
      </c>
      <c r="ER8" s="21" t="s">
        <v>48</v>
      </c>
      <c r="ES8" s="22" t="s">
        <v>7</v>
      </c>
      <c r="ET8" s="23" t="s">
        <v>8</v>
      </c>
      <c r="EU8" s="22" t="s">
        <v>9</v>
      </c>
      <c r="EV8" s="22" t="s">
        <v>10</v>
      </c>
      <c r="EW8" s="22" t="s">
        <v>11</v>
      </c>
      <c r="EX8" s="22" t="s">
        <v>12</v>
      </c>
      <c r="EY8" s="22" t="s">
        <v>13</v>
      </c>
      <c r="EZ8" s="22" t="s">
        <v>14</v>
      </c>
      <c r="FA8" s="22" t="s">
        <v>15</v>
      </c>
      <c r="FB8" s="21" t="s">
        <v>44</v>
      </c>
      <c r="FC8" s="21" t="s">
        <v>47</v>
      </c>
      <c r="FD8" s="21" t="s">
        <v>48</v>
      </c>
      <c r="FE8" s="22" t="s">
        <v>7</v>
      </c>
      <c r="FF8" s="23" t="s">
        <v>8</v>
      </c>
      <c r="FG8" s="22" t="s">
        <v>9</v>
      </c>
      <c r="FH8" s="22" t="s">
        <v>10</v>
      </c>
      <c r="FI8" s="22" t="s">
        <v>11</v>
      </c>
      <c r="FJ8" s="22" t="s">
        <v>12</v>
      </c>
      <c r="FK8" s="22" t="s">
        <v>13</v>
      </c>
      <c r="FL8" s="22" t="s">
        <v>14</v>
      </c>
      <c r="FM8" s="22" t="s">
        <v>15</v>
      </c>
      <c r="FN8" s="21" t="s">
        <v>44</v>
      </c>
      <c r="FO8" s="21" t="s">
        <v>47</v>
      </c>
      <c r="FP8" s="21" t="s">
        <v>48</v>
      </c>
      <c r="FQ8" s="22" t="s">
        <v>7</v>
      </c>
      <c r="FR8" s="23" t="s">
        <v>8</v>
      </c>
      <c r="FS8" s="22" t="s">
        <v>9</v>
      </c>
      <c r="FT8" s="22" t="s">
        <v>10</v>
      </c>
      <c r="FU8" s="22" t="s">
        <v>11</v>
      </c>
      <c r="FV8" s="22" t="s">
        <v>12</v>
      </c>
      <c r="FW8" s="22" t="s">
        <v>13</v>
      </c>
      <c r="FX8" s="22" t="s">
        <v>14</v>
      </c>
      <c r="FY8" s="22" t="s">
        <v>15</v>
      </c>
      <c r="FZ8" s="21" t="s">
        <v>44</v>
      </c>
      <c r="GA8" s="21" t="s">
        <v>47</v>
      </c>
      <c r="GB8" s="21" t="s">
        <v>48</v>
      </c>
      <c r="GC8" s="22" t="s">
        <v>7</v>
      </c>
      <c r="GD8" s="23" t="s">
        <v>8</v>
      </c>
      <c r="GE8" s="22" t="s">
        <v>9</v>
      </c>
      <c r="GF8" s="22" t="s">
        <v>10</v>
      </c>
      <c r="GG8" s="22" t="s">
        <v>11</v>
      </c>
      <c r="GH8" s="22" t="s">
        <v>12</v>
      </c>
      <c r="GI8" s="22" t="s">
        <v>13</v>
      </c>
      <c r="GJ8" s="22" t="s">
        <v>14</v>
      </c>
      <c r="GK8" s="22" t="s">
        <v>15</v>
      </c>
      <c r="GL8" s="21" t="s">
        <v>44</v>
      </c>
      <c r="GM8" s="21" t="s">
        <v>47</v>
      </c>
      <c r="GN8" s="21" t="s">
        <v>48</v>
      </c>
      <c r="GO8" s="22" t="s">
        <v>7</v>
      </c>
      <c r="GP8" s="23" t="s">
        <v>8</v>
      </c>
      <c r="GQ8" s="22" t="s">
        <v>9</v>
      </c>
      <c r="GR8" s="22" t="s">
        <v>10</v>
      </c>
      <c r="GS8" s="22" t="s">
        <v>11</v>
      </c>
      <c r="GT8" s="22" t="s">
        <v>12</v>
      </c>
      <c r="GU8" s="22" t="s">
        <v>13</v>
      </c>
      <c r="GV8" s="22" t="s">
        <v>14</v>
      </c>
      <c r="GW8" s="22" t="s">
        <v>15</v>
      </c>
      <c r="GX8" s="21" t="s">
        <v>44</v>
      </c>
      <c r="GY8" s="21" t="s">
        <v>47</v>
      </c>
      <c r="GZ8" s="21" t="s">
        <v>48</v>
      </c>
      <c r="HA8" s="22" t="s">
        <v>7</v>
      </c>
      <c r="HB8" s="23" t="s">
        <v>8</v>
      </c>
      <c r="HC8" s="22" t="s">
        <v>9</v>
      </c>
      <c r="HD8" s="22" t="s">
        <v>10</v>
      </c>
      <c r="HE8" s="22" t="s">
        <v>11</v>
      </c>
      <c r="HF8" s="22" t="s">
        <v>12</v>
      </c>
      <c r="HG8" s="22" t="s">
        <v>13</v>
      </c>
      <c r="HH8" s="22" t="s">
        <v>14</v>
      </c>
      <c r="HI8" s="22" t="s">
        <v>15</v>
      </c>
      <c r="HJ8" s="21" t="s">
        <v>44</v>
      </c>
      <c r="HK8" s="21" t="s">
        <v>47</v>
      </c>
      <c r="HL8" s="21" t="s">
        <v>48</v>
      </c>
      <c r="HM8" s="22" t="s">
        <v>7</v>
      </c>
      <c r="HN8" s="23" t="s">
        <v>8</v>
      </c>
      <c r="HO8" s="22" t="s">
        <v>9</v>
      </c>
      <c r="HP8" s="22" t="s">
        <v>10</v>
      </c>
      <c r="HQ8" s="22" t="s">
        <v>11</v>
      </c>
      <c r="HR8" s="22" t="s">
        <v>12</v>
      </c>
      <c r="HS8" s="22" t="s">
        <v>13</v>
      </c>
      <c r="HT8" s="22" t="s">
        <v>14</v>
      </c>
      <c r="HU8" s="22" t="s">
        <v>15</v>
      </c>
      <c r="HV8" s="21" t="s">
        <v>44</v>
      </c>
      <c r="HW8" s="21" t="s">
        <v>47</v>
      </c>
      <c r="HX8" s="21" t="s">
        <v>48</v>
      </c>
      <c r="HY8" s="22" t="s">
        <v>7</v>
      </c>
      <c r="HZ8" s="23" t="s">
        <v>8</v>
      </c>
      <c r="IA8" s="22" t="s">
        <v>9</v>
      </c>
      <c r="IB8" s="22" t="s">
        <v>10</v>
      </c>
      <c r="IC8" s="22" t="s">
        <v>11</v>
      </c>
      <c r="ID8" s="22" t="s">
        <v>12</v>
      </c>
      <c r="IE8" s="22" t="s">
        <v>13</v>
      </c>
      <c r="IF8" s="22" t="s">
        <v>14</v>
      </c>
      <c r="IG8" s="22" t="s">
        <v>15</v>
      </c>
      <c r="IH8" s="21" t="s">
        <v>44</v>
      </c>
      <c r="II8" s="21" t="s">
        <v>47</v>
      </c>
      <c r="IJ8" s="21" t="s">
        <v>48</v>
      </c>
      <c r="IK8" s="22" t="s">
        <v>7</v>
      </c>
      <c r="IL8" s="23" t="s">
        <v>8</v>
      </c>
      <c r="IM8" s="22" t="s">
        <v>9</v>
      </c>
      <c r="IN8" s="22" t="s">
        <v>10</v>
      </c>
      <c r="IO8" s="22" t="s">
        <v>11</v>
      </c>
      <c r="IP8" s="22" t="s">
        <v>12</v>
      </c>
      <c r="IQ8" s="22" t="s">
        <v>13</v>
      </c>
      <c r="IR8" s="22" t="s">
        <v>14</v>
      </c>
      <c r="IS8" s="22" t="s">
        <v>15</v>
      </c>
    </row>
    <row r="9">
      <c r="A9" t="str">
        <f>'Quick Setup'!C11</f>
        <v>Front Squat</v>
      </c>
      <c r="B9" s="24">
        <f>'Quick Setup'!C64</f>
        <v>0.6</v>
      </c>
      <c r="C9" s="25">
        <f>if(B9='Quick Setup'!$C$31,'Quick Setup'!$C36,if(B9='Quick Setup'!$D$31,'Quick Setup'!$D36,if(B9='Quick Setup'!$E$31,'Quick Setup'!$E36,if(B9='Quick Setup'!$F$31,'Quick Setup'!$F36,if(B9='Quick Setup'!$G$31,'Quick Setup'!$G36,if(B9='Quick Setup'!$H$31,'Quick Setup'!$H36,if(B9='Quick Setup'!$I$31,'Quick Setup'!$I36,if(B9='Quick Setup'!$J$31,'Quick Setup'!$J36,if(B9='Quick Setup'!$K$31,'Quick Setup'!$K36,if(B9='Quick Setup'!$L$31,'Quick Setup'!$L36,if(B9='Quick Setup'!$M$31,'Quick Setup'!$M36,if(B9='Quick Setup'!$N$31,'Quick Setup'!$N36,if(B9='Quick Setup'!$O$31,'Quick Setup'!$O36,if(B9='Quick Setup'!$P$31,'Quick Setup'!$P36,if(B9='Quick Setup'!$Q$31,'Quick Setup'!$Q36,if(B9='Quick Setup'!$R$31,'Quick Setup'!$R36,if(B9='Quick Setup'!$S$31,'Quick Setup'!$S36,if(B9='Quick Setup'!$T$31,'Quick Setup'!$T36,if(B9='Quick Setup'!$U$31,'Quick Setup'!$U36,if(B9='Quick Setup'!$V$31,'Quick Setup'!$V36,'Quick Setup'!$W36))))))))))))))))))))</f>
        <v>7</v>
      </c>
      <c r="D9" s="25">
        <f>if(B9='Quick Setup'!$C$45,'Quick Setup'!$C50,if(B9='Quick Setup'!$D$45,'Quick Setup'!$D50,if(B9='Quick Setup'!$E$45,'Quick Setup'!$E50,if(B9='Quick Setup'!$F$45,'Quick Setup'!$F50,if(B9='Quick Setup'!$G$45,'Quick Setup'!$G50,if(B9='Quick Setup'!$H$45,'Quick Setup'!$H50,if(B9='Quick Setup'!$I$45,'Quick Setup'!$I50,if(B9='Quick Setup'!$J$45,'Quick Setup'!$J50,if(B9='Quick Setup'!$K$45,'Quick Setup'!$K50,if(B9='Quick Setup'!$L$45,'Quick Setup'!$L50,if(B9='Quick Setup'!$M$45,'Quick Setup'!$M50,if(B9='Quick Setup'!$N$45,'Quick Setup'!$N50,if(B9='Quick Setup'!$O$45,'Quick Setup'!$O50,if(B9='Quick Setup'!$P$45,'Quick Setup'!$P50,if(B9='Quick Setup'!$Q$45,'Quick Setup'!$Q50,if(B9='Quick Setup'!$R$45,'Quick Setup'!$R50,if(B9='Quick Setup'!$S$45,'Quick Setup'!$S50,if(B9='Quick Setup'!$T$45,'Quick Setup'!$T50,if(B9='Quick Setup'!$U$45,'Quick Setup'!$U50,if(B9='Quick Setup'!$V$45,'Quick Setup'!$V50,'Quick Setup'!$W50))))))))))))))))))))</f>
        <v>14</v>
      </c>
      <c r="E9" s="25">
        <f>'Quick Setup'!H10</f>
        <v>5</v>
      </c>
      <c r="F9" s="26">
        <f>'Quick Setup'!I10</f>
        <v>-0.05</v>
      </c>
      <c r="G9" s="26">
        <f>'Quick Setup'!J10</f>
        <v>-0.02</v>
      </c>
      <c r="H9" s="26">
        <f>'Quick Setup'!K10</f>
        <v>0</v>
      </c>
      <c r="I9" s="26">
        <f>'Quick Setup'!L10</f>
        <v>0.005</v>
      </c>
      <c r="J9" s="26">
        <f>'Quick Setup'!M10</f>
        <v>0.01</v>
      </c>
      <c r="K9" s="26">
        <f>'Quick Setup'!N10</f>
        <v>0.015</v>
      </c>
      <c r="L9" s="26">
        <f>'Quick Setup'!O10</f>
        <v>0.02</v>
      </c>
      <c r="M9" s="26">
        <f>'Quick Setup'!P10</f>
        <v>0.03</v>
      </c>
      <c r="N9" s="24">
        <f>'Quick Setup'!D64</f>
        <v>0.65</v>
      </c>
      <c r="O9" s="25">
        <f>if(N9='Quick Setup'!$C$31,'Quick Setup'!$C36,if(N9='Quick Setup'!$D$31,'Quick Setup'!$D36,if(N9='Quick Setup'!$E$31,'Quick Setup'!$E36,if(N9='Quick Setup'!$F$31,'Quick Setup'!$F36,if(N9='Quick Setup'!$G$31,'Quick Setup'!$G36,if(N9='Quick Setup'!$H$31,'Quick Setup'!$H36,if(N9='Quick Setup'!$I$31,'Quick Setup'!$I36,if(N9='Quick Setup'!$J$31,'Quick Setup'!$J36,if(N9='Quick Setup'!$K$31,'Quick Setup'!$K36,if(N9='Quick Setup'!$L$31,'Quick Setup'!$L36,if(N9='Quick Setup'!$M$31,'Quick Setup'!$M36,if(N9='Quick Setup'!$N$31,'Quick Setup'!$N36,if(N9='Quick Setup'!$O$31,'Quick Setup'!$O36,if(N9='Quick Setup'!$P$31,'Quick Setup'!$P36,if(N9='Quick Setup'!$Q$31,'Quick Setup'!$Q36,if(N9='Quick Setup'!$R$31,'Quick Setup'!$R36,if(N9='Quick Setup'!$S$31,'Quick Setup'!$S36,if(N9='Quick Setup'!$T$31,'Quick Setup'!$T36,if(N9='Quick Setup'!$U$31,'Quick Setup'!$U36,if(N9='Quick Setup'!$V$31,'Quick Setup'!$V36,'Quick Setup'!$W36))))))))))))))))))))</f>
        <v>6</v>
      </c>
      <c r="P9" s="25">
        <f>if(N9='Quick Setup'!$C$45,'Quick Setup'!$C50,if(N9='Quick Setup'!$D$45,'Quick Setup'!$D50,if(N9='Quick Setup'!$E$45,'Quick Setup'!$E50,if(N9='Quick Setup'!$F$45,'Quick Setup'!$F50,if(N9='Quick Setup'!$G$45,'Quick Setup'!$G50,if(N9='Quick Setup'!$H$45,'Quick Setup'!$H50,if(N9='Quick Setup'!$I$45,'Quick Setup'!$I50,if(N9='Quick Setup'!$J$45,'Quick Setup'!$J50,if(N9='Quick Setup'!$K$45,'Quick Setup'!$K50,if(N9='Quick Setup'!$L$45,'Quick Setup'!$L50,if(N9='Quick Setup'!$M$45,'Quick Setup'!$M50,if(N9='Quick Setup'!$N$45,'Quick Setup'!$N50,if(N9='Quick Setup'!$O$45,'Quick Setup'!$O50,if(N9='Quick Setup'!$P$45,'Quick Setup'!$P50,if(N9='Quick Setup'!$Q$45,'Quick Setup'!$Q50,if(N9='Quick Setup'!$R$45,'Quick Setup'!$R50,if(N9='Quick Setup'!$S$45,'Quick Setup'!$S50,if(N9='Quick Setup'!$T$45,'Quick Setup'!$T50,if(N9='Quick Setup'!$U$45,'Quick Setup'!$U50,if(N9='Quick Setup'!$V$45,'Quick Setup'!$V50,'Quick Setup'!$W50))))))))))))))))))))</f>
        <v>12</v>
      </c>
      <c r="Q9" s="25">
        <f t="shared" ref="Q9:Y9" si="81">E9</f>
        <v>5</v>
      </c>
      <c r="R9" s="26">
        <f t="shared" si="81"/>
        <v>-0.05</v>
      </c>
      <c r="S9" s="26">
        <f t="shared" si="81"/>
        <v>-0.02</v>
      </c>
      <c r="T9" s="26">
        <f t="shared" si="81"/>
        <v>0</v>
      </c>
      <c r="U9" s="26">
        <f t="shared" si="81"/>
        <v>0.005</v>
      </c>
      <c r="V9" s="26">
        <f t="shared" si="81"/>
        <v>0.01</v>
      </c>
      <c r="W9" s="26">
        <f t="shared" si="81"/>
        <v>0.015</v>
      </c>
      <c r="X9" s="26">
        <f t="shared" si="81"/>
        <v>0.02</v>
      </c>
      <c r="Y9" s="26">
        <f t="shared" si="81"/>
        <v>0.03</v>
      </c>
      <c r="Z9" s="24">
        <f>'Quick Setup'!E64</f>
        <v>0.7</v>
      </c>
      <c r="AA9" s="25">
        <f>if(Z9='Quick Setup'!$C$31,'Quick Setup'!$C36,if(Z9='Quick Setup'!$D$31,'Quick Setup'!$D36,if(Z9='Quick Setup'!$E$31,'Quick Setup'!$E36,if(Z9='Quick Setup'!$F$31,'Quick Setup'!$F36,if(Z9='Quick Setup'!$G$31,'Quick Setup'!$G36,if(Z9='Quick Setup'!$H$31,'Quick Setup'!$H36,if(Z9='Quick Setup'!$I$31,'Quick Setup'!$I36,if(Z9='Quick Setup'!$J$31,'Quick Setup'!$J36,if(Z9='Quick Setup'!$K$31,'Quick Setup'!$K36,if(Z9='Quick Setup'!$L$31,'Quick Setup'!$L36,if(Z9='Quick Setup'!$M$31,'Quick Setup'!$M36,if(Z9='Quick Setup'!$N$31,'Quick Setup'!$N36,if(Z9='Quick Setup'!$O$31,'Quick Setup'!$O36,if(Z9='Quick Setup'!$P$31,'Quick Setup'!$P36,if(Z9='Quick Setup'!$Q$31,'Quick Setup'!$Q36,if(Z9='Quick Setup'!$R$31,'Quick Setup'!$R36,if(Z9='Quick Setup'!$S$31,'Quick Setup'!$S36,if(Z9='Quick Setup'!$T$31,'Quick Setup'!$T36,if(Z9='Quick Setup'!$U$31,'Quick Setup'!$U36,if(Z9='Quick Setup'!$V$31,'Quick Setup'!$V36,'Quick Setup'!$W36))))))))))))))))))))</f>
        <v>5</v>
      </c>
      <c r="AB9" s="25">
        <f>if(Z9='Quick Setup'!$C$45,'Quick Setup'!$C50,if(Z9='Quick Setup'!$D$45,'Quick Setup'!$D50,if(Z9='Quick Setup'!$E$45,'Quick Setup'!$E50,if(Z9='Quick Setup'!$F$45,'Quick Setup'!$F50,if(Z9='Quick Setup'!$G$45,'Quick Setup'!$G50,if(Z9='Quick Setup'!$H$45,'Quick Setup'!$H50,if(Z9='Quick Setup'!$I$45,'Quick Setup'!$I50,if(Z9='Quick Setup'!$J$45,'Quick Setup'!$J50,if(Z9='Quick Setup'!$K$45,'Quick Setup'!$K50,if(Z9='Quick Setup'!$L$45,'Quick Setup'!$L50,if(Z9='Quick Setup'!$M$45,'Quick Setup'!$M50,if(Z9='Quick Setup'!$N$45,'Quick Setup'!$N50,if(Z9='Quick Setup'!$O$45,'Quick Setup'!$O50,if(Z9='Quick Setup'!$P$45,'Quick Setup'!$P50,if(Z9='Quick Setup'!$Q$45,'Quick Setup'!$Q50,if(Z9='Quick Setup'!$R$45,'Quick Setup'!$R50,if(Z9='Quick Setup'!$S$45,'Quick Setup'!$S50,if(Z9='Quick Setup'!$T$45,'Quick Setup'!$T50,if(Z9='Quick Setup'!$U$45,'Quick Setup'!$U50,if(Z9='Quick Setup'!$V$45,'Quick Setup'!$V50,'Quick Setup'!$W50))))))))))))))))))))</f>
        <v>10</v>
      </c>
      <c r="AC9" s="25">
        <f t="shared" ref="AC9:AK9" si="82">Q9</f>
        <v>5</v>
      </c>
      <c r="AD9" s="26">
        <f t="shared" si="82"/>
        <v>-0.05</v>
      </c>
      <c r="AE9" s="26">
        <f t="shared" si="82"/>
        <v>-0.02</v>
      </c>
      <c r="AF9" s="26">
        <f t="shared" si="82"/>
        <v>0</v>
      </c>
      <c r="AG9" s="26">
        <f t="shared" si="82"/>
        <v>0.005</v>
      </c>
      <c r="AH9" s="26">
        <f t="shared" si="82"/>
        <v>0.01</v>
      </c>
      <c r="AI9" s="26">
        <f t="shared" si="82"/>
        <v>0.015</v>
      </c>
      <c r="AJ9" s="26">
        <f t="shared" si="82"/>
        <v>0.02</v>
      </c>
      <c r="AK9" s="26">
        <f t="shared" si="82"/>
        <v>0.03</v>
      </c>
      <c r="AL9" s="24">
        <f>'Quick Setup'!F64</f>
        <v>0.625</v>
      </c>
      <c r="AM9" s="25">
        <f>if(AL9='Quick Setup'!$C$31,'Quick Setup'!$C36,if(AL9='Quick Setup'!$D$31,'Quick Setup'!$D36,if(AL9='Quick Setup'!$E$31,'Quick Setup'!$E36,if(AL9='Quick Setup'!$F$31,'Quick Setup'!$F36,if(AL9='Quick Setup'!$G$31,'Quick Setup'!$G36,if(AL9='Quick Setup'!$H$31,'Quick Setup'!$H36,if(AL9='Quick Setup'!$I$31,'Quick Setup'!$I36,if(AL9='Quick Setup'!$J$31,'Quick Setup'!$J36,if(AL9='Quick Setup'!$K$31,'Quick Setup'!$K36,if(AL9='Quick Setup'!$L$31,'Quick Setup'!$L36,if(AL9='Quick Setup'!$M$31,'Quick Setup'!$M36,if(AL9='Quick Setup'!$N$31,'Quick Setup'!$N36,if(AL9='Quick Setup'!$O$31,'Quick Setup'!$O36,if(AL9='Quick Setup'!$P$31,'Quick Setup'!$P36,if(AL9='Quick Setup'!$Q$31,'Quick Setup'!$Q36,if(AL9='Quick Setup'!$R$31,'Quick Setup'!$R36,if(AL9='Quick Setup'!$S$31,'Quick Setup'!$S36,if(AL9='Quick Setup'!$T$31,'Quick Setup'!$T36,if(AL9='Quick Setup'!$U$31,'Quick Setup'!$U36,if(AL9='Quick Setup'!$V$31,'Quick Setup'!$V36,'Quick Setup'!$W36))))))))))))))))))))</f>
        <v>7</v>
      </c>
      <c r="AN9" s="25">
        <f>if(AL9='Quick Setup'!$C$45,'Quick Setup'!$C50,if(AL9='Quick Setup'!$D$45,'Quick Setup'!$D50,if(AL9='Quick Setup'!$E$45,'Quick Setup'!$E50,if(AL9='Quick Setup'!$F$45,'Quick Setup'!$F50,if(AL9='Quick Setup'!$G$45,'Quick Setup'!$G50,if(AL9='Quick Setup'!$H$45,'Quick Setup'!$H50,if(AL9='Quick Setup'!$I$45,'Quick Setup'!$I50,if(AL9='Quick Setup'!$J$45,'Quick Setup'!$J50,if(AL9='Quick Setup'!$K$45,'Quick Setup'!$K50,if(AL9='Quick Setup'!$L$45,'Quick Setup'!$L50,if(AL9='Quick Setup'!$M$45,'Quick Setup'!$M50,if(AL9='Quick Setup'!$N$45,'Quick Setup'!$N50,if(AL9='Quick Setup'!$O$45,'Quick Setup'!$O50,if(AL9='Quick Setup'!$P$45,'Quick Setup'!$P50,if(AL9='Quick Setup'!$Q$45,'Quick Setup'!$Q50,if(AL9='Quick Setup'!$R$45,'Quick Setup'!$R50,if(AL9='Quick Setup'!$S$45,'Quick Setup'!$S50,if(AL9='Quick Setup'!$T$45,'Quick Setup'!$T50,if(AL9='Quick Setup'!$U$45,'Quick Setup'!$U50,if(AL9='Quick Setup'!$V$45,'Quick Setup'!$V50,'Quick Setup'!$W50))))))))))))))))))))</f>
        <v>13</v>
      </c>
      <c r="AO9" s="25">
        <f t="shared" ref="AO9:AW9" si="83">AC9</f>
        <v>5</v>
      </c>
      <c r="AP9" s="26">
        <f t="shared" si="83"/>
        <v>-0.05</v>
      </c>
      <c r="AQ9" s="26">
        <f t="shared" si="83"/>
        <v>-0.02</v>
      </c>
      <c r="AR9" s="26">
        <f t="shared" si="83"/>
        <v>0</v>
      </c>
      <c r="AS9" s="26">
        <f t="shared" si="83"/>
        <v>0.005</v>
      </c>
      <c r="AT9" s="26">
        <f t="shared" si="83"/>
        <v>0.01</v>
      </c>
      <c r="AU9" s="26">
        <f t="shared" si="83"/>
        <v>0.015</v>
      </c>
      <c r="AV9" s="26">
        <f t="shared" si="83"/>
        <v>0.02</v>
      </c>
      <c r="AW9" s="26">
        <f t="shared" si="83"/>
        <v>0.03</v>
      </c>
      <c r="AX9" s="24">
        <f>'Quick Setup'!G64</f>
        <v>0.675</v>
      </c>
      <c r="AY9" s="25">
        <f>if(AX9='Quick Setup'!$C$31,'Quick Setup'!$C36,if(AX9='Quick Setup'!$D$31,'Quick Setup'!$D36,if(AX9='Quick Setup'!$E$31,'Quick Setup'!$E36,if(AX9='Quick Setup'!$F$31,'Quick Setup'!$F36,if(AX9='Quick Setup'!$G$31,'Quick Setup'!$G36,if(AX9='Quick Setup'!$H$31,'Quick Setup'!$H36,if(AX9='Quick Setup'!$I$31,'Quick Setup'!$I36,if(AX9='Quick Setup'!$J$31,'Quick Setup'!$J36,if(AX9='Quick Setup'!$K$31,'Quick Setup'!$K36,if(AX9='Quick Setup'!$L$31,'Quick Setup'!$L36,if(AX9='Quick Setup'!$M$31,'Quick Setup'!$M36,if(AX9='Quick Setup'!$N$31,'Quick Setup'!$N36,if(AX9='Quick Setup'!$O$31,'Quick Setup'!$O36,if(AX9='Quick Setup'!$P$31,'Quick Setup'!$P36,if(AX9='Quick Setup'!$Q$31,'Quick Setup'!$Q36,if(AX9='Quick Setup'!$R$31,'Quick Setup'!$R36,if(AX9='Quick Setup'!$S$31,'Quick Setup'!$S36,if(AX9='Quick Setup'!$T$31,'Quick Setup'!$T36,if(AX9='Quick Setup'!$U$31,'Quick Setup'!$U36,if(AX9='Quick Setup'!$V$31,'Quick Setup'!$V36,'Quick Setup'!$W36))))))))))))))))))))</f>
        <v>6</v>
      </c>
      <c r="AZ9" s="25">
        <f>if(AX9='Quick Setup'!$C$45,'Quick Setup'!$C50,if(AX9='Quick Setup'!$D$45,'Quick Setup'!$D50,if(AX9='Quick Setup'!$E$45,'Quick Setup'!$E50,if(AX9='Quick Setup'!$F$45,'Quick Setup'!$F50,if(AX9='Quick Setup'!$G$45,'Quick Setup'!$G50,if(AX9='Quick Setup'!$H$45,'Quick Setup'!$H50,if(AX9='Quick Setup'!$I$45,'Quick Setup'!$I50,if(AX9='Quick Setup'!$J$45,'Quick Setup'!$J50,if(AX9='Quick Setup'!$K$45,'Quick Setup'!$K50,if(AX9='Quick Setup'!$L$45,'Quick Setup'!$L50,if(AX9='Quick Setup'!$M$45,'Quick Setup'!$M50,if(AX9='Quick Setup'!$N$45,'Quick Setup'!$N50,if(AX9='Quick Setup'!$O$45,'Quick Setup'!$O50,if(AX9='Quick Setup'!$P$45,'Quick Setup'!$P50,if(AX9='Quick Setup'!$Q$45,'Quick Setup'!$Q50,if(AX9='Quick Setup'!$R$45,'Quick Setup'!$R50,if(AX9='Quick Setup'!$S$45,'Quick Setup'!$S50,if(AX9='Quick Setup'!$T$45,'Quick Setup'!$T50,if(AX9='Quick Setup'!$U$45,'Quick Setup'!$U50,if(AX9='Quick Setup'!$V$45,'Quick Setup'!$V50,'Quick Setup'!$W50))))))))))))))))))))</f>
        <v>11</v>
      </c>
      <c r="BA9" s="25">
        <f t="shared" ref="BA9:BI9" si="84">AO9</f>
        <v>5</v>
      </c>
      <c r="BB9" s="26">
        <f t="shared" si="84"/>
        <v>-0.05</v>
      </c>
      <c r="BC9" s="26">
        <f t="shared" si="84"/>
        <v>-0.02</v>
      </c>
      <c r="BD9" s="26">
        <f t="shared" si="84"/>
        <v>0</v>
      </c>
      <c r="BE9" s="26">
        <f t="shared" si="84"/>
        <v>0.005</v>
      </c>
      <c r="BF9" s="26">
        <f t="shared" si="84"/>
        <v>0.01</v>
      </c>
      <c r="BG9" s="26">
        <f t="shared" si="84"/>
        <v>0.015</v>
      </c>
      <c r="BH9" s="26">
        <f t="shared" si="84"/>
        <v>0.02</v>
      </c>
      <c r="BI9" s="26">
        <f t="shared" si="84"/>
        <v>0.03</v>
      </c>
      <c r="BJ9" s="24">
        <f>'Quick Setup'!H64</f>
        <v>0.725</v>
      </c>
      <c r="BK9" s="25">
        <f>if(BJ9='Quick Setup'!$C$31,'Quick Setup'!$C36,if(BJ9='Quick Setup'!$D$31,'Quick Setup'!$D36,if(BJ9='Quick Setup'!$E$31,'Quick Setup'!$E36,if(BJ9='Quick Setup'!$F$31,'Quick Setup'!$F36,if(BJ9='Quick Setup'!$G$31,'Quick Setup'!$G36,if(BJ9='Quick Setup'!$H$31,'Quick Setup'!$H36,if(BJ9='Quick Setup'!$I$31,'Quick Setup'!$I36,if(BJ9='Quick Setup'!$J$31,'Quick Setup'!$J36,if(BJ9='Quick Setup'!$K$31,'Quick Setup'!$K36,if(BJ9='Quick Setup'!$L$31,'Quick Setup'!$L36,if(BJ9='Quick Setup'!$M$31,'Quick Setup'!$M36,if(BJ9='Quick Setup'!$N$31,'Quick Setup'!$N36,if(BJ9='Quick Setup'!$O$31,'Quick Setup'!$O36,if(BJ9='Quick Setup'!$P$31,'Quick Setup'!$P36,if(BJ9='Quick Setup'!$Q$31,'Quick Setup'!$Q36,if(BJ9='Quick Setup'!$R$31,'Quick Setup'!$R36,if(BJ9='Quick Setup'!$S$31,'Quick Setup'!$S36,if(BJ9='Quick Setup'!$T$31,'Quick Setup'!$T36,if(BJ9='Quick Setup'!$U$31,'Quick Setup'!$U36,if(BJ9='Quick Setup'!$V$31,'Quick Setup'!$V36,'Quick Setup'!$W36))))))))))))))))))))</f>
        <v>5</v>
      </c>
      <c r="BL9" s="25">
        <f>if(BJ9='Quick Setup'!$C$45,'Quick Setup'!$C50,if(BJ9='Quick Setup'!$D$45,'Quick Setup'!$D50,if(BJ9='Quick Setup'!$E$45,'Quick Setup'!$E50,if(BJ9='Quick Setup'!$F$45,'Quick Setup'!$F50,if(BJ9='Quick Setup'!$G$45,'Quick Setup'!$G50,if(BJ9='Quick Setup'!$H$45,'Quick Setup'!$H50,if(BJ9='Quick Setup'!$I$45,'Quick Setup'!$I50,if(BJ9='Quick Setup'!$J$45,'Quick Setup'!$J50,if(BJ9='Quick Setup'!$K$45,'Quick Setup'!$K50,if(BJ9='Quick Setup'!$L$45,'Quick Setup'!$L50,if(BJ9='Quick Setup'!$M$45,'Quick Setup'!$M50,if(BJ9='Quick Setup'!$N$45,'Quick Setup'!$N50,if(BJ9='Quick Setup'!$O$45,'Quick Setup'!$O50,if(BJ9='Quick Setup'!$P$45,'Quick Setup'!$P50,if(BJ9='Quick Setup'!$Q$45,'Quick Setup'!$Q50,if(BJ9='Quick Setup'!$R$45,'Quick Setup'!$R50,if(BJ9='Quick Setup'!$S$45,'Quick Setup'!$S50,if(BJ9='Quick Setup'!$T$45,'Quick Setup'!$T50,if(BJ9='Quick Setup'!$U$45,'Quick Setup'!$U50,if(BJ9='Quick Setup'!$V$45,'Quick Setup'!$V50,'Quick Setup'!$W50))))))))))))))))))))</f>
        <v>9</v>
      </c>
      <c r="BM9" s="27">
        <f t="shared" ref="BM9:BU9" si="85">BA9</f>
        <v>5</v>
      </c>
      <c r="BN9" s="28">
        <f t="shared" si="85"/>
        <v>-0.05</v>
      </c>
      <c r="BO9" s="28">
        <f t="shared" si="85"/>
        <v>-0.02</v>
      </c>
      <c r="BP9" s="28">
        <f t="shared" si="85"/>
        <v>0</v>
      </c>
      <c r="BQ9" s="28">
        <f t="shared" si="85"/>
        <v>0.005</v>
      </c>
      <c r="BR9" s="28">
        <f t="shared" si="85"/>
        <v>0.01</v>
      </c>
      <c r="BS9" s="28">
        <f t="shared" si="85"/>
        <v>0.015</v>
      </c>
      <c r="BT9" s="28">
        <f t="shared" si="85"/>
        <v>0.02</v>
      </c>
      <c r="BU9" s="28">
        <f t="shared" si="85"/>
        <v>0.03</v>
      </c>
      <c r="BV9" s="24">
        <f>'Quick Setup'!I64</f>
        <v>0.5</v>
      </c>
      <c r="BW9" s="25">
        <f>if(BV9='Quick Setup'!$C$31,'Quick Setup'!$C36,if(BV9='Quick Setup'!$D$31,'Quick Setup'!$D36,if(BV9='Quick Setup'!$E$31,'Quick Setup'!$E36,if(BV9='Quick Setup'!$F$31,'Quick Setup'!$F36,if(BV9='Quick Setup'!$G$31,'Quick Setup'!$G36,if(BV9='Quick Setup'!$H$31,'Quick Setup'!$H36,if(BV9='Quick Setup'!$I$31,'Quick Setup'!$I36,if(BV9='Quick Setup'!$J$31,'Quick Setup'!$J36,if(BV9='Quick Setup'!$K$31,'Quick Setup'!$K36,if(BV9='Quick Setup'!$L$31,'Quick Setup'!$L36,if(BV9='Quick Setup'!$M$31,'Quick Setup'!$M36,if(BV9='Quick Setup'!$N$31,'Quick Setup'!$N36,if(BV9='Quick Setup'!$O$31,'Quick Setup'!$O36,if(BV9='Quick Setup'!$P$31,'Quick Setup'!$P36,if(BV9='Quick Setup'!$Q$31,'Quick Setup'!$Q36,if(BV9='Quick Setup'!$R$31,'Quick Setup'!$R36,if(BV9='Quick Setup'!$S$31,'Quick Setup'!$S36,if(BV9='Quick Setup'!$T$31,'Quick Setup'!$T36,if(BV9='Quick Setup'!$U$31,'Quick Setup'!$U36,if(BV9='Quick Setup'!$V$31,'Quick Setup'!$V36,'Quick Setup'!$W36))))))))))))))))))))</f>
        <v>8</v>
      </c>
      <c r="BX9" s="25">
        <f>if(BV9='Quick Setup'!$C$45,'Quick Setup'!$C50,if(BV9='Quick Setup'!$D$45,'Quick Setup'!$D50,if(BV9='Quick Setup'!$E$45,'Quick Setup'!$E50,if(BV9='Quick Setup'!$F$45,'Quick Setup'!$F50,if(BV9='Quick Setup'!$G$45,'Quick Setup'!$G50,if(BV9='Quick Setup'!$H$45,'Quick Setup'!$H50,if(BV9='Quick Setup'!$I$45,'Quick Setup'!$I50,if(BV9='Quick Setup'!$J$45,'Quick Setup'!$J50,if(BV9='Quick Setup'!$K$45,'Quick Setup'!$K50,if(BV9='Quick Setup'!$L$45,'Quick Setup'!$L50,if(BV9='Quick Setup'!$M$45,'Quick Setup'!$M50,if(BV9='Quick Setup'!$N$45,'Quick Setup'!$N50,if(BV9='Quick Setup'!$O$45,'Quick Setup'!$O50,if(BV9='Quick Setup'!$P$45,'Quick Setup'!$P50,if(BV9='Quick Setup'!$Q$45,'Quick Setup'!$Q50,if(BV9='Quick Setup'!$R$45,'Quick Setup'!$R50,if(BV9='Quick Setup'!$S$45,'Quick Setup'!$S50,if(BV9='Quick Setup'!$T$45,'Quick Setup'!$T50,if(BV9='Quick Setup'!$U$45,'Quick Setup'!$U50,if(BV9='Quick Setup'!$V$45,'Quick Setup'!$V50,'Quick Setup'!$W50))))))))))))))))))))</f>
        <v>18</v>
      </c>
      <c r="BY9" s="27">
        <f t="shared" ref="BY9:CG9" si="86">BM9</f>
        <v>5</v>
      </c>
      <c r="BZ9" s="28">
        <f t="shared" si="86"/>
        <v>-0.05</v>
      </c>
      <c r="CA9" s="28">
        <f t="shared" si="86"/>
        <v>-0.02</v>
      </c>
      <c r="CB9" s="28">
        <f t="shared" si="86"/>
        <v>0</v>
      </c>
      <c r="CC9" s="28">
        <f t="shared" si="86"/>
        <v>0.005</v>
      </c>
      <c r="CD9" s="28">
        <f t="shared" si="86"/>
        <v>0.01</v>
      </c>
      <c r="CE9" s="28">
        <f t="shared" si="86"/>
        <v>0.015</v>
      </c>
      <c r="CF9" s="28">
        <f t="shared" si="86"/>
        <v>0.02</v>
      </c>
      <c r="CG9" s="28">
        <f t="shared" si="86"/>
        <v>0.03</v>
      </c>
      <c r="CH9" s="24">
        <f>'Quick Setup'!J64</f>
        <v>0.65</v>
      </c>
      <c r="CI9" s="25">
        <f>if(CH9='Quick Setup'!$C$31,'Quick Setup'!$C36,if(CH9='Quick Setup'!$D$31,'Quick Setup'!$D36,if(CH9='Quick Setup'!$E$31,'Quick Setup'!$E36,if(CH9='Quick Setup'!$F$31,'Quick Setup'!$F36,if(CH9='Quick Setup'!$G$31,'Quick Setup'!$G36,if(CH9='Quick Setup'!$H$31,'Quick Setup'!$H36,if(CH9='Quick Setup'!$I$31,'Quick Setup'!$I36,if(CH9='Quick Setup'!$J$31,'Quick Setup'!$J36,if(CH9='Quick Setup'!$K$31,'Quick Setup'!$K36,if(CH9='Quick Setup'!$L$31,'Quick Setup'!$L36,if(CH9='Quick Setup'!$M$31,'Quick Setup'!$M36,if(CH9='Quick Setup'!$N$31,'Quick Setup'!$N36,if(CH9='Quick Setup'!$O$31,'Quick Setup'!$O36,if(CH9='Quick Setup'!$P$31,'Quick Setup'!$P36,if(CH9='Quick Setup'!$Q$31,'Quick Setup'!$Q36,if(CH9='Quick Setup'!$R$31,'Quick Setup'!$R36,if(CH9='Quick Setup'!$S$31,'Quick Setup'!$S36,if(CH9='Quick Setup'!$T$31,'Quick Setup'!$T36,if(CH9='Quick Setup'!$U$31,'Quick Setup'!$U36,if(CH9='Quick Setup'!$V$31,'Quick Setup'!$V36,'Quick Setup'!$W36))))))))))))))))))))</f>
        <v>6</v>
      </c>
      <c r="CJ9" s="25">
        <f>if(CH9='Quick Setup'!$C$45,'Quick Setup'!$C50,if(CH9='Quick Setup'!$D$45,'Quick Setup'!$D50,if(CH9='Quick Setup'!$E$45,'Quick Setup'!$E50,if(CH9='Quick Setup'!$F$45,'Quick Setup'!$F50,if(CH9='Quick Setup'!$G$45,'Quick Setup'!$G50,if(CH9='Quick Setup'!$H$45,'Quick Setup'!$H50,if(CH9='Quick Setup'!$I$45,'Quick Setup'!$I50,if(CH9='Quick Setup'!$J$45,'Quick Setup'!$J50,if(CH9='Quick Setup'!$K$45,'Quick Setup'!$K50,if(CH9='Quick Setup'!$L$45,'Quick Setup'!$L50,if(CH9='Quick Setup'!$M$45,'Quick Setup'!$M50,if(CH9='Quick Setup'!$N$45,'Quick Setup'!$N50,if(CH9='Quick Setup'!$O$45,'Quick Setup'!$O50,if(CH9='Quick Setup'!$P$45,'Quick Setup'!$P50,if(CH9='Quick Setup'!$Q$45,'Quick Setup'!$Q50,if(CH9='Quick Setup'!$R$45,'Quick Setup'!$R50,if(CH9='Quick Setup'!$S$45,'Quick Setup'!$S50,if(CH9='Quick Setup'!$T$45,'Quick Setup'!$T50,if(CH9='Quick Setup'!$U$45,'Quick Setup'!$U50,if(CH9='Quick Setup'!$V$45,'Quick Setup'!$V50,'Quick Setup'!$W50))))))))))))))))))))</f>
        <v>12</v>
      </c>
      <c r="CK9" s="27">
        <f t="shared" ref="CK9:CS9" si="87">BY9</f>
        <v>5</v>
      </c>
      <c r="CL9" s="28">
        <f t="shared" si="87"/>
        <v>-0.05</v>
      </c>
      <c r="CM9" s="28">
        <f t="shared" si="87"/>
        <v>-0.02</v>
      </c>
      <c r="CN9" s="28">
        <f t="shared" si="87"/>
        <v>0</v>
      </c>
      <c r="CO9" s="28">
        <f t="shared" si="87"/>
        <v>0.005</v>
      </c>
      <c r="CP9" s="28">
        <f t="shared" si="87"/>
        <v>0.01</v>
      </c>
      <c r="CQ9" s="28">
        <f t="shared" si="87"/>
        <v>0.015</v>
      </c>
      <c r="CR9" s="28">
        <f t="shared" si="87"/>
        <v>0.02</v>
      </c>
      <c r="CS9" s="28">
        <f t="shared" si="87"/>
        <v>0.03</v>
      </c>
      <c r="CT9" s="24">
        <f>'Quick Setup'!K64</f>
        <v>0.7</v>
      </c>
      <c r="CU9" s="25">
        <f>if(CT9='Quick Setup'!$C$31,'Quick Setup'!$C36,if(CT9='Quick Setup'!$D$31,'Quick Setup'!$D36,if(CT9='Quick Setup'!$E$31,'Quick Setup'!$E36,if(CT9='Quick Setup'!$F$31,'Quick Setup'!$F36,if(CT9='Quick Setup'!$G$31,'Quick Setup'!$G36,if(CT9='Quick Setup'!$H$31,'Quick Setup'!$H36,if(CT9='Quick Setup'!$I$31,'Quick Setup'!$I36,if(CT9='Quick Setup'!$J$31,'Quick Setup'!$J36,if(CT9='Quick Setup'!$K$31,'Quick Setup'!$K36,if(CT9='Quick Setup'!$L$31,'Quick Setup'!$L36,if(CT9='Quick Setup'!$M$31,'Quick Setup'!$M36,if(CT9='Quick Setup'!$N$31,'Quick Setup'!$N36,if(CT9='Quick Setup'!$O$31,'Quick Setup'!$O36,if(CT9='Quick Setup'!$P$31,'Quick Setup'!$P36,if(CT9='Quick Setup'!$Q$31,'Quick Setup'!$Q36,if(CT9='Quick Setup'!$R$31,'Quick Setup'!$R36,if(CT9='Quick Setup'!$S$31,'Quick Setup'!$S36,if(CT9='Quick Setup'!$T$31,'Quick Setup'!$T36,if(CT9='Quick Setup'!$U$31,'Quick Setup'!$U36,if(CT9='Quick Setup'!$V$31,'Quick Setup'!$V36,'Quick Setup'!$W36))))))))))))))))))))</f>
        <v>5</v>
      </c>
      <c r="CV9" s="25">
        <f>if(CT9='Quick Setup'!$C$45,'Quick Setup'!$C50,if(CT9='Quick Setup'!$D$45,'Quick Setup'!$D50,if(CT9='Quick Setup'!$E$45,'Quick Setup'!$E50,if(CT9='Quick Setup'!$F$45,'Quick Setup'!$F50,if(CT9='Quick Setup'!$G$45,'Quick Setup'!$G50,if(CT9='Quick Setup'!$H$45,'Quick Setup'!$H50,if(CT9='Quick Setup'!$I$45,'Quick Setup'!$I50,if(CT9='Quick Setup'!$J$45,'Quick Setup'!$J50,if(CT9='Quick Setup'!$K$45,'Quick Setup'!$K50,if(CT9='Quick Setup'!$L$45,'Quick Setup'!$L50,if(CT9='Quick Setup'!$M$45,'Quick Setup'!$M50,if(CT9='Quick Setup'!$N$45,'Quick Setup'!$N50,if(CT9='Quick Setup'!$O$45,'Quick Setup'!$O50,if(CT9='Quick Setup'!$P$45,'Quick Setup'!$P50,if(CT9='Quick Setup'!$Q$45,'Quick Setup'!$Q50,if(CT9='Quick Setup'!$R$45,'Quick Setup'!$R50,if(CT9='Quick Setup'!$S$45,'Quick Setup'!$S50,if(CT9='Quick Setup'!$T$45,'Quick Setup'!$T50,if(CT9='Quick Setup'!$U$45,'Quick Setup'!$U50,if(CT9='Quick Setup'!$V$45,'Quick Setup'!$V50,'Quick Setup'!$W50))))))))))))))))))))</f>
        <v>10</v>
      </c>
      <c r="CW9" s="27">
        <f t="shared" ref="CW9:DE9" si="88">CK9</f>
        <v>5</v>
      </c>
      <c r="CX9" s="28">
        <f t="shared" si="88"/>
        <v>-0.05</v>
      </c>
      <c r="CY9" s="28">
        <f t="shared" si="88"/>
        <v>-0.02</v>
      </c>
      <c r="CZ9" s="28">
        <f t="shared" si="88"/>
        <v>0</v>
      </c>
      <c r="DA9" s="28">
        <f t="shared" si="88"/>
        <v>0.005</v>
      </c>
      <c r="DB9" s="28">
        <f t="shared" si="88"/>
        <v>0.01</v>
      </c>
      <c r="DC9" s="28">
        <f t="shared" si="88"/>
        <v>0.015</v>
      </c>
      <c r="DD9" s="28">
        <f t="shared" si="88"/>
        <v>0.02</v>
      </c>
      <c r="DE9" s="28">
        <f t="shared" si="88"/>
        <v>0.03</v>
      </c>
      <c r="DF9" s="24">
        <f>'Quick Setup'!L64</f>
        <v>0.75</v>
      </c>
      <c r="DG9" s="25">
        <f>if(DF9='Quick Setup'!$C$31,'Quick Setup'!$C36,if(DF9='Quick Setup'!$D$31,'Quick Setup'!$D36,if(DF9='Quick Setup'!$E$31,'Quick Setup'!$E36,if(DF9='Quick Setup'!$F$31,'Quick Setup'!$F36,if(DF9='Quick Setup'!$G$31,'Quick Setup'!$G36,if(DF9='Quick Setup'!$H$31,'Quick Setup'!$H36,if(DF9='Quick Setup'!$I$31,'Quick Setup'!$I36,if(DF9='Quick Setup'!$J$31,'Quick Setup'!$J36,if(DF9='Quick Setup'!$K$31,'Quick Setup'!$K36,if(DF9='Quick Setup'!$L$31,'Quick Setup'!$L36,if(DF9='Quick Setup'!$M$31,'Quick Setup'!$M36,if(DF9='Quick Setup'!$N$31,'Quick Setup'!$N36,if(DF9='Quick Setup'!$O$31,'Quick Setup'!$O36,if(DF9='Quick Setup'!$P$31,'Quick Setup'!$P36,if(DF9='Quick Setup'!$Q$31,'Quick Setup'!$Q36,if(DF9='Quick Setup'!$R$31,'Quick Setup'!$R36,if(DF9='Quick Setup'!$S$31,'Quick Setup'!$S36,if(DF9='Quick Setup'!$T$31,'Quick Setup'!$T36,if(DF9='Quick Setup'!$U$31,'Quick Setup'!$U36,if(DF9='Quick Setup'!$V$31,'Quick Setup'!$V36,'Quick Setup'!$W36))))))))))))))))))))</f>
        <v>4</v>
      </c>
      <c r="DH9" s="25">
        <f>if(DF9='Quick Setup'!$C$45,'Quick Setup'!$C50,if(DF9='Quick Setup'!$D$45,'Quick Setup'!$D50,if(DF9='Quick Setup'!$E$45,'Quick Setup'!$E50,if(DF9='Quick Setup'!$F$45,'Quick Setup'!$F50,if(DF9='Quick Setup'!$G$45,'Quick Setup'!$G50,if(DF9='Quick Setup'!$H$45,'Quick Setup'!$H50,if(DF9='Quick Setup'!$I$45,'Quick Setup'!$I50,if(DF9='Quick Setup'!$J$45,'Quick Setup'!$J50,if(DF9='Quick Setup'!$K$45,'Quick Setup'!$K50,if(DF9='Quick Setup'!$L$45,'Quick Setup'!$L50,if(DF9='Quick Setup'!$M$45,'Quick Setup'!$M50,if(DF9='Quick Setup'!$N$45,'Quick Setup'!$N50,if(DF9='Quick Setup'!$O$45,'Quick Setup'!$O50,if(DF9='Quick Setup'!$P$45,'Quick Setup'!$P50,if(DF9='Quick Setup'!$Q$45,'Quick Setup'!$Q50,if(DF9='Quick Setup'!$R$45,'Quick Setup'!$R50,if(DF9='Quick Setup'!$S$45,'Quick Setup'!$S50,if(DF9='Quick Setup'!$T$45,'Quick Setup'!$T50,if(DF9='Quick Setup'!$U$45,'Quick Setup'!$U50,if(DF9='Quick Setup'!$V$45,'Quick Setup'!$V50,'Quick Setup'!$W50))))))))))))))))))))</f>
        <v>8</v>
      </c>
      <c r="DI9" s="27">
        <f t="shared" ref="DI9:DQ9" si="89">CW9</f>
        <v>5</v>
      </c>
      <c r="DJ9" s="28">
        <f t="shared" si="89"/>
        <v>-0.05</v>
      </c>
      <c r="DK9" s="28">
        <f t="shared" si="89"/>
        <v>-0.02</v>
      </c>
      <c r="DL9" s="28">
        <f t="shared" si="89"/>
        <v>0</v>
      </c>
      <c r="DM9" s="28">
        <f t="shared" si="89"/>
        <v>0.005</v>
      </c>
      <c r="DN9" s="28">
        <f t="shared" si="89"/>
        <v>0.01</v>
      </c>
      <c r="DO9" s="28">
        <f t="shared" si="89"/>
        <v>0.015</v>
      </c>
      <c r="DP9" s="28">
        <f t="shared" si="89"/>
        <v>0.02</v>
      </c>
      <c r="DQ9" s="28">
        <f t="shared" si="89"/>
        <v>0.03</v>
      </c>
      <c r="DR9" s="24">
        <f>'Quick Setup'!M64</f>
        <v>0.675</v>
      </c>
      <c r="DS9" s="25">
        <f>if(DR9='Quick Setup'!$C$31,'Quick Setup'!$C36,if(DR9='Quick Setup'!$D$31,'Quick Setup'!$D36,if(DR9='Quick Setup'!$E$31,'Quick Setup'!$E36,if(DR9='Quick Setup'!$F$31,'Quick Setup'!$F36,if(DR9='Quick Setup'!$G$31,'Quick Setup'!$G36,if(DR9='Quick Setup'!$H$31,'Quick Setup'!$H36,if(DR9='Quick Setup'!$I$31,'Quick Setup'!$I36,if(DR9='Quick Setup'!$J$31,'Quick Setup'!$J36,if(DR9='Quick Setup'!$K$31,'Quick Setup'!$K36,if(DR9='Quick Setup'!$L$31,'Quick Setup'!$L36,if(DR9='Quick Setup'!$M$31,'Quick Setup'!$M36,if(DR9='Quick Setup'!$N$31,'Quick Setup'!$N36,if(DR9='Quick Setup'!$O$31,'Quick Setup'!$O36,if(DR9='Quick Setup'!$P$31,'Quick Setup'!$P36,if(DR9='Quick Setup'!$Q$31,'Quick Setup'!$Q36,if(DR9='Quick Setup'!$R$31,'Quick Setup'!$R36,if(DR9='Quick Setup'!$S$31,'Quick Setup'!$S36,if(DR9='Quick Setup'!$T$31,'Quick Setup'!$T36,if(DR9='Quick Setup'!$U$31,'Quick Setup'!$U36,if(DR9='Quick Setup'!$V$31,'Quick Setup'!$V36,'Quick Setup'!$W36))))))))))))))))))))</f>
        <v>6</v>
      </c>
      <c r="DT9" s="25">
        <f>if(DR9='Quick Setup'!$C$45,'Quick Setup'!$C50,if(DR9='Quick Setup'!$D$45,'Quick Setup'!$D50,if(DR9='Quick Setup'!$E$45,'Quick Setup'!$E50,if(DR9='Quick Setup'!$F$45,'Quick Setup'!$F50,if(DR9='Quick Setup'!$G$45,'Quick Setup'!$G50,if(DR9='Quick Setup'!$H$45,'Quick Setup'!$H50,if(DR9='Quick Setup'!$I$45,'Quick Setup'!$I50,if(DR9='Quick Setup'!$J$45,'Quick Setup'!$J50,if(DR9='Quick Setup'!$K$45,'Quick Setup'!$K50,if(DR9='Quick Setup'!$L$45,'Quick Setup'!$L50,if(DR9='Quick Setup'!$M$45,'Quick Setup'!$M50,if(DR9='Quick Setup'!$N$45,'Quick Setup'!$N50,if(DR9='Quick Setup'!$O$45,'Quick Setup'!$O50,if(DR9='Quick Setup'!$P$45,'Quick Setup'!$P50,if(DR9='Quick Setup'!$Q$45,'Quick Setup'!$Q50,if(DR9='Quick Setup'!$R$45,'Quick Setup'!$R50,if(DR9='Quick Setup'!$S$45,'Quick Setup'!$S50,if(DR9='Quick Setup'!$T$45,'Quick Setup'!$T50,if(DR9='Quick Setup'!$U$45,'Quick Setup'!$U50,if(DR9='Quick Setup'!$V$45,'Quick Setup'!$V50,'Quick Setup'!$W50))))))))))))))))))))</f>
        <v>11</v>
      </c>
      <c r="DU9" s="27">
        <f t="shared" ref="DU9:EC9" si="90">DI9</f>
        <v>5</v>
      </c>
      <c r="DV9" s="28">
        <f t="shared" si="90"/>
        <v>-0.05</v>
      </c>
      <c r="DW9" s="28">
        <f t="shared" si="90"/>
        <v>-0.02</v>
      </c>
      <c r="DX9" s="28">
        <f t="shared" si="90"/>
        <v>0</v>
      </c>
      <c r="DY9" s="28">
        <f t="shared" si="90"/>
        <v>0.005</v>
      </c>
      <c r="DZ9" s="28">
        <f t="shared" si="90"/>
        <v>0.01</v>
      </c>
      <c r="EA9" s="28">
        <f t="shared" si="90"/>
        <v>0.015</v>
      </c>
      <c r="EB9" s="28">
        <f t="shared" si="90"/>
        <v>0.02</v>
      </c>
      <c r="EC9" s="28">
        <f t="shared" si="90"/>
        <v>0.03</v>
      </c>
      <c r="ED9" s="24">
        <f>'Quick Setup'!N64</f>
        <v>0.725</v>
      </c>
      <c r="EE9" s="25">
        <f>if(ED9='Quick Setup'!$C$31,'Quick Setup'!$C36,if(ED9='Quick Setup'!$D$31,'Quick Setup'!$D36,if(ED9='Quick Setup'!$E$31,'Quick Setup'!$E36,if(ED9='Quick Setup'!$F$31,'Quick Setup'!$F36,if(ED9='Quick Setup'!$G$31,'Quick Setup'!$G36,if(ED9='Quick Setup'!$H$31,'Quick Setup'!$H36,if(ED9='Quick Setup'!$I$31,'Quick Setup'!$I36,if(ED9='Quick Setup'!$J$31,'Quick Setup'!$J36,if(ED9='Quick Setup'!$K$31,'Quick Setup'!$K36,if(ED9='Quick Setup'!$L$31,'Quick Setup'!$L36,if(ED9='Quick Setup'!$M$31,'Quick Setup'!$M36,if(ED9='Quick Setup'!$N$31,'Quick Setup'!$N36,if(ED9='Quick Setup'!$O$31,'Quick Setup'!$O36,if(ED9='Quick Setup'!$P$31,'Quick Setup'!$P36,if(ED9='Quick Setup'!$Q$31,'Quick Setup'!$Q36,if(ED9='Quick Setup'!$R$31,'Quick Setup'!$R36,if(ED9='Quick Setup'!$S$31,'Quick Setup'!$S36,if(ED9='Quick Setup'!$T$31,'Quick Setup'!$T36,if(ED9='Quick Setup'!$U$31,'Quick Setup'!$U36,if(ED9='Quick Setup'!$V$31,'Quick Setup'!$V36,'Quick Setup'!$W36))))))))))))))))))))</f>
        <v>5</v>
      </c>
      <c r="EF9" s="25">
        <f>if(ED9='Quick Setup'!$C$45,'Quick Setup'!$C50,if(ED9='Quick Setup'!$D$45,'Quick Setup'!$D50,if(ED9='Quick Setup'!$E$45,'Quick Setup'!$E50,if(ED9='Quick Setup'!$F$45,'Quick Setup'!$F50,if(ED9='Quick Setup'!$G$45,'Quick Setup'!$G50,if(ED9='Quick Setup'!$H$45,'Quick Setup'!$H50,if(ED9='Quick Setup'!$I$45,'Quick Setup'!$I50,if(ED9='Quick Setup'!$J$45,'Quick Setup'!$J50,if(ED9='Quick Setup'!$K$45,'Quick Setup'!$K50,if(ED9='Quick Setup'!$L$45,'Quick Setup'!$L50,if(ED9='Quick Setup'!$M$45,'Quick Setup'!$M50,if(ED9='Quick Setup'!$N$45,'Quick Setup'!$N50,if(ED9='Quick Setup'!$O$45,'Quick Setup'!$O50,if(ED9='Quick Setup'!$P$45,'Quick Setup'!$P50,if(ED9='Quick Setup'!$Q$45,'Quick Setup'!$Q50,if(ED9='Quick Setup'!$R$45,'Quick Setup'!$R50,if(ED9='Quick Setup'!$S$45,'Quick Setup'!$S50,if(ED9='Quick Setup'!$T$45,'Quick Setup'!$T50,if(ED9='Quick Setup'!$U$45,'Quick Setup'!$U50,if(ED9='Quick Setup'!$V$45,'Quick Setup'!$V50,'Quick Setup'!$W50))))))))))))))))))))</f>
        <v>9</v>
      </c>
      <c r="EG9" s="27">
        <f t="shared" ref="EG9:EO9" si="91">DU9</f>
        <v>5</v>
      </c>
      <c r="EH9" s="28">
        <f t="shared" si="91"/>
        <v>-0.05</v>
      </c>
      <c r="EI9" s="28">
        <f t="shared" si="91"/>
        <v>-0.02</v>
      </c>
      <c r="EJ9" s="28">
        <f t="shared" si="91"/>
        <v>0</v>
      </c>
      <c r="EK9" s="28">
        <f t="shared" si="91"/>
        <v>0.005</v>
      </c>
      <c r="EL9" s="28">
        <f t="shared" si="91"/>
        <v>0.01</v>
      </c>
      <c r="EM9" s="28">
        <f t="shared" si="91"/>
        <v>0.015</v>
      </c>
      <c r="EN9" s="28">
        <f t="shared" si="91"/>
        <v>0.02</v>
      </c>
      <c r="EO9" s="28">
        <f t="shared" si="91"/>
        <v>0.03</v>
      </c>
      <c r="EP9" s="24">
        <f>'Quick Setup'!O64</f>
        <v>0.775</v>
      </c>
      <c r="EQ9" s="25">
        <f>if(EP9='Quick Setup'!$C$31,'Quick Setup'!$C36,if(EP9='Quick Setup'!$D$31,'Quick Setup'!$D36,if(EP9='Quick Setup'!$E$31,'Quick Setup'!$E36,if(EP9='Quick Setup'!$F$31,'Quick Setup'!$F36,if(EP9='Quick Setup'!$G$31,'Quick Setup'!$G36,if(EP9='Quick Setup'!$H$31,'Quick Setup'!$H36,if(EP9='Quick Setup'!$I$31,'Quick Setup'!$I36,if(EP9='Quick Setup'!$J$31,'Quick Setup'!$J36,if(EP9='Quick Setup'!$K$31,'Quick Setup'!$K36,if(EP9='Quick Setup'!$L$31,'Quick Setup'!$L36,if(EP9='Quick Setup'!$M$31,'Quick Setup'!$M36,if(EP9='Quick Setup'!$N$31,'Quick Setup'!$N36,if(EP9='Quick Setup'!$O$31,'Quick Setup'!$O36,if(EP9='Quick Setup'!$P$31,'Quick Setup'!$P36,if(EP9='Quick Setup'!$Q$31,'Quick Setup'!$Q36,if(EP9='Quick Setup'!$R$31,'Quick Setup'!$R36,if(EP9='Quick Setup'!$S$31,'Quick Setup'!$S36,if(EP9='Quick Setup'!$T$31,'Quick Setup'!$T36,if(EP9='Quick Setup'!$U$31,'Quick Setup'!$U36,if(EP9='Quick Setup'!$V$31,'Quick Setup'!$V36,'Quick Setup'!$W36))))))))))))))))))))</f>
        <v>4</v>
      </c>
      <c r="ER9" s="25">
        <f>if(EP9='Quick Setup'!$C$45,'Quick Setup'!$C50,if(EP9='Quick Setup'!$D$45,'Quick Setup'!$D50,if(EP9='Quick Setup'!$E$45,'Quick Setup'!$E50,if(EP9='Quick Setup'!$F$45,'Quick Setup'!$F50,if(EP9='Quick Setup'!$G$45,'Quick Setup'!$G50,if(EP9='Quick Setup'!$H$45,'Quick Setup'!$H50,if(EP9='Quick Setup'!$I$45,'Quick Setup'!$I50,if(EP9='Quick Setup'!$J$45,'Quick Setup'!$J50,if(EP9='Quick Setup'!$K$45,'Quick Setup'!$K50,if(EP9='Quick Setup'!$L$45,'Quick Setup'!$L50,if(EP9='Quick Setup'!$M$45,'Quick Setup'!$M50,if(EP9='Quick Setup'!$N$45,'Quick Setup'!$N50,if(EP9='Quick Setup'!$O$45,'Quick Setup'!$O50,if(EP9='Quick Setup'!$P$45,'Quick Setup'!$P50,if(EP9='Quick Setup'!$Q$45,'Quick Setup'!$Q50,if(EP9='Quick Setup'!$R$45,'Quick Setup'!$R50,if(EP9='Quick Setup'!$S$45,'Quick Setup'!$S50,if(EP9='Quick Setup'!$T$45,'Quick Setup'!$T50,if(EP9='Quick Setup'!$U$45,'Quick Setup'!$U50,if(EP9='Quick Setup'!$V$45,'Quick Setup'!$V50,'Quick Setup'!$W50))))))))))))))))))))</f>
        <v>7</v>
      </c>
      <c r="ES9" s="27">
        <f t="shared" ref="ES9:FA9" si="92">EG9</f>
        <v>5</v>
      </c>
      <c r="ET9" s="28">
        <f t="shared" si="92"/>
        <v>-0.05</v>
      </c>
      <c r="EU9" s="28">
        <f t="shared" si="92"/>
        <v>-0.02</v>
      </c>
      <c r="EV9" s="28">
        <f t="shared" si="92"/>
        <v>0</v>
      </c>
      <c r="EW9" s="28">
        <f t="shared" si="92"/>
        <v>0.005</v>
      </c>
      <c r="EX9" s="28">
        <f t="shared" si="92"/>
        <v>0.01</v>
      </c>
      <c r="EY9" s="28">
        <f t="shared" si="92"/>
        <v>0.015</v>
      </c>
      <c r="EZ9" s="28">
        <f t="shared" si="92"/>
        <v>0.02</v>
      </c>
      <c r="FA9" s="28">
        <f t="shared" si="92"/>
        <v>0.03</v>
      </c>
      <c r="FB9" s="24">
        <f>'Quick Setup'!P64</f>
        <v>0.5</v>
      </c>
      <c r="FC9" s="25">
        <f>if(FB9='Quick Setup'!$C$31,'Quick Setup'!$C36,if(FB9='Quick Setup'!$D$31,'Quick Setup'!$D36,if(FB9='Quick Setup'!$E$31,'Quick Setup'!$E36,if(FB9='Quick Setup'!$F$31,'Quick Setup'!$F36,if(FB9='Quick Setup'!$G$31,'Quick Setup'!$G36,if(FB9='Quick Setup'!$H$31,'Quick Setup'!$H36,if(FB9='Quick Setup'!$I$31,'Quick Setup'!$I36,if(FB9='Quick Setup'!$J$31,'Quick Setup'!$J36,if(FB9='Quick Setup'!$K$31,'Quick Setup'!$K36,if(FB9='Quick Setup'!$L$31,'Quick Setup'!$L36,if(FB9='Quick Setup'!$M$31,'Quick Setup'!$M36,if(FB9='Quick Setup'!$N$31,'Quick Setup'!$N36,if(FB9='Quick Setup'!$O$31,'Quick Setup'!$O36,if(FB9='Quick Setup'!$P$31,'Quick Setup'!$P36,if(FB9='Quick Setup'!$Q$31,'Quick Setup'!$Q36,if(FB9='Quick Setup'!$R$31,'Quick Setup'!$R36,if(FB9='Quick Setup'!$S$31,'Quick Setup'!$S36,if(FB9='Quick Setup'!$T$31,'Quick Setup'!$T36,if(FB9='Quick Setup'!$U$31,'Quick Setup'!$U36,if(FB9='Quick Setup'!$V$31,'Quick Setup'!$V36,'Quick Setup'!$W36))))))))))))))))))))</f>
        <v>8</v>
      </c>
      <c r="FD9" s="25">
        <f>if(FB9='Quick Setup'!$C$45,'Quick Setup'!$C50,if(FB9='Quick Setup'!$D$45,'Quick Setup'!$D50,if(FB9='Quick Setup'!$E$45,'Quick Setup'!$E50,if(FB9='Quick Setup'!$F$45,'Quick Setup'!$F50,if(FB9='Quick Setup'!$G$45,'Quick Setup'!$G50,if(FB9='Quick Setup'!$H$45,'Quick Setup'!$H50,if(FB9='Quick Setup'!$I$45,'Quick Setup'!$I50,if(FB9='Quick Setup'!$J$45,'Quick Setup'!$J50,if(FB9='Quick Setup'!$K$45,'Quick Setup'!$K50,if(FB9='Quick Setup'!$L$45,'Quick Setup'!$L50,if(FB9='Quick Setup'!$M$45,'Quick Setup'!$M50,if(FB9='Quick Setup'!$N$45,'Quick Setup'!$N50,if(FB9='Quick Setup'!$O$45,'Quick Setup'!$O50,if(FB9='Quick Setup'!$P$45,'Quick Setup'!$P50,if(FB9='Quick Setup'!$Q$45,'Quick Setup'!$Q50,if(FB9='Quick Setup'!$R$45,'Quick Setup'!$R50,if(FB9='Quick Setup'!$S$45,'Quick Setup'!$S50,if(FB9='Quick Setup'!$T$45,'Quick Setup'!$T50,if(FB9='Quick Setup'!$U$45,'Quick Setup'!$U50,if(FB9='Quick Setup'!$V$45,'Quick Setup'!$V50,'Quick Setup'!$W50))))))))))))))))))))</f>
        <v>18</v>
      </c>
      <c r="FE9" s="27">
        <f t="shared" ref="FE9:FM9" si="93">ES9</f>
        <v>5</v>
      </c>
      <c r="FF9" s="28">
        <f t="shared" si="93"/>
        <v>-0.05</v>
      </c>
      <c r="FG9" s="28">
        <f t="shared" si="93"/>
        <v>-0.02</v>
      </c>
      <c r="FH9" s="28">
        <f t="shared" si="93"/>
        <v>0</v>
      </c>
      <c r="FI9" s="28">
        <f t="shared" si="93"/>
        <v>0.005</v>
      </c>
      <c r="FJ9" s="28">
        <f t="shared" si="93"/>
        <v>0.01</v>
      </c>
      <c r="FK9" s="28">
        <f t="shared" si="93"/>
        <v>0.015</v>
      </c>
      <c r="FL9" s="28">
        <f t="shared" si="93"/>
        <v>0.02</v>
      </c>
      <c r="FM9" s="28">
        <f t="shared" si="93"/>
        <v>0.03</v>
      </c>
      <c r="FN9" s="24">
        <f>'Quick Setup'!Q64</f>
        <v>0.7</v>
      </c>
      <c r="FO9" s="25">
        <f>if(FN9='Quick Setup'!$C$31,'Quick Setup'!$C36,if(FN9='Quick Setup'!$D$31,'Quick Setup'!$D36,if(FN9='Quick Setup'!$E$31,'Quick Setup'!$E36,if(FN9='Quick Setup'!$F$31,'Quick Setup'!$F36,if(FN9='Quick Setup'!$G$31,'Quick Setup'!$G36,if(FN9='Quick Setup'!$H$31,'Quick Setup'!$H36,if(FN9='Quick Setup'!$I$31,'Quick Setup'!$I36,if(FN9='Quick Setup'!$J$31,'Quick Setup'!$J36,if(FN9='Quick Setup'!$K$31,'Quick Setup'!$K36,if(FN9='Quick Setup'!$L$31,'Quick Setup'!$L36,if(FN9='Quick Setup'!$M$31,'Quick Setup'!$M36,if(FN9='Quick Setup'!$N$31,'Quick Setup'!$N36,if(FN9='Quick Setup'!$O$31,'Quick Setup'!$O36,if(FN9='Quick Setup'!$P$31,'Quick Setup'!$P36,if(FN9='Quick Setup'!$Q$31,'Quick Setup'!$Q36,if(FN9='Quick Setup'!$R$31,'Quick Setup'!$R36,if(FN9='Quick Setup'!$S$31,'Quick Setup'!$S36,if(FN9='Quick Setup'!$T$31,'Quick Setup'!$T36,if(FN9='Quick Setup'!$U$31,'Quick Setup'!$U36,if(FN9='Quick Setup'!$V$31,'Quick Setup'!$V36,'Quick Setup'!$W36))))))))))))))))))))</f>
        <v>5</v>
      </c>
      <c r="FP9" s="25">
        <f>if(FN9='Quick Setup'!$C$45,'Quick Setup'!$C50,if(FN9='Quick Setup'!$D$45,'Quick Setup'!$D50,if(FN9='Quick Setup'!$E$45,'Quick Setup'!$E50,if(FN9='Quick Setup'!$F$45,'Quick Setup'!$F50,if(FN9='Quick Setup'!$G$45,'Quick Setup'!$G50,if(FN9='Quick Setup'!$H$45,'Quick Setup'!$H50,if(FN9='Quick Setup'!$I$45,'Quick Setup'!$I50,if(FN9='Quick Setup'!$J$45,'Quick Setup'!$J50,if(FN9='Quick Setup'!$K$45,'Quick Setup'!$K50,if(FN9='Quick Setup'!$L$45,'Quick Setup'!$L50,if(FN9='Quick Setup'!$M$45,'Quick Setup'!$M50,if(FN9='Quick Setup'!$N$45,'Quick Setup'!$N50,if(FN9='Quick Setup'!$O$45,'Quick Setup'!$O50,if(FN9='Quick Setup'!$P$45,'Quick Setup'!$P50,if(FN9='Quick Setup'!$Q$45,'Quick Setup'!$Q50,if(FN9='Quick Setup'!$R$45,'Quick Setup'!$R50,if(FN9='Quick Setup'!$S$45,'Quick Setup'!$S50,if(FN9='Quick Setup'!$T$45,'Quick Setup'!$T50,if(FN9='Quick Setup'!$U$45,'Quick Setup'!$U50,if(FN9='Quick Setup'!$V$45,'Quick Setup'!$V50,'Quick Setup'!$W50))))))))))))))))))))</f>
        <v>10</v>
      </c>
      <c r="FQ9" s="27">
        <f t="shared" ref="FQ9:FY9" si="94">FE9</f>
        <v>5</v>
      </c>
      <c r="FR9" s="28">
        <f t="shared" si="94"/>
        <v>-0.05</v>
      </c>
      <c r="FS9" s="28">
        <f t="shared" si="94"/>
        <v>-0.02</v>
      </c>
      <c r="FT9" s="28">
        <f t="shared" si="94"/>
        <v>0</v>
      </c>
      <c r="FU9" s="28">
        <f t="shared" si="94"/>
        <v>0.005</v>
      </c>
      <c r="FV9" s="28">
        <f t="shared" si="94"/>
        <v>0.01</v>
      </c>
      <c r="FW9" s="28">
        <f t="shared" si="94"/>
        <v>0.015</v>
      </c>
      <c r="FX9" s="28">
        <f t="shared" si="94"/>
        <v>0.02</v>
      </c>
      <c r="FY9" s="28">
        <f t="shared" si="94"/>
        <v>0.03</v>
      </c>
      <c r="FZ9" s="24">
        <f>'Quick Setup'!R64</f>
        <v>0.75</v>
      </c>
      <c r="GA9" s="25">
        <f>if(FZ9='Quick Setup'!$C$31,'Quick Setup'!$C36,if(FZ9='Quick Setup'!$D$31,'Quick Setup'!$D36,if(FZ9='Quick Setup'!$E$31,'Quick Setup'!$E36,if(FZ9='Quick Setup'!$F$31,'Quick Setup'!$F36,if(FZ9='Quick Setup'!$G$31,'Quick Setup'!$G36,if(FZ9='Quick Setup'!$H$31,'Quick Setup'!$H36,if(FZ9='Quick Setup'!$I$31,'Quick Setup'!$I36,if(FZ9='Quick Setup'!$J$31,'Quick Setup'!$J36,if(FZ9='Quick Setup'!$K$31,'Quick Setup'!$K36,if(FZ9='Quick Setup'!$L$31,'Quick Setup'!$L36,if(FZ9='Quick Setup'!$M$31,'Quick Setup'!$M36,if(FZ9='Quick Setup'!$N$31,'Quick Setup'!$N36,if(FZ9='Quick Setup'!$O$31,'Quick Setup'!$O36,if(FZ9='Quick Setup'!$P$31,'Quick Setup'!$P36,if(FZ9='Quick Setup'!$Q$31,'Quick Setup'!$Q36,if(FZ9='Quick Setup'!$R$31,'Quick Setup'!$R36,if(FZ9='Quick Setup'!$S$31,'Quick Setup'!$S36,if(FZ9='Quick Setup'!$T$31,'Quick Setup'!$T36,if(FZ9='Quick Setup'!$U$31,'Quick Setup'!$U36,if(FZ9='Quick Setup'!$V$31,'Quick Setup'!$V36,'Quick Setup'!$W36))))))))))))))))))))</f>
        <v>4</v>
      </c>
      <c r="GB9" s="25">
        <f>if(FZ9='Quick Setup'!$C$45,'Quick Setup'!$C50,if(FZ9='Quick Setup'!$D$45,'Quick Setup'!$D50,if(FZ9='Quick Setup'!$E$45,'Quick Setup'!$E50,if(FZ9='Quick Setup'!$F$45,'Quick Setup'!$F50,if(FZ9='Quick Setup'!$G$45,'Quick Setup'!$G50,if(FZ9='Quick Setup'!$H$45,'Quick Setup'!$H50,if(FZ9='Quick Setup'!$I$45,'Quick Setup'!$I50,if(FZ9='Quick Setup'!$J$45,'Quick Setup'!$J50,if(FZ9='Quick Setup'!$K$45,'Quick Setup'!$K50,if(FZ9='Quick Setup'!$L$45,'Quick Setup'!$L50,if(FZ9='Quick Setup'!$M$45,'Quick Setup'!$M50,if(FZ9='Quick Setup'!$N$45,'Quick Setup'!$N50,if(FZ9='Quick Setup'!$O$45,'Quick Setup'!$O50,if(FZ9='Quick Setup'!$P$45,'Quick Setup'!$P50,if(FZ9='Quick Setup'!$Q$45,'Quick Setup'!$Q50,if(FZ9='Quick Setup'!$R$45,'Quick Setup'!$R50,if(FZ9='Quick Setup'!$S$45,'Quick Setup'!$S50,if(FZ9='Quick Setup'!$T$45,'Quick Setup'!$T50,if(FZ9='Quick Setup'!$U$45,'Quick Setup'!$U50,if(FZ9='Quick Setup'!$V$45,'Quick Setup'!$V50,'Quick Setup'!$W50))))))))))))))))))))</f>
        <v>8</v>
      </c>
      <c r="GC9" s="27">
        <f t="shared" ref="GC9:GK9" si="95">FQ9</f>
        <v>5</v>
      </c>
      <c r="GD9" s="28">
        <f t="shared" si="95"/>
        <v>-0.05</v>
      </c>
      <c r="GE9" s="28">
        <f t="shared" si="95"/>
        <v>-0.02</v>
      </c>
      <c r="GF9" s="28">
        <f t="shared" si="95"/>
        <v>0</v>
      </c>
      <c r="GG9" s="28">
        <f t="shared" si="95"/>
        <v>0.005</v>
      </c>
      <c r="GH9" s="28">
        <f t="shared" si="95"/>
        <v>0.01</v>
      </c>
      <c r="GI9" s="28">
        <f t="shared" si="95"/>
        <v>0.015</v>
      </c>
      <c r="GJ9" s="28">
        <f t="shared" si="95"/>
        <v>0.02</v>
      </c>
      <c r="GK9" s="28">
        <f t="shared" si="95"/>
        <v>0.03</v>
      </c>
      <c r="GL9" s="24">
        <f>'Quick Setup'!S64</f>
        <v>0.8</v>
      </c>
      <c r="GM9" s="25">
        <f>if(GL9='Quick Setup'!$C$31,'Quick Setup'!$C36,if(GL9='Quick Setup'!$D$31,'Quick Setup'!$D36,if(GL9='Quick Setup'!$E$31,'Quick Setup'!$E36,if(GL9='Quick Setup'!$F$31,'Quick Setup'!$F36,if(GL9='Quick Setup'!$G$31,'Quick Setup'!$G36,if(GL9='Quick Setup'!$H$31,'Quick Setup'!$H36,if(GL9='Quick Setup'!$I$31,'Quick Setup'!$I36,if(GL9='Quick Setup'!$J$31,'Quick Setup'!$J36,if(GL9='Quick Setup'!$K$31,'Quick Setup'!$K36,if(GL9='Quick Setup'!$L$31,'Quick Setup'!$L36,if(GL9='Quick Setup'!$M$31,'Quick Setup'!$M36,if(GL9='Quick Setup'!$N$31,'Quick Setup'!$N36,if(GL9='Quick Setup'!$O$31,'Quick Setup'!$O36,if(GL9='Quick Setup'!$P$31,'Quick Setup'!$P36,if(GL9='Quick Setup'!$Q$31,'Quick Setup'!$Q36,if(GL9='Quick Setup'!$R$31,'Quick Setup'!$R36,if(GL9='Quick Setup'!$S$31,'Quick Setup'!$S36,if(GL9='Quick Setup'!$T$31,'Quick Setup'!$T36,if(GL9='Quick Setup'!$U$31,'Quick Setup'!$U36,if(GL9='Quick Setup'!$V$31,'Quick Setup'!$V36,'Quick Setup'!$W36))))))))))))))))))))</f>
        <v>3</v>
      </c>
      <c r="GN9" s="25">
        <f>if(GL9='Quick Setup'!$C$45,'Quick Setup'!$C50,if(GL9='Quick Setup'!$D$45,'Quick Setup'!$D50,if(GL9='Quick Setup'!$E$45,'Quick Setup'!$E50,if(GL9='Quick Setup'!$F$45,'Quick Setup'!$F50,if(GL9='Quick Setup'!$G$45,'Quick Setup'!$G50,if(GL9='Quick Setup'!$H$45,'Quick Setup'!$H50,if(GL9='Quick Setup'!$I$45,'Quick Setup'!$I50,if(GL9='Quick Setup'!$J$45,'Quick Setup'!$J50,if(GL9='Quick Setup'!$K$45,'Quick Setup'!$K50,if(GL9='Quick Setup'!$L$45,'Quick Setup'!$L50,if(GL9='Quick Setup'!$M$45,'Quick Setup'!$M50,if(GL9='Quick Setup'!$N$45,'Quick Setup'!$N50,if(GL9='Quick Setup'!$O$45,'Quick Setup'!$O50,if(GL9='Quick Setup'!$P$45,'Quick Setup'!$P50,if(GL9='Quick Setup'!$Q$45,'Quick Setup'!$Q50,if(GL9='Quick Setup'!$R$45,'Quick Setup'!$R50,if(GL9='Quick Setup'!$S$45,'Quick Setup'!$S50,if(GL9='Quick Setup'!$T$45,'Quick Setup'!$T50,if(GL9='Quick Setup'!$U$45,'Quick Setup'!$U50,if(GL9='Quick Setup'!$V$45,'Quick Setup'!$V50,'Quick Setup'!$W50))))))))))))))))))))</f>
        <v>6</v>
      </c>
      <c r="GO9" s="27">
        <f t="shared" ref="GO9:GW9" si="96">GC9</f>
        <v>5</v>
      </c>
      <c r="GP9" s="28">
        <f t="shared" si="96"/>
        <v>-0.05</v>
      </c>
      <c r="GQ9" s="28">
        <f t="shared" si="96"/>
        <v>-0.02</v>
      </c>
      <c r="GR9" s="28">
        <f t="shared" si="96"/>
        <v>0</v>
      </c>
      <c r="GS9" s="28">
        <f t="shared" si="96"/>
        <v>0.005</v>
      </c>
      <c r="GT9" s="28">
        <f t="shared" si="96"/>
        <v>0.01</v>
      </c>
      <c r="GU9" s="28">
        <f t="shared" si="96"/>
        <v>0.015</v>
      </c>
      <c r="GV9" s="28">
        <f t="shared" si="96"/>
        <v>0.02</v>
      </c>
      <c r="GW9" s="28">
        <f t="shared" si="96"/>
        <v>0.03</v>
      </c>
      <c r="GX9" s="24">
        <f>'Quick Setup'!T64</f>
        <v>0.75</v>
      </c>
      <c r="GY9" s="25">
        <f>if(GX9='Quick Setup'!$C$31,'Quick Setup'!$C36,if(GX9='Quick Setup'!$D$31,'Quick Setup'!$D36,if(GX9='Quick Setup'!$E$31,'Quick Setup'!$E36,if(GX9='Quick Setup'!$F$31,'Quick Setup'!$F36,if(GX9='Quick Setup'!$G$31,'Quick Setup'!$G36,if(GX9='Quick Setup'!$H$31,'Quick Setup'!$H36,if(GX9='Quick Setup'!$I$31,'Quick Setup'!$I36,if(GX9='Quick Setup'!$J$31,'Quick Setup'!$J36,if(GX9='Quick Setup'!$K$31,'Quick Setup'!$K36,if(GX9='Quick Setup'!$L$31,'Quick Setup'!$L36,if(GX9='Quick Setup'!$M$31,'Quick Setup'!$M36,if(GX9='Quick Setup'!$N$31,'Quick Setup'!$N36,if(GX9='Quick Setup'!$O$31,'Quick Setup'!$O36,if(GX9='Quick Setup'!$P$31,'Quick Setup'!$P36,if(GX9='Quick Setup'!$Q$31,'Quick Setup'!$Q36,if(GX9='Quick Setup'!$R$31,'Quick Setup'!$R36,if(GX9='Quick Setup'!$S$31,'Quick Setup'!$S36,if(GX9='Quick Setup'!$T$31,'Quick Setup'!$T36,if(GX9='Quick Setup'!$U$31,'Quick Setup'!$U36,if(GX9='Quick Setup'!$V$31,'Quick Setup'!$V36,'Quick Setup'!$W36))))))))))))))))))))</f>
        <v>4</v>
      </c>
      <c r="GZ9" s="25">
        <f>if(GX9='Quick Setup'!$C$45,'Quick Setup'!$C50,if(GX9='Quick Setup'!$D$45,'Quick Setup'!$D50,if(GX9='Quick Setup'!$E$45,'Quick Setup'!$E50,if(GX9='Quick Setup'!$F$45,'Quick Setup'!$F50,if(GX9='Quick Setup'!$G$45,'Quick Setup'!$G50,if(GX9='Quick Setup'!$H$45,'Quick Setup'!$H50,if(GX9='Quick Setup'!$I$45,'Quick Setup'!$I50,if(GX9='Quick Setup'!$J$45,'Quick Setup'!$J50,if(GX9='Quick Setup'!$K$45,'Quick Setup'!$K50,if(GX9='Quick Setup'!$L$45,'Quick Setup'!$L50,if(GX9='Quick Setup'!$M$45,'Quick Setup'!$M50,if(GX9='Quick Setup'!$N$45,'Quick Setup'!$N50,if(GX9='Quick Setup'!$O$45,'Quick Setup'!$O50,if(GX9='Quick Setup'!$P$45,'Quick Setup'!$P50,if(GX9='Quick Setup'!$Q$45,'Quick Setup'!$Q50,if(GX9='Quick Setup'!$R$45,'Quick Setup'!$R50,if(GX9='Quick Setup'!$S$45,'Quick Setup'!$S50,if(GX9='Quick Setup'!$T$45,'Quick Setup'!$T50,if(GX9='Quick Setup'!$U$45,'Quick Setup'!$U50,if(GX9='Quick Setup'!$V$45,'Quick Setup'!$V50,'Quick Setup'!$W50))))))))))))))))))))</f>
        <v>8</v>
      </c>
      <c r="HA9" s="27">
        <f t="shared" ref="HA9:HI9" si="97">GO9</f>
        <v>5</v>
      </c>
      <c r="HB9" s="28">
        <f t="shared" si="97"/>
        <v>-0.05</v>
      </c>
      <c r="HC9" s="28">
        <f t="shared" si="97"/>
        <v>-0.02</v>
      </c>
      <c r="HD9" s="28">
        <f t="shared" si="97"/>
        <v>0</v>
      </c>
      <c r="HE9" s="28">
        <f t="shared" si="97"/>
        <v>0.005</v>
      </c>
      <c r="HF9" s="28">
        <f t="shared" si="97"/>
        <v>0.01</v>
      </c>
      <c r="HG9" s="28">
        <f t="shared" si="97"/>
        <v>0.015</v>
      </c>
      <c r="HH9" s="28">
        <f t="shared" si="97"/>
        <v>0.02</v>
      </c>
      <c r="HI9" s="28">
        <f t="shared" si="97"/>
        <v>0.03</v>
      </c>
      <c r="HJ9" s="24">
        <f>'Quick Setup'!U64</f>
        <v>0.8</v>
      </c>
      <c r="HK9" s="25">
        <f>if(HJ9='Quick Setup'!$C$31,'Quick Setup'!$C36,if(HJ9='Quick Setup'!$D$31,'Quick Setup'!$D36,if(HJ9='Quick Setup'!$E$31,'Quick Setup'!$E36,if(HJ9='Quick Setup'!$F$31,'Quick Setup'!$F36,if(HJ9='Quick Setup'!$G$31,'Quick Setup'!$G36,if(HJ9='Quick Setup'!$H$31,'Quick Setup'!$H36,if(HJ9='Quick Setup'!$I$31,'Quick Setup'!$I36,if(HJ9='Quick Setup'!$J$31,'Quick Setup'!$J36,if(HJ9='Quick Setup'!$K$31,'Quick Setup'!$K36,if(HJ9='Quick Setup'!$L$31,'Quick Setup'!$L36,if(HJ9='Quick Setup'!$M$31,'Quick Setup'!$M36,if(HJ9='Quick Setup'!$N$31,'Quick Setup'!$N36,if(HJ9='Quick Setup'!$O$31,'Quick Setup'!$O36,if(HJ9='Quick Setup'!$P$31,'Quick Setup'!$P36,if(HJ9='Quick Setup'!$Q$31,'Quick Setup'!$Q36,if(HJ9='Quick Setup'!$R$31,'Quick Setup'!$R36,if(HJ9='Quick Setup'!$S$31,'Quick Setup'!$S36,if(HJ9='Quick Setup'!$T$31,'Quick Setup'!$T36,if(HJ9='Quick Setup'!$U$31,'Quick Setup'!$U36,if(HJ9='Quick Setup'!$V$31,'Quick Setup'!$V36,'Quick Setup'!$W36))))))))))))))))))))</f>
        <v>3</v>
      </c>
      <c r="HL9" s="25">
        <f>if(HJ9='Quick Setup'!$C$45,'Quick Setup'!$C50,if(HJ9='Quick Setup'!$D$45,'Quick Setup'!$D50,if(HJ9='Quick Setup'!$E$45,'Quick Setup'!$E50,if(HJ9='Quick Setup'!$F$45,'Quick Setup'!$F50,if(HJ9='Quick Setup'!$G$45,'Quick Setup'!$G50,if(HJ9='Quick Setup'!$H$45,'Quick Setup'!$H50,if(HJ9='Quick Setup'!$I$45,'Quick Setup'!$I50,if(HJ9='Quick Setup'!$J$45,'Quick Setup'!$J50,if(HJ9='Quick Setup'!$K$45,'Quick Setup'!$K50,if(HJ9='Quick Setup'!$L$45,'Quick Setup'!$L50,if(HJ9='Quick Setup'!$M$45,'Quick Setup'!$M50,if(HJ9='Quick Setup'!$N$45,'Quick Setup'!$N50,if(HJ9='Quick Setup'!$O$45,'Quick Setup'!$O50,if(HJ9='Quick Setup'!$P$45,'Quick Setup'!$P50,if(HJ9='Quick Setup'!$Q$45,'Quick Setup'!$Q50,if(HJ9='Quick Setup'!$R$45,'Quick Setup'!$R50,if(HJ9='Quick Setup'!$S$45,'Quick Setup'!$S50,if(HJ9='Quick Setup'!$T$45,'Quick Setup'!$T50,if(HJ9='Quick Setup'!$U$45,'Quick Setup'!$U50,if(HJ9='Quick Setup'!$V$45,'Quick Setup'!$V50,'Quick Setup'!$W50))))))))))))))))))))</f>
        <v>6</v>
      </c>
      <c r="HM9" s="27">
        <f t="shared" ref="HM9:HU9" si="98">HA9</f>
        <v>5</v>
      </c>
      <c r="HN9" s="28">
        <f t="shared" si="98"/>
        <v>-0.05</v>
      </c>
      <c r="HO9" s="28">
        <f t="shared" si="98"/>
        <v>-0.02</v>
      </c>
      <c r="HP9" s="28">
        <f t="shared" si="98"/>
        <v>0</v>
      </c>
      <c r="HQ9" s="28">
        <f t="shared" si="98"/>
        <v>0.005</v>
      </c>
      <c r="HR9" s="28">
        <f t="shared" si="98"/>
        <v>0.01</v>
      </c>
      <c r="HS9" s="28">
        <f t="shared" si="98"/>
        <v>0.015</v>
      </c>
      <c r="HT9" s="28">
        <f t="shared" si="98"/>
        <v>0.02</v>
      </c>
      <c r="HU9" s="28">
        <f t="shared" si="98"/>
        <v>0.03</v>
      </c>
      <c r="HV9" s="24">
        <f>'Quick Setup'!V64</f>
        <v>0.85</v>
      </c>
      <c r="HW9" s="25">
        <f>if(HV9='Quick Setup'!$C$31,'Quick Setup'!$C36,if(HV9='Quick Setup'!$D$31,'Quick Setup'!$D36,if(HV9='Quick Setup'!$E$31,'Quick Setup'!$E36,if(HV9='Quick Setup'!$F$31,'Quick Setup'!$F36,if(HV9='Quick Setup'!$G$31,'Quick Setup'!$G36,if(HV9='Quick Setup'!$H$31,'Quick Setup'!$H36,if(HV9='Quick Setup'!$I$31,'Quick Setup'!$I36,if(HV9='Quick Setup'!$J$31,'Quick Setup'!$J36,if(HV9='Quick Setup'!$K$31,'Quick Setup'!$K36,if(HV9='Quick Setup'!$L$31,'Quick Setup'!$L36,if(HV9='Quick Setup'!$M$31,'Quick Setup'!$M36,if(HV9='Quick Setup'!$N$31,'Quick Setup'!$N36,if(HV9='Quick Setup'!$O$31,'Quick Setup'!$O36,if(HV9='Quick Setup'!$P$31,'Quick Setup'!$P36,if(HV9='Quick Setup'!$Q$31,'Quick Setup'!$Q36,if(HV9='Quick Setup'!$R$31,'Quick Setup'!$R36,if(HV9='Quick Setup'!$S$31,'Quick Setup'!$S36,if(HV9='Quick Setup'!$T$31,'Quick Setup'!$T36,if(HV9='Quick Setup'!$U$31,'Quick Setup'!$U36,if(HV9='Quick Setup'!$V$31,'Quick Setup'!$V36,'Quick Setup'!$W36))))))))))))))))))))</f>
        <v>2</v>
      </c>
      <c r="HX9" s="25">
        <f>if(HV9='Quick Setup'!$C$45,'Quick Setup'!$C50,if(HV9='Quick Setup'!$D$45,'Quick Setup'!$D50,if(HV9='Quick Setup'!$E$45,'Quick Setup'!$E50,if(HV9='Quick Setup'!$F$45,'Quick Setup'!$F50,if(HV9='Quick Setup'!$G$45,'Quick Setup'!$G50,if(HV9='Quick Setup'!$H$45,'Quick Setup'!$H50,if(HV9='Quick Setup'!$I$45,'Quick Setup'!$I50,if(HV9='Quick Setup'!$J$45,'Quick Setup'!$J50,if(HV9='Quick Setup'!$K$45,'Quick Setup'!$K50,if(HV9='Quick Setup'!$L$45,'Quick Setup'!$L50,if(HV9='Quick Setup'!$M$45,'Quick Setup'!$M50,if(HV9='Quick Setup'!$N$45,'Quick Setup'!$N50,if(HV9='Quick Setup'!$O$45,'Quick Setup'!$O50,if(HV9='Quick Setup'!$P$45,'Quick Setup'!$P50,if(HV9='Quick Setup'!$Q$45,'Quick Setup'!$Q50,if(HV9='Quick Setup'!$R$45,'Quick Setup'!$R50,if(HV9='Quick Setup'!$S$45,'Quick Setup'!$S50,if(HV9='Quick Setup'!$T$45,'Quick Setup'!$T50,if(HV9='Quick Setup'!$U$45,'Quick Setup'!$U50,if(HV9='Quick Setup'!$V$45,'Quick Setup'!$V50,'Quick Setup'!$W50))))))))))))))))))))</f>
        <v>4</v>
      </c>
      <c r="HY9" s="27">
        <f t="shared" ref="HY9:IG9" si="99">HM9</f>
        <v>5</v>
      </c>
      <c r="HZ9" s="28">
        <f t="shared" si="99"/>
        <v>-0.05</v>
      </c>
      <c r="IA9" s="28">
        <f t="shared" si="99"/>
        <v>-0.02</v>
      </c>
      <c r="IB9" s="28">
        <f t="shared" si="99"/>
        <v>0</v>
      </c>
      <c r="IC9" s="28">
        <f t="shared" si="99"/>
        <v>0.005</v>
      </c>
      <c r="ID9" s="28">
        <f t="shared" si="99"/>
        <v>0.01</v>
      </c>
      <c r="IE9" s="28">
        <f t="shared" si="99"/>
        <v>0.015</v>
      </c>
      <c r="IF9" s="28">
        <f t="shared" si="99"/>
        <v>0.02</v>
      </c>
      <c r="IG9" s="28">
        <f t="shared" si="99"/>
        <v>0.03</v>
      </c>
      <c r="IH9" s="24">
        <f>'Quick Setup'!W64</f>
        <v>0.5</v>
      </c>
      <c r="II9" s="25">
        <f>if(IH9='Quick Setup'!$C$31,'Quick Setup'!$C36,if(IH9='Quick Setup'!$D$31,'Quick Setup'!$D36,if(IH9='Quick Setup'!$E$31,'Quick Setup'!$E36,if(IH9='Quick Setup'!$F$31,'Quick Setup'!$F36,if(IH9='Quick Setup'!$G$31,'Quick Setup'!$G36,if(IH9='Quick Setup'!$H$31,'Quick Setup'!$H36,if(IH9='Quick Setup'!$I$31,'Quick Setup'!$I36,if(IH9='Quick Setup'!$J$31,'Quick Setup'!$J36,if(IH9='Quick Setup'!$K$31,'Quick Setup'!$K36,if(IH9='Quick Setup'!$L$31,'Quick Setup'!$L36,if(IH9='Quick Setup'!$M$31,'Quick Setup'!$M36,if(IH9='Quick Setup'!$N$31,'Quick Setup'!$N36,if(IH9='Quick Setup'!$O$31,'Quick Setup'!$O36,if(IH9='Quick Setup'!$P$31,'Quick Setup'!$P36,if(IH9='Quick Setup'!$Q$31,'Quick Setup'!$Q36,if(IH9='Quick Setup'!$R$31,'Quick Setup'!$R36,if(IH9='Quick Setup'!$S$31,'Quick Setup'!$S36,if(IH9='Quick Setup'!$T$31,'Quick Setup'!$T36,if(IH9='Quick Setup'!$U$31,'Quick Setup'!$U36,if(IH9='Quick Setup'!$V$31,'Quick Setup'!$V36,'Quick Setup'!$W36))))))))))))))))))))</f>
        <v>8</v>
      </c>
      <c r="IJ9" s="25">
        <f>if(IH9='Quick Setup'!$C$45,'Quick Setup'!$C50,if(IH9='Quick Setup'!$D$45,'Quick Setup'!$D50,if(IH9='Quick Setup'!$E$45,'Quick Setup'!$E50,if(IH9='Quick Setup'!$F$45,'Quick Setup'!$F50,if(IH9='Quick Setup'!$G$45,'Quick Setup'!$G50,if(IH9='Quick Setup'!$H$45,'Quick Setup'!$H50,if(IH9='Quick Setup'!$I$45,'Quick Setup'!$I50,if(IH9='Quick Setup'!$J$45,'Quick Setup'!$J50,if(IH9='Quick Setup'!$K$45,'Quick Setup'!$K50,if(IH9='Quick Setup'!$L$45,'Quick Setup'!$L50,if(IH9='Quick Setup'!$M$45,'Quick Setup'!$M50,if(IH9='Quick Setup'!$N$45,'Quick Setup'!$N50,if(IH9='Quick Setup'!$O$45,'Quick Setup'!$O50,if(IH9='Quick Setup'!$P$45,'Quick Setup'!$P50,if(IH9='Quick Setup'!$Q$45,'Quick Setup'!$Q50,if(IH9='Quick Setup'!$R$45,'Quick Setup'!$R50,if(IH9='Quick Setup'!$S$45,'Quick Setup'!$S50,if(IH9='Quick Setup'!$T$45,'Quick Setup'!$T50,if(IH9='Quick Setup'!$U$45,'Quick Setup'!$U50,if(IH9='Quick Setup'!$V$45,'Quick Setup'!$V50,'Quick Setup'!$W50))))))))))))))))))))</f>
        <v>18</v>
      </c>
      <c r="IK9" s="27">
        <f t="shared" ref="IK9:IS9" si="100">HY9</f>
        <v>5</v>
      </c>
      <c r="IL9" s="28">
        <f t="shared" si="100"/>
        <v>-0.05</v>
      </c>
      <c r="IM9" s="28">
        <f t="shared" si="100"/>
        <v>-0.02</v>
      </c>
      <c r="IN9" s="28">
        <f t="shared" si="100"/>
        <v>0</v>
      </c>
      <c r="IO9" s="28">
        <f t="shared" si="100"/>
        <v>0.005</v>
      </c>
      <c r="IP9" s="28">
        <f t="shared" si="100"/>
        <v>0.01</v>
      </c>
      <c r="IQ9" s="28">
        <f t="shared" si="100"/>
        <v>0.015</v>
      </c>
      <c r="IR9" s="28">
        <f t="shared" si="100"/>
        <v>0.02</v>
      </c>
      <c r="IS9" s="28">
        <f t="shared" si="100"/>
        <v>0.03</v>
      </c>
    </row>
    <row r="10">
      <c r="A10" t="str">
        <f>'Quick Setup'!C12</f>
        <v>Paused Squat</v>
      </c>
      <c r="B10" s="24">
        <f>'Quick Setup'!C65</f>
        <v>0.6</v>
      </c>
      <c r="C10" s="25">
        <f>if(B10='Quick Setup'!$C$31,'Quick Setup'!$C37,if(B10='Quick Setup'!$D$31,'Quick Setup'!$D37,if(B10='Quick Setup'!$E$31,'Quick Setup'!$E37,if(B10='Quick Setup'!$F$31,'Quick Setup'!$F37,if(B10='Quick Setup'!$G$31,'Quick Setup'!$G37,if(B10='Quick Setup'!$H$31,'Quick Setup'!$H37,if(B10='Quick Setup'!$I$31,'Quick Setup'!$I37,if(B10='Quick Setup'!$J$31,'Quick Setup'!$J37,if(B10='Quick Setup'!$K$31,'Quick Setup'!$K37,if(B10='Quick Setup'!$L$31,'Quick Setup'!$L37,if(B10='Quick Setup'!$M$31,'Quick Setup'!$M37,if(B10='Quick Setup'!$N$31,'Quick Setup'!$N37,if(B10='Quick Setup'!$O$31,'Quick Setup'!$O37,if(B10='Quick Setup'!$P$31,'Quick Setup'!$P37,if(B10='Quick Setup'!$Q$31,'Quick Setup'!$Q37,if(B10='Quick Setup'!$R$31,'Quick Setup'!$R37,if(B10='Quick Setup'!$S$31,'Quick Setup'!$S37,if(B10='Quick Setup'!$T$31,'Quick Setup'!$T37,if(B10='Quick Setup'!$U$31,'Quick Setup'!$U37,if(B10='Quick Setup'!$V$31,'Quick Setup'!$V37,'Quick Setup'!$W37))))))))))))))))))))</f>
        <v>7</v>
      </c>
      <c r="D10" s="25">
        <f>if(B10='Quick Setup'!$C$45,'Quick Setup'!$C51,if(B10='Quick Setup'!$D$45,'Quick Setup'!$D51,if(B10='Quick Setup'!$E$45,'Quick Setup'!$E51,if(B10='Quick Setup'!$F$45,'Quick Setup'!$F51,if(B10='Quick Setup'!$G$45,'Quick Setup'!$G51,if(B10='Quick Setup'!$H$45,'Quick Setup'!$H51,if(B10='Quick Setup'!$I$45,'Quick Setup'!$I51,if(B10='Quick Setup'!$J$45,'Quick Setup'!$J51,if(B10='Quick Setup'!$K$45,'Quick Setup'!$K51,if(B10='Quick Setup'!$L$45,'Quick Setup'!$L51,if(B10='Quick Setup'!$M$45,'Quick Setup'!$M51,if(B10='Quick Setup'!$N$45,'Quick Setup'!$N51,if(B10='Quick Setup'!$O$45,'Quick Setup'!$O51,if(B10='Quick Setup'!$P$45,'Quick Setup'!$P51,if(B10='Quick Setup'!$Q$45,'Quick Setup'!$Q51,if(B10='Quick Setup'!$R$45,'Quick Setup'!$R51,if(B10='Quick Setup'!$S$45,'Quick Setup'!$S51,if(B10='Quick Setup'!$T$45,'Quick Setup'!$T51,if(B10='Quick Setup'!$U$45,'Quick Setup'!$U51,if(B10='Quick Setup'!$V$45,'Quick Setup'!$V51,'Quick Setup'!$W51))))))))))))))))))))</f>
        <v>14</v>
      </c>
      <c r="E10" s="25">
        <f>'Quick Setup'!H11</f>
        <v>5</v>
      </c>
      <c r="F10" s="26">
        <f>'Quick Setup'!I11</f>
        <v>-0.05</v>
      </c>
      <c r="G10" s="26">
        <f>'Quick Setup'!J11</f>
        <v>-0.02</v>
      </c>
      <c r="H10" s="26">
        <f>'Quick Setup'!K11</f>
        <v>0</v>
      </c>
      <c r="I10" s="26">
        <f>'Quick Setup'!L11</f>
        <v>0.005</v>
      </c>
      <c r="J10" s="26">
        <f>'Quick Setup'!M11</f>
        <v>0.01</v>
      </c>
      <c r="K10" s="26">
        <f>'Quick Setup'!N11</f>
        <v>0.015</v>
      </c>
      <c r="L10" s="26">
        <f>'Quick Setup'!O11</f>
        <v>0.02</v>
      </c>
      <c r="M10" s="26">
        <f>'Quick Setup'!P11</f>
        <v>0.03</v>
      </c>
      <c r="N10" s="24">
        <f>'Quick Setup'!D65</f>
        <v>0.65</v>
      </c>
      <c r="O10" s="25">
        <f>if(N10='Quick Setup'!$C$31,'Quick Setup'!$C37,if(N10='Quick Setup'!$D$31,'Quick Setup'!$D37,if(N10='Quick Setup'!$E$31,'Quick Setup'!$E37,if(N10='Quick Setup'!$F$31,'Quick Setup'!$F37,if(N10='Quick Setup'!$G$31,'Quick Setup'!$G37,if(N10='Quick Setup'!$H$31,'Quick Setup'!$H37,if(N10='Quick Setup'!$I$31,'Quick Setup'!$I37,if(N10='Quick Setup'!$J$31,'Quick Setup'!$J37,if(N10='Quick Setup'!$K$31,'Quick Setup'!$K37,if(N10='Quick Setup'!$L$31,'Quick Setup'!$L37,if(N10='Quick Setup'!$M$31,'Quick Setup'!$M37,if(N10='Quick Setup'!$N$31,'Quick Setup'!$N37,if(N10='Quick Setup'!$O$31,'Quick Setup'!$O37,if(N10='Quick Setup'!$P$31,'Quick Setup'!$P37,if(N10='Quick Setup'!$Q$31,'Quick Setup'!$Q37,if(N10='Quick Setup'!$R$31,'Quick Setup'!$R37,if(N10='Quick Setup'!$S$31,'Quick Setup'!$S37,if(N10='Quick Setup'!$T$31,'Quick Setup'!$T37,if(N10='Quick Setup'!$U$31,'Quick Setup'!$U37,if(N10='Quick Setup'!$V$31,'Quick Setup'!$V37,'Quick Setup'!$W37))))))))))))))))))))</f>
        <v>6</v>
      </c>
      <c r="P10" s="25">
        <f>if(N10='Quick Setup'!$C$45,'Quick Setup'!$C51,if(N10='Quick Setup'!$D$45,'Quick Setup'!$D51,if(N10='Quick Setup'!$E$45,'Quick Setup'!$E51,if(N10='Quick Setup'!$F$45,'Quick Setup'!$F51,if(N10='Quick Setup'!$G$45,'Quick Setup'!$G51,if(N10='Quick Setup'!$H$45,'Quick Setup'!$H51,if(N10='Quick Setup'!$I$45,'Quick Setup'!$I51,if(N10='Quick Setup'!$J$45,'Quick Setup'!$J51,if(N10='Quick Setup'!$K$45,'Quick Setup'!$K51,if(N10='Quick Setup'!$L$45,'Quick Setup'!$L51,if(N10='Quick Setup'!$M$45,'Quick Setup'!$M51,if(N10='Quick Setup'!$N$45,'Quick Setup'!$N51,if(N10='Quick Setup'!$O$45,'Quick Setup'!$O51,if(N10='Quick Setup'!$P$45,'Quick Setup'!$P51,if(N10='Quick Setup'!$Q$45,'Quick Setup'!$Q51,if(N10='Quick Setup'!$R$45,'Quick Setup'!$R51,if(N10='Quick Setup'!$S$45,'Quick Setup'!$S51,if(N10='Quick Setup'!$T$45,'Quick Setup'!$T51,if(N10='Quick Setup'!$U$45,'Quick Setup'!$U51,if(N10='Quick Setup'!$V$45,'Quick Setup'!$V51,'Quick Setup'!$W51))))))))))))))))))))</f>
        <v>12</v>
      </c>
      <c r="Q10" s="25">
        <f t="shared" ref="Q10:Y10" si="101">E10</f>
        <v>5</v>
      </c>
      <c r="R10" s="26">
        <f t="shared" si="101"/>
        <v>-0.05</v>
      </c>
      <c r="S10" s="26">
        <f t="shared" si="101"/>
        <v>-0.02</v>
      </c>
      <c r="T10" s="26">
        <f t="shared" si="101"/>
        <v>0</v>
      </c>
      <c r="U10" s="26">
        <f t="shared" si="101"/>
        <v>0.005</v>
      </c>
      <c r="V10" s="26">
        <f t="shared" si="101"/>
        <v>0.01</v>
      </c>
      <c r="W10" s="26">
        <f t="shared" si="101"/>
        <v>0.015</v>
      </c>
      <c r="X10" s="26">
        <f t="shared" si="101"/>
        <v>0.02</v>
      </c>
      <c r="Y10" s="26">
        <f t="shared" si="101"/>
        <v>0.03</v>
      </c>
      <c r="Z10" s="24">
        <f>'Quick Setup'!E65</f>
        <v>0.7</v>
      </c>
      <c r="AA10" s="25">
        <f>if(Z10='Quick Setup'!$C$31,'Quick Setup'!$C37,if(Z10='Quick Setup'!$D$31,'Quick Setup'!$D37,if(Z10='Quick Setup'!$E$31,'Quick Setup'!$E37,if(Z10='Quick Setup'!$F$31,'Quick Setup'!$F37,if(Z10='Quick Setup'!$G$31,'Quick Setup'!$G37,if(Z10='Quick Setup'!$H$31,'Quick Setup'!$H37,if(Z10='Quick Setup'!$I$31,'Quick Setup'!$I37,if(Z10='Quick Setup'!$J$31,'Quick Setup'!$J37,if(Z10='Quick Setup'!$K$31,'Quick Setup'!$K37,if(Z10='Quick Setup'!$L$31,'Quick Setup'!$L37,if(Z10='Quick Setup'!$M$31,'Quick Setup'!$M37,if(Z10='Quick Setup'!$N$31,'Quick Setup'!$N37,if(Z10='Quick Setup'!$O$31,'Quick Setup'!$O37,if(Z10='Quick Setup'!$P$31,'Quick Setup'!$P37,if(Z10='Quick Setup'!$Q$31,'Quick Setup'!$Q37,if(Z10='Quick Setup'!$R$31,'Quick Setup'!$R37,if(Z10='Quick Setup'!$S$31,'Quick Setup'!$S37,if(Z10='Quick Setup'!$T$31,'Quick Setup'!$T37,if(Z10='Quick Setup'!$U$31,'Quick Setup'!$U37,if(Z10='Quick Setup'!$V$31,'Quick Setup'!$V37,'Quick Setup'!$W37))))))))))))))))))))</f>
        <v>5</v>
      </c>
      <c r="AB10" s="25">
        <f>if(Z10='Quick Setup'!$C$45,'Quick Setup'!$C51,if(Z10='Quick Setup'!$D$45,'Quick Setup'!$D51,if(Z10='Quick Setup'!$E$45,'Quick Setup'!$E51,if(Z10='Quick Setup'!$F$45,'Quick Setup'!$F51,if(Z10='Quick Setup'!$G$45,'Quick Setup'!$G51,if(Z10='Quick Setup'!$H$45,'Quick Setup'!$H51,if(Z10='Quick Setup'!$I$45,'Quick Setup'!$I51,if(Z10='Quick Setup'!$J$45,'Quick Setup'!$J51,if(Z10='Quick Setup'!$K$45,'Quick Setup'!$K51,if(Z10='Quick Setup'!$L$45,'Quick Setup'!$L51,if(Z10='Quick Setup'!$M$45,'Quick Setup'!$M51,if(Z10='Quick Setup'!$N$45,'Quick Setup'!$N51,if(Z10='Quick Setup'!$O$45,'Quick Setup'!$O51,if(Z10='Quick Setup'!$P$45,'Quick Setup'!$P51,if(Z10='Quick Setup'!$Q$45,'Quick Setup'!$Q51,if(Z10='Quick Setup'!$R$45,'Quick Setup'!$R51,if(Z10='Quick Setup'!$S$45,'Quick Setup'!$S51,if(Z10='Quick Setup'!$T$45,'Quick Setup'!$T51,if(Z10='Quick Setup'!$U$45,'Quick Setup'!$U51,if(Z10='Quick Setup'!$V$45,'Quick Setup'!$V51,'Quick Setup'!$W51))))))))))))))))))))</f>
        <v>10</v>
      </c>
      <c r="AC10" s="25">
        <f t="shared" ref="AC10:AK10" si="102">Q10</f>
        <v>5</v>
      </c>
      <c r="AD10" s="26">
        <f t="shared" si="102"/>
        <v>-0.05</v>
      </c>
      <c r="AE10" s="26">
        <f t="shared" si="102"/>
        <v>-0.02</v>
      </c>
      <c r="AF10" s="26">
        <f t="shared" si="102"/>
        <v>0</v>
      </c>
      <c r="AG10" s="26">
        <f t="shared" si="102"/>
        <v>0.005</v>
      </c>
      <c r="AH10" s="26">
        <f t="shared" si="102"/>
        <v>0.01</v>
      </c>
      <c r="AI10" s="26">
        <f t="shared" si="102"/>
        <v>0.015</v>
      </c>
      <c r="AJ10" s="26">
        <f t="shared" si="102"/>
        <v>0.02</v>
      </c>
      <c r="AK10" s="26">
        <f t="shared" si="102"/>
        <v>0.03</v>
      </c>
      <c r="AL10" s="24">
        <f>'Quick Setup'!F65</f>
        <v>0.625</v>
      </c>
      <c r="AM10" s="25">
        <f>if(AL10='Quick Setup'!$C$31,'Quick Setup'!$C37,if(AL10='Quick Setup'!$D$31,'Quick Setup'!$D37,if(AL10='Quick Setup'!$E$31,'Quick Setup'!$E37,if(AL10='Quick Setup'!$F$31,'Quick Setup'!$F37,if(AL10='Quick Setup'!$G$31,'Quick Setup'!$G37,if(AL10='Quick Setup'!$H$31,'Quick Setup'!$H37,if(AL10='Quick Setup'!$I$31,'Quick Setup'!$I37,if(AL10='Quick Setup'!$J$31,'Quick Setup'!$J37,if(AL10='Quick Setup'!$K$31,'Quick Setup'!$K37,if(AL10='Quick Setup'!$L$31,'Quick Setup'!$L37,if(AL10='Quick Setup'!$M$31,'Quick Setup'!$M37,if(AL10='Quick Setup'!$N$31,'Quick Setup'!$N37,if(AL10='Quick Setup'!$O$31,'Quick Setup'!$O37,if(AL10='Quick Setup'!$P$31,'Quick Setup'!$P37,if(AL10='Quick Setup'!$Q$31,'Quick Setup'!$Q37,if(AL10='Quick Setup'!$R$31,'Quick Setup'!$R37,if(AL10='Quick Setup'!$S$31,'Quick Setup'!$S37,if(AL10='Quick Setup'!$T$31,'Quick Setup'!$T37,if(AL10='Quick Setup'!$U$31,'Quick Setup'!$U37,if(AL10='Quick Setup'!$V$31,'Quick Setup'!$V37,'Quick Setup'!$W37))))))))))))))))))))</f>
        <v>7</v>
      </c>
      <c r="AN10" s="25">
        <f>if(AL10='Quick Setup'!$C$45,'Quick Setup'!$C51,if(AL10='Quick Setup'!$D$45,'Quick Setup'!$D51,if(AL10='Quick Setup'!$E$45,'Quick Setup'!$E51,if(AL10='Quick Setup'!$F$45,'Quick Setup'!$F51,if(AL10='Quick Setup'!$G$45,'Quick Setup'!$G51,if(AL10='Quick Setup'!$H$45,'Quick Setup'!$H51,if(AL10='Quick Setup'!$I$45,'Quick Setup'!$I51,if(AL10='Quick Setup'!$J$45,'Quick Setup'!$J51,if(AL10='Quick Setup'!$K$45,'Quick Setup'!$K51,if(AL10='Quick Setup'!$L$45,'Quick Setup'!$L51,if(AL10='Quick Setup'!$M$45,'Quick Setup'!$M51,if(AL10='Quick Setup'!$N$45,'Quick Setup'!$N51,if(AL10='Quick Setup'!$O$45,'Quick Setup'!$O51,if(AL10='Quick Setup'!$P$45,'Quick Setup'!$P51,if(AL10='Quick Setup'!$Q$45,'Quick Setup'!$Q51,if(AL10='Quick Setup'!$R$45,'Quick Setup'!$R51,if(AL10='Quick Setup'!$S$45,'Quick Setup'!$S51,if(AL10='Quick Setup'!$T$45,'Quick Setup'!$T51,if(AL10='Quick Setup'!$U$45,'Quick Setup'!$U51,if(AL10='Quick Setup'!$V$45,'Quick Setup'!$V51,'Quick Setup'!$W51))))))))))))))))))))</f>
        <v>13</v>
      </c>
      <c r="AO10" s="25">
        <f t="shared" ref="AO10:AW10" si="103">AC10</f>
        <v>5</v>
      </c>
      <c r="AP10" s="26">
        <f t="shared" si="103"/>
        <v>-0.05</v>
      </c>
      <c r="AQ10" s="26">
        <f t="shared" si="103"/>
        <v>-0.02</v>
      </c>
      <c r="AR10" s="26">
        <f t="shared" si="103"/>
        <v>0</v>
      </c>
      <c r="AS10" s="26">
        <f t="shared" si="103"/>
        <v>0.005</v>
      </c>
      <c r="AT10" s="26">
        <f t="shared" si="103"/>
        <v>0.01</v>
      </c>
      <c r="AU10" s="26">
        <f t="shared" si="103"/>
        <v>0.015</v>
      </c>
      <c r="AV10" s="26">
        <f t="shared" si="103"/>
        <v>0.02</v>
      </c>
      <c r="AW10" s="26">
        <f t="shared" si="103"/>
        <v>0.03</v>
      </c>
      <c r="AX10" s="24">
        <f>'Quick Setup'!G65</f>
        <v>0.675</v>
      </c>
      <c r="AY10" s="25">
        <f>if(AX10='Quick Setup'!$C$31,'Quick Setup'!$C37,if(AX10='Quick Setup'!$D$31,'Quick Setup'!$D37,if(AX10='Quick Setup'!$E$31,'Quick Setup'!$E37,if(AX10='Quick Setup'!$F$31,'Quick Setup'!$F37,if(AX10='Quick Setup'!$G$31,'Quick Setup'!$G37,if(AX10='Quick Setup'!$H$31,'Quick Setup'!$H37,if(AX10='Quick Setup'!$I$31,'Quick Setup'!$I37,if(AX10='Quick Setup'!$J$31,'Quick Setup'!$J37,if(AX10='Quick Setup'!$K$31,'Quick Setup'!$K37,if(AX10='Quick Setup'!$L$31,'Quick Setup'!$L37,if(AX10='Quick Setup'!$M$31,'Quick Setup'!$M37,if(AX10='Quick Setup'!$N$31,'Quick Setup'!$N37,if(AX10='Quick Setup'!$O$31,'Quick Setup'!$O37,if(AX10='Quick Setup'!$P$31,'Quick Setup'!$P37,if(AX10='Quick Setup'!$Q$31,'Quick Setup'!$Q37,if(AX10='Quick Setup'!$R$31,'Quick Setup'!$R37,if(AX10='Quick Setup'!$S$31,'Quick Setup'!$S37,if(AX10='Quick Setup'!$T$31,'Quick Setup'!$T37,if(AX10='Quick Setup'!$U$31,'Quick Setup'!$U37,if(AX10='Quick Setup'!$V$31,'Quick Setup'!$V37,'Quick Setup'!$W37))))))))))))))))))))</f>
        <v>6</v>
      </c>
      <c r="AZ10" s="25">
        <f>if(AX10='Quick Setup'!$C$45,'Quick Setup'!$C51,if(AX10='Quick Setup'!$D$45,'Quick Setup'!$D51,if(AX10='Quick Setup'!$E$45,'Quick Setup'!$E51,if(AX10='Quick Setup'!$F$45,'Quick Setup'!$F51,if(AX10='Quick Setup'!$G$45,'Quick Setup'!$G51,if(AX10='Quick Setup'!$H$45,'Quick Setup'!$H51,if(AX10='Quick Setup'!$I$45,'Quick Setup'!$I51,if(AX10='Quick Setup'!$J$45,'Quick Setup'!$J51,if(AX10='Quick Setup'!$K$45,'Quick Setup'!$K51,if(AX10='Quick Setup'!$L$45,'Quick Setup'!$L51,if(AX10='Quick Setup'!$M$45,'Quick Setup'!$M51,if(AX10='Quick Setup'!$N$45,'Quick Setup'!$N51,if(AX10='Quick Setup'!$O$45,'Quick Setup'!$O51,if(AX10='Quick Setup'!$P$45,'Quick Setup'!$P51,if(AX10='Quick Setup'!$Q$45,'Quick Setup'!$Q51,if(AX10='Quick Setup'!$R$45,'Quick Setup'!$R51,if(AX10='Quick Setup'!$S$45,'Quick Setup'!$S51,if(AX10='Quick Setup'!$T$45,'Quick Setup'!$T51,if(AX10='Quick Setup'!$U$45,'Quick Setup'!$U51,if(AX10='Quick Setup'!$V$45,'Quick Setup'!$V51,'Quick Setup'!$W51))))))))))))))))))))</f>
        <v>11</v>
      </c>
      <c r="BA10" s="25">
        <f t="shared" ref="BA10:BI10" si="104">AO10</f>
        <v>5</v>
      </c>
      <c r="BB10" s="26">
        <f t="shared" si="104"/>
        <v>-0.05</v>
      </c>
      <c r="BC10" s="26">
        <f t="shared" si="104"/>
        <v>-0.02</v>
      </c>
      <c r="BD10" s="26">
        <f t="shared" si="104"/>
        <v>0</v>
      </c>
      <c r="BE10" s="26">
        <f t="shared" si="104"/>
        <v>0.005</v>
      </c>
      <c r="BF10" s="26">
        <f t="shared" si="104"/>
        <v>0.01</v>
      </c>
      <c r="BG10" s="26">
        <f t="shared" si="104"/>
        <v>0.015</v>
      </c>
      <c r="BH10" s="26">
        <f t="shared" si="104"/>
        <v>0.02</v>
      </c>
      <c r="BI10" s="26">
        <f t="shared" si="104"/>
        <v>0.03</v>
      </c>
      <c r="BJ10" s="24">
        <f>'Quick Setup'!H65</f>
        <v>0.725</v>
      </c>
      <c r="BK10" s="25">
        <f>if(BJ10='Quick Setup'!$C$31,'Quick Setup'!$C37,if(BJ10='Quick Setup'!$D$31,'Quick Setup'!$D37,if(BJ10='Quick Setup'!$E$31,'Quick Setup'!$E37,if(BJ10='Quick Setup'!$F$31,'Quick Setup'!$F37,if(BJ10='Quick Setup'!$G$31,'Quick Setup'!$G37,if(BJ10='Quick Setup'!$H$31,'Quick Setup'!$H37,if(BJ10='Quick Setup'!$I$31,'Quick Setup'!$I37,if(BJ10='Quick Setup'!$J$31,'Quick Setup'!$J37,if(BJ10='Quick Setup'!$K$31,'Quick Setup'!$K37,if(BJ10='Quick Setup'!$L$31,'Quick Setup'!$L37,if(BJ10='Quick Setup'!$M$31,'Quick Setup'!$M37,if(BJ10='Quick Setup'!$N$31,'Quick Setup'!$N37,if(BJ10='Quick Setup'!$O$31,'Quick Setup'!$O37,if(BJ10='Quick Setup'!$P$31,'Quick Setup'!$P37,if(BJ10='Quick Setup'!$Q$31,'Quick Setup'!$Q37,if(BJ10='Quick Setup'!$R$31,'Quick Setup'!$R37,if(BJ10='Quick Setup'!$S$31,'Quick Setup'!$S37,if(BJ10='Quick Setup'!$T$31,'Quick Setup'!$T37,if(BJ10='Quick Setup'!$U$31,'Quick Setup'!$U37,if(BJ10='Quick Setup'!$V$31,'Quick Setup'!$V37,'Quick Setup'!$W37))))))))))))))))))))</f>
        <v>5</v>
      </c>
      <c r="BL10" s="25">
        <f>if(BJ10='Quick Setup'!$C$45,'Quick Setup'!$C51,if(BJ10='Quick Setup'!$D$45,'Quick Setup'!$D51,if(BJ10='Quick Setup'!$E$45,'Quick Setup'!$E51,if(BJ10='Quick Setup'!$F$45,'Quick Setup'!$F51,if(BJ10='Quick Setup'!$G$45,'Quick Setup'!$G51,if(BJ10='Quick Setup'!$H$45,'Quick Setup'!$H51,if(BJ10='Quick Setup'!$I$45,'Quick Setup'!$I51,if(BJ10='Quick Setup'!$J$45,'Quick Setup'!$J51,if(BJ10='Quick Setup'!$K$45,'Quick Setup'!$K51,if(BJ10='Quick Setup'!$L$45,'Quick Setup'!$L51,if(BJ10='Quick Setup'!$M$45,'Quick Setup'!$M51,if(BJ10='Quick Setup'!$N$45,'Quick Setup'!$N51,if(BJ10='Quick Setup'!$O$45,'Quick Setup'!$O51,if(BJ10='Quick Setup'!$P$45,'Quick Setup'!$P51,if(BJ10='Quick Setup'!$Q$45,'Quick Setup'!$Q51,if(BJ10='Quick Setup'!$R$45,'Quick Setup'!$R51,if(BJ10='Quick Setup'!$S$45,'Quick Setup'!$S51,if(BJ10='Quick Setup'!$T$45,'Quick Setup'!$T51,if(BJ10='Quick Setup'!$U$45,'Quick Setup'!$U51,if(BJ10='Quick Setup'!$V$45,'Quick Setup'!$V51,'Quick Setup'!$W51))))))))))))))))))))</f>
        <v>9</v>
      </c>
      <c r="BM10" s="27">
        <f t="shared" ref="BM10:BU10" si="105">BA10</f>
        <v>5</v>
      </c>
      <c r="BN10" s="28">
        <f t="shared" si="105"/>
        <v>-0.05</v>
      </c>
      <c r="BO10" s="28">
        <f t="shared" si="105"/>
        <v>-0.02</v>
      </c>
      <c r="BP10" s="28">
        <f t="shared" si="105"/>
        <v>0</v>
      </c>
      <c r="BQ10" s="28">
        <f t="shared" si="105"/>
        <v>0.005</v>
      </c>
      <c r="BR10" s="28">
        <f t="shared" si="105"/>
        <v>0.01</v>
      </c>
      <c r="BS10" s="28">
        <f t="shared" si="105"/>
        <v>0.015</v>
      </c>
      <c r="BT10" s="28">
        <f t="shared" si="105"/>
        <v>0.02</v>
      </c>
      <c r="BU10" s="28">
        <f t="shared" si="105"/>
        <v>0.03</v>
      </c>
      <c r="BV10" s="24">
        <f>'Quick Setup'!I65</f>
        <v>0.5</v>
      </c>
      <c r="BW10" s="25">
        <f>if(BV10='Quick Setup'!$C$31,'Quick Setup'!$C37,if(BV10='Quick Setup'!$D$31,'Quick Setup'!$D37,if(BV10='Quick Setup'!$E$31,'Quick Setup'!$E37,if(BV10='Quick Setup'!$F$31,'Quick Setup'!$F37,if(BV10='Quick Setup'!$G$31,'Quick Setup'!$G37,if(BV10='Quick Setup'!$H$31,'Quick Setup'!$H37,if(BV10='Quick Setup'!$I$31,'Quick Setup'!$I37,if(BV10='Quick Setup'!$J$31,'Quick Setup'!$J37,if(BV10='Quick Setup'!$K$31,'Quick Setup'!$K37,if(BV10='Quick Setup'!$L$31,'Quick Setup'!$L37,if(BV10='Quick Setup'!$M$31,'Quick Setup'!$M37,if(BV10='Quick Setup'!$N$31,'Quick Setup'!$N37,if(BV10='Quick Setup'!$O$31,'Quick Setup'!$O37,if(BV10='Quick Setup'!$P$31,'Quick Setup'!$P37,if(BV10='Quick Setup'!$Q$31,'Quick Setup'!$Q37,if(BV10='Quick Setup'!$R$31,'Quick Setup'!$R37,if(BV10='Quick Setup'!$S$31,'Quick Setup'!$S37,if(BV10='Quick Setup'!$T$31,'Quick Setup'!$T37,if(BV10='Quick Setup'!$U$31,'Quick Setup'!$U37,if(BV10='Quick Setup'!$V$31,'Quick Setup'!$V37,'Quick Setup'!$W37))))))))))))))))))))</f>
        <v>8</v>
      </c>
      <c r="BX10" s="25">
        <f>if(BV10='Quick Setup'!$C$45,'Quick Setup'!$C51,if(BV10='Quick Setup'!$D$45,'Quick Setup'!$D51,if(BV10='Quick Setup'!$E$45,'Quick Setup'!$E51,if(BV10='Quick Setup'!$F$45,'Quick Setup'!$F51,if(BV10='Quick Setup'!$G$45,'Quick Setup'!$G51,if(BV10='Quick Setup'!$H$45,'Quick Setup'!$H51,if(BV10='Quick Setup'!$I$45,'Quick Setup'!$I51,if(BV10='Quick Setup'!$J$45,'Quick Setup'!$J51,if(BV10='Quick Setup'!$K$45,'Quick Setup'!$K51,if(BV10='Quick Setup'!$L$45,'Quick Setup'!$L51,if(BV10='Quick Setup'!$M$45,'Quick Setup'!$M51,if(BV10='Quick Setup'!$N$45,'Quick Setup'!$N51,if(BV10='Quick Setup'!$O$45,'Quick Setup'!$O51,if(BV10='Quick Setup'!$P$45,'Quick Setup'!$P51,if(BV10='Quick Setup'!$Q$45,'Quick Setup'!$Q51,if(BV10='Quick Setup'!$R$45,'Quick Setup'!$R51,if(BV10='Quick Setup'!$S$45,'Quick Setup'!$S51,if(BV10='Quick Setup'!$T$45,'Quick Setup'!$T51,if(BV10='Quick Setup'!$U$45,'Quick Setup'!$U51,if(BV10='Quick Setup'!$V$45,'Quick Setup'!$V51,'Quick Setup'!$W51))))))))))))))))))))</f>
        <v>18</v>
      </c>
      <c r="BY10" s="27">
        <f t="shared" ref="BY10:CG10" si="106">BM10</f>
        <v>5</v>
      </c>
      <c r="BZ10" s="28">
        <f t="shared" si="106"/>
        <v>-0.05</v>
      </c>
      <c r="CA10" s="28">
        <f t="shared" si="106"/>
        <v>-0.02</v>
      </c>
      <c r="CB10" s="28">
        <f t="shared" si="106"/>
        <v>0</v>
      </c>
      <c r="CC10" s="28">
        <f t="shared" si="106"/>
        <v>0.005</v>
      </c>
      <c r="CD10" s="28">
        <f t="shared" si="106"/>
        <v>0.01</v>
      </c>
      <c r="CE10" s="28">
        <f t="shared" si="106"/>
        <v>0.015</v>
      </c>
      <c r="CF10" s="28">
        <f t="shared" si="106"/>
        <v>0.02</v>
      </c>
      <c r="CG10" s="28">
        <f t="shared" si="106"/>
        <v>0.03</v>
      </c>
      <c r="CH10" s="24">
        <f>'Quick Setup'!J65</f>
        <v>0.65</v>
      </c>
      <c r="CI10" s="25">
        <f>if(CH10='Quick Setup'!$C$31,'Quick Setup'!$C37,if(CH10='Quick Setup'!$D$31,'Quick Setup'!$D37,if(CH10='Quick Setup'!$E$31,'Quick Setup'!$E37,if(CH10='Quick Setup'!$F$31,'Quick Setup'!$F37,if(CH10='Quick Setup'!$G$31,'Quick Setup'!$G37,if(CH10='Quick Setup'!$H$31,'Quick Setup'!$H37,if(CH10='Quick Setup'!$I$31,'Quick Setup'!$I37,if(CH10='Quick Setup'!$J$31,'Quick Setup'!$J37,if(CH10='Quick Setup'!$K$31,'Quick Setup'!$K37,if(CH10='Quick Setup'!$L$31,'Quick Setup'!$L37,if(CH10='Quick Setup'!$M$31,'Quick Setup'!$M37,if(CH10='Quick Setup'!$N$31,'Quick Setup'!$N37,if(CH10='Quick Setup'!$O$31,'Quick Setup'!$O37,if(CH10='Quick Setup'!$P$31,'Quick Setup'!$P37,if(CH10='Quick Setup'!$Q$31,'Quick Setup'!$Q37,if(CH10='Quick Setup'!$R$31,'Quick Setup'!$R37,if(CH10='Quick Setup'!$S$31,'Quick Setup'!$S37,if(CH10='Quick Setup'!$T$31,'Quick Setup'!$T37,if(CH10='Quick Setup'!$U$31,'Quick Setup'!$U37,if(CH10='Quick Setup'!$V$31,'Quick Setup'!$V37,'Quick Setup'!$W37))))))))))))))))))))</f>
        <v>6</v>
      </c>
      <c r="CJ10" s="25">
        <f>if(CH10='Quick Setup'!$C$45,'Quick Setup'!$C51,if(CH10='Quick Setup'!$D$45,'Quick Setup'!$D51,if(CH10='Quick Setup'!$E$45,'Quick Setup'!$E51,if(CH10='Quick Setup'!$F$45,'Quick Setup'!$F51,if(CH10='Quick Setup'!$G$45,'Quick Setup'!$G51,if(CH10='Quick Setup'!$H$45,'Quick Setup'!$H51,if(CH10='Quick Setup'!$I$45,'Quick Setup'!$I51,if(CH10='Quick Setup'!$J$45,'Quick Setup'!$J51,if(CH10='Quick Setup'!$K$45,'Quick Setup'!$K51,if(CH10='Quick Setup'!$L$45,'Quick Setup'!$L51,if(CH10='Quick Setup'!$M$45,'Quick Setup'!$M51,if(CH10='Quick Setup'!$N$45,'Quick Setup'!$N51,if(CH10='Quick Setup'!$O$45,'Quick Setup'!$O51,if(CH10='Quick Setup'!$P$45,'Quick Setup'!$P51,if(CH10='Quick Setup'!$Q$45,'Quick Setup'!$Q51,if(CH10='Quick Setup'!$R$45,'Quick Setup'!$R51,if(CH10='Quick Setup'!$S$45,'Quick Setup'!$S51,if(CH10='Quick Setup'!$T$45,'Quick Setup'!$T51,if(CH10='Quick Setup'!$U$45,'Quick Setup'!$U51,if(CH10='Quick Setup'!$V$45,'Quick Setup'!$V51,'Quick Setup'!$W51))))))))))))))))))))</f>
        <v>12</v>
      </c>
      <c r="CK10" s="27">
        <f t="shared" ref="CK10:CS10" si="107">BY10</f>
        <v>5</v>
      </c>
      <c r="CL10" s="28">
        <f t="shared" si="107"/>
        <v>-0.05</v>
      </c>
      <c r="CM10" s="28">
        <f t="shared" si="107"/>
        <v>-0.02</v>
      </c>
      <c r="CN10" s="28">
        <f t="shared" si="107"/>
        <v>0</v>
      </c>
      <c r="CO10" s="28">
        <f t="shared" si="107"/>
        <v>0.005</v>
      </c>
      <c r="CP10" s="28">
        <f t="shared" si="107"/>
        <v>0.01</v>
      </c>
      <c r="CQ10" s="28">
        <f t="shared" si="107"/>
        <v>0.015</v>
      </c>
      <c r="CR10" s="28">
        <f t="shared" si="107"/>
        <v>0.02</v>
      </c>
      <c r="CS10" s="28">
        <f t="shared" si="107"/>
        <v>0.03</v>
      </c>
      <c r="CT10" s="24">
        <f>'Quick Setup'!K65</f>
        <v>0.7</v>
      </c>
      <c r="CU10" s="25">
        <f>if(CT10='Quick Setup'!$C$31,'Quick Setup'!$C37,if(CT10='Quick Setup'!$D$31,'Quick Setup'!$D37,if(CT10='Quick Setup'!$E$31,'Quick Setup'!$E37,if(CT10='Quick Setup'!$F$31,'Quick Setup'!$F37,if(CT10='Quick Setup'!$G$31,'Quick Setup'!$G37,if(CT10='Quick Setup'!$H$31,'Quick Setup'!$H37,if(CT10='Quick Setup'!$I$31,'Quick Setup'!$I37,if(CT10='Quick Setup'!$J$31,'Quick Setup'!$J37,if(CT10='Quick Setup'!$K$31,'Quick Setup'!$K37,if(CT10='Quick Setup'!$L$31,'Quick Setup'!$L37,if(CT10='Quick Setup'!$M$31,'Quick Setup'!$M37,if(CT10='Quick Setup'!$N$31,'Quick Setup'!$N37,if(CT10='Quick Setup'!$O$31,'Quick Setup'!$O37,if(CT10='Quick Setup'!$P$31,'Quick Setup'!$P37,if(CT10='Quick Setup'!$Q$31,'Quick Setup'!$Q37,if(CT10='Quick Setup'!$R$31,'Quick Setup'!$R37,if(CT10='Quick Setup'!$S$31,'Quick Setup'!$S37,if(CT10='Quick Setup'!$T$31,'Quick Setup'!$T37,if(CT10='Quick Setup'!$U$31,'Quick Setup'!$U37,if(CT10='Quick Setup'!$V$31,'Quick Setup'!$V37,'Quick Setup'!$W37))))))))))))))))))))</f>
        <v>5</v>
      </c>
      <c r="CV10" s="25">
        <f>if(CT10='Quick Setup'!$C$45,'Quick Setup'!$C51,if(CT10='Quick Setup'!$D$45,'Quick Setup'!$D51,if(CT10='Quick Setup'!$E$45,'Quick Setup'!$E51,if(CT10='Quick Setup'!$F$45,'Quick Setup'!$F51,if(CT10='Quick Setup'!$G$45,'Quick Setup'!$G51,if(CT10='Quick Setup'!$H$45,'Quick Setup'!$H51,if(CT10='Quick Setup'!$I$45,'Quick Setup'!$I51,if(CT10='Quick Setup'!$J$45,'Quick Setup'!$J51,if(CT10='Quick Setup'!$K$45,'Quick Setup'!$K51,if(CT10='Quick Setup'!$L$45,'Quick Setup'!$L51,if(CT10='Quick Setup'!$M$45,'Quick Setup'!$M51,if(CT10='Quick Setup'!$N$45,'Quick Setup'!$N51,if(CT10='Quick Setup'!$O$45,'Quick Setup'!$O51,if(CT10='Quick Setup'!$P$45,'Quick Setup'!$P51,if(CT10='Quick Setup'!$Q$45,'Quick Setup'!$Q51,if(CT10='Quick Setup'!$R$45,'Quick Setup'!$R51,if(CT10='Quick Setup'!$S$45,'Quick Setup'!$S51,if(CT10='Quick Setup'!$T$45,'Quick Setup'!$T51,if(CT10='Quick Setup'!$U$45,'Quick Setup'!$U51,if(CT10='Quick Setup'!$V$45,'Quick Setup'!$V51,'Quick Setup'!$W51))))))))))))))))))))</f>
        <v>10</v>
      </c>
      <c r="CW10" s="27">
        <f t="shared" ref="CW10:DE10" si="108">CK10</f>
        <v>5</v>
      </c>
      <c r="CX10" s="28">
        <f t="shared" si="108"/>
        <v>-0.05</v>
      </c>
      <c r="CY10" s="28">
        <f t="shared" si="108"/>
        <v>-0.02</v>
      </c>
      <c r="CZ10" s="28">
        <f t="shared" si="108"/>
        <v>0</v>
      </c>
      <c r="DA10" s="28">
        <f t="shared" si="108"/>
        <v>0.005</v>
      </c>
      <c r="DB10" s="28">
        <f t="shared" si="108"/>
        <v>0.01</v>
      </c>
      <c r="DC10" s="28">
        <f t="shared" si="108"/>
        <v>0.015</v>
      </c>
      <c r="DD10" s="28">
        <f t="shared" si="108"/>
        <v>0.02</v>
      </c>
      <c r="DE10" s="28">
        <f t="shared" si="108"/>
        <v>0.03</v>
      </c>
      <c r="DF10" s="24">
        <f>'Quick Setup'!L65</f>
        <v>0.75</v>
      </c>
      <c r="DG10" s="25">
        <f>if(DF10='Quick Setup'!$C$31,'Quick Setup'!$C37,if(DF10='Quick Setup'!$D$31,'Quick Setup'!$D37,if(DF10='Quick Setup'!$E$31,'Quick Setup'!$E37,if(DF10='Quick Setup'!$F$31,'Quick Setup'!$F37,if(DF10='Quick Setup'!$G$31,'Quick Setup'!$G37,if(DF10='Quick Setup'!$H$31,'Quick Setup'!$H37,if(DF10='Quick Setup'!$I$31,'Quick Setup'!$I37,if(DF10='Quick Setup'!$J$31,'Quick Setup'!$J37,if(DF10='Quick Setup'!$K$31,'Quick Setup'!$K37,if(DF10='Quick Setup'!$L$31,'Quick Setup'!$L37,if(DF10='Quick Setup'!$M$31,'Quick Setup'!$M37,if(DF10='Quick Setup'!$N$31,'Quick Setup'!$N37,if(DF10='Quick Setup'!$O$31,'Quick Setup'!$O37,if(DF10='Quick Setup'!$P$31,'Quick Setup'!$P37,if(DF10='Quick Setup'!$Q$31,'Quick Setup'!$Q37,if(DF10='Quick Setup'!$R$31,'Quick Setup'!$R37,if(DF10='Quick Setup'!$S$31,'Quick Setup'!$S37,if(DF10='Quick Setup'!$T$31,'Quick Setup'!$T37,if(DF10='Quick Setup'!$U$31,'Quick Setup'!$U37,if(DF10='Quick Setup'!$V$31,'Quick Setup'!$V37,'Quick Setup'!$W37))))))))))))))))))))</f>
        <v>4</v>
      </c>
      <c r="DH10" s="25">
        <f>if(DF10='Quick Setup'!$C$45,'Quick Setup'!$C51,if(DF10='Quick Setup'!$D$45,'Quick Setup'!$D51,if(DF10='Quick Setup'!$E$45,'Quick Setup'!$E51,if(DF10='Quick Setup'!$F$45,'Quick Setup'!$F51,if(DF10='Quick Setup'!$G$45,'Quick Setup'!$G51,if(DF10='Quick Setup'!$H$45,'Quick Setup'!$H51,if(DF10='Quick Setup'!$I$45,'Quick Setup'!$I51,if(DF10='Quick Setup'!$J$45,'Quick Setup'!$J51,if(DF10='Quick Setup'!$K$45,'Quick Setup'!$K51,if(DF10='Quick Setup'!$L$45,'Quick Setup'!$L51,if(DF10='Quick Setup'!$M$45,'Quick Setup'!$M51,if(DF10='Quick Setup'!$N$45,'Quick Setup'!$N51,if(DF10='Quick Setup'!$O$45,'Quick Setup'!$O51,if(DF10='Quick Setup'!$P$45,'Quick Setup'!$P51,if(DF10='Quick Setup'!$Q$45,'Quick Setup'!$Q51,if(DF10='Quick Setup'!$R$45,'Quick Setup'!$R51,if(DF10='Quick Setup'!$S$45,'Quick Setup'!$S51,if(DF10='Quick Setup'!$T$45,'Quick Setup'!$T51,if(DF10='Quick Setup'!$U$45,'Quick Setup'!$U51,if(DF10='Quick Setup'!$V$45,'Quick Setup'!$V51,'Quick Setup'!$W51))))))))))))))))))))</f>
        <v>8</v>
      </c>
      <c r="DI10" s="27">
        <f t="shared" ref="DI10:DQ10" si="109">CW10</f>
        <v>5</v>
      </c>
      <c r="DJ10" s="28">
        <f t="shared" si="109"/>
        <v>-0.05</v>
      </c>
      <c r="DK10" s="28">
        <f t="shared" si="109"/>
        <v>-0.02</v>
      </c>
      <c r="DL10" s="28">
        <f t="shared" si="109"/>
        <v>0</v>
      </c>
      <c r="DM10" s="28">
        <f t="shared" si="109"/>
        <v>0.005</v>
      </c>
      <c r="DN10" s="28">
        <f t="shared" si="109"/>
        <v>0.01</v>
      </c>
      <c r="DO10" s="28">
        <f t="shared" si="109"/>
        <v>0.015</v>
      </c>
      <c r="DP10" s="28">
        <f t="shared" si="109"/>
        <v>0.02</v>
      </c>
      <c r="DQ10" s="28">
        <f t="shared" si="109"/>
        <v>0.03</v>
      </c>
      <c r="DR10" s="24">
        <f>'Quick Setup'!M65</f>
        <v>0.675</v>
      </c>
      <c r="DS10" s="25">
        <f>if(DR10='Quick Setup'!$C$31,'Quick Setup'!$C37,if(DR10='Quick Setup'!$D$31,'Quick Setup'!$D37,if(DR10='Quick Setup'!$E$31,'Quick Setup'!$E37,if(DR10='Quick Setup'!$F$31,'Quick Setup'!$F37,if(DR10='Quick Setup'!$G$31,'Quick Setup'!$G37,if(DR10='Quick Setup'!$H$31,'Quick Setup'!$H37,if(DR10='Quick Setup'!$I$31,'Quick Setup'!$I37,if(DR10='Quick Setup'!$J$31,'Quick Setup'!$J37,if(DR10='Quick Setup'!$K$31,'Quick Setup'!$K37,if(DR10='Quick Setup'!$L$31,'Quick Setup'!$L37,if(DR10='Quick Setup'!$M$31,'Quick Setup'!$M37,if(DR10='Quick Setup'!$N$31,'Quick Setup'!$N37,if(DR10='Quick Setup'!$O$31,'Quick Setup'!$O37,if(DR10='Quick Setup'!$P$31,'Quick Setup'!$P37,if(DR10='Quick Setup'!$Q$31,'Quick Setup'!$Q37,if(DR10='Quick Setup'!$R$31,'Quick Setup'!$R37,if(DR10='Quick Setup'!$S$31,'Quick Setup'!$S37,if(DR10='Quick Setup'!$T$31,'Quick Setup'!$T37,if(DR10='Quick Setup'!$U$31,'Quick Setup'!$U37,if(DR10='Quick Setup'!$V$31,'Quick Setup'!$V37,'Quick Setup'!$W37))))))))))))))))))))</f>
        <v>6</v>
      </c>
      <c r="DT10" s="25">
        <f>if(DR10='Quick Setup'!$C$45,'Quick Setup'!$C51,if(DR10='Quick Setup'!$D$45,'Quick Setup'!$D51,if(DR10='Quick Setup'!$E$45,'Quick Setup'!$E51,if(DR10='Quick Setup'!$F$45,'Quick Setup'!$F51,if(DR10='Quick Setup'!$G$45,'Quick Setup'!$G51,if(DR10='Quick Setup'!$H$45,'Quick Setup'!$H51,if(DR10='Quick Setup'!$I$45,'Quick Setup'!$I51,if(DR10='Quick Setup'!$J$45,'Quick Setup'!$J51,if(DR10='Quick Setup'!$K$45,'Quick Setup'!$K51,if(DR10='Quick Setup'!$L$45,'Quick Setup'!$L51,if(DR10='Quick Setup'!$M$45,'Quick Setup'!$M51,if(DR10='Quick Setup'!$N$45,'Quick Setup'!$N51,if(DR10='Quick Setup'!$O$45,'Quick Setup'!$O51,if(DR10='Quick Setup'!$P$45,'Quick Setup'!$P51,if(DR10='Quick Setup'!$Q$45,'Quick Setup'!$Q51,if(DR10='Quick Setup'!$R$45,'Quick Setup'!$R51,if(DR10='Quick Setup'!$S$45,'Quick Setup'!$S51,if(DR10='Quick Setup'!$T$45,'Quick Setup'!$T51,if(DR10='Quick Setup'!$U$45,'Quick Setup'!$U51,if(DR10='Quick Setup'!$V$45,'Quick Setup'!$V51,'Quick Setup'!$W51))))))))))))))))))))</f>
        <v>11</v>
      </c>
      <c r="DU10" s="27">
        <f t="shared" ref="DU10:EC10" si="110">DI10</f>
        <v>5</v>
      </c>
      <c r="DV10" s="28">
        <f t="shared" si="110"/>
        <v>-0.05</v>
      </c>
      <c r="DW10" s="28">
        <f t="shared" si="110"/>
        <v>-0.02</v>
      </c>
      <c r="DX10" s="28">
        <f t="shared" si="110"/>
        <v>0</v>
      </c>
      <c r="DY10" s="28">
        <f t="shared" si="110"/>
        <v>0.005</v>
      </c>
      <c r="DZ10" s="28">
        <f t="shared" si="110"/>
        <v>0.01</v>
      </c>
      <c r="EA10" s="28">
        <f t="shared" si="110"/>
        <v>0.015</v>
      </c>
      <c r="EB10" s="28">
        <f t="shared" si="110"/>
        <v>0.02</v>
      </c>
      <c r="EC10" s="28">
        <f t="shared" si="110"/>
        <v>0.03</v>
      </c>
      <c r="ED10" s="24">
        <f>'Quick Setup'!N65</f>
        <v>0.725</v>
      </c>
      <c r="EE10" s="25">
        <f>if(ED10='Quick Setup'!$C$31,'Quick Setup'!$C37,if(ED10='Quick Setup'!$D$31,'Quick Setup'!$D37,if(ED10='Quick Setup'!$E$31,'Quick Setup'!$E37,if(ED10='Quick Setup'!$F$31,'Quick Setup'!$F37,if(ED10='Quick Setup'!$G$31,'Quick Setup'!$G37,if(ED10='Quick Setup'!$H$31,'Quick Setup'!$H37,if(ED10='Quick Setup'!$I$31,'Quick Setup'!$I37,if(ED10='Quick Setup'!$J$31,'Quick Setup'!$J37,if(ED10='Quick Setup'!$K$31,'Quick Setup'!$K37,if(ED10='Quick Setup'!$L$31,'Quick Setup'!$L37,if(ED10='Quick Setup'!$M$31,'Quick Setup'!$M37,if(ED10='Quick Setup'!$N$31,'Quick Setup'!$N37,if(ED10='Quick Setup'!$O$31,'Quick Setup'!$O37,if(ED10='Quick Setup'!$P$31,'Quick Setup'!$P37,if(ED10='Quick Setup'!$Q$31,'Quick Setup'!$Q37,if(ED10='Quick Setup'!$R$31,'Quick Setup'!$R37,if(ED10='Quick Setup'!$S$31,'Quick Setup'!$S37,if(ED10='Quick Setup'!$T$31,'Quick Setup'!$T37,if(ED10='Quick Setup'!$U$31,'Quick Setup'!$U37,if(ED10='Quick Setup'!$V$31,'Quick Setup'!$V37,'Quick Setup'!$W37))))))))))))))))))))</f>
        <v>5</v>
      </c>
      <c r="EF10" s="25">
        <f>if(ED10='Quick Setup'!$C$45,'Quick Setup'!$C51,if(ED10='Quick Setup'!$D$45,'Quick Setup'!$D51,if(ED10='Quick Setup'!$E$45,'Quick Setup'!$E51,if(ED10='Quick Setup'!$F$45,'Quick Setup'!$F51,if(ED10='Quick Setup'!$G$45,'Quick Setup'!$G51,if(ED10='Quick Setup'!$H$45,'Quick Setup'!$H51,if(ED10='Quick Setup'!$I$45,'Quick Setup'!$I51,if(ED10='Quick Setup'!$J$45,'Quick Setup'!$J51,if(ED10='Quick Setup'!$K$45,'Quick Setup'!$K51,if(ED10='Quick Setup'!$L$45,'Quick Setup'!$L51,if(ED10='Quick Setup'!$M$45,'Quick Setup'!$M51,if(ED10='Quick Setup'!$N$45,'Quick Setup'!$N51,if(ED10='Quick Setup'!$O$45,'Quick Setup'!$O51,if(ED10='Quick Setup'!$P$45,'Quick Setup'!$P51,if(ED10='Quick Setup'!$Q$45,'Quick Setup'!$Q51,if(ED10='Quick Setup'!$R$45,'Quick Setup'!$R51,if(ED10='Quick Setup'!$S$45,'Quick Setup'!$S51,if(ED10='Quick Setup'!$T$45,'Quick Setup'!$T51,if(ED10='Quick Setup'!$U$45,'Quick Setup'!$U51,if(ED10='Quick Setup'!$V$45,'Quick Setup'!$V51,'Quick Setup'!$W51))))))))))))))))))))</f>
        <v>9</v>
      </c>
      <c r="EG10" s="27">
        <f t="shared" ref="EG10:EO10" si="111">DU10</f>
        <v>5</v>
      </c>
      <c r="EH10" s="28">
        <f t="shared" si="111"/>
        <v>-0.05</v>
      </c>
      <c r="EI10" s="28">
        <f t="shared" si="111"/>
        <v>-0.02</v>
      </c>
      <c r="EJ10" s="28">
        <f t="shared" si="111"/>
        <v>0</v>
      </c>
      <c r="EK10" s="28">
        <f t="shared" si="111"/>
        <v>0.005</v>
      </c>
      <c r="EL10" s="28">
        <f t="shared" si="111"/>
        <v>0.01</v>
      </c>
      <c r="EM10" s="28">
        <f t="shared" si="111"/>
        <v>0.015</v>
      </c>
      <c r="EN10" s="28">
        <f t="shared" si="111"/>
        <v>0.02</v>
      </c>
      <c r="EO10" s="28">
        <f t="shared" si="111"/>
        <v>0.03</v>
      </c>
      <c r="EP10" s="24">
        <f>'Quick Setup'!O65</f>
        <v>0.775</v>
      </c>
      <c r="EQ10" s="25">
        <f>if(EP10='Quick Setup'!$C$31,'Quick Setup'!$C37,if(EP10='Quick Setup'!$D$31,'Quick Setup'!$D37,if(EP10='Quick Setup'!$E$31,'Quick Setup'!$E37,if(EP10='Quick Setup'!$F$31,'Quick Setup'!$F37,if(EP10='Quick Setup'!$G$31,'Quick Setup'!$G37,if(EP10='Quick Setup'!$H$31,'Quick Setup'!$H37,if(EP10='Quick Setup'!$I$31,'Quick Setup'!$I37,if(EP10='Quick Setup'!$J$31,'Quick Setup'!$J37,if(EP10='Quick Setup'!$K$31,'Quick Setup'!$K37,if(EP10='Quick Setup'!$L$31,'Quick Setup'!$L37,if(EP10='Quick Setup'!$M$31,'Quick Setup'!$M37,if(EP10='Quick Setup'!$N$31,'Quick Setup'!$N37,if(EP10='Quick Setup'!$O$31,'Quick Setup'!$O37,if(EP10='Quick Setup'!$P$31,'Quick Setup'!$P37,if(EP10='Quick Setup'!$Q$31,'Quick Setup'!$Q37,if(EP10='Quick Setup'!$R$31,'Quick Setup'!$R37,if(EP10='Quick Setup'!$S$31,'Quick Setup'!$S37,if(EP10='Quick Setup'!$T$31,'Quick Setup'!$T37,if(EP10='Quick Setup'!$U$31,'Quick Setup'!$U37,if(EP10='Quick Setup'!$V$31,'Quick Setup'!$V37,'Quick Setup'!$W37))))))))))))))))))))</f>
        <v>4</v>
      </c>
      <c r="ER10" s="25">
        <f>if(EP10='Quick Setup'!$C$45,'Quick Setup'!$C51,if(EP10='Quick Setup'!$D$45,'Quick Setup'!$D51,if(EP10='Quick Setup'!$E$45,'Quick Setup'!$E51,if(EP10='Quick Setup'!$F$45,'Quick Setup'!$F51,if(EP10='Quick Setup'!$G$45,'Quick Setup'!$G51,if(EP10='Quick Setup'!$H$45,'Quick Setup'!$H51,if(EP10='Quick Setup'!$I$45,'Quick Setup'!$I51,if(EP10='Quick Setup'!$J$45,'Quick Setup'!$J51,if(EP10='Quick Setup'!$K$45,'Quick Setup'!$K51,if(EP10='Quick Setup'!$L$45,'Quick Setup'!$L51,if(EP10='Quick Setup'!$M$45,'Quick Setup'!$M51,if(EP10='Quick Setup'!$N$45,'Quick Setup'!$N51,if(EP10='Quick Setup'!$O$45,'Quick Setup'!$O51,if(EP10='Quick Setup'!$P$45,'Quick Setup'!$P51,if(EP10='Quick Setup'!$Q$45,'Quick Setup'!$Q51,if(EP10='Quick Setup'!$R$45,'Quick Setup'!$R51,if(EP10='Quick Setup'!$S$45,'Quick Setup'!$S51,if(EP10='Quick Setup'!$T$45,'Quick Setup'!$T51,if(EP10='Quick Setup'!$U$45,'Quick Setup'!$U51,if(EP10='Quick Setup'!$V$45,'Quick Setup'!$V51,'Quick Setup'!$W51))))))))))))))))))))</f>
        <v>7</v>
      </c>
      <c r="ES10" s="27">
        <f t="shared" ref="ES10:FA10" si="112">EG10</f>
        <v>5</v>
      </c>
      <c r="ET10" s="28">
        <f t="shared" si="112"/>
        <v>-0.05</v>
      </c>
      <c r="EU10" s="28">
        <f t="shared" si="112"/>
        <v>-0.02</v>
      </c>
      <c r="EV10" s="28">
        <f t="shared" si="112"/>
        <v>0</v>
      </c>
      <c r="EW10" s="28">
        <f t="shared" si="112"/>
        <v>0.005</v>
      </c>
      <c r="EX10" s="28">
        <f t="shared" si="112"/>
        <v>0.01</v>
      </c>
      <c r="EY10" s="28">
        <f t="shared" si="112"/>
        <v>0.015</v>
      </c>
      <c r="EZ10" s="28">
        <f t="shared" si="112"/>
        <v>0.02</v>
      </c>
      <c r="FA10" s="28">
        <f t="shared" si="112"/>
        <v>0.03</v>
      </c>
      <c r="FB10" s="24">
        <f>'Quick Setup'!P65</f>
        <v>0.5</v>
      </c>
      <c r="FC10" s="25">
        <f>if(FB10='Quick Setup'!$C$31,'Quick Setup'!$C37,if(FB10='Quick Setup'!$D$31,'Quick Setup'!$D37,if(FB10='Quick Setup'!$E$31,'Quick Setup'!$E37,if(FB10='Quick Setup'!$F$31,'Quick Setup'!$F37,if(FB10='Quick Setup'!$G$31,'Quick Setup'!$G37,if(FB10='Quick Setup'!$H$31,'Quick Setup'!$H37,if(FB10='Quick Setup'!$I$31,'Quick Setup'!$I37,if(FB10='Quick Setup'!$J$31,'Quick Setup'!$J37,if(FB10='Quick Setup'!$K$31,'Quick Setup'!$K37,if(FB10='Quick Setup'!$L$31,'Quick Setup'!$L37,if(FB10='Quick Setup'!$M$31,'Quick Setup'!$M37,if(FB10='Quick Setup'!$N$31,'Quick Setup'!$N37,if(FB10='Quick Setup'!$O$31,'Quick Setup'!$O37,if(FB10='Quick Setup'!$P$31,'Quick Setup'!$P37,if(FB10='Quick Setup'!$Q$31,'Quick Setup'!$Q37,if(FB10='Quick Setup'!$R$31,'Quick Setup'!$R37,if(FB10='Quick Setup'!$S$31,'Quick Setup'!$S37,if(FB10='Quick Setup'!$T$31,'Quick Setup'!$T37,if(FB10='Quick Setup'!$U$31,'Quick Setup'!$U37,if(FB10='Quick Setup'!$V$31,'Quick Setup'!$V37,'Quick Setup'!$W37))))))))))))))))))))</f>
        <v>8</v>
      </c>
      <c r="FD10" s="25">
        <f>if(FB10='Quick Setup'!$C$45,'Quick Setup'!$C51,if(FB10='Quick Setup'!$D$45,'Quick Setup'!$D51,if(FB10='Quick Setup'!$E$45,'Quick Setup'!$E51,if(FB10='Quick Setup'!$F$45,'Quick Setup'!$F51,if(FB10='Quick Setup'!$G$45,'Quick Setup'!$G51,if(FB10='Quick Setup'!$H$45,'Quick Setup'!$H51,if(FB10='Quick Setup'!$I$45,'Quick Setup'!$I51,if(FB10='Quick Setup'!$J$45,'Quick Setup'!$J51,if(FB10='Quick Setup'!$K$45,'Quick Setup'!$K51,if(FB10='Quick Setup'!$L$45,'Quick Setup'!$L51,if(FB10='Quick Setup'!$M$45,'Quick Setup'!$M51,if(FB10='Quick Setup'!$N$45,'Quick Setup'!$N51,if(FB10='Quick Setup'!$O$45,'Quick Setup'!$O51,if(FB10='Quick Setup'!$P$45,'Quick Setup'!$P51,if(FB10='Quick Setup'!$Q$45,'Quick Setup'!$Q51,if(FB10='Quick Setup'!$R$45,'Quick Setup'!$R51,if(FB10='Quick Setup'!$S$45,'Quick Setup'!$S51,if(FB10='Quick Setup'!$T$45,'Quick Setup'!$T51,if(FB10='Quick Setup'!$U$45,'Quick Setup'!$U51,if(FB10='Quick Setup'!$V$45,'Quick Setup'!$V51,'Quick Setup'!$W51))))))))))))))))))))</f>
        <v>18</v>
      </c>
      <c r="FE10" s="27">
        <f t="shared" ref="FE10:FM10" si="113">ES10</f>
        <v>5</v>
      </c>
      <c r="FF10" s="28">
        <f t="shared" si="113"/>
        <v>-0.05</v>
      </c>
      <c r="FG10" s="28">
        <f t="shared" si="113"/>
        <v>-0.02</v>
      </c>
      <c r="FH10" s="28">
        <f t="shared" si="113"/>
        <v>0</v>
      </c>
      <c r="FI10" s="28">
        <f t="shared" si="113"/>
        <v>0.005</v>
      </c>
      <c r="FJ10" s="28">
        <f t="shared" si="113"/>
        <v>0.01</v>
      </c>
      <c r="FK10" s="28">
        <f t="shared" si="113"/>
        <v>0.015</v>
      </c>
      <c r="FL10" s="28">
        <f t="shared" si="113"/>
        <v>0.02</v>
      </c>
      <c r="FM10" s="28">
        <f t="shared" si="113"/>
        <v>0.03</v>
      </c>
      <c r="FN10" s="24">
        <f>'Quick Setup'!Q65</f>
        <v>0.7</v>
      </c>
      <c r="FO10" s="25">
        <f>if(FN10='Quick Setup'!$C$31,'Quick Setup'!$C37,if(FN10='Quick Setup'!$D$31,'Quick Setup'!$D37,if(FN10='Quick Setup'!$E$31,'Quick Setup'!$E37,if(FN10='Quick Setup'!$F$31,'Quick Setup'!$F37,if(FN10='Quick Setup'!$G$31,'Quick Setup'!$G37,if(FN10='Quick Setup'!$H$31,'Quick Setup'!$H37,if(FN10='Quick Setup'!$I$31,'Quick Setup'!$I37,if(FN10='Quick Setup'!$J$31,'Quick Setup'!$J37,if(FN10='Quick Setup'!$K$31,'Quick Setup'!$K37,if(FN10='Quick Setup'!$L$31,'Quick Setup'!$L37,if(FN10='Quick Setup'!$M$31,'Quick Setup'!$M37,if(FN10='Quick Setup'!$N$31,'Quick Setup'!$N37,if(FN10='Quick Setup'!$O$31,'Quick Setup'!$O37,if(FN10='Quick Setup'!$P$31,'Quick Setup'!$P37,if(FN10='Quick Setup'!$Q$31,'Quick Setup'!$Q37,if(FN10='Quick Setup'!$R$31,'Quick Setup'!$R37,if(FN10='Quick Setup'!$S$31,'Quick Setup'!$S37,if(FN10='Quick Setup'!$T$31,'Quick Setup'!$T37,if(FN10='Quick Setup'!$U$31,'Quick Setup'!$U37,if(FN10='Quick Setup'!$V$31,'Quick Setup'!$V37,'Quick Setup'!$W37))))))))))))))))))))</f>
        <v>5</v>
      </c>
      <c r="FP10" s="25">
        <f>if(FN10='Quick Setup'!$C$45,'Quick Setup'!$C51,if(FN10='Quick Setup'!$D$45,'Quick Setup'!$D51,if(FN10='Quick Setup'!$E$45,'Quick Setup'!$E51,if(FN10='Quick Setup'!$F$45,'Quick Setup'!$F51,if(FN10='Quick Setup'!$G$45,'Quick Setup'!$G51,if(FN10='Quick Setup'!$H$45,'Quick Setup'!$H51,if(FN10='Quick Setup'!$I$45,'Quick Setup'!$I51,if(FN10='Quick Setup'!$J$45,'Quick Setup'!$J51,if(FN10='Quick Setup'!$K$45,'Quick Setup'!$K51,if(FN10='Quick Setup'!$L$45,'Quick Setup'!$L51,if(FN10='Quick Setup'!$M$45,'Quick Setup'!$M51,if(FN10='Quick Setup'!$N$45,'Quick Setup'!$N51,if(FN10='Quick Setup'!$O$45,'Quick Setup'!$O51,if(FN10='Quick Setup'!$P$45,'Quick Setup'!$P51,if(FN10='Quick Setup'!$Q$45,'Quick Setup'!$Q51,if(FN10='Quick Setup'!$R$45,'Quick Setup'!$R51,if(FN10='Quick Setup'!$S$45,'Quick Setup'!$S51,if(FN10='Quick Setup'!$T$45,'Quick Setup'!$T51,if(FN10='Quick Setup'!$U$45,'Quick Setup'!$U51,if(FN10='Quick Setup'!$V$45,'Quick Setup'!$V51,'Quick Setup'!$W51))))))))))))))))))))</f>
        <v>10</v>
      </c>
      <c r="FQ10" s="27">
        <f t="shared" ref="FQ10:FY10" si="114">FE10</f>
        <v>5</v>
      </c>
      <c r="FR10" s="28">
        <f t="shared" si="114"/>
        <v>-0.05</v>
      </c>
      <c r="FS10" s="28">
        <f t="shared" si="114"/>
        <v>-0.02</v>
      </c>
      <c r="FT10" s="28">
        <f t="shared" si="114"/>
        <v>0</v>
      </c>
      <c r="FU10" s="28">
        <f t="shared" si="114"/>
        <v>0.005</v>
      </c>
      <c r="FV10" s="28">
        <f t="shared" si="114"/>
        <v>0.01</v>
      </c>
      <c r="FW10" s="28">
        <f t="shared" si="114"/>
        <v>0.015</v>
      </c>
      <c r="FX10" s="28">
        <f t="shared" si="114"/>
        <v>0.02</v>
      </c>
      <c r="FY10" s="28">
        <f t="shared" si="114"/>
        <v>0.03</v>
      </c>
      <c r="FZ10" s="24">
        <f>'Quick Setup'!R65</f>
        <v>0.75</v>
      </c>
      <c r="GA10" s="25">
        <f>if(FZ10='Quick Setup'!$C$31,'Quick Setup'!$C37,if(FZ10='Quick Setup'!$D$31,'Quick Setup'!$D37,if(FZ10='Quick Setup'!$E$31,'Quick Setup'!$E37,if(FZ10='Quick Setup'!$F$31,'Quick Setup'!$F37,if(FZ10='Quick Setup'!$G$31,'Quick Setup'!$G37,if(FZ10='Quick Setup'!$H$31,'Quick Setup'!$H37,if(FZ10='Quick Setup'!$I$31,'Quick Setup'!$I37,if(FZ10='Quick Setup'!$J$31,'Quick Setup'!$J37,if(FZ10='Quick Setup'!$K$31,'Quick Setup'!$K37,if(FZ10='Quick Setup'!$L$31,'Quick Setup'!$L37,if(FZ10='Quick Setup'!$M$31,'Quick Setup'!$M37,if(FZ10='Quick Setup'!$N$31,'Quick Setup'!$N37,if(FZ10='Quick Setup'!$O$31,'Quick Setup'!$O37,if(FZ10='Quick Setup'!$P$31,'Quick Setup'!$P37,if(FZ10='Quick Setup'!$Q$31,'Quick Setup'!$Q37,if(FZ10='Quick Setup'!$R$31,'Quick Setup'!$R37,if(FZ10='Quick Setup'!$S$31,'Quick Setup'!$S37,if(FZ10='Quick Setup'!$T$31,'Quick Setup'!$T37,if(FZ10='Quick Setup'!$U$31,'Quick Setup'!$U37,if(FZ10='Quick Setup'!$V$31,'Quick Setup'!$V37,'Quick Setup'!$W37))))))))))))))))))))</f>
        <v>4</v>
      </c>
      <c r="GB10" s="25">
        <f>if(FZ10='Quick Setup'!$C$45,'Quick Setup'!$C51,if(FZ10='Quick Setup'!$D$45,'Quick Setup'!$D51,if(FZ10='Quick Setup'!$E$45,'Quick Setup'!$E51,if(FZ10='Quick Setup'!$F$45,'Quick Setup'!$F51,if(FZ10='Quick Setup'!$G$45,'Quick Setup'!$G51,if(FZ10='Quick Setup'!$H$45,'Quick Setup'!$H51,if(FZ10='Quick Setup'!$I$45,'Quick Setup'!$I51,if(FZ10='Quick Setup'!$J$45,'Quick Setup'!$J51,if(FZ10='Quick Setup'!$K$45,'Quick Setup'!$K51,if(FZ10='Quick Setup'!$L$45,'Quick Setup'!$L51,if(FZ10='Quick Setup'!$M$45,'Quick Setup'!$M51,if(FZ10='Quick Setup'!$N$45,'Quick Setup'!$N51,if(FZ10='Quick Setup'!$O$45,'Quick Setup'!$O51,if(FZ10='Quick Setup'!$P$45,'Quick Setup'!$P51,if(FZ10='Quick Setup'!$Q$45,'Quick Setup'!$Q51,if(FZ10='Quick Setup'!$R$45,'Quick Setup'!$R51,if(FZ10='Quick Setup'!$S$45,'Quick Setup'!$S51,if(FZ10='Quick Setup'!$T$45,'Quick Setup'!$T51,if(FZ10='Quick Setup'!$U$45,'Quick Setup'!$U51,if(FZ10='Quick Setup'!$V$45,'Quick Setup'!$V51,'Quick Setup'!$W51))))))))))))))))))))</f>
        <v>8</v>
      </c>
      <c r="GC10" s="27">
        <f t="shared" ref="GC10:GK10" si="115">FQ10</f>
        <v>5</v>
      </c>
      <c r="GD10" s="28">
        <f t="shared" si="115"/>
        <v>-0.05</v>
      </c>
      <c r="GE10" s="28">
        <f t="shared" si="115"/>
        <v>-0.02</v>
      </c>
      <c r="GF10" s="28">
        <f t="shared" si="115"/>
        <v>0</v>
      </c>
      <c r="GG10" s="28">
        <f t="shared" si="115"/>
        <v>0.005</v>
      </c>
      <c r="GH10" s="28">
        <f t="shared" si="115"/>
        <v>0.01</v>
      </c>
      <c r="GI10" s="28">
        <f t="shared" si="115"/>
        <v>0.015</v>
      </c>
      <c r="GJ10" s="28">
        <f t="shared" si="115"/>
        <v>0.02</v>
      </c>
      <c r="GK10" s="28">
        <f t="shared" si="115"/>
        <v>0.03</v>
      </c>
      <c r="GL10" s="24">
        <f>'Quick Setup'!S65</f>
        <v>0.8</v>
      </c>
      <c r="GM10" s="25">
        <f>if(GL10='Quick Setup'!$C$31,'Quick Setup'!$C37,if(GL10='Quick Setup'!$D$31,'Quick Setup'!$D37,if(GL10='Quick Setup'!$E$31,'Quick Setup'!$E37,if(GL10='Quick Setup'!$F$31,'Quick Setup'!$F37,if(GL10='Quick Setup'!$G$31,'Quick Setup'!$G37,if(GL10='Quick Setup'!$H$31,'Quick Setup'!$H37,if(GL10='Quick Setup'!$I$31,'Quick Setup'!$I37,if(GL10='Quick Setup'!$J$31,'Quick Setup'!$J37,if(GL10='Quick Setup'!$K$31,'Quick Setup'!$K37,if(GL10='Quick Setup'!$L$31,'Quick Setup'!$L37,if(GL10='Quick Setup'!$M$31,'Quick Setup'!$M37,if(GL10='Quick Setup'!$N$31,'Quick Setup'!$N37,if(GL10='Quick Setup'!$O$31,'Quick Setup'!$O37,if(GL10='Quick Setup'!$P$31,'Quick Setup'!$P37,if(GL10='Quick Setup'!$Q$31,'Quick Setup'!$Q37,if(GL10='Quick Setup'!$R$31,'Quick Setup'!$R37,if(GL10='Quick Setup'!$S$31,'Quick Setup'!$S37,if(GL10='Quick Setup'!$T$31,'Quick Setup'!$T37,if(GL10='Quick Setup'!$U$31,'Quick Setup'!$U37,if(GL10='Quick Setup'!$V$31,'Quick Setup'!$V37,'Quick Setup'!$W37))))))))))))))))))))</f>
        <v>3</v>
      </c>
      <c r="GN10" s="25">
        <f>if(GL10='Quick Setup'!$C$45,'Quick Setup'!$C51,if(GL10='Quick Setup'!$D$45,'Quick Setup'!$D51,if(GL10='Quick Setup'!$E$45,'Quick Setup'!$E51,if(GL10='Quick Setup'!$F$45,'Quick Setup'!$F51,if(GL10='Quick Setup'!$G$45,'Quick Setup'!$G51,if(GL10='Quick Setup'!$H$45,'Quick Setup'!$H51,if(GL10='Quick Setup'!$I$45,'Quick Setup'!$I51,if(GL10='Quick Setup'!$J$45,'Quick Setup'!$J51,if(GL10='Quick Setup'!$K$45,'Quick Setup'!$K51,if(GL10='Quick Setup'!$L$45,'Quick Setup'!$L51,if(GL10='Quick Setup'!$M$45,'Quick Setup'!$M51,if(GL10='Quick Setup'!$N$45,'Quick Setup'!$N51,if(GL10='Quick Setup'!$O$45,'Quick Setup'!$O51,if(GL10='Quick Setup'!$P$45,'Quick Setup'!$P51,if(GL10='Quick Setup'!$Q$45,'Quick Setup'!$Q51,if(GL10='Quick Setup'!$R$45,'Quick Setup'!$R51,if(GL10='Quick Setup'!$S$45,'Quick Setup'!$S51,if(GL10='Quick Setup'!$T$45,'Quick Setup'!$T51,if(GL10='Quick Setup'!$U$45,'Quick Setup'!$U51,if(GL10='Quick Setup'!$V$45,'Quick Setup'!$V51,'Quick Setup'!$W51))))))))))))))))))))</f>
        <v>6</v>
      </c>
      <c r="GO10" s="27">
        <f t="shared" ref="GO10:GW10" si="116">GC10</f>
        <v>5</v>
      </c>
      <c r="GP10" s="28">
        <f t="shared" si="116"/>
        <v>-0.05</v>
      </c>
      <c r="GQ10" s="28">
        <f t="shared" si="116"/>
        <v>-0.02</v>
      </c>
      <c r="GR10" s="28">
        <f t="shared" si="116"/>
        <v>0</v>
      </c>
      <c r="GS10" s="28">
        <f t="shared" si="116"/>
        <v>0.005</v>
      </c>
      <c r="GT10" s="28">
        <f t="shared" si="116"/>
        <v>0.01</v>
      </c>
      <c r="GU10" s="28">
        <f t="shared" si="116"/>
        <v>0.015</v>
      </c>
      <c r="GV10" s="28">
        <f t="shared" si="116"/>
        <v>0.02</v>
      </c>
      <c r="GW10" s="28">
        <f t="shared" si="116"/>
        <v>0.03</v>
      </c>
      <c r="GX10" s="24">
        <f>'Quick Setup'!T65</f>
        <v>0.75</v>
      </c>
      <c r="GY10" s="25">
        <f>if(GX10='Quick Setup'!$C$31,'Quick Setup'!$C37,if(GX10='Quick Setup'!$D$31,'Quick Setup'!$D37,if(GX10='Quick Setup'!$E$31,'Quick Setup'!$E37,if(GX10='Quick Setup'!$F$31,'Quick Setup'!$F37,if(GX10='Quick Setup'!$G$31,'Quick Setup'!$G37,if(GX10='Quick Setup'!$H$31,'Quick Setup'!$H37,if(GX10='Quick Setup'!$I$31,'Quick Setup'!$I37,if(GX10='Quick Setup'!$J$31,'Quick Setup'!$J37,if(GX10='Quick Setup'!$K$31,'Quick Setup'!$K37,if(GX10='Quick Setup'!$L$31,'Quick Setup'!$L37,if(GX10='Quick Setup'!$M$31,'Quick Setup'!$M37,if(GX10='Quick Setup'!$N$31,'Quick Setup'!$N37,if(GX10='Quick Setup'!$O$31,'Quick Setup'!$O37,if(GX10='Quick Setup'!$P$31,'Quick Setup'!$P37,if(GX10='Quick Setup'!$Q$31,'Quick Setup'!$Q37,if(GX10='Quick Setup'!$R$31,'Quick Setup'!$R37,if(GX10='Quick Setup'!$S$31,'Quick Setup'!$S37,if(GX10='Quick Setup'!$T$31,'Quick Setup'!$T37,if(GX10='Quick Setup'!$U$31,'Quick Setup'!$U37,if(GX10='Quick Setup'!$V$31,'Quick Setup'!$V37,'Quick Setup'!$W37))))))))))))))))))))</f>
        <v>4</v>
      </c>
      <c r="GZ10" s="25">
        <f>if(GX10='Quick Setup'!$C$45,'Quick Setup'!$C51,if(GX10='Quick Setup'!$D$45,'Quick Setup'!$D51,if(GX10='Quick Setup'!$E$45,'Quick Setup'!$E51,if(GX10='Quick Setup'!$F$45,'Quick Setup'!$F51,if(GX10='Quick Setup'!$G$45,'Quick Setup'!$G51,if(GX10='Quick Setup'!$H$45,'Quick Setup'!$H51,if(GX10='Quick Setup'!$I$45,'Quick Setup'!$I51,if(GX10='Quick Setup'!$J$45,'Quick Setup'!$J51,if(GX10='Quick Setup'!$K$45,'Quick Setup'!$K51,if(GX10='Quick Setup'!$L$45,'Quick Setup'!$L51,if(GX10='Quick Setup'!$M$45,'Quick Setup'!$M51,if(GX10='Quick Setup'!$N$45,'Quick Setup'!$N51,if(GX10='Quick Setup'!$O$45,'Quick Setup'!$O51,if(GX10='Quick Setup'!$P$45,'Quick Setup'!$P51,if(GX10='Quick Setup'!$Q$45,'Quick Setup'!$Q51,if(GX10='Quick Setup'!$R$45,'Quick Setup'!$R51,if(GX10='Quick Setup'!$S$45,'Quick Setup'!$S51,if(GX10='Quick Setup'!$T$45,'Quick Setup'!$T51,if(GX10='Quick Setup'!$U$45,'Quick Setup'!$U51,if(GX10='Quick Setup'!$V$45,'Quick Setup'!$V51,'Quick Setup'!$W51))))))))))))))))))))</f>
        <v>8</v>
      </c>
      <c r="HA10" s="27">
        <f t="shared" ref="HA10:HI10" si="117">GO10</f>
        <v>5</v>
      </c>
      <c r="HB10" s="28">
        <f t="shared" si="117"/>
        <v>-0.05</v>
      </c>
      <c r="HC10" s="28">
        <f t="shared" si="117"/>
        <v>-0.02</v>
      </c>
      <c r="HD10" s="28">
        <f t="shared" si="117"/>
        <v>0</v>
      </c>
      <c r="HE10" s="28">
        <f t="shared" si="117"/>
        <v>0.005</v>
      </c>
      <c r="HF10" s="28">
        <f t="shared" si="117"/>
        <v>0.01</v>
      </c>
      <c r="HG10" s="28">
        <f t="shared" si="117"/>
        <v>0.015</v>
      </c>
      <c r="HH10" s="28">
        <f t="shared" si="117"/>
        <v>0.02</v>
      </c>
      <c r="HI10" s="28">
        <f t="shared" si="117"/>
        <v>0.03</v>
      </c>
      <c r="HJ10" s="24">
        <f>'Quick Setup'!U65</f>
        <v>0.8</v>
      </c>
      <c r="HK10" s="25">
        <f>if(HJ10='Quick Setup'!$C$31,'Quick Setup'!$C37,if(HJ10='Quick Setup'!$D$31,'Quick Setup'!$D37,if(HJ10='Quick Setup'!$E$31,'Quick Setup'!$E37,if(HJ10='Quick Setup'!$F$31,'Quick Setup'!$F37,if(HJ10='Quick Setup'!$G$31,'Quick Setup'!$G37,if(HJ10='Quick Setup'!$H$31,'Quick Setup'!$H37,if(HJ10='Quick Setup'!$I$31,'Quick Setup'!$I37,if(HJ10='Quick Setup'!$J$31,'Quick Setup'!$J37,if(HJ10='Quick Setup'!$K$31,'Quick Setup'!$K37,if(HJ10='Quick Setup'!$L$31,'Quick Setup'!$L37,if(HJ10='Quick Setup'!$M$31,'Quick Setup'!$M37,if(HJ10='Quick Setup'!$N$31,'Quick Setup'!$N37,if(HJ10='Quick Setup'!$O$31,'Quick Setup'!$O37,if(HJ10='Quick Setup'!$P$31,'Quick Setup'!$P37,if(HJ10='Quick Setup'!$Q$31,'Quick Setup'!$Q37,if(HJ10='Quick Setup'!$R$31,'Quick Setup'!$R37,if(HJ10='Quick Setup'!$S$31,'Quick Setup'!$S37,if(HJ10='Quick Setup'!$T$31,'Quick Setup'!$T37,if(HJ10='Quick Setup'!$U$31,'Quick Setup'!$U37,if(HJ10='Quick Setup'!$V$31,'Quick Setup'!$V37,'Quick Setup'!$W37))))))))))))))))))))</f>
        <v>3</v>
      </c>
      <c r="HL10" s="25">
        <f>if(HJ10='Quick Setup'!$C$45,'Quick Setup'!$C51,if(HJ10='Quick Setup'!$D$45,'Quick Setup'!$D51,if(HJ10='Quick Setup'!$E$45,'Quick Setup'!$E51,if(HJ10='Quick Setup'!$F$45,'Quick Setup'!$F51,if(HJ10='Quick Setup'!$G$45,'Quick Setup'!$G51,if(HJ10='Quick Setup'!$H$45,'Quick Setup'!$H51,if(HJ10='Quick Setup'!$I$45,'Quick Setup'!$I51,if(HJ10='Quick Setup'!$J$45,'Quick Setup'!$J51,if(HJ10='Quick Setup'!$K$45,'Quick Setup'!$K51,if(HJ10='Quick Setup'!$L$45,'Quick Setup'!$L51,if(HJ10='Quick Setup'!$M$45,'Quick Setup'!$M51,if(HJ10='Quick Setup'!$N$45,'Quick Setup'!$N51,if(HJ10='Quick Setup'!$O$45,'Quick Setup'!$O51,if(HJ10='Quick Setup'!$P$45,'Quick Setup'!$P51,if(HJ10='Quick Setup'!$Q$45,'Quick Setup'!$Q51,if(HJ10='Quick Setup'!$R$45,'Quick Setup'!$R51,if(HJ10='Quick Setup'!$S$45,'Quick Setup'!$S51,if(HJ10='Quick Setup'!$T$45,'Quick Setup'!$T51,if(HJ10='Quick Setup'!$U$45,'Quick Setup'!$U51,if(HJ10='Quick Setup'!$V$45,'Quick Setup'!$V51,'Quick Setup'!$W51))))))))))))))))))))</f>
        <v>6</v>
      </c>
      <c r="HM10" s="27">
        <f t="shared" ref="HM10:HU10" si="118">HA10</f>
        <v>5</v>
      </c>
      <c r="HN10" s="28">
        <f t="shared" si="118"/>
        <v>-0.05</v>
      </c>
      <c r="HO10" s="28">
        <f t="shared" si="118"/>
        <v>-0.02</v>
      </c>
      <c r="HP10" s="28">
        <f t="shared" si="118"/>
        <v>0</v>
      </c>
      <c r="HQ10" s="28">
        <f t="shared" si="118"/>
        <v>0.005</v>
      </c>
      <c r="HR10" s="28">
        <f t="shared" si="118"/>
        <v>0.01</v>
      </c>
      <c r="HS10" s="28">
        <f t="shared" si="118"/>
        <v>0.015</v>
      </c>
      <c r="HT10" s="28">
        <f t="shared" si="118"/>
        <v>0.02</v>
      </c>
      <c r="HU10" s="28">
        <f t="shared" si="118"/>
        <v>0.03</v>
      </c>
      <c r="HV10" s="24">
        <f>'Quick Setup'!V65</f>
        <v>0.85</v>
      </c>
      <c r="HW10" s="25">
        <f>if(HV10='Quick Setup'!$C$31,'Quick Setup'!$C37,if(HV10='Quick Setup'!$D$31,'Quick Setup'!$D37,if(HV10='Quick Setup'!$E$31,'Quick Setup'!$E37,if(HV10='Quick Setup'!$F$31,'Quick Setup'!$F37,if(HV10='Quick Setup'!$G$31,'Quick Setup'!$G37,if(HV10='Quick Setup'!$H$31,'Quick Setup'!$H37,if(HV10='Quick Setup'!$I$31,'Quick Setup'!$I37,if(HV10='Quick Setup'!$J$31,'Quick Setup'!$J37,if(HV10='Quick Setup'!$K$31,'Quick Setup'!$K37,if(HV10='Quick Setup'!$L$31,'Quick Setup'!$L37,if(HV10='Quick Setup'!$M$31,'Quick Setup'!$M37,if(HV10='Quick Setup'!$N$31,'Quick Setup'!$N37,if(HV10='Quick Setup'!$O$31,'Quick Setup'!$O37,if(HV10='Quick Setup'!$P$31,'Quick Setup'!$P37,if(HV10='Quick Setup'!$Q$31,'Quick Setup'!$Q37,if(HV10='Quick Setup'!$R$31,'Quick Setup'!$R37,if(HV10='Quick Setup'!$S$31,'Quick Setup'!$S37,if(HV10='Quick Setup'!$T$31,'Quick Setup'!$T37,if(HV10='Quick Setup'!$U$31,'Quick Setup'!$U37,if(HV10='Quick Setup'!$V$31,'Quick Setup'!$V37,'Quick Setup'!$W37))))))))))))))))))))</f>
        <v>2</v>
      </c>
      <c r="HX10" s="25">
        <f>if(HV10='Quick Setup'!$C$45,'Quick Setup'!$C51,if(HV10='Quick Setup'!$D$45,'Quick Setup'!$D51,if(HV10='Quick Setup'!$E$45,'Quick Setup'!$E51,if(HV10='Quick Setup'!$F$45,'Quick Setup'!$F51,if(HV10='Quick Setup'!$G$45,'Quick Setup'!$G51,if(HV10='Quick Setup'!$H$45,'Quick Setup'!$H51,if(HV10='Quick Setup'!$I$45,'Quick Setup'!$I51,if(HV10='Quick Setup'!$J$45,'Quick Setup'!$J51,if(HV10='Quick Setup'!$K$45,'Quick Setup'!$K51,if(HV10='Quick Setup'!$L$45,'Quick Setup'!$L51,if(HV10='Quick Setup'!$M$45,'Quick Setup'!$M51,if(HV10='Quick Setup'!$N$45,'Quick Setup'!$N51,if(HV10='Quick Setup'!$O$45,'Quick Setup'!$O51,if(HV10='Quick Setup'!$P$45,'Quick Setup'!$P51,if(HV10='Quick Setup'!$Q$45,'Quick Setup'!$Q51,if(HV10='Quick Setup'!$R$45,'Quick Setup'!$R51,if(HV10='Quick Setup'!$S$45,'Quick Setup'!$S51,if(HV10='Quick Setup'!$T$45,'Quick Setup'!$T51,if(HV10='Quick Setup'!$U$45,'Quick Setup'!$U51,if(HV10='Quick Setup'!$V$45,'Quick Setup'!$V51,'Quick Setup'!$W51))))))))))))))))))))</f>
        <v>4</v>
      </c>
      <c r="HY10" s="27">
        <f t="shared" ref="HY10:IG10" si="119">HM10</f>
        <v>5</v>
      </c>
      <c r="HZ10" s="28">
        <f t="shared" si="119"/>
        <v>-0.05</v>
      </c>
      <c r="IA10" s="28">
        <f t="shared" si="119"/>
        <v>-0.02</v>
      </c>
      <c r="IB10" s="28">
        <f t="shared" si="119"/>
        <v>0</v>
      </c>
      <c r="IC10" s="28">
        <f t="shared" si="119"/>
        <v>0.005</v>
      </c>
      <c r="ID10" s="28">
        <f t="shared" si="119"/>
        <v>0.01</v>
      </c>
      <c r="IE10" s="28">
        <f t="shared" si="119"/>
        <v>0.015</v>
      </c>
      <c r="IF10" s="28">
        <f t="shared" si="119"/>
        <v>0.02</v>
      </c>
      <c r="IG10" s="28">
        <f t="shared" si="119"/>
        <v>0.03</v>
      </c>
      <c r="IH10" s="24">
        <f>'Quick Setup'!W65</f>
        <v>0.5</v>
      </c>
      <c r="II10" s="25">
        <f>if(IH10='Quick Setup'!$C$31,'Quick Setup'!$C37,if(IH10='Quick Setup'!$D$31,'Quick Setup'!$D37,if(IH10='Quick Setup'!$E$31,'Quick Setup'!$E37,if(IH10='Quick Setup'!$F$31,'Quick Setup'!$F37,if(IH10='Quick Setup'!$G$31,'Quick Setup'!$G37,if(IH10='Quick Setup'!$H$31,'Quick Setup'!$H37,if(IH10='Quick Setup'!$I$31,'Quick Setup'!$I37,if(IH10='Quick Setup'!$J$31,'Quick Setup'!$J37,if(IH10='Quick Setup'!$K$31,'Quick Setup'!$K37,if(IH10='Quick Setup'!$L$31,'Quick Setup'!$L37,if(IH10='Quick Setup'!$M$31,'Quick Setup'!$M37,if(IH10='Quick Setup'!$N$31,'Quick Setup'!$N37,if(IH10='Quick Setup'!$O$31,'Quick Setup'!$O37,if(IH10='Quick Setup'!$P$31,'Quick Setup'!$P37,if(IH10='Quick Setup'!$Q$31,'Quick Setup'!$Q37,if(IH10='Quick Setup'!$R$31,'Quick Setup'!$R37,if(IH10='Quick Setup'!$S$31,'Quick Setup'!$S37,if(IH10='Quick Setup'!$T$31,'Quick Setup'!$T37,if(IH10='Quick Setup'!$U$31,'Quick Setup'!$U37,if(IH10='Quick Setup'!$V$31,'Quick Setup'!$V37,'Quick Setup'!$W37))))))))))))))))))))</f>
        <v>8</v>
      </c>
      <c r="IJ10" s="25">
        <f>if(IH10='Quick Setup'!$C$45,'Quick Setup'!$C51,if(IH10='Quick Setup'!$D$45,'Quick Setup'!$D51,if(IH10='Quick Setup'!$E$45,'Quick Setup'!$E51,if(IH10='Quick Setup'!$F$45,'Quick Setup'!$F51,if(IH10='Quick Setup'!$G$45,'Quick Setup'!$G51,if(IH10='Quick Setup'!$H$45,'Quick Setup'!$H51,if(IH10='Quick Setup'!$I$45,'Quick Setup'!$I51,if(IH10='Quick Setup'!$J$45,'Quick Setup'!$J51,if(IH10='Quick Setup'!$K$45,'Quick Setup'!$K51,if(IH10='Quick Setup'!$L$45,'Quick Setup'!$L51,if(IH10='Quick Setup'!$M$45,'Quick Setup'!$M51,if(IH10='Quick Setup'!$N$45,'Quick Setup'!$N51,if(IH10='Quick Setup'!$O$45,'Quick Setup'!$O51,if(IH10='Quick Setup'!$P$45,'Quick Setup'!$P51,if(IH10='Quick Setup'!$Q$45,'Quick Setup'!$Q51,if(IH10='Quick Setup'!$R$45,'Quick Setup'!$R51,if(IH10='Quick Setup'!$S$45,'Quick Setup'!$S51,if(IH10='Quick Setup'!$T$45,'Quick Setup'!$T51,if(IH10='Quick Setup'!$U$45,'Quick Setup'!$U51,if(IH10='Quick Setup'!$V$45,'Quick Setup'!$V51,'Quick Setup'!$W51))))))))))))))))))))</f>
        <v>18</v>
      </c>
      <c r="IK10" s="27">
        <f t="shared" ref="IK10:IS10" si="120">HY10</f>
        <v>5</v>
      </c>
      <c r="IL10" s="28">
        <f t="shared" si="120"/>
        <v>-0.05</v>
      </c>
      <c r="IM10" s="28">
        <f t="shared" si="120"/>
        <v>-0.02</v>
      </c>
      <c r="IN10" s="28">
        <f t="shared" si="120"/>
        <v>0</v>
      </c>
      <c r="IO10" s="28">
        <f t="shared" si="120"/>
        <v>0.005</v>
      </c>
      <c r="IP10" s="28">
        <f t="shared" si="120"/>
        <v>0.01</v>
      </c>
      <c r="IQ10" s="28">
        <f t="shared" si="120"/>
        <v>0.015</v>
      </c>
      <c r="IR10" s="28">
        <f t="shared" si="120"/>
        <v>0.02</v>
      </c>
      <c r="IS10" s="28">
        <f t="shared" si="120"/>
        <v>0.03</v>
      </c>
    </row>
    <row r="11">
      <c r="A11" t="str">
        <f>'Quick Setup'!C13</f>
        <v>Close Grip Bench</v>
      </c>
      <c r="B11" s="24">
        <f>'Quick Setup'!C66</f>
        <v>0.6</v>
      </c>
      <c r="C11" s="25">
        <f>if(B11='Quick Setup'!$C$31,'Quick Setup'!$C38,if(B11='Quick Setup'!$D$31,'Quick Setup'!$D38,if(B11='Quick Setup'!$E$31,'Quick Setup'!$E38,if(B11='Quick Setup'!$F$31,'Quick Setup'!$F38,if(B11='Quick Setup'!$G$31,'Quick Setup'!$G38,if(B11='Quick Setup'!$H$31,'Quick Setup'!$H38,if(B11='Quick Setup'!$I$31,'Quick Setup'!$I38,if(B11='Quick Setup'!$J$31,'Quick Setup'!$J38,if(B11='Quick Setup'!$K$31,'Quick Setup'!$K38,if(B11='Quick Setup'!$L$31,'Quick Setup'!$L38,if(B11='Quick Setup'!$M$31,'Quick Setup'!$M38,if(B11='Quick Setup'!$N$31,'Quick Setup'!$N38,if(B11='Quick Setup'!$O$31,'Quick Setup'!$O38,if(B11='Quick Setup'!$P$31,'Quick Setup'!$P38,if(B11='Quick Setup'!$Q$31,'Quick Setup'!$Q38,if(B11='Quick Setup'!$R$31,'Quick Setup'!$R38,if(B11='Quick Setup'!$S$31,'Quick Setup'!$S38,if(B11='Quick Setup'!$T$31,'Quick Setup'!$T38,if(B11='Quick Setup'!$U$31,'Quick Setup'!$U38,if(B11='Quick Setup'!$V$31,'Quick Setup'!$V38,'Quick Setup'!$W38))))))))))))))))))))</f>
        <v>7</v>
      </c>
      <c r="D11" s="25">
        <f>if(B11='Quick Setup'!$C$45,'Quick Setup'!$C52,if(B11='Quick Setup'!$D$45,'Quick Setup'!$D52,if(B11='Quick Setup'!$E$45,'Quick Setup'!$E52,if(B11='Quick Setup'!$F$45,'Quick Setup'!$F52,if(B11='Quick Setup'!$G$45,'Quick Setup'!$G52,if(B11='Quick Setup'!$H$45,'Quick Setup'!$H52,if(B11='Quick Setup'!$I$45,'Quick Setup'!$I52,if(B11='Quick Setup'!$J$45,'Quick Setup'!$J52,if(B11='Quick Setup'!$K$45,'Quick Setup'!$K52,if(B11='Quick Setup'!$L$45,'Quick Setup'!$L52,if(B11='Quick Setup'!$M$45,'Quick Setup'!$M52,if(B11='Quick Setup'!$N$45,'Quick Setup'!$N52,if(B11='Quick Setup'!$O$45,'Quick Setup'!$O52,if(B11='Quick Setup'!$P$45,'Quick Setup'!$P52,if(B11='Quick Setup'!$Q$45,'Quick Setup'!$Q52,if(B11='Quick Setup'!$R$45,'Quick Setup'!$R52,if(B11='Quick Setup'!$S$45,'Quick Setup'!$S52,if(B11='Quick Setup'!$T$45,'Quick Setup'!$T52,if(B11='Quick Setup'!$U$45,'Quick Setup'!$U52,if(B11='Quick Setup'!$V$45,'Quick Setup'!$V52,'Quick Setup'!$W52))))))))))))))))))))</f>
        <v>14</v>
      </c>
      <c r="E11" s="25">
        <f>'Quick Setup'!H12</f>
        <v>5</v>
      </c>
      <c r="F11" s="26">
        <f>'Quick Setup'!I12</f>
        <v>-0.05</v>
      </c>
      <c r="G11" s="26">
        <f>'Quick Setup'!J12</f>
        <v>-0.02</v>
      </c>
      <c r="H11" s="26">
        <f>'Quick Setup'!K12</f>
        <v>0</v>
      </c>
      <c r="I11" s="26">
        <f>'Quick Setup'!L12</f>
        <v>0.005</v>
      </c>
      <c r="J11" s="26">
        <f>'Quick Setup'!M12</f>
        <v>0.01</v>
      </c>
      <c r="K11" s="26">
        <f>'Quick Setup'!N12</f>
        <v>0.015</v>
      </c>
      <c r="L11" s="26">
        <f>'Quick Setup'!O12</f>
        <v>0.02</v>
      </c>
      <c r="M11" s="26">
        <f>'Quick Setup'!P12</f>
        <v>0.03</v>
      </c>
      <c r="N11" s="24">
        <f>'Quick Setup'!D66</f>
        <v>0.65</v>
      </c>
      <c r="O11" s="25">
        <f>if(N11='Quick Setup'!$C$31,'Quick Setup'!$C38,if(N11='Quick Setup'!$D$31,'Quick Setup'!$D38,if(N11='Quick Setup'!$E$31,'Quick Setup'!$E38,if(N11='Quick Setup'!$F$31,'Quick Setup'!$F38,if(N11='Quick Setup'!$G$31,'Quick Setup'!$G38,if(N11='Quick Setup'!$H$31,'Quick Setup'!$H38,if(N11='Quick Setup'!$I$31,'Quick Setup'!$I38,if(N11='Quick Setup'!$J$31,'Quick Setup'!$J38,if(N11='Quick Setup'!$K$31,'Quick Setup'!$K38,if(N11='Quick Setup'!$L$31,'Quick Setup'!$L38,if(N11='Quick Setup'!$M$31,'Quick Setup'!$M38,if(N11='Quick Setup'!$N$31,'Quick Setup'!$N38,if(N11='Quick Setup'!$O$31,'Quick Setup'!$O38,if(N11='Quick Setup'!$P$31,'Quick Setup'!$P38,if(N11='Quick Setup'!$Q$31,'Quick Setup'!$Q38,if(N11='Quick Setup'!$R$31,'Quick Setup'!$R38,if(N11='Quick Setup'!$S$31,'Quick Setup'!$S38,if(N11='Quick Setup'!$T$31,'Quick Setup'!$T38,if(N11='Quick Setup'!$U$31,'Quick Setup'!$U38,if(N11='Quick Setup'!$V$31,'Quick Setup'!$V38,'Quick Setup'!$W38))))))))))))))))))))</f>
        <v>6</v>
      </c>
      <c r="P11" s="25">
        <f>if(N11='Quick Setup'!$C$45,'Quick Setup'!$C52,if(N11='Quick Setup'!$D$45,'Quick Setup'!$D52,if(N11='Quick Setup'!$E$45,'Quick Setup'!$E52,if(N11='Quick Setup'!$F$45,'Quick Setup'!$F52,if(N11='Quick Setup'!$G$45,'Quick Setup'!$G52,if(N11='Quick Setup'!$H$45,'Quick Setup'!$H52,if(N11='Quick Setup'!$I$45,'Quick Setup'!$I52,if(N11='Quick Setup'!$J$45,'Quick Setup'!$J52,if(N11='Quick Setup'!$K$45,'Quick Setup'!$K52,if(N11='Quick Setup'!$L$45,'Quick Setup'!$L52,if(N11='Quick Setup'!$M$45,'Quick Setup'!$M52,if(N11='Quick Setup'!$N$45,'Quick Setup'!$N52,if(N11='Quick Setup'!$O$45,'Quick Setup'!$O52,if(N11='Quick Setup'!$P$45,'Quick Setup'!$P52,if(N11='Quick Setup'!$Q$45,'Quick Setup'!$Q52,if(N11='Quick Setup'!$R$45,'Quick Setup'!$R52,if(N11='Quick Setup'!$S$45,'Quick Setup'!$S52,if(N11='Quick Setup'!$T$45,'Quick Setup'!$T52,if(N11='Quick Setup'!$U$45,'Quick Setup'!$U52,if(N11='Quick Setup'!$V$45,'Quick Setup'!$V52,'Quick Setup'!$W52))))))))))))))))))))</f>
        <v>12</v>
      </c>
      <c r="Q11" s="25">
        <f t="shared" ref="Q11:Y11" si="121">E11</f>
        <v>5</v>
      </c>
      <c r="R11" s="26">
        <f t="shared" si="121"/>
        <v>-0.05</v>
      </c>
      <c r="S11" s="26">
        <f t="shared" si="121"/>
        <v>-0.02</v>
      </c>
      <c r="T11" s="26">
        <f t="shared" si="121"/>
        <v>0</v>
      </c>
      <c r="U11" s="26">
        <f t="shared" si="121"/>
        <v>0.005</v>
      </c>
      <c r="V11" s="26">
        <f t="shared" si="121"/>
        <v>0.01</v>
      </c>
      <c r="W11" s="26">
        <f t="shared" si="121"/>
        <v>0.015</v>
      </c>
      <c r="X11" s="26">
        <f t="shared" si="121"/>
        <v>0.02</v>
      </c>
      <c r="Y11" s="26">
        <f t="shared" si="121"/>
        <v>0.03</v>
      </c>
      <c r="Z11" s="24">
        <f>'Quick Setup'!E66</f>
        <v>0.7</v>
      </c>
      <c r="AA11" s="25">
        <f>if(Z11='Quick Setup'!$C$31,'Quick Setup'!$C38,if(Z11='Quick Setup'!$D$31,'Quick Setup'!$D38,if(Z11='Quick Setup'!$E$31,'Quick Setup'!$E38,if(Z11='Quick Setup'!$F$31,'Quick Setup'!$F38,if(Z11='Quick Setup'!$G$31,'Quick Setup'!$G38,if(Z11='Quick Setup'!$H$31,'Quick Setup'!$H38,if(Z11='Quick Setup'!$I$31,'Quick Setup'!$I38,if(Z11='Quick Setup'!$J$31,'Quick Setup'!$J38,if(Z11='Quick Setup'!$K$31,'Quick Setup'!$K38,if(Z11='Quick Setup'!$L$31,'Quick Setup'!$L38,if(Z11='Quick Setup'!$M$31,'Quick Setup'!$M38,if(Z11='Quick Setup'!$N$31,'Quick Setup'!$N38,if(Z11='Quick Setup'!$O$31,'Quick Setup'!$O38,if(Z11='Quick Setup'!$P$31,'Quick Setup'!$P38,if(Z11='Quick Setup'!$Q$31,'Quick Setup'!$Q38,if(Z11='Quick Setup'!$R$31,'Quick Setup'!$R38,if(Z11='Quick Setup'!$S$31,'Quick Setup'!$S38,if(Z11='Quick Setup'!$T$31,'Quick Setup'!$T38,if(Z11='Quick Setup'!$U$31,'Quick Setup'!$U38,if(Z11='Quick Setup'!$V$31,'Quick Setup'!$V38,'Quick Setup'!$W38))))))))))))))))))))</f>
        <v>5</v>
      </c>
      <c r="AB11" s="25">
        <f>if(Z11='Quick Setup'!$C$45,'Quick Setup'!$C52,if(Z11='Quick Setup'!$D$45,'Quick Setup'!$D52,if(Z11='Quick Setup'!$E$45,'Quick Setup'!$E52,if(Z11='Quick Setup'!$F$45,'Quick Setup'!$F52,if(Z11='Quick Setup'!$G$45,'Quick Setup'!$G52,if(Z11='Quick Setup'!$H$45,'Quick Setup'!$H52,if(Z11='Quick Setup'!$I$45,'Quick Setup'!$I52,if(Z11='Quick Setup'!$J$45,'Quick Setup'!$J52,if(Z11='Quick Setup'!$K$45,'Quick Setup'!$K52,if(Z11='Quick Setup'!$L$45,'Quick Setup'!$L52,if(Z11='Quick Setup'!$M$45,'Quick Setup'!$M52,if(Z11='Quick Setup'!$N$45,'Quick Setup'!$N52,if(Z11='Quick Setup'!$O$45,'Quick Setup'!$O52,if(Z11='Quick Setup'!$P$45,'Quick Setup'!$P52,if(Z11='Quick Setup'!$Q$45,'Quick Setup'!$Q52,if(Z11='Quick Setup'!$R$45,'Quick Setup'!$R52,if(Z11='Quick Setup'!$S$45,'Quick Setup'!$S52,if(Z11='Quick Setup'!$T$45,'Quick Setup'!$T52,if(Z11='Quick Setup'!$U$45,'Quick Setup'!$U52,if(Z11='Quick Setup'!$V$45,'Quick Setup'!$V52,'Quick Setup'!$W52))))))))))))))))))))</f>
        <v>10</v>
      </c>
      <c r="AC11" s="25">
        <f t="shared" ref="AC11:AK11" si="122">Q11</f>
        <v>5</v>
      </c>
      <c r="AD11" s="26">
        <f t="shared" si="122"/>
        <v>-0.05</v>
      </c>
      <c r="AE11" s="26">
        <f t="shared" si="122"/>
        <v>-0.02</v>
      </c>
      <c r="AF11" s="26">
        <f t="shared" si="122"/>
        <v>0</v>
      </c>
      <c r="AG11" s="26">
        <f t="shared" si="122"/>
        <v>0.005</v>
      </c>
      <c r="AH11" s="26">
        <f t="shared" si="122"/>
        <v>0.01</v>
      </c>
      <c r="AI11" s="26">
        <f t="shared" si="122"/>
        <v>0.015</v>
      </c>
      <c r="AJ11" s="26">
        <f t="shared" si="122"/>
        <v>0.02</v>
      </c>
      <c r="AK11" s="26">
        <f t="shared" si="122"/>
        <v>0.03</v>
      </c>
      <c r="AL11" s="24">
        <f>'Quick Setup'!F66</f>
        <v>0.625</v>
      </c>
      <c r="AM11" s="25">
        <f>if(AL11='Quick Setup'!$C$31,'Quick Setup'!$C38,if(AL11='Quick Setup'!$D$31,'Quick Setup'!$D38,if(AL11='Quick Setup'!$E$31,'Quick Setup'!$E38,if(AL11='Quick Setup'!$F$31,'Quick Setup'!$F38,if(AL11='Quick Setup'!$G$31,'Quick Setup'!$G38,if(AL11='Quick Setup'!$H$31,'Quick Setup'!$H38,if(AL11='Quick Setup'!$I$31,'Quick Setup'!$I38,if(AL11='Quick Setup'!$J$31,'Quick Setup'!$J38,if(AL11='Quick Setup'!$K$31,'Quick Setup'!$K38,if(AL11='Quick Setup'!$L$31,'Quick Setup'!$L38,if(AL11='Quick Setup'!$M$31,'Quick Setup'!$M38,if(AL11='Quick Setup'!$N$31,'Quick Setup'!$N38,if(AL11='Quick Setup'!$O$31,'Quick Setup'!$O38,if(AL11='Quick Setup'!$P$31,'Quick Setup'!$P38,if(AL11='Quick Setup'!$Q$31,'Quick Setup'!$Q38,if(AL11='Quick Setup'!$R$31,'Quick Setup'!$R38,if(AL11='Quick Setup'!$S$31,'Quick Setup'!$S38,if(AL11='Quick Setup'!$T$31,'Quick Setup'!$T38,if(AL11='Quick Setup'!$U$31,'Quick Setup'!$U38,if(AL11='Quick Setup'!$V$31,'Quick Setup'!$V38,'Quick Setup'!$W38))))))))))))))))))))</f>
        <v>7</v>
      </c>
      <c r="AN11" s="25">
        <f>if(AL11='Quick Setup'!$C$45,'Quick Setup'!$C52,if(AL11='Quick Setup'!$D$45,'Quick Setup'!$D52,if(AL11='Quick Setup'!$E$45,'Quick Setup'!$E52,if(AL11='Quick Setup'!$F$45,'Quick Setup'!$F52,if(AL11='Quick Setup'!$G$45,'Quick Setup'!$G52,if(AL11='Quick Setup'!$H$45,'Quick Setup'!$H52,if(AL11='Quick Setup'!$I$45,'Quick Setup'!$I52,if(AL11='Quick Setup'!$J$45,'Quick Setup'!$J52,if(AL11='Quick Setup'!$K$45,'Quick Setup'!$K52,if(AL11='Quick Setup'!$L$45,'Quick Setup'!$L52,if(AL11='Quick Setup'!$M$45,'Quick Setup'!$M52,if(AL11='Quick Setup'!$N$45,'Quick Setup'!$N52,if(AL11='Quick Setup'!$O$45,'Quick Setup'!$O52,if(AL11='Quick Setup'!$P$45,'Quick Setup'!$P52,if(AL11='Quick Setup'!$Q$45,'Quick Setup'!$Q52,if(AL11='Quick Setup'!$R$45,'Quick Setup'!$R52,if(AL11='Quick Setup'!$S$45,'Quick Setup'!$S52,if(AL11='Quick Setup'!$T$45,'Quick Setup'!$T52,if(AL11='Quick Setup'!$U$45,'Quick Setup'!$U52,if(AL11='Quick Setup'!$V$45,'Quick Setup'!$V52,'Quick Setup'!$W52))))))))))))))))))))</f>
        <v>13</v>
      </c>
      <c r="AO11" s="25">
        <f t="shared" ref="AO11:AW11" si="123">AC11</f>
        <v>5</v>
      </c>
      <c r="AP11" s="26">
        <f t="shared" si="123"/>
        <v>-0.05</v>
      </c>
      <c r="AQ11" s="26">
        <f t="shared" si="123"/>
        <v>-0.02</v>
      </c>
      <c r="AR11" s="26">
        <f t="shared" si="123"/>
        <v>0</v>
      </c>
      <c r="AS11" s="26">
        <f t="shared" si="123"/>
        <v>0.005</v>
      </c>
      <c r="AT11" s="26">
        <f t="shared" si="123"/>
        <v>0.01</v>
      </c>
      <c r="AU11" s="26">
        <f t="shared" si="123"/>
        <v>0.015</v>
      </c>
      <c r="AV11" s="26">
        <f t="shared" si="123"/>
        <v>0.02</v>
      </c>
      <c r="AW11" s="26">
        <f t="shared" si="123"/>
        <v>0.03</v>
      </c>
      <c r="AX11" s="24">
        <f>'Quick Setup'!G66</f>
        <v>0.675</v>
      </c>
      <c r="AY11" s="25">
        <f>if(AX11='Quick Setup'!$C$31,'Quick Setup'!$C38,if(AX11='Quick Setup'!$D$31,'Quick Setup'!$D38,if(AX11='Quick Setup'!$E$31,'Quick Setup'!$E38,if(AX11='Quick Setup'!$F$31,'Quick Setup'!$F38,if(AX11='Quick Setup'!$G$31,'Quick Setup'!$G38,if(AX11='Quick Setup'!$H$31,'Quick Setup'!$H38,if(AX11='Quick Setup'!$I$31,'Quick Setup'!$I38,if(AX11='Quick Setup'!$J$31,'Quick Setup'!$J38,if(AX11='Quick Setup'!$K$31,'Quick Setup'!$K38,if(AX11='Quick Setup'!$L$31,'Quick Setup'!$L38,if(AX11='Quick Setup'!$M$31,'Quick Setup'!$M38,if(AX11='Quick Setup'!$N$31,'Quick Setup'!$N38,if(AX11='Quick Setup'!$O$31,'Quick Setup'!$O38,if(AX11='Quick Setup'!$P$31,'Quick Setup'!$P38,if(AX11='Quick Setup'!$Q$31,'Quick Setup'!$Q38,if(AX11='Quick Setup'!$R$31,'Quick Setup'!$R38,if(AX11='Quick Setup'!$S$31,'Quick Setup'!$S38,if(AX11='Quick Setup'!$T$31,'Quick Setup'!$T38,if(AX11='Quick Setup'!$U$31,'Quick Setup'!$U38,if(AX11='Quick Setup'!$V$31,'Quick Setup'!$V38,'Quick Setup'!$W38))))))))))))))))))))</f>
        <v>6</v>
      </c>
      <c r="AZ11" s="25">
        <f>if(AX11='Quick Setup'!$C$45,'Quick Setup'!$C52,if(AX11='Quick Setup'!$D$45,'Quick Setup'!$D52,if(AX11='Quick Setup'!$E$45,'Quick Setup'!$E52,if(AX11='Quick Setup'!$F$45,'Quick Setup'!$F52,if(AX11='Quick Setup'!$G$45,'Quick Setup'!$G52,if(AX11='Quick Setup'!$H$45,'Quick Setup'!$H52,if(AX11='Quick Setup'!$I$45,'Quick Setup'!$I52,if(AX11='Quick Setup'!$J$45,'Quick Setup'!$J52,if(AX11='Quick Setup'!$K$45,'Quick Setup'!$K52,if(AX11='Quick Setup'!$L$45,'Quick Setup'!$L52,if(AX11='Quick Setup'!$M$45,'Quick Setup'!$M52,if(AX11='Quick Setup'!$N$45,'Quick Setup'!$N52,if(AX11='Quick Setup'!$O$45,'Quick Setup'!$O52,if(AX11='Quick Setup'!$P$45,'Quick Setup'!$P52,if(AX11='Quick Setup'!$Q$45,'Quick Setup'!$Q52,if(AX11='Quick Setup'!$R$45,'Quick Setup'!$R52,if(AX11='Quick Setup'!$S$45,'Quick Setup'!$S52,if(AX11='Quick Setup'!$T$45,'Quick Setup'!$T52,if(AX11='Quick Setup'!$U$45,'Quick Setup'!$U52,if(AX11='Quick Setup'!$V$45,'Quick Setup'!$V52,'Quick Setup'!$W52))))))))))))))))))))</f>
        <v>11</v>
      </c>
      <c r="BA11" s="25">
        <f t="shared" ref="BA11:BI11" si="124">AO11</f>
        <v>5</v>
      </c>
      <c r="BB11" s="26">
        <f t="shared" si="124"/>
        <v>-0.05</v>
      </c>
      <c r="BC11" s="26">
        <f t="shared" si="124"/>
        <v>-0.02</v>
      </c>
      <c r="BD11" s="26">
        <f t="shared" si="124"/>
        <v>0</v>
      </c>
      <c r="BE11" s="26">
        <f t="shared" si="124"/>
        <v>0.005</v>
      </c>
      <c r="BF11" s="26">
        <f t="shared" si="124"/>
        <v>0.01</v>
      </c>
      <c r="BG11" s="26">
        <f t="shared" si="124"/>
        <v>0.015</v>
      </c>
      <c r="BH11" s="26">
        <f t="shared" si="124"/>
        <v>0.02</v>
      </c>
      <c r="BI11" s="26">
        <f t="shared" si="124"/>
        <v>0.03</v>
      </c>
      <c r="BJ11" s="24">
        <f>'Quick Setup'!H66</f>
        <v>0.725</v>
      </c>
      <c r="BK11" s="25">
        <f>if(BJ11='Quick Setup'!$C$31,'Quick Setup'!$C38,if(BJ11='Quick Setup'!$D$31,'Quick Setup'!$D38,if(BJ11='Quick Setup'!$E$31,'Quick Setup'!$E38,if(BJ11='Quick Setup'!$F$31,'Quick Setup'!$F38,if(BJ11='Quick Setup'!$G$31,'Quick Setup'!$G38,if(BJ11='Quick Setup'!$H$31,'Quick Setup'!$H38,if(BJ11='Quick Setup'!$I$31,'Quick Setup'!$I38,if(BJ11='Quick Setup'!$J$31,'Quick Setup'!$J38,if(BJ11='Quick Setup'!$K$31,'Quick Setup'!$K38,if(BJ11='Quick Setup'!$L$31,'Quick Setup'!$L38,if(BJ11='Quick Setup'!$M$31,'Quick Setup'!$M38,if(BJ11='Quick Setup'!$N$31,'Quick Setup'!$N38,if(BJ11='Quick Setup'!$O$31,'Quick Setup'!$O38,if(BJ11='Quick Setup'!$P$31,'Quick Setup'!$P38,if(BJ11='Quick Setup'!$Q$31,'Quick Setup'!$Q38,if(BJ11='Quick Setup'!$R$31,'Quick Setup'!$R38,if(BJ11='Quick Setup'!$S$31,'Quick Setup'!$S38,if(BJ11='Quick Setup'!$T$31,'Quick Setup'!$T38,if(BJ11='Quick Setup'!$U$31,'Quick Setup'!$U38,if(BJ11='Quick Setup'!$V$31,'Quick Setup'!$V38,'Quick Setup'!$W38))))))))))))))))))))</f>
        <v>5</v>
      </c>
      <c r="BL11" s="25">
        <f>if(BJ11='Quick Setup'!$C$45,'Quick Setup'!$C52,if(BJ11='Quick Setup'!$D$45,'Quick Setup'!$D52,if(BJ11='Quick Setup'!$E$45,'Quick Setup'!$E52,if(BJ11='Quick Setup'!$F$45,'Quick Setup'!$F52,if(BJ11='Quick Setup'!$G$45,'Quick Setup'!$G52,if(BJ11='Quick Setup'!$H$45,'Quick Setup'!$H52,if(BJ11='Quick Setup'!$I$45,'Quick Setup'!$I52,if(BJ11='Quick Setup'!$J$45,'Quick Setup'!$J52,if(BJ11='Quick Setup'!$K$45,'Quick Setup'!$K52,if(BJ11='Quick Setup'!$L$45,'Quick Setup'!$L52,if(BJ11='Quick Setup'!$M$45,'Quick Setup'!$M52,if(BJ11='Quick Setup'!$N$45,'Quick Setup'!$N52,if(BJ11='Quick Setup'!$O$45,'Quick Setup'!$O52,if(BJ11='Quick Setup'!$P$45,'Quick Setup'!$P52,if(BJ11='Quick Setup'!$Q$45,'Quick Setup'!$Q52,if(BJ11='Quick Setup'!$R$45,'Quick Setup'!$R52,if(BJ11='Quick Setup'!$S$45,'Quick Setup'!$S52,if(BJ11='Quick Setup'!$T$45,'Quick Setup'!$T52,if(BJ11='Quick Setup'!$U$45,'Quick Setup'!$U52,if(BJ11='Quick Setup'!$V$45,'Quick Setup'!$V52,'Quick Setup'!$W52))))))))))))))))))))</f>
        <v>9</v>
      </c>
      <c r="BM11" s="27">
        <f t="shared" ref="BM11:BU11" si="125">BA11</f>
        <v>5</v>
      </c>
      <c r="BN11" s="28">
        <f t="shared" si="125"/>
        <v>-0.05</v>
      </c>
      <c r="BO11" s="28">
        <f t="shared" si="125"/>
        <v>-0.02</v>
      </c>
      <c r="BP11" s="28">
        <f t="shared" si="125"/>
        <v>0</v>
      </c>
      <c r="BQ11" s="28">
        <f t="shared" si="125"/>
        <v>0.005</v>
      </c>
      <c r="BR11" s="28">
        <f t="shared" si="125"/>
        <v>0.01</v>
      </c>
      <c r="BS11" s="28">
        <f t="shared" si="125"/>
        <v>0.015</v>
      </c>
      <c r="BT11" s="28">
        <f t="shared" si="125"/>
        <v>0.02</v>
      </c>
      <c r="BU11" s="28">
        <f t="shared" si="125"/>
        <v>0.03</v>
      </c>
      <c r="BV11" s="24">
        <f>'Quick Setup'!I66</f>
        <v>0.5</v>
      </c>
      <c r="BW11" s="25">
        <f>if(BV11='Quick Setup'!$C$31,'Quick Setup'!$C38,if(BV11='Quick Setup'!$D$31,'Quick Setup'!$D38,if(BV11='Quick Setup'!$E$31,'Quick Setup'!$E38,if(BV11='Quick Setup'!$F$31,'Quick Setup'!$F38,if(BV11='Quick Setup'!$G$31,'Quick Setup'!$G38,if(BV11='Quick Setup'!$H$31,'Quick Setup'!$H38,if(BV11='Quick Setup'!$I$31,'Quick Setup'!$I38,if(BV11='Quick Setup'!$J$31,'Quick Setup'!$J38,if(BV11='Quick Setup'!$K$31,'Quick Setup'!$K38,if(BV11='Quick Setup'!$L$31,'Quick Setup'!$L38,if(BV11='Quick Setup'!$M$31,'Quick Setup'!$M38,if(BV11='Quick Setup'!$N$31,'Quick Setup'!$N38,if(BV11='Quick Setup'!$O$31,'Quick Setup'!$O38,if(BV11='Quick Setup'!$P$31,'Quick Setup'!$P38,if(BV11='Quick Setup'!$Q$31,'Quick Setup'!$Q38,if(BV11='Quick Setup'!$R$31,'Quick Setup'!$R38,if(BV11='Quick Setup'!$S$31,'Quick Setup'!$S38,if(BV11='Quick Setup'!$T$31,'Quick Setup'!$T38,if(BV11='Quick Setup'!$U$31,'Quick Setup'!$U38,if(BV11='Quick Setup'!$V$31,'Quick Setup'!$V38,'Quick Setup'!$W38))))))))))))))))))))</f>
        <v>8</v>
      </c>
      <c r="BX11" s="25">
        <f>if(BV11='Quick Setup'!$C$45,'Quick Setup'!$C52,if(BV11='Quick Setup'!$D$45,'Quick Setup'!$D52,if(BV11='Quick Setup'!$E$45,'Quick Setup'!$E52,if(BV11='Quick Setup'!$F$45,'Quick Setup'!$F52,if(BV11='Quick Setup'!$G$45,'Quick Setup'!$G52,if(BV11='Quick Setup'!$H$45,'Quick Setup'!$H52,if(BV11='Quick Setup'!$I$45,'Quick Setup'!$I52,if(BV11='Quick Setup'!$J$45,'Quick Setup'!$J52,if(BV11='Quick Setup'!$K$45,'Quick Setup'!$K52,if(BV11='Quick Setup'!$L$45,'Quick Setup'!$L52,if(BV11='Quick Setup'!$M$45,'Quick Setup'!$M52,if(BV11='Quick Setup'!$N$45,'Quick Setup'!$N52,if(BV11='Quick Setup'!$O$45,'Quick Setup'!$O52,if(BV11='Quick Setup'!$P$45,'Quick Setup'!$P52,if(BV11='Quick Setup'!$Q$45,'Quick Setup'!$Q52,if(BV11='Quick Setup'!$R$45,'Quick Setup'!$R52,if(BV11='Quick Setup'!$S$45,'Quick Setup'!$S52,if(BV11='Quick Setup'!$T$45,'Quick Setup'!$T52,if(BV11='Quick Setup'!$U$45,'Quick Setup'!$U52,if(BV11='Quick Setup'!$V$45,'Quick Setup'!$V52,'Quick Setup'!$W52))))))))))))))))))))</f>
        <v>18</v>
      </c>
      <c r="BY11" s="27">
        <f t="shared" ref="BY11:CG11" si="126">BM11</f>
        <v>5</v>
      </c>
      <c r="BZ11" s="28">
        <f t="shared" si="126"/>
        <v>-0.05</v>
      </c>
      <c r="CA11" s="28">
        <f t="shared" si="126"/>
        <v>-0.02</v>
      </c>
      <c r="CB11" s="28">
        <f t="shared" si="126"/>
        <v>0</v>
      </c>
      <c r="CC11" s="28">
        <f t="shared" si="126"/>
        <v>0.005</v>
      </c>
      <c r="CD11" s="28">
        <f t="shared" si="126"/>
        <v>0.01</v>
      </c>
      <c r="CE11" s="28">
        <f t="shared" si="126"/>
        <v>0.015</v>
      </c>
      <c r="CF11" s="28">
        <f t="shared" si="126"/>
        <v>0.02</v>
      </c>
      <c r="CG11" s="28">
        <f t="shared" si="126"/>
        <v>0.03</v>
      </c>
      <c r="CH11" s="24">
        <f>'Quick Setup'!J66</f>
        <v>0.65</v>
      </c>
      <c r="CI11" s="25">
        <f>if(CH11='Quick Setup'!$C$31,'Quick Setup'!$C38,if(CH11='Quick Setup'!$D$31,'Quick Setup'!$D38,if(CH11='Quick Setup'!$E$31,'Quick Setup'!$E38,if(CH11='Quick Setup'!$F$31,'Quick Setup'!$F38,if(CH11='Quick Setup'!$G$31,'Quick Setup'!$G38,if(CH11='Quick Setup'!$H$31,'Quick Setup'!$H38,if(CH11='Quick Setup'!$I$31,'Quick Setup'!$I38,if(CH11='Quick Setup'!$J$31,'Quick Setup'!$J38,if(CH11='Quick Setup'!$K$31,'Quick Setup'!$K38,if(CH11='Quick Setup'!$L$31,'Quick Setup'!$L38,if(CH11='Quick Setup'!$M$31,'Quick Setup'!$M38,if(CH11='Quick Setup'!$N$31,'Quick Setup'!$N38,if(CH11='Quick Setup'!$O$31,'Quick Setup'!$O38,if(CH11='Quick Setup'!$P$31,'Quick Setup'!$P38,if(CH11='Quick Setup'!$Q$31,'Quick Setup'!$Q38,if(CH11='Quick Setup'!$R$31,'Quick Setup'!$R38,if(CH11='Quick Setup'!$S$31,'Quick Setup'!$S38,if(CH11='Quick Setup'!$T$31,'Quick Setup'!$T38,if(CH11='Quick Setup'!$U$31,'Quick Setup'!$U38,if(CH11='Quick Setup'!$V$31,'Quick Setup'!$V38,'Quick Setup'!$W38))))))))))))))))))))</f>
        <v>6</v>
      </c>
      <c r="CJ11" s="25">
        <f>if(CH11='Quick Setup'!$C$45,'Quick Setup'!$C52,if(CH11='Quick Setup'!$D$45,'Quick Setup'!$D52,if(CH11='Quick Setup'!$E$45,'Quick Setup'!$E52,if(CH11='Quick Setup'!$F$45,'Quick Setup'!$F52,if(CH11='Quick Setup'!$G$45,'Quick Setup'!$G52,if(CH11='Quick Setup'!$H$45,'Quick Setup'!$H52,if(CH11='Quick Setup'!$I$45,'Quick Setup'!$I52,if(CH11='Quick Setup'!$J$45,'Quick Setup'!$J52,if(CH11='Quick Setup'!$K$45,'Quick Setup'!$K52,if(CH11='Quick Setup'!$L$45,'Quick Setup'!$L52,if(CH11='Quick Setup'!$M$45,'Quick Setup'!$M52,if(CH11='Quick Setup'!$N$45,'Quick Setup'!$N52,if(CH11='Quick Setup'!$O$45,'Quick Setup'!$O52,if(CH11='Quick Setup'!$P$45,'Quick Setup'!$P52,if(CH11='Quick Setup'!$Q$45,'Quick Setup'!$Q52,if(CH11='Quick Setup'!$R$45,'Quick Setup'!$R52,if(CH11='Quick Setup'!$S$45,'Quick Setup'!$S52,if(CH11='Quick Setup'!$T$45,'Quick Setup'!$T52,if(CH11='Quick Setup'!$U$45,'Quick Setup'!$U52,if(CH11='Quick Setup'!$V$45,'Quick Setup'!$V52,'Quick Setup'!$W52))))))))))))))))))))</f>
        <v>12</v>
      </c>
      <c r="CK11" s="27">
        <f t="shared" ref="CK11:CS11" si="127">BY11</f>
        <v>5</v>
      </c>
      <c r="CL11" s="28">
        <f t="shared" si="127"/>
        <v>-0.05</v>
      </c>
      <c r="CM11" s="28">
        <f t="shared" si="127"/>
        <v>-0.02</v>
      </c>
      <c r="CN11" s="28">
        <f t="shared" si="127"/>
        <v>0</v>
      </c>
      <c r="CO11" s="28">
        <f t="shared" si="127"/>
        <v>0.005</v>
      </c>
      <c r="CP11" s="28">
        <f t="shared" si="127"/>
        <v>0.01</v>
      </c>
      <c r="CQ11" s="28">
        <f t="shared" si="127"/>
        <v>0.015</v>
      </c>
      <c r="CR11" s="28">
        <f t="shared" si="127"/>
        <v>0.02</v>
      </c>
      <c r="CS11" s="28">
        <f t="shared" si="127"/>
        <v>0.03</v>
      </c>
      <c r="CT11" s="24">
        <f>'Quick Setup'!K66</f>
        <v>0.7</v>
      </c>
      <c r="CU11" s="25">
        <f>if(CT11='Quick Setup'!$C$31,'Quick Setup'!$C38,if(CT11='Quick Setup'!$D$31,'Quick Setup'!$D38,if(CT11='Quick Setup'!$E$31,'Quick Setup'!$E38,if(CT11='Quick Setup'!$F$31,'Quick Setup'!$F38,if(CT11='Quick Setup'!$G$31,'Quick Setup'!$G38,if(CT11='Quick Setup'!$H$31,'Quick Setup'!$H38,if(CT11='Quick Setup'!$I$31,'Quick Setup'!$I38,if(CT11='Quick Setup'!$J$31,'Quick Setup'!$J38,if(CT11='Quick Setup'!$K$31,'Quick Setup'!$K38,if(CT11='Quick Setup'!$L$31,'Quick Setup'!$L38,if(CT11='Quick Setup'!$M$31,'Quick Setup'!$M38,if(CT11='Quick Setup'!$N$31,'Quick Setup'!$N38,if(CT11='Quick Setup'!$O$31,'Quick Setup'!$O38,if(CT11='Quick Setup'!$P$31,'Quick Setup'!$P38,if(CT11='Quick Setup'!$Q$31,'Quick Setup'!$Q38,if(CT11='Quick Setup'!$R$31,'Quick Setup'!$R38,if(CT11='Quick Setup'!$S$31,'Quick Setup'!$S38,if(CT11='Quick Setup'!$T$31,'Quick Setup'!$T38,if(CT11='Quick Setup'!$U$31,'Quick Setup'!$U38,if(CT11='Quick Setup'!$V$31,'Quick Setup'!$V38,'Quick Setup'!$W38))))))))))))))))))))</f>
        <v>5</v>
      </c>
      <c r="CV11" s="25">
        <f>if(CT11='Quick Setup'!$C$45,'Quick Setup'!$C52,if(CT11='Quick Setup'!$D$45,'Quick Setup'!$D52,if(CT11='Quick Setup'!$E$45,'Quick Setup'!$E52,if(CT11='Quick Setup'!$F$45,'Quick Setup'!$F52,if(CT11='Quick Setup'!$G$45,'Quick Setup'!$G52,if(CT11='Quick Setup'!$H$45,'Quick Setup'!$H52,if(CT11='Quick Setup'!$I$45,'Quick Setup'!$I52,if(CT11='Quick Setup'!$J$45,'Quick Setup'!$J52,if(CT11='Quick Setup'!$K$45,'Quick Setup'!$K52,if(CT11='Quick Setup'!$L$45,'Quick Setup'!$L52,if(CT11='Quick Setup'!$M$45,'Quick Setup'!$M52,if(CT11='Quick Setup'!$N$45,'Quick Setup'!$N52,if(CT11='Quick Setup'!$O$45,'Quick Setup'!$O52,if(CT11='Quick Setup'!$P$45,'Quick Setup'!$P52,if(CT11='Quick Setup'!$Q$45,'Quick Setup'!$Q52,if(CT11='Quick Setup'!$R$45,'Quick Setup'!$R52,if(CT11='Quick Setup'!$S$45,'Quick Setup'!$S52,if(CT11='Quick Setup'!$T$45,'Quick Setup'!$T52,if(CT11='Quick Setup'!$U$45,'Quick Setup'!$U52,if(CT11='Quick Setup'!$V$45,'Quick Setup'!$V52,'Quick Setup'!$W52))))))))))))))))))))</f>
        <v>10</v>
      </c>
      <c r="CW11" s="27">
        <f t="shared" ref="CW11:DE11" si="128">CK11</f>
        <v>5</v>
      </c>
      <c r="CX11" s="28">
        <f t="shared" si="128"/>
        <v>-0.05</v>
      </c>
      <c r="CY11" s="28">
        <f t="shared" si="128"/>
        <v>-0.02</v>
      </c>
      <c r="CZ11" s="28">
        <f t="shared" si="128"/>
        <v>0</v>
      </c>
      <c r="DA11" s="28">
        <f t="shared" si="128"/>
        <v>0.005</v>
      </c>
      <c r="DB11" s="28">
        <f t="shared" si="128"/>
        <v>0.01</v>
      </c>
      <c r="DC11" s="28">
        <f t="shared" si="128"/>
        <v>0.015</v>
      </c>
      <c r="DD11" s="28">
        <f t="shared" si="128"/>
        <v>0.02</v>
      </c>
      <c r="DE11" s="28">
        <f t="shared" si="128"/>
        <v>0.03</v>
      </c>
      <c r="DF11" s="24">
        <f>'Quick Setup'!L66</f>
        <v>0.75</v>
      </c>
      <c r="DG11" s="25">
        <f>if(DF11='Quick Setup'!$C$31,'Quick Setup'!$C38,if(DF11='Quick Setup'!$D$31,'Quick Setup'!$D38,if(DF11='Quick Setup'!$E$31,'Quick Setup'!$E38,if(DF11='Quick Setup'!$F$31,'Quick Setup'!$F38,if(DF11='Quick Setup'!$G$31,'Quick Setup'!$G38,if(DF11='Quick Setup'!$H$31,'Quick Setup'!$H38,if(DF11='Quick Setup'!$I$31,'Quick Setup'!$I38,if(DF11='Quick Setup'!$J$31,'Quick Setup'!$J38,if(DF11='Quick Setup'!$K$31,'Quick Setup'!$K38,if(DF11='Quick Setup'!$L$31,'Quick Setup'!$L38,if(DF11='Quick Setup'!$M$31,'Quick Setup'!$M38,if(DF11='Quick Setup'!$N$31,'Quick Setup'!$N38,if(DF11='Quick Setup'!$O$31,'Quick Setup'!$O38,if(DF11='Quick Setup'!$P$31,'Quick Setup'!$P38,if(DF11='Quick Setup'!$Q$31,'Quick Setup'!$Q38,if(DF11='Quick Setup'!$R$31,'Quick Setup'!$R38,if(DF11='Quick Setup'!$S$31,'Quick Setup'!$S38,if(DF11='Quick Setup'!$T$31,'Quick Setup'!$T38,if(DF11='Quick Setup'!$U$31,'Quick Setup'!$U38,if(DF11='Quick Setup'!$V$31,'Quick Setup'!$V38,'Quick Setup'!$W38))))))))))))))))))))</f>
        <v>4</v>
      </c>
      <c r="DH11" s="25">
        <f>if(DF11='Quick Setup'!$C$45,'Quick Setup'!$C52,if(DF11='Quick Setup'!$D$45,'Quick Setup'!$D52,if(DF11='Quick Setup'!$E$45,'Quick Setup'!$E52,if(DF11='Quick Setup'!$F$45,'Quick Setup'!$F52,if(DF11='Quick Setup'!$G$45,'Quick Setup'!$G52,if(DF11='Quick Setup'!$H$45,'Quick Setup'!$H52,if(DF11='Quick Setup'!$I$45,'Quick Setup'!$I52,if(DF11='Quick Setup'!$J$45,'Quick Setup'!$J52,if(DF11='Quick Setup'!$K$45,'Quick Setup'!$K52,if(DF11='Quick Setup'!$L$45,'Quick Setup'!$L52,if(DF11='Quick Setup'!$M$45,'Quick Setup'!$M52,if(DF11='Quick Setup'!$N$45,'Quick Setup'!$N52,if(DF11='Quick Setup'!$O$45,'Quick Setup'!$O52,if(DF11='Quick Setup'!$P$45,'Quick Setup'!$P52,if(DF11='Quick Setup'!$Q$45,'Quick Setup'!$Q52,if(DF11='Quick Setup'!$R$45,'Quick Setup'!$R52,if(DF11='Quick Setup'!$S$45,'Quick Setup'!$S52,if(DF11='Quick Setup'!$T$45,'Quick Setup'!$T52,if(DF11='Quick Setup'!$U$45,'Quick Setup'!$U52,if(DF11='Quick Setup'!$V$45,'Quick Setup'!$V52,'Quick Setup'!$W52))))))))))))))))))))</f>
        <v>8</v>
      </c>
      <c r="DI11" s="27">
        <f t="shared" ref="DI11:DQ11" si="129">CW11</f>
        <v>5</v>
      </c>
      <c r="DJ11" s="28">
        <f t="shared" si="129"/>
        <v>-0.05</v>
      </c>
      <c r="DK11" s="28">
        <f t="shared" si="129"/>
        <v>-0.02</v>
      </c>
      <c r="DL11" s="28">
        <f t="shared" si="129"/>
        <v>0</v>
      </c>
      <c r="DM11" s="28">
        <f t="shared" si="129"/>
        <v>0.005</v>
      </c>
      <c r="DN11" s="28">
        <f t="shared" si="129"/>
        <v>0.01</v>
      </c>
      <c r="DO11" s="28">
        <f t="shared" si="129"/>
        <v>0.015</v>
      </c>
      <c r="DP11" s="28">
        <f t="shared" si="129"/>
        <v>0.02</v>
      </c>
      <c r="DQ11" s="28">
        <f t="shared" si="129"/>
        <v>0.03</v>
      </c>
      <c r="DR11" s="24">
        <f>'Quick Setup'!M66</f>
        <v>0.675</v>
      </c>
      <c r="DS11" s="25">
        <f>if(DR11='Quick Setup'!$C$31,'Quick Setup'!$C38,if(DR11='Quick Setup'!$D$31,'Quick Setup'!$D38,if(DR11='Quick Setup'!$E$31,'Quick Setup'!$E38,if(DR11='Quick Setup'!$F$31,'Quick Setup'!$F38,if(DR11='Quick Setup'!$G$31,'Quick Setup'!$G38,if(DR11='Quick Setup'!$H$31,'Quick Setup'!$H38,if(DR11='Quick Setup'!$I$31,'Quick Setup'!$I38,if(DR11='Quick Setup'!$J$31,'Quick Setup'!$J38,if(DR11='Quick Setup'!$K$31,'Quick Setup'!$K38,if(DR11='Quick Setup'!$L$31,'Quick Setup'!$L38,if(DR11='Quick Setup'!$M$31,'Quick Setup'!$M38,if(DR11='Quick Setup'!$N$31,'Quick Setup'!$N38,if(DR11='Quick Setup'!$O$31,'Quick Setup'!$O38,if(DR11='Quick Setup'!$P$31,'Quick Setup'!$P38,if(DR11='Quick Setup'!$Q$31,'Quick Setup'!$Q38,if(DR11='Quick Setup'!$R$31,'Quick Setup'!$R38,if(DR11='Quick Setup'!$S$31,'Quick Setup'!$S38,if(DR11='Quick Setup'!$T$31,'Quick Setup'!$T38,if(DR11='Quick Setup'!$U$31,'Quick Setup'!$U38,if(DR11='Quick Setup'!$V$31,'Quick Setup'!$V38,'Quick Setup'!$W38))))))))))))))))))))</f>
        <v>6</v>
      </c>
      <c r="DT11" s="25">
        <f>if(DR11='Quick Setup'!$C$45,'Quick Setup'!$C52,if(DR11='Quick Setup'!$D$45,'Quick Setup'!$D52,if(DR11='Quick Setup'!$E$45,'Quick Setup'!$E52,if(DR11='Quick Setup'!$F$45,'Quick Setup'!$F52,if(DR11='Quick Setup'!$G$45,'Quick Setup'!$G52,if(DR11='Quick Setup'!$H$45,'Quick Setup'!$H52,if(DR11='Quick Setup'!$I$45,'Quick Setup'!$I52,if(DR11='Quick Setup'!$J$45,'Quick Setup'!$J52,if(DR11='Quick Setup'!$K$45,'Quick Setup'!$K52,if(DR11='Quick Setup'!$L$45,'Quick Setup'!$L52,if(DR11='Quick Setup'!$M$45,'Quick Setup'!$M52,if(DR11='Quick Setup'!$N$45,'Quick Setup'!$N52,if(DR11='Quick Setup'!$O$45,'Quick Setup'!$O52,if(DR11='Quick Setup'!$P$45,'Quick Setup'!$P52,if(DR11='Quick Setup'!$Q$45,'Quick Setup'!$Q52,if(DR11='Quick Setup'!$R$45,'Quick Setup'!$R52,if(DR11='Quick Setup'!$S$45,'Quick Setup'!$S52,if(DR11='Quick Setup'!$T$45,'Quick Setup'!$T52,if(DR11='Quick Setup'!$U$45,'Quick Setup'!$U52,if(DR11='Quick Setup'!$V$45,'Quick Setup'!$V52,'Quick Setup'!$W52))))))))))))))))))))</f>
        <v>11</v>
      </c>
      <c r="DU11" s="27">
        <f t="shared" ref="DU11:EC11" si="130">DI11</f>
        <v>5</v>
      </c>
      <c r="DV11" s="28">
        <f t="shared" si="130"/>
        <v>-0.05</v>
      </c>
      <c r="DW11" s="28">
        <f t="shared" si="130"/>
        <v>-0.02</v>
      </c>
      <c r="DX11" s="28">
        <f t="shared" si="130"/>
        <v>0</v>
      </c>
      <c r="DY11" s="28">
        <f t="shared" si="130"/>
        <v>0.005</v>
      </c>
      <c r="DZ11" s="28">
        <f t="shared" si="130"/>
        <v>0.01</v>
      </c>
      <c r="EA11" s="28">
        <f t="shared" si="130"/>
        <v>0.015</v>
      </c>
      <c r="EB11" s="28">
        <f t="shared" si="130"/>
        <v>0.02</v>
      </c>
      <c r="EC11" s="28">
        <f t="shared" si="130"/>
        <v>0.03</v>
      </c>
      <c r="ED11" s="24">
        <f>'Quick Setup'!N66</f>
        <v>0.725</v>
      </c>
      <c r="EE11" s="25">
        <f>if(ED11='Quick Setup'!$C$31,'Quick Setup'!$C38,if(ED11='Quick Setup'!$D$31,'Quick Setup'!$D38,if(ED11='Quick Setup'!$E$31,'Quick Setup'!$E38,if(ED11='Quick Setup'!$F$31,'Quick Setup'!$F38,if(ED11='Quick Setup'!$G$31,'Quick Setup'!$G38,if(ED11='Quick Setup'!$H$31,'Quick Setup'!$H38,if(ED11='Quick Setup'!$I$31,'Quick Setup'!$I38,if(ED11='Quick Setup'!$J$31,'Quick Setup'!$J38,if(ED11='Quick Setup'!$K$31,'Quick Setup'!$K38,if(ED11='Quick Setup'!$L$31,'Quick Setup'!$L38,if(ED11='Quick Setup'!$M$31,'Quick Setup'!$M38,if(ED11='Quick Setup'!$N$31,'Quick Setup'!$N38,if(ED11='Quick Setup'!$O$31,'Quick Setup'!$O38,if(ED11='Quick Setup'!$P$31,'Quick Setup'!$P38,if(ED11='Quick Setup'!$Q$31,'Quick Setup'!$Q38,if(ED11='Quick Setup'!$R$31,'Quick Setup'!$R38,if(ED11='Quick Setup'!$S$31,'Quick Setup'!$S38,if(ED11='Quick Setup'!$T$31,'Quick Setup'!$T38,if(ED11='Quick Setup'!$U$31,'Quick Setup'!$U38,if(ED11='Quick Setup'!$V$31,'Quick Setup'!$V38,'Quick Setup'!$W38))))))))))))))))))))</f>
        <v>5</v>
      </c>
      <c r="EF11" s="25">
        <f>if(ED11='Quick Setup'!$C$45,'Quick Setup'!$C52,if(ED11='Quick Setup'!$D$45,'Quick Setup'!$D52,if(ED11='Quick Setup'!$E$45,'Quick Setup'!$E52,if(ED11='Quick Setup'!$F$45,'Quick Setup'!$F52,if(ED11='Quick Setup'!$G$45,'Quick Setup'!$G52,if(ED11='Quick Setup'!$H$45,'Quick Setup'!$H52,if(ED11='Quick Setup'!$I$45,'Quick Setup'!$I52,if(ED11='Quick Setup'!$J$45,'Quick Setup'!$J52,if(ED11='Quick Setup'!$K$45,'Quick Setup'!$K52,if(ED11='Quick Setup'!$L$45,'Quick Setup'!$L52,if(ED11='Quick Setup'!$M$45,'Quick Setup'!$M52,if(ED11='Quick Setup'!$N$45,'Quick Setup'!$N52,if(ED11='Quick Setup'!$O$45,'Quick Setup'!$O52,if(ED11='Quick Setup'!$P$45,'Quick Setup'!$P52,if(ED11='Quick Setup'!$Q$45,'Quick Setup'!$Q52,if(ED11='Quick Setup'!$R$45,'Quick Setup'!$R52,if(ED11='Quick Setup'!$S$45,'Quick Setup'!$S52,if(ED11='Quick Setup'!$T$45,'Quick Setup'!$T52,if(ED11='Quick Setup'!$U$45,'Quick Setup'!$U52,if(ED11='Quick Setup'!$V$45,'Quick Setup'!$V52,'Quick Setup'!$W52))))))))))))))))))))</f>
        <v>9</v>
      </c>
      <c r="EG11" s="27">
        <f t="shared" ref="EG11:EO11" si="131">DU11</f>
        <v>5</v>
      </c>
      <c r="EH11" s="28">
        <f t="shared" si="131"/>
        <v>-0.05</v>
      </c>
      <c r="EI11" s="28">
        <f t="shared" si="131"/>
        <v>-0.02</v>
      </c>
      <c r="EJ11" s="28">
        <f t="shared" si="131"/>
        <v>0</v>
      </c>
      <c r="EK11" s="28">
        <f t="shared" si="131"/>
        <v>0.005</v>
      </c>
      <c r="EL11" s="28">
        <f t="shared" si="131"/>
        <v>0.01</v>
      </c>
      <c r="EM11" s="28">
        <f t="shared" si="131"/>
        <v>0.015</v>
      </c>
      <c r="EN11" s="28">
        <f t="shared" si="131"/>
        <v>0.02</v>
      </c>
      <c r="EO11" s="28">
        <f t="shared" si="131"/>
        <v>0.03</v>
      </c>
      <c r="EP11" s="24">
        <f>'Quick Setup'!O66</f>
        <v>0.775</v>
      </c>
      <c r="EQ11" s="25">
        <f>if(EP11='Quick Setup'!$C$31,'Quick Setup'!$C38,if(EP11='Quick Setup'!$D$31,'Quick Setup'!$D38,if(EP11='Quick Setup'!$E$31,'Quick Setup'!$E38,if(EP11='Quick Setup'!$F$31,'Quick Setup'!$F38,if(EP11='Quick Setup'!$G$31,'Quick Setup'!$G38,if(EP11='Quick Setup'!$H$31,'Quick Setup'!$H38,if(EP11='Quick Setup'!$I$31,'Quick Setup'!$I38,if(EP11='Quick Setup'!$J$31,'Quick Setup'!$J38,if(EP11='Quick Setup'!$K$31,'Quick Setup'!$K38,if(EP11='Quick Setup'!$L$31,'Quick Setup'!$L38,if(EP11='Quick Setup'!$M$31,'Quick Setup'!$M38,if(EP11='Quick Setup'!$N$31,'Quick Setup'!$N38,if(EP11='Quick Setup'!$O$31,'Quick Setup'!$O38,if(EP11='Quick Setup'!$P$31,'Quick Setup'!$P38,if(EP11='Quick Setup'!$Q$31,'Quick Setup'!$Q38,if(EP11='Quick Setup'!$R$31,'Quick Setup'!$R38,if(EP11='Quick Setup'!$S$31,'Quick Setup'!$S38,if(EP11='Quick Setup'!$T$31,'Quick Setup'!$T38,if(EP11='Quick Setup'!$U$31,'Quick Setup'!$U38,if(EP11='Quick Setup'!$V$31,'Quick Setup'!$V38,'Quick Setup'!$W38))))))))))))))))))))</f>
        <v>4</v>
      </c>
      <c r="ER11" s="25">
        <f>if(EP11='Quick Setup'!$C$45,'Quick Setup'!$C52,if(EP11='Quick Setup'!$D$45,'Quick Setup'!$D52,if(EP11='Quick Setup'!$E$45,'Quick Setup'!$E52,if(EP11='Quick Setup'!$F$45,'Quick Setup'!$F52,if(EP11='Quick Setup'!$G$45,'Quick Setup'!$G52,if(EP11='Quick Setup'!$H$45,'Quick Setup'!$H52,if(EP11='Quick Setup'!$I$45,'Quick Setup'!$I52,if(EP11='Quick Setup'!$J$45,'Quick Setup'!$J52,if(EP11='Quick Setup'!$K$45,'Quick Setup'!$K52,if(EP11='Quick Setup'!$L$45,'Quick Setup'!$L52,if(EP11='Quick Setup'!$M$45,'Quick Setup'!$M52,if(EP11='Quick Setup'!$N$45,'Quick Setup'!$N52,if(EP11='Quick Setup'!$O$45,'Quick Setup'!$O52,if(EP11='Quick Setup'!$P$45,'Quick Setup'!$P52,if(EP11='Quick Setup'!$Q$45,'Quick Setup'!$Q52,if(EP11='Quick Setup'!$R$45,'Quick Setup'!$R52,if(EP11='Quick Setup'!$S$45,'Quick Setup'!$S52,if(EP11='Quick Setup'!$T$45,'Quick Setup'!$T52,if(EP11='Quick Setup'!$U$45,'Quick Setup'!$U52,if(EP11='Quick Setup'!$V$45,'Quick Setup'!$V52,'Quick Setup'!$W52))))))))))))))))))))</f>
        <v>7</v>
      </c>
      <c r="ES11" s="27">
        <f t="shared" ref="ES11:FA11" si="132">EG11</f>
        <v>5</v>
      </c>
      <c r="ET11" s="28">
        <f t="shared" si="132"/>
        <v>-0.05</v>
      </c>
      <c r="EU11" s="28">
        <f t="shared" si="132"/>
        <v>-0.02</v>
      </c>
      <c r="EV11" s="28">
        <f t="shared" si="132"/>
        <v>0</v>
      </c>
      <c r="EW11" s="28">
        <f t="shared" si="132"/>
        <v>0.005</v>
      </c>
      <c r="EX11" s="28">
        <f t="shared" si="132"/>
        <v>0.01</v>
      </c>
      <c r="EY11" s="28">
        <f t="shared" si="132"/>
        <v>0.015</v>
      </c>
      <c r="EZ11" s="28">
        <f t="shared" si="132"/>
        <v>0.02</v>
      </c>
      <c r="FA11" s="28">
        <f t="shared" si="132"/>
        <v>0.03</v>
      </c>
      <c r="FB11" s="24">
        <f>'Quick Setup'!P66</f>
        <v>0.5</v>
      </c>
      <c r="FC11" s="25">
        <f>if(FB11='Quick Setup'!$C$31,'Quick Setup'!$C38,if(FB11='Quick Setup'!$D$31,'Quick Setup'!$D38,if(FB11='Quick Setup'!$E$31,'Quick Setup'!$E38,if(FB11='Quick Setup'!$F$31,'Quick Setup'!$F38,if(FB11='Quick Setup'!$G$31,'Quick Setup'!$G38,if(FB11='Quick Setup'!$H$31,'Quick Setup'!$H38,if(FB11='Quick Setup'!$I$31,'Quick Setup'!$I38,if(FB11='Quick Setup'!$J$31,'Quick Setup'!$J38,if(FB11='Quick Setup'!$K$31,'Quick Setup'!$K38,if(FB11='Quick Setup'!$L$31,'Quick Setup'!$L38,if(FB11='Quick Setup'!$M$31,'Quick Setup'!$M38,if(FB11='Quick Setup'!$N$31,'Quick Setup'!$N38,if(FB11='Quick Setup'!$O$31,'Quick Setup'!$O38,if(FB11='Quick Setup'!$P$31,'Quick Setup'!$P38,if(FB11='Quick Setup'!$Q$31,'Quick Setup'!$Q38,if(FB11='Quick Setup'!$R$31,'Quick Setup'!$R38,if(FB11='Quick Setup'!$S$31,'Quick Setup'!$S38,if(FB11='Quick Setup'!$T$31,'Quick Setup'!$T38,if(FB11='Quick Setup'!$U$31,'Quick Setup'!$U38,if(FB11='Quick Setup'!$V$31,'Quick Setup'!$V38,'Quick Setup'!$W38))))))))))))))))))))</f>
        <v>8</v>
      </c>
      <c r="FD11" s="25">
        <f>if(FB11='Quick Setup'!$C$45,'Quick Setup'!$C52,if(FB11='Quick Setup'!$D$45,'Quick Setup'!$D52,if(FB11='Quick Setup'!$E$45,'Quick Setup'!$E52,if(FB11='Quick Setup'!$F$45,'Quick Setup'!$F52,if(FB11='Quick Setup'!$G$45,'Quick Setup'!$G52,if(FB11='Quick Setup'!$H$45,'Quick Setup'!$H52,if(FB11='Quick Setup'!$I$45,'Quick Setup'!$I52,if(FB11='Quick Setup'!$J$45,'Quick Setup'!$J52,if(FB11='Quick Setup'!$K$45,'Quick Setup'!$K52,if(FB11='Quick Setup'!$L$45,'Quick Setup'!$L52,if(FB11='Quick Setup'!$M$45,'Quick Setup'!$M52,if(FB11='Quick Setup'!$N$45,'Quick Setup'!$N52,if(FB11='Quick Setup'!$O$45,'Quick Setup'!$O52,if(FB11='Quick Setup'!$P$45,'Quick Setup'!$P52,if(FB11='Quick Setup'!$Q$45,'Quick Setup'!$Q52,if(FB11='Quick Setup'!$R$45,'Quick Setup'!$R52,if(FB11='Quick Setup'!$S$45,'Quick Setup'!$S52,if(FB11='Quick Setup'!$T$45,'Quick Setup'!$T52,if(FB11='Quick Setup'!$U$45,'Quick Setup'!$U52,if(FB11='Quick Setup'!$V$45,'Quick Setup'!$V52,'Quick Setup'!$W52))))))))))))))))))))</f>
        <v>18</v>
      </c>
      <c r="FE11" s="27">
        <f t="shared" ref="FE11:FM11" si="133">ES11</f>
        <v>5</v>
      </c>
      <c r="FF11" s="28">
        <f t="shared" si="133"/>
        <v>-0.05</v>
      </c>
      <c r="FG11" s="28">
        <f t="shared" si="133"/>
        <v>-0.02</v>
      </c>
      <c r="FH11" s="28">
        <f t="shared" si="133"/>
        <v>0</v>
      </c>
      <c r="FI11" s="28">
        <f t="shared" si="133"/>
        <v>0.005</v>
      </c>
      <c r="FJ11" s="28">
        <f t="shared" si="133"/>
        <v>0.01</v>
      </c>
      <c r="FK11" s="28">
        <f t="shared" si="133"/>
        <v>0.015</v>
      </c>
      <c r="FL11" s="28">
        <f t="shared" si="133"/>
        <v>0.02</v>
      </c>
      <c r="FM11" s="28">
        <f t="shared" si="133"/>
        <v>0.03</v>
      </c>
      <c r="FN11" s="24">
        <f>'Quick Setup'!Q66</f>
        <v>0.7</v>
      </c>
      <c r="FO11" s="25">
        <f>if(FN11='Quick Setup'!$C$31,'Quick Setup'!$C38,if(FN11='Quick Setup'!$D$31,'Quick Setup'!$D38,if(FN11='Quick Setup'!$E$31,'Quick Setup'!$E38,if(FN11='Quick Setup'!$F$31,'Quick Setup'!$F38,if(FN11='Quick Setup'!$G$31,'Quick Setup'!$G38,if(FN11='Quick Setup'!$H$31,'Quick Setup'!$H38,if(FN11='Quick Setup'!$I$31,'Quick Setup'!$I38,if(FN11='Quick Setup'!$J$31,'Quick Setup'!$J38,if(FN11='Quick Setup'!$K$31,'Quick Setup'!$K38,if(FN11='Quick Setup'!$L$31,'Quick Setup'!$L38,if(FN11='Quick Setup'!$M$31,'Quick Setup'!$M38,if(FN11='Quick Setup'!$N$31,'Quick Setup'!$N38,if(FN11='Quick Setup'!$O$31,'Quick Setup'!$O38,if(FN11='Quick Setup'!$P$31,'Quick Setup'!$P38,if(FN11='Quick Setup'!$Q$31,'Quick Setup'!$Q38,if(FN11='Quick Setup'!$R$31,'Quick Setup'!$R38,if(FN11='Quick Setup'!$S$31,'Quick Setup'!$S38,if(FN11='Quick Setup'!$T$31,'Quick Setup'!$T38,if(FN11='Quick Setup'!$U$31,'Quick Setup'!$U38,if(FN11='Quick Setup'!$V$31,'Quick Setup'!$V38,'Quick Setup'!$W38))))))))))))))))))))</f>
        <v>5</v>
      </c>
      <c r="FP11" s="25">
        <f>if(FN11='Quick Setup'!$C$45,'Quick Setup'!$C52,if(FN11='Quick Setup'!$D$45,'Quick Setup'!$D52,if(FN11='Quick Setup'!$E$45,'Quick Setup'!$E52,if(FN11='Quick Setup'!$F$45,'Quick Setup'!$F52,if(FN11='Quick Setup'!$G$45,'Quick Setup'!$G52,if(FN11='Quick Setup'!$H$45,'Quick Setup'!$H52,if(FN11='Quick Setup'!$I$45,'Quick Setup'!$I52,if(FN11='Quick Setup'!$J$45,'Quick Setup'!$J52,if(FN11='Quick Setup'!$K$45,'Quick Setup'!$K52,if(FN11='Quick Setup'!$L$45,'Quick Setup'!$L52,if(FN11='Quick Setup'!$M$45,'Quick Setup'!$M52,if(FN11='Quick Setup'!$N$45,'Quick Setup'!$N52,if(FN11='Quick Setup'!$O$45,'Quick Setup'!$O52,if(FN11='Quick Setup'!$P$45,'Quick Setup'!$P52,if(FN11='Quick Setup'!$Q$45,'Quick Setup'!$Q52,if(FN11='Quick Setup'!$R$45,'Quick Setup'!$R52,if(FN11='Quick Setup'!$S$45,'Quick Setup'!$S52,if(FN11='Quick Setup'!$T$45,'Quick Setup'!$T52,if(FN11='Quick Setup'!$U$45,'Quick Setup'!$U52,if(FN11='Quick Setup'!$V$45,'Quick Setup'!$V52,'Quick Setup'!$W52))))))))))))))))))))</f>
        <v>10</v>
      </c>
      <c r="FQ11" s="27">
        <f t="shared" ref="FQ11:FY11" si="134">FE11</f>
        <v>5</v>
      </c>
      <c r="FR11" s="28">
        <f t="shared" si="134"/>
        <v>-0.05</v>
      </c>
      <c r="FS11" s="28">
        <f t="shared" si="134"/>
        <v>-0.02</v>
      </c>
      <c r="FT11" s="28">
        <f t="shared" si="134"/>
        <v>0</v>
      </c>
      <c r="FU11" s="28">
        <f t="shared" si="134"/>
        <v>0.005</v>
      </c>
      <c r="FV11" s="28">
        <f t="shared" si="134"/>
        <v>0.01</v>
      </c>
      <c r="FW11" s="28">
        <f t="shared" si="134"/>
        <v>0.015</v>
      </c>
      <c r="FX11" s="28">
        <f t="shared" si="134"/>
        <v>0.02</v>
      </c>
      <c r="FY11" s="28">
        <f t="shared" si="134"/>
        <v>0.03</v>
      </c>
      <c r="FZ11" s="24">
        <f>'Quick Setup'!R66</f>
        <v>0.75</v>
      </c>
      <c r="GA11" s="25">
        <f>if(FZ11='Quick Setup'!$C$31,'Quick Setup'!$C38,if(FZ11='Quick Setup'!$D$31,'Quick Setup'!$D38,if(FZ11='Quick Setup'!$E$31,'Quick Setup'!$E38,if(FZ11='Quick Setup'!$F$31,'Quick Setup'!$F38,if(FZ11='Quick Setup'!$G$31,'Quick Setup'!$G38,if(FZ11='Quick Setup'!$H$31,'Quick Setup'!$H38,if(FZ11='Quick Setup'!$I$31,'Quick Setup'!$I38,if(FZ11='Quick Setup'!$J$31,'Quick Setup'!$J38,if(FZ11='Quick Setup'!$K$31,'Quick Setup'!$K38,if(FZ11='Quick Setup'!$L$31,'Quick Setup'!$L38,if(FZ11='Quick Setup'!$M$31,'Quick Setup'!$M38,if(FZ11='Quick Setup'!$N$31,'Quick Setup'!$N38,if(FZ11='Quick Setup'!$O$31,'Quick Setup'!$O38,if(FZ11='Quick Setup'!$P$31,'Quick Setup'!$P38,if(FZ11='Quick Setup'!$Q$31,'Quick Setup'!$Q38,if(FZ11='Quick Setup'!$R$31,'Quick Setup'!$R38,if(FZ11='Quick Setup'!$S$31,'Quick Setup'!$S38,if(FZ11='Quick Setup'!$T$31,'Quick Setup'!$T38,if(FZ11='Quick Setup'!$U$31,'Quick Setup'!$U38,if(FZ11='Quick Setup'!$V$31,'Quick Setup'!$V38,'Quick Setup'!$W38))))))))))))))))))))</f>
        <v>4</v>
      </c>
      <c r="GB11" s="25">
        <f>if(FZ11='Quick Setup'!$C$45,'Quick Setup'!$C52,if(FZ11='Quick Setup'!$D$45,'Quick Setup'!$D52,if(FZ11='Quick Setup'!$E$45,'Quick Setup'!$E52,if(FZ11='Quick Setup'!$F$45,'Quick Setup'!$F52,if(FZ11='Quick Setup'!$G$45,'Quick Setup'!$G52,if(FZ11='Quick Setup'!$H$45,'Quick Setup'!$H52,if(FZ11='Quick Setup'!$I$45,'Quick Setup'!$I52,if(FZ11='Quick Setup'!$J$45,'Quick Setup'!$J52,if(FZ11='Quick Setup'!$K$45,'Quick Setup'!$K52,if(FZ11='Quick Setup'!$L$45,'Quick Setup'!$L52,if(FZ11='Quick Setup'!$M$45,'Quick Setup'!$M52,if(FZ11='Quick Setup'!$N$45,'Quick Setup'!$N52,if(FZ11='Quick Setup'!$O$45,'Quick Setup'!$O52,if(FZ11='Quick Setup'!$P$45,'Quick Setup'!$P52,if(FZ11='Quick Setup'!$Q$45,'Quick Setup'!$Q52,if(FZ11='Quick Setup'!$R$45,'Quick Setup'!$R52,if(FZ11='Quick Setup'!$S$45,'Quick Setup'!$S52,if(FZ11='Quick Setup'!$T$45,'Quick Setup'!$T52,if(FZ11='Quick Setup'!$U$45,'Quick Setup'!$U52,if(FZ11='Quick Setup'!$V$45,'Quick Setup'!$V52,'Quick Setup'!$W52))))))))))))))))))))</f>
        <v>8</v>
      </c>
      <c r="GC11" s="27">
        <f t="shared" ref="GC11:GK11" si="135">FQ11</f>
        <v>5</v>
      </c>
      <c r="GD11" s="28">
        <f t="shared" si="135"/>
        <v>-0.05</v>
      </c>
      <c r="GE11" s="28">
        <f t="shared" si="135"/>
        <v>-0.02</v>
      </c>
      <c r="GF11" s="28">
        <f t="shared" si="135"/>
        <v>0</v>
      </c>
      <c r="GG11" s="28">
        <f t="shared" si="135"/>
        <v>0.005</v>
      </c>
      <c r="GH11" s="28">
        <f t="shared" si="135"/>
        <v>0.01</v>
      </c>
      <c r="GI11" s="28">
        <f t="shared" si="135"/>
        <v>0.015</v>
      </c>
      <c r="GJ11" s="28">
        <f t="shared" si="135"/>
        <v>0.02</v>
      </c>
      <c r="GK11" s="28">
        <f t="shared" si="135"/>
        <v>0.03</v>
      </c>
      <c r="GL11" s="24">
        <f>'Quick Setup'!S66</f>
        <v>0.8</v>
      </c>
      <c r="GM11" s="25">
        <f>if(GL11='Quick Setup'!$C$31,'Quick Setup'!$C38,if(GL11='Quick Setup'!$D$31,'Quick Setup'!$D38,if(GL11='Quick Setup'!$E$31,'Quick Setup'!$E38,if(GL11='Quick Setup'!$F$31,'Quick Setup'!$F38,if(GL11='Quick Setup'!$G$31,'Quick Setup'!$G38,if(GL11='Quick Setup'!$H$31,'Quick Setup'!$H38,if(GL11='Quick Setup'!$I$31,'Quick Setup'!$I38,if(GL11='Quick Setup'!$J$31,'Quick Setup'!$J38,if(GL11='Quick Setup'!$K$31,'Quick Setup'!$K38,if(GL11='Quick Setup'!$L$31,'Quick Setup'!$L38,if(GL11='Quick Setup'!$M$31,'Quick Setup'!$M38,if(GL11='Quick Setup'!$N$31,'Quick Setup'!$N38,if(GL11='Quick Setup'!$O$31,'Quick Setup'!$O38,if(GL11='Quick Setup'!$P$31,'Quick Setup'!$P38,if(GL11='Quick Setup'!$Q$31,'Quick Setup'!$Q38,if(GL11='Quick Setup'!$R$31,'Quick Setup'!$R38,if(GL11='Quick Setup'!$S$31,'Quick Setup'!$S38,if(GL11='Quick Setup'!$T$31,'Quick Setup'!$T38,if(GL11='Quick Setup'!$U$31,'Quick Setup'!$U38,if(GL11='Quick Setup'!$V$31,'Quick Setup'!$V38,'Quick Setup'!$W38))))))))))))))))))))</f>
        <v>3</v>
      </c>
      <c r="GN11" s="25">
        <f>if(GL11='Quick Setup'!$C$45,'Quick Setup'!$C52,if(GL11='Quick Setup'!$D$45,'Quick Setup'!$D52,if(GL11='Quick Setup'!$E$45,'Quick Setup'!$E52,if(GL11='Quick Setup'!$F$45,'Quick Setup'!$F52,if(GL11='Quick Setup'!$G$45,'Quick Setup'!$G52,if(GL11='Quick Setup'!$H$45,'Quick Setup'!$H52,if(GL11='Quick Setup'!$I$45,'Quick Setup'!$I52,if(GL11='Quick Setup'!$J$45,'Quick Setup'!$J52,if(GL11='Quick Setup'!$K$45,'Quick Setup'!$K52,if(GL11='Quick Setup'!$L$45,'Quick Setup'!$L52,if(GL11='Quick Setup'!$M$45,'Quick Setup'!$M52,if(GL11='Quick Setup'!$N$45,'Quick Setup'!$N52,if(GL11='Quick Setup'!$O$45,'Quick Setup'!$O52,if(GL11='Quick Setup'!$P$45,'Quick Setup'!$P52,if(GL11='Quick Setup'!$Q$45,'Quick Setup'!$Q52,if(GL11='Quick Setup'!$R$45,'Quick Setup'!$R52,if(GL11='Quick Setup'!$S$45,'Quick Setup'!$S52,if(GL11='Quick Setup'!$T$45,'Quick Setup'!$T52,if(GL11='Quick Setup'!$U$45,'Quick Setup'!$U52,if(GL11='Quick Setup'!$V$45,'Quick Setup'!$V52,'Quick Setup'!$W52))))))))))))))))))))</f>
        <v>6</v>
      </c>
      <c r="GO11" s="27">
        <f t="shared" ref="GO11:GW11" si="136">GC11</f>
        <v>5</v>
      </c>
      <c r="GP11" s="28">
        <f t="shared" si="136"/>
        <v>-0.05</v>
      </c>
      <c r="GQ11" s="28">
        <f t="shared" si="136"/>
        <v>-0.02</v>
      </c>
      <c r="GR11" s="28">
        <f t="shared" si="136"/>
        <v>0</v>
      </c>
      <c r="GS11" s="28">
        <f t="shared" si="136"/>
        <v>0.005</v>
      </c>
      <c r="GT11" s="28">
        <f t="shared" si="136"/>
        <v>0.01</v>
      </c>
      <c r="GU11" s="28">
        <f t="shared" si="136"/>
        <v>0.015</v>
      </c>
      <c r="GV11" s="28">
        <f t="shared" si="136"/>
        <v>0.02</v>
      </c>
      <c r="GW11" s="28">
        <f t="shared" si="136"/>
        <v>0.03</v>
      </c>
      <c r="GX11" s="24">
        <f>'Quick Setup'!T66</f>
        <v>0.75</v>
      </c>
      <c r="GY11" s="25">
        <f>if(GX11='Quick Setup'!$C$31,'Quick Setup'!$C38,if(GX11='Quick Setup'!$D$31,'Quick Setup'!$D38,if(GX11='Quick Setup'!$E$31,'Quick Setup'!$E38,if(GX11='Quick Setup'!$F$31,'Quick Setup'!$F38,if(GX11='Quick Setup'!$G$31,'Quick Setup'!$G38,if(GX11='Quick Setup'!$H$31,'Quick Setup'!$H38,if(GX11='Quick Setup'!$I$31,'Quick Setup'!$I38,if(GX11='Quick Setup'!$J$31,'Quick Setup'!$J38,if(GX11='Quick Setup'!$K$31,'Quick Setup'!$K38,if(GX11='Quick Setup'!$L$31,'Quick Setup'!$L38,if(GX11='Quick Setup'!$M$31,'Quick Setup'!$M38,if(GX11='Quick Setup'!$N$31,'Quick Setup'!$N38,if(GX11='Quick Setup'!$O$31,'Quick Setup'!$O38,if(GX11='Quick Setup'!$P$31,'Quick Setup'!$P38,if(GX11='Quick Setup'!$Q$31,'Quick Setup'!$Q38,if(GX11='Quick Setup'!$R$31,'Quick Setup'!$R38,if(GX11='Quick Setup'!$S$31,'Quick Setup'!$S38,if(GX11='Quick Setup'!$T$31,'Quick Setup'!$T38,if(GX11='Quick Setup'!$U$31,'Quick Setup'!$U38,if(GX11='Quick Setup'!$V$31,'Quick Setup'!$V38,'Quick Setup'!$W38))))))))))))))))))))</f>
        <v>4</v>
      </c>
      <c r="GZ11" s="25">
        <f>if(GX11='Quick Setup'!$C$45,'Quick Setup'!$C52,if(GX11='Quick Setup'!$D$45,'Quick Setup'!$D52,if(GX11='Quick Setup'!$E$45,'Quick Setup'!$E52,if(GX11='Quick Setup'!$F$45,'Quick Setup'!$F52,if(GX11='Quick Setup'!$G$45,'Quick Setup'!$G52,if(GX11='Quick Setup'!$H$45,'Quick Setup'!$H52,if(GX11='Quick Setup'!$I$45,'Quick Setup'!$I52,if(GX11='Quick Setup'!$J$45,'Quick Setup'!$J52,if(GX11='Quick Setup'!$K$45,'Quick Setup'!$K52,if(GX11='Quick Setup'!$L$45,'Quick Setup'!$L52,if(GX11='Quick Setup'!$M$45,'Quick Setup'!$M52,if(GX11='Quick Setup'!$N$45,'Quick Setup'!$N52,if(GX11='Quick Setup'!$O$45,'Quick Setup'!$O52,if(GX11='Quick Setup'!$P$45,'Quick Setup'!$P52,if(GX11='Quick Setup'!$Q$45,'Quick Setup'!$Q52,if(GX11='Quick Setup'!$R$45,'Quick Setup'!$R52,if(GX11='Quick Setup'!$S$45,'Quick Setup'!$S52,if(GX11='Quick Setup'!$T$45,'Quick Setup'!$T52,if(GX11='Quick Setup'!$U$45,'Quick Setup'!$U52,if(GX11='Quick Setup'!$V$45,'Quick Setup'!$V52,'Quick Setup'!$W52))))))))))))))))))))</f>
        <v>8</v>
      </c>
      <c r="HA11" s="27">
        <f t="shared" ref="HA11:HI11" si="137">GO11</f>
        <v>5</v>
      </c>
      <c r="HB11" s="28">
        <f t="shared" si="137"/>
        <v>-0.05</v>
      </c>
      <c r="HC11" s="28">
        <f t="shared" si="137"/>
        <v>-0.02</v>
      </c>
      <c r="HD11" s="28">
        <f t="shared" si="137"/>
        <v>0</v>
      </c>
      <c r="HE11" s="28">
        <f t="shared" si="137"/>
        <v>0.005</v>
      </c>
      <c r="HF11" s="28">
        <f t="shared" si="137"/>
        <v>0.01</v>
      </c>
      <c r="HG11" s="28">
        <f t="shared" si="137"/>
        <v>0.015</v>
      </c>
      <c r="HH11" s="28">
        <f t="shared" si="137"/>
        <v>0.02</v>
      </c>
      <c r="HI11" s="28">
        <f t="shared" si="137"/>
        <v>0.03</v>
      </c>
      <c r="HJ11" s="24">
        <f>'Quick Setup'!U66</f>
        <v>0.8</v>
      </c>
      <c r="HK11" s="25">
        <f>if(HJ11='Quick Setup'!$C$31,'Quick Setup'!$C38,if(HJ11='Quick Setup'!$D$31,'Quick Setup'!$D38,if(HJ11='Quick Setup'!$E$31,'Quick Setup'!$E38,if(HJ11='Quick Setup'!$F$31,'Quick Setup'!$F38,if(HJ11='Quick Setup'!$G$31,'Quick Setup'!$G38,if(HJ11='Quick Setup'!$H$31,'Quick Setup'!$H38,if(HJ11='Quick Setup'!$I$31,'Quick Setup'!$I38,if(HJ11='Quick Setup'!$J$31,'Quick Setup'!$J38,if(HJ11='Quick Setup'!$K$31,'Quick Setup'!$K38,if(HJ11='Quick Setup'!$L$31,'Quick Setup'!$L38,if(HJ11='Quick Setup'!$M$31,'Quick Setup'!$M38,if(HJ11='Quick Setup'!$N$31,'Quick Setup'!$N38,if(HJ11='Quick Setup'!$O$31,'Quick Setup'!$O38,if(HJ11='Quick Setup'!$P$31,'Quick Setup'!$P38,if(HJ11='Quick Setup'!$Q$31,'Quick Setup'!$Q38,if(HJ11='Quick Setup'!$R$31,'Quick Setup'!$R38,if(HJ11='Quick Setup'!$S$31,'Quick Setup'!$S38,if(HJ11='Quick Setup'!$T$31,'Quick Setup'!$T38,if(HJ11='Quick Setup'!$U$31,'Quick Setup'!$U38,if(HJ11='Quick Setup'!$V$31,'Quick Setup'!$V38,'Quick Setup'!$W38))))))))))))))))))))</f>
        <v>3</v>
      </c>
      <c r="HL11" s="25">
        <f>if(HJ11='Quick Setup'!$C$45,'Quick Setup'!$C52,if(HJ11='Quick Setup'!$D$45,'Quick Setup'!$D52,if(HJ11='Quick Setup'!$E$45,'Quick Setup'!$E52,if(HJ11='Quick Setup'!$F$45,'Quick Setup'!$F52,if(HJ11='Quick Setup'!$G$45,'Quick Setup'!$G52,if(HJ11='Quick Setup'!$H$45,'Quick Setup'!$H52,if(HJ11='Quick Setup'!$I$45,'Quick Setup'!$I52,if(HJ11='Quick Setup'!$J$45,'Quick Setup'!$J52,if(HJ11='Quick Setup'!$K$45,'Quick Setup'!$K52,if(HJ11='Quick Setup'!$L$45,'Quick Setup'!$L52,if(HJ11='Quick Setup'!$M$45,'Quick Setup'!$M52,if(HJ11='Quick Setup'!$N$45,'Quick Setup'!$N52,if(HJ11='Quick Setup'!$O$45,'Quick Setup'!$O52,if(HJ11='Quick Setup'!$P$45,'Quick Setup'!$P52,if(HJ11='Quick Setup'!$Q$45,'Quick Setup'!$Q52,if(HJ11='Quick Setup'!$R$45,'Quick Setup'!$R52,if(HJ11='Quick Setup'!$S$45,'Quick Setup'!$S52,if(HJ11='Quick Setup'!$T$45,'Quick Setup'!$T52,if(HJ11='Quick Setup'!$U$45,'Quick Setup'!$U52,if(HJ11='Quick Setup'!$V$45,'Quick Setup'!$V52,'Quick Setup'!$W52))))))))))))))))))))</f>
        <v>6</v>
      </c>
      <c r="HM11" s="27">
        <f t="shared" ref="HM11:HU11" si="138">HA11</f>
        <v>5</v>
      </c>
      <c r="HN11" s="28">
        <f t="shared" si="138"/>
        <v>-0.05</v>
      </c>
      <c r="HO11" s="28">
        <f t="shared" si="138"/>
        <v>-0.02</v>
      </c>
      <c r="HP11" s="28">
        <f t="shared" si="138"/>
        <v>0</v>
      </c>
      <c r="HQ11" s="28">
        <f t="shared" si="138"/>
        <v>0.005</v>
      </c>
      <c r="HR11" s="28">
        <f t="shared" si="138"/>
        <v>0.01</v>
      </c>
      <c r="HS11" s="28">
        <f t="shared" si="138"/>
        <v>0.015</v>
      </c>
      <c r="HT11" s="28">
        <f t="shared" si="138"/>
        <v>0.02</v>
      </c>
      <c r="HU11" s="28">
        <f t="shared" si="138"/>
        <v>0.03</v>
      </c>
      <c r="HV11" s="24">
        <f>'Quick Setup'!V66</f>
        <v>0.85</v>
      </c>
      <c r="HW11" s="25">
        <f>if(HV11='Quick Setup'!$C$31,'Quick Setup'!$C38,if(HV11='Quick Setup'!$D$31,'Quick Setup'!$D38,if(HV11='Quick Setup'!$E$31,'Quick Setup'!$E38,if(HV11='Quick Setup'!$F$31,'Quick Setup'!$F38,if(HV11='Quick Setup'!$G$31,'Quick Setup'!$G38,if(HV11='Quick Setup'!$H$31,'Quick Setup'!$H38,if(HV11='Quick Setup'!$I$31,'Quick Setup'!$I38,if(HV11='Quick Setup'!$J$31,'Quick Setup'!$J38,if(HV11='Quick Setup'!$K$31,'Quick Setup'!$K38,if(HV11='Quick Setup'!$L$31,'Quick Setup'!$L38,if(HV11='Quick Setup'!$M$31,'Quick Setup'!$M38,if(HV11='Quick Setup'!$N$31,'Quick Setup'!$N38,if(HV11='Quick Setup'!$O$31,'Quick Setup'!$O38,if(HV11='Quick Setup'!$P$31,'Quick Setup'!$P38,if(HV11='Quick Setup'!$Q$31,'Quick Setup'!$Q38,if(HV11='Quick Setup'!$R$31,'Quick Setup'!$R38,if(HV11='Quick Setup'!$S$31,'Quick Setup'!$S38,if(HV11='Quick Setup'!$T$31,'Quick Setup'!$T38,if(HV11='Quick Setup'!$U$31,'Quick Setup'!$U38,if(HV11='Quick Setup'!$V$31,'Quick Setup'!$V38,'Quick Setup'!$W38))))))))))))))))))))</f>
        <v>2</v>
      </c>
      <c r="HX11" s="25">
        <f>if(HV11='Quick Setup'!$C$45,'Quick Setup'!$C52,if(HV11='Quick Setup'!$D$45,'Quick Setup'!$D52,if(HV11='Quick Setup'!$E$45,'Quick Setup'!$E52,if(HV11='Quick Setup'!$F$45,'Quick Setup'!$F52,if(HV11='Quick Setup'!$G$45,'Quick Setup'!$G52,if(HV11='Quick Setup'!$H$45,'Quick Setup'!$H52,if(HV11='Quick Setup'!$I$45,'Quick Setup'!$I52,if(HV11='Quick Setup'!$J$45,'Quick Setup'!$J52,if(HV11='Quick Setup'!$K$45,'Quick Setup'!$K52,if(HV11='Quick Setup'!$L$45,'Quick Setup'!$L52,if(HV11='Quick Setup'!$M$45,'Quick Setup'!$M52,if(HV11='Quick Setup'!$N$45,'Quick Setup'!$N52,if(HV11='Quick Setup'!$O$45,'Quick Setup'!$O52,if(HV11='Quick Setup'!$P$45,'Quick Setup'!$P52,if(HV11='Quick Setup'!$Q$45,'Quick Setup'!$Q52,if(HV11='Quick Setup'!$R$45,'Quick Setup'!$R52,if(HV11='Quick Setup'!$S$45,'Quick Setup'!$S52,if(HV11='Quick Setup'!$T$45,'Quick Setup'!$T52,if(HV11='Quick Setup'!$U$45,'Quick Setup'!$U52,if(HV11='Quick Setup'!$V$45,'Quick Setup'!$V52,'Quick Setup'!$W52))))))))))))))))))))</f>
        <v>4</v>
      </c>
      <c r="HY11" s="27">
        <f t="shared" ref="HY11:IG11" si="139">HM11</f>
        <v>5</v>
      </c>
      <c r="HZ11" s="28">
        <f t="shared" si="139"/>
        <v>-0.05</v>
      </c>
      <c r="IA11" s="28">
        <f t="shared" si="139"/>
        <v>-0.02</v>
      </c>
      <c r="IB11" s="28">
        <f t="shared" si="139"/>
        <v>0</v>
      </c>
      <c r="IC11" s="28">
        <f t="shared" si="139"/>
        <v>0.005</v>
      </c>
      <c r="ID11" s="28">
        <f t="shared" si="139"/>
        <v>0.01</v>
      </c>
      <c r="IE11" s="28">
        <f t="shared" si="139"/>
        <v>0.015</v>
      </c>
      <c r="IF11" s="28">
        <f t="shared" si="139"/>
        <v>0.02</v>
      </c>
      <c r="IG11" s="28">
        <f t="shared" si="139"/>
        <v>0.03</v>
      </c>
      <c r="IH11" s="24">
        <f>'Quick Setup'!W66</f>
        <v>0.5</v>
      </c>
      <c r="II11" s="25">
        <f>if(IH11='Quick Setup'!$C$31,'Quick Setup'!$C38,if(IH11='Quick Setup'!$D$31,'Quick Setup'!$D38,if(IH11='Quick Setup'!$E$31,'Quick Setup'!$E38,if(IH11='Quick Setup'!$F$31,'Quick Setup'!$F38,if(IH11='Quick Setup'!$G$31,'Quick Setup'!$G38,if(IH11='Quick Setup'!$H$31,'Quick Setup'!$H38,if(IH11='Quick Setup'!$I$31,'Quick Setup'!$I38,if(IH11='Quick Setup'!$J$31,'Quick Setup'!$J38,if(IH11='Quick Setup'!$K$31,'Quick Setup'!$K38,if(IH11='Quick Setup'!$L$31,'Quick Setup'!$L38,if(IH11='Quick Setup'!$M$31,'Quick Setup'!$M38,if(IH11='Quick Setup'!$N$31,'Quick Setup'!$N38,if(IH11='Quick Setup'!$O$31,'Quick Setup'!$O38,if(IH11='Quick Setup'!$P$31,'Quick Setup'!$P38,if(IH11='Quick Setup'!$Q$31,'Quick Setup'!$Q38,if(IH11='Quick Setup'!$R$31,'Quick Setup'!$R38,if(IH11='Quick Setup'!$S$31,'Quick Setup'!$S38,if(IH11='Quick Setup'!$T$31,'Quick Setup'!$T38,if(IH11='Quick Setup'!$U$31,'Quick Setup'!$U38,if(IH11='Quick Setup'!$V$31,'Quick Setup'!$V38,'Quick Setup'!$W38))))))))))))))))))))</f>
        <v>8</v>
      </c>
      <c r="IJ11" s="25">
        <f>if(IH11='Quick Setup'!$C$45,'Quick Setup'!$C52,if(IH11='Quick Setup'!$D$45,'Quick Setup'!$D52,if(IH11='Quick Setup'!$E$45,'Quick Setup'!$E52,if(IH11='Quick Setup'!$F$45,'Quick Setup'!$F52,if(IH11='Quick Setup'!$G$45,'Quick Setup'!$G52,if(IH11='Quick Setup'!$H$45,'Quick Setup'!$H52,if(IH11='Quick Setup'!$I$45,'Quick Setup'!$I52,if(IH11='Quick Setup'!$J$45,'Quick Setup'!$J52,if(IH11='Quick Setup'!$K$45,'Quick Setup'!$K52,if(IH11='Quick Setup'!$L$45,'Quick Setup'!$L52,if(IH11='Quick Setup'!$M$45,'Quick Setup'!$M52,if(IH11='Quick Setup'!$N$45,'Quick Setup'!$N52,if(IH11='Quick Setup'!$O$45,'Quick Setup'!$O52,if(IH11='Quick Setup'!$P$45,'Quick Setup'!$P52,if(IH11='Quick Setup'!$Q$45,'Quick Setup'!$Q52,if(IH11='Quick Setup'!$R$45,'Quick Setup'!$R52,if(IH11='Quick Setup'!$S$45,'Quick Setup'!$S52,if(IH11='Quick Setup'!$T$45,'Quick Setup'!$T52,if(IH11='Quick Setup'!$U$45,'Quick Setup'!$U52,if(IH11='Quick Setup'!$V$45,'Quick Setup'!$V52,'Quick Setup'!$W52))))))))))))))))))))</f>
        <v>18</v>
      </c>
      <c r="IK11" s="27">
        <f t="shared" ref="IK11:IS11" si="140">HY11</f>
        <v>5</v>
      </c>
      <c r="IL11" s="28">
        <f t="shared" si="140"/>
        <v>-0.05</v>
      </c>
      <c r="IM11" s="28">
        <f t="shared" si="140"/>
        <v>-0.02</v>
      </c>
      <c r="IN11" s="28">
        <f t="shared" si="140"/>
        <v>0</v>
      </c>
      <c r="IO11" s="28">
        <f t="shared" si="140"/>
        <v>0.005</v>
      </c>
      <c r="IP11" s="28">
        <f t="shared" si="140"/>
        <v>0.01</v>
      </c>
      <c r="IQ11" s="28">
        <f t="shared" si="140"/>
        <v>0.015</v>
      </c>
      <c r="IR11" s="28">
        <f t="shared" si="140"/>
        <v>0.02</v>
      </c>
      <c r="IS11" s="28">
        <f t="shared" si="140"/>
        <v>0.03</v>
      </c>
    </row>
    <row r="12">
      <c r="A12" t="str">
        <f>'Quick Setup'!C14</f>
        <v>Incline Press</v>
      </c>
      <c r="B12" s="24">
        <f>'Quick Setup'!C67</f>
        <v>0.6</v>
      </c>
      <c r="C12" s="25">
        <f>if(B12='Quick Setup'!$C$31,'Quick Setup'!$C39,if(B12='Quick Setup'!$D$31,'Quick Setup'!$D39,if(B12='Quick Setup'!$E$31,'Quick Setup'!$E39,if(B12='Quick Setup'!$F$31,'Quick Setup'!$F39,if(B12='Quick Setup'!$G$31,'Quick Setup'!$G39,if(B12='Quick Setup'!$H$31,'Quick Setup'!$H39,if(B12='Quick Setup'!$I$31,'Quick Setup'!$I39,if(B12='Quick Setup'!$J$31,'Quick Setup'!$J39,if(B12='Quick Setup'!$K$31,'Quick Setup'!$K39,if(B12='Quick Setup'!$L$31,'Quick Setup'!$L39,if(B12='Quick Setup'!$M$31,'Quick Setup'!$M39,if(B12='Quick Setup'!$N$31,'Quick Setup'!$N39,if(B12='Quick Setup'!$O$31,'Quick Setup'!$O39,if(B12='Quick Setup'!$P$31,'Quick Setup'!$P39,if(B12='Quick Setup'!$Q$31,'Quick Setup'!$Q39,if(B12='Quick Setup'!$R$31,'Quick Setup'!$R39,if(B12='Quick Setup'!$S$31,'Quick Setup'!$S39,if(B12='Quick Setup'!$T$31,'Quick Setup'!$T39,if(B12='Quick Setup'!$U$31,'Quick Setup'!$U39,if(B12='Quick Setup'!$V$31,'Quick Setup'!$V39,'Quick Setup'!$W39))))))))))))))))))))</f>
        <v>7</v>
      </c>
      <c r="D12" s="25">
        <f>if(B12='Quick Setup'!$C$45,'Quick Setup'!$C53,if(B12='Quick Setup'!$D$45,'Quick Setup'!$D53,if(B12='Quick Setup'!$E$45,'Quick Setup'!$E53,if(B12='Quick Setup'!$F$45,'Quick Setup'!$F53,if(B12='Quick Setup'!$G$45,'Quick Setup'!$G53,if(B12='Quick Setup'!$H$45,'Quick Setup'!$H53,if(B12='Quick Setup'!$I$45,'Quick Setup'!$I53,if(B12='Quick Setup'!$J$45,'Quick Setup'!$J53,if(B12='Quick Setup'!$K$45,'Quick Setup'!$K53,if(B12='Quick Setup'!$L$45,'Quick Setup'!$L53,if(B12='Quick Setup'!$M$45,'Quick Setup'!$M53,if(B12='Quick Setup'!$N$45,'Quick Setup'!$N53,if(B12='Quick Setup'!$O$45,'Quick Setup'!$O53,if(B12='Quick Setup'!$P$45,'Quick Setup'!$P53,if(B12='Quick Setup'!$Q$45,'Quick Setup'!$Q53,if(B12='Quick Setup'!$R$45,'Quick Setup'!$R53,if(B12='Quick Setup'!$S$45,'Quick Setup'!$S53,if(B12='Quick Setup'!$T$45,'Quick Setup'!$T53,if(B12='Quick Setup'!$U$45,'Quick Setup'!$U53,if(B12='Quick Setup'!$V$45,'Quick Setup'!$V53,'Quick Setup'!$W53))))))))))))))))))))</f>
        <v>14</v>
      </c>
      <c r="E12" s="25">
        <f>'Quick Setup'!H13</f>
        <v>5</v>
      </c>
      <c r="F12" s="26">
        <f>'Quick Setup'!I13</f>
        <v>-0.05</v>
      </c>
      <c r="G12" s="26">
        <f>'Quick Setup'!J13</f>
        <v>-0.02</v>
      </c>
      <c r="H12" s="26">
        <f>'Quick Setup'!K13</f>
        <v>0</v>
      </c>
      <c r="I12" s="26">
        <f>'Quick Setup'!L13</f>
        <v>0.005</v>
      </c>
      <c r="J12" s="26">
        <f>'Quick Setup'!M13</f>
        <v>0.01</v>
      </c>
      <c r="K12" s="26">
        <f>'Quick Setup'!N13</f>
        <v>0.015</v>
      </c>
      <c r="L12" s="26">
        <f>'Quick Setup'!O13</f>
        <v>0.02</v>
      </c>
      <c r="M12" s="26">
        <f>'Quick Setup'!P13</f>
        <v>0.03</v>
      </c>
      <c r="N12" s="24">
        <f>'Quick Setup'!D67</f>
        <v>0.65</v>
      </c>
      <c r="O12" s="25">
        <f>if(N12='Quick Setup'!$C$31,'Quick Setup'!$C39,if(N12='Quick Setup'!$D$31,'Quick Setup'!$D39,if(N12='Quick Setup'!$E$31,'Quick Setup'!$E39,if(N12='Quick Setup'!$F$31,'Quick Setup'!$F39,if(N12='Quick Setup'!$G$31,'Quick Setup'!$G39,if(N12='Quick Setup'!$H$31,'Quick Setup'!$H39,if(N12='Quick Setup'!$I$31,'Quick Setup'!$I39,if(N12='Quick Setup'!$J$31,'Quick Setup'!$J39,if(N12='Quick Setup'!$K$31,'Quick Setup'!$K39,if(N12='Quick Setup'!$L$31,'Quick Setup'!$L39,if(N12='Quick Setup'!$M$31,'Quick Setup'!$M39,if(N12='Quick Setup'!$N$31,'Quick Setup'!$N39,if(N12='Quick Setup'!$O$31,'Quick Setup'!$O39,if(N12='Quick Setup'!$P$31,'Quick Setup'!$P39,if(N12='Quick Setup'!$Q$31,'Quick Setup'!$Q39,if(N12='Quick Setup'!$R$31,'Quick Setup'!$R39,if(N12='Quick Setup'!$S$31,'Quick Setup'!$S39,if(N12='Quick Setup'!$T$31,'Quick Setup'!$T39,if(N12='Quick Setup'!$U$31,'Quick Setup'!$U39,if(N12='Quick Setup'!$V$31,'Quick Setup'!$V39,'Quick Setup'!$W39))))))))))))))))))))</f>
        <v>6</v>
      </c>
      <c r="P12" s="25">
        <f>if(N12='Quick Setup'!$C$45,'Quick Setup'!$C53,if(N12='Quick Setup'!$D$45,'Quick Setup'!$D53,if(N12='Quick Setup'!$E$45,'Quick Setup'!$E53,if(N12='Quick Setup'!$F$45,'Quick Setup'!$F53,if(N12='Quick Setup'!$G$45,'Quick Setup'!$G53,if(N12='Quick Setup'!$H$45,'Quick Setup'!$H53,if(N12='Quick Setup'!$I$45,'Quick Setup'!$I53,if(N12='Quick Setup'!$J$45,'Quick Setup'!$J53,if(N12='Quick Setup'!$K$45,'Quick Setup'!$K53,if(N12='Quick Setup'!$L$45,'Quick Setup'!$L53,if(N12='Quick Setup'!$M$45,'Quick Setup'!$M53,if(N12='Quick Setup'!$N$45,'Quick Setup'!$N53,if(N12='Quick Setup'!$O$45,'Quick Setup'!$O53,if(N12='Quick Setup'!$P$45,'Quick Setup'!$P53,if(N12='Quick Setup'!$Q$45,'Quick Setup'!$Q53,if(N12='Quick Setup'!$R$45,'Quick Setup'!$R53,if(N12='Quick Setup'!$S$45,'Quick Setup'!$S53,if(N12='Quick Setup'!$T$45,'Quick Setup'!$T53,if(N12='Quick Setup'!$U$45,'Quick Setup'!$U53,if(N12='Quick Setup'!$V$45,'Quick Setup'!$V53,'Quick Setup'!$W53))))))))))))))))))))</f>
        <v>12</v>
      </c>
      <c r="Q12" s="25">
        <f t="shared" ref="Q12:Y12" si="141">E12</f>
        <v>5</v>
      </c>
      <c r="R12" s="26">
        <f t="shared" si="141"/>
        <v>-0.05</v>
      </c>
      <c r="S12" s="26">
        <f t="shared" si="141"/>
        <v>-0.02</v>
      </c>
      <c r="T12" s="26">
        <f t="shared" si="141"/>
        <v>0</v>
      </c>
      <c r="U12" s="26">
        <f t="shared" si="141"/>
        <v>0.005</v>
      </c>
      <c r="V12" s="26">
        <f t="shared" si="141"/>
        <v>0.01</v>
      </c>
      <c r="W12" s="26">
        <f t="shared" si="141"/>
        <v>0.015</v>
      </c>
      <c r="X12" s="26">
        <f t="shared" si="141"/>
        <v>0.02</v>
      </c>
      <c r="Y12" s="26">
        <f t="shared" si="141"/>
        <v>0.03</v>
      </c>
      <c r="Z12" s="24">
        <f>'Quick Setup'!E67</f>
        <v>0.7</v>
      </c>
      <c r="AA12" s="25">
        <f>if(Z12='Quick Setup'!$C$31,'Quick Setup'!$C39,if(Z12='Quick Setup'!$D$31,'Quick Setup'!$D39,if(Z12='Quick Setup'!$E$31,'Quick Setup'!$E39,if(Z12='Quick Setup'!$F$31,'Quick Setup'!$F39,if(Z12='Quick Setup'!$G$31,'Quick Setup'!$G39,if(Z12='Quick Setup'!$H$31,'Quick Setup'!$H39,if(Z12='Quick Setup'!$I$31,'Quick Setup'!$I39,if(Z12='Quick Setup'!$J$31,'Quick Setup'!$J39,if(Z12='Quick Setup'!$K$31,'Quick Setup'!$K39,if(Z12='Quick Setup'!$L$31,'Quick Setup'!$L39,if(Z12='Quick Setup'!$M$31,'Quick Setup'!$M39,if(Z12='Quick Setup'!$N$31,'Quick Setup'!$N39,if(Z12='Quick Setup'!$O$31,'Quick Setup'!$O39,if(Z12='Quick Setup'!$P$31,'Quick Setup'!$P39,if(Z12='Quick Setup'!$Q$31,'Quick Setup'!$Q39,if(Z12='Quick Setup'!$R$31,'Quick Setup'!$R39,if(Z12='Quick Setup'!$S$31,'Quick Setup'!$S39,if(Z12='Quick Setup'!$T$31,'Quick Setup'!$T39,if(Z12='Quick Setup'!$U$31,'Quick Setup'!$U39,if(Z12='Quick Setup'!$V$31,'Quick Setup'!$V39,'Quick Setup'!$W39))))))))))))))))))))</f>
        <v>5</v>
      </c>
      <c r="AB12" s="25">
        <f>if(Z12='Quick Setup'!$C$45,'Quick Setup'!$C53,if(Z12='Quick Setup'!$D$45,'Quick Setup'!$D53,if(Z12='Quick Setup'!$E$45,'Quick Setup'!$E53,if(Z12='Quick Setup'!$F$45,'Quick Setup'!$F53,if(Z12='Quick Setup'!$G$45,'Quick Setup'!$G53,if(Z12='Quick Setup'!$H$45,'Quick Setup'!$H53,if(Z12='Quick Setup'!$I$45,'Quick Setup'!$I53,if(Z12='Quick Setup'!$J$45,'Quick Setup'!$J53,if(Z12='Quick Setup'!$K$45,'Quick Setup'!$K53,if(Z12='Quick Setup'!$L$45,'Quick Setup'!$L53,if(Z12='Quick Setup'!$M$45,'Quick Setup'!$M53,if(Z12='Quick Setup'!$N$45,'Quick Setup'!$N53,if(Z12='Quick Setup'!$O$45,'Quick Setup'!$O53,if(Z12='Quick Setup'!$P$45,'Quick Setup'!$P53,if(Z12='Quick Setup'!$Q$45,'Quick Setup'!$Q53,if(Z12='Quick Setup'!$R$45,'Quick Setup'!$R53,if(Z12='Quick Setup'!$S$45,'Quick Setup'!$S53,if(Z12='Quick Setup'!$T$45,'Quick Setup'!$T53,if(Z12='Quick Setup'!$U$45,'Quick Setup'!$U53,if(Z12='Quick Setup'!$V$45,'Quick Setup'!$V53,'Quick Setup'!$W53))))))))))))))))))))</f>
        <v>10</v>
      </c>
      <c r="AC12" s="25">
        <f t="shared" ref="AC12:AK12" si="142">Q12</f>
        <v>5</v>
      </c>
      <c r="AD12" s="26">
        <f t="shared" si="142"/>
        <v>-0.05</v>
      </c>
      <c r="AE12" s="26">
        <f t="shared" si="142"/>
        <v>-0.02</v>
      </c>
      <c r="AF12" s="26">
        <f t="shared" si="142"/>
        <v>0</v>
      </c>
      <c r="AG12" s="26">
        <f t="shared" si="142"/>
        <v>0.005</v>
      </c>
      <c r="AH12" s="26">
        <f t="shared" si="142"/>
        <v>0.01</v>
      </c>
      <c r="AI12" s="26">
        <f t="shared" si="142"/>
        <v>0.015</v>
      </c>
      <c r="AJ12" s="26">
        <f t="shared" si="142"/>
        <v>0.02</v>
      </c>
      <c r="AK12" s="26">
        <f t="shared" si="142"/>
        <v>0.03</v>
      </c>
      <c r="AL12" s="24">
        <f>'Quick Setup'!F67</f>
        <v>0.625</v>
      </c>
      <c r="AM12" s="25">
        <f>if(AL12='Quick Setup'!$C$31,'Quick Setup'!$C39,if(AL12='Quick Setup'!$D$31,'Quick Setup'!$D39,if(AL12='Quick Setup'!$E$31,'Quick Setup'!$E39,if(AL12='Quick Setup'!$F$31,'Quick Setup'!$F39,if(AL12='Quick Setup'!$G$31,'Quick Setup'!$G39,if(AL12='Quick Setup'!$H$31,'Quick Setup'!$H39,if(AL12='Quick Setup'!$I$31,'Quick Setup'!$I39,if(AL12='Quick Setup'!$J$31,'Quick Setup'!$J39,if(AL12='Quick Setup'!$K$31,'Quick Setup'!$K39,if(AL12='Quick Setup'!$L$31,'Quick Setup'!$L39,if(AL12='Quick Setup'!$M$31,'Quick Setup'!$M39,if(AL12='Quick Setup'!$N$31,'Quick Setup'!$N39,if(AL12='Quick Setup'!$O$31,'Quick Setup'!$O39,if(AL12='Quick Setup'!$P$31,'Quick Setup'!$P39,if(AL12='Quick Setup'!$Q$31,'Quick Setup'!$Q39,if(AL12='Quick Setup'!$R$31,'Quick Setup'!$R39,if(AL12='Quick Setup'!$S$31,'Quick Setup'!$S39,if(AL12='Quick Setup'!$T$31,'Quick Setup'!$T39,if(AL12='Quick Setup'!$U$31,'Quick Setup'!$U39,if(AL12='Quick Setup'!$V$31,'Quick Setup'!$V39,'Quick Setup'!$W39))))))))))))))))))))</f>
        <v>7</v>
      </c>
      <c r="AN12" s="25">
        <f>if(AL12='Quick Setup'!$C$45,'Quick Setup'!$C53,if(AL12='Quick Setup'!$D$45,'Quick Setup'!$D53,if(AL12='Quick Setup'!$E$45,'Quick Setup'!$E53,if(AL12='Quick Setup'!$F$45,'Quick Setup'!$F53,if(AL12='Quick Setup'!$G$45,'Quick Setup'!$G53,if(AL12='Quick Setup'!$H$45,'Quick Setup'!$H53,if(AL12='Quick Setup'!$I$45,'Quick Setup'!$I53,if(AL12='Quick Setup'!$J$45,'Quick Setup'!$J53,if(AL12='Quick Setup'!$K$45,'Quick Setup'!$K53,if(AL12='Quick Setup'!$L$45,'Quick Setup'!$L53,if(AL12='Quick Setup'!$M$45,'Quick Setup'!$M53,if(AL12='Quick Setup'!$N$45,'Quick Setup'!$N53,if(AL12='Quick Setup'!$O$45,'Quick Setup'!$O53,if(AL12='Quick Setup'!$P$45,'Quick Setup'!$P53,if(AL12='Quick Setup'!$Q$45,'Quick Setup'!$Q53,if(AL12='Quick Setup'!$R$45,'Quick Setup'!$R53,if(AL12='Quick Setup'!$S$45,'Quick Setup'!$S53,if(AL12='Quick Setup'!$T$45,'Quick Setup'!$T53,if(AL12='Quick Setup'!$U$45,'Quick Setup'!$U53,if(AL12='Quick Setup'!$V$45,'Quick Setup'!$V53,'Quick Setup'!$W53))))))))))))))))))))</f>
        <v>13</v>
      </c>
      <c r="AO12" s="25">
        <f t="shared" ref="AO12:AW12" si="143">AC12</f>
        <v>5</v>
      </c>
      <c r="AP12" s="26">
        <f t="shared" si="143"/>
        <v>-0.05</v>
      </c>
      <c r="AQ12" s="26">
        <f t="shared" si="143"/>
        <v>-0.02</v>
      </c>
      <c r="AR12" s="26">
        <f t="shared" si="143"/>
        <v>0</v>
      </c>
      <c r="AS12" s="26">
        <f t="shared" si="143"/>
        <v>0.005</v>
      </c>
      <c r="AT12" s="26">
        <f t="shared" si="143"/>
        <v>0.01</v>
      </c>
      <c r="AU12" s="26">
        <f t="shared" si="143"/>
        <v>0.015</v>
      </c>
      <c r="AV12" s="26">
        <f t="shared" si="143"/>
        <v>0.02</v>
      </c>
      <c r="AW12" s="26">
        <f t="shared" si="143"/>
        <v>0.03</v>
      </c>
      <c r="AX12" s="24">
        <f>'Quick Setup'!G67</f>
        <v>0.675</v>
      </c>
      <c r="AY12" s="25">
        <f>if(AX12='Quick Setup'!$C$31,'Quick Setup'!$C39,if(AX12='Quick Setup'!$D$31,'Quick Setup'!$D39,if(AX12='Quick Setup'!$E$31,'Quick Setup'!$E39,if(AX12='Quick Setup'!$F$31,'Quick Setup'!$F39,if(AX12='Quick Setup'!$G$31,'Quick Setup'!$G39,if(AX12='Quick Setup'!$H$31,'Quick Setup'!$H39,if(AX12='Quick Setup'!$I$31,'Quick Setup'!$I39,if(AX12='Quick Setup'!$J$31,'Quick Setup'!$J39,if(AX12='Quick Setup'!$K$31,'Quick Setup'!$K39,if(AX12='Quick Setup'!$L$31,'Quick Setup'!$L39,if(AX12='Quick Setup'!$M$31,'Quick Setup'!$M39,if(AX12='Quick Setup'!$N$31,'Quick Setup'!$N39,if(AX12='Quick Setup'!$O$31,'Quick Setup'!$O39,if(AX12='Quick Setup'!$P$31,'Quick Setup'!$P39,if(AX12='Quick Setup'!$Q$31,'Quick Setup'!$Q39,if(AX12='Quick Setup'!$R$31,'Quick Setup'!$R39,if(AX12='Quick Setup'!$S$31,'Quick Setup'!$S39,if(AX12='Quick Setup'!$T$31,'Quick Setup'!$T39,if(AX12='Quick Setup'!$U$31,'Quick Setup'!$U39,if(AX12='Quick Setup'!$V$31,'Quick Setup'!$V39,'Quick Setup'!$W39))))))))))))))))))))</f>
        <v>6</v>
      </c>
      <c r="AZ12" s="25">
        <f>if(AX12='Quick Setup'!$C$45,'Quick Setup'!$C53,if(AX12='Quick Setup'!$D$45,'Quick Setup'!$D53,if(AX12='Quick Setup'!$E$45,'Quick Setup'!$E53,if(AX12='Quick Setup'!$F$45,'Quick Setup'!$F53,if(AX12='Quick Setup'!$G$45,'Quick Setup'!$G53,if(AX12='Quick Setup'!$H$45,'Quick Setup'!$H53,if(AX12='Quick Setup'!$I$45,'Quick Setup'!$I53,if(AX12='Quick Setup'!$J$45,'Quick Setup'!$J53,if(AX12='Quick Setup'!$K$45,'Quick Setup'!$K53,if(AX12='Quick Setup'!$L$45,'Quick Setup'!$L53,if(AX12='Quick Setup'!$M$45,'Quick Setup'!$M53,if(AX12='Quick Setup'!$N$45,'Quick Setup'!$N53,if(AX12='Quick Setup'!$O$45,'Quick Setup'!$O53,if(AX12='Quick Setup'!$P$45,'Quick Setup'!$P53,if(AX12='Quick Setup'!$Q$45,'Quick Setup'!$Q53,if(AX12='Quick Setup'!$R$45,'Quick Setup'!$R53,if(AX12='Quick Setup'!$S$45,'Quick Setup'!$S53,if(AX12='Quick Setup'!$T$45,'Quick Setup'!$T53,if(AX12='Quick Setup'!$U$45,'Quick Setup'!$U53,if(AX12='Quick Setup'!$V$45,'Quick Setup'!$V53,'Quick Setup'!$W53))))))))))))))))))))</f>
        <v>11</v>
      </c>
      <c r="BA12" s="25">
        <f t="shared" ref="BA12:BI12" si="144">AO12</f>
        <v>5</v>
      </c>
      <c r="BB12" s="26">
        <f t="shared" si="144"/>
        <v>-0.05</v>
      </c>
      <c r="BC12" s="26">
        <f t="shared" si="144"/>
        <v>-0.02</v>
      </c>
      <c r="BD12" s="26">
        <f t="shared" si="144"/>
        <v>0</v>
      </c>
      <c r="BE12" s="26">
        <f t="shared" si="144"/>
        <v>0.005</v>
      </c>
      <c r="BF12" s="26">
        <f t="shared" si="144"/>
        <v>0.01</v>
      </c>
      <c r="BG12" s="26">
        <f t="shared" si="144"/>
        <v>0.015</v>
      </c>
      <c r="BH12" s="26">
        <f t="shared" si="144"/>
        <v>0.02</v>
      </c>
      <c r="BI12" s="26">
        <f t="shared" si="144"/>
        <v>0.03</v>
      </c>
      <c r="BJ12" s="24">
        <f>'Quick Setup'!H67</f>
        <v>0.725</v>
      </c>
      <c r="BK12" s="25">
        <f>if(BJ12='Quick Setup'!$C$31,'Quick Setup'!$C39,if(BJ12='Quick Setup'!$D$31,'Quick Setup'!$D39,if(BJ12='Quick Setup'!$E$31,'Quick Setup'!$E39,if(BJ12='Quick Setup'!$F$31,'Quick Setup'!$F39,if(BJ12='Quick Setup'!$G$31,'Quick Setup'!$G39,if(BJ12='Quick Setup'!$H$31,'Quick Setup'!$H39,if(BJ12='Quick Setup'!$I$31,'Quick Setup'!$I39,if(BJ12='Quick Setup'!$J$31,'Quick Setup'!$J39,if(BJ12='Quick Setup'!$K$31,'Quick Setup'!$K39,if(BJ12='Quick Setup'!$L$31,'Quick Setup'!$L39,if(BJ12='Quick Setup'!$M$31,'Quick Setup'!$M39,if(BJ12='Quick Setup'!$N$31,'Quick Setup'!$N39,if(BJ12='Quick Setup'!$O$31,'Quick Setup'!$O39,if(BJ12='Quick Setup'!$P$31,'Quick Setup'!$P39,if(BJ12='Quick Setup'!$Q$31,'Quick Setup'!$Q39,if(BJ12='Quick Setup'!$R$31,'Quick Setup'!$R39,if(BJ12='Quick Setup'!$S$31,'Quick Setup'!$S39,if(BJ12='Quick Setup'!$T$31,'Quick Setup'!$T39,if(BJ12='Quick Setup'!$U$31,'Quick Setup'!$U39,if(BJ12='Quick Setup'!$V$31,'Quick Setup'!$V39,'Quick Setup'!$W39))))))))))))))))))))</f>
        <v>5</v>
      </c>
      <c r="BL12" s="25">
        <f>if(BJ12='Quick Setup'!$C$45,'Quick Setup'!$C53,if(BJ12='Quick Setup'!$D$45,'Quick Setup'!$D53,if(BJ12='Quick Setup'!$E$45,'Quick Setup'!$E53,if(BJ12='Quick Setup'!$F$45,'Quick Setup'!$F53,if(BJ12='Quick Setup'!$G$45,'Quick Setup'!$G53,if(BJ12='Quick Setup'!$H$45,'Quick Setup'!$H53,if(BJ12='Quick Setup'!$I$45,'Quick Setup'!$I53,if(BJ12='Quick Setup'!$J$45,'Quick Setup'!$J53,if(BJ12='Quick Setup'!$K$45,'Quick Setup'!$K53,if(BJ12='Quick Setup'!$L$45,'Quick Setup'!$L53,if(BJ12='Quick Setup'!$M$45,'Quick Setup'!$M53,if(BJ12='Quick Setup'!$N$45,'Quick Setup'!$N53,if(BJ12='Quick Setup'!$O$45,'Quick Setup'!$O53,if(BJ12='Quick Setup'!$P$45,'Quick Setup'!$P53,if(BJ12='Quick Setup'!$Q$45,'Quick Setup'!$Q53,if(BJ12='Quick Setup'!$R$45,'Quick Setup'!$R53,if(BJ12='Quick Setup'!$S$45,'Quick Setup'!$S53,if(BJ12='Quick Setup'!$T$45,'Quick Setup'!$T53,if(BJ12='Quick Setup'!$U$45,'Quick Setup'!$U53,if(BJ12='Quick Setup'!$V$45,'Quick Setup'!$V53,'Quick Setup'!$W53))))))))))))))))))))</f>
        <v>9</v>
      </c>
      <c r="BM12" s="27">
        <f t="shared" ref="BM12:BU12" si="145">BA12</f>
        <v>5</v>
      </c>
      <c r="BN12" s="28">
        <f t="shared" si="145"/>
        <v>-0.05</v>
      </c>
      <c r="BO12" s="28">
        <f t="shared" si="145"/>
        <v>-0.02</v>
      </c>
      <c r="BP12" s="28">
        <f t="shared" si="145"/>
        <v>0</v>
      </c>
      <c r="BQ12" s="28">
        <f t="shared" si="145"/>
        <v>0.005</v>
      </c>
      <c r="BR12" s="28">
        <f t="shared" si="145"/>
        <v>0.01</v>
      </c>
      <c r="BS12" s="28">
        <f t="shared" si="145"/>
        <v>0.015</v>
      </c>
      <c r="BT12" s="28">
        <f t="shared" si="145"/>
        <v>0.02</v>
      </c>
      <c r="BU12" s="28">
        <f t="shared" si="145"/>
        <v>0.03</v>
      </c>
      <c r="BV12" s="24">
        <f>'Quick Setup'!I67</f>
        <v>0.5</v>
      </c>
      <c r="BW12" s="25">
        <f>if(BV12='Quick Setup'!$C$31,'Quick Setup'!$C39,if(BV12='Quick Setup'!$D$31,'Quick Setup'!$D39,if(BV12='Quick Setup'!$E$31,'Quick Setup'!$E39,if(BV12='Quick Setup'!$F$31,'Quick Setup'!$F39,if(BV12='Quick Setup'!$G$31,'Quick Setup'!$G39,if(BV12='Quick Setup'!$H$31,'Quick Setup'!$H39,if(BV12='Quick Setup'!$I$31,'Quick Setup'!$I39,if(BV12='Quick Setup'!$J$31,'Quick Setup'!$J39,if(BV12='Quick Setup'!$K$31,'Quick Setup'!$K39,if(BV12='Quick Setup'!$L$31,'Quick Setup'!$L39,if(BV12='Quick Setup'!$M$31,'Quick Setup'!$M39,if(BV12='Quick Setup'!$N$31,'Quick Setup'!$N39,if(BV12='Quick Setup'!$O$31,'Quick Setup'!$O39,if(BV12='Quick Setup'!$P$31,'Quick Setup'!$P39,if(BV12='Quick Setup'!$Q$31,'Quick Setup'!$Q39,if(BV12='Quick Setup'!$R$31,'Quick Setup'!$R39,if(BV12='Quick Setup'!$S$31,'Quick Setup'!$S39,if(BV12='Quick Setup'!$T$31,'Quick Setup'!$T39,if(BV12='Quick Setup'!$U$31,'Quick Setup'!$U39,if(BV12='Quick Setup'!$V$31,'Quick Setup'!$V39,'Quick Setup'!$W39))))))))))))))))))))</f>
        <v>8</v>
      </c>
      <c r="BX12" s="25">
        <f>if(BV12='Quick Setup'!$C$45,'Quick Setup'!$C53,if(BV12='Quick Setup'!$D$45,'Quick Setup'!$D53,if(BV12='Quick Setup'!$E$45,'Quick Setup'!$E53,if(BV12='Quick Setup'!$F$45,'Quick Setup'!$F53,if(BV12='Quick Setup'!$G$45,'Quick Setup'!$G53,if(BV12='Quick Setup'!$H$45,'Quick Setup'!$H53,if(BV12='Quick Setup'!$I$45,'Quick Setup'!$I53,if(BV12='Quick Setup'!$J$45,'Quick Setup'!$J53,if(BV12='Quick Setup'!$K$45,'Quick Setup'!$K53,if(BV12='Quick Setup'!$L$45,'Quick Setup'!$L53,if(BV12='Quick Setup'!$M$45,'Quick Setup'!$M53,if(BV12='Quick Setup'!$N$45,'Quick Setup'!$N53,if(BV12='Quick Setup'!$O$45,'Quick Setup'!$O53,if(BV12='Quick Setup'!$P$45,'Quick Setup'!$P53,if(BV12='Quick Setup'!$Q$45,'Quick Setup'!$Q53,if(BV12='Quick Setup'!$R$45,'Quick Setup'!$R53,if(BV12='Quick Setup'!$S$45,'Quick Setup'!$S53,if(BV12='Quick Setup'!$T$45,'Quick Setup'!$T53,if(BV12='Quick Setup'!$U$45,'Quick Setup'!$U53,if(BV12='Quick Setup'!$V$45,'Quick Setup'!$V53,'Quick Setup'!$W53))))))))))))))))))))</f>
        <v>18</v>
      </c>
      <c r="BY12" s="27">
        <f t="shared" ref="BY12:CG12" si="146">BM12</f>
        <v>5</v>
      </c>
      <c r="BZ12" s="28">
        <f t="shared" si="146"/>
        <v>-0.05</v>
      </c>
      <c r="CA12" s="28">
        <f t="shared" si="146"/>
        <v>-0.02</v>
      </c>
      <c r="CB12" s="28">
        <f t="shared" si="146"/>
        <v>0</v>
      </c>
      <c r="CC12" s="28">
        <f t="shared" si="146"/>
        <v>0.005</v>
      </c>
      <c r="CD12" s="28">
        <f t="shared" si="146"/>
        <v>0.01</v>
      </c>
      <c r="CE12" s="28">
        <f t="shared" si="146"/>
        <v>0.015</v>
      </c>
      <c r="CF12" s="28">
        <f t="shared" si="146"/>
        <v>0.02</v>
      </c>
      <c r="CG12" s="28">
        <f t="shared" si="146"/>
        <v>0.03</v>
      </c>
      <c r="CH12" s="24">
        <f>'Quick Setup'!J67</f>
        <v>0.65</v>
      </c>
      <c r="CI12" s="25">
        <f>if(CH12='Quick Setup'!$C$31,'Quick Setup'!$C39,if(CH12='Quick Setup'!$D$31,'Quick Setup'!$D39,if(CH12='Quick Setup'!$E$31,'Quick Setup'!$E39,if(CH12='Quick Setup'!$F$31,'Quick Setup'!$F39,if(CH12='Quick Setup'!$G$31,'Quick Setup'!$G39,if(CH12='Quick Setup'!$H$31,'Quick Setup'!$H39,if(CH12='Quick Setup'!$I$31,'Quick Setup'!$I39,if(CH12='Quick Setup'!$J$31,'Quick Setup'!$J39,if(CH12='Quick Setup'!$K$31,'Quick Setup'!$K39,if(CH12='Quick Setup'!$L$31,'Quick Setup'!$L39,if(CH12='Quick Setup'!$M$31,'Quick Setup'!$M39,if(CH12='Quick Setup'!$N$31,'Quick Setup'!$N39,if(CH12='Quick Setup'!$O$31,'Quick Setup'!$O39,if(CH12='Quick Setup'!$P$31,'Quick Setup'!$P39,if(CH12='Quick Setup'!$Q$31,'Quick Setup'!$Q39,if(CH12='Quick Setup'!$R$31,'Quick Setup'!$R39,if(CH12='Quick Setup'!$S$31,'Quick Setup'!$S39,if(CH12='Quick Setup'!$T$31,'Quick Setup'!$T39,if(CH12='Quick Setup'!$U$31,'Quick Setup'!$U39,if(CH12='Quick Setup'!$V$31,'Quick Setup'!$V39,'Quick Setup'!$W39))))))))))))))))))))</f>
        <v>6</v>
      </c>
      <c r="CJ12" s="25">
        <f>if(CH12='Quick Setup'!$C$45,'Quick Setup'!$C53,if(CH12='Quick Setup'!$D$45,'Quick Setup'!$D53,if(CH12='Quick Setup'!$E$45,'Quick Setup'!$E53,if(CH12='Quick Setup'!$F$45,'Quick Setup'!$F53,if(CH12='Quick Setup'!$G$45,'Quick Setup'!$G53,if(CH12='Quick Setup'!$H$45,'Quick Setup'!$H53,if(CH12='Quick Setup'!$I$45,'Quick Setup'!$I53,if(CH12='Quick Setup'!$J$45,'Quick Setup'!$J53,if(CH12='Quick Setup'!$K$45,'Quick Setup'!$K53,if(CH12='Quick Setup'!$L$45,'Quick Setup'!$L53,if(CH12='Quick Setup'!$M$45,'Quick Setup'!$M53,if(CH12='Quick Setup'!$N$45,'Quick Setup'!$N53,if(CH12='Quick Setup'!$O$45,'Quick Setup'!$O53,if(CH12='Quick Setup'!$P$45,'Quick Setup'!$P53,if(CH12='Quick Setup'!$Q$45,'Quick Setup'!$Q53,if(CH12='Quick Setup'!$R$45,'Quick Setup'!$R53,if(CH12='Quick Setup'!$S$45,'Quick Setup'!$S53,if(CH12='Quick Setup'!$T$45,'Quick Setup'!$T53,if(CH12='Quick Setup'!$U$45,'Quick Setup'!$U53,if(CH12='Quick Setup'!$V$45,'Quick Setup'!$V53,'Quick Setup'!$W53))))))))))))))))))))</f>
        <v>12</v>
      </c>
      <c r="CK12" s="27">
        <f t="shared" ref="CK12:CS12" si="147">BY12</f>
        <v>5</v>
      </c>
      <c r="CL12" s="28">
        <f t="shared" si="147"/>
        <v>-0.05</v>
      </c>
      <c r="CM12" s="28">
        <f t="shared" si="147"/>
        <v>-0.02</v>
      </c>
      <c r="CN12" s="28">
        <f t="shared" si="147"/>
        <v>0</v>
      </c>
      <c r="CO12" s="28">
        <f t="shared" si="147"/>
        <v>0.005</v>
      </c>
      <c r="CP12" s="28">
        <f t="shared" si="147"/>
        <v>0.01</v>
      </c>
      <c r="CQ12" s="28">
        <f t="shared" si="147"/>
        <v>0.015</v>
      </c>
      <c r="CR12" s="28">
        <f t="shared" si="147"/>
        <v>0.02</v>
      </c>
      <c r="CS12" s="28">
        <f t="shared" si="147"/>
        <v>0.03</v>
      </c>
      <c r="CT12" s="24">
        <f>'Quick Setup'!K67</f>
        <v>0.7</v>
      </c>
      <c r="CU12" s="25">
        <f>if(CT12='Quick Setup'!$C$31,'Quick Setup'!$C39,if(CT12='Quick Setup'!$D$31,'Quick Setup'!$D39,if(CT12='Quick Setup'!$E$31,'Quick Setup'!$E39,if(CT12='Quick Setup'!$F$31,'Quick Setup'!$F39,if(CT12='Quick Setup'!$G$31,'Quick Setup'!$G39,if(CT12='Quick Setup'!$H$31,'Quick Setup'!$H39,if(CT12='Quick Setup'!$I$31,'Quick Setup'!$I39,if(CT12='Quick Setup'!$J$31,'Quick Setup'!$J39,if(CT12='Quick Setup'!$K$31,'Quick Setup'!$K39,if(CT12='Quick Setup'!$L$31,'Quick Setup'!$L39,if(CT12='Quick Setup'!$M$31,'Quick Setup'!$M39,if(CT12='Quick Setup'!$N$31,'Quick Setup'!$N39,if(CT12='Quick Setup'!$O$31,'Quick Setup'!$O39,if(CT12='Quick Setup'!$P$31,'Quick Setup'!$P39,if(CT12='Quick Setup'!$Q$31,'Quick Setup'!$Q39,if(CT12='Quick Setup'!$R$31,'Quick Setup'!$R39,if(CT12='Quick Setup'!$S$31,'Quick Setup'!$S39,if(CT12='Quick Setup'!$T$31,'Quick Setup'!$T39,if(CT12='Quick Setup'!$U$31,'Quick Setup'!$U39,if(CT12='Quick Setup'!$V$31,'Quick Setup'!$V39,'Quick Setup'!$W39))))))))))))))))))))</f>
        <v>5</v>
      </c>
      <c r="CV12" s="25">
        <f>if(CT12='Quick Setup'!$C$45,'Quick Setup'!$C53,if(CT12='Quick Setup'!$D$45,'Quick Setup'!$D53,if(CT12='Quick Setup'!$E$45,'Quick Setup'!$E53,if(CT12='Quick Setup'!$F$45,'Quick Setup'!$F53,if(CT12='Quick Setup'!$G$45,'Quick Setup'!$G53,if(CT12='Quick Setup'!$H$45,'Quick Setup'!$H53,if(CT12='Quick Setup'!$I$45,'Quick Setup'!$I53,if(CT12='Quick Setup'!$J$45,'Quick Setup'!$J53,if(CT12='Quick Setup'!$K$45,'Quick Setup'!$K53,if(CT12='Quick Setup'!$L$45,'Quick Setup'!$L53,if(CT12='Quick Setup'!$M$45,'Quick Setup'!$M53,if(CT12='Quick Setup'!$N$45,'Quick Setup'!$N53,if(CT12='Quick Setup'!$O$45,'Quick Setup'!$O53,if(CT12='Quick Setup'!$P$45,'Quick Setup'!$P53,if(CT12='Quick Setup'!$Q$45,'Quick Setup'!$Q53,if(CT12='Quick Setup'!$R$45,'Quick Setup'!$R53,if(CT12='Quick Setup'!$S$45,'Quick Setup'!$S53,if(CT12='Quick Setup'!$T$45,'Quick Setup'!$T53,if(CT12='Quick Setup'!$U$45,'Quick Setup'!$U53,if(CT12='Quick Setup'!$V$45,'Quick Setup'!$V53,'Quick Setup'!$W53))))))))))))))))))))</f>
        <v>10</v>
      </c>
      <c r="CW12" s="27">
        <f t="shared" ref="CW12:DE12" si="148">CK12</f>
        <v>5</v>
      </c>
      <c r="CX12" s="28">
        <f t="shared" si="148"/>
        <v>-0.05</v>
      </c>
      <c r="CY12" s="28">
        <f t="shared" si="148"/>
        <v>-0.02</v>
      </c>
      <c r="CZ12" s="28">
        <f t="shared" si="148"/>
        <v>0</v>
      </c>
      <c r="DA12" s="28">
        <f t="shared" si="148"/>
        <v>0.005</v>
      </c>
      <c r="DB12" s="28">
        <f t="shared" si="148"/>
        <v>0.01</v>
      </c>
      <c r="DC12" s="28">
        <f t="shared" si="148"/>
        <v>0.015</v>
      </c>
      <c r="DD12" s="28">
        <f t="shared" si="148"/>
        <v>0.02</v>
      </c>
      <c r="DE12" s="28">
        <f t="shared" si="148"/>
        <v>0.03</v>
      </c>
      <c r="DF12" s="24">
        <f>'Quick Setup'!L67</f>
        <v>0.75</v>
      </c>
      <c r="DG12" s="25">
        <f>if(DF12='Quick Setup'!$C$31,'Quick Setup'!$C39,if(DF12='Quick Setup'!$D$31,'Quick Setup'!$D39,if(DF12='Quick Setup'!$E$31,'Quick Setup'!$E39,if(DF12='Quick Setup'!$F$31,'Quick Setup'!$F39,if(DF12='Quick Setup'!$G$31,'Quick Setup'!$G39,if(DF12='Quick Setup'!$H$31,'Quick Setup'!$H39,if(DF12='Quick Setup'!$I$31,'Quick Setup'!$I39,if(DF12='Quick Setup'!$J$31,'Quick Setup'!$J39,if(DF12='Quick Setup'!$K$31,'Quick Setup'!$K39,if(DF12='Quick Setup'!$L$31,'Quick Setup'!$L39,if(DF12='Quick Setup'!$M$31,'Quick Setup'!$M39,if(DF12='Quick Setup'!$N$31,'Quick Setup'!$N39,if(DF12='Quick Setup'!$O$31,'Quick Setup'!$O39,if(DF12='Quick Setup'!$P$31,'Quick Setup'!$P39,if(DF12='Quick Setup'!$Q$31,'Quick Setup'!$Q39,if(DF12='Quick Setup'!$R$31,'Quick Setup'!$R39,if(DF12='Quick Setup'!$S$31,'Quick Setup'!$S39,if(DF12='Quick Setup'!$T$31,'Quick Setup'!$T39,if(DF12='Quick Setup'!$U$31,'Quick Setup'!$U39,if(DF12='Quick Setup'!$V$31,'Quick Setup'!$V39,'Quick Setup'!$W39))))))))))))))))))))</f>
        <v>4</v>
      </c>
      <c r="DH12" s="25">
        <f>if(DF12='Quick Setup'!$C$45,'Quick Setup'!$C53,if(DF12='Quick Setup'!$D$45,'Quick Setup'!$D53,if(DF12='Quick Setup'!$E$45,'Quick Setup'!$E53,if(DF12='Quick Setup'!$F$45,'Quick Setup'!$F53,if(DF12='Quick Setup'!$G$45,'Quick Setup'!$G53,if(DF12='Quick Setup'!$H$45,'Quick Setup'!$H53,if(DF12='Quick Setup'!$I$45,'Quick Setup'!$I53,if(DF12='Quick Setup'!$J$45,'Quick Setup'!$J53,if(DF12='Quick Setup'!$K$45,'Quick Setup'!$K53,if(DF12='Quick Setup'!$L$45,'Quick Setup'!$L53,if(DF12='Quick Setup'!$M$45,'Quick Setup'!$M53,if(DF12='Quick Setup'!$N$45,'Quick Setup'!$N53,if(DF12='Quick Setup'!$O$45,'Quick Setup'!$O53,if(DF12='Quick Setup'!$P$45,'Quick Setup'!$P53,if(DF12='Quick Setup'!$Q$45,'Quick Setup'!$Q53,if(DF12='Quick Setup'!$R$45,'Quick Setup'!$R53,if(DF12='Quick Setup'!$S$45,'Quick Setup'!$S53,if(DF12='Quick Setup'!$T$45,'Quick Setup'!$T53,if(DF12='Quick Setup'!$U$45,'Quick Setup'!$U53,if(DF12='Quick Setup'!$V$45,'Quick Setup'!$V53,'Quick Setup'!$W53))))))))))))))))))))</f>
        <v>8</v>
      </c>
      <c r="DI12" s="27">
        <f t="shared" ref="DI12:DQ12" si="149">CW12</f>
        <v>5</v>
      </c>
      <c r="DJ12" s="28">
        <f t="shared" si="149"/>
        <v>-0.05</v>
      </c>
      <c r="DK12" s="28">
        <f t="shared" si="149"/>
        <v>-0.02</v>
      </c>
      <c r="DL12" s="28">
        <f t="shared" si="149"/>
        <v>0</v>
      </c>
      <c r="DM12" s="28">
        <f t="shared" si="149"/>
        <v>0.005</v>
      </c>
      <c r="DN12" s="28">
        <f t="shared" si="149"/>
        <v>0.01</v>
      </c>
      <c r="DO12" s="28">
        <f t="shared" si="149"/>
        <v>0.015</v>
      </c>
      <c r="DP12" s="28">
        <f t="shared" si="149"/>
        <v>0.02</v>
      </c>
      <c r="DQ12" s="28">
        <f t="shared" si="149"/>
        <v>0.03</v>
      </c>
      <c r="DR12" s="24">
        <f>'Quick Setup'!M67</f>
        <v>0.675</v>
      </c>
      <c r="DS12" s="25">
        <f>if(DR12='Quick Setup'!$C$31,'Quick Setup'!$C39,if(DR12='Quick Setup'!$D$31,'Quick Setup'!$D39,if(DR12='Quick Setup'!$E$31,'Quick Setup'!$E39,if(DR12='Quick Setup'!$F$31,'Quick Setup'!$F39,if(DR12='Quick Setup'!$G$31,'Quick Setup'!$G39,if(DR12='Quick Setup'!$H$31,'Quick Setup'!$H39,if(DR12='Quick Setup'!$I$31,'Quick Setup'!$I39,if(DR12='Quick Setup'!$J$31,'Quick Setup'!$J39,if(DR12='Quick Setup'!$K$31,'Quick Setup'!$K39,if(DR12='Quick Setup'!$L$31,'Quick Setup'!$L39,if(DR12='Quick Setup'!$M$31,'Quick Setup'!$M39,if(DR12='Quick Setup'!$N$31,'Quick Setup'!$N39,if(DR12='Quick Setup'!$O$31,'Quick Setup'!$O39,if(DR12='Quick Setup'!$P$31,'Quick Setup'!$P39,if(DR12='Quick Setup'!$Q$31,'Quick Setup'!$Q39,if(DR12='Quick Setup'!$R$31,'Quick Setup'!$R39,if(DR12='Quick Setup'!$S$31,'Quick Setup'!$S39,if(DR12='Quick Setup'!$T$31,'Quick Setup'!$T39,if(DR12='Quick Setup'!$U$31,'Quick Setup'!$U39,if(DR12='Quick Setup'!$V$31,'Quick Setup'!$V39,'Quick Setup'!$W39))))))))))))))))))))</f>
        <v>6</v>
      </c>
      <c r="DT12" s="25">
        <f>if(DR12='Quick Setup'!$C$45,'Quick Setup'!$C53,if(DR12='Quick Setup'!$D$45,'Quick Setup'!$D53,if(DR12='Quick Setup'!$E$45,'Quick Setup'!$E53,if(DR12='Quick Setup'!$F$45,'Quick Setup'!$F53,if(DR12='Quick Setup'!$G$45,'Quick Setup'!$G53,if(DR12='Quick Setup'!$H$45,'Quick Setup'!$H53,if(DR12='Quick Setup'!$I$45,'Quick Setup'!$I53,if(DR12='Quick Setup'!$J$45,'Quick Setup'!$J53,if(DR12='Quick Setup'!$K$45,'Quick Setup'!$K53,if(DR12='Quick Setup'!$L$45,'Quick Setup'!$L53,if(DR12='Quick Setup'!$M$45,'Quick Setup'!$M53,if(DR12='Quick Setup'!$N$45,'Quick Setup'!$N53,if(DR12='Quick Setup'!$O$45,'Quick Setup'!$O53,if(DR12='Quick Setup'!$P$45,'Quick Setup'!$P53,if(DR12='Quick Setup'!$Q$45,'Quick Setup'!$Q53,if(DR12='Quick Setup'!$R$45,'Quick Setup'!$R53,if(DR12='Quick Setup'!$S$45,'Quick Setup'!$S53,if(DR12='Quick Setup'!$T$45,'Quick Setup'!$T53,if(DR12='Quick Setup'!$U$45,'Quick Setup'!$U53,if(DR12='Quick Setup'!$V$45,'Quick Setup'!$V53,'Quick Setup'!$W53))))))))))))))))))))</f>
        <v>11</v>
      </c>
      <c r="DU12" s="27">
        <f t="shared" ref="DU12:EC12" si="150">DI12</f>
        <v>5</v>
      </c>
      <c r="DV12" s="28">
        <f t="shared" si="150"/>
        <v>-0.05</v>
      </c>
      <c r="DW12" s="28">
        <f t="shared" si="150"/>
        <v>-0.02</v>
      </c>
      <c r="DX12" s="28">
        <f t="shared" si="150"/>
        <v>0</v>
      </c>
      <c r="DY12" s="28">
        <f t="shared" si="150"/>
        <v>0.005</v>
      </c>
      <c r="DZ12" s="28">
        <f t="shared" si="150"/>
        <v>0.01</v>
      </c>
      <c r="EA12" s="28">
        <f t="shared" si="150"/>
        <v>0.015</v>
      </c>
      <c r="EB12" s="28">
        <f t="shared" si="150"/>
        <v>0.02</v>
      </c>
      <c r="EC12" s="28">
        <f t="shared" si="150"/>
        <v>0.03</v>
      </c>
      <c r="ED12" s="24">
        <f>'Quick Setup'!N67</f>
        <v>0.725</v>
      </c>
      <c r="EE12" s="25">
        <f>if(ED12='Quick Setup'!$C$31,'Quick Setup'!$C39,if(ED12='Quick Setup'!$D$31,'Quick Setup'!$D39,if(ED12='Quick Setup'!$E$31,'Quick Setup'!$E39,if(ED12='Quick Setup'!$F$31,'Quick Setup'!$F39,if(ED12='Quick Setup'!$G$31,'Quick Setup'!$G39,if(ED12='Quick Setup'!$H$31,'Quick Setup'!$H39,if(ED12='Quick Setup'!$I$31,'Quick Setup'!$I39,if(ED12='Quick Setup'!$J$31,'Quick Setup'!$J39,if(ED12='Quick Setup'!$K$31,'Quick Setup'!$K39,if(ED12='Quick Setup'!$L$31,'Quick Setup'!$L39,if(ED12='Quick Setup'!$M$31,'Quick Setup'!$M39,if(ED12='Quick Setup'!$N$31,'Quick Setup'!$N39,if(ED12='Quick Setup'!$O$31,'Quick Setup'!$O39,if(ED12='Quick Setup'!$P$31,'Quick Setup'!$P39,if(ED12='Quick Setup'!$Q$31,'Quick Setup'!$Q39,if(ED12='Quick Setup'!$R$31,'Quick Setup'!$R39,if(ED12='Quick Setup'!$S$31,'Quick Setup'!$S39,if(ED12='Quick Setup'!$T$31,'Quick Setup'!$T39,if(ED12='Quick Setup'!$U$31,'Quick Setup'!$U39,if(ED12='Quick Setup'!$V$31,'Quick Setup'!$V39,'Quick Setup'!$W39))))))))))))))))))))</f>
        <v>5</v>
      </c>
      <c r="EF12" s="25">
        <f>if(ED12='Quick Setup'!$C$45,'Quick Setup'!$C53,if(ED12='Quick Setup'!$D$45,'Quick Setup'!$D53,if(ED12='Quick Setup'!$E$45,'Quick Setup'!$E53,if(ED12='Quick Setup'!$F$45,'Quick Setup'!$F53,if(ED12='Quick Setup'!$G$45,'Quick Setup'!$G53,if(ED12='Quick Setup'!$H$45,'Quick Setup'!$H53,if(ED12='Quick Setup'!$I$45,'Quick Setup'!$I53,if(ED12='Quick Setup'!$J$45,'Quick Setup'!$J53,if(ED12='Quick Setup'!$K$45,'Quick Setup'!$K53,if(ED12='Quick Setup'!$L$45,'Quick Setup'!$L53,if(ED12='Quick Setup'!$M$45,'Quick Setup'!$M53,if(ED12='Quick Setup'!$N$45,'Quick Setup'!$N53,if(ED12='Quick Setup'!$O$45,'Quick Setup'!$O53,if(ED12='Quick Setup'!$P$45,'Quick Setup'!$P53,if(ED12='Quick Setup'!$Q$45,'Quick Setup'!$Q53,if(ED12='Quick Setup'!$R$45,'Quick Setup'!$R53,if(ED12='Quick Setup'!$S$45,'Quick Setup'!$S53,if(ED12='Quick Setup'!$T$45,'Quick Setup'!$T53,if(ED12='Quick Setup'!$U$45,'Quick Setup'!$U53,if(ED12='Quick Setup'!$V$45,'Quick Setup'!$V53,'Quick Setup'!$W53))))))))))))))))))))</f>
        <v>9</v>
      </c>
      <c r="EG12" s="27">
        <f t="shared" ref="EG12:EO12" si="151">DU12</f>
        <v>5</v>
      </c>
      <c r="EH12" s="28">
        <f t="shared" si="151"/>
        <v>-0.05</v>
      </c>
      <c r="EI12" s="28">
        <f t="shared" si="151"/>
        <v>-0.02</v>
      </c>
      <c r="EJ12" s="28">
        <f t="shared" si="151"/>
        <v>0</v>
      </c>
      <c r="EK12" s="28">
        <f t="shared" si="151"/>
        <v>0.005</v>
      </c>
      <c r="EL12" s="28">
        <f t="shared" si="151"/>
        <v>0.01</v>
      </c>
      <c r="EM12" s="28">
        <f t="shared" si="151"/>
        <v>0.015</v>
      </c>
      <c r="EN12" s="28">
        <f t="shared" si="151"/>
        <v>0.02</v>
      </c>
      <c r="EO12" s="28">
        <f t="shared" si="151"/>
        <v>0.03</v>
      </c>
      <c r="EP12" s="24">
        <f>'Quick Setup'!O67</f>
        <v>0.775</v>
      </c>
      <c r="EQ12" s="25">
        <f>if(EP12='Quick Setup'!$C$31,'Quick Setup'!$C39,if(EP12='Quick Setup'!$D$31,'Quick Setup'!$D39,if(EP12='Quick Setup'!$E$31,'Quick Setup'!$E39,if(EP12='Quick Setup'!$F$31,'Quick Setup'!$F39,if(EP12='Quick Setup'!$G$31,'Quick Setup'!$G39,if(EP12='Quick Setup'!$H$31,'Quick Setup'!$H39,if(EP12='Quick Setup'!$I$31,'Quick Setup'!$I39,if(EP12='Quick Setup'!$J$31,'Quick Setup'!$J39,if(EP12='Quick Setup'!$K$31,'Quick Setup'!$K39,if(EP12='Quick Setup'!$L$31,'Quick Setup'!$L39,if(EP12='Quick Setup'!$M$31,'Quick Setup'!$M39,if(EP12='Quick Setup'!$N$31,'Quick Setup'!$N39,if(EP12='Quick Setup'!$O$31,'Quick Setup'!$O39,if(EP12='Quick Setup'!$P$31,'Quick Setup'!$P39,if(EP12='Quick Setup'!$Q$31,'Quick Setup'!$Q39,if(EP12='Quick Setup'!$R$31,'Quick Setup'!$R39,if(EP12='Quick Setup'!$S$31,'Quick Setup'!$S39,if(EP12='Quick Setup'!$T$31,'Quick Setup'!$T39,if(EP12='Quick Setup'!$U$31,'Quick Setup'!$U39,if(EP12='Quick Setup'!$V$31,'Quick Setup'!$V39,'Quick Setup'!$W39))))))))))))))))))))</f>
        <v>4</v>
      </c>
      <c r="ER12" s="25">
        <f>if(EP12='Quick Setup'!$C$45,'Quick Setup'!$C53,if(EP12='Quick Setup'!$D$45,'Quick Setup'!$D53,if(EP12='Quick Setup'!$E$45,'Quick Setup'!$E53,if(EP12='Quick Setup'!$F$45,'Quick Setup'!$F53,if(EP12='Quick Setup'!$G$45,'Quick Setup'!$G53,if(EP12='Quick Setup'!$H$45,'Quick Setup'!$H53,if(EP12='Quick Setup'!$I$45,'Quick Setup'!$I53,if(EP12='Quick Setup'!$J$45,'Quick Setup'!$J53,if(EP12='Quick Setup'!$K$45,'Quick Setup'!$K53,if(EP12='Quick Setup'!$L$45,'Quick Setup'!$L53,if(EP12='Quick Setup'!$M$45,'Quick Setup'!$M53,if(EP12='Quick Setup'!$N$45,'Quick Setup'!$N53,if(EP12='Quick Setup'!$O$45,'Quick Setup'!$O53,if(EP12='Quick Setup'!$P$45,'Quick Setup'!$P53,if(EP12='Quick Setup'!$Q$45,'Quick Setup'!$Q53,if(EP12='Quick Setup'!$R$45,'Quick Setup'!$R53,if(EP12='Quick Setup'!$S$45,'Quick Setup'!$S53,if(EP12='Quick Setup'!$T$45,'Quick Setup'!$T53,if(EP12='Quick Setup'!$U$45,'Quick Setup'!$U53,if(EP12='Quick Setup'!$V$45,'Quick Setup'!$V53,'Quick Setup'!$W53))))))))))))))))))))</f>
        <v>7</v>
      </c>
      <c r="ES12" s="27">
        <f t="shared" ref="ES12:FA12" si="152">EG12</f>
        <v>5</v>
      </c>
      <c r="ET12" s="28">
        <f t="shared" si="152"/>
        <v>-0.05</v>
      </c>
      <c r="EU12" s="28">
        <f t="shared" si="152"/>
        <v>-0.02</v>
      </c>
      <c r="EV12" s="28">
        <f t="shared" si="152"/>
        <v>0</v>
      </c>
      <c r="EW12" s="28">
        <f t="shared" si="152"/>
        <v>0.005</v>
      </c>
      <c r="EX12" s="28">
        <f t="shared" si="152"/>
        <v>0.01</v>
      </c>
      <c r="EY12" s="28">
        <f t="shared" si="152"/>
        <v>0.015</v>
      </c>
      <c r="EZ12" s="28">
        <f t="shared" si="152"/>
        <v>0.02</v>
      </c>
      <c r="FA12" s="28">
        <f t="shared" si="152"/>
        <v>0.03</v>
      </c>
      <c r="FB12" s="24">
        <f>'Quick Setup'!P67</f>
        <v>0.5</v>
      </c>
      <c r="FC12" s="25">
        <f>if(FB12='Quick Setup'!$C$31,'Quick Setup'!$C39,if(FB12='Quick Setup'!$D$31,'Quick Setup'!$D39,if(FB12='Quick Setup'!$E$31,'Quick Setup'!$E39,if(FB12='Quick Setup'!$F$31,'Quick Setup'!$F39,if(FB12='Quick Setup'!$G$31,'Quick Setup'!$G39,if(FB12='Quick Setup'!$H$31,'Quick Setup'!$H39,if(FB12='Quick Setup'!$I$31,'Quick Setup'!$I39,if(FB12='Quick Setup'!$J$31,'Quick Setup'!$J39,if(FB12='Quick Setup'!$K$31,'Quick Setup'!$K39,if(FB12='Quick Setup'!$L$31,'Quick Setup'!$L39,if(FB12='Quick Setup'!$M$31,'Quick Setup'!$M39,if(FB12='Quick Setup'!$N$31,'Quick Setup'!$N39,if(FB12='Quick Setup'!$O$31,'Quick Setup'!$O39,if(FB12='Quick Setup'!$P$31,'Quick Setup'!$P39,if(FB12='Quick Setup'!$Q$31,'Quick Setup'!$Q39,if(FB12='Quick Setup'!$R$31,'Quick Setup'!$R39,if(FB12='Quick Setup'!$S$31,'Quick Setup'!$S39,if(FB12='Quick Setup'!$T$31,'Quick Setup'!$T39,if(FB12='Quick Setup'!$U$31,'Quick Setup'!$U39,if(FB12='Quick Setup'!$V$31,'Quick Setup'!$V39,'Quick Setup'!$W39))))))))))))))))))))</f>
        <v>8</v>
      </c>
      <c r="FD12" s="25">
        <f>if(FB12='Quick Setup'!$C$45,'Quick Setup'!$C53,if(FB12='Quick Setup'!$D$45,'Quick Setup'!$D53,if(FB12='Quick Setup'!$E$45,'Quick Setup'!$E53,if(FB12='Quick Setup'!$F$45,'Quick Setup'!$F53,if(FB12='Quick Setup'!$G$45,'Quick Setup'!$G53,if(FB12='Quick Setup'!$H$45,'Quick Setup'!$H53,if(FB12='Quick Setup'!$I$45,'Quick Setup'!$I53,if(FB12='Quick Setup'!$J$45,'Quick Setup'!$J53,if(FB12='Quick Setup'!$K$45,'Quick Setup'!$K53,if(FB12='Quick Setup'!$L$45,'Quick Setup'!$L53,if(FB12='Quick Setup'!$M$45,'Quick Setup'!$M53,if(FB12='Quick Setup'!$N$45,'Quick Setup'!$N53,if(FB12='Quick Setup'!$O$45,'Quick Setup'!$O53,if(FB12='Quick Setup'!$P$45,'Quick Setup'!$P53,if(FB12='Quick Setup'!$Q$45,'Quick Setup'!$Q53,if(FB12='Quick Setup'!$R$45,'Quick Setup'!$R53,if(FB12='Quick Setup'!$S$45,'Quick Setup'!$S53,if(FB12='Quick Setup'!$T$45,'Quick Setup'!$T53,if(FB12='Quick Setup'!$U$45,'Quick Setup'!$U53,if(FB12='Quick Setup'!$V$45,'Quick Setup'!$V53,'Quick Setup'!$W53))))))))))))))))))))</f>
        <v>18</v>
      </c>
      <c r="FE12" s="27">
        <f t="shared" ref="FE12:FM12" si="153">ES12</f>
        <v>5</v>
      </c>
      <c r="FF12" s="28">
        <f t="shared" si="153"/>
        <v>-0.05</v>
      </c>
      <c r="FG12" s="28">
        <f t="shared" si="153"/>
        <v>-0.02</v>
      </c>
      <c r="FH12" s="28">
        <f t="shared" si="153"/>
        <v>0</v>
      </c>
      <c r="FI12" s="28">
        <f t="shared" si="153"/>
        <v>0.005</v>
      </c>
      <c r="FJ12" s="28">
        <f t="shared" si="153"/>
        <v>0.01</v>
      </c>
      <c r="FK12" s="28">
        <f t="shared" si="153"/>
        <v>0.015</v>
      </c>
      <c r="FL12" s="28">
        <f t="shared" si="153"/>
        <v>0.02</v>
      </c>
      <c r="FM12" s="28">
        <f t="shared" si="153"/>
        <v>0.03</v>
      </c>
      <c r="FN12" s="24">
        <f>'Quick Setup'!Q67</f>
        <v>0.7</v>
      </c>
      <c r="FO12" s="25">
        <f>if(FN12='Quick Setup'!$C$31,'Quick Setup'!$C39,if(FN12='Quick Setup'!$D$31,'Quick Setup'!$D39,if(FN12='Quick Setup'!$E$31,'Quick Setup'!$E39,if(FN12='Quick Setup'!$F$31,'Quick Setup'!$F39,if(FN12='Quick Setup'!$G$31,'Quick Setup'!$G39,if(FN12='Quick Setup'!$H$31,'Quick Setup'!$H39,if(FN12='Quick Setup'!$I$31,'Quick Setup'!$I39,if(FN12='Quick Setup'!$J$31,'Quick Setup'!$J39,if(FN12='Quick Setup'!$K$31,'Quick Setup'!$K39,if(FN12='Quick Setup'!$L$31,'Quick Setup'!$L39,if(FN12='Quick Setup'!$M$31,'Quick Setup'!$M39,if(FN12='Quick Setup'!$N$31,'Quick Setup'!$N39,if(FN12='Quick Setup'!$O$31,'Quick Setup'!$O39,if(FN12='Quick Setup'!$P$31,'Quick Setup'!$P39,if(FN12='Quick Setup'!$Q$31,'Quick Setup'!$Q39,if(FN12='Quick Setup'!$R$31,'Quick Setup'!$R39,if(FN12='Quick Setup'!$S$31,'Quick Setup'!$S39,if(FN12='Quick Setup'!$T$31,'Quick Setup'!$T39,if(FN12='Quick Setup'!$U$31,'Quick Setup'!$U39,if(FN12='Quick Setup'!$V$31,'Quick Setup'!$V39,'Quick Setup'!$W39))))))))))))))))))))</f>
        <v>5</v>
      </c>
      <c r="FP12" s="25">
        <f>if(FN12='Quick Setup'!$C$45,'Quick Setup'!$C53,if(FN12='Quick Setup'!$D$45,'Quick Setup'!$D53,if(FN12='Quick Setup'!$E$45,'Quick Setup'!$E53,if(FN12='Quick Setup'!$F$45,'Quick Setup'!$F53,if(FN12='Quick Setup'!$G$45,'Quick Setup'!$G53,if(FN12='Quick Setup'!$H$45,'Quick Setup'!$H53,if(FN12='Quick Setup'!$I$45,'Quick Setup'!$I53,if(FN12='Quick Setup'!$J$45,'Quick Setup'!$J53,if(FN12='Quick Setup'!$K$45,'Quick Setup'!$K53,if(FN12='Quick Setup'!$L$45,'Quick Setup'!$L53,if(FN12='Quick Setup'!$M$45,'Quick Setup'!$M53,if(FN12='Quick Setup'!$N$45,'Quick Setup'!$N53,if(FN12='Quick Setup'!$O$45,'Quick Setup'!$O53,if(FN12='Quick Setup'!$P$45,'Quick Setup'!$P53,if(FN12='Quick Setup'!$Q$45,'Quick Setup'!$Q53,if(FN12='Quick Setup'!$R$45,'Quick Setup'!$R53,if(FN12='Quick Setup'!$S$45,'Quick Setup'!$S53,if(FN12='Quick Setup'!$T$45,'Quick Setup'!$T53,if(FN12='Quick Setup'!$U$45,'Quick Setup'!$U53,if(FN12='Quick Setup'!$V$45,'Quick Setup'!$V53,'Quick Setup'!$W53))))))))))))))))))))</f>
        <v>10</v>
      </c>
      <c r="FQ12" s="27">
        <f t="shared" ref="FQ12:FY12" si="154">FE12</f>
        <v>5</v>
      </c>
      <c r="FR12" s="28">
        <f t="shared" si="154"/>
        <v>-0.05</v>
      </c>
      <c r="FS12" s="28">
        <f t="shared" si="154"/>
        <v>-0.02</v>
      </c>
      <c r="FT12" s="28">
        <f t="shared" si="154"/>
        <v>0</v>
      </c>
      <c r="FU12" s="28">
        <f t="shared" si="154"/>
        <v>0.005</v>
      </c>
      <c r="FV12" s="28">
        <f t="shared" si="154"/>
        <v>0.01</v>
      </c>
      <c r="FW12" s="28">
        <f t="shared" si="154"/>
        <v>0.015</v>
      </c>
      <c r="FX12" s="28">
        <f t="shared" si="154"/>
        <v>0.02</v>
      </c>
      <c r="FY12" s="28">
        <f t="shared" si="154"/>
        <v>0.03</v>
      </c>
      <c r="FZ12" s="24">
        <f>'Quick Setup'!R67</f>
        <v>0.75</v>
      </c>
      <c r="GA12" s="25">
        <f>if(FZ12='Quick Setup'!$C$31,'Quick Setup'!$C39,if(FZ12='Quick Setup'!$D$31,'Quick Setup'!$D39,if(FZ12='Quick Setup'!$E$31,'Quick Setup'!$E39,if(FZ12='Quick Setup'!$F$31,'Quick Setup'!$F39,if(FZ12='Quick Setup'!$G$31,'Quick Setup'!$G39,if(FZ12='Quick Setup'!$H$31,'Quick Setup'!$H39,if(FZ12='Quick Setup'!$I$31,'Quick Setup'!$I39,if(FZ12='Quick Setup'!$J$31,'Quick Setup'!$J39,if(FZ12='Quick Setup'!$K$31,'Quick Setup'!$K39,if(FZ12='Quick Setup'!$L$31,'Quick Setup'!$L39,if(FZ12='Quick Setup'!$M$31,'Quick Setup'!$M39,if(FZ12='Quick Setup'!$N$31,'Quick Setup'!$N39,if(FZ12='Quick Setup'!$O$31,'Quick Setup'!$O39,if(FZ12='Quick Setup'!$P$31,'Quick Setup'!$P39,if(FZ12='Quick Setup'!$Q$31,'Quick Setup'!$Q39,if(FZ12='Quick Setup'!$R$31,'Quick Setup'!$R39,if(FZ12='Quick Setup'!$S$31,'Quick Setup'!$S39,if(FZ12='Quick Setup'!$T$31,'Quick Setup'!$T39,if(FZ12='Quick Setup'!$U$31,'Quick Setup'!$U39,if(FZ12='Quick Setup'!$V$31,'Quick Setup'!$V39,'Quick Setup'!$W39))))))))))))))))))))</f>
        <v>4</v>
      </c>
      <c r="GB12" s="25">
        <f>if(FZ12='Quick Setup'!$C$45,'Quick Setup'!$C53,if(FZ12='Quick Setup'!$D$45,'Quick Setup'!$D53,if(FZ12='Quick Setup'!$E$45,'Quick Setup'!$E53,if(FZ12='Quick Setup'!$F$45,'Quick Setup'!$F53,if(FZ12='Quick Setup'!$G$45,'Quick Setup'!$G53,if(FZ12='Quick Setup'!$H$45,'Quick Setup'!$H53,if(FZ12='Quick Setup'!$I$45,'Quick Setup'!$I53,if(FZ12='Quick Setup'!$J$45,'Quick Setup'!$J53,if(FZ12='Quick Setup'!$K$45,'Quick Setup'!$K53,if(FZ12='Quick Setup'!$L$45,'Quick Setup'!$L53,if(FZ12='Quick Setup'!$M$45,'Quick Setup'!$M53,if(FZ12='Quick Setup'!$N$45,'Quick Setup'!$N53,if(FZ12='Quick Setup'!$O$45,'Quick Setup'!$O53,if(FZ12='Quick Setup'!$P$45,'Quick Setup'!$P53,if(FZ12='Quick Setup'!$Q$45,'Quick Setup'!$Q53,if(FZ12='Quick Setup'!$R$45,'Quick Setup'!$R53,if(FZ12='Quick Setup'!$S$45,'Quick Setup'!$S53,if(FZ12='Quick Setup'!$T$45,'Quick Setup'!$T53,if(FZ12='Quick Setup'!$U$45,'Quick Setup'!$U53,if(FZ12='Quick Setup'!$V$45,'Quick Setup'!$V53,'Quick Setup'!$W53))))))))))))))))))))</f>
        <v>8</v>
      </c>
      <c r="GC12" s="27">
        <f t="shared" ref="GC12:GK12" si="155">FQ12</f>
        <v>5</v>
      </c>
      <c r="GD12" s="28">
        <f t="shared" si="155"/>
        <v>-0.05</v>
      </c>
      <c r="GE12" s="28">
        <f t="shared" si="155"/>
        <v>-0.02</v>
      </c>
      <c r="GF12" s="28">
        <f t="shared" si="155"/>
        <v>0</v>
      </c>
      <c r="GG12" s="28">
        <f t="shared" si="155"/>
        <v>0.005</v>
      </c>
      <c r="GH12" s="28">
        <f t="shared" si="155"/>
        <v>0.01</v>
      </c>
      <c r="GI12" s="28">
        <f t="shared" si="155"/>
        <v>0.015</v>
      </c>
      <c r="GJ12" s="28">
        <f t="shared" si="155"/>
        <v>0.02</v>
      </c>
      <c r="GK12" s="28">
        <f t="shared" si="155"/>
        <v>0.03</v>
      </c>
      <c r="GL12" s="24">
        <f>'Quick Setup'!S67</f>
        <v>0.8</v>
      </c>
      <c r="GM12" s="25">
        <f>if(GL12='Quick Setup'!$C$31,'Quick Setup'!$C39,if(GL12='Quick Setup'!$D$31,'Quick Setup'!$D39,if(GL12='Quick Setup'!$E$31,'Quick Setup'!$E39,if(GL12='Quick Setup'!$F$31,'Quick Setup'!$F39,if(GL12='Quick Setup'!$G$31,'Quick Setup'!$G39,if(GL12='Quick Setup'!$H$31,'Quick Setup'!$H39,if(GL12='Quick Setup'!$I$31,'Quick Setup'!$I39,if(GL12='Quick Setup'!$J$31,'Quick Setup'!$J39,if(GL12='Quick Setup'!$K$31,'Quick Setup'!$K39,if(GL12='Quick Setup'!$L$31,'Quick Setup'!$L39,if(GL12='Quick Setup'!$M$31,'Quick Setup'!$M39,if(GL12='Quick Setup'!$N$31,'Quick Setup'!$N39,if(GL12='Quick Setup'!$O$31,'Quick Setup'!$O39,if(GL12='Quick Setup'!$P$31,'Quick Setup'!$P39,if(GL12='Quick Setup'!$Q$31,'Quick Setup'!$Q39,if(GL12='Quick Setup'!$R$31,'Quick Setup'!$R39,if(GL12='Quick Setup'!$S$31,'Quick Setup'!$S39,if(GL12='Quick Setup'!$T$31,'Quick Setup'!$T39,if(GL12='Quick Setup'!$U$31,'Quick Setup'!$U39,if(GL12='Quick Setup'!$V$31,'Quick Setup'!$V39,'Quick Setup'!$W39))))))))))))))))))))</f>
        <v>3</v>
      </c>
      <c r="GN12" s="25">
        <f>if(GL12='Quick Setup'!$C$45,'Quick Setup'!$C53,if(GL12='Quick Setup'!$D$45,'Quick Setup'!$D53,if(GL12='Quick Setup'!$E$45,'Quick Setup'!$E53,if(GL12='Quick Setup'!$F$45,'Quick Setup'!$F53,if(GL12='Quick Setup'!$G$45,'Quick Setup'!$G53,if(GL12='Quick Setup'!$H$45,'Quick Setup'!$H53,if(GL12='Quick Setup'!$I$45,'Quick Setup'!$I53,if(GL12='Quick Setup'!$J$45,'Quick Setup'!$J53,if(GL12='Quick Setup'!$K$45,'Quick Setup'!$K53,if(GL12='Quick Setup'!$L$45,'Quick Setup'!$L53,if(GL12='Quick Setup'!$M$45,'Quick Setup'!$M53,if(GL12='Quick Setup'!$N$45,'Quick Setup'!$N53,if(GL12='Quick Setup'!$O$45,'Quick Setup'!$O53,if(GL12='Quick Setup'!$P$45,'Quick Setup'!$P53,if(GL12='Quick Setup'!$Q$45,'Quick Setup'!$Q53,if(GL12='Quick Setup'!$R$45,'Quick Setup'!$R53,if(GL12='Quick Setup'!$S$45,'Quick Setup'!$S53,if(GL12='Quick Setup'!$T$45,'Quick Setup'!$T53,if(GL12='Quick Setup'!$U$45,'Quick Setup'!$U53,if(GL12='Quick Setup'!$V$45,'Quick Setup'!$V53,'Quick Setup'!$W53))))))))))))))))))))</f>
        <v>6</v>
      </c>
      <c r="GO12" s="27">
        <f t="shared" ref="GO12:GW12" si="156">GC12</f>
        <v>5</v>
      </c>
      <c r="GP12" s="28">
        <f t="shared" si="156"/>
        <v>-0.05</v>
      </c>
      <c r="GQ12" s="28">
        <f t="shared" si="156"/>
        <v>-0.02</v>
      </c>
      <c r="GR12" s="28">
        <f t="shared" si="156"/>
        <v>0</v>
      </c>
      <c r="GS12" s="28">
        <f t="shared" si="156"/>
        <v>0.005</v>
      </c>
      <c r="GT12" s="28">
        <f t="shared" si="156"/>
        <v>0.01</v>
      </c>
      <c r="GU12" s="28">
        <f t="shared" si="156"/>
        <v>0.015</v>
      </c>
      <c r="GV12" s="28">
        <f t="shared" si="156"/>
        <v>0.02</v>
      </c>
      <c r="GW12" s="28">
        <f t="shared" si="156"/>
        <v>0.03</v>
      </c>
      <c r="GX12" s="24">
        <f>'Quick Setup'!T67</f>
        <v>0.75</v>
      </c>
      <c r="GY12" s="25">
        <f>if(GX12='Quick Setup'!$C$31,'Quick Setup'!$C39,if(GX12='Quick Setup'!$D$31,'Quick Setup'!$D39,if(GX12='Quick Setup'!$E$31,'Quick Setup'!$E39,if(GX12='Quick Setup'!$F$31,'Quick Setup'!$F39,if(GX12='Quick Setup'!$G$31,'Quick Setup'!$G39,if(GX12='Quick Setup'!$H$31,'Quick Setup'!$H39,if(GX12='Quick Setup'!$I$31,'Quick Setup'!$I39,if(GX12='Quick Setup'!$J$31,'Quick Setup'!$J39,if(GX12='Quick Setup'!$K$31,'Quick Setup'!$K39,if(GX12='Quick Setup'!$L$31,'Quick Setup'!$L39,if(GX12='Quick Setup'!$M$31,'Quick Setup'!$M39,if(GX12='Quick Setup'!$N$31,'Quick Setup'!$N39,if(GX12='Quick Setup'!$O$31,'Quick Setup'!$O39,if(GX12='Quick Setup'!$P$31,'Quick Setup'!$P39,if(GX12='Quick Setup'!$Q$31,'Quick Setup'!$Q39,if(GX12='Quick Setup'!$R$31,'Quick Setup'!$R39,if(GX12='Quick Setup'!$S$31,'Quick Setup'!$S39,if(GX12='Quick Setup'!$T$31,'Quick Setup'!$T39,if(GX12='Quick Setup'!$U$31,'Quick Setup'!$U39,if(GX12='Quick Setup'!$V$31,'Quick Setup'!$V39,'Quick Setup'!$W39))))))))))))))))))))</f>
        <v>4</v>
      </c>
      <c r="GZ12" s="25">
        <f>if(GX12='Quick Setup'!$C$45,'Quick Setup'!$C53,if(GX12='Quick Setup'!$D$45,'Quick Setup'!$D53,if(GX12='Quick Setup'!$E$45,'Quick Setup'!$E53,if(GX12='Quick Setup'!$F$45,'Quick Setup'!$F53,if(GX12='Quick Setup'!$G$45,'Quick Setup'!$G53,if(GX12='Quick Setup'!$H$45,'Quick Setup'!$H53,if(GX12='Quick Setup'!$I$45,'Quick Setup'!$I53,if(GX12='Quick Setup'!$J$45,'Quick Setup'!$J53,if(GX12='Quick Setup'!$K$45,'Quick Setup'!$K53,if(GX12='Quick Setup'!$L$45,'Quick Setup'!$L53,if(GX12='Quick Setup'!$M$45,'Quick Setup'!$M53,if(GX12='Quick Setup'!$N$45,'Quick Setup'!$N53,if(GX12='Quick Setup'!$O$45,'Quick Setup'!$O53,if(GX12='Quick Setup'!$P$45,'Quick Setup'!$P53,if(GX12='Quick Setup'!$Q$45,'Quick Setup'!$Q53,if(GX12='Quick Setup'!$R$45,'Quick Setup'!$R53,if(GX12='Quick Setup'!$S$45,'Quick Setup'!$S53,if(GX12='Quick Setup'!$T$45,'Quick Setup'!$T53,if(GX12='Quick Setup'!$U$45,'Quick Setup'!$U53,if(GX12='Quick Setup'!$V$45,'Quick Setup'!$V53,'Quick Setup'!$W53))))))))))))))))))))</f>
        <v>8</v>
      </c>
      <c r="HA12" s="27">
        <f t="shared" ref="HA12:HI12" si="157">GO12</f>
        <v>5</v>
      </c>
      <c r="HB12" s="28">
        <f t="shared" si="157"/>
        <v>-0.05</v>
      </c>
      <c r="HC12" s="28">
        <f t="shared" si="157"/>
        <v>-0.02</v>
      </c>
      <c r="HD12" s="28">
        <f t="shared" si="157"/>
        <v>0</v>
      </c>
      <c r="HE12" s="28">
        <f t="shared" si="157"/>
        <v>0.005</v>
      </c>
      <c r="HF12" s="28">
        <f t="shared" si="157"/>
        <v>0.01</v>
      </c>
      <c r="HG12" s="28">
        <f t="shared" si="157"/>
        <v>0.015</v>
      </c>
      <c r="HH12" s="28">
        <f t="shared" si="157"/>
        <v>0.02</v>
      </c>
      <c r="HI12" s="28">
        <f t="shared" si="157"/>
        <v>0.03</v>
      </c>
      <c r="HJ12" s="24">
        <f>'Quick Setup'!U67</f>
        <v>0.8</v>
      </c>
      <c r="HK12" s="25">
        <f>if(HJ12='Quick Setup'!$C$31,'Quick Setup'!$C39,if(HJ12='Quick Setup'!$D$31,'Quick Setup'!$D39,if(HJ12='Quick Setup'!$E$31,'Quick Setup'!$E39,if(HJ12='Quick Setup'!$F$31,'Quick Setup'!$F39,if(HJ12='Quick Setup'!$G$31,'Quick Setup'!$G39,if(HJ12='Quick Setup'!$H$31,'Quick Setup'!$H39,if(HJ12='Quick Setup'!$I$31,'Quick Setup'!$I39,if(HJ12='Quick Setup'!$J$31,'Quick Setup'!$J39,if(HJ12='Quick Setup'!$K$31,'Quick Setup'!$K39,if(HJ12='Quick Setup'!$L$31,'Quick Setup'!$L39,if(HJ12='Quick Setup'!$M$31,'Quick Setup'!$M39,if(HJ12='Quick Setup'!$N$31,'Quick Setup'!$N39,if(HJ12='Quick Setup'!$O$31,'Quick Setup'!$O39,if(HJ12='Quick Setup'!$P$31,'Quick Setup'!$P39,if(HJ12='Quick Setup'!$Q$31,'Quick Setup'!$Q39,if(HJ12='Quick Setup'!$R$31,'Quick Setup'!$R39,if(HJ12='Quick Setup'!$S$31,'Quick Setup'!$S39,if(HJ12='Quick Setup'!$T$31,'Quick Setup'!$T39,if(HJ12='Quick Setup'!$U$31,'Quick Setup'!$U39,if(HJ12='Quick Setup'!$V$31,'Quick Setup'!$V39,'Quick Setup'!$W39))))))))))))))))))))</f>
        <v>3</v>
      </c>
      <c r="HL12" s="25">
        <f>if(HJ12='Quick Setup'!$C$45,'Quick Setup'!$C53,if(HJ12='Quick Setup'!$D$45,'Quick Setup'!$D53,if(HJ12='Quick Setup'!$E$45,'Quick Setup'!$E53,if(HJ12='Quick Setup'!$F$45,'Quick Setup'!$F53,if(HJ12='Quick Setup'!$G$45,'Quick Setup'!$G53,if(HJ12='Quick Setup'!$H$45,'Quick Setup'!$H53,if(HJ12='Quick Setup'!$I$45,'Quick Setup'!$I53,if(HJ12='Quick Setup'!$J$45,'Quick Setup'!$J53,if(HJ12='Quick Setup'!$K$45,'Quick Setup'!$K53,if(HJ12='Quick Setup'!$L$45,'Quick Setup'!$L53,if(HJ12='Quick Setup'!$M$45,'Quick Setup'!$M53,if(HJ12='Quick Setup'!$N$45,'Quick Setup'!$N53,if(HJ12='Quick Setup'!$O$45,'Quick Setup'!$O53,if(HJ12='Quick Setup'!$P$45,'Quick Setup'!$P53,if(HJ12='Quick Setup'!$Q$45,'Quick Setup'!$Q53,if(HJ12='Quick Setup'!$R$45,'Quick Setup'!$R53,if(HJ12='Quick Setup'!$S$45,'Quick Setup'!$S53,if(HJ12='Quick Setup'!$T$45,'Quick Setup'!$T53,if(HJ12='Quick Setup'!$U$45,'Quick Setup'!$U53,if(HJ12='Quick Setup'!$V$45,'Quick Setup'!$V53,'Quick Setup'!$W53))))))))))))))))))))</f>
        <v>6</v>
      </c>
      <c r="HM12" s="27">
        <f t="shared" ref="HM12:HU12" si="158">HA12</f>
        <v>5</v>
      </c>
      <c r="HN12" s="28">
        <f t="shared" si="158"/>
        <v>-0.05</v>
      </c>
      <c r="HO12" s="28">
        <f t="shared" si="158"/>
        <v>-0.02</v>
      </c>
      <c r="HP12" s="28">
        <f t="shared" si="158"/>
        <v>0</v>
      </c>
      <c r="HQ12" s="28">
        <f t="shared" si="158"/>
        <v>0.005</v>
      </c>
      <c r="HR12" s="28">
        <f t="shared" si="158"/>
        <v>0.01</v>
      </c>
      <c r="HS12" s="28">
        <f t="shared" si="158"/>
        <v>0.015</v>
      </c>
      <c r="HT12" s="28">
        <f t="shared" si="158"/>
        <v>0.02</v>
      </c>
      <c r="HU12" s="28">
        <f t="shared" si="158"/>
        <v>0.03</v>
      </c>
      <c r="HV12" s="24">
        <f>'Quick Setup'!V67</f>
        <v>0.85</v>
      </c>
      <c r="HW12" s="25">
        <f>if(HV12='Quick Setup'!$C$31,'Quick Setup'!$C39,if(HV12='Quick Setup'!$D$31,'Quick Setup'!$D39,if(HV12='Quick Setup'!$E$31,'Quick Setup'!$E39,if(HV12='Quick Setup'!$F$31,'Quick Setup'!$F39,if(HV12='Quick Setup'!$G$31,'Quick Setup'!$G39,if(HV12='Quick Setup'!$H$31,'Quick Setup'!$H39,if(HV12='Quick Setup'!$I$31,'Quick Setup'!$I39,if(HV12='Quick Setup'!$J$31,'Quick Setup'!$J39,if(HV12='Quick Setup'!$K$31,'Quick Setup'!$K39,if(HV12='Quick Setup'!$L$31,'Quick Setup'!$L39,if(HV12='Quick Setup'!$M$31,'Quick Setup'!$M39,if(HV12='Quick Setup'!$N$31,'Quick Setup'!$N39,if(HV12='Quick Setup'!$O$31,'Quick Setup'!$O39,if(HV12='Quick Setup'!$P$31,'Quick Setup'!$P39,if(HV12='Quick Setup'!$Q$31,'Quick Setup'!$Q39,if(HV12='Quick Setup'!$R$31,'Quick Setup'!$R39,if(HV12='Quick Setup'!$S$31,'Quick Setup'!$S39,if(HV12='Quick Setup'!$T$31,'Quick Setup'!$T39,if(HV12='Quick Setup'!$U$31,'Quick Setup'!$U39,if(HV12='Quick Setup'!$V$31,'Quick Setup'!$V39,'Quick Setup'!$W39))))))))))))))))))))</f>
        <v>2</v>
      </c>
      <c r="HX12" s="25">
        <f>if(HV12='Quick Setup'!$C$45,'Quick Setup'!$C53,if(HV12='Quick Setup'!$D$45,'Quick Setup'!$D53,if(HV12='Quick Setup'!$E$45,'Quick Setup'!$E53,if(HV12='Quick Setup'!$F$45,'Quick Setup'!$F53,if(HV12='Quick Setup'!$G$45,'Quick Setup'!$G53,if(HV12='Quick Setup'!$H$45,'Quick Setup'!$H53,if(HV12='Quick Setup'!$I$45,'Quick Setup'!$I53,if(HV12='Quick Setup'!$J$45,'Quick Setup'!$J53,if(HV12='Quick Setup'!$K$45,'Quick Setup'!$K53,if(HV12='Quick Setup'!$L$45,'Quick Setup'!$L53,if(HV12='Quick Setup'!$M$45,'Quick Setup'!$M53,if(HV12='Quick Setup'!$N$45,'Quick Setup'!$N53,if(HV12='Quick Setup'!$O$45,'Quick Setup'!$O53,if(HV12='Quick Setup'!$P$45,'Quick Setup'!$P53,if(HV12='Quick Setup'!$Q$45,'Quick Setup'!$Q53,if(HV12='Quick Setup'!$R$45,'Quick Setup'!$R53,if(HV12='Quick Setup'!$S$45,'Quick Setup'!$S53,if(HV12='Quick Setup'!$T$45,'Quick Setup'!$T53,if(HV12='Quick Setup'!$U$45,'Quick Setup'!$U53,if(HV12='Quick Setup'!$V$45,'Quick Setup'!$V53,'Quick Setup'!$W53))))))))))))))))))))</f>
        <v>4</v>
      </c>
      <c r="HY12" s="27">
        <f t="shared" ref="HY12:IG12" si="159">HM12</f>
        <v>5</v>
      </c>
      <c r="HZ12" s="28">
        <f t="shared" si="159"/>
        <v>-0.05</v>
      </c>
      <c r="IA12" s="28">
        <f t="shared" si="159"/>
        <v>-0.02</v>
      </c>
      <c r="IB12" s="28">
        <f t="shared" si="159"/>
        <v>0</v>
      </c>
      <c r="IC12" s="28">
        <f t="shared" si="159"/>
        <v>0.005</v>
      </c>
      <c r="ID12" s="28">
        <f t="shared" si="159"/>
        <v>0.01</v>
      </c>
      <c r="IE12" s="28">
        <f t="shared" si="159"/>
        <v>0.015</v>
      </c>
      <c r="IF12" s="28">
        <f t="shared" si="159"/>
        <v>0.02</v>
      </c>
      <c r="IG12" s="28">
        <f t="shared" si="159"/>
        <v>0.03</v>
      </c>
      <c r="IH12" s="24">
        <f>'Quick Setup'!W67</f>
        <v>0.5</v>
      </c>
      <c r="II12" s="25">
        <f>if(IH12='Quick Setup'!$C$31,'Quick Setup'!$C39,if(IH12='Quick Setup'!$D$31,'Quick Setup'!$D39,if(IH12='Quick Setup'!$E$31,'Quick Setup'!$E39,if(IH12='Quick Setup'!$F$31,'Quick Setup'!$F39,if(IH12='Quick Setup'!$G$31,'Quick Setup'!$G39,if(IH12='Quick Setup'!$H$31,'Quick Setup'!$H39,if(IH12='Quick Setup'!$I$31,'Quick Setup'!$I39,if(IH12='Quick Setup'!$J$31,'Quick Setup'!$J39,if(IH12='Quick Setup'!$K$31,'Quick Setup'!$K39,if(IH12='Quick Setup'!$L$31,'Quick Setup'!$L39,if(IH12='Quick Setup'!$M$31,'Quick Setup'!$M39,if(IH12='Quick Setup'!$N$31,'Quick Setup'!$N39,if(IH12='Quick Setup'!$O$31,'Quick Setup'!$O39,if(IH12='Quick Setup'!$P$31,'Quick Setup'!$P39,if(IH12='Quick Setup'!$Q$31,'Quick Setup'!$Q39,if(IH12='Quick Setup'!$R$31,'Quick Setup'!$R39,if(IH12='Quick Setup'!$S$31,'Quick Setup'!$S39,if(IH12='Quick Setup'!$T$31,'Quick Setup'!$T39,if(IH12='Quick Setup'!$U$31,'Quick Setup'!$U39,if(IH12='Quick Setup'!$V$31,'Quick Setup'!$V39,'Quick Setup'!$W39))))))))))))))))))))</f>
        <v>8</v>
      </c>
      <c r="IJ12" s="25">
        <f>if(IH12='Quick Setup'!$C$45,'Quick Setup'!$C53,if(IH12='Quick Setup'!$D$45,'Quick Setup'!$D53,if(IH12='Quick Setup'!$E$45,'Quick Setup'!$E53,if(IH12='Quick Setup'!$F$45,'Quick Setup'!$F53,if(IH12='Quick Setup'!$G$45,'Quick Setup'!$G53,if(IH12='Quick Setup'!$H$45,'Quick Setup'!$H53,if(IH12='Quick Setup'!$I$45,'Quick Setup'!$I53,if(IH12='Quick Setup'!$J$45,'Quick Setup'!$J53,if(IH12='Quick Setup'!$K$45,'Quick Setup'!$K53,if(IH12='Quick Setup'!$L$45,'Quick Setup'!$L53,if(IH12='Quick Setup'!$M$45,'Quick Setup'!$M53,if(IH12='Quick Setup'!$N$45,'Quick Setup'!$N53,if(IH12='Quick Setup'!$O$45,'Quick Setup'!$O53,if(IH12='Quick Setup'!$P$45,'Quick Setup'!$P53,if(IH12='Quick Setup'!$Q$45,'Quick Setup'!$Q53,if(IH12='Quick Setup'!$R$45,'Quick Setup'!$R53,if(IH12='Quick Setup'!$S$45,'Quick Setup'!$S53,if(IH12='Quick Setup'!$T$45,'Quick Setup'!$T53,if(IH12='Quick Setup'!$U$45,'Quick Setup'!$U53,if(IH12='Quick Setup'!$V$45,'Quick Setup'!$V53,'Quick Setup'!$W53))))))))))))))))))))</f>
        <v>18</v>
      </c>
      <c r="IK12" s="27">
        <f t="shared" ref="IK12:IS12" si="160">HY12</f>
        <v>5</v>
      </c>
      <c r="IL12" s="28">
        <f t="shared" si="160"/>
        <v>-0.05</v>
      </c>
      <c r="IM12" s="28">
        <f t="shared" si="160"/>
        <v>-0.02</v>
      </c>
      <c r="IN12" s="28">
        <f t="shared" si="160"/>
        <v>0</v>
      </c>
      <c r="IO12" s="28">
        <f t="shared" si="160"/>
        <v>0.005</v>
      </c>
      <c r="IP12" s="28">
        <f t="shared" si="160"/>
        <v>0.01</v>
      </c>
      <c r="IQ12" s="28">
        <f t="shared" si="160"/>
        <v>0.015</v>
      </c>
      <c r="IR12" s="28">
        <f t="shared" si="160"/>
        <v>0.02</v>
      </c>
      <c r="IS12" s="28">
        <f t="shared" si="160"/>
        <v>0.03</v>
      </c>
    </row>
    <row r="13">
      <c r="A13" t="str">
        <f>'Quick Setup'!C15</f>
        <v>Sumo Deadlift</v>
      </c>
      <c r="B13" s="24">
        <f>'Quick Setup'!C68</f>
        <v>0.6</v>
      </c>
      <c r="C13" s="25">
        <f>if(B13='Quick Setup'!$C$31,'Quick Setup'!$C40,if(B13='Quick Setup'!$D$31,'Quick Setup'!$D40,if(B13='Quick Setup'!$E$31,'Quick Setup'!$E40,if(B13='Quick Setup'!$F$31,'Quick Setup'!$F40,if(B13='Quick Setup'!$G$31,'Quick Setup'!$G40,if(B13='Quick Setup'!$H$31,'Quick Setup'!$H40,if(B13='Quick Setup'!$I$31,'Quick Setup'!$I40,if(B13='Quick Setup'!$J$31,'Quick Setup'!$J40,if(B13='Quick Setup'!$K$31,'Quick Setup'!$K40,if(B13='Quick Setup'!$L$31,'Quick Setup'!$L40,if(B13='Quick Setup'!$M$31,'Quick Setup'!$M40,if(B13='Quick Setup'!$N$31,'Quick Setup'!$N40,if(B13='Quick Setup'!$O$31,'Quick Setup'!$O40,if(B13='Quick Setup'!$P$31,'Quick Setup'!$P40,if(B13='Quick Setup'!$Q$31,'Quick Setup'!$Q40,if(B13='Quick Setup'!$R$31,'Quick Setup'!$R40,if(B13='Quick Setup'!$S$31,'Quick Setup'!$S40,if(B13='Quick Setup'!$T$31,'Quick Setup'!$T40,if(B13='Quick Setup'!$U$31,'Quick Setup'!$U40,if(B13='Quick Setup'!$V$31,'Quick Setup'!$V40,'Quick Setup'!$W40))))))))))))))))))))</f>
        <v>7</v>
      </c>
      <c r="D13" s="25">
        <f>if(B13='Quick Setup'!$C$45,'Quick Setup'!$C54,if(B13='Quick Setup'!$D$45,'Quick Setup'!$D54,if(B13='Quick Setup'!$E$45,'Quick Setup'!$E54,if(B13='Quick Setup'!$F$45,'Quick Setup'!$F54,if(B13='Quick Setup'!$G$45,'Quick Setup'!$G54,if(B13='Quick Setup'!$H$45,'Quick Setup'!$H54,if(B13='Quick Setup'!$I$45,'Quick Setup'!$I54,if(B13='Quick Setup'!$J$45,'Quick Setup'!$J54,if(B13='Quick Setup'!$K$45,'Quick Setup'!$K54,if(B13='Quick Setup'!$L$45,'Quick Setup'!$L54,if(B13='Quick Setup'!$M$45,'Quick Setup'!$M54,if(B13='Quick Setup'!$N$45,'Quick Setup'!$N54,if(B13='Quick Setup'!$O$45,'Quick Setup'!$O54,if(B13='Quick Setup'!$P$45,'Quick Setup'!$P54,if(B13='Quick Setup'!$Q$45,'Quick Setup'!$Q54,if(B13='Quick Setup'!$R$45,'Quick Setup'!$R54,if(B13='Quick Setup'!$S$45,'Quick Setup'!$S54,if(B13='Quick Setup'!$T$45,'Quick Setup'!$T54,if(B13='Quick Setup'!$U$45,'Quick Setup'!$U54,if(B13='Quick Setup'!$V$45,'Quick Setup'!$V54,'Quick Setup'!$W54))))))))))))))))))))</f>
        <v>14</v>
      </c>
      <c r="E13" s="25">
        <f>'Quick Setup'!H14</f>
        <v>5</v>
      </c>
      <c r="F13" s="26">
        <f>'Quick Setup'!I14</f>
        <v>-0.05</v>
      </c>
      <c r="G13" s="26">
        <f>'Quick Setup'!J14</f>
        <v>-0.02</v>
      </c>
      <c r="H13" s="26">
        <f>'Quick Setup'!K14</f>
        <v>0</v>
      </c>
      <c r="I13" s="26">
        <f>'Quick Setup'!L14</f>
        <v>0.005</v>
      </c>
      <c r="J13" s="26">
        <f>'Quick Setup'!M14</f>
        <v>0.01</v>
      </c>
      <c r="K13" s="26">
        <f>'Quick Setup'!N14</f>
        <v>0.015</v>
      </c>
      <c r="L13" s="26">
        <f>'Quick Setup'!O14</f>
        <v>0.02</v>
      </c>
      <c r="M13" s="26">
        <f>'Quick Setup'!P14</f>
        <v>0.03</v>
      </c>
      <c r="N13" s="24">
        <f>'Quick Setup'!D68</f>
        <v>0.65</v>
      </c>
      <c r="O13" s="25">
        <f>if(N13='Quick Setup'!$C$31,'Quick Setup'!$C40,if(N13='Quick Setup'!$D$31,'Quick Setup'!$D40,if(N13='Quick Setup'!$E$31,'Quick Setup'!$E40,if(N13='Quick Setup'!$F$31,'Quick Setup'!$F40,if(N13='Quick Setup'!$G$31,'Quick Setup'!$G40,if(N13='Quick Setup'!$H$31,'Quick Setup'!$H40,if(N13='Quick Setup'!$I$31,'Quick Setup'!$I40,if(N13='Quick Setup'!$J$31,'Quick Setup'!$J40,if(N13='Quick Setup'!$K$31,'Quick Setup'!$K40,if(N13='Quick Setup'!$L$31,'Quick Setup'!$L40,if(N13='Quick Setup'!$M$31,'Quick Setup'!$M40,if(N13='Quick Setup'!$N$31,'Quick Setup'!$N40,if(N13='Quick Setup'!$O$31,'Quick Setup'!$O40,if(N13='Quick Setup'!$P$31,'Quick Setup'!$P40,if(N13='Quick Setup'!$Q$31,'Quick Setup'!$Q40,if(N13='Quick Setup'!$R$31,'Quick Setup'!$R40,if(N13='Quick Setup'!$S$31,'Quick Setup'!$S40,if(N13='Quick Setup'!$T$31,'Quick Setup'!$T40,if(N13='Quick Setup'!$U$31,'Quick Setup'!$U40,if(N13='Quick Setup'!$V$31,'Quick Setup'!$V40,'Quick Setup'!$W40))))))))))))))))))))</f>
        <v>6</v>
      </c>
      <c r="P13" s="25">
        <f>if(N13='Quick Setup'!$C$45,'Quick Setup'!$C54,if(N13='Quick Setup'!$D$45,'Quick Setup'!$D54,if(N13='Quick Setup'!$E$45,'Quick Setup'!$E54,if(N13='Quick Setup'!$F$45,'Quick Setup'!$F54,if(N13='Quick Setup'!$G$45,'Quick Setup'!$G54,if(N13='Quick Setup'!$H$45,'Quick Setup'!$H54,if(N13='Quick Setup'!$I$45,'Quick Setup'!$I54,if(N13='Quick Setup'!$J$45,'Quick Setup'!$J54,if(N13='Quick Setup'!$K$45,'Quick Setup'!$K54,if(N13='Quick Setup'!$L$45,'Quick Setup'!$L54,if(N13='Quick Setup'!$M$45,'Quick Setup'!$M54,if(N13='Quick Setup'!$N$45,'Quick Setup'!$N54,if(N13='Quick Setup'!$O$45,'Quick Setup'!$O54,if(N13='Quick Setup'!$P$45,'Quick Setup'!$P54,if(N13='Quick Setup'!$Q$45,'Quick Setup'!$Q54,if(N13='Quick Setup'!$R$45,'Quick Setup'!$R54,if(N13='Quick Setup'!$S$45,'Quick Setup'!$S54,if(N13='Quick Setup'!$T$45,'Quick Setup'!$T54,if(N13='Quick Setup'!$U$45,'Quick Setup'!$U54,if(N13='Quick Setup'!$V$45,'Quick Setup'!$V54,'Quick Setup'!$W54))))))))))))))))))))</f>
        <v>12</v>
      </c>
      <c r="Q13" s="25">
        <f t="shared" ref="Q13:Y13" si="161">E13</f>
        <v>5</v>
      </c>
      <c r="R13" s="26">
        <f t="shared" si="161"/>
        <v>-0.05</v>
      </c>
      <c r="S13" s="26">
        <f t="shared" si="161"/>
        <v>-0.02</v>
      </c>
      <c r="T13" s="26">
        <f t="shared" si="161"/>
        <v>0</v>
      </c>
      <c r="U13" s="26">
        <f t="shared" si="161"/>
        <v>0.005</v>
      </c>
      <c r="V13" s="26">
        <f t="shared" si="161"/>
        <v>0.01</v>
      </c>
      <c r="W13" s="26">
        <f t="shared" si="161"/>
        <v>0.015</v>
      </c>
      <c r="X13" s="26">
        <f t="shared" si="161"/>
        <v>0.02</v>
      </c>
      <c r="Y13" s="26">
        <f t="shared" si="161"/>
        <v>0.03</v>
      </c>
      <c r="Z13" s="24">
        <f>'Quick Setup'!E68</f>
        <v>0.7</v>
      </c>
      <c r="AA13" s="25">
        <f>if(Z13='Quick Setup'!$C$31,'Quick Setup'!$C40,if(Z13='Quick Setup'!$D$31,'Quick Setup'!$D40,if(Z13='Quick Setup'!$E$31,'Quick Setup'!$E40,if(Z13='Quick Setup'!$F$31,'Quick Setup'!$F40,if(Z13='Quick Setup'!$G$31,'Quick Setup'!$G40,if(Z13='Quick Setup'!$H$31,'Quick Setup'!$H40,if(Z13='Quick Setup'!$I$31,'Quick Setup'!$I40,if(Z13='Quick Setup'!$J$31,'Quick Setup'!$J40,if(Z13='Quick Setup'!$K$31,'Quick Setup'!$K40,if(Z13='Quick Setup'!$L$31,'Quick Setup'!$L40,if(Z13='Quick Setup'!$M$31,'Quick Setup'!$M40,if(Z13='Quick Setup'!$N$31,'Quick Setup'!$N40,if(Z13='Quick Setup'!$O$31,'Quick Setup'!$O40,if(Z13='Quick Setup'!$P$31,'Quick Setup'!$P40,if(Z13='Quick Setup'!$Q$31,'Quick Setup'!$Q40,if(Z13='Quick Setup'!$R$31,'Quick Setup'!$R40,if(Z13='Quick Setup'!$S$31,'Quick Setup'!$S40,if(Z13='Quick Setup'!$T$31,'Quick Setup'!$T40,if(Z13='Quick Setup'!$U$31,'Quick Setup'!$U40,if(Z13='Quick Setup'!$V$31,'Quick Setup'!$V40,'Quick Setup'!$W40))))))))))))))))))))</f>
        <v>5</v>
      </c>
      <c r="AB13" s="25">
        <f>if(Z13='Quick Setup'!$C$45,'Quick Setup'!$C54,if(Z13='Quick Setup'!$D$45,'Quick Setup'!$D54,if(Z13='Quick Setup'!$E$45,'Quick Setup'!$E54,if(Z13='Quick Setup'!$F$45,'Quick Setup'!$F54,if(Z13='Quick Setup'!$G$45,'Quick Setup'!$G54,if(Z13='Quick Setup'!$H$45,'Quick Setup'!$H54,if(Z13='Quick Setup'!$I$45,'Quick Setup'!$I54,if(Z13='Quick Setup'!$J$45,'Quick Setup'!$J54,if(Z13='Quick Setup'!$K$45,'Quick Setup'!$K54,if(Z13='Quick Setup'!$L$45,'Quick Setup'!$L54,if(Z13='Quick Setup'!$M$45,'Quick Setup'!$M54,if(Z13='Quick Setup'!$N$45,'Quick Setup'!$N54,if(Z13='Quick Setup'!$O$45,'Quick Setup'!$O54,if(Z13='Quick Setup'!$P$45,'Quick Setup'!$P54,if(Z13='Quick Setup'!$Q$45,'Quick Setup'!$Q54,if(Z13='Quick Setup'!$R$45,'Quick Setup'!$R54,if(Z13='Quick Setup'!$S$45,'Quick Setup'!$S54,if(Z13='Quick Setup'!$T$45,'Quick Setup'!$T54,if(Z13='Quick Setup'!$U$45,'Quick Setup'!$U54,if(Z13='Quick Setup'!$V$45,'Quick Setup'!$V54,'Quick Setup'!$W54))))))))))))))))))))</f>
        <v>10</v>
      </c>
      <c r="AC13" s="25">
        <f t="shared" ref="AC13:AK13" si="162">Q13</f>
        <v>5</v>
      </c>
      <c r="AD13" s="26">
        <f t="shared" si="162"/>
        <v>-0.05</v>
      </c>
      <c r="AE13" s="26">
        <f t="shared" si="162"/>
        <v>-0.02</v>
      </c>
      <c r="AF13" s="26">
        <f t="shared" si="162"/>
        <v>0</v>
      </c>
      <c r="AG13" s="26">
        <f t="shared" si="162"/>
        <v>0.005</v>
      </c>
      <c r="AH13" s="26">
        <f t="shared" si="162"/>
        <v>0.01</v>
      </c>
      <c r="AI13" s="26">
        <f t="shared" si="162"/>
        <v>0.015</v>
      </c>
      <c r="AJ13" s="26">
        <f t="shared" si="162"/>
        <v>0.02</v>
      </c>
      <c r="AK13" s="26">
        <f t="shared" si="162"/>
        <v>0.03</v>
      </c>
      <c r="AL13" s="24">
        <f>'Quick Setup'!F68</f>
        <v>0.625</v>
      </c>
      <c r="AM13" s="25">
        <f>if(AL13='Quick Setup'!$C$31,'Quick Setup'!$C40,if(AL13='Quick Setup'!$D$31,'Quick Setup'!$D40,if(AL13='Quick Setup'!$E$31,'Quick Setup'!$E40,if(AL13='Quick Setup'!$F$31,'Quick Setup'!$F40,if(AL13='Quick Setup'!$G$31,'Quick Setup'!$G40,if(AL13='Quick Setup'!$H$31,'Quick Setup'!$H40,if(AL13='Quick Setup'!$I$31,'Quick Setup'!$I40,if(AL13='Quick Setup'!$J$31,'Quick Setup'!$J40,if(AL13='Quick Setup'!$K$31,'Quick Setup'!$K40,if(AL13='Quick Setup'!$L$31,'Quick Setup'!$L40,if(AL13='Quick Setup'!$M$31,'Quick Setup'!$M40,if(AL13='Quick Setup'!$N$31,'Quick Setup'!$N40,if(AL13='Quick Setup'!$O$31,'Quick Setup'!$O40,if(AL13='Quick Setup'!$P$31,'Quick Setup'!$P40,if(AL13='Quick Setup'!$Q$31,'Quick Setup'!$Q40,if(AL13='Quick Setup'!$R$31,'Quick Setup'!$R40,if(AL13='Quick Setup'!$S$31,'Quick Setup'!$S40,if(AL13='Quick Setup'!$T$31,'Quick Setup'!$T40,if(AL13='Quick Setup'!$U$31,'Quick Setup'!$U40,if(AL13='Quick Setup'!$V$31,'Quick Setup'!$V40,'Quick Setup'!$W40))))))))))))))))))))</f>
        <v>7</v>
      </c>
      <c r="AN13" s="25">
        <f>if(AL13='Quick Setup'!$C$45,'Quick Setup'!$C54,if(AL13='Quick Setup'!$D$45,'Quick Setup'!$D54,if(AL13='Quick Setup'!$E$45,'Quick Setup'!$E54,if(AL13='Quick Setup'!$F$45,'Quick Setup'!$F54,if(AL13='Quick Setup'!$G$45,'Quick Setup'!$G54,if(AL13='Quick Setup'!$H$45,'Quick Setup'!$H54,if(AL13='Quick Setup'!$I$45,'Quick Setup'!$I54,if(AL13='Quick Setup'!$J$45,'Quick Setup'!$J54,if(AL13='Quick Setup'!$K$45,'Quick Setup'!$K54,if(AL13='Quick Setup'!$L$45,'Quick Setup'!$L54,if(AL13='Quick Setup'!$M$45,'Quick Setup'!$M54,if(AL13='Quick Setup'!$N$45,'Quick Setup'!$N54,if(AL13='Quick Setup'!$O$45,'Quick Setup'!$O54,if(AL13='Quick Setup'!$P$45,'Quick Setup'!$P54,if(AL13='Quick Setup'!$Q$45,'Quick Setup'!$Q54,if(AL13='Quick Setup'!$R$45,'Quick Setup'!$R54,if(AL13='Quick Setup'!$S$45,'Quick Setup'!$S54,if(AL13='Quick Setup'!$T$45,'Quick Setup'!$T54,if(AL13='Quick Setup'!$U$45,'Quick Setup'!$U54,if(AL13='Quick Setup'!$V$45,'Quick Setup'!$V54,'Quick Setup'!$W54))))))))))))))))))))</f>
        <v>13</v>
      </c>
      <c r="AO13" s="25">
        <f t="shared" ref="AO13:AW13" si="163">AC13</f>
        <v>5</v>
      </c>
      <c r="AP13" s="26">
        <f t="shared" si="163"/>
        <v>-0.05</v>
      </c>
      <c r="AQ13" s="26">
        <f t="shared" si="163"/>
        <v>-0.02</v>
      </c>
      <c r="AR13" s="26">
        <f t="shared" si="163"/>
        <v>0</v>
      </c>
      <c r="AS13" s="26">
        <f t="shared" si="163"/>
        <v>0.005</v>
      </c>
      <c r="AT13" s="26">
        <f t="shared" si="163"/>
        <v>0.01</v>
      </c>
      <c r="AU13" s="26">
        <f t="shared" si="163"/>
        <v>0.015</v>
      </c>
      <c r="AV13" s="26">
        <f t="shared" si="163"/>
        <v>0.02</v>
      </c>
      <c r="AW13" s="26">
        <f t="shared" si="163"/>
        <v>0.03</v>
      </c>
      <c r="AX13" s="24">
        <f>'Quick Setup'!G68</f>
        <v>0.675</v>
      </c>
      <c r="AY13" s="25">
        <f>if(AX13='Quick Setup'!$C$31,'Quick Setup'!$C40,if(AX13='Quick Setup'!$D$31,'Quick Setup'!$D40,if(AX13='Quick Setup'!$E$31,'Quick Setup'!$E40,if(AX13='Quick Setup'!$F$31,'Quick Setup'!$F40,if(AX13='Quick Setup'!$G$31,'Quick Setup'!$G40,if(AX13='Quick Setup'!$H$31,'Quick Setup'!$H40,if(AX13='Quick Setup'!$I$31,'Quick Setup'!$I40,if(AX13='Quick Setup'!$J$31,'Quick Setup'!$J40,if(AX13='Quick Setup'!$K$31,'Quick Setup'!$K40,if(AX13='Quick Setup'!$L$31,'Quick Setup'!$L40,if(AX13='Quick Setup'!$M$31,'Quick Setup'!$M40,if(AX13='Quick Setup'!$N$31,'Quick Setup'!$N40,if(AX13='Quick Setup'!$O$31,'Quick Setup'!$O40,if(AX13='Quick Setup'!$P$31,'Quick Setup'!$P40,if(AX13='Quick Setup'!$Q$31,'Quick Setup'!$Q40,if(AX13='Quick Setup'!$R$31,'Quick Setup'!$R40,if(AX13='Quick Setup'!$S$31,'Quick Setup'!$S40,if(AX13='Quick Setup'!$T$31,'Quick Setup'!$T40,if(AX13='Quick Setup'!$U$31,'Quick Setup'!$U40,if(AX13='Quick Setup'!$V$31,'Quick Setup'!$V40,'Quick Setup'!$W40))))))))))))))))))))</f>
        <v>6</v>
      </c>
      <c r="AZ13" s="25">
        <f>if(AX13='Quick Setup'!$C$45,'Quick Setup'!$C54,if(AX13='Quick Setup'!$D$45,'Quick Setup'!$D54,if(AX13='Quick Setup'!$E$45,'Quick Setup'!$E54,if(AX13='Quick Setup'!$F$45,'Quick Setup'!$F54,if(AX13='Quick Setup'!$G$45,'Quick Setup'!$G54,if(AX13='Quick Setup'!$H$45,'Quick Setup'!$H54,if(AX13='Quick Setup'!$I$45,'Quick Setup'!$I54,if(AX13='Quick Setup'!$J$45,'Quick Setup'!$J54,if(AX13='Quick Setup'!$K$45,'Quick Setup'!$K54,if(AX13='Quick Setup'!$L$45,'Quick Setup'!$L54,if(AX13='Quick Setup'!$M$45,'Quick Setup'!$M54,if(AX13='Quick Setup'!$N$45,'Quick Setup'!$N54,if(AX13='Quick Setup'!$O$45,'Quick Setup'!$O54,if(AX13='Quick Setup'!$P$45,'Quick Setup'!$P54,if(AX13='Quick Setup'!$Q$45,'Quick Setup'!$Q54,if(AX13='Quick Setup'!$R$45,'Quick Setup'!$R54,if(AX13='Quick Setup'!$S$45,'Quick Setup'!$S54,if(AX13='Quick Setup'!$T$45,'Quick Setup'!$T54,if(AX13='Quick Setup'!$U$45,'Quick Setup'!$U54,if(AX13='Quick Setup'!$V$45,'Quick Setup'!$V54,'Quick Setup'!$W54))))))))))))))))))))</f>
        <v>11</v>
      </c>
      <c r="BA13" s="25">
        <f t="shared" ref="BA13:BI13" si="164">AO13</f>
        <v>5</v>
      </c>
      <c r="BB13" s="26">
        <f t="shared" si="164"/>
        <v>-0.05</v>
      </c>
      <c r="BC13" s="26">
        <f t="shared" si="164"/>
        <v>-0.02</v>
      </c>
      <c r="BD13" s="26">
        <f t="shared" si="164"/>
        <v>0</v>
      </c>
      <c r="BE13" s="26">
        <f t="shared" si="164"/>
        <v>0.005</v>
      </c>
      <c r="BF13" s="26">
        <f t="shared" si="164"/>
        <v>0.01</v>
      </c>
      <c r="BG13" s="26">
        <f t="shared" si="164"/>
        <v>0.015</v>
      </c>
      <c r="BH13" s="26">
        <f t="shared" si="164"/>
        <v>0.02</v>
      </c>
      <c r="BI13" s="26">
        <f t="shared" si="164"/>
        <v>0.03</v>
      </c>
      <c r="BJ13" s="24">
        <f>'Quick Setup'!H68</f>
        <v>0.725</v>
      </c>
      <c r="BK13" s="25">
        <f>if(BJ13='Quick Setup'!$C$31,'Quick Setup'!$C40,if(BJ13='Quick Setup'!$D$31,'Quick Setup'!$D40,if(BJ13='Quick Setup'!$E$31,'Quick Setup'!$E40,if(BJ13='Quick Setup'!$F$31,'Quick Setup'!$F40,if(BJ13='Quick Setup'!$G$31,'Quick Setup'!$G40,if(BJ13='Quick Setup'!$H$31,'Quick Setup'!$H40,if(BJ13='Quick Setup'!$I$31,'Quick Setup'!$I40,if(BJ13='Quick Setup'!$J$31,'Quick Setup'!$J40,if(BJ13='Quick Setup'!$K$31,'Quick Setup'!$K40,if(BJ13='Quick Setup'!$L$31,'Quick Setup'!$L40,if(BJ13='Quick Setup'!$M$31,'Quick Setup'!$M40,if(BJ13='Quick Setup'!$N$31,'Quick Setup'!$N40,if(BJ13='Quick Setup'!$O$31,'Quick Setup'!$O40,if(BJ13='Quick Setup'!$P$31,'Quick Setup'!$P40,if(BJ13='Quick Setup'!$Q$31,'Quick Setup'!$Q40,if(BJ13='Quick Setup'!$R$31,'Quick Setup'!$R40,if(BJ13='Quick Setup'!$S$31,'Quick Setup'!$S40,if(BJ13='Quick Setup'!$T$31,'Quick Setup'!$T40,if(BJ13='Quick Setup'!$U$31,'Quick Setup'!$U40,if(BJ13='Quick Setup'!$V$31,'Quick Setup'!$V40,'Quick Setup'!$W40))))))))))))))))))))</f>
        <v>5</v>
      </c>
      <c r="BL13" s="25">
        <f>if(BJ13='Quick Setup'!$C$45,'Quick Setup'!$C54,if(BJ13='Quick Setup'!$D$45,'Quick Setup'!$D54,if(BJ13='Quick Setup'!$E$45,'Quick Setup'!$E54,if(BJ13='Quick Setup'!$F$45,'Quick Setup'!$F54,if(BJ13='Quick Setup'!$G$45,'Quick Setup'!$G54,if(BJ13='Quick Setup'!$H$45,'Quick Setup'!$H54,if(BJ13='Quick Setup'!$I$45,'Quick Setup'!$I54,if(BJ13='Quick Setup'!$J$45,'Quick Setup'!$J54,if(BJ13='Quick Setup'!$K$45,'Quick Setup'!$K54,if(BJ13='Quick Setup'!$L$45,'Quick Setup'!$L54,if(BJ13='Quick Setup'!$M$45,'Quick Setup'!$M54,if(BJ13='Quick Setup'!$N$45,'Quick Setup'!$N54,if(BJ13='Quick Setup'!$O$45,'Quick Setup'!$O54,if(BJ13='Quick Setup'!$P$45,'Quick Setup'!$P54,if(BJ13='Quick Setup'!$Q$45,'Quick Setup'!$Q54,if(BJ13='Quick Setup'!$R$45,'Quick Setup'!$R54,if(BJ13='Quick Setup'!$S$45,'Quick Setup'!$S54,if(BJ13='Quick Setup'!$T$45,'Quick Setup'!$T54,if(BJ13='Quick Setup'!$U$45,'Quick Setup'!$U54,if(BJ13='Quick Setup'!$V$45,'Quick Setup'!$V54,'Quick Setup'!$W54))))))))))))))))))))</f>
        <v>9</v>
      </c>
      <c r="BM13" s="27">
        <f t="shared" ref="BM13:BU13" si="165">BA13</f>
        <v>5</v>
      </c>
      <c r="BN13" s="28">
        <f t="shared" si="165"/>
        <v>-0.05</v>
      </c>
      <c r="BO13" s="28">
        <f t="shared" si="165"/>
        <v>-0.02</v>
      </c>
      <c r="BP13" s="28">
        <f t="shared" si="165"/>
        <v>0</v>
      </c>
      <c r="BQ13" s="28">
        <f t="shared" si="165"/>
        <v>0.005</v>
      </c>
      <c r="BR13" s="28">
        <f t="shared" si="165"/>
        <v>0.01</v>
      </c>
      <c r="BS13" s="28">
        <f t="shared" si="165"/>
        <v>0.015</v>
      </c>
      <c r="BT13" s="28">
        <f t="shared" si="165"/>
        <v>0.02</v>
      </c>
      <c r="BU13" s="28">
        <f t="shared" si="165"/>
        <v>0.03</v>
      </c>
      <c r="BV13" s="24">
        <f>'Quick Setup'!I68</f>
        <v>0.5</v>
      </c>
      <c r="BW13" s="25">
        <f>if(BV13='Quick Setup'!$C$31,'Quick Setup'!$C40,if(BV13='Quick Setup'!$D$31,'Quick Setup'!$D40,if(BV13='Quick Setup'!$E$31,'Quick Setup'!$E40,if(BV13='Quick Setup'!$F$31,'Quick Setup'!$F40,if(BV13='Quick Setup'!$G$31,'Quick Setup'!$G40,if(BV13='Quick Setup'!$H$31,'Quick Setup'!$H40,if(BV13='Quick Setup'!$I$31,'Quick Setup'!$I40,if(BV13='Quick Setup'!$J$31,'Quick Setup'!$J40,if(BV13='Quick Setup'!$K$31,'Quick Setup'!$K40,if(BV13='Quick Setup'!$L$31,'Quick Setup'!$L40,if(BV13='Quick Setup'!$M$31,'Quick Setup'!$M40,if(BV13='Quick Setup'!$N$31,'Quick Setup'!$N40,if(BV13='Quick Setup'!$O$31,'Quick Setup'!$O40,if(BV13='Quick Setup'!$P$31,'Quick Setup'!$P40,if(BV13='Quick Setup'!$Q$31,'Quick Setup'!$Q40,if(BV13='Quick Setup'!$R$31,'Quick Setup'!$R40,if(BV13='Quick Setup'!$S$31,'Quick Setup'!$S40,if(BV13='Quick Setup'!$T$31,'Quick Setup'!$T40,if(BV13='Quick Setup'!$U$31,'Quick Setup'!$U40,if(BV13='Quick Setup'!$V$31,'Quick Setup'!$V40,'Quick Setup'!$W40))))))))))))))))))))</f>
        <v>8</v>
      </c>
      <c r="BX13" s="25">
        <f>if(BV13='Quick Setup'!$C$45,'Quick Setup'!$C54,if(BV13='Quick Setup'!$D$45,'Quick Setup'!$D54,if(BV13='Quick Setup'!$E$45,'Quick Setup'!$E54,if(BV13='Quick Setup'!$F$45,'Quick Setup'!$F54,if(BV13='Quick Setup'!$G$45,'Quick Setup'!$G54,if(BV13='Quick Setup'!$H$45,'Quick Setup'!$H54,if(BV13='Quick Setup'!$I$45,'Quick Setup'!$I54,if(BV13='Quick Setup'!$J$45,'Quick Setup'!$J54,if(BV13='Quick Setup'!$K$45,'Quick Setup'!$K54,if(BV13='Quick Setup'!$L$45,'Quick Setup'!$L54,if(BV13='Quick Setup'!$M$45,'Quick Setup'!$M54,if(BV13='Quick Setup'!$N$45,'Quick Setup'!$N54,if(BV13='Quick Setup'!$O$45,'Quick Setup'!$O54,if(BV13='Quick Setup'!$P$45,'Quick Setup'!$P54,if(BV13='Quick Setup'!$Q$45,'Quick Setup'!$Q54,if(BV13='Quick Setup'!$R$45,'Quick Setup'!$R54,if(BV13='Quick Setup'!$S$45,'Quick Setup'!$S54,if(BV13='Quick Setup'!$T$45,'Quick Setup'!$T54,if(BV13='Quick Setup'!$U$45,'Quick Setup'!$U54,if(BV13='Quick Setup'!$V$45,'Quick Setup'!$V54,'Quick Setup'!$W54))))))))))))))))))))</f>
        <v>18</v>
      </c>
      <c r="BY13" s="27">
        <f t="shared" ref="BY13:CG13" si="166">BM13</f>
        <v>5</v>
      </c>
      <c r="BZ13" s="28">
        <f t="shared" si="166"/>
        <v>-0.05</v>
      </c>
      <c r="CA13" s="28">
        <f t="shared" si="166"/>
        <v>-0.02</v>
      </c>
      <c r="CB13" s="28">
        <f t="shared" si="166"/>
        <v>0</v>
      </c>
      <c r="CC13" s="28">
        <f t="shared" si="166"/>
        <v>0.005</v>
      </c>
      <c r="CD13" s="28">
        <f t="shared" si="166"/>
        <v>0.01</v>
      </c>
      <c r="CE13" s="28">
        <f t="shared" si="166"/>
        <v>0.015</v>
      </c>
      <c r="CF13" s="28">
        <f t="shared" si="166"/>
        <v>0.02</v>
      </c>
      <c r="CG13" s="28">
        <f t="shared" si="166"/>
        <v>0.03</v>
      </c>
      <c r="CH13" s="24">
        <f>'Quick Setup'!J68</f>
        <v>0.65</v>
      </c>
      <c r="CI13" s="25">
        <f>if(CH13='Quick Setup'!$C$31,'Quick Setup'!$C40,if(CH13='Quick Setup'!$D$31,'Quick Setup'!$D40,if(CH13='Quick Setup'!$E$31,'Quick Setup'!$E40,if(CH13='Quick Setup'!$F$31,'Quick Setup'!$F40,if(CH13='Quick Setup'!$G$31,'Quick Setup'!$G40,if(CH13='Quick Setup'!$H$31,'Quick Setup'!$H40,if(CH13='Quick Setup'!$I$31,'Quick Setup'!$I40,if(CH13='Quick Setup'!$J$31,'Quick Setup'!$J40,if(CH13='Quick Setup'!$K$31,'Quick Setup'!$K40,if(CH13='Quick Setup'!$L$31,'Quick Setup'!$L40,if(CH13='Quick Setup'!$M$31,'Quick Setup'!$M40,if(CH13='Quick Setup'!$N$31,'Quick Setup'!$N40,if(CH13='Quick Setup'!$O$31,'Quick Setup'!$O40,if(CH13='Quick Setup'!$P$31,'Quick Setup'!$P40,if(CH13='Quick Setup'!$Q$31,'Quick Setup'!$Q40,if(CH13='Quick Setup'!$R$31,'Quick Setup'!$R40,if(CH13='Quick Setup'!$S$31,'Quick Setup'!$S40,if(CH13='Quick Setup'!$T$31,'Quick Setup'!$T40,if(CH13='Quick Setup'!$U$31,'Quick Setup'!$U40,if(CH13='Quick Setup'!$V$31,'Quick Setup'!$V40,'Quick Setup'!$W40))))))))))))))))))))</f>
        <v>6</v>
      </c>
      <c r="CJ13" s="25">
        <f>if(CH13='Quick Setup'!$C$45,'Quick Setup'!$C54,if(CH13='Quick Setup'!$D$45,'Quick Setup'!$D54,if(CH13='Quick Setup'!$E$45,'Quick Setup'!$E54,if(CH13='Quick Setup'!$F$45,'Quick Setup'!$F54,if(CH13='Quick Setup'!$G$45,'Quick Setup'!$G54,if(CH13='Quick Setup'!$H$45,'Quick Setup'!$H54,if(CH13='Quick Setup'!$I$45,'Quick Setup'!$I54,if(CH13='Quick Setup'!$J$45,'Quick Setup'!$J54,if(CH13='Quick Setup'!$K$45,'Quick Setup'!$K54,if(CH13='Quick Setup'!$L$45,'Quick Setup'!$L54,if(CH13='Quick Setup'!$M$45,'Quick Setup'!$M54,if(CH13='Quick Setup'!$N$45,'Quick Setup'!$N54,if(CH13='Quick Setup'!$O$45,'Quick Setup'!$O54,if(CH13='Quick Setup'!$P$45,'Quick Setup'!$P54,if(CH13='Quick Setup'!$Q$45,'Quick Setup'!$Q54,if(CH13='Quick Setup'!$R$45,'Quick Setup'!$R54,if(CH13='Quick Setup'!$S$45,'Quick Setup'!$S54,if(CH13='Quick Setup'!$T$45,'Quick Setup'!$T54,if(CH13='Quick Setup'!$U$45,'Quick Setup'!$U54,if(CH13='Quick Setup'!$V$45,'Quick Setup'!$V54,'Quick Setup'!$W54))))))))))))))))))))</f>
        <v>12</v>
      </c>
      <c r="CK13" s="27">
        <f t="shared" ref="CK13:CS13" si="167">BY13</f>
        <v>5</v>
      </c>
      <c r="CL13" s="28">
        <f t="shared" si="167"/>
        <v>-0.05</v>
      </c>
      <c r="CM13" s="28">
        <f t="shared" si="167"/>
        <v>-0.02</v>
      </c>
      <c r="CN13" s="28">
        <f t="shared" si="167"/>
        <v>0</v>
      </c>
      <c r="CO13" s="28">
        <f t="shared" si="167"/>
        <v>0.005</v>
      </c>
      <c r="CP13" s="28">
        <f t="shared" si="167"/>
        <v>0.01</v>
      </c>
      <c r="CQ13" s="28">
        <f t="shared" si="167"/>
        <v>0.015</v>
      </c>
      <c r="CR13" s="28">
        <f t="shared" si="167"/>
        <v>0.02</v>
      </c>
      <c r="CS13" s="28">
        <f t="shared" si="167"/>
        <v>0.03</v>
      </c>
      <c r="CT13" s="24">
        <f>'Quick Setup'!K68</f>
        <v>0.7</v>
      </c>
      <c r="CU13" s="25">
        <f>if(CT13='Quick Setup'!$C$31,'Quick Setup'!$C40,if(CT13='Quick Setup'!$D$31,'Quick Setup'!$D40,if(CT13='Quick Setup'!$E$31,'Quick Setup'!$E40,if(CT13='Quick Setup'!$F$31,'Quick Setup'!$F40,if(CT13='Quick Setup'!$G$31,'Quick Setup'!$G40,if(CT13='Quick Setup'!$H$31,'Quick Setup'!$H40,if(CT13='Quick Setup'!$I$31,'Quick Setup'!$I40,if(CT13='Quick Setup'!$J$31,'Quick Setup'!$J40,if(CT13='Quick Setup'!$K$31,'Quick Setup'!$K40,if(CT13='Quick Setup'!$L$31,'Quick Setup'!$L40,if(CT13='Quick Setup'!$M$31,'Quick Setup'!$M40,if(CT13='Quick Setup'!$N$31,'Quick Setup'!$N40,if(CT13='Quick Setup'!$O$31,'Quick Setup'!$O40,if(CT13='Quick Setup'!$P$31,'Quick Setup'!$P40,if(CT13='Quick Setup'!$Q$31,'Quick Setup'!$Q40,if(CT13='Quick Setup'!$R$31,'Quick Setup'!$R40,if(CT13='Quick Setup'!$S$31,'Quick Setup'!$S40,if(CT13='Quick Setup'!$T$31,'Quick Setup'!$T40,if(CT13='Quick Setup'!$U$31,'Quick Setup'!$U40,if(CT13='Quick Setup'!$V$31,'Quick Setup'!$V40,'Quick Setup'!$W40))))))))))))))))))))</f>
        <v>5</v>
      </c>
      <c r="CV13" s="25">
        <f>if(CT13='Quick Setup'!$C$45,'Quick Setup'!$C54,if(CT13='Quick Setup'!$D$45,'Quick Setup'!$D54,if(CT13='Quick Setup'!$E$45,'Quick Setup'!$E54,if(CT13='Quick Setup'!$F$45,'Quick Setup'!$F54,if(CT13='Quick Setup'!$G$45,'Quick Setup'!$G54,if(CT13='Quick Setup'!$H$45,'Quick Setup'!$H54,if(CT13='Quick Setup'!$I$45,'Quick Setup'!$I54,if(CT13='Quick Setup'!$J$45,'Quick Setup'!$J54,if(CT13='Quick Setup'!$K$45,'Quick Setup'!$K54,if(CT13='Quick Setup'!$L$45,'Quick Setup'!$L54,if(CT13='Quick Setup'!$M$45,'Quick Setup'!$M54,if(CT13='Quick Setup'!$N$45,'Quick Setup'!$N54,if(CT13='Quick Setup'!$O$45,'Quick Setup'!$O54,if(CT13='Quick Setup'!$P$45,'Quick Setup'!$P54,if(CT13='Quick Setup'!$Q$45,'Quick Setup'!$Q54,if(CT13='Quick Setup'!$R$45,'Quick Setup'!$R54,if(CT13='Quick Setup'!$S$45,'Quick Setup'!$S54,if(CT13='Quick Setup'!$T$45,'Quick Setup'!$T54,if(CT13='Quick Setup'!$U$45,'Quick Setup'!$U54,if(CT13='Quick Setup'!$V$45,'Quick Setup'!$V54,'Quick Setup'!$W54))))))))))))))))))))</f>
        <v>10</v>
      </c>
      <c r="CW13" s="27">
        <f t="shared" ref="CW13:DE13" si="168">CK13</f>
        <v>5</v>
      </c>
      <c r="CX13" s="28">
        <f t="shared" si="168"/>
        <v>-0.05</v>
      </c>
      <c r="CY13" s="28">
        <f t="shared" si="168"/>
        <v>-0.02</v>
      </c>
      <c r="CZ13" s="28">
        <f t="shared" si="168"/>
        <v>0</v>
      </c>
      <c r="DA13" s="28">
        <f t="shared" si="168"/>
        <v>0.005</v>
      </c>
      <c r="DB13" s="28">
        <f t="shared" si="168"/>
        <v>0.01</v>
      </c>
      <c r="DC13" s="28">
        <f t="shared" si="168"/>
        <v>0.015</v>
      </c>
      <c r="DD13" s="28">
        <f t="shared" si="168"/>
        <v>0.02</v>
      </c>
      <c r="DE13" s="28">
        <f t="shared" si="168"/>
        <v>0.03</v>
      </c>
      <c r="DF13" s="24">
        <f>'Quick Setup'!L68</f>
        <v>0.75</v>
      </c>
      <c r="DG13" s="25">
        <f>if(DF13='Quick Setup'!$C$31,'Quick Setup'!$C40,if(DF13='Quick Setup'!$D$31,'Quick Setup'!$D40,if(DF13='Quick Setup'!$E$31,'Quick Setup'!$E40,if(DF13='Quick Setup'!$F$31,'Quick Setup'!$F40,if(DF13='Quick Setup'!$G$31,'Quick Setup'!$G40,if(DF13='Quick Setup'!$H$31,'Quick Setup'!$H40,if(DF13='Quick Setup'!$I$31,'Quick Setup'!$I40,if(DF13='Quick Setup'!$J$31,'Quick Setup'!$J40,if(DF13='Quick Setup'!$K$31,'Quick Setup'!$K40,if(DF13='Quick Setup'!$L$31,'Quick Setup'!$L40,if(DF13='Quick Setup'!$M$31,'Quick Setup'!$M40,if(DF13='Quick Setup'!$N$31,'Quick Setup'!$N40,if(DF13='Quick Setup'!$O$31,'Quick Setup'!$O40,if(DF13='Quick Setup'!$P$31,'Quick Setup'!$P40,if(DF13='Quick Setup'!$Q$31,'Quick Setup'!$Q40,if(DF13='Quick Setup'!$R$31,'Quick Setup'!$R40,if(DF13='Quick Setup'!$S$31,'Quick Setup'!$S40,if(DF13='Quick Setup'!$T$31,'Quick Setup'!$T40,if(DF13='Quick Setup'!$U$31,'Quick Setup'!$U40,if(DF13='Quick Setup'!$V$31,'Quick Setup'!$V40,'Quick Setup'!$W40))))))))))))))))))))</f>
        <v>4</v>
      </c>
      <c r="DH13" s="25">
        <f>if(DF13='Quick Setup'!$C$45,'Quick Setup'!$C54,if(DF13='Quick Setup'!$D$45,'Quick Setup'!$D54,if(DF13='Quick Setup'!$E$45,'Quick Setup'!$E54,if(DF13='Quick Setup'!$F$45,'Quick Setup'!$F54,if(DF13='Quick Setup'!$G$45,'Quick Setup'!$G54,if(DF13='Quick Setup'!$H$45,'Quick Setup'!$H54,if(DF13='Quick Setup'!$I$45,'Quick Setup'!$I54,if(DF13='Quick Setup'!$J$45,'Quick Setup'!$J54,if(DF13='Quick Setup'!$K$45,'Quick Setup'!$K54,if(DF13='Quick Setup'!$L$45,'Quick Setup'!$L54,if(DF13='Quick Setup'!$M$45,'Quick Setup'!$M54,if(DF13='Quick Setup'!$N$45,'Quick Setup'!$N54,if(DF13='Quick Setup'!$O$45,'Quick Setup'!$O54,if(DF13='Quick Setup'!$P$45,'Quick Setup'!$P54,if(DF13='Quick Setup'!$Q$45,'Quick Setup'!$Q54,if(DF13='Quick Setup'!$R$45,'Quick Setup'!$R54,if(DF13='Quick Setup'!$S$45,'Quick Setup'!$S54,if(DF13='Quick Setup'!$T$45,'Quick Setup'!$T54,if(DF13='Quick Setup'!$U$45,'Quick Setup'!$U54,if(DF13='Quick Setup'!$V$45,'Quick Setup'!$V54,'Quick Setup'!$W54))))))))))))))))))))</f>
        <v>8</v>
      </c>
      <c r="DI13" s="27">
        <f t="shared" ref="DI13:DQ13" si="169">CW13</f>
        <v>5</v>
      </c>
      <c r="DJ13" s="28">
        <f t="shared" si="169"/>
        <v>-0.05</v>
      </c>
      <c r="DK13" s="28">
        <f t="shared" si="169"/>
        <v>-0.02</v>
      </c>
      <c r="DL13" s="28">
        <f t="shared" si="169"/>
        <v>0</v>
      </c>
      <c r="DM13" s="28">
        <f t="shared" si="169"/>
        <v>0.005</v>
      </c>
      <c r="DN13" s="28">
        <f t="shared" si="169"/>
        <v>0.01</v>
      </c>
      <c r="DO13" s="28">
        <f t="shared" si="169"/>
        <v>0.015</v>
      </c>
      <c r="DP13" s="28">
        <f t="shared" si="169"/>
        <v>0.02</v>
      </c>
      <c r="DQ13" s="28">
        <f t="shared" si="169"/>
        <v>0.03</v>
      </c>
      <c r="DR13" s="24">
        <f>'Quick Setup'!M68</f>
        <v>0.675</v>
      </c>
      <c r="DS13" s="25">
        <f>if(DR13='Quick Setup'!$C$31,'Quick Setup'!$C40,if(DR13='Quick Setup'!$D$31,'Quick Setup'!$D40,if(DR13='Quick Setup'!$E$31,'Quick Setup'!$E40,if(DR13='Quick Setup'!$F$31,'Quick Setup'!$F40,if(DR13='Quick Setup'!$G$31,'Quick Setup'!$G40,if(DR13='Quick Setup'!$H$31,'Quick Setup'!$H40,if(DR13='Quick Setup'!$I$31,'Quick Setup'!$I40,if(DR13='Quick Setup'!$J$31,'Quick Setup'!$J40,if(DR13='Quick Setup'!$K$31,'Quick Setup'!$K40,if(DR13='Quick Setup'!$L$31,'Quick Setup'!$L40,if(DR13='Quick Setup'!$M$31,'Quick Setup'!$M40,if(DR13='Quick Setup'!$N$31,'Quick Setup'!$N40,if(DR13='Quick Setup'!$O$31,'Quick Setup'!$O40,if(DR13='Quick Setup'!$P$31,'Quick Setup'!$P40,if(DR13='Quick Setup'!$Q$31,'Quick Setup'!$Q40,if(DR13='Quick Setup'!$R$31,'Quick Setup'!$R40,if(DR13='Quick Setup'!$S$31,'Quick Setup'!$S40,if(DR13='Quick Setup'!$T$31,'Quick Setup'!$T40,if(DR13='Quick Setup'!$U$31,'Quick Setup'!$U40,if(DR13='Quick Setup'!$V$31,'Quick Setup'!$V40,'Quick Setup'!$W40))))))))))))))))))))</f>
        <v>6</v>
      </c>
      <c r="DT13" s="25">
        <f>if(DR13='Quick Setup'!$C$45,'Quick Setup'!$C54,if(DR13='Quick Setup'!$D$45,'Quick Setup'!$D54,if(DR13='Quick Setup'!$E$45,'Quick Setup'!$E54,if(DR13='Quick Setup'!$F$45,'Quick Setup'!$F54,if(DR13='Quick Setup'!$G$45,'Quick Setup'!$G54,if(DR13='Quick Setup'!$H$45,'Quick Setup'!$H54,if(DR13='Quick Setup'!$I$45,'Quick Setup'!$I54,if(DR13='Quick Setup'!$J$45,'Quick Setup'!$J54,if(DR13='Quick Setup'!$K$45,'Quick Setup'!$K54,if(DR13='Quick Setup'!$L$45,'Quick Setup'!$L54,if(DR13='Quick Setup'!$M$45,'Quick Setup'!$M54,if(DR13='Quick Setup'!$N$45,'Quick Setup'!$N54,if(DR13='Quick Setup'!$O$45,'Quick Setup'!$O54,if(DR13='Quick Setup'!$P$45,'Quick Setup'!$P54,if(DR13='Quick Setup'!$Q$45,'Quick Setup'!$Q54,if(DR13='Quick Setup'!$R$45,'Quick Setup'!$R54,if(DR13='Quick Setup'!$S$45,'Quick Setup'!$S54,if(DR13='Quick Setup'!$T$45,'Quick Setup'!$T54,if(DR13='Quick Setup'!$U$45,'Quick Setup'!$U54,if(DR13='Quick Setup'!$V$45,'Quick Setup'!$V54,'Quick Setup'!$W54))))))))))))))))))))</f>
        <v>11</v>
      </c>
      <c r="DU13" s="27">
        <f t="shared" ref="DU13:EC13" si="170">DI13</f>
        <v>5</v>
      </c>
      <c r="DV13" s="28">
        <f t="shared" si="170"/>
        <v>-0.05</v>
      </c>
      <c r="DW13" s="28">
        <f t="shared" si="170"/>
        <v>-0.02</v>
      </c>
      <c r="DX13" s="28">
        <f t="shared" si="170"/>
        <v>0</v>
      </c>
      <c r="DY13" s="28">
        <f t="shared" si="170"/>
        <v>0.005</v>
      </c>
      <c r="DZ13" s="28">
        <f t="shared" si="170"/>
        <v>0.01</v>
      </c>
      <c r="EA13" s="28">
        <f t="shared" si="170"/>
        <v>0.015</v>
      </c>
      <c r="EB13" s="28">
        <f t="shared" si="170"/>
        <v>0.02</v>
      </c>
      <c r="EC13" s="28">
        <f t="shared" si="170"/>
        <v>0.03</v>
      </c>
      <c r="ED13" s="24">
        <f>'Quick Setup'!N68</f>
        <v>0.725</v>
      </c>
      <c r="EE13" s="25">
        <f>if(ED13='Quick Setup'!$C$31,'Quick Setup'!$C40,if(ED13='Quick Setup'!$D$31,'Quick Setup'!$D40,if(ED13='Quick Setup'!$E$31,'Quick Setup'!$E40,if(ED13='Quick Setup'!$F$31,'Quick Setup'!$F40,if(ED13='Quick Setup'!$G$31,'Quick Setup'!$G40,if(ED13='Quick Setup'!$H$31,'Quick Setup'!$H40,if(ED13='Quick Setup'!$I$31,'Quick Setup'!$I40,if(ED13='Quick Setup'!$J$31,'Quick Setup'!$J40,if(ED13='Quick Setup'!$K$31,'Quick Setup'!$K40,if(ED13='Quick Setup'!$L$31,'Quick Setup'!$L40,if(ED13='Quick Setup'!$M$31,'Quick Setup'!$M40,if(ED13='Quick Setup'!$N$31,'Quick Setup'!$N40,if(ED13='Quick Setup'!$O$31,'Quick Setup'!$O40,if(ED13='Quick Setup'!$P$31,'Quick Setup'!$P40,if(ED13='Quick Setup'!$Q$31,'Quick Setup'!$Q40,if(ED13='Quick Setup'!$R$31,'Quick Setup'!$R40,if(ED13='Quick Setup'!$S$31,'Quick Setup'!$S40,if(ED13='Quick Setup'!$T$31,'Quick Setup'!$T40,if(ED13='Quick Setup'!$U$31,'Quick Setup'!$U40,if(ED13='Quick Setup'!$V$31,'Quick Setup'!$V40,'Quick Setup'!$W40))))))))))))))))))))</f>
        <v>5</v>
      </c>
      <c r="EF13" s="25">
        <f>if(ED13='Quick Setup'!$C$45,'Quick Setup'!$C54,if(ED13='Quick Setup'!$D$45,'Quick Setup'!$D54,if(ED13='Quick Setup'!$E$45,'Quick Setup'!$E54,if(ED13='Quick Setup'!$F$45,'Quick Setup'!$F54,if(ED13='Quick Setup'!$G$45,'Quick Setup'!$G54,if(ED13='Quick Setup'!$H$45,'Quick Setup'!$H54,if(ED13='Quick Setup'!$I$45,'Quick Setup'!$I54,if(ED13='Quick Setup'!$J$45,'Quick Setup'!$J54,if(ED13='Quick Setup'!$K$45,'Quick Setup'!$K54,if(ED13='Quick Setup'!$L$45,'Quick Setup'!$L54,if(ED13='Quick Setup'!$M$45,'Quick Setup'!$M54,if(ED13='Quick Setup'!$N$45,'Quick Setup'!$N54,if(ED13='Quick Setup'!$O$45,'Quick Setup'!$O54,if(ED13='Quick Setup'!$P$45,'Quick Setup'!$P54,if(ED13='Quick Setup'!$Q$45,'Quick Setup'!$Q54,if(ED13='Quick Setup'!$R$45,'Quick Setup'!$R54,if(ED13='Quick Setup'!$S$45,'Quick Setup'!$S54,if(ED13='Quick Setup'!$T$45,'Quick Setup'!$T54,if(ED13='Quick Setup'!$U$45,'Quick Setup'!$U54,if(ED13='Quick Setup'!$V$45,'Quick Setup'!$V54,'Quick Setup'!$W54))))))))))))))))))))</f>
        <v>9</v>
      </c>
      <c r="EG13" s="27">
        <f t="shared" ref="EG13:EO13" si="171">DU13</f>
        <v>5</v>
      </c>
      <c r="EH13" s="28">
        <f t="shared" si="171"/>
        <v>-0.05</v>
      </c>
      <c r="EI13" s="28">
        <f t="shared" si="171"/>
        <v>-0.02</v>
      </c>
      <c r="EJ13" s="28">
        <f t="shared" si="171"/>
        <v>0</v>
      </c>
      <c r="EK13" s="28">
        <f t="shared" si="171"/>
        <v>0.005</v>
      </c>
      <c r="EL13" s="28">
        <f t="shared" si="171"/>
        <v>0.01</v>
      </c>
      <c r="EM13" s="28">
        <f t="shared" si="171"/>
        <v>0.015</v>
      </c>
      <c r="EN13" s="28">
        <f t="shared" si="171"/>
        <v>0.02</v>
      </c>
      <c r="EO13" s="28">
        <f t="shared" si="171"/>
        <v>0.03</v>
      </c>
      <c r="EP13" s="24">
        <f>'Quick Setup'!O68</f>
        <v>0.775</v>
      </c>
      <c r="EQ13" s="25">
        <f>if(EP13='Quick Setup'!$C$31,'Quick Setup'!$C40,if(EP13='Quick Setup'!$D$31,'Quick Setup'!$D40,if(EP13='Quick Setup'!$E$31,'Quick Setup'!$E40,if(EP13='Quick Setup'!$F$31,'Quick Setup'!$F40,if(EP13='Quick Setup'!$G$31,'Quick Setup'!$G40,if(EP13='Quick Setup'!$H$31,'Quick Setup'!$H40,if(EP13='Quick Setup'!$I$31,'Quick Setup'!$I40,if(EP13='Quick Setup'!$J$31,'Quick Setup'!$J40,if(EP13='Quick Setup'!$K$31,'Quick Setup'!$K40,if(EP13='Quick Setup'!$L$31,'Quick Setup'!$L40,if(EP13='Quick Setup'!$M$31,'Quick Setup'!$M40,if(EP13='Quick Setup'!$N$31,'Quick Setup'!$N40,if(EP13='Quick Setup'!$O$31,'Quick Setup'!$O40,if(EP13='Quick Setup'!$P$31,'Quick Setup'!$P40,if(EP13='Quick Setup'!$Q$31,'Quick Setup'!$Q40,if(EP13='Quick Setup'!$R$31,'Quick Setup'!$R40,if(EP13='Quick Setup'!$S$31,'Quick Setup'!$S40,if(EP13='Quick Setup'!$T$31,'Quick Setup'!$T40,if(EP13='Quick Setup'!$U$31,'Quick Setup'!$U40,if(EP13='Quick Setup'!$V$31,'Quick Setup'!$V40,'Quick Setup'!$W40))))))))))))))))))))</f>
        <v>4</v>
      </c>
      <c r="ER13" s="25">
        <f>if(EP13='Quick Setup'!$C$45,'Quick Setup'!$C54,if(EP13='Quick Setup'!$D$45,'Quick Setup'!$D54,if(EP13='Quick Setup'!$E$45,'Quick Setup'!$E54,if(EP13='Quick Setup'!$F$45,'Quick Setup'!$F54,if(EP13='Quick Setup'!$G$45,'Quick Setup'!$G54,if(EP13='Quick Setup'!$H$45,'Quick Setup'!$H54,if(EP13='Quick Setup'!$I$45,'Quick Setup'!$I54,if(EP13='Quick Setup'!$J$45,'Quick Setup'!$J54,if(EP13='Quick Setup'!$K$45,'Quick Setup'!$K54,if(EP13='Quick Setup'!$L$45,'Quick Setup'!$L54,if(EP13='Quick Setup'!$M$45,'Quick Setup'!$M54,if(EP13='Quick Setup'!$N$45,'Quick Setup'!$N54,if(EP13='Quick Setup'!$O$45,'Quick Setup'!$O54,if(EP13='Quick Setup'!$P$45,'Quick Setup'!$P54,if(EP13='Quick Setup'!$Q$45,'Quick Setup'!$Q54,if(EP13='Quick Setup'!$R$45,'Quick Setup'!$R54,if(EP13='Quick Setup'!$S$45,'Quick Setup'!$S54,if(EP13='Quick Setup'!$T$45,'Quick Setup'!$T54,if(EP13='Quick Setup'!$U$45,'Quick Setup'!$U54,if(EP13='Quick Setup'!$V$45,'Quick Setup'!$V54,'Quick Setup'!$W54))))))))))))))))))))</f>
        <v>7</v>
      </c>
      <c r="ES13" s="27">
        <f t="shared" ref="ES13:FA13" si="172">EG13</f>
        <v>5</v>
      </c>
      <c r="ET13" s="28">
        <f t="shared" si="172"/>
        <v>-0.05</v>
      </c>
      <c r="EU13" s="28">
        <f t="shared" si="172"/>
        <v>-0.02</v>
      </c>
      <c r="EV13" s="28">
        <f t="shared" si="172"/>
        <v>0</v>
      </c>
      <c r="EW13" s="28">
        <f t="shared" si="172"/>
        <v>0.005</v>
      </c>
      <c r="EX13" s="28">
        <f t="shared" si="172"/>
        <v>0.01</v>
      </c>
      <c r="EY13" s="28">
        <f t="shared" si="172"/>
        <v>0.015</v>
      </c>
      <c r="EZ13" s="28">
        <f t="shared" si="172"/>
        <v>0.02</v>
      </c>
      <c r="FA13" s="28">
        <f t="shared" si="172"/>
        <v>0.03</v>
      </c>
      <c r="FB13" s="24">
        <f>'Quick Setup'!P68</f>
        <v>0.5</v>
      </c>
      <c r="FC13" s="25">
        <f>if(FB13='Quick Setup'!$C$31,'Quick Setup'!$C40,if(FB13='Quick Setup'!$D$31,'Quick Setup'!$D40,if(FB13='Quick Setup'!$E$31,'Quick Setup'!$E40,if(FB13='Quick Setup'!$F$31,'Quick Setup'!$F40,if(FB13='Quick Setup'!$G$31,'Quick Setup'!$G40,if(FB13='Quick Setup'!$H$31,'Quick Setup'!$H40,if(FB13='Quick Setup'!$I$31,'Quick Setup'!$I40,if(FB13='Quick Setup'!$J$31,'Quick Setup'!$J40,if(FB13='Quick Setup'!$K$31,'Quick Setup'!$K40,if(FB13='Quick Setup'!$L$31,'Quick Setup'!$L40,if(FB13='Quick Setup'!$M$31,'Quick Setup'!$M40,if(FB13='Quick Setup'!$N$31,'Quick Setup'!$N40,if(FB13='Quick Setup'!$O$31,'Quick Setup'!$O40,if(FB13='Quick Setup'!$P$31,'Quick Setup'!$P40,if(FB13='Quick Setup'!$Q$31,'Quick Setup'!$Q40,if(FB13='Quick Setup'!$R$31,'Quick Setup'!$R40,if(FB13='Quick Setup'!$S$31,'Quick Setup'!$S40,if(FB13='Quick Setup'!$T$31,'Quick Setup'!$T40,if(FB13='Quick Setup'!$U$31,'Quick Setup'!$U40,if(FB13='Quick Setup'!$V$31,'Quick Setup'!$V40,'Quick Setup'!$W40))))))))))))))))))))</f>
        <v>8</v>
      </c>
      <c r="FD13" s="25">
        <f>if(FB13='Quick Setup'!$C$45,'Quick Setup'!$C54,if(FB13='Quick Setup'!$D$45,'Quick Setup'!$D54,if(FB13='Quick Setup'!$E$45,'Quick Setup'!$E54,if(FB13='Quick Setup'!$F$45,'Quick Setup'!$F54,if(FB13='Quick Setup'!$G$45,'Quick Setup'!$G54,if(FB13='Quick Setup'!$H$45,'Quick Setup'!$H54,if(FB13='Quick Setup'!$I$45,'Quick Setup'!$I54,if(FB13='Quick Setup'!$J$45,'Quick Setup'!$J54,if(FB13='Quick Setup'!$K$45,'Quick Setup'!$K54,if(FB13='Quick Setup'!$L$45,'Quick Setup'!$L54,if(FB13='Quick Setup'!$M$45,'Quick Setup'!$M54,if(FB13='Quick Setup'!$N$45,'Quick Setup'!$N54,if(FB13='Quick Setup'!$O$45,'Quick Setup'!$O54,if(FB13='Quick Setup'!$P$45,'Quick Setup'!$P54,if(FB13='Quick Setup'!$Q$45,'Quick Setup'!$Q54,if(FB13='Quick Setup'!$R$45,'Quick Setup'!$R54,if(FB13='Quick Setup'!$S$45,'Quick Setup'!$S54,if(FB13='Quick Setup'!$T$45,'Quick Setup'!$T54,if(FB13='Quick Setup'!$U$45,'Quick Setup'!$U54,if(FB13='Quick Setup'!$V$45,'Quick Setup'!$V54,'Quick Setup'!$W54))))))))))))))))))))</f>
        <v>18</v>
      </c>
      <c r="FE13" s="27">
        <f t="shared" ref="FE13:FM13" si="173">ES13</f>
        <v>5</v>
      </c>
      <c r="FF13" s="28">
        <f t="shared" si="173"/>
        <v>-0.05</v>
      </c>
      <c r="FG13" s="28">
        <f t="shared" si="173"/>
        <v>-0.02</v>
      </c>
      <c r="FH13" s="28">
        <f t="shared" si="173"/>
        <v>0</v>
      </c>
      <c r="FI13" s="28">
        <f t="shared" si="173"/>
        <v>0.005</v>
      </c>
      <c r="FJ13" s="28">
        <f t="shared" si="173"/>
        <v>0.01</v>
      </c>
      <c r="FK13" s="28">
        <f t="shared" si="173"/>
        <v>0.015</v>
      </c>
      <c r="FL13" s="28">
        <f t="shared" si="173"/>
        <v>0.02</v>
      </c>
      <c r="FM13" s="28">
        <f t="shared" si="173"/>
        <v>0.03</v>
      </c>
      <c r="FN13" s="24">
        <f>'Quick Setup'!Q68</f>
        <v>0.7</v>
      </c>
      <c r="FO13" s="25">
        <f>if(FN13='Quick Setup'!$C$31,'Quick Setup'!$C40,if(FN13='Quick Setup'!$D$31,'Quick Setup'!$D40,if(FN13='Quick Setup'!$E$31,'Quick Setup'!$E40,if(FN13='Quick Setup'!$F$31,'Quick Setup'!$F40,if(FN13='Quick Setup'!$G$31,'Quick Setup'!$G40,if(FN13='Quick Setup'!$H$31,'Quick Setup'!$H40,if(FN13='Quick Setup'!$I$31,'Quick Setup'!$I40,if(FN13='Quick Setup'!$J$31,'Quick Setup'!$J40,if(FN13='Quick Setup'!$K$31,'Quick Setup'!$K40,if(FN13='Quick Setup'!$L$31,'Quick Setup'!$L40,if(FN13='Quick Setup'!$M$31,'Quick Setup'!$M40,if(FN13='Quick Setup'!$N$31,'Quick Setup'!$N40,if(FN13='Quick Setup'!$O$31,'Quick Setup'!$O40,if(FN13='Quick Setup'!$P$31,'Quick Setup'!$P40,if(FN13='Quick Setup'!$Q$31,'Quick Setup'!$Q40,if(FN13='Quick Setup'!$R$31,'Quick Setup'!$R40,if(FN13='Quick Setup'!$S$31,'Quick Setup'!$S40,if(FN13='Quick Setup'!$T$31,'Quick Setup'!$T40,if(FN13='Quick Setup'!$U$31,'Quick Setup'!$U40,if(FN13='Quick Setup'!$V$31,'Quick Setup'!$V40,'Quick Setup'!$W40))))))))))))))))))))</f>
        <v>5</v>
      </c>
      <c r="FP13" s="25">
        <f>if(FN13='Quick Setup'!$C$45,'Quick Setup'!$C54,if(FN13='Quick Setup'!$D$45,'Quick Setup'!$D54,if(FN13='Quick Setup'!$E$45,'Quick Setup'!$E54,if(FN13='Quick Setup'!$F$45,'Quick Setup'!$F54,if(FN13='Quick Setup'!$G$45,'Quick Setup'!$G54,if(FN13='Quick Setup'!$H$45,'Quick Setup'!$H54,if(FN13='Quick Setup'!$I$45,'Quick Setup'!$I54,if(FN13='Quick Setup'!$J$45,'Quick Setup'!$J54,if(FN13='Quick Setup'!$K$45,'Quick Setup'!$K54,if(FN13='Quick Setup'!$L$45,'Quick Setup'!$L54,if(FN13='Quick Setup'!$M$45,'Quick Setup'!$M54,if(FN13='Quick Setup'!$N$45,'Quick Setup'!$N54,if(FN13='Quick Setup'!$O$45,'Quick Setup'!$O54,if(FN13='Quick Setup'!$P$45,'Quick Setup'!$P54,if(FN13='Quick Setup'!$Q$45,'Quick Setup'!$Q54,if(FN13='Quick Setup'!$R$45,'Quick Setup'!$R54,if(FN13='Quick Setup'!$S$45,'Quick Setup'!$S54,if(FN13='Quick Setup'!$T$45,'Quick Setup'!$T54,if(FN13='Quick Setup'!$U$45,'Quick Setup'!$U54,if(FN13='Quick Setup'!$V$45,'Quick Setup'!$V54,'Quick Setup'!$W54))))))))))))))))))))</f>
        <v>10</v>
      </c>
      <c r="FQ13" s="27">
        <f t="shared" ref="FQ13:FY13" si="174">FE13</f>
        <v>5</v>
      </c>
      <c r="FR13" s="28">
        <f t="shared" si="174"/>
        <v>-0.05</v>
      </c>
      <c r="FS13" s="28">
        <f t="shared" si="174"/>
        <v>-0.02</v>
      </c>
      <c r="FT13" s="28">
        <f t="shared" si="174"/>
        <v>0</v>
      </c>
      <c r="FU13" s="28">
        <f t="shared" si="174"/>
        <v>0.005</v>
      </c>
      <c r="FV13" s="28">
        <f t="shared" si="174"/>
        <v>0.01</v>
      </c>
      <c r="FW13" s="28">
        <f t="shared" si="174"/>
        <v>0.015</v>
      </c>
      <c r="FX13" s="28">
        <f t="shared" si="174"/>
        <v>0.02</v>
      </c>
      <c r="FY13" s="28">
        <f t="shared" si="174"/>
        <v>0.03</v>
      </c>
      <c r="FZ13" s="24">
        <f>'Quick Setup'!R68</f>
        <v>0.75</v>
      </c>
      <c r="GA13" s="25">
        <f>if(FZ13='Quick Setup'!$C$31,'Quick Setup'!$C40,if(FZ13='Quick Setup'!$D$31,'Quick Setup'!$D40,if(FZ13='Quick Setup'!$E$31,'Quick Setup'!$E40,if(FZ13='Quick Setup'!$F$31,'Quick Setup'!$F40,if(FZ13='Quick Setup'!$G$31,'Quick Setup'!$G40,if(FZ13='Quick Setup'!$H$31,'Quick Setup'!$H40,if(FZ13='Quick Setup'!$I$31,'Quick Setup'!$I40,if(FZ13='Quick Setup'!$J$31,'Quick Setup'!$J40,if(FZ13='Quick Setup'!$K$31,'Quick Setup'!$K40,if(FZ13='Quick Setup'!$L$31,'Quick Setup'!$L40,if(FZ13='Quick Setup'!$M$31,'Quick Setup'!$M40,if(FZ13='Quick Setup'!$N$31,'Quick Setup'!$N40,if(FZ13='Quick Setup'!$O$31,'Quick Setup'!$O40,if(FZ13='Quick Setup'!$P$31,'Quick Setup'!$P40,if(FZ13='Quick Setup'!$Q$31,'Quick Setup'!$Q40,if(FZ13='Quick Setup'!$R$31,'Quick Setup'!$R40,if(FZ13='Quick Setup'!$S$31,'Quick Setup'!$S40,if(FZ13='Quick Setup'!$T$31,'Quick Setup'!$T40,if(FZ13='Quick Setup'!$U$31,'Quick Setup'!$U40,if(FZ13='Quick Setup'!$V$31,'Quick Setup'!$V40,'Quick Setup'!$W40))))))))))))))))))))</f>
        <v>4</v>
      </c>
      <c r="GB13" s="25">
        <f>if(FZ13='Quick Setup'!$C$45,'Quick Setup'!$C54,if(FZ13='Quick Setup'!$D$45,'Quick Setup'!$D54,if(FZ13='Quick Setup'!$E$45,'Quick Setup'!$E54,if(FZ13='Quick Setup'!$F$45,'Quick Setup'!$F54,if(FZ13='Quick Setup'!$G$45,'Quick Setup'!$G54,if(FZ13='Quick Setup'!$H$45,'Quick Setup'!$H54,if(FZ13='Quick Setup'!$I$45,'Quick Setup'!$I54,if(FZ13='Quick Setup'!$J$45,'Quick Setup'!$J54,if(FZ13='Quick Setup'!$K$45,'Quick Setup'!$K54,if(FZ13='Quick Setup'!$L$45,'Quick Setup'!$L54,if(FZ13='Quick Setup'!$M$45,'Quick Setup'!$M54,if(FZ13='Quick Setup'!$N$45,'Quick Setup'!$N54,if(FZ13='Quick Setup'!$O$45,'Quick Setup'!$O54,if(FZ13='Quick Setup'!$P$45,'Quick Setup'!$P54,if(FZ13='Quick Setup'!$Q$45,'Quick Setup'!$Q54,if(FZ13='Quick Setup'!$R$45,'Quick Setup'!$R54,if(FZ13='Quick Setup'!$S$45,'Quick Setup'!$S54,if(FZ13='Quick Setup'!$T$45,'Quick Setup'!$T54,if(FZ13='Quick Setup'!$U$45,'Quick Setup'!$U54,if(FZ13='Quick Setup'!$V$45,'Quick Setup'!$V54,'Quick Setup'!$W54))))))))))))))))))))</f>
        <v>8</v>
      </c>
      <c r="GC13" s="27">
        <f t="shared" ref="GC13:GK13" si="175">FQ13</f>
        <v>5</v>
      </c>
      <c r="GD13" s="28">
        <f t="shared" si="175"/>
        <v>-0.05</v>
      </c>
      <c r="GE13" s="28">
        <f t="shared" si="175"/>
        <v>-0.02</v>
      </c>
      <c r="GF13" s="28">
        <f t="shared" si="175"/>
        <v>0</v>
      </c>
      <c r="GG13" s="28">
        <f t="shared" si="175"/>
        <v>0.005</v>
      </c>
      <c r="GH13" s="28">
        <f t="shared" si="175"/>
        <v>0.01</v>
      </c>
      <c r="GI13" s="28">
        <f t="shared" si="175"/>
        <v>0.015</v>
      </c>
      <c r="GJ13" s="28">
        <f t="shared" si="175"/>
        <v>0.02</v>
      </c>
      <c r="GK13" s="28">
        <f t="shared" si="175"/>
        <v>0.03</v>
      </c>
      <c r="GL13" s="24">
        <f>'Quick Setup'!S68</f>
        <v>0.8</v>
      </c>
      <c r="GM13" s="25">
        <f>if(GL13='Quick Setup'!$C$31,'Quick Setup'!$C40,if(GL13='Quick Setup'!$D$31,'Quick Setup'!$D40,if(GL13='Quick Setup'!$E$31,'Quick Setup'!$E40,if(GL13='Quick Setup'!$F$31,'Quick Setup'!$F40,if(GL13='Quick Setup'!$G$31,'Quick Setup'!$G40,if(GL13='Quick Setup'!$H$31,'Quick Setup'!$H40,if(GL13='Quick Setup'!$I$31,'Quick Setup'!$I40,if(GL13='Quick Setup'!$J$31,'Quick Setup'!$J40,if(GL13='Quick Setup'!$K$31,'Quick Setup'!$K40,if(GL13='Quick Setup'!$L$31,'Quick Setup'!$L40,if(GL13='Quick Setup'!$M$31,'Quick Setup'!$M40,if(GL13='Quick Setup'!$N$31,'Quick Setup'!$N40,if(GL13='Quick Setup'!$O$31,'Quick Setup'!$O40,if(GL13='Quick Setup'!$P$31,'Quick Setup'!$P40,if(GL13='Quick Setup'!$Q$31,'Quick Setup'!$Q40,if(GL13='Quick Setup'!$R$31,'Quick Setup'!$R40,if(GL13='Quick Setup'!$S$31,'Quick Setup'!$S40,if(GL13='Quick Setup'!$T$31,'Quick Setup'!$T40,if(GL13='Quick Setup'!$U$31,'Quick Setup'!$U40,if(GL13='Quick Setup'!$V$31,'Quick Setup'!$V40,'Quick Setup'!$W40))))))))))))))))))))</f>
        <v>3</v>
      </c>
      <c r="GN13" s="25">
        <f>if(GL13='Quick Setup'!$C$45,'Quick Setup'!$C54,if(GL13='Quick Setup'!$D$45,'Quick Setup'!$D54,if(GL13='Quick Setup'!$E$45,'Quick Setup'!$E54,if(GL13='Quick Setup'!$F$45,'Quick Setup'!$F54,if(GL13='Quick Setup'!$G$45,'Quick Setup'!$G54,if(GL13='Quick Setup'!$H$45,'Quick Setup'!$H54,if(GL13='Quick Setup'!$I$45,'Quick Setup'!$I54,if(GL13='Quick Setup'!$J$45,'Quick Setup'!$J54,if(GL13='Quick Setup'!$K$45,'Quick Setup'!$K54,if(GL13='Quick Setup'!$L$45,'Quick Setup'!$L54,if(GL13='Quick Setup'!$M$45,'Quick Setup'!$M54,if(GL13='Quick Setup'!$N$45,'Quick Setup'!$N54,if(GL13='Quick Setup'!$O$45,'Quick Setup'!$O54,if(GL13='Quick Setup'!$P$45,'Quick Setup'!$P54,if(GL13='Quick Setup'!$Q$45,'Quick Setup'!$Q54,if(GL13='Quick Setup'!$R$45,'Quick Setup'!$R54,if(GL13='Quick Setup'!$S$45,'Quick Setup'!$S54,if(GL13='Quick Setup'!$T$45,'Quick Setup'!$T54,if(GL13='Quick Setup'!$U$45,'Quick Setup'!$U54,if(GL13='Quick Setup'!$V$45,'Quick Setup'!$V54,'Quick Setup'!$W54))))))))))))))))))))</f>
        <v>6</v>
      </c>
      <c r="GO13" s="27">
        <f t="shared" ref="GO13:GW13" si="176">GC13</f>
        <v>5</v>
      </c>
      <c r="GP13" s="28">
        <f t="shared" si="176"/>
        <v>-0.05</v>
      </c>
      <c r="GQ13" s="28">
        <f t="shared" si="176"/>
        <v>-0.02</v>
      </c>
      <c r="GR13" s="28">
        <f t="shared" si="176"/>
        <v>0</v>
      </c>
      <c r="GS13" s="28">
        <f t="shared" si="176"/>
        <v>0.005</v>
      </c>
      <c r="GT13" s="28">
        <f t="shared" si="176"/>
        <v>0.01</v>
      </c>
      <c r="GU13" s="28">
        <f t="shared" si="176"/>
        <v>0.015</v>
      </c>
      <c r="GV13" s="28">
        <f t="shared" si="176"/>
        <v>0.02</v>
      </c>
      <c r="GW13" s="28">
        <f t="shared" si="176"/>
        <v>0.03</v>
      </c>
      <c r="GX13" s="24">
        <f>'Quick Setup'!T68</f>
        <v>0.75</v>
      </c>
      <c r="GY13" s="25">
        <f>if(GX13='Quick Setup'!$C$31,'Quick Setup'!$C40,if(GX13='Quick Setup'!$D$31,'Quick Setup'!$D40,if(GX13='Quick Setup'!$E$31,'Quick Setup'!$E40,if(GX13='Quick Setup'!$F$31,'Quick Setup'!$F40,if(GX13='Quick Setup'!$G$31,'Quick Setup'!$G40,if(GX13='Quick Setup'!$H$31,'Quick Setup'!$H40,if(GX13='Quick Setup'!$I$31,'Quick Setup'!$I40,if(GX13='Quick Setup'!$J$31,'Quick Setup'!$J40,if(GX13='Quick Setup'!$K$31,'Quick Setup'!$K40,if(GX13='Quick Setup'!$L$31,'Quick Setup'!$L40,if(GX13='Quick Setup'!$M$31,'Quick Setup'!$M40,if(GX13='Quick Setup'!$N$31,'Quick Setup'!$N40,if(GX13='Quick Setup'!$O$31,'Quick Setup'!$O40,if(GX13='Quick Setup'!$P$31,'Quick Setup'!$P40,if(GX13='Quick Setup'!$Q$31,'Quick Setup'!$Q40,if(GX13='Quick Setup'!$R$31,'Quick Setup'!$R40,if(GX13='Quick Setup'!$S$31,'Quick Setup'!$S40,if(GX13='Quick Setup'!$T$31,'Quick Setup'!$T40,if(GX13='Quick Setup'!$U$31,'Quick Setup'!$U40,if(GX13='Quick Setup'!$V$31,'Quick Setup'!$V40,'Quick Setup'!$W40))))))))))))))))))))</f>
        <v>4</v>
      </c>
      <c r="GZ13" s="25">
        <f>if(GX13='Quick Setup'!$C$45,'Quick Setup'!$C54,if(GX13='Quick Setup'!$D$45,'Quick Setup'!$D54,if(GX13='Quick Setup'!$E$45,'Quick Setup'!$E54,if(GX13='Quick Setup'!$F$45,'Quick Setup'!$F54,if(GX13='Quick Setup'!$G$45,'Quick Setup'!$G54,if(GX13='Quick Setup'!$H$45,'Quick Setup'!$H54,if(GX13='Quick Setup'!$I$45,'Quick Setup'!$I54,if(GX13='Quick Setup'!$J$45,'Quick Setup'!$J54,if(GX13='Quick Setup'!$K$45,'Quick Setup'!$K54,if(GX13='Quick Setup'!$L$45,'Quick Setup'!$L54,if(GX13='Quick Setup'!$M$45,'Quick Setup'!$M54,if(GX13='Quick Setup'!$N$45,'Quick Setup'!$N54,if(GX13='Quick Setup'!$O$45,'Quick Setup'!$O54,if(GX13='Quick Setup'!$P$45,'Quick Setup'!$P54,if(GX13='Quick Setup'!$Q$45,'Quick Setup'!$Q54,if(GX13='Quick Setup'!$R$45,'Quick Setup'!$R54,if(GX13='Quick Setup'!$S$45,'Quick Setup'!$S54,if(GX13='Quick Setup'!$T$45,'Quick Setup'!$T54,if(GX13='Quick Setup'!$U$45,'Quick Setup'!$U54,if(GX13='Quick Setup'!$V$45,'Quick Setup'!$V54,'Quick Setup'!$W54))))))))))))))))))))</f>
        <v>8</v>
      </c>
      <c r="HA13" s="27">
        <f t="shared" ref="HA13:HI13" si="177">GO13</f>
        <v>5</v>
      </c>
      <c r="HB13" s="28">
        <f t="shared" si="177"/>
        <v>-0.05</v>
      </c>
      <c r="HC13" s="28">
        <f t="shared" si="177"/>
        <v>-0.02</v>
      </c>
      <c r="HD13" s="28">
        <f t="shared" si="177"/>
        <v>0</v>
      </c>
      <c r="HE13" s="28">
        <f t="shared" si="177"/>
        <v>0.005</v>
      </c>
      <c r="HF13" s="28">
        <f t="shared" si="177"/>
        <v>0.01</v>
      </c>
      <c r="HG13" s="28">
        <f t="shared" si="177"/>
        <v>0.015</v>
      </c>
      <c r="HH13" s="28">
        <f t="shared" si="177"/>
        <v>0.02</v>
      </c>
      <c r="HI13" s="28">
        <f t="shared" si="177"/>
        <v>0.03</v>
      </c>
      <c r="HJ13" s="24">
        <f>'Quick Setup'!U68</f>
        <v>0.8</v>
      </c>
      <c r="HK13" s="25">
        <f>if(HJ13='Quick Setup'!$C$31,'Quick Setup'!$C40,if(HJ13='Quick Setup'!$D$31,'Quick Setup'!$D40,if(HJ13='Quick Setup'!$E$31,'Quick Setup'!$E40,if(HJ13='Quick Setup'!$F$31,'Quick Setup'!$F40,if(HJ13='Quick Setup'!$G$31,'Quick Setup'!$G40,if(HJ13='Quick Setup'!$H$31,'Quick Setup'!$H40,if(HJ13='Quick Setup'!$I$31,'Quick Setup'!$I40,if(HJ13='Quick Setup'!$J$31,'Quick Setup'!$J40,if(HJ13='Quick Setup'!$K$31,'Quick Setup'!$K40,if(HJ13='Quick Setup'!$L$31,'Quick Setup'!$L40,if(HJ13='Quick Setup'!$M$31,'Quick Setup'!$M40,if(HJ13='Quick Setup'!$N$31,'Quick Setup'!$N40,if(HJ13='Quick Setup'!$O$31,'Quick Setup'!$O40,if(HJ13='Quick Setup'!$P$31,'Quick Setup'!$P40,if(HJ13='Quick Setup'!$Q$31,'Quick Setup'!$Q40,if(HJ13='Quick Setup'!$R$31,'Quick Setup'!$R40,if(HJ13='Quick Setup'!$S$31,'Quick Setup'!$S40,if(HJ13='Quick Setup'!$T$31,'Quick Setup'!$T40,if(HJ13='Quick Setup'!$U$31,'Quick Setup'!$U40,if(HJ13='Quick Setup'!$V$31,'Quick Setup'!$V40,'Quick Setup'!$W40))))))))))))))))))))</f>
        <v>3</v>
      </c>
      <c r="HL13" s="25">
        <f>if(HJ13='Quick Setup'!$C$45,'Quick Setup'!$C54,if(HJ13='Quick Setup'!$D$45,'Quick Setup'!$D54,if(HJ13='Quick Setup'!$E$45,'Quick Setup'!$E54,if(HJ13='Quick Setup'!$F$45,'Quick Setup'!$F54,if(HJ13='Quick Setup'!$G$45,'Quick Setup'!$G54,if(HJ13='Quick Setup'!$H$45,'Quick Setup'!$H54,if(HJ13='Quick Setup'!$I$45,'Quick Setup'!$I54,if(HJ13='Quick Setup'!$J$45,'Quick Setup'!$J54,if(HJ13='Quick Setup'!$K$45,'Quick Setup'!$K54,if(HJ13='Quick Setup'!$L$45,'Quick Setup'!$L54,if(HJ13='Quick Setup'!$M$45,'Quick Setup'!$M54,if(HJ13='Quick Setup'!$N$45,'Quick Setup'!$N54,if(HJ13='Quick Setup'!$O$45,'Quick Setup'!$O54,if(HJ13='Quick Setup'!$P$45,'Quick Setup'!$P54,if(HJ13='Quick Setup'!$Q$45,'Quick Setup'!$Q54,if(HJ13='Quick Setup'!$R$45,'Quick Setup'!$R54,if(HJ13='Quick Setup'!$S$45,'Quick Setup'!$S54,if(HJ13='Quick Setup'!$T$45,'Quick Setup'!$T54,if(HJ13='Quick Setup'!$U$45,'Quick Setup'!$U54,if(HJ13='Quick Setup'!$V$45,'Quick Setup'!$V54,'Quick Setup'!$W54))))))))))))))))))))</f>
        <v>6</v>
      </c>
      <c r="HM13" s="27">
        <f t="shared" ref="HM13:HU13" si="178">HA13</f>
        <v>5</v>
      </c>
      <c r="HN13" s="28">
        <f t="shared" si="178"/>
        <v>-0.05</v>
      </c>
      <c r="HO13" s="28">
        <f t="shared" si="178"/>
        <v>-0.02</v>
      </c>
      <c r="HP13" s="28">
        <f t="shared" si="178"/>
        <v>0</v>
      </c>
      <c r="HQ13" s="28">
        <f t="shared" si="178"/>
        <v>0.005</v>
      </c>
      <c r="HR13" s="28">
        <f t="shared" si="178"/>
        <v>0.01</v>
      </c>
      <c r="HS13" s="28">
        <f t="shared" si="178"/>
        <v>0.015</v>
      </c>
      <c r="HT13" s="28">
        <f t="shared" si="178"/>
        <v>0.02</v>
      </c>
      <c r="HU13" s="28">
        <f t="shared" si="178"/>
        <v>0.03</v>
      </c>
      <c r="HV13" s="24">
        <f>'Quick Setup'!V68</f>
        <v>0.85</v>
      </c>
      <c r="HW13" s="25">
        <f>if(HV13='Quick Setup'!$C$31,'Quick Setup'!$C40,if(HV13='Quick Setup'!$D$31,'Quick Setup'!$D40,if(HV13='Quick Setup'!$E$31,'Quick Setup'!$E40,if(HV13='Quick Setup'!$F$31,'Quick Setup'!$F40,if(HV13='Quick Setup'!$G$31,'Quick Setup'!$G40,if(HV13='Quick Setup'!$H$31,'Quick Setup'!$H40,if(HV13='Quick Setup'!$I$31,'Quick Setup'!$I40,if(HV13='Quick Setup'!$J$31,'Quick Setup'!$J40,if(HV13='Quick Setup'!$K$31,'Quick Setup'!$K40,if(HV13='Quick Setup'!$L$31,'Quick Setup'!$L40,if(HV13='Quick Setup'!$M$31,'Quick Setup'!$M40,if(HV13='Quick Setup'!$N$31,'Quick Setup'!$N40,if(HV13='Quick Setup'!$O$31,'Quick Setup'!$O40,if(HV13='Quick Setup'!$P$31,'Quick Setup'!$P40,if(HV13='Quick Setup'!$Q$31,'Quick Setup'!$Q40,if(HV13='Quick Setup'!$R$31,'Quick Setup'!$R40,if(HV13='Quick Setup'!$S$31,'Quick Setup'!$S40,if(HV13='Quick Setup'!$T$31,'Quick Setup'!$T40,if(HV13='Quick Setup'!$U$31,'Quick Setup'!$U40,if(HV13='Quick Setup'!$V$31,'Quick Setup'!$V40,'Quick Setup'!$W40))))))))))))))))))))</f>
        <v>2</v>
      </c>
      <c r="HX13" s="25">
        <f>if(HV13='Quick Setup'!$C$45,'Quick Setup'!$C54,if(HV13='Quick Setup'!$D$45,'Quick Setup'!$D54,if(HV13='Quick Setup'!$E$45,'Quick Setup'!$E54,if(HV13='Quick Setup'!$F$45,'Quick Setup'!$F54,if(HV13='Quick Setup'!$G$45,'Quick Setup'!$G54,if(HV13='Quick Setup'!$H$45,'Quick Setup'!$H54,if(HV13='Quick Setup'!$I$45,'Quick Setup'!$I54,if(HV13='Quick Setup'!$J$45,'Quick Setup'!$J54,if(HV13='Quick Setup'!$K$45,'Quick Setup'!$K54,if(HV13='Quick Setup'!$L$45,'Quick Setup'!$L54,if(HV13='Quick Setup'!$M$45,'Quick Setup'!$M54,if(HV13='Quick Setup'!$N$45,'Quick Setup'!$N54,if(HV13='Quick Setup'!$O$45,'Quick Setup'!$O54,if(HV13='Quick Setup'!$P$45,'Quick Setup'!$P54,if(HV13='Quick Setup'!$Q$45,'Quick Setup'!$Q54,if(HV13='Quick Setup'!$R$45,'Quick Setup'!$R54,if(HV13='Quick Setup'!$S$45,'Quick Setup'!$S54,if(HV13='Quick Setup'!$T$45,'Quick Setup'!$T54,if(HV13='Quick Setup'!$U$45,'Quick Setup'!$U54,if(HV13='Quick Setup'!$V$45,'Quick Setup'!$V54,'Quick Setup'!$W54))))))))))))))))))))</f>
        <v>4</v>
      </c>
      <c r="HY13" s="27">
        <f t="shared" ref="HY13:IG13" si="179">HM13</f>
        <v>5</v>
      </c>
      <c r="HZ13" s="28">
        <f t="shared" si="179"/>
        <v>-0.05</v>
      </c>
      <c r="IA13" s="28">
        <f t="shared" si="179"/>
        <v>-0.02</v>
      </c>
      <c r="IB13" s="28">
        <f t="shared" si="179"/>
        <v>0</v>
      </c>
      <c r="IC13" s="28">
        <f t="shared" si="179"/>
        <v>0.005</v>
      </c>
      <c r="ID13" s="28">
        <f t="shared" si="179"/>
        <v>0.01</v>
      </c>
      <c r="IE13" s="28">
        <f t="shared" si="179"/>
        <v>0.015</v>
      </c>
      <c r="IF13" s="28">
        <f t="shared" si="179"/>
        <v>0.02</v>
      </c>
      <c r="IG13" s="28">
        <f t="shared" si="179"/>
        <v>0.03</v>
      </c>
      <c r="IH13" s="24">
        <f>'Quick Setup'!W68</f>
        <v>0.5</v>
      </c>
      <c r="II13" s="25">
        <f>if(IH13='Quick Setup'!$C$31,'Quick Setup'!$C40,if(IH13='Quick Setup'!$D$31,'Quick Setup'!$D40,if(IH13='Quick Setup'!$E$31,'Quick Setup'!$E40,if(IH13='Quick Setup'!$F$31,'Quick Setup'!$F40,if(IH13='Quick Setup'!$G$31,'Quick Setup'!$G40,if(IH13='Quick Setup'!$H$31,'Quick Setup'!$H40,if(IH13='Quick Setup'!$I$31,'Quick Setup'!$I40,if(IH13='Quick Setup'!$J$31,'Quick Setup'!$J40,if(IH13='Quick Setup'!$K$31,'Quick Setup'!$K40,if(IH13='Quick Setup'!$L$31,'Quick Setup'!$L40,if(IH13='Quick Setup'!$M$31,'Quick Setup'!$M40,if(IH13='Quick Setup'!$N$31,'Quick Setup'!$N40,if(IH13='Quick Setup'!$O$31,'Quick Setup'!$O40,if(IH13='Quick Setup'!$P$31,'Quick Setup'!$P40,if(IH13='Quick Setup'!$Q$31,'Quick Setup'!$Q40,if(IH13='Quick Setup'!$R$31,'Quick Setup'!$R40,if(IH13='Quick Setup'!$S$31,'Quick Setup'!$S40,if(IH13='Quick Setup'!$T$31,'Quick Setup'!$T40,if(IH13='Quick Setup'!$U$31,'Quick Setup'!$U40,if(IH13='Quick Setup'!$V$31,'Quick Setup'!$V40,'Quick Setup'!$W40))))))))))))))))))))</f>
        <v>8</v>
      </c>
      <c r="IJ13" s="25">
        <f>if(IH13='Quick Setup'!$C$45,'Quick Setup'!$C54,if(IH13='Quick Setup'!$D$45,'Quick Setup'!$D54,if(IH13='Quick Setup'!$E$45,'Quick Setup'!$E54,if(IH13='Quick Setup'!$F$45,'Quick Setup'!$F54,if(IH13='Quick Setup'!$G$45,'Quick Setup'!$G54,if(IH13='Quick Setup'!$H$45,'Quick Setup'!$H54,if(IH13='Quick Setup'!$I$45,'Quick Setup'!$I54,if(IH13='Quick Setup'!$J$45,'Quick Setup'!$J54,if(IH13='Quick Setup'!$K$45,'Quick Setup'!$K54,if(IH13='Quick Setup'!$L$45,'Quick Setup'!$L54,if(IH13='Quick Setup'!$M$45,'Quick Setup'!$M54,if(IH13='Quick Setup'!$N$45,'Quick Setup'!$N54,if(IH13='Quick Setup'!$O$45,'Quick Setup'!$O54,if(IH13='Quick Setup'!$P$45,'Quick Setup'!$P54,if(IH13='Quick Setup'!$Q$45,'Quick Setup'!$Q54,if(IH13='Quick Setup'!$R$45,'Quick Setup'!$R54,if(IH13='Quick Setup'!$S$45,'Quick Setup'!$S54,if(IH13='Quick Setup'!$T$45,'Quick Setup'!$T54,if(IH13='Quick Setup'!$U$45,'Quick Setup'!$U54,if(IH13='Quick Setup'!$V$45,'Quick Setup'!$V54,'Quick Setup'!$W54))))))))))))))))))))</f>
        <v>18</v>
      </c>
      <c r="IK13" s="27">
        <f t="shared" ref="IK13:IS13" si="180">HY13</f>
        <v>5</v>
      </c>
      <c r="IL13" s="28">
        <f t="shared" si="180"/>
        <v>-0.05</v>
      </c>
      <c r="IM13" s="28">
        <f t="shared" si="180"/>
        <v>-0.02</v>
      </c>
      <c r="IN13" s="28">
        <f t="shared" si="180"/>
        <v>0</v>
      </c>
      <c r="IO13" s="28">
        <f t="shared" si="180"/>
        <v>0.005</v>
      </c>
      <c r="IP13" s="28">
        <f t="shared" si="180"/>
        <v>0.01</v>
      </c>
      <c r="IQ13" s="28">
        <f t="shared" si="180"/>
        <v>0.015</v>
      </c>
      <c r="IR13" s="28">
        <f t="shared" si="180"/>
        <v>0.02</v>
      </c>
      <c r="IS13" s="28">
        <f t="shared" si="180"/>
        <v>0.03</v>
      </c>
    </row>
    <row r="14">
      <c r="A14" t="str">
        <f>'Quick Setup'!C16</f>
        <v>Push Press</v>
      </c>
      <c r="B14" s="24">
        <f>'Quick Setup'!C69</f>
        <v>0.6</v>
      </c>
      <c r="C14" s="25">
        <f>if(B14='Quick Setup'!$C$31,'Quick Setup'!$C41,if(B14='Quick Setup'!$D$31,'Quick Setup'!$D41,if(B14='Quick Setup'!$E$31,'Quick Setup'!$E41,if(B14='Quick Setup'!$F$31,'Quick Setup'!$F41,if(B14='Quick Setup'!$G$31,'Quick Setup'!$G41,if(B14='Quick Setup'!$H$31,'Quick Setup'!$H41,if(B14='Quick Setup'!$I$31,'Quick Setup'!$I41,if(B14='Quick Setup'!$J$31,'Quick Setup'!$J41,if(B14='Quick Setup'!$K$31,'Quick Setup'!$K41,if(B14='Quick Setup'!$L$31,'Quick Setup'!$L41,if(B14='Quick Setup'!$M$31,'Quick Setup'!$M41,if(B14='Quick Setup'!$N$31,'Quick Setup'!$N41,if(B14='Quick Setup'!$O$31,'Quick Setup'!$O41,if(B14='Quick Setup'!$P$31,'Quick Setup'!$P41,if(B14='Quick Setup'!$Q$31,'Quick Setup'!$Q41,if(B14='Quick Setup'!$R$31,'Quick Setup'!$R41,if(B14='Quick Setup'!$S$31,'Quick Setup'!$S41,if(B14='Quick Setup'!$T$31,'Quick Setup'!$T41,if(B14='Quick Setup'!$U$31,'Quick Setup'!$U41,if(B14='Quick Setup'!$V$31,'Quick Setup'!$V41,'Quick Setup'!$W41))))))))))))))))))))</f>
        <v>7</v>
      </c>
      <c r="D14" s="25">
        <f>if(B14='Quick Setup'!$C$45,'Quick Setup'!$C55,if(B14='Quick Setup'!$D$45,'Quick Setup'!$D55,if(B14='Quick Setup'!$E$45,'Quick Setup'!$E55,if(B14='Quick Setup'!$F$45,'Quick Setup'!$F55,if(B14='Quick Setup'!$G$45,'Quick Setup'!$G55,if(B14='Quick Setup'!$H$45,'Quick Setup'!$H55,if(B14='Quick Setup'!$I$45,'Quick Setup'!$I55,if(B14='Quick Setup'!$J$45,'Quick Setup'!$J55,if(B14='Quick Setup'!$K$45,'Quick Setup'!$K55,if(B14='Quick Setup'!$L$45,'Quick Setup'!$L55,if(B14='Quick Setup'!$M$45,'Quick Setup'!$M55,if(B14='Quick Setup'!$N$45,'Quick Setup'!$N55,if(B14='Quick Setup'!$O$45,'Quick Setup'!$O55,if(B14='Quick Setup'!$P$45,'Quick Setup'!$P55,if(B14='Quick Setup'!$Q$45,'Quick Setup'!$Q55,if(B14='Quick Setup'!$R$45,'Quick Setup'!$R55,if(B14='Quick Setup'!$S$45,'Quick Setup'!$S55,if(B14='Quick Setup'!$T$45,'Quick Setup'!$T55,if(B14='Quick Setup'!$U$45,'Quick Setup'!$U55,if(B14='Quick Setup'!$V$45,'Quick Setup'!$V55,'Quick Setup'!$W55))))))))))))))))))))</f>
        <v>14</v>
      </c>
      <c r="E14" s="25">
        <f>'Quick Setup'!H15</f>
        <v>5</v>
      </c>
      <c r="F14" s="26">
        <f>'Quick Setup'!I15</f>
        <v>-0.05</v>
      </c>
      <c r="G14" s="26">
        <f>'Quick Setup'!J15</f>
        <v>-0.02</v>
      </c>
      <c r="H14" s="26">
        <f>'Quick Setup'!K15</f>
        <v>0</v>
      </c>
      <c r="I14" s="26">
        <f>'Quick Setup'!L15</f>
        <v>0.005</v>
      </c>
      <c r="J14" s="26">
        <f>'Quick Setup'!M15</f>
        <v>0.01</v>
      </c>
      <c r="K14" s="26">
        <f>'Quick Setup'!N15</f>
        <v>0.015</v>
      </c>
      <c r="L14" s="26">
        <f>'Quick Setup'!O15</f>
        <v>0.02</v>
      </c>
      <c r="M14" s="26">
        <f>'Quick Setup'!P15</f>
        <v>0.03</v>
      </c>
      <c r="N14" s="24">
        <f>'Quick Setup'!D69</f>
        <v>0.65</v>
      </c>
      <c r="O14" s="25">
        <f>if(N14='Quick Setup'!$C$31,'Quick Setup'!$C41,if(N14='Quick Setup'!$D$31,'Quick Setup'!$D41,if(N14='Quick Setup'!$E$31,'Quick Setup'!$E41,if(N14='Quick Setup'!$F$31,'Quick Setup'!$F41,if(N14='Quick Setup'!$G$31,'Quick Setup'!$G41,if(N14='Quick Setup'!$H$31,'Quick Setup'!$H41,if(N14='Quick Setup'!$I$31,'Quick Setup'!$I41,if(N14='Quick Setup'!$J$31,'Quick Setup'!$J41,if(N14='Quick Setup'!$K$31,'Quick Setup'!$K41,if(N14='Quick Setup'!$L$31,'Quick Setup'!$L41,if(N14='Quick Setup'!$M$31,'Quick Setup'!$M41,if(N14='Quick Setup'!$N$31,'Quick Setup'!$N41,if(N14='Quick Setup'!$O$31,'Quick Setup'!$O41,if(N14='Quick Setup'!$P$31,'Quick Setup'!$P41,if(N14='Quick Setup'!$Q$31,'Quick Setup'!$Q41,if(N14='Quick Setup'!$R$31,'Quick Setup'!$R41,if(N14='Quick Setup'!$S$31,'Quick Setup'!$S41,if(N14='Quick Setup'!$T$31,'Quick Setup'!$T41,if(N14='Quick Setup'!$U$31,'Quick Setup'!$U41,if(N14='Quick Setup'!$V$31,'Quick Setup'!$V41,'Quick Setup'!$W41))))))))))))))))))))</f>
        <v>6</v>
      </c>
      <c r="P14" s="25">
        <f>if(N14='Quick Setup'!$C$45,'Quick Setup'!$C55,if(N14='Quick Setup'!$D$45,'Quick Setup'!$D55,if(N14='Quick Setup'!$E$45,'Quick Setup'!$E55,if(N14='Quick Setup'!$F$45,'Quick Setup'!$F55,if(N14='Quick Setup'!$G$45,'Quick Setup'!$G55,if(N14='Quick Setup'!$H$45,'Quick Setup'!$H55,if(N14='Quick Setup'!$I$45,'Quick Setup'!$I55,if(N14='Quick Setup'!$J$45,'Quick Setup'!$J55,if(N14='Quick Setup'!$K$45,'Quick Setup'!$K55,if(N14='Quick Setup'!$L$45,'Quick Setup'!$L55,if(N14='Quick Setup'!$M$45,'Quick Setup'!$M55,if(N14='Quick Setup'!$N$45,'Quick Setup'!$N55,if(N14='Quick Setup'!$O$45,'Quick Setup'!$O55,if(N14='Quick Setup'!$P$45,'Quick Setup'!$P55,if(N14='Quick Setup'!$Q$45,'Quick Setup'!$Q55,if(N14='Quick Setup'!$R$45,'Quick Setup'!$R55,if(N14='Quick Setup'!$S$45,'Quick Setup'!$S55,if(N14='Quick Setup'!$T$45,'Quick Setup'!$T55,if(N14='Quick Setup'!$U$45,'Quick Setup'!$U55,if(N14='Quick Setup'!$V$45,'Quick Setup'!$V55,'Quick Setup'!$W55))))))))))))))))))))</f>
        <v>12</v>
      </c>
      <c r="Q14" s="25">
        <f t="shared" ref="Q14:Y14" si="181">E14</f>
        <v>5</v>
      </c>
      <c r="R14" s="26">
        <f t="shared" si="181"/>
        <v>-0.05</v>
      </c>
      <c r="S14" s="26">
        <f t="shared" si="181"/>
        <v>-0.02</v>
      </c>
      <c r="T14" s="26">
        <f t="shared" si="181"/>
        <v>0</v>
      </c>
      <c r="U14" s="26">
        <f t="shared" si="181"/>
        <v>0.005</v>
      </c>
      <c r="V14" s="26">
        <f t="shared" si="181"/>
        <v>0.01</v>
      </c>
      <c r="W14" s="26">
        <f t="shared" si="181"/>
        <v>0.015</v>
      </c>
      <c r="X14" s="26">
        <f t="shared" si="181"/>
        <v>0.02</v>
      </c>
      <c r="Y14" s="26">
        <f t="shared" si="181"/>
        <v>0.03</v>
      </c>
      <c r="Z14" s="24">
        <f>'Quick Setup'!E69</f>
        <v>0.7</v>
      </c>
      <c r="AA14" s="25">
        <f>if(Z14='Quick Setup'!$C$31,'Quick Setup'!$C41,if(Z14='Quick Setup'!$D$31,'Quick Setup'!$D41,if(Z14='Quick Setup'!$E$31,'Quick Setup'!$E41,if(Z14='Quick Setup'!$F$31,'Quick Setup'!$F41,if(Z14='Quick Setup'!$G$31,'Quick Setup'!$G41,if(Z14='Quick Setup'!$H$31,'Quick Setup'!$H41,if(Z14='Quick Setup'!$I$31,'Quick Setup'!$I41,if(Z14='Quick Setup'!$J$31,'Quick Setup'!$J41,if(Z14='Quick Setup'!$K$31,'Quick Setup'!$K41,if(Z14='Quick Setup'!$L$31,'Quick Setup'!$L41,if(Z14='Quick Setup'!$M$31,'Quick Setup'!$M41,if(Z14='Quick Setup'!$N$31,'Quick Setup'!$N41,if(Z14='Quick Setup'!$O$31,'Quick Setup'!$O41,if(Z14='Quick Setup'!$P$31,'Quick Setup'!$P41,if(Z14='Quick Setup'!$Q$31,'Quick Setup'!$Q41,if(Z14='Quick Setup'!$R$31,'Quick Setup'!$R41,if(Z14='Quick Setup'!$S$31,'Quick Setup'!$S41,if(Z14='Quick Setup'!$T$31,'Quick Setup'!$T41,if(Z14='Quick Setup'!$U$31,'Quick Setup'!$U41,if(Z14='Quick Setup'!$V$31,'Quick Setup'!$V41,'Quick Setup'!$W41))))))))))))))))))))</f>
        <v>5</v>
      </c>
      <c r="AB14" s="25">
        <f>if(Z14='Quick Setup'!$C$45,'Quick Setup'!$C55,if(Z14='Quick Setup'!$D$45,'Quick Setup'!$D55,if(Z14='Quick Setup'!$E$45,'Quick Setup'!$E55,if(Z14='Quick Setup'!$F$45,'Quick Setup'!$F55,if(Z14='Quick Setup'!$G$45,'Quick Setup'!$G55,if(Z14='Quick Setup'!$H$45,'Quick Setup'!$H55,if(Z14='Quick Setup'!$I$45,'Quick Setup'!$I55,if(Z14='Quick Setup'!$J$45,'Quick Setup'!$J55,if(Z14='Quick Setup'!$K$45,'Quick Setup'!$K55,if(Z14='Quick Setup'!$L$45,'Quick Setup'!$L55,if(Z14='Quick Setup'!$M$45,'Quick Setup'!$M55,if(Z14='Quick Setup'!$N$45,'Quick Setup'!$N55,if(Z14='Quick Setup'!$O$45,'Quick Setup'!$O55,if(Z14='Quick Setup'!$P$45,'Quick Setup'!$P55,if(Z14='Quick Setup'!$Q$45,'Quick Setup'!$Q55,if(Z14='Quick Setup'!$R$45,'Quick Setup'!$R55,if(Z14='Quick Setup'!$S$45,'Quick Setup'!$S55,if(Z14='Quick Setup'!$T$45,'Quick Setup'!$T55,if(Z14='Quick Setup'!$U$45,'Quick Setup'!$U55,if(Z14='Quick Setup'!$V$45,'Quick Setup'!$V55,'Quick Setup'!$W55))))))))))))))))))))</f>
        <v>10</v>
      </c>
      <c r="AC14" s="25">
        <f t="shared" ref="AC14:AK14" si="182">Q14</f>
        <v>5</v>
      </c>
      <c r="AD14" s="26">
        <f t="shared" si="182"/>
        <v>-0.05</v>
      </c>
      <c r="AE14" s="26">
        <f t="shared" si="182"/>
        <v>-0.02</v>
      </c>
      <c r="AF14" s="26">
        <f t="shared" si="182"/>
        <v>0</v>
      </c>
      <c r="AG14" s="26">
        <f t="shared" si="182"/>
        <v>0.005</v>
      </c>
      <c r="AH14" s="26">
        <f t="shared" si="182"/>
        <v>0.01</v>
      </c>
      <c r="AI14" s="26">
        <f t="shared" si="182"/>
        <v>0.015</v>
      </c>
      <c r="AJ14" s="26">
        <f t="shared" si="182"/>
        <v>0.02</v>
      </c>
      <c r="AK14" s="26">
        <f t="shared" si="182"/>
        <v>0.03</v>
      </c>
      <c r="AL14" s="24">
        <f>'Quick Setup'!F69</f>
        <v>0.625</v>
      </c>
      <c r="AM14" s="25">
        <f>if(AL14='Quick Setup'!$C$31,'Quick Setup'!$C41,if(AL14='Quick Setup'!$D$31,'Quick Setup'!$D41,if(AL14='Quick Setup'!$E$31,'Quick Setup'!$E41,if(AL14='Quick Setup'!$F$31,'Quick Setup'!$F41,if(AL14='Quick Setup'!$G$31,'Quick Setup'!$G41,if(AL14='Quick Setup'!$H$31,'Quick Setup'!$H41,if(AL14='Quick Setup'!$I$31,'Quick Setup'!$I41,if(AL14='Quick Setup'!$J$31,'Quick Setup'!$J41,if(AL14='Quick Setup'!$K$31,'Quick Setup'!$K41,if(AL14='Quick Setup'!$L$31,'Quick Setup'!$L41,if(AL14='Quick Setup'!$M$31,'Quick Setup'!$M41,if(AL14='Quick Setup'!$N$31,'Quick Setup'!$N41,if(AL14='Quick Setup'!$O$31,'Quick Setup'!$O41,if(AL14='Quick Setup'!$P$31,'Quick Setup'!$P41,if(AL14='Quick Setup'!$Q$31,'Quick Setup'!$Q41,if(AL14='Quick Setup'!$R$31,'Quick Setup'!$R41,if(AL14='Quick Setup'!$S$31,'Quick Setup'!$S41,if(AL14='Quick Setup'!$T$31,'Quick Setup'!$T41,if(AL14='Quick Setup'!$U$31,'Quick Setup'!$U41,if(AL14='Quick Setup'!$V$31,'Quick Setup'!$V41,'Quick Setup'!$W41))))))))))))))))))))</f>
        <v>7</v>
      </c>
      <c r="AN14" s="25">
        <f>if(AL14='Quick Setup'!$C$45,'Quick Setup'!$C55,if(AL14='Quick Setup'!$D$45,'Quick Setup'!$D55,if(AL14='Quick Setup'!$E$45,'Quick Setup'!$E55,if(AL14='Quick Setup'!$F$45,'Quick Setup'!$F55,if(AL14='Quick Setup'!$G$45,'Quick Setup'!$G55,if(AL14='Quick Setup'!$H$45,'Quick Setup'!$H55,if(AL14='Quick Setup'!$I$45,'Quick Setup'!$I55,if(AL14='Quick Setup'!$J$45,'Quick Setup'!$J55,if(AL14='Quick Setup'!$K$45,'Quick Setup'!$K55,if(AL14='Quick Setup'!$L$45,'Quick Setup'!$L55,if(AL14='Quick Setup'!$M$45,'Quick Setup'!$M55,if(AL14='Quick Setup'!$N$45,'Quick Setup'!$N55,if(AL14='Quick Setup'!$O$45,'Quick Setup'!$O55,if(AL14='Quick Setup'!$P$45,'Quick Setup'!$P55,if(AL14='Quick Setup'!$Q$45,'Quick Setup'!$Q55,if(AL14='Quick Setup'!$R$45,'Quick Setup'!$R55,if(AL14='Quick Setup'!$S$45,'Quick Setup'!$S55,if(AL14='Quick Setup'!$T$45,'Quick Setup'!$T55,if(AL14='Quick Setup'!$U$45,'Quick Setup'!$U55,if(AL14='Quick Setup'!$V$45,'Quick Setup'!$V55,'Quick Setup'!$W55))))))))))))))))))))</f>
        <v>13</v>
      </c>
      <c r="AO14" s="25">
        <f t="shared" ref="AO14:AW14" si="183">AC14</f>
        <v>5</v>
      </c>
      <c r="AP14" s="26">
        <f t="shared" si="183"/>
        <v>-0.05</v>
      </c>
      <c r="AQ14" s="26">
        <f t="shared" si="183"/>
        <v>-0.02</v>
      </c>
      <c r="AR14" s="26">
        <f t="shared" si="183"/>
        <v>0</v>
      </c>
      <c r="AS14" s="26">
        <f t="shared" si="183"/>
        <v>0.005</v>
      </c>
      <c r="AT14" s="26">
        <f t="shared" si="183"/>
        <v>0.01</v>
      </c>
      <c r="AU14" s="26">
        <f t="shared" si="183"/>
        <v>0.015</v>
      </c>
      <c r="AV14" s="26">
        <f t="shared" si="183"/>
        <v>0.02</v>
      </c>
      <c r="AW14" s="26">
        <f t="shared" si="183"/>
        <v>0.03</v>
      </c>
      <c r="AX14" s="24">
        <f>'Quick Setup'!G69</f>
        <v>0.675</v>
      </c>
      <c r="AY14" s="25">
        <f>if(AX14='Quick Setup'!$C$31,'Quick Setup'!$C41,if(AX14='Quick Setup'!$D$31,'Quick Setup'!$D41,if(AX14='Quick Setup'!$E$31,'Quick Setup'!$E41,if(AX14='Quick Setup'!$F$31,'Quick Setup'!$F41,if(AX14='Quick Setup'!$G$31,'Quick Setup'!$G41,if(AX14='Quick Setup'!$H$31,'Quick Setup'!$H41,if(AX14='Quick Setup'!$I$31,'Quick Setup'!$I41,if(AX14='Quick Setup'!$J$31,'Quick Setup'!$J41,if(AX14='Quick Setup'!$K$31,'Quick Setup'!$K41,if(AX14='Quick Setup'!$L$31,'Quick Setup'!$L41,if(AX14='Quick Setup'!$M$31,'Quick Setup'!$M41,if(AX14='Quick Setup'!$N$31,'Quick Setup'!$N41,if(AX14='Quick Setup'!$O$31,'Quick Setup'!$O41,if(AX14='Quick Setup'!$P$31,'Quick Setup'!$P41,if(AX14='Quick Setup'!$Q$31,'Quick Setup'!$Q41,if(AX14='Quick Setup'!$R$31,'Quick Setup'!$R41,if(AX14='Quick Setup'!$S$31,'Quick Setup'!$S41,if(AX14='Quick Setup'!$T$31,'Quick Setup'!$T41,if(AX14='Quick Setup'!$U$31,'Quick Setup'!$U41,if(AX14='Quick Setup'!$V$31,'Quick Setup'!$V41,'Quick Setup'!$W41))))))))))))))))))))</f>
        <v>6</v>
      </c>
      <c r="AZ14" s="25">
        <f>if(AX14='Quick Setup'!$C$45,'Quick Setup'!$C55,if(AX14='Quick Setup'!$D$45,'Quick Setup'!$D55,if(AX14='Quick Setup'!$E$45,'Quick Setup'!$E55,if(AX14='Quick Setup'!$F$45,'Quick Setup'!$F55,if(AX14='Quick Setup'!$G$45,'Quick Setup'!$G55,if(AX14='Quick Setup'!$H$45,'Quick Setup'!$H55,if(AX14='Quick Setup'!$I$45,'Quick Setup'!$I55,if(AX14='Quick Setup'!$J$45,'Quick Setup'!$J55,if(AX14='Quick Setup'!$K$45,'Quick Setup'!$K55,if(AX14='Quick Setup'!$L$45,'Quick Setup'!$L55,if(AX14='Quick Setup'!$M$45,'Quick Setup'!$M55,if(AX14='Quick Setup'!$N$45,'Quick Setup'!$N55,if(AX14='Quick Setup'!$O$45,'Quick Setup'!$O55,if(AX14='Quick Setup'!$P$45,'Quick Setup'!$P55,if(AX14='Quick Setup'!$Q$45,'Quick Setup'!$Q55,if(AX14='Quick Setup'!$R$45,'Quick Setup'!$R55,if(AX14='Quick Setup'!$S$45,'Quick Setup'!$S55,if(AX14='Quick Setup'!$T$45,'Quick Setup'!$T55,if(AX14='Quick Setup'!$U$45,'Quick Setup'!$U55,if(AX14='Quick Setup'!$V$45,'Quick Setup'!$V55,'Quick Setup'!$W55))))))))))))))))))))</f>
        <v>11</v>
      </c>
      <c r="BA14" s="25">
        <f t="shared" ref="BA14:BI14" si="184">AO14</f>
        <v>5</v>
      </c>
      <c r="BB14" s="26">
        <f t="shared" si="184"/>
        <v>-0.05</v>
      </c>
      <c r="BC14" s="26">
        <f t="shared" si="184"/>
        <v>-0.02</v>
      </c>
      <c r="BD14" s="26">
        <f t="shared" si="184"/>
        <v>0</v>
      </c>
      <c r="BE14" s="26">
        <f t="shared" si="184"/>
        <v>0.005</v>
      </c>
      <c r="BF14" s="26">
        <f t="shared" si="184"/>
        <v>0.01</v>
      </c>
      <c r="BG14" s="26">
        <f t="shared" si="184"/>
        <v>0.015</v>
      </c>
      <c r="BH14" s="26">
        <f t="shared" si="184"/>
        <v>0.02</v>
      </c>
      <c r="BI14" s="26">
        <f t="shared" si="184"/>
        <v>0.03</v>
      </c>
      <c r="BJ14" s="24">
        <f>'Quick Setup'!H69</f>
        <v>0.725</v>
      </c>
      <c r="BK14" s="25">
        <f>if(BJ14='Quick Setup'!$C$31,'Quick Setup'!$C41,if(BJ14='Quick Setup'!$D$31,'Quick Setup'!$D41,if(BJ14='Quick Setup'!$E$31,'Quick Setup'!$E41,if(BJ14='Quick Setup'!$F$31,'Quick Setup'!$F41,if(BJ14='Quick Setup'!$G$31,'Quick Setup'!$G41,if(BJ14='Quick Setup'!$H$31,'Quick Setup'!$H41,if(BJ14='Quick Setup'!$I$31,'Quick Setup'!$I41,if(BJ14='Quick Setup'!$J$31,'Quick Setup'!$J41,if(BJ14='Quick Setup'!$K$31,'Quick Setup'!$K41,if(BJ14='Quick Setup'!$L$31,'Quick Setup'!$L41,if(BJ14='Quick Setup'!$M$31,'Quick Setup'!$M41,if(BJ14='Quick Setup'!$N$31,'Quick Setup'!$N41,if(BJ14='Quick Setup'!$O$31,'Quick Setup'!$O41,if(BJ14='Quick Setup'!$P$31,'Quick Setup'!$P41,if(BJ14='Quick Setup'!$Q$31,'Quick Setup'!$Q41,if(BJ14='Quick Setup'!$R$31,'Quick Setup'!$R41,if(BJ14='Quick Setup'!$S$31,'Quick Setup'!$S41,if(BJ14='Quick Setup'!$T$31,'Quick Setup'!$T41,if(BJ14='Quick Setup'!$U$31,'Quick Setup'!$U41,if(BJ14='Quick Setup'!$V$31,'Quick Setup'!$V41,'Quick Setup'!$W41))))))))))))))))))))</f>
        <v>5</v>
      </c>
      <c r="BL14" s="25">
        <f>if(BJ14='Quick Setup'!$C$45,'Quick Setup'!$C55,if(BJ14='Quick Setup'!$D$45,'Quick Setup'!$D55,if(BJ14='Quick Setup'!$E$45,'Quick Setup'!$E55,if(BJ14='Quick Setup'!$F$45,'Quick Setup'!$F55,if(BJ14='Quick Setup'!$G$45,'Quick Setup'!$G55,if(BJ14='Quick Setup'!$H$45,'Quick Setup'!$H55,if(BJ14='Quick Setup'!$I$45,'Quick Setup'!$I55,if(BJ14='Quick Setup'!$J$45,'Quick Setup'!$J55,if(BJ14='Quick Setup'!$K$45,'Quick Setup'!$K55,if(BJ14='Quick Setup'!$L$45,'Quick Setup'!$L55,if(BJ14='Quick Setup'!$M$45,'Quick Setup'!$M55,if(BJ14='Quick Setup'!$N$45,'Quick Setup'!$N55,if(BJ14='Quick Setup'!$O$45,'Quick Setup'!$O55,if(BJ14='Quick Setup'!$P$45,'Quick Setup'!$P55,if(BJ14='Quick Setup'!$Q$45,'Quick Setup'!$Q55,if(BJ14='Quick Setup'!$R$45,'Quick Setup'!$R55,if(BJ14='Quick Setup'!$S$45,'Quick Setup'!$S55,if(BJ14='Quick Setup'!$T$45,'Quick Setup'!$T55,if(BJ14='Quick Setup'!$U$45,'Quick Setup'!$U55,if(BJ14='Quick Setup'!$V$45,'Quick Setup'!$V55,'Quick Setup'!$W55))))))))))))))))))))</f>
        <v>9</v>
      </c>
      <c r="BM14" s="27">
        <f t="shared" ref="BM14:BU14" si="185">BA14</f>
        <v>5</v>
      </c>
      <c r="BN14" s="28">
        <f t="shared" si="185"/>
        <v>-0.05</v>
      </c>
      <c r="BO14" s="28">
        <f t="shared" si="185"/>
        <v>-0.02</v>
      </c>
      <c r="BP14" s="28">
        <f t="shared" si="185"/>
        <v>0</v>
      </c>
      <c r="BQ14" s="28">
        <f t="shared" si="185"/>
        <v>0.005</v>
      </c>
      <c r="BR14" s="28">
        <f t="shared" si="185"/>
        <v>0.01</v>
      </c>
      <c r="BS14" s="28">
        <f t="shared" si="185"/>
        <v>0.015</v>
      </c>
      <c r="BT14" s="28">
        <f t="shared" si="185"/>
        <v>0.02</v>
      </c>
      <c r="BU14" s="28">
        <f t="shared" si="185"/>
        <v>0.03</v>
      </c>
      <c r="BV14" s="24">
        <f>'Quick Setup'!I69</f>
        <v>0.5</v>
      </c>
      <c r="BW14" s="25">
        <f>if(BV14='Quick Setup'!$C$31,'Quick Setup'!$C41,if(BV14='Quick Setup'!$D$31,'Quick Setup'!$D41,if(BV14='Quick Setup'!$E$31,'Quick Setup'!$E41,if(BV14='Quick Setup'!$F$31,'Quick Setup'!$F41,if(BV14='Quick Setup'!$G$31,'Quick Setup'!$G41,if(BV14='Quick Setup'!$H$31,'Quick Setup'!$H41,if(BV14='Quick Setup'!$I$31,'Quick Setup'!$I41,if(BV14='Quick Setup'!$J$31,'Quick Setup'!$J41,if(BV14='Quick Setup'!$K$31,'Quick Setup'!$K41,if(BV14='Quick Setup'!$L$31,'Quick Setup'!$L41,if(BV14='Quick Setup'!$M$31,'Quick Setup'!$M41,if(BV14='Quick Setup'!$N$31,'Quick Setup'!$N41,if(BV14='Quick Setup'!$O$31,'Quick Setup'!$O41,if(BV14='Quick Setup'!$P$31,'Quick Setup'!$P41,if(BV14='Quick Setup'!$Q$31,'Quick Setup'!$Q41,if(BV14='Quick Setup'!$R$31,'Quick Setup'!$R41,if(BV14='Quick Setup'!$S$31,'Quick Setup'!$S41,if(BV14='Quick Setup'!$T$31,'Quick Setup'!$T41,if(BV14='Quick Setup'!$U$31,'Quick Setup'!$U41,if(BV14='Quick Setup'!$V$31,'Quick Setup'!$V41,'Quick Setup'!$W41))))))))))))))))))))</f>
        <v>8</v>
      </c>
      <c r="BX14" s="25">
        <f>if(BV14='Quick Setup'!$C$45,'Quick Setup'!$C55,if(BV14='Quick Setup'!$D$45,'Quick Setup'!$D55,if(BV14='Quick Setup'!$E$45,'Quick Setup'!$E55,if(BV14='Quick Setup'!$F$45,'Quick Setup'!$F55,if(BV14='Quick Setup'!$G$45,'Quick Setup'!$G55,if(BV14='Quick Setup'!$H$45,'Quick Setup'!$H55,if(BV14='Quick Setup'!$I$45,'Quick Setup'!$I55,if(BV14='Quick Setup'!$J$45,'Quick Setup'!$J55,if(BV14='Quick Setup'!$K$45,'Quick Setup'!$K55,if(BV14='Quick Setup'!$L$45,'Quick Setup'!$L55,if(BV14='Quick Setup'!$M$45,'Quick Setup'!$M55,if(BV14='Quick Setup'!$N$45,'Quick Setup'!$N55,if(BV14='Quick Setup'!$O$45,'Quick Setup'!$O55,if(BV14='Quick Setup'!$P$45,'Quick Setup'!$P55,if(BV14='Quick Setup'!$Q$45,'Quick Setup'!$Q55,if(BV14='Quick Setup'!$R$45,'Quick Setup'!$R55,if(BV14='Quick Setup'!$S$45,'Quick Setup'!$S55,if(BV14='Quick Setup'!$T$45,'Quick Setup'!$T55,if(BV14='Quick Setup'!$U$45,'Quick Setup'!$U55,if(BV14='Quick Setup'!$V$45,'Quick Setup'!$V55,'Quick Setup'!$W55))))))))))))))))))))</f>
        <v>18</v>
      </c>
      <c r="BY14" s="27">
        <f t="shared" ref="BY14:CG14" si="186">BM14</f>
        <v>5</v>
      </c>
      <c r="BZ14" s="28">
        <f t="shared" si="186"/>
        <v>-0.05</v>
      </c>
      <c r="CA14" s="28">
        <f t="shared" si="186"/>
        <v>-0.02</v>
      </c>
      <c r="CB14" s="28">
        <f t="shared" si="186"/>
        <v>0</v>
      </c>
      <c r="CC14" s="28">
        <f t="shared" si="186"/>
        <v>0.005</v>
      </c>
      <c r="CD14" s="28">
        <f t="shared" si="186"/>
        <v>0.01</v>
      </c>
      <c r="CE14" s="28">
        <f t="shared" si="186"/>
        <v>0.015</v>
      </c>
      <c r="CF14" s="28">
        <f t="shared" si="186"/>
        <v>0.02</v>
      </c>
      <c r="CG14" s="28">
        <f t="shared" si="186"/>
        <v>0.03</v>
      </c>
      <c r="CH14" s="24">
        <f>'Quick Setup'!J69</f>
        <v>0.65</v>
      </c>
      <c r="CI14" s="25">
        <f>if(CH14='Quick Setup'!$C$31,'Quick Setup'!$C41,if(CH14='Quick Setup'!$D$31,'Quick Setup'!$D41,if(CH14='Quick Setup'!$E$31,'Quick Setup'!$E41,if(CH14='Quick Setup'!$F$31,'Quick Setup'!$F41,if(CH14='Quick Setup'!$G$31,'Quick Setup'!$G41,if(CH14='Quick Setup'!$H$31,'Quick Setup'!$H41,if(CH14='Quick Setup'!$I$31,'Quick Setup'!$I41,if(CH14='Quick Setup'!$J$31,'Quick Setup'!$J41,if(CH14='Quick Setup'!$K$31,'Quick Setup'!$K41,if(CH14='Quick Setup'!$L$31,'Quick Setup'!$L41,if(CH14='Quick Setup'!$M$31,'Quick Setup'!$M41,if(CH14='Quick Setup'!$N$31,'Quick Setup'!$N41,if(CH14='Quick Setup'!$O$31,'Quick Setup'!$O41,if(CH14='Quick Setup'!$P$31,'Quick Setup'!$P41,if(CH14='Quick Setup'!$Q$31,'Quick Setup'!$Q41,if(CH14='Quick Setup'!$R$31,'Quick Setup'!$R41,if(CH14='Quick Setup'!$S$31,'Quick Setup'!$S41,if(CH14='Quick Setup'!$T$31,'Quick Setup'!$T41,if(CH14='Quick Setup'!$U$31,'Quick Setup'!$U41,if(CH14='Quick Setup'!$V$31,'Quick Setup'!$V41,'Quick Setup'!$W41))))))))))))))))))))</f>
        <v>6</v>
      </c>
      <c r="CJ14" s="25">
        <f>if(CH14='Quick Setup'!$C$45,'Quick Setup'!$C55,if(CH14='Quick Setup'!$D$45,'Quick Setup'!$D55,if(CH14='Quick Setup'!$E$45,'Quick Setup'!$E55,if(CH14='Quick Setup'!$F$45,'Quick Setup'!$F55,if(CH14='Quick Setup'!$G$45,'Quick Setup'!$G55,if(CH14='Quick Setup'!$H$45,'Quick Setup'!$H55,if(CH14='Quick Setup'!$I$45,'Quick Setup'!$I55,if(CH14='Quick Setup'!$J$45,'Quick Setup'!$J55,if(CH14='Quick Setup'!$K$45,'Quick Setup'!$K55,if(CH14='Quick Setup'!$L$45,'Quick Setup'!$L55,if(CH14='Quick Setup'!$M$45,'Quick Setup'!$M55,if(CH14='Quick Setup'!$N$45,'Quick Setup'!$N55,if(CH14='Quick Setup'!$O$45,'Quick Setup'!$O55,if(CH14='Quick Setup'!$P$45,'Quick Setup'!$P55,if(CH14='Quick Setup'!$Q$45,'Quick Setup'!$Q55,if(CH14='Quick Setup'!$R$45,'Quick Setup'!$R55,if(CH14='Quick Setup'!$S$45,'Quick Setup'!$S55,if(CH14='Quick Setup'!$T$45,'Quick Setup'!$T55,if(CH14='Quick Setup'!$U$45,'Quick Setup'!$U55,if(CH14='Quick Setup'!$V$45,'Quick Setup'!$V55,'Quick Setup'!$W55))))))))))))))))))))</f>
        <v>12</v>
      </c>
      <c r="CK14" s="27">
        <f t="shared" ref="CK14:CS14" si="187">BY14</f>
        <v>5</v>
      </c>
      <c r="CL14" s="28">
        <f t="shared" si="187"/>
        <v>-0.05</v>
      </c>
      <c r="CM14" s="28">
        <f t="shared" si="187"/>
        <v>-0.02</v>
      </c>
      <c r="CN14" s="28">
        <f t="shared" si="187"/>
        <v>0</v>
      </c>
      <c r="CO14" s="28">
        <f t="shared" si="187"/>
        <v>0.005</v>
      </c>
      <c r="CP14" s="28">
        <f t="shared" si="187"/>
        <v>0.01</v>
      </c>
      <c r="CQ14" s="28">
        <f t="shared" si="187"/>
        <v>0.015</v>
      </c>
      <c r="CR14" s="28">
        <f t="shared" si="187"/>
        <v>0.02</v>
      </c>
      <c r="CS14" s="28">
        <f t="shared" si="187"/>
        <v>0.03</v>
      </c>
      <c r="CT14" s="24">
        <f>'Quick Setup'!K69</f>
        <v>0.7</v>
      </c>
      <c r="CU14" s="25">
        <f>if(CT14='Quick Setup'!$C$31,'Quick Setup'!$C41,if(CT14='Quick Setup'!$D$31,'Quick Setup'!$D41,if(CT14='Quick Setup'!$E$31,'Quick Setup'!$E41,if(CT14='Quick Setup'!$F$31,'Quick Setup'!$F41,if(CT14='Quick Setup'!$G$31,'Quick Setup'!$G41,if(CT14='Quick Setup'!$H$31,'Quick Setup'!$H41,if(CT14='Quick Setup'!$I$31,'Quick Setup'!$I41,if(CT14='Quick Setup'!$J$31,'Quick Setup'!$J41,if(CT14='Quick Setup'!$K$31,'Quick Setup'!$K41,if(CT14='Quick Setup'!$L$31,'Quick Setup'!$L41,if(CT14='Quick Setup'!$M$31,'Quick Setup'!$M41,if(CT14='Quick Setup'!$N$31,'Quick Setup'!$N41,if(CT14='Quick Setup'!$O$31,'Quick Setup'!$O41,if(CT14='Quick Setup'!$P$31,'Quick Setup'!$P41,if(CT14='Quick Setup'!$Q$31,'Quick Setup'!$Q41,if(CT14='Quick Setup'!$R$31,'Quick Setup'!$R41,if(CT14='Quick Setup'!$S$31,'Quick Setup'!$S41,if(CT14='Quick Setup'!$T$31,'Quick Setup'!$T41,if(CT14='Quick Setup'!$U$31,'Quick Setup'!$U41,if(CT14='Quick Setup'!$V$31,'Quick Setup'!$V41,'Quick Setup'!$W41))))))))))))))))))))</f>
        <v>5</v>
      </c>
      <c r="CV14" s="25">
        <f>if(CT14='Quick Setup'!$C$45,'Quick Setup'!$C55,if(CT14='Quick Setup'!$D$45,'Quick Setup'!$D55,if(CT14='Quick Setup'!$E$45,'Quick Setup'!$E55,if(CT14='Quick Setup'!$F$45,'Quick Setup'!$F55,if(CT14='Quick Setup'!$G$45,'Quick Setup'!$G55,if(CT14='Quick Setup'!$H$45,'Quick Setup'!$H55,if(CT14='Quick Setup'!$I$45,'Quick Setup'!$I55,if(CT14='Quick Setup'!$J$45,'Quick Setup'!$J55,if(CT14='Quick Setup'!$K$45,'Quick Setup'!$K55,if(CT14='Quick Setup'!$L$45,'Quick Setup'!$L55,if(CT14='Quick Setup'!$M$45,'Quick Setup'!$M55,if(CT14='Quick Setup'!$N$45,'Quick Setup'!$N55,if(CT14='Quick Setup'!$O$45,'Quick Setup'!$O55,if(CT14='Quick Setup'!$P$45,'Quick Setup'!$P55,if(CT14='Quick Setup'!$Q$45,'Quick Setup'!$Q55,if(CT14='Quick Setup'!$R$45,'Quick Setup'!$R55,if(CT14='Quick Setup'!$S$45,'Quick Setup'!$S55,if(CT14='Quick Setup'!$T$45,'Quick Setup'!$T55,if(CT14='Quick Setup'!$U$45,'Quick Setup'!$U55,if(CT14='Quick Setup'!$V$45,'Quick Setup'!$V55,'Quick Setup'!$W55))))))))))))))))))))</f>
        <v>10</v>
      </c>
      <c r="CW14" s="27">
        <f t="shared" ref="CW14:DE14" si="188">CK14</f>
        <v>5</v>
      </c>
      <c r="CX14" s="28">
        <f t="shared" si="188"/>
        <v>-0.05</v>
      </c>
      <c r="CY14" s="28">
        <f t="shared" si="188"/>
        <v>-0.02</v>
      </c>
      <c r="CZ14" s="28">
        <f t="shared" si="188"/>
        <v>0</v>
      </c>
      <c r="DA14" s="28">
        <f t="shared" si="188"/>
        <v>0.005</v>
      </c>
      <c r="DB14" s="28">
        <f t="shared" si="188"/>
        <v>0.01</v>
      </c>
      <c r="DC14" s="28">
        <f t="shared" si="188"/>
        <v>0.015</v>
      </c>
      <c r="DD14" s="28">
        <f t="shared" si="188"/>
        <v>0.02</v>
      </c>
      <c r="DE14" s="28">
        <f t="shared" si="188"/>
        <v>0.03</v>
      </c>
      <c r="DF14" s="24">
        <f>'Quick Setup'!L69</f>
        <v>0.75</v>
      </c>
      <c r="DG14" s="25">
        <f>if(DF14='Quick Setup'!$C$31,'Quick Setup'!$C41,if(DF14='Quick Setup'!$D$31,'Quick Setup'!$D41,if(DF14='Quick Setup'!$E$31,'Quick Setup'!$E41,if(DF14='Quick Setup'!$F$31,'Quick Setup'!$F41,if(DF14='Quick Setup'!$G$31,'Quick Setup'!$G41,if(DF14='Quick Setup'!$H$31,'Quick Setup'!$H41,if(DF14='Quick Setup'!$I$31,'Quick Setup'!$I41,if(DF14='Quick Setup'!$J$31,'Quick Setup'!$J41,if(DF14='Quick Setup'!$K$31,'Quick Setup'!$K41,if(DF14='Quick Setup'!$L$31,'Quick Setup'!$L41,if(DF14='Quick Setup'!$M$31,'Quick Setup'!$M41,if(DF14='Quick Setup'!$N$31,'Quick Setup'!$N41,if(DF14='Quick Setup'!$O$31,'Quick Setup'!$O41,if(DF14='Quick Setup'!$P$31,'Quick Setup'!$P41,if(DF14='Quick Setup'!$Q$31,'Quick Setup'!$Q41,if(DF14='Quick Setup'!$R$31,'Quick Setup'!$R41,if(DF14='Quick Setup'!$S$31,'Quick Setup'!$S41,if(DF14='Quick Setup'!$T$31,'Quick Setup'!$T41,if(DF14='Quick Setup'!$U$31,'Quick Setup'!$U41,if(DF14='Quick Setup'!$V$31,'Quick Setup'!$V41,'Quick Setup'!$W41))))))))))))))))))))</f>
        <v>4</v>
      </c>
      <c r="DH14" s="25">
        <f>if(DF14='Quick Setup'!$C$45,'Quick Setup'!$C55,if(DF14='Quick Setup'!$D$45,'Quick Setup'!$D55,if(DF14='Quick Setup'!$E$45,'Quick Setup'!$E55,if(DF14='Quick Setup'!$F$45,'Quick Setup'!$F55,if(DF14='Quick Setup'!$G$45,'Quick Setup'!$G55,if(DF14='Quick Setup'!$H$45,'Quick Setup'!$H55,if(DF14='Quick Setup'!$I$45,'Quick Setup'!$I55,if(DF14='Quick Setup'!$J$45,'Quick Setup'!$J55,if(DF14='Quick Setup'!$K$45,'Quick Setup'!$K55,if(DF14='Quick Setup'!$L$45,'Quick Setup'!$L55,if(DF14='Quick Setup'!$M$45,'Quick Setup'!$M55,if(DF14='Quick Setup'!$N$45,'Quick Setup'!$N55,if(DF14='Quick Setup'!$O$45,'Quick Setup'!$O55,if(DF14='Quick Setup'!$P$45,'Quick Setup'!$P55,if(DF14='Quick Setup'!$Q$45,'Quick Setup'!$Q55,if(DF14='Quick Setup'!$R$45,'Quick Setup'!$R55,if(DF14='Quick Setup'!$S$45,'Quick Setup'!$S55,if(DF14='Quick Setup'!$T$45,'Quick Setup'!$T55,if(DF14='Quick Setup'!$U$45,'Quick Setup'!$U55,if(DF14='Quick Setup'!$V$45,'Quick Setup'!$V55,'Quick Setup'!$W55))))))))))))))))))))</f>
        <v>8</v>
      </c>
      <c r="DI14" s="27">
        <f t="shared" ref="DI14:DQ14" si="189">CW14</f>
        <v>5</v>
      </c>
      <c r="DJ14" s="28">
        <f t="shared" si="189"/>
        <v>-0.05</v>
      </c>
      <c r="DK14" s="28">
        <f t="shared" si="189"/>
        <v>-0.02</v>
      </c>
      <c r="DL14" s="28">
        <f t="shared" si="189"/>
        <v>0</v>
      </c>
      <c r="DM14" s="28">
        <f t="shared" si="189"/>
        <v>0.005</v>
      </c>
      <c r="DN14" s="28">
        <f t="shared" si="189"/>
        <v>0.01</v>
      </c>
      <c r="DO14" s="28">
        <f t="shared" si="189"/>
        <v>0.015</v>
      </c>
      <c r="DP14" s="28">
        <f t="shared" si="189"/>
        <v>0.02</v>
      </c>
      <c r="DQ14" s="28">
        <f t="shared" si="189"/>
        <v>0.03</v>
      </c>
      <c r="DR14" s="24">
        <f>'Quick Setup'!M69</f>
        <v>0.675</v>
      </c>
      <c r="DS14" s="25">
        <f>if(DR14='Quick Setup'!$C$31,'Quick Setup'!$C41,if(DR14='Quick Setup'!$D$31,'Quick Setup'!$D41,if(DR14='Quick Setup'!$E$31,'Quick Setup'!$E41,if(DR14='Quick Setup'!$F$31,'Quick Setup'!$F41,if(DR14='Quick Setup'!$G$31,'Quick Setup'!$G41,if(DR14='Quick Setup'!$H$31,'Quick Setup'!$H41,if(DR14='Quick Setup'!$I$31,'Quick Setup'!$I41,if(DR14='Quick Setup'!$J$31,'Quick Setup'!$J41,if(DR14='Quick Setup'!$K$31,'Quick Setup'!$K41,if(DR14='Quick Setup'!$L$31,'Quick Setup'!$L41,if(DR14='Quick Setup'!$M$31,'Quick Setup'!$M41,if(DR14='Quick Setup'!$N$31,'Quick Setup'!$N41,if(DR14='Quick Setup'!$O$31,'Quick Setup'!$O41,if(DR14='Quick Setup'!$P$31,'Quick Setup'!$P41,if(DR14='Quick Setup'!$Q$31,'Quick Setup'!$Q41,if(DR14='Quick Setup'!$R$31,'Quick Setup'!$R41,if(DR14='Quick Setup'!$S$31,'Quick Setup'!$S41,if(DR14='Quick Setup'!$T$31,'Quick Setup'!$T41,if(DR14='Quick Setup'!$U$31,'Quick Setup'!$U41,if(DR14='Quick Setup'!$V$31,'Quick Setup'!$V41,'Quick Setup'!$W41))))))))))))))))))))</f>
        <v>6</v>
      </c>
      <c r="DT14" s="25">
        <f>if(DR14='Quick Setup'!$C$45,'Quick Setup'!$C55,if(DR14='Quick Setup'!$D$45,'Quick Setup'!$D55,if(DR14='Quick Setup'!$E$45,'Quick Setup'!$E55,if(DR14='Quick Setup'!$F$45,'Quick Setup'!$F55,if(DR14='Quick Setup'!$G$45,'Quick Setup'!$G55,if(DR14='Quick Setup'!$H$45,'Quick Setup'!$H55,if(DR14='Quick Setup'!$I$45,'Quick Setup'!$I55,if(DR14='Quick Setup'!$J$45,'Quick Setup'!$J55,if(DR14='Quick Setup'!$K$45,'Quick Setup'!$K55,if(DR14='Quick Setup'!$L$45,'Quick Setup'!$L55,if(DR14='Quick Setup'!$M$45,'Quick Setup'!$M55,if(DR14='Quick Setup'!$N$45,'Quick Setup'!$N55,if(DR14='Quick Setup'!$O$45,'Quick Setup'!$O55,if(DR14='Quick Setup'!$P$45,'Quick Setup'!$P55,if(DR14='Quick Setup'!$Q$45,'Quick Setup'!$Q55,if(DR14='Quick Setup'!$R$45,'Quick Setup'!$R55,if(DR14='Quick Setup'!$S$45,'Quick Setup'!$S55,if(DR14='Quick Setup'!$T$45,'Quick Setup'!$T55,if(DR14='Quick Setup'!$U$45,'Quick Setup'!$U55,if(DR14='Quick Setup'!$V$45,'Quick Setup'!$V55,'Quick Setup'!$W55))))))))))))))))))))</f>
        <v>11</v>
      </c>
      <c r="DU14" s="27">
        <f t="shared" ref="DU14:EC14" si="190">DI14</f>
        <v>5</v>
      </c>
      <c r="DV14" s="28">
        <f t="shared" si="190"/>
        <v>-0.05</v>
      </c>
      <c r="DW14" s="28">
        <f t="shared" si="190"/>
        <v>-0.02</v>
      </c>
      <c r="DX14" s="28">
        <f t="shared" si="190"/>
        <v>0</v>
      </c>
      <c r="DY14" s="28">
        <f t="shared" si="190"/>
        <v>0.005</v>
      </c>
      <c r="DZ14" s="28">
        <f t="shared" si="190"/>
        <v>0.01</v>
      </c>
      <c r="EA14" s="28">
        <f t="shared" si="190"/>
        <v>0.015</v>
      </c>
      <c r="EB14" s="28">
        <f t="shared" si="190"/>
        <v>0.02</v>
      </c>
      <c r="EC14" s="28">
        <f t="shared" si="190"/>
        <v>0.03</v>
      </c>
      <c r="ED14" s="24">
        <f>'Quick Setup'!N69</f>
        <v>0.725</v>
      </c>
      <c r="EE14" s="25">
        <f>if(ED14='Quick Setup'!$C$31,'Quick Setup'!$C41,if(ED14='Quick Setup'!$D$31,'Quick Setup'!$D41,if(ED14='Quick Setup'!$E$31,'Quick Setup'!$E41,if(ED14='Quick Setup'!$F$31,'Quick Setup'!$F41,if(ED14='Quick Setup'!$G$31,'Quick Setup'!$G41,if(ED14='Quick Setup'!$H$31,'Quick Setup'!$H41,if(ED14='Quick Setup'!$I$31,'Quick Setup'!$I41,if(ED14='Quick Setup'!$J$31,'Quick Setup'!$J41,if(ED14='Quick Setup'!$K$31,'Quick Setup'!$K41,if(ED14='Quick Setup'!$L$31,'Quick Setup'!$L41,if(ED14='Quick Setup'!$M$31,'Quick Setup'!$M41,if(ED14='Quick Setup'!$N$31,'Quick Setup'!$N41,if(ED14='Quick Setup'!$O$31,'Quick Setup'!$O41,if(ED14='Quick Setup'!$P$31,'Quick Setup'!$P41,if(ED14='Quick Setup'!$Q$31,'Quick Setup'!$Q41,if(ED14='Quick Setup'!$R$31,'Quick Setup'!$R41,if(ED14='Quick Setup'!$S$31,'Quick Setup'!$S41,if(ED14='Quick Setup'!$T$31,'Quick Setup'!$T41,if(ED14='Quick Setup'!$U$31,'Quick Setup'!$U41,if(ED14='Quick Setup'!$V$31,'Quick Setup'!$V41,'Quick Setup'!$W41))))))))))))))))))))</f>
        <v>5</v>
      </c>
      <c r="EF14" s="25">
        <f>if(ED14='Quick Setup'!$C$45,'Quick Setup'!$C55,if(ED14='Quick Setup'!$D$45,'Quick Setup'!$D55,if(ED14='Quick Setup'!$E$45,'Quick Setup'!$E55,if(ED14='Quick Setup'!$F$45,'Quick Setup'!$F55,if(ED14='Quick Setup'!$G$45,'Quick Setup'!$G55,if(ED14='Quick Setup'!$H$45,'Quick Setup'!$H55,if(ED14='Quick Setup'!$I$45,'Quick Setup'!$I55,if(ED14='Quick Setup'!$J$45,'Quick Setup'!$J55,if(ED14='Quick Setup'!$K$45,'Quick Setup'!$K55,if(ED14='Quick Setup'!$L$45,'Quick Setup'!$L55,if(ED14='Quick Setup'!$M$45,'Quick Setup'!$M55,if(ED14='Quick Setup'!$N$45,'Quick Setup'!$N55,if(ED14='Quick Setup'!$O$45,'Quick Setup'!$O55,if(ED14='Quick Setup'!$P$45,'Quick Setup'!$P55,if(ED14='Quick Setup'!$Q$45,'Quick Setup'!$Q55,if(ED14='Quick Setup'!$R$45,'Quick Setup'!$R55,if(ED14='Quick Setup'!$S$45,'Quick Setup'!$S55,if(ED14='Quick Setup'!$T$45,'Quick Setup'!$T55,if(ED14='Quick Setup'!$U$45,'Quick Setup'!$U55,if(ED14='Quick Setup'!$V$45,'Quick Setup'!$V55,'Quick Setup'!$W55))))))))))))))))))))</f>
        <v>9</v>
      </c>
      <c r="EG14" s="27">
        <f t="shared" ref="EG14:EO14" si="191">DU14</f>
        <v>5</v>
      </c>
      <c r="EH14" s="28">
        <f t="shared" si="191"/>
        <v>-0.05</v>
      </c>
      <c r="EI14" s="28">
        <f t="shared" si="191"/>
        <v>-0.02</v>
      </c>
      <c r="EJ14" s="28">
        <f t="shared" si="191"/>
        <v>0</v>
      </c>
      <c r="EK14" s="28">
        <f t="shared" si="191"/>
        <v>0.005</v>
      </c>
      <c r="EL14" s="28">
        <f t="shared" si="191"/>
        <v>0.01</v>
      </c>
      <c r="EM14" s="28">
        <f t="shared" si="191"/>
        <v>0.015</v>
      </c>
      <c r="EN14" s="28">
        <f t="shared" si="191"/>
        <v>0.02</v>
      </c>
      <c r="EO14" s="28">
        <f t="shared" si="191"/>
        <v>0.03</v>
      </c>
      <c r="EP14" s="24">
        <f>'Quick Setup'!O69</f>
        <v>0.775</v>
      </c>
      <c r="EQ14" s="25">
        <f>if(EP14='Quick Setup'!$C$31,'Quick Setup'!$C41,if(EP14='Quick Setup'!$D$31,'Quick Setup'!$D41,if(EP14='Quick Setup'!$E$31,'Quick Setup'!$E41,if(EP14='Quick Setup'!$F$31,'Quick Setup'!$F41,if(EP14='Quick Setup'!$G$31,'Quick Setup'!$G41,if(EP14='Quick Setup'!$H$31,'Quick Setup'!$H41,if(EP14='Quick Setup'!$I$31,'Quick Setup'!$I41,if(EP14='Quick Setup'!$J$31,'Quick Setup'!$J41,if(EP14='Quick Setup'!$K$31,'Quick Setup'!$K41,if(EP14='Quick Setup'!$L$31,'Quick Setup'!$L41,if(EP14='Quick Setup'!$M$31,'Quick Setup'!$M41,if(EP14='Quick Setup'!$N$31,'Quick Setup'!$N41,if(EP14='Quick Setup'!$O$31,'Quick Setup'!$O41,if(EP14='Quick Setup'!$P$31,'Quick Setup'!$P41,if(EP14='Quick Setup'!$Q$31,'Quick Setup'!$Q41,if(EP14='Quick Setup'!$R$31,'Quick Setup'!$R41,if(EP14='Quick Setup'!$S$31,'Quick Setup'!$S41,if(EP14='Quick Setup'!$T$31,'Quick Setup'!$T41,if(EP14='Quick Setup'!$U$31,'Quick Setup'!$U41,if(EP14='Quick Setup'!$V$31,'Quick Setup'!$V41,'Quick Setup'!$W41))))))))))))))))))))</f>
        <v>4</v>
      </c>
      <c r="ER14" s="25">
        <f>if(EP14='Quick Setup'!$C$45,'Quick Setup'!$C55,if(EP14='Quick Setup'!$D$45,'Quick Setup'!$D55,if(EP14='Quick Setup'!$E$45,'Quick Setup'!$E55,if(EP14='Quick Setup'!$F$45,'Quick Setup'!$F55,if(EP14='Quick Setup'!$G$45,'Quick Setup'!$G55,if(EP14='Quick Setup'!$H$45,'Quick Setup'!$H55,if(EP14='Quick Setup'!$I$45,'Quick Setup'!$I55,if(EP14='Quick Setup'!$J$45,'Quick Setup'!$J55,if(EP14='Quick Setup'!$K$45,'Quick Setup'!$K55,if(EP14='Quick Setup'!$L$45,'Quick Setup'!$L55,if(EP14='Quick Setup'!$M$45,'Quick Setup'!$M55,if(EP14='Quick Setup'!$N$45,'Quick Setup'!$N55,if(EP14='Quick Setup'!$O$45,'Quick Setup'!$O55,if(EP14='Quick Setup'!$P$45,'Quick Setup'!$P55,if(EP14='Quick Setup'!$Q$45,'Quick Setup'!$Q55,if(EP14='Quick Setup'!$R$45,'Quick Setup'!$R55,if(EP14='Quick Setup'!$S$45,'Quick Setup'!$S55,if(EP14='Quick Setup'!$T$45,'Quick Setup'!$T55,if(EP14='Quick Setup'!$U$45,'Quick Setup'!$U55,if(EP14='Quick Setup'!$V$45,'Quick Setup'!$V55,'Quick Setup'!$W55))))))))))))))))))))</f>
        <v>7</v>
      </c>
      <c r="ES14" s="27">
        <f t="shared" ref="ES14:FA14" si="192">EG14</f>
        <v>5</v>
      </c>
      <c r="ET14" s="28">
        <f t="shared" si="192"/>
        <v>-0.05</v>
      </c>
      <c r="EU14" s="28">
        <f t="shared" si="192"/>
        <v>-0.02</v>
      </c>
      <c r="EV14" s="28">
        <f t="shared" si="192"/>
        <v>0</v>
      </c>
      <c r="EW14" s="28">
        <f t="shared" si="192"/>
        <v>0.005</v>
      </c>
      <c r="EX14" s="28">
        <f t="shared" si="192"/>
        <v>0.01</v>
      </c>
      <c r="EY14" s="28">
        <f t="shared" si="192"/>
        <v>0.015</v>
      </c>
      <c r="EZ14" s="28">
        <f t="shared" si="192"/>
        <v>0.02</v>
      </c>
      <c r="FA14" s="28">
        <f t="shared" si="192"/>
        <v>0.03</v>
      </c>
      <c r="FB14" s="24">
        <f>'Quick Setup'!P69</f>
        <v>0.5</v>
      </c>
      <c r="FC14" s="25">
        <f>if(FB14='Quick Setup'!$C$31,'Quick Setup'!$C41,if(FB14='Quick Setup'!$D$31,'Quick Setup'!$D41,if(FB14='Quick Setup'!$E$31,'Quick Setup'!$E41,if(FB14='Quick Setup'!$F$31,'Quick Setup'!$F41,if(FB14='Quick Setup'!$G$31,'Quick Setup'!$G41,if(FB14='Quick Setup'!$H$31,'Quick Setup'!$H41,if(FB14='Quick Setup'!$I$31,'Quick Setup'!$I41,if(FB14='Quick Setup'!$J$31,'Quick Setup'!$J41,if(FB14='Quick Setup'!$K$31,'Quick Setup'!$K41,if(FB14='Quick Setup'!$L$31,'Quick Setup'!$L41,if(FB14='Quick Setup'!$M$31,'Quick Setup'!$M41,if(FB14='Quick Setup'!$N$31,'Quick Setup'!$N41,if(FB14='Quick Setup'!$O$31,'Quick Setup'!$O41,if(FB14='Quick Setup'!$P$31,'Quick Setup'!$P41,if(FB14='Quick Setup'!$Q$31,'Quick Setup'!$Q41,if(FB14='Quick Setup'!$R$31,'Quick Setup'!$R41,if(FB14='Quick Setup'!$S$31,'Quick Setup'!$S41,if(FB14='Quick Setup'!$T$31,'Quick Setup'!$T41,if(FB14='Quick Setup'!$U$31,'Quick Setup'!$U41,if(FB14='Quick Setup'!$V$31,'Quick Setup'!$V41,'Quick Setup'!$W41))))))))))))))))))))</f>
        <v>8</v>
      </c>
      <c r="FD14" s="25">
        <f>if(FB14='Quick Setup'!$C$45,'Quick Setup'!$C55,if(FB14='Quick Setup'!$D$45,'Quick Setup'!$D55,if(FB14='Quick Setup'!$E$45,'Quick Setup'!$E55,if(FB14='Quick Setup'!$F$45,'Quick Setup'!$F55,if(FB14='Quick Setup'!$G$45,'Quick Setup'!$G55,if(FB14='Quick Setup'!$H$45,'Quick Setup'!$H55,if(FB14='Quick Setup'!$I$45,'Quick Setup'!$I55,if(FB14='Quick Setup'!$J$45,'Quick Setup'!$J55,if(FB14='Quick Setup'!$K$45,'Quick Setup'!$K55,if(FB14='Quick Setup'!$L$45,'Quick Setup'!$L55,if(FB14='Quick Setup'!$M$45,'Quick Setup'!$M55,if(FB14='Quick Setup'!$N$45,'Quick Setup'!$N55,if(FB14='Quick Setup'!$O$45,'Quick Setup'!$O55,if(FB14='Quick Setup'!$P$45,'Quick Setup'!$P55,if(FB14='Quick Setup'!$Q$45,'Quick Setup'!$Q55,if(FB14='Quick Setup'!$R$45,'Quick Setup'!$R55,if(FB14='Quick Setup'!$S$45,'Quick Setup'!$S55,if(FB14='Quick Setup'!$T$45,'Quick Setup'!$T55,if(FB14='Quick Setup'!$U$45,'Quick Setup'!$U55,if(FB14='Quick Setup'!$V$45,'Quick Setup'!$V55,'Quick Setup'!$W55))))))))))))))))))))</f>
        <v>18</v>
      </c>
      <c r="FE14" s="27">
        <f t="shared" ref="FE14:FM14" si="193">ES14</f>
        <v>5</v>
      </c>
      <c r="FF14" s="28">
        <f t="shared" si="193"/>
        <v>-0.05</v>
      </c>
      <c r="FG14" s="28">
        <f t="shared" si="193"/>
        <v>-0.02</v>
      </c>
      <c r="FH14" s="28">
        <f t="shared" si="193"/>
        <v>0</v>
      </c>
      <c r="FI14" s="28">
        <f t="shared" si="193"/>
        <v>0.005</v>
      </c>
      <c r="FJ14" s="28">
        <f t="shared" si="193"/>
        <v>0.01</v>
      </c>
      <c r="FK14" s="28">
        <f t="shared" si="193"/>
        <v>0.015</v>
      </c>
      <c r="FL14" s="28">
        <f t="shared" si="193"/>
        <v>0.02</v>
      </c>
      <c r="FM14" s="28">
        <f t="shared" si="193"/>
        <v>0.03</v>
      </c>
      <c r="FN14" s="24">
        <f>'Quick Setup'!Q69</f>
        <v>0.7</v>
      </c>
      <c r="FO14" s="25">
        <f>if(FN14='Quick Setup'!$C$31,'Quick Setup'!$C41,if(FN14='Quick Setup'!$D$31,'Quick Setup'!$D41,if(FN14='Quick Setup'!$E$31,'Quick Setup'!$E41,if(FN14='Quick Setup'!$F$31,'Quick Setup'!$F41,if(FN14='Quick Setup'!$G$31,'Quick Setup'!$G41,if(FN14='Quick Setup'!$H$31,'Quick Setup'!$H41,if(FN14='Quick Setup'!$I$31,'Quick Setup'!$I41,if(FN14='Quick Setup'!$J$31,'Quick Setup'!$J41,if(FN14='Quick Setup'!$K$31,'Quick Setup'!$K41,if(FN14='Quick Setup'!$L$31,'Quick Setup'!$L41,if(FN14='Quick Setup'!$M$31,'Quick Setup'!$M41,if(FN14='Quick Setup'!$N$31,'Quick Setup'!$N41,if(FN14='Quick Setup'!$O$31,'Quick Setup'!$O41,if(FN14='Quick Setup'!$P$31,'Quick Setup'!$P41,if(FN14='Quick Setup'!$Q$31,'Quick Setup'!$Q41,if(FN14='Quick Setup'!$R$31,'Quick Setup'!$R41,if(FN14='Quick Setup'!$S$31,'Quick Setup'!$S41,if(FN14='Quick Setup'!$T$31,'Quick Setup'!$T41,if(FN14='Quick Setup'!$U$31,'Quick Setup'!$U41,if(FN14='Quick Setup'!$V$31,'Quick Setup'!$V41,'Quick Setup'!$W41))))))))))))))))))))</f>
        <v>5</v>
      </c>
      <c r="FP14" s="25">
        <f>if(FN14='Quick Setup'!$C$45,'Quick Setup'!$C55,if(FN14='Quick Setup'!$D$45,'Quick Setup'!$D55,if(FN14='Quick Setup'!$E$45,'Quick Setup'!$E55,if(FN14='Quick Setup'!$F$45,'Quick Setup'!$F55,if(FN14='Quick Setup'!$G$45,'Quick Setup'!$G55,if(FN14='Quick Setup'!$H$45,'Quick Setup'!$H55,if(FN14='Quick Setup'!$I$45,'Quick Setup'!$I55,if(FN14='Quick Setup'!$J$45,'Quick Setup'!$J55,if(FN14='Quick Setup'!$K$45,'Quick Setup'!$K55,if(FN14='Quick Setup'!$L$45,'Quick Setup'!$L55,if(FN14='Quick Setup'!$M$45,'Quick Setup'!$M55,if(FN14='Quick Setup'!$N$45,'Quick Setup'!$N55,if(FN14='Quick Setup'!$O$45,'Quick Setup'!$O55,if(FN14='Quick Setup'!$P$45,'Quick Setup'!$P55,if(FN14='Quick Setup'!$Q$45,'Quick Setup'!$Q55,if(FN14='Quick Setup'!$R$45,'Quick Setup'!$R55,if(FN14='Quick Setup'!$S$45,'Quick Setup'!$S55,if(FN14='Quick Setup'!$T$45,'Quick Setup'!$T55,if(FN14='Quick Setup'!$U$45,'Quick Setup'!$U55,if(FN14='Quick Setup'!$V$45,'Quick Setup'!$V55,'Quick Setup'!$W55))))))))))))))))))))</f>
        <v>10</v>
      </c>
      <c r="FQ14" s="27">
        <f t="shared" ref="FQ14:FY14" si="194">FE14</f>
        <v>5</v>
      </c>
      <c r="FR14" s="28">
        <f t="shared" si="194"/>
        <v>-0.05</v>
      </c>
      <c r="FS14" s="28">
        <f t="shared" si="194"/>
        <v>-0.02</v>
      </c>
      <c r="FT14" s="28">
        <f t="shared" si="194"/>
        <v>0</v>
      </c>
      <c r="FU14" s="28">
        <f t="shared" si="194"/>
        <v>0.005</v>
      </c>
      <c r="FV14" s="28">
        <f t="shared" si="194"/>
        <v>0.01</v>
      </c>
      <c r="FW14" s="28">
        <f t="shared" si="194"/>
        <v>0.015</v>
      </c>
      <c r="FX14" s="28">
        <f t="shared" si="194"/>
        <v>0.02</v>
      </c>
      <c r="FY14" s="28">
        <f t="shared" si="194"/>
        <v>0.03</v>
      </c>
      <c r="FZ14" s="24">
        <f>'Quick Setup'!R69</f>
        <v>0.75</v>
      </c>
      <c r="GA14" s="25">
        <f>if(FZ14='Quick Setup'!$C$31,'Quick Setup'!$C41,if(FZ14='Quick Setup'!$D$31,'Quick Setup'!$D41,if(FZ14='Quick Setup'!$E$31,'Quick Setup'!$E41,if(FZ14='Quick Setup'!$F$31,'Quick Setup'!$F41,if(FZ14='Quick Setup'!$G$31,'Quick Setup'!$G41,if(FZ14='Quick Setup'!$H$31,'Quick Setup'!$H41,if(FZ14='Quick Setup'!$I$31,'Quick Setup'!$I41,if(FZ14='Quick Setup'!$J$31,'Quick Setup'!$J41,if(FZ14='Quick Setup'!$K$31,'Quick Setup'!$K41,if(FZ14='Quick Setup'!$L$31,'Quick Setup'!$L41,if(FZ14='Quick Setup'!$M$31,'Quick Setup'!$M41,if(FZ14='Quick Setup'!$N$31,'Quick Setup'!$N41,if(FZ14='Quick Setup'!$O$31,'Quick Setup'!$O41,if(FZ14='Quick Setup'!$P$31,'Quick Setup'!$P41,if(FZ14='Quick Setup'!$Q$31,'Quick Setup'!$Q41,if(FZ14='Quick Setup'!$R$31,'Quick Setup'!$R41,if(FZ14='Quick Setup'!$S$31,'Quick Setup'!$S41,if(FZ14='Quick Setup'!$T$31,'Quick Setup'!$T41,if(FZ14='Quick Setup'!$U$31,'Quick Setup'!$U41,if(FZ14='Quick Setup'!$V$31,'Quick Setup'!$V41,'Quick Setup'!$W41))))))))))))))))))))</f>
        <v>4</v>
      </c>
      <c r="GB14" s="25">
        <f>if(FZ14='Quick Setup'!$C$45,'Quick Setup'!$C55,if(FZ14='Quick Setup'!$D$45,'Quick Setup'!$D55,if(FZ14='Quick Setup'!$E$45,'Quick Setup'!$E55,if(FZ14='Quick Setup'!$F$45,'Quick Setup'!$F55,if(FZ14='Quick Setup'!$G$45,'Quick Setup'!$G55,if(FZ14='Quick Setup'!$H$45,'Quick Setup'!$H55,if(FZ14='Quick Setup'!$I$45,'Quick Setup'!$I55,if(FZ14='Quick Setup'!$J$45,'Quick Setup'!$J55,if(FZ14='Quick Setup'!$K$45,'Quick Setup'!$K55,if(FZ14='Quick Setup'!$L$45,'Quick Setup'!$L55,if(FZ14='Quick Setup'!$M$45,'Quick Setup'!$M55,if(FZ14='Quick Setup'!$N$45,'Quick Setup'!$N55,if(FZ14='Quick Setup'!$O$45,'Quick Setup'!$O55,if(FZ14='Quick Setup'!$P$45,'Quick Setup'!$P55,if(FZ14='Quick Setup'!$Q$45,'Quick Setup'!$Q55,if(FZ14='Quick Setup'!$R$45,'Quick Setup'!$R55,if(FZ14='Quick Setup'!$S$45,'Quick Setup'!$S55,if(FZ14='Quick Setup'!$T$45,'Quick Setup'!$T55,if(FZ14='Quick Setup'!$U$45,'Quick Setup'!$U55,if(FZ14='Quick Setup'!$V$45,'Quick Setup'!$V55,'Quick Setup'!$W55))))))))))))))))))))</f>
        <v>8</v>
      </c>
      <c r="GC14" s="27">
        <f t="shared" ref="GC14:GK14" si="195">FQ14</f>
        <v>5</v>
      </c>
      <c r="GD14" s="28">
        <f t="shared" si="195"/>
        <v>-0.05</v>
      </c>
      <c r="GE14" s="28">
        <f t="shared" si="195"/>
        <v>-0.02</v>
      </c>
      <c r="GF14" s="28">
        <f t="shared" si="195"/>
        <v>0</v>
      </c>
      <c r="GG14" s="28">
        <f t="shared" si="195"/>
        <v>0.005</v>
      </c>
      <c r="GH14" s="28">
        <f t="shared" si="195"/>
        <v>0.01</v>
      </c>
      <c r="GI14" s="28">
        <f t="shared" si="195"/>
        <v>0.015</v>
      </c>
      <c r="GJ14" s="28">
        <f t="shared" si="195"/>
        <v>0.02</v>
      </c>
      <c r="GK14" s="28">
        <f t="shared" si="195"/>
        <v>0.03</v>
      </c>
      <c r="GL14" s="24">
        <f>'Quick Setup'!S69</f>
        <v>0.8</v>
      </c>
      <c r="GM14" s="25">
        <f>if(GL14='Quick Setup'!$C$31,'Quick Setup'!$C41,if(GL14='Quick Setup'!$D$31,'Quick Setup'!$D41,if(GL14='Quick Setup'!$E$31,'Quick Setup'!$E41,if(GL14='Quick Setup'!$F$31,'Quick Setup'!$F41,if(GL14='Quick Setup'!$G$31,'Quick Setup'!$G41,if(GL14='Quick Setup'!$H$31,'Quick Setup'!$H41,if(GL14='Quick Setup'!$I$31,'Quick Setup'!$I41,if(GL14='Quick Setup'!$J$31,'Quick Setup'!$J41,if(GL14='Quick Setup'!$K$31,'Quick Setup'!$K41,if(GL14='Quick Setup'!$L$31,'Quick Setup'!$L41,if(GL14='Quick Setup'!$M$31,'Quick Setup'!$M41,if(GL14='Quick Setup'!$N$31,'Quick Setup'!$N41,if(GL14='Quick Setup'!$O$31,'Quick Setup'!$O41,if(GL14='Quick Setup'!$P$31,'Quick Setup'!$P41,if(GL14='Quick Setup'!$Q$31,'Quick Setup'!$Q41,if(GL14='Quick Setup'!$R$31,'Quick Setup'!$R41,if(GL14='Quick Setup'!$S$31,'Quick Setup'!$S41,if(GL14='Quick Setup'!$T$31,'Quick Setup'!$T41,if(GL14='Quick Setup'!$U$31,'Quick Setup'!$U41,if(GL14='Quick Setup'!$V$31,'Quick Setup'!$V41,'Quick Setup'!$W41))))))))))))))))))))</f>
        <v>3</v>
      </c>
      <c r="GN14" s="25">
        <f>if(GL14='Quick Setup'!$C$45,'Quick Setup'!$C55,if(GL14='Quick Setup'!$D$45,'Quick Setup'!$D55,if(GL14='Quick Setup'!$E$45,'Quick Setup'!$E55,if(GL14='Quick Setup'!$F$45,'Quick Setup'!$F55,if(GL14='Quick Setup'!$G$45,'Quick Setup'!$G55,if(GL14='Quick Setup'!$H$45,'Quick Setup'!$H55,if(GL14='Quick Setup'!$I$45,'Quick Setup'!$I55,if(GL14='Quick Setup'!$J$45,'Quick Setup'!$J55,if(GL14='Quick Setup'!$K$45,'Quick Setup'!$K55,if(GL14='Quick Setup'!$L$45,'Quick Setup'!$L55,if(GL14='Quick Setup'!$M$45,'Quick Setup'!$M55,if(GL14='Quick Setup'!$N$45,'Quick Setup'!$N55,if(GL14='Quick Setup'!$O$45,'Quick Setup'!$O55,if(GL14='Quick Setup'!$P$45,'Quick Setup'!$P55,if(GL14='Quick Setup'!$Q$45,'Quick Setup'!$Q55,if(GL14='Quick Setup'!$R$45,'Quick Setup'!$R55,if(GL14='Quick Setup'!$S$45,'Quick Setup'!$S55,if(GL14='Quick Setup'!$T$45,'Quick Setup'!$T55,if(GL14='Quick Setup'!$U$45,'Quick Setup'!$U55,if(GL14='Quick Setup'!$V$45,'Quick Setup'!$V55,'Quick Setup'!$W55))))))))))))))))))))</f>
        <v>6</v>
      </c>
      <c r="GO14" s="27">
        <f t="shared" ref="GO14:GW14" si="196">GC14</f>
        <v>5</v>
      </c>
      <c r="GP14" s="28">
        <f t="shared" si="196"/>
        <v>-0.05</v>
      </c>
      <c r="GQ14" s="28">
        <f t="shared" si="196"/>
        <v>-0.02</v>
      </c>
      <c r="GR14" s="28">
        <f t="shared" si="196"/>
        <v>0</v>
      </c>
      <c r="GS14" s="28">
        <f t="shared" si="196"/>
        <v>0.005</v>
      </c>
      <c r="GT14" s="28">
        <f t="shared" si="196"/>
        <v>0.01</v>
      </c>
      <c r="GU14" s="28">
        <f t="shared" si="196"/>
        <v>0.015</v>
      </c>
      <c r="GV14" s="28">
        <f t="shared" si="196"/>
        <v>0.02</v>
      </c>
      <c r="GW14" s="28">
        <f t="shared" si="196"/>
        <v>0.03</v>
      </c>
      <c r="GX14" s="24">
        <f>'Quick Setup'!T69</f>
        <v>0.75</v>
      </c>
      <c r="GY14" s="25">
        <f>if(GX14='Quick Setup'!$C$31,'Quick Setup'!$C41,if(GX14='Quick Setup'!$D$31,'Quick Setup'!$D41,if(GX14='Quick Setup'!$E$31,'Quick Setup'!$E41,if(GX14='Quick Setup'!$F$31,'Quick Setup'!$F41,if(GX14='Quick Setup'!$G$31,'Quick Setup'!$G41,if(GX14='Quick Setup'!$H$31,'Quick Setup'!$H41,if(GX14='Quick Setup'!$I$31,'Quick Setup'!$I41,if(GX14='Quick Setup'!$J$31,'Quick Setup'!$J41,if(GX14='Quick Setup'!$K$31,'Quick Setup'!$K41,if(GX14='Quick Setup'!$L$31,'Quick Setup'!$L41,if(GX14='Quick Setup'!$M$31,'Quick Setup'!$M41,if(GX14='Quick Setup'!$N$31,'Quick Setup'!$N41,if(GX14='Quick Setup'!$O$31,'Quick Setup'!$O41,if(GX14='Quick Setup'!$P$31,'Quick Setup'!$P41,if(GX14='Quick Setup'!$Q$31,'Quick Setup'!$Q41,if(GX14='Quick Setup'!$R$31,'Quick Setup'!$R41,if(GX14='Quick Setup'!$S$31,'Quick Setup'!$S41,if(GX14='Quick Setup'!$T$31,'Quick Setup'!$T41,if(GX14='Quick Setup'!$U$31,'Quick Setup'!$U41,if(GX14='Quick Setup'!$V$31,'Quick Setup'!$V41,'Quick Setup'!$W41))))))))))))))))))))</f>
        <v>4</v>
      </c>
      <c r="GZ14" s="25">
        <f>if(GX14='Quick Setup'!$C$45,'Quick Setup'!$C55,if(GX14='Quick Setup'!$D$45,'Quick Setup'!$D55,if(GX14='Quick Setup'!$E$45,'Quick Setup'!$E55,if(GX14='Quick Setup'!$F$45,'Quick Setup'!$F55,if(GX14='Quick Setup'!$G$45,'Quick Setup'!$G55,if(GX14='Quick Setup'!$H$45,'Quick Setup'!$H55,if(GX14='Quick Setup'!$I$45,'Quick Setup'!$I55,if(GX14='Quick Setup'!$J$45,'Quick Setup'!$J55,if(GX14='Quick Setup'!$K$45,'Quick Setup'!$K55,if(GX14='Quick Setup'!$L$45,'Quick Setup'!$L55,if(GX14='Quick Setup'!$M$45,'Quick Setup'!$M55,if(GX14='Quick Setup'!$N$45,'Quick Setup'!$N55,if(GX14='Quick Setup'!$O$45,'Quick Setup'!$O55,if(GX14='Quick Setup'!$P$45,'Quick Setup'!$P55,if(GX14='Quick Setup'!$Q$45,'Quick Setup'!$Q55,if(GX14='Quick Setup'!$R$45,'Quick Setup'!$R55,if(GX14='Quick Setup'!$S$45,'Quick Setup'!$S55,if(GX14='Quick Setup'!$T$45,'Quick Setup'!$T55,if(GX14='Quick Setup'!$U$45,'Quick Setup'!$U55,if(GX14='Quick Setup'!$V$45,'Quick Setup'!$V55,'Quick Setup'!$W55))))))))))))))))))))</f>
        <v>8</v>
      </c>
      <c r="HA14" s="27">
        <f t="shared" ref="HA14:HI14" si="197">GO14</f>
        <v>5</v>
      </c>
      <c r="HB14" s="28">
        <f t="shared" si="197"/>
        <v>-0.05</v>
      </c>
      <c r="HC14" s="28">
        <f t="shared" si="197"/>
        <v>-0.02</v>
      </c>
      <c r="HD14" s="28">
        <f t="shared" si="197"/>
        <v>0</v>
      </c>
      <c r="HE14" s="28">
        <f t="shared" si="197"/>
        <v>0.005</v>
      </c>
      <c r="HF14" s="28">
        <f t="shared" si="197"/>
        <v>0.01</v>
      </c>
      <c r="HG14" s="28">
        <f t="shared" si="197"/>
        <v>0.015</v>
      </c>
      <c r="HH14" s="28">
        <f t="shared" si="197"/>
        <v>0.02</v>
      </c>
      <c r="HI14" s="28">
        <f t="shared" si="197"/>
        <v>0.03</v>
      </c>
      <c r="HJ14" s="24">
        <f>'Quick Setup'!U69</f>
        <v>0.8</v>
      </c>
      <c r="HK14" s="25">
        <f>if(HJ14='Quick Setup'!$C$31,'Quick Setup'!$C41,if(HJ14='Quick Setup'!$D$31,'Quick Setup'!$D41,if(HJ14='Quick Setup'!$E$31,'Quick Setup'!$E41,if(HJ14='Quick Setup'!$F$31,'Quick Setup'!$F41,if(HJ14='Quick Setup'!$G$31,'Quick Setup'!$G41,if(HJ14='Quick Setup'!$H$31,'Quick Setup'!$H41,if(HJ14='Quick Setup'!$I$31,'Quick Setup'!$I41,if(HJ14='Quick Setup'!$J$31,'Quick Setup'!$J41,if(HJ14='Quick Setup'!$K$31,'Quick Setup'!$K41,if(HJ14='Quick Setup'!$L$31,'Quick Setup'!$L41,if(HJ14='Quick Setup'!$M$31,'Quick Setup'!$M41,if(HJ14='Quick Setup'!$N$31,'Quick Setup'!$N41,if(HJ14='Quick Setup'!$O$31,'Quick Setup'!$O41,if(HJ14='Quick Setup'!$P$31,'Quick Setup'!$P41,if(HJ14='Quick Setup'!$Q$31,'Quick Setup'!$Q41,if(HJ14='Quick Setup'!$R$31,'Quick Setup'!$R41,if(HJ14='Quick Setup'!$S$31,'Quick Setup'!$S41,if(HJ14='Quick Setup'!$T$31,'Quick Setup'!$T41,if(HJ14='Quick Setup'!$U$31,'Quick Setup'!$U41,if(HJ14='Quick Setup'!$V$31,'Quick Setup'!$V41,'Quick Setup'!$W41))))))))))))))))))))</f>
        <v>3</v>
      </c>
      <c r="HL14" s="25">
        <f>if(HJ14='Quick Setup'!$C$45,'Quick Setup'!$C55,if(HJ14='Quick Setup'!$D$45,'Quick Setup'!$D55,if(HJ14='Quick Setup'!$E$45,'Quick Setup'!$E55,if(HJ14='Quick Setup'!$F$45,'Quick Setup'!$F55,if(HJ14='Quick Setup'!$G$45,'Quick Setup'!$G55,if(HJ14='Quick Setup'!$H$45,'Quick Setup'!$H55,if(HJ14='Quick Setup'!$I$45,'Quick Setup'!$I55,if(HJ14='Quick Setup'!$J$45,'Quick Setup'!$J55,if(HJ14='Quick Setup'!$K$45,'Quick Setup'!$K55,if(HJ14='Quick Setup'!$L$45,'Quick Setup'!$L55,if(HJ14='Quick Setup'!$M$45,'Quick Setup'!$M55,if(HJ14='Quick Setup'!$N$45,'Quick Setup'!$N55,if(HJ14='Quick Setup'!$O$45,'Quick Setup'!$O55,if(HJ14='Quick Setup'!$P$45,'Quick Setup'!$P55,if(HJ14='Quick Setup'!$Q$45,'Quick Setup'!$Q55,if(HJ14='Quick Setup'!$R$45,'Quick Setup'!$R55,if(HJ14='Quick Setup'!$S$45,'Quick Setup'!$S55,if(HJ14='Quick Setup'!$T$45,'Quick Setup'!$T55,if(HJ14='Quick Setup'!$U$45,'Quick Setup'!$U55,if(HJ14='Quick Setup'!$V$45,'Quick Setup'!$V55,'Quick Setup'!$W55))))))))))))))))))))</f>
        <v>6</v>
      </c>
      <c r="HM14" s="27">
        <f t="shared" ref="HM14:HU14" si="198">HA14</f>
        <v>5</v>
      </c>
      <c r="HN14" s="28">
        <f t="shared" si="198"/>
        <v>-0.05</v>
      </c>
      <c r="HO14" s="28">
        <f t="shared" si="198"/>
        <v>-0.02</v>
      </c>
      <c r="HP14" s="28">
        <f t="shared" si="198"/>
        <v>0</v>
      </c>
      <c r="HQ14" s="28">
        <f t="shared" si="198"/>
        <v>0.005</v>
      </c>
      <c r="HR14" s="28">
        <f t="shared" si="198"/>
        <v>0.01</v>
      </c>
      <c r="HS14" s="28">
        <f t="shared" si="198"/>
        <v>0.015</v>
      </c>
      <c r="HT14" s="28">
        <f t="shared" si="198"/>
        <v>0.02</v>
      </c>
      <c r="HU14" s="28">
        <f t="shared" si="198"/>
        <v>0.03</v>
      </c>
      <c r="HV14" s="24">
        <f>'Quick Setup'!V69</f>
        <v>0.85</v>
      </c>
      <c r="HW14" s="25">
        <f>if(HV14='Quick Setup'!$C$31,'Quick Setup'!$C41,if(HV14='Quick Setup'!$D$31,'Quick Setup'!$D41,if(HV14='Quick Setup'!$E$31,'Quick Setup'!$E41,if(HV14='Quick Setup'!$F$31,'Quick Setup'!$F41,if(HV14='Quick Setup'!$G$31,'Quick Setup'!$G41,if(HV14='Quick Setup'!$H$31,'Quick Setup'!$H41,if(HV14='Quick Setup'!$I$31,'Quick Setup'!$I41,if(HV14='Quick Setup'!$J$31,'Quick Setup'!$J41,if(HV14='Quick Setup'!$K$31,'Quick Setup'!$K41,if(HV14='Quick Setup'!$L$31,'Quick Setup'!$L41,if(HV14='Quick Setup'!$M$31,'Quick Setup'!$M41,if(HV14='Quick Setup'!$N$31,'Quick Setup'!$N41,if(HV14='Quick Setup'!$O$31,'Quick Setup'!$O41,if(HV14='Quick Setup'!$P$31,'Quick Setup'!$P41,if(HV14='Quick Setup'!$Q$31,'Quick Setup'!$Q41,if(HV14='Quick Setup'!$R$31,'Quick Setup'!$R41,if(HV14='Quick Setup'!$S$31,'Quick Setup'!$S41,if(HV14='Quick Setup'!$T$31,'Quick Setup'!$T41,if(HV14='Quick Setup'!$U$31,'Quick Setup'!$U41,if(HV14='Quick Setup'!$V$31,'Quick Setup'!$V41,'Quick Setup'!$W41))))))))))))))))))))</f>
        <v>2</v>
      </c>
      <c r="HX14" s="25">
        <f>if(HV14='Quick Setup'!$C$45,'Quick Setup'!$C55,if(HV14='Quick Setup'!$D$45,'Quick Setup'!$D55,if(HV14='Quick Setup'!$E$45,'Quick Setup'!$E55,if(HV14='Quick Setup'!$F$45,'Quick Setup'!$F55,if(HV14='Quick Setup'!$G$45,'Quick Setup'!$G55,if(HV14='Quick Setup'!$H$45,'Quick Setup'!$H55,if(HV14='Quick Setup'!$I$45,'Quick Setup'!$I55,if(HV14='Quick Setup'!$J$45,'Quick Setup'!$J55,if(HV14='Quick Setup'!$K$45,'Quick Setup'!$K55,if(HV14='Quick Setup'!$L$45,'Quick Setup'!$L55,if(HV14='Quick Setup'!$M$45,'Quick Setup'!$M55,if(HV14='Quick Setup'!$N$45,'Quick Setup'!$N55,if(HV14='Quick Setup'!$O$45,'Quick Setup'!$O55,if(HV14='Quick Setup'!$P$45,'Quick Setup'!$P55,if(HV14='Quick Setup'!$Q$45,'Quick Setup'!$Q55,if(HV14='Quick Setup'!$R$45,'Quick Setup'!$R55,if(HV14='Quick Setup'!$S$45,'Quick Setup'!$S55,if(HV14='Quick Setup'!$T$45,'Quick Setup'!$T55,if(HV14='Quick Setup'!$U$45,'Quick Setup'!$U55,if(HV14='Quick Setup'!$V$45,'Quick Setup'!$V55,'Quick Setup'!$W55))))))))))))))))))))</f>
        <v>4</v>
      </c>
      <c r="HY14" s="27">
        <f t="shared" ref="HY14:IG14" si="199">HM14</f>
        <v>5</v>
      </c>
      <c r="HZ14" s="28">
        <f t="shared" si="199"/>
        <v>-0.05</v>
      </c>
      <c r="IA14" s="28">
        <f t="shared" si="199"/>
        <v>-0.02</v>
      </c>
      <c r="IB14" s="28">
        <f t="shared" si="199"/>
        <v>0</v>
      </c>
      <c r="IC14" s="28">
        <f t="shared" si="199"/>
        <v>0.005</v>
      </c>
      <c r="ID14" s="28">
        <f t="shared" si="199"/>
        <v>0.01</v>
      </c>
      <c r="IE14" s="28">
        <f t="shared" si="199"/>
        <v>0.015</v>
      </c>
      <c r="IF14" s="28">
        <f t="shared" si="199"/>
        <v>0.02</v>
      </c>
      <c r="IG14" s="28">
        <f t="shared" si="199"/>
        <v>0.03</v>
      </c>
      <c r="IH14" s="24">
        <f>'Quick Setup'!W69</f>
        <v>0.5</v>
      </c>
      <c r="II14" s="25">
        <f>if(IH14='Quick Setup'!$C$31,'Quick Setup'!$C41,if(IH14='Quick Setup'!$D$31,'Quick Setup'!$D41,if(IH14='Quick Setup'!$E$31,'Quick Setup'!$E41,if(IH14='Quick Setup'!$F$31,'Quick Setup'!$F41,if(IH14='Quick Setup'!$G$31,'Quick Setup'!$G41,if(IH14='Quick Setup'!$H$31,'Quick Setup'!$H41,if(IH14='Quick Setup'!$I$31,'Quick Setup'!$I41,if(IH14='Quick Setup'!$J$31,'Quick Setup'!$J41,if(IH14='Quick Setup'!$K$31,'Quick Setup'!$K41,if(IH14='Quick Setup'!$L$31,'Quick Setup'!$L41,if(IH14='Quick Setup'!$M$31,'Quick Setup'!$M41,if(IH14='Quick Setup'!$N$31,'Quick Setup'!$N41,if(IH14='Quick Setup'!$O$31,'Quick Setup'!$O41,if(IH14='Quick Setup'!$P$31,'Quick Setup'!$P41,if(IH14='Quick Setup'!$Q$31,'Quick Setup'!$Q41,if(IH14='Quick Setup'!$R$31,'Quick Setup'!$R41,if(IH14='Quick Setup'!$S$31,'Quick Setup'!$S41,if(IH14='Quick Setup'!$T$31,'Quick Setup'!$T41,if(IH14='Quick Setup'!$U$31,'Quick Setup'!$U41,if(IH14='Quick Setup'!$V$31,'Quick Setup'!$V41,'Quick Setup'!$W41))))))))))))))))))))</f>
        <v>8</v>
      </c>
      <c r="IJ14" s="25">
        <f>if(IH14='Quick Setup'!$C$45,'Quick Setup'!$C55,if(IH14='Quick Setup'!$D$45,'Quick Setup'!$D55,if(IH14='Quick Setup'!$E$45,'Quick Setup'!$E55,if(IH14='Quick Setup'!$F$45,'Quick Setup'!$F55,if(IH14='Quick Setup'!$G$45,'Quick Setup'!$G55,if(IH14='Quick Setup'!$H$45,'Quick Setup'!$H55,if(IH14='Quick Setup'!$I$45,'Quick Setup'!$I55,if(IH14='Quick Setup'!$J$45,'Quick Setup'!$J55,if(IH14='Quick Setup'!$K$45,'Quick Setup'!$K55,if(IH14='Quick Setup'!$L$45,'Quick Setup'!$L55,if(IH14='Quick Setup'!$M$45,'Quick Setup'!$M55,if(IH14='Quick Setup'!$N$45,'Quick Setup'!$N55,if(IH14='Quick Setup'!$O$45,'Quick Setup'!$O55,if(IH14='Quick Setup'!$P$45,'Quick Setup'!$P55,if(IH14='Quick Setup'!$Q$45,'Quick Setup'!$Q55,if(IH14='Quick Setup'!$R$45,'Quick Setup'!$R55,if(IH14='Quick Setup'!$S$45,'Quick Setup'!$S55,if(IH14='Quick Setup'!$T$45,'Quick Setup'!$T55,if(IH14='Quick Setup'!$U$45,'Quick Setup'!$U55,if(IH14='Quick Setup'!$V$45,'Quick Setup'!$V55,'Quick Setup'!$W55))))))))))))))))))))</f>
        <v>18</v>
      </c>
      <c r="IK14" s="27">
        <f t="shared" ref="IK14:IS14" si="200">HY14</f>
        <v>5</v>
      </c>
      <c r="IL14" s="28">
        <f t="shared" si="200"/>
        <v>-0.05</v>
      </c>
      <c r="IM14" s="28">
        <f t="shared" si="200"/>
        <v>-0.02</v>
      </c>
      <c r="IN14" s="28">
        <f t="shared" si="200"/>
        <v>0</v>
      </c>
      <c r="IO14" s="28">
        <f t="shared" si="200"/>
        <v>0.005</v>
      </c>
      <c r="IP14" s="28">
        <f t="shared" si="200"/>
        <v>0.01</v>
      </c>
      <c r="IQ14" s="28">
        <f t="shared" si="200"/>
        <v>0.015</v>
      </c>
      <c r="IR14" s="28">
        <f t="shared" si="200"/>
        <v>0.02</v>
      </c>
      <c r="IS14" s="28">
        <f t="shared" si="200"/>
        <v>0.03</v>
      </c>
    </row>
  </sheetData>
  <mergeCells count="21">
    <mergeCell ref="B1:M1"/>
    <mergeCell ref="N1:Y1"/>
    <mergeCell ref="Z1:AK1"/>
    <mergeCell ref="AL1:AW1"/>
    <mergeCell ref="AX1:BI1"/>
    <mergeCell ref="BJ1:BU1"/>
    <mergeCell ref="BV1:CG1"/>
    <mergeCell ref="FN1:FY1"/>
    <mergeCell ref="FZ1:GK1"/>
    <mergeCell ref="GL1:GW1"/>
    <mergeCell ref="GX1:HI1"/>
    <mergeCell ref="HJ1:HU1"/>
    <mergeCell ref="HV1:IG1"/>
    <mergeCell ref="IH1:IS1"/>
    <mergeCell ref="CH1:CS1"/>
    <mergeCell ref="CT1:DE1"/>
    <mergeCell ref="DF1:DQ1"/>
    <mergeCell ref="DR1:EC1"/>
    <mergeCell ref="ED1:EO1"/>
    <mergeCell ref="EP1:FA1"/>
    <mergeCell ref="FB1:F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13"/>
  </cols>
  <sheetData>
    <row r="1">
      <c r="A1" s="3"/>
      <c r="B1" s="1" t="s">
        <v>49</v>
      </c>
      <c r="C1" s="1"/>
      <c r="D1" s="1"/>
      <c r="E1" s="1"/>
      <c r="F1" s="1"/>
      <c r="G1" s="1"/>
      <c r="H1" s="1"/>
      <c r="I1" s="1"/>
      <c r="J1" s="1" t="s">
        <v>50</v>
      </c>
      <c r="K1" s="1"/>
      <c r="L1" s="1"/>
      <c r="M1" s="1"/>
      <c r="N1" s="1"/>
      <c r="O1" s="1"/>
      <c r="P1" s="1"/>
      <c r="Q1" s="1"/>
      <c r="R1" s="1" t="s">
        <v>51</v>
      </c>
      <c r="S1" s="1"/>
      <c r="T1" s="1"/>
      <c r="U1" s="1"/>
      <c r="V1" s="1"/>
      <c r="W1" s="1"/>
      <c r="X1" s="1"/>
      <c r="Y1" s="1"/>
      <c r="Z1" s="1" t="s">
        <v>52</v>
      </c>
      <c r="AA1" s="1"/>
      <c r="AB1" s="1"/>
      <c r="AC1" s="1"/>
      <c r="AD1" s="1"/>
      <c r="AE1" s="1"/>
      <c r="AF1" s="1"/>
      <c r="AG1" s="1"/>
      <c r="AH1" s="1" t="s">
        <v>53</v>
      </c>
      <c r="AI1" s="1"/>
      <c r="AJ1" s="3"/>
      <c r="AK1" s="1"/>
      <c r="AL1" s="1"/>
      <c r="AM1" s="1"/>
      <c r="AN1" s="1"/>
      <c r="AO1" s="1"/>
      <c r="AP1" s="1" t="s">
        <v>54</v>
      </c>
      <c r="AQ1" s="1"/>
      <c r="AR1" s="1"/>
      <c r="AS1" s="3"/>
      <c r="AT1" s="1"/>
      <c r="AU1" s="1"/>
      <c r="AV1" s="1"/>
      <c r="AW1" s="1"/>
      <c r="AX1" s="1" t="s">
        <v>55</v>
      </c>
      <c r="AY1" s="1"/>
      <c r="AZ1" s="1"/>
      <c r="BA1" s="1"/>
      <c r="BB1" s="3"/>
      <c r="BC1" s="3"/>
      <c r="BD1" s="3"/>
      <c r="BE1" s="1"/>
      <c r="BF1" s="1" t="s">
        <v>56</v>
      </c>
      <c r="BG1" s="3"/>
      <c r="BH1" s="3"/>
      <c r="BI1" s="3"/>
      <c r="BJ1" s="3"/>
      <c r="BK1" s="3"/>
      <c r="BL1" s="3"/>
      <c r="BM1" s="1"/>
      <c r="BN1" s="1" t="s">
        <v>57</v>
      </c>
      <c r="BO1" s="3"/>
      <c r="BP1" s="3"/>
      <c r="BQ1" s="3"/>
      <c r="BR1" s="3"/>
      <c r="BS1" s="3"/>
      <c r="BT1" s="3"/>
      <c r="BU1" s="1"/>
      <c r="BV1" s="1" t="s">
        <v>58</v>
      </c>
      <c r="BW1" s="3"/>
      <c r="BX1" s="3"/>
      <c r="BY1" s="3"/>
      <c r="BZ1" s="3"/>
      <c r="CA1" s="3"/>
      <c r="CB1" s="3"/>
      <c r="CC1" s="1"/>
      <c r="CD1" s="1" t="s">
        <v>59</v>
      </c>
      <c r="CE1" s="3"/>
      <c r="CF1" s="3"/>
      <c r="CG1" s="3"/>
      <c r="CH1" s="3"/>
      <c r="CI1" s="3"/>
      <c r="CJ1" s="3"/>
      <c r="CK1" s="1"/>
      <c r="CL1" s="1" t="s">
        <v>60</v>
      </c>
      <c r="CM1" s="3"/>
      <c r="CN1" s="3"/>
      <c r="CO1" s="3"/>
      <c r="CP1" s="3"/>
      <c r="CQ1" s="3"/>
      <c r="CR1" s="3"/>
      <c r="CS1" s="1"/>
      <c r="CT1" s="1" t="s">
        <v>61</v>
      </c>
      <c r="CU1" s="3"/>
      <c r="CV1" s="3"/>
      <c r="CW1" s="3"/>
      <c r="CX1" s="3"/>
      <c r="CY1" s="3"/>
      <c r="CZ1" s="3"/>
      <c r="DA1" s="1"/>
      <c r="DB1" s="1" t="s">
        <v>62</v>
      </c>
      <c r="DC1" s="3"/>
      <c r="DD1" s="3"/>
      <c r="DE1" s="3"/>
      <c r="DF1" s="3"/>
      <c r="DG1" s="3"/>
      <c r="DH1" s="3"/>
      <c r="DI1" s="1"/>
      <c r="DJ1" s="1" t="s">
        <v>63</v>
      </c>
      <c r="DK1" s="3"/>
      <c r="DL1" s="1"/>
      <c r="DM1" s="1"/>
      <c r="DN1" s="1"/>
      <c r="DO1" s="1"/>
      <c r="DP1" s="1"/>
      <c r="DQ1" s="1"/>
      <c r="DR1" s="1" t="s">
        <v>64</v>
      </c>
      <c r="DS1" s="1"/>
      <c r="DT1" s="1"/>
      <c r="DU1" s="1"/>
      <c r="DV1" s="1"/>
      <c r="DW1" s="1"/>
      <c r="DX1" s="1"/>
      <c r="DY1" s="1"/>
      <c r="DZ1" s="1" t="s">
        <v>65</v>
      </c>
      <c r="EA1" s="1"/>
      <c r="EB1" s="1"/>
      <c r="EC1" s="1"/>
      <c r="ED1" s="1"/>
      <c r="EE1" s="1"/>
      <c r="EF1" s="1"/>
      <c r="EG1" s="1"/>
      <c r="EH1" s="1" t="s">
        <v>66</v>
      </c>
      <c r="EI1" s="1"/>
      <c r="EJ1" s="1"/>
      <c r="EK1" s="1"/>
      <c r="EL1" s="1"/>
      <c r="EM1" s="1"/>
      <c r="EN1" s="1"/>
      <c r="EO1" s="1"/>
      <c r="EP1" s="1" t="s">
        <v>67</v>
      </c>
      <c r="EQ1" s="1"/>
      <c r="ER1" s="1"/>
      <c r="ES1" s="1"/>
      <c r="ET1" s="1"/>
      <c r="EU1" s="1"/>
      <c r="EV1" s="1"/>
      <c r="EW1" s="1"/>
      <c r="EX1" s="1" t="s">
        <v>68</v>
      </c>
      <c r="EY1" s="1"/>
      <c r="EZ1" s="1"/>
      <c r="FA1" s="1"/>
      <c r="FB1" s="1"/>
      <c r="FC1" s="1"/>
      <c r="FD1" s="1"/>
      <c r="FE1" s="1"/>
      <c r="FF1" s="1" t="s">
        <v>69</v>
      </c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</row>
    <row r="2">
      <c r="A2" s="3"/>
      <c r="B2" s="1" t="s">
        <v>70</v>
      </c>
      <c r="C2" s="1" t="s">
        <v>47</v>
      </c>
      <c r="D2" s="1" t="s">
        <v>48</v>
      </c>
      <c r="E2" s="1" t="s">
        <v>71</v>
      </c>
      <c r="F2" s="1" t="s">
        <v>72</v>
      </c>
      <c r="G2" s="1" t="s">
        <v>73</v>
      </c>
      <c r="H2" s="1" t="s">
        <v>74</v>
      </c>
      <c r="I2" s="1"/>
      <c r="J2" s="1" t="s">
        <v>70</v>
      </c>
      <c r="K2" s="1" t="s">
        <v>47</v>
      </c>
      <c r="L2" s="1" t="s">
        <v>48</v>
      </c>
      <c r="M2" s="1" t="s">
        <v>71</v>
      </c>
      <c r="N2" s="1" t="s">
        <v>72</v>
      </c>
      <c r="O2" s="1" t="s">
        <v>73</v>
      </c>
      <c r="P2" s="1" t="s">
        <v>74</v>
      </c>
      <c r="Q2" s="1"/>
      <c r="R2" s="1" t="s">
        <v>70</v>
      </c>
      <c r="S2" s="1" t="s">
        <v>47</v>
      </c>
      <c r="T2" s="1" t="s">
        <v>48</v>
      </c>
      <c r="U2" s="1" t="s">
        <v>71</v>
      </c>
      <c r="V2" s="1" t="s">
        <v>72</v>
      </c>
      <c r="W2" s="1" t="s">
        <v>73</v>
      </c>
      <c r="X2" s="1" t="s">
        <v>74</v>
      </c>
      <c r="Y2" s="1"/>
      <c r="Z2" s="1" t="s">
        <v>70</v>
      </c>
      <c r="AA2" s="1" t="s">
        <v>47</v>
      </c>
      <c r="AB2" s="1" t="s">
        <v>48</v>
      </c>
      <c r="AC2" s="1" t="s">
        <v>71</v>
      </c>
      <c r="AD2" s="1" t="s">
        <v>72</v>
      </c>
      <c r="AE2" s="1" t="s">
        <v>73</v>
      </c>
      <c r="AF2" s="1" t="s">
        <v>74</v>
      </c>
      <c r="AG2" s="1"/>
      <c r="AH2" s="1" t="s">
        <v>70</v>
      </c>
      <c r="AI2" s="1" t="s">
        <v>47</v>
      </c>
      <c r="AJ2" s="1" t="s">
        <v>48</v>
      </c>
      <c r="AK2" s="1" t="s">
        <v>71</v>
      </c>
      <c r="AL2" s="1" t="s">
        <v>72</v>
      </c>
      <c r="AM2" s="1" t="s">
        <v>73</v>
      </c>
      <c r="AN2" s="1" t="s">
        <v>74</v>
      </c>
      <c r="AO2" s="1"/>
      <c r="AP2" s="1" t="s">
        <v>70</v>
      </c>
      <c r="AQ2" s="1" t="s">
        <v>47</v>
      </c>
      <c r="AR2" s="1" t="s">
        <v>48</v>
      </c>
      <c r="AS2" s="1" t="s">
        <v>71</v>
      </c>
      <c r="AT2" s="1" t="s">
        <v>72</v>
      </c>
      <c r="AU2" s="1" t="s">
        <v>73</v>
      </c>
      <c r="AV2" s="1" t="s">
        <v>74</v>
      </c>
      <c r="AW2" s="1"/>
      <c r="AX2" s="1" t="s">
        <v>70</v>
      </c>
      <c r="AY2" s="1" t="s">
        <v>47</v>
      </c>
      <c r="AZ2" s="1" t="s">
        <v>48</v>
      </c>
      <c r="BA2" s="1" t="s">
        <v>71</v>
      </c>
      <c r="BB2" s="1" t="s">
        <v>72</v>
      </c>
      <c r="BC2" s="1" t="s">
        <v>73</v>
      </c>
      <c r="BD2" s="1" t="s">
        <v>74</v>
      </c>
      <c r="BE2" s="1"/>
      <c r="BF2" s="1" t="s">
        <v>70</v>
      </c>
      <c r="BG2" s="1" t="s">
        <v>47</v>
      </c>
      <c r="BH2" s="1" t="s">
        <v>48</v>
      </c>
      <c r="BI2" s="1" t="s">
        <v>71</v>
      </c>
      <c r="BJ2" s="1" t="s">
        <v>72</v>
      </c>
      <c r="BK2" s="1" t="s">
        <v>73</v>
      </c>
      <c r="BL2" s="1" t="s">
        <v>74</v>
      </c>
      <c r="BM2" s="1"/>
      <c r="BN2" s="1" t="s">
        <v>70</v>
      </c>
      <c r="BO2" s="1" t="s">
        <v>47</v>
      </c>
      <c r="BP2" s="1" t="s">
        <v>48</v>
      </c>
      <c r="BQ2" s="1" t="s">
        <v>71</v>
      </c>
      <c r="BR2" s="1" t="s">
        <v>72</v>
      </c>
      <c r="BS2" s="1" t="s">
        <v>73</v>
      </c>
      <c r="BT2" s="1" t="s">
        <v>74</v>
      </c>
      <c r="BU2" s="1"/>
      <c r="BV2" s="1" t="s">
        <v>70</v>
      </c>
      <c r="BW2" s="1" t="s">
        <v>47</v>
      </c>
      <c r="BX2" s="1" t="s">
        <v>48</v>
      </c>
      <c r="BY2" s="1" t="s">
        <v>71</v>
      </c>
      <c r="BZ2" s="1" t="s">
        <v>72</v>
      </c>
      <c r="CA2" s="1" t="s">
        <v>73</v>
      </c>
      <c r="CB2" s="1" t="s">
        <v>74</v>
      </c>
      <c r="CC2" s="1"/>
      <c r="CD2" s="1" t="s">
        <v>70</v>
      </c>
      <c r="CE2" s="1" t="s">
        <v>47</v>
      </c>
      <c r="CF2" s="1" t="s">
        <v>48</v>
      </c>
      <c r="CG2" s="1" t="s">
        <v>71</v>
      </c>
      <c r="CH2" s="1" t="s">
        <v>72</v>
      </c>
      <c r="CI2" s="1" t="s">
        <v>73</v>
      </c>
      <c r="CJ2" s="1" t="s">
        <v>74</v>
      </c>
      <c r="CK2" s="1"/>
      <c r="CL2" s="1" t="s">
        <v>70</v>
      </c>
      <c r="CM2" s="1" t="s">
        <v>47</v>
      </c>
      <c r="CN2" s="1" t="s">
        <v>48</v>
      </c>
      <c r="CO2" s="1" t="s">
        <v>71</v>
      </c>
      <c r="CP2" s="1" t="s">
        <v>72</v>
      </c>
      <c r="CQ2" s="1" t="s">
        <v>73</v>
      </c>
      <c r="CR2" s="1" t="s">
        <v>74</v>
      </c>
      <c r="CS2" s="1"/>
      <c r="CT2" s="1" t="s">
        <v>70</v>
      </c>
      <c r="CU2" s="1" t="s">
        <v>47</v>
      </c>
      <c r="CV2" s="1" t="s">
        <v>48</v>
      </c>
      <c r="CW2" s="1" t="s">
        <v>71</v>
      </c>
      <c r="CX2" s="1" t="s">
        <v>72</v>
      </c>
      <c r="CY2" s="1" t="s">
        <v>73</v>
      </c>
      <c r="CZ2" s="1" t="s">
        <v>74</v>
      </c>
      <c r="DA2" s="1"/>
      <c r="DB2" s="1" t="s">
        <v>70</v>
      </c>
      <c r="DC2" s="1" t="s">
        <v>47</v>
      </c>
      <c r="DD2" s="1" t="s">
        <v>48</v>
      </c>
      <c r="DE2" s="1" t="s">
        <v>71</v>
      </c>
      <c r="DF2" s="1" t="s">
        <v>72</v>
      </c>
      <c r="DG2" s="1" t="s">
        <v>73</v>
      </c>
      <c r="DH2" s="1" t="s">
        <v>74</v>
      </c>
      <c r="DI2" s="1"/>
      <c r="DJ2" s="1" t="s">
        <v>70</v>
      </c>
      <c r="DK2" s="1" t="s">
        <v>47</v>
      </c>
      <c r="DL2" s="1" t="s">
        <v>48</v>
      </c>
      <c r="DM2" s="1" t="s">
        <v>71</v>
      </c>
      <c r="DN2" s="1" t="s">
        <v>72</v>
      </c>
      <c r="DO2" s="1" t="s">
        <v>73</v>
      </c>
      <c r="DP2" s="1" t="s">
        <v>74</v>
      </c>
      <c r="DQ2" s="1"/>
      <c r="DR2" s="1" t="s">
        <v>70</v>
      </c>
      <c r="DS2" s="1" t="s">
        <v>47</v>
      </c>
      <c r="DT2" s="1" t="s">
        <v>48</v>
      </c>
      <c r="DU2" s="1" t="s">
        <v>71</v>
      </c>
      <c r="DV2" s="1" t="s">
        <v>72</v>
      </c>
      <c r="DW2" s="1" t="s">
        <v>73</v>
      </c>
      <c r="DX2" s="1" t="s">
        <v>74</v>
      </c>
      <c r="DY2" s="1"/>
      <c r="DZ2" s="1" t="s">
        <v>70</v>
      </c>
      <c r="EA2" s="1" t="s">
        <v>47</v>
      </c>
      <c r="EB2" s="1" t="s">
        <v>48</v>
      </c>
      <c r="EC2" s="1" t="s">
        <v>71</v>
      </c>
      <c r="ED2" s="1" t="s">
        <v>72</v>
      </c>
      <c r="EE2" s="1" t="s">
        <v>73</v>
      </c>
      <c r="EF2" s="1" t="s">
        <v>74</v>
      </c>
      <c r="EG2" s="1"/>
      <c r="EH2" s="1" t="s">
        <v>70</v>
      </c>
      <c r="EI2" s="1" t="s">
        <v>47</v>
      </c>
      <c r="EJ2" s="1" t="s">
        <v>48</v>
      </c>
      <c r="EK2" s="1" t="s">
        <v>71</v>
      </c>
      <c r="EL2" s="1" t="s">
        <v>72</v>
      </c>
      <c r="EM2" s="1" t="s">
        <v>73</v>
      </c>
      <c r="EN2" s="1" t="s">
        <v>74</v>
      </c>
      <c r="EO2" s="1"/>
      <c r="EP2" s="1" t="s">
        <v>70</v>
      </c>
      <c r="EQ2" s="1" t="s">
        <v>47</v>
      </c>
      <c r="ER2" s="1" t="s">
        <v>48</v>
      </c>
      <c r="ES2" s="1" t="s">
        <v>71</v>
      </c>
      <c r="ET2" s="1" t="s">
        <v>72</v>
      </c>
      <c r="EU2" s="1" t="s">
        <v>73</v>
      </c>
      <c r="EV2" s="1" t="s">
        <v>74</v>
      </c>
      <c r="EW2" s="1"/>
      <c r="EX2" s="1" t="s">
        <v>70</v>
      </c>
      <c r="EY2" s="1" t="s">
        <v>47</v>
      </c>
      <c r="EZ2" s="1" t="s">
        <v>48</v>
      </c>
      <c r="FA2" s="1" t="s">
        <v>71</v>
      </c>
      <c r="FB2" s="1" t="s">
        <v>72</v>
      </c>
      <c r="FC2" s="1" t="s">
        <v>73</v>
      </c>
      <c r="FD2" s="1" t="s">
        <v>74</v>
      </c>
      <c r="FE2" s="1"/>
      <c r="FF2" s="1" t="s">
        <v>70</v>
      </c>
      <c r="FG2" s="1" t="s">
        <v>47</v>
      </c>
      <c r="FH2" s="1" t="s">
        <v>48</v>
      </c>
      <c r="FI2" s="1" t="s">
        <v>71</v>
      </c>
      <c r="FJ2" s="1" t="s">
        <v>72</v>
      </c>
      <c r="FK2" s="1" t="s">
        <v>73</v>
      </c>
      <c r="FL2" s="1" t="s">
        <v>74</v>
      </c>
      <c r="FM2" s="1"/>
      <c r="FN2" s="1"/>
      <c r="FO2" s="1"/>
      <c r="FP2" s="1"/>
      <c r="FQ2" s="1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</row>
    <row r="3">
      <c r="A3" s="1" t="str">
        <f>CONCATENATE(A4," TM")</f>
        <v>Squat TM</v>
      </c>
      <c r="B3" s="3">
        <f>if(D3="",'Quick Setup'!D5,D3/'Quick Setup'!E5)</f>
        <v>490</v>
      </c>
      <c r="C3" s="8" t="s">
        <v>75</v>
      </c>
      <c r="D3" s="10"/>
      <c r="E3" s="3"/>
      <c r="F3" s="3"/>
      <c r="G3" s="3"/>
      <c r="H3" s="3"/>
      <c r="I3" s="3"/>
      <c r="J3" s="3">
        <f>if(L3="", if(F4&lt;&gt;"", if((F4-D4)&lt;-1,B3*(1+Setup!F3),if((F4-D4)&lt;0,B3*(1+Setup!G3),if((F4-D4)=0,B3*(1+Setup!H3),if((F4-D4)=1,B3*(1+Setup!I3),if((F4-D4)=2,B3*(1+Setup!J3),if((F4-D4)=3,B3*(1+Setup!K3),if((F4-D4)=4,B3*(1+Setup!L3),if((F4-D4)&gt;4,B3*(1+Setup!M3),B3)))))))),B3),L3/'Quick Setup'!$E5)</f>
        <v>490</v>
      </c>
      <c r="K3" s="8" t="s">
        <v>75</v>
      </c>
      <c r="L3" s="10"/>
      <c r="M3" s="3"/>
      <c r="N3" s="3"/>
      <c r="O3" s="3"/>
      <c r="P3" s="3"/>
      <c r="Q3" s="3"/>
      <c r="R3" s="3">
        <f>if(T3="", if(N4&lt;&gt;"", if((N4-L4)&lt;-1,J3*(1+Setup!R3),if((N4-L4)&lt;0,J3*(1+Setup!S3),if((N4-L4)=0,J3*(1+Setup!T3),if((N4-L4)=1,J3*(1+Setup!U3),if((N4-L4)=2,J3*(1+Setup!V3),if((N4-L4)=3,J3*(1+Setup!W3),if((N4-L4)=4,J3*(1+Setup!X3),if((N4-L4)&gt;4,J3*(1+Setup!Y3),J3)))))))),J3),T3/'Quick Setup'!$E5)</f>
        <v>490</v>
      </c>
      <c r="S3" s="8" t="s">
        <v>75</v>
      </c>
      <c r="T3" s="10"/>
      <c r="U3" s="3"/>
      <c r="V3" s="3"/>
      <c r="W3" s="3"/>
      <c r="X3" s="3"/>
      <c r="Y3" s="3"/>
      <c r="Z3" s="3">
        <f>if(AB3="", if(V4&lt;&gt;"", if((V4-T4)&lt;-1,R3*(1+Setup!AD3),if((V4-T4)&lt;0,R3*(1+Setup!AE3),if((V4-T4)=0,R3*(1+Setup!AF3),if((V4-T4)=1,R3*(1+Setup!AG3),if((V4-T4)=2,R3*(1+Setup!AH3),if((V4-T4)=3,R3*(1+Setup!AI3),if((V4-T4)=4,R3*(1+Setup!AJ3),if((V4-T4)&gt;4,R3*(1+Setup!AK3),R3)))))))),R3),AB3/'Quick Setup'!$E5)</f>
        <v>490</v>
      </c>
      <c r="AA3" s="8" t="s">
        <v>75</v>
      </c>
      <c r="AB3" s="10"/>
      <c r="AC3" s="3"/>
      <c r="AD3" s="3"/>
      <c r="AE3" s="3"/>
      <c r="AF3" s="3"/>
      <c r="AG3" s="3"/>
      <c r="AH3" s="3">
        <f>if(AJ3="", if(AD4&lt;&gt;"", if((AD4-AB4)&lt;-1,Z3*(1+Setup!AP3),if((AD4-AB4)&lt;0,Z3*(1+Setup!AQ3),if((AD4-AB4)=0,Z3*(1+Setup!AR3),if((AD4-AB4)=1,Z3*(1+Setup!AS3),if((AD4-AB4)=2,Z3*(1+Setup!AT3),if((AD4-AB4)=3,Z3*(1+Setup!AU3),if((AD4-AB4)=4,Z3*(1+Setup!AV3),if((AD4-AB4)&gt;4,Z3*(1+Setup!AW3),Z3)))))))),Z3),AJ3/'Quick Setup'!$E5)</f>
        <v>490</v>
      </c>
      <c r="AI3" s="8" t="s">
        <v>75</v>
      </c>
      <c r="AJ3" s="10"/>
      <c r="AK3" s="3"/>
      <c r="AL3" s="3"/>
      <c r="AM3" s="3"/>
      <c r="AN3" s="3"/>
      <c r="AO3" s="3"/>
      <c r="AP3" s="3">
        <f>if(AR3="", if(AL4&lt;&gt;"", if((AL4-AJ4)&lt;-1,AH3*(1+Setup!BB3),if((AL4-AJ4)&lt;0,AH3*(1+Setup!BC3),if((AL4-AJ4)=0,AH3*(1+Setup!BD3),if((AL4-AJ4)=1,AH3*(1+Setup!BE3),if((AL4-AJ4)=2,AH3*(1+Setup!BF3),if((AL4-AJ4)=3,AH3*(1+Setup!BG3),if((AL4-AJ4)=4,AH3*(1+Setup!BH3),if((AL4-AJ4)&gt;4,AH3*(1+Setup!BI3),AH3)))))))),AH3),AR3/'Quick Setup'!$E5)</f>
        <v>490</v>
      </c>
      <c r="AQ3" s="8" t="s">
        <v>75</v>
      </c>
      <c r="AR3" s="10"/>
      <c r="AS3" s="3"/>
      <c r="AT3" s="3"/>
      <c r="AU3" s="3"/>
      <c r="AV3" s="3"/>
      <c r="AW3" s="3"/>
      <c r="AX3" s="3">
        <f>if(AZ3="", if(AT4&lt;&gt;"", if((AT4-AR4)&lt;-1,AP3*(1+Setup!BN3),if((AT4-AR4)&lt;0,AP3*(1+Setup!BO3),if((AT4-AR4)=0,AP3*(1+Setup!BP3),if((AT4-AR4)=1,AP3*(1+Setup!BQ3),if((AT4-AR4)=2,AP3*(1+Setup!BR3),if((AT4-AR4)=3,AP3*(1+Setup!BS3),if((AT4-AR4)=4,AP3*(1+Setup!BT3),if((AT4-AR4)&gt;4,AP3*(1+Setup!BU3),AP3)))))))),AP3),AZ3/'Quick Setup'!$E5)</f>
        <v>490</v>
      </c>
      <c r="AY3" s="8" t="s">
        <v>75</v>
      </c>
      <c r="AZ3" s="10"/>
      <c r="BA3" s="3"/>
      <c r="BB3" s="3"/>
      <c r="BC3" s="3"/>
      <c r="BD3" s="3"/>
      <c r="BE3" s="3"/>
      <c r="BF3" s="3">
        <f>if(BH3="", if(BB4&lt;&gt;"", if((BB4-AZ4)&lt;-1,AX3*(1+Setup!BZ3),if((BB4-AZ4)&lt;0,AX3*(1+Setup!CA3),if((BB4-AZ4)=0,AX3*(1+Setup!CB3),if((BB4-AZ4)=1,AX3*(1+Setup!CC3),if((BB4-AZ4)=2,AX3*(1+Setup!CD3),if((BB4-AZ4)=3,AX3*(1+Setup!CE3),if((BB4-AZ4)=4,AX3*(1+Setup!CF3),if((BB4-AZ4)&gt;4,AX3*(1+Setup!CG3),AX3)))))))),AX3),BH3/'Quick Setup'!$E5)</f>
        <v>490</v>
      </c>
      <c r="BG3" s="8" t="s">
        <v>75</v>
      </c>
      <c r="BH3" s="10"/>
      <c r="BI3" s="3"/>
      <c r="BJ3" s="3"/>
      <c r="BK3" s="3"/>
      <c r="BL3" s="3"/>
      <c r="BM3" s="3"/>
      <c r="BN3" s="3">
        <f>if(BP3="", if(BJ4&lt;&gt;"", if((BJ4-BH4)&lt;-1,BF3*(1+Setup!CL3),if((BJ4-BH4)&lt;0,BF3*(1+Setup!CM3),if((BJ4-BH4)=0,BF3*(1+Setup!CN3),if((BJ4-BH4)=1,BF3*(1+Setup!CO3),if((BJ4-BH4)=2,BF3*(1+Setup!CP3),if((BJ4-BH4)=3,BF3*(1+Setup!CQ3),if((BJ4-BH4)=4,BF3*(1+Setup!CR3),if((BJ4-BH4)&gt;4,BF3*(1+Setup!CS3),BF3)))))))),BF3),BP3/'Quick Setup'!$E5)</f>
        <v>490</v>
      </c>
      <c r="BO3" s="8" t="s">
        <v>75</v>
      </c>
      <c r="BP3" s="10"/>
      <c r="BQ3" s="3"/>
      <c r="BR3" s="3"/>
      <c r="BS3" s="3"/>
      <c r="BT3" s="3"/>
      <c r="BU3" s="3"/>
      <c r="BV3" s="3">
        <f>if(BX3="", if(BR4&lt;&gt;"", if((BR4-BP4)&lt;-1,BN3*(1+Setup!CX3),if((BR4-BP4)&lt;0,BN3*(1+Setup!CY3),if((BR4-BP4)=0,BN3*(1+Setup!CZ3),if((BR4-BP4)=1,BN3*(1+Setup!DA3),if((BR4-BP4)=2,BN3*(1+Setup!DB3),if((BR4-BP4)=3,BN3*(1+Setup!DC3),if((BR4-BP4)=4,BN3*(1+Setup!DD3),if((BR4-BP4)&gt;4,BN3*(1+Setup!DE3),BN3)))))))),BN3),BX3/'Quick Setup'!$E5)</f>
        <v>490</v>
      </c>
      <c r="BW3" s="8" t="s">
        <v>75</v>
      </c>
      <c r="BX3" s="10"/>
      <c r="BY3" s="3"/>
      <c r="BZ3" s="3"/>
      <c r="CA3" s="3"/>
      <c r="CB3" s="3"/>
      <c r="CC3" s="3"/>
      <c r="CD3" s="3">
        <f>if(CF3="", if(BZ4&lt;&gt;"", if((BZ4-BX4)&lt;-1,BV3*(1+Setup!DJ3),if((BZ4-BX4)&lt;0,BV3*(1+Setup!DK3),if((BZ4-BX4)=0,BV3*(1+Setup!DL3),if((BZ4-BX4)=1,BV3*(1+Setup!DM3),if((BZ4-BX4)=2,BV3*(1+Setup!DN3),if((BZ4-BX4)=3,BV3*(1+Setup!DO3),if((BZ4-BX4)=4,BV3*(1+Setup!DP3),if((BZ4-BX4)&gt;4,BV3*(1+Setup!DQ3),BV3)))))))),BV3),CF3/'Quick Setup'!$E5)</f>
        <v>490</v>
      </c>
      <c r="CE3" s="8" t="s">
        <v>75</v>
      </c>
      <c r="CF3" s="10"/>
      <c r="CG3" s="3"/>
      <c r="CH3" s="3"/>
      <c r="CI3" s="3"/>
      <c r="CJ3" s="3"/>
      <c r="CK3" s="3"/>
      <c r="CL3" s="3">
        <f>if(CN3="", if(CH4&lt;&gt;"", if((CH4-CF4)&lt;-1,CD3*(1+Setup!DV3),if((CH4-CF4)&lt;0,CD3*(1+Setup!DW3),if((CH4-CF4)=0,CD3*(1+Setup!DX3),if((CH4-CF4)=1,CD3*(1+Setup!DY3),if((CH4-CF4)=2,CD3*(1+Setup!DZ3),if((CH4-CF4)=3,CD3*(1+Setup!EA3),if((CH4-CF4)=4,CD3*(1+Setup!EB3),if((CH4-CF4)&gt;4,CD3*(1+Setup!EC3),CD3)))))))),CD3),CN3/'Quick Setup'!$E5)</f>
        <v>490</v>
      </c>
      <c r="CM3" s="8" t="s">
        <v>75</v>
      </c>
      <c r="CN3" s="10"/>
      <c r="CO3" s="3"/>
      <c r="CP3" s="3"/>
      <c r="CQ3" s="3"/>
      <c r="CR3" s="3"/>
      <c r="CS3" s="3"/>
      <c r="CT3" s="3">
        <f>if(CV3="", if(CP4&lt;&gt;"", if((CP4-CN4)&lt;-1,CL3*(1+Setup!EH3),if((CP4-CN4)&lt;0,CL3*(1+Setup!EI3),if((CP4-CN4)=0,CL3*(1+Setup!EJ3),if((CP4-CN4)=1,CL3*(1+Setup!EK3),if((CP4-CN4)=2,CL3*(1+Setup!EL3),if((CP4-CN4)=3,CL3*(1+Setup!EM3),if((CP4-CN4)=4,CL3*(1+Setup!EN3),if((CP4-CN4)&gt;4,CL3*(1+Setup!EO3),CL3)))))))),CL3),CV3/'Quick Setup'!$E5)</f>
        <v>490</v>
      </c>
      <c r="CU3" s="8" t="s">
        <v>75</v>
      </c>
      <c r="CV3" s="10"/>
      <c r="CW3" s="3"/>
      <c r="CX3" s="3"/>
      <c r="CY3" s="3"/>
      <c r="CZ3" s="3"/>
      <c r="DA3" s="3"/>
      <c r="DB3" s="3">
        <f>if(DD3="", if(CX4&lt;&gt;"", if((CX4-CV4)&lt;-1,CT3*(1+Setup!ET3),if((CX4-CV4)&lt;0,CT3*(1+Setup!EU3),if((CX4-CV4)=0,CT3*(1+Setup!EV3),if((CX4-CV4)=1,CT3*(1+Setup!EW3),if((CX4-CV4)=2,CT3*(1+Setup!EX3),if((CX4-CV4)=3,CT3*(1+Setup!EY3),if((CX4-CV4)=4,CT3*(1+Setup!EZ3),if((CX4-CV4)&gt;4,CT3*(1+Setup!FA3),CT3)))))))),CT3),DD3/'Quick Setup'!$E5)</f>
        <v>490</v>
      </c>
      <c r="DC3" s="8" t="s">
        <v>75</v>
      </c>
      <c r="DD3" s="10"/>
      <c r="DE3" s="3"/>
      <c r="DF3" s="3"/>
      <c r="DG3" s="3"/>
      <c r="DH3" s="3"/>
      <c r="DI3" s="3"/>
      <c r="DJ3" s="3">
        <f>if(DL3="", if(DF4&lt;&gt;"", if((DF4-DD4)&lt;-1,DB3*(1+Setup!FF3),if((DF4-DD4)&lt;0,DB3*(1+Setup!FG3),if((DF4-DD4)=0,DB3*(1+Setup!FH3),if((DF4-DD4)=1,DB3*(1+Setup!FI3),if((DF4-DD4)=2,DB3*(1+Setup!FJ3),if((DF4-DD4)=3,DB3*(1+Setup!FK3),if((DF4-DD4)=4,DB3*(1+Setup!FL3),if((DF4-DD4)&gt;4,DB3*(1+Setup!FM3),DB3)))))))),DB3),DL3/'Quick Setup'!$E5)</f>
        <v>490</v>
      </c>
      <c r="DK3" s="8" t="s">
        <v>75</v>
      </c>
      <c r="DL3" s="10"/>
      <c r="DM3" s="3"/>
      <c r="DN3" s="3"/>
      <c r="DO3" s="3"/>
      <c r="DP3" s="3"/>
      <c r="DQ3" s="3"/>
      <c r="DR3" s="3">
        <f>if(DT3="", if(DN4&lt;&gt;"", if((DN4-DL4)&lt;-1,DJ3*(1+Setup!FR3),if((DN4-DL4)&lt;0,DJ3*(1+Setup!FS3),if((DN4-DL4)=0,DJ3*(1+Setup!FT3),if((DN4-DL4)=1,DJ3*(1+Setup!FU3),if((DN4-DL4)=2,DJ3*(1+Setup!FV3),if((DN4-DL4)=3,DJ3*(1+Setup!FW3),if((DN4-DL4)=4,DJ3*(1+Setup!FX3),if((DN4-DL4)&gt;4,DJ3*(1+Setup!FY3),DJ3)))))))),DJ3),DT3/'Quick Setup'!$E5)</f>
        <v>490</v>
      </c>
      <c r="DS3" s="8" t="s">
        <v>75</v>
      </c>
      <c r="DT3" s="10"/>
      <c r="DU3" s="3"/>
      <c r="DV3" s="3"/>
      <c r="DW3" s="3"/>
      <c r="DX3" s="3"/>
      <c r="DY3" s="3"/>
      <c r="DZ3" s="3">
        <f>if(EB3="", if(DV4&lt;&gt;"", if((DV4-DT4)&lt;-1,DR3*(1+Setup!GD3),if((DV4-DT4)&lt;0,DR3*(1+Setup!GE3),if((DV4-DT4)=0,DR3*(1+Setup!GF3),if((DV4-DT4)=1,DR3*(1+Setup!GG3),if((DV4-DT4)=2,DR3*(1+Setup!GH3),if((DV4-DT4)=3,DR3*(1+Setup!GI3),if((DV4-DT4)=4,DR3*(1+Setup!GJ3),if((DV4-DT4)&gt;4,DR3*(1+Setup!GK3),DR3)))))))),DR3),EB3/'Quick Setup'!$E5)</f>
        <v>490</v>
      </c>
      <c r="EA3" s="8" t="s">
        <v>75</v>
      </c>
      <c r="EB3" s="10"/>
      <c r="EC3" s="3"/>
      <c r="ED3" s="3"/>
      <c r="EE3" s="3"/>
      <c r="EF3" s="3"/>
      <c r="EG3" s="3"/>
      <c r="EH3" s="3">
        <f>if(EJ3="", if(ED4&lt;&gt;"", if((ED4-EB4)&lt;-1,DZ3*(1+Setup!GP3),if((ED4-EB4)&lt;0,DZ3*(1+Setup!GQ3),if((ED4-EB4)=0,DZ3*(1+Setup!GR3),if((ED4-EB4)=1,DZ3*(1+Setup!GS3),if((ED4-EB4)=2,DZ3*(1+Setup!GT3),if((ED4-EB4)=3,DZ3*(1+Setup!GU3),if((ED4-EB4)=4,DZ3*(1+Setup!GV3),if((ED4-EB4)&gt;4,DZ3*(1+Setup!GW3),DZ3)))))))),DZ3),EJ3/'Quick Setup'!$E5)</f>
        <v>490</v>
      </c>
      <c r="EI3" s="8" t="s">
        <v>75</v>
      </c>
      <c r="EJ3" s="10"/>
      <c r="EK3" s="3"/>
      <c r="EL3" s="3"/>
      <c r="EM3" s="3"/>
      <c r="EN3" s="3"/>
      <c r="EO3" s="3"/>
      <c r="EP3" s="3">
        <f>if(ER3="", if(EL4&lt;&gt;"", if((EL4-EJ4)&lt;-1,EH3*(1+Setup!HB3),if((EL4-EJ4)&lt;0,EH3*(1+Setup!HC3),if((EL4-EJ4)=0,EH3*(1+Setup!HD3),if((EL4-EJ4)=1,EH3*(1+Setup!HE3),if((EL4-EJ4)=2,EH3*(1+Setup!HF3),if((EL4-EJ4)=3,EH3*(1+Setup!HG3),if((EL4-EJ4)=4,EH3*(1+Setup!HH3),if((EL4-EJ4)&gt;4,EH3*(1+Setup!HI3),EH3)))))))),EH3),ER3/'Quick Setup'!$E5)</f>
        <v>490</v>
      </c>
      <c r="EQ3" s="8" t="s">
        <v>75</v>
      </c>
      <c r="ER3" s="10"/>
      <c r="ES3" s="3"/>
      <c r="ET3" s="3"/>
      <c r="EU3" s="3"/>
      <c r="EV3" s="3"/>
      <c r="EW3" s="3"/>
      <c r="EX3" s="3">
        <f>if(EZ3="", if(ET4&lt;&gt;"", if((ET4-ER4)&lt;-1,EP3*(1+Setup!HN3),if((ET4-ER4)&lt;0,EP3*(1+Setup!HO3),if((ET4-ER4)=0,EP3*(1+Setup!HP3),if((ET4-ER4)=1,EP3*(1+Setup!HQ3),if((ET4-ER4)=2,EP3*(1+Setup!HR3),if((ET4-ER4)=3,EP3*(1+Setup!HS3),if((ET4-ER4)=4,EP3*(1+Setup!HT3),if((ET4-ER4)&gt;4,EP3*(1+Setup!HU3),EP3)))))))),EP3),EZ3/'Quick Setup'!$E5)</f>
        <v>490</v>
      </c>
      <c r="EY3" s="8" t="s">
        <v>75</v>
      </c>
      <c r="EZ3" s="10"/>
      <c r="FA3" s="3"/>
      <c r="FB3" s="3"/>
      <c r="FC3" s="3"/>
      <c r="FD3" s="3"/>
      <c r="FE3" s="3"/>
      <c r="FF3" s="3">
        <f>if(FH3="", if(FB4&lt;&gt;"", if((FB4-EZ4)&lt;-1,EX3*(1+Setup!HZ3),if((FB4-EZ4)&lt;0,EX3*(1+Setup!IA3),if((FB4-EZ4)=0,EX3*(1+Setup!IB3),if((FB4-EZ4)=1,EX3*(1+Setup!IC3),if((FB4-EZ4)=2,EX3*(1+Setup!ID3),if((FB4-EZ4)=3,EX3*(1+Setup!IE3),if((FB4-EZ4)=4,EX3*(1+Setup!IF3),if((FB4-EZ4)&gt;4,EX3*(1+Setup!IG3),EX3)))))))),EX3),FH3/'Quick Setup'!$E5)</f>
        <v>490</v>
      </c>
      <c r="FG3" s="8" t="s">
        <v>75</v>
      </c>
      <c r="FH3" s="10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</row>
    <row r="4">
      <c r="A4" s="1" t="str">
        <f>Setup!A3</f>
        <v>Squat</v>
      </c>
      <c r="B4" s="3">
        <f>mround(B3*Setup!B3,'Quick Setup'!$A$2)</f>
        <v>342.5</v>
      </c>
      <c r="C4" s="3">
        <f>Setup!C3</f>
        <v>5</v>
      </c>
      <c r="D4" s="3">
        <f>Setup!D3</f>
        <v>10</v>
      </c>
      <c r="E4" s="3">
        <f>Setup!E3</f>
        <v>5</v>
      </c>
      <c r="F4" s="10"/>
      <c r="G4" s="10"/>
      <c r="H4" s="10"/>
      <c r="I4" s="3"/>
      <c r="J4" s="3">
        <f>mround(J3*Setup!N3,'Quick Setup'!$A$2)</f>
        <v>367.5</v>
      </c>
      <c r="K4" s="3">
        <f>Setup!O3</f>
        <v>4</v>
      </c>
      <c r="L4" s="3">
        <f>Setup!P3</f>
        <v>8</v>
      </c>
      <c r="M4" s="3">
        <f>Setup!Q3</f>
        <v>5</v>
      </c>
      <c r="N4" s="10"/>
      <c r="O4" s="10"/>
      <c r="P4" s="10"/>
      <c r="Q4" s="3"/>
      <c r="R4" s="3">
        <f>mround(R3*Setup!Z3,'Quick Setup'!$A$2)</f>
        <v>392.5</v>
      </c>
      <c r="S4" s="3">
        <f>Setup!AA3</f>
        <v>3</v>
      </c>
      <c r="T4" s="3">
        <f>Setup!AB3</f>
        <v>6</v>
      </c>
      <c r="U4" s="3">
        <f>Setup!AC3</f>
        <v>5</v>
      </c>
      <c r="V4" s="10"/>
      <c r="W4" s="10"/>
      <c r="X4" s="10"/>
      <c r="Y4" s="3"/>
      <c r="Z4" s="3">
        <f>mround(Z3*Setup!AL3,'Quick Setup'!$A$2)</f>
        <v>355</v>
      </c>
      <c r="AA4" s="3">
        <f>Setup!AM3</f>
        <v>5</v>
      </c>
      <c r="AB4" s="3">
        <f>Setup!AN3</f>
        <v>9</v>
      </c>
      <c r="AC4" s="3">
        <f>Setup!AO3</f>
        <v>5</v>
      </c>
      <c r="AD4" s="10"/>
      <c r="AE4" s="10"/>
      <c r="AF4" s="10"/>
      <c r="AG4" s="3"/>
      <c r="AH4" s="3">
        <f>mround(AH3*Setup!AX3,'Quick Setup'!$A$2)</f>
        <v>380</v>
      </c>
      <c r="AI4" s="3">
        <f>Setup!AY3</f>
        <v>4</v>
      </c>
      <c r="AJ4" s="3">
        <f>Setup!AZ3</f>
        <v>7</v>
      </c>
      <c r="AK4" s="3">
        <f>Setup!BA3</f>
        <v>5</v>
      </c>
      <c r="AL4" s="10"/>
      <c r="AM4" s="10"/>
      <c r="AN4" s="10"/>
      <c r="AO4" s="3"/>
      <c r="AP4" s="3">
        <f>mround(AP3*Setup!BJ3,'Quick Setup'!$A$2)</f>
        <v>405</v>
      </c>
      <c r="AQ4" s="3">
        <f>Setup!BK3</f>
        <v>3</v>
      </c>
      <c r="AR4" s="3">
        <f>Setup!BL3</f>
        <v>5</v>
      </c>
      <c r="AS4" s="3">
        <f>Setup!BM3</f>
        <v>5</v>
      </c>
      <c r="AT4" s="10"/>
      <c r="AU4" s="10"/>
      <c r="AV4" s="10"/>
      <c r="AW4" s="3"/>
      <c r="AX4" s="3">
        <f>mround(AX3*Setup!BV3,'Quick Setup'!$A$2)</f>
        <v>295</v>
      </c>
      <c r="AY4" s="3">
        <f>Setup!BW3</f>
        <v>7</v>
      </c>
      <c r="AZ4" s="3">
        <f>Setup!BX3</f>
        <v>14</v>
      </c>
      <c r="BA4" s="3">
        <f>Setup!BY3</f>
        <v>5</v>
      </c>
      <c r="BB4" s="10"/>
      <c r="BC4" s="10"/>
      <c r="BD4" s="10"/>
      <c r="BE4" s="3"/>
      <c r="BF4" s="3">
        <f>mround(BF3*Setup!CH3,'Quick Setup'!$A$2)</f>
        <v>367.5</v>
      </c>
      <c r="BG4" s="3">
        <f>Setup!CI3</f>
        <v>4</v>
      </c>
      <c r="BH4" s="3">
        <f>Setup!CJ3</f>
        <v>8</v>
      </c>
      <c r="BI4" s="3">
        <f>Setup!CK3</f>
        <v>5</v>
      </c>
      <c r="BJ4" s="10"/>
      <c r="BK4" s="10"/>
      <c r="BL4" s="10"/>
      <c r="BM4" s="3"/>
      <c r="BN4" s="3">
        <f>mround(BN3*Setup!CT3,'Quick Setup'!$A$2)</f>
        <v>392.5</v>
      </c>
      <c r="BO4" s="3">
        <f>Setup!CU3</f>
        <v>3</v>
      </c>
      <c r="BP4" s="3">
        <f>Setup!CV3</f>
        <v>6</v>
      </c>
      <c r="BQ4" s="3">
        <f>Setup!CW3</f>
        <v>5</v>
      </c>
      <c r="BR4" s="10"/>
      <c r="BS4" s="10"/>
      <c r="BT4" s="10"/>
      <c r="BU4" s="3"/>
      <c r="BV4" s="3">
        <f>mround(BV3*Setup!DF3,'Quick Setup'!$A$2)</f>
        <v>417.5</v>
      </c>
      <c r="BW4" s="3">
        <f>Setup!DG3</f>
        <v>2</v>
      </c>
      <c r="BX4" s="3">
        <f>Setup!DH3</f>
        <v>4</v>
      </c>
      <c r="BY4" s="3">
        <f>Setup!DI3</f>
        <v>5</v>
      </c>
      <c r="BZ4" s="10"/>
      <c r="CA4" s="10"/>
      <c r="CB4" s="10"/>
      <c r="CC4" s="3"/>
      <c r="CD4" s="3">
        <f>mround(CD3*Setup!DR3,'Quick Setup'!$A$2)</f>
        <v>380</v>
      </c>
      <c r="CE4" s="3">
        <f>Setup!DS3</f>
        <v>4</v>
      </c>
      <c r="CF4" s="3">
        <f>Setup!DT3</f>
        <v>7</v>
      </c>
      <c r="CG4" s="3">
        <f>Setup!DU3</f>
        <v>5</v>
      </c>
      <c r="CH4" s="10"/>
      <c r="CI4" s="10"/>
      <c r="CJ4" s="10"/>
      <c r="CK4" s="3"/>
      <c r="CL4" s="3">
        <f>mround(CL3*Setup!ED3,'Quick Setup'!$A$2)</f>
        <v>405</v>
      </c>
      <c r="CM4" s="3">
        <f>Setup!EE3</f>
        <v>3</v>
      </c>
      <c r="CN4" s="3">
        <f>Setup!EF3</f>
        <v>5</v>
      </c>
      <c r="CO4" s="3">
        <f>Setup!EG3</f>
        <v>5</v>
      </c>
      <c r="CP4" s="10"/>
      <c r="CQ4" s="10"/>
      <c r="CR4" s="10"/>
      <c r="CS4" s="3"/>
      <c r="CT4" s="3">
        <f>mround(CT3*Setup!EP3,'Quick Setup'!$A$2)</f>
        <v>430</v>
      </c>
      <c r="CU4" s="3">
        <f>Setup!EQ3</f>
        <v>2</v>
      </c>
      <c r="CV4" s="3">
        <f>Setup!ER3</f>
        <v>3</v>
      </c>
      <c r="CW4" s="3">
        <f>Setup!ES3</f>
        <v>5</v>
      </c>
      <c r="CX4" s="10"/>
      <c r="CY4" s="10"/>
      <c r="CZ4" s="10"/>
      <c r="DA4" s="3"/>
      <c r="DB4" s="3">
        <f>mround(DB3*Setup!FB3,'Quick Setup'!$A$2)</f>
        <v>295</v>
      </c>
      <c r="DC4" s="3">
        <f>Setup!FC3</f>
        <v>7</v>
      </c>
      <c r="DD4" s="3">
        <f>Setup!FD3</f>
        <v>14</v>
      </c>
      <c r="DE4" s="3">
        <f>Setup!FE3</f>
        <v>5</v>
      </c>
      <c r="DF4" s="10"/>
      <c r="DG4" s="10"/>
      <c r="DH4" s="10"/>
      <c r="DI4" s="3"/>
      <c r="DJ4" s="3">
        <f>mround(DJ3*Setup!FN3,'Quick Setup'!$A$2)</f>
        <v>392.5</v>
      </c>
      <c r="DK4" s="3">
        <f>Setup!FO3</f>
        <v>3</v>
      </c>
      <c r="DL4" s="3">
        <f>Setup!FP3</f>
        <v>6</v>
      </c>
      <c r="DM4" s="3">
        <f>Setup!FQ3</f>
        <v>5</v>
      </c>
      <c r="DN4" s="10"/>
      <c r="DO4" s="10"/>
      <c r="DP4" s="10"/>
      <c r="DQ4" s="3"/>
      <c r="DR4" s="3">
        <f>mround(DR3*Setup!FZ3,'Quick Setup'!$A$2)</f>
        <v>417.5</v>
      </c>
      <c r="DS4" s="3">
        <f>Setup!GA3</f>
        <v>2</v>
      </c>
      <c r="DT4" s="3">
        <f>Setup!GB3</f>
        <v>4</v>
      </c>
      <c r="DU4" s="3">
        <f>Setup!GC3</f>
        <v>5</v>
      </c>
      <c r="DV4" s="10"/>
      <c r="DW4" s="10"/>
      <c r="DX4" s="10"/>
      <c r="DY4" s="3"/>
      <c r="DZ4" s="3">
        <f>mround(DZ3*Setup!GL3,'Quick Setup'!$A$2)</f>
        <v>440</v>
      </c>
      <c r="EA4" s="3">
        <f>Setup!GM3</f>
        <v>1</v>
      </c>
      <c r="EB4" s="3">
        <f>Setup!GN3</f>
        <v>2</v>
      </c>
      <c r="EC4" s="3">
        <f>Setup!GO3</f>
        <v>5</v>
      </c>
      <c r="ED4" s="10"/>
      <c r="EE4" s="10"/>
      <c r="EF4" s="10"/>
      <c r="EG4" s="3"/>
      <c r="EH4" s="3">
        <f>mround(EH3*Setup!GX3,'Quick Setup'!$A$2)</f>
        <v>417.5</v>
      </c>
      <c r="EI4" s="3">
        <f>Setup!GY3</f>
        <v>2</v>
      </c>
      <c r="EJ4" s="3">
        <f>Setup!GZ3</f>
        <v>4</v>
      </c>
      <c r="EK4" s="3">
        <f>Setup!HA3</f>
        <v>5</v>
      </c>
      <c r="EL4" s="10"/>
      <c r="EM4" s="10"/>
      <c r="EN4" s="10"/>
      <c r="EO4" s="3"/>
      <c r="EP4" s="3">
        <f>mround(EP3*Setup!HJ3,'Quick Setup'!$A$2)</f>
        <v>440</v>
      </c>
      <c r="EQ4" s="3">
        <f>Setup!HK3</f>
        <v>1</v>
      </c>
      <c r="ER4" s="3">
        <f>Setup!HL3</f>
        <v>2</v>
      </c>
      <c r="ES4" s="3">
        <f>Setup!HM3</f>
        <v>5</v>
      </c>
      <c r="ET4" s="10"/>
      <c r="EU4" s="10"/>
      <c r="EV4" s="10"/>
      <c r="EW4" s="3"/>
      <c r="EX4" s="3">
        <f>mround(EX3*Setup!HV3,'Quick Setup'!$A$2)</f>
        <v>465</v>
      </c>
      <c r="EY4" s="3">
        <f>Setup!HW3</f>
        <v>1</v>
      </c>
      <c r="EZ4" s="3">
        <f>Setup!HX3</f>
        <v>1</v>
      </c>
      <c r="FA4" s="3">
        <f>Setup!HY3</f>
        <v>5</v>
      </c>
      <c r="FB4" s="10"/>
      <c r="FC4" s="10"/>
      <c r="FD4" s="10"/>
      <c r="FE4" s="3"/>
      <c r="FF4" s="3">
        <f>mround(FF3*Setup!IH3,'Quick Setup'!$A$2)</f>
        <v>295</v>
      </c>
      <c r="FG4" s="3">
        <f>Setup!II3</f>
        <v>7</v>
      </c>
      <c r="FH4" s="3">
        <f>Setup!IJ3</f>
        <v>14</v>
      </c>
      <c r="FI4" s="3">
        <f>Setup!IK3</f>
        <v>5</v>
      </c>
      <c r="FJ4" s="10"/>
      <c r="FK4" s="10"/>
      <c r="FL4" s="10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</row>
    <row r="5">
      <c r="A5" s="1" t="str">
        <f>CONCATENATE(A6," TM")</f>
        <v>Bench Press TM</v>
      </c>
      <c r="B5" s="3">
        <f>if(D5="",'Quick Setup'!D6,D5/'Quick Setup'!E6)</f>
        <v>325</v>
      </c>
      <c r="C5" s="8" t="s">
        <v>75</v>
      </c>
      <c r="D5" s="10"/>
      <c r="E5" s="3"/>
      <c r="F5" s="3"/>
      <c r="G5" s="3"/>
      <c r="H5" s="3"/>
      <c r="I5" s="3"/>
      <c r="J5" s="3">
        <f>if(L5="", if(F6&lt;&gt;"", if((F6-D6)&lt;-1,B5*(1+Setup!F4),if((F6-D6)&lt;0,B5*(1+Setup!G4),if((F6-D6)=0,B5*(1+Setup!H4),if((F6-D6)=1,B5*(1+Setup!I4),if((F6-D6)=2,B5*(1+Setup!J4),if((F6-D6)=3,B5*(1+Setup!K4),if((F6-D6)=4,B5*(1+Setup!L4),if((F6-D6)&gt;4,B5*(1+Setup!M4),B5)))))))),B5),L5/'Quick Setup'!$E6)</f>
        <v>325</v>
      </c>
      <c r="K5" s="8" t="s">
        <v>75</v>
      </c>
      <c r="L5" s="10"/>
      <c r="M5" s="3"/>
      <c r="N5" s="3"/>
      <c r="O5" s="3"/>
      <c r="P5" s="3"/>
      <c r="Q5" s="3"/>
      <c r="R5" s="3">
        <f>if(T5="", if(N6&lt;&gt;"", if((N6-L6)&lt;-1,J5*(1+Setup!R4),if((N6-L6)&lt;0,J5*(1+Setup!S4),if((N6-L6)=0,J5*(1+Setup!T4),if((N6-L6)=1,J5*(1+Setup!U4),if((N6-L6)=2,J5*(1+Setup!V4),if((N6-L6)=3,J5*(1+Setup!W4),if((N6-L6)=4,J5*(1+Setup!X4),if((N6-L6)&gt;4,J5*(1+Setup!Y4),J5)))))))),J5),T5/'Quick Setup'!$E6)</f>
        <v>325</v>
      </c>
      <c r="S5" s="8" t="s">
        <v>75</v>
      </c>
      <c r="T5" s="10"/>
      <c r="U5" s="3"/>
      <c r="V5" s="3"/>
      <c r="W5" s="3"/>
      <c r="X5" s="3"/>
      <c r="Y5" s="3"/>
      <c r="Z5" s="3">
        <f>if(AB5="", if(V6&lt;&gt;"", if((V6-T6)&lt;-1,R5*(1+Setup!AD4),if((V6-T6)&lt;0,R5*(1+Setup!AE4),if((V6-T6)=0,R5*(1+Setup!AF4),if((V6-T6)=1,R5*(1+Setup!AG4),if((V6-T6)=2,R5*(1+Setup!AH4),if((V6-T6)=3,R5*(1+Setup!AI4),if((V6-T6)=4,R5*(1+Setup!AJ4),if((V6-T6)&gt;4,R5*(1+Setup!AK4),R5)))))))),R5),AB5/'Quick Setup'!$E6)</f>
        <v>325</v>
      </c>
      <c r="AA5" s="8" t="s">
        <v>75</v>
      </c>
      <c r="AB5" s="10"/>
      <c r="AC5" s="3"/>
      <c r="AD5" s="3"/>
      <c r="AE5" s="3"/>
      <c r="AF5" s="3"/>
      <c r="AG5" s="3"/>
      <c r="AH5" s="3">
        <f>if(AJ5="", if(AD6&lt;&gt;"", if((AD6-AB6)&lt;-1,Z5*(1+Setup!AP4),if((AD6-AB6)&lt;0,Z5*(1+Setup!AQ4),if((AD6-AB6)=0,Z5*(1+Setup!AR4),if((AD6-AB6)=1,Z5*(1+Setup!AS4),if((AD6-AB6)=2,Z5*(1+Setup!AT4),if((AD6-AB6)=3,Z5*(1+Setup!AU4),if((AD6-AB6)=4,Z5*(1+Setup!AV4),if((AD6-AB6)&gt;4,Z5*(1+Setup!AW4),Z5)))))))),Z5),AJ5/'Quick Setup'!$E6)</f>
        <v>325</v>
      </c>
      <c r="AI5" s="8" t="s">
        <v>75</v>
      </c>
      <c r="AJ5" s="10"/>
      <c r="AK5" s="3"/>
      <c r="AL5" s="3"/>
      <c r="AM5" s="3"/>
      <c r="AN5" s="3"/>
      <c r="AO5" s="3"/>
      <c r="AP5" s="3">
        <f>if(AR5="", if(AL6&lt;&gt;"", if((AL6-AJ6)&lt;-1,AH5*(1+Setup!BB4),if((AL6-AJ6)&lt;0,AH5*(1+Setup!BC4),if((AL6-AJ6)=0,AH5*(1+Setup!BD4),if((AL6-AJ6)=1,AH5*(1+Setup!BE4),if((AL6-AJ6)=2,AH5*(1+Setup!BF4),if((AL6-AJ6)=3,AH5*(1+Setup!BG4),if((AL6-AJ6)=4,AH5*(1+Setup!BH4),if((AL6-AJ6)&gt;4,AH5*(1+Setup!BI4),AH5)))))))),AH5),AR5/'Quick Setup'!$E6)</f>
        <v>325</v>
      </c>
      <c r="AQ5" s="8" t="s">
        <v>75</v>
      </c>
      <c r="AR5" s="10"/>
      <c r="AS5" s="3"/>
      <c r="AT5" s="3"/>
      <c r="AU5" s="3"/>
      <c r="AV5" s="3"/>
      <c r="AW5" s="3"/>
      <c r="AX5" s="3">
        <f>if(AZ5="", if(AT6&lt;&gt;"", if((AT6-AR6)&lt;-1,AP5*(1+Setup!BN4),if((AT6-AR6)&lt;0,AP5*(1+Setup!BO4),if((AT6-AR6)=0,AP5*(1+Setup!BP4),if((AT6-AR6)=1,AP5*(1+Setup!BQ4),if((AT6-AR6)=2,AP5*(1+Setup!BR4),if((AT6-AR6)=3,AP5*(1+Setup!BS4),if((AT6-AR6)=4,AP5*(1+Setup!BT4),if((AT6-AR6)&gt;4,AP5*(1+Setup!BU4),AP5)))))))),AP5),AZ5/'Quick Setup'!$E6)</f>
        <v>325</v>
      </c>
      <c r="AY5" s="8" t="s">
        <v>75</v>
      </c>
      <c r="AZ5" s="10"/>
      <c r="BA5" s="3"/>
      <c r="BB5" s="3"/>
      <c r="BC5" s="3"/>
      <c r="BD5" s="3"/>
      <c r="BE5" s="3"/>
      <c r="BF5" s="3">
        <f>if(BH5="", if(BB6&lt;&gt;"", if((BB6-AZ6)&lt;-1,AX5*(1+Setup!BZ4),if((BB6-AZ6)&lt;0,AX5*(1+Setup!CA4),if((BB6-AZ6)=0,AX5*(1+Setup!CB4),if((BB6-AZ6)=1,AX5*(1+Setup!CC4),if((BB6-AZ6)=2,AX5*(1+Setup!CD4),if((BB6-AZ6)=3,AX5*(1+Setup!CE4),if((BB6-AZ6)=4,AX5*(1+Setup!CF4),if((BB6-AZ6)&gt;4,AX5*(1+Setup!CG4),AX5)))))))),AX5),BH5/'Quick Setup'!$E6)</f>
        <v>325</v>
      </c>
      <c r="BG5" s="8" t="s">
        <v>75</v>
      </c>
      <c r="BH5" s="10"/>
      <c r="BI5" s="3"/>
      <c r="BJ5" s="3"/>
      <c r="BK5" s="3"/>
      <c r="BL5" s="3"/>
      <c r="BM5" s="3"/>
      <c r="BN5" s="3">
        <f>if(BP5="", if(BJ6&lt;&gt;"", if((BJ6-BH6)&lt;-1,BF5*(1+Setup!CL4),if((BJ6-BH6)&lt;0,BF5*(1+Setup!CM4),if((BJ6-BH6)=0,BF5*(1+Setup!CN4),if((BJ6-BH6)=1,BF5*(1+Setup!CO4),if((BJ6-BH6)=2,BF5*(1+Setup!CP4),if((BJ6-BH6)=3,BF5*(1+Setup!CQ4),if((BJ6-BH6)=4,BF5*(1+Setup!CR4),if((BJ6-BH6)&gt;4,BF5*(1+Setup!CS4),BF5)))))))),BF5),BP5/'Quick Setup'!$E6)</f>
        <v>325</v>
      </c>
      <c r="BO5" s="8" t="s">
        <v>75</v>
      </c>
      <c r="BP5" s="10"/>
      <c r="BQ5" s="3"/>
      <c r="BR5" s="3"/>
      <c r="BS5" s="3"/>
      <c r="BT5" s="3"/>
      <c r="BU5" s="3"/>
      <c r="BV5" s="3">
        <f>if(BX5="", if(BR6&lt;&gt;"", if((BR6-BP6)&lt;-1,BN5*(1+Setup!CX4),if((BR6-BP6)&lt;0,BN5*(1+Setup!CY4),if((BR6-BP6)=0,BN5*(1+Setup!CZ4),if((BR6-BP6)=1,BN5*(1+Setup!DA4),if((BR6-BP6)=2,BN5*(1+Setup!DB4),if((BR6-BP6)=3,BN5*(1+Setup!DC4),if((BR6-BP6)=4,BN5*(1+Setup!DD4),if((BR6-BP6)&gt;4,BN5*(1+Setup!DE4),BN5)))))))),BN5),BX5/'Quick Setup'!$E6)</f>
        <v>325</v>
      </c>
      <c r="BW5" s="8" t="s">
        <v>75</v>
      </c>
      <c r="BX5" s="10"/>
      <c r="BY5" s="3"/>
      <c r="BZ5" s="3"/>
      <c r="CA5" s="3"/>
      <c r="CB5" s="3"/>
      <c r="CC5" s="3"/>
      <c r="CD5" s="3">
        <f>if(CF5="", if(BZ6&lt;&gt;"", if((BZ6-BX6)&lt;-1,BV5*(1+Setup!DJ4),if((BZ6-BX6)&lt;0,BV5*(1+Setup!DK4),if((BZ6-BX6)=0,BV5*(1+Setup!DL4),if((BZ6-BX6)=1,BV5*(1+Setup!DM4),if((BZ6-BX6)=2,BV5*(1+Setup!DN4),if((BZ6-BX6)=3,BV5*(1+Setup!DO4),if((BZ6-BX6)=4,BV5*(1+Setup!DP4),if((BZ6-BX6)&gt;4,BV5*(1+Setup!DQ4),BV5)))))))),BV5),CF5/'Quick Setup'!$E6)</f>
        <v>325</v>
      </c>
      <c r="CE5" s="8" t="s">
        <v>75</v>
      </c>
      <c r="CF5" s="10"/>
      <c r="CG5" s="3"/>
      <c r="CH5" s="3"/>
      <c r="CI5" s="3"/>
      <c r="CJ5" s="3"/>
      <c r="CK5" s="3"/>
      <c r="CL5" s="3">
        <f>if(CN5="", if(CH6&lt;&gt;"", if((CH6-CF6)&lt;-1,CD5*(1+Setup!DV4),if((CH6-CF6)&lt;0,CD5*(1+Setup!DW4),if((CH6-CF6)=0,CD5*(1+Setup!DX4),if((CH6-CF6)=1,CD5*(1+Setup!DY4),if((CH6-CF6)=2,CD5*(1+Setup!DZ4),if((CH6-CF6)=3,CD5*(1+Setup!EA4),if((CH6-CF6)=4,CD5*(1+Setup!EB4),if((CH6-CF6)&gt;4,CD5*(1+Setup!EC4),CD5)))))))),CD5),CN5/'Quick Setup'!$E6)</f>
        <v>325</v>
      </c>
      <c r="CM5" s="8" t="s">
        <v>75</v>
      </c>
      <c r="CN5" s="10"/>
      <c r="CO5" s="3"/>
      <c r="CP5" s="3"/>
      <c r="CQ5" s="3"/>
      <c r="CR5" s="3"/>
      <c r="CS5" s="3"/>
      <c r="CT5" s="3">
        <f>if(CV5="", if(CP6&lt;&gt;"", if((CP6-CN6)&lt;-1,CL5*(1+Setup!EH4),if((CP6-CN6)&lt;0,CL5*(1+Setup!EI4),if((CP6-CN6)=0,CL5*(1+Setup!EJ4),if((CP6-CN6)=1,CL5*(1+Setup!EK4),if((CP6-CN6)=2,CL5*(1+Setup!EL4),if((CP6-CN6)=3,CL5*(1+Setup!EM4),if((CP6-CN6)=4,CL5*(1+Setup!EN4),if((CP6-CN6)&gt;4,CL5*(1+Setup!EO4),CL5)))))))),CL5),CV5/'Quick Setup'!$E6)</f>
        <v>325</v>
      </c>
      <c r="CU5" s="8" t="s">
        <v>75</v>
      </c>
      <c r="CV5" s="10"/>
      <c r="CW5" s="3"/>
      <c r="CX5" s="3"/>
      <c r="CY5" s="3"/>
      <c r="CZ5" s="3"/>
      <c r="DA5" s="3"/>
      <c r="DB5" s="3">
        <f>if(DD5="", if(CX6&lt;&gt;"", if((CX6-CV6)&lt;-1,CT5*(1+Setup!ET4),if((CX6-CV6)&lt;0,CT5*(1+Setup!EU4),if((CX6-CV6)=0,CT5*(1+Setup!EV4),if((CX6-CV6)=1,CT5*(1+Setup!EW4),if((CX6-CV6)=2,CT5*(1+Setup!EX4),if((CX6-CV6)=3,CT5*(1+Setup!EY4),if((CX6-CV6)=4,CT5*(1+Setup!EZ4),if((CX6-CV6)&gt;4,CT5*(1+Setup!FA4),CT5)))))))),CT5),DD5/'Quick Setup'!$E6)</f>
        <v>325</v>
      </c>
      <c r="DC5" s="8" t="s">
        <v>75</v>
      </c>
      <c r="DD5" s="10"/>
      <c r="DE5" s="3"/>
      <c r="DF5" s="3"/>
      <c r="DG5" s="3"/>
      <c r="DH5" s="3"/>
      <c r="DI5" s="3"/>
      <c r="DJ5" s="3">
        <f>if(DL5="", if(DF6&lt;&gt;"", if((DF6-DD6)&lt;-1,DB5*(1+Setup!FF4),if((DF6-DD6)&lt;0,DB5*(1+Setup!FG4),if((DF6-DD6)=0,DB5*(1+Setup!FH4),if((DF6-DD6)=1,DB5*(1+Setup!FI4),if((DF6-DD6)=2,DB5*(1+Setup!FJ4),if((DF6-DD6)=3,DB5*(1+Setup!FK4),if((DF6-DD6)=4,DB5*(1+Setup!FL4),if((DF6-DD6)&gt;4,DB5*(1+Setup!FM4),DB5)))))))),DB5),DL5/'Quick Setup'!$E6)</f>
        <v>325</v>
      </c>
      <c r="DK5" s="8" t="s">
        <v>75</v>
      </c>
      <c r="DL5" s="10"/>
      <c r="DM5" s="3"/>
      <c r="DN5" s="3"/>
      <c r="DO5" s="3"/>
      <c r="DP5" s="3"/>
      <c r="DQ5" s="3"/>
      <c r="DR5" s="3">
        <f>if(DT5="", if(DN6&lt;&gt;"", if((DN6-DL6)&lt;-1,DJ5*(1+Setup!FR4),if((DN6-DL6)&lt;0,DJ5*(1+Setup!FS4),if((DN6-DL6)=0,DJ5*(1+Setup!FT4),if((DN6-DL6)=1,DJ5*(1+Setup!FU4),if((DN6-DL6)=2,DJ5*(1+Setup!FV4),if((DN6-DL6)=3,DJ5*(1+Setup!FW4),if((DN6-DL6)=4,DJ5*(1+Setup!FX4),if((DN6-DL6)&gt;4,DJ5*(1+Setup!FY4),DJ5)))))))),DJ5),DT5/'Quick Setup'!$E6)</f>
        <v>325</v>
      </c>
      <c r="DS5" s="8" t="s">
        <v>75</v>
      </c>
      <c r="DT5" s="10"/>
      <c r="DU5" s="3"/>
      <c r="DV5" s="3"/>
      <c r="DW5" s="3"/>
      <c r="DX5" s="3"/>
      <c r="DY5" s="3"/>
      <c r="DZ5" s="3">
        <f>if(EB5="", if(DV6&lt;&gt;"", if((DV6-DT6)&lt;-1,DR5*(1+Setup!GD4),if((DV6-DT6)&lt;0,DR5*(1+Setup!GE4),if((DV6-DT6)=0,DR5*(1+Setup!GF4),if((DV6-DT6)=1,DR5*(1+Setup!GG4),if((DV6-DT6)=2,DR5*(1+Setup!GH4),if((DV6-DT6)=3,DR5*(1+Setup!GI4),if((DV6-DT6)=4,DR5*(1+Setup!GJ4),if((DV6-DT6)&gt;4,DR5*(1+Setup!GK4),DR5)))))))),DR5),EB5/'Quick Setup'!$E6)</f>
        <v>325</v>
      </c>
      <c r="EA5" s="8" t="s">
        <v>75</v>
      </c>
      <c r="EB5" s="10"/>
      <c r="EC5" s="3"/>
      <c r="ED5" s="3"/>
      <c r="EE5" s="3"/>
      <c r="EF5" s="3"/>
      <c r="EG5" s="3"/>
      <c r="EH5" s="3">
        <f>if(EJ5="", if(ED6&lt;&gt;"", if((ED6-EB6)&lt;-1,DZ5*(1+Setup!GP4),if((ED6-EB6)&lt;0,DZ5*(1+Setup!GQ4),if((ED6-EB6)=0,DZ5*(1+Setup!GR4),if((ED6-EB6)=1,DZ5*(1+Setup!GS4),if((ED6-EB6)=2,DZ5*(1+Setup!GT4),if((ED6-EB6)=3,DZ5*(1+Setup!GU4),if((ED6-EB6)=4,DZ5*(1+Setup!GV4),if((ED6-EB6)&gt;4,DZ5*(1+Setup!GW4),DZ5)))))))),DZ5),EJ5/'Quick Setup'!$E6)</f>
        <v>325</v>
      </c>
      <c r="EI5" s="8" t="s">
        <v>75</v>
      </c>
      <c r="EJ5" s="10"/>
      <c r="EK5" s="3"/>
      <c r="EL5" s="3"/>
      <c r="EM5" s="3"/>
      <c r="EN5" s="3"/>
      <c r="EO5" s="3"/>
      <c r="EP5" s="3">
        <f>if(ER5="", if(EL6&lt;&gt;"", if((EL6-EJ6)&lt;-1,EH5*(1+Setup!HB4),if((EL6-EJ6)&lt;0,EH5*(1+Setup!HC4),if((EL6-EJ6)=0,EH5*(1+Setup!HD4),if((EL6-EJ6)=1,EH5*(1+Setup!HE4),if((EL6-EJ6)=2,EH5*(1+Setup!HF4),if((EL6-EJ6)=3,EH5*(1+Setup!HG4),if((EL6-EJ6)=4,EH5*(1+Setup!HH4),if((EL6-EJ6)&gt;4,EH5*(1+Setup!HI4),EH5)))))))),EH5),ER5/'Quick Setup'!$E6)</f>
        <v>325</v>
      </c>
      <c r="EQ5" s="8" t="s">
        <v>75</v>
      </c>
      <c r="ER5" s="10"/>
      <c r="ES5" s="3"/>
      <c r="ET5" s="3"/>
      <c r="EU5" s="3"/>
      <c r="EV5" s="3"/>
      <c r="EW5" s="3"/>
      <c r="EX5" s="3">
        <f>if(EZ5="", if(ET6&lt;&gt;"", if((ET6-ER6)&lt;-1,EP5*(1+Setup!HN4),if((ET6-ER6)&lt;0,EP5*(1+Setup!HO4),if((ET6-ER6)=0,EP5*(1+Setup!HP4),if((ET6-ER6)=1,EP5*(1+Setup!HQ4),if((ET6-ER6)=2,EP5*(1+Setup!HR4),if((ET6-ER6)=3,EP5*(1+Setup!HS4),if((ET6-ER6)=4,EP5*(1+Setup!HT4),if((ET6-ER6)&gt;4,EP5*(1+Setup!HU4),EP5)))))))),EP5),EZ5/'Quick Setup'!$E6)</f>
        <v>325</v>
      </c>
      <c r="EY5" s="8" t="s">
        <v>75</v>
      </c>
      <c r="EZ5" s="10"/>
      <c r="FA5" s="3"/>
      <c r="FB5" s="3"/>
      <c r="FC5" s="3"/>
      <c r="FD5" s="3"/>
      <c r="FE5" s="3"/>
      <c r="FF5" s="3">
        <f>if(FH5="", if(FB6&lt;&gt;"", if((FB6-EZ6)&lt;-1,EX5*(1+Setup!HZ4),if((FB6-EZ6)&lt;0,EX5*(1+Setup!IA4),if((FB6-EZ6)=0,EX5*(1+Setup!IB4),if((FB6-EZ6)=1,EX5*(1+Setup!IC4),if((FB6-EZ6)=2,EX5*(1+Setup!ID4),if((FB6-EZ6)=3,EX5*(1+Setup!IE4),if((FB6-EZ6)=4,EX5*(1+Setup!IF4),if((FB6-EZ6)&gt;4,EX5*(1+Setup!IG4),EX5)))))))),EX5),FH5/'Quick Setup'!$E6)</f>
        <v>325</v>
      </c>
      <c r="FG5" s="8" t="s">
        <v>75</v>
      </c>
      <c r="FH5" s="10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</row>
    <row r="6">
      <c r="A6" s="1" t="str">
        <f>Setup!A4</f>
        <v>Bench Press</v>
      </c>
      <c r="B6" s="3">
        <f>mround(B5*Setup!B4,'Quick Setup'!$A$2)</f>
        <v>227.5</v>
      </c>
      <c r="C6" s="3">
        <f>Setup!C4</f>
        <v>5</v>
      </c>
      <c r="D6" s="3">
        <f>Setup!D4</f>
        <v>10</v>
      </c>
      <c r="E6" s="3">
        <f>Setup!E4</f>
        <v>5</v>
      </c>
      <c r="F6" s="10"/>
      <c r="G6" s="10"/>
      <c r="H6" s="10"/>
      <c r="I6" s="3"/>
      <c r="J6" s="3">
        <f>mround(J5*Setup!N4,'Quick Setup'!$A$2)</f>
        <v>245</v>
      </c>
      <c r="K6" s="3">
        <f>Setup!O4</f>
        <v>4</v>
      </c>
      <c r="L6" s="3">
        <f>Setup!P4</f>
        <v>8</v>
      </c>
      <c r="M6" s="3">
        <f>Setup!Q4</f>
        <v>5</v>
      </c>
      <c r="N6" s="10"/>
      <c r="O6" s="10"/>
      <c r="P6" s="10"/>
      <c r="Q6" s="3"/>
      <c r="R6" s="3">
        <f>mround(R5*Setup!Z4,'Quick Setup'!$A$2)</f>
        <v>260</v>
      </c>
      <c r="S6" s="3">
        <f>Setup!AA4</f>
        <v>3</v>
      </c>
      <c r="T6" s="3">
        <f>Setup!AB4</f>
        <v>6</v>
      </c>
      <c r="U6" s="3">
        <f>Setup!AC4</f>
        <v>5</v>
      </c>
      <c r="V6" s="10"/>
      <c r="W6" s="10"/>
      <c r="X6" s="10"/>
      <c r="Y6" s="3"/>
      <c r="Z6" s="3">
        <f>mround(Z5*Setup!AL4,'Quick Setup'!$A$2)</f>
        <v>235</v>
      </c>
      <c r="AA6" s="3">
        <f>Setup!AM4</f>
        <v>5</v>
      </c>
      <c r="AB6" s="3">
        <f>Setup!AN4</f>
        <v>9</v>
      </c>
      <c r="AC6" s="3">
        <f>Setup!AO4</f>
        <v>5</v>
      </c>
      <c r="AD6" s="10"/>
      <c r="AE6" s="10"/>
      <c r="AF6" s="10"/>
      <c r="AG6" s="3"/>
      <c r="AH6" s="3">
        <f>mround(AH5*Setup!AX4,'Quick Setup'!$A$2)</f>
        <v>252.5</v>
      </c>
      <c r="AI6" s="3">
        <f>Setup!AY4</f>
        <v>4</v>
      </c>
      <c r="AJ6" s="3">
        <f>Setup!AZ4</f>
        <v>7</v>
      </c>
      <c r="AK6" s="3">
        <f>Setup!BA4</f>
        <v>5</v>
      </c>
      <c r="AL6" s="10"/>
      <c r="AM6" s="10"/>
      <c r="AN6" s="10"/>
      <c r="AO6" s="3"/>
      <c r="AP6" s="3">
        <f>mround(AP5*Setup!BJ4,'Quick Setup'!$A$2)</f>
        <v>267.5</v>
      </c>
      <c r="AQ6" s="3">
        <f>Setup!BK4</f>
        <v>3</v>
      </c>
      <c r="AR6" s="3">
        <f>Setup!BL4</f>
        <v>5</v>
      </c>
      <c r="AS6" s="3">
        <f>Setup!BM4</f>
        <v>5</v>
      </c>
      <c r="AT6" s="10"/>
      <c r="AU6" s="10"/>
      <c r="AV6" s="10"/>
      <c r="AW6" s="3"/>
      <c r="AX6" s="3">
        <f>mround(AX5*Setup!BV4,'Quick Setup'!$A$2)</f>
        <v>195</v>
      </c>
      <c r="AY6" s="3">
        <f>Setup!BW4</f>
        <v>7</v>
      </c>
      <c r="AZ6" s="3">
        <f>Setup!BX4</f>
        <v>14</v>
      </c>
      <c r="BA6" s="3">
        <f>Setup!BY4</f>
        <v>5</v>
      </c>
      <c r="BB6" s="10"/>
      <c r="BC6" s="10"/>
      <c r="BD6" s="10"/>
      <c r="BE6" s="3"/>
      <c r="BF6" s="3">
        <f>mround(BF5*Setup!CH4,'Quick Setup'!$A$2)</f>
        <v>245</v>
      </c>
      <c r="BG6" s="3">
        <f>Setup!CI4</f>
        <v>4</v>
      </c>
      <c r="BH6" s="3">
        <f>Setup!CJ4</f>
        <v>8</v>
      </c>
      <c r="BI6" s="3">
        <f>Setup!CK4</f>
        <v>5</v>
      </c>
      <c r="BJ6" s="10"/>
      <c r="BK6" s="10"/>
      <c r="BL6" s="10"/>
      <c r="BM6" s="3"/>
      <c r="BN6" s="3">
        <f>mround(BN5*Setup!CT4,'Quick Setup'!$A$2)</f>
        <v>260</v>
      </c>
      <c r="BO6" s="3">
        <f>Setup!CU4</f>
        <v>3</v>
      </c>
      <c r="BP6" s="3">
        <f>Setup!CV4</f>
        <v>6</v>
      </c>
      <c r="BQ6" s="3">
        <f>Setup!CW4</f>
        <v>5</v>
      </c>
      <c r="BR6" s="10"/>
      <c r="BS6" s="10"/>
      <c r="BT6" s="10"/>
      <c r="BU6" s="3"/>
      <c r="BV6" s="3">
        <f>mround(BV5*Setup!DF4,'Quick Setup'!$A$2)</f>
        <v>277.5</v>
      </c>
      <c r="BW6" s="3">
        <f>Setup!DG4</f>
        <v>2</v>
      </c>
      <c r="BX6" s="3">
        <f>Setup!DH4</f>
        <v>4</v>
      </c>
      <c r="BY6" s="3">
        <f>Setup!DI4</f>
        <v>5</v>
      </c>
      <c r="BZ6" s="10"/>
      <c r="CA6" s="10"/>
      <c r="CB6" s="10"/>
      <c r="CC6" s="3"/>
      <c r="CD6" s="3">
        <f>mround(CD5*Setup!DR4,'Quick Setup'!$A$2)</f>
        <v>252.5</v>
      </c>
      <c r="CE6" s="3">
        <f>Setup!DS4</f>
        <v>4</v>
      </c>
      <c r="CF6" s="3">
        <f>Setup!DT4</f>
        <v>7</v>
      </c>
      <c r="CG6" s="3">
        <f>Setup!DU4</f>
        <v>5</v>
      </c>
      <c r="CH6" s="10"/>
      <c r="CI6" s="10"/>
      <c r="CJ6" s="10"/>
      <c r="CK6" s="3"/>
      <c r="CL6" s="3">
        <f>mround(CL5*Setup!ED4,'Quick Setup'!$A$2)</f>
        <v>267.5</v>
      </c>
      <c r="CM6" s="3">
        <f>Setup!EE4</f>
        <v>3</v>
      </c>
      <c r="CN6" s="3">
        <f>Setup!EF4</f>
        <v>5</v>
      </c>
      <c r="CO6" s="3">
        <f>Setup!EG4</f>
        <v>5</v>
      </c>
      <c r="CP6" s="10"/>
      <c r="CQ6" s="10"/>
      <c r="CR6" s="10"/>
      <c r="CS6" s="3"/>
      <c r="CT6" s="3">
        <f>mround(CT5*Setup!EP4,'Quick Setup'!$A$2)</f>
        <v>285</v>
      </c>
      <c r="CU6" s="3">
        <f>Setup!EQ4</f>
        <v>2</v>
      </c>
      <c r="CV6" s="3">
        <f>Setup!ER4</f>
        <v>3</v>
      </c>
      <c r="CW6" s="3">
        <f>Setup!ES4</f>
        <v>5</v>
      </c>
      <c r="CX6" s="10"/>
      <c r="CY6" s="10"/>
      <c r="CZ6" s="10"/>
      <c r="DA6" s="3"/>
      <c r="DB6" s="3">
        <f>mround(DB5*Setup!FB4,'Quick Setup'!$A$2)</f>
        <v>195</v>
      </c>
      <c r="DC6" s="3">
        <f>Setup!FC4</f>
        <v>7</v>
      </c>
      <c r="DD6" s="3">
        <f>Setup!FD4</f>
        <v>14</v>
      </c>
      <c r="DE6" s="3">
        <f>Setup!FE4</f>
        <v>5</v>
      </c>
      <c r="DF6" s="10"/>
      <c r="DG6" s="10"/>
      <c r="DH6" s="10"/>
      <c r="DI6" s="3"/>
      <c r="DJ6" s="3">
        <f>mround(DJ5*Setup!FN4,'Quick Setup'!$A$2)</f>
        <v>260</v>
      </c>
      <c r="DK6" s="3">
        <f>Setup!FO4</f>
        <v>3</v>
      </c>
      <c r="DL6" s="3">
        <f>Setup!FP4</f>
        <v>6</v>
      </c>
      <c r="DM6" s="3">
        <f>Setup!FQ4</f>
        <v>5</v>
      </c>
      <c r="DN6" s="10"/>
      <c r="DO6" s="10"/>
      <c r="DP6" s="10"/>
      <c r="DQ6" s="3"/>
      <c r="DR6" s="3">
        <f>mround(DR5*Setup!FZ4,'Quick Setup'!$A$2)</f>
        <v>277.5</v>
      </c>
      <c r="DS6" s="3">
        <f>Setup!GA4</f>
        <v>2</v>
      </c>
      <c r="DT6" s="3">
        <f>Setup!GB4</f>
        <v>4</v>
      </c>
      <c r="DU6" s="3">
        <f>Setup!GC4</f>
        <v>5</v>
      </c>
      <c r="DV6" s="10"/>
      <c r="DW6" s="10"/>
      <c r="DX6" s="10"/>
      <c r="DY6" s="3"/>
      <c r="DZ6" s="3">
        <f>mround(DZ5*Setup!GL4,'Quick Setup'!$A$2)</f>
        <v>292.5</v>
      </c>
      <c r="EA6" s="3">
        <f>Setup!GM4</f>
        <v>1</v>
      </c>
      <c r="EB6" s="3">
        <f>Setup!GN4</f>
        <v>2</v>
      </c>
      <c r="EC6" s="3">
        <f>Setup!GO4</f>
        <v>5</v>
      </c>
      <c r="ED6" s="10"/>
      <c r="EE6" s="10"/>
      <c r="EF6" s="10"/>
      <c r="EG6" s="3"/>
      <c r="EH6" s="3">
        <f>mround(EH5*Setup!GX4,'Quick Setup'!$A$2)</f>
        <v>277.5</v>
      </c>
      <c r="EI6" s="3">
        <f>Setup!GY4</f>
        <v>2</v>
      </c>
      <c r="EJ6" s="3">
        <f>Setup!GZ4</f>
        <v>4</v>
      </c>
      <c r="EK6" s="3">
        <f>Setup!HA4</f>
        <v>5</v>
      </c>
      <c r="EL6" s="10"/>
      <c r="EM6" s="10"/>
      <c r="EN6" s="10"/>
      <c r="EO6" s="3"/>
      <c r="EP6" s="3">
        <f>mround(EP5*Setup!HJ4,'Quick Setup'!$A$2)</f>
        <v>292.5</v>
      </c>
      <c r="EQ6" s="3">
        <f>Setup!HK4</f>
        <v>1</v>
      </c>
      <c r="ER6" s="3">
        <f>Setup!HL4</f>
        <v>2</v>
      </c>
      <c r="ES6" s="3">
        <f>Setup!HM4</f>
        <v>5</v>
      </c>
      <c r="ET6" s="10"/>
      <c r="EU6" s="10"/>
      <c r="EV6" s="10"/>
      <c r="EW6" s="3"/>
      <c r="EX6" s="3">
        <f>mround(EX5*Setup!HV4,'Quick Setup'!$A$2)</f>
        <v>310</v>
      </c>
      <c r="EY6" s="3">
        <f>Setup!HW4</f>
        <v>1</v>
      </c>
      <c r="EZ6" s="3">
        <f>Setup!HX4</f>
        <v>1</v>
      </c>
      <c r="FA6" s="3">
        <f>Setup!HY4</f>
        <v>5</v>
      </c>
      <c r="FB6" s="10"/>
      <c r="FC6" s="10"/>
      <c r="FD6" s="10"/>
      <c r="FE6" s="3"/>
      <c r="FF6" s="3">
        <f>mround(FF5*Setup!IH4,'Quick Setup'!$A$2)</f>
        <v>195</v>
      </c>
      <c r="FG6" s="3">
        <f>Setup!II4</f>
        <v>7</v>
      </c>
      <c r="FH6" s="3">
        <f>Setup!IJ4</f>
        <v>14</v>
      </c>
      <c r="FI6" s="3">
        <f>Setup!IK4</f>
        <v>5</v>
      </c>
      <c r="FJ6" s="10"/>
      <c r="FK6" s="10"/>
      <c r="FL6" s="10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</row>
    <row r="7">
      <c r="A7" s="1" t="str">
        <f>CONCATENATE(A8," TM")</f>
        <v>Deadlift TM</v>
      </c>
      <c r="B7" s="3">
        <f>if(D7="",'Quick Setup'!D7,D7/'Quick Setup'!E7)</f>
        <v>525</v>
      </c>
      <c r="C7" s="8" t="s">
        <v>75</v>
      </c>
      <c r="D7" s="10"/>
      <c r="E7" s="3"/>
      <c r="F7" s="3"/>
      <c r="G7" s="3"/>
      <c r="H7" s="3"/>
      <c r="I7" s="3"/>
      <c r="J7" s="3">
        <f>if(L7="", if(F8&lt;&gt;"", if((F8-D8)&lt;-1,B7*(1+Setup!F5),if((F8-D8)&lt;0,B7*(1+Setup!G5),if((F8-D8)=0,B7*(1+Setup!H5),if((F8-D8)=1,B7*(1+Setup!I5),if((F8-D8)=2,B7*(1+Setup!J5),if((F8-D8)=3,B7*(1+Setup!K5),if((F8-D8)=4,B7*(1+Setup!L5),if((F8-D8)&gt;4,B7*(1+Setup!M5),B7)))))))),B7),L7/'Quick Setup'!$E7)</f>
        <v>525</v>
      </c>
      <c r="K7" s="8" t="s">
        <v>75</v>
      </c>
      <c r="L7" s="10"/>
      <c r="M7" s="3"/>
      <c r="N7" s="3"/>
      <c r="O7" s="3"/>
      <c r="P7" s="3"/>
      <c r="Q7" s="3"/>
      <c r="R7" s="3">
        <f>if(T7="", if(N8&lt;&gt;"", if((N8-L8)&lt;-1,J7*(1+Setup!R5),if((N8-L8)&lt;0,J7*(1+Setup!S5),if((N8-L8)=0,J7*(1+Setup!T5),if((N8-L8)=1,J7*(1+Setup!U5),if((N8-L8)=2,J7*(1+Setup!V5),if((N8-L8)=3,J7*(1+Setup!W5),if((N8-L8)=4,J7*(1+Setup!X5),if((N8-L8)&gt;4,J7*(1+Setup!Y5),J7)))))))),J7),T7/'Quick Setup'!$E7)</f>
        <v>525</v>
      </c>
      <c r="S7" s="8" t="s">
        <v>75</v>
      </c>
      <c r="T7" s="10"/>
      <c r="U7" s="3"/>
      <c r="V7" s="3"/>
      <c r="W7" s="3"/>
      <c r="X7" s="3"/>
      <c r="Y7" s="3"/>
      <c r="Z7" s="3">
        <f>if(AB7="", if(V8&lt;&gt;"", if((V8-T8)&lt;-1,R7*(1+Setup!AD5),if((V8-T8)&lt;0,R7*(1+Setup!AE5),if((V8-T8)=0,R7*(1+Setup!AF5),if((V8-T8)=1,R7*(1+Setup!AG5),if((V8-T8)=2,R7*(1+Setup!AH5),if((V8-T8)=3,R7*(1+Setup!AI5),if((V8-T8)=4,R7*(1+Setup!AJ5),if((V8-T8)&gt;4,R7*(1+Setup!AK5),R7)))))))),R7),AB7/'Quick Setup'!$E7)</f>
        <v>525</v>
      </c>
      <c r="AA7" s="8" t="s">
        <v>75</v>
      </c>
      <c r="AB7" s="10"/>
      <c r="AC7" s="3"/>
      <c r="AD7" s="3"/>
      <c r="AE7" s="3"/>
      <c r="AF7" s="3"/>
      <c r="AG7" s="3"/>
      <c r="AH7" s="3">
        <f>if(AJ7="", if(AD8&lt;&gt;"", if((AD8-AB8)&lt;-1,Z7*(1+Setup!AP5),if((AD8-AB8)&lt;0,Z7*(1+Setup!AQ5),if((AD8-AB8)=0,Z7*(1+Setup!AR5),if((AD8-AB8)=1,Z7*(1+Setup!AS5),if((AD8-AB8)=2,Z7*(1+Setup!AT5),if((AD8-AB8)=3,Z7*(1+Setup!AU5),if((AD8-AB8)=4,Z7*(1+Setup!AV5),if((AD8-AB8)&gt;4,Z7*(1+Setup!AW5),Z7)))))))),Z7),AJ7/'Quick Setup'!$E7)</f>
        <v>525</v>
      </c>
      <c r="AI7" s="8" t="s">
        <v>75</v>
      </c>
      <c r="AJ7" s="10"/>
      <c r="AK7" s="3"/>
      <c r="AL7" s="3"/>
      <c r="AM7" s="3"/>
      <c r="AN7" s="3"/>
      <c r="AO7" s="3"/>
      <c r="AP7" s="3">
        <f>if(AR7="", if(AL8&lt;&gt;"", if((AL8-AJ8)&lt;-1,AH7*(1+Setup!BB5),if((AL8-AJ8)&lt;0,AH7*(1+Setup!BC5),if((AL8-AJ8)=0,AH7*(1+Setup!BD5),if((AL8-AJ8)=1,AH7*(1+Setup!BE5),if((AL8-AJ8)=2,AH7*(1+Setup!BF5),if((AL8-AJ8)=3,AH7*(1+Setup!BG5),if((AL8-AJ8)=4,AH7*(1+Setup!BH5),if((AL8-AJ8)&gt;4,AH7*(1+Setup!BI5),AH7)))))))),AH7),AR7/'Quick Setup'!$E7)</f>
        <v>525</v>
      </c>
      <c r="AQ7" s="8" t="s">
        <v>75</v>
      </c>
      <c r="AR7" s="10"/>
      <c r="AS7" s="3"/>
      <c r="AT7" s="3"/>
      <c r="AU7" s="3"/>
      <c r="AV7" s="3"/>
      <c r="AW7" s="3"/>
      <c r="AX7" s="3">
        <f>if(AZ7="", if(AT8&lt;&gt;"", if((AT8-AR8)&lt;-1,AP7*(1+Setup!BN5),if((AT8-AR8)&lt;0,AP7*(1+Setup!BO5),if((AT8-AR8)=0,AP7*(1+Setup!BP5),if((AT8-AR8)=1,AP7*(1+Setup!BQ5),if((AT8-AR8)=2,AP7*(1+Setup!BR5),if((AT8-AR8)=3,AP7*(1+Setup!BS5),if((AT8-AR8)=4,AP7*(1+Setup!BT5),if((AT8-AR8)&gt;4,AP7*(1+Setup!BU5),AP7)))))))),AP7),AZ7/'Quick Setup'!$E7)</f>
        <v>525</v>
      </c>
      <c r="AY7" s="8" t="s">
        <v>75</v>
      </c>
      <c r="AZ7" s="10"/>
      <c r="BA7" s="3"/>
      <c r="BB7" s="3"/>
      <c r="BC7" s="3"/>
      <c r="BD7" s="3"/>
      <c r="BE7" s="3"/>
      <c r="BF7" s="3">
        <f>if(BH7="", if(BB8&lt;&gt;"", if((BB8-AZ8)&lt;-1,AX7*(1+Setup!BZ5),if((BB8-AZ8)&lt;0,AX7*(1+Setup!CA5),if((BB8-AZ8)=0,AX7*(1+Setup!CB5),if((BB8-AZ8)=1,AX7*(1+Setup!CC5),if((BB8-AZ8)=2,AX7*(1+Setup!CD5),if((BB8-AZ8)=3,AX7*(1+Setup!CE5),if((BB8-AZ8)=4,AX7*(1+Setup!CF5),if((BB8-AZ8)&gt;4,AX7*(1+Setup!CG5),AX7)))))))),AX7),BH7/'Quick Setup'!$E7)</f>
        <v>525</v>
      </c>
      <c r="BG7" s="8" t="s">
        <v>75</v>
      </c>
      <c r="BH7" s="10"/>
      <c r="BI7" s="3"/>
      <c r="BJ7" s="3"/>
      <c r="BK7" s="3"/>
      <c r="BL7" s="3"/>
      <c r="BM7" s="3"/>
      <c r="BN7" s="3">
        <f>if(BP7="", if(BJ8&lt;&gt;"", if((BJ8-BH8)&lt;-1,BF7*(1+Setup!CL5),if((BJ8-BH8)&lt;0,BF7*(1+Setup!CM5),if((BJ8-BH8)=0,BF7*(1+Setup!CN5),if((BJ8-BH8)=1,BF7*(1+Setup!CO5),if((BJ8-BH8)=2,BF7*(1+Setup!CP5),if((BJ8-BH8)=3,BF7*(1+Setup!CQ5),if((BJ8-BH8)=4,BF7*(1+Setup!CR5),if((BJ8-BH8)&gt;4,BF7*(1+Setup!CS5),BF7)))))))),BF7),BP7/'Quick Setup'!$E7)</f>
        <v>525</v>
      </c>
      <c r="BO7" s="8" t="s">
        <v>75</v>
      </c>
      <c r="BP7" s="10"/>
      <c r="BQ7" s="3"/>
      <c r="BR7" s="3"/>
      <c r="BS7" s="3"/>
      <c r="BT7" s="3"/>
      <c r="BU7" s="3"/>
      <c r="BV7" s="3">
        <f>if(BX7="", if(BR8&lt;&gt;"", if((BR8-BP8)&lt;-1,BN7*(1+Setup!CX5),if((BR8-BP8)&lt;0,BN7*(1+Setup!CY5),if((BR8-BP8)=0,BN7*(1+Setup!CZ5),if((BR8-BP8)=1,BN7*(1+Setup!DA5),if((BR8-BP8)=2,BN7*(1+Setup!DB5),if((BR8-BP8)=3,BN7*(1+Setup!DC5),if((BR8-BP8)=4,BN7*(1+Setup!DD5),if((BR8-BP8)&gt;4,BN7*(1+Setup!DE5),BN7)))))))),BN7),BX7/'Quick Setup'!$E7)</f>
        <v>525</v>
      </c>
      <c r="BW7" s="8" t="s">
        <v>75</v>
      </c>
      <c r="BX7" s="10"/>
      <c r="BY7" s="3"/>
      <c r="BZ7" s="3"/>
      <c r="CA7" s="3"/>
      <c r="CB7" s="3"/>
      <c r="CC7" s="3"/>
      <c r="CD7" s="3">
        <f>if(CF7="", if(BZ8&lt;&gt;"", if((BZ8-BX8)&lt;-1,BV7*(1+Setup!DJ5),if((BZ8-BX8)&lt;0,BV7*(1+Setup!DK5),if((BZ8-BX8)=0,BV7*(1+Setup!DL5),if((BZ8-BX8)=1,BV7*(1+Setup!DM5),if((BZ8-BX8)=2,BV7*(1+Setup!DN5),if((BZ8-BX8)=3,BV7*(1+Setup!DO5),if((BZ8-BX8)=4,BV7*(1+Setup!DP5),if((BZ8-BX8)&gt;4,BV7*(1+Setup!DQ5),BV7)))))))),BV7),CF7/'Quick Setup'!$E7)</f>
        <v>525</v>
      </c>
      <c r="CE7" s="8" t="s">
        <v>75</v>
      </c>
      <c r="CF7" s="10"/>
      <c r="CG7" s="3"/>
      <c r="CH7" s="3"/>
      <c r="CI7" s="3"/>
      <c r="CJ7" s="3"/>
      <c r="CK7" s="3"/>
      <c r="CL7" s="3">
        <f>if(CN7="", if(CH8&lt;&gt;"", if((CH8-CF8)&lt;-1,CD7*(1+Setup!DV5),if((CH8-CF8)&lt;0,CD7*(1+Setup!DW5),if((CH8-CF8)=0,CD7*(1+Setup!DX5),if((CH8-CF8)=1,CD7*(1+Setup!DY5),if((CH8-CF8)=2,CD7*(1+Setup!DZ5),if((CH8-CF8)=3,CD7*(1+Setup!EA5),if((CH8-CF8)=4,CD7*(1+Setup!EB5),if((CH8-CF8)&gt;4,CD7*(1+Setup!EC5),CD7)))))))),CD7),CN7/'Quick Setup'!$E7)</f>
        <v>525</v>
      </c>
      <c r="CM7" s="8" t="s">
        <v>75</v>
      </c>
      <c r="CN7" s="10"/>
      <c r="CO7" s="3"/>
      <c r="CP7" s="3"/>
      <c r="CQ7" s="3"/>
      <c r="CR7" s="3"/>
      <c r="CS7" s="3"/>
      <c r="CT7" s="3">
        <f>if(CV7="", if(CP8&lt;&gt;"", if((CP8-CN8)&lt;-1,CL7*(1+Setup!EH5),if((CP8-CN8)&lt;0,CL7*(1+Setup!EI5),if((CP8-CN8)=0,CL7*(1+Setup!EJ5),if((CP8-CN8)=1,CL7*(1+Setup!EK5),if((CP8-CN8)=2,CL7*(1+Setup!EL5),if((CP8-CN8)=3,CL7*(1+Setup!EM5),if((CP8-CN8)=4,CL7*(1+Setup!EN5),if((CP8-CN8)&gt;4,CL7*(1+Setup!EO5),CL7)))))))),CL7),CV7/'Quick Setup'!$E7)</f>
        <v>525</v>
      </c>
      <c r="CU7" s="8" t="s">
        <v>75</v>
      </c>
      <c r="CV7" s="10"/>
      <c r="CW7" s="3"/>
      <c r="CX7" s="3"/>
      <c r="CY7" s="3"/>
      <c r="CZ7" s="3"/>
      <c r="DA7" s="3"/>
      <c r="DB7" s="3">
        <f>if(DD7="", if(CX8&lt;&gt;"", if((CX8-CV8)&lt;-1,CT7*(1+Setup!ET5),if((CX8-CV8)&lt;0,CT7*(1+Setup!EU5),if((CX8-CV8)=0,CT7*(1+Setup!EV5),if((CX8-CV8)=1,CT7*(1+Setup!EW5),if((CX8-CV8)=2,CT7*(1+Setup!EX5),if((CX8-CV8)=3,CT7*(1+Setup!EY5),if((CX8-CV8)=4,CT7*(1+Setup!EZ5),if((CX8-CV8)&gt;4,CT7*(1+Setup!FA5),CT7)))))))),CT7),DD7/'Quick Setup'!$E7)</f>
        <v>525</v>
      </c>
      <c r="DC7" s="8" t="s">
        <v>75</v>
      </c>
      <c r="DD7" s="10"/>
      <c r="DE7" s="3"/>
      <c r="DF7" s="3"/>
      <c r="DG7" s="3"/>
      <c r="DH7" s="3"/>
      <c r="DI7" s="3"/>
      <c r="DJ7" s="3">
        <f>if(DL7="", if(DF8&lt;&gt;"", if((DF8-DD8)&lt;-1,DB7*(1+Setup!FF5),if((DF8-DD8)&lt;0,DB7*(1+Setup!FG5),if((DF8-DD8)=0,DB7*(1+Setup!FH5),if((DF8-DD8)=1,DB7*(1+Setup!FI5),if((DF8-DD8)=2,DB7*(1+Setup!FJ5),if((DF8-DD8)=3,DB7*(1+Setup!FK5),if((DF8-DD8)=4,DB7*(1+Setup!FL5),if((DF8-DD8)&gt;4,DB7*(1+Setup!FM5),DB7)))))))),DB7),DL7/'Quick Setup'!$E7)</f>
        <v>525</v>
      </c>
      <c r="DK7" s="8" t="s">
        <v>75</v>
      </c>
      <c r="DL7" s="10"/>
      <c r="DM7" s="3"/>
      <c r="DN7" s="3"/>
      <c r="DO7" s="3"/>
      <c r="DP7" s="3"/>
      <c r="DQ7" s="3"/>
      <c r="DR7" s="3">
        <f>if(DT7="", if(DN8&lt;&gt;"", if((DN8-DL8)&lt;-1,DJ7*(1+Setup!FR5),if((DN8-DL8)&lt;0,DJ7*(1+Setup!FS5),if((DN8-DL8)=0,DJ7*(1+Setup!FT5),if((DN8-DL8)=1,DJ7*(1+Setup!FU5),if((DN8-DL8)=2,DJ7*(1+Setup!FV5),if((DN8-DL8)=3,DJ7*(1+Setup!FW5),if((DN8-DL8)=4,DJ7*(1+Setup!FX5),if((DN8-DL8)&gt;4,DJ7*(1+Setup!FY5),DJ7)))))))),DJ7),DT7/'Quick Setup'!$E7)</f>
        <v>525</v>
      </c>
      <c r="DS7" s="8" t="s">
        <v>75</v>
      </c>
      <c r="DT7" s="10"/>
      <c r="DU7" s="3"/>
      <c r="DV7" s="3"/>
      <c r="DW7" s="3"/>
      <c r="DX7" s="3"/>
      <c r="DY7" s="3"/>
      <c r="DZ7" s="3">
        <f>if(EB7="", if(DV8&lt;&gt;"", if((DV8-DT8)&lt;-1,DR7*(1+Setup!GD5),if((DV8-DT8)&lt;0,DR7*(1+Setup!GE5),if((DV8-DT8)=0,DR7*(1+Setup!GF5),if((DV8-DT8)=1,DR7*(1+Setup!GG5),if((DV8-DT8)=2,DR7*(1+Setup!GH5),if((DV8-DT8)=3,DR7*(1+Setup!GI5),if((DV8-DT8)=4,DR7*(1+Setup!GJ5),if((DV8-DT8)&gt;4,DR7*(1+Setup!GK5),DR7)))))))),DR7),EB7/'Quick Setup'!$E7)</f>
        <v>525</v>
      </c>
      <c r="EA7" s="8" t="s">
        <v>75</v>
      </c>
      <c r="EB7" s="10"/>
      <c r="EC7" s="3"/>
      <c r="ED7" s="3"/>
      <c r="EE7" s="3"/>
      <c r="EF7" s="3"/>
      <c r="EG7" s="3"/>
      <c r="EH7" s="3">
        <f>if(EJ7="", if(ED8&lt;&gt;"", if((ED8-EB8)&lt;-1,DZ7*(1+Setup!GP5),if((ED8-EB8)&lt;0,DZ7*(1+Setup!GQ5),if((ED8-EB8)=0,DZ7*(1+Setup!GR5),if((ED8-EB8)=1,DZ7*(1+Setup!GS5),if((ED8-EB8)=2,DZ7*(1+Setup!GT5),if((ED8-EB8)=3,DZ7*(1+Setup!GU5),if((ED8-EB8)=4,DZ7*(1+Setup!GV5),if((ED8-EB8)&gt;4,DZ7*(1+Setup!GW5),DZ7)))))))),DZ7),EJ7/'Quick Setup'!$E7)</f>
        <v>525</v>
      </c>
      <c r="EI7" s="8" t="s">
        <v>75</v>
      </c>
      <c r="EJ7" s="10"/>
      <c r="EK7" s="3"/>
      <c r="EL7" s="3"/>
      <c r="EM7" s="3"/>
      <c r="EN7" s="3"/>
      <c r="EO7" s="3"/>
      <c r="EP7" s="3">
        <f>if(ER7="", if(EL8&lt;&gt;"", if((EL8-EJ8)&lt;-1,EH7*(1+Setup!HB5),if((EL8-EJ8)&lt;0,EH7*(1+Setup!HC5),if((EL8-EJ8)=0,EH7*(1+Setup!HD5),if((EL8-EJ8)=1,EH7*(1+Setup!HE5),if((EL8-EJ8)=2,EH7*(1+Setup!HF5),if((EL8-EJ8)=3,EH7*(1+Setup!HG5),if((EL8-EJ8)=4,EH7*(1+Setup!HH5),if((EL8-EJ8)&gt;4,EH7*(1+Setup!HI5),EH7)))))))),EH7),ER7/'Quick Setup'!$E7)</f>
        <v>525</v>
      </c>
      <c r="EQ7" s="8" t="s">
        <v>75</v>
      </c>
      <c r="ER7" s="10"/>
      <c r="ES7" s="3"/>
      <c r="ET7" s="3"/>
      <c r="EU7" s="3"/>
      <c r="EV7" s="3"/>
      <c r="EW7" s="3"/>
      <c r="EX7" s="3">
        <f>if(EZ7="", if(ET8&lt;&gt;"", if((ET8-ER8)&lt;-1,EP7*(1+Setup!HN5),if((ET8-ER8)&lt;0,EP7*(1+Setup!HO5),if((ET8-ER8)=0,EP7*(1+Setup!HP5),if((ET8-ER8)=1,EP7*(1+Setup!HQ5),if((ET8-ER8)=2,EP7*(1+Setup!HR5),if((ET8-ER8)=3,EP7*(1+Setup!HS5),if((ET8-ER8)=4,EP7*(1+Setup!HT5),if((ET8-ER8)&gt;4,EP7*(1+Setup!HU5),EP7)))))))),EP7),EZ7/'Quick Setup'!$E7)</f>
        <v>525</v>
      </c>
      <c r="EY7" s="8" t="s">
        <v>75</v>
      </c>
      <c r="EZ7" s="10"/>
      <c r="FA7" s="3"/>
      <c r="FB7" s="3"/>
      <c r="FC7" s="3"/>
      <c r="FD7" s="3"/>
      <c r="FE7" s="3"/>
      <c r="FF7" s="3">
        <f>if(FH7="", if(FB8&lt;&gt;"", if((FB8-EZ8)&lt;-1,EX7*(1+Setup!HZ5),if((FB8-EZ8)&lt;0,EX7*(1+Setup!IA5),if((FB8-EZ8)=0,EX7*(1+Setup!IB5),if((FB8-EZ8)=1,EX7*(1+Setup!IC5),if((FB8-EZ8)=2,EX7*(1+Setup!ID5),if((FB8-EZ8)=3,EX7*(1+Setup!IE5),if((FB8-EZ8)=4,EX7*(1+Setup!IF5),if((FB8-EZ8)&gt;4,EX7*(1+Setup!IG5),EX7)))))))),EX7),FH7/'Quick Setup'!$E7)</f>
        <v>525</v>
      </c>
      <c r="FG7" s="8" t="s">
        <v>75</v>
      </c>
      <c r="FH7" s="10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</row>
    <row r="8">
      <c r="A8" s="1" t="str">
        <f>Setup!A5</f>
        <v>Deadlift</v>
      </c>
      <c r="B8" s="3">
        <f>mround(B7*Setup!B5,'Quick Setup'!$A$2)</f>
        <v>367.5</v>
      </c>
      <c r="C8" s="3">
        <f>Setup!C5</f>
        <v>5</v>
      </c>
      <c r="D8" s="3">
        <f>Setup!D5</f>
        <v>10</v>
      </c>
      <c r="E8" s="3">
        <f>Setup!E5</f>
        <v>5</v>
      </c>
      <c r="F8" s="10"/>
      <c r="G8" s="10"/>
      <c r="H8" s="10"/>
      <c r="I8" s="3"/>
      <c r="J8" s="3">
        <f>mround(J7*Setup!N5,'Quick Setup'!$A$2)</f>
        <v>395</v>
      </c>
      <c r="K8" s="3">
        <f>Setup!O5</f>
        <v>4</v>
      </c>
      <c r="L8" s="3">
        <f>Setup!P5</f>
        <v>8</v>
      </c>
      <c r="M8" s="3">
        <f>Setup!Q5</f>
        <v>5</v>
      </c>
      <c r="N8" s="10"/>
      <c r="O8" s="10"/>
      <c r="P8" s="10"/>
      <c r="Q8" s="3"/>
      <c r="R8" s="3">
        <f>mround(R7*Setup!Z5,'Quick Setup'!$A$2)</f>
        <v>420</v>
      </c>
      <c r="S8" s="3">
        <f>Setup!AA5</f>
        <v>3</v>
      </c>
      <c r="T8" s="3">
        <f>Setup!AB5</f>
        <v>6</v>
      </c>
      <c r="U8" s="3">
        <f>Setup!AC5</f>
        <v>5</v>
      </c>
      <c r="V8" s="10"/>
      <c r="W8" s="10"/>
      <c r="X8" s="10"/>
      <c r="Y8" s="3"/>
      <c r="Z8" s="3">
        <f>mround(Z7*Setup!AL5,'Quick Setup'!$A$2)</f>
        <v>380</v>
      </c>
      <c r="AA8" s="3">
        <f>Setup!AM5</f>
        <v>5</v>
      </c>
      <c r="AB8" s="3">
        <f>Setup!AN5</f>
        <v>9</v>
      </c>
      <c r="AC8" s="3">
        <f>Setup!AO5</f>
        <v>5</v>
      </c>
      <c r="AD8" s="10"/>
      <c r="AE8" s="10"/>
      <c r="AF8" s="10"/>
      <c r="AG8" s="3"/>
      <c r="AH8" s="3">
        <f>mround(AH7*Setup!AX5,'Quick Setup'!$A$2)</f>
        <v>407.5</v>
      </c>
      <c r="AI8" s="3">
        <f>Setup!AY5</f>
        <v>4</v>
      </c>
      <c r="AJ8" s="3">
        <f>Setup!AZ5</f>
        <v>7</v>
      </c>
      <c r="AK8" s="3">
        <f>Setup!BA5</f>
        <v>5</v>
      </c>
      <c r="AL8" s="10"/>
      <c r="AM8" s="10"/>
      <c r="AN8" s="10"/>
      <c r="AO8" s="3"/>
      <c r="AP8" s="3">
        <f>mround(AP7*Setup!BJ5,'Quick Setup'!$A$2)</f>
        <v>432.5</v>
      </c>
      <c r="AQ8" s="3">
        <f>Setup!BK5</f>
        <v>3</v>
      </c>
      <c r="AR8" s="3">
        <f>Setup!BL5</f>
        <v>5</v>
      </c>
      <c r="AS8" s="3">
        <f>Setup!BM5</f>
        <v>5</v>
      </c>
      <c r="AT8" s="10"/>
      <c r="AU8" s="10"/>
      <c r="AV8" s="10"/>
      <c r="AW8" s="3"/>
      <c r="AX8" s="3">
        <f>mround(AX7*Setup!BV5,'Quick Setup'!$A$2)</f>
        <v>315</v>
      </c>
      <c r="AY8" s="3">
        <f>Setup!BW5</f>
        <v>7</v>
      </c>
      <c r="AZ8" s="3">
        <f>Setup!BX5</f>
        <v>14</v>
      </c>
      <c r="BA8" s="3">
        <f>Setup!BY5</f>
        <v>5</v>
      </c>
      <c r="BB8" s="10"/>
      <c r="BC8" s="10"/>
      <c r="BD8" s="10"/>
      <c r="BE8" s="3"/>
      <c r="BF8" s="3">
        <f>mround(BF7*Setup!CH5,'Quick Setup'!$A$2)</f>
        <v>395</v>
      </c>
      <c r="BG8" s="3">
        <f>Setup!CI5</f>
        <v>4</v>
      </c>
      <c r="BH8" s="3">
        <f>Setup!CJ5</f>
        <v>8</v>
      </c>
      <c r="BI8" s="3">
        <f>Setup!CK5</f>
        <v>5</v>
      </c>
      <c r="BJ8" s="10"/>
      <c r="BK8" s="10"/>
      <c r="BL8" s="10"/>
      <c r="BM8" s="3"/>
      <c r="BN8" s="3">
        <f>mround(BN7*Setup!CT5,'Quick Setup'!$A$2)</f>
        <v>420</v>
      </c>
      <c r="BO8" s="3">
        <f>Setup!CU5</f>
        <v>3</v>
      </c>
      <c r="BP8" s="3">
        <f>Setup!CV5</f>
        <v>6</v>
      </c>
      <c r="BQ8" s="3">
        <f>Setup!CW5</f>
        <v>5</v>
      </c>
      <c r="BR8" s="10"/>
      <c r="BS8" s="10"/>
      <c r="BT8" s="10"/>
      <c r="BU8" s="3"/>
      <c r="BV8" s="3">
        <f>mround(BV7*Setup!DF5,'Quick Setup'!$A$2)</f>
        <v>447.5</v>
      </c>
      <c r="BW8" s="3">
        <f>Setup!DG5</f>
        <v>2</v>
      </c>
      <c r="BX8" s="3">
        <f>Setup!DH5</f>
        <v>4</v>
      </c>
      <c r="BY8" s="3">
        <f>Setup!DI5</f>
        <v>5</v>
      </c>
      <c r="BZ8" s="10"/>
      <c r="CA8" s="10"/>
      <c r="CB8" s="10"/>
      <c r="CC8" s="3"/>
      <c r="CD8" s="3">
        <f>mround(CD7*Setup!DR5,'Quick Setup'!$A$2)</f>
        <v>407.5</v>
      </c>
      <c r="CE8" s="3">
        <f>Setup!DS5</f>
        <v>4</v>
      </c>
      <c r="CF8" s="3">
        <f>Setup!DT5</f>
        <v>7</v>
      </c>
      <c r="CG8" s="3">
        <f>Setup!DU5</f>
        <v>5</v>
      </c>
      <c r="CH8" s="10"/>
      <c r="CI8" s="10"/>
      <c r="CJ8" s="10"/>
      <c r="CK8" s="3"/>
      <c r="CL8" s="3">
        <f>mround(CL7*Setup!ED5,'Quick Setup'!$A$2)</f>
        <v>432.5</v>
      </c>
      <c r="CM8" s="3">
        <f>Setup!EE5</f>
        <v>3</v>
      </c>
      <c r="CN8" s="3">
        <f>Setup!EF5</f>
        <v>5</v>
      </c>
      <c r="CO8" s="3">
        <f>Setup!EG5</f>
        <v>5</v>
      </c>
      <c r="CP8" s="10"/>
      <c r="CQ8" s="10"/>
      <c r="CR8" s="10"/>
      <c r="CS8" s="3"/>
      <c r="CT8" s="3">
        <f>mround(CT7*Setup!EP5,'Quick Setup'!$A$2)</f>
        <v>460</v>
      </c>
      <c r="CU8" s="3">
        <f>Setup!EQ5</f>
        <v>2</v>
      </c>
      <c r="CV8" s="3">
        <f>Setup!ER5</f>
        <v>3</v>
      </c>
      <c r="CW8" s="3">
        <f>Setup!ES5</f>
        <v>5</v>
      </c>
      <c r="CX8" s="10"/>
      <c r="CY8" s="10"/>
      <c r="CZ8" s="10"/>
      <c r="DA8" s="3"/>
      <c r="DB8" s="3">
        <f>mround(DB7*Setup!FB5,'Quick Setup'!$A$2)</f>
        <v>315</v>
      </c>
      <c r="DC8" s="3">
        <f>Setup!FC5</f>
        <v>7</v>
      </c>
      <c r="DD8" s="3">
        <f>Setup!FD5</f>
        <v>14</v>
      </c>
      <c r="DE8" s="3">
        <f>Setup!FE5</f>
        <v>5</v>
      </c>
      <c r="DF8" s="10"/>
      <c r="DG8" s="10"/>
      <c r="DH8" s="10"/>
      <c r="DI8" s="3"/>
      <c r="DJ8" s="3">
        <f>mround(DJ7*Setup!FN5,'Quick Setup'!$A$2)</f>
        <v>420</v>
      </c>
      <c r="DK8" s="3">
        <f>Setup!FO5</f>
        <v>3</v>
      </c>
      <c r="DL8" s="3">
        <f>Setup!FP5</f>
        <v>6</v>
      </c>
      <c r="DM8" s="3">
        <f>Setup!FQ5</f>
        <v>5</v>
      </c>
      <c r="DN8" s="10"/>
      <c r="DO8" s="10"/>
      <c r="DP8" s="10"/>
      <c r="DQ8" s="3"/>
      <c r="DR8" s="3">
        <f>mround(DR7*Setup!FZ5,'Quick Setup'!$A$2)</f>
        <v>447.5</v>
      </c>
      <c r="DS8" s="3">
        <f>Setup!GA5</f>
        <v>2</v>
      </c>
      <c r="DT8" s="3">
        <f>Setup!GB5</f>
        <v>4</v>
      </c>
      <c r="DU8" s="3">
        <f>Setup!GC5</f>
        <v>5</v>
      </c>
      <c r="DV8" s="10"/>
      <c r="DW8" s="10"/>
      <c r="DX8" s="10"/>
      <c r="DY8" s="3"/>
      <c r="DZ8" s="3">
        <f>mround(DZ7*Setup!GL5,'Quick Setup'!$A$2)</f>
        <v>472.5</v>
      </c>
      <c r="EA8" s="3">
        <f>Setup!GM5</f>
        <v>1</v>
      </c>
      <c r="EB8" s="3">
        <f>Setup!GN5</f>
        <v>2</v>
      </c>
      <c r="EC8" s="3">
        <f>Setup!GO5</f>
        <v>5</v>
      </c>
      <c r="ED8" s="10"/>
      <c r="EE8" s="10"/>
      <c r="EF8" s="10"/>
      <c r="EG8" s="3"/>
      <c r="EH8" s="3">
        <f>mround(EH7*Setup!GX5,'Quick Setup'!$A$2)</f>
        <v>447.5</v>
      </c>
      <c r="EI8" s="3">
        <f>Setup!GY5</f>
        <v>2</v>
      </c>
      <c r="EJ8" s="3">
        <f>Setup!GZ5</f>
        <v>4</v>
      </c>
      <c r="EK8" s="3">
        <f>Setup!HA5</f>
        <v>5</v>
      </c>
      <c r="EL8" s="10"/>
      <c r="EM8" s="10"/>
      <c r="EN8" s="10"/>
      <c r="EO8" s="3"/>
      <c r="EP8" s="3">
        <f>mround(EP7*Setup!HJ5,'Quick Setup'!$A$2)</f>
        <v>472.5</v>
      </c>
      <c r="EQ8" s="3">
        <f>Setup!HK5</f>
        <v>1</v>
      </c>
      <c r="ER8" s="3">
        <f>Setup!HL5</f>
        <v>2</v>
      </c>
      <c r="ES8" s="3">
        <f>Setup!HM5</f>
        <v>5</v>
      </c>
      <c r="ET8" s="10"/>
      <c r="EU8" s="10"/>
      <c r="EV8" s="10"/>
      <c r="EW8" s="3"/>
      <c r="EX8" s="3">
        <f>mround(EX7*Setup!HV5,'Quick Setup'!$A$2)</f>
        <v>500</v>
      </c>
      <c r="EY8" s="3">
        <f>Setup!HW5</f>
        <v>1</v>
      </c>
      <c r="EZ8" s="3">
        <f>Setup!HX5</f>
        <v>1</v>
      </c>
      <c r="FA8" s="3">
        <f>Setup!HY5</f>
        <v>5</v>
      </c>
      <c r="FB8" s="10"/>
      <c r="FC8" s="10"/>
      <c r="FD8" s="10"/>
      <c r="FE8" s="3"/>
      <c r="FF8" s="3">
        <f>mround(FF7*Setup!IH5,'Quick Setup'!$A$2)</f>
        <v>315</v>
      </c>
      <c r="FG8" s="3">
        <f>Setup!II5</f>
        <v>7</v>
      </c>
      <c r="FH8" s="3">
        <f>Setup!IJ5</f>
        <v>14</v>
      </c>
      <c r="FI8" s="3">
        <f>Setup!IK5</f>
        <v>5</v>
      </c>
      <c r="FJ8" s="10"/>
      <c r="FK8" s="10"/>
      <c r="FL8" s="10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</row>
    <row r="9">
      <c r="A9" s="1" t="str">
        <f>CONCATENATE(A10," TM")</f>
        <v>OHP TM</v>
      </c>
      <c r="B9" s="3">
        <f>if(D9="",'Quick Setup'!D8,D9/'Quick Setup'!E8)</f>
        <v>200</v>
      </c>
      <c r="C9" s="8" t="s">
        <v>75</v>
      </c>
      <c r="D9" s="10"/>
      <c r="E9" s="3"/>
      <c r="F9" s="3"/>
      <c r="G9" s="3"/>
      <c r="H9" s="3"/>
      <c r="I9" s="3"/>
      <c r="J9" s="3">
        <f>if(L9="", if(F10&lt;&gt;"", if((F10-D10)&lt;-1,B9*(1+Setup!F6),if((F10-D10)&lt;0,B9*(1+Setup!G6),if((F10-D10)=0,B9*(1+Setup!H6),if((F10-D10)=1,B9*(1+Setup!I6),if((F10-D10)=2,B9*(1+Setup!J6),if((F10-D10)=3,B9*(1+Setup!K6),if((F10-D10)=4,B9*(1+Setup!L6),if((F10-D10)&gt;4,B9*(1+Setup!M6),B9)))))))),B9),L9/'Quick Setup'!$E8)</f>
        <v>200</v>
      </c>
      <c r="K9" s="8" t="s">
        <v>75</v>
      </c>
      <c r="L9" s="10"/>
      <c r="M9" s="3"/>
      <c r="N9" s="3"/>
      <c r="O9" s="3"/>
      <c r="P9" s="3"/>
      <c r="Q9" s="3"/>
      <c r="R9" s="3">
        <f>if(T9="", if(N10&lt;&gt;"", if((N10-L10)&lt;-1,J9*(1+Setup!R6),if((N10-L10)&lt;0,J9*(1+Setup!S6),if((N10-L10)=0,J9*(1+Setup!T6),if((N10-L10)=1,J9*(1+Setup!U6),if((N10-L10)=2,J9*(1+Setup!V6),if((N10-L10)=3,J9*(1+Setup!W6),if((N10-L10)=4,J9*(1+Setup!X6),if((N10-L10)&gt;4,J9*(1+Setup!Y6),J9)))))))),J9),T9/'Quick Setup'!$E8)</f>
        <v>200</v>
      </c>
      <c r="S9" s="8" t="s">
        <v>75</v>
      </c>
      <c r="T9" s="10"/>
      <c r="U9" s="3"/>
      <c r="V9" s="3"/>
      <c r="W9" s="3"/>
      <c r="X9" s="3"/>
      <c r="Y9" s="3"/>
      <c r="Z9" s="3">
        <f>if(AB9="", if(V10&lt;&gt;"", if((V10-T10)&lt;-1,R9*(1+Setup!AD6),if((V10-T10)&lt;0,R9*(1+Setup!AE6),if((V10-T10)=0,R9*(1+Setup!AF6),if((V10-T10)=1,R9*(1+Setup!AG6),if((V10-T10)=2,R9*(1+Setup!AH6),if((V10-T10)=3,R9*(1+Setup!AI6),if((V10-T10)=4,R9*(1+Setup!AJ6),if((V10-T10)&gt;4,R9*(1+Setup!AK6),R9)))))))),R9),AB9/'Quick Setup'!$E8)</f>
        <v>200</v>
      </c>
      <c r="AA9" s="8" t="s">
        <v>75</v>
      </c>
      <c r="AB9" s="10"/>
      <c r="AC9" s="3"/>
      <c r="AD9" s="3"/>
      <c r="AE9" s="3"/>
      <c r="AF9" s="3"/>
      <c r="AG9" s="3"/>
      <c r="AH9" s="3">
        <f>if(AJ9="", if(AD10&lt;&gt;"", if((AD10-AB10)&lt;-1,Z9*(1+Setup!AP6),if((AD10-AB10)&lt;0,Z9*(1+Setup!AQ6),if((AD10-AB10)=0,Z9*(1+Setup!AR6),if((AD10-AB10)=1,Z9*(1+Setup!AS6),if((AD10-AB10)=2,Z9*(1+Setup!AT6),if((AD10-AB10)=3,Z9*(1+Setup!AU6),if((AD10-AB10)=4,Z9*(1+Setup!AV6),if((AD10-AB10)&gt;4,Z9*(1+Setup!AW6),Z9)))))))),Z9),AJ9/'Quick Setup'!$E8)</f>
        <v>200</v>
      </c>
      <c r="AI9" s="8" t="s">
        <v>75</v>
      </c>
      <c r="AJ9" s="10"/>
      <c r="AK9" s="3"/>
      <c r="AL9" s="3"/>
      <c r="AM9" s="3"/>
      <c r="AN9" s="3"/>
      <c r="AO9" s="3"/>
      <c r="AP9" s="3">
        <f>if(AR9="", if(AL10&lt;&gt;"", if((AL10-AJ10)&lt;-1,AH9*(1+Setup!BB6),if((AL10-AJ10)&lt;0,AH9*(1+Setup!BC6),if((AL10-AJ10)=0,AH9*(1+Setup!BD6),if((AL10-AJ10)=1,AH9*(1+Setup!BE6),if((AL10-AJ10)=2,AH9*(1+Setup!BF6),if((AL10-AJ10)=3,AH9*(1+Setup!BG6),if((AL10-AJ10)=4,AH9*(1+Setup!BH6),if((AL10-AJ10)&gt;4,AH9*(1+Setup!BI6),AH9)))))))),AH9),AR9/'Quick Setup'!$E8)</f>
        <v>200</v>
      </c>
      <c r="AQ9" s="8" t="s">
        <v>75</v>
      </c>
      <c r="AR9" s="10"/>
      <c r="AS9" s="3"/>
      <c r="AT9" s="3"/>
      <c r="AU9" s="3"/>
      <c r="AV9" s="3"/>
      <c r="AW9" s="3"/>
      <c r="AX9" s="3">
        <f>if(AZ9="", if(AT10&lt;&gt;"", if((AT10-AR10)&lt;-1,AP9*(1+Setup!BN6),if((AT10-AR10)&lt;0,AP9*(1+Setup!BO6),if((AT10-AR10)=0,AP9*(1+Setup!BP6),if((AT10-AR10)=1,AP9*(1+Setup!BQ6),if((AT10-AR10)=2,AP9*(1+Setup!BR6),if((AT10-AR10)=3,AP9*(1+Setup!BS6),if((AT10-AR10)=4,AP9*(1+Setup!BT6),if((AT10-AR10)&gt;4,AP9*(1+Setup!BU6),AP9)))))))),AP9),AZ9/'Quick Setup'!$E8)</f>
        <v>200</v>
      </c>
      <c r="AY9" s="8" t="s">
        <v>75</v>
      </c>
      <c r="AZ9" s="10"/>
      <c r="BA9" s="3"/>
      <c r="BB9" s="3"/>
      <c r="BC9" s="3"/>
      <c r="BD9" s="3"/>
      <c r="BE9" s="3"/>
      <c r="BF9" s="3">
        <f>if(BH9="", if(BB10&lt;&gt;"", if((BB10-AZ10)&lt;-1,AX9*(1+Setup!BZ6),if((BB10-AZ10)&lt;0,AX9*(1+Setup!CA6),if((BB10-AZ10)=0,AX9*(1+Setup!CB6),if((BB10-AZ10)=1,AX9*(1+Setup!CC6),if((BB10-AZ10)=2,AX9*(1+Setup!CD6),if((BB10-AZ10)=3,AX9*(1+Setup!CE6),if((BB10-AZ10)=4,AX9*(1+Setup!CF6),if((BB10-AZ10)&gt;4,AX9*(1+Setup!CG6),AX9)))))))),AX9),BH9/'Quick Setup'!$E8)</f>
        <v>200</v>
      </c>
      <c r="BG9" s="8" t="s">
        <v>75</v>
      </c>
      <c r="BH9" s="10"/>
      <c r="BI9" s="3"/>
      <c r="BJ9" s="3"/>
      <c r="BK9" s="3"/>
      <c r="BL9" s="3"/>
      <c r="BM9" s="3"/>
      <c r="BN9" s="3">
        <f>if(BP9="", if(BJ10&lt;&gt;"", if((BJ10-BH10)&lt;-1,BF9*(1+Setup!CL6),if((BJ10-BH10)&lt;0,BF9*(1+Setup!CM6),if((BJ10-BH10)=0,BF9*(1+Setup!CN6),if((BJ10-BH10)=1,BF9*(1+Setup!CO6),if((BJ10-BH10)=2,BF9*(1+Setup!CP6),if((BJ10-BH10)=3,BF9*(1+Setup!CQ6),if((BJ10-BH10)=4,BF9*(1+Setup!CR6),if((BJ10-BH10)&gt;4,BF9*(1+Setup!CS6),BF9)))))))),BF9),BP9/'Quick Setup'!$E8)</f>
        <v>200</v>
      </c>
      <c r="BO9" s="8" t="s">
        <v>75</v>
      </c>
      <c r="BP9" s="10"/>
      <c r="BQ9" s="3"/>
      <c r="BR9" s="3"/>
      <c r="BS9" s="3"/>
      <c r="BT9" s="3"/>
      <c r="BU9" s="3"/>
      <c r="BV9" s="3">
        <f>if(BX9="", if(BR10&lt;&gt;"", if((BR10-BP10)&lt;-1,BN9*(1+Setup!CX6),if((BR10-BP10)&lt;0,BN9*(1+Setup!CY6),if((BR10-BP10)=0,BN9*(1+Setup!CZ6),if((BR10-BP10)=1,BN9*(1+Setup!DA6),if((BR10-BP10)=2,BN9*(1+Setup!DB6),if((BR10-BP10)=3,BN9*(1+Setup!DC6),if((BR10-BP10)=4,BN9*(1+Setup!DD6),if((BR10-BP10)&gt;4,BN9*(1+Setup!DE6),BN9)))))))),BN9),BX9/'Quick Setup'!$E8)</f>
        <v>200</v>
      </c>
      <c r="BW9" s="8" t="s">
        <v>75</v>
      </c>
      <c r="BX9" s="10"/>
      <c r="BY9" s="3"/>
      <c r="BZ9" s="3"/>
      <c r="CA9" s="3"/>
      <c r="CB9" s="3"/>
      <c r="CC9" s="3"/>
      <c r="CD9" s="3">
        <f>if(CF9="", if(BZ10&lt;&gt;"", if((BZ10-BX10)&lt;-1,BV9*(1+Setup!DJ6),if((BZ10-BX10)&lt;0,BV9*(1+Setup!DK6),if((BZ10-BX10)=0,BV9*(1+Setup!DL6),if((BZ10-BX10)=1,BV9*(1+Setup!DM6),if((BZ10-BX10)=2,BV9*(1+Setup!DN6),if((BZ10-BX10)=3,BV9*(1+Setup!DO6),if((BZ10-BX10)=4,BV9*(1+Setup!DP6),if((BZ10-BX10)&gt;4,BV9*(1+Setup!DQ6),BV9)))))))),BV9),CF9/'Quick Setup'!$E8)</f>
        <v>200</v>
      </c>
      <c r="CE9" s="8" t="s">
        <v>75</v>
      </c>
      <c r="CF9" s="10"/>
      <c r="CG9" s="3"/>
      <c r="CH9" s="3"/>
      <c r="CI9" s="3"/>
      <c r="CJ9" s="3"/>
      <c r="CK9" s="3"/>
      <c r="CL9" s="3">
        <f>if(CN9="", if(CH10&lt;&gt;"", if((CH10-CF10)&lt;-1,CD9*(1+Setup!DV6),if((CH10-CF10)&lt;0,CD9*(1+Setup!DW6),if((CH10-CF10)=0,CD9*(1+Setup!DX6),if((CH10-CF10)=1,CD9*(1+Setup!DY6),if((CH10-CF10)=2,CD9*(1+Setup!DZ6),if((CH10-CF10)=3,CD9*(1+Setup!EA6),if((CH10-CF10)=4,CD9*(1+Setup!EB6),if((CH10-CF10)&gt;4,CD9*(1+Setup!EC6),CD9)))))))),CD9),CN9/'Quick Setup'!$E8)</f>
        <v>200</v>
      </c>
      <c r="CM9" s="8" t="s">
        <v>75</v>
      </c>
      <c r="CN9" s="10"/>
      <c r="CO9" s="3"/>
      <c r="CP9" s="3"/>
      <c r="CQ9" s="3"/>
      <c r="CR9" s="3"/>
      <c r="CS9" s="3"/>
      <c r="CT9" s="3">
        <f>if(CV9="", if(CP10&lt;&gt;"", if((CP10-CN10)&lt;-1,CL9*(1+Setup!EH6),if((CP10-CN10)&lt;0,CL9*(1+Setup!EI6),if((CP10-CN10)=0,CL9*(1+Setup!EJ6),if((CP10-CN10)=1,CL9*(1+Setup!EK6),if((CP10-CN10)=2,CL9*(1+Setup!EL6),if((CP10-CN10)=3,CL9*(1+Setup!EM6),if((CP10-CN10)=4,CL9*(1+Setup!EN6),if((CP10-CN10)&gt;4,CL9*(1+Setup!EO6),CL9)))))))),CL9),CV9/'Quick Setup'!$E8)</f>
        <v>200</v>
      </c>
      <c r="CU9" s="8" t="s">
        <v>75</v>
      </c>
      <c r="CV9" s="10"/>
      <c r="CW9" s="3"/>
      <c r="CX9" s="3"/>
      <c r="CY9" s="3"/>
      <c r="CZ9" s="3"/>
      <c r="DA9" s="3"/>
      <c r="DB9" s="3">
        <f>if(DD9="", if(CX10&lt;&gt;"", if((CX10-CV10)&lt;-1,CT9*(1+Setup!ET6),if((CX10-CV10)&lt;0,CT9*(1+Setup!EU6),if((CX10-CV10)=0,CT9*(1+Setup!EV6),if((CX10-CV10)=1,CT9*(1+Setup!EW6),if((CX10-CV10)=2,CT9*(1+Setup!EX6),if((CX10-CV10)=3,CT9*(1+Setup!EY6),if((CX10-CV10)=4,CT9*(1+Setup!EZ6),if((CX10-CV10)&gt;4,CT9*(1+Setup!FA6),CT9)))))))),CT9),DD9/'Quick Setup'!$E8)</f>
        <v>200</v>
      </c>
      <c r="DC9" s="8" t="s">
        <v>75</v>
      </c>
      <c r="DD9" s="10"/>
      <c r="DE9" s="3"/>
      <c r="DF9" s="3"/>
      <c r="DG9" s="3"/>
      <c r="DH9" s="3"/>
      <c r="DI9" s="3"/>
      <c r="DJ9" s="3">
        <f>if(DL9="", if(DF10&lt;&gt;"", if((DF10-DD10)&lt;-1,DB9*(1+Setup!FF6),if((DF10-DD10)&lt;0,DB9*(1+Setup!FG6),if((DF10-DD10)=0,DB9*(1+Setup!FH6),if((DF10-DD10)=1,DB9*(1+Setup!FI6),if((DF10-DD10)=2,DB9*(1+Setup!FJ6),if((DF10-DD10)=3,DB9*(1+Setup!FK6),if((DF10-DD10)=4,DB9*(1+Setup!FL6),if((DF10-DD10)&gt;4,DB9*(1+Setup!FM6),DB9)))))))),DB9),DL9/'Quick Setup'!$E8)</f>
        <v>200</v>
      </c>
      <c r="DK9" s="8" t="s">
        <v>75</v>
      </c>
      <c r="DL9" s="10"/>
      <c r="DM9" s="3"/>
      <c r="DN9" s="3"/>
      <c r="DO9" s="3"/>
      <c r="DP9" s="3"/>
      <c r="DQ9" s="3"/>
      <c r="DR9" s="3">
        <f>if(DT9="", if(DN10&lt;&gt;"", if((DN10-DL10)&lt;-1,DJ9*(1+Setup!FR6),if((DN10-DL10)&lt;0,DJ9*(1+Setup!FS6),if((DN10-DL10)=0,DJ9*(1+Setup!FT6),if((DN10-DL10)=1,DJ9*(1+Setup!FU6),if((DN10-DL10)=2,DJ9*(1+Setup!FV6),if((DN10-DL10)=3,DJ9*(1+Setup!FW6),if((DN10-DL10)=4,DJ9*(1+Setup!FX6),if((DN10-DL10)&gt;4,DJ9*(1+Setup!FY6),DJ9)))))))),DJ9),DT9/'Quick Setup'!$E8)</f>
        <v>200</v>
      </c>
      <c r="DS9" s="8" t="s">
        <v>75</v>
      </c>
      <c r="DT9" s="10"/>
      <c r="DU9" s="3"/>
      <c r="DV9" s="3"/>
      <c r="DW9" s="3"/>
      <c r="DX9" s="3"/>
      <c r="DY9" s="3"/>
      <c r="DZ9" s="3">
        <f>if(EB9="", if(DV10&lt;&gt;"", if((DV10-DT10)&lt;-1,DR9*(1+Setup!GD6),if((DV10-DT10)&lt;0,DR9*(1+Setup!GE6),if((DV10-DT10)=0,DR9*(1+Setup!GF6),if((DV10-DT10)=1,DR9*(1+Setup!GG6),if((DV10-DT10)=2,DR9*(1+Setup!GH6),if((DV10-DT10)=3,DR9*(1+Setup!GI6),if((DV10-DT10)=4,DR9*(1+Setup!GJ6),if((DV10-DT10)&gt;4,DR9*(1+Setup!GK6),DR9)))))))),DR9),EB9/'Quick Setup'!$E8)</f>
        <v>200</v>
      </c>
      <c r="EA9" s="8" t="s">
        <v>75</v>
      </c>
      <c r="EB9" s="10"/>
      <c r="EC9" s="3"/>
      <c r="ED9" s="3"/>
      <c r="EE9" s="3"/>
      <c r="EF9" s="3"/>
      <c r="EG9" s="3"/>
      <c r="EH9" s="3">
        <f>if(EJ9="", if(ED10&lt;&gt;"", if((ED10-EB10)&lt;-1,DZ9*(1+Setup!GP6),if((ED10-EB10)&lt;0,DZ9*(1+Setup!GQ6),if((ED10-EB10)=0,DZ9*(1+Setup!GR6),if((ED10-EB10)=1,DZ9*(1+Setup!GS6),if((ED10-EB10)=2,DZ9*(1+Setup!GT6),if((ED10-EB10)=3,DZ9*(1+Setup!GU6),if((ED10-EB10)=4,DZ9*(1+Setup!GV6),if((ED10-EB10)&gt;4,DZ9*(1+Setup!GW6),DZ9)))))))),DZ9),EJ9/'Quick Setup'!$E8)</f>
        <v>200</v>
      </c>
      <c r="EI9" s="8" t="s">
        <v>75</v>
      </c>
      <c r="EJ9" s="10"/>
      <c r="EK9" s="3"/>
      <c r="EL9" s="3"/>
      <c r="EM9" s="3"/>
      <c r="EN9" s="3"/>
      <c r="EO9" s="3"/>
      <c r="EP9" s="3">
        <f>if(ER9="", if(EL10&lt;&gt;"", if((EL10-EJ10)&lt;-1,EH9*(1+Setup!HB6),if((EL10-EJ10)&lt;0,EH9*(1+Setup!HC6),if((EL10-EJ10)=0,EH9*(1+Setup!HD6),if((EL10-EJ10)=1,EH9*(1+Setup!HE6),if((EL10-EJ10)=2,EH9*(1+Setup!HF6),if((EL10-EJ10)=3,EH9*(1+Setup!HG6),if((EL10-EJ10)=4,EH9*(1+Setup!HH6),if((EL10-EJ10)&gt;4,EH9*(1+Setup!HI6),EH9)))))))),EH9),ER9/'Quick Setup'!$E8)</f>
        <v>200</v>
      </c>
      <c r="EQ9" s="8" t="s">
        <v>75</v>
      </c>
      <c r="ER9" s="10"/>
      <c r="ES9" s="3"/>
      <c r="ET9" s="3"/>
      <c r="EU9" s="3"/>
      <c r="EV9" s="3"/>
      <c r="EW9" s="3"/>
      <c r="EX9" s="3">
        <f>if(EZ9="", if(ET10&lt;&gt;"", if((ET10-ER10)&lt;-1,EP9*(1+Setup!HN6),if((ET10-ER10)&lt;0,EP9*(1+Setup!HO6),if((ET10-ER10)=0,EP9*(1+Setup!HP6),if((ET10-ER10)=1,EP9*(1+Setup!HQ6),if((ET10-ER10)=2,EP9*(1+Setup!HR6),if((ET10-ER10)=3,EP9*(1+Setup!HS6),if((ET10-ER10)=4,EP9*(1+Setup!HT6),if((ET10-ER10)&gt;4,EP9*(1+Setup!HU6),EP9)))))))),EP9),EZ9/'Quick Setup'!$E8)</f>
        <v>200</v>
      </c>
      <c r="EY9" s="8" t="s">
        <v>75</v>
      </c>
      <c r="EZ9" s="10"/>
      <c r="FA9" s="3"/>
      <c r="FB9" s="3"/>
      <c r="FC9" s="3"/>
      <c r="FD9" s="3"/>
      <c r="FE9" s="3"/>
      <c r="FF9" s="3">
        <f>if(FH9="", if(FB10&lt;&gt;"", if((FB10-EZ10)&lt;-1,EX9*(1+Setup!HZ6),if((FB10-EZ10)&lt;0,EX9*(1+Setup!IA6),if((FB10-EZ10)=0,EX9*(1+Setup!IB6),if((FB10-EZ10)=1,EX9*(1+Setup!IC6),if((FB10-EZ10)=2,EX9*(1+Setup!ID6),if((FB10-EZ10)=3,EX9*(1+Setup!IE6),if((FB10-EZ10)=4,EX9*(1+Setup!IF6),if((FB10-EZ10)&gt;4,EX9*(1+Setup!IG6),EX9)))))))),EX9),FH9/'Quick Setup'!$E8)</f>
        <v>200</v>
      </c>
      <c r="FG9" s="8" t="s">
        <v>75</v>
      </c>
      <c r="FH9" s="10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</row>
    <row r="10">
      <c r="A10" s="1" t="str">
        <f>Setup!A6</f>
        <v>OHP</v>
      </c>
      <c r="B10" s="3">
        <f>mround(B9*Setup!B6,'Quick Setup'!$A$2)</f>
        <v>140</v>
      </c>
      <c r="C10" s="3">
        <f>Setup!C6</f>
        <v>5</v>
      </c>
      <c r="D10" s="3">
        <f>Setup!D6</f>
        <v>10</v>
      </c>
      <c r="E10" s="3">
        <f>Setup!E6</f>
        <v>5</v>
      </c>
      <c r="F10" s="10"/>
      <c r="G10" s="10"/>
      <c r="H10" s="10"/>
      <c r="I10" s="3"/>
      <c r="J10" s="3">
        <f>mround(J9*Setup!N6,'Quick Setup'!$A$2)</f>
        <v>150</v>
      </c>
      <c r="K10" s="3">
        <f>Setup!O6</f>
        <v>4</v>
      </c>
      <c r="L10" s="3">
        <f>Setup!P6</f>
        <v>8</v>
      </c>
      <c r="M10" s="3">
        <f>Setup!Q6</f>
        <v>5</v>
      </c>
      <c r="N10" s="10"/>
      <c r="O10" s="10"/>
      <c r="P10" s="10"/>
      <c r="Q10" s="3"/>
      <c r="R10" s="3">
        <f>mround(R9*Setup!Z6,'Quick Setup'!$A$2)</f>
        <v>160</v>
      </c>
      <c r="S10" s="3">
        <f>Setup!AA6</f>
        <v>3</v>
      </c>
      <c r="T10" s="3">
        <f>Setup!AB6</f>
        <v>6</v>
      </c>
      <c r="U10" s="3">
        <f>Setup!AC6</f>
        <v>5</v>
      </c>
      <c r="V10" s="10"/>
      <c r="W10" s="10"/>
      <c r="X10" s="10"/>
      <c r="Y10" s="3"/>
      <c r="Z10" s="3">
        <f>mround(Z9*Setup!AL6,'Quick Setup'!$A$2)</f>
        <v>145</v>
      </c>
      <c r="AA10" s="3">
        <f>Setup!AM6</f>
        <v>5</v>
      </c>
      <c r="AB10" s="3">
        <f>Setup!AN6</f>
        <v>9</v>
      </c>
      <c r="AC10" s="3">
        <f>Setup!AO6</f>
        <v>5</v>
      </c>
      <c r="AD10" s="10"/>
      <c r="AE10" s="10"/>
      <c r="AF10" s="10"/>
      <c r="AG10" s="3"/>
      <c r="AH10" s="3">
        <f>mround(AH9*Setup!AX6,'Quick Setup'!$A$2)</f>
        <v>155</v>
      </c>
      <c r="AI10" s="3">
        <f>Setup!AY6</f>
        <v>4</v>
      </c>
      <c r="AJ10" s="3">
        <f>Setup!AZ6</f>
        <v>7</v>
      </c>
      <c r="AK10" s="3">
        <f>Setup!BA6</f>
        <v>5</v>
      </c>
      <c r="AL10" s="10"/>
      <c r="AM10" s="10"/>
      <c r="AN10" s="10"/>
      <c r="AO10" s="3"/>
      <c r="AP10" s="3">
        <f>mround(AP9*Setup!BJ6,'Quick Setup'!$A$2)</f>
        <v>165</v>
      </c>
      <c r="AQ10" s="3">
        <f>Setup!BK6</f>
        <v>3</v>
      </c>
      <c r="AR10" s="3">
        <f>Setup!BL6</f>
        <v>5</v>
      </c>
      <c r="AS10" s="3">
        <f>Setup!BM6</f>
        <v>5</v>
      </c>
      <c r="AT10" s="10"/>
      <c r="AU10" s="10"/>
      <c r="AV10" s="10"/>
      <c r="AW10" s="3"/>
      <c r="AX10" s="3">
        <f>mround(AX9*Setup!BV6,'Quick Setup'!$A$2)</f>
        <v>120</v>
      </c>
      <c r="AY10" s="3">
        <f>Setup!BW6</f>
        <v>7</v>
      </c>
      <c r="AZ10" s="3">
        <f>Setup!BX6</f>
        <v>14</v>
      </c>
      <c r="BA10" s="3">
        <f>Setup!BY6</f>
        <v>5</v>
      </c>
      <c r="BB10" s="10"/>
      <c r="BC10" s="10"/>
      <c r="BD10" s="10"/>
      <c r="BE10" s="3"/>
      <c r="BF10" s="3">
        <f>mround(BF9*Setup!CH6,'Quick Setup'!$A$2)</f>
        <v>150</v>
      </c>
      <c r="BG10" s="3">
        <f>Setup!CI6</f>
        <v>4</v>
      </c>
      <c r="BH10" s="3">
        <f>Setup!CJ6</f>
        <v>8</v>
      </c>
      <c r="BI10" s="3">
        <f>Setup!CK6</f>
        <v>5</v>
      </c>
      <c r="BJ10" s="10"/>
      <c r="BK10" s="10"/>
      <c r="BL10" s="10"/>
      <c r="BM10" s="3"/>
      <c r="BN10" s="3">
        <f>mround(BN9*Setup!CT6,'Quick Setup'!$A$2)</f>
        <v>160</v>
      </c>
      <c r="BO10" s="3">
        <f>Setup!CU6</f>
        <v>3</v>
      </c>
      <c r="BP10" s="3">
        <f>Setup!CV6</f>
        <v>6</v>
      </c>
      <c r="BQ10" s="3">
        <f>Setup!CW6</f>
        <v>5</v>
      </c>
      <c r="BR10" s="10"/>
      <c r="BS10" s="10"/>
      <c r="BT10" s="10"/>
      <c r="BU10" s="3"/>
      <c r="BV10" s="3">
        <f>mround(BV9*Setup!DF6,'Quick Setup'!$A$2)</f>
        <v>170</v>
      </c>
      <c r="BW10" s="3">
        <f>Setup!DG6</f>
        <v>2</v>
      </c>
      <c r="BX10" s="3">
        <f>Setup!DH6</f>
        <v>4</v>
      </c>
      <c r="BY10" s="3">
        <f>Setup!DI6</f>
        <v>5</v>
      </c>
      <c r="BZ10" s="10"/>
      <c r="CA10" s="10"/>
      <c r="CB10" s="10"/>
      <c r="CC10" s="3"/>
      <c r="CD10" s="3">
        <f>mround(CD9*Setup!DR6,'Quick Setup'!$A$2)</f>
        <v>155</v>
      </c>
      <c r="CE10" s="3">
        <f>Setup!DS6</f>
        <v>4</v>
      </c>
      <c r="CF10" s="3">
        <f>Setup!DT6</f>
        <v>7</v>
      </c>
      <c r="CG10" s="3">
        <f>Setup!DU6</f>
        <v>5</v>
      </c>
      <c r="CH10" s="10"/>
      <c r="CI10" s="10"/>
      <c r="CJ10" s="10"/>
      <c r="CK10" s="3"/>
      <c r="CL10" s="3">
        <f>mround(CL9*Setup!ED6,'Quick Setup'!$A$2)</f>
        <v>165</v>
      </c>
      <c r="CM10" s="3">
        <f>Setup!EE6</f>
        <v>3</v>
      </c>
      <c r="CN10" s="3">
        <f>Setup!EF6</f>
        <v>5</v>
      </c>
      <c r="CO10" s="3">
        <f>Setup!EG6</f>
        <v>5</v>
      </c>
      <c r="CP10" s="10"/>
      <c r="CQ10" s="10"/>
      <c r="CR10" s="10"/>
      <c r="CS10" s="3"/>
      <c r="CT10" s="3">
        <f>mround(CT9*Setup!EP6,'Quick Setup'!$A$2)</f>
        <v>175</v>
      </c>
      <c r="CU10" s="3">
        <f>Setup!EQ6</f>
        <v>2</v>
      </c>
      <c r="CV10" s="3">
        <f>Setup!ER6</f>
        <v>3</v>
      </c>
      <c r="CW10" s="3">
        <f>Setup!ES6</f>
        <v>5</v>
      </c>
      <c r="CX10" s="10"/>
      <c r="CY10" s="10"/>
      <c r="CZ10" s="10"/>
      <c r="DA10" s="3"/>
      <c r="DB10" s="3">
        <f>mround(DB9*Setup!FB6,'Quick Setup'!$A$2)</f>
        <v>120</v>
      </c>
      <c r="DC10" s="3">
        <f>Setup!FC6</f>
        <v>7</v>
      </c>
      <c r="DD10" s="3">
        <f>Setup!FD6</f>
        <v>14</v>
      </c>
      <c r="DE10" s="3">
        <f>Setup!FE6</f>
        <v>5</v>
      </c>
      <c r="DF10" s="10"/>
      <c r="DG10" s="10"/>
      <c r="DH10" s="10"/>
      <c r="DI10" s="3"/>
      <c r="DJ10" s="3">
        <f>mround(DJ9*Setup!FN6,'Quick Setup'!$A$2)</f>
        <v>160</v>
      </c>
      <c r="DK10" s="3">
        <f>Setup!FO6</f>
        <v>3</v>
      </c>
      <c r="DL10" s="3">
        <f>Setup!FP6</f>
        <v>6</v>
      </c>
      <c r="DM10" s="3">
        <f>Setup!FQ6</f>
        <v>5</v>
      </c>
      <c r="DN10" s="10"/>
      <c r="DO10" s="10"/>
      <c r="DP10" s="10"/>
      <c r="DQ10" s="3"/>
      <c r="DR10" s="3">
        <f>mround(DR9*Setup!FZ6,'Quick Setup'!$A$2)</f>
        <v>170</v>
      </c>
      <c r="DS10" s="3">
        <f>Setup!GA6</f>
        <v>2</v>
      </c>
      <c r="DT10" s="3">
        <f>Setup!GB6</f>
        <v>4</v>
      </c>
      <c r="DU10" s="3">
        <f>Setup!GC6</f>
        <v>5</v>
      </c>
      <c r="DV10" s="10"/>
      <c r="DW10" s="10"/>
      <c r="DX10" s="10"/>
      <c r="DY10" s="3"/>
      <c r="DZ10" s="3">
        <f>mround(DZ9*Setup!GL6,'Quick Setup'!$A$2)</f>
        <v>180</v>
      </c>
      <c r="EA10" s="3">
        <f>Setup!GM6</f>
        <v>1</v>
      </c>
      <c r="EB10" s="3">
        <f>Setup!GN6</f>
        <v>2</v>
      </c>
      <c r="EC10" s="3">
        <f>Setup!GO6</f>
        <v>5</v>
      </c>
      <c r="ED10" s="10"/>
      <c r="EE10" s="10"/>
      <c r="EF10" s="10"/>
      <c r="EG10" s="3"/>
      <c r="EH10" s="3">
        <f>mround(EH9*Setup!GX6,'Quick Setup'!$A$2)</f>
        <v>170</v>
      </c>
      <c r="EI10" s="3">
        <f>Setup!GY6</f>
        <v>2</v>
      </c>
      <c r="EJ10" s="3">
        <f>Setup!GZ6</f>
        <v>4</v>
      </c>
      <c r="EK10" s="3">
        <f>Setup!HA6</f>
        <v>5</v>
      </c>
      <c r="EL10" s="10"/>
      <c r="EM10" s="10"/>
      <c r="EN10" s="10"/>
      <c r="EO10" s="3"/>
      <c r="EP10" s="3">
        <f>mround(EP9*Setup!HJ6,'Quick Setup'!$A$2)</f>
        <v>180</v>
      </c>
      <c r="EQ10" s="3">
        <f>Setup!HK6</f>
        <v>1</v>
      </c>
      <c r="ER10" s="3">
        <f>Setup!HL6</f>
        <v>2</v>
      </c>
      <c r="ES10" s="3">
        <f>Setup!HM6</f>
        <v>5</v>
      </c>
      <c r="ET10" s="10"/>
      <c r="EU10" s="10"/>
      <c r="EV10" s="10"/>
      <c r="EW10" s="3"/>
      <c r="EX10" s="3">
        <f>mround(EX9*Setup!HV6,'Quick Setup'!$A$2)</f>
        <v>190</v>
      </c>
      <c r="EY10" s="3">
        <f>Setup!HW6</f>
        <v>1</v>
      </c>
      <c r="EZ10" s="3">
        <f>Setup!HX6</f>
        <v>1</v>
      </c>
      <c r="FA10" s="3">
        <f>Setup!HY6</f>
        <v>5</v>
      </c>
      <c r="FB10" s="10"/>
      <c r="FC10" s="10"/>
      <c r="FD10" s="10"/>
      <c r="FE10" s="3"/>
      <c r="FF10" s="3">
        <f>mround(FF9*Setup!IH6,'Quick Setup'!$A$2)</f>
        <v>120</v>
      </c>
      <c r="FG10" s="3">
        <f>Setup!II6</f>
        <v>7</v>
      </c>
      <c r="FH10" s="3">
        <f>Setup!IJ6</f>
        <v>14</v>
      </c>
      <c r="FI10" s="3">
        <f>Setup!IK6</f>
        <v>5</v>
      </c>
      <c r="FJ10" s="10"/>
      <c r="FK10" s="10"/>
      <c r="FL10" s="10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</row>
    <row r="11">
      <c r="A11" s="1" t="str">
        <f>CONCATENATE(A12," TM")</f>
        <v>Front Squat TM</v>
      </c>
      <c r="B11" s="3">
        <f>if(D11="",'Quick Setup'!D11,D11/'Quick Setup'!E11)</f>
        <v>420</v>
      </c>
      <c r="C11" s="8" t="s">
        <v>75</v>
      </c>
      <c r="D11" s="10"/>
      <c r="E11" s="3"/>
      <c r="F11" s="3"/>
      <c r="G11" s="3"/>
      <c r="H11" s="3"/>
      <c r="I11" s="3"/>
      <c r="J11" s="3">
        <f>if(L11="", if(F12&lt;&gt;"", if((F12-D12)&lt;-1,B11*(1+Setup!F9),if((F12-D12)&lt;0,B11*(1+Setup!G9),if((F12-D12)=0,B11*(1+Setup!H9),if((F12-D12)=1,B11*(1+Setup!I9),if((F12-D12)=2,B11*(1+Setup!J9),if((F12-D12)=3,B11*(1+Setup!K9),if((F12-D12)=4,B11*(1+Setup!L9),if((F12-D12)&gt;4,B11*(1+Setup!M9),B11)))))))),B11),L11/'Quick Setup'!$E11)</f>
        <v>420</v>
      </c>
      <c r="K11" s="8" t="s">
        <v>75</v>
      </c>
      <c r="L11" s="10"/>
      <c r="M11" s="3"/>
      <c r="N11" s="3"/>
      <c r="O11" s="3"/>
      <c r="P11" s="3"/>
      <c r="Q11" s="3"/>
      <c r="R11" s="3">
        <f>if(T11="", if(N12&lt;&gt;"", if((N12-L12)&lt;-1,J11*(1+Setup!R9),if((N12-L12)&lt;0,J11*(1+Setup!S9),if((N12-L12)=0,J11*(1+Setup!T9),if((N12-L12)=1,J11*(1+Setup!U9),if((N12-L12)=2,J11*(1+Setup!V9),if((N12-L12)=3,J11*(1+Setup!W9),if((N12-L12)=4,J11*(1+Setup!X9),if((N12-L12)&gt;4,J11*(1+Setup!Y9),J11)))))))),J11),T11/'Quick Setup'!$E11)</f>
        <v>420</v>
      </c>
      <c r="S11" s="8" t="s">
        <v>75</v>
      </c>
      <c r="T11" s="10"/>
      <c r="U11" s="3"/>
      <c r="V11" s="3"/>
      <c r="W11" s="3"/>
      <c r="X11" s="3"/>
      <c r="Y11" s="3"/>
      <c r="Z11" s="3">
        <f>if(AB11="", if(V12&lt;&gt;"", if((V12-T12)&lt;-1,R11*(1+Setup!AD9),if((V12-T12)&lt;0,R11*(1+Setup!AE9),if((V12-T12)=0,R11*(1+Setup!AF9),if((V12-T12)=1,R11*(1+Setup!AG9),if((V12-T12)=2,R11*(1+Setup!AH9),if((V12-T12)=3,R11*(1+Setup!AI9),if((V12-T12)=4,R11*(1+Setup!AJ9),if((V12-T12)&gt;4,R11*(1+Setup!AK9),R11)))))))),R11),AB11/'Quick Setup'!$E11)</f>
        <v>420</v>
      </c>
      <c r="AA11" s="8" t="s">
        <v>75</v>
      </c>
      <c r="AB11" s="10"/>
      <c r="AC11" s="3"/>
      <c r="AD11" s="3"/>
      <c r="AE11" s="3"/>
      <c r="AF11" s="3"/>
      <c r="AG11" s="3"/>
      <c r="AH11" s="3">
        <f>if(AJ11="", if(AD12&lt;&gt;"", if((AD12-AB12)&lt;-1,Z11*(1+Setup!AP9),if((AD12-AB12)&lt;0,Z11*(1+Setup!AQ9),if((AD12-AB12)=0,Z11*(1+Setup!AR9),if((AD12-AB12)=1,Z11*(1+Setup!AS9),if((AD12-AB12)=2,Z11*(1+Setup!AT9),if((AD12-AB12)=3,Z11*(1+Setup!AU9),if((AD12-AB12)=4,Z11*(1+Setup!AV9),if((AD12-AB12)&gt;4,Z11*(1+Setup!AW9),Z11)))))))),Z11),AJ11/'Quick Setup'!$E11)</f>
        <v>420</v>
      </c>
      <c r="AI11" s="8" t="s">
        <v>75</v>
      </c>
      <c r="AJ11" s="10"/>
      <c r="AK11" s="3"/>
      <c r="AL11" s="3"/>
      <c r="AM11" s="3"/>
      <c r="AN11" s="3"/>
      <c r="AO11" s="3"/>
      <c r="AP11" s="3">
        <f>if(AR11="", if(AL12&lt;&gt;"", if((AL12-AJ12)&lt;-1,AH11*(1+Setup!BB9),if((AL12-AJ12)&lt;0,AH11*(1+Setup!BC9),if((AL12-AJ12)=0,AH11*(1+Setup!BD9),if((AL12-AJ12)=1,AH11*(1+Setup!BE9),if((AL12-AJ12)=2,AH11*(1+Setup!BF9),if((AL12-AJ12)=3,AH11*(1+Setup!BG9),if((AL12-AJ12)=4,AH11*(1+Setup!BH9),if((AL12-AJ12)&gt;4,AH11*(1+Setup!BI9),AH11)))))))),AH11),AR11/'Quick Setup'!$E11)</f>
        <v>420</v>
      </c>
      <c r="AQ11" s="8" t="s">
        <v>75</v>
      </c>
      <c r="AR11" s="10"/>
      <c r="AS11" s="3"/>
      <c r="AT11" s="3"/>
      <c r="AU11" s="3"/>
      <c r="AV11" s="3"/>
      <c r="AW11" s="3"/>
      <c r="AX11" s="3">
        <f>if(AZ11="", if(AT12&lt;&gt;"", if((AT12-AR12)&lt;-1,AP11*(1+Setup!BN9),if((AT12-AR12)&lt;0,AP11*(1+Setup!BO9),if((AT12-AR12)=0,AP11*(1+Setup!BP9),if((AT12-AR12)=1,AP11*(1+Setup!BQ9),if((AT12-AR12)=2,AP11*(1+Setup!BR9),if((AT12-AR12)=3,AP11*(1+Setup!BS9),if((AT12-AR12)=4,AP11*(1+Setup!BT9),if((AT12-AR12)&gt;4,AP11*(1+Setup!BU9),AP11)))))))),AP11),AZ11/'Quick Setup'!$E11)</f>
        <v>420</v>
      </c>
      <c r="AY11" s="8" t="s">
        <v>75</v>
      </c>
      <c r="AZ11" s="10"/>
      <c r="BA11" s="3"/>
      <c r="BB11" s="3"/>
      <c r="BC11" s="3"/>
      <c r="BD11" s="3"/>
      <c r="BE11" s="3"/>
      <c r="BF11" s="3">
        <f>if(BH11="", if(BB12&lt;&gt;"", if((BB12-AZ12)&lt;-1,AX11*(1+Setup!BZ9),if((BB12-AZ12)&lt;0,AX11*(1+Setup!CA9),if((BB12-AZ12)=0,AX11*(1+Setup!CB9),if((BB12-AZ12)=1,AX11*(1+Setup!CC9),if((BB12-AZ12)=2,AX11*(1+Setup!CD9),if((BB12-AZ12)=3,AX11*(1+Setup!CE9),if((BB12-AZ12)=4,AX11*(1+Setup!CF9),if((BB12-AZ12)&gt;4,AX11*(1+Setup!CG9),AX11)))))))),AX11),BH11/'Quick Setup'!$E11)</f>
        <v>420</v>
      </c>
      <c r="BG11" s="8" t="s">
        <v>75</v>
      </c>
      <c r="BH11" s="10"/>
      <c r="BI11" s="3"/>
      <c r="BJ11" s="3"/>
      <c r="BK11" s="3"/>
      <c r="BL11" s="3"/>
      <c r="BM11" s="3"/>
      <c r="BN11" s="3">
        <f>if(BP11="", if(BJ12&lt;&gt;"", if((BJ12-BH12)&lt;-1,BF11*(1+Setup!CL9),if((BJ12-BH12)&lt;0,BF11*(1+Setup!CM9),if((BJ12-BH12)=0,BF11*(1+Setup!CN9),if((BJ12-BH12)=1,BF11*(1+Setup!CO9),if((BJ12-BH12)=2,BF11*(1+Setup!CP9),if((BJ12-BH12)=3,BF11*(1+Setup!CQ9),if((BJ12-BH12)=4,BF11*(1+Setup!CR9),if((BJ12-BH12)&gt;4,BF11*(1+Setup!CS9),BF11)))))))),BF11),BP11/'Quick Setup'!$E11)</f>
        <v>420</v>
      </c>
      <c r="BO11" s="8" t="s">
        <v>75</v>
      </c>
      <c r="BP11" s="10"/>
      <c r="BQ11" s="3"/>
      <c r="BR11" s="3"/>
      <c r="BS11" s="3"/>
      <c r="BT11" s="3"/>
      <c r="BU11" s="3"/>
      <c r="BV11" s="3">
        <f>if(BX11="", if(BR12&lt;&gt;"", if((BR12-BP12)&lt;-1,BN11*(1+Setup!CX9),if((BR12-BP12)&lt;0,BN11*(1+Setup!CY9),if((BR12-BP12)=0,BN11*(1+Setup!CZ9),if((BR12-BP12)=1,BN11*(1+Setup!DA9),if((BR12-BP12)=2,BN11*(1+Setup!DB9),if((BR12-BP12)=3,BN11*(1+Setup!DC9),if((BR12-BP12)=4,BN11*(1+Setup!DD9),if((BR12-BP12)&gt;4,BN11*(1+Setup!DE9),BN11)))))))),BN11),BX11/'Quick Setup'!$E11)</f>
        <v>420</v>
      </c>
      <c r="BW11" s="8" t="s">
        <v>75</v>
      </c>
      <c r="BX11" s="10"/>
      <c r="BY11" s="3"/>
      <c r="BZ11" s="3"/>
      <c r="CA11" s="3"/>
      <c r="CB11" s="3"/>
      <c r="CC11" s="3"/>
      <c r="CD11" s="3">
        <f>if(CF11="", if(BZ12&lt;&gt;"", if((BZ12-BX12)&lt;-1,BV11*(1+Setup!DJ9),if((BZ12-BX12)&lt;0,BV11*(1+Setup!DK9),if((BZ12-BX12)=0,BV11*(1+Setup!DL9),if((BZ12-BX12)=1,BV11*(1+Setup!DM9),if((BZ12-BX12)=2,BV11*(1+Setup!DN9),if((BZ12-BX12)=3,BV11*(1+Setup!DO9),if((BZ12-BX12)=4,BV11*(1+Setup!DP9),if((BZ12-BX12)&gt;4,BV11*(1+Setup!DQ9),BV11)))))))),BV11),CF11/'Quick Setup'!$E11)</f>
        <v>420</v>
      </c>
      <c r="CE11" s="8" t="s">
        <v>75</v>
      </c>
      <c r="CF11" s="10"/>
      <c r="CG11" s="3"/>
      <c r="CH11" s="3"/>
      <c r="CI11" s="3"/>
      <c r="CJ11" s="3"/>
      <c r="CK11" s="3"/>
      <c r="CL11" s="3">
        <f>if(CN11="", if(CH12&lt;&gt;"", if((CH12-CF12)&lt;-1,CD11*(1+Setup!DV9),if((CH12-CF12)&lt;0,CD11*(1+Setup!DW9),if((CH12-CF12)=0,CD11*(1+Setup!DX9),if((CH12-CF12)=1,CD11*(1+Setup!DY9),if((CH12-CF12)=2,CD11*(1+Setup!DZ9),if((CH12-CF12)=3,CD11*(1+Setup!EA9),if((CH12-CF12)=4,CD11*(1+Setup!EB9),if((CH12-CF12)&gt;4,CD11*(1+Setup!EC9),CD11)))))))),CD11),CN11/'Quick Setup'!$E11)</f>
        <v>420</v>
      </c>
      <c r="CM11" s="8" t="s">
        <v>75</v>
      </c>
      <c r="CN11" s="10"/>
      <c r="CO11" s="3"/>
      <c r="CP11" s="3"/>
      <c r="CQ11" s="3"/>
      <c r="CR11" s="3"/>
      <c r="CS11" s="3"/>
      <c r="CT11" s="3">
        <f>if(CV11="", if(CP12&lt;&gt;"", if((CP12-CN12)&lt;-1,CL11*(1+Setup!EH9),if((CP12-CN12)&lt;0,CL11*(1+Setup!EI9),if((CP12-CN12)=0,CL11*(1+Setup!EJ9),if((CP12-CN12)=1,CL11*(1+Setup!EK9),if((CP12-CN12)=2,CL11*(1+Setup!EL9),if((CP12-CN12)=3,CL11*(1+Setup!EM9),if((CP12-CN12)=4,CL11*(1+Setup!EN9),if((CP12-CN12)&gt;4,CL11*(1+Setup!EO9),CL11)))))))),CL11),CV11/'Quick Setup'!$E11)</f>
        <v>420</v>
      </c>
      <c r="CU11" s="8" t="s">
        <v>75</v>
      </c>
      <c r="CV11" s="10"/>
      <c r="CW11" s="3"/>
      <c r="CX11" s="3"/>
      <c r="CY11" s="3"/>
      <c r="CZ11" s="3"/>
      <c r="DA11" s="3"/>
      <c r="DB11" s="3">
        <f>if(DD11="", if(CX12&lt;&gt;"", if((CX12-CV12)&lt;-1,CT11*(1+Setup!ET9),if((CX12-CV12)&lt;0,CT11*(1+Setup!EU9),if((CX12-CV12)=0,CT11*(1+Setup!EV9),if((CX12-CV12)=1,CT11*(1+Setup!EW9),if((CX12-CV12)=2,CT11*(1+Setup!EX9),if((CX12-CV12)=3,CT11*(1+Setup!EY9),if((CX12-CV12)=4,CT11*(1+Setup!EZ9),if((CX12-CV12)&gt;4,CT11*(1+Setup!FA9),CT11)))))))),CT11),DD11/'Quick Setup'!$E11)</f>
        <v>420</v>
      </c>
      <c r="DC11" s="8" t="s">
        <v>75</v>
      </c>
      <c r="DD11" s="10"/>
      <c r="DE11" s="3"/>
      <c r="DF11" s="3"/>
      <c r="DG11" s="3"/>
      <c r="DH11" s="3"/>
      <c r="DI11" s="3"/>
      <c r="DJ11" s="3">
        <f>if(DL11="", if(DF12&lt;&gt;"", if((DF12-DD12)&lt;-1,DB11*(1+Setup!FF9),if((DF12-DD12)&lt;0,DB11*(1+Setup!FG9),if((DF12-DD12)=0,DB11*(1+Setup!FH9),if((DF12-DD12)=1,DB11*(1+Setup!FI9),if((DF12-DD12)=2,DB11*(1+Setup!FJ9),if((DF12-DD12)=3,DB11*(1+Setup!FK9),if((DF12-DD12)=4,DB11*(1+Setup!FL9),if((DF12-DD12)&gt;4,DB11*(1+Setup!FM9),DB11)))))))),DB11),DL11/'Quick Setup'!$E11)</f>
        <v>420</v>
      </c>
      <c r="DK11" s="8" t="s">
        <v>75</v>
      </c>
      <c r="DL11" s="10"/>
      <c r="DM11" s="3"/>
      <c r="DN11" s="3"/>
      <c r="DO11" s="3"/>
      <c r="DP11" s="3"/>
      <c r="DQ11" s="3"/>
      <c r="DR11" s="3">
        <f>if(DT11="", if(DN12&lt;&gt;"", if((DN12-DL12)&lt;-1,DJ11*(1+Setup!FR9),if((DN12-DL12)&lt;0,DJ11*(1+Setup!FS9),if((DN12-DL12)=0,DJ11*(1+Setup!FT9),if((DN12-DL12)=1,DJ11*(1+Setup!FU9),if((DN12-DL12)=2,DJ11*(1+Setup!FV9),if((DN12-DL12)=3,DJ11*(1+Setup!FW9),if((DN12-DL12)=4,DJ11*(1+Setup!FX9),if((DN12-DL12)&gt;4,DJ11*(1+Setup!FY9),DJ11)))))))),DJ11),DT11/'Quick Setup'!$E11)</f>
        <v>420</v>
      </c>
      <c r="DS11" s="8" t="s">
        <v>75</v>
      </c>
      <c r="DT11" s="10"/>
      <c r="DU11" s="3"/>
      <c r="DV11" s="3"/>
      <c r="DW11" s="3"/>
      <c r="DX11" s="3"/>
      <c r="DY11" s="3"/>
      <c r="DZ11" s="3">
        <f>if(EB11="", if(DV12&lt;&gt;"", if((DV12-DT12)&lt;-1,DR11*(1+Setup!GD9),if((DV12-DT12)&lt;0,DR11*(1+Setup!GE9),if((DV12-DT12)=0,DR11*(1+Setup!GF9),if((DV12-DT12)=1,DR11*(1+Setup!GG9),if((DV12-DT12)=2,DR11*(1+Setup!GH9),if((DV12-DT12)=3,DR11*(1+Setup!GI9),if((DV12-DT12)=4,DR11*(1+Setup!GJ9),if((DV12-DT12)&gt;4,DR11*(1+Setup!GK9),DR11)))))))),DR11),EB11/'Quick Setup'!$E11)</f>
        <v>420</v>
      </c>
      <c r="EA11" s="8" t="s">
        <v>75</v>
      </c>
      <c r="EB11" s="10"/>
      <c r="EC11" s="3"/>
      <c r="ED11" s="3"/>
      <c r="EE11" s="3"/>
      <c r="EF11" s="3"/>
      <c r="EG11" s="3"/>
      <c r="EH11" s="3">
        <f>if(EJ11="", if(ED12&lt;&gt;"", if((ED12-EB12)&lt;-1,DZ11*(1+Setup!GP9),if((ED12-EB12)&lt;0,DZ11*(1+Setup!GQ9),if((ED12-EB12)=0,DZ11*(1+Setup!GR9),if((ED12-EB12)=1,DZ11*(1+Setup!GS9),if((ED12-EB12)=2,DZ11*(1+Setup!GT9),if((ED12-EB12)=3,DZ11*(1+Setup!GU9),if((ED12-EB12)=4,DZ11*(1+Setup!GV9),if((ED12-EB12)&gt;4,DZ11*(1+Setup!GW9),DZ11)))))))),DZ11),EJ11/'Quick Setup'!$E11)</f>
        <v>420</v>
      </c>
      <c r="EI11" s="8" t="s">
        <v>75</v>
      </c>
      <c r="EJ11" s="10"/>
      <c r="EK11" s="3"/>
      <c r="EL11" s="3"/>
      <c r="EM11" s="3"/>
      <c r="EN11" s="3"/>
      <c r="EO11" s="3"/>
      <c r="EP11" s="3">
        <f>if(ER11="", if(EL12&lt;&gt;"", if((EL12-EJ12)&lt;-1,EH11*(1+Setup!HB9),if((EL12-EJ12)&lt;0,EH11*(1+Setup!HC9),if((EL12-EJ12)=0,EH11*(1+Setup!HD9),if((EL12-EJ12)=1,EH11*(1+Setup!HE9),if((EL12-EJ12)=2,EH11*(1+Setup!HF9),if((EL12-EJ12)=3,EH11*(1+Setup!HG9),if((EL12-EJ12)=4,EH11*(1+Setup!HH9),if((EL12-EJ12)&gt;4,EH11*(1+Setup!HI9),EH11)))))))),EH11),ER11/'Quick Setup'!$E11)</f>
        <v>420</v>
      </c>
      <c r="EQ11" s="8" t="s">
        <v>75</v>
      </c>
      <c r="ER11" s="10"/>
      <c r="ES11" s="3"/>
      <c r="ET11" s="3"/>
      <c r="EU11" s="3"/>
      <c r="EV11" s="3"/>
      <c r="EW11" s="3"/>
      <c r="EX11" s="3">
        <f>if(EZ11="", if(ET12&lt;&gt;"", if((ET12-ER12)&lt;-1,EP11*(1+Setup!HN9),if((ET12-ER12)&lt;0,EP11*(1+Setup!HO9),if((ET12-ER12)=0,EP11*(1+Setup!HP9),if((ET12-ER12)=1,EP11*(1+Setup!HQ9),if((ET12-ER12)=2,EP11*(1+Setup!HR9),if((ET12-ER12)=3,EP11*(1+Setup!HS9),if((ET12-ER12)=4,EP11*(1+Setup!HT9),if((ET12-ER12)&gt;4,EP11*(1+Setup!HU9),EP11)))))))),EP11),EZ11/'Quick Setup'!$E11)</f>
        <v>420</v>
      </c>
      <c r="EY11" s="8" t="s">
        <v>75</v>
      </c>
      <c r="EZ11" s="10"/>
      <c r="FA11" s="3"/>
      <c r="FB11" s="3"/>
      <c r="FC11" s="3"/>
      <c r="FD11" s="3"/>
      <c r="FE11" s="3"/>
      <c r="FF11" s="3">
        <f>if(FH11="", if(FB12&lt;&gt;"", if((FB12-EZ12)&lt;-1,EX11*(1+Setup!HZ9),if((FB12-EZ12)&lt;0,EX11*(1+Setup!IA9),if((FB12-EZ12)=0,EX11*(1+Setup!IB9),if((FB12-EZ12)=1,EX11*(1+Setup!IC9),if((FB12-EZ12)=2,EX11*(1+Setup!ID9),if((FB12-EZ12)=3,EX11*(1+Setup!IE9),if((FB12-EZ12)=4,EX11*(1+Setup!IF9),if((FB12-EZ12)&gt;4,EX11*(1+Setup!IG9),EX11)))))))),EX11),FH11/'Quick Setup'!$E11)</f>
        <v>420</v>
      </c>
      <c r="FG11" s="8" t="s">
        <v>75</v>
      </c>
      <c r="FH11" s="10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</row>
    <row r="12">
      <c r="A12" s="1" t="str">
        <f>Setup!A9</f>
        <v>Front Squat</v>
      </c>
      <c r="B12" s="3">
        <f>mround(B11*Setup!B9,'Quick Setup'!$A$2)</f>
        <v>252.5</v>
      </c>
      <c r="C12" s="3">
        <f>Setup!C9</f>
        <v>7</v>
      </c>
      <c r="D12" s="3">
        <f>Setup!D9</f>
        <v>14</v>
      </c>
      <c r="E12" s="3">
        <f>Setup!E9</f>
        <v>5</v>
      </c>
      <c r="F12" s="10"/>
      <c r="G12" s="10"/>
      <c r="H12" s="10"/>
      <c r="I12" s="3"/>
      <c r="J12" s="3">
        <f>mround(J11*Setup!N9,'Quick Setup'!$A$2)</f>
        <v>272.5</v>
      </c>
      <c r="K12" s="3">
        <f>Setup!O9</f>
        <v>6</v>
      </c>
      <c r="L12" s="3">
        <f>Setup!P9</f>
        <v>12</v>
      </c>
      <c r="M12" s="3">
        <f>Setup!Q9</f>
        <v>5</v>
      </c>
      <c r="N12" s="10"/>
      <c r="O12" s="10"/>
      <c r="P12" s="10"/>
      <c r="Q12" s="3"/>
      <c r="R12" s="3">
        <f>mround(R11*Setup!Z9,'Quick Setup'!$A$2)</f>
        <v>295</v>
      </c>
      <c r="S12" s="3">
        <f>Setup!AA9</f>
        <v>5</v>
      </c>
      <c r="T12" s="3">
        <f>Setup!AB9</f>
        <v>10</v>
      </c>
      <c r="U12" s="3">
        <f>Setup!AC9</f>
        <v>5</v>
      </c>
      <c r="V12" s="10"/>
      <c r="W12" s="10"/>
      <c r="X12" s="10"/>
      <c r="Y12" s="3"/>
      <c r="Z12" s="3">
        <f>mround(Z11*Setup!AL9,'Quick Setup'!$A$2)</f>
        <v>262.5</v>
      </c>
      <c r="AA12" s="3">
        <f>Setup!AM9</f>
        <v>7</v>
      </c>
      <c r="AB12" s="3">
        <f>Setup!AN9</f>
        <v>13</v>
      </c>
      <c r="AC12" s="3">
        <f>Setup!AO9</f>
        <v>5</v>
      </c>
      <c r="AD12" s="10"/>
      <c r="AE12" s="10"/>
      <c r="AF12" s="10"/>
      <c r="AG12" s="3"/>
      <c r="AH12" s="3">
        <f>mround(AH11*Setup!AX9,'Quick Setup'!$A$2)</f>
        <v>282.5</v>
      </c>
      <c r="AI12" s="3">
        <f>Setup!AY9</f>
        <v>6</v>
      </c>
      <c r="AJ12" s="3">
        <f>Setup!AZ9</f>
        <v>11</v>
      </c>
      <c r="AK12" s="3">
        <f>Setup!BA9</f>
        <v>5</v>
      </c>
      <c r="AL12" s="10"/>
      <c r="AM12" s="10"/>
      <c r="AN12" s="10"/>
      <c r="AO12" s="3"/>
      <c r="AP12" s="3">
        <f>mround(AP11*Setup!BJ9,'Quick Setup'!$A$2)</f>
        <v>305</v>
      </c>
      <c r="AQ12" s="3">
        <f>Setup!BK9</f>
        <v>5</v>
      </c>
      <c r="AR12" s="3">
        <f>Setup!BL9</f>
        <v>9</v>
      </c>
      <c r="AS12" s="3">
        <f>Setup!BM9</f>
        <v>5</v>
      </c>
      <c r="AT12" s="10"/>
      <c r="AU12" s="10"/>
      <c r="AV12" s="10"/>
      <c r="AW12" s="3"/>
      <c r="AX12" s="3">
        <f>mround(AX11*Setup!BV9,'Quick Setup'!$A$2)</f>
        <v>210</v>
      </c>
      <c r="AY12" s="3">
        <f>Setup!BW9</f>
        <v>8</v>
      </c>
      <c r="AZ12" s="3">
        <f>Setup!BX9</f>
        <v>18</v>
      </c>
      <c r="BA12" s="3">
        <f>Setup!BY9</f>
        <v>5</v>
      </c>
      <c r="BB12" s="10"/>
      <c r="BC12" s="10"/>
      <c r="BD12" s="10"/>
      <c r="BE12" s="3"/>
      <c r="BF12" s="3">
        <f>mround(BF11*Setup!CH9,'Quick Setup'!$A$2)</f>
        <v>272.5</v>
      </c>
      <c r="BG12" s="3">
        <f>Setup!CI9</f>
        <v>6</v>
      </c>
      <c r="BH12" s="3">
        <f>Setup!CJ9</f>
        <v>12</v>
      </c>
      <c r="BI12" s="3">
        <f>Setup!CK9</f>
        <v>5</v>
      </c>
      <c r="BJ12" s="10"/>
      <c r="BK12" s="10"/>
      <c r="BL12" s="10"/>
      <c r="BM12" s="3"/>
      <c r="BN12" s="3">
        <f>mround(BN11*Setup!CT9,'Quick Setup'!$A$2)</f>
        <v>295</v>
      </c>
      <c r="BO12" s="3">
        <f>Setup!CU9</f>
        <v>5</v>
      </c>
      <c r="BP12" s="3">
        <f>Setup!CV9</f>
        <v>10</v>
      </c>
      <c r="BQ12" s="3">
        <f>Setup!CW9</f>
        <v>5</v>
      </c>
      <c r="BR12" s="10"/>
      <c r="BS12" s="10"/>
      <c r="BT12" s="10"/>
      <c r="BU12" s="3"/>
      <c r="BV12" s="3">
        <f>mround(BV11*Setup!DF9,'Quick Setup'!$A$2)</f>
        <v>315</v>
      </c>
      <c r="BW12" s="3">
        <f>Setup!DG9</f>
        <v>4</v>
      </c>
      <c r="BX12" s="3">
        <f>Setup!DH9</f>
        <v>8</v>
      </c>
      <c r="BY12" s="3">
        <f>Setup!DI9</f>
        <v>5</v>
      </c>
      <c r="BZ12" s="10"/>
      <c r="CA12" s="10"/>
      <c r="CB12" s="10"/>
      <c r="CC12" s="3"/>
      <c r="CD12" s="3">
        <f>mround(CD11*Setup!DR9,'Quick Setup'!$A$2)</f>
        <v>282.5</v>
      </c>
      <c r="CE12" s="3">
        <f>Setup!DS9</f>
        <v>6</v>
      </c>
      <c r="CF12" s="3">
        <f>Setup!DT9</f>
        <v>11</v>
      </c>
      <c r="CG12" s="3">
        <f>Setup!DU9</f>
        <v>5</v>
      </c>
      <c r="CH12" s="10"/>
      <c r="CI12" s="10"/>
      <c r="CJ12" s="10"/>
      <c r="CK12" s="3"/>
      <c r="CL12" s="3">
        <f>mround(CL11*Setup!ED9,'Quick Setup'!$A$2)</f>
        <v>305</v>
      </c>
      <c r="CM12" s="3">
        <f>Setup!EE9</f>
        <v>5</v>
      </c>
      <c r="CN12" s="3">
        <f>Setup!EF9</f>
        <v>9</v>
      </c>
      <c r="CO12" s="3">
        <f>Setup!EG9</f>
        <v>5</v>
      </c>
      <c r="CP12" s="10"/>
      <c r="CQ12" s="10"/>
      <c r="CR12" s="10"/>
      <c r="CS12" s="3"/>
      <c r="CT12" s="3">
        <f>mround(CT11*Setup!EP9,'Quick Setup'!$A$2)</f>
        <v>325</v>
      </c>
      <c r="CU12" s="3">
        <f>Setup!EQ9</f>
        <v>4</v>
      </c>
      <c r="CV12" s="3">
        <f>Setup!ER9</f>
        <v>7</v>
      </c>
      <c r="CW12" s="3">
        <f>Setup!ES9</f>
        <v>5</v>
      </c>
      <c r="CX12" s="10"/>
      <c r="CY12" s="10"/>
      <c r="CZ12" s="10"/>
      <c r="DA12" s="3"/>
      <c r="DB12" s="3">
        <f>mround(DB11*Setup!FB9,'Quick Setup'!$A$2)</f>
        <v>210</v>
      </c>
      <c r="DC12" s="3">
        <f>Setup!FC9</f>
        <v>8</v>
      </c>
      <c r="DD12" s="3">
        <f>Setup!FD9</f>
        <v>18</v>
      </c>
      <c r="DE12" s="3">
        <f>Setup!FE9</f>
        <v>5</v>
      </c>
      <c r="DF12" s="10"/>
      <c r="DG12" s="10"/>
      <c r="DH12" s="10"/>
      <c r="DI12" s="3"/>
      <c r="DJ12" s="3">
        <f>mround(DJ11*Setup!FN9,'Quick Setup'!$A$2)</f>
        <v>295</v>
      </c>
      <c r="DK12" s="3">
        <f>Setup!FO9</f>
        <v>5</v>
      </c>
      <c r="DL12" s="3">
        <f>Setup!FP9</f>
        <v>10</v>
      </c>
      <c r="DM12" s="3">
        <f>Setup!FQ9</f>
        <v>5</v>
      </c>
      <c r="DN12" s="10"/>
      <c r="DO12" s="10"/>
      <c r="DP12" s="10"/>
      <c r="DQ12" s="3"/>
      <c r="DR12" s="3">
        <f>mround(DR11*Setup!FZ9,'Quick Setup'!$A$2)</f>
        <v>315</v>
      </c>
      <c r="DS12" s="3">
        <f>Setup!GA9</f>
        <v>4</v>
      </c>
      <c r="DT12" s="3">
        <f>Setup!GB9</f>
        <v>8</v>
      </c>
      <c r="DU12" s="3">
        <f>Setup!GC9</f>
        <v>5</v>
      </c>
      <c r="DV12" s="10"/>
      <c r="DW12" s="10"/>
      <c r="DX12" s="10"/>
      <c r="DY12" s="3"/>
      <c r="DZ12" s="3">
        <f>mround(DZ11*Setup!GL9,'Quick Setup'!$A$2)</f>
        <v>335</v>
      </c>
      <c r="EA12" s="3">
        <f>Setup!GM9</f>
        <v>3</v>
      </c>
      <c r="EB12" s="3">
        <f>Setup!GN9</f>
        <v>6</v>
      </c>
      <c r="EC12" s="3">
        <f>Setup!GO9</f>
        <v>5</v>
      </c>
      <c r="ED12" s="10"/>
      <c r="EE12" s="10"/>
      <c r="EF12" s="10"/>
      <c r="EG12" s="3"/>
      <c r="EH12" s="3">
        <f>mround(EH11*Setup!GX9,'Quick Setup'!$A$2)</f>
        <v>315</v>
      </c>
      <c r="EI12" s="3">
        <f>Setup!GY9</f>
        <v>4</v>
      </c>
      <c r="EJ12" s="3">
        <f>Setup!GZ9</f>
        <v>8</v>
      </c>
      <c r="EK12" s="3">
        <f>Setup!HA9</f>
        <v>5</v>
      </c>
      <c r="EL12" s="10"/>
      <c r="EM12" s="10"/>
      <c r="EN12" s="10"/>
      <c r="EO12" s="3"/>
      <c r="EP12" s="3">
        <f>mround(EP11*Setup!HJ9,'Quick Setup'!$A$2)</f>
        <v>335</v>
      </c>
      <c r="EQ12" s="3">
        <f>Setup!HK9</f>
        <v>3</v>
      </c>
      <c r="ER12" s="3">
        <f>Setup!HL9</f>
        <v>6</v>
      </c>
      <c r="ES12" s="3">
        <f>Setup!HM9</f>
        <v>5</v>
      </c>
      <c r="ET12" s="10"/>
      <c r="EU12" s="10"/>
      <c r="EV12" s="10"/>
      <c r="EW12" s="3"/>
      <c r="EX12" s="3">
        <f>mround(EX11*Setup!HV9,'Quick Setup'!$A$2)</f>
        <v>357.5</v>
      </c>
      <c r="EY12" s="3">
        <f>Setup!HW9</f>
        <v>2</v>
      </c>
      <c r="EZ12" s="3">
        <f>Setup!HX9</f>
        <v>4</v>
      </c>
      <c r="FA12" s="3">
        <f>Setup!HY9</f>
        <v>5</v>
      </c>
      <c r="FB12" s="10"/>
      <c r="FC12" s="10"/>
      <c r="FD12" s="10"/>
      <c r="FE12" s="3"/>
      <c r="FF12" s="3">
        <f>mround(FF11*Setup!IH9,'Quick Setup'!$A$2)</f>
        <v>210</v>
      </c>
      <c r="FG12" s="3">
        <f>Setup!II9</f>
        <v>8</v>
      </c>
      <c r="FH12" s="3">
        <f>Setup!IJ9</f>
        <v>18</v>
      </c>
      <c r="FI12" s="3">
        <f>Setup!IK9</f>
        <v>5</v>
      </c>
      <c r="FJ12" s="10"/>
      <c r="FK12" s="10"/>
      <c r="FL12" s="10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</row>
    <row r="13">
      <c r="A13" s="1" t="str">
        <f>CONCATENATE(A14," TM")</f>
        <v>Paused Squat TM</v>
      </c>
      <c r="B13" s="3">
        <f>if(D13="",'Quick Setup'!D12,D13/'Quick Setup'!E12)</f>
        <v>460</v>
      </c>
      <c r="C13" s="8" t="s">
        <v>75</v>
      </c>
      <c r="D13" s="10"/>
      <c r="E13" s="3"/>
      <c r="F13" s="3"/>
      <c r="G13" s="3"/>
      <c r="H13" s="3"/>
      <c r="I13" s="3"/>
      <c r="J13" s="3">
        <f>if(L13="", if(F14&lt;&gt;"", if((F14-D14)&lt;-1,B13*(1+Setup!F10),if((F14-D14)&lt;0,B13*(1+Setup!G10),if((F14-D14)=0,B13*(1+Setup!H10),if((F14-D14)=1,B13*(1+Setup!I10),if((F14-D14)=2,B13*(1+Setup!J10),if((F14-D14)=3,B13*(1+Setup!K10),if((F14-D14)=4,B13*(1+Setup!L10),if((F14-D14)&gt;4,B13*(1+Setup!M10),B13)))))))),B13),L13/'Quick Setup'!$E12)</f>
        <v>460</v>
      </c>
      <c r="K13" s="8" t="s">
        <v>75</v>
      </c>
      <c r="L13" s="10"/>
      <c r="M13" s="3"/>
      <c r="N13" s="3"/>
      <c r="O13" s="3"/>
      <c r="P13" s="3"/>
      <c r="Q13" s="3"/>
      <c r="R13" s="3">
        <f>if(T13="", if(N14&lt;&gt;"", if((N14-L14)&lt;-1,J13*(1+Setup!R10),if((N14-L14)&lt;0,J13*(1+Setup!S10),if((N14-L14)=0,J13*(1+Setup!T10),if((N14-L14)=1,J13*(1+Setup!U10),if((N14-L14)=2,J13*(1+Setup!V10),if((N14-L14)=3,J13*(1+Setup!W10),if((N14-L14)=4,J13*(1+Setup!X10),if((N14-L14)&gt;4,J13*(1+Setup!Y10),J13)))))))),J13),T13/'Quick Setup'!$E12)</f>
        <v>460</v>
      </c>
      <c r="S13" s="8" t="s">
        <v>75</v>
      </c>
      <c r="T13" s="10"/>
      <c r="U13" s="3"/>
      <c r="V13" s="3"/>
      <c r="W13" s="3"/>
      <c r="X13" s="3"/>
      <c r="Y13" s="3"/>
      <c r="Z13" s="3">
        <f>if(AB13="", if(V14&lt;&gt;"", if((V14-T14)&lt;-1,R13*(1+Setup!AD10),if((V14-T14)&lt;0,R13*(1+Setup!AE10),if((V14-T14)=0,R13*(1+Setup!AF10),if((V14-T14)=1,R13*(1+Setup!AG10),if((V14-T14)=2,R13*(1+Setup!AH10),if((V14-T14)=3,R13*(1+Setup!AI10),if((V14-T14)=4,R13*(1+Setup!AJ10),if((V14-T14)&gt;4,R13*(1+Setup!AK10),R13)))))))),R13),AB13/'Quick Setup'!$E12)</f>
        <v>460</v>
      </c>
      <c r="AA13" s="8" t="s">
        <v>75</v>
      </c>
      <c r="AB13" s="10"/>
      <c r="AC13" s="3"/>
      <c r="AD13" s="3"/>
      <c r="AE13" s="3"/>
      <c r="AF13" s="3"/>
      <c r="AG13" s="3"/>
      <c r="AH13" s="3">
        <f>if(AJ13="", if(AD14&lt;&gt;"", if((AD14-AB14)&lt;-1,Z13*(1+Setup!AP10),if((AD14-AB14)&lt;0,Z13*(1+Setup!AQ10),if((AD14-AB14)=0,Z13*(1+Setup!AR10),if((AD14-AB14)=1,Z13*(1+Setup!AS10),if((AD14-AB14)=2,Z13*(1+Setup!AT10),if((AD14-AB14)=3,Z13*(1+Setup!AU10),if((AD14-AB14)=4,Z13*(1+Setup!AV10),if((AD14-AB14)&gt;4,Z13*(1+Setup!AW10),Z13)))))))),Z13),AJ13/'Quick Setup'!$E12)</f>
        <v>460</v>
      </c>
      <c r="AI13" s="8" t="s">
        <v>75</v>
      </c>
      <c r="AJ13" s="10"/>
      <c r="AK13" s="3"/>
      <c r="AL13" s="3"/>
      <c r="AM13" s="3"/>
      <c r="AN13" s="3"/>
      <c r="AO13" s="3"/>
      <c r="AP13" s="3">
        <f>if(AR13="", if(AL14&lt;&gt;"", if((AL14-AJ14)&lt;-1,AH13*(1+Setup!BB10),if((AL14-AJ14)&lt;0,AH13*(1+Setup!BC10),if((AL14-AJ14)=0,AH13*(1+Setup!BD10),if((AL14-AJ14)=1,AH13*(1+Setup!BE10),if((AL14-AJ14)=2,AH13*(1+Setup!BF10),if((AL14-AJ14)=3,AH13*(1+Setup!BG10),if((AL14-AJ14)=4,AH13*(1+Setup!BH10),if((AL14-AJ14)&gt;4,AH13*(1+Setup!BI10),AH13)))))))),AH13),AR13/'Quick Setup'!$E12)</f>
        <v>460</v>
      </c>
      <c r="AQ13" s="8" t="s">
        <v>75</v>
      </c>
      <c r="AR13" s="10"/>
      <c r="AS13" s="3"/>
      <c r="AT13" s="3"/>
      <c r="AU13" s="3"/>
      <c r="AV13" s="3"/>
      <c r="AW13" s="3"/>
      <c r="AX13" s="3">
        <f>if(AZ13="", if(AT14&lt;&gt;"", if((AT14-AR14)&lt;-1,AP13*(1+Setup!BN10),if((AT14-AR14)&lt;0,AP13*(1+Setup!BO10),if((AT14-AR14)=0,AP13*(1+Setup!BP10),if((AT14-AR14)=1,AP13*(1+Setup!BQ10),if((AT14-AR14)=2,AP13*(1+Setup!BR10),if((AT14-AR14)=3,AP13*(1+Setup!BS10),if((AT14-AR14)=4,AP13*(1+Setup!BT10),if((AT14-AR14)&gt;4,AP13*(1+Setup!BU10),AP13)))))))),AP13),AZ13/'Quick Setup'!$E12)</f>
        <v>460</v>
      </c>
      <c r="AY13" s="8" t="s">
        <v>75</v>
      </c>
      <c r="AZ13" s="10"/>
      <c r="BA13" s="3"/>
      <c r="BB13" s="3"/>
      <c r="BC13" s="3"/>
      <c r="BD13" s="3"/>
      <c r="BE13" s="3"/>
      <c r="BF13" s="3">
        <f>if(BH13="", if(BB14&lt;&gt;"", if((BB14-AZ14)&lt;-1,AX13*(1+Setup!BZ10),if((BB14-AZ14)&lt;0,AX13*(1+Setup!CA10),if((BB14-AZ14)=0,AX13*(1+Setup!CB10),if((BB14-AZ14)=1,AX13*(1+Setup!CC10),if((BB14-AZ14)=2,AX13*(1+Setup!CD10),if((BB14-AZ14)=3,AX13*(1+Setup!CE10),if((BB14-AZ14)=4,AX13*(1+Setup!CF10),if((BB14-AZ14)&gt;4,AX13*(1+Setup!CG10),AX13)))))))),AX13),BH13/'Quick Setup'!$E12)</f>
        <v>460</v>
      </c>
      <c r="BG13" s="8" t="s">
        <v>75</v>
      </c>
      <c r="BH13" s="10"/>
      <c r="BI13" s="3"/>
      <c r="BJ13" s="3"/>
      <c r="BK13" s="3"/>
      <c r="BL13" s="3"/>
      <c r="BM13" s="3"/>
      <c r="BN13" s="3">
        <f>if(BP13="", if(BJ14&lt;&gt;"", if((BJ14-BH14)&lt;-1,BF13*(1+Setup!CL10),if((BJ14-BH14)&lt;0,BF13*(1+Setup!CM10),if((BJ14-BH14)=0,BF13*(1+Setup!CN10),if((BJ14-BH14)=1,BF13*(1+Setup!CO10),if((BJ14-BH14)=2,BF13*(1+Setup!CP10),if((BJ14-BH14)=3,BF13*(1+Setup!CQ10),if((BJ14-BH14)=4,BF13*(1+Setup!CR10),if((BJ14-BH14)&gt;4,BF13*(1+Setup!CS10),BF13)))))))),BF13),BP13/'Quick Setup'!$E12)</f>
        <v>460</v>
      </c>
      <c r="BO13" s="8" t="s">
        <v>75</v>
      </c>
      <c r="BP13" s="10"/>
      <c r="BQ13" s="3"/>
      <c r="BR13" s="3"/>
      <c r="BS13" s="3"/>
      <c r="BT13" s="3"/>
      <c r="BU13" s="3"/>
      <c r="BV13" s="3">
        <f>if(BX13="", if(BR14&lt;&gt;"", if((BR14-BP14)&lt;-1,BN13*(1+Setup!CX10),if((BR14-BP14)&lt;0,BN13*(1+Setup!CY10),if((BR14-BP14)=0,BN13*(1+Setup!CZ10),if((BR14-BP14)=1,BN13*(1+Setup!DA10),if((BR14-BP14)=2,BN13*(1+Setup!DB10),if((BR14-BP14)=3,BN13*(1+Setup!DC10),if((BR14-BP14)=4,BN13*(1+Setup!DD10),if((BR14-BP14)&gt;4,BN13*(1+Setup!DE10),BN13)))))))),BN13),BX13/'Quick Setup'!$E12)</f>
        <v>460</v>
      </c>
      <c r="BW13" s="8" t="s">
        <v>75</v>
      </c>
      <c r="BX13" s="10"/>
      <c r="BY13" s="3"/>
      <c r="BZ13" s="3"/>
      <c r="CA13" s="3"/>
      <c r="CB13" s="3"/>
      <c r="CC13" s="3"/>
      <c r="CD13" s="3">
        <f>if(CF13="", if(BZ14&lt;&gt;"", if((BZ14-BX14)&lt;-1,BV13*(1+Setup!DJ10),if((BZ14-BX14)&lt;0,BV13*(1+Setup!DK10),if((BZ14-BX14)=0,BV13*(1+Setup!DL10),if((BZ14-BX14)=1,BV13*(1+Setup!DM10),if((BZ14-BX14)=2,BV13*(1+Setup!DN10),if((BZ14-BX14)=3,BV13*(1+Setup!DO10),if((BZ14-BX14)=4,BV13*(1+Setup!DP10),if((BZ14-BX14)&gt;4,BV13*(1+Setup!DQ10),BV13)))))))),BV13),CF13/'Quick Setup'!$E12)</f>
        <v>460</v>
      </c>
      <c r="CE13" s="8" t="s">
        <v>75</v>
      </c>
      <c r="CF13" s="10"/>
      <c r="CG13" s="3"/>
      <c r="CH13" s="3"/>
      <c r="CI13" s="3"/>
      <c r="CJ13" s="3"/>
      <c r="CK13" s="3"/>
      <c r="CL13" s="3">
        <f>if(CN13="", if(CH14&lt;&gt;"", if((CH14-CF14)&lt;-1,CD13*(1+Setup!DV10),if((CH14-CF14)&lt;0,CD13*(1+Setup!DW10),if((CH14-CF14)=0,CD13*(1+Setup!DX10),if((CH14-CF14)=1,CD13*(1+Setup!DY10),if((CH14-CF14)=2,CD13*(1+Setup!DZ10),if((CH14-CF14)=3,CD13*(1+Setup!EA10),if((CH14-CF14)=4,CD13*(1+Setup!EB10),if((CH14-CF14)&gt;4,CD13*(1+Setup!EC10),CD13)))))))),CD13),CN13/'Quick Setup'!$E12)</f>
        <v>460</v>
      </c>
      <c r="CM13" s="8" t="s">
        <v>75</v>
      </c>
      <c r="CN13" s="10"/>
      <c r="CO13" s="3"/>
      <c r="CP13" s="3"/>
      <c r="CQ13" s="3"/>
      <c r="CR13" s="3"/>
      <c r="CS13" s="3"/>
      <c r="CT13" s="3">
        <f>if(CV13="", if(CP14&lt;&gt;"", if((CP14-CN14)&lt;-1,CL13*(1+Setup!EH10),if((CP14-CN14)&lt;0,CL13*(1+Setup!EI10),if((CP14-CN14)=0,CL13*(1+Setup!EJ10),if((CP14-CN14)=1,CL13*(1+Setup!EK10),if((CP14-CN14)=2,CL13*(1+Setup!EL10),if((CP14-CN14)=3,CL13*(1+Setup!EM10),if((CP14-CN14)=4,CL13*(1+Setup!EN10),if((CP14-CN14)&gt;4,CL13*(1+Setup!EO10),CL13)))))))),CL13),CV13/'Quick Setup'!$E12)</f>
        <v>460</v>
      </c>
      <c r="CU13" s="8" t="s">
        <v>75</v>
      </c>
      <c r="CV13" s="10"/>
      <c r="CW13" s="3"/>
      <c r="CX13" s="3"/>
      <c r="CY13" s="3"/>
      <c r="CZ13" s="3"/>
      <c r="DA13" s="3"/>
      <c r="DB13" s="3">
        <f>if(DD13="", if(CX14&lt;&gt;"", if((CX14-CV14)&lt;-1,CT13*(1+Setup!ET10),if((CX14-CV14)&lt;0,CT13*(1+Setup!EU10),if((CX14-CV14)=0,CT13*(1+Setup!EV10),if((CX14-CV14)=1,CT13*(1+Setup!EW10),if((CX14-CV14)=2,CT13*(1+Setup!EX10),if((CX14-CV14)=3,CT13*(1+Setup!EY10),if((CX14-CV14)=4,CT13*(1+Setup!EZ10),if((CX14-CV14)&gt;4,CT13*(1+Setup!FA10),CT13)))))))),CT13),DD13/'Quick Setup'!$E12)</f>
        <v>460</v>
      </c>
      <c r="DC13" s="8" t="s">
        <v>75</v>
      </c>
      <c r="DD13" s="10"/>
      <c r="DE13" s="3"/>
      <c r="DF13" s="3"/>
      <c r="DG13" s="3"/>
      <c r="DH13" s="3"/>
      <c r="DI13" s="3"/>
      <c r="DJ13" s="3">
        <f>if(DL13="", if(DF14&lt;&gt;"", if((DF14-DD14)&lt;-1,DB13*(1+Setup!FF10),if((DF14-DD14)&lt;0,DB13*(1+Setup!FG10),if((DF14-DD14)=0,DB13*(1+Setup!FH10),if((DF14-DD14)=1,DB13*(1+Setup!FI10),if((DF14-DD14)=2,DB13*(1+Setup!FJ10),if((DF14-DD14)=3,DB13*(1+Setup!FK10),if((DF14-DD14)=4,DB13*(1+Setup!FL10),if((DF14-DD14)&gt;4,DB13*(1+Setup!FM10),DB13)))))))),DB13),DL13/'Quick Setup'!$E12)</f>
        <v>460</v>
      </c>
      <c r="DK13" s="8" t="s">
        <v>75</v>
      </c>
      <c r="DL13" s="10"/>
      <c r="DM13" s="3"/>
      <c r="DN13" s="3"/>
      <c r="DO13" s="3"/>
      <c r="DP13" s="3"/>
      <c r="DQ13" s="3"/>
      <c r="DR13" s="3">
        <f>if(DT13="", if(DN14&lt;&gt;"", if((DN14-DL14)&lt;-1,DJ13*(1+Setup!FR10),if((DN14-DL14)&lt;0,DJ13*(1+Setup!FS10),if((DN14-DL14)=0,DJ13*(1+Setup!FT10),if((DN14-DL14)=1,DJ13*(1+Setup!FU10),if((DN14-DL14)=2,DJ13*(1+Setup!FV10),if((DN14-DL14)=3,DJ13*(1+Setup!FW10),if((DN14-DL14)=4,DJ13*(1+Setup!FX10),if((DN14-DL14)&gt;4,DJ13*(1+Setup!FY10),DJ13)))))))),DJ13),DT13/'Quick Setup'!$E12)</f>
        <v>460</v>
      </c>
      <c r="DS13" s="8" t="s">
        <v>75</v>
      </c>
      <c r="DT13" s="10"/>
      <c r="DU13" s="3"/>
      <c r="DV13" s="3"/>
      <c r="DW13" s="3"/>
      <c r="DX13" s="3"/>
      <c r="DY13" s="3"/>
      <c r="DZ13" s="3">
        <f>if(EB13="", if(DV14&lt;&gt;"", if((DV14-DT14)&lt;-1,DR13*(1+Setup!GD10),if((DV14-DT14)&lt;0,DR13*(1+Setup!GE10),if((DV14-DT14)=0,DR13*(1+Setup!GF10),if((DV14-DT14)=1,DR13*(1+Setup!GG10),if((DV14-DT14)=2,DR13*(1+Setup!GH10),if((DV14-DT14)=3,DR13*(1+Setup!GI10),if((DV14-DT14)=4,DR13*(1+Setup!GJ10),if((DV14-DT14)&gt;4,DR13*(1+Setup!GK10),DR13)))))))),DR13),EB13/'Quick Setup'!$E12)</f>
        <v>460</v>
      </c>
      <c r="EA13" s="8" t="s">
        <v>75</v>
      </c>
      <c r="EB13" s="10"/>
      <c r="EC13" s="3"/>
      <c r="ED13" s="3"/>
      <c r="EE13" s="3"/>
      <c r="EF13" s="3"/>
      <c r="EG13" s="3"/>
      <c r="EH13" s="3">
        <f>if(EJ13="", if(ED14&lt;&gt;"", if((ED14-EB14)&lt;-1,DZ13*(1+Setup!GP10),if((ED14-EB14)&lt;0,DZ13*(1+Setup!GQ10),if((ED14-EB14)=0,DZ13*(1+Setup!GR10),if((ED14-EB14)=1,DZ13*(1+Setup!GS10),if((ED14-EB14)=2,DZ13*(1+Setup!GT10),if((ED14-EB14)=3,DZ13*(1+Setup!GU10),if((ED14-EB14)=4,DZ13*(1+Setup!GV10),if((ED14-EB14)&gt;4,DZ13*(1+Setup!GW10),DZ13)))))))),DZ13),EJ13/'Quick Setup'!$E12)</f>
        <v>460</v>
      </c>
      <c r="EI13" s="8" t="s">
        <v>75</v>
      </c>
      <c r="EJ13" s="10"/>
      <c r="EK13" s="3"/>
      <c r="EL13" s="3"/>
      <c r="EM13" s="3"/>
      <c r="EN13" s="3"/>
      <c r="EO13" s="3"/>
      <c r="EP13" s="3">
        <f>if(ER13="", if(EL14&lt;&gt;"", if((EL14-EJ14)&lt;-1,EH13*(1+Setup!HB10),if((EL14-EJ14)&lt;0,EH13*(1+Setup!HC10),if((EL14-EJ14)=0,EH13*(1+Setup!HD10),if((EL14-EJ14)=1,EH13*(1+Setup!HE10),if((EL14-EJ14)=2,EH13*(1+Setup!HF10),if((EL14-EJ14)=3,EH13*(1+Setup!HG10),if((EL14-EJ14)=4,EH13*(1+Setup!HH10),if((EL14-EJ14)&gt;4,EH13*(1+Setup!HI10),EH13)))))))),EH13),ER13/'Quick Setup'!$E12)</f>
        <v>460</v>
      </c>
      <c r="EQ13" s="8" t="s">
        <v>75</v>
      </c>
      <c r="ER13" s="10"/>
      <c r="ES13" s="3"/>
      <c r="ET13" s="3"/>
      <c r="EU13" s="3"/>
      <c r="EV13" s="3"/>
      <c r="EW13" s="3"/>
      <c r="EX13" s="3">
        <f>if(EZ13="", if(ET14&lt;&gt;"", if((ET14-ER14)&lt;-1,EP13*(1+Setup!HN10),if((ET14-ER14)&lt;0,EP13*(1+Setup!HO10),if((ET14-ER14)=0,EP13*(1+Setup!HP10),if((ET14-ER14)=1,EP13*(1+Setup!HQ10),if((ET14-ER14)=2,EP13*(1+Setup!HR10),if((ET14-ER14)=3,EP13*(1+Setup!HS10),if((ET14-ER14)=4,EP13*(1+Setup!HT10),if((ET14-ER14)&gt;4,EP13*(1+Setup!HU10),EP13)))))))),EP13),EZ13/'Quick Setup'!$E12)</f>
        <v>460</v>
      </c>
      <c r="EY13" s="8" t="s">
        <v>75</v>
      </c>
      <c r="EZ13" s="10"/>
      <c r="FA13" s="3"/>
      <c r="FB13" s="3"/>
      <c r="FC13" s="3"/>
      <c r="FD13" s="3"/>
      <c r="FE13" s="3"/>
      <c r="FF13" s="3">
        <f>if(FH13="", if(FB14&lt;&gt;"", if((FB14-EZ14)&lt;-1,EX13*(1+Setup!HZ10),if((FB14-EZ14)&lt;0,EX13*(1+Setup!IA10),if((FB14-EZ14)=0,EX13*(1+Setup!IB10),if((FB14-EZ14)=1,EX13*(1+Setup!IC10),if((FB14-EZ14)=2,EX13*(1+Setup!ID10),if((FB14-EZ14)=3,EX13*(1+Setup!IE10),if((FB14-EZ14)=4,EX13*(1+Setup!IF10),if((FB14-EZ14)&gt;4,EX13*(1+Setup!IG10),EX13)))))))),EX13),FH13/'Quick Setup'!$E12)</f>
        <v>460</v>
      </c>
      <c r="FG13" s="8" t="s">
        <v>75</v>
      </c>
      <c r="FH13" s="10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</row>
    <row r="14">
      <c r="A14" s="1" t="str">
        <f>Setup!A10</f>
        <v>Paused Squat</v>
      </c>
      <c r="B14" s="3">
        <f>mround(B13*Setup!B10,'Quick Setup'!$A$2)</f>
        <v>275</v>
      </c>
      <c r="C14" s="3">
        <f>Setup!C10</f>
        <v>7</v>
      </c>
      <c r="D14" s="3">
        <f>Setup!D10</f>
        <v>14</v>
      </c>
      <c r="E14" s="3">
        <f>Setup!E10</f>
        <v>5</v>
      </c>
      <c r="F14" s="10"/>
      <c r="G14" s="10"/>
      <c r="H14" s="10"/>
      <c r="I14" s="3"/>
      <c r="J14" s="3">
        <f>mround(J13*Setup!N10,'Quick Setup'!$A$2)</f>
        <v>300</v>
      </c>
      <c r="K14" s="3">
        <f>Setup!O10</f>
        <v>6</v>
      </c>
      <c r="L14" s="3">
        <f>Setup!P10</f>
        <v>12</v>
      </c>
      <c r="M14" s="3">
        <f>Setup!Q10</f>
        <v>5</v>
      </c>
      <c r="N14" s="10"/>
      <c r="O14" s="10"/>
      <c r="P14" s="10"/>
      <c r="Q14" s="3"/>
      <c r="R14" s="3">
        <f>mround(R13*Setup!Z10,'Quick Setup'!$A$2)</f>
        <v>322.5</v>
      </c>
      <c r="S14" s="3">
        <f>Setup!AA10</f>
        <v>5</v>
      </c>
      <c r="T14" s="3">
        <f>Setup!AB10</f>
        <v>10</v>
      </c>
      <c r="U14" s="3">
        <f>Setup!AC10</f>
        <v>5</v>
      </c>
      <c r="V14" s="10"/>
      <c r="W14" s="10"/>
      <c r="X14" s="10"/>
      <c r="Y14" s="3"/>
      <c r="Z14" s="3">
        <f>mround(Z13*Setup!AL10,'Quick Setup'!$A$2)</f>
        <v>287.5</v>
      </c>
      <c r="AA14" s="3">
        <f>Setup!AM10</f>
        <v>7</v>
      </c>
      <c r="AB14" s="3">
        <f>Setup!AN10</f>
        <v>13</v>
      </c>
      <c r="AC14" s="3">
        <f>Setup!AO10</f>
        <v>5</v>
      </c>
      <c r="AD14" s="10"/>
      <c r="AE14" s="10"/>
      <c r="AF14" s="10"/>
      <c r="AG14" s="3"/>
      <c r="AH14" s="3">
        <f>mround(AH13*Setup!AX10,'Quick Setup'!$A$2)</f>
        <v>310</v>
      </c>
      <c r="AI14" s="3">
        <f>Setup!AY10</f>
        <v>6</v>
      </c>
      <c r="AJ14" s="3">
        <f>Setup!AZ10</f>
        <v>11</v>
      </c>
      <c r="AK14" s="3">
        <f>Setup!BA10</f>
        <v>5</v>
      </c>
      <c r="AL14" s="10"/>
      <c r="AM14" s="10"/>
      <c r="AN14" s="10"/>
      <c r="AO14" s="3"/>
      <c r="AP14" s="3">
        <f>mround(AP13*Setup!BJ10,'Quick Setup'!$A$2)</f>
        <v>332.5</v>
      </c>
      <c r="AQ14" s="3">
        <f>Setup!BK10</f>
        <v>5</v>
      </c>
      <c r="AR14" s="3">
        <f>Setup!BL10</f>
        <v>9</v>
      </c>
      <c r="AS14" s="3">
        <f>Setup!BM10</f>
        <v>5</v>
      </c>
      <c r="AT14" s="10"/>
      <c r="AU14" s="10"/>
      <c r="AV14" s="10"/>
      <c r="AW14" s="3"/>
      <c r="AX14" s="3">
        <f>mround(AX13*Setup!BV10,'Quick Setup'!$A$2)</f>
        <v>230</v>
      </c>
      <c r="AY14" s="3">
        <f>Setup!BW10</f>
        <v>8</v>
      </c>
      <c r="AZ14" s="3">
        <f>Setup!BX10</f>
        <v>18</v>
      </c>
      <c r="BA14" s="3">
        <f>Setup!BY10</f>
        <v>5</v>
      </c>
      <c r="BB14" s="10"/>
      <c r="BC14" s="10"/>
      <c r="BD14" s="10"/>
      <c r="BE14" s="3"/>
      <c r="BF14" s="3">
        <f>mround(BF13*Setup!CH10,'Quick Setup'!$A$2)</f>
        <v>300</v>
      </c>
      <c r="BG14" s="3">
        <f>Setup!CI10</f>
        <v>6</v>
      </c>
      <c r="BH14" s="3">
        <f>Setup!CJ10</f>
        <v>12</v>
      </c>
      <c r="BI14" s="3">
        <f>Setup!CK10</f>
        <v>5</v>
      </c>
      <c r="BJ14" s="10"/>
      <c r="BK14" s="10"/>
      <c r="BL14" s="10"/>
      <c r="BM14" s="3"/>
      <c r="BN14" s="3">
        <f>mround(BN13*Setup!CT10,'Quick Setup'!$A$2)</f>
        <v>322.5</v>
      </c>
      <c r="BO14" s="3">
        <f>Setup!CU10</f>
        <v>5</v>
      </c>
      <c r="BP14" s="3">
        <f>Setup!CV10</f>
        <v>10</v>
      </c>
      <c r="BQ14" s="3">
        <f>Setup!CW10</f>
        <v>5</v>
      </c>
      <c r="BR14" s="10"/>
      <c r="BS14" s="10"/>
      <c r="BT14" s="10"/>
      <c r="BU14" s="3"/>
      <c r="BV14" s="3">
        <f>mround(BV13*Setup!DF10,'Quick Setup'!$A$2)</f>
        <v>345</v>
      </c>
      <c r="BW14" s="3">
        <f>Setup!DG10</f>
        <v>4</v>
      </c>
      <c r="BX14" s="3">
        <f>Setup!DH10</f>
        <v>8</v>
      </c>
      <c r="BY14" s="3">
        <f>Setup!DI10</f>
        <v>5</v>
      </c>
      <c r="BZ14" s="10"/>
      <c r="CA14" s="10"/>
      <c r="CB14" s="10"/>
      <c r="CC14" s="3"/>
      <c r="CD14" s="3">
        <f>mround(CD13*Setup!DR10,'Quick Setup'!$A$2)</f>
        <v>310</v>
      </c>
      <c r="CE14" s="3">
        <f>Setup!DS10</f>
        <v>6</v>
      </c>
      <c r="CF14" s="3">
        <f>Setup!DT10</f>
        <v>11</v>
      </c>
      <c r="CG14" s="3">
        <f>Setup!DU10</f>
        <v>5</v>
      </c>
      <c r="CH14" s="10"/>
      <c r="CI14" s="10"/>
      <c r="CJ14" s="10"/>
      <c r="CK14" s="3"/>
      <c r="CL14" s="3">
        <f>mround(CL13*Setup!ED10,'Quick Setup'!$A$2)</f>
        <v>332.5</v>
      </c>
      <c r="CM14" s="3">
        <f>Setup!EE10</f>
        <v>5</v>
      </c>
      <c r="CN14" s="3">
        <f>Setup!EF10</f>
        <v>9</v>
      </c>
      <c r="CO14" s="3">
        <f>Setup!EG10</f>
        <v>5</v>
      </c>
      <c r="CP14" s="10"/>
      <c r="CQ14" s="10"/>
      <c r="CR14" s="10"/>
      <c r="CS14" s="3"/>
      <c r="CT14" s="3">
        <f>mround(CT13*Setup!EP10,'Quick Setup'!$A$2)</f>
        <v>357.5</v>
      </c>
      <c r="CU14" s="3">
        <f>Setup!EQ10</f>
        <v>4</v>
      </c>
      <c r="CV14" s="3">
        <f>Setup!ER10</f>
        <v>7</v>
      </c>
      <c r="CW14" s="3">
        <f>Setup!ES10</f>
        <v>5</v>
      </c>
      <c r="CX14" s="10"/>
      <c r="CY14" s="10"/>
      <c r="CZ14" s="10"/>
      <c r="DA14" s="3"/>
      <c r="DB14" s="3">
        <f>mround(DB13*Setup!FB10,'Quick Setup'!$A$2)</f>
        <v>230</v>
      </c>
      <c r="DC14" s="3">
        <f>Setup!FC10</f>
        <v>8</v>
      </c>
      <c r="DD14" s="3">
        <f>Setup!FD10</f>
        <v>18</v>
      </c>
      <c r="DE14" s="3">
        <f>Setup!FE10</f>
        <v>5</v>
      </c>
      <c r="DF14" s="10"/>
      <c r="DG14" s="10"/>
      <c r="DH14" s="10"/>
      <c r="DI14" s="3"/>
      <c r="DJ14" s="3">
        <f>mround(DJ13*Setup!FN10,'Quick Setup'!$A$2)</f>
        <v>322.5</v>
      </c>
      <c r="DK14" s="3">
        <f>Setup!FO10</f>
        <v>5</v>
      </c>
      <c r="DL14" s="3">
        <f>Setup!FP10</f>
        <v>10</v>
      </c>
      <c r="DM14" s="3">
        <f>Setup!FQ10</f>
        <v>5</v>
      </c>
      <c r="DN14" s="10"/>
      <c r="DO14" s="10"/>
      <c r="DP14" s="10"/>
      <c r="DQ14" s="3"/>
      <c r="DR14" s="3">
        <f>mround(DR13*Setup!FZ10,'Quick Setup'!$A$2)</f>
        <v>345</v>
      </c>
      <c r="DS14" s="3">
        <f>Setup!GA10</f>
        <v>4</v>
      </c>
      <c r="DT14" s="3">
        <f>Setup!GB10</f>
        <v>8</v>
      </c>
      <c r="DU14" s="3">
        <f>Setup!GC10</f>
        <v>5</v>
      </c>
      <c r="DV14" s="10"/>
      <c r="DW14" s="10"/>
      <c r="DX14" s="10"/>
      <c r="DY14" s="3"/>
      <c r="DZ14" s="3">
        <f>mround(DZ13*Setup!GL10,'Quick Setup'!$A$2)</f>
        <v>367.5</v>
      </c>
      <c r="EA14" s="3">
        <f>Setup!GM10</f>
        <v>3</v>
      </c>
      <c r="EB14" s="3">
        <f>Setup!GN10</f>
        <v>6</v>
      </c>
      <c r="EC14" s="3">
        <f>Setup!GO10</f>
        <v>5</v>
      </c>
      <c r="ED14" s="10"/>
      <c r="EE14" s="10"/>
      <c r="EF14" s="10"/>
      <c r="EG14" s="3"/>
      <c r="EH14" s="3">
        <f>mround(EH13*Setup!GX10,'Quick Setup'!$A$2)</f>
        <v>345</v>
      </c>
      <c r="EI14" s="3">
        <f>Setup!GY10</f>
        <v>4</v>
      </c>
      <c r="EJ14" s="3">
        <f>Setup!GZ10</f>
        <v>8</v>
      </c>
      <c r="EK14" s="3">
        <f>Setup!HA10</f>
        <v>5</v>
      </c>
      <c r="EL14" s="10"/>
      <c r="EM14" s="10"/>
      <c r="EN14" s="10"/>
      <c r="EO14" s="3"/>
      <c r="EP14" s="3">
        <f>mround(EP13*Setup!HJ10,'Quick Setup'!$A$2)</f>
        <v>367.5</v>
      </c>
      <c r="EQ14" s="3">
        <f>Setup!HK10</f>
        <v>3</v>
      </c>
      <c r="ER14" s="3">
        <f>Setup!HL10</f>
        <v>6</v>
      </c>
      <c r="ES14" s="3">
        <f>Setup!HM10</f>
        <v>5</v>
      </c>
      <c r="ET14" s="10"/>
      <c r="EU14" s="10"/>
      <c r="EV14" s="10"/>
      <c r="EW14" s="3"/>
      <c r="EX14" s="3">
        <f>mround(EX13*Setup!HV10,'Quick Setup'!$A$2)</f>
        <v>390</v>
      </c>
      <c r="EY14" s="3">
        <f>Setup!HW10</f>
        <v>2</v>
      </c>
      <c r="EZ14" s="3">
        <f>Setup!HX10</f>
        <v>4</v>
      </c>
      <c r="FA14" s="3">
        <f>Setup!HY10</f>
        <v>5</v>
      </c>
      <c r="FB14" s="10"/>
      <c r="FC14" s="10"/>
      <c r="FD14" s="10"/>
      <c r="FE14" s="3"/>
      <c r="FF14" s="3">
        <f>mround(FF13*Setup!IH10,'Quick Setup'!$A$2)</f>
        <v>230</v>
      </c>
      <c r="FG14" s="3">
        <f>Setup!II10</f>
        <v>8</v>
      </c>
      <c r="FH14" s="3">
        <f>Setup!IJ10</f>
        <v>18</v>
      </c>
      <c r="FI14" s="3">
        <f>Setup!IK10</f>
        <v>5</v>
      </c>
      <c r="FJ14" s="10"/>
      <c r="FK14" s="10"/>
      <c r="FL14" s="10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</row>
    <row r="15">
      <c r="A15" s="1" t="str">
        <f>CONCATENATE(A16," TM")</f>
        <v>Close Grip Bench TM</v>
      </c>
      <c r="B15" s="3">
        <f>if(D15="",'Quick Setup'!D13,D15/'Quick Setup'!E13)</f>
        <v>310</v>
      </c>
      <c r="C15" s="8" t="s">
        <v>75</v>
      </c>
      <c r="D15" s="10"/>
      <c r="E15" s="3"/>
      <c r="F15" s="3"/>
      <c r="G15" s="3"/>
      <c r="H15" s="3"/>
      <c r="I15" s="3"/>
      <c r="J15" s="3">
        <f>if(L15="", if(F16&lt;&gt;"", if((F16-D16)&lt;-1,B15*(1+Setup!F11),if((F16-D16)&lt;0,B15*(1+Setup!G11),if((F16-D16)=0,B15*(1+Setup!H11),if((F16-D16)=1,B15*(1+Setup!I11),if((F16-D16)=2,B15*(1+Setup!J11),if((F16-D16)=3,B15*(1+Setup!K11),if((F16-D16)=4,B15*(1+Setup!L11),if((F16-D16)&gt;4,B15*(1+Setup!M11),B15)))))))),B15),L15/'Quick Setup'!$E13)</f>
        <v>310</v>
      </c>
      <c r="K15" s="8" t="s">
        <v>75</v>
      </c>
      <c r="L15" s="10"/>
      <c r="M15" s="3"/>
      <c r="N15" s="3"/>
      <c r="O15" s="3"/>
      <c r="P15" s="3"/>
      <c r="Q15" s="3"/>
      <c r="R15" s="3">
        <f>if(T15="", if(N16&lt;&gt;"", if((N16-L16)&lt;-1,J15*(1+Setup!R11),if((N16-L16)&lt;0,J15*(1+Setup!S11),if((N16-L16)=0,J15*(1+Setup!T11),if((N16-L16)=1,J15*(1+Setup!U11),if((N16-L16)=2,J15*(1+Setup!V11),if((N16-L16)=3,J15*(1+Setup!W11),if((N16-L16)=4,J15*(1+Setup!X11),if((N16-L16)&gt;4,J15*(1+Setup!Y11),J15)))))))),J15),T15/'Quick Setup'!$E13)</f>
        <v>310</v>
      </c>
      <c r="S15" s="8" t="s">
        <v>75</v>
      </c>
      <c r="T15" s="10"/>
      <c r="U15" s="3"/>
      <c r="V15" s="3"/>
      <c r="W15" s="3"/>
      <c r="X15" s="3"/>
      <c r="Y15" s="3"/>
      <c r="Z15" s="3">
        <f>if(AB15="", if(V16&lt;&gt;"", if((V16-T16)&lt;-1,R15*(1+Setup!AD11),if((V16-T16)&lt;0,R15*(1+Setup!AE11),if((V16-T16)=0,R15*(1+Setup!AF11),if((V16-T16)=1,R15*(1+Setup!AG11),if((V16-T16)=2,R15*(1+Setup!AH11),if((V16-T16)=3,R15*(1+Setup!AI11),if((V16-T16)=4,R15*(1+Setup!AJ11),if((V16-T16)&gt;4,R15*(1+Setup!AK11),R15)))))))),R15),AB15/'Quick Setup'!$E13)</f>
        <v>310</v>
      </c>
      <c r="AA15" s="8" t="s">
        <v>75</v>
      </c>
      <c r="AB15" s="10"/>
      <c r="AC15" s="3"/>
      <c r="AD15" s="3"/>
      <c r="AE15" s="3"/>
      <c r="AF15" s="3"/>
      <c r="AG15" s="3"/>
      <c r="AH15" s="3">
        <f>if(AJ15="", if(AD16&lt;&gt;"", if((AD16-AB16)&lt;-1,Z15*(1+Setup!AP11),if((AD16-AB16)&lt;0,Z15*(1+Setup!AQ11),if((AD16-AB16)=0,Z15*(1+Setup!AR11),if((AD16-AB16)=1,Z15*(1+Setup!AS11),if((AD16-AB16)=2,Z15*(1+Setup!AT11),if((AD16-AB16)=3,Z15*(1+Setup!AU11),if((AD16-AB16)=4,Z15*(1+Setup!AV11),if((AD16-AB16)&gt;4,Z15*(1+Setup!AW11),Z15)))))))),Z15),AJ15/'Quick Setup'!$E13)</f>
        <v>310</v>
      </c>
      <c r="AI15" s="8" t="s">
        <v>75</v>
      </c>
      <c r="AJ15" s="10"/>
      <c r="AK15" s="3"/>
      <c r="AL15" s="3"/>
      <c r="AM15" s="3"/>
      <c r="AN15" s="3"/>
      <c r="AO15" s="3"/>
      <c r="AP15" s="3">
        <f>if(AR15="", if(AL16&lt;&gt;"", if((AL16-AJ16)&lt;-1,AH15*(1+Setup!BB11),if((AL16-AJ16)&lt;0,AH15*(1+Setup!BC11),if((AL16-AJ16)=0,AH15*(1+Setup!BD11),if((AL16-AJ16)=1,AH15*(1+Setup!BE11),if((AL16-AJ16)=2,AH15*(1+Setup!BF11),if((AL16-AJ16)=3,AH15*(1+Setup!BG11),if((AL16-AJ16)=4,AH15*(1+Setup!BH11),if((AL16-AJ16)&gt;4,AH15*(1+Setup!BI11),AH15)))))))),AH15),AR15/'Quick Setup'!$E13)</f>
        <v>310</v>
      </c>
      <c r="AQ15" s="8" t="s">
        <v>75</v>
      </c>
      <c r="AR15" s="10"/>
      <c r="AS15" s="3"/>
      <c r="AT15" s="3"/>
      <c r="AU15" s="3"/>
      <c r="AV15" s="3"/>
      <c r="AW15" s="3"/>
      <c r="AX15" s="3">
        <f>if(AZ15="", if(AT16&lt;&gt;"", if((AT16-AR16)&lt;-1,AP15*(1+Setup!BN11),if((AT16-AR16)&lt;0,AP15*(1+Setup!BO11),if((AT16-AR16)=0,AP15*(1+Setup!BP11),if((AT16-AR16)=1,AP15*(1+Setup!BQ11),if((AT16-AR16)=2,AP15*(1+Setup!BR11),if((AT16-AR16)=3,AP15*(1+Setup!BS11),if((AT16-AR16)=4,AP15*(1+Setup!BT11),if((AT16-AR16)&gt;4,AP15*(1+Setup!BU11),AP15)))))))),AP15),AZ15/'Quick Setup'!$E13)</f>
        <v>310</v>
      </c>
      <c r="AY15" s="8" t="s">
        <v>75</v>
      </c>
      <c r="AZ15" s="10"/>
      <c r="BA15" s="3"/>
      <c r="BB15" s="3"/>
      <c r="BC15" s="3"/>
      <c r="BD15" s="3"/>
      <c r="BE15" s="3"/>
      <c r="BF15" s="3">
        <f>if(BH15="", if(BB16&lt;&gt;"", if((BB16-AZ16)&lt;-1,AX15*(1+Setup!BZ11),if((BB16-AZ16)&lt;0,AX15*(1+Setup!CA11),if((BB16-AZ16)=0,AX15*(1+Setup!CB11),if((BB16-AZ16)=1,AX15*(1+Setup!CC11),if((BB16-AZ16)=2,AX15*(1+Setup!CD11),if((BB16-AZ16)=3,AX15*(1+Setup!CE11),if((BB16-AZ16)=4,AX15*(1+Setup!CF11),if((BB16-AZ16)&gt;4,AX15*(1+Setup!CG11),AX15)))))))),AX15),BH15/'Quick Setup'!$E13)</f>
        <v>310</v>
      </c>
      <c r="BG15" s="8" t="s">
        <v>75</v>
      </c>
      <c r="BH15" s="10"/>
      <c r="BI15" s="3"/>
      <c r="BJ15" s="3"/>
      <c r="BK15" s="3"/>
      <c r="BL15" s="3"/>
      <c r="BM15" s="3"/>
      <c r="BN15" s="3">
        <f>if(BP15="", if(BJ16&lt;&gt;"", if((BJ16-BH16)&lt;-1,BF15*(1+Setup!CL11),if((BJ16-BH16)&lt;0,BF15*(1+Setup!CM11),if((BJ16-BH16)=0,BF15*(1+Setup!CN11),if((BJ16-BH16)=1,BF15*(1+Setup!CO11),if((BJ16-BH16)=2,BF15*(1+Setup!CP11),if((BJ16-BH16)=3,BF15*(1+Setup!CQ11),if((BJ16-BH16)=4,BF15*(1+Setup!CR11),if((BJ16-BH16)&gt;4,BF15*(1+Setup!CS11),BF15)))))))),BF15),BP15/'Quick Setup'!$E13)</f>
        <v>310</v>
      </c>
      <c r="BO15" s="8" t="s">
        <v>75</v>
      </c>
      <c r="BP15" s="10"/>
      <c r="BQ15" s="3"/>
      <c r="BR15" s="3"/>
      <c r="BS15" s="3"/>
      <c r="BT15" s="3"/>
      <c r="BU15" s="3"/>
      <c r="BV15" s="3">
        <f>if(BX15="", if(BR16&lt;&gt;"", if((BR16-BP16)&lt;-1,BN15*(1+Setup!CX11),if((BR16-BP16)&lt;0,BN15*(1+Setup!CY11),if((BR16-BP16)=0,BN15*(1+Setup!CZ11),if((BR16-BP16)=1,BN15*(1+Setup!DA11),if((BR16-BP16)=2,BN15*(1+Setup!DB11),if((BR16-BP16)=3,BN15*(1+Setup!DC11),if((BR16-BP16)=4,BN15*(1+Setup!DD11),if((BR16-BP16)&gt;4,BN15*(1+Setup!DE11),BN15)))))))),BN15),BX15/'Quick Setup'!$E13)</f>
        <v>310</v>
      </c>
      <c r="BW15" s="8" t="s">
        <v>75</v>
      </c>
      <c r="BX15" s="10"/>
      <c r="BY15" s="3"/>
      <c r="BZ15" s="3"/>
      <c r="CA15" s="3"/>
      <c r="CB15" s="3"/>
      <c r="CC15" s="3"/>
      <c r="CD15" s="3">
        <f>if(CF15="", if(BZ16&lt;&gt;"", if((BZ16-BX16)&lt;-1,BV15*(1+Setup!DJ11),if((BZ16-BX16)&lt;0,BV15*(1+Setup!DK11),if((BZ16-BX16)=0,BV15*(1+Setup!DL11),if((BZ16-BX16)=1,BV15*(1+Setup!DM11),if((BZ16-BX16)=2,BV15*(1+Setup!DN11),if((BZ16-BX16)=3,BV15*(1+Setup!DO11),if((BZ16-BX16)=4,BV15*(1+Setup!DP11),if((BZ16-BX16)&gt;4,BV15*(1+Setup!DQ11),BV15)))))))),BV15),CF15/'Quick Setup'!$E13)</f>
        <v>310</v>
      </c>
      <c r="CE15" s="8" t="s">
        <v>75</v>
      </c>
      <c r="CF15" s="10"/>
      <c r="CG15" s="3"/>
      <c r="CH15" s="3"/>
      <c r="CI15" s="3"/>
      <c r="CJ15" s="3"/>
      <c r="CK15" s="3"/>
      <c r="CL15" s="3">
        <f>if(CN15="", if(CH16&lt;&gt;"", if((CH16-CF16)&lt;-1,CD15*(1+Setup!DV11),if((CH16-CF16)&lt;0,CD15*(1+Setup!DW11),if((CH16-CF16)=0,CD15*(1+Setup!DX11),if((CH16-CF16)=1,CD15*(1+Setup!DY11),if((CH16-CF16)=2,CD15*(1+Setup!DZ11),if((CH16-CF16)=3,CD15*(1+Setup!EA11),if((CH16-CF16)=4,CD15*(1+Setup!EB11),if((CH16-CF16)&gt;4,CD15*(1+Setup!EC11),CD15)))))))),CD15),CN15/'Quick Setup'!$E13)</f>
        <v>310</v>
      </c>
      <c r="CM15" s="8" t="s">
        <v>75</v>
      </c>
      <c r="CN15" s="10"/>
      <c r="CO15" s="3"/>
      <c r="CP15" s="3"/>
      <c r="CQ15" s="3"/>
      <c r="CR15" s="3"/>
      <c r="CS15" s="3"/>
      <c r="CT15" s="3">
        <f>if(CV15="", if(CP16&lt;&gt;"", if((CP16-CN16)&lt;-1,CL15*(1+Setup!EH11),if((CP16-CN16)&lt;0,CL15*(1+Setup!EI11),if((CP16-CN16)=0,CL15*(1+Setup!EJ11),if((CP16-CN16)=1,CL15*(1+Setup!EK11),if((CP16-CN16)=2,CL15*(1+Setup!EL11),if((CP16-CN16)=3,CL15*(1+Setup!EM11),if((CP16-CN16)=4,CL15*(1+Setup!EN11),if((CP16-CN16)&gt;4,CL15*(1+Setup!EO11),CL15)))))))),CL15),CV15/'Quick Setup'!$E13)</f>
        <v>310</v>
      </c>
      <c r="CU15" s="8" t="s">
        <v>75</v>
      </c>
      <c r="CV15" s="10"/>
      <c r="CW15" s="3"/>
      <c r="CX15" s="3"/>
      <c r="CY15" s="3"/>
      <c r="CZ15" s="3"/>
      <c r="DA15" s="3"/>
      <c r="DB15" s="3">
        <f>if(DD15="", if(CX16&lt;&gt;"", if((CX16-CV16)&lt;-1,CT15*(1+Setup!ET11),if((CX16-CV16)&lt;0,CT15*(1+Setup!EU11),if((CX16-CV16)=0,CT15*(1+Setup!EV11),if((CX16-CV16)=1,CT15*(1+Setup!EW11),if((CX16-CV16)=2,CT15*(1+Setup!EX11),if((CX16-CV16)=3,CT15*(1+Setup!EY11),if((CX16-CV16)=4,CT15*(1+Setup!EZ11),if((CX16-CV16)&gt;4,CT15*(1+Setup!FA11),CT15)))))))),CT15),DD15/'Quick Setup'!$E13)</f>
        <v>310</v>
      </c>
      <c r="DC15" s="8" t="s">
        <v>75</v>
      </c>
      <c r="DD15" s="10"/>
      <c r="DE15" s="3"/>
      <c r="DF15" s="3"/>
      <c r="DG15" s="3"/>
      <c r="DH15" s="3"/>
      <c r="DI15" s="3"/>
      <c r="DJ15" s="3">
        <f>if(DL15="", if(DF16&lt;&gt;"", if((DF16-DD16)&lt;-1,DB15*(1+Setup!FF11),if((DF16-DD16)&lt;0,DB15*(1+Setup!FG11),if((DF16-DD16)=0,DB15*(1+Setup!FH11),if((DF16-DD16)=1,DB15*(1+Setup!FI11),if((DF16-DD16)=2,DB15*(1+Setup!FJ11),if((DF16-DD16)=3,DB15*(1+Setup!FK11),if((DF16-DD16)=4,DB15*(1+Setup!FL11),if((DF16-DD16)&gt;4,DB15*(1+Setup!FM11),DB15)))))))),DB15),DL15/'Quick Setup'!$E13)</f>
        <v>310</v>
      </c>
      <c r="DK15" s="8" t="s">
        <v>75</v>
      </c>
      <c r="DL15" s="10"/>
      <c r="DM15" s="3"/>
      <c r="DN15" s="3"/>
      <c r="DO15" s="3"/>
      <c r="DP15" s="3"/>
      <c r="DQ15" s="3"/>
      <c r="DR15" s="3">
        <f>if(DT15="", if(DN16&lt;&gt;"", if((DN16-DL16)&lt;-1,DJ15*(1+Setup!FR11),if((DN16-DL16)&lt;0,DJ15*(1+Setup!FS11),if((DN16-DL16)=0,DJ15*(1+Setup!FT11),if((DN16-DL16)=1,DJ15*(1+Setup!FU11),if((DN16-DL16)=2,DJ15*(1+Setup!FV11),if((DN16-DL16)=3,DJ15*(1+Setup!FW11),if((DN16-DL16)=4,DJ15*(1+Setup!FX11),if((DN16-DL16)&gt;4,DJ15*(1+Setup!FY11),DJ15)))))))),DJ15),DT15/'Quick Setup'!$E13)</f>
        <v>310</v>
      </c>
      <c r="DS15" s="8" t="s">
        <v>75</v>
      </c>
      <c r="DT15" s="10"/>
      <c r="DU15" s="3"/>
      <c r="DV15" s="3"/>
      <c r="DW15" s="3"/>
      <c r="DX15" s="3"/>
      <c r="DY15" s="3"/>
      <c r="DZ15" s="3">
        <f>if(EB15="", if(DV16&lt;&gt;"", if((DV16-DT16)&lt;-1,DR15*(1+Setup!GD11),if((DV16-DT16)&lt;0,DR15*(1+Setup!GE11),if((DV16-DT16)=0,DR15*(1+Setup!GF11),if((DV16-DT16)=1,DR15*(1+Setup!GG11),if((DV16-DT16)=2,DR15*(1+Setup!GH11),if((DV16-DT16)=3,DR15*(1+Setup!GI11),if((DV16-DT16)=4,DR15*(1+Setup!GJ11),if((DV16-DT16)&gt;4,DR15*(1+Setup!GK11),DR15)))))))),DR15),EB15/'Quick Setup'!$E13)</f>
        <v>310</v>
      </c>
      <c r="EA15" s="8" t="s">
        <v>75</v>
      </c>
      <c r="EB15" s="10"/>
      <c r="EC15" s="3"/>
      <c r="ED15" s="3"/>
      <c r="EE15" s="3"/>
      <c r="EF15" s="3"/>
      <c r="EG15" s="3"/>
      <c r="EH15" s="3">
        <f>if(EJ15="", if(ED16&lt;&gt;"", if((ED16-EB16)&lt;-1,DZ15*(1+Setup!GP11),if((ED16-EB16)&lt;0,DZ15*(1+Setup!GQ11),if((ED16-EB16)=0,DZ15*(1+Setup!GR11),if((ED16-EB16)=1,DZ15*(1+Setup!GS11),if((ED16-EB16)=2,DZ15*(1+Setup!GT11),if((ED16-EB16)=3,DZ15*(1+Setup!GU11),if((ED16-EB16)=4,DZ15*(1+Setup!GV11),if((ED16-EB16)&gt;4,DZ15*(1+Setup!GW11),DZ15)))))))),DZ15),EJ15/'Quick Setup'!$E13)</f>
        <v>310</v>
      </c>
      <c r="EI15" s="8" t="s">
        <v>75</v>
      </c>
      <c r="EJ15" s="10"/>
      <c r="EK15" s="3"/>
      <c r="EL15" s="3"/>
      <c r="EM15" s="3"/>
      <c r="EN15" s="3"/>
      <c r="EO15" s="3"/>
      <c r="EP15" s="3">
        <f>if(ER15="", if(EL16&lt;&gt;"", if((EL16-EJ16)&lt;-1,EH15*(1+Setup!HB11),if((EL16-EJ16)&lt;0,EH15*(1+Setup!HC11),if((EL16-EJ16)=0,EH15*(1+Setup!HD11),if((EL16-EJ16)=1,EH15*(1+Setup!HE11),if((EL16-EJ16)=2,EH15*(1+Setup!HF11),if((EL16-EJ16)=3,EH15*(1+Setup!HG11),if((EL16-EJ16)=4,EH15*(1+Setup!HH11),if((EL16-EJ16)&gt;4,EH15*(1+Setup!HI11),EH15)))))))),EH15),ER15/'Quick Setup'!$E13)</f>
        <v>310</v>
      </c>
      <c r="EQ15" s="8" t="s">
        <v>75</v>
      </c>
      <c r="ER15" s="10"/>
      <c r="ES15" s="3"/>
      <c r="ET15" s="3"/>
      <c r="EU15" s="3"/>
      <c r="EV15" s="3"/>
      <c r="EW15" s="3"/>
      <c r="EX15" s="3">
        <f>if(EZ15="", if(ET16&lt;&gt;"", if((ET16-ER16)&lt;-1,EP15*(1+Setup!HN11),if((ET16-ER16)&lt;0,EP15*(1+Setup!HO11),if((ET16-ER16)=0,EP15*(1+Setup!HP11),if((ET16-ER16)=1,EP15*(1+Setup!HQ11),if((ET16-ER16)=2,EP15*(1+Setup!HR11),if((ET16-ER16)=3,EP15*(1+Setup!HS11),if((ET16-ER16)=4,EP15*(1+Setup!HT11),if((ET16-ER16)&gt;4,EP15*(1+Setup!HU11),EP15)))))))),EP15),EZ15/'Quick Setup'!$E13)</f>
        <v>310</v>
      </c>
      <c r="EY15" s="8" t="s">
        <v>75</v>
      </c>
      <c r="EZ15" s="10"/>
      <c r="FA15" s="3"/>
      <c r="FB15" s="3"/>
      <c r="FC15" s="3"/>
      <c r="FD15" s="3"/>
      <c r="FE15" s="3"/>
      <c r="FF15" s="3">
        <f>if(FH15="", if(FB16&lt;&gt;"", if((FB16-EZ16)&lt;-1,EX15*(1+Setup!HZ11),if((FB16-EZ16)&lt;0,EX15*(1+Setup!IA11),if((FB16-EZ16)=0,EX15*(1+Setup!IB11),if((FB16-EZ16)=1,EX15*(1+Setup!IC11),if((FB16-EZ16)=2,EX15*(1+Setup!ID11),if((FB16-EZ16)=3,EX15*(1+Setup!IE11),if((FB16-EZ16)=4,EX15*(1+Setup!IF11),if((FB16-EZ16)&gt;4,EX15*(1+Setup!IG11),EX15)))))))),EX15),FH15/'Quick Setup'!$E13)</f>
        <v>310</v>
      </c>
      <c r="FG15" s="8" t="s">
        <v>75</v>
      </c>
      <c r="FH15" s="10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>
      <c r="A16" s="1" t="str">
        <f>Setup!A11</f>
        <v>Close Grip Bench</v>
      </c>
      <c r="B16" s="3">
        <f>mround(B15*Setup!B11,'Quick Setup'!$A$2)</f>
        <v>185</v>
      </c>
      <c r="C16" s="3">
        <f>Setup!C11</f>
        <v>7</v>
      </c>
      <c r="D16" s="3">
        <f>Setup!D11</f>
        <v>14</v>
      </c>
      <c r="E16" s="3">
        <f>Setup!E11</f>
        <v>5</v>
      </c>
      <c r="F16" s="10"/>
      <c r="G16" s="10"/>
      <c r="H16" s="10"/>
      <c r="I16" s="3"/>
      <c r="J16" s="3">
        <f>mround(J15*Setup!N11,'Quick Setup'!$A$2)</f>
        <v>202.5</v>
      </c>
      <c r="K16" s="3">
        <f>Setup!O11</f>
        <v>6</v>
      </c>
      <c r="L16" s="3">
        <f>Setup!P11</f>
        <v>12</v>
      </c>
      <c r="M16" s="3">
        <f>Setup!Q11</f>
        <v>5</v>
      </c>
      <c r="N16" s="10"/>
      <c r="O16" s="10"/>
      <c r="P16" s="10"/>
      <c r="Q16" s="3"/>
      <c r="R16" s="3">
        <f>mround(R15*Setup!Z11,'Quick Setup'!$A$2)</f>
        <v>217.5</v>
      </c>
      <c r="S16" s="3">
        <f>Setup!AA11</f>
        <v>5</v>
      </c>
      <c r="T16" s="3">
        <f>Setup!AB11</f>
        <v>10</v>
      </c>
      <c r="U16" s="3">
        <f>Setup!AC11</f>
        <v>5</v>
      </c>
      <c r="V16" s="10"/>
      <c r="W16" s="10"/>
      <c r="X16" s="10"/>
      <c r="Y16" s="3"/>
      <c r="Z16" s="3">
        <f>mround(Z15*Setup!AL11,'Quick Setup'!$A$2)</f>
        <v>195</v>
      </c>
      <c r="AA16" s="3">
        <f>Setup!AM11</f>
        <v>7</v>
      </c>
      <c r="AB16" s="3">
        <f>Setup!AN11</f>
        <v>13</v>
      </c>
      <c r="AC16" s="3">
        <f>Setup!AO11</f>
        <v>5</v>
      </c>
      <c r="AD16" s="10"/>
      <c r="AE16" s="10"/>
      <c r="AF16" s="10"/>
      <c r="AG16" s="3"/>
      <c r="AH16" s="3">
        <f>mround(AH15*Setup!AX11,'Quick Setup'!$A$2)</f>
        <v>210</v>
      </c>
      <c r="AI16" s="3">
        <f>Setup!AY11</f>
        <v>6</v>
      </c>
      <c r="AJ16" s="3">
        <f>Setup!AZ11</f>
        <v>11</v>
      </c>
      <c r="AK16" s="3">
        <f>Setup!BA11</f>
        <v>5</v>
      </c>
      <c r="AL16" s="10"/>
      <c r="AM16" s="10"/>
      <c r="AN16" s="10"/>
      <c r="AO16" s="3"/>
      <c r="AP16" s="3">
        <f>mround(AP15*Setup!BJ11,'Quick Setup'!$A$2)</f>
        <v>225</v>
      </c>
      <c r="AQ16" s="3">
        <f>Setup!BK11</f>
        <v>5</v>
      </c>
      <c r="AR16" s="3">
        <f>Setup!BL11</f>
        <v>9</v>
      </c>
      <c r="AS16" s="3">
        <f>Setup!BM11</f>
        <v>5</v>
      </c>
      <c r="AT16" s="10"/>
      <c r="AU16" s="10"/>
      <c r="AV16" s="10"/>
      <c r="AW16" s="3"/>
      <c r="AX16" s="3">
        <f>mround(AX15*Setup!BV11,'Quick Setup'!$A$2)</f>
        <v>155</v>
      </c>
      <c r="AY16" s="3">
        <f>Setup!BW11</f>
        <v>8</v>
      </c>
      <c r="AZ16" s="3">
        <f>Setup!BX11</f>
        <v>18</v>
      </c>
      <c r="BA16" s="3">
        <f>Setup!BY11</f>
        <v>5</v>
      </c>
      <c r="BB16" s="10"/>
      <c r="BC16" s="10"/>
      <c r="BD16" s="10"/>
      <c r="BE16" s="3"/>
      <c r="BF16" s="3">
        <f>mround(BF15*Setup!CH11,'Quick Setup'!$A$2)</f>
        <v>202.5</v>
      </c>
      <c r="BG16" s="3">
        <f>Setup!CI11</f>
        <v>6</v>
      </c>
      <c r="BH16" s="3">
        <f>Setup!CJ11</f>
        <v>12</v>
      </c>
      <c r="BI16" s="3">
        <f>Setup!CK11</f>
        <v>5</v>
      </c>
      <c r="BJ16" s="10"/>
      <c r="BK16" s="10"/>
      <c r="BL16" s="10"/>
      <c r="BM16" s="3"/>
      <c r="BN16" s="3">
        <f>mround(BN15*Setup!CT11,'Quick Setup'!$A$2)</f>
        <v>217.5</v>
      </c>
      <c r="BO16" s="3">
        <f>Setup!CU11</f>
        <v>5</v>
      </c>
      <c r="BP16" s="3">
        <f>Setup!CV11</f>
        <v>10</v>
      </c>
      <c r="BQ16" s="3">
        <f>Setup!CW11</f>
        <v>5</v>
      </c>
      <c r="BR16" s="10"/>
      <c r="BS16" s="10"/>
      <c r="BT16" s="10"/>
      <c r="BU16" s="3"/>
      <c r="BV16" s="3">
        <f>mround(BV15*Setup!DF11,'Quick Setup'!$A$2)</f>
        <v>232.5</v>
      </c>
      <c r="BW16" s="3">
        <f>Setup!DG11</f>
        <v>4</v>
      </c>
      <c r="BX16" s="3">
        <f>Setup!DH11</f>
        <v>8</v>
      </c>
      <c r="BY16" s="3">
        <f>Setup!DI11</f>
        <v>5</v>
      </c>
      <c r="BZ16" s="10"/>
      <c r="CA16" s="10"/>
      <c r="CB16" s="10"/>
      <c r="CC16" s="3"/>
      <c r="CD16" s="3">
        <f>mround(CD15*Setup!DR11,'Quick Setup'!$A$2)</f>
        <v>210</v>
      </c>
      <c r="CE16" s="3">
        <f>Setup!DS11</f>
        <v>6</v>
      </c>
      <c r="CF16" s="3">
        <f>Setup!DT11</f>
        <v>11</v>
      </c>
      <c r="CG16" s="3">
        <f>Setup!DU11</f>
        <v>5</v>
      </c>
      <c r="CH16" s="10"/>
      <c r="CI16" s="10"/>
      <c r="CJ16" s="10"/>
      <c r="CK16" s="3"/>
      <c r="CL16" s="3">
        <f>mround(CL15*Setup!ED11,'Quick Setup'!$A$2)</f>
        <v>225</v>
      </c>
      <c r="CM16" s="3">
        <f>Setup!EE11</f>
        <v>5</v>
      </c>
      <c r="CN16" s="3">
        <f>Setup!EF11</f>
        <v>9</v>
      </c>
      <c r="CO16" s="3">
        <f>Setup!EG11</f>
        <v>5</v>
      </c>
      <c r="CP16" s="10"/>
      <c r="CQ16" s="10"/>
      <c r="CR16" s="10"/>
      <c r="CS16" s="3"/>
      <c r="CT16" s="3">
        <f>mround(CT15*Setup!EP11,'Quick Setup'!$A$2)</f>
        <v>240</v>
      </c>
      <c r="CU16" s="3">
        <f>Setup!EQ11</f>
        <v>4</v>
      </c>
      <c r="CV16" s="3">
        <f>Setup!ER11</f>
        <v>7</v>
      </c>
      <c r="CW16" s="3">
        <f>Setup!ES11</f>
        <v>5</v>
      </c>
      <c r="CX16" s="10"/>
      <c r="CY16" s="10"/>
      <c r="CZ16" s="10"/>
      <c r="DA16" s="3"/>
      <c r="DB16" s="3">
        <f>mround(DB15*Setup!FB11,'Quick Setup'!$A$2)</f>
        <v>155</v>
      </c>
      <c r="DC16" s="3">
        <f>Setup!FC11</f>
        <v>8</v>
      </c>
      <c r="DD16" s="3">
        <f>Setup!FD11</f>
        <v>18</v>
      </c>
      <c r="DE16" s="3">
        <f>Setup!FE11</f>
        <v>5</v>
      </c>
      <c r="DF16" s="10"/>
      <c r="DG16" s="10"/>
      <c r="DH16" s="10"/>
      <c r="DI16" s="3"/>
      <c r="DJ16" s="3">
        <f>mround(DJ15*Setup!FN11,'Quick Setup'!$A$2)</f>
        <v>217.5</v>
      </c>
      <c r="DK16" s="3">
        <f>Setup!FO11</f>
        <v>5</v>
      </c>
      <c r="DL16" s="3">
        <f>Setup!FP11</f>
        <v>10</v>
      </c>
      <c r="DM16" s="3">
        <f>Setup!FQ11</f>
        <v>5</v>
      </c>
      <c r="DN16" s="10"/>
      <c r="DO16" s="10"/>
      <c r="DP16" s="10"/>
      <c r="DQ16" s="3"/>
      <c r="DR16" s="3">
        <f>mround(DR15*Setup!FZ11,'Quick Setup'!$A$2)</f>
        <v>232.5</v>
      </c>
      <c r="DS16" s="3">
        <f>Setup!GA11</f>
        <v>4</v>
      </c>
      <c r="DT16" s="3">
        <f>Setup!GB11</f>
        <v>8</v>
      </c>
      <c r="DU16" s="3">
        <f>Setup!GC11</f>
        <v>5</v>
      </c>
      <c r="DV16" s="10"/>
      <c r="DW16" s="10"/>
      <c r="DX16" s="10"/>
      <c r="DY16" s="3"/>
      <c r="DZ16" s="3">
        <f>mround(DZ15*Setup!GL11,'Quick Setup'!$A$2)</f>
        <v>247.5</v>
      </c>
      <c r="EA16" s="3">
        <f>Setup!GM11</f>
        <v>3</v>
      </c>
      <c r="EB16" s="3">
        <f>Setup!GN11</f>
        <v>6</v>
      </c>
      <c r="EC16" s="3">
        <f>Setup!GO11</f>
        <v>5</v>
      </c>
      <c r="ED16" s="10"/>
      <c r="EE16" s="10"/>
      <c r="EF16" s="10"/>
      <c r="EG16" s="3"/>
      <c r="EH16" s="3">
        <f>mround(EH15*Setup!GX11,'Quick Setup'!$A$2)</f>
        <v>232.5</v>
      </c>
      <c r="EI16" s="3">
        <f>Setup!GY11</f>
        <v>4</v>
      </c>
      <c r="EJ16" s="3">
        <f>Setup!GZ11</f>
        <v>8</v>
      </c>
      <c r="EK16" s="3">
        <f>Setup!HA11</f>
        <v>5</v>
      </c>
      <c r="EL16" s="10"/>
      <c r="EM16" s="10"/>
      <c r="EN16" s="10"/>
      <c r="EO16" s="3"/>
      <c r="EP16" s="3">
        <f>mround(EP15*Setup!HJ11,'Quick Setup'!$A$2)</f>
        <v>247.5</v>
      </c>
      <c r="EQ16" s="3">
        <f>Setup!HK11</f>
        <v>3</v>
      </c>
      <c r="ER16" s="3">
        <f>Setup!HL11</f>
        <v>6</v>
      </c>
      <c r="ES16" s="3">
        <f>Setup!HM11</f>
        <v>5</v>
      </c>
      <c r="ET16" s="10"/>
      <c r="EU16" s="10"/>
      <c r="EV16" s="10"/>
      <c r="EW16" s="3"/>
      <c r="EX16" s="3">
        <f>mround(EX15*Setup!HV11,'Quick Setup'!$A$2)</f>
        <v>262.5</v>
      </c>
      <c r="EY16" s="3">
        <f>Setup!HW11</f>
        <v>2</v>
      </c>
      <c r="EZ16" s="3">
        <f>Setup!HX11</f>
        <v>4</v>
      </c>
      <c r="FA16" s="3">
        <f>Setup!HY11</f>
        <v>5</v>
      </c>
      <c r="FB16" s="10"/>
      <c r="FC16" s="10"/>
      <c r="FD16" s="10"/>
      <c r="FE16" s="3"/>
      <c r="FF16" s="3">
        <f>mround(FF15*Setup!IH11,'Quick Setup'!$A$2)</f>
        <v>155</v>
      </c>
      <c r="FG16" s="3">
        <f>Setup!II11</f>
        <v>8</v>
      </c>
      <c r="FH16" s="3">
        <f>Setup!IJ11</f>
        <v>18</v>
      </c>
      <c r="FI16" s="3">
        <f>Setup!IK11</f>
        <v>5</v>
      </c>
      <c r="FJ16" s="10"/>
      <c r="FK16" s="10"/>
      <c r="FL16" s="10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>
      <c r="A17" s="1" t="str">
        <f>CONCATENATE(A18," TM")</f>
        <v>Incline Press TM</v>
      </c>
      <c r="B17" s="3">
        <f>if(D17="",'Quick Setup'!D14,D17/'Quick Setup'!E14)</f>
        <v>280</v>
      </c>
      <c r="C17" s="8" t="s">
        <v>75</v>
      </c>
      <c r="D17" s="10"/>
      <c r="E17" s="3"/>
      <c r="F17" s="3"/>
      <c r="G17" s="3"/>
      <c r="H17" s="3"/>
      <c r="I17" s="3"/>
      <c r="J17" s="3">
        <f>if(L17="", if(F18&lt;&gt;"", if((F18-D18)&lt;-1,B17*(1+Setup!F12),if((F18-D18)&lt;0,B17*(1+Setup!G12),if((F18-D18)=0,B17*(1+Setup!H12),if((F18-D18)=1,B17*(1+Setup!I12),if((F18-D18)=2,B17*(1+Setup!J12),if((F18-D18)=3,B17*(1+Setup!K12),if((F18-D18)=4,B17*(1+Setup!L12),if((F18-D18)&gt;4,B17*(1+Setup!M12),B17)))))))),B17),L17/'Quick Setup'!$E14)</f>
        <v>280</v>
      </c>
      <c r="K17" s="8" t="s">
        <v>75</v>
      </c>
      <c r="L17" s="10"/>
      <c r="M17" s="3"/>
      <c r="N17" s="3"/>
      <c r="O17" s="3"/>
      <c r="P17" s="3"/>
      <c r="Q17" s="3"/>
      <c r="R17" s="3">
        <f>if(T17="", if(N18&lt;&gt;"", if((N18-L18)&lt;-1,J17*(1+Setup!R12),if((N18-L18)&lt;0,J17*(1+Setup!S12),if((N18-L18)=0,J17*(1+Setup!T12),if((N18-L18)=1,J17*(1+Setup!U12),if((N18-L18)=2,J17*(1+Setup!V12),if((N18-L18)=3,J17*(1+Setup!W12),if((N18-L18)=4,J17*(1+Setup!X12),if((N18-L18)&gt;4,J17*(1+Setup!Y12),J17)))))))),J17),T17/'Quick Setup'!$E14)</f>
        <v>280</v>
      </c>
      <c r="S17" s="8" t="s">
        <v>75</v>
      </c>
      <c r="T17" s="10"/>
      <c r="U17" s="3"/>
      <c r="V17" s="3"/>
      <c r="W17" s="3"/>
      <c r="X17" s="3"/>
      <c r="Y17" s="3"/>
      <c r="Z17" s="3">
        <f>if(AB17="", if(V18&lt;&gt;"", if((V18-T18)&lt;-1,R17*(1+Setup!AD12),if((V18-T18)&lt;0,R17*(1+Setup!AE12),if((V18-T18)=0,R17*(1+Setup!AF12),if((V18-T18)=1,R17*(1+Setup!AG12),if((V18-T18)=2,R17*(1+Setup!AH12),if((V18-T18)=3,R17*(1+Setup!AI12),if((V18-T18)=4,R17*(1+Setup!AJ12),if((V18-T18)&gt;4,R17*(1+Setup!AK12),R17)))))))),R17),AB17/'Quick Setup'!$E14)</f>
        <v>280</v>
      </c>
      <c r="AA17" s="8" t="s">
        <v>75</v>
      </c>
      <c r="AB17" s="10"/>
      <c r="AC17" s="3"/>
      <c r="AD17" s="3"/>
      <c r="AE17" s="3"/>
      <c r="AF17" s="3"/>
      <c r="AG17" s="3"/>
      <c r="AH17" s="3">
        <f>if(AJ17="", if(AD18&lt;&gt;"", if((AD18-AB18)&lt;-1,Z17*(1+Setup!AP12),if((AD18-AB18)&lt;0,Z17*(1+Setup!AQ12),if((AD18-AB18)=0,Z17*(1+Setup!AR12),if((AD18-AB18)=1,Z17*(1+Setup!AS12),if((AD18-AB18)=2,Z17*(1+Setup!AT12),if((AD18-AB18)=3,Z17*(1+Setup!AU12),if((AD18-AB18)=4,Z17*(1+Setup!AV12),if((AD18-AB18)&gt;4,Z17*(1+Setup!AW12),Z17)))))))),Z17),AJ17/'Quick Setup'!$E14)</f>
        <v>280</v>
      </c>
      <c r="AI17" s="8" t="s">
        <v>75</v>
      </c>
      <c r="AJ17" s="10"/>
      <c r="AK17" s="3"/>
      <c r="AL17" s="3"/>
      <c r="AM17" s="3"/>
      <c r="AN17" s="3"/>
      <c r="AO17" s="3"/>
      <c r="AP17" s="3">
        <f>if(AR17="", if(AL18&lt;&gt;"", if((AL18-AJ18)&lt;-1,AH17*(1+Setup!BB12),if((AL18-AJ18)&lt;0,AH17*(1+Setup!BC12),if((AL18-AJ18)=0,AH17*(1+Setup!BD12),if((AL18-AJ18)=1,AH17*(1+Setup!BE12),if((AL18-AJ18)=2,AH17*(1+Setup!BF12),if((AL18-AJ18)=3,AH17*(1+Setup!BG12),if((AL18-AJ18)=4,AH17*(1+Setup!BH12),if((AL18-AJ18)&gt;4,AH17*(1+Setup!BI12),AH17)))))))),AH17),AR17/'Quick Setup'!$E14)</f>
        <v>280</v>
      </c>
      <c r="AQ17" s="8" t="s">
        <v>75</v>
      </c>
      <c r="AR17" s="10"/>
      <c r="AS17" s="3"/>
      <c r="AT17" s="3"/>
      <c r="AU17" s="3"/>
      <c r="AV17" s="3"/>
      <c r="AW17" s="3"/>
      <c r="AX17" s="3">
        <f>if(AZ17="", if(AT18&lt;&gt;"", if((AT18-AR18)&lt;-1,AP17*(1+Setup!BN12),if((AT18-AR18)&lt;0,AP17*(1+Setup!BO12),if((AT18-AR18)=0,AP17*(1+Setup!BP12),if((AT18-AR18)=1,AP17*(1+Setup!BQ12),if((AT18-AR18)=2,AP17*(1+Setup!BR12),if((AT18-AR18)=3,AP17*(1+Setup!BS12),if((AT18-AR18)=4,AP17*(1+Setup!BT12),if((AT18-AR18)&gt;4,AP17*(1+Setup!BU12),AP17)))))))),AP17),AZ17/'Quick Setup'!$E14)</f>
        <v>280</v>
      </c>
      <c r="AY17" s="8" t="s">
        <v>75</v>
      </c>
      <c r="AZ17" s="10"/>
      <c r="BA17" s="3"/>
      <c r="BB17" s="3"/>
      <c r="BC17" s="3"/>
      <c r="BD17" s="3"/>
      <c r="BE17" s="3"/>
      <c r="BF17" s="3">
        <f>if(BH17="", if(BB18&lt;&gt;"", if((BB18-AZ18)&lt;-1,AX17*(1+Setup!BZ12),if((BB18-AZ18)&lt;0,AX17*(1+Setup!CA12),if((BB18-AZ18)=0,AX17*(1+Setup!CB12),if((BB18-AZ18)=1,AX17*(1+Setup!CC12),if((BB18-AZ18)=2,AX17*(1+Setup!CD12),if((BB18-AZ18)=3,AX17*(1+Setup!CE12),if((BB18-AZ18)=4,AX17*(1+Setup!CF12),if((BB18-AZ18)&gt;4,AX17*(1+Setup!CG12),AX17)))))))),AX17),BH17/'Quick Setup'!$E14)</f>
        <v>280</v>
      </c>
      <c r="BG17" s="8" t="s">
        <v>75</v>
      </c>
      <c r="BH17" s="10"/>
      <c r="BI17" s="3"/>
      <c r="BJ17" s="3"/>
      <c r="BK17" s="3"/>
      <c r="BL17" s="3"/>
      <c r="BM17" s="3"/>
      <c r="BN17" s="3">
        <f>if(BP17="", if(BJ18&lt;&gt;"", if((BJ18-BH18)&lt;-1,BF17*(1+Setup!CL12),if((BJ18-BH18)&lt;0,BF17*(1+Setup!CM12),if((BJ18-BH18)=0,BF17*(1+Setup!CN12),if((BJ18-BH18)=1,BF17*(1+Setup!CO12),if((BJ18-BH18)=2,BF17*(1+Setup!CP12),if((BJ18-BH18)=3,BF17*(1+Setup!CQ12),if((BJ18-BH18)=4,BF17*(1+Setup!CR12),if((BJ18-BH18)&gt;4,BF17*(1+Setup!CS12),BF17)))))))),BF17),BP17/'Quick Setup'!$E14)</f>
        <v>280</v>
      </c>
      <c r="BO17" s="8" t="s">
        <v>75</v>
      </c>
      <c r="BP17" s="10"/>
      <c r="BQ17" s="3"/>
      <c r="BR17" s="3"/>
      <c r="BS17" s="3"/>
      <c r="BT17" s="3"/>
      <c r="BU17" s="3"/>
      <c r="BV17" s="3">
        <f>if(BX17="", if(BR18&lt;&gt;"", if((BR18-BP18)&lt;-1,BN17*(1+Setup!CX12),if((BR18-BP18)&lt;0,BN17*(1+Setup!CY12),if((BR18-BP18)=0,BN17*(1+Setup!CZ12),if((BR18-BP18)=1,BN17*(1+Setup!DA12),if((BR18-BP18)=2,BN17*(1+Setup!DB12),if((BR18-BP18)=3,BN17*(1+Setup!DC12),if((BR18-BP18)=4,BN17*(1+Setup!DD12),if((BR18-BP18)&gt;4,BN17*(1+Setup!DE12),BN17)))))))),BN17),BX17/'Quick Setup'!$E14)</f>
        <v>280</v>
      </c>
      <c r="BW17" s="8" t="s">
        <v>75</v>
      </c>
      <c r="BX17" s="10"/>
      <c r="BY17" s="3"/>
      <c r="BZ17" s="3"/>
      <c r="CA17" s="3"/>
      <c r="CB17" s="3"/>
      <c r="CC17" s="3"/>
      <c r="CD17" s="3">
        <f>if(CF17="", if(BZ18&lt;&gt;"", if((BZ18-BX18)&lt;-1,BV17*(1+Setup!DJ12),if((BZ18-BX18)&lt;0,BV17*(1+Setup!DK12),if((BZ18-BX18)=0,BV17*(1+Setup!DL12),if((BZ18-BX18)=1,BV17*(1+Setup!DM12),if((BZ18-BX18)=2,BV17*(1+Setup!DN12),if((BZ18-BX18)=3,BV17*(1+Setup!DO12),if((BZ18-BX18)=4,BV17*(1+Setup!DP12),if((BZ18-BX18)&gt;4,BV17*(1+Setup!DQ12),BV17)))))))),BV17),CF17/'Quick Setup'!$E14)</f>
        <v>280</v>
      </c>
      <c r="CE17" s="8" t="s">
        <v>75</v>
      </c>
      <c r="CF17" s="10"/>
      <c r="CG17" s="3"/>
      <c r="CH17" s="3"/>
      <c r="CI17" s="3"/>
      <c r="CJ17" s="3"/>
      <c r="CK17" s="3"/>
      <c r="CL17" s="3">
        <f>if(CN17="", if(CH18&lt;&gt;"", if((CH18-CF18)&lt;-1,CD17*(1+Setup!DV12),if((CH18-CF18)&lt;0,CD17*(1+Setup!DW12),if((CH18-CF18)=0,CD17*(1+Setup!DX12),if((CH18-CF18)=1,CD17*(1+Setup!DY12),if((CH18-CF18)=2,CD17*(1+Setup!DZ12),if((CH18-CF18)=3,CD17*(1+Setup!EA12),if((CH18-CF18)=4,CD17*(1+Setup!EB12),if((CH18-CF18)&gt;4,CD17*(1+Setup!EC12),CD17)))))))),CD17),CN17/'Quick Setup'!$E14)</f>
        <v>280</v>
      </c>
      <c r="CM17" s="8" t="s">
        <v>75</v>
      </c>
      <c r="CN17" s="10"/>
      <c r="CO17" s="3"/>
      <c r="CP17" s="3"/>
      <c r="CQ17" s="3"/>
      <c r="CR17" s="3"/>
      <c r="CS17" s="3"/>
      <c r="CT17" s="3">
        <f>if(CV17="", if(CP18&lt;&gt;"", if((CP18-CN18)&lt;-1,CL17*(1+Setup!EH12),if((CP18-CN18)&lt;0,CL17*(1+Setup!EI12),if((CP18-CN18)=0,CL17*(1+Setup!EJ12),if((CP18-CN18)=1,CL17*(1+Setup!EK12),if((CP18-CN18)=2,CL17*(1+Setup!EL12),if((CP18-CN18)=3,CL17*(1+Setup!EM12),if((CP18-CN18)=4,CL17*(1+Setup!EN12),if((CP18-CN18)&gt;4,CL17*(1+Setup!EO12),CL17)))))))),CL17),CV17/'Quick Setup'!$E14)</f>
        <v>280</v>
      </c>
      <c r="CU17" s="8" t="s">
        <v>75</v>
      </c>
      <c r="CV17" s="10"/>
      <c r="CW17" s="3"/>
      <c r="CX17" s="3"/>
      <c r="CY17" s="3"/>
      <c r="CZ17" s="3"/>
      <c r="DA17" s="3"/>
      <c r="DB17" s="3">
        <f>if(DD17="", if(CX18&lt;&gt;"", if((CX18-CV18)&lt;-1,CT17*(1+Setup!ET12),if((CX18-CV18)&lt;0,CT17*(1+Setup!EU12),if((CX18-CV18)=0,CT17*(1+Setup!EV12),if((CX18-CV18)=1,CT17*(1+Setup!EW12),if((CX18-CV18)=2,CT17*(1+Setup!EX12),if((CX18-CV18)=3,CT17*(1+Setup!EY12),if((CX18-CV18)=4,CT17*(1+Setup!EZ12),if((CX18-CV18)&gt;4,CT17*(1+Setup!FA12),CT17)))))))),CT17),DD17/'Quick Setup'!$E14)</f>
        <v>280</v>
      </c>
      <c r="DC17" s="8" t="s">
        <v>75</v>
      </c>
      <c r="DD17" s="10"/>
      <c r="DE17" s="3"/>
      <c r="DF17" s="3"/>
      <c r="DG17" s="3"/>
      <c r="DH17" s="3"/>
      <c r="DI17" s="3"/>
      <c r="DJ17" s="3">
        <f>if(DL17="", if(DF18&lt;&gt;"", if((DF18-DD18)&lt;-1,DB17*(1+Setup!FF12),if((DF18-DD18)&lt;0,DB17*(1+Setup!FG12),if((DF18-DD18)=0,DB17*(1+Setup!FH12),if((DF18-DD18)=1,DB17*(1+Setup!FI12),if((DF18-DD18)=2,DB17*(1+Setup!FJ12),if((DF18-DD18)=3,DB17*(1+Setup!FK12),if((DF18-DD18)=4,DB17*(1+Setup!FL12),if((DF18-DD18)&gt;4,DB17*(1+Setup!FM12),DB17)))))))),DB17),DL17/'Quick Setup'!$E14)</f>
        <v>280</v>
      </c>
      <c r="DK17" s="8" t="s">
        <v>75</v>
      </c>
      <c r="DL17" s="10"/>
      <c r="DM17" s="3"/>
      <c r="DN17" s="3"/>
      <c r="DO17" s="3"/>
      <c r="DP17" s="3"/>
      <c r="DQ17" s="3"/>
      <c r="DR17" s="3">
        <f>if(DT17="", if(DN18&lt;&gt;"", if((DN18-DL18)&lt;-1,DJ17*(1+Setup!FR12),if((DN18-DL18)&lt;0,DJ17*(1+Setup!FS12),if((DN18-DL18)=0,DJ17*(1+Setup!FT12),if((DN18-DL18)=1,DJ17*(1+Setup!FU12),if((DN18-DL18)=2,DJ17*(1+Setup!FV12),if((DN18-DL18)=3,DJ17*(1+Setup!FW12),if((DN18-DL18)=4,DJ17*(1+Setup!FX12),if((DN18-DL18)&gt;4,DJ17*(1+Setup!FY12),DJ17)))))))),DJ17),DT17/'Quick Setup'!$E14)</f>
        <v>280</v>
      </c>
      <c r="DS17" s="8" t="s">
        <v>75</v>
      </c>
      <c r="DT17" s="10"/>
      <c r="DU17" s="3"/>
      <c r="DV17" s="3"/>
      <c r="DW17" s="3"/>
      <c r="DX17" s="3"/>
      <c r="DY17" s="3"/>
      <c r="DZ17" s="3">
        <f>if(EB17="", if(DV18&lt;&gt;"", if((DV18-DT18)&lt;-1,DR17*(1+Setup!GD12),if((DV18-DT18)&lt;0,DR17*(1+Setup!GE12),if((DV18-DT18)=0,DR17*(1+Setup!GF12),if((DV18-DT18)=1,DR17*(1+Setup!GG12),if((DV18-DT18)=2,DR17*(1+Setup!GH12),if((DV18-DT18)=3,DR17*(1+Setup!GI12),if((DV18-DT18)=4,DR17*(1+Setup!GJ12),if((DV18-DT18)&gt;4,DR17*(1+Setup!GK12),DR17)))))))),DR17),EB17/'Quick Setup'!$E14)</f>
        <v>280</v>
      </c>
      <c r="EA17" s="8" t="s">
        <v>75</v>
      </c>
      <c r="EB17" s="10"/>
      <c r="EC17" s="3"/>
      <c r="ED17" s="3"/>
      <c r="EE17" s="3"/>
      <c r="EF17" s="3"/>
      <c r="EG17" s="3"/>
      <c r="EH17" s="3">
        <f>if(EJ17="", if(ED18&lt;&gt;"", if((ED18-EB18)&lt;-1,DZ17*(1+Setup!GP12),if((ED18-EB18)&lt;0,DZ17*(1+Setup!GQ12),if((ED18-EB18)=0,DZ17*(1+Setup!GR12),if((ED18-EB18)=1,DZ17*(1+Setup!GS12),if((ED18-EB18)=2,DZ17*(1+Setup!GT12),if((ED18-EB18)=3,DZ17*(1+Setup!GU12),if((ED18-EB18)=4,DZ17*(1+Setup!GV12),if((ED18-EB18)&gt;4,DZ17*(1+Setup!GW12),DZ17)))))))),DZ17),EJ17/'Quick Setup'!$E14)</f>
        <v>280</v>
      </c>
      <c r="EI17" s="8" t="s">
        <v>75</v>
      </c>
      <c r="EJ17" s="10"/>
      <c r="EK17" s="3"/>
      <c r="EL17" s="3"/>
      <c r="EM17" s="3"/>
      <c r="EN17" s="3"/>
      <c r="EO17" s="3"/>
      <c r="EP17" s="3">
        <f>if(ER17="", if(EL18&lt;&gt;"", if((EL18-EJ18)&lt;-1,EH17*(1+Setup!HB12),if((EL18-EJ18)&lt;0,EH17*(1+Setup!HC12),if((EL18-EJ18)=0,EH17*(1+Setup!HD12),if((EL18-EJ18)=1,EH17*(1+Setup!HE12),if((EL18-EJ18)=2,EH17*(1+Setup!HF12),if((EL18-EJ18)=3,EH17*(1+Setup!HG12),if((EL18-EJ18)=4,EH17*(1+Setup!HH12),if((EL18-EJ18)&gt;4,EH17*(1+Setup!HI12),EH17)))))))),EH17),ER17/'Quick Setup'!$E14)</f>
        <v>280</v>
      </c>
      <c r="EQ17" s="8" t="s">
        <v>75</v>
      </c>
      <c r="ER17" s="10"/>
      <c r="ES17" s="3"/>
      <c r="ET17" s="3"/>
      <c r="EU17" s="3"/>
      <c r="EV17" s="3"/>
      <c r="EW17" s="3"/>
      <c r="EX17" s="3">
        <f>if(EZ17="", if(ET18&lt;&gt;"", if((ET18-ER18)&lt;-1,EP17*(1+Setup!HN12),if((ET18-ER18)&lt;0,EP17*(1+Setup!HO12),if((ET18-ER18)=0,EP17*(1+Setup!HP12),if((ET18-ER18)=1,EP17*(1+Setup!HQ12),if((ET18-ER18)=2,EP17*(1+Setup!HR12),if((ET18-ER18)=3,EP17*(1+Setup!HS12),if((ET18-ER18)=4,EP17*(1+Setup!HT12),if((ET18-ER18)&gt;4,EP17*(1+Setup!HU12),EP17)))))))),EP17),EZ17/'Quick Setup'!$E14)</f>
        <v>280</v>
      </c>
      <c r="EY17" s="8" t="s">
        <v>75</v>
      </c>
      <c r="EZ17" s="10"/>
      <c r="FA17" s="3"/>
      <c r="FB17" s="3"/>
      <c r="FC17" s="3"/>
      <c r="FD17" s="3"/>
      <c r="FE17" s="3"/>
      <c r="FF17" s="3">
        <f>if(FH17="", if(FB18&lt;&gt;"", if((FB18-EZ18)&lt;-1,EX17*(1+Setup!HZ12),if((FB18-EZ18)&lt;0,EX17*(1+Setup!IA12),if((FB18-EZ18)=0,EX17*(1+Setup!IB12),if((FB18-EZ18)=1,EX17*(1+Setup!IC12),if((FB18-EZ18)=2,EX17*(1+Setup!ID12),if((FB18-EZ18)=3,EX17*(1+Setup!IE12),if((FB18-EZ18)=4,EX17*(1+Setup!IF12),if((FB18-EZ18)&gt;4,EX17*(1+Setup!IG12),EX17)))))))),EX17),FH17/'Quick Setup'!$E14)</f>
        <v>280</v>
      </c>
      <c r="FG17" s="8" t="s">
        <v>75</v>
      </c>
      <c r="FH17" s="10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>
      <c r="A18" s="1" t="str">
        <f>Setup!A12</f>
        <v>Incline Press</v>
      </c>
      <c r="B18" s="3">
        <f>mround(B17*Setup!B12,'Quick Setup'!$A$2)</f>
        <v>167.5</v>
      </c>
      <c r="C18" s="3">
        <f>Setup!C12</f>
        <v>7</v>
      </c>
      <c r="D18" s="3">
        <f>Setup!D12</f>
        <v>14</v>
      </c>
      <c r="E18" s="3">
        <f>Setup!E12</f>
        <v>5</v>
      </c>
      <c r="F18" s="10"/>
      <c r="G18" s="10"/>
      <c r="H18" s="10"/>
      <c r="I18" s="3"/>
      <c r="J18" s="3">
        <f>mround(J17*Setup!N12,'Quick Setup'!$A$2)</f>
        <v>182.5</v>
      </c>
      <c r="K18" s="3">
        <f>Setup!O12</f>
        <v>6</v>
      </c>
      <c r="L18" s="3">
        <f>Setup!P12</f>
        <v>12</v>
      </c>
      <c r="M18" s="3">
        <f>Setup!Q12</f>
        <v>5</v>
      </c>
      <c r="N18" s="10"/>
      <c r="O18" s="10"/>
      <c r="P18" s="10"/>
      <c r="Q18" s="3"/>
      <c r="R18" s="3">
        <f>mround(R17*Setup!Z12,'Quick Setup'!$A$2)</f>
        <v>195</v>
      </c>
      <c r="S18" s="3">
        <f>Setup!AA12</f>
        <v>5</v>
      </c>
      <c r="T18" s="3">
        <f>Setup!AB12</f>
        <v>10</v>
      </c>
      <c r="U18" s="3">
        <f>Setup!AC12</f>
        <v>5</v>
      </c>
      <c r="V18" s="10"/>
      <c r="W18" s="10"/>
      <c r="X18" s="10"/>
      <c r="Y18" s="3"/>
      <c r="Z18" s="3">
        <f>mround(Z17*Setup!AL12,'Quick Setup'!$A$2)</f>
        <v>175</v>
      </c>
      <c r="AA18" s="3">
        <f>Setup!AM12</f>
        <v>7</v>
      </c>
      <c r="AB18" s="3">
        <f>Setup!AN12</f>
        <v>13</v>
      </c>
      <c r="AC18" s="3">
        <f>Setup!AO12</f>
        <v>5</v>
      </c>
      <c r="AD18" s="10"/>
      <c r="AE18" s="10"/>
      <c r="AF18" s="10"/>
      <c r="AG18" s="3"/>
      <c r="AH18" s="3">
        <f>mround(AH17*Setup!AX12,'Quick Setup'!$A$2)</f>
        <v>190</v>
      </c>
      <c r="AI18" s="3">
        <f>Setup!AY12</f>
        <v>6</v>
      </c>
      <c r="AJ18" s="3">
        <f>Setup!AZ12</f>
        <v>11</v>
      </c>
      <c r="AK18" s="3">
        <f>Setup!BA12</f>
        <v>5</v>
      </c>
      <c r="AL18" s="10"/>
      <c r="AM18" s="10"/>
      <c r="AN18" s="10"/>
      <c r="AO18" s="3"/>
      <c r="AP18" s="3">
        <f>mround(AP17*Setup!BJ12,'Quick Setup'!$A$2)</f>
        <v>202.5</v>
      </c>
      <c r="AQ18" s="3">
        <f>Setup!BK12</f>
        <v>5</v>
      </c>
      <c r="AR18" s="3">
        <f>Setup!BL12</f>
        <v>9</v>
      </c>
      <c r="AS18" s="3">
        <f>Setup!BM12</f>
        <v>5</v>
      </c>
      <c r="AT18" s="10"/>
      <c r="AU18" s="10"/>
      <c r="AV18" s="10"/>
      <c r="AW18" s="3"/>
      <c r="AX18" s="3">
        <f>mround(AX17*Setup!BV12,'Quick Setup'!$A$2)</f>
        <v>140</v>
      </c>
      <c r="AY18" s="3">
        <f>Setup!BW12</f>
        <v>8</v>
      </c>
      <c r="AZ18" s="3">
        <f>Setup!BX12</f>
        <v>18</v>
      </c>
      <c r="BA18" s="3">
        <f>Setup!BY12</f>
        <v>5</v>
      </c>
      <c r="BB18" s="10"/>
      <c r="BC18" s="10"/>
      <c r="BD18" s="10"/>
      <c r="BE18" s="3"/>
      <c r="BF18" s="3">
        <f>mround(BF17*Setup!CH12,'Quick Setup'!$A$2)</f>
        <v>182.5</v>
      </c>
      <c r="BG18" s="3">
        <f>Setup!CI12</f>
        <v>6</v>
      </c>
      <c r="BH18" s="3">
        <f>Setup!CJ12</f>
        <v>12</v>
      </c>
      <c r="BI18" s="3">
        <f>Setup!CK12</f>
        <v>5</v>
      </c>
      <c r="BJ18" s="10"/>
      <c r="BK18" s="10"/>
      <c r="BL18" s="10"/>
      <c r="BM18" s="3"/>
      <c r="BN18" s="3">
        <f>mround(BN17*Setup!CT12,'Quick Setup'!$A$2)</f>
        <v>195</v>
      </c>
      <c r="BO18" s="3">
        <f>Setup!CU12</f>
        <v>5</v>
      </c>
      <c r="BP18" s="3">
        <f>Setup!CV12</f>
        <v>10</v>
      </c>
      <c r="BQ18" s="3">
        <f>Setup!CW12</f>
        <v>5</v>
      </c>
      <c r="BR18" s="10"/>
      <c r="BS18" s="10"/>
      <c r="BT18" s="10"/>
      <c r="BU18" s="3"/>
      <c r="BV18" s="3">
        <f>mround(BV17*Setup!DF12,'Quick Setup'!$A$2)</f>
        <v>210</v>
      </c>
      <c r="BW18" s="3">
        <f>Setup!DG12</f>
        <v>4</v>
      </c>
      <c r="BX18" s="3">
        <f>Setup!DH12</f>
        <v>8</v>
      </c>
      <c r="BY18" s="3">
        <f>Setup!DI12</f>
        <v>5</v>
      </c>
      <c r="BZ18" s="10"/>
      <c r="CA18" s="10"/>
      <c r="CB18" s="10"/>
      <c r="CC18" s="3"/>
      <c r="CD18" s="3">
        <f>mround(CD17*Setup!DR12,'Quick Setup'!$A$2)</f>
        <v>190</v>
      </c>
      <c r="CE18" s="3">
        <f>Setup!DS12</f>
        <v>6</v>
      </c>
      <c r="CF18" s="3">
        <f>Setup!DT12</f>
        <v>11</v>
      </c>
      <c r="CG18" s="3">
        <f>Setup!DU12</f>
        <v>5</v>
      </c>
      <c r="CH18" s="10"/>
      <c r="CI18" s="10"/>
      <c r="CJ18" s="10"/>
      <c r="CK18" s="3"/>
      <c r="CL18" s="3">
        <f>mround(CL17*Setup!ED12,'Quick Setup'!$A$2)</f>
        <v>202.5</v>
      </c>
      <c r="CM18" s="3">
        <f>Setup!EE12</f>
        <v>5</v>
      </c>
      <c r="CN18" s="3">
        <f>Setup!EF12</f>
        <v>9</v>
      </c>
      <c r="CO18" s="3">
        <f>Setup!EG12</f>
        <v>5</v>
      </c>
      <c r="CP18" s="10"/>
      <c r="CQ18" s="10"/>
      <c r="CR18" s="10"/>
      <c r="CS18" s="3"/>
      <c r="CT18" s="3">
        <f>mround(CT17*Setup!EP12,'Quick Setup'!$A$2)</f>
        <v>217.5</v>
      </c>
      <c r="CU18" s="3">
        <f>Setup!EQ12</f>
        <v>4</v>
      </c>
      <c r="CV18" s="3">
        <f>Setup!ER12</f>
        <v>7</v>
      </c>
      <c r="CW18" s="3">
        <f>Setup!ES12</f>
        <v>5</v>
      </c>
      <c r="CX18" s="10"/>
      <c r="CY18" s="10"/>
      <c r="CZ18" s="10"/>
      <c r="DA18" s="3"/>
      <c r="DB18" s="3">
        <f>mround(DB17*Setup!FB12,'Quick Setup'!$A$2)</f>
        <v>140</v>
      </c>
      <c r="DC18" s="3">
        <f>Setup!FC12</f>
        <v>8</v>
      </c>
      <c r="DD18" s="3">
        <f>Setup!FD12</f>
        <v>18</v>
      </c>
      <c r="DE18" s="3">
        <f>Setup!FE12</f>
        <v>5</v>
      </c>
      <c r="DF18" s="10"/>
      <c r="DG18" s="10"/>
      <c r="DH18" s="10"/>
      <c r="DI18" s="3"/>
      <c r="DJ18" s="3">
        <f>mround(DJ17*Setup!FN12,'Quick Setup'!$A$2)</f>
        <v>195</v>
      </c>
      <c r="DK18" s="3">
        <f>Setup!FO12</f>
        <v>5</v>
      </c>
      <c r="DL18" s="3">
        <f>Setup!FP12</f>
        <v>10</v>
      </c>
      <c r="DM18" s="3">
        <f>Setup!FQ12</f>
        <v>5</v>
      </c>
      <c r="DN18" s="10"/>
      <c r="DO18" s="10"/>
      <c r="DP18" s="10"/>
      <c r="DQ18" s="3"/>
      <c r="DR18" s="3">
        <f>mround(DR17*Setup!FZ12,'Quick Setup'!$A$2)</f>
        <v>210</v>
      </c>
      <c r="DS18" s="3">
        <f>Setup!GA12</f>
        <v>4</v>
      </c>
      <c r="DT18" s="3">
        <f>Setup!GB12</f>
        <v>8</v>
      </c>
      <c r="DU18" s="3">
        <f>Setup!GC12</f>
        <v>5</v>
      </c>
      <c r="DV18" s="10"/>
      <c r="DW18" s="10"/>
      <c r="DX18" s="10"/>
      <c r="DY18" s="3"/>
      <c r="DZ18" s="3">
        <f>mround(DZ17*Setup!GL12,'Quick Setup'!$A$2)</f>
        <v>225</v>
      </c>
      <c r="EA18" s="3">
        <f>Setup!GM12</f>
        <v>3</v>
      </c>
      <c r="EB18" s="3">
        <f>Setup!GN12</f>
        <v>6</v>
      </c>
      <c r="EC18" s="3">
        <f>Setup!GO12</f>
        <v>5</v>
      </c>
      <c r="ED18" s="10"/>
      <c r="EE18" s="10"/>
      <c r="EF18" s="10"/>
      <c r="EG18" s="3"/>
      <c r="EH18" s="3">
        <f>mround(EH17*Setup!GX12,'Quick Setup'!$A$2)</f>
        <v>210</v>
      </c>
      <c r="EI18" s="3">
        <f>Setup!GY12</f>
        <v>4</v>
      </c>
      <c r="EJ18" s="3">
        <f>Setup!GZ12</f>
        <v>8</v>
      </c>
      <c r="EK18" s="3">
        <f>Setup!HA12</f>
        <v>5</v>
      </c>
      <c r="EL18" s="10"/>
      <c r="EM18" s="10"/>
      <c r="EN18" s="10"/>
      <c r="EO18" s="3"/>
      <c r="EP18" s="3">
        <f>mround(EP17*Setup!HJ12,'Quick Setup'!$A$2)</f>
        <v>225</v>
      </c>
      <c r="EQ18" s="3">
        <f>Setup!HK12</f>
        <v>3</v>
      </c>
      <c r="ER18" s="3">
        <f>Setup!HL12</f>
        <v>6</v>
      </c>
      <c r="ES18" s="3">
        <f>Setup!HM12</f>
        <v>5</v>
      </c>
      <c r="ET18" s="10"/>
      <c r="EU18" s="10"/>
      <c r="EV18" s="10"/>
      <c r="EW18" s="3"/>
      <c r="EX18" s="3">
        <f>mround(EX17*Setup!HV12,'Quick Setup'!$A$2)</f>
        <v>237.5</v>
      </c>
      <c r="EY18" s="3">
        <f>Setup!HW12</f>
        <v>2</v>
      </c>
      <c r="EZ18" s="3">
        <f>Setup!HX12</f>
        <v>4</v>
      </c>
      <c r="FA18" s="3">
        <f>Setup!HY12</f>
        <v>5</v>
      </c>
      <c r="FB18" s="10"/>
      <c r="FC18" s="10"/>
      <c r="FD18" s="10"/>
      <c r="FE18" s="3"/>
      <c r="FF18" s="3">
        <f>mround(FF17*Setup!IH12,'Quick Setup'!$A$2)</f>
        <v>140</v>
      </c>
      <c r="FG18" s="3">
        <f>Setup!II12</f>
        <v>8</v>
      </c>
      <c r="FH18" s="3">
        <f>Setup!IJ12</f>
        <v>18</v>
      </c>
      <c r="FI18" s="3">
        <f>Setup!IK12</f>
        <v>5</v>
      </c>
      <c r="FJ18" s="10"/>
      <c r="FK18" s="10"/>
      <c r="FL18" s="10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>
      <c r="A19" s="1" t="str">
        <f>CONCATENATE(A20," TM")</f>
        <v>Sumo Deadlift TM</v>
      </c>
      <c r="B19" s="3">
        <f>if(D19="",'Quick Setup'!D15,D19/'Quick Setup'!E15)</f>
        <v>500</v>
      </c>
      <c r="C19" s="8" t="s">
        <v>75</v>
      </c>
      <c r="D19" s="10"/>
      <c r="E19" s="3"/>
      <c r="F19" s="3"/>
      <c r="G19" s="3"/>
      <c r="H19" s="3"/>
      <c r="I19" s="3"/>
      <c r="J19" s="3">
        <f>if(L19="", if(F20&lt;&gt;"", if((F20-D20)&lt;-1,B19*(1+Setup!F13),if((F20-D20)&lt;0,B19*(1+Setup!G13),if((F20-D20)=0,B19*(1+Setup!H13),if((F20-D20)=1,B19*(1+Setup!I13),if((F20-D20)=2,B19*(1+Setup!J13),if((F20-D20)=3,B19*(1+Setup!K13),if((F20-D20)=4,B19*(1+Setup!L13),if((F20-D20)&gt;4,B19*(1+Setup!M13),B19)))))))),B19),L19/'Quick Setup'!$E15)</f>
        <v>500</v>
      </c>
      <c r="K19" s="8" t="s">
        <v>75</v>
      </c>
      <c r="L19" s="10"/>
      <c r="M19" s="3"/>
      <c r="N19" s="3"/>
      <c r="O19" s="3"/>
      <c r="P19" s="3"/>
      <c r="Q19" s="3"/>
      <c r="R19" s="3">
        <f>if(T19="", if(N20&lt;&gt;"", if((N20-L20)&lt;-1,J19*(1+Setup!R13),if((N20-L20)&lt;0,J19*(1+Setup!S13),if((N20-L20)=0,J19*(1+Setup!T13),if((N20-L20)=1,J19*(1+Setup!U13),if((N20-L20)=2,J19*(1+Setup!V13),if((N20-L20)=3,J19*(1+Setup!W13),if((N20-L20)=4,J19*(1+Setup!X13),if((N20-L20)&gt;4,J19*(1+Setup!Y13),J19)))))))),J19),T19/'Quick Setup'!$E15)</f>
        <v>500</v>
      </c>
      <c r="S19" s="8" t="s">
        <v>75</v>
      </c>
      <c r="T19" s="10"/>
      <c r="U19" s="3"/>
      <c r="V19" s="3"/>
      <c r="W19" s="3"/>
      <c r="X19" s="3"/>
      <c r="Y19" s="3"/>
      <c r="Z19" s="3">
        <f>if(AB19="", if(V20&lt;&gt;"", if((V20-T20)&lt;-1,R19*(1+Setup!AD13),if((V20-T20)&lt;0,R19*(1+Setup!AE13),if((V20-T20)=0,R19*(1+Setup!AF13),if((V20-T20)=1,R19*(1+Setup!AG13),if((V20-T20)=2,R19*(1+Setup!AH13),if((V20-T20)=3,R19*(1+Setup!AI13),if((V20-T20)=4,R19*(1+Setup!AJ13),if((V20-T20)&gt;4,R19*(1+Setup!AK13),R19)))))))),R19),AB19/'Quick Setup'!$E15)</f>
        <v>500</v>
      </c>
      <c r="AA19" s="8" t="s">
        <v>75</v>
      </c>
      <c r="AB19" s="10"/>
      <c r="AC19" s="3"/>
      <c r="AD19" s="3"/>
      <c r="AE19" s="3"/>
      <c r="AF19" s="3"/>
      <c r="AG19" s="3"/>
      <c r="AH19" s="3">
        <f>if(AJ19="", if(AD20&lt;&gt;"", if((AD20-AB20)&lt;-1,Z19*(1+Setup!AP13),if((AD20-AB20)&lt;0,Z19*(1+Setup!AQ13),if((AD20-AB20)=0,Z19*(1+Setup!AR13),if((AD20-AB20)=1,Z19*(1+Setup!AS13),if((AD20-AB20)=2,Z19*(1+Setup!AT13),if((AD20-AB20)=3,Z19*(1+Setup!AU13),if((AD20-AB20)=4,Z19*(1+Setup!AV13),if((AD20-AB20)&gt;4,Z19*(1+Setup!AW13),Z19)))))))),Z19),AJ19/'Quick Setup'!$E15)</f>
        <v>500</v>
      </c>
      <c r="AI19" s="8" t="s">
        <v>75</v>
      </c>
      <c r="AJ19" s="10"/>
      <c r="AK19" s="3"/>
      <c r="AL19" s="3"/>
      <c r="AM19" s="3"/>
      <c r="AN19" s="3"/>
      <c r="AO19" s="3"/>
      <c r="AP19" s="3">
        <f>if(AR19="", if(AL20&lt;&gt;"", if((AL20-AJ20)&lt;-1,AH19*(1+Setup!BB13),if((AL20-AJ20)&lt;0,AH19*(1+Setup!BC13),if((AL20-AJ20)=0,AH19*(1+Setup!BD13),if((AL20-AJ20)=1,AH19*(1+Setup!BE13),if((AL20-AJ20)=2,AH19*(1+Setup!BF13),if((AL20-AJ20)=3,AH19*(1+Setup!BG13),if((AL20-AJ20)=4,AH19*(1+Setup!BH13),if((AL20-AJ20)&gt;4,AH19*(1+Setup!BI13),AH19)))))))),AH19),AR19/'Quick Setup'!$E15)</f>
        <v>500</v>
      </c>
      <c r="AQ19" s="8" t="s">
        <v>75</v>
      </c>
      <c r="AR19" s="10"/>
      <c r="AS19" s="3"/>
      <c r="AT19" s="3"/>
      <c r="AU19" s="3"/>
      <c r="AV19" s="3"/>
      <c r="AW19" s="3"/>
      <c r="AX19" s="3">
        <f>if(AZ19="", if(AT20&lt;&gt;"", if((AT20-AR20)&lt;-1,AP19*(1+Setup!BN13),if((AT20-AR20)&lt;0,AP19*(1+Setup!BO13),if((AT20-AR20)=0,AP19*(1+Setup!BP13),if((AT20-AR20)=1,AP19*(1+Setup!BQ13),if((AT20-AR20)=2,AP19*(1+Setup!BR13),if((AT20-AR20)=3,AP19*(1+Setup!BS13),if((AT20-AR20)=4,AP19*(1+Setup!BT13),if((AT20-AR20)&gt;4,AP19*(1+Setup!BU13),AP19)))))))),AP19),AZ19/'Quick Setup'!$E15)</f>
        <v>500</v>
      </c>
      <c r="AY19" s="8" t="s">
        <v>75</v>
      </c>
      <c r="AZ19" s="10"/>
      <c r="BA19" s="3"/>
      <c r="BB19" s="3"/>
      <c r="BC19" s="3"/>
      <c r="BD19" s="3"/>
      <c r="BE19" s="3"/>
      <c r="BF19" s="3">
        <f>if(BH19="", if(BB20&lt;&gt;"", if((BB20-AZ20)&lt;-1,AX19*(1+Setup!BZ13),if((BB20-AZ20)&lt;0,AX19*(1+Setup!CA13),if((BB20-AZ20)=0,AX19*(1+Setup!CB13),if((BB20-AZ20)=1,AX19*(1+Setup!CC13),if((BB20-AZ20)=2,AX19*(1+Setup!CD13),if((BB20-AZ20)=3,AX19*(1+Setup!CE13),if((BB20-AZ20)=4,AX19*(1+Setup!CF13),if((BB20-AZ20)&gt;4,AX19*(1+Setup!CG13),AX19)))))))),AX19),BH19/'Quick Setup'!$E15)</f>
        <v>500</v>
      </c>
      <c r="BG19" s="8" t="s">
        <v>75</v>
      </c>
      <c r="BH19" s="10"/>
      <c r="BI19" s="3"/>
      <c r="BJ19" s="3"/>
      <c r="BK19" s="3"/>
      <c r="BL19" s="3"/>
      <c r="BM19" s="3"/>
      <c r="BN19" s="3">
        <f>if(BP19="", if(BJ20&lt;&gt;"", if((BJ20-BH20)&lt;-1,BF19*(1+Setup!CL13),if((BJ20-BH20)&lt;0,BF19*(1+Setup!CM13),if((BJ20-BH20)=0,BF19*(1+Setup!CN13),if((BJ20-BH20)=1,BF19*(1+Setup!CO13),if((BJ20-BH20)=2,BF19*(1+Setup!CP13),if((BJ20-BH20)=3,BF19*(1+Setup!CQ13),if((BJ20-BH20)=4,BF19*(1+Setup!CR13),if((BJ20-BH20)&gt;4,BF19*(1+Setup!CS13),BF19)))))))),BF19),BP19/'Quick Setup'!$E15)</f>
        <v>500</v>
      </c>
      <c r="BO19" s="8" t="s">
        <v>75</v>
      </c>
      <c r="BP19" s="10"/>
      <c r="BQ19" s="3"/>
      <c r="BR19" s="3"/>
      <c r="BS19" s="3"/>
      <c r="BT19" s="3"/>
      <c r="BU19" s="3"/>
      <c r="BV19" s="3">
        <f>if(BX19="", if(BR20&lt;&gt;"", if((BR20-BP20)&lt;-1,BN19*(1+Setup!CX13),if((BR20-BP20)&lt;0,BN19*(1+Setup!CY13),if((BR20-BP20)=0,BN19*(1+Setup!CZ13),if((BR20-BP20)=1,BN19*(1+Setup!DA13),if((BR20-BP20)=2,BN19*(1+Setup!DB13),if((BR20-BP20)=3,BN19*(1+Setup!DC13),if((BR20-BP20)=4,BN19*(1+Setup!DD13),if((BR20-BP20)&gt;4,BN19*(1+Setup!DE13),BN19)))))))),BN19),BX19/'Quick Setup'!$E15)</f>
        <v>500</v>
      </c>
      <c r="BW19" s="8" t="s">
        <v>75</v>
      </c>
      <c r="BX19" s="10"/>
      <c r="BY19" s="3"/>
      <c r="BZ19" s="3"/>
      <c r="CA19" s="3"/>
      <c r="CB19" s="3"/>
      <c r="CC19" s="3"/>
      <c r="CD19" s="3">
        <f>if(CF19="", if(BZ20&lt;&gt;"", if((BZ20-BX20)&lt;-1,BV19*(1+Setup!DJ13),if((BZ20-BX20)&lt;0,BV19*(1+Setup!DK13),if((BZ20-BX20)=0,BV19*(1+Setup!DL13),if((BZ20-BX20)=1,BV19*(1+Setup!DM13),if((BZ20-BX20)=2,BV19*(1+Setup!DN13),if((BZ20-BX20)=3,BV19*(1+Setup!DO13),if((BZ20-BX20)=4,BV19*(1+Setup!DP13),if((BZ20-BX20)&gt;4,BV19*(1+Setup!DQ13),BV19)))))))),BV19),CF19/'Quick Setup'!$E15)</f>
        <v>500</v>
      </c>
      <c r="CE19" s="8" t="s">
        <v>75</v>
      </c>
      <c r="CF19" s="10"/>
      <c r="CG19" s="3"/>
      <c r="CH19" s="3"/>
      <c r="CI19" s="3"/>
      <c r="CJ19" s="3"/>
      <c r="CK19" s="3"/>
      <c r="CL19" s="3">
        <f>if(CN19="", if(CH20&lt;&gt;"", if((CH20-CF20)&lt;-1,CD19*(1+Setup!DV13),if((CH20-CF20)&lt;0,CD19*(1+Setup!DW13),if((CH20-CF20)=0,CD19*(1+Setup!DX13),if((CH20-CF20)=1,CD19*(1+Setup!DY13),if((CH20-CF20)=2,CD19*(1+Setup!DZ13),if((CH20-CF20)=3,CD19*(1+Setup!EA13),if((CH20-CF20)=4,CD19*(1+Setup!EB13),if((CH20-CF20)&gt;4,CD19*(1+Setup!EC13),CD19)))))))),CD19),CN19/'Quick Setup'!$E15)</f>
        <v>500</v>
      </c>
      <c r="CM19" s="8" t="s">
        <v>75</v>
      </c>
      <c r="CN19" s="10"/>
      <c r="CO19" s="3"/>
      <c r="CP19" s="3"/>
      <c r="CQ19" s="3"/>
      <c r="CR19" s="3"/>
      <c r="CS19" s="3"/>
      <c r="CT19" s="3">
        <f>if(CV19="", if(CP20&lt;&gt;"", if((CP20-CN20)&lt;-1,CL19*(1+Setup!EH13),if((CP20-CN20)&lt;0,CL19*(1+Setup!EI13),if((CP20-CN20)=0,CL19*(1+Setup!EJ13),if((CP20-CN20)=1,CL19*(1+Setup!EK13),if((CP20-CN20)=2,CL19*(1+Setup!EL13),if((CP20-CN20)=3,CL19*(1+Setup!EM13),if((CP20-CN20)=4,CL19*(1+Setup!EN13),if((CP20-CN20)&gt;4,CL19*(1+Setup!EO13),CL19)))))))),CL19),CV19/'Quick Setup'!$E15)</f>
        <v>500</v>
      </c>
      <c r="CU19" s="8" t="s">
        <v>75</v>
      </c>
      <c r="CV19" s="10"/>
      <c r="CW19" s="3"/>
      <c r="CX19" s="3"/>
      <c r="CY19" s="3"/>
      <c r="CZ19" s="3"/>
      <c r="DA19" s="3"/>
      <c r="DB19" s="3">
        <f>if(DD19="", if(CX20&lt;&gt;"", if((CX20-CV20)&lt;-1,CT19*(1+Setup!ET13),if((CX20-CV20)&lt;0,CT19*(1+Setup!EU13),if((CX20-CV20)=0,CT19*(1+Setup!EV13),if((CX20-CV20)=1,CT19*(1+Setup!EW13),if((CX20-CV20)=2,CT19*(1+Setup!EX13),if((CX20-CV20)=3,CT19*(1+Setup!EY13),if((CX20-CV20)=4,CT19*(1+Setup!EZ13),if((CX20-CV20)&gt;4,CT19*(1+Setup!FA13),CT19)))))))),CT19),DD19/'Quick Setup'!$E15)</f>
        <v>500</v>
      </c>
      <c r="DC19" s="8" t="s">
        <v>75</v>
      </c>
      <c r="DD19" s="10"/>
      <c r="DE19" s="3"/>
      <c r="DF19" s="3"/>
      <c r="DG19" s="3"/>
      <c r="DH19" s="3"/>
      <c r="DI19" s="3"/>
      <c r="DJ19" s="3">
        <f>if(DL19="", if(DF20&lt;&gt;"", if((DF20-DD20)&lt;-1,DB19*(1+Setup!FF13),if((DF20-DD20)&lt;0,DB19*(1+Setup!FG13),if((DF20-DD20)=0,DB19*(1+Setup!FH13),if((DF20-DD20)=1,DB19*(1+Setup!FI13),if((DF20-DD20)=2,DB19*(1+Setup!FJ13),if((DF20-DD20)=3,DB19*(1+Setup!FK13),if((DF20-DD20)=4,DB19*(1+Setup!FL13),if((DF20-DD20)&gt;4,DB19*(1+Setup!FM13),DB19)))))))),DB19),DL19/'Quick Setup'!$E15)</f>
        <v>500</v>
      </c>
      <c r="DK19" s="8" t="s">
        <v>75</v>
      </c>
      <c r="DL19" s="10"/>
      <c r="DM19" s="3"/>
      <c r="DN19" s="3"/>
      <c r="DO19" s="3"/>
      <c r="DP19" s="3"/>
      <c r="DQ19" s="3"/>
      <c r="DR19" s="3">
        <f>if(DT19="", if(DN20&lt;&gt;"", if((DN20-DL20)&lt;-1,DJ19*(1+Setup!FR13),if((DN20-DL20)&lt;0,DJ19*(1+Setup!FS13),if((DN20-DL20)=0,DJ19*(1+Setup!FT13),if((DN20-DL20)=1,DJ19*(1+Setup!FU13),if((DN20-DL20)=2,DJ19*(1+Setup!FV13),if((DN20-DL20)=3,DJ19*(1+Setup!FW13),if((DN20-DL20)=4,DJ19*(1+Setup!FX13),if((DN20-DL20)&gt;4,DJ19*(1+Setup!FY13),DJ19)))))))),DJ19),DT19/'Quick Setup'!$E15)</f>
        <v>500</v>
      </c>
      <c r="DS19" s="8" t="s">
        <v>75</v>
      </c>
      <c r="DT19" s="10"/>
      <c r="DU19" s="3"/>
      <c r="DV19" s="3"/>
      <c r="DW19" s="3"/>
      <c r="DX19" s="3"/>
      <c r="DY19" s="3"/>
      <c r="DZ19" s="3">
        <f>if(EB19="", if(DV20&lt;&gt;"", if((DV20-DT20)&lt;-1,DR19*(1+Setup!GD13),if((DV20-DT20)&lt;0,DR19*(1+Setup!GE13),if((DV20-DT20)=0,DR19*(1+Setup!GF13),if((DV20-DT20)=1,DR19*(1+Setup!GG13),if((DV20-DT20)=2,DR19*(1+Setup!GH13),if((DV20-DT20)=3,DR19*(1+Setup!GI13),if((DV20-DT20)=4,DR19*(1+Setup!GJ13),if((DV20-DT20)&gt;4,DR19*(1+Setup!GK13),DR19)))))))),DR19),EB19/'Quick Setup'!$E15)</f>
        <v>500</v>
      </c>
      <c r="EA19" s="8" t="s">
        <v>75</v>
      </c>
      <c r="EB19" s="10"/>
      <c r="EC19" s="3"/>
      <c r="ED19" s="3"/>
      <c r="EE19" s="3"/>
      <c r="EF19" s="3"/>
      <c r="EG19" s="3"/>
      <c r="EH19" s="3">
        <f>if(EJ19="", if(ED20&lt;&gt;"", if((ED20-EB20)&lt;-1,DZ19*(1+Setup!GP13),if((ED20-EB20)&lt;0,DZ19*(1+Setup!GQ13),if((ED20-EB20)=0,DZ19*(1+Setup!GR13),if((ED20-EB20)=1,DZ19*(1+Setup!GS13),if((ED20-EB20)=2,DZ19*(1+Setup!GT13),if((ED20-EB20)=3,DZ19*(1+Setup!GU13),if((ED20-EB20)=4,DZ19*(1+Setup!GV13),if((ED20-EB20)&gt;4,DZ19*(1+Setup!GW13),DZ19)))))))),DZ19),EJ19/'Quick Setup'!$E15)</f>
        <v>500</v>
      </c>
      <c r="EI19" s="8" t="s">
        <v>75</v>
      </c>
      <c r="EJ19" s="10"/>
      <c r="EK19" s="3"/>
      <c r="EL19" s="3"/>
      <c r="EM19" s="3"/>
      <c r="EN19" s="3"/>
      <c r="EO19" s="3"/>
      <c r="EP19" s="3">
        <f>if(ER19="", if(EL20&lt;&gt;"", if((EL20-EJ20)&lt;-1,EH19*(1+Setup!HB13),if((EL20-EJ20)&lt;0,EH19*(1+Setup!HC13),if((EL20-EJ20)=0,EH19*(1+Setup!HD13),if((EL20-EJ20)=1,EH19*(1+Setup!HE13),if((EL20-EJ20)=2,EH19*(1+Setup!HF13),if((EL20-EJ20)=3,EH19*(1+Setup!HG13),if((EL20-EJ20)=4,EH19*(1+Setup!HH13),if((EL20-EJ20)&gt;4,EH19*(1+Setup!HI13),EH19)))))))),EH19),ER19/'Quick Setup'!$E15)</f>
        <v>500</v>
      </c>
      <c r="EQ19" s="8" t="s">
        <v>75</v>
      </c>
      <c r="ER19" s="10"/>
      <c r="ES19" s="3"/>
      <c r="ET19" s="3"/>
      <c r="EU19" s="3"/>
      <c r="EV19" s="3"/>
      <c r="EW19" s="3"/>
      <c r="EX19" s="3">
        <f>if(EZ19="", if(ET20&lt;&gt;"", if((ET20-ER20)&lt;-1,EP19*(1+Setup!HN13),if((ET20-ER20)&lt;0,EP19*(1+Setup!HO13),if((ET20-ER20)=0,EP19*(1+Setup!HP13),if((ET20-ER20)=1,EP19*(1+Setup!HQ13),if((ET20-ER20)=2,EP19*(1+Setup!HR13),if((ET20-ER20)=3,EP19*(1+Setup!HS13),if((ET20-ER20)=4,EP19*(1+Setup!HT13),if((ET20-ER20)&gt;4,EP19*(1+Setup!HU13),EP19)))))))),EP19),EZ19/'Quick Setup'!$E15)</f>
        <v>500</v>
      </c>
      <c r="EY19" s="8" t="s">
        <v>75</v>
      </c>
      <c r="EZ19" s="10"/>
      <c r="FA19" s="3"/>
      <c r="FB19" s="3"/>
      <c r="FC19" s="3"/>
      <c r="FD19" s="3"/>
      <c r="FE19" s="3"/>
      <c r="FF19" s="3">
        <f>if(FH19="", if(FB20&lt;&gt;"", if((FB20-EZ20)&lt;-1,EX19*(1+Setup!HZ13),if((FB20-EZ20)&lt;0,EX19*(1+Setup!IA13),if((FB20-EZ20)=0,EX19*(1+Setup!IB13),if((FB20-EZ20)=1,EX19*(1+Setup!IC13),if((FB20-EZ20)=2,EX19*(1+Setup!ID13),if((FB20-EZ20)=3,EX19*(1+Setup!IE13),if((FB20-EZ20)=4,EX19*(1+Setup!IF13),if((FB20-EZ20)&gt;4,EX19*(1+Setup!IG13),EX19)))))))),EX19),FH19/'Quick Setup'!$E15)</f>
        <v>500</v>
      </c>
      <c r="FG19" s="8" t="s">
        <v>75</v>
      </c>
      <c r="FH19" s="10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>
      <c r="A20" s="1" t="str">
        <f>Setup!A13</f>
        <v>Sumo Deadlift</v>
      </c>
      <c r="B20" s="3">
        <f>mround(B19*Setup!B13,'Quick Setup'!$A$2)</f>
        <v>300</v>
      </c>
      <c r="C20" s="3">
        <f>Setup!C13</f>
        <v>7</v>
      </c>
      <c r="D20" s="3">
        <f>Setup!D13</f>
        <v>14</v>
      </c>
      <c r="E20" s="3">
        <f>Setup!E13</f>
        <v>5</v>
      </c>
      <c r="F20" s="10"/>
      <c r="G20" s="10"/>
      <c r="H20" s="10"/>
      <c r="I20" s="3"/>
      <c r="J20" s="3">
        <f>mround(J19*Setup!N13,'Quick Setup'!$A$2)</f>
        <v>325</v>
      </c>
      <c r="K20" s="3">
        <f>Setup!O13</f>
        <v>6</v>
      </c>
      <c r="L20" s="3">
        <f>Setup!P13</f>
        <v>12</v>
      </c>
      <c r="M20" s="3">
        <f>Setup!Q13</f>
        <v>5</v>
      </c>
      <c r="N20" s="10"/>
      <c r="O20" s="10"/>
      <c r="P20" s="10"/>
      <c r="Q20" s="3"/>
      <c r="R20" s="3">
        <f>mround(R19*Setup!Z13,'Quick Setup'!$A$2)</f>
        <v>350</v>
      </c>
      <c r="S20" s="3">
        <f>Setup!AA13</f>
        <v>5</v>
      </c>
      <c r="T20" s="3">
        <f>Setup!AB13</f>
        <v>10</v>
      </c>
      <c r="U20" s="3">
        <f>Setup!AC13</f>
        <v>5</v>
      </c>
      <c r="V20" s="10"/>
      <c r="W20" s="10"/>
      <c r="X20" s="10"/>
      <c r="Y20" s="3"/>
      <c r="Z20" s="3">
        <f>mround(Z19*Setup!AL13,'Quick Setup'!$A$2)</f>
        <v>312.5</v>
      </c>
      <c r="AA20" s="3">
        <f>Setup!AM13</f>
        <v>7</v>
      </c>
      <c r="AB20" s="3">
        <f>Setup!AN13</f>
        <v>13</v>
      </c>
      <c r="AC20" s="3">
        <f>Setup!AO13</f>
        <v>5</v>
      </c>
      <c r="AD20" s="10"/>
      <c r="AE20" s="10"/>
      <c r="AF20" s="10"/>
      <c r="AG20" s="3"/>
      <c r="AH20" s="3">
        <f>mround(AH19*Setup!AX13,'Quick Setup'!$A$2)</f>
        <v>337.5</v>
      </c>
      <c r="AI20" s="3">
        <f>Setup!AY13</f>
        <v>6</v>
      </c>
      <c r="AJ20" s="3">
        <f>Setup!AZ13</f>
        <v>11</v>
      </c>
      <c r="AK20" s="3">
        <f>Setup!BA13</f>
        <v>5</v>
      </c>
      <c r="AL20" s="10"/>
      <c r="AM20" s="10"/>
      <c r="AN20" s="10"/>
      <c r="AO20" s="3"/>
      <c r="AP20" s="3">
        <f>mround(AP19*Setup!BJ13,'Quick Setup'!$A$2)</f>
        <v>362.5</v>
      </c>
      <c r="AQ20" s="3">
        <f>Setup!BK13</f>
        <v>5</v>
      </c>
      <c r="AR20" s="3">
        <f>Setup!BL13</f>
        <v>9</v>
      </c>
      <c r="AS20" s="3">
        <f>Setup!BM13</f>
        <v>5</v>
      </c>
      <c r="AT20" s="10"/>
      <c r="AU20" s="10"/>
      <c r="AV20" s="10"/>
      <c r="AW20" s="3"/>
      <c r="AX20" s="3">
        <f>mround(AX19*Setup!BV13,'Quick Setup'!$A$2)</f>
        <v>250</v>
      </c>
      <c r="AY20" s="3">
        <f>Setup!BW13</f>
        <v>8</v>
      </c>
      <c r="AZ20" s="3">
        <f>Setup!BX13</f>
        <v>18</v>
      </c>
      <c r="BA20" s="3">
        <f>Setup!BY13</f>
        <v>5</v>
      </c>
      <c r="BB20" s="10"/>
      <c r="BC20" s="10"/>
      <c r="BD20" s="10"/>
      <c r="BE20" s="3"/>
      <c r="BF20" s="3">
        <f>mround(BF19*Setup!CH13,'Quick Setup'!$A$2)</f>
        <v>325</v>
      </c>
      <c r="BG20" s="3">
        <f>Setup!CI13</f>
        <v>6</v>
      </c>
      <c r="BH20" s="3">
        <f>Setup!CJ13</f>
        <v>12</v>
      </c>
      <c r="BI20" s="3">
        <f>Setup!CK13</f>
        <v>5</v>
      </c>
      <c r="BJ20" s="10"/>
      <c r="BK20" s="10"/>
      <c r="BL20" s="10"/>
      <c r="BM20" s="3"/>
      <c r="BN20" s="3">
        <f>mround(BN19*Setup!CT13,'Quick Setup'!$A$2)</f>
        <v>350</v>
      </c>
      <c r="BO20" s="3">
        <f>Setup!CU13</f>
        <v>5</v>
      </c>
      <c r="BP20" s="3">
        <f>Setup!CV13</f>
        <v>10</v>
      </c>
      <c r="BQ20" s="3">
        <f>Setup!CW13</f>
        <v>5</v>
      </c>
      <c r="BR20" s="10"/>
      <c r="BS20" s="10"/>
      <c r="BT20" s="10"/>
      <c r="BU20" s="3"/>
      <c r="BV20" s="3">
        <f>mround(BV19*Setup!DF13,'Quick Setup'!$A$2)</f>
        <v>375</v>
      </c>
      <c r="BW20" s="3">
        <f>Setup!DG13</f>
        <v>4</v>
      </c>
      <c r="BX20" s="3">
        <f>Setup!DH13</f>
        <v>8</v>
      </c>
      <c r="BY20" s="3">
        <f>Setup!DI13</f>
        <v>5</v>
      </c>
      <c r="BZ20" s="10"/>
      <c r="CA20" s="10"/>
      <c r="CB20" s="10"/>
      <c r="CC20" s="3"/>
      <c r="CD20" s="3">
        <f>mround(CD19*Setup!DR13,'Quick Setup'!$A$2)</f>
        <v>337.5</v>
      </c>
      <c r="CE20" s="3">
        <f>Setup!DS13</f>
        <v>6</v>
      </c>
      <c r="CF20" s="3">
        <f>Setup!DT13</f>
        <v>11</v>
      </c>
      <c r="CG20" s="3">
        <f>Setup!DU13</f>
        <v>5</v>
      </c>
      <c r="CH20" s="10"/>
      <c r="CI20" s="10"/>
      <c r="CJ20" s="10"/>
      <c r="CK20" s="3"/>
      <c r="CL20" s="3">
        <f>mround(CL19*Setup!ED13,'Quick Setup'!$A$2)</f>
        <v>362.5</v>
      </c>
      <c r="CM20" s="3">
        <f>Setup!EE13</f>
        <v>5</v>
      </c>
      <c r="CN20" s="3">
        <f>Setup!EF13</f>
        <v>9</v>
      </c>
      <c r="CO20" s="3">
        <f>Setup!EG13</f>
        <v>5</v>
      </c>
      <c r="CP20" s="10"/>
      <c r="CQ20" s="10"/>
      <c r="CR20" s="10"/>
      <c r="CS20" s="3"/>
      <c r="CT20" s="3">
        <f>mround(CT19*Setup!EP13,'Quick Setup'!$A$2)</f>
        <v>387.5</v>
      </c>
      <c r="CU20" s="3">
        <f>Setup!EQ13</f>
        <v>4</v>
      </c>
      <c r="CV20" s="3">
        <f>Setup!ER13</f>
        <v>7</v>
      </c>
      <c r="CW20" s="3">
        <f>Setup!ES13</f>
        <v>5</v>
      </c>
      <c r="CX20" s="10"/>
      <c r="CY20" s="10"/>
      <c r="CZ20" s="10"/>
      <c r="DA20" s="3"/>
      <c r="DB20" s="3">
        <f>mround(DB19*Setup!FB13,'Quick Setup'!$A$2)</f>
        <v>250</v>
      </c>
      <c r="DC20" s="3">
        <f>Setup!FC13</f>
        <v>8</v>
      </c>
      <c r="DD20" s="3">
        <f>Setup!FD13</f>
        <v>18</v>
      </c>
      <c r="DE20" s="3">
        <f>Setup!FE13</f>
        <v>5</v>
      </c>
      <c r="DF20" s="10"/>
      <c r="DG20" s="10"/>
      <c r="DH20" s="10"/>
      <c r="DI20" s="3"/>
      <c r="DJ20" s="3">
        <f>mround(DJ19*Setup!FN13,'Quick Setup'!$A$2)</f>
        <v>350</v>
      </c>
      <c r="DK20" s="3">
        <f>Setup!FO13</f>
        <v>5</v>
      </c>
      <c r="DL20" s="3">
        <f>Setup!FP13</f>
        <v>10</v>
      </c>
      <c r="DM20" s="3">
        <f>Setup!FQ13</f>
        <v>5</v>
      </c>
      <c r="DN20" s="10"/>
      <c r="DO20" s="10"/>
      <c r="DP20" s="10"/>
      <c r="DQ20" s="3"/>
      <c r="DR20" s="3">
        <f>mround(DR19*Setup!FZ13,'Quick Setup'!$A$2)</f>
        <v>375</v>
      </c>
      <c r="DS20" s="3">
        <f>Setup!GA13</f>
        <v>4</v>
      </c>
      <c r="DT20" s="3">
        <f>Setup!GB13</f>
        <v>8</v>
      </c>
      <c r="DU20" s="3">
        <f>Setup!GC13</f>
        <v>5</v>
      </c>
      <c r="DV20" s="10"/>
      <c r="DW20" s="10"/>
      <c r="DX20" s="10"/>
      <c r="DY20" s="3"/>
      <c r="DZ20" s="3">
        <f>mround(DZ19*Setup!GL13,'Quick Setup'!$A$2)</f>
        <v>400</v>
      </c>
      <c r="EA20" s="3">
        <f>Setup!GM13</f>
        <v>3</v>
      </c>
      <c r="EB20" s="3">
        <f>Setup!GN13</f>
        <v>6</v>
      </c>
      <c r="EC20" s="3">
        <f>Setup!GO13</f>
        <v>5</v>
      </c>
      <c r="ED20" s="10"/>
      <c r="EE20" s="10"/>
      <c r="EF20" s="10"/>
      <c r="EG20" s="3"/>
      <c r="EH20" s="3">
        <f>mround(EH19*Setup!GX13,'Quick Setup'!$A$2)</f>
        <v>375</v>
      </c>
      <c r="EI20" s="3">
        <f>Setup!GY13</f>
        <v>4</v>
      </c>
      <c r="EJ20" s="3">
        <f>Setup!GZ13</f>
        <v>8</v>
      </c>
      <c r="EK20" s="3">
        <f>Setup!HA13</f>
        <v>5</v>
      </c>
      <c r="EL20" s="10"/>
      <c r="EM20" s="10"/>
      <c r="EN20" s="10"/>
      <c r="EO20" s="3"/>
      <c r="EP20" s="3">
        <f>mround(EP19*Setup!HJ13,'Quick Setup'!$A$2)</f>
        <v>400</v>
      </c>
      <c r="EQ20" s="3">
        <f>Setup!HK13</f>
        <v>3</v>
      </c>
      <c r="ER20" s="3">
        <f>Setup!HL13</f>
        <v>6</v>
      </c>
      <c r="ES20" s="3">
        <f>Setup!HM13</f>
        <v>5</v>
      </c>
      <c r="ET20" s="10"/>
      <c r="EU20" s="10"/>
      <c r="EV20" s="10"/>
      <c r="EW20" s="3"/>
      <c r="EX20" s="3">
        <f>mround(EX19*Setup!HV13,'Quick Setup'!$A$2)</f>
        <v>425</v>
      </c>
      <c r="EY20" s="3">
        <f>Setup!HW13</f>
        <v>2</v>
      </c>
      <c r="EZ20" s="3">
        <f>Setup!HX13</f>
        <v>4</v>
      </c>
      <c r="FA20" s="3">
        <f>Setup!HY13</f>
        <v>5</v>
      </c>
      <c r="FB20" s="10"/>
      <c r="FC20" s="10"/>
      <c r="FD20" s="10"/>
      <c r="FE20" s="3"/>
      <c r="FF20" s="3">
        <f>mround(FF19*Setup!IH13,'Quick Setup'!$A$2)</f>
        <v>250</v>
      </c>
      <c r="FG20" s="3">
        <f>Setup!II13</f>
        <v>8</v>
      </c>
      <c r="FH20" s="3">
        <f>Setup!IJ13</f>
        <v>18</v>
      </c>
      <c r="FI20" s="3">
        <f>Setup!IK13</f>
        <v>5</v>
      </c>
      <c r="FJ20" s="10"/>
      <c r="FK20" s="10"/>
      <c r="FL20" s="10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>
      <c r="A21" s="1" t="str">
        <f>CONCATENATE(A22," TM")</f>
        <v>Push Press TM</v>
      </c>
      <c r="B21" s="3">
        <f>if(D21="",'Quick Setup'!D16,D21/'Quick Setup'!E16)</f>
        <v>245</v>
      </c>
      <c r="C21" s="8" t="s">
        <v>75</v>
      </c>
      <c r="D21" s="10"/>
      <c r="E21" s="3"/>
      <c r="F21" s="3"/>
      <c r="G21" s="3"/>
      <c r="H21" s="3"/>
      <c r="I21" s="3"/>
      <c r="J21" s="3">
        <f>if(L21="", if(F22&lt;&gt;"", if((F22-D22)&lt;-1,B21*(1+Setup!F14),if((F22-D22)&lt;0,B21*(1+Setup!G14),if((F22-D22)=0,B21*(1+Setup!H14),if((F22-D22)=1,B21*(1+Setup!I14),if((F22-D22)=2,B21*(1+Setup!J14),if((F22-D22)=3,B21*(1+Setup!K14),if((F22-D22)=4,B21*(1+Setup!L14),if((F22-D22)&gt;4,B21*(1+Setup!M14),B21)))))))),B21),L21/'Quick Setup'!$E16)</f>
        <v>245</v>
      </c>
      <c r="K21" s="8" t="s">
        <v>75</v>
      </c>
      <c r="L21" s="10"/>
      <c r="M21" s="3"/>
      <c r="N21" s="3"/>
      <c r="O21" s="3"/>
      <c r="P21" s="3"/>
      <c r="Q21" s="3"/>
      <c r="R21" s="3">
        <f>if(T21="", if(N22&lt;&gt;"", if((N22-L22)&lt;-1,J21*(1+Setup!R14),if((N22-L22)&lt;0,J21*(1+Setup!S14),if((N22-L22)=0,J21*(1+Setup!T14),if((N22-L22)=1,J21*(1+Setup!U14),if((N22-L22)=2,J21*(1+Setup!V14),if((N22-L22)=3,J21*(1+Setup!W14),if((N22-L22)=4,J21*(1+Setup!X14),if((N22-L22)&gt;4,J21*(1+Setup!Y14),J21)))))))),J21),T21/'Quick Setup'!$E16)</f>
        <v>245</v>
      </c>
      <c r="S21" s="8" t="s">
        <v>75</v>
      </c>
      <c r="T21" s="10"/>
      <c r="U21" s="3"/>
      <c r="V21" s="3"/>
      <c r="W21" s="3"/>
      <c r="X21" s="3"/>
      <c r="Y21" s="3"/>
      <c r="Z21" s="3">
        <f>if(AB21="", if(V22&lt;&gt;"", if((V22-T22)&lt;-1,R21*(1+Setup!AD14),if((V22-T22)&lt;0,R21*(1+Setup!AE14),if((V22-T22)=0,R21*(1+Setup!AF14),if((V22-T22)=1,R21*(1+Setup!AG14),if((V22-T22)=2,R21*(1+Setup!AH14),if((V22-T22)=3,R21*(1+Setup!AI14),if((V22-T22)=4,R21*(1+Setup!AJ14),if((V22-T22)&gt;4,R21*(1+Setup!AK14),R21)))))))),R21),AB21/'Quick Setup'!$E16)</f>
        <v>245</v>
      </c>
      <c r="AA21" s="8" t="s">
        <v>75</v>
      </c>
      <c r="AB21" s="10"/>
      <c r="AC21" s="3"/>
      <c r="AD21" s="3"/>
      <c r="AE21" s="3"/>
      <c r="AF21" s="3"/>
      <c r="AG21" s="3"/>
      <c r="AH21" s="3">
        <f>if(AJ21="", if(AD22&lt;&gt;"", if((AD22-AB22)&lt;-1,Z21*(1+Setup!AP14),if((AD22-AB22)&lt;0,Z21*(1+Setup!AQ14),if((AD22-AB22)=0,Z21*(1+Setup!AR14),if((AD22-AB22)=1,Z21*(1+Setup!AS14),if((AD22-AB22)=2,Z21*(1+Setup!AT14),if((AD22-AB22)=3,Z21*(1+Setup!AU14),if((AD22-AB22)=4,Z21*(1+Setup!AV14),if((AD22-AB22)&gt;4,Z21*(1+Setup!AW14),Z21)))))))),Z21),AJ21/'Quick Setup'!$E16)</f>
        <v>245</v>
      </c>
      <c r="AI21" s="8" t="s">
        <v>75</v>
      </c>
      <c r="AJ21" s="10"/>
      <c r="AK21" s="3"/>
      <c r="AL21" s="3"/>
      <c r="AM21" s="3"/>
      <c r="AN21" s="3"/>
      <c r="AO21" s="3"/>
      <c r="AP21" s="3">
        <f>if(AR21="", if(AL22&lt;&gt;"", if((AL22-AJ22)&lt;-1,AH21*(1+Setup!BB14),if((AL22-AJ22)&lt;0,AH21*(1+Setup!BC14),if((AL22-AJ22)=0,AH21*(1+Setup!BD14),if((AL22-AJ22)=1,AH21*(1+Setup!BE14),if((AL22-AJ22)=2,AH21*(1+Setup!BF14),if((AL22-AJ22)=3,AH21*(1+Setup!BG14),if((AL22-AJ22)=4,AH21*(1+Setup!BH14),if((AL22-AJ22)&gt;4,AH21*(1+Setup!BI14),AH21)))))))),AH21),AR21/'Quick Setup'!$E16)</f>
        <v>245</v>
      </c>
      <c r="AQ21" s="8" t="s">
        <v>75</v>
      </c>
      <c r="AR21" s="10"/>
      <c r="AS21" s="3"/>
      <c r="AT21" s="3"/>
      <c r="AU21" s="3"/>
      <c r="AV21" s="3"/>
      <c r="AW21" s="3"/>
      <c r="AX21" s="3">
        <f>if(AZ21="", if(AT22&lt;&gt;"", if((AT22-AR22)&lt;-1,AP21*(1+Setup!BN14),if((AT22-AR22)&lt;0,AP21*(1+Setup!BO14),if((AT22-AR22)=0,AP21*(1+Setup!BP14),if((AT22-AR22)=1,AP21*(1+Setup!BQ14),if((AT22-AR22)=2,AP21*(1+Setup!BR14),if((AT22-AR22)=3,AP21*(1+Setup!BS14),if((AT22-AR22)=4,AP21*(1+Setup!BT14),if((AT22-AR22)&gt;4,AP21*(1+Setup!BU14),AP21)))))))),AP21),AZ21/'Quick Setup'!$E16)</f>
        <v>245</v>
      </c>
      <c r="AY21" s="8" t="s">
        <v>75</v>
      </c>
      <c r="AZ21" s="10"/>
      <c r="BA21" s="3"/>
      <c r="BB21" s="3"/>
      <c r="BC21" s="3"/>
      <c r="BD21" s="3"/>
      <c r="BE21" s="3"/>
      <c r="BF21" s="3">
        <f>if(BH21="", if(BB22&lt;&gt;"", if((BB22-AZ22)&lt;-1,AX21*(1+Setup!BZ14),if((BB22-AZ22)&lt;0,AX21*(1+Setup!CA14),if((BB22-AZ22)=0,AX21*(1+Setup!CB14),if((BB22-AZ22)=1,AX21*(1+Setup!CC14),if((BB22-AZ22)=2,AX21*(1+Setup!CD14),if((BB22-AZ22)=3,AX21*(1+Setup!CE14),if((BB22-AZ22)=4,AX21*(1+Setup!CF14),if((BB22-AZ22)&gt;4,AX21*(1+Setup!CG14),AX21)))))))),AX21),BH21/'Quick Setup'!$E16)</f>
        <v>245</v>
      </c>
      <c r="BG21" s="8" t="s">
        <v>75</v>
      </c>
      <c r="BH21" s="10"/>
      <c r="BI21" s="3"/>
      <c r="BJ21" s="3"/>
      <c r="BK21" s="3"/>
      <c r="BL21" s="3"/>
      <c r="BM21" s="3"/>
      <c r="BN21" s="3">
        <f>if(BP21="", if(BJ22&lt;&gt;"", if((BJ22-BH22)&lt;-1,BF21*(1+Setup!CL14),if((BJ22-BH22)&lt;0,BF21*(1+Setup!CM14),if((BJ22-BH22)=0,BF21*(1+Setup!CN14),if((BJ22-BH22)=1,BF21*(1+Setup!CO14),if((BJ22-BH22)=2,BF21*(1+Setup!CP14),if((BJ22-BH22)=3,BF21*(1+Setup!CQ14),if((BJ22-BH22)=4,BF21*(1+Setup!CR14),if((BJ22-BH22)&gt;4,BF21*(1+Setup!CS14),BF21)))))))),BF21),BP21/'Quick Setup'!$E16)</f>
        <v>245</v>
      </c>
      <c r="BO21" s="8" t="s">
        <v>75</v>
      </c>
      <c r="BP21" s="10"/>
      <c r="BQ21" s="3"/>
      <c r="BR21" s="3"/>
      <c r="BS21" s="3"/>
      <c r="BT21" s="3"/>
      <c r="BU21" s="3"/>
      <c r="BV21" s="3">
        <f>if(BX21="", if(BR22&lt;&gt;"", if((BR22-BP22)&lt;-1,BN21*(1+Setup!CX14),if((BR22-BP22)&lt;0,BN21*(1+Setup!CY14),if((BR22-BP22)=0,BN21*(1+Setup!CZ14),if((BR22-BP22)=1,BN21*(1+Setup!DA14),if((BR22-BP22)=2,BN21*(1+Setup!DB14),if((BR22-BP22)=3,BN21*(1+Setup!DC14),if((BR22-BP22)=4,BN21*(1+Setup!DD14),if((BR22-BP22)&gt;4,BN21*(1+Setup!DE14),BN21)))))))),BN21),BX21/'Quick Setup'!$E16)</f>
        <v>245</v>
      </c>
      <c r="BW21" s="8" t="s">
        <v>75</v>
      </c>
      <c r="BX21" s="10"/>
      <c r="BY21" s="3"/>
      <c r="BZ21" s="3"/>
      <c r="CA21" s="3"/>
      <c r="CB21" s="3"/>
      <c r="CC21" s="3"/>
      <c r="CD21" s="3">
        <f>if(CF21="", if(BZ22&lt;&gt;"", if((BZ22-BX22)&lt;-1,BV21*(1+Setup!DJ14),if((BZ22-BX22)&lt;0,BV21*(1+Setup!DK14),if((BZ22-BX22)=0,BV21*(1+Setup!DL14),if((BZ22-BX22)=1,BV21*(1+Setup!DM14),if((BZ22-BX22)=2,BV21*(1+Setup!DN14),if((BZ22-BX22)=3,BV21*(1+Setup!DO14),if((BZ22-BX22)=4,BV21*(1+Setup!DP14),if((BZ22-BX22)&gt;4,BV21*(1+Setup!DQ14),BV21)))))))),BV21),CF21/'Quick Setup'!$E16)</f>
        <v>245</v>
      </c>
      <c r="CE21" s="8" t="s">
        <v>75</v>
      </c>
      <c r="CF21" s="10"/>
      <c r="CG21" s="3"/>
      <c r="CH21" s="3"/>
      <c r="CI21" s="3"/>
      <c r="CJ21" s="3"/>
      <c r="CK21" s="3"/>
      <c r="CL21" s="3">
        <f>if(CN21="", if(CH22&lt;&gt;"", if((CH22-CF22)&lt;-1,CD21*(1+Setup!DV14),if((CH22-CF22)&lt;0,CD21*(1+Setup!DW14),if((CH22-CF22)=0,CD21*(1+Setup!DX14),if((CH22-CF22)=1,CD21*(1+Setup!DY14),if((CH22-CF22)=2,CD21*(1+Setup!DZ14),if((CH22-CF22)=3,CD21*(1+Setup!EA14),if((CH22-CF22)=4,CD21*(1+Setup!EB14),if((CH22-CF22)&gt;4,CD21*(1+Setup!EC14),CD21)))))))),CD21),CN21/'Quick Setup'!$E16)</f>
        <v>245</v>
      </c>
      <c r="CM21" s="8" t="s">
        <v>75</v>
      </c>
      <c r="CN21" s="10"/>
      <c r="CO21" s="3"/>
      <c r="CP21" s="3"/>
      <c r="CQ21" s="3"/>
      <c r="CR21" s="3"/>
      <c r="CS21" s="3"/>
      <c r="CT21" s="3">
        <f>if(CV21="", if(CP22&lt;&gt;"", if((CP22-CN22)&lt;-1,CL21*(1+Setup!EH14),if((CP22-CN22)&lt;0,CL21*(1+Setup!EI14),if((CP22-CN22)=0,CL21*(1+Setup!EJ14),if((CP22-CN22)=1,CL21*(1+Setup!EK14),if((CP22-CN22)=2,CL21*(1+Setup!EL14),if((CP22-CN22)=3,CL21*(1+Setup!EM14),if((CP22-CN22)=4,CL21*(1+Setup!EN14),if((CP22-CN22)&gt;4,CL21*(1+Setup!EO14),CL21)))))))),CL21),CV21/'Quick Setup'!$E16)</f>
        <v>245</v>
      </c>
      <c r="CU21" s="8" t="s">
        <v>75</v>
      </c>
      <c r="CV21" s="10"/>
      <c r="CW21" s="3"/>
      <c r="CX21" s="3"/>
      <c r="CY21" s="3"/>
      <c r="CZ21" s="3"/>
      <c r="DA21" s="3"/>
      <c r="DB21" s="3">
        <f>if(DD21="", if(CX22&lt;&gt;"", if((CX22-CV22)&lt;-1,CT21*(1+Setup!ET14),if((CX22-CV22)&lt;0,CT21*(1+Setup!EU14),if((CX22-CV22)=0,CT21*(1+Setup!EV14),if((CX22-CV22)=1,CT21*(1+Setup!EW14),if((CX22-CV22)=2,CT21*(1+Setup!EX14),if((CX22-CV22)=3,CT21*(1+Setup!EY14),if((CX22-CV22)=4,CT21*(1+Setup!EZ14),if((CX22-CV22)&gt;4,CT21*(1+Setup!FA14),CT21)))))))),CT21),DD21/'Quick Setup'!$E16)</f>
        <v>245</v>
      </c>
      <c r="DC21" s="8" t="s">
        <v>75</v>
      </c>
      <c r="DD21" s="10"/>
      <c r="DE21" s="3"/>
      <c r="DF21" s="3"/>
      <c r="DG21" s="3"/>
      <c r="DH21" s="3"/>
      <c r="DI21" s="3"/>
      <c r="DJ21" s="3">
        <f>if(DL21="", if(DF22&lt;&gt;"", if((DF22-DD22)&lt;-1,DB21*(1+Setup!FF14),if((DF22-DD22)&lt;0,DB21*(1+Setup!FG14),if((DF22-DD22)=0,DB21*(1+Setup!FH14),if((DF22-DD22)=1,DB21*(1+Setup!FI14),if((DF22-DD22)=2,DB21*(1+Setup!FJ14),if((DF22-DD22)=3,DB21*(1+Setup!FK14),if((DF22-DD22)=4,DB21*(1+Setup!FL14),if((DF22-DD22)&gt;4,DB21*(1+Setup!FM14),DB21)))))))),DB21),DL21/'Quick Setup'!$E16)</f>
        <v>245</v>
      </c>
      <c r="DK21" s="8" t="s">
        <v>75</v>
      </c>
      <c r="DL21" s="10"/>
      <c r="DM21" s="3"/>
      <c r="DN21" s="3"/>
      <c r="DO21" s="3"/>
      <c r="DP21" s="3"/>
      <c r="DQ21" s="3"/>
      <c r="DR21" s="3">
        <f>if(DT21="", if(DN22&lt;&gt;"", if((DN22-DL22)&lt;-1,DJ21*(1+Setup!FR14),if((DN22-DL22)&lt;0,DJ21*(1+Setup!FS14),if((DN22-DL22)=0,DJ21*(1+Setup!FT14),if((DN22-DL22)=1,DJ21*(1+Setup!FU14),if((DN22-DL22)=2,DJ21*(1+Setup!FV14),if((DN22-DL22)=3,DJ21*(1+Setup!FW14),if((DN22-DL22)=4,DJ21*(1+Setup!FX14),if((DN22-DL22)&gt;4,DJ21*(1+Setup!FY14),DJ21)))))))),DJ21),DT21/'Quick Setup'!$E16)</f>
        <v>245</v>
      </c>
      <c r="DS21" s="8" t="s">
        <v>75</v>
      </c>
      <c r="DT21" s="10"/>
      <c r="DU21" s="3"/>
      <c r="DV21" s="3"/>
      <c r="DW21" s="3"/>
      <c r="DX21" s="3"/>
      <c r="DY21" s="3"/>
      <c r="DZ21" s="3">
        <f>if(EB21="", if(DV22&lt;&gt;"", if((DV22-DT22)&lt;-1,DR21*(1+Setup!GD14),if((DV22-DT22)&lt;0,DR21*(1+Setup!GE14),if((DV22-DT22)=0,DR21*(1+Setup!GF14),if((DV22-DT22)=1,DR21*(1+Setup!GG14),if((DV22-DT22)=2,DR21*(1+Setup!GH14),if((DV22-DT22)=3,DR21*(1+Setup!GI14),if((DV22-DT22)=4,DR21*(1+Setup!GJ14),if((DV22-DT22)&gt;4,DR21*(1+Setup!GK14),DR21)))))))),DR21),EB21/'Quick Setup'!$E16)</f>
        <v>245</v>
      </c>
      <c r="EA21" s="8" t="s">
        <v>75</v>
      </c>
      <c r="EB21" s="10"/>
      <c r="EC21" s="3"/>
      <c r="ED21" s="3"/>
      <c r="EE21" s="3"/>
      <c r="EF21" s="3"/>
      <c r="EG21" s="3"/>
      <c r="EH21" s="3">
        <f>if(EJ21="", if(ED22&lt;&gt;"", if((ED22-EB22)&lt;-1,DZ21*(1+Setup!GP14),if((ED22-EB22)&lt;0,DZ21*(1+Setup!GQ14),if((ED22-EB22)=0,DZ21*(1+Setup!GR14),if((ED22-EB22)=1,DZ21*(1+Setup!GS14),if((ED22-EB22)=2,DZ21*(1+Setup!GT14),if((ED22-EB22)=3,DZ21*(1+Setup!GU14),if((ED22-EB22)=4,DZ21*(1+Setup!GV14),if((ED22-EB22)&gt;4,DZ21*(1+Setup!GW14),DZ21)))))))),DZ21),EJ21/'Quick Setup'!$E16)</f>
        <v>245</v>
      </c>
      <c r="EI21" s="8" t="s">
        <v>75</v>
      </c>
      <c r="EJ21" s="10"/>
      <c r="EK21" s="3"/>
      <c r="EL21" s="3"/>
      <c r="EM21" s="3"/>
      <c r="EN21" s="3"/>
      <c r="EO21" s="3"/>
      <c r="EP21" s="3">
        <f>if(ER21="", if(EL22&lt;&gt;"", if((EL22-EJ22)&lt;-1,EH21*(1+Setup!HB14),if((EL22-EJ22)&lt;0,EH21*(1+Setup!HC14),if((EL22-EJ22)=0,EH21*(1+Setup!HD14),if((EL22-EJ22)=1,EH21*(1+Setup!HE14),if((EL22-EJ22)=2,EH21*(1+Setup!HF14),if((EL22-EJ22)=3,EH21*(1+Setup!HG14),if((EL22-EJ22)=4,EH21*(1+Setup!HH14),if((EL22-EJ22)&gt;4,EH21*(1+Setup!HI14),EH21)))))))),EH21),ER21/'Quick Setup'!$E16)</f>
        <v>245</v>
      </c>
      <c r="EQ21" s="8" t="s">
        <v>75</v>
      </c>
      <c r="ER21" s="10"/>
      <c r="ES21" s="3"/>
      <c r="ET21" s="3"/>
      <c r="EU21" s="3"/>
      <c r="EV21" s="3"/>
      <c r="EW21" s="3"/>
      <c r="EX21" s="3">
        <f>if(EZ21="", if(ET22&lt;&gt;"", if((ET22-ER22)&lt;-1,EP21*(1+Setup!HN14),if((ET22-ER22)&lt;0,EP21*(1+Setup!HO14),if((ET22-ER22)=0,EP21*(1+Setup!HP14),if((ET22-ER22)=1,EP21*(1+Setup!HQ14),if((ET22-ER22)=2,EP21*(1+Setup!HR14),if((ET22-ER22)=3,EP21*(1+Setup!HS14),if((ET22-ER22)=4,EP21*(1+Setup!HT14),if((ET22-ER22)&gt;4,EP21*(1+Setup!HU14),EP21)))))))),EP21),EZ21/'Quick Setup'!$E16)</f>
        <v>245</v>
      </c>
      <c r="EY21" s="8" t="s">
        <v>75</v>
      </c>
      <c r="EZ21" s="10"/>
      <c r="FA21" s="3"/>
      <c r="FB21" s="3"/>
      <c r="FC21" s="3"/>
      <c r="FD21" s="3"/>
      <c r="FE21" s="3"/>
      <c r="FF21" s="3">
        <f>if(FH21="", if(FB22&lt;&gt;"", if((FB22-EZ22)&lt;-1,EX21*(1+Setup!HZ14),if((FB22-EZ22)&lt;0,EX21*(1+Setup!IA14),if((FB22-EZ22)=0,EX21*(1+Setup!IB14),if((FB22-EZ22)=1,EX21*(1+Setup!IC14),if((FB22-EZ22)=2,EX21*(1+Setup!ID14),if((FB22-EZ22)=3,EX21*(1+Setup!IE14),if((FB22-EZ22)=4,EX21*(1+Setup!IF14),if((FB22-EZ22)&gt;4,EX21*(1+Setup!IG14),EX21)))))))),EX21),FH21/'Quick Setup'!$E16)</f>
        <v>245</v>
      </c>
      <c r="FG21" s="8" t="s">
        <v>75</v>
      </c>
      <c r="FH21" s="10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</row>
    <row r="22">
      <c r="A22" s="1" t="str">
        <f>Setup!A14</f>
        <v>Push Press</v>
      </c>
      <c r="B22" s="3">
        <f>mround(B21*Setup!B14,'Quick Setup'!$A$2)</f>
        <v>147.5</v>
      </c>
      <c r="C22" s="3">
        <f>Setup!C14</f>
        <v>7</v>
      </c>
      <c r="D22" s="3">
        <f>Setup!D14</f>
        <v>14</v>
      </c>
      <c r="E22" s="3">
        <f>Setup!E14</f>
        <v>5</v>
      </c>
      <c r="F22" s="10"/>
      <c r="G22" s="10"/>
      <c r="H22" s="10"/>
      <c r="I22" s="3"/>
      <c r="J22" s="3">
        <f>mround(J21*Setup!N14,'Quick Setup'!$A$2)</f>
        <v>160</v>
      </c>
      <c r="K22" s="3">
        <f>Setup!O14</f>
        <v>6</v>
      </c>
      <c r="L22" s="3">
        <f>Setup!P14</f>
        <v>12</v>
      </c>
      <c r="M22" s="3">
        <f>Setup!Q14</f>
        <v>5</v>
      </c>
      <c r="N22" s="10"/>
      <c r="O22" s="10"/>
      <c r="P22" s="10"/>
      <c r="Q22" s="3"/>
      <c r="R22" s="3">
        <f>mround(R21*Setup!Z14,'Quick Setup'!$A$2)</f>
        <v>172.5</v>
      </c>
      <c r="S22" s="3">
        <f>Setup!AA14</f>
        <v>5</v>
      </c>
      <c r="T22" s="3">
        <f>Setup!AB14</f>
        <v>10</v>
      </c>
      <c r="U22" s="3">
        <f>Setup!AC14</f>
        <v>5</v>
      </c>
      <c r="V22" s="10"/>
      <c r="W22" s="10"/>
      <c r="X22" s="10"/>
      <c r="Y22" s="3"/>
      <c r="Z22" s="3">
        <f>mround(Z21*Setup!AL14,'Quick Setup'!$A$2)</f>
        <v>152.5</v>
      </c>
      <c r="AA22" s="3">
        <f>Setup!AM14</f>
        <v>7</v>
      </c>
      <c r="AB22" s="3">
        <f>Setup!AN14</f>
        <v>13</v>
      </c>
      <c r="AC22" s="3">
        <f>Setup!AO14</f>
        <v>5</v>
      </c>
      <c r="AD22" s="10"/>
      <c r="AE22" s="10"/>
      <c r="AF22" s="10"/>
      <c r="AG22" s="3"/>
      <c r="AH22" s="3">
        <f>mround(AH21*Setup!AX14,'Quick Setup'!$A$2)</f>
        <v>165</v>
      </c>
      <c r="AI22" s="3">
        <f>Setup!AY14</f>
        <v>6</v>
      </c>
      <c r="AJ22" s="3">
        <f>Setup!AZ14</f>
        <v>11</v>
      </c>
      <c r="AK22" s="3">
        <f>Setup!BA14</f>
        <v>5</v>
      </c>
      <c r="AL22" s="10"/>
      <c r="AM22" s="10"/>
      <c r="AN22" s="10"/>
      <c r="AO22" s="3"/>
      <c r="AP22" s="3">
        <f>mround(AP21*Setup!BJ14,'Quick Setup'!$A$2)</f>
        <v>177.5</v>
      </c>
      <c r="AQ22" s="3">
        <f>Setup!BK14</f>
        <v>5</v>
      </c>
      <c r="AR22" s="3">
        <f>Setup!BL14</f>
        <v>9</v>
      </c>
      <c r="AS22" s="3">
        <f>Setup!BM14</f>
        <v>5</v>
      </c>
      <c r="AT22" s="10"/>
      <c r="AU22" s="10"/>
      <c r="AV22" s="10"/>
      <c r="AW22" s="3"/>
      <c r="AX22" s="3">
        <f>mround(AX21*Setup!BV14,'Quick Setup'!$A$2)</f>
        <v>122.5</v>
      </c>
      <c r="AY22" s="3">
        <f>Setup!BW14</f>
        <v>8</v>
      </c>
      <c r="AZ22" s="3">
        <f>Setup!BX14</f>
        <v>18</v>
      </c>
      <c r="BA22" s="3">
        <f>Setup!BY14</f>
        <v>5</v>
      </c>
      <c r="BB22" s="10"/>
      <c r="BC22" s="10"/>
      <c r="BD22" s="10"/>
      <c r="BE22" s="3"/>
      <c r="BF22" s="3">
        <f>mround(BF21*Setup!CH14,'Quick Setup'!$A$2)</f>
        <v>160</v>
      </c>
      <c r="BG22" s="3">
        <f>Setup!CI14</f>
        <v>6</v>
      </c>
      <c r="BH22" s="3">
        <f>Setup!CJ14</f>
        <v>12</v>
      </c>
      <c r="BI22" s="3">
        <f>Setup!CK14</f>
        <v>5</v>
      </c>
      <c r="BJ22" s="10"/>
      <c r="BK22" s="10"/>
      <c r="BL22" s="10"/>
      <c r="BM22" s="3"/>
      <c r="BN22" s="3">
        <f>mround(BN21*Setup!CT14,'Quick Setup'!$A$2)</f>
        <v>172.5</v>
      </c>
      <c r="BO22" s="3">
        <f>Setup!CU14</f>
        <v>5</v>
      </c>
      <c r="BP22" s="3">
        <f>Setup!CV14</f>
        <v>10</v>
      </c>
      <c r="BQ22" s="3">
        <f>Setup!CW14</f>
        <v>5</v>
      </c>
      <c r="BR22" s="10"/>
      <c r="BS22" s="10"/>
      <c r="BT22" s="10"/>
      <c r="BU22" s="3"/>
      <c r="BV22" s="3">
        <f>mround(BV21*Setup!DF14,'Quick Setup'!$A$2)</f>
        <v>185</v>
      </c>
      <c r="BW22" s="3">
        <f>Setup!DG14</f>
        <v>4</v>
      </c>
      <c r="BX22" s="3">
        <f>Setup!DH14</f>
        <v>8</v>
      </c>
      <c r="BY22" s="3">
        <f>Setup!DI14</f>
        <v>5</v>
      </c>
      <c r="BZ22" s="10"/>
      <c r="CA22" s="10"/>
      <c r="CB22" s="10"/>
      <c r="CC22" s="3"/>
      <c r="CD22" s="3">
        <f>mround(CD21*Setup!DR14,'Quick Setup'!$A$2)</f>
        <v>165</v>
      </c>
      <c r="CE22" s="3">
        <f>Setup!DS14</f>
        <v>6</v>
      </c>
      <c r="CF22" s="3">
        <f>Setup!DT14</f>
        <v>11</v>
      </c>
      <c r="CG22" s="3">
        <f>Setup!DU14</f>
        <v>5</v>
      </c>
      <c r="CH22" s="10"/>
      <c r="CI22" s="10"/>
      <c r="CJ22" s="10"/>
      <c r="CK22" s="3"/>
      <c r="CL22" s="3">
        <f>mround(CL21*Setup!ED14,'Quick Setup'!$A$2)</f>
        <v>177.5</v>
      </c>
      <c r="CM22" s="3">
        <f>Setup!EE14</f>
        <v>5</v>
      </c>
      <c r="CN22" s="3">
        <f>Setup!EF14</f>
        <v>9</v>
      </c>
      <c r="CO22" s="3">
        <f>Setup!EG14</f>
        <v>5</v>
      </c>
      <c r="CP22" s="10"/>
      <c r="CQ22" s="10"/>
      <c r="CR22" s="10"/>
      <c r="CS22" s="3"/>
      <c r="CT22" s="3">
        <f>mround(CT21*Setup!EP14,'Quick Setup'!$A$2)</f>
        <v>190</v>
      </c>
      <c r="CU22" s="3">
        <f>Setup!EQ14</f>
        <v>4</v>
      </c>
      <c r="CV22" s="3">
        <f>Setup!ER14</f>
        <v>7</v>
      </c>
      <c r="CW22" s="3">
        <f>Setup!ES14</f>
        <v>5</v>
      </c>
      <c r="CX22" s="10"/>
      <c r="CY22" s="10"/>
      <c r="CZ22" s="10"/>
      <c r="DA22" s="3"/>
      <c r="DB22" s="3">
        <f>mround(DB21*Setup!FB14,'Quick Setup'!$A$2)</f>
        <v>122.5</v>
      </c>
      <c r="DC22" s="3">
        <f>Setup!FC14</f>
        <v>8</v>
      </c>
      <c r="DD22" s="3">
        <f>Setup!FD14</f>
        <v>18</v>
      </c>
      <c r="DE22" s="3">
        <f>Setup!FE14</f>
        <v>5</v>
      </c>
      <c r="DF22" s="10"/>
      <c r="DG22" s="10"/>
      <c r="DH22" s="10"/>
      <c r="DI22" s="3"/>
      <c r="DJ22" s="3">
        <f>mround(DJ21*Setup!FN14,'Quick Setup'!$A$2)</f>
        <v>172.5</v>
      </c>
      <c r="DK22" s="3">
        <f>Setup!FO14</f>
        <v>5</v>
      </c>
      <c r="DL22" s="3">
        <f>Setup!FP14</f>
        <v>10</v>
      </c>
      <c r="DM22" s="3">
        <f>Setup!FQ14</f>
        <v>5</v>
      </c>
      <c r="DN22" s="10"/>
      <c r="DO22" s="10"/>
      <c r="DP22" s="10"/>
      <c r="DQ22" s="3"/>
      <c r="DR22" s="3">
        <f>mround(DR21*Setup!FZ14,'Quick Setup'!$A$2)</f>
        <v>185</v>
      </c>
      <c r="DS22" s="3">
        <f>Setup!GA14</f>
        <v>4</v>
      </c>
      <c r="DT22" s="3">
        <f>Setup!GB14</f>
        <v>8</v>
      </c>
      <c r="DU22" s="3">
        <f>Setup!GC14</f>
        <v>5</v>
      </c>
      <c r="DV22" s="10"/>
      <c r="DW22" s="10"/>
      <c r="DX22" s="10"/>
      <c r="DY22" s="3"/>
      <c r="DZ22" s="3">
        <f>mround(DZ21*Setup!GL14,'Quick Setup'!$A$2)</f>
        <v>195</v>
      </c>
      <c r="EA22" s="3">
        <f>Setup!GM14</f>
        <v>3</v>
      </c>
      <c r="EB22" s="3">
        <f>Setup!GN14</f>
        <v>6</v>
      </c>
      <c r="EC22" s="3">
        <f>Setup!GO14</f>
        <v>5</v>
      </c>
      <c r="ED22" s="10"/>
      <c r="EE22" s="10"/>
      <c r="EF22" s="10"/>
      <c r="EG22" s="3"/>
      <c r="EH22" s="3">
        <f>mround(EH21*Setup!GX14,'Quick Setup'!$A$2)</f>
        <v>185</v>
      </c>
      <c r="EI22" s="3">
        <f>Setup!GY14</f>
        <v>4</v>
      </c>
      <c r="EJ22" s="3">
        <f>Setup!GZ14</f>
        <v>8</v>
      </c>
      <c r="EK22" s="3">
        <f>Setup!HA14</f>
        <v>5</v>
      </c>
      <c r="EL22" s="10"/>
      <c r="EM22" s="10"/>
      <c r="EN22" s="10"/>
      <c r="EO22" s="3"/>
      <c r="EP22" s="3">
        <f>mround(EP21*Setup!HJ14,'Quick Setup'!$A$2)</f>
        <v>195</v>
      </c>
      <c r="EQ22" s="3">
        <f>Setup!HK14</f>
        <v>3</v>
      </c>
      <c r="ER22" s="3">
        <f>Setup!HL14</f>
        <v>6</v>
      </c>
      <c r="ES22" s="3">
        <f>Setup!HM14</f>
        <v>5</v>
      </c>
      <c r="ET22" s="10"/>
      <c r="EU22" s="10"/>
      <c r="EV22" s="10"/>
      <c r="EW22" s="3"/>
      <c r="EX22" s="3">
        <f>mround(EX21*Setup!HV14,'Quick Setup'!$A$2)</f>
        <v>207.5</v>
      </c>
      <c r="EY22" s="3">
        <f>Setup!HW14</f>
        <v>2</v>
      </c>
      <c r="EZ22" s="3">
        <f>Setup!HX14</f>
        <v>4</v>
      </c>
      <c r="FA22" s="3">
        <f>Setup!HY14</f>
        <v>5</v>
      </c>
      <c r="FB22" s="10"/>
      <c r="FC22" s="10"/>
      <c r="FD22" s="10"/>
      <c r="FE22" s="3"/>
      <c r="FF22" s="3">
        <f>mround(FF21*Setup!IH14,'Quick Setup'!$A$2)</f>
        <v>122.5</v>
      </c>
      <c r="FG22" s="3">
        <f>Setup!II14</f>
        <v>8</v>
      </c>
      <c r="FH22" s="3">
        <f>Setup!IJ14</f>
        <v>18</v>
      </c>
      <c r="FI22" s="3">
        <f>Setup!IK14</f>
        <v>5</v>
      </c>
      <c r="FJ22" s="10"/>
      <c r="FK22" s="10"/>
      <c r="FL22" s="10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 t="str">
        <f>#REF!</f>
        <v>#REF!</v>
      </c>
      <c r="GH28" s="3" t="str">
        <f>Setup!IT10</f>
        <v/>
      </c>
      <c r="GI28" s="3" t="str">
        <f>Setup!IU10</f>
        <v/>
      </c>
      <c r="GJ28" s="3" t="str">
        <f>Setup!IV10</f>
        <v/>
      </c>
      <c r="GK28" s="3" t="str">
        <f>Setup!IW10</f>
        <v/>
      </c>
      <c r="GL28" s="3" t="str">
        <f>Setup!IX10</f>
        <v/>
      </c>
      <c r="GM28" s="3" t="str">
        <f>Setup!IY10</f>
        <v/>
      </c>
      <c r="GN28" s="3" t="str">
        <f>Setup!IZ10</f>
        <v/>
      </c>
      <c r="GO28" s="3" t="str">
        <f>Setup!JA10</f>
        <v/>
      </c>
      <c r="GP28" s="3" t="str">
        <f>Setup!JB10</f>
        <v/>
      </c>
      <c r="GQ28" s="3" t="str">
        <f>Setup!JC10</f>
        <v/>
      </c>
      <c r="GR28" s="3" t="str">
        <f>Setup!JD10</f>
        <v/>
      </c>
      <c r="GS28" s="3" t="str">
        <f>Setup!JE10</f>
        <v/>
      </c>
      <c r="GT28" s="3" t="str">
        <f>Setup!JF10</f>
        <v/>
      </c>
      <c r="GU28" s="3" t="str">
        <f>Setup!JG10</f>
        <v/>
      </c>
      <c r="GV28" s="3" t="str">
        <f>Setup!JH10</f>
        <v/>
      </c>
      <c r="GW28" s="3" t="str">
        <f>Setup!JI10</f>
        <v/>
      </c>
      <c r="GX28" s="3" t="str">
        <f>Setup!JJ10</f>
        <v/>
      </c>
      <c r="GY28" s="3" t="str">
        <f>Setup!JK10</f>
        <v/>
      </c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 t="str">
        <f>#REF!</f>
        <v>#REF!</v>
      </c>
      <c r="GH30" s="3" t="str">
        <f>Setup!IT11</f>
        <v/>
      </c>
      <c r="GI30" s="3" t="str">
        <f>Setup!IU11</f>
        <v/>
      </c>
      <c r="GJ30" s="3" t="str">
        <f>Setup!IV11</f>
        <v/>
      </c>
      <c r="GK30" s="3" t="str">
        <f>Setup!IW11</f>
        <v/>
      </c>
      <c r="GL30" s="3" t="str">
        <f>Setup!IX11</f>
        <v/>
      </c>
      <c r="GM30" s="3" t="str">
        <f>Setup!IY11</f>
        <v/>
      </c>
      <c r="GN30" s="3" t="str">
        <f>Setup!IZ11</f>
        <v/>
      </c>
      <c r="GO30" s="3" t="str">
        <f>Setup!JA11</f>
        <v/>
      </c>
      <c r="GP30" s="3" t="str">
        <f>Setup!JB11</f>
        <v/>
      </c>
      <c r="GQ30" s="3" t="str">
        <f>Setup!JC11</f>
        <v/>
      </c>
      <c r="GR30" s="3" t="str">
        <f>Setup!JD11</f>
        <v/>
      </c>
      <c r="GS30" s="3" t="str">
        <f>Setup!JE11</f>
        <v/>
      </c>
      <c r="GT30" s="3" t="str">
        <f>Setup!JF11</f>
        <v/>
      </c>
      <c r="GU30" s="3" t="str">
        <f>Setup!JG11</f>
        <v/>
      </c>
      <c r="GV30" s="3" t="str">
        <f>Setup!JH11</f>
        <v/>
      </c>
      <c r="GW30" s="3" t="str">
        <f>Setup!JI11</f>
        <v/>
      </c>
      <c r="GX30" s="3" t="str">
        <f>Setup!JJ11</f>
        <v/>
      </c>
      <c r="GY30" s="3" t="str">
        <f>Setup!JK11</f>
        <v/>
      </c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 t="str">
        <f>#REF!</f>
        <v>#REF!</v>
      </c>
      <c r="GH32" s="3" t="str">
        <f>Setup!IT12</f>
        <v/>
      </c>
      <c r="GI32" s="3" t="str">
        <f>Setup!IU12</f>
        <v/>
      </c>
      <c r="GJ32" s="3" t="str">
        <f>Setup!IV12</f>
        <v/>
      </c>
      <c r="GK32" s="3" t="str">
        <f>Setup!IW12</f>
        <v/>
      </c>
      <c r="GL32" s="3" t="str">
        <f>Setup!IX12</f>
        <v/>
      </c>
      <c r="GM32" s="3" t="str">
        <f>Setup!IY12</f>
        <v/>
      </c>
      <c r="GN32" s="3" t="str">
        <f>Setup!IZ12</f>
        <v/>
      </c>
      <c r="GO32" s="3" t="str">
        <f>Setup!JA12</f>
        <v/>
      </c>
      <c r="GP32" s="3" t="str">
        <f>Setup!JB12</f>
        <v/>
      </c>
      <c r="GQ32" s="3" t="str">
        <f>Setup!JC12</f>
        <v/>
      </c>
      <c r="GR32" s="3" t="str">
        <f>Setup!JD12</f>
        <v/>
      </c>
      <c r="GS32" s="3" t="str">
        <f>Setup!JE12</f>
        <v/>
      </c>
      <c r="GT32" s="3" t="str">
        <f>Setup!JF12</f>
        <v/>
      </c>
      <c r="GU32" s="3" t="str">
        <f>Setup!JG12</f>
        <v/>
      </c>
      <c r="GV32" s="3" t="str">
        <f>Setup!JH12</f>
        <v/>
      </c>
      <c r="GW32" s="3" t="str">
        <f>Setup!JI12</f>
        <v/>
      </c>
      <c r="GX32" s="3" t="str">
        <f>Setup!JJ12</f>
        <v/>
      </c>
      <c r="GY32" s="3" t="str">
        <f>Setup!JK12</f>
        <v/>
      </c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 t="str">
        <f>#REF!</f>
        <v>#REF!</v>
      </c>
      <c r="GH34" s="3" t="str">
        <f>Setup!IT13</f>
        <v/>
      </c>
      <c r="GI34" s="3" t="str">
        <f>Setup!IU13</f>
        <v/>
      </c>
      <c r="GJ34" s="3" t="str">
        <f>Setup!IV13</f>
        <v/>
      </c>
      <c r="GK34" s="3" t="str">
        <f>Setup!IW13</f>
        <v/>
      </c>
      <c r="GL34" s="3" t="str">
        <f>Setup!IX13</f>
        <v/>
      </c>
      <c r="GM34" s="3" t="str">
        <f>Setup!IY13</f>
        <v/>
      </c>
      <c r="GN34" s="3" t="str">
        <f>Setup!IZ13</f>
        <v/>
      </c>
      <c r="GO34" s="3" t="str">
        <f>Setup!JA13</f>
        <v/>
      </c>
      <c r="GP34" s="3" t="str">
        <f>Setup!JB13</f>
        <v/>
      </c>
      <c r="GQ34" s="3" t="str">
        <f>Setup!JC13</f>
        <v/>
      </c>
      <c r="GR34" s="3" t="str">
        <f>Setup!JD13</f>
        <v/>
      </c>
      <c r="GS34" s="3" t="str">
        <f>Setup!JE13</f>
        <v/>
      </c>
      <c r="GT34" s="3" t="str">
        <f>Setup!JF13</f>
        <v/>
      </c>
      <c r="GU34" s="3" t="str">
        <f>Setup!JG13</f>
        <v/>
      </c>
      <c r="GV34" s="3" t="str">
        <f>Setup!JH13</f>
        <v/>
      </c>
      <c r="GW34" s="3" t="str">
        <f>Setup!JI13</f>
        <v/>
      </c>
      <c r="GX34" s="3" t="str">
        <f>Setup!JJ13</f>
        <v/>
      </c>
      <c r="GY34" s="3" t="str">
        <f>Setup!JK13</f>
        <v/>
      </c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 t="str">
        <f>#REF!</f>
        <v>#REF!</v>
      </c>
      <c r="GH36" s="3" t="str">
        <f>Setup!IT14</f>
        <v/>
      </c>
      <c r="GI36" s="3" t="str">
        <f>Setup!IU14</f>
        <v/>
      </c>
      <c r="GJ36" s="3" t="str">
        <f>Setup!IV14</f>
        <v/>
      </c>
      <c r="GK36" s="3" t="str">
        <f>Setup!IW14</f>
        <v/>
      </c>
      <c r="GL36" s="3" t="str">
        <f>Setup!IX14</f>
        <v/>
      </c>
      <c r="GM36" s="3" t="str">
        <f>Setup!IY14</f>
        <v/>
      </c>
      <c r="GN36" s="3" t="str">
        <f>Setup!IZ14</f>
        <v/>
      </c>
      <c r="GO36" s="3" t="str">
        <f>Setup!JA14</f>
        <v/>
      </c>
      <c r="GP36" s="3" t="str">
        <f>Setup!JB14</f>
        <v/>
      </c>
      <c r="GQ36" s="3" t="str">
        <f>Setup!JC14</f>
        <v/>
      </c>
      <c r="GR36" s="3" t="str">
        <f>Setup!JD14</f>
        <v/>
      </c>
      <c r="GS36" s="3" t="str">
        <f>Setup!JE14</f>
        <v/>
      </c>
      <c r="GT36" s="3" t="str">
        <f>Setup!JF14</f>
        <v/>
      </c>
      <c r="GU36" s="3" t="str">
        <f>Setup!JG14</f>
        <v/>
      </c>
      <c r="GV36" s="3" t="str">
        <f>Setup!JH14</f>
        <v/>
      </c>
      <c r="GW36" s="3" t="str">
        <f>Setup!JI14</f>
        <v/>
      </c>
      <c r="GX36" s="3" t="str">
        <f>Setup!JJ14</f>
        <v/>
      </c>
      <c r="GY36" s="3" t="str">
        <f>Setup!JK14</f>
        <v/>
      </c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29" t="s">
        <v>49</v>
      </c>
      <c r="I1" s="29" t="s">
        <v>50</v>
      </c>
      <c r="P1" s="29" t="s">
        <v>51</v>
      </c>
      <c r="W1" s="29" t="s">
        <v>52</v>
      </c>
      <c r="AD1" s="29" t="s">
        <v>53</v>
      </c>
      <c r="AK1" s="29" t="s">
        <v>54</v>
      </c>
      <c r="AR1" s="30" t="s">
        <v>55</v>
      </c>
      <c r="AY1" s="30" t="s">
        <v>56</v>
      </c>
      <c r="BF1" s="30" t="s">
        <v>57</v>
      </c>
      <c r="BM1" s="30" t="s">
        <v>58</v>
      </c>
      <c r="BT1" s="30" t="s">
        <v>59</v>
      </c>
      <c r="CA1" s="30" t="s">
        <v>60</v>
      </c>
      <c r="CH1" s="30" t="s">
        <v>61</v>
      </c>
      <c r="CO1" s="30" t="s">
        <v>62</v>
      </c>
      <c r="CV1" s="29" t="s">
        <v>63</v>
      </c>
      <c r="DC1" s="29" t="s">
        <v>64</v>
      </c>
      <c r="DJ1" s="29" t="s">
        <v>65</v>
      </c>
      <c r="DQ1" s="29" t="s">
        <v>66</v>
      </c>
      <c r="DX1" s="29" t="s">
        <v>67</v>
      </c>
      <c r="EE1" s="29" t="s">
        <v>68</v>
      </c>
      <c r="EL1" s="29" t="s">
        <v>69</v>
      </c>
    </row>
    <row r="2">
      <c r="A2" s="3"/>
      <c r="B2" s="31" t="s">
        <v>70</v>
      </c>
      <c r="C2" s="1" t="s">
        <v>47</v>
      </c>
      <c r="D2" s="1" t="s">
        <v>48</v>
      </c>
      <c r="E2" s="1" t="s">
        <v>71</v>
      </c>
      <c r="F2" s="1" t="s">
        <v>72</v>
      </c>
      <c r="G2" s="1" t="s">
        <v>73</v>
      </c>
      <c r="H2" s="1" t="s">
        <v>74</v>
      </c>
      <c r="I2" s="31" t="s">
        <v>70</v>
      </c>
      <c r="J2" s="1" t="s">
        <v>47</v>
      </c>
      <c r="K2" s="1" t="s">
        <v>48</v>
      </c>
      <c r="L2" s="1" t="s">
        <v>71</v>
      </c>
      <c r="M2" s="1" t="s">
        <v>72</v>
      </c>
      <c r="N2" s="1" t="s">
        <v>73</v>
      </c>
      <c r="O2" s="1" t="s">
        <v>74</v>
      </c>
      <c r="P2" s="31" t="s">
        <v>70</v>
      </c>
      <c r="Q2" s="1" t="s">
        <v>47</v>
      </c>
      <c r="R2" s="1" t="s">
        <v>48</v>
      </c>
      <c r="S2" s="1" t="s">
        <v>71</v>
      </c>
      <c r="T2" s="1" t="s">
        <v>72</v>
      </c>
      <c r="U2" s="1" t="s">
        <v>73</v>
      </c>
      <c r="V2" s="1" t="s">
        <v>74</v>
      </c>
      <c r="W2" s="31" t="s">
        <v>70</v>
      </c>
      <c r="X2" s="1" t="s">
        <v>47</v>
      </c>
      <c r="Y2" s="1" t="s">
        <v>48</v>
      </c>
      <c r="Z2" s="1" t="s">
        <v>71</v>
      </c>
      <c r="AA2" s="1" t="s">
        <v>72</v>
      </c>
      <c r="AB2" s="1" t="s">
        <v>73</v>
      </c>
      <c r="AC2" s="1" t="s">
        <v>74</v>
      </c>
      <c r="AD2" s="31" t="s">
        <v>70</v>
      </c>
      <c r="AE2" s="1" t="s">
        <v>47</v>
      </c>
      <c r="AF2" s="1" t="s">
        <v>48</v>
      </c>
      <c r="AG2" s="1" t="s">
        <v>71</v>
      </c>
      <c r="AH2" s="1" t="s">
        <v>72</v>
      </c>
      <c r="AI2" s="1" t="s">
        <v>73</v>
      </c>
      <c r="AJ2" s="1" t="s">
        <v>74</v>
      </c>
      <c r="AK2" s="31" t="s">
        <v>70</v>
      </c>
      <c r="AL2" s="1" t="s">
        <v>47</v>
      </c>
      <c r="AM2" s="1" t="s">
        <v>48</v>
      </c>
      <c r="AN2" s="1" t="s">
        <v>71</v>
      </c>
      <c r="AO2" s="1" t="s">
        <v>72</v>
      </c>
      <c r="AP2" s="1" t="s">
        <v>73</v>
      </c>
      <c r="AQ2" s="1" t="s">
        <v>74</v>
      </c>
      <c r="AR2" s="31" t="s">
        <v>70</v>
      </c>
      <c r="AS2" s="1" t="s">
        <v>47</v>
      </c>
      <c r="AT2" s="1" t="s">
        <v>48</v>
      </c>
      <c r="AU2" s="1" t="s">
        <v>71</v>
      </c>
      <c r="AV2" s="1" t="s">
        <v>72</v>
      </c>
      <c r="AW2" s="1" t="s">
        <v>73</v>
      </c>
      <c r="AX2" s="1" t="s">
        <v>74</v>
      </c>
      <c r="AY2" s="31" t="s">
        <v>70</v>
      </c>
      <c r="AZ2" s="1" t="s">
        <v>47</v>
      </c>
      <c r="BA2" s="1" t="s">
        <v>48</v>
      </c>
      <c r="BB2" s="1" t="s">
        <v>71</v>
      </c>
      <c r="BC2" s="1" t="s">
        <v>72</v>
      </c>
      <c r="BD2" s="1" t="s">
        <v>73</v>
      </c>
      <c r="BE2" s="1" t="s">
        <v>74</v>
      </c>
      <c r="BF2" s="31" t="s">
        <v>70</v>
      </c>
      <c r="BG2" s="1" t="s">
        <v>47</v>
      </c>
      <c r="BH2" s="1" t="s">
        <v>48</v>
      </c>
      <c r="BI2" s="1" t="s">
        <v>71</v>
      </c>
      <c r="BJ2" s="1" t="s">
        <v>72</v>
      </c>
      <c r="BK2" s="1" t="s">
        <v>73</v>
      </c>
      <c r="BL2" s="1" t="s">
        <v>74</v>
      </c>
      <c r="BM2" s="31" t="s">
        <v>70</v>
      </c>
      <c r="BN2" s="1" t="s">
        <v>47</v>
      </c>
      <c r="BO2" s="1" t="s">
        <v>48</v>
      </c>
      <c r="BP2" s="1" t="s">
        <v>71</v>
      </c>
      <c r="BQ2" s="1" t="s">
        <v>72</v>
      </c>
      <c r="BR2" s="1" t="s">
        <v>73</v>
      </c>
      <c r="BS2" s="1" t="s">
        <v>74</v>
      </c>
      <c r="BT2" s="31" t="s">
        <v>70</v>
      </c>
      <c r="BU2" s="1" t="s">
        <v>47</v>
      </c>
      <c r="BV2" s="1" t="s">
        <v>48</v>
      </c>
      <c r="BW2" s="1" t="s">
        <v>71</v>
      </c>
      <c r="BX2" s="1" t="s">
        <v>72</v>
      </c>
      <c r="BY2" s="1" t="s">
        <v>73</v>
      </c>
      <c r="BZ2" s="1" t="s">
        <v>74</v>
      </c>
      <c r="CA2" s="31" t="s">
        <v>70</v>
      </c>
      <c r="CB2" s="1" t="s">
        <v>47</v>
      </c>
      <c r="CC2" s="1" t="s">
        <v>48</v>
      </c>
      <c r="CD2" s="1" t="s">
        <v>71</v>
      </c>
      <c r="CE2" s="1" t="s">
        <v>72</v>
      </c>
      <c r="CF2" s="1" t="s">
        <v>73</v>
      </c>
      <c r="CG2" s="1" t="s">
        <v>74</v>
      </c>
      <c r="CH2" s="31" t="s">
        <v>70</v>
      </c>
      <c r="CI2" s="1" t="s">
        <v>47</v>
      </c>
      <c r="CJ2" s="1" t="s">
        <v>48</v>
      </c>
      <c r="CK2" s="1" t="s">
        <v>71</v>
      </c>
      <c r="CL2" s="1" t="s">
        <v>72</v>
      </c>
      <c r="CM2" s="1" t="s">
        <v>73</v>
      </c>
      <c r="CN2" s="1" t="s">
        <v>74</v>
      </c>
      <c r="CO2" s="31" t="s">
        <v>70</v>
      </c>
      <c r="CP2" s="1" t="s">
        <v>47</v>
      </c>
      <c r="CQ2" s="1" t="s">
        <v>48</v>
      </c>
      <c r="CR2" s="1" t="s">
        <v>71</v>
      </c>
      <c r="CS2" s="1" t="s">
        <v>72</v>
      </c>
      <c r="CT2" s="1" t="s">
        <v>73</v>
      </c>
      <c r="CU2" s="1" t="s">
        <v>74</v>
      </c>
      <c r="CV2" s="31" t="s">
        <v>70</v>
      </c>
      <c r="CW2" s="1" t="s">
        <v>47</v>
      </c>
      <c r="CX2" s="1" t="s">
        <v>48</v>
      </c>
      <c r="CY2" s="1" t="s">
        <v>71</v>
      </c>
      <c r="CZ2" s="1" t="s">
        <v>72</v>
      </c>
      <c r="DA2" s="1" t="s">
        <v>73</v>
      </c>
      <c r="DB2" s="1" t="s">
        <v>74</v>
      </c>
      <c r="DC2" s="31" t="s">
        <v>70</v>
      </c>
      <c r="DD2" s="1" t="s">
        <v>47</v>
      </c>
      <c r="DE2" s="1" t="s">
        <v>48</v>
      </c>
      <c r="DF2" s="1" t="s">
        <v>71</v>
      </c>
      <c r="DG2" s="1" t="s">
        <v>72</v>
      </c>
      <c r="DH2" s="1" t="s">
        <v>73</v>
      </c>
      <c r="DI2" s="1" t="s">
        <v>74</v>
      </c>
      <c r="DJ2" s="31" t="s">
        <v>70</v>
      </c>
      <c r="DK2" s="1" t="s">
        <v>47</v>
      </c>
      <c r="DL2" s="1" t="s">
        <v>48</v>
      </c>
      <c r="DM2" s="1" t="s">
        <v>71</v>
      </c>
      <c r="DN2" s="1" t="s">
        <v>72</v>
      </c>
      <c r="DO2" s="1" t="s">
        <v>73</v>
      </c>
      <c r="DP2" s="1" t="s">
        <v>74</v>
      </c>
      <c r="DQ2" s="31" t="s">
        <v>70</v>
      </c>
      <c r="DR2" s="1" t="s">
        <v>47</v>
      </c>
      <c r="DS2" s="1" t="s">
        <v>48</v>
      </c>
      <c r="DT2" s="1" t="s">
        <v>71</v>
      </c>
      <c r="DU2" s="1" t="s">
        <v>72</v>
      </c>
      <c r="DV2" s="1" t="s">
        <v>73</v>
      </c>
      <c r="DW2" s="1" t="s">
        <v>74</v>
      </c>
      <c r="DX2" s="31" t="s">
        <v>70</v>
      </c>
      <c r="DY2" s="1" t="s">
        <v>47</v>
      </c>
      <c r="DZ2" s="1" t="s">
        <v>48</v>
      </c>
      <c r="EA2" s="1" t="s">
        <v>71</v>
      </c>
      <c r="EB2" s="1" t="s">
        <v>72</v>
      </c>
      <c r="EC2" s="1" t="s">
        <v>73</v>
      </c>
      <c r="ED2" s="1" t="s">
        <v>74</v>
      </c>
      <c r="EE2" s="31" t="s">
        <v>70</v>
      </c>
      <c r="EF2" s="1" t="s">
        <v>47</v>
      </c>
      <c r="EG2" s="1" t="s">
        <v>48</v>
      </c>
      <c r="EH2" s="1" t="s">
        <v>71</v>
      </c>
      <c r="EI2" s="1" t="s">
        <v>72</v>
      </c>
      <c r="EJ2" s="1" t="s">
        <v>73</v>
      </c>
      <c r="EK2" s="1" t="s">
        <v>74</v>
      </c>
      <c r="EL2" s="31" t="s">
        <v>70</v>
      </c>
      <c r="EM2" s="1" t="s">
        <v>47</v>
      </c>
      <c r="EN2" s="1" t="s">
        <v>48</v>
      </c>
      <c r="EO2" s="1" t="s">
        <v>71</v>
      </c>
      <c r="EP2" s="1" t="s">
        <v>72</v>
      </c>
      <c r="EQ2" s="1" t="s">
        <v>73</v>
      </c>
      <c r="ER2" s="1" t="s">
        <v>74</v>
      </c>
    </row>
    <row r="3">
      <c r="A3" s="32" t="s">
        <v>76</v>
      </c>
      <c r="B3" s="33"/>
      <c r="C3" s="34"/>
      <c r="D3" s="34"/>
      <c r="E3" s="34"/>
      <c r="F3" s="34"/>
      <c r="G3" s="34"/>
      <c r="H3" s="34"/>
      <c r="I3" s="33"/>
      <c r="J3" s="34"/>
      <c r="K3" s="34"/>
      <c r="L3" s="34"/>
      <c r="M3" s="34"/>
      <c r="N3" s="34"/>
      <c r="O3" s="34"/>
      <c r="P3" s="33"/>
      <c r="Q3" s="34"/>
      <c r="R3" s="34"/>
      <c r="S3" s="34"/>
      <c r="T3" s="34"/>
      <c r="U3" s="34"/>
      <c r="V3" s="34"/>
      <c r="W3" s="33"/>
      <c r="X3" s="34"/>
      <c r="Y3" s="34"/>
      <c r="Z3" s="34"/>
      <c r="AA3" s="34"/>
      <c r="AB3" s="34"/>
      <c r="AC3" s="34"/>
      <c r="AD3" s="33"/>
      <c r="AE3" s="34"/>
      <c r="AF3" s="34"/>
      <c r="AG3" s="34"/>
      <c r="AH3" s="34"/>
      <c r="AI3" s="34"/>
      <c r="AJ3" s="34"/>
      <c r="AK3" s="33"/>
      <c r="AL3" s="34"/>
      <c r="AM3" s="34"/>
      <c r="AN3" s="34"/>
      <c r="AO3" s="34"/>
      <c r="AP3" s="34"/>
      <c r="AQ3" s="34"/>
      <c r="AR3" s="33"/>
      <c r="AS3" s="34"/>
      <c r="AT3" s="34"/>
      <c r="AU3" s="34"/>
      <c r="AV3" s="34"/>
      <c r="AW3" s="34"/>
      <c r="AX3" s="34"/>
      <c r="AY3" s="33"/>
      <c r="AZ3" s="34"/>
      <c r="BA3" s="34"/>
      <c r="BB3" s="34"/>
      <c r="BC3" s="34"/>
      <c r="BD3" s="34"/>
      <c r="BE3" s="34"/>
      <c r="BF3" s="33"/>
      <c r="BG3" s="34"/>
      <c r="BH3" s="34"/>
      <c r="BI3" s="34"/>
      <c r="BJ3" s="34"/>
      <c r="BK3" s="34"/>
      <c r="BL3" s="34"/>
      <c r="BM3" s="33"/>
      <c r="BN3" s="34"/>
      <c r="BO3" s="34"/>
      <c r="BP3" s="34"/>
      <c r="BQ3" s="34"/>
      <c r="BR3" s="34"/>
      <c r="BS3" s="34"/>
      <c r="BT3" s="33"/>
      <c r="BU3" s="34"/>
      <c r="BV3" s="34"/>
      <c r="BW3" s="34"/>
      <c r="BX3" s="34"/>
      <c r="BY3" s="34"/>
      <c r="BZ3" s="34"/>
      <c r="CA3" s="33"/>
      <c r="CB3" s="34"/>
      <c r="CC3" s="34"/>
      <c r="CD3" s="34"/>
      <c r="CE3" s="34"/>
      <c r="CF3" s="34"/>
      <c r="CG3" s="34"/>
      <c r="CH3" s="33"/>
      <c r="CI3" s="34"/>
      <c r="CJ3" s="34"/>
      <c r="CK3" s="34"/>
      <c r="CL3" s="34"/>
      <c r="CM3" s="34"/>
      <c r="CN3" s="34"/>
      <c r="CO3" s="33"/>
      <c r="CP3" s="34"/>
      <c r="CQ3" s="34"/>
      <c r="CR3" s="34"/>
      <c r="CS3" s="34"/>
      <c r="CT3" s="34"/>
      <c r="CU3" s="34"/>
      <c r="CV3" s="33"/>
      <c r="CW3" s="34"/>
      <c r="CX3" s="34"/>
      <c r="CY3" s="34"/>
      <c r="CZ3" s="34"/>
      <c r="DA3" s="34"/>
      <c r="DB3" s="34"/>
      <c r="DC3" s="33"/>
      <c r="DD3" s="34"/>
      <c r="DE3" s="34"/>
      <c r="DF3" s="34"/>
      <c r="DG3" s="34"/>
      <c r="DH3" s="34"/>
      <c r="DI3" s="34"/>
      <c r="DJ3" s="33"/>
      <c r="DK3" s="34"/>
      <c r="DL3" s="34"/>
      <c r="DM3" s="34"/>
      <c r="DN3" s="34"/>
      <c r="DO3" s="34"/>
      <c r="DP3" s="34"/>
      <c r="DQ3" s="33"/>
      <c r="DR3" s="34"/>
      <c r="DS3" s="34"/>
      <c r="DT3" s="34"/>
      <c r="DU3" s="34"/>
      <c r="DV3" s="34"/>
      <c r="DW3" s="34"/>
      <c r="DX3" s="33"/>
      <c r="DY3" s="34"/>
      <c r="DZ3" s="34"/>
      <c r="EA3" s="34"/>
      <c r="EB3" s="34"/>
      <c r="EC3" s="34"/>
      <c r="ED3" s="34"/>
      <c r="EE3" s="35" t="s">
        <v>77</v>
      </c>
      <c r="EF3" s="36"/>
      <c r="EG3" s="36"/>
      <c r="EH3" s="36"/>
      <c r="EI3" s="36"/>
      <c r="EJ3" s="36"/>
      <c r="EK3" s="36"/>
      <c r="EL3" s="33"/>
      <c r="EM3" s="34"/>
      <c r="EN3" s="34"/>
      <c r="EO3" s="34"/>
      <c r="EP3" s="34"/>
      <c r="EQ3" s="34"/>
      <c r="ER3" s="34"/>
    </row>
    <row r="4" hidden="1">
      <c r="A4" s="37" t="str">
        <f>CONCATENATE(A5," TM")</f>
        <v>Squat TM</v>
      </c>
      <c r="B4" s="38">
        <f>if(D4="",'Quick Setup'!D5,D4/'Quick Setup'!E5)</f>
        <v>490</v>
      </c>
      <c r="C4" s="39" t="s">
        <v>75</v>
      </c>
      <c r="D4" s="40"/>
      <c r="E4" s="41"/>
      <c r="F4" s="41"/>
      <c r="G4" s="41"/>
      <c r="H4" s="41"/>
      <c r="I4" s="38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490</v>
      </c>
      <c r="J4" s="39" t="s">
        <v>75</v>
      </c>
      <c r="K4" s="40"/>
      <c r="L4" s="41"/>
      <c r="M4" s="41"/>
      <c r="N4" s="41"/>
      <c r="O4" s="41"/>
      <c r="P4" s="38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490</v>
      </c>
      <c r="Q4" s="39" t="s">
        <v>75</v>
      </c>
      <c r="R4" s="40"/>
      <c r="S4" s="41"/>
      <c r="T4" s="41"/>
      <c r="U4" s="41"/>
      <c r="V4" s="41"/>
      <c r="W4" s="38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490</v>
      </c>
      <c r="X4" s="39" t="s">
        <v>75</v>
      </c>
      <c r="Y4" s="40"/>
      <c r="Z4" s="41"/>
      <c r="AA4" s="41"/>
      <c r="AB4" s="41"/>
      <c r="AC4" s="41"/>
      <c r="AD4" s="38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490</v>
      </c>
      <c r="AE4" s="39" t="s">
        <v>75</v>
      </c>
      <c r="AF4" s="40"/>
      <c r="AG4" s="41"/>
      <c r="AH4" s="41"/>
      <c r="AI4" s="41"/>
      <c r="AJ4" s="41"/>
      <c r="AK4" s="38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490</v>
      </c>
      <c r="AL4" s="39" t="s">
        <v>75</v>
      </c>
      <c r="AM4" s="40"/>
      <c r="AN4" s="41"/>
      <c r="AO4" s="41"/>
      <c r="AP4" s="41"/>
      <c r="AQ4" s="41"/>
      <c r="AR4" s="38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490</v>
      </c>
      <c r="AS4" s="39" t="s">
        <v>75</v>
      </c>
      <c r="AT4" s="40"/>
      <c r="AU4" s="41"/>
      <c r="AV4" s="41"/>
      <c r="AW4" s="41"/>
      <c r="AX4" s="41"/>
      <c r="AY4" s="38">
        <f>if(BA4="",AR4,BA4/'Quick Setup'!$E5)</f>
        <v>490</v>
      </c>
      <c r="AZ4" s="39" t="s">
        <v>75</v>
      </c>
      <c r="BA4" s="40"/>
      <c r="BB4" s="41"/>
      <c r="BC4" s="41"/>
      <c r="BD4" s="41"/>
      <c r="BE4" s="41"/>
      <c r="BF4" s="38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490</v>
      </c>
      <c r="BG4" s="39" t="s">
        <v>75</v>
      </c>
      <c r="BH4" s="40"/>
      <c r="BI4" s="41"/>
      <c r="BJ4" s="41"/>
      <c r="BK4" s="41"/>
      <c r="BL4" s="41"/>
      <c r="BM4" s="38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490</v>
      </c>
      <c r="BN4" s="39" t="s">
        <v>75</v>
      </c>
      <c r="BO4" s="40"/>
      <c r="BP4" s="41"/>
      <c r="BQ4" s="41"/>
      <c r="BR4" s="41"/>
      <c r="BS4" s="41"/>
      <c r="BT4" s="38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490</v>
      </c>
      <c r="BU4" s="39" t="s">
        <v>75</v>
      </c>
      <c r="BV4" s="40"/>
      <c r="BW4" s="41"/>
      <c r="BX4" s="41"/>
      <c r="BY4" s="41"/>
      <c r="BZ4" s="41"/>
      <c r="CA4" s="38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490</v>
      </c>
      <c r="CB4" s="39" t="s">
        <v>75</v>
      </c>
      <c r="CC4" s="40"/>
      <c r="CD4" s="41"/>
      <c r="CE4" s="41"/>
      <c r="CF4" s="41"/>
      <c r="CG4" s="41"/>
      <c r="CH4" s="38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490</v>
      </c>
      <c r="CI4" s="39" t="s">
        <v>75</v>
      </c>
      <c r="CJ4" s="40"/>
      <c r="CK4" s="41"/>
      <c r="CL4" s="41"/>
      <c r="CM4" s="41"/>
      <c r="CN4" s="41"/>
      <c r="CO4" s="38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490</v>
      </c>
      <c r="CP4" s="39" t="s">
        <v>75</v>
      </c>
      <c r="CQ4" s="40"/>
      <c r="CR4" s="41"/>
      <c r="CS4" s="41"/>
      <c r="CT4" s="41"/>
      <c r="CU4" s="41"/>
      <c r="CV4" s="38">
        <f>if(CX4="",CO4,CX4/'Quick Setup'!$E5)</f>
        <v>490</v>
      </c>
      <c r="CW4" s="39" t="s">
        <v>75</v>
      </c>
      <c r="CX4" s="40"/>
      <c r="CY4" s="41"/>
      <c r="CZ4" s="41"/>
      <c r="DA4" s="41"/>
      <c r="DB4" s="41"/>
      <c r="DC4" s="38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490</v>
      </c>
      <c r="DD4" s="39" t="s">
        <v>75</v>
      </c>
      <c r="DE4" s="40"/>
      <c r="DF4" s="41"/>
      <c r="DG4" s="41"/>
      <c r="DH4" s="41"/>
      <c r="DI4" s="41"/>
      <c r="DJ4" s="38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490</v>
      </c>
      <c r="DK4" s="39" t="s">
        <v>75</v>
      </c>
      <c r="DL4" s="40"/>
      <c r="DM4" s="41"/>
      <c r="DN4" s="41"/>
      <c r="DO4" s="41"/>
      <c r="DP4" s="41"/>
      <c r="DQ4" s="38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490</v>
      </c>
      <c r="DR4" s="39" t="s">
        <v>75</v>
      </c>
      <c r="DS4" s="40"/>
      <c r="DT4" s="41"/>
      <c r="DU4" s="41"/>
      <c r="DV4" s="41"/>
      <c r="DW4" s="41"/>
      <c r="DX4" s="38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490</v>
      </c>
      <c r="DY4" s="39" t="s">
        <v>75</v>
      </c>
      <c r="DZ4" s="40"/>
      <c r="EA4" s="41"/>
      <c r="EB4" s="41"/>
      <c r="EC4" s="41"/>
      <c r="ED4" s="41"/>
      <c r="EE4" s="38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490</v>
      </c>
      <c r="EF4" s="39" t="s">
        <v>75</v>
      </c>
      <c r="EG4" s="40"/>
      <c r="EH4" s="41"/>
      <c r="EI4" s="41"/>
      <c r="EJ4" s="41"/>
      <c r="EK4" s="41"/>
      <c r="EL4" s="38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490</v>
      </c>
      <c r="EM4" s="39" t="s">
        <v>75</v>
      </c>
      <c r="EN4" s="40"/>
      <c r="EO4" s="41"/>
      <c r="EP4" s="41"/>
      <c r="EQ4" s="41"/>
      <c r="ER4" s="41"/>
    </row>
    <row r="5">
      <c r="A5" s="1" t="str">
        <f>Setup!A3</f>
        <v>Squat</v>
      </c>
      <c r="B5" s="42">
        <f>mround(B4*Setup!B3,'Quick Setup'!$A$2)</f>
        <v>342.5</v>
      </c>
      <c r="C5" s="3">
        <f>Setup!C3</f>
        <v>5</v>
      </c>
      <c r="D5" s="3">
        <f>Setup!D3</f>
        <v>10</v>
      </c>
      <c r="E5" s="3">
        <f>Setup!E3</f>
        <v>5</v>
      </c>
      <c r="F5" s="10"/>
      <c r="G5" s="10"/>
      <c r="H5" s="10"/>
      <c r="I5" s="42">
        <f>mround(I4*Setup!N3,'Quick Setup'!$A$2)</f>
        <v>367.5</v>
      </c>
      <c r="J5" s="3">
        <f>Setup!O3</f>
        <v>4</v>
      </c>
      <c r="K5" s="3">
        <f>Setup!P3</f>
        <v>8</v>
      </c>
      <c r="L5" s="3">
        <f>Setup!Q3</f>
        <v>5</v>
      </c>
      <c r="M5" s="10"/>
      <c r="N5" s="10"/>
      <c r="O5" s="10"/>
      <c r="P5" s="42">
        <f>mround(P4*Setup!Z3,'Quick Setup'!$A$2)</f>
        <v>392.5</v>
      </c>
      <c r="Q5" s="3">
        <f>Setup!AA3</f>
        <v>3</v>
      </c>
      <c r="R5" s="3">
        <f>Setup!AB3</f>
        <v>6</v>
      </c>
      <c r="S5" s="3">
        <f>Setup!AC3</f>
        <v>5</v>
      </c>
      <c r="T5" s="10"/>
      <c r="U5" s="10"/>
      <c r="V5" s="10"/>
      <c r="W5" s="42">
        <f>mround(W4*Setup!AL3,'Quick Setup'!$A$2)</f>
        <v>355</v>
      </c>
      <c r="X5" s="3">
        <f>Setup!AM3</f>
        <v>5</v>
      </c>
      <c r="Y5" s="3">
        <f>Setup!AN3</f>
        <v>9</v>
      </c>
      <c r="Z5" s="3">
        <f>Setup!AO3</f>
        <v>5</v>
      </c>
      <c r="AA5" s="10"/>
      <c r="AB5" s="10"/>
      <c r="AC5" s="10"/>
      <c r="AD5" s="42">
        <f>mround(AD4*Setup!AX3,'Quick Setup'!$A$2)</f>
        <v>380</v>
      </c>
      <c r="AE5" s="3">
        <f>Setup!AY3</f>
        <v>4</v>
      </c>
      <c r="AF5" s="3">
        <f>Setup!AZ3</f>
        <v>7</v>
      </c>
      <c r="AG5" s="3">
        <f>Setup!BA3</f>
        <v>5</v>
      </c>
      <c r="AH5" s="10"/>
      <c r="AI5" s="10"/>
      <c r="AJ5" s="10"/>
      <c r="AK5" s="42">
        <f>mround(AK4*Setup!BJ3,'Quick Setup'!$A$2)</f>
        <v>405</v>
      </c>
      <c r="AL5" s="3">
        <f>Setup!BK3</f>
        <v>3</v>
      </c>
      <c r="AM5" s="3">
        <f>Setup!BL3</f>
        <v>5</v>
      </c>
      <c r="AN5" s="3">
        <f>Setup!BM3</f>
        <v>5</v>
      </c>
      <c r="AO5" s="10"/>
      <c r="AP5" s="10"/>
      <c r="AQ5" s="10"/>
      <c r="AR5" s="42">
        <f>mround(AR4*Setup!BV3,'Quick Setup'!$A$2)</f>
        <v>295</v>
      </c>
      <c r="AS5" s="1">
        <v>5.0</v>
      </c>
      <c r="AT5" s="1" t="s">
        <v>78</v>
      </c>
      <c r="AU5" s="3">
        <f>Setup!BY3</f>
        <v>5</v>
      </c>
      <c r="AV5" s="10"/>
      <c r="AW5" s="10"/>
      <c r="AX5" s="10"/>
      <c r="AY5" s="42">
        <f>mround(AY4*Setup!CH3,'Quick Setup'!$A$2)</f>
        <v>367.5</v>
      </c>
      <c r="AZ5" s="3">
        <f>Setup!CI3</f>
        <v>4</v>
      </c>
      <c r="BA5" s="3">
        <f>Setup!CJ3</f>
        <v>8</v>
      </c>
      <c r="BB5" s="3">
        <f>Setup!CK3</f>
        <v>5</v>
      </c>
      <c r="BC5" s="10"/>
      <c r="BD5" s="10"/>
      <c r="BE5" s="10"/>
      <c r="BF5" s="42">
        <f>mround(BF4*Setup!CT3,'Quick Setup'!$A$2)</f>
        <v>392.5</v>
      </c>
      <c r="BG5" s="3">
        <f>Setup!CU3</f>
        <v>3</v>
      </c>
      <c r="BH5" s="3">
        <f>Setup!CV3</f>
        <v>6</v>
      </c>
      <c r="BI5" s="3">
        <f>Setup!CW3</f>
        <v>5</v>
      </c>
      <c r="BJ5" s="10"/>
      <c r="BK5" s="10"/>
      <c r="BL5" s="10"/>
      <c r="BM5" s="42">
        <f>mround(BM4*Setup!DF3,'Quick Setup'!$A$2)</f>
        <v>417.5</v>
      </c>
      <c r="BN5" s="3">
        <f>Setup!DG3</f>
        <v>2</v>
      </c>
      <c r="BO5" s="3">
        <f>Setup!DH3</f>
        <v>4</v>
      </c>
      <c r="BP5" s="3">
        <f>Setup!DI3</f>
        <v>5</v>
      </c>
      <c r="BQ5" s="10"/>
      <c r="BR5" s="10"/>
      <c r="BS5" s="10"/>
      <c r="BT5" s="42">
        <f>mround(BT4*Setup!DR3,'Quick Setup'!$A$2)</f>
        <v>380</v>
      </c>
      <c r="BU5" s="3">
        <f>Setup!DS3</f>
        <v>4</v>
      </c>
      <c r="BV5" s="3">
        <f>Setup!DT3</f>
        <v>7</v>
      </c>
      <c r="BW5" s="3">
        <f>Setup!DU3</f>
        <v>5</v>
      </c>
      <c r="BX5" s="10"/>
      <c r="BY5" s="10"/>
      <c r="BZ5" s="10"/>
      <c r="CA5" s="42">
        <f>mround(CA4*Setup!ED3,'Quick Setup'!$A$2)</f>
        <v>405</v>
      </c>
      <c r="CB5" s="3">
        <f>Setup!EE3</f>
        <v>3</v>
      </c>
      <c r="CC5" s="3">
        <f>Setup!EF3</f>
        <v>5</v>
      </c>
      <c r="CD5" s="3">
        <f>Setup!EG3</f>
        <v>5</v>
      </c>
      <c r="CE5" s="10"/>
      <c r="CF5" s="10"/>
      <c r="CG5" s="10"/>
      <c r="CH5" s="42">
        <f>mround(CH4*Setup!EP3,'Quick Setup'!$A$2)</f>
        <v>430</v>
      </c>
      <c r="CI5" s="3">
        <f>Setup!EQ3</f>
        <v>2</v>
      </c>
      <c r="CJ5" s="3">
        <f>Setup!ER3</f>
        <v>3</v>
      </c>
      <c r="CK5" s="3">
        <f>Setup!ES3</f>
        <v>5</v>
      </c>
      <c r="CL5" s="10"/>
      <c r="CM5" s="10"/>
      <c r="CN5" s="10"/>
      <c r="CO5" s="42">
        <f>mround(CO4*Setup!FB3,'Quick Setup'!$A$2)</f>
        <v>295</v>
      </c>
      <c r="CP5" s="1">
        <v>5.0</v>
      </c>
      <c r="CQ5" s="1" t="s">
        <v>78</v>
      </c>
      <c r="CR5" s="3">
        <f>Setup!FE3</f>
        <v>5</v>
      </c>
      <c r="CS5" s="10"/>
      <c r="CT5" s="10"/>
      <c r="CU5" s="10"/>
      <c r="CV5" s="42">
        <f>mround(CV4*Setup!FN3,'Quick Setup'!$A$2)</f>
        <v>392.5</v>
      </c>
      <c r="CW5" s="3">
        <f>Setup!FO3</f>
        <v>3</v>
      </c>
      <c r="CX5" s="3">
        <f>Setup!FP3</f>
        <v>6</v>
      </c>
      <c r="CY5" s="3">
        <f>Setup!FQ3</f>
        <v>5</v>
      </c>
      <c r="CZ5" s="10"/>
      <c r="DA5" s="10"/>
      <c r="DB5" s="10"/>
      <c r="DC5" s="42">
        <f>mround(DC4*Setup!FZ3,'Quick Setup'!$A$2)</f>
        <v>417.5</v>
      </c>
      <c r="DD5" s="3">
        <f>Setup!GA3</f>
        <v>2</v>
      </c>
      <c r="DE5" s="3">
        <f>Setup!GB3</f>
        <v>4</v>
      </c>
      <c r="DF5" s="3">
        <f>Setup!GC3</f>
        <v>5</v>
      </c>
      <c r="DG5" s="10"/>
      <c r="DH5" s="10"/>
      <c r="DI5" s="10"/>
      <c r="DJ5" s="42">
        <f>mround(DJ4*Setup!GL3,'Quick Setup'!$A$2)</f>
        <v>440</v>
      </c>
      <c r="DK5" s="3">
        <f>Setup!GM3</f>
        <v>1</v>
      </c>
      <c r="DL5" s="3">
        <f>Setup!GN3</f>
        <v>2</v>
      </c>
      <c r="DM5" s="3">
        <f>Setup!GO3</f>
        <v>5</v>
      </c>
      <c r="DN5" s="10"/>
      <c r="DO5" s="10"/>
      <c r="DP5" s="10"/>
      <c r="DQ5" s="42">
        <f>mround(DQ4*Setup!GX3,'Quick Setup'!$A$2)</f>
        <v>417.5</v>
      </c>
      <c r="DR5" s="3">
        <f>Setup!GY3</f>
        <v>2</v>
      </c>
      <c r="DS5" s="3">
        <f>Setup!GZ3</f>
        <v>4</v>
      </c>
      <c r="DT5" s="3">
        <f>Setup!HA3</f>
        <v>5</v>
      </c>
      <c r="DU5" s="10"/>
      <c r="DV5" s="10"/>
      <c r="DW5" s="10"/>
      <c r="DX5" s="42">
        <f>mround(DX4*Setup!HJ3,'Quick Setup'!$A$2)</f>
        <v>440</v>
      </c>
      <c r="DY5" s="3">
        <f>Setup!HK3</f>
        <v>1</v>
      </c>
      <c r="DZ5" s="3">
        <f>Setup!HL3</f>
        <v>2</v>
      </c>
      <c r="EA5" s="3">
        <f>Setup!HM3</f>
        <v>5</v>
      </c>
      <c r="EB5" s="10"/>
      <c r="EC5" s="10"/>
      <c r="ED5" s="10"/>
      <c r="EE5" s="42">
        <f>mround(EE4*Setup!HV3,'Quick Setup'!$A$2)</f>
        <v>465</v>
      </c>
      <c r="EF5" s="3">
        <f>Setup!HW3</f>
        <v>1</v>
      </c>
      <c r="EG5" s="3">
        <f>Setup!HX3</f>
        <v>1</v>
      </c>
      <c r="EH5" s="3">
        <f>Setup!HY3</f>
        <v>5</v>
      </c>
      <c r="EI5" s="10"/>
      <c r="EJ5" s="10"/>
      <c r="EK5" s="10"/>
      <c r="EL5" s="42">
        <f>mround(EL4*Setup!IH3,'Quick Setup'!$A$2)</f>
        <v>295</v>
      </c>
      <c r="EM5" s="1">
        <v>5.0</v>
      </c>
      <c r="EN5" s="1" t="s">
        <v>78</v>
      </c>
      <c r="EO5" s="3">
        <f>Setup!IK3</f>
        <v>5</v>
      </c>
      <c r="EP5" s="10"/>
      <c r="EQ5" s="10"/>
      <c r="ER5" s="10"/>
    </row>
    <row r="6" hidden="1">
      <c r="A6" s="37" t="str">
        <f>CONCATENATE(A7," TM")</f>
        <v>Deadlift TM</v>
      </c>
      <c r="B6" s="38">
        <f>if(D6="",'Quick Setup'!D7,D6/'Quick Setup'!E7)</f>
        <v>525</v>
      </c>
      <c r="C6" s="39" t="s">
        <v>75</v>
      </c>
      <c r="D6" s="40"/>
      <c r="E6" s="41"/>
      <c r="F6" s="41"/>
      <c r="G6" s="41"/>
      <c r="H6" s="41"/>
      <c r="I6" s="38">
        <f>if(K6="", if(F7&lt;&gt;"", if((F7-D7)&lt;-1,B6*(1+Setup!F5),if((F7-D7)&lt;0,B6*(1+Setup!G5),if((F7-D7)=0,B6*(1+Setup!H5),if((F7-D7)=1,B6*(1+Setup!I5),if((F7-D7)=2,B6*(1+Setup!J5),if((F7-D7)=3,B6*(1+Setup!K5),if((F7-D7)=4,B6*(1+Setup!L5),if((F7-D7)&gt;4,B6*(1+Setup!M5),B6)))))))),B6),K6/'Quick Setup'!$E7)</f>
        <v>525</v>
      </c>
      <c r="J6" s="39" t="s">
        <v>75</v>
      </c>
      <c r="K6" s="40"/>
      <c r="L6" s="41"/>
      <c r="M6" s="41"/>
      <c r="N6" s="41"/>
      <c r="O6" s="41"/>
      <c r="P6" s="38">
        <f>if(R6="", if(M7&lt;&gt;"", if((M7-K7)&lt;-1,I6*(1+Setup!R5),if((M7-K7)&lt;0,I6*(1+Setup!S5),if((M7-K7)=0,I6*(1+Setup!T5),if((M7-K7)=1,I6*(1+Setup!U5),if((M7-K7)=2,I6*(1+Setup!V5),if((M7-K7)=3,I6*(1+Setup!W5),if((M7-K7)=4,I6*(1+Setup!X5),if((M7-K7)&gt;4,I6*(1+Setup!Y5),I6)))))))),I6),R6/'Quick Setup'!$E7)</f>
        <v>525</v>
      </c>
      <c r="Q6" s="39" t="s">
        <v>75</v>
      </c>
      <c r="R6" s="40"/>
      <c r="S6" s="41"/>
      <c r="T6" s="41"/>
      <c r="U6" s="41"/>
      <c r="V6" s="41"/>
      <c r="W6" s="38">
        <f>if(Y6="", if(T7&lt;&gt;"", if((T7-R7)&lt;-1,P6*(1+Setup!AD5),if((T7-R7)&lt;0,P6*(1+Setup!AE5),if((T7-R7)=0,P6*(1+Setup!AF5),if((T7-R7)=1,P6*(1+Setup!AG5),if((T7-R7)=2,P6*(1+Setup!AH5),if((T7-R7)=3,P6*(1+Setup!AI5),if((T7-R7)=4,P6*(1+Setup!AJ5),if((T7-R7)&gt;4,P6*(1+Setup!AK5),P6)))))))),P6),Y6/'Quick Setup'!$E7)</f>
        <v>525</v>
      </c>
      <c r="X6" s="39" t="s">
        <v>75</v>
      </c>
      <c r="Y6" s="40"/>
      <c r="Z6" s="41"/>
      <c r="AA6" s="41"/>
      <c r="AB6" s="41"/>
      <c r="AC6" s="41"/>
      <c r="AD6" s="38">
        <f>if(AF6="", if(AA7&lt;&gt;"", if((AA7-Y7)&lt;-1,W6*(1+Setup!AP5),if((AA7-Y7)&lt;0,W6*(1+Setup!AQ5),if((AA7-Y7)=0,W6*(1+Setup!AR5),if((AA7-Y7)=1,W6*(1+Setup!AS5),if((AA7-Y7)=2,W6*(1+Setup!AT5),if((AA7-Y7)=3,W6*(1+Setup!AU5),if((AA7-Y7)=4,W6*(1+Setup!AV5),if((AA7-Y7)&gt;4,W6*(1+Setup!AW5),W6)))))))),W6),AF6/'Quick Setup'!$E7)</f>
        <v>525</v>
      </c>
      <c r="AE6" s="39" t="s">
        <v>75</v>
      </c>
      <c r="AF6" s="40"/>
      <c r="AG6" s="41"/>
      <c r="AH6" s="41"/>
      <c r="AI6" s="41"/>
      <c r="AJ6" s="41"/>
      <c r="AK6" s="38">
        <f>if(AM6="", if(AH7&lt;&gt;"", if((AH7-AF7)&lt;-1,AD6*(1+Setup!BB5),if((AH7-AF7)&lt;0,AD6*(1+Setup!BC5),if((AH7-AF7)=0,AD6*(1+Setup!BD5),if((AH7-AF7)=1,AD6*(1+Setup!BE5),if((AH7-AF7)=2,AD6*(1+Setup!BF5),if((AH7-AF7)=3,AD6*(1+Setup!BG5),if((AH7-AF7)=4,AD6*(1+Setup!BH5),if((AH7-AF7)&gt;4,AD6*(1+Setup!BI5),AD6)))))))),AD6),AM6/'Quick Setup'!$E7)</f>
        <v>525</v>
      </c>
      <c r="AL6" s="39" t="s">
        <v>75</v>
      </c>
      <c r="AM6" s="40"/>
      <c r="AN6" s="41"/>
      <c r="AO6" s="41"/>
      <c r="AP6" s="41"/>
      <c r="AQ6" s="41"/>
      <c r="AR6" s="38">
        <f>if(AT6="", if(AO7&lt;&gt;"", if((AO7-AM7)&lt;-1,AK6*(1+Setup!BN5),if((AO7-AM7)&lt;0,AK6*(1+Setup!BO5),if((AO7-AM7)=0,AK6*(1+Setup!BP5),if((AO7-AM7)=1,AK6*(1+Setup!BQ5),if((AO7-AM7)=2,AK6*(1+Setup!BR5),if((AO7-AM7)=3,AK6*(1+Setup!BS5),if((AO7-AM7)=4,AK6*(1+Setup!BT5),if((AO7-AM7)&gt;4,AK6*(1+Setup!BU5),AK6)))))))),AK6),AT6/'Quick Setup'!$E7)</f>
        <v>525</v>
      </c>
      <c r="AS6" s="39" t="s">
        <v>75</v>
      </c>
      <c r="AT6" s="40"/>
      <c r="AU6" s="41"/>
      <c r="AV6" s="41"/>
      <c r="AW6" s="41"/>
      <c r="AX6" s="41"/>
      <c r="AY6" s="38">
        <f>if(BA6="",AR6,BA6/'Quick Setup'!$E7)</f>
        <v>525</v>
      </c>
      <c r="AZ6" s="39" t="s">
        <v>75</v>
      </c>
      <c r="BA6" s="40"/>
      <c r="BB6" s="41"/>
      <c r="BC6" s="41"/>
      <c r="BD6" s="41"/>
      <c r="BE6" s="41"/>
      <c r="BF6" s="38">
        <f>if(BH6="", if(BC7&lt;&gt;"", if((BC7-BA7)&lt;-1,AY6*(1+Setup!CL5),if((BC7-BA7)&lt;0,AY6*(1+Setup!CM5),if((BC7-BA7)=0,AY6*(1+Setup!CN5),if((BC7-BA7)=1,AY6*(1+Setup!CO5),if((BC7-BA7)=2,AY6*(1+Setup!CP5),if((BC7-BA7)=3,AY6*(1+Setup!CQ5),if((BC7-BA7)=4,AY6*(1+Setup!CR5),if((BC7-BA7)&gt;4,AY6*(1+Setup!CS5),AY6)))))))),AY6),BH6/'Quick Setup'!$E7)</f>
        <v>525</v>
      </c>
      <c r="BG6" s="39" t="s">
        <v>75</v>
      </c>
      <c r="BH6" s="40"/>
      <c r="BI6" s="41"/>
      <c r="BJ6" s="41"/>
      <c r="BK6" s="41"/>
      <c r="BL6" s="41"/>
      <c r="BM6" s="38">
        <f>if(BO6="", if(BJ7&lt;&gt;"", if((BJ7-BH7)&lt;-1,BF6*(1+Setup!CX5),if((BJ7-BH7)&lt;0,BF6*(1+Setup!CY5),if((BJ7-BH7)=0,BF6*(1+Setup!CZ5),if((BJ7-BH7)=1,BF6*(1+Setup!DA5),if((BJ7-BH7)=2,BF6*(1+Setup!DB5),if((BJ7-BH7)=3,BF6*(1+Setup!DC5),if((BJ7-BH7)=4,BF6*(1+Setup!DD5),if((BJ7-BH7)&gt;4,BF6*(1+Setup!DE5),BF6)))))))),BF6),BO6/'Quick Setup'!$E7)</f>
        <v>525</v>
      </c>
      <c r="BN6" s="39" t="s">
        <v>75</v>
      </c>
      <c r="BO6" s="40"/>
      <c r="BP6" s="41"/>
      <c r="BQ6" s="41"/>
      <c r="BR6" s="41"/>
      <c r="BS6" s="41"/>
      <c r="BT6" s="38">
        <f>if(BV6="", if(BQ7&lt;&gt;"", if((BQ7-BO7)&lt;-1,BM6*(1+Setup!DJ5),if((BQ7-BO7)&lt;0,BM6*(1+Setup!DK5),if((BQ7-BO7)=0,BM6*(1+Setup!DL5),if((BQ7-BO7)=1,BM6*(1+Setup!DM5),if((BQ7-BO7)=2,BM6*(1+Setup!DN5),if((BQ7-BO7)=3,BM6*(1+Setup!DO5),if((BQ7-BO7)=4,BM6*(1+Setup!DP5),if((BQ7-BO7)&gt;4,BM6*(1+Setup!DQ5),BM6)))))))),BM6),BV6/'Quick Setup'!$E7)</f>
        <v>525</v>
      </c>
      <c r="BU6" s="39" t="s">
        <v>75</v>
      </c>
      <c r="BV6" s="40"/>
      <c r="BW6" s="41"/>
      <c r="BX6" s="41"/>
      <c r="BY6" s="41"/>
      <c r="BZ6" s="41"/>
      <c r="CA6" s="38">
        <f>if(CC6="", if(BX7&lt;&gt;"", if((BX7-BV7)&lt;-1,BT6*(1+Setup!DV5),if((BX7-BV7)&lt;0,BT6*(1+Setup!DW5),if((BX7-BV7)=0,BT6*(1+Setup!DX5),if((BX7-BV7)=1,BT6*(1+Setup!DY5),if((BX7-BV7)=2,BT6*(1+Setup!DZ5),if((BX7-BV7)=3,BT6*(1+Setup!EA5),if((BX7-BV7)=4,BT6*(1+Setup!EB5),if((BX7-BV7)&gt;4,BT6*(1+Setup!EC5),BT6)))))))),BT6),CC6/'Quick Setup'!$E7)</f>
        <v>525</v>
      </c>
      <c r="CB6" s="39" t="s">
        <v>75</v>
      </c>
      <c r="CC6" s="40"/>
      <c r="CD6" s="41"/>
      <c r="CE6" s="41"/>
      <c r="CF6" s="41"/>
      <c r="CG6" s="41"/>
      <c r="CH6" s="38">
        <f>if(CJ6="", if(CE7&lt;&gt;"", if((CE7-CC7)&lt;-1,CA6*(1+Setup!EH5),if((CE7-CC7)&lt;0,CA6*(1+Setup!EI5),if((CE7-CC7)=0,CA6*(1+Setup!EJ5),if((CE7-CC7)=1,CA6*(1+Setup!EK5),if((CE7-CC7)=2,CA6*(1+Setup!EL5),if((CE7-CC7)=3,CA6*(1+Setup!EM5),if((CE7-CC7)=4,CA6*(1+Setup!EN5),if((CE7-CC7)&gt;4,CA6*(1+Setup!EO5),CA6)))))))),CA6),CJ6/'Quick Setup'!$E7)</f>
        <v>525</v>
      </c>
      <c r="CI6" s="39" t="s">
        <v>75</v>
      </c>
      <c r="CJ6" s="40"/>
      <c r="CK6" s="41"/>
      <c r="CL6" s="41"/>
      <c r="CM6" s="41"/>
      <c r="CN6" s="41"/>
      <c r="CO6" s="38">
        <f>if(CQ6="", if(CL7&lt;&gt;"", if((CL7-CJ7)&lt;-1,CH6*(1+Setup!ET5),if((CL7-CJ7)&lt;0,CH6*(1+Setup!EU5),if((CL7-CJ7)=0,CH6*(1+Setup!EV5),if((CL7-CJ7)=1,CH6*(1+Setup!EW5),if((CL7-CJ7)=2,CH6*(1+Setup!EX5),if((CL7-CJ7)=3,CH6*(1+Setup!EY5),if((CL7-CJ7)=4,CH6*(1+Setup!EZ5),if((CL7-CJ7)&gt;4,CH6*(1+Setup!FA5),CH6)))))))),CH6),CQ6/'Quick Setup'!$E7)</f>
        <v>525</v>
      </c>
      <c r="CP6" s="39" t="s">
        <v>75</v>
      </c>
      <c r="CQ6" s="40"/>
      <c r="CR6" s="41"/>
      <c r="CS6" s="41"/>
      <c r="CT6" s="41"/>
      <c r="CU6" s="41"/>
      <c r="CV6" s="38">
        <f>if(CX6="",CO6,CX6/'Quick Setup'!$E7)</f>
        <v>525</v>
      </c>
      <c r="CW6" s="39" t="s">
        <v>75</v>
      </c>
      <c r="CX6" s="40"/>
      <c r="CY6" s="41"/>
      <c r="CZ6" s="41"/>
      <c r="DA6" s="41"/>
      <c r="DB6" s="41"/>
      <c r="DC6" s="38">
        <f>if(DE6="", if(CZ7&lt;&gt;"", if((CZ7-CX7)&lt;-1,CV6*(1+Setup!FR5),if((CZ7-CX7)&lt;0,CV6*(1+Setup!FS5),if((CZ7-CX7)=0,CV6*(1+Setup!FT5),if((CZ7-CX7)=1,CV6*(1+Setup!FU5),if((CZ7-CX7)=2,CV6*(1+Setup!FV5),if((CZ7-CX7)=3,CV6*(1+Setup!FW5),if((CZ7-CX7)=4,CV6*(1+Setup!FX5),if((CZ7-CX7)&gt;4,CV6*(1+Setup!FY5),CV6)))))))),CV6),DE6/'Quick Setup'!$E7)</f>
        <v>525</v>
      </c>
      <c r="DD6" s="39" t="s">
        <v>75</v>
      </c>
      <c r="DE6" s="40"/>
      <c r="DF6" s="41"/>
      <c r="DG6" s="41"/>
      <c r="DH6" s="41"/>
      <c r="DI6" s="41"/>
      <c r="DJ6" s="38">
        <f>if(DL6="", if(DG7&lt;&gt;"", if((DG7-DE7)&lt;-1,DC6*(1+Setup!GD5),if((DG7-DE7)&lt;0,DC6*(1+Setup!GE5),if((DG7-DE7)=0,DC6*(1+Setup!GF5),if((DG7-DE7)=1,DC6*(1+Setup!GG5),if((DG7-DE7)=2,DC6*(1+Setup!GH5),if((DG7-DE7)=3,DC6*(1+Setup!GI5),if((DG7-DE7)=4,DC6*(1+Setup!GJ5),if((DG7-DE7)&gt;4,DC6*(1+Setup!GK5),DC6)))))))),DC6),DL6/'Quick Setup'!$E7)</f>
        <v>525</v>
      </c>
      <c r="DK6" s="39" t="s">
        <v>75</v>
      </c>
      <c r="DL6" s="40"/>
      <c r="DM6" s="41"/>
      <c r="DN6" s="41"/>
      <c r="DO6" s="41"/>
      <c r="DP6" s="41"/>
      <c r="DQ6" s="38">
        <f>if(DS6="", if(DN7&lt;&gt;"", if((DN7-DL7)&lt;-1,DJ6*(1+Setup!GP5),if((DN7-DL7)&lt;0,DJ6*(1+Setup!GQ5),if((DN7-DL7)=0,DJ6*(1+Setup!GR5),if((DN7-DL7)=1,DJ6*(1+Setup!GS5),if((DN7-DL7)=2,DJ6*(1+Setup!GT5),if((DN7-DL7)=3,DJ6*(1+Setup!GU5),if((DN7-DL7)=4,DJ6*(1+Setup!GV5),if((DN7-DL7)&gt;4,DJ6*(1+Setup!GW5),DJ6)))))))),DJ6),DS6/'Quick Setup'!$E7)</f>
        <v>525</v>
      </c>
      <c r="DR6" s="39" t="s">
        <v>75</v>
      </c>
      <c r="DS6" s="40"/>
      <c r="DT6" s="41"/>
      <c r="DU6" s="41"/>
      <c r="DV6" s="41"/>
      <c r="DW6" s="41"/>
      <c r="DX6" s="38">
        <f>if(DZ6="", if(DU7&lt;&gt;"", if((DU7-DS7)&lt;-1,DQ6*(1+Setup!HB5),if((DU7-DS7)&lt;0,DQ6*(1+Setup!HC5),if((DU7-DS7)=0,DQ6*(1+Setup!HD5),if((DU7-DS7)=1,DQ6*(1+Setup!HE5),if((DU7-DS7)=2,DQ6*(1+Setup!HF5),if((DU7-DS7)=3,DQ6*(1+Setup!HG5),if((DU7-DS7)=4,DQ6*(1+Setup!HH5),if((DU7-DS7)&gt;4,DQ6*(1+Setup!HI5),DQ6)))))))),DQ6),DZ6/'Quick Setup'!$E7)</f>
        <v>525</v>
      </c>
      <c r="DY6" s="39" t="s">
        <v>75</v>
      </c>
      <c r="DZ6" s="40"/>
      <c r="EA6" s="41"/>
      <c r="EB6" s="41"/>
      <c r="EC6" s="41"/>
      <c r="ED6" s="41"/>
      <c r="EE6" s="38">
        <f>if(EG6="", if(EB7&lt;&gt;"", if((EB7-DZ7)&lt;-1,DX6*(1+Setup!HN5),if((EB7-DZ7)&lt;0,DX6*(1+Setup!HO5),if((EB7-DZ7)=0,DX6*(1+Setup!HP5),if((EB7-DZ7)=1,DX6*(1+Setup!HQ5),if((EB7-DZ7)=2,DX6*(1+Setup!HR5),if((EB7-DZ7)=3,DX6*(1+Setup!HS5),if((EB7-DZ7)=4,DX6*(1+Setup!HT5),if((EB7-DZ7)&gt;4,DX6*(1+Setup!HU5),DX6)))))))),DX6),EG6/'Quick Setup'!$E7)</f>
        <v>525</v>
      </c>
      <c r="EF6" s="39" t="s">
        <v>75</v>
      </c>
      <c r="EG6" s="40"/>
      <c r="EH6" s="41"/>
      <c r="EI6" s="41"/>
      <c r="EJ6" s="41"/>
      <c r="EK6" s="41"/>
      <c r="EL6" s="38">
        <f>if(EN6="", if(EI7&lt;&gt;"", if((EI7-EG7)&lt;-1,EE6*(1+Setup!HZ5),if((EI7-EG7)&lt;0,EE6*(1+Setup!IA5),if((EI7-EG7)=0,EE6*(1+Setup!IB5),if((EI7-EG7)=1,EE6*(1+Setup!IC5),if((EI7-EG7)=2,EE6*(1+Setup!ID5),if((EI7-EG7)=3,EE6*(1+Setup!IE5),if((EI7-EG7)=4,EE6*(1+Setup!IF5),if((EI7-EG7)&gt;4,EE6*(1+Setup!IG5),EE6)))))))),EE6),EN6/'Quick Setup'!$E7)</f>
        <v>525</v>
      </c>
      <c r="EM6" s="39" t="s">
        <v>75</v>
      </c>
      <c r="EN6" s="40"/>
      <c r="EO6" s="41"/>
      <c r="EP6" s="41"/>
      <c r="EQ6" s="41"/>
      <c r="ER6" s="41"/>
    </row>
    <row r="7">
      <c r="A7" s="1" t="str">
        <f>Setup!A5</f>
        <v>Deadlift</v>
      </c>
      <c r="B7" s="42">
        <f>mround(B6*Setup!B5,'Quick Setup'!$A$2)</f>
        <v>367.5</v>
      </c>
      <c r="C7" s="3">
        <f>Setup!C5</f>
        <v>5</v>
      </c>
      <c r="D7" s="3">
        <f>Setup!D5</f>
        <v>10</v>
      </c>
      <c r="E7" s="3">
        <f>Setup!E5</f>
        <v>5</v>
      </c>
      <c r="F7" s="10"/>
      <c r="G7" s="10"/>
      <c r="H7" s="10"/>
      <c r="I7" s="42">
        <f>mround(I6*Setup!N5,'Quick Setup'!$A$2)</f>
        <v>395</v>
      </c>
      <c r="J7" s="3">
        <f>Setup!O5</f>
        <v>4</v>
      </c>
      <c r="K7" s="3">
        <f>Setup!P5</f>
        <v>8</v>
      </c>
      <c r="L7" s="3">
        <f>Setup!Q5</f>
        <v>5</v>
      </c>
      <c r="M7" s="10"/>
      <c r="N7" s="10"/>
      <c r="O7" s="10"/>
      <c r="P7" s="42">
        <f>mround(P6*Setup!Z5,'Quick Setup'!$A$2)</f>
        <v>420</v>
      </c>
      <c r="Q7" s="3">
        <f>Setup!AA5</f>
        <v>3</v>
      </c>
      <c r="R7" s="3">
        <f>Setup!AB5</f>
        <v>6</v>
      </c>
      <c r="S7" s="3">
        <f>Setup!AC5</f>
        <v>5</v>
      </c>
      <c r="T7" s="10"/>
      <c r="U7" s="10"/>
      <c r="V7" s="10"/>
      <c r="W7" s="42">
        <f>mround(W6*Setup!AL5,'Quick Setup'!$A$2)</f>
        <v>380</v>
      </c>
      <c r="X7" s="3">
        <f>Setup!AM5</f>
        <v>5</v>
      </c>
      <c r="Y7" s="3">
        <f>Setup!AN5</f>
        <v>9</v>
      </c>
      <c r="Z7" s="3">
        <f>Setup!AO5</f>
        <v>5</v>
      </c>
      <c r="AA7" s="10"/>
      <c r="AB7" s="10"/>
      <c r="AC7" s="10"/>
      <c r="AD7" s="42">
        <f>mround(AD6*Setup!AX5,'Quick Setup'!$A$2)</f>
        <v>407.5</v>
      </c>
      <c r="AE7" s="3">
        <f>Setup!AY5</f>
        <v>4</v>
      </c>
      <c r="AF7" s="3">
        <f>Setup!AZ5</f>
        <v>7</v>
      </c>
      <c r="AG7" s="3">
        <f>Setup!BA5</f>
        <v>5</v>
      </c>
      <c r="AH7" s="10"/>
      <c r="AI7" s="10"/>
      <c r="AJ7" s="10"/>
      <c r="AK7" s="42">
        <f>mround(AK6*Setup!BJ5,'Quick Setup'!$A$2)</f>
        <v>432.5</v>
      </c>
      <c r="AL7" s="3">
        <f>Setup!BK5</f>
        <v>3</v>
      </c>
      <c r="AM7" s="3">
        <f>Setup!BL5</f>
        <v>5</v>
      </c>
      <c r="AN7" s="3">
        <f>Setup!BM5</f>
        <v>5</v>
      </c>
      <c r="AO7" s="10"/>
      <c r="AP7" s="10"/>
      <c r="AQ7" s="10"/>
      <c r="AR7" s="42">
        <f>mround(AR6*Setup!BV5,'Quick Setup'!$A$2)</f>
        <v>315</v>
      </c>
      <c r="AS7" s="1">
        <v>5.0</v>
      </c>
      <c r="AT7" s="1" t="s">
        <v>78</v>
      </c>
      <c r="AU7" s="3">
        <f>Setup!BY5</f>
        <v>5</v>
      </c>
      <c r="AV7" s="10"/>
      <c r="AW7" s="10"/>
      <c r="AX7" s="10"/>
      <c r="AY7" s="42">
        <f>mround(AY6*Setup!CH5,'Quick Setup'!$A$2)</f>
        <v>395</v>
      </c>
      <c r="AZ7" s="3">
        <f>Setup!CI5</f>
        <v>4</v>
      </c>
      <c r="BA7" s="3">
        <f>Setup!CJ5</f>
        <v>8</v>
      </c>
      <c r="BB7" s="3">
        <f>Setup!CK5</f>
        <v>5</v>
      </c>
      <c r="BC7" s="10"/>
      <c r="BD7" s="10"/>
      <c r="BE7" s="10"/>
      <c r="BF7" s="42">
        <f>mround(BF6*Setup!CT5,'Quick Setup'!$A$2)</f>
        <v>420</v>
      </c>
      <c r="BG7" s="3">
        <f>Setup!CU5</f>
        <v>3</v>
      </c>
      <c r="BH7" s="3">
        <f>Setup!CV5</f>
        <v>6</v>
      </c>
      <c r="BI7" s="3">
        <f>Setup!CW5</f>
        <v>5</v>
      </c>
      <c r="BJ7" s="10"/>
      <c r="BK7" s="10"/>
      <c r="BL7" s="10"/>
      <c r="BM7" s="42">
        <f>mround(BM6*Setup!DF5,'Quick Setup'!$A$2)</f>
        <v>447.5</v>
      </c>
      <c r="BN7" s="3">
        <f>Setup!DG5</f>
        <v>2</v>
      </c>
      <c r="BO7" s="3">
        <f>Setup!DH5</f>
        <v>4</v>
      </c>
      <c r="BP7" s="3">
        <f>Setup!DI5</f>
        <v>5</v>
      </c>
      <c r="BQ7" s="10"/>
      <c r="BR7" s="10"/>
      <c r="BS7" s="10"/>
      <c r="BT7" s="42">
        <f>mround(BT6*Setup!DR5,'Quick Setup'!$A$2)</f>
        <v>407.5</v>
      </c>
      <c r="BU7" s="3">
        <f>Setup!DS5</f>
        <v>4</v>
      </c>
      <c r="BV7" s="3">
        <f>Setup!DT5</f>
        <v>7</v>
      </c>
      <c r="BW7" s="3">
        <f>Setup!DU5</f>
        <v>5</v>
      </c>
      <c r="BX7" s="10"/>
      <c r="BY7" s="10"/>
      <c r="BZ7" s="10"/>
      <c r="CA7" s="42">
        <f>mround(CA6*Setup!ED5,'Quick Setup'!$A$2)</f>
        <v>432.5</v>
      </c>
      <c r="CB7" s="3">
        <f>Setup!EE5</f>
        <v>3</v>
      </c>
      <c r="CC7" s="3">
        <f>Setup!EF5</f>
        <v>5</v>
      </c>
      <c r="CD7" s="3">
        <f>Setup!EG5</f>
        <v>5</v>
      </c>
      <c r="CE7" s="10"/>
      <c r="CF7" s="10"/>
      <c r="CG7" s="10"/>
      <c r="CH7" s="42">
        <f>mround(CH6*Setup!EP5,'Quick Setup'!$A$2)</f>
        <v>460</v>
      </c>
      <c r="CI7" s="3">
        <f>Setup!EQ5</f>
        <v>2</v>
      </c>
      <c r="CJ7" s="3">
        <f>Setup!ER5</f>
        <v>3</v>
      </c>
      <c r="CK7" s="3">
        <f>Setup!ES5</f>
        <v>5</v>
      </c>
      <c r="CL7" s="10"/>
      <c r="CM7" s="10"/>
      <c r="CN7" s="10"/>
      <c r="CO7" s="42">
        <f>mround(CO6*Setup!FB5,'Quick Setup'!$A$2)</f>
        <v>315</v>
      </c>
      <c r="CP7" s="1">
        <v>5.0</v>
      </c>
      <c r="CQ7" s="1" t="s">
        <v>78</v>
      </c>
      <c r="CR7" s="3">
        <f>Setup!FE5</f>
        <v>5</v>
      </c>
      <c r="CS7" s="10"/>
      <c r="CT7" s="10"/>
      <c r="CU7" s="10"/>
      <c r="CV7" s="42">
        <f>mround(CV6*Setup!FN5,'Quick Setup'!$A$2)</f>
        <v>420</v>
      </c>
      <c r="CW7" s="3">
        <f>Setup!FO5</f>
        <v>3</v>
      </c>
      <c r="CX7" s="3">
        <f>Setup!FP5</f>
        <v>6</v>
      </c>
      <c r="CY7" s="3">
        <f>Setup!FQ5</f>
        <v>5</v>
      </c>
      <c r="CZ7" s="10"/>
      <c r="DA7" s="10"/>
      <c r="DB7" s="10"/>
      <c r="DC7" s="42">
        <f>mround(DC6*Setup!FZ5,'Quick Setup'!$A$2)</f>
        <v>447.5</v>
      </c>
      <c r="DD7" s="3">
        <f>Setup!GA5</f>
        <v>2</v>
      </c>
      <c r="DE7" s="3">
        <f>Setup!GB5</f>
        <v>4</v>
      </c>
      <c r="DF7" s="3">
        <f>Setup!GC5</f>
        <v>5</v>
      </c>
      <c r="DG7" s="10"/>
      <c r="DH7" s="10"/>
      <c r="DI7" s="10"/>
      <c r="DJ7" s="42">
        <f>mround(DJ6*Setup!GL5,'Quick Setup'!$A$2)</f>
        <v>472.5</v>
      </c>
      <c r="DK7" s="3">
        <f>Setup!GM5</f>
        <v>1</v>
      </c>
      <c r="DL7" s="3">
        <f>Setup!GN5</f>
        <v>2</v>
      </c>
      <c r="DM7" s="3">
        <f>Setup!GO5</f>
        <v>5</v>
      </c>
      <c r="DN7" s="10"/>
      <c r="DO7" s="10"/>
      <c r="DP7" s="10"/>
      <c r="DQ7" s="42">
        <f>mround(DQ6*Setup!GX5,'Quick Setup'!$A$2)</f>
        <v>447.5</v>
      </c>
      <c r="DR7" s="3">
        <f>Setup!GY5</f>
        <v>2</v>
      </c>
      <c r="DS7" s="3">
        <f>Setup!GZ5</f>
        <v>4</v>
      </c>
      <c r="DT7" s="3">
        <f>Setup!HA5</f>
        <v>5</v>
      </c>
      <c r="DU7" s="10"/>
      <c r="DV7" s="10"/>
      <c r="DW7" s="10"/>
      <c r="DX7" s="42">
        <f>mround(DX6*Setup!HJ5,'Quick Setup'!$A$2)</f>
        <v>472.5</v>
      </c>
      <c r="DY7" s="3">
        <f>Setup!HK5</f>
        <v>1</v>
      </c>
      <c r="DZ7" s="3">
        <f>Setup!HL5</f>
        <v>2</v>
      </c>
      <c r="EA7" s="3">
        <f>Setup!HM5</f>
        <v>5</v>
      </c>
      <c r="EB7" s="10"/>
      <c r="EC7" s="10"/>
      <c r="ED7" s="10"/>
      <c r="EE7" s="42">
        <f>mround(EE6*Setup!HV5,'Quick Setup'!$A$2)</f>
        <v>500</v>
      </c>
      <c r="EF7" s="3">
        <f>Setup!HW5</f>
        <v>1</v>
      </c>
      <c r="EG7" s="3">
        <f>Setup!HX5</f>
        <v>1</v>
      </c>
      <c r="EH7" s="3">
        <f>Setup!HY5</f>
        <v>5</v>
      </c>
      <c r="EI7" s="10"/>
      <c r="EJ7" s="10"/>
      <c r="EK7" s="10"/>
      <c r="EL7" s="42">
        <f>mround(EL6*Setup!IH5,'Quick Setup'!$A$2)</f>
        <v>315</v>
      </c>
      <c r="EM7" s="1">
        <v>5.0</v>
      </c>
      <c r="EN7" s="1" t="s">
        <v>78</v>
      </c>
      <c r="EO7" s="3">
        <f>Setup!IK5</f>
        <v>5</v>
      </c>
      <c r="EP7" s="10"/>
      <c r="EQ7" s="10"/>
      <c r="ER7" s="10"/>
    </row>
    <row r="8" hidden="1">
      <c r="A8" s="37" t="str">
        <f>CONCATENATE(A9," TM")</f>
        <v>Front Squat TM</v>
      </c>
      <c r="B8" s="38">
        <f>if(D8="",'Quick Setup'!D11,D8/'Quick Setup'!E11)</f>
        <v>420</v>
      </c>
      <c r="C8" s="39" t="s">
        <v>75</v>
      </c>
      <c r="D8" s="40"/>
      <c r="E8" s="41"/>
      <c r="F8" s="41"/>
      <c r="G8" s="41"/>
      <c r="H8" s="41"/>
      <c r="I8" s="38">
        <f>if(K8="", if(F9&lt;&gt;"", if((F9-D9)&lt;-1,B8*(1+Setup!F9),if((F9-D9)&lt;0,B8*(1+Setup!G9),if((F9-D9)=0,B8*(1+Setup!H9),if((F9-D9)=1,B8*(1+Setup!I9),if((F9-D9)=2,B8*(1+Setup!J9),if((F9-D9)=3,B8*(1+Setup!K9),if((F9-D9)=4,B8*(1+Setup!L9),if((F9-D9)&gt;4,B8*(1+Setup!M9),B8)))))))),B8),K8/'Quick Setup'!$E11)</f>
        <v>420</v>
      </c>
      <c r="J8" s="39" t="s">
        <v>75</v>
      </c>
      <c r="K8" s="40"/>
      <c r="L8" s="41"/>
      <c r="M8" s="41"/>
      <c r="N8" s="41"/>
      <c r="O8" s="41"/>
      <c r="P8" s="38">
        <f>if(R8="", if(M9&lt;&gt;"", if((M9-K9)&lt;-1,I8*(1+Setup!R9),if((M9-K9)&lt;0,I8*(1+Setup!S9),if((M9-K9)=0,I8*(1+Setup!T9),if((M9-K9)=1,I8*(1+Setup!U9),if((M9-K9)=2,I8*(1+Setup!V9),if((M9-K9)=3,I8*(1+Setup!W9),if((M9-K9)=4,I8*(1+Setup!X9),if((M9-K9)&gt;4,I8*(1+Setup!Y9),I8)))))))),I8),R8/'Quick Setup'!$E11)</f>
        <v>420</v>
      </c>
      <c r="Q8" s="39" t="s">
        <v>75</v>
      </c>
      <c r="R8" s="40"/>
      <c r="S8" s="41"/>
      <c r="T8" s="41"/>
      <c r="U8" s="41"/>
      <c r="V8" s="41"/>
      <c r="W8" s="38">
        <f>if(Y8="", if(T9&lt;&gt;"", if((T9-R9)&lt;-1,P8*(1+Setup!AD9),if((T9-R9)&lt;0,P8*(1+Setup!AE9),if((T9-R9)=0,P8*(1+Setup!AF9),if((T9-R9)=1,P8*(1+Setup!AG9),if((T9-R9)=2,P8*(1+Setup!AH9),if((T9-R9)=3,P8*(1+Setup!AI9),if((T9-R9)=4,P8*(1+Setup!AJ9),if((T9-R9)&gt;4,P8*(1+Setup!AK9),P8)))))))),P8),Y8/'Quick Setup'!$E11)</f>
        <v>420</v>
      </c>
      <c r="X8" s="39" t="s">
        <v>75</v>
      </c>
      <c r="Y8" s="40"/>
      <c r="Z8" s="41"/>
      <c r="AA8" s="41"/>
      <c r="AB8" s="41"/>
      <c r="AC8" s="41"/>
      <c r="AD8" s="38">
        <f>if(AF8="", if(AA9&lt;&gt;"", if((AA9-Y9)&lt;-1,W8*(1+Setup!AP9),if((AA9-Y9)&lt;0,W8*(1+Setup!AQ9),if((AA9-Y9)=0,W8*(1+Setup!AR9),if((AA9-Y9)=1,W8*(1+Setup!AS9),if((AA9-Y9)=2,W8*(1+Setup!AT9),if((AA9-Y9)=3,W8*(1+Setup!AU9),if((AA9-Y9)=4,W8*(1+Setup!AV9),if((AA9-Y9)&gt;4,W8*(1+Setup!AW9),W8)))))))),W8),AF8/'Quick Setup'!$E11)</f>
        <v>420</v>
      </c>
      <c r="AE8" s="39" t="s">
        <v>75</v>
      </c>
      <c r="AF8" s="40"/>
      <c r="AG8" s="41"/>
      <c r="AH8" s="41"/>
      <c r="AI8" s="41"/>
      <c r="AJ8" s="41"/>
      <c r="AK8" s="38">
        <f>if(AM8="", if(AH9&lt;&gt;"", if((AH9-AF9)&lt;-1,AD8*(1+Setup!BB9),if((AH9-AF9)&lt;0,AD8*(1+Setup!BC9),if((AH9-AF9)=0,AD8*(1+Setup!BD9),if((AH9-AF9)=1,AD8*(1+Setup!BE9),if((AH9-AF9)=2,AD8*(1+Setup!BF9),if((AH9-AF9)=3,AD8*(1+Setup!BG9),if((AH9-AF9)=4,AD8*(1+Setup!BH9),if((AH9-AF9)&gt;4,AD8*(1+Setup!BI9),AD8)))))))),AD8),AM8/'Quick Setup'!$E11)</f>
        <v>420</v>
      </c>
      <c r="AL8" s="39" t="s">
        <v>75</v>
      </c>
      <c r="AM8" s="40"/>
      <c r="AN8" s="41"/>
      <c r="AO8" s="41"/>
      <c r="AP8" s="41"/>
      <c r="AQ8" s="41"/>
      <c r="AR8" s="38">
        <f>if(AT8="", if(AO9&lt;&gt;"", if((AO9-AM9)&lt;-1,AK8*(1+Setup!BN9),if((AO9-AM9)&lt;0,AK8*(1+Setup!BO9),if((AO9-AM9)=0,AK8*(1+Setup!BP9),if((AO9-AM9)=1,AK8*(1+Setup!BQ9),if((AO9-AM9)=2,AK8*(1+Setup!BR9),if((AO9-AM9)=3,AK8*(1+Setup!BS9),if((AO9-AM9)=4,AK8*(1+Setup!BT9),if((AO9-AM9)&gt;4,AK8*(1+Setup!BU9),AK8)))))))),AK8),AT8/'Quick Setup'!$E11)</f>
        <v>420</v>
      </c>
      <c r="AS8" s="39" t="s">
        <v>75</v>
      </c>
      <c r="AT8" s="40"/>
      <c r="AU8" s="41"/>
      <c r="AV8" s="41"/>
      <c r="AW8" s="41"/>
      <c r="AX8" s="41"/>
      <c r="AY8" s="38">
        <f>if(BA8="",AR8,BA8/'Quick Setup'!$E11)</f>
        <v>420</v>
      </c>
      <c r="AZ8" s="39" t="s">
        <v>75</v>
      </c>
      <c r="BA8" s="40"/>
      <c r="BB8" s="41"/>
      <c r="BC8" s="41"/>
      <c r="BD8" s="41"/>
      <c r="BE8" s="41"/>
      <c r="BF8" s="38">
        <f>if(BH8="", if(BC9&lt;&gt;"", if((BC9-BA9)&lt;-1,AY8*(1+Setup!CL9),if((BC9-BA9)&lt;0,AY8*(1+Setup!CM9),if((BC9-BA9)=0,AY8*(1+Setup!CN9),if((BC9-BA9)=1,AY8*(1+Setup!CO9),if((BC9-BA9)=2,AY8*(1+Setup!CP9),if((BC9-BA9)=3,AY8*(1+Setup!CQ9),if((BC9-BA9)=4,AY8*(1+Setup!CR9),if((BC9-BA9)&gt;4,AY8*(1+Setup!CS9),AY8)))))))),AY8),BH8/'Quick Setup'!$E11)</f>
        <v>420</v>
      </c>
      <c r="BG8" s="39" t="s">
        <v>75</v>
      </c>
      <c r="BH8" s="40"/>
      <c r="BI8" s="41"/>
      <c r="BJ8" s="41"/>
      <c r="BK8" s="41"/>
      <c r="BL8" s="41"/>
      <c r="BM8" s="38">
        <f>if(BO8="", if(BJ9&lt;&gt;"", if((BJ9-BH9)&lt;-1,BF8*(1+Setup!CX9),if((BJ9-BH9)&lt;0,BF8*(1+Setup!CY9),if((BJ9-BH9)=0,BF8*(1+Setup!CZ9),if((BJ9-BH9)=1,BF8*(1+Setup!DA9),if((BJ9-BH9)=2,BF8*(1+Setup!DB9),if((BJ9-BH9)=3,BF8*(1+Setup!DC9),if((BJ9-BH9)=4,BF8*(1+Setup!DD9),if((BJ9-BH9)&gt;4,BF8*(1+Setup!DE9),BF8)))))))),BF8),BO8/'Quick Setup'!$E11)</f>
        <v>420</v>
      </c>
      <c r="BN8" s="39" t="s">
        <v>75</v>
      </c>
      <c r="BO8" s="40"/>
      <c r="BP8" s="41"/>
      <c r="BQ8" s="41"/>
      <c r="BR8" s="41"/>
      <c r="BS8" s="41"/>
      <c r="BT8" s="38">
        <f>if(BV8="", if(BQ9&lt;&gt;"", if((BQ9-BO9)&lt;-1,BM8*(1+Setup!DJ9),if((BQ9-BO9)&lt;0,BM8*(1+Setup!DK9),if((BQ9-BO9)=0,BM8*(1+Setup!DL9),if((BQ9-BO9)=1,BM8*(1+Setup!DM9),if((BQ9-BO9)=2,BM8*(1+Setup!DN9),if((BQ9-BO9)=3,BM8*(1+Setup!DO9),if((BQ9-BO9)=4,BM8*(1+Setup!DP9),if((BQ9-BO9)&gt;4,BM8*(1+Setup!DQ9),BM8)))))))),BM8),BV8/'Quick Setup'!$E11)</f>
        <v>420</v>
      </c>
      <c r="BU8" s="39" t="s">
        <v>75</v>
      </c>
      <c r="BV8" s="40"/>
      <c r="BW8" s="41"/>
      <c r="BX8" s="41"/>
      <c r="BY8" s="41"/>
      <c r="BZ8" s="41"/>
      <c r="CA8" s="38">
        <f>if(CC8="", if(BX9&lt;&gt;"", if((BX9-BV9)&lt;-1,BT8*(1+Setup!DV9),if((BX9-BV9)&lt;0,BT8*(1+Setup!DW9),if((BX9-BV9)=0,BT8*(1+Setup!DX9),if((BX9-BV9)=1,BT8*(1+Setup!DY9),if((BX9-BV9)=2,BT8*(1+Setup!DZ9),if((BX9-BV9)=3,BT8*(1+Setup!EA9),if((BX9-BV9)=4,BT8*(1+Setup!EB9),if((BX9-BV9)&gt;4,BT8*(1+Setup!EC9),BT8)))))))),BT8),CC8/'Quick Setup'!$E11)</f>
        <v>420</v>
      </c>
      <c r="CB8" s="39" t="s">
        <v>75</v>
      </c>
      <c r="CC8" s="40"/>
      <c r="CD8" s="41"/>
      <c r="CE8" s="41"/>
      <c r="CF8" s="41"/>
      <c r="CG8" s="41"/>
      <c r="CH8" s="38">
        <f>if(CJ8="", if(CE9&lt;&gt;"", if((CE9-CC9)&lt;-1,CA8*(1+Setup!EH9),if((CE9-CC9)&lt;0,CA8*(1+Setup!EI9),if((CE9-CC9)=0,CA8*(1+Setup!EJ9),if((CE9-CC9)=1,CA8*(1+Setup!EK9),if((CE9-CC9)=2,CA8*(1+Setup!EL9),if((CE9-CC9)=3,CA8*(1+Setup!EM9),if((CE9-CC9)=4,CA8*(1+Setup!EN9),if((CE9-CC9)&gt;4,CA8*(1+Setup!EO9),CA8)))))))),CA8),CJ8/'Quick Setup'!$E11)</f>
        <v>420</v>
      </c>
      <c r="CI8" s="39" t="s">
        <v>75</v>
      </c>
      <c r="CJ8" s="40"/>
      <c r="CK8" s="41"/>
      <c r="CL8" s="41"/>
      <c r="CM8" s="41"/>
      <c r="CN8" s="41"/>
      <c r="CO8" s="38">
        <f>if(CQ8="", if(CL9&lt;&gt;"", if((CL9-CJ9)&lt;-1,CH8*(1+Setup!ET9),if((CL9-CJ9)&lt;0,CH8*(1+Setup!EU9),if((CL9-CJ9)=0,CH8*(1+Setup!EV9),if((CL9-CJ9)=1,CH8*(1+Setup!EW9),if((CL9-CJ9)=2,CH8*(1+Setup!EX9),if((CL9-CJ9)=3,CH8*(1+Setup!EY9),if((CL9-CJ9)=4,CH8*(1+Setup!EZ9),if((CL9-CJ9)&gt;4,CH8*(1+Setup!FA9),CH8)))))))),CH8),CQ8/'Quick Setup'!$E11)</f>
        <v>420</v>
      </c>
      <c r="CP8" s="39" t="s">
        <v>75</v>
      </c>
      <c r="CQ8" s="40"/>
      <c r="CR8" s="41"/>
      <c r="CS8" s="41"/>
      <c r="CT8" s="41"/>
      <c r="CU8" s="41"/>
      <c r="CV8" s="38">
        <f>if(CX8="",CO8,CX8/'Quick Setup'!$E11)</f>
        <v>420</v>
      </c>
      <c r="CW8" s="39" t="s">
        <v>75</v>
      </c>
      <c r="CX8" s="40"/>
      <c r="CY8" s="41"/>
      <c r="CZ8" s="41"/>
      <c r="DA8" s="41"/>
      <c r="DB8" s="41"/>
      <c r="DC8" s="38">
        <f>if(DE8="", if(CZ9&lt;&gt;"", if((CZ9-CX9)&lt;-1,CV8*(1+Setup!FR9),if((CZ9-CX9)&lt;0,CV8*(1+Setup!FS9),if((CZ9-CX9)=0,CV8*(1+Setup!FT9),if((CZ9-CX9)=1,CV8*(1+Setup!FU9),if((CZ9-CX9)=2,CV8*(1+Setup!FV9),if((CZ9-CX9)=3,CV8*(1+Setup!FW9),if((CZ9-CX9)=4,CV8*(1+Setup!FX9),if((CZ9-CX9)&gt;4,CV8*(1+Setup!FY9),CV8)))))))),CV8),DE8/'Quick Setup'!$E11)</f>
        <v>420</v>
      </c>
      <c r="DD8" s="39" t="s">
        <v>75</v>
      </c>
      <c r="DE8" s="40"/>
      <c r="DF8" s="41"/>
      <c r="DG8" s="41"/>
      <c r="DH8" s="41"/>
      <c r="DI8" s="41"/>
      <c r="DJ8" s="38">
        <f>if(DL8="", if(DG9&lt;&gt;"", if((DG9-DE9)&lt;-1,DC8*(1+Setup!GD9),if((DG9-DE9)&lt;0,DC8*(1+Setup!GE9),if((DG9-DE9)=0,DC8*(1+Setup!GF9),if((DG9-DE9)=1,DC8*(1+Setup!GG9),if((DG9-DE9)=2,DC8*(1+Setup!GH9),if((DG9-DE9)=3,DC8*(1+Setup!GI9),if((DG9-DE9)=4,DC8*(1+Setup!GJ9),if((DG9-DE9)&gt;4,DC8*(1+Setup!GK9),DC8)))))))),DC8),DL8/'Quick Setup'!$E11)</f>
        <v>420</v>
      </c>
      <c r="DK8" s="39" t="s">
        <v>75</v>
      </c>
      <c r="DL8" s="40"/>
      <c r="DM8" s="41"/>
      <c r="DN8" s="41"/>
      <c r="DO8" s="41"/>
      <c r="DP8" s="41"/>
      <c r="DQ8" s="38">
        <f>if(DS8="", if(DN9&lt;&gt;"", if((DN9-DL9)&lt;-1,DJ8*(1+Setup!GP9),if((DN9-DL9)&lt;0,DJ8*(1+Setup!GQ9),if((DN9-DL9)=0,DJ8*(1+Setup!GR9),if((DN9-DL9)=1,DJ8*(1+Setup!GS9),if((DN9-DL9)=2,DJ8*(1+Setup!GT9),if((DN9-DL9)=3,DJ8*(1+Setup!GU9),if((DN9-DL9)=4,DJ8*(1+Setup!GV9),if((DN9-DL9)&gt;4,DJ8*(1+Setup!GW9),DJ8)))))))),DJ8),DS8/'Quick Setup'!$E11)</f>
        <v>420</v>
      </c>
      <c r="DR8" s="39" t="s">
        <v>75</v>
      </c>
      <c r="DS8" s="40"/>
      <c r="DT8" s="41"/>
      <c r="DU8" s="41"/>
      <c r="DV8" s="41"/>
      <c r="DW8" s="41"/>
      <c r="DX8" s="38">
        <f>if(DZ8="", if(DU9&lt;&gt;"", if((DU9-DS9)&lt;-1,DQ8*(1+Setup!HB9),if((DU9-DS9)&lt;0,DQ8*(1+Setup!HC9),if((DU9-DS9)=0,DQ8*(1+Setup!HD9),if((DU9-DS9)=1,DQ8*(1+Setup!HE9),if((DU9-DS9)=2,DQ8*(1+Setup!HF9),if((DU9-DS9)=3,DQ8*(1+Setup!HG9),if((DU9-DS9)=4,DQ8*(1+Setup!HH9),if((DU9-DS9)&gt;4,DQ8*(1+Setup!HI9),DQ8)))))))),DQ8),DZ8/'Quick Setup'!$E11)</f>
        <v>420</v>
      </c>
      <c r="DY8" s="39" t="s">
        <v>75</v>
      </c>
      <c r="DZ8" s="40"/>
      <c r="EA8" s="41"/>
      <c r="EB8" s="41"/>
      <c r="EC8" s="41"/>
      <c r="ED8" s="41"/>
      <c r="EE8" s="38">
        <f>if(EG8="", if(EB9&lt;&gt;"", if((EB9-DZ9)&lt;-1,DX8*(1+Setup!HN9),if((EB9-DZ9)&lt;0,DX8*(1+Setup!HO9),if((EB9-DZ9)=0,DX8*(1+Setup!HP9),if((EB9-DZ9)=1,DX8*(1+Setup!HQ9),if((EB9-DZ9)=2,DX8*(1+Setup!HR9),if((EB9-DZ9)=3,DX8*(1+Setup!HS9),if((EB9-DZ9)=4,DX8*(1+Setup!HT9),if((EB9-DZ9)&gt;4,DX8*(1+Setup!HU9),DX8)))))))),DX8),EG8/'Quick Setup'!$E11)</f>
        <v>420</v>
      </c>
      <c r="EF8" s="39" t="s">
        <v>75</v>
      </c>
      <c r="EG8" s="40"/>
      <c r="EH8" s="41"/>
      <c r="EI8" s="41"/>
      <c r="EJ8" s="41"/>
      <c r="EK8" s="41"/>
      <c r="EL8" s="38">
        <f>if(EN8="", if(EI9&lt;&gt;"", if((EI9-EG9)&lt;-1,EE8*(1+Setup!HZ9),if((EI9-EG9)&lt;0,EE8*(1+Setup!IA9),if((EI9-EG9)=0,EE8*(1+Setup!IB9),if((EI9-EG9)=1,EE8*(1+Setup!IC9),if((EI9-EG9)=2,EE8*(1+Setup!ID9),if((EI9-EG9)=3,EE8*(1+Setup!IE9),if((EI9-EG9)=4,EE8*(1+Setup!IF9),if((EI9-EG9)&gt;4,EE8*(1+Setup!IG9),EE8)))))))),EE8),EN8/'Quick Setup'!$E11)</f>
        <v>420</v>
      </c>
      <c r="EM8" s="39" t="s">
        <v>75</v>
      </c>
      <c r="EN8" s="40"/>
      <c r="EO8" s="41"/>
      <c r="EP8" s="41"/>
      <c r="EQ8" s="41"/>
      <c r="ER8" s="41"/>
    </row>
    <row r="9">
      <c r="A9" s="1" t="str">
        <f>Setup!A9</f>
        <v>Front Squat</v>
      </c>
      <c r="B9" s="42">
        <f>mround(B8*Setup!B9,'Quick Setup'!$A$2)</f>
        <v>252.5</v>
      </c>
      <c r="C9" s="3">
        <f>Setup!C9</f>
        <v>7</v>
      </c>
      <c r="D9" s="3">
        <f>Setup!D9</f>
        <v>14</v>
      </c>
      <c r="E9" s="3">
        <f>Setup!E9</f>
        <v>5</v>
      </c>
      <c r="F9" s="10"/>
      <c r="G9" s="10"/>
      <c r="H9" s="10"/>
      <c r="I9" s="42">
        <f>mround(I8*Setup!N9,'Quick Setup'!$A$2)</f>
        <v>272.5</v>
      </c>
      <c r="J9" s="3">
        <f>Setup!O9</f>
        <v>6</v>
      </c>
      <c r="K9" s="3">
        <f>Setup!P9</f>
        <v>12</v>
      </c>
      <c r="L9" s="3">
        <f>Setup!Q9</f>
        <v>5</v>
      </c>
      <c r="M9" s="10"/>
      <c r="N9" s="10"/>
      <c r="O9" s="10"/>
      <c r="P9" s="42">
        <f>mround(P8*Setup!Z9,'Quick Setup'!$A$2)</f>
        <v>295</v>
      </c>
      <c r="Q9" s="3">
        <f>Setup!AA9</f>
        <v>5</v>
      </c>
      <c r="R9" s="3">
        <f>Setup!AB9</f>
        <v>10</v>
      </c>
      <c r="S9" s="3">
        <f>Setup!AC9</f>
        <v>5</v>
      </c>
      <c r="T9" s="10"/>
      <c r="U9" s="10"/>
      <c r="V9" s="10"/>
      <c r="W9" s="42">
        <f>mround(W8*Setup!AL9,'Quick Setup'!$A$2)</f>
        <v>262.5</v>
      </c>
      <c r="X9" s="3">
        <f>Setup!AM9</f>
        <v>7</v>
      </c>
      <c r="Y9" s="3">
        <f>Setup!AN9</f>
        <v>13</v>
      </c>
      <c r="Z9" s="3">
        <f>Setup!AO9</f>
        <v>5</v>
      </c>
      <c r="AA9" s="10"/>
      <c r="AB9" s="10"/>
      <c r="AC9" s="10"/>
      <c r="AD9" s="42">
        <f>mround(AD8*Setup!AX9,'Quick Setup'!$A$2)</f>
        <v>282.5</v>
      </c>
      <c r="AE9" s="3">
        <f>Setup!AY9</f>
        <v>6</v>
      </c>
      <c r="AF9" s="3">
        <f>Setup!AZ9</f>
        <v>11</v>
      </c>
      <c r="AG9" s="3">
        <f>Setup!BA9</f>
        <v>5</v>
      </c>
      <c r="AH9" s="10"/>
      <c r="AI9" s="10"/>
      <c r="AJ9" s="10"/>
      <c r="AK9" s="42">
        <f>mround(AK8*Setup!BJ9,'Quick Setup'!$A$2)</f>
        <v>305</v>
      </c>
      <c r="AL9" s="3">
        <f>Setup!BK9</f>
        <v>5</v>
      </c>
      <c r="AM9" s="3">
        <f>Setup!BL9</f>
        <v>9</v>
      </c>
      <c r="AN9" s="3">
        <f>Setup!BM9</f>
        <v>5</v>
      </c>
      <c r="AO9" s="10"/>
      <c r="AP9" s="10"/>
      <c r="AQ9" s="10"/>
      <c r="AR9" s="42">
        <f>mround(AR8*Setup!BV9,'Quick Setup'!$A$2)</f>
        <v>210</v>
      </c>
      <c r="AS9" s="1">
        <v>5.0</v>
      </c>
      <c r="AT9" s="1" t="s">
        <v>78</v>
      </c>
      <c r="AU9" s="3">
        <f>Setup!BY9</f>
        <v>5</v>
      </c>
      <c r="AV9" s="10"/>
      <c r="AW9" s="10"/>
      <c r="AX9" s="10"/>
      <c r="AY9" s="42">
        <f>mround(AY8*Setup!CH9,'Quick Setup'!$A$2)</f>
        <v>272.5</v>
      </c>
      <c r="AZ9" s="3">
        <f>Setup!CI9</f>
        <v>6</v>
      </c>
      <c r="BA9" s="3">
        <f>Setup!CJ9</f>
        <v>12</v>
      </c>
      <c r="BB9" s="3">
        <f>Setup!CK9</f>
        <v>5</v>
      </c>
      <c r="BC9" s="10"/>
      <c r="BD9" s="10"/>
      <c r="BE9" s="10"/>
      <c r="BF9" s="42">
        <f>mround(BF8*Setup!CT9,'Quick Setup'!$A$2)</f>
        <v>295</v>
      </c>
      <c r="BG9" s="3">
        <f>Setup!CU9</f>
        <v>5</v>
      </c>
      <c r="BH9" s="3">
        <f>Setup!CV9</f>
        <v>10</v>
      </c>
      <c r="BI9" s="3">
        <f>Setup!CW9</f>
        <v>5</v>
      </c>
      <c r="BJ9" s="10"/>
      <c r="BK9" s="10"/>
      <c r="BL9" s="10"/>
      <c r="BM9" s="42">
        <f>mround(BM8*Setup!DF9,'Quick Setup'!$A$2)</f>
        <v>315</v>
      </c>
      <c r="BN9" s="3">
        <f>Setup!DG9</f>
        <v>4</v>
      </c>
      <c r="BO9" s="3">
        <f>Setup!DH9</f>
        <v>8</v>
      </c>
      <c r="BP9" s="3">
        <f>Setup!DI9</f>
        <v>5</v>
      </c>
      <c r="BQ9" s="10"/>
      <c r="BR9" s="10"/>
      <c r="BS9" s="10"/>
      <c r="BT9" s="42">
        <f>mround(BT8*Setup!DR9,'Quick Setup'!$A$2)</f>
        <v>282.5</v>
      </c>
      <c r="BU9" s="3">
        <f>Setup!DS9</f>
        <v>6</v>
      </c>
      <c r="BV9" s="3">
        <f>Setup!DT9</f>
        <v>11</v>
      </c>
      <c r="BW9" s="3">
        <f>Setup!DU9</f>
        <v>5</v>
      </c>
      <c r="BX9" s="10"/>
      <c r="BY9" s="10"/>
      <c r="BZ9" s="10"/>
      <c r="CA9" s="42">
        <f>mround(CA8*Setup!ED9,'Quick Setup'!$A$2)</f>
        <v>305</v>
      </c>
      <c r="CB9" s="3">
        <f>Setup!EE9</f>
        <v>5</v>
      </c>
      <c r="CC9" s="3">
        <f>Setup!EF9</f>
        <v>9</v>
      </c>
      <c r="CD9" s="3">
        <f>Setup!EG9</f>
        <v>5</v>
      </c>
      <c r="CE9" s="10"/>
      <c r="CF9" s="10"/>
      <c r="CG9" s="10"/>
      <c r="CH9" s="42">
        <f>mround(CH8*Setup!EP9,'Quick Setup'!$A$2)</f>
        <v>325</v>
      </c>
      <c r="CI9" s="3">
        <f>Setup!EQ9</f>
        <v>4</v>
      </c>
      <c r="CJ9" s="3">
        <f>Setup!ER9</f>
        <v>7</v>
      </c>
      <c r="CK9" s="3">
        <f>Setup!ES9</f>
        <v>5</v>
      </c>
      <c r="CL9" s="10"/>
      <c r="CM9" s="10"/>
      <c r="CN9" s="10"/>
      <c r="CO9" s="42">
        <f>mround(CO8*Setup!FB9,'Quick Setup'!$A$2)</f>
        <v>210</v>
      </c>
      <c r="CP9" s="1">
        <v>5.0</v>
      </c>
      <c r="CQ9" s="1" t="s">
        <v>78</v>
      </c>
      <c r="CR9" s="3">
        <f>Setup!FE9</f>
        <v>5</v>
      </c>
      <c r="CS9" s="10"/>
      <c r="CT9" s="10"/>
      <c r="CU9" s="10"/>
      <c r="CV9" s="42">
        <f>mround(CV8*Setup!FN9,'Quick Setup'!$A$2)</f>
        <v>295</v>
      </c>
      <c r="CW9" s="3">
        <f>Setup!FO9</f>
        <v>5</v>
      </c>
      <c r="CX9" s="3">
        <f>Setup!FP9</f>
        <v>10</v>
      </c>
      <c r="CY9" s="3">
        <f>Setup!FQ9</f>
        <v>5</v>
      </c>
      <c r="CZ9" s="10"/>
      <c r="DA9" s="10"/>
      <c r="DB9" s="10"/>
      <c r="DC9" s="42">
        <f>mround(DC8*Setup!FZ9,'Quick Setup'!$A$2)</f>
        <v>315</v>
      </c>
      <c r="DD9" s="3">
        <f>Setup!GA9</f>
        <v>4</v>
      </c>
      <c r="DE9" s="3">
        <f>Setup!GB9</f>
        <v>8</v>
      </c>
      <c r="DF9" s="3">
        <f>Setup!GC9</f>
        <v>5</v>
      </c>
      <c r="DG9" s="10"/>
      <c r="DH9" s="10"/>
      <c r="DI9" s="10"/>
      <c r="DJ9" s="42">
        <f>mround(DJ8*Setup!GL9,'Quick Setup'!$A$2)</f>
        <v>335</v>
      </c>
      <c r="DK9" s="3">
        <f>Setup!GM9</f>
        <v>3</v>
      </c>
      <c r="DL9" s="3">
        <f>Setup!GN9</f>
        <v>6</v>
      </c>
      <c r="DM9" s="3">
        <f>Setup!GO9</f>
        <v>5</v>
      </c>
      <c r="DN9" s="10"/>
      <c r="DO9" s="10"/>
      <c r="DP9" s="10"/>
      <c r="DQ9" s="42">
        <f>mround(DQ8*Setup!GX9,'Quick Setup'!$A$2)</f>
        <v>315</v>
      </c>
      <c r="DR9" s="3">
        <f>Setup!GY9</f>
        <v>4</v>
      </c>
      <c r="DS9" s="3">
        <f>Setup!GZ9</f>
        <v>8</v>
      </c>
      <c r="DT9" s="3">
        <f>Setup!HA9</f>
        <v>5</v>
      </c>
      <c r="DU9" s="10"/>
      <c r="DV9" s="10"/>
      <c r="DW9" s="10"/>
      <c r="DX9" s="42">
        <f>mround(DX8*Setup!HJ9,'Quick Setup'!$A$2)</f>
        <v>335</v>
      </c>
      <c r="DY9" s="3">
        <f>Setup!HK9</f>
        <v>3</v>
      </c>
      <c r="DZ9" s="3">
        <f>Setup!HL9</f>
        <v>6</v>
      </c>
      <c r="EA9" s="3">
        <f>Setup!HM9</f>
        <v>5</v>
      </c>
      <c r="EB9" s="10"/>
      <c r="EC9" s="10"/>
      <c r="ED9" s="10"/>
      <c r="EE9" s="42">
        <f>mround(EE8*Setup!HV9,'Quick Setup'!$A$2)</f>
        <v>357.5</v>
      </c>
      <c r="EF9" s="3">
        <f>Setup!HW9</f>
        <v>2</v>
      </c>
      <c r="EG9" s="3">
        <f>Setup!HX9</f>
        <v>4</v>
      </c>
      <c r="EH9" s="3">
        <f>Setup!HY9</f>
        <v>5</v>
      </c>
      <c r="EI9" s="10"/>
      <c r="EJ9" s="10"/>
      <c r="EK9" s="10"/>
      <c r="EL9" s="42">
        <f>mround(EL8*Setup!IH9,'Quick Setup'!$A$2)</f>
        <v>210</v>
      </c>
      <c r="EM9" s="1">
        <v>5.0</v>
      </c>
      <c r="EN9" s="1" t="s">
        <v>78</v>
      </c>
      <c r="EO9" s="3">
        <f>Setup!IK9</f>
        <v>5</v>
      </c>
      <c r="EP9" s="10"/>
      <c r="EQ9" s="10"/>
      <c r="ER9" s="10"/>
    </row>
    <row r="10">
      <c r="A10" s="5"/>
      <c r="B10" s="43"/>
      <c r="C10" s="10"/>
      <c r="D10" s="10"/>
      <c r="E10" s="10"/>
      <c r="F10" s="10"/>
      <c r="G10" s="10"/>
      <c r="H10" s="10"/>
      <c r="I10" s="43" t="str">
        <f t="shared" ref="I10:M10" si="1">B10</f>
        <v/>
      </c>
      <c r="J10" s="10" t="str">
        <f t="shared" si="1"/>
        <v/>
      </c>
      <c r="K10" s="10" t="str">
        <f t="shared" si="1"/>
        <v/>
      </c>
      <c r="L10" s="10" t="str">
        <f t="shared" si="1"/>
        <v/>
      </c>
      <c r="M10" s="10" t="str">
        <f t="shared" si="1"/>
        <v/>
      </c>
      <c r="N10" s="10"/>
      <c r="O10" s="10"/>
      <c r="P10" s="43" t="str">
        <f t="shared" ref="P10:T10" si="2">I10</f>
        <v/>
      </c>
      <c r="Q10" s="10" t="str">
        <f t="shared" si="2"/>
        <v/>
      </c>
      <c r="R10" s="10" t="str">
        <f t="shared" si="2"/>
        <v/>
      </c>
      <c r="S10" s="10" t="str">
        <f t="shared" si="2"/>
        <v/>
      </c>
      <c r="T10" s="10" t="str">
        <f t="shared" si="2"/>
        <v/>
      </c>
      <c r="U10" s="10"/>
      <c r="V10" s="10"/>
      <c r="W10" s="43" t="str">
        <f t="shared" ref="W10:AA10" si="3">P10</f>
        <v/>
      </c>
      <c r="X10" s="10" t="str">
        <f t="shared" si="3"/>
        <v/>
      </c>
      <c r="Y10" s="10" t="str">
        <f t="shared" si="3"/>
        <v/>
      </c>
      <c r="Z10" s="10" t="str">
        <f t="shared" si="3"/>
        <v/>
      </c>
      <c r="AA10" s="10" t="str">
        <f t="shared" si="3"/>
        <v/>
      </c>
      <c r="AB10" s="10"/>
      <c r="AC10" s="10"/>
      <c r="AD10" s="43" t="str">
        <f t="shared" ref="AD10:AH10" si="4">W10</f>
        <v/>
      </c>
      <c r="AE10" s="10" t="str">
        <f t="shared" si="4"/>
        <v/>
      </c>
      <c r="AF10" s="10" t="str">
        <f t="shared" si="4"/>
        <v/>
      </c>
      <c r="AG10" s="10" t="str">
        <f t="shared" si="4"/>
        <v/>
      </c>
      <c r="AH10" s="10" t="str">
        <f t="shared" si="4"/>
        <v/>
      </c>
      <c r="AI10" s="10"/>
      <c r="AJ10" s="10"/>
      <c r="AK10" s="43" t="str">
        <f t="shared" ref="AK10:AO10" si="5">AD10</f>
        <v/>
      </c>
      <c r="AL10" s="10" t="str">
        <f t="shared" si="5"/>
        <v/>
      </c>
      <c r="AM10" s="10" t="str">
        <f t="shared" si="5"/>
        <v/>
      </c>
      <c r="AN10" s="10" t="str">
        <f t="shared" si="5"/>
        <v/>
      </c>
      <c r="AO10" s="10" t="str">
        <f t="shared" si="5"/>
        <v/>
      </c>
      <c r="AP10" s="10"/>
      <c r="AQ10" s="10"/>
      <c r="AR10" s="43" t="str">
        <f t="shared" ref="AR10:AV10" si="6">AK10</f>
        <v/>
      </c>
      <c r="AS10" s="10" t="str">
        <f t="shared" si="6"/>
        <v/>
      </c>
      <c r="AT10" s="10" t="str">
        <f t="shared" si="6"/>
        <v/>
      </c>
      <c r="AU10" s="10" t="str">
        <f t="shared" si="6"/>
        <v/>
      </c>
      <c r="AV10" s="10" t="str">
        <f t="shared" si="6"/>
        <v/>
      </c>
      <c r="AW10" s="10"/>
      <c r="AX10" s="10"/>
      <c r="AY10" s="43" t="str">
        <f t="shared" ref="AY10:BC10" si="7">AR10</f>
        <v/>
      </c>
      <c r="AZ10" s="10" t="str">
        <f t="shared" si="7"/>
        <v/>
      </c>
      <c r="BA10" s="10" t="str">
        <f t="shared" si="7"/>
        <v/>
      </c>
      <c r="BB10" s="10" t="str">
        <f t="shared" si="7"/>
        <v/>
      </c>
      <c r="BC10" s="10" t="str">
        <f t="shared" si="7"/>
        <v/>
      </c>
      <c r="BD10" s="10"/>
      <c r="BE10" s="10"/>
      <c r="BF10" s="43" t="str">
        <f t="shared" ref="BF10:BJ10" si="8">AY10</f>
        <v/>
      </c>
      <c r="BG10" s="10" t="str">
        <f t="shared" si="8"/>
        <v/>
      </c>
      <c r="BH10" s="10" t="str">
        <f t="shared" si="8"/>
        <v/>
      </c>
      <c r="BI10" s="10" t="str">
        <f t="shared" si="8"/>
        <v/>
      </c>
      <c r="BJ10" s="10" t="str">
        <f t="shared" si="8"/>
        <v/>
      </c>
      <c r="BK10" s="10"/>
      <c r="BL10" s="10"/>
      <c r="BM10" s="43" t="str">
        <f t="shared" ref="BM10:BQ10" si="9">BF10</f>
        <v/>
      </c>
      <c r="BN10" s="10" t="str">
        <f t="shared" si="9"/>
        <v/>
      </c>
      <c r="BO10" s="10" t="str">
        <f t="shared" si="9"/>
        <v/>
      </c>
      <c r="BP10" s="10" t="str">
        <f t="shared" si="9"/>
        <v/>
      </c>
      <c r="BQ10" s="10" t="str">
        <f t="shared" si="9"/>
        <v/>
      </c>
      <c r="BR10" s="10"/>
      <c r="BS10" s="10"/>
      <c r="BT10" s="43" t="str">
        <f t="shared" ref="BT10:BX10" si="10">BM10</f>
        <v/>
      </c>
      <c r="BU10" s="10" t="str">
        <f t="shared" si="10"/>
        <v/>
      </c>
      <c r="BV10" s="10" t="str">
        <f t="shared" si="10"/>
        <v/>
      </c>
      <c r="BW10" s="10" t="str">
        <f t="shared" si="10"/>
        <v/>
      </c>
      <c r="BX10" s="10" t="str">
        <f t="shared" si="10"/>
        <v/>
      </c>
      <c r="BY10" s="10"/>
      <c r="BZ10" s="10"/>
      <c r="CA10" s="43" t="str">
        <f t="shared" ref="CA10:CE10" si="11">BT10</f>
        <v/>
      </c>
      <c r="CB10" s="10" t="str">
        <f t="shared" si="11"/>
        <v/>
      </c>
      <c r="CC10" s="10" t="str">
        <f t="shared" si="11"/>
        <v/>
      </c>
      <c r="CD10" s="10" t="str">
        <f t="shared" si="11"/>
        <v/>
      </c>
      <c r="CE10" s="10" t="str">
        <f t="shared" si="11"/>
        <v/>
      </c>
      <c r="CF10" s="10"/>
      <c r="CG10" s="10"/>
      <c r="CH10" s="43" t="str">
        <f t="shared" ref="CH10:CL10" si="12">CA10</f>
        <v/>
      </c>
      <c r="CI10" s="10" t="str">
        <f t="shared" si="12"/>
        <v/>
      </c>
      <c r="CJ10" s="10" t="str">
        <f t="shared" si="12"/>
        <v/>
      </c>
      <c r="CK10" s="10" t="str">
        <f t="shared" si="12"/>
        <v/>
      </c>
      <c r="CL10" s="10" t="str">
        <f t="shared" si="12"/>
        <v/>
      </c>
      <c r="CM10" s="10"/>
      <c r="CN10" s="10"/>
      <c r="CO10" s="43" t="str">
        <f t="shared" ref="CO10:CS10" si="13">CH10</f>
        <v/>
      </c>
      <c r="CP10" s="10" t="str">
        <f t="shared" si="13"/>
        <v/>
      </c>
      <c r="CQ10" s="10" t="str">
        <f t="shared" si="13"/>
        <v/>
      </c>
      <c r="CR10" s="10" t="str">
        <f t="shared" si="13"/>
        <v/>
      </c>
      <c r="CS10" s="10" t="str">
        <f t="shared" si="13"/>
        <v/>
      </c>
      <c r="CT10" s="10"/>
      <c r="CU10" s="10"/>
      <c r="CV10" s="43" t="str">
        <f t="shared" ref="CV10:CZ10" si="14">CO10</f>
        <v/>
      </c>
      <c r="CW10" s="10" t="str">
        <f t="shared" si="14"/>
        <v/>
      </c>
      <c r="CX10" s="10" t="str">
        <f t="shared" si="14"/>
        <v/>
      </c>
      <c r="CY10" s="10" t="str">
        <f t="shared" si="14"/>
        <v/>
      </c>
      <c r="CZ10" s="10" t="str">
        <f t="shared" si="14"/>
        <v/>
      </c>
      <c r="DA10" s="10"/>
      <c r="DB10" s="10"/>
      <c r="DC10" s="43" t="str">
        <f t="shared" ref="DC10:DG10" si="15">CV10</f>
        <v/>
      </c>
      <c r="DD10" s="10" t="str">
        <f t="shared" si="15"/>
        <v/>
      </c>
      <c r="DE10" s="10" t="str">
        <f t="shared" si="15"/>
        <v/>
      </c>
      <c r="DF10" s="10" t="str">
        <f t="shared" si="15"/>
        <v/>
      </c>
      <c r="DG10" s="10" t="str">
        <f t="shared" si="15"/>
        <v/>
      </c>
      <c r="DH10" s="10"/>
      <c r="DI10" s="10"/>
      <c r="DJ10" s="43" t="str">
        <f t="shared" ref="DJ10:DN10" si="16">DC10</f>
        <v/>
      </c>
      <c r="DK10" s="10" t="str">
        <f t="shared" si="16"/>
        <v/>
      </c>
      <c r="DL10" s="10" t="str">
        <f t="shared" si="16"/>
        <v/>
      </c>
      <c r="DM10" s="10" t="str">
        <f t="shared" si="16"/>
        <v/>
      </c>
      <c r="DN10" s="10" t="str">
        <f t="shared" si="16"/>
        <v/>
      </c>
      <c r="DO10" s="10"/>
      <c r="DP10" s="10"/>
      <c r="DQ10" s="43" t="str">
        <f t="shared" ref="DQ10:DU10" si="17">DJ10</f>
        <v/>
      </c>
      <c r="DR10" s="10" t="str">
        <f t="shared" si="17"/>
        <v/>
      </c>
      <c r="DS10" s="10" t="str">
        <f t="shared" si="17"/>
        <v/>
      </c>
      <c r="DT10" s="10" t="str">
        <f t="shared" si="17"/>
        <v/>
      </c>
      <c r="DU10" s="10" t="str">
        <f t="shared" si="17"/>
        <v/>
      </c>
      <c r="DV10" s="10"/>
      <c r="DW10" s="10"/>
      <c r="DX10" s="43" t="str">
        <f t="shared" ref="DX10:EB10" si="18">DQ10</f>
        <v/>
      </c>
      <c r="DY10" s="10" t="str">
        <f t="shared" si="18"/>
        <v/>
      </c>
      <c r="DZ10" s="10" t="str">
        <f t="shared" si="18"/>
        <v/>
      </c>
      <c r="EA10" s="10" t="str">
        <f t="shared" si="18"/>
        <v/>
      </c>
      <c r="EB10" s="10" t="str">
        <f t="shared" si="18"/>
        <v/>
      </c>
      <c r="EC10" s="10"/>
      <c r="ED10" s="10"/>
      <c r="EE10" s="43" t="str">
        <f t="shared" ref="EE10:EI10" si="19">DX10</f>
        <v/>
      </c>
      <c r="EF10" s="10" t="str">
        <f t="shared" si="19"/>
        <v/>
      </c>
      <c r="EG10" s="10" t="str">
        <f t="shared" si="19"/>
        <v/>
      </c>
      <c r="EH10" s="10" t="str">
        <f t="shared" si="19"/>
        <v/>
      </c>
      <c r="EI10" s="10" t="str">
        <f t="shared" si="19"/>
        <v/>
      </c>
      <c r="EJ10" s="10"/>
      <c r="EK10" s="10"/>
      <c r="EL10" s="43" t="str">
        <f t="shared" ref="EL10:EP10" si="20">EE10</f>
        <v/>
      </c>
      <c r="EM10" s="10" t="str">
        <f t="shared" si="20"/>
        <v/>
      </c>
      <c r="EN10" s="10" t="str">
        <f t="shared" si="20"/>
        <v/>
      </c>
      <c r="EO10" s="10" t="str">
        <f t="shared" si="20"/>
        <v/>
      </c>
      <c r="EP10" s="10" t="str">
        <f t="shared" si="20"/>
        <v/>
      </c>
      <c r="EQ10" s="10"/>
      <c r="ER10" s="10"/>
    </row>
    <row r="11">
      <c r="A11" s="1" t="s">
        <v>79</v>
      </c>
      <c r="B11" s="42"/>
      <c r="C11" s="3"/>
      <c r="D11" s="3"/>
      <c r="E11" s="3"/>
      <c r="F11" s="3"/>
      <c r="G11" s="3"/>
      <c r="H11" s="3"/>
      <c r="I11" s="42"/>
      <c r="J11" s="3"/>
      <c r="K11" s="3"/>
      <c r="L11" s="3"/>
      <c r="M11" s="3"/>
      <c r="N11" s="3"/>
      <c r="O11" s="3"/>
      <c r="P11" s="42"/>
      <c r="Q11" s="3"/>
      <c r="R11" s="3"/>
      <c r="S11" s="3"/>
      <c r="T11" s="3"/>
      <c r="U11" s="3"/>
      <c r="V11" s="3"/>
      <c r="W11" s="42"/>
      <c r="X11" s="3"/>
      <c r="Y11" s="3"/>
      <c r="Z11" s="3"/>
      <c r="AA11" s="3"/>
      <c r="AB11" s="3"/>
      <c r="AC11" s="3"/>
      <c r="AD11" s="42"/>
      <c r="AE11" s="3"/>
      <c r="AF11" s="3"/>
      <c r="AG11" s="3"/>
      <c r="AH11" s="3"/>
      <c r="AI11" s="3"/>
      <c r="AJ11" s="3"/>
      <c r="AK11" s="42"/>
      <c r="AL11" s="3"/>
      <c r="AM11" s="3"/>
      <c r="AN11" s="3"/>
      <c r="AO11" s="3"/>
      <c r="AP11" s="3"/>
      <c r="AQ11" s="3"/>
      <c r="AR11" s="42"/>
      <c r="AS11" s="3"/>
      <c r="AT11" s="3"/>
      <c r="AU11" s="3"/>
      <c r="AV11" s="3"/>
      <c r="AW11" s="3"/>
      <c r="AX11" s="3"/>
      <c r="AY11" s="42"/>
      <c r="AZ11" s="3"/>
      <c r="BA11" s="3"/>
      <c r="BB11" s="3"/>
      <c r="BC11" s="3"/>
      <c r="BD11" s="3"/>
      <c r="BE11" s="3"/>
      <c r="BF11" s="42"/>
      <c r="BG11" s="3"/>
      <c r="BH11" s="3"/>
      <c r="BI11" s="3"/>
      <c r="BJ11" s="3"/>
      <c r="BK11" s="3"/>
      <c r="BL11" s="3"/>
      <c r="BM11" s="42"/>
      <c r="BN11" s="3"/>
      <c r="BO11" s="3"/>
      <c r="BP11" s="3"/>
      <c r="BQ11" s="3"/>
      <c r="BR11" s="3"/>
      <c r="BS11" s="3"/>
      <c r="BT11" s="42"/>
      <c r="BU11" s="3"/>
      <c r="BV11" s="3"/>
      <c r="BW11" s="3"/>
      <c r="BX11" s="3"/>
      <c r="BY11" s="3"/>
      <c r="BZ11" s="3"/>
      <c r="CA11" s="42"/>
      <c r="CB11" s="3"/>
      <c r="CC11" s="3"/>
      <c r="CD11" s="3"/>
      <c r="CE11" s="3"/>
      <c r="CF11" s="3"/>
      <c r="CG11" s="3"/>
      <c r="CH11" s="42"/>
      <c r="CI11" s="3"/>
      <c r="CJ11" s="3"/>
      <c r="CK11" s="3"/>
      <c r="CL11" s="3"/>
      <c r="CM11" s="3"/>
      <c r="CN11" s="3"/>
      <c r="CO11" s="42"/>
      <c r="CP11" s="3"/>
      <c r="CQ11" s="3"/>
      <c r="CR11" s="3"/>
      <c r="CS11" s="3"/>
      <c r="CT11" s="3"/>
      <c r="CU11" s="3"/>
      <c r="CV11" s="42"/>
      <c r="CW11" s="3"/>
      <c r="CX11" s="3"/>
      <c r="CY11" s="3"/>
      <c r="CZ11" s="3"/>
      <c r="DA11" s="3"/>
      <c r="DB11" s="3"/>
      <c r="DC11" s="42"/>
      <c r="DD11" s="3"/>
      <c r="DE11" s="3"/>
      <c r="DF11" s="3"/>
      <c r="DG11" s="3"/>
      <c r="DH11" s="3"/>
      <c r="DI11" s="3"/>
      <c r="DJ11" s="42"/>
      <c r="DK11" s="3"/>
      <c r="DL11" s="3"/>
      <c r="DM11" s="3"/>
      <c r="DN11" s="3"/>
      <c r="DO11" s="3"/>
      <c r="DP11" s="3"/>
      <c r="DQ11" s="42"/>
      <c r="DR11" s="3"/>
      <c r="DS11" s="3"/>
      <c r="DT11" s="3"/>
      <c r="DU11" s="3"/>
      <c r="DV11" s="3"/>
      <c r="DW11" s="3"/>
      <c r="DX11" s="42"/>
      <c r="DY11" s="3"/>
      <c r="DZ11" s="3"/>
      <c r="EA11" s="3"/>
      <c r="EB11" s="3"/>
      <c r="EC11" s="3"/>
      <c r="ED11" s="3"/>
      <c r="EE11" s="42"/>
      <c r="EF11" s="3"/>
      <c r="EG11" s="3"/>
      <c r="EH11" s="3"/>
      <c r="EI11" s="3"/>
      <c r="EJ11" s="3"/>
      <c r="EK11" s="3"/>
      <c r="EL11" s="42"/>
      <c r="EM11" s="3"/>
      <c r="EN11" s="3"/>
      <c r="EO11" s="3"/>
      <c r="EP11" s="3"/>
      <c r="EQ11" s="3"/>
      <c r="ER11" s="3"/>
    </row>
    <row r="12">
      <c r="A12" s="44"/>
      <c r="B12" s="43"/>
      <c r="C12" s="10"/>
      <c r="D12" s="10"/>
      <c r="E12" s="10"/>
      <c r="F12" s="10"/>
      <c r="G12" s="10"/>
      <c r="H12" s="10"/>
      <c r="I12" s="43" t="str">
        <f t="shared" ref="I12:M12" si="21">B12</f>
        <v/>
      </c>
      <c r="J12" s="10" t="str">
        <f t="shared" si="21"/>
        <v/>
      </c>
      <c r="K12" s="10" t="str">
        <f t="shared" si="21"/>
        <v/>
      </c>
      <c r="L12" s="10" t="str">
        <f t="shared" si="21"/>
        <v/>
      </c>
      <c r="M12" s="10" t="str">
        <f t="shared" si="21"/>
        <v/>
      </c>
      <c r="N12" s="10"/>
      <c r="O12" s="10"/>
      <c r="P12" s="43" t="str">
        <f t="shared" ref="P12:T12" si="22">I12</f>
        <v/>
      </c>
      <c r="Q12" s="10" t="str">
        <f t="shared" si="22"/>
        <v/>
      </c>
      <c r="R12" s="10" t="str">
        <f t="shared" si="22"/>
        <v/>
      </c>
      <c r="S12" s="10" t="str">
        <f t="shared" si="22"/>
        <v/>
      </c>
      <c r="T12" s="10" t="str">
        <f t="shared" si="22"/>
        <v/>
      </c>
      <c r="U12" s="10"/>
      <c r="V12" s="10"/>
      <c r="W12" s="43" t="str">
        <f t="shared" ref="W12:AA12" si="23">P12</f>
        <v/>
      </c>
      <c r="X12" s="10" t="str">
        <f t="shared" si="23"/>
        <v/>
      </c>
      <c r="Y12" s="10" t="str">
        <f t="shared" si="23"/>
        <v/>
      </c>
      <c r="Z12" s="10" t="str">
        <f t="shared" si="23"/>
        <v/>
      </c>
      <c r="AA12" s="10" t="str">
        <f t="shared" si="23"/>
        <v/>
      </c>
      <c r="AB12" s="10"/>
      <c r="AC12" s="10"/>
      <c r="AD12" s="43" t="str">
        <f t="shared" ref="AD12:AH12" si="24">W12</f>
        <v/>
      </c>
      <c r="AE12" s="10" t="str">
        <f t="shared" si="24"/>
        <v/>
      </c>
      <c r="AF12" s="10" t="str">
        <f t="shared" si="24"/>
        <v/>
      </c>
      <c r="AG12" s="10" t="str">
        <f t="shared" si="24"/>
        <v/>
      </c>
      <c r="AH12" s="10" t="str">
        <f t="shared" si="24"/>
        <v/>
      </c>
      <c r="AI12" s="10"/>
      <c r="AJ12" s="10"/>
      <c r="AK12" s="43" t="str">
        <f t="shared" ref="AK12:AO12" si="25">AD12</f>
        <v/>
      </c>
      <c r="AL12" s="10" t="str">
        <f t="shared" si="25"/>
        <v/>
      </c>
      <c r="AM12" s="10" t="str">
        <f t="shared" si="25"/>
        <v/>
      </c>
      <c r="AN12" s="10" t="str">
        <f t="shared" si="25"/>
        <v/>
      </c>
      <c r="AO12" s="10" t="str">
        <f t="shared" si="25"/>
        <v/>
      </c>
      <c r="AP12" s="10"/>
      <c r="AQ12" s="10"/>
      <c r="AR12" s="43" t="str">
        <f t="shared" ref="AR12:AV12" si="26">AK12</f>
        <v/>
      </c>
      <c r="AS12" s="10" t="str">
        <f t="shared" si="26"/>
        <v/>
      </c>
      <c r="AT12" s="10" t="str">
        <f t="shared" si="26"/>
        <v/>
      </c>
      <c r="AU12" s="10" t="str">
        <f t="shared" si="26"/>
        <v/>
      </c>
      <c r="AV12" s="10" t="str">
        <f t="shared" si="26"/>
        <v/>
      </c>
      <c r="AW12" s="10"/>
      <c r="AX12" s="10"/>
      <c r="AY12" s="43" t="str">
        <f t="shared" ref="AY12:BC12" si="27">AR12</f>
        <v/>
      </c>
      <c r="AZ12" s="10" t="str">
        <f t="shared" si="27"/>
        <v/>
      </c>
      <c r="BA12" s="10" t="str">
        <f t="shared" si="27"/>
        <v/>
      </c>
      <c r="BB12" s="10" t="str">
        <f t="shared" si="27"/>
        <v/>
      </c>
      <c r="BC12" s="10" t="str">
        <f t="shared" si="27"/>
        <v/>
      </c>
      <c r="BD12" s="10"/>
      <c r="BE12" s="10"/>
      <c r="BF12" s="43" t="str">
        <f t="shared" ref="BF12:BJ12" si="28">AY12</f>
        <v/>
      </c>
      <c r="BG12" s="10" t="str">
        <f t="shared" si="28"/>
        <v/>
      </c>
      <c r="BH12" s="10" t="str">
        <f t="shared" si="28"/>
        <v/>
      </c>
      <c r="BI12" s="10" t="str">
        <f t="shared" si="28"/>
        <v/>
      </c>
      <c r="BJ12" s="10" t="str">
        <f t="shared" si="28"/>
        <v/>
      </c>
      <c r="BK12" s="10"/>
      <c r="BL12" s="10"/>
      <c r="BM12" s="43" t="str">
        <f t="shared" ref="BM12:BQ12" si="29">BF12</f>
        <v/>
      </c>
      <c r="BN12" s="10" t="str">
        <f t="shared" si="29"/>
        <v/>
      </c>
      <c r="BO12" s="10" t="str">
        <f t="shared" si="29"/>
        <v/>
      </c>
      <c r="BP12" s="10" t="str">
        <f t="shared" si="29"/>
        <v/>
      </c>
      <c r="BQ12" s="10" t="str">
        <f t="shared" si="29"/>
        <v/>
      </c>
      <c r="BR12" s="10"/>
      <c r="BS12" s="10"/>
      <c r="BT12" s="43" t="str">
        <f t="shared" ref="BT12:BX12" si="30">BM12</f>
        <v/>
      </c>
      <c r="BU12" s="10" t="str">
        <f t="shared" si="30"/>
        <v/>
      </c>
      <c r="BV12" s="10" t="str">
        <f t="shared" si="30"/>
        <v/>
      </c>
      <c r="BW12" s="10" t="str">
        <f t="shared" si="30"/>
        <v/>
      </c>
      <c r="BX12" s="10" t="str">
        <f t="shared" si="30"/>
        <v/>
      </c>
      <c r="BY12" s="10"/>
      <c r="BZ12" s="10"/>
      <c r="CA12" s="43" t="str">
        <f t="shared" ref="CA12:CE12" si="31">BT12</f>
        <v/>
      </c>
      <c r="CB12" s="10" t="str">
        <f t="shared" si="31"/>
        <v/>
      </c>
      <c r="CC12" s="10" t="str">
        <f t="shared" si="31"/>
        <v/>
      </c>
      <c r="CD12" s="10" t="str">
        <f t="shared" si="31"/>
        <v/>
      </c>
      <c r="CE12" s="10" t="str">
        <f t="shared" si="31"/>
        <v/>
      </c>
      <c r="CF12" s="10"/>
      <c r="CG12" s="10"/>
      <c r="CH12" s="43" t="str">
        <f t="shared" ref="CH12:CL12" si="32">CA12</f>
        <v/>
      </c>
      <c r="CI12" s="10" t="str">
        <f t="shared" si="32"/>
        <v/>
      </c>
      <c r="CJ12" s="10" t="str">
        <f t="shared" si="32"/>
        <v/>
      </c>
      <c r="CK12" s="10" t="str">
        <f t="shared" si="32"/>
        <v/>
      </c>
      <c r="CL12" s="10" t="str">
        <f t="shared" si="32"/>
        <v/>
      </c>
      <c r="CM12" s="10"/>
      <c r="CN12" s="10"/>
      <c r="CO12" s="43" t="str">
        <f t="shared" ref="CO12:CS12" si="33">CH12</f>
        <v/>
      </c>
      <c r="CP12" s="10" t="str">
        <f t="shared" si="33"/>
        <v/>
      </c>
      <c r="CQ12" s="10" t="str">
        <f t="shared" si="33"/>
        <v/>
      </c>
      <c r="CR12" s="10" t="str">
        <f t="shared" si="33"/>
        <v/>
      </c>
      <c r="CS12" s="10" t="str">
        <f t="shared" si="33"/>
        <v/>
      </c>
      <c r="CT12" s="10"/>
      <c r="CU12" s="10"/>
      <c r="CV12" s="43" t="str">
        <f t="shared" ref="CV12:CZ12" si="34">CO12</f>
        <v/>
      </c>
      <c r="CW12" s="10" t="str">
        <f t="shared" si="34"/>
        <v/>
      </c>
      <c r="CX12" s="10" t="str">
        <f t="shared" si="34"/>
        <v/>
      </c>
      <c r="CY12" s="10" t="str">
        <f t="shared" si="34"/>
        <v/>
      </c>
      <c r="CZ12" s="10" t="str">
        <f t="shared" si="34"/>
        <v/>
      </c>
      <c r="DA12" s="10"/>
      <c r="DB12" s="10"/>
      <c r="DC12" s="43" t="str">
        <f t="shared" ref="DC12:DG12" si="35">CV12</f>
        <v/>
      </c>
      <c r="DD12" s="10" t="str">
        <f t="shared" si="35"/>
        <v/>
      </c>
      <c r="DE12" s="10" t="str">
        <f t="shared" si="35"/>
        <v/>
      </c>
      <c r="DF12" s="10" t="str">
        <f t="shared" si="35"/>
        <v/>
      </c>
      <c r="DG12" s="10" t="str">
        <f t="shared" si="35"/>
        <v/>
      </c>
      <c r="DH12" s="10"/>
      <c r="DI12" s="10"/>
      <c r="DJ12" s="43" t="str">
        <f t="shared" ref="DJ12:DN12" si="36">DC12</f>
        <v/>
      </c>
      <c r="DK12" s="10" t="str">
        <f t="shared" si="36"/>
        <v/>
      </c>
      <c r="DL12" s="10" t="str">
        <f t="shared" si="36"/>
        <v/>
      </c>
      <c r="DM12" s="10" t="str">
        <f t="shared" si="36"/>
        <v/>
      </c>
      <c r="DN12" s="10" t="str">
        <f t="shared" si="36"/>
        <v/>
      </c>
      <c r="DO12" s="10"/>
      <c r="DP12" s="10"/>
      <c r="DQ12" s="43" t="str">
        <f t="shared" ref="DQ12:DU12" si="37">DJ12</f>
        <v/>
      </c>
      <c r="DR12" s="10" t="str">
        <f t="shared" si="37"/>
        <v/>
      </c>
      <c r="DS12" s="10" t="str">
        <f t="shared" si="37"/>
        <v/>
      </c>
      <c r="DT12" s="10" t="str">
        <f t="shared" si="37"/>
        <v/>
      </c>
      <c r="DU12" s="10" t="str">
        <f t="shared" si="37"/>
        <v/>
      </c>
      <c r="DV12" s="10"/>
      <c r="DW12" s="10"/>
      <c r="DX12" s="43" t="str">
        <f t="shared" ref="DX12:EB12" si="38">DQ12</f>
        <v/>
      </c>
      <c r="DY12" s="10" t="str">
        <f t="shared" si="38"/>
        <v/>
      </c>
      <c r="DZ12" s="10" t="str">
        <f t="shared" si="38"/>
        <v/>
      </c>
      <c r="EA12" s="10" t="str">
        <f t="shared" si="38"/>
        <v/>
      </c>
      <c r="EB12" s="10" t="str">
        <f t="shared" si="38"/>
        <v/>
      </c>
      <c r="EC12" s="10"/>
      <c r="ED12" s="10"/>
      <c r="EE12" s="43" t="str">
        <f t="shared" ref="EE12:EI12" si="39">DX12</f>
        <v/>
      </c>
      <c r="EF12" s="10" t="str">
        <f t="shared" si="39"/>
        <v/>
      </c>
      <c r="EG12" s="10" t="str">
        <f t="shared" si="39"/>
        <v/>
      </c>
      <c r="EH12" s="10" t="str">
        <f t="shared" si="39"/>
        <v/>
      </c>
      <c r="EI12" s="10" t="str">
        <f t="shared" si="39"/>
        <v/>
      </c>
      <c r="EJ12" s="10"/>
      <c r="EK12" s="10"/>
      <c r="EL12" s="43" t="str">
        <f t="shared" ref="EL12:EP12" si="40">EE12</f>
        <v/>
      </c>
      <c r="EM12" s="10" t="str">
        <f t="shared" si="40"/>
        <v/>
      </c>
      <c r="EN12" s="10" t="str">
        <f t="shared" si="40"/>
        <v/>
      </c>
      <c r="EO12" s="10" t="str">
        <f t="shared" si="40"/>
        <v/>
      </c>
      <c r="EP12" s="10" t="str">
        <f t="shared" si="40"/>
        <v/>
      </c>
      <c r="EQ12" s="10"/>
      <c r="ER12" s="10"/>
    </row>
    <row r="13">
      <c r="A13" s="44"/>
      <c r="B13" s="43"/>
      <c r="C13" s="10"/>
      <c r="D13" s="10"/>
      <c r="E13" s="10"/>
      <c r="F13" s="10"/>
      <c r="G13" s="10"/>
      <c r="H13" s="10"/>
      <c r="I13" s="43" t="str">
        <f t="shared" ref="I13:M13" si="41">B13</f>
        <v/>
      </c>
      <c r="J13" s="10" t="str">
        <f t="shared" si="41"/>
        <v/>
      </c>
      <c r="K13" s="10" t="str">
        <f t="shared" si="41"/>
        <v/>
      </c>
      <c r="L13" s="10" t="str">
        <f t="shared" si="41"/>
        <v/>
      </c>
      <c r="M13" s="10" t="str">
        <f t="shared" si="41"/>
        <v/>
      </c>
      <c r="N13" s="10"/>
      <c r="O13" s="10"/>
      <c r="P13" s="43" t="str">
        <f t="shared" ref="P13:T13" si="42">I13</f>
        <v/>
      </c>
      <c r="Q13" s="10" t="str">
        <f t="shared" si="42"/>
        <v/>
      </c>
      <c r="R13" s="10" t="str">
        <f t="shared" si="42"/>
        <v/>
      </c>
      <c r="S13" s="10" t="str">
        <f t="shared" si="42"/>
        <v/>
      </c>
      <c r="T13" s="10" t="str">
        <f t="shared" si="42"/>
        <v/>
      </c>
      <c r="U13" s="10"/>
      <c r="V13" s="10"/>
      <c r="W13" s="43" t="str">
        <f t="shared" ref="W13:AA13" si="43">P13</f>
        <v/>
      </c>
      <c r="X13" s="10" t="str">
        <f t="shared" si="43"/>
        <v/>
      </c>
      <c r="Y13" s="10" t="str">
        <f t="shared" si="43"/>
        <v/>
      </c>
      <c r="Z13" s="10" t="str">
        <f t="shared" si="43"/>
        <v/>
      </c>
      <c r="AA13" s="10" t="str">
        <f t="shared" si="43"/>
        <v/>
      </c>
      <c r="AB13" s="10"/>
      <c r="AC13" s="10"/>
      <c r="AD13" s="43" t="str">
        <f t="shared" ref="AD13:AH13" si="44">W13</f>
        <v/>
      </c>
      <c r="AE13" s="10" t="str">
        <f t="shared" si="44"/>
        <v/>
      </c>
      <c r="AF13" s="10" t="str">
        <f t="shared" si="44"/>
        <v/>
      </c>
      <c r="AG13" s="10" t="str">
        <f t="shared" si="44"/>
        <v/>
      </c>
      <c r="AH13" s="10" t="str">
        <f t="shared" si="44"/>
        <v/>
      </c>
      <c r="AI13" s="10"/>
      <c r="AJ13" s="10"/>
      <c r="AK13" s="43" t="str">
        <f t="shared" ref="AK13:AO13" si="45">AD13</f>
        <v/>
      </c>
      <c r="AL13" s="10" t="str">
        <f t="shared" si="45"/>
        <v/>
      </c>
      <c r="AM13" s="10" t="str">
        <f t="shared" si="45"/>
        <v/>
      </c>
      <c r="AN13" s="10" t="str">
        <f t="shared" si="45"/>
        <v/>
      </c>
      <c r="AO13" s="10" t="str">
        <f t="shared" si="45"/>
        <v/>
      </c>
      <c r="AP13" s="10"/>
      <c r="AQ13" s="10"/>
      <c r="AR13" s="43" t="str">
        <f t="shared" ref="AR13:AV13" si="46">AK13</f>
        <v/>
      </c>
      <c r="AS13" s="10" t="str">
        <f t="shared" si="46"/>
        <v/>
      </c>
      <c r="AT13" s="10" t="str">
        <f t="shared" si="46"/>
        <v/>
      </c>
      <c r="AU13" s="10" t="str">
        <f t="shared" si="46"/>
        <v/>
      </c>
      <c r="AV13" s="10" t="str">
        <f t="shared" si="46"/>
        <v/>
      </c>
      <c r="AW13" s="10"/>
      <c r="AX13" s="10"/>
      <c r="AY13" s="43" t="str">
        <f t="shared" ref="AY13:BC13" si="47">AR13</f>
        <v/>
      </c>
      <c r="AZ13" s="10" t="str">
        <f t="shared" si="47"/>
        <v/>
      </c>
      <c r="BA13" s="10" t="str">
        <f t="shared" si="47"/>
        <v/>
      </c>
      <c r="BB13" s="10" t="str">
        <f t="shared" si="47"/>
        <v/>
      </c>
      <c r="BC13" s="10" t="str">
        <f t="shared" si="47"/>
        <v/>
      </c>
      <c r="BD13" s="10"/>
      <c r="BE13" s="10"/>
      <c r="BF13" s="43" t="str">
        <f t="shared" ref="BF13:BJ13" si="48">AY13</f>
        <v/>
      </c>
      <c r="BG13" s="10" t="str">
        <f t="shared" si="48"/>
        <v/>
      </c>
      <c r="BH13" s="10" t="str">
        <f t="shared" si="48"/>
        <v/>
      </c>
      <c r="BI13" s="10" t="str">
        <f t="shared" si="48"/>
        <v/>
      </c>
      <c r="BJ13" s="10" t="str">
        <f t="shared" si="48"/>
        <v/>
      </c>
      <c r="BK13" s="10"/>
      <c r="BL13" s="10"/>
      <c r="BM13" s="43" t="str">
        <f t="shared" ref="BM13:BQ13" si="49">BF13</f>
        <v/>
      </c>
      <c r="BN13" s="10" t="str">
        <f t="shared" si="49"/>
        <v/>
      </c>
      <c r="BO13" s="10" t="str">
        <f t="shared" si="49"/>
        <v/>
      </c>
      <c r="BP13" s="10" t="str">
        <f t="shared" si="49"/>
        <v/>
      </c>
      <c r="BQ13" s="10" t="str">
        <f t="shared" si="49"/>
        <v/>
      </c>
      <c r="BR13" s="10"/>
      <c r="BS13" s="10"/>
      <c r="BT13" s="43" t="str">
        <f t="shared" ref="BT13:BX13" si="50">BM13</f>
        <v/>
      </c>
      <c r="BU13" s="10" t="str">
        <f t="shared" si="50"/>
        <v/>
      </c>
      <c r="BV13" s="10" t="str">
        <f t="shared" si="50"/>
        <v/>
      </c>
      <c r="BW13" s="10" t="str">
        <f t="shared" si="50"/>
        <v/>
      </c>
      <c r="BX13" s="10" t="str">
        <f t="shared" si="50"/>
        <v/>
      </c>
      <c r="BY13" s="10"/>
      <c r="BZ13" s="10"/>
      <c r="CA13" s="43" t="str">
        <f t="shared" ref="CA13:CE13" si="51">BT13</f>
        <v/>
      </c>
      <c r="CB13" s="10" t="str">
        <f t="shared" si="51"/>
        <v/>
      </c>
      <c r="CC13" s="10" t="str">
        <f t="shared" si="51"/>
        <v/>
      </c>
      <c r="CD13" s="10" t="str">
        <f t="shared" si="51"/>
        <v/>
      </c>
      <c r="CE13" s="10" t="str">
        <f t="shared" si="51"/>
        <v/>
      </c>
      <c r="CF13" s="10"/>
      <c r="CG13" s="10"/>
      <c r="CH13" s="43" t="str">
        <f t="shared" ref="CH13:CL13" si="52">CA13</f>
        <v/>
      </c>
      <c r="CI13" s="10" t="str">
        <f t="shared" si="52"/>
        <v/>
      </c>
      <c r="CJ13" s="10" t="str">
        <f t="shared" si="52"/>
        <v/>
      </c>
      <c r="CK13" s="10" t="str">
        <f t="shared" si="52"/>
        <v/>
      </c>
      <c r="CL13" s="10" t="str">
        <f t="shared" si="52"/>
        <v/>
      </c>
      <c r="CM13" s="10"/>
      <c r="CN13" s="10"/>
      <c r="CO13" s="43" t="str">
        <f t="shared" ref="CO13:CS13" si="53">CH13</f>
        <v/>
      </c>
      <c r="CP13" s="10" t="str">
        <f t="shared" si="53"/>
        <v/>
      </c>
      <c r="CQ13" s="10" t="str">
        <f t="shared" si="53"/>
        <v/>
      </c>
      <c r="CR13" s="10" t="str">
        <f t="shared" si="53"/>
        <v/>
      </c>
      <c r="CS13" s="10" t="str">
        <f t="shared" si="53"/>
        <v/>
      </c>
      <c r="CT13" s="10"/>
      <c r="CU13" s="10"/>
      <c r="CV13" s="43" t="str">
        <f t="shared" ref="CV13:CZ13" si="54">CO13</f>
        <v/>
      </c>
      <c r="CW13" s="10" t="str">
        <f t="shared" si="54"/>
        <v/>
      </c>
      <c r="CX13" s="10" t="str">
        <f t="shared" si="54"/>
        <v/>
      </c>
      <c r="CY13" s="10" t="str">
        <f t="shared" si="54"/>
        <v/>
      </c>
      <c r="CZ13" s="10" t="str">
        <f t="shared" si="54"/>
        <v/>
      </c>
      <c r="DA13" s="10"/>
      <c r="DB13" s="10"/>
      <c r="DC13" s="43" t="str">
        <f t="shared" ref="DC13:DG13" si="55">CV13</f>
        <v/>
      </c>
      <c r="DD13" s="10" t="str">
        <f t="shared" si="55"/>
        <v/>
      </c>
      <c r="DE13" s="10" t="str">
        <f t="shared" si="55"/>
        <v/>
      </c>
      <c r="DF13" s="10" t="str">
        <f t="shared" si="55"/>
        <v/>
      </c>
      <c r="DG13" s="10" t="str">
        <f t="shared" si="55"/>
        <v/>
      </c>
      <c r="DH13" s="10"/>
      <c r="DI13" s="10"/>
      <c r="DJ13" s="43" t="str">
        <f t="shared" ref="DJ13:DN13" si="56">DC13</f>
        <v/>
      </c>
      <c r="DK13" s="10" t="str">
        <f t="shared" si="56"/>
        <v/>
      </c>
      <c r="DL13" s="10" t="str">
        <f t="shared" si="56"/>
        <v/>
      </c>
      <c r="DM13" s="10" t="str">
        <f t="shared" si="56"/>
        <v/>
      </c>
      <c r="DN13" s="10" t="str">
        <f t="shared" si="56"/>
        <v/>
      </c>
      <c r="DO13" s="10"/>
      <c r="DP13" s="10"/>
      <c r="DQ13" s="43" t="str">
        <f t="shared" ref="DQ13:DU13" si="57">DJ13</f>
        <v/>
      </c>
      <c r="DR13" s="10" t="str">
        <f t="shared" si="57"/>
        <v/>
      </c>
      <c r="DS13" s="10" t="str">
        <f t="shared" si="57"/>
        <v/>
      </c>
      <c r="DT13" s="10" t="str">
        <f t="shared" si="57"/>
        <v/>
      </c>
      <c r="DU13" s="10" t="str">
        <f t="shared" si="57"/>
        <v/>
      </c>
      <c r="DV13" s="10"/>
      <c r="DW13" s="10"/>
      <c r="DX13" s="43" t="str">
        <f t="shared" ref="DX13:EB13" si="58">DQ13</f>
        <v/>
      </c>
      <c r="DY13" s="10" t="str">
        <f t="shared" si="58"/>
        <v/>
      </c>
      <c r="DZ13" s="10" t="str">
        <f t="shared" si="58"/>
        <v/>
      </c>
      <c r="EA13" s="10" t="str">
        <f t="shared" si="58"/>
        <v/>
      </c>
      <c r="EB13" s="10" t="str">
        <f t="shared" si="58"/>
        <v/>
      </c>
      <c r="EC13" s="10"/>
      <c r="ED13" s="10"/>
      <c r="EE13" s="43" t="str">
        <f t="shared" ref="EE13:EI13" si="59">DX13</f>
        <v/>
      </c>
      <c r="EF13" s="10" t="str">
        <f t="shared" si="59"/>
        <v/>
      </c>
      <c r="EG13" s="10" t="str">
        <f t="shared" si="59"/>
        <v/>
      </c>
      <c r="EH13" s="10" t="str">
        <f t="shared" si="59"/>
        <v/>
      </c>
      <c r="EI13" s="10" t="str">
        <f t="shared" si="59"/>
        <v/>
      </c>
      <c r="EJ13" s="10"/>
      <c r="EK13" s="10"/>
      <c r="EL13" s="43" t="str">
        <f t="shared" ref="EL13:EP13" si="60">EE13</f>
        <v/>
      </c>
      <c r="EM13" s="10" t="str">
        <f t="shared" si="60"/>
        <v/>
      </c>
      <c r="EN13" s="10" t="str">
        <f t="shared" si="60"/>
        <v/>
      </c>
      <c r="EO13" s="10" t="str">
        <f t="shared" si="60"/>
        <v/>
      </c>
      <c r="EP13" s="10" t="str">
        <f t="shared" si="60"/>
        <v/>
      </c>
      <c r="EQ13" s="10"/>
      <c r="ER13" s="10"/>
    </row>
    <row r="14">
      <c r="A14" s="45"/>
      <c r="B14" s="46"/>
      <c r="C14" s="47"/>
      <c r="D14" s="47"/>
      <c r="E14" s="47"/>
      <c r="F14" s="47"/>
      <c r="G14" s="47"/>
      <c r="H14" s="47"/>
      <c r="I14" s="46" t="str">
        <f t="shared" ref="I14:M14" si="61">B14</f>
        <v/>
      </c>
      <c r="J14" s="47" t="str">
        <f t="shared" si="61"/>
        <v/>
      </c>
      <c r="K14" s="47" t="str">
        <f t="shared" si="61"/>
        <v/>
      </c>
      <c r="L14" s="47" t="str">
        <f t="shared" si="61"/>
        <v/>
      </c>
      <c r="M14" s="47" t="str">
        <f t="shared" si="61"/>
        <v/>
      </c>
      <c r="N14" s="47"/>
      <c r="O14" s="47"/>
      <c r="P14" s="46" t="str">
        <f t="shared" ref="P14:T14" si="62">I14</f>
        <v/>
      </c>
      <c r="Q14" s="47" t="str">
        <f t="shared" si="62"/>
        <v/>
      </c>
      <c r="R14" s="47" t="str">
        <f t="shared" si="62"/>
        <v/>
      </c>
      <c r="S14" s="47" t="str">
        <f t="shared" si="62"/>
        <v/>
      </c>
      <c r="T14" s="47" t="str">
        <f t="shared" si="62"/>
        <v/>
      </c>
      <c r="U14" s="47"/>
      <c r="V14" s="47"/>
      <c r="W14" s="46" t="str">
        <f t="shared" ref="W14:AA14" si="63">P14</f>
        <v/>
      </c>
      <c r="X14" s="47" t="str">
        <f t="shared" si="63"/>
        <v/>
      </c>
      <c r="Y14" s="47" t="str">
        <f t="shared" si="63"/>
        <v/>
      </c>
      <c r="Z14" s="47" t="str">
        <f t="shared" si="63"/>
        <v/>
      </c>
      <c r="AA14" s="47" t="str">
        <f t="shared" si="63"/>
        <v/>
      </c>
      <c r="AB14" s="47"/>
      <c r="AC14" s="47"/>
      <c r="AD14" s="46" t="str">
        <f t="shared" ref="AD14:AH14" si="64">W14</f>
        <v/>
      </c>
      <c r="AE14" s="47" t="str">
        <f t="shared" si="64"/>
        <v/>
      </c>
      <c r="AF14" s="47" t="str">
        <f t="shared" si="64"/>
        <v/>
      </c>
      <c r="AG14" s="47" t="str">
        <f t="shared" si="64"/>
        <v/>
      </c>
      <c r="AH14" s="47" t="str">
        <f t="shared" si="64"/>
        <v/>
      </c>
      <c r="AI14" s="47"/>
      <c r="AJ14" s="47"/>
      <c r="AK14" s="46" t="str">
        <f t="shared" ref="AK14:AO14" si="65">AD14</f>
        <v/>
      </c>
      <c r="AL14" s="47" t="str">
        <f t="shared" si="65"/>
        <v/>
      </c>
      <c r="AM14" s="47" t="str">
        <f t="shared" si="65"/>
        <v/>
      </c>
      <c r="AN14" s="47" t="str">
        <f t="shared" si="65"/>
        <v/>
      </c>
      <c r="AO14" s="47" t="str">
        <f t="shared" si="65"/>
        <v/>
      </c>
      <c r="AP14" s="47"/>
      <c r="AQ14" s="47"/>
      <c r="AR14" s="46" t="str">
        <f t="shared" ref="AR14:AV14" si="66">AK14</f>
        <v/>
      </c>
      <c r="AS14" s="47" t="str">
        <f t="shared" si="66"/>
        <v/>
      </c>
      <c r="AT14" s="47" t="str">
        <f t="shared" si="66"/>
        <v/>
      </c>
      <c r="AU14" s="47" t="str">
        <f t="shared" si="66"/>
        <v/>
      </c>
      <c r="AV14" s="47" t="str">
        <f t="shared" si="66"/>
        <v/>
      </c>
      <c r="AW14" s="47"/>
      <c r="AX14" s="47"/>
      <c r="AY14" s="46" t="str">
        <f t="shared" ref="AY14:BC14" si="67">AR14</f>
        <v/>
      </c>
      <c r="AZ14" s="47" t="str">
        <f t="shared" si="67"/>
        <v/>
      </c>
      <c r="BA14" s="47" t="str">
        <f t="shared" si="67"/>
        <v/>
      </c>
      <c r="BB14" s="47" t="str">
        <f t="shared" si="67"/>
        <v/>
      </c>
      <c r="BC14" s="47" t="str">
        <f t="shared" si="67"/>
        <v/>
      </c>
      <c r="BD14" s="47"/>
      <c r="BE14" s="47"/>
      <c r="BF14" s="46" t="str">
        <f t="shared" ref="BF14:BJ14" si="68">AY14</f>
        <v/>
      </c>
      <c r="BG14" s="47" t="str">
        <f t="shared" si="68"/>
        <v/>
      </c>
      <c r="BH14" s="47" t="str">
        <f t="shared" si="68"/>
        <v/>
      </c>
      <c r="BI14" s="47" t="str">
        <f t="shared" si="68"/>
        <v/>
      </c>
      <c r="BJ14" s="47" t="str">
        <f t="shared" si="68"/>
        <v/>
      </c>
      <c r="BK14" s="47"/>
      <c r="BL14" s="47"/>
      <c r="BM14" s="46" t="str">
        <f t="shared" ref="BM14:BQ14" si="69">BF14</f>
        <v/>
      </c>
      <c r="BN14" s="47" t="str">
        <f t="shared" si="69"/>
        <v/>
      </c>
      <c r="BO14" s="47" t="str">
        <f t="shared" si="69"/>
        <v/>
      </c>
      <c r="BP14" s="47" t="str">
        <f t="shared" si="69"/>
        <v/>
      </c>
      <c r="BQ14" s="47" t="str">
        <f t="shared" si="69"/>
        <v/>
      </c>
      <c r="BR14" s="47"/>
      <c r="BS14" s="47"/>
      <c r="BT14" s="46" t="str">
        <f t="shared" ref="BT14:BX14" si="70">BM14</f>
        <v/>
      </c>
      <c r="BU14" s="47" t="str">
        <f t="shared" si="70"/>
        <v/>
      </c>
      <c r="BV14" s="47" t="str">
        <f t="shared" si="70"/>
        <v/>
      </c>
      <c r="BW14" s="47" t="str">
        <f t="shared" si="70"/>
        <v/>
      </c>
      <c r="BX14" s="47" t="str">
        <f t="shared" si="70"/>
        <v/>
      </c>
      <c r="BY14" s="47"/>
      <c r="BZ14" s="47"/>
      <c r="CA14" s="46" t="str">
        <f t="shared" ref="CA14:CE14" si="71">BT14</f>
        <v/>
      </c>
      <c r="CB14" s="47" t="str">
        <f t="shared" si="71"/>
        <v/>
      </c>
      <c r="CC14" s="47" t="str">
        <f t="shared" si="71"/>
        <v/>
      </c>
      <c r="CD14" s="47" t="str">
        <f t="shared" si="71"/>
        <v/>
      </c>
      <c r="CE14" s="47" t="str">
        <f t="shared" si="71"/>
        <v/>
      </c>
      <c r="CF14" s="47"/>
      <c r="CG14" s="47"/>
      <c r="CH14" s="46" t="str">
        <f t="shared" ref="CH14:CL14" si="72">CA14</f>
        <v/>
      </c>
      <c r="CI14" s="47" t="str">
        <f t="shared" si="72"/>
        <v/>
      </c>
      <c r="CJ14" s="47" t="str">
        <f t="shared" si="72"/>
        <v/>
      </c>
      <c r="CK14" s="47" t="str">
        <f t="shared" si="72"/>
        <v/>
      </c>
      <c r="CL14" s="47" t="str">
        <f t="shared" si="72"/>
        <v/>
      </c>
      <c r="CM14" s="47"/>
      <c r="CN14" s="47"/>
      <c r="CO14" s="46" t="str">
        <f t="shared" ref="CO14:CS14" si="73">CH14</f>
        <v/>
      </c>
      <c r="CP14" s="47" t="str">
        <f t="shared" si="73"/>
        <v/>
      </c>
      <c r="CQ14" s="47" t="str">
        <f t="shared" si="73"/>
        <v/>
      </c>
      <c r="CR14" s="47" t="str">
        <f t="shared" si="73"/>
        <v/>
      </c>
      <c r="CS14" s="47" t="str">
        <f t="shared" si="73"/>
        <v/>
      </c>
      <c r="CT14" s="47"/>
      <c r="CU14" s="47"/>
      <c r="CV14" s="46" t="str">
        <f t="shared" ref="CV14:CZ14" si="74">CO14</f>
        <v/>
      </c>
      <c r="CW14" s="47" t="str">
        <f t="shared" si="74"/>
        <v/>
      </c>
      <c r="CX14" s="47" t="str">
        <f t="shared" si="74"/>
        <v/>
      </c>
      <c r="CY14" s="47" t="str">
        <f t="shared" si="74"/>
        <v/>
      </c>
      <c r="CZ14" s="47" t="str">
        <f t="shared" si="74"/>
        <v/>
      </c>
      <c r="DA14" s="47"/>
      <c r="DB14" s="47"/>
      <c r="DC14" s="46" t="str">
        <f t="shared" ref="DC14:DG14" si="75">CV14</f>
        <v/>
      </c>
      <c r="DD14" s="47" t="str">
        <f t="shared" si="75"/>
        <v/>
      </c>
      <c r="DE14" s="47" t="str">
        <f t="shared" si="75"/>
        <v/>
      </c>
      <c r="DF14" s="47" t="str">
        <f t="shared" si="75"/>
        <v/>
      </c>
      <c r="DG14" s="47" t="str">
        <f t="shared" si="75"/>
        <v/>
      </c>
      <c r="DH14" s="47"/>
      <c r="DI14" s="47"/>
      <c r="DJ14" s="46" t="str">
        <f t="shared" ref="DJ14:DN14" si="76">DC14</f>
        <v/>
      </c>
      <c r="DK14" s="47" t="str">
        <f t="shared" si="76"/>
        <v/>
      </c>
      <c r="DL14" s="47" t="str">
        <f t="shared" si="76"/>
        <v/>
      </c>
      <c r="DM14" s="47" t="str">
        <f t="shared" si="76"/>
        <v/>
      </c>
      <c r="DN14" s="47" t="str">
        <f t="shared" si="76"/>
        <v/>
      </c>
      <c r="DO14" s="47"/>
      <c r="DP14" s="47"/>
      <c r="DQ14" s="46" t="str">
        <f t="shared" ref="DQ14:DU14" si="77">DJ14</f>
        <v/>
      </c>
      <c r="DR14" s="47" t="str">
        <f t="shared" si="77"/>
        <v/>
      </c>
      <c r="DS14" s="47" t="str">
        <f t="shared" si="77"/>
        <v/>
      </c>
      <c r="DT14" s="47" t="str">
        <f t="shared" si="77"/>
        <v/>
      </c>
      <c r="DU14" s="47" t="str">
        <f t="shared" si="77"/>
        <v/>
      </c>
      <c r="DV14" s="47"/>
      <c r="DW14" s="47"/>
      <c r="DX14" s="46" t="str">
        <f t="shared" ref="DX14:EB14" si="78">DQ14</f>
        <v/>
      </c>
      <c r="DY14" s="47" t="str">
        <f t="shared" si="78"/>
        <v/>
      </c>
      <c r="DZ14" s="47" t="str">
        <f t="shared" si="78"/>
        <v/>
      </c>
      <c r="EA14" s="47" t="str">
        <f t="shared" si="78"/>
        <v/>
      </c>
      <c r="EB14" s="47" t="str">
        <f t="shared" si="78"/>
        <v/>
      </c>
      <c r="EC14" s="47"/>
      <c r="ED14" s="47"/>
      <c r="EE14" s="46" t="str">
        <f t="shared" ref="EE14:EI14" si="79">DX14</f>
        <v/>
      </c>
      <c r="EF14" s="47" t="str">
        <f t="shared" si="79"/>
        <v/>
      </c>
      <c r="EG14" s="47" t="str">
        <f t="shared" si="79"/>
        <v/>
      </c>
      <c r="EH14" s="47" t="str">
        <f t="shared" si="79"/>
        <v/>
      </c>
      <c r="EI14" s="47" t="str">
        <f t="shared" si="79"/>
        <v/>
      </c>
      <c r="EJ14" s="47"/>
      <c r="EK14" s="47"/>
      <c r="EL14" s="46" t="str">
        <f t="shared" ref="EL14:EP14" si="80">EE14</f>
        <v/>
      </c>
      <c r="EM14" s="47" t="str">
        <f t="shared" si="80"/>
        <v/>
      </c>
      <c r="EN14" s="47" t="str">
        <f t="shared" si="80"/>
        <v/>
      </c>
      <c r="EO14" s="47" t="str">
        <f t="shared" si="80"/>
        <v/>
      </c>
      <c r="EP14" s="47" t="str">
        <f t="shared" si="80"/>
        <v/>
      </c>
      <c r="EQ14" s="47"/>
      <c r="ER14" s="47"/>
    </row>
    <row r="15">
      <c r="A15" s="3"/>
      <c r="B15" s="42"/>
      <c r="C15" s="3"/>
      <c r="D15" s="3"/>
      <c r="E15" s="3"/>
      <c r="F15" s="3"/>
      <c r="G15" s="3"/>
      <c r="H15" s="3"/>
      <c r="I15" s="42"/>
      <c r="J15" s="3"/>
      <c r="K15" s="3"/>
      <c r="L15" s="3"/>
      <c r="M15" s="3"/>
      <c r="N15" s="3"/>
      <c r="O15" s="3"/>
      <c r="P15" s="42"/>
      <c r="Q15" s="3"/>
      <c r="R15" s="3"/>
      <c r="S15" s="3"/>
      <c r="T15" s="3"/>
      <c r="U15" s="3"/>
      <c r="V15" s="3"/>
      <c r="W15" s="42"/>
      <c r="X15" s="3"/>
      <c r="Y15" s="3"/>
      <c r="Z15" s="3"/>
      <c r="AA15" s="3"/>
      <c r="AB15" s="3"/>
      <c r="AC15" s="3"/>
      <c r="AD15" s="42"/>
      <c r="AE15" s="3"/>
      <c r="AF15" s="3"/>
      <c r="AG15" s="3"/>
      <c r="AH15" s="3"/>
      <c r="AI15" s="3"/>
      <c r="AJ15" s="3"/>
      <c r="AK15" s="42"/>
      <c r="AL15" s="3"/>
      <c r="AM15" s="3"/>
      <c r="AN15" s="3"/>
      <c r="AO15" s="3"/>
      <c r="AP15" s="3"/>
      <c r="AQ15" s="3"/>
      <c r="AR15" s="42"/>
      <c r="AS15" s="3"/>
      <c r="AT15" s="3"/>
      <c r="AU15" s="3"/>
      <c r="AV15" s="3"/>
      <c r="AW15" s="3"/>
      <c r="AX15" s="3"/>
      <c r="AY15" s="42"/>
      <c r="AZ15" s="3"/>
      <c r="BA15" s="3"/>
      <c r="BB15" s="3"/>
      <c r="BC15" s="3"/>
      <c r="BD15" s="3"/>
      <c r="BE15" s="3"/>
      <c r="BF15" s="42"/>
      <c r="BG15" s="3"/>
      <c r="BH15" s="3"/>
      <c r="BI15" s="3"/>
      <c r="BJ15" s="3"/>
      <c r="BK15" s="3"/>
      <c r="BL15" s="3"/>
      <c r="BM15" s="42"/>
      <c r="BN15" s="3"/>
      <c r="BO15" s="3"/>
      <c r="BP15" s="3"/>
      <c r="BQ15" s="3"/>
      <c r="BR15" s="3"/>
      <c r="BS15" s="3"/>
      <c r="BT15" s="42"/>
      <c r="BU15" s="3"/>
      <c r="BV15" s="3"/>
      <c r="BW15" s="3"/>
      <c r="BX15" s="3"/>
      <c r="BY15" s="3"/>
      <c r="BZ15" s="3"/>
      <c r="CA15" s="42"/>
      <c r="CB15" s="3"/>
      <c r="CC15" s="3"/>
      <c r="CD15" s="3"/>
      <c r="CE15" s="3"/>
      <c r="CF15" s="3"/>
      <c r="CG15" s="3"/>
      <c r="CH15" s="42"/>
      <c r="CI15" s="3"/>
      <c r="CJ15" s="3"/>
      <c r="CK15" s="3"/>
      <c r="CL15" s="3"/>
      <c r="CM15" s="3"/>
      <c r="CN15" s="3"/>
      <c r="CO15" s="42"/>
      <c r="CP15" s="3"/>
      <c r="CQ15" s="3"/>
      <c r="CR15" s="3"/>
      <c r="CS15" s="3"/>
      <c r="CT15" s="3"/>
      <c r="CU15" s="3"/>
      <c r="CV15" s="42"/>
      <c r="CW15" s="3"/>
      <c r="CX15" s="3"/>
      <c r="CY15" s="3"/>
      <c r="CZ15" s="3"/>
      <c r="DA15" s="3"/>
      <c r="DB15" s="3"/>
      <c r="DC15" s="42"/>
      <c r="DD15" s="3"/>
      <c r="DE15" s="3"/>
      <c r="DF15" s="3"/>
      <c r="DG15" s="3"/>
      <c r="DH15" s="3"/>
      <c r="DI15" s="3"/>
      <c r="DJ15" s="42"/>
      <c r="DK15" s="3"/>
      <c r="DL15" s="3"/>
      <c r="DM15" s="3"/>
      <c r="DN15" s="3"/>
      <c r="DO15" s="3"/>
      <c r="DP15" s="3"/>
      <c r="DQ15" s="42"/>
      <c r="DR15" s="3"/>
      <c r="DS15" s="3"/>
      <c r="DT15" s="3"/>
      <c r="DU15" s="3"/>
      <c r="DV15" s="3"/>
      <c r="DW15" s="3"/>
      <c r="DX15" s="42"/>
      <c r="DY15" s="3"/>
      <c r="DZ15" s="3"/>
      <c r="EA15" s="3"/>
      <c r="EB15" s="3"/>
      <c r="EC15" s="3"/>
      <c r="ED15" s="3"/>
      <c r="EE15" s="42"/>
      <c r="EF15" s="3"/>
      <c r="EG15" s="3"/>
      <c r="EH15" s="3"/>
      <c r="EI15" s="3"/>
      <c r="EJ15" s="3"/>
      <c r="EK15" s="3"/>
      <c r="EL15" s="42"/>
      <c r="EM15" s="3"/>
      <c r="EN15" s="3"/>
      <c r="EO15" s="3"/>
      <c r="EP15" s="3"/>
      <c r="EQ15" s="3"/>
      <c r="ER15" s="3"/>
    </row>
    <row r="16">
      <c r="A16" s="32" t="s">
        <v>80</v>
      </c>
      <c r="B16" s="33"/>
      <c r="C16" s="34"/>
      <c r="D16" s="34"/>
      <c r="E16" s="34"/>
      <c r="F16" s="34"/>
      <c r="G16" s="34"/>
      <c r="H16" s="34"/>
      <c r="I16" s="33"/>
      <c r="J16" s="34"/>
      <c r="K16" s="34"/>
      <c r="L16" s="34"/>
      <c r="M16" s="34"/>
      <c r="N16" s="34"/>
      <c r="O16" s="34"/>
      <c r="P16" s="33"/>
      <c r="Q16" s="34"/>
      <c r="R16" s="34"/>
      <c r="S16" s="34"/>
      <c r="T16" s="34"/>
      <c r="U16" s="34"/>
      <c r="V16" s="34"/>
      <c r="W16" s="33"/>
      <c r="X16" s="34"/>
      <c r="Y16" s="34"/>
      <c r="Z16" s="34"/>
      <c r="AA16" s="34"/>
      <c r="AB16" s="34"/>
      <c r="AC16" s="34"/>
      <c r="AD16" s="33"/>
      <c r="AE16" s="34"/>
      <c r="AF16" s="34"/>
      <c r="AG16" s="34"/>
      <c r="AH16" s="34"/>
      <c r="AI16" s="34"/>
      <c r="AJ16" s="34"/>
      <c r="AK16" s="33"/>
      <c r="AL16" s="34"/>
      <c r="AM16" s="34"/>
      <c r="AN16" s="34"/>
      <c r="AO16" s="34"/>
      <c r="AP16" s="34"/>
      <c r="AQ16" s="34"/>
      <c r="AR16" s="33"/>
      <c r="AS16" s="34"/>
      <c r="AT16" s="34"/>
      <c r="AU16" s="34"/>
      <c r="AV16" s="34"/>
      <c r="AW16" s="34"/>
      <c r="AX16" s="34"/>
      <c r="AY16" s="33"/>
      <c r="AZ16" s="34"/>
      <c r="BA16" s="34"/>
      <c r="BB16" s="34"/>
      <c r="BC16" s="34"/>
      <c r="BD16" s="34"/>
      <c r="BE16" s="34"/>
      <c r="BF16" s="33"/>
      <c r="BG16" s="34"/>
      <c r="BH16" s="34"/>
      <c r="BI16" s="34"/>
      <c r="BJ16" s="34"/>
      <c r="BK16" s="34"/>
      <c r="BL16" s="34"/>
      <c r="BM16" s="33"/>
      <c r="BN16" s="34"/>
      <c r="BO16" s="34"/>
      <c r="BP16" s="34"/>
      <c r="BQ16" s="34"/>
      <c r="BR16" s="34"/>
      <c r="BS16" s="34"/>
      <c r="BT16" s="33"/>
      <c r="BU16" s="34"/>
      <c r="BV16" s="34"/>
      <c r="BW16" s="34"/>
      <c r="BX16" s="34"/>
      <c r="BY16" s="34"/>
      <c r="BZ16" s="34"/>
      <c r="CA16" s="33"/>
      <c r="CB16" s="34"/>
      <c r="CC16" s="34"/>
      <c r="CD16" s="34"/>
      <c r="CE16" s="34"/>
      <c r="CF16" s="34"/>
      <c r="CG16" s="34"/>
      <c r="CH16" s="33"/>
      <c r="CI16" s="34"/>
      <c r="CJ16" s="34"/>
      <c r="CK16" s="34"/>
      <c r="CL16" s="34"/>
      <c r="CM16" s="34"/>
      <c r="CN16" s="34"/>
      <c r="CO16" s="33"/>
      <c r="CP16" s="34"/>
      <c r="CQ16" s="34"/>
      <c r="CR16" s="34"/>
      <c r="CS16" s="34"/>
      <c r="CT16" s="34"/>
      <c r="CU16" s="34"/>
      <c r="CV16" s="33"/>
      <c r="CW16" s="34"/>
      <c r="CX16" s="34"/>
      <c r="CY16" s="34"/>
      <c r="CZ16" s="34"/>
      <c r="DA16" s="34"/>
      <c r="DB16" s="34"/>
      <c r="DC16" s="33"/>
      <c r="DD16" s="34"/>
      <c r="DE16" s="34"/>
      <c r="DF16" s="34"/>
      <c r="DG16" s="34"/>
      <c r="DH16" s="34"/>
      <c r="DI16" s="34"/>
      <c r="DJ16" s="33"/>
      <c r="DK16" s="34"/>
      <c r="DL16" s="34"/>
      <c r="DM16" s="34"/>
      <c r="DN16" s="34"/>
      <c r="DO16" s="34"/>
      <c r="DP16" s="34"/>
      <c r="DQ16" s="33"/>
      <c r="DR16" s="34"/>
      <c r="DS16" s="34"/>
      <c r="DT16" s="34"/>
      <c r="DU16" s="34"/>
      <c r="DV16" s="34"/>
      <c r="DW16" s="34"/>
      <c r="DX16" s="33"/>
      <c r="DY16" s="34"/>
      <c r="DZ16" s="34"/>
      <c r="EA16" s="34"/>
      <c r="EB16" s="34"/>
      <c r="EC16" s="34"/>
      <c r="ED16" s="34"/>
      <c r="EE16" s="35" t="s">
        <v>77</v>
      </c>
      <c r="EF16" s="36"/>
      <c r="EG16" s="36"/>
      <c r="EH16" s="36"/>
      <c r="EI16" s="36"/>
      <c r="EJ16" s="36"/>
      <c r="EK16" s="36"/>
      <c r="EL16" s="33"/>
      <c r="EM16" s="34"/>
      <c r="EN16" s="34"/>
      <c r="EO16" s="34"/>
      <c r="EP16" s="34"/>
      <c r="EQ16" s="34"/>
      <c r="ER16" s="34"/>
    </row>
    <row r="17" hidden="1">
      <c r="A17" s="37" t="str">
        <f>CONCATENATE(A18," TM")</f>
        <v>Bench Press TM</v>
      </c>
      <c r="B17" s="38">
        <f>if(D17="",'Quick Setup'!D6,D17/'Quick Setup'!E6)</f>
        <v>325</v>
      </c>
      <c r="C17" s="39" t="s">
        <v>75</v>
      </c>
      <c r="D17" s="40"/>
      <c r="E17" s="41"/>
      <c r="F17" s="41"/>
      <c r="G17" s="41"/>
      <c r="H17" s="41"/>
      <c r="I17" s="38">
        <f>if(K17="", if(F18&lt;&gt;"", if((F18-D18)&lt;-1,B17*(1+Setup!F4),if((F18-D18)&lt;0,B17*(1+Setup!G4),if((F18-D18)=0,B17*(1+Setup!H4),if((F18-D18)=1,B17*(1+Setup!I4),if((F18-D18)=2,B17*(1+Setup!J4),if((F18-D18)=3,B17*(1+Setup!K4),if((F18-D18)=4,B17*(1+Setup!L4),if((F18-D18)&gt;4,B17*(1+Setup!M4),B17)))))))),B17),K17/'Quick Setup'!$E6)</f>
        <v>325</v>
      </c>
      <c r="J17" s="39" t="s">
        <v>75</v>
      </c>
      <c r="K17" s="40"/>
      <c r="L17" s="41"/>
      <c r="M17" s="41"/>
      <c r="N17" s="41"/>
      <c r="O17" s="41"/>
      <c r="P17" s="38">
        <f>if(R17="", if(M18&lt;&gt;"", if((M18-K18)&lt;-1,I17*(1+Setup!R4),if((M18-K18)&lt;0,I17*(1+Setup!S4),if((M18-K18)=0,I17*(1+Setup!T4),if((M18-K18)=1,I17*(1+Setup!U4),if((M18-K18)=2,I17*(1+Setup!V4),if((M18-K18)=3,I17*(1+Setup!W4),if((M18-K18)=4,I17*(1+Setup!X4),if((M18-K18)&gt;4,I17*(1+Setup!Y4),I17)))))))),I17),R17/'Quick Setup'!$E6)</f>
        <v>325</v>
      </c>
      <c r="Q17" s="39" t="s">
        <v>75</v>
      </c>
      <c r="R17" s="40"/>
      <c r="S17" s="41"/>
      <c r="T17" s="41"/>
      <c r="U17" s="41"/>
      <c r="V17" s="41"/>
      <c r="W17" s="38">
        <f>if(Y17="", if(T18&lt;&gt;"", if((T18-R18)&lt;-1,P17*(1+Setup!AD4),if((T18-R18)&lt;0,P17*(1+Setup!AE4),if((T18-R18)=0,P17*(1+Setup!AF4),if((T18-R18)=1,P17*(1+Setup!AG4),if((T18-R18)=2,P17*(1+Setup!AH4),if((T18-R18)=3,P17*(1+Setup!AI4),if((T18-R18)=4,P17*(1+Setup!AJ4),if((T18-R18)&gt;4,P17*(1+Setup!AK4),P17)))))))),P17),Y17/'Quick Setup'!$E6)</f>
        <v>325</v>
      </c>
      <c r="X17" s="39" t="s">
        <v>75</v>
      </c>
      <c r="Y17" s="40"/>
      <c r="Z17" s="41"/>
      <c r="AA17" s="41"/>
      <c r="AB17" s="41"/>
      <c r="AC17" s="41"/>
      <c r="AD17" s="38">
        <f>if(AF17="", if(AA18&lt;&gt;"", if((AA18-Y18)&lt;-1,W17*(1+Setup!AP4),if((AA18-Y18)&lt;0,W17*(1+Setup!AQ4),if((AA18-Y18)=0,W17*(1+Setup!AR4),if((AA18-Y18)=1,W17*(1+Setup!AS4),if((AA18-Y18)=2,W17*(1+Setup!AT4),if((AA18-Y18)=3,W17*(1+Setup!AU4),if((AA18-Y18)=4,W17*(1+Setup!AV4),if((AA18-Y18)&gt;4,W17*(1+Setup!AW4),W17)))))))),W17),AF17/'Quick Setup'!$E6)</f>
        <v>325</v>
      </c>
      <c r="AE17" s="39" t="s">
        <v>75</v>
      </c>
      <c r="AF17" s="40"/>
      <c r="AG17" s="41"/>
      <c r="AH17" s="41"/>
      <c r="AI17" s="41"/>
      <c r="AJ17" s="41"/>
      <c r="AK17" s="38">
        <f>if(AM17="", if(AH18&lt;&gt;"", if((AH18-AF18)&lt;-1,AD17*(1+Setup!BB4),if((AH18-AF18)&lt;0,AD17*(1+Setup!BC4),if((AH18-AF18)=0,AD17*(1+Setup!BD4),if((AH18-AF18)=1,AD17*(1+Setup!BE4),if((AH18-AF18)=2,AD17*(1+Setup!BF4),if((AH18-AF18)=3,AD17*(1+Setup!BG4),if((AH18-AF18)=4,AD17*(1+Setup!BH4),if((AH18-AF18)&gt;4,AD17*(1+Setup!BI4),AD17)))))))),AD17),AM17/'Quick Setup'!$E6)</f>
        <v>325</v>
      </c>
      <c r="AL17" s="39" t="s">
        <v>75</v>
      </c>
      <c r="AM17" s="40"/>
      <c r="AN17" s="41"/>
      <c r="AO17" s="41"/>
      <c r="AP17" s="41"/>
      <c r="AQ17" s="41"/>
      <c r="AR17" s="38">
        <f>if(AT17="", if(AO18&lt;&gt;"", if((AO18-AM18)&lt;-1,AK17*(1+Setup!BN4),if((AO18-AM18)&lt;0,AK17*(1+Setup!BO4),if((AO18-AM18)=0,AK17*(1+Setup!BP4),if((AO18-AM18)=1,AK17*(1+Setup!BQ4),if((AO18-AM18)=2,AK17*(1+Setup!BR4),if((AO18-AM18)=3,AK17*(1+Setup!BS4),if((AO18-AM18)=4,AK17*(1+Setup!BT4),if((AO18-AM18)&gt;4,AK17*(1+Setup!BU4),AK17)))))))),AK17),AT17/'Quick Setup'!$E6)</f>
        <v>325</v>
      </c>
      <c r="AS17" s="39" t="s">
        <v>75</v>
      </c>
      <c r="AT17" s="40"/>
      <c r="AU17" s="41"/>
      <c r="AV17" s="41"/>
      <c r="AW17" s="41"/>
      <c r="AX17" s="41"/>
      <c r="AY17" s="38">
        <f>if(BA17="",AR17,BA17/'Quick Setup'!$E6)</f>
        <v>325</v>
      </c>
      <c r="AZ17" s="39" t="s">
        <v>75</v>
      </c>
      <c r="BA17" s="40"/>
      <c r="BB17" s="41"/>
      <c r="BC17" s="41"/>
      <c r="BD17" s="41"/>
      <c r="BE17" s="41"/>
      <c r="BF17" s="38">
        <f>if(BH17="", if(BC18&lt;&gt;"", if((BC18-BA18)&lt;-1,AY17*(1+Setup!CL4),if((BC18-BA18)&lt;0,AY17*(1+Setup!CM4),if((BC18-BA18)=0,AY17*(1+Setup!CN4),if((BC18-BA18)=1,AY17*(1+Setup!CO4),if((BC18-BA18)=2,AY17*(1+Setup!CP4),if((BC18-BA18)=3,AY17*(1+Setup!CQ4),if((BC18-BA18)=4,AY17*(1+Setup!CR4),if((BC18-BA18)&gt;4,AY17*(1+Setup!CS4),AY17)))))))),AY17),BH17/'Quick Setup'!$E6)</f>
        <v>325</v>
      </c>
      <c r="BG17" s="39" t="s">
        <v>75</v>
      </c>
      <c r="BH17" s="40"/>
      <c r="BI17" s="41"/>
      <c r="BJ17" s="41"/>
      <c r="BK17" s="41"/>
      <c r="BL17" s="41"/>
      <c r="BM17" s="38">
        <f>if(BO17="", if(BJ18&lt;&gt;"", if((BJ18-BH18)&lt;-1,BF17*(1+Setup!CX4),if((BJ18-BH18)&lt;0,BF17*(1+Setup!CY4),if((BJ18-BH18)=0,BF17*(1+Setup!CZ4),if((BJ18-BH18)=1,BF17*(1+Setup!DA4),if((BJ18-BH18)=2,BF17*(1+Setup!DB4),if((BJ18-BH18)=3,BF17*(1+Setup!DC4),if((BJ18-BH18)=4,BF17*(1+Setup!DD4),if((BJ18-BH18)&gt;4,BF17*(1+Setup!DE4),BF17)))))))),BF17),BO17/'Quick Setup'!$E6)</f>
        <v>325</v>
      </c>
      <c r="BN17" s="39" t="s">
        <v>75</v>
      </c>
      <c r="BO17" s="40"/>
      <c r="BP17" s="41"/>
      <c r="BQ17" s="41"/>
      <c r="BR17" s="41"/>
      <c r="BS17" s="41"/>
      <c r="BT17" s="38">
        <f>if(BV17="", if(BQ18&lt;&gt;"", if((BQ18-BO18)&lt;-1,BM17*(1+Setup!DJ4),if((BQ18-BO18)&lt;0,BM17*(1+Setup!DK4),if((BQ18-BO18)=0,BM17*(1+Setup!DL4),if((BQ18-BO18)=1,BM17*(1+Setup!DM4),if((BQ18-BO18)=2,BM17*(1+Setup!DN4),if((BQ18-BO18)=3,BM17*(1+Setup!DO4),if((BQ18-BO18)=4,BM17*(1+Setup!DP4),if((BQ18-BO18)&gt;4,BM17*(1+Setup!DQ4),BM17)))))))),BM17),BV17/'Quick Setup'!$E6)</f>
        <v>325</v>
      </c>
      <c r="BU17" s="39" t="s">
        <v>75</v>
      </c>
      <c r="BV17" s="40"/>
      <c r="BW17" s="41"/>
      <c r="BX17" s="41"/>
      <c r="BY17" s="41"/>
      <c r="BZ17" s="41"/>
      <c r="CA17" s="38">
        <f>if(CC17="", if(BX18&lt;&gt;"", if((BX18-BV18)&lt;-1,BT17*(1+Setup!DV4),if((BX18-BV18)&lt;0,BT17*(1+Setup!DW4),if((BX18-BV18)=0,BT17*(1+Setup!DX4),if((BX18-BV18)=1,BT17*(1+Setup!DY4),if((BX18-BV18)=2,BT17*(1+Setup!DZ4),if((BX18-BV18)=3,BT17*(1+Setup!EA4),if((BX18-BV18)=4,BT17*(1+Setup!EB4),if((BX18-BV18)&gt;4,BT17*(1+Setup!EC4),BT17)))))))),BT17),CC17/'Quick Setup'!$E6)</f>
        <v>325</v>
      </c>
      <c r="CB17" s="39" t="s">
        <v>75</v>
      </c>
      <c r="CC17" s="40"/>
      <c r="CD17" s="41"/>
      <c r="CE17" s="41"/>
      <c r="CF17" s="41"/>
      <c r="CG17" s="41"/>
      <c r="CH17" s="38">
        <f>if(CJ17="", if(CE18&lt;&gt;"", if((CE18-CC18)&lt;-1,CA17*(1+Setup!EH4),if((CE18-CC18)&lt;0,CA17*(1+Setup!EI4),if((CE18-CC18)=0,CA17*(1+Setup!EJ4),if((CE18-CC18)=1,CA17*(1+Setup!EK4),if((CE18-CC18)=2,CA17*(1+Setup!EL4),if((CE18-CC18)=3,CA17*(1+Setup!EM4),if((CE18-CC18)=4,CA17*(1+Setup!EN4),if((CE18-CC18)&gt;4,CA17*(1+Setup!EO4),CA17)))))))),CA17),CJ17/'Quick Setup'!$E6)</f>
        <v>325</v>
      </c>
      <c r="CI17" s="39" t="s">
        <v>75</v>
      </c>
      <c r="CJ17" s="40"/>
      <c r="CK17" s="41"/>
      <c r="CL17" s="41"/>
      <c r="CM17" s="41"/>
      <c r="CN17" s="41"/>
      <c r="CO17" s="38">
        <f>if(CQ17="", if(CL18&lt;&gt;"", if((CL18-CJ18)&lt;-1,CH17*(1+Setup!ET4),if((CL18-CJ18)&lt;0,CH17*(1+Setup!EU4),if((CL18-CJ18)=0,CH17*(1+Setup!EV4),if((CL18-CJ18)=1,CH17*(1+Setup!EW4),if((CL18-CJ18)=2,CH17*(1+Setup!EX4),if((CL18-CJ18)=3,CH17*(1+Setup!EY4),if((CL18-CJ18)=4,CH17*(1+Setup!EZ4),if((CL18-CJ18)&gt;4,CH17*(1+Setup!FA4),CH17)))))))),CH17),CQ17/'Quick Setup'!$E6)</f>
        <v>325</v>
      </c>
      <c r="CP17" s="39" t="s">
        <v>75</v>
      </c>
      <c r="CQ17" s="40"/>
      <c r="CR17" s="41"/>
      <c r="CS17" s="41"/>
      <c r="CT17" s="41"/>
      <c r="CU17" s="41"/>
      <c r="CV17" s="38">
        <f>if(CX17="",CO17,CX17/'Quick Setup'!$E6)</f>
        <v>325</v>
      </c>
      <c r="CW17" s="39" t="s">
        <v>75</v>
      </c>
      <c r="CX17" s="40"/>
      <c r="CY17" s="41"/>
      <c r="CZ17" s="41"/>
      <c r="DA17" s="41"/>
      <c r="DB17" s="41"/>
      <c r="DC17" s="38">
        <f>if(DE17="", if(CZ18&lt;&gt;"", if((CZ18-CX18)&lt;-1,CV17*(1+Setup!FR4),if((CZ18-CX18)&lt;0,CV17*(1+Setup!FS4),if((CZ18-CX18)=0,CV17*(1+Setup!FT4),if((CZ18-CX18)=1,CV17*(1+Setup!FU4),if((CZ18-CX18)=2,CV17*(1+Setup!FV4),if((CZ18-CX18)=3,CV17*(1+Setup!FW4),if((CZ18-CX18)=4,CV17*(1+Setup!FX4),if((CZ18-CX18)&gt;4,CV17*(1+Setup!FY4),CV17)))))))),CV17),DE17/'Quick Setup'!$E6)</f>
        <v>325</v>
      </c>
      <c r="DD17" s="39" t="s">
        <v>75</v>
      </c>
      <c r="DE17" s="40"/>
      <c r="DF17" s="41"/>
      <c r="DG17" s="41"/>
      <c r="DH17" s="41"/>
      <c r="DI17" s="41"/>
      <c r="DJ17" s="38">
        <f>if(DL17="", if(DG18&lt;&gt;"", if((DG18-DE18)&lt;-1,DC17*(1+Setup!GD4),if((DG18-DE18)&lt;0,DC17*(1+Setup!GE4),if((DG18-DE18)=0,DC17*(1+Setup!GF4),if((DG18-DE18)=1,DC17*(1+Setup!GG4),if((DG18-DE18)=2,DC17*(1+Setup!GH4),if((DG18-DE18)=3,DC17*(1+Setup!GI4),if((DG18-DE18)=4,DC17*(1+Setup!GJ4),if((DG18-DE18)&gt;4,DC17*(1+Setup!GK4),DC17)))))))),DC17),DL17/'Quick Setup'!$E6)</f>
        <v>325</v>
      </c>
      <c r="DK17" s="39" t="s">
        <v>75</v>
      </c>
      <c r="DL17" s="40"/>
      <c r="DM17" s="41"/>
      <c r="DN17" s="41"/>
      <c r="DO17" s="41"/>
      <c r="DP17" s="41"/>
      <c r="DQ17" s="38">
        <f>if(DS17="", if(DN18&lt;&gt;"", if((DN18-DL18)&lt;-1,DJ17*(1+Setup!GP4),if((DN18-DL18)&lt;0,DJ17*(1+Setup!GQ4),if((DN18-DL18)=0,DJ17*(1+Setup!GR4),if((DN18-DL18)=1,DJ17*(1+Setup!GS4),if((DN18-DL18)=2,DJ17*(1+Setup!GT4),if((DN18-DL18)=3,DJ17*(1+Setup!GU4),if((DN18-DL18)=4,DJ17*(1+Setup!GV4),if((DN18-DL18)&gt;4,DJ17*(1+Setup!GW4),DJ17)))))))),DJ17),DS17/'Quick Setup'!$E6)</f>
        <v>325</v>
      </c>
      <c r="DR17" s="39" t="s">
        <v>75</v>
      </c>
      <c r="DS17" s="40"/>
      <c r="DT17" s="41"/>
      <c r="DU17" s="41"/>
      <c r="DV17" s="41"/>
      <c r="DW17" s="41"/>
      <c r="DX17" s="38">
        <f>if(DZ17="", if(DU18&lt;&gt;"", if((DU18-DS18)&lt;-1,DQ17*(1+Setup!HB4),if((DU18-DS18)&lt;0,DQ17*(1+Setup!HC4),if((DU18-DS18)=0,DQ17*(1+Setup!HD4),if((DU18-DS18)=1,DQ17*(1+Setup!HE4),if((DU18-DS18)=2,DQ17*(1+Setup!HF4),if((DU18-DS18)=3,DQ17*(1+Setup!HG4),if((DU18-DS18)=4,DQ17*(1+Setup!HH4),if((DU18-DS18)&gt;4,DQ17*(1+Setup!HI4),DQ17)))))))),DQ17),DZ17/'Quick Setup'!$E6)</f>
        <v>325</v>
      </c>
      <c r="DY17" s="39" t="s">
        <v>75</v>
      </c>
      <c r="DZ17" s="40"/>
      <c r="EA17" s="41"/>
      <c r="EB17" s="41"/>
      <c r="EC17" s="41"/>
      <c r="ED17" s="41"/>
      <c r="EE17" s="38">
        <f>if(EG17="", if(EB18&lt;&gt;"", if((EB18-DZ18)&lt;-1,DX17*(1+Setup!HN4),if((EB18-DZ18)&lt;0,DX17*(1+Setup!HO4),if((EB18-DZ18)=0,DX17*(1+Setup!HP4),if((EB18-DZ18)=1,DX17*(1+Setup!HQ4),if((EB18-DZ18)=2,DX17*(1+Setup!HR4),if((EB18-DZ18)=3,DX17*(1+Setup!HS4),if((EB18-DZ18)=4,DX17*(1+Setup!HT4),if((EB18-DZ18)&gt;4,DX17*(1+Setup!HU4),DX17)))))))),DX17),EG17/'Quick Setup'!$E6)</f>
        <v>325</v>
      </c>
      <c r="EF17" s="39" t="s">
        <v>75</v>
      </c>
      <c r="EG17" s="40"/>
      <c r="EH17" s="41"/>
      <c r="EI17" s="41"/>
      <c r="EJ17" s="41"/>
      <c r="EK17" s="41"/>
      <c r="EL17" s="38">
        <f>if(EN17="", if(EI18&lt;&gt;"", if((EI18-EG18)&lt;-1,EE17*(1+Setup!HZ4),if((EI18-EG18)&lt;0,EE17*(1+Setup!IA4),if((EI18-EG18)=0,EE17*(1+Setup!IB4),if((EI18-EG18)=1,EE17*(1+Setup!IC4),if((EI18-EG18)=2,EE17*(1+Setup!ID4),if((EI18-EG18)=3,EE17*(1+Setup!IE4),if((EI18-EG18)=4,EE17*(1+Setup!IF4),if((EI18-EG18)&gt;4,EE17*(1+Setup!IG4),EE17)))))))),EE17),EN17/'Quick Setup'!$E6)</f>
        <v>325</v>
      </c>
      <c r="EM17" s="39" t="s">
        <v>75</v>
      </c>
      <c r="EN17" s="40"/>
      <c r="EO17" s="41"/>
      <c r="EP17" s="41"/>
      <c r="EQ17" s="41"/>
      <c r="ER17" s="41"/>
    </row>
    <row r="18">
      <c r="A18" s="1" t="str">
        <f>Setup!A4</f>
        <v>Bench Press</v>
      </c>
      <c r="B18" s="42">
        <f>mround(B17*Setup!B4,'Quick Setup'!$A$2)</f>
        <v>227.5</v>
      </c>
      <c r="C18" s="3">
        <f>Setup!C4</f>
        <v>5</v>
      </c>
      <c r="D18" s="3">
        <f>Setup!D4</f>
        <v>10</v>
      </c>
      <c r="E18" s="3">
        <f>Setup!E4</f>
        <v>5</v>
      </c>
      <c r="F18" s="10"/>
      <c r="G18" s="10"/>
      <c r="H18" s="10"/>
      <c r="I18" s="42">
        <f>mround(I17*Setup!N4,'Quick Setup'!$A$2)</f>
        <v>245</v>
      </c>
      <c r="J18" s="3">
        <f>Setup!O4</f>
        <v>4</v>
      </c>
      <c r="K18" s="3">
        <f>Setup!P4</f>
        <v>8</v>
      </c>
      <c r="L18" s="3">
        <f>Setup!Q4</f>
        <v>5</v>
      </c>
      <c r="M18" s="10"/>
      <c r="N18" s="10"/>
      <c r="O18" s="10"/>
      <c r="P18" s="42">
        <f>mround(P17*Setup!Z4,'Quick Setup'!$A$2)</f>
        <v>260</v>
      </c>
      <c r="Q18" s="3">
        <f>Setup!AA4</f>
        <v>3</v>
      </c>
      <c r="R18" s="3">
        <f>Setup!AB4</f>
        <v>6</v>
      </c>
      <c r="S18" s="3">
        <f>Setup!AC4</f>
        <v>5</v>
      </c>
      <c r="T18" s="10"/>
      <c r="U18" s="10"/>
      <c r="V18" s="10"/>
      <c r="W18" s="42">
        <f>mround(W17*Setup!AL4,'Quick Setup'!$A$2)</f>
        <v>235</v>
      </c>
      <c r="X18" s="3">
        <f>Setup!AM4</f>
        <v>5</v>
      </c>
      <c r="Y18" s="3">
        <f>Setup!AN4</f>
        <v>9</v>
      </c>
      <c r="Z18" s="3">
        <f>Setup!AO4</f>
        <v>5</v>
      </c>
      <c r="AA18" s="10"/>
      <c r="AB18" s="10"/>
      <c r="AC18" s="10"/>
      <c r="AD18" s="42">
        <f>mround(AD17*Setup!AX4,'Quick Setup'!$A$2)</f>
        <v>252.5</v>
      </c>
      <c r="AE18" s="3">
        <f>Setup!AY4</f>
        <v>4</v>
      </c>
      <c r="AF18" s="3">
        <f>Setup!AZ4</f>
        <v>7</v>
      </c>
      <c r="AG18" s="3">
        <f>Setup!BA4</f>
        <v>5</v>
      </c>
      <c r="AH18" s="10"/>
      <c r="AI18" s="10"/>
      <c r="AJ18" s="10"/>
      <c r="AK18" s="42">
        <f>mround(AK17*Setup!BJ4,'Quick Setup'!$A$2)</f>
        <v>267.5</v>
      </c>
      <c r="AL18" s="3">
        <f>Setup!BK4</f>
        <v>3</v>
      </c>
      <c r="AM18" s="3">
        <f>Setup!BL4</f>
        <v>5</v>
      </c>
      <c r="AN18" s="3">
        <f>Setup!BM4</f>
        <v>5</v>
      </c>
      <c r="AO18" s="10"/>
      <c r="AP18" s="10"/>
      <c r="AQ18" s="10"/>
      <c r="AR18" s="42">
        <f>mround(AR17*Setup!BV4,'Quick Setup'!$A$2)</f>
        <v>195</v>
      </c>
      <c r="AS18" s="1">
        <v>5.0</v>
      </c>
      <c r="AT18" s="1" t="s">
        <v>78</v>
      </c>
      <c r="AU18" s="3">
        <f>Setup!BY4</f>
        <v>5</v>
      </c>
      <c r="AV18" s="10"/>
      <c r="AW18" s="10"/>
      <c r="AX18" s="10"/>
      <c r="AY18" s="42">
        <f>mround(AY17*Setup!CH4,'Quick Setup'!$A$2)</f>
        <v>245</v>
      </c>
      <c r="AZ18" s="3">
        <f>Setup!CI4</f>
        <v>4</v>
      </c>
      <c r="BA18" s="3">
        <f>Setup!CJ4</f>
        <v>8</v>
      </c>
      <c r="BB18" s="3">
        <f>Setup!CK4</f>
        <v>5</v>
      </c>
      <c r="BC18" s="10"/>
      <c r="BD18" s="10"/>
      <c r="BE18" s="10"/>
      <c r="BF18" s="42">
        <f>mround(BF17*Setup!CT4,'Quick Setup'!$A$2)</f>
        <v>260</v>
      </c>
      <c r="BG18" s="3">
        <f>Setup!CU4</f>
        <v>3</v>
      </c>
      <c r="BH18" s="3">
        <f>Setup!CV4</f>
        <v>6</v>
      </c>
      <c r="BI18" s="3">
        <f>Setup!CW4</f>
        <v>5</v>
      </c>
      <c r="BJ18" s="10"/>
      <c r="BK18" s="10"/>
      <c r="BL18" s="10"/>
      <c r="BM18" s="42">
        <f>mround(BM17*Setup!DF4,'Quick Setup'!$A$2)</f>
        <v>277.5</v>
      </c>
      <c r="BN18" s="3">
        <f>Setup!DG4</f>
        <v>2</v>
      </c>
      <c r="BO18" s="3">
        <f>Setup!DH4</f>
        <v>4</v>
      </c>
      <c r="BP18" s="3">
        <f>Setup!DI4</f>
        <v>5</v>
      </c>
      <c r="BQ18" s="10"/>
      <c r="BR18" s="10"/>
      <c r="BS18" s="10"/>
      <c r="BT18" s="42">
        <f>mround(BT17*Setup!DR4,'Quick Setup'!$A$2)</f>
        <v>252.5</v>
      </c>
      <c r="BU18" s="3">
        <f>Setup!DS4</f>
        <v>4</v>
      </c>
      <c r="BV18" s="3">
        <f>Setup!DT4</f>
        <v>7</v>
      </c>
      <c r="BW18" s="3">
        <f>Setup!DU4</f>
        <v>5</v>
      </c>
      <c r="BX18" s="10"/>
      <c r="BY18" s="10"/>
      <c r="BZ18" s="10"/>
      <c r="CA18" s="42">
        <f>mround(CA17*Setup!ED4,'Quick Setup'!$A$2)</f>
        <v>267.5</v>
      </c>
      <c r="CB18" s="3">
        <f>Setup!EE4</f>
        <v>3</v>
      </c>
      <c r="CC18" s="3">
        <f>Setup!EF4</f>
        <v>5</v>
      </c>
      <c r="CD18" s="3">
        <f>Setup!EG4</f>
        <v>5</v>
      </c>
      <c r="CE18" s="10"/>
      <c r="CF18" s="10"/>
      <c r="CG18" s="10"/>
      <c r="CH18" s="42">
        <f>mround(CH17*Setup!EP4,'Quick Setup'!$A$2)</f>
        <v>285</v>
      </c>
      <c r="CI18" s="3">
        <f>Setup!EQ4</f>
        <v>2</v>
      </c>
      <c r="CJ18" s="3">
        <f>Setup!ER4</f>
        <v>3</v>
      </c>
      <c r="CK18" s="3">
        <f>Setup!ES4</f>
        <v>5</v>
      </c>
      <c r="CL18" s="10"/>
      <c r="CM18" s="10"/>
      <c r="CN18" s="10"/>
      <c r="CO18" s="42">
        <f>mround(CO17*Setup!FB4,'Quick Setup'!$A$2)</f>
        <v>195</v>
      </c>
      <c r="CP18" s="1">
        <v>5.0</v>
      </c>
      <c r="CQ18" s="1" t="s">
        <v>78</v>
      </c>
      <c r="CR18" s="3">
        <f>Setup!FE4</f>
        <v>5</v>
      </c>
      <c r="CS18" s="10"/>
      <c r="CT18" s="10"/>
      <c r="CU18" s="10"/>
      <c r="CV18" s="42">
        <f>mround(CV17*Setup!FN4,'Quick Setup'!$A$2)</f>
        <v>260</v>
      </c>
      <c r="CW18" s="3">
        <f>Setup!FO4</f>
        <v>3</v>
      </c>
      <c r="CX18" s="3">
        <f>Setup!FP4</f>
        <v>6</v>
      </c>
      <c r="CY18" s="3">
        <f>Setup!FQ4</f>
        <v>5</v>
      </c>
      <c r="CZ18" s="10"/>
      <c r="DA18" s="10"/>
      <c r="DB18" s="10"/>
      <c r="DC18" s="42">
        <f>mround(DC17*Setup!FZ4,'Quick Setup'!$A$2)</f>
        <v>277.5</v>
      </c>
      <c r="DD18" s="3">
        <f>Setup!GA4</f>
        <v>2</v>
      </c>
      <c r="DE18" s="3">
        <f>Setup!GB4</f>
        <v>4</v>
      </c>
      <c r="DF18" s="3">
        <f>Setup!GC4</f>
        <v>5</v>
      </c>
      <c r="DG18" s="10"/>
      <c r="DH18" s="10"/>
      <c r="DI18" s="10"/>
      <c r="DJ18" s="42">
        <f>mround(DJ17*Setup!GL4,'Quick Setup'!$A$2)</f>
        <v>292.5</v>
      </c>
      <c r="DK18" s="3">
        <f>Setup!GM4</f>
        <v>1</v>
      </c>
      <c r="DL18" s="3">
        <f>Setup!GN4</f>
        <v>2</v>
      </c>
      <c r="DM18" s="3">
        <f>Setup!GO4</f>
        <v>5</v>
      </c>
      <c r="DN18" s="10"/>
      <c r="DO18" s="10"/>
      <c r="DP18" s="10"/>
      <c r="DQ18" s="42">
        <f>mround(DQ17*Setup!GX4,'Quick Setup'!$A$2)</f>
        <v>277.5</v>
      </c>
      <c r="DR18" s="3">
        <f>Setup!GY4</f>
        <v>2</v>
      </c>
      <c r="DS18" s="3">
        <f>Setup!GZ4</f>
        <v>4</v>
      </c>
      <c r="DT18" s="3">
        <f>Setup!HA4</f>
        <v>5</v>
      </c>
      <c r="DU18" s="10"/>
      <c r="DV18" s="10"/>
      <c r="DW18" s="10"/>
      <c r="DX18" s="42">
        <f>mround(DX17*Setup!HJ4,'Quick Setup'!$A$2)</f>
        <v>292.5</v>
      </c>
      <c r="DY18" s="3">
        <f>Setup!HK4</f>
        <v>1</v>
      </c>
      <c r="DZ18" s="3">
        <f>Setup!HL4</f>
        <v>2</v>
      </c>
      <c r="EA18" s="3">
        <f>Setup!HM4</f>
        <v>5</v>
      </c>
      <c r="EB18" s="10"/>
      <c r="EC18" s="10"/>
      <c r="ED18" s="10"/>
      <c r="EE18" s="42">
        <f>mround(EE17*Setup!HV4,'Quick Setup'!$A$2)</f>
        <v>310</v>
      </c>
      <c r="EF18" s="3">
        <f>Setup!HW4</f>
        <v>1</v>
      </c>
      <c r="EG18" s="3">
        <f>Setup!HX4</f>
        <v>1</v>
      </c>
      <c r="EH18" s="3">
        <f>Setup!HY4</f>
        <v>5</v>
      </c>
      <c r="EI18" s="10"/>
      <c r="EJ18" s="10"/>
      <c r="EK18" s="10"/>
      <c r="EL18" s="42">
        <f>mround(EL17*Setup!IH4,'Quick Setup'!$A$2)</f>
        <v>195</v>
      </c>
      <c r="EM18" s="1">
        <v>5.0</v>
      </c>
      <c r="EN18" s="1" t="s">
        <v>78</v>
      </c>
      <c r="EO18" s="3">
        <f>Setup!IK4</f>
        <v>5</v>
      </c>
      <c r="EP18" s="10"/>
      <c r="EQ18" s="10"/>
      <c r="ER18" s="10"/>
    </row>
    <row r="19" hidden="1">
      <c r="A19" s="37" t="str">
        <f>CONCATENATE(A20," TM")</f>
        <v>OHP TM</v>
      </c>
      <c r="B19" s="38">
        <f>if(D19="",'Quick Setup'!D8,D19/'Quick Setup'!E8)</f>
        <v>200</v>
      </c>
      <c r="C19" s="39" t="s">
        <v>75</v>
      </c>
      <c r="D19" s="40"/>
      <c r="E19" s="41"/>
      <c r="F19" s="41"/>
      <c r="G19" s="41"/>
      <c r="H19" s="41"/>
      <c r="I19" s="38">
        <f>if(K19="", if(F20&lt;&gt;"", if((F20-D20)&lt;-1,B19*(1+Setup!F6),if((F20-D20)&lt;0,B19*(1+Setup!G6),if((F20-D20)=0,B19*(1+Setup!H6),if((F20-D20)=1,B19*(1+Setup!I6),if((F20-D20)=2,B19*(1+Setup!J6),if((F20-D20)=3,B19*(1+Setup!K6),if((F20-D20)=4,B19*(1+Setup!L6),if((F20-D20)&gt;4,B19*(1+Setup!M6),B19)))))))),B19),K19/'Quick Setup'!$E8)</f>
        <v>200</v>
      </c>
      <c r="J19" s="39" t="s">
        <v>75</v>
      </c>
      <c r="K19" s="40"/>
      <c r="L19" s="41"/>
      <c r="M19" s="41"/>
      <c r="N19" s="41"/>
      <c r="O19" s="41"/>
      <c r="P19" s="38">
        <f>if(R19="", if(M20&lt;&gt;"", if((M20-K20)&lt;-1,I19*(1+Setup!R6),if((M20-K20)&lt;0,I19*(1+Setup!S6),if((M20-K20)=0,I19*(1+Setup!T6),if((M20-K20)=1,I19*(1+Setup!U6),if((M20-K20)=2,I19*(1+Setup!V6),if((M20-K20)=3,I19*(1+Setup!W6),if((M20-K20)=4,I19*(1+Setup!X6),if((M20-K20)&gt;4,I19*(1+Setup!Y6),I19)))))))),I19),R19/'Quick Setup'!$E8)</f>
        <v>200</v>
      </c>
      <c r="Q19" s="39" t="s">
        <v>75</v>
      </c>
      <c r="R19" s="40"/>
      <c r="S19" s="41"/>
      <c r="T19" s="41"/>
      <c r="U19" s="41"/>
      <c r="V19" s="41"/>
      <c r="W19" s="38">
        <f>if(Y19="", if(T20&lt;&gt;"", if((T20-R20)&lt;-1,P19*(1+Setup!AD6),if((T20-R20)&lt;0,P19*(1+Setup!AE6),if((T20-R20)=0,P19*(1+Setup!AF6),if((T20-R20)=1,P19*(1+Setup!AG6),if((T20-R20)=2,P19*(1+Setup!AH6),if((T20-R20)=3,P19*(1+Setup!AI6),if((T20-R20)=4,P19*(1+Setup!AJ6),if((T20-R20)&gt;4,P19*(1+Setup!AK6),P19)))))))),P19),Y19/'Quick Setup'!$E8)</f>
        <v>200</v>
      </c>
      <c r="X19" s="39" t="s">
        <v>75</v>
      </c>
      <c r="Y19" s="40"/>
      <c r="Z19" s="41"/>
      <c r="AA19" s="41"/>
      <c r="AB19" s="41"/>
      <c r="AC19" s="41"/>
      <c r="AD19" s="38">
        <f>if(AF19="", if(AA20&lt;&gt;"", if((AA20-Y20)&lt;-1,W19*(1+Setup!AP6),if((AA20-Y20)&lt;0,W19*(1+Setup!AQ6),if((AA20-Y20)=0,W19*(1+Setup!AR6),if((AA20-Y20)=1,W19*(1+Setup!AS6),if((AA20-Y20)=2,W19*(1+Setup!AT6),if((AA20-Y20)=3,W19*(1+Setup!AU6),if((AA20-Y20)=4,W19*(1+Setup!AV6),if((AA20-Y20)&gt;4,W19*(1+Setup!AW6),W19)))))))),W19),AF19/'Quick Setup'!$E8)</f>
        <v>200</v>
      </c>
      <c r="AE19" s="39" t="s">
        <v>75</v>
      </c>
      <c r="AF19" s="40"/>
      <c r="AG19" s="41"/>
      <c r="AH19" s="41"/>
      <c r="AI19" s="41"/>
      <c r="AJ19" s="41"/>
      <c r="AK19" s="38">
        <f>if(AM19="", if(AH20&lt;&gt;"", if((AH20-AF20)&lt;-1,AD19*(1+Setup!BB6),if((AH20-AF20)&lt;0,AD19*(1+Setup!BC6),if((AH20-AF20)=0,AD19*(1+Setup!BD6),if((AH20-AF20)=1,AD19*(1+Setup!BE6),if((AH20-AF20)=2,AD19*(1+Setup!BF6),if((AH20-AF20)=3,AD19*(1+Setup!BG6),if((AH20-AF20)=4,AD19*(1+Setup!BH6),if((AH20-AF20)&gt;4,AD19*(1+Setup!BI6),AD19)))))))),AD19),AM19/'Quick Setup'!$E8)</f>
        <v>200</v>
      </c>
      <c r="AL19" s="39" t="s">
        <v>75</v>
      </c>
      <c r="AM19" s="40"/>
      <c r="AN19" s="41"/>
      <c r="AO19" s="41"/>
      <c r="AP19" s="41"/>
      <c r="AQ19" s="41"/>
      <c r="AR19" s="38">
        <f>if(AT19="", if(AO20&lt;&gt;"", if((AO20-AM20)&lt;-1,AK19*(1+Setup!BN6),if((AO20-AM20)&lt;0,AK19*(1+Setup!BO6),if((AO20-AM20)=0,AK19*(1+Setup!BP6),if((AO20-AM20)=1,AK19*(1+Setup!BQ6),if((AO20-AM20)=2,AK19*(1+Setup!BR6),if((AO20-AM20)=3,AK19*(1+Setup!BS6),if((AO20-AM20)=4,AK19*(1+Setup!BT6),if((AO20-AM20)&gt;4,AK19*(1+Setup!BU6),AK19)))))))),AK19),AT19/'Quick Setup'!$E8)</f>
        <v>200</v>
      </c>
      <c r="AS19" s="39" t="s">
        <v>75</v>
      </c>
      <c r="AT19" s="40"/>
      <c r="AU19" s="41"/>
      <c r="AV19" s="41"/>
      <c r="AW19" s="41"/>
      <c r="AX19" s="41"/>
      <c r="AY19" s="38">
        <f>if(BA19="",AR19,BA19/'Quick Setup'!$E8)</f>
        <v>200</v>
      </c>
      <c r="AZ19" s="39" t="s">
        <v>75</v>
      </c>
      <c r="BA19" s="40"/>
      <c r="BB19" s="41"/>
      <c r="BC19" s="41"/>
      <c r="BD19" s="41"/>
      <c r="BE19" s="41"/>
      <c r="BF19" s="38">
        <f>if(BH19="", if(BC20&lt;&gt;"", if((BC20-BA20)&lt;-1,AY19*(1+Setup!CL6),if((BC20-BA20)&lt;0,AY19*(1+Setup!CM6),if((BC20-BA20)=0,AY19*(1+Setup!CN6),if((BC20-BA20)=1,AY19*(1+Setup!CO6),if((BC20-BA20)=2,AY19*(1+Setup!CP6),if((BC20-BA20)=3,AY19*(1+Setup!CQ6),if((BC20-BA20)=4,AY19*(1+Setup!CR6),if((BC20-BA20)&gt;4,AY19*(1+Setup!CS6),AY19)))))))),AY19),BH19/'Quick Setup'!$E8)</f>
        <v>200</v>
      </c>
      <c r="BG19" s="39" t="s">
        <v>75</v>
      </c>
      <c r="BH19" s="40"/>
      <c r="BI19" s="41"/>
      <c r="BJ19" s="41"/>
      <c r="BK19" s="41"/>
      <c r="BL19" s="41"/>
      <c r="BM19" s="38">
        <f>if(BO19="", if(BJ20&lt;&gt;"", if((BJ20-BH20)&lt;-1,BF19*(1+Setup!CX6),if((BJ20-BH20)&lt;0,BF19*(1+Setup!CY6),if((BJ20-BH20)=0,BF19*(1+Setup!CZ6),if((BJ20-BH20)=1,BF19*(1+Setup!DA6),if((BJ20-BH20)=2,BF19*(1+Setup!DB6),if((BJ20-BH20)=3,BF19*(1+Setup!DC6),if((BJ20-BH20)=4,BF19*(1+Setup!DD6),if((BJ20-BH20)&gt;4,BF19*(1+Setup!DE6),BF19)))))))),BF19),BO19/'Quick Setup'!$E8)</f>
        <v>200</v>
      </c>
      <c r="BN19" s="39" t="s">
        <v>75</v>
      </c>
      <c r="BO19" s="40"/>
      <c r="BP19" s="41"/>
      <c r="BQ19" s="41"/>
      <c r="BR19" s="41"/>
      <c r="BS19" s="41"/>
      <c r="BT19" s="38">
        <f>if(BV19="", if(BQ20&lt;&gt;"", if((BQ20-BO20)&lt;-1,BM19*(1+Setup!DJ6),if((BQ20-BO20)&lt;0,BM19*(1+Setup!DK6),if((BQ20-BO20)=0,BM19*(1+Setup!DL6),if((BQ20-BO20)=1,BM19*(1+Setup!DM6),if((BQ20-BO20)=2,BM19*(1+Setup!DN6),if((BQ20-BO20)=3,BM19*(1+Setup!DO6),if((BQ20-BO20)=4,BM19*(1+Setup!DP6),if((BQ20-BO20)&gt;4,BM19*(1+Setup!DQ6),BM19)))))))),BM19),BV19/'Quick Setup'!$E8)</f>
        <v>200</v>
      </c>
      <c r="BU19" s="39" t="s">
        <v>75</v>
      </c>
      <c r="BV19" s="40"/>
      <c r="BW19" s="41"/>
      <c r="BX19" s="41"/>
      <c r="BY19" s="41"/>
      <c r="BZ19" s="41"/>
      <c r="CA19" s="38">
        <f>if(CC19="", if(BX20&lt;&gt;"", if((BX20-BV20)&lt;-1,BT19*(1+Setup!DV6),if((BX20-BV20)&lt;0,BT19*(1+Setup!DW6),if((BX20-BV20)=0,BT19*(1+Setup!DX6),if((BX20-BV20)=1,BT19*(1+Setup!DY6),if((BX20-BV20)=2,BT19*(1+Setup!DZ6),if((BX20-BV20)=3,BT19*(1+Setup!EA6),if((BX20-BV20)=4,BT19*(1+Setup!EB6),if((BX20-BV20)&gt;4,BT19*(1+Setup!EC6),BT19)))))))),BT19),CC19/'Quick Setup'!$E8)</f>
        <v>200</v>
      </c>
      <c r="CB19" s="39" t="s">
        <v>75</v>
      </c>
      <c r="CC19" s="40"/>
      <c r="CD19" s="41"/>
      <c r="CE19" s="41"/>
      <c r="CF19" s="41"/>
      <c r="CG19" s="41"/>
      <c r="CH19" s="38">
        <f>if(CJ19="", if(CE20&lt;&gt;"", if((CE20-CC20)&lt;-1,CA19*(1+Setup!EH6),if((CE20-CC20)&lt;0,CA19*(1+Setup!EI6),if((CE20-CC20)=0,CA19*(1+Setup!EJ6),if((CE20-CC20)=1,CA19*(1+Setup!EK6),if((CE20-CC20)=2,CA19*(1+Setup!EL6),if((CE20-CC20)=3,CA19*(1+Setup!EM6),if((CE20-CC20)=4,CA19*(1+Setup!EN6),if((CE20-CC20)&gt;4,CA19*(1+Setup!EO6),CA19)))))))),CA19),CJ19/'Quick Setup'!$E8)</f>
        <v>200</v>
      </c>
      <c r="CI19" s="39" t="s">
        <v>75</v>
      </c>
      <c r="CJ19" s="40"/>
      <c r="CK19" s="41"/>
      <c r="CL19" s="41"/>
      <c r="CM19" s="41"/>
      <c r="CN19" s="41"/>
      <c r="CO19" s="38">
        <f>if(CQ19="", if(CL20&lt;&gt;"", if((CL20-CJ20)&lt;-1,CH19*(1+Setup!ET6),if((CL20-CJ20)&lt;0,CH19*(1+Setup!EU6),if((CL20-CJ20)=0,CH19*(1+Setup!EV6),if((CL20-CJ20)=1,CH19*(1+Setup!EW6),if((CL20-CJ20)=2,CH19*(1+Setup!EX6),if((CL20-CJ20)=3,CH19*(1+Setup!EY6),if((CL20-CJ20)=4,CH19*(1+Setup!EZ6),if((CL20-CJ20)&gt;4,CH19*(1+Setup!FA6),CH19)))))))),CH19),CQ19/'Quick Setup'!$E8)</f>
        <v>200</v>
      </c>
      <c r="CP19" s="39" t="s">
        <v>75</v>
      </c>
      <c r="CQ19" s="40"/>
      <c r="CR19" s="41"/>
      <c r="CS19" s="41"/>
      <c r="CT19" s="41"/>
      <c r="CU19" s="41"/>
      <c r="CV19" s="38">
        <f>if(CX19="",CO19,CX19/'Quick Setup'!$E8)</f>
        <v>200</v>
      </c>
      <c r="CW19" s="39" t="s">
        <v>75</v>
      </c>
      <c r="CX19" s="40"/>
      <c r="CY19" s="41"/>
      <c r="CZ19" s="41"/>
      <c r="DA19" s="41"/>
      <c r="DB19" s="41"/>
      <c r="DC19" s="38">
        <f>if(DE19="", if(CZ20&lt;&gt;"", if((CZ20-CX20)&lt;-1,CV19*(1+Setup!FR6),if((CZ20-CX20)&lt;0,CV19*(1+Setup!FS6),if((CZ20-CX20)=0,CV19*(1+Setup!FT6),if((CZ20-CX20)=1,CV19*(1+Setup!FU6),if((CZ20-CX20)=2,CV19*(1+Setup!FV6),if((CZ20-CX20)=3,CV19*(1+Setup!FW6),if((CZ20-CX20)=4,CV19*(1+Setup!FX6),if((CZ20-CX20)&gt;4,CV19*(1+Setup!FY6),CV19)))))))),CV19),DE19/'Quick Setup'!$E8)</f>
        <v>200</v>
      </c>
      <c r="DD19" s="39" t="s">
        <v>75</v>
      </c>
      <c r="DE19" s="40"/>
      <c r="DF19" s="41"/>
      <c r="DG19" s="41"/>
      <c r="DH19" s="41"/>
      <c r="DI19" s="41"/>
      <c r="DJ19" s="38">
        <f>if(DL19="", if(DG20&lt;&gt;"", if((DG20-DE20)&lt;-1,DC19*(1+Setup!GD6),if((DG20-DE20)&lt;0,DC19*(1+Setup!GE6),if((DG20-DE20)=0,DC19*(1+Setup!GF6),if((DG20-DE20)=1,DC19*(1+Setup!GG6),if((DG20-DE20)=2,DC19*(1+Setup!GH6),if((DG20-DE20)=3,DC19*(1+Setup!GI6),if((DG20-DE20)=4,DC19*(1+Setup!GJ6),if((DG20-DE20)&gt;4,DC19*(1+Setup!GK6),DC19)))))))),DC19),DL19/'Quick Setup'!$E8)</f>
        <v>200</v>
      </c>
      <c r="DK19" s="39" t="s">
        <v>75</v>
      </c>
      <c r="DL19" s="40"/>
      <c r="DM19" s="41"/>
      <c r="DN19" s="41"/>
      <c r="DO19" s="41"/>
      <c r="DP19" s="41"/>
      <c r="DQ19" s="38">
        <f>if(DS19="", if(DN20&lt;&gt;"", if((DN20-DL20)&lt;-1,DJ19*(1+Setup!GP6),if((DN20-DL20)&lt;0,DJ19*(1+Setup!GQ6),if((DN20-DL20)=0,DJ19*(1+Setup!GR6),if((DN20-DL20)=1,DJ19*(1+Setup!GS6),if((DN20-DL20)=2,DJ19*(1+Setup!GT6),if((DN20-DL20)=3,DJ19*(1+Setup!GU6),if((DN20-DL20)=4,DJ19*(1+Setup!GV6),if((DN20-DL20)&gt;4,DJ19*(1+Setup!GW6),DJ19)))))))),DJ19),DS19/'Quick Setup'!$E8)</f>
        <v>200</v>
      </c>
      <c r="DR19" s="39" t="s">
        <v>75</v>
      </c>
      <c r="DS19" s="40"/>
      <c r="DT19" s="41"/>
      <c r="DU19" s="41"/>
      <c r="DV19" s="41"/>
      <c r="DW19" s="41"/>
      <c r="DX19" s="38">
        <f>if(DZ19="", if(DU20&lt;&gt;"", if((DU20-DS20)&lt;-1,DQ19*(1+Setup!HB6),if((DU20-DS20)&lt;0,DQ19*(1+Setup!HC6),if((DU20-DS20)=0,DQ19*(1+Setup!HD6),if((DU20-DS20)=1,DQ19*(1+Setup!HE6),if((DU20-DS20)=2,DQ19*(1+Setup!HF6),if((DU20-DS20)=3,DQ19*(1+Setup!HG6),if((DU20-DS20)=4,DQ19*(1+Setup!HH6),if((DU20-DS20)&gt;4,DQ19*(1+Setup!HI6),DQ19)))))))),DQ19),DZ19/'Quick Setup'!$E8)</f>
        <v>200</v>
      </c>
      <c r="DY19" s="39" t="s">
        <v>75</v>
      </c>
      <c r="DZ19" s="40"/>
      <c r="EA19" s="41"/>
      <c r="EB19" s="41"/>
      <c r="EC19" s="41"/>
      <c r="ED19" s="41"/>
      <c r="EE19" s="38">
        <f>if(EG19="", if(EB20&lt;&gt;"", if((EB20-DZ20)&lt;-1,DX19*(1+Setup!HN6),if((EB20-DZ20)&lt;0,DX19*(1+Setup!HO6),if((EB20-DZ20)=0,DX19*(1+Setup!HP6),if((EB20-DZ20)=1,DX19*(1+Setup!HQ6),if((EB20-DZ20)=2,DX19*(1+Setup!HR6),if((EB20-DZ20)=3,DX19*(1+Setup!HS6),if((EB20-DZ20)=4,DX19*(1+Setup!HT6),if((EB20-DZ20)&gt;4,DX19*(1+Setup!HU6),DX19)))))))),DX19),EG19/'Quick Setup'!$E8)</f>
        <v>200</v>
      </c>
      <c r="EF19" s="39" t="s">
        <v>75</v>
      </c>
      <c r="EG19" s="40"/>
      <c r="EH19" s="41"/>
      <c r="EI19" s="41"/>
      <c r="EJ19" s="41"/>
      <c r="EK19" s="41"/>
      <c r="EL19" s="38">
        <f>if(EN19="", if(EI20&lt;&gt;"", if((EI20-EG20)&lt;-1,EE19*(1+Setup!HZ6),if((EI20-EG20)&lt;0,EE19*(1+Setup!IA6),if((EI20-EG20)=0,EE19*(1+Setup!IB6),if((EI20-EG20)=1,EE19*(1+Setup!IC6),if((EI20-EG20)=2,EE19*(1+Setup!ID6),if((EI20-EG20)=3,EE19*(1+Setup!IE6),if((EI20-EG20)=4,EE19*(1+Setup!IF6),if((EI20-EG20)&gt;4,EE19*(1+Setup!IG6),EE19)))))))),EE19),EN19/'Quick Setup'!$E8)</f>
        <v>200</v>
      </c>
      <c r="EM19" s="39" t="s">
        <v>75</v>
      </c>
      <c r="EN19" s="40"/>
      <c r="EO19" s="41"/>
      <c r="EP19" s="41"/>
      <c r="EQ19" s="41"/>
      <c r="ER19" s="41"/>
    </row>
    <row r="20">
      <c r="A20" s="1" t="str">
        <f>Setup!A6</f>
        <v>OHP</v>
      </c>
      <c r="B20" s="42">
        <f>mround(B19*Setup!B6,'Quick Setup'!$A$2)</f>
        <v>140</v>
      </c>
      <c r="C20" s="3">
        <f>Setup!C6</f>
        <v>5</v>
      </c>
      <c r="D20" s="3">
        <f>Setup!D6</f>
        <v>10</v>
      </c>
      <c r="E20" s="3">
        <f>Setup!E6</f>
        <v>5</v>
      </c>
      <c r="F20" s="10"/>
      <c r="G20" s="10"/>
      <c r="H20" s="10"/>
      <c r="I20" s="42">
        <f>mround(I19*Setup!N6,'Quick Setup'!$A$2)</f>
        <v>150</v>
      </c>
      <c r="J20" s="3">
        <f>Setup!O6</f>
        <v>4</v>
      </c>
      <c r="K20" s="3">
        <f>Setup!P6</f>
        <v>8</v>
      </c>
      <c r="L20" s="3">
        <f>Setup!Q6</f>
        <v>5</v>
      </c>
      <c r="M20" s="10"/>
      <c r="N20" s="10"/>
      <c r="O20" s="10"/>
      <c r="P20" s="42">
        <f>mround(P19*Setup!Z6,'Quick Setup'!$A$2)</f>
        <v>160</v>
      </c>
      <c r="Q20" s="3">
        <f>Setup!AA6</f>
        <v>3</v>
      </c>
      <c r="R20" s="3">
        <f>Setup!AB6</f>
        <v>6</v>
      </c>
      <c r="S20" s="3">
        <f>Setup!AC6</f>
        <v>5</v>
      </c>
      <c r="T20" s="10"/>
      <c r="U20" s="10"/>
      <c r="V20" s="10"/>
      <c r="W20" s="42">
        <f>mround(W19*Setup!AL6,'Quick Setup'!$A$2)</f>
        <v>145</v>
      </c>
      <c r="X20" s="3">
        <f>Setup!AM6</f>
        <v>5</v>
      </c>
      <c r="Y20" s="3">
        <f>Setup!AN6</f>
        <v>9</v>
      </c>
      <c r="Z20" s="3">
        <f>Setup!AO6</f>
        <v>5</v>
      </c>
      <c r="AA20" s="10"/>
      <c r="AB20" s="10"/>
      <c r="AC20" s="10"/>
      <c r="AD20" s="42">
        <f>mround(AD19*Setup!AX6,'Quick Setup'!$A$2)</f>
        <v>155</v>
      </c>
      <c r="AE20" s="3">
        <f>Setup!AY6</f>
        <v>4</v>
      </c>
      <c r="AF20" s="3">
        <f>Setup!AZ6</f>
        <v>7</v>
      </c>
      <c r="AG20" s="3">
        <f>Setup!BA6</f>
        <v>5</v>
      </c>
      <c r="AH20" s="10"/>
      <c r="AI20" s="10"/>
      <c r="AJ20" s="10"/>
      <c r="AK20" s="42">
        <f>mround(AK19*Setup!BJ6,'Quick Setup'!$A$2)</f>
        <v>165</v>
      </c>
      <c r="AL20" s="3">
        <f>Setup!BK6</f>
        <v>3</v>
      </c>
      <c r="AM20" s="3">
        <f>Setup!BL6</f>
        <v>5</v>
      </c>
      <c r="AN20" s="3">
        <f>Setup!BM6</f>
        <v>5</v>
      </c>
      <c r="AO20" s="10"/>
      <c r="AP20" s="10"/>
      <c r="AQ20" s="10"/>
      <c r="AR20" s="42">
        <f>mround(AR19*Setup!BV6,'Quick Setup'!$A$2)</f>
        <v>120</v>
      </c>
      <c r="AS20" s="1">
        <v>5.0</v>
      </c>
      <c r="AT20" s="1" t="s">
        <v>78</v>
      </c>
      <c r="AU20" s="3">
        <f>Setup!BY6</f>
        <v>5</v>
      </c>
      <c r="AV20" s="10"/>
      <c r="AW20" s="10"/>
      <c r="AX20" s="10"/>
      <c r="AY20" s="42">
        <f>mround(AY19*Setup!CH6,'Quick Setup'!$A$2)</f>
        <v>150</v>
      </c>
      <c r="AZ20" s="3">
        <f>Setup!CI6</f>
        <v>4</v>
      </c>
      <c r="BA20" s="3">
        <f>Setup!CJ6</f>
        <v>8</v>
      </c>
      <c r="BB20" s="3">
        <f>Setup!CK6</f>
        <v>5</v>
      </c>
      <c r="BC20" s="10"/>
      <c r="BD20" s="10"/>
      <c r="BE20" s="10"/>
      <c r="BF20" s="42">
        <f>mround(BF19*Setup!CT6,'Quick Setup'!$A$2)</f>
        <v>160</v>
      </c>
      <c r="BG20" s="3">
        <f>Setup!CU6</f>
        <v>3</v>
      </c>
      <c r="BH20" s="3">
        <f>Setup!CV6</f>
        <v>6</v>
      </c>
      <c r="BI20" s="3">
        <f>Setup!CW6</f>
        <v>5</v>
      </c>
      <c r="BJ20" s="10"/>
      <c r="BK20" s="10"/>
      <c r="BL20" s="10"/>
      <c r="BM20" s="42">
        <f>mround(BM19*Setup!DF6,'Quick Setup'!$A$2)</f>
        <v>170</v>
      </c>
      <c r="BN20" s="3">
        <f>Setup!DG6</f>
        <v>2</v>
      </c>
      <c r="BO20" s="3">
        <f>Setup!DH6</f>
        <v>4</v>
      </c>
      <c r="BP20" s="3">
        <f>Setup!DI6</f>
        <v>5</v>
      </c>
      <c r="BQ20" s="10"/>
      <c r="BR20" s="10"/>
      <c r="BS20" s="10"/>
      <c r="BT20" s="42">
        <f>mround(BT19*Setup!DR6,'Quick Setup'!$A$2)</f>
        <v>155</v>
      </c>
      <c r="BU20" s="3">
        <f>Setup!DS6</f>
        <v>4</v>
      </c>
      <c r="BV20" s="3">
        <f>Setup!DT6</f>
        <v>7</v>
      </c>
      <c r="BW20" s="3">
        <f>Setup!DU6</f>
        <v>5</v>
      </c>
      <c r="BX20" s="10"/>
      <c r="BY20" s="10"/>
      <c r="BZ20" s="10"/>
      <c r="CA20" s="42">
        <f>mround(CA19*Setup!ED6,'Quick Setup'!$A$2)</f>
        <v>165</v>
      </c>
      <c r="CB20" s="3">
        <f>Setup!EE6</f>
        <v>3</v>
      </c>
      <c r="CC20" s="3">
        <f>Setup!EF6</f>
        <v>5</v>
      </c>
      <c r="CD20" s="3">
        <f>Setup!EG6</f>
        <v>5</v>
      </c>
      <c r="CE20" s="10"/>
      <c r="CF20" s="10"/>
      <c r="CG20" s="10"/>
      <c r="CH20" s="42">
        <f>mround(CH19*Setup!EP6,'Quick Setup'!$A$2)</f>
        <v>175</v>
      </c>
      <c r="CI20" s="3">
        <f>Setup!EQ6</f>
        <v>2</v>
      </c>
      <c r="CJ20" s="3">
        <f>Setup!ER6</f>
        <v>3</v>
      </c>
      <c r="CK20" s="3">
        <f>Setup!ES6</f>
        <v>5</v>
      </c>
      <c r="CL20" s="10"/>
      <c r="CM20" s="10"/>
      <c r="CN20" s="10"/>
      <c r="CO20" s="42">
        <f>mround(CO19*Setup!FB6,'Quick Setup'!$A$2)</f>
        <v>120</v>
      </c>
      <c r="CP20" s="1">
        <v>5.0</v>
      </c>
      <c r="CQ20" s="1" t="s">
        <v>78</v>
      </c>
      <c r="CR20" s="3">
        <f>Setup!FE6</f>
        <v>5</v>
      </c>
      <c r="CS20" s="10"/>
      <c r="CT20" s="10"/>
      <c r="CU20" s="10"/>
      <c r="CV20" s="42">
        <f>mround(CV19*Setup!FN6,'Quick Setup'!$A$2)</f>
        <v>160</v>
      </c>
      <c r="CW20" s="3">
        <f>Setup!FO6</f>
        <v>3</v>
      </c>
      <c r="CX20" s="3">
        <f>Setup!FP6</f>
        <v>6</v>
      </c>
      <c r="CY20" s="3">
        <f>Setup!FQ6</f>
        <v>5</v>
      </c>
      <c r="CZ20" s="10"/>
      <c r="DA20" s="10"/>
      <c r="DB20" s="10"/>
      <c r="DC20" s="42">
        <f>mround(DC19*Setup!FZ6,'Quick Setup'!$A$2)</f>
        <v>170</v>
      </c>
      <c r="DD20" s="3">
        <f>Setup!GA6</f>
        <v>2</v>
      </c>
      <c r="DE20" s="3">
        <f>Setup!GB6</f>
        <v>4</v>
      </c>
      <c r="DF20" s="3">
        <f>Setup!GC6</f>
        <v>5</v>
      </c>
      <c r="DG20" s="10"/>
      <c r="DH20" s="10"/>
      <c r="DI20" s="10"/>
      <c r="DJ20" s="42">
        <f>mround(DJ19*Setup!GL6,'Quick Setup'!$A$2)</f>
        <v>180</v>
      </c>
      <c r="DK20" s="3">
        <f>Setup!GM6</f>
        <v>1</v>
      </c>
      <c r="DL20" s="3">
        <f>Setup!GN6</f>
        <v>2</v>
      </c>
      <c r="DM20" s="3">
        <f>Setup!GO6</f>
        <v>5</v>
      </c>
      <c r="DN20" s="10"/>
      <c r="DO20" s="10"/>
      <c r="DP20" s="10"/>
      <c r="DQ20" s="42">
        <f>mround(DQ19*Setup!GX6,'Quick Setup'!$A$2)</f>
        <v>170</v>
      </c>
      <c r="DR20" s="3">
        <f>Setup!GY6</f>
        <v>2</v>
      </c>
      <c r="DS20" s="3">
        <f>Setup!GZ6</f>
        <v>4</v>
      </c>
      <c r="DT20" s="3">
        <f>Setup!HA6</f>
        <v>5</v>
      </c>
      <c r="DU20" s="10"/>
      <c r="DV20" s="10"/>
      <c r="DW20" s="10"/>
      <c r="DX20" s="42">
        <f>mround(DX19*Setup!HJ6,'Quick Setup'!$A$2)</f>
        <v>180</v>
      </c>
      <c r="DY20" s="3">
        <f>Setup!HK6</f>
        <v>1</v>
      </c>
      <c r="DZ20" s="3">
        <f>Setup!HL6</f>
        <v>2</v>
      </c>
      <c r="EA20" s="3">
        <f>Setup!HM6</f>
        <v>5</v>
      </c>
      <c r="EB20" s="10"/>
      <c r="EC20" s="10"/>
      <c r="ED20" s="10"/>
      <c r="EE20" s="42">
        <f>mround(EE19*Setup!HV6,'Quick Setup'!$A$2)</f>
        <v>190</v>
      </c>
      <c r="EF20" s="3">
        <f>Setup!HW6</f>
        <v>1</v>
      </c>
      <c r="EG20" s="3">
        <f>Setup!HX6</f>
        <v>1</v>
      </c>
      <c r="EH20" s="3">
        <f>Setup!HY6</f>
        <v>5</v>
      </c>
      <c r="EI20" s="10"/>
      <c r="EJ20" s="10"/>
      <c r="EK20" s="10"/>
      <c r="EL20" s="42">
        <f>mround(EL19*Setup!IH6,'Quick Setup'!$A$2)</f>
        <v>120</v>
      </c>
      <c r="EM20" s="1">
        <v>5.0</v>
      </c>
      <c r="EN20" s="1" t="s">
        <v>78</v>
      </c>
      <c r="EO20" s="3">
        <f>Setup!IK6</f>
        <v>5</v>
      </c>
      <c r="EP20" s="10"/>
      <c r="EQ20" s="10"/>
      <c r="ER20" s="10"/>
    </row>
    <row r="21" hidden="1">
      <c r="A21" s="37" t="str">
        <f>CONCATENATE(A22," TM")</f>
        <v>Close Grip Bench TM</v>
      </c>
      <c r="B21" s="38">
        <f>if(D21="",'Quick Setup'!D13,D21/'Quick Setup'!E13)</f>
        <v>310</v>
      </c>
      <c r="C21" s="39" t="s">
        <v>75</v>
      </c>
      <c r="D21" s="40"/>
      <c r="E21" s="41"/>
      <c r="F21" s="41"/>
      <c r="G21" s="41"/>
      <c r="H21" s="41"/>
      <c r="I21" s="38">
        <f>if(K21="", if(F22&lt;&gt;"", if((F22-D22)&lt;-1,B21*(1+Setup!F11),if((F22-D22)&lt;0,B21*(1+Setup!G11),if((F22-D22)=0,B21*(1+Setup!H11),if((F22-D22)=1,B21*(1+Setup!I11),if((F22-D22)=2,B21*(1+Setup!J11),if((F22-D22)=3,B21*(1+Setup!K11),if((F22-D22)=4,B21*(1+Setup!L11),if((F22-D22)&gt;4,B21*(1+Setup!M11),B21)))))))),B21),K21/'Quick Setup'!$E13)</f>
        <v>310</v>
      </c>
      <c r="J21" s="39" t="s">
        <v>75</v>
      </c>
      <c r="K21" s="40"/>
      <c r="L21" s="41"/>
      <c r="M21" s="41"/>
      <c r="N21" s="41"/>
      <c r="O21" s="41"/>
      <c r="P21" s="38">
        <f>if(R21="", if(M22&lt;&gt;"", if((M22-K22)&lt;-1,I21*(1+Setup!R11),if((M22-K22)&lt;0,I21*(1+Setup!S11),if((M22-K22)=0,I21*(1+Setup!T11),if((M22-K22)=1,I21*(1+Setup!U11),if((M22-K22)=2,I21*(1+Setup!V11),if((M22-K22)=3,I21*(1+Setup!W11),if((M22-K22)=4,I21*(1+Setup!X11),if((M22-K22)&gt;4,I21*(1+Setup!Y11),I21)))))))),I21),R21/'Quick Setup'!$E13)</f>
        <v>310</v>
      </c>
      <c r="Q21" s="39" t="s">
        <v>75</v>
      </c>
      <c r="R21" s="40"/>
      <c r="S21" s="41"/>
      <c r="T21" s="41"/>
      <c r="U21" s="41"/>
      <c r="V21" s="41"/>
      <c r="W21" s="38">
        <f>if(Y21="", if(T22&lt;&gt;"", if((T22-R22)&lt;-1,P21*(1+Setup!AD11),if((T22-R22)&lt;0,P21*(1+Setup!AE11),if((T22-R22)=0,P21*(1+Setup!AF11),if((T22-R22)=1,P21*(1+Setup!AG11),if((T22-R22)=2,P21*(1+Setup!AH11),if((T22-R22)=3,P21*(1+Setup!AI11),if((T22-R22)=4,P21*(1+Setup!AJ11),if((T22-R22)&gt;4,P21*(1+Setup!AK11),P21)))))))),P21),Y21/'Quick Setup'!$E13)</f>
        <v>310</v>
      </c>
      <c r="X21" s="39" t="s">
        <v>75</v>
      </c>
      <c r="Y21" s="40"/>
      <c r="Z21" s="41"/>
      <c r="AA21" s="41"/>
      <c r="AB21" s="41"/>
      <c r="AC21" s="41"/>
      <c r="AD21" s="38">
        <f>if(AF21="", if(AA22&lt;&gt;"", if((AA22-Y22)&lt;-1,W21*(1+Setup!AP11),if((AA22-Y22)&lt;0,W21*(1+Setup!AQ11),if((AA22-Y22)=0,W21*(1+Setup!AR11),if((AA22-Y22)=1,W21*(1+Setup!AS11),if((AA22-Y22)=2,W21*(1+Setup!AT11),if((AA22-Y22)=3,W21*(1+Setup!AU11),if((AA22-Y22)=4,W21*(1+Setup!AV11),if((AA22-Y22)&gt;4,W21*(1+Setup!AW11),W21)))))))),W21),AF21/'Quick Setup'!$E13)</f>
        <v>310</v>
      </c>
      <c r="AE21" s="39" t="s">
        <v>75</v>
      </c>
      <c r="AF21" s="40"/>
      <c r="AG21" s="41"/>
      <c r="AH21" s="41"/>
      <c r="AI21" s="41"/>
      <c r="AJ21" s="41"/>
      <c r="AK21" s="38">
        <f>if(AM21="", if(AH22&lt;&gt;"", if((AH22-AF22)&lt;-1,AD21*(1+Setup!BB11),if((AH22-AF22)&lt;0,AD21*(1+Setup!BC11),if((AH22-AF22)=0,AD21*(1+Setup!BD11),if((AH22-AF22)=1,AD21*(1+Setup!BE11),if((AH22-AF22)=2,AD21*(1+Setup!BF11),if((AH22-AF22)=3,AD21*(1+Setup!BG11),if((AH22-AF22)=4,AD21*(1+Setup!BH11),if((AH22-AF22)&gt;4,AD21*(1+Setup!BI11),AD21)))))))),AD21),AM21/'Quick Setup'!$E13)</f>
        <v>310</v>
      </c>
      <c r="AL21" s="39" t="s">
        <v>75</v>
      </c>
      <c r="AM21" s="40"/>
      <c r="AN21" s="41"/>
      <c r="AO21" s="41"/>
      <c r="AP21" s="41"/>
      <c r="AQ21" s="41"/>
      <c r="AR21" s="38">
        <f>if(AT21="", if(AO22&lt;&gt;"", if((AO22-AM22)&lt;-1,AK21*(1+Setup!BN11),if((AO22-AM22)&lt;0,AK21*(1+Setup!BO11),if((AO22-AM22)=0,AK21*(1+Setup!BP11),if((AO22-AM22)=1,AK21*(1+Setup!BQ11),if((AO22-AM22)=2,AK21*(1+Setup!BR11),if((AO22-AM22)=3,AK21*(1+Setup!BS11),if((AO22-AM22)=4,AK21*(1+Setup!BT11),if((AO22-AM22)&gt;4,AK21*(1+Setup!BU11),AK21)))))))),AK21),AT21/'Quick Setup'!$E13)</f>
        <v>310</v>
      </c>
      <c r="AS21" s="39" t="s">
        <v>75</v>
      </c>
      <c r="AT21" s="40"/>
      <c r="AU21" s="41"/>
      <c r="AV21" s="41"/>
      <c r="AW21" s="41"/>
      <c r="AX21" s="41"/>
      <c r="AY21" s="38">
        <f>if(BA21="",AR21,BA21/'Quick Setup'!$E13)</f>
        <v>310</v>
      </c>
      <c r="AZ21" s="39" t="s">
        <v>75</v>
      </c>
      <c r="BA21" s="40"/>
      <c r="BB21" s="41"/>
      <c r="BC21" s="41"/>
      <c r="BD21" s="41"/>
      <c r="BE21" s="41"/>
      <c r="BF21" s="38">
        <f>if(BH21="", if(BC22&lt;&gt;"", if((BC22-BA22)&lt;-1,AY21*(1+Setup!CL11),if((BC22-BA22)&lt;0,AY21*(1+Setup!CM11),if((BC22-BA22)=0,AY21*(1+Setup!CN11),if((BC22-BA22)=1,AY21*(1+Setup!CO11),if((BC22-BA22)=2,AY21*(1+Setup!CP11),if((BC22-BA22)=3,AY21*(1+Setup!CQ11),if((BC22-BA22)=4,AY21*(1+Setup!CR11),if((BC22-BA22)&gt;4,AY21*(1+Setup!CS11),AY21)))))))),AY21),BH21/'Quick Setup'!$E13)</f>
        <v>310</v>
      </c>
      <c r="BG21" s="39" t="s">
        <v>75</v>
      </c>
      <c r="BH21" s="40"/>
      <c r="BI21" s="41"/>
      <c r="BJ21" s="41"/>
      <c r="BK21" s="41"/>
      <c r="BL21" s="41"/>
      <c r="BM21" s="38">
        <f>if(BO21="", if(BJ22&lt;&gt;"", if((BJ22-BH22)&lt;-1,BF21*(1+Setup!CX11),if((BJ22-BH22)&lt;0,BF21*(1+Setup!CY11),if((BJ22-BH22)=0,BF21*(1+Setup!CZ11),if((BJ22-BH22)=1,BF21*(1+Setup!DA11),if((BJ22-BH22)=2,BF21*(1+Setup!DB11),if((BJ22-BH22)=3,BF21*(1+Setup!DC11),if((BJ22-BH22)=4,BF21*(1+Setup!DD11),if((BJ22-BH22)&gt;4,BF21*(1+Setup!DE11),BF21)))))))),BF21),BO21/'Quick Setup'!$E13)</f>
        <v>310</v>
      </c>
      <c r="BN21" s="39" t="s">
        <v>75</v>
      </c>
      <c r="BO21" s="40"/>
      <c r="BP21" s="41"/>
      <c r="BQ21" s="41"/>
      <c r="BR21" s="41"/>
      <c r="BS21" s="41"/>
      <c r="BT21" s="38">
        <f>if(BV21="", if(BQ22&lt;&gt;"", if((BQ22-BO22)&lt;-1,BM21*(1+Setup!DJ11),if((BQ22-BO22)&lt;0,BM21*(1+Setup!DK11),if((BQ22-BO22)=0,BM21*(1+Setup!DL11),if((BQ22-BO22)=1,BM21*(1+Setup!DM11),if((BQ22-BO22)=2,BM21*(1+Setup!DN11),if((BQ22-BO22)=3,BM21*(1+Setup!DO11),if((BQ22-BO22)=4,BM21*(1+Setup!DP11),if((BQ22-BO22)&gt;4,BM21*(1+Setup!DQ11),BM21)))))))),BM21),BV21/'Quick Setup'!$E13)</f>
        <v>310</v>
      </c>
      <c r="BU21" s="39" t="s">
        <v>75</v>
      </c>
      <c r="BV21" s="40"/>
      <c r="BW21" s="41"/>
      <c r="BX21" s="41"/>
      <c r="BY21" s="41"/>
      <c r="BZ21" s="41"/>
      <c r="CA21" s="38">
        <f>if(CC21="", if(BX22&lt;&gt;"", if((BX22-BV22)&lt;-1,BT21*(1+Setup!DV11),if((BX22-BV22)&lt;0,BT21*(1+Setup!DW11),if((BX22-BV22)=0,BT21*(1+Setup!DX11),if((BX22-BV22)=1,BT21*(1+Setup!DY11),if((BX22-BV22)=2,BT21*(1+Setup!DZ11),if((BX22-BV22)=3,BT21*(1+Setup!EA11),if((BX22-BV22)=4,BT21*(1+Setup!EB11),if((BX22-BV22)&gt;4,BT21*(1+Setup!EC11),BT21)))))))),BT21),CC21/'Quick Setup'!$E13)</f>
        <v>310</v>
      </c>
      <c r="CB21" s="39" t="s">
        <v>75</v>
      </c>
      <c r="CC21" s="40"/>
      <c r="CD21" s="41"/>
      <c r="CE21" s="41"/>
      <c r="CF21" s="41"/>
      <c r="CG21" s="41"/>
      <c r="CH21" s="38">
        <f>if(CJ21="", if(CE22&lt;&gt;"", if((CE22-CC22)&lt;-1,CA21*(1+Setup!EH11),if((CE22-CC22)&lt;0,CA21*(1+Setup!EI11),if((CE22-CC22)=0,CA21*(1+Setup!EJ11),if((CE22-CC22)=1,CA21*(1+Setup!EK11),if((CE22-CC22)=2,CA21*(1+Setup!EL11),if((CE22-CC22)=3,CA21*(1+Setup!EM11),if((CE22-CC22)=4,CA21*(1+Setup!EN11),if((CE22-CC22)&gt;4,CA21*(1+Setup!EO11),CA21)))))))),CA21),CJ21/'Quick Setup'!$E13)</f>
        <v>310</v>
      </c>
      <c r="CI21" s="39" t="s">
        <v>75</v>
      </c>
      <c r="CJ21" s="40"/>
      <c r="CK21" s="41"/>
      <c r="CL21" s="41"/>
      <c r="CM21" s="41"/>
      <c r="CN21" s="41"/>
      <c r="CO21" s="38">
        <f>if(CQ21="", if(CL22&lt;&gt;"", if((CL22-CJ22)&lt;-1,CH21*(1+Setup!ET11),if((CL22-CJ22)&lt;0,CH21*(1+Setup!EU11),if((CL22-CJ22)=0,CH21*(1+Setup!EV11),if((CL22-CJ22)=1,CH21*(1+Setup!EW11),if((CL22-CJ22)=2,CH21*(1+Setup!EX11),if((CL22-CJ22)=3,CH21*(1+Setup!EY11),if((CL22-CJ22)=4,CH21*(1+Setup!EZ11),if((CL22-CJ22)&gt;4,CH21*(1+Setup!FA11),CH21)))))))),CH21),CQ21/'Quick Setup'!$E13)</f>
        <v>310</v>
      </c>
      <c r="CP21" s="39" t="s">
        <v>75</v>
      </c>
      <c r="CQ21" s="40"/>
      <c r="CR21" s="41"/>
      <c r="CS21" s="41"/>
      <c r="CT21" s="41"/>
      <c r="CU21" s="41"/>
      <c r="CV21" s="38">
        <f>if(CX21="",CO21,CX21/'Quick Setup'!$E13)</f>
        <v>310</v>
      </c>
      <c r="CW21" s="39" t="s">
        <v>75</v>
      </c>
      <c r="CX21" s="40"/>
      <c r="CY21" s="41"/>
      <c r="CZ21" s="41"/>
      <c r="DA21" s="41"/>
      <c r="DB21" s="41"/>
      <c r="DC21" s="38">
        <f>if(DE21="", if(CZ22&lt;&gt;"", if((CZ22-CX22)&lt;-1,CV21*(1+Setup!FR11),if((CZ22-CX22)&lt;0,CV21*(1+Setup!FS11),if((CZ22-CX22)=0,CV21*(1+Setup!FT11),if((CZ22-CX22)=1,CV21*(1+Setup!FU11),if((CZ22-CX22)=2,CV21*(1+Setup!FV11),if((CZ22-CX22)=3,CV21*(1+Setup!FW11),if((CZ22-CX22)=4,CV21*(1+Setup!FX11),if((CZ22-CX22)&gt;4,CV21*(1+Setup!FY11),CV21)))))))),CV21),DE21/'Quick Setup'!$E13)</f>
        <v>310</v>
      </c>
      <c r="DD21" s="39" t="s">
        <v>75</v>
      </c>
      <c r="DE21" s="40"/>
      <c r="DF21" s="41"/>
      <c r="DG21" s="41"/>
      <c r="DH21" s="41"/>
      <c r="DI21" s="41"/>
      <c r="DJ21" s="38">
        <f>if(DL21="", if(DG22&lt;&gt;"", if((DG22-DE22)&lt;-1,DC21*(1+Setup!GD11),if((DG22-DE22)&lt;0,DC21*(1+Setup!GE11),if((DG22-DE22)=0,DC21*(1+Setup!GF11),if((DG22-DE22)=1,DC21*(1+Setup!GG11),if((DG22-DE22)=2,DC21*(1+Setup!GH11),if((DG22-DE22)=3,DC21*(1+Setup!GI11),if((DG22-DE22)=4,DC21*(1+Setup!GJ11),if((DG22-DE22)&gt;4,DC21*(1+Setup!GK11),DC21)))))))),DC21),DL21/'Quick Setup'!$E13)</f>
        <v>310</v>
      </c>
      <c r="DK21" s="39" t="s">
        <v>75</v>
      </c>
      <c r="DL21" s="40"/>
      <c r="DM21" s="41"/>
      <c r="DN21" s="41"/>
      <c r="DO21" s="41"/>
      <c r="DP21" s="41"/>
      <c r="DQ21" s="38">
        <f>if(DS21="", if(DN22&lt;&gt;"", if((DN22-DL22)&lt;-1,DJ21*(1+Setup!GP11),if((DN22-DL22)&lt;0,DJ21*(1+Setup!GQ11),if((DN22-DL22)=0,DJ21*(1+Setup!GR11),if((DN22-DL22)=1,DJ21*(1+Setup!GS11),if((DN22-DL22)=2,DJ21*(1+Setup!GT11),if((DN22-DL22)=3,DJ21*(1+Setup!GU11),if((DN22-DL22)=4,DJ21*(1+Setup!GV11),if((DN22-DL22)&gt;4,DJ21*(1+Setup!GW11),DJ21)))))))),DJ21),DS21/'Quick Setup'!$E13)</f>
        <v>310</v>
      </c>
      <c r="DR21" s="39" t="s">
        <v>75</v>
      </c>
      <c r="DS21" s="40"/>
      <c r="DT21" s="41"/>
      <c r="DU21" s="41"/>
      <c r="DV21" s="41"/>
      <c r="DW21" s="41"/>
      <c r="DX21" s="38">
        <f>if(DZ21="", if(DU22&lt;&gt;"", if((DU22-DS22)&lt;-1,DQ21*(1+Setup!HB11),if((DU22-DS22)&lt;0,DQ21*(1+Setup!HC11),if((DU22-DS22)=0,DQ21*(1+Setup!HD11),if((DU22-DS22)=1,DQ21*(1+Setup!HE11),if((DU22-DS22)=2,DQ21*(1+Setup!HF11),if((DU22-DS22)=3,DQ21*(1+Setup!HG11),if((DU22-DS22)=4,DQ21*(1+Setup!HH11),if((DU22-DS22)&gt;4,DQ21*(1+Setup!HI11),DQ21)))))))),DQ21),DZ21/'Quick Setup'!$E13)</f>
        <v>310</v>
      </c>
      <c r="DY21" s="39" t="s">
        <v>75</v>
      </c>
      <c r="DZ21" s="40"/>
      <c r="EA21" s="41"/>
      <c r="EB21" s="41"/>
      <c r="EC21" s="41"/>
      <c r="ED21" s="41"/>
      <c r="EE21" s="38">
        <f>if(EG21="", if(EB22&lt;&gt;"", if((EB22-DZ22)&lt;-1,DX21*(1+Setup!HN11),if((EB22-DZ22)&lt;0,DX21*(1+Setup!HO11),if((EB22-DZ22)=0,DX21*(1+Setup!HP11),if((EB22-DZ22)=1,DX21*(1+Setup!HQ11),if((EB22-DZ22)=2,DX21*(1+Setup!HR11),if((EB22-DZ22)=3,DX21*(1+Setup!HS11),if((EB22-DZ22)=4,DX21*(1+Setup!HT11),if((EB22-DZ22)&gt;4,DX21*(1+Setup!HU11),DX21)))))))),DX21),EG21/'Quick Setup'!$E13)</f>
        <v>310</v>
      </c>
      <c r="EF21" s="39" t="s">
        <v>75</v>
      </c>
      <c r="EG21" s="40"/>
      <c r="EH21" s="41"/>
      <c r="EI21" s="41"/>
      <c r="EJ21" s="41"/>
      <c r="EK21" s="41"/>
      <c r="EL21" s="38">
        <f>if(EN21="", if(EI22&lt;&gt;"", if((EI22-EG22)&lt;-1,EE21*(1+Setup!HZ11),if((EI22-EG22)&lt;0,EE21*(1+Setup!IA11),if((EI22-EG22)=0,EE21*(1+Setup!IB11),if((EI22-EG22)=1,EE21*(1+Setup!IC11),if((EI22-EG22)=2,EE21*(1+Setup!ID11),if((EI22-EG22)=3,EE21*(1+Setup!IE11),if((EI22-EG22)=4,EE21*(1+Setup!IF11),if((EI22-EG22)&gt;4,EE21*(1+Setup!IG11),EE21)))))))),EE21),EN21/'Quick Setup'!$E13)</f>
        <v>310</v>
      </c>
      <c r="EM21" s="39" t="s">
        <v>75</v>
      </c>
      <c r="EN21" s="40"/>
      <c r="EO21" s="41"/>
      <c r="EP21" s="41"/>
      <c r="EQ21" s="41"/>
      <c r="ER21" s="41"/>
    </row>
    <row r="22">
      <c r="A22" s="1" t="str">
        <f>Setup!A11</f>
        <v>Close Grip Bench</v>
      </c>
      <c r="B22" s="42">
        <f>mround(B21*Setup!B11,'Quick Setup'!$A$2)</f>
        <v>185</v>
      </c>
      <c r="C22" s="3">
        <f>Setup!C11</f>
        <v>7</v>
      </c>
      <c r="D22" s="3">
        <f>Setup!D11</f>
        <v>14</v>
      </c>
      <c r="E22" s="3">
        <f>Setup!E11</f>
        <v>5</v>
      </c>
      <c r="F22" s="10"/>
      <c r="G22" s="10"/>
      <c r="H22" s="10"/>
      <c r="I22" s="42">
        <f>mround(I21*Setup!N11,'Quick Setup'!$A$2)</f>
        <v>202.5</v>
      </c>
      <c r="J22" s="3">
        <f>Setup!O11</f>
        <v>6</v>
      </c>
      <c r="K22" s="3">
        <f>Setup!P11</f>
        <v>12</v>
      </c>
      <c r="L22" s="3">
        <f>Setup!Q11</f>
        <v>5</v>
      </c>
      <c r="M22" s="10"/>
      <c r="N22" s="10"/>
      <c r="O22" s="10"/>
      <c r="P22" s="42">
        <f>mround(P21*Setup!Z11,'Quick Setup'!$A$2)</f>
        <v>217.5</v>
      </c>
      <c r="Q22" s="3">
        <f>Setup!AA11</f>
        <v>5</v>
      </c>
      <c r="R22" s="3">
        <f>Setup!AB11</f>
        <v>10</v>
      </c>
      <c r="S22" s="3">
        <f>Setup!AC11</f>
        <v>5</v>
      </c>
      <c r="T22" s="10"/>
      <c r="U22" s="10"/>
      <c r="V22" s="10"/>
      <c r="W22" s="42">
        <f>mround(W21*Setup!AL11,'Quick Setup'!$A$2)</f>
        <v>195</v>
      </c>
      <c r="X22" s="3">
        <f>Setup!AM11</f>
        <v>7</v>
      </c>
      <c r="Y22" s="3">
        <f>Setup!AN11</f>
        <v>13</v>
      </c>
      <c r="Z22" s="3">
        <f>Setup!AO11</f>
        <v>5</v>
      </c>
      <c r="AA22" s="10"/>
      <c r="AB22" s="10"/>
      <c r="AC22" s="10"/>
      <c r="AD22" s="42">
        <f>mround(AD21*Setup!AX11,'Quick Setup'!$A$2)</f>
        <v>210</v>
      </c>
      <c r="AE22" s="3">
        <f>Setup!AY11</f>
        <v>6</v>
      </c>
      <c r="AF22" s="3">
        <f>Setup!AZ11</f>
        <v>11</v>
      </c>
      <c r="AG22" s="3">
        <f>Setup!BA11</f>
        <v>5</v>
      </c>
      <c r="AH22" s="10"/>
      <c r="AI22" s="10"/>
      <c r="AJ22" s="10"/>
      <c r="AK22" s="42">
        <f>mround(AK21*Setup!BJ11,'Quick Setup'!$A$2)</f>
        <v>225</v>
      </c>
      <c r="AL22" s="3">
        <f>Setup!BK11</f>
        <v>5</v>
      </c>
      <c r="AM22" s="3">
        <f>Setup!BL11</f>
        <v>9</v>
      </c>
      <c r="AN22" s="3">
        <f>Setup!BM11</f>
        <v>5</v>
      </c>
      <c r="AO22" s="10"/>
      <c r="AP22" s="10"/>
      <c r="AQ22" s="10"/>
      <c r="AR22" s="42">
        <f>mround(AR21*Setup!BV11,'Quick Setup'!$A$2)</f>
        <v>155</v>
      </c>
      <c r="AS22" s="1">
        <v>5.0</v>
      </c>
      <c r="AT22" s="1" t="s">
        <v>78</v>
      </c>
      <c r="AU22" s="3">
        <f>Setup!BY11</f>
        <v>5</v>
      </c>
      <c r="AV22" s="10"/>
      <c r="AW22" s="10"/>
      <c r="AX22" s="10"/>
      <c r="AY22" s="42">
        <f>mround(AY21*Setup!CH11,'Quick Setup'!$A$2)</f>
        <v>202.5</v>
      </c>
      <c r="AZ22" s="3">
        <f>Setup!CI11</f>
        <v>6</v>
      </c>
      <c r="BA22" s="3">
        <f>Setup!CJ11</f>
        <v>12</v>
      </c>
      <c r="BB22" s="3">
        <f>Setup!CK11</f>
        <v>5</v>
      </c>
      <c r="BC22" s="10"/>
      <c r="BD22" s="10"/>
      <c r="BE22" s="10"/>
      <c r="BF22" s="42">
        <f>mround(BF21*Setup!CT11,'Quick Setup'!$A$2)</f>
        <v>217.5</v>
      </c>
      <c r="BG22" s="3">
        <f>Setup!CU11</f>
        <v>5</v>
      </c>
      <c r="BH22" s="3">
        <f>Setup!CV11</f>
        <v>10</v>
      </c>
      <c r="BI22" s="3">
        <f>Setup!CW11</f>
        <v>5</v>
      </c>
      <c r="BJ22" s="10"/>
      <c r="BK22" s="10"/>
      <c r="BL22" s="10"/>
      <c r="BM22" s="42">
        <f>mround(BM21*Setup!DF11,'Quick Setup'!$A$2)</f>
        <v>232.5</v>
      </c>
      <c r="BN22" s="3">
        <f>Setup!DG11</f>
        <v>4</v>
      </c>
      <c r="BO22" s="3">
        <f>Setup!DH11</f>
        <v>8</v>
      </c>
      <c r="BP22" s="3">
        <f>Setup!DI11</f>
        <v>5</v>
      </c>
      <c r="BQ22" s="10"/>
      <c r="BR22" s="10"/>
      <c r="BS22" s="10"/>
      <c r="BT22" s="42">
        <f>mround(BT21*Setup!DR11,'Quick Setup'!$A$2)</f>
        <v>210</v>
      </c>
      <c r="BU22" s="3">
        <f>Setup!DS11</f>
        <v>6</v>
      </c>
      <c r="BV22" s="3">
        <f>Setup!DT11</f>
        <v>11</v>
      </c>
      <c r="BW22" s="3">
        <f>Setup!DU11</f>
        <v>5</v>
      </c>
      <c r="BX22" s="10"/>
      <c r="BY22" s="10"/>
      <c r="BZ22" s="10"/>
      <c r="CA22" s="42">
        <f>mround(CA21*Setup!ED11,'Quick Setup'!$A$2)</f>
        <v>225</v>
      </c>
      <c r="CB22" s="3">
        <f>Setup!EE11</f>
        <v>5</v>
      </c>
      <c r="CC22" s="3">
        <f>Setup!EF11</f>
        <v>9</v>
      </c>
      <c r="CD22" s="3">
        <f>Setup!EG11</f>
        <v>5</v>
      </c>
      <c r="CE22" s="10"/>
      <c r="CF22" s="10"/>
      <c r="CG22" s="10"/>
      <c r="CH22" s="42">
        <f>mround(CH21*Setup!EP11,'Quick Setup'!$A$2)</f>
        <v>240</v>
      </c>
      <c r="CI22" s="3">
        <f>Setup!EQ11</f>
        <v>4</v>
      </c>
      <c r="CJ22" s="3">
        <f>Setup!ER11</f>
        <v>7</v>
      </c>
      <c r="CK22" s="3">
        <f>Setup!ES11</f>
        <v>5</v>
      </c>
      <c r="CL22" s="10"/>
      <c r="CM22" s="10"/>
      <c r="CN22" s="10"/>
      <c r="CO22" s="42">
        <f>mround(CO21*Setup!FB11,'Quick Setup'!$A$2)</f>
        <v>155</v>
      </c>
      <c r="CP22" s="1">
        <v>5.0</v>
      </c>
      <c r="CQ22" s="1" t="s">
        <v>78</v>
      </c>
      <c r="CR22" s="3">
        <f>Setup!FE11</f>
        <v>5</v>
      </c>
      <c r="CS22" s="10"/>
      <c r="CT22" s="10"/>
      <c r="CU22" s="10"/>
      <c r="CV22" s="42">
        <f>mround(CV21*Setup!FN11,'Quick Setup'!$A$2)</f>
        <v>217.5</v>
      </c>
      <c r="CW22" s="3">
        <f>Setup!FO11</f>
        <v>5</v>
      </c>
      <c r="CX22" s="3">
        <f>Setup!FP11</f>
        <v>10</v>
      </c>
      <c r="CY22" s="3">
        <f>Setup!FQ11</f>
        <v>5</v>
      </c>
      <c r="CZ22" s="10"/>
      <c r="DA22" s="10"/>
      <c r="DB22" s="10"/>
      <c r="DC22" s="42">
        <f>mround(DC21*Setup!FZ11,'Quick Setup'!$A$2)</f>
        <v>232.5</v>
      </c>
      <c r="DD22" s="3">
        <f>Setup!GA11</f>
        <v>4</v>
      </c>
      <c r="DE22" s="3">
        <f>Setup!GB11</f>
        <v>8</v>
      </c>
      <c r="DF22" s="3">
        <f>Setup!GC11</f>
        <v>5</v>
      </c>
      <c r="DG22" s="10"/>
      <c r="DH22" s="10"/>
      <c r="DI22" s="10"/>
      <c r="DJ22" s="42">
        <f>mround(DJ21*Setup!GL11,'Quick Setup'!$A$2)</f>
        <v>247.5</v>
      </c>
      <c r="DK22" s="3">
        <f>Setup!GM11</f>
        <v>3</v>
      </c>
      <c r="DL22" s="3">
        <f>Setup!GN11</f>
        <v>6</v>
      </c>
      <c r="DM22" s="3">
        <f>Setup!GO11</f>
        <v>5</v>
      </c>
      <c r="DN22" s="10"/>
      <c r="DO22" s="10"/>
      <c r="DP22" s="10"/>
      <c r="DQ22" s="42">
        <f>mround(DQ21*Setup!GX11,'Quick Setup'!$A$2)</f>
        <v>232.5</v>
      </c>
      <c r="DR22" s="3">
        <f>Setup!GY11</f>
        <v>4</v>
      </c>
      <c r="DS22" s="3">
        <f>Setup!GZ11</f>
        <v>8</v>
      </c>
      <c r="DT22" s="3">
        <f>Setup!HA11</f>
        <v>5</v>
      </c>
      <c r="DU22" s="10"/>
      <c r="DV22" s="10"/>
      <c r="DW22" s="10"/>
      <c r="DX22" s="42">
        <f>mround(DX21*Setup!HJ11,'Quick Setup'!$A$2)</f>
        <v>247.5</v>
      </c>
      <c r="DY22" s="3">
        <f>Setup!HK11</f>
        <v>3</v>
      </c>
      <c r="DZ22" s="3">
        <f>Setup!HL11</f>
        <v>6</v>
      </c>
      <c r="EA22" s="3">
        <f>Setup!HM11</f>
        <v>5</v>
      </c>
      <c r="EB22" s="10"/>
      <c r="EC22" s="10"/>
      <c r="ED22" s="10"/>
      <c r="EE22" s="42">
        <f>mround(EE21*Setup!HV11,'Quick Setup'!$A$2)</f>
        <v>262.5</v>
      </c>
      <c r="EF22" s="3">
        <f>Setup!HW11</f>
        <v>2</v>
      </c>
      <c r="EG22" s="3">
        <f>Setup!HX11</f>
        <v>4</v>
      </c>
      <c r="EH22" s="3">
        <f>Setup!HY11</f>
        <v>5</v>
      </c>
      <c r="EI22" s="10"/>
      <c r="EJ22" s="10"/>
      <c r="EK22" s="10"/>
      <c r="EL22" s="42">
        <f>mround(EL21*Setup!IH11,'Quick Setup'!$A$2)</f>
        <v>155</v>
      </c>
      <c r="EM22" s="1">
        <v>5.0</v>
      </c>
      <c r="EN22" s="1" t="s">
        <v>78</v>
      </c>
      <c r="EO22" s="3">
        <f>Setup!IK11</f>
        <v>5</v>
      </c>
      <c r="EP22" s="10"/>
      <c r="EQ22" s="10"/>
      <c r="ER22" s="10"/>
    </row>
    <row r="23">
      <c r="A23" s="5"/>
      <c r="B23" s="43"/>
      <c r="C23" s="10"/>
      <c r="D23" s="10"/>
      <c r="E23" s="10"/>
      <c r="F23" s="10"/>
      <c r="G23" s="10"/>
      <c r="H23" s="10"/>
      <c r="I23" s="43" t="str">
        <f t="shared" ref="I23:M23" si="81">B23</f>
        <v/>
      </c>
      <c r="J23" s="10" t="str">
        <f t="shared" si="81"/>
        <v/>
      </c>
      <c r="K23" s="10" t="str">
        <f t="shared" si="81"/>
        <v/>
      </c>
      <c r="L23" s="10" t="str">
        <f t="shared" si="81"/>
        <v/>
      </c>
      <c r="M23" s="10" t="str">
        <f t="shared" si="81"/>
        <v/>
      </c>
      <c r="N23" s="10"/>
      <c r="O23" s="10"/>
      <c r="P23" s="43" t="str">
        <f t="shared" ref="P23:T23" si="82">I23</f>
        <v/>
      </c>
      <c r="Q23" s="10" t="str">
        <f t="shared" si="82"/>
        <v/>
      </c>
      <c r="R23" s="10" t="str">
        <f t="shared" si="82"/>
        <v/>
      </c>
      <c r="S23" s="10" t="str">
        <f t="shared" si="82"/>
        <v/>
      </c>
      <c r="T23" s="10" t="str">
        <f t="shared" si="82"/>
        <v/>
      </c>
      <c r="U23" s="10"/>
      <c r="V23" s="10"/>
      <c r="W23" s="43" t="str">
        <f t="shared" ref="W23:AA23" si="83">P23</f>
        <v/>
      </c>
      <c r="X23" s="10" t="str">
        <f t="shared" si="83"/>
        <v/>
      </c>
      <c r="Y23" s="10" t="str">
        <f t="shared" si="83"/>
        <v/>
      </c>
      <c r="Z23" s="10" t="str">
        <f t="shared" si="83"/>
        <v/>
      </c>
      <c r="AA23" s="10" t="str">
        <f t="shared" si="83"/>
        <v/>
      </c>
      <c r="AB23" s="10"/>
      <c r="AC23" s="10"/>
      <c r="AD23" s="43" t="str">
        <f t="shared" ref="AD23:AH23" si="84">W23</f>
        <v/>
      </c>
      <c r="AE23" s="10" t="str">
        <f t="shared" si="84"/>
        <v/>
      </c>
      <c r="AF23" s="10" t="str">
        <f t="shared" si="84"/>
        <v/>
      </c>
      <c r="AG23" s="10" t="str">
        <f t="shared" si="84"/>
        <v/>
      </c>
      <c r="AH23" s="10" t="str">
        <f t="shared" si="84"/>
        <v/>
      </c>
      <c r="AI23" s="10"/>
      <c r="AJ23" s="10"/>
      <c r="AK23" s="43" t="str">
        <f t="shared" ref="AK23:AO23" si="85">AD23</f>
        <v/>
      </c>
      <c r="AL23" s="10" t="str">
        <f t="shared" si="85"/>
        <v/>
      </c>
      <c r="AM23" s="10" t="str">
        <f t="shared" si="85"/>
        <v/>
      </c>
      <c r="AN23" s="10" t="str">
        <f t="shared" si="85"/>
        <v/>
      </c>
      <c r="AO23" s="10" t="str">
        <f t="shared" si="85"/>
        <v/>
      </c>
      <c r="AP23" s="10"/>
      <c r="AQ23" s="10"/>
      <c r="AR23" s="43" t="str">
        <f t="shared" ref="AR23:AV23" si="86">AK23</f>
        <v/>
      </c>
      <c r="AS23" s="10" t="str">
        <f t="shared" si="86"/>
        <v/>
      </c>
      <c r="AT23" s="10" t="str">
        <f t="shared" si="86"/>
        <v/>
      </c>
      <c r="AU23" s="10" t="str">
        <f t="shared" si="86"/>
        <v/>
      </c>
      <c r="AV23" s="10" t="str">
        <f t="shared" si="86"/>
        <v/>
      </c>
      <c r="AW23" s="10"/>
      <c r="AX23" s="10"/>
      <c r="AY23" s="43" t="str">
        <f t="shared" ref="AY23:BC23" si="87">AR23</f>
        <v/>
      </c>
      <c r="AZ23" s="10" t="str">
        <f t="shared" si="87"/>
        <v/>
      </c>
      <c r="BA23" s="10" t="str">
        <f t="shared" si="87"/>
        <v/>
      </c>
      <c r="BB23" s="10" t="str">
        <f t="shared" si="87"/>
        <v/>
      </c>
      <c r="BC23" s="10" t="str">
        <f t="shared" si="87"/>
        <v/>
      </c>
      <c r="BD23" s="10"/>
      <c r="BE23" s="10"/>
      <c r="BF23" s="43" t="str">
        <f t="shared" ref="BF23:BJ23" si="88">AY23</f>
        <v/>
      </c>
      <c r="BG23" s="10" t="str">
        <f t="shared" si="88"/>
        <v/>
      </c>
      <c r="BH23" s="10" t="str">
        <f t="shared" si="88"/>
        <v/>
      </c>
      <c r="BI23" s="10" t="str">
        <f t="shared" si="88"/>
        <v/>
      </c>
      <c r="BJ23" s="10" t="str">
        <f t="shared" si="88"/>
        <v/>
      </c>
      <c r="BK23" s="10"/>
      <c r="BL23" s="10"/>
      <c r="BM23" s="43" t="str">
        <f t="shared" ref="BM23:BQ23" si="89">BF23</f>
        <v/>
      </c>
      <c r="BN23" s="10" t="str">
        <f t="shared" si="89"/>
        <v/>
      </c>
      <c r="BO23" s="10" t="str">
        <f t="shared" si="89"/>
        <v/>
      </c>
      <c r="BP23" s="10" t="str">
        <f t="shared" si="89"/>
        <v/>
      </c>
      <c r="BQ23" s="10" t="str">
        <f t="shared" si="89"/>
        <v/>
      </c>
      <c r="BR23" s="10"/>
      <c r="BS23" s="10"/>
      <c r="BT23" s="43" t="str">
        <f t="shared" ref="BT23:BX23" si="90">BM23</f>
        <v/>
      </c>
      <c r="BU23" s="10" t="str">
        <f t="shared" si="90"/>
        <v/>
      </c>
      <c r="BV23" s="10" t="str">
        <f t="shared" si="90"/>
        <v/>
      </c>
      <c r="BW23" s="10" t="str">
        <f t="shared" si="90"/>
        <v/>
      </c>
      <c r="BX23" s="10" t="str">
        <f t="shared" si="90"/>
        <v/>
      </c>
      <c r="BY23" s="10"/>
      <c r="BZ23" s="10"/>
      <c r="CA23" s="43" t="str">
        <f t="shared" ref="CA23:CE23" si="91">BT23</f>
        <v/>
      </c>
      <c r="CB23" s="10" t="str">
        <f t="shared" si="91"/>
        <v/>
      </c>
      <c r="CC23" s="10" t="str">
        <f t="shared" si="91"/>
        <v/>
      </c>
      <c r="CD23" s="10" t="str">
        <f t="shared" si="91"/>
        <v/>
      </c>
      <c r="CE23" s="10" t="str">
        <f t="shared" si="91"/>
        <v/>
      </c>
      <c r="CF23" s="10"/>
      <c r="CG23" s="10"/>
      <c r="CH23" s="43" t="str">
        <f t="shared" ref="CH23:CL23" si="92">CA23</f>
        <v/>
      </c>
      <c r="CI23" s="10" t="str">
        <f t="shared" si="92"/>
        <v/>
      </c>
      <c r="CJ23" s="10" t="str">
        <f t="shared" si="92"/>
        <v/>
      </c>
      <c r="CK23" s="10" t="str">
        <f t="shared" si="92"/>
        <v/>
      </c>
      <c r="CL23" s="10" t="str">
        <f t="shared" si="92"/>
        <v/>
      </c>
      <c r="CM23" s="10"/>
      <c r="CN23" s="10"/>
      <c r="CO23" s="43" t="str">
        <f t="shared" ref="CO23:CS23" si="93">CH23</f>
        <v/>
      </c>
      <c r="CP23" s="10" t="str">
        <f t="shared" si="93"/>
        <v/>
      </c>
      <c r="CQ23" s="10" t="str">
        <f t="shared" si="93"/>
        <v/>
      </c>
      <c r="CR23" s="10" t="str">
        <f t="shared" si="93"/>
        <v/>
      </c>
      <c r="CS23" s="10" t="str">
        <f t="shared" si="93"/>
        <v/>
      </c>
      <c r="CT23" s="10"/>
      <c r="CU23" s="10"/>
      <c r="CV23" s="43" t="str">
        <f t="shared" ref="CV23:CZ23" si="94">CO23</f>
        <v/>
      </c>
      <c r="CW23" s="10" t="str">
        <f t="shared" si="94"/>
        <v/>
      </c>
      <c r="CX23" s="10" t="str">
        <f t="shared" si="94"/>
        <v/>
      </c>
      <c r="CY23" s="10" t="str">
        <f t="shared" si="94"/>
        <v/>
      </c>
      <c r="CZ23" s="10" t="str">
        <f t="shared" si="94"/>
        <v/>
      </c>
      <c r="DA23" s="10"/>
      <c r="DB23" s="10"/>
      <c r="DC23" s="43" t="str">
        <f t="shared" ref="DC23:DG23" si="95">CV23</f>
        <v/>
      </c>
      <c r="DD23" s="10" t="str">
        <f t="shared" si="95"/>
        <v/>
      </c>
      <c r="DE23" s="10" t="str">
        <f t="shared" si="95"/>
        <v/>
      </c>
      <c r="DF23" s="10" t="str">
        <f t="shared" si="95"/>
        <v/>
      </c>
      <c r="DG23" s="10" t="str">
        <f t="shared" si="95"/>
        <v/>
      </c>
      <c r="DH23" s="10"/>
      <c r="DI23" s="10"/>
      <c r="DJ23" s="43" t="str">
        <f t="shared" ref="DJ23:DN23" si="96">DC23</f>
        <v/>
      </c>
      <c r="DK23" s="10" t="str">
        <f t="shared" si="96"/>
        <v/>
      </c>
      <c r="DL23" s="10" t="str">
        <f t="shared" si="96"/>
        <v/>
      </c>
      <c r="DM23" s="10" t="str">
        <f t="shared" si="96"/>
        <v/>
      </c>
      <c r="DN23" s="10" t="str">
        <f t="shared" si="96"/>
        <v/>
      </c>
      <c r="DO23" s="10"/>
      <c r="DP23" s="10"/>
      <c r="DQ23" s="43" t="str">
        <f t="shared" ref="DQ23:DU23" si="97">DJ23</f>
        <v/>
      </c>
      <c r="DR23" s="10" t="str">
        <f t="shared" si="97"/>
        <v/>
      </c>
      <c r="DS23" s="10" t="str">
        <f t="shared" si="97"/>
        <v/>
      </c>
      <c r="DT23" s="10" t="str">
        <f t="shared" si="97"/>
        <v/>
      </c>
      <c r="DU23" s="10" t="str">
        <f t="shared" si="97"/>
        <v/>
      </c>
      <c r="DV23" s="10"/>
      <c r="DW23" s="10"/>
      <c r="DX23" s="43" t="str">
        <f t="shared" ref="DX23:EB23" si="98">DQ23</f>
        <v/>
      </c>
      <c r="DY23" s="10" t="str">
        <f t="shared" si="98"/>
        <v/>
      </c>
      <c r="DZ23" s="10" t="str">
        <f t="shared" si="98"/>
        <v/>
      </c>
      <c r="EA23" s="10" t="str">
        <f t="shared" si="98"/>
        <v/>
      </c>
      <c r="EB23" s="10" t="str">
        <f t="shared" si="98"/>
        <v/>
      </c>
      <c r="EC23" s="10"/>
      <c r="ED23" s="10"/>
      <c r="EE23" s="43" t="str">
        <f t="shared" ref="EE23:EI23" si="99">DX23</f>
        <v/>
      </c>
      <c r="EF23" s="10" t="str">
        <f t="shared" si="99"/>
        <v/>
      </c>
      <c r="EG23" s="10" t="str">
        <f t="shared" si="99"/>
        <v/>
      </c>
      <c r="EH23" s="10" t="str">
        <f t="shared" si="99"/>
        <v/>
      </c>
      <c r="EI23" s="10" t="str">
        <f t="shared" si="99"/>
        <v/>
      </c>
      <c r="EJ23" s="10"/>
      <c r="EK23" s="10"/>
      <c r="EL23" s="43" t="str">
        <f t="shared" ref="EL23:EP23" si="100">EE23</f>
        <v/>
      </c>
      <c r="EM23" s="10" t="str">
        <f t="shared" si="100"/>
        <v/>
      </c>
      <c r="EN23" s="10" t="str">
        <f t="shared" si="100"/>
        <v/>
      </c>
      <c r="EO23" s="10" t="str">
        <f t="shared" si="100"/>
        <v/>
      </c>
      <c r="EP23" s="10" t="str">
        <f t="shared" si="100"/>
        <v/>
      </c>
      <c r="EQ23" s="10"/>
      <c r="ER23" s="10"/>
    </row>
    <row r="24">
      <c r="A24" s="1" t="s">
        <v>79</v>
      </c>
      <c r="B24" s="42"/>
      <c r="C24" s="3"/>
      <c r="D24" s="3"/>
      <c r="E24" s="3"/>
      <c r="F24" s="3"/>
      <c r="G24" s="3"/>
      <c r="H24" s="3"/>
      <c r="I24" s="42"/>
      <c r="J24" s="3"/>
      <c r="K24" s="3"/>
      <c r="L24" s="3"/>
      <c r="M24" s="3"/>
      <c r="N24" s="3"/>
      <c r="O24" s="3"/>
      <c r="P24" s="42"/>
      <c r="Q24" s="3"/>
      <c r="R24" s="3"/>
      <c r="S24" s="3"/>
      <c r="T24" s="3"/>
      <c r="U24" s="3"/>
      <c r="V24" s="3"/>
      <c r="W24" s="42"/>
      <c r="X24" s="3"/>
      <c r="Y24" s="3"/>
      <c r="Z24" s="3"/>
      <c r="AA24" s="3"/>
      <c r="AB24" s="3"/>
      <c r="AC24" s="3"/>
      <c r="AD24" s="42"/>
      <c r="AE24" s="3"/>
      <c r="AF24" s="3"/>
      <c r="AG24" s="3"/>
      <c r="AH24" s="3"/>
      <c r="AI24" s="3"/>
      <c r="AJ24" s="3"/>
      <c r="AK24" s="42"/>
      <c r="AL24" s="3"/>
      <c r="AM24" s="3"/>
      <c r="AN24" s="3"/>
      <c r="AO24" s="3"/>
      <c r="AP24" s="3"/>
      <c r="AQ24" s="3"/>
      <c r="AR24" s="42"/>
      <c r="AS24" s="3"/>
      <c r="AT24" s="3"/>
      <c r="AU24" s="3"/>
      <c r="AV24" s="3"/>
      <c r="AW24" s="3"/>
      <c r="AX24" s="3"/>
      <c r="AY24" s="42"/>
      <c r="AZ24" s="3"/>
      <c r="BA24" s="3"/>
      <c r="BB24" s="3"/>
      <c r="BC24" s="3"/>
      <c r="BD24" s="3"/>
      <c r="BE24" s="3"/>
      <c r="BF24" s="42"/>
      <c r="BG24" s="3"/>
      <c r="BH24" s="3"/>
      <c r="BI24" s="3"/>
      <c r="BJ24" s="3"/>
      <c r="BK24" s="3"/>
      <c r="BL24" s="3"/>
      <c r="BM24" s="42"/>
      <c r="BN24" s="3"/>
      <c r="BO24" s="3"/>
      <c r="BP24" s="3"/>
      <c r="BQ24" s="3"/>
      <c r="BR24" s="3"/>
      <c r="BS24" s="3"/>
      <c r="BT24" s="42"/>
      <c r="BU24" s="3"/>
      <c r="BV24" s="3"/>
      <c r="BW24" s="3"/>
      <c r="BX24" s="3"/>
      <c r="BY24" s="3"/>
      <c r="BZ24" s="3"/>
      <c r="CA24" s="42"/>
      <c r="CB24" s="3"/>
      <c r="CC24" s="3"/>
      <c r="CD24" s="3"/>
      <c r="CE24" s="3"/>
      <c r="CF24" s="3"/>
      <c r="CG24" s="3"/>
      <c r="CH24" s="42"/>
      <c r="CI24" s="3"/>
      <c r="CJ24" s="3"/>
      <c r="CK24" s="3"/>
      <c r="CL24" s="3"/>
      <c r="CM24" s="3"/>
      <c r="CN24" s="3"/>
      <c r="CO24" s="42"/>
      <c r="CP24" s="3"/>
      <c r="CQ24" s="3"/>
      <c r="CR24" s="3"/>
      <c r="CS24" s="3"/>
      <c r="CT24" s="3"/>
      <c r="CU24" s="3"/>
      <c r="CV24" s="42"/>
      <c r="CW24" s="3"/>
      <c r="CX24" s="3"/>
      <c r="CY24" s="3"/>
      <c r="CZ24" s="3"/>
      <c r="DA24" s="3"/>
      <c r="DB24" s="3"/>
      <c r="DC24" s="42"/>
      <c r="DD24" s="3"/>
      <c r="DE24" s="3"/>
      <c r="DF24" s="3"/>
      <c r="DG24" s="3"/>
      <c r="DH24" s="3"/>
      <c r="DI24" s="3"/>
      <c r="DJ24" s="42"/>
      <c r="DK24" s="3"/>
      <c r="DL24" s="3"/>
      <c r="DM24" s="3"/>
      <c r="DN24" s="3"/>
      <c r="DO24" s="3"/>
      <c r="DP24" s="3"/>
      <c r="DQ24" s="42"/>
      <c r="DR24" s="3"/>
      <c r="DS24" s="3"/>
      <c r="DT24" s="3"/>
      <c r="DU24" s="3"/>
      <c r="DV24" s="3"/>
      <c r="DW24" s="3"/>
      <c r="DX24" s="42"/>
      <c r="DY24" s="3"/>
      <c r="DZ24" s="3"/>
      <c r="EA24" s="3"/>
      <c r="EB24" s="3"/>
      <c r="EC24" s="3"/>
      <c r="ED24" s="3"/>
      <c r="EE24" s="42"/>
      <c r="EF24" s="3"/>
      <c r="EG24" s="3"/>
      <c r="EH24" s="3"/>
      <c r="EI24" s="3"/>
      <c r="EJ24" s="3"/>
      <c r="EK24" s="3"/>
      <c r="EL24" s="42"/>
      <c r="EM24" s="3"/>
      <c r="EN24" s="3"/>
      <c r="EO24" s="3"/>
      <c r="EP24" s="3"/>
      <c r="EQ24" s="3"/>
      <c r="ER24" s="3"/>
    </row>
    <row r="25">
      <c r="A25" s="44"/>
      <c r="B25" s="43"/>
      <c r="C25" s="10"/>
      <c r="D25" s="10"/>
      <c r="E25" s="10"/>
      <c r="F25" s="10"/>
      <c r="G25" s="10"/>
      <c r="H25" s="10"/>
      <c r="I25" s="43" t="str">
        <f t="shared" ref="I25:M25" si="101">B25</f>
        <v/>
      </c>
      <c r="J25" s="10" t="str">
        <f t="shared" si="101"/>
        <v/>
      </c>
      <c r="K25" s="10" t="str">
        <f t="shared" si="101"/>
        <v/>
      </c>
      <c r="L25" s="10" t="str">
        <f t="shared" si="101"/>
        <v/>
      </c>
      <c r="M25" s="10" t="str">
        <f t="shared" si="101"/>
        <v/>
      </c>
      <c r="N25" s="10"/>
      <c r="O25" s="10"/>
      <c r="P25" s="43" t="str">
        <f t="shared" ref="P25:T25" si="102">I25</f>
        <v/>
      </c>
      <c r="Q25" s="10" t="str">
        <f t="shared" si="102"/>
        <v/>
      </c>
      <c r="R25" s="10" t="str">
        <f t="shared" si="102"/>
        <v/>
      </c>
      <c r="S25" s="10" t="str">
        <f t="shared" si="102"/>
        <v/>
      </c>
      <c r="T25" s="10" t="str">
        <f t="shared" si="102"/>
        <v/>
      </c>
      <c r="U25" s="10"/>
      <c r="V25" s="10"/>
      <c r="W25" s="43" t="str">
        <f t="shared" ref="W25:AA25" si="103">P25</f>
        <v/>
      </c>
      <c r="X25" s="10" t="str">
        <f t="shared" si="103"/>
        <v/>
      </c>
      <c r="Y25" s="10" t="str">
        <f t="shared" si="103"/>
        <v/>
      </c>
      <c r="Z25" s="10" t="str">
        <f t="shared" si="103"/>
        <v/>
      </c>
      <c r="AA25" s="10" t="str">
        <f t="shared" si="103"/>
        <v/>
      </c>
      <c r="AB25" s="10"/>
      <c r="AC25" s="10"/>
      <c r="AD25" s="43" t="str">
        <f t="shared" ref="AD25:AH25" si="104">W25</f>
        <v/>
      </c>
      <c r="AE25" s="10" t="str">
        <f t="shared" si="104"/>
        <v/>
      </c>
      <c r="AF25" s="10" t="str">
        <f t="shared" si="104"/>
        <v/>
      </c>
      <c r="AG25" s="10" t="str">
        <f t="shared" si="104"/>
        <v/>
      </c>
      <c r="AH25" s="10" t="str">
        <f t="shared" si="104"/>
        <v/>
      </c>
      <c r="AI25" s="10"/>
      <c r="AJ25" s="10"/>
      <c r="AK25" s="43" t="str">
        <f t="shared" ref="AK25:AO25" si="105">AD25</f>
        <v/>
      </c>
      <c r="AL25" s="10" t="str">
        <f t="shared" si="105"/>
        <v/>
      </c>
      <c r="AM25" s="10" t="str">
        <f t="shared" si="105"/>
        <v/>
      </c>
      <c r="AN25" s="10" t="str">
        <f t="shared" si="105"/>
        <v/>
      </c>
      <c r="AO25" s="10" t="str">
        <f t="shared" si="105"/>
        <v/>
      </c>
      <c r="AP25" s="10"/>
      <c r="AQ25" s="10"/>
      <c r="AR25" s="43" t="str">
        <f t="shared" ref="AR25:AV25" si="106">AK25</f>
        <v/>
      </c>
      <c r="AS25" s="10" t="str">
        <f t="shared" si="106"/>
        <v/>
      </c>
      <c r="AT25" s="10" t="str">
        <f t="shared" si="106"/>
        <v/>
      </c>
      <c r="AU25" s="10" t="str">
        <f t="shared" si="106"/>
        <v/>
      </c>
      <c r="AV25" s="10" t="str">
        <f t="shared" si="106"/>
        <v/>
      </c>
      <c r="AW25" s="10"/>
      <c r="AX25" s="10"/>
      <c r="AY25" s="43" t="str">
        <f t="shared" ref="AY25:BC25" si="107">AR25</f>
        <v/>
      </c>
      <c r="AZ25" s="10" t="str">
        <f t="shared" si="107"/>
        <v/>
      </c>
      <c r="BA25" s="10" t="str">
        <f t="shared" si="107"/>
        <v/>
      </c>
      <c r="BB25" s="10" t="str">
        <f t="shared" si="107"/>
        <v/>
      </c>
      <c r="BC25" s="10" t="str">
        <f t="shared" si="107"/>
        <v/>
      </c>
      <c r="BD25" s="10"/>
      <c r="BE25" s="10"/>
      <c r="BF25" s="43" t="str">
        <f t="shared" ref="BF25:BJ25" si="108">AY25</f>
        <v/>
      </c>
      <c r="BG25" s="10" t="str">
        <f t="shared" si="108"/>
        <v/>
      </c>
      <c r="BH25" s="10" t="str">
        <f t="shared" si="108"/>
        <v/>
      </c>
      <c r="BI25" s="10" t="str">
        <f t="shared" si="108"/>
        <v/>
      </c>
      <c r="BJ25" s="10" t="str">
        <f t="shared" si="108"/>
        <v/>
      </c>
      <c r="BK25" s="10"/>
      <c r="BL25" s="10"/>
      <c r="BM25" s="43" t="str">
        <f t="shared" ref="BM25:BQ25" si="109">BF25</f>
        <v/>
      </c>
      <c r="BN25" s="10" t="str">
        <f t="shared" si="109"/>
        <v/>
      </c>
      <c r="BO25" s="10" t="str">
        <f t="shared" si="109"/>
        <v/>
      </c>
      <c r="BP25" s="10" t="str">
        <f t="shared" si="109"/>
        <v/>
      </c>
      <c r="BQ25" s="10" t="str">
        <f t="shared" si="109"/>
        <v/>
      </c>
      <c r="BR25" s="10"/>
      <c r="BS25" s="10"/>
      <c r="BT25" s="43" t="str">
        <f t="shared" ref="BT25:BX25" si="110">BM25</f>
        <v/>
      </c>
      <c r="BU25" s="10" t="str">
        <f t="shared" si="110"/>
        <v/>
      </c>
      <c r="BV25" s="10" t="str">
        <f t="shared" si="110"/>
        <v/>
      </c>
      <c r="BW25" s="10" t="str">
        <f t="shared" si="110"/>
        <v/>
      </c>
      <c r="BX25" s="10" t="str">
        <f t="shared" si="110"/>
        <v/>
      </c>
      <c r="BY25" s="10"/>
      <c r="BZ25" s="10"/>
      <c r="CA25" s="43" t="str">
        <f t="shared" ref="CA25:CE25" si="111">BT25</f>
        <v/>
      </c>
      <c r="CB25" s="10" t="str">
        <f t="shared" si="111"/>
        <v/>
      </c>
      <c r="CC25" s="10" t="str">
        <f t="shared" si="111"/>
        <v/>
      </c>
      <c r="CD25" s="10" t="str">
        <f t="shared" si="111"/>
        <v/>
      </c>
      <c r="CE25" s="10" t="str">
        <f t="shared" si="111"/>
        <v/>
      </c>
      <c r="CF25" s="10"/>
      <c r="CG25" s="10"/>
      <c r="CH25" s="43" t="str">
        <f t="shared" ref="CH25:CL25" si="112">CA25</f>
        <v/>
      </c>
      <c r="CI25" s="10" t="str">
        <f t="shared" si="112"/>
        <v/>
      </c>
      <c r="CJ25" s="10" t="str">
        <f t="shared" si="112"/>
        <v/>
      </c>
      <c r="CK25" s="10" t="str">
        <f t="shared" si="112"/>
        <v/>
      </c>
      <c r="CL25" s="10" t="str">
        <f t="shared" si="112"/>
        <v/>
      </c>
      <c r="CM25" s="10"/>
      <c r="CN25" s="10"/>
      <c r="CO25" s="43" t="str">
        <f t="shared" ref="CO25:CS25" si="113">CH25</f>
        <v/>
      </c>
      <c r="CP25" s="10" t="str">
        <f t="shared" si="113"/>
        <v/>
      </c>
      <c r="CQ25" s="10" t="str">
        <f t="shared" si="113"/>
        <v/>
      </c>
      <c r="CR25" s="10" t="str">
        <f t="shared" si="113"/>
        <v/>
      </c>
      <c r="CS25" s="10" t="str">
        <f t="shared" si="113"/>
        <v/>
      </c>
      <c r="CT25" s="10"/>
      <c r="CU25" s="10"/>
      <c r="CV25" s="43" t="str">
        <f t="shared" ref="CV25:CZ25" si="114">CO25</f>
        <v/>
      </c>
      <c r="CW25" s="10" t="str">
        <f t="shared" si="114"/>
        <v/>
      </c>
      <c r="CX25" s="10" t="str">
        <f t="shared" si="114"/>
        <v/>
      </c>
      <c r="CY25" s="10" t="str">
        <f t="shared" si="114"/>
        <v/>
      </c>
      <c r="CZ25" s="10" t="str">
        <f t="shared" si="114"/>
        <v/>
      </c>
      <c r="DA25" s="10"/>
      <c r="DB25" s="10"/>
      <c r="DC25" s="43" t="str">
        <f t="shared" ref="DC25:DG25" si="115">CV25</f>
        <v/>
      </c>
      <c r="DD25" s="10" t="str">
        <f t="shared" si="115"/>
        <v/>
      </c>
      <c r="DE25" s="10" t="str">
        <f t="shared" si="115"/>
        <v/>
      </c>
      <c r="DF25" s="10" t="str">
        <f t="shared" si="115"/>
        <v/>
      </c>
      <c r="DG25" s="10" t="str">
        <f t="shared" si="115"/>
        <v/>
      </c>
      <c r="DH25" s="10"/>
      <c r="DI25" s="10"/>
      <c r="DJ25" s="43" t="str">
        <f t="shared" ref="DJ25:DN25" si="116">DC25</f>
        <v/>
      </c>
      <c r="DK25" s="10" t="str">
        <f t="shared" si="116"/>
        <v/>
      </c>
      <c r="DL25" s="10" t="str">
        <f t="shared" si="116"/>
        <v/>
      </c>
      <c r="DM25" s="10" t="str">
        <f t="shared" si="116"/>
        <v/>
      </c>
      <c r="DN25" s="10" t="str">
        <f t="shared" si="116"/>
        <v/>
      </c>
      <c r="DO25" s="10"/>
      <c r="DP25" s="10"/>
      <c r="DQ25" s="43" t="str">
        <f t="shared" ref="DQ25:DU25" si="117">DJ25</f>
        <v/>
      </c>
      <c r="DR25" s="10" t="str">
        <f t="shared" si="117"/>
        <v/>
      </c>
      <c r="DS25" s="10" t="str">
        <f t="shared" si="117"/>
        <v/>
      </c>
      <c r="DT25" s="10" t="str">
        <f t="shared" si="117"/>
        <v/>
      </c>
      <c r="DU25" s="10" t="str">
        <f t="shared" si="117"/>
        <v/>
      </c>
      <c r="DV25" s="10"/>
      <c r="DW25" s="10"/>
      <c r="DX25" s="43" t="str">
        <f t="shared" ref="DX25:EB25" si="118">DQ25</f>
        <v/>
      </c>
      <c r="DY25" s="10" t="str">
        <f t="shared" si="118"/>
        <v/>
      </c>
      <c r="DZ25" s="10" t="str">
        <f t="shared" si="118"/>
        <v/>
      </c>
      <c r="EA25" s="10" t="str">
        <f t="shared" si="118"/>
        <v/>
      </c>
      <c r="EB25" s="10" t="str">
        <f t="shared" si="118"/>
        <v/>
      </c>
      <c r="EC25" s="10"/>
      <c r="ED25" s="10"/>
      <c r="EE25" s="43" t="str">
        <f t="shared" ref="EE25:EI25" si="119">DX25</f>
        <v/>
      </c>
      <c r="EF25" s="10" t="str">
        <f t="shared" si="119"/>
        <v/>
      </c>
      <c r="EG25" s="10" t="str">
        <f t="shared" si="119"/>
        <v/>
      </c>
      <c r="EH25" s="10" t="str">
        <f t="shared" si="119"/>
        <v/>
      </c>
      <c r="EI25" s="10" t="str">
        <f t="shared" si="119"/>
        <v/>
      </c>
      <c r="EJ25" s="10"/>
      <c r="EK25" s="10"/>
      <c r="EL25" s="43" t="str">
        <f t="shared" ref="EL25:EP25" si="120">EE25</f>
        <v/>
      </c>
      <c r="EM25" s="10" t="str">
        <f t="shared" si="120"/>
        <v/>
      </c>
      <c r="EN25" s="10" t="str">
        <f t="shared" si="120"/>
        <v/>
      </c>
      <c r="EO25" s="10" t="str">
        <f t="shared" si="120"/>
        <v/>
      </c>
      <c r="EP25" s="10" t="str">
        <f t="shared" si="120"/>
        <v/>
      </c>
      <c r="EQ25" s="10"/>
      <c r="ER25" s="10"/>
    </row>
    <row r="26">
      <c r="A26" s="44"/>
      <c r="B26" s="43"/>
      <c r="C26" s="10"/>
      <c r="D26" s="10"/>
      <c r="E26" s="10"/>
      <c r="F26" s="10"/>
      <c r="G26" s="10"/>
      <c r="H26" s="10"/>
      <c r="I26" s="43" t="str">
        <f t="shared" ref="I26:M26" si="121">B26</f>
        <v/>
      </c>
      <c r="J26" s="10" t="str">
        <f t="shared" si="121"/>
        <v/>
      </c>
      <c r="K26" s="10" t="str">
        <f t="shared" si="121"/>
        <v/>
      </c>
      <c r="L26" s="10" t="str">
        <f t="shared" si="121"/>
        <v/>
      </c>
      <c r="M26" s="10" t="str">
        <f t="shared" si="121"/>
        <v/>
      </c>
      <c r="N26" s="10"/>
      <c r="O26" s="10"/>
      <c r="P26" s="43" t="str">
        <f t="shared" ref="P26:T26" si="122">I26</f>
        <v/>
      </c>
      <c r="Q26" s="10" t="str">
        <f t="shared" si="122"/>
        <v/>
      </c>
      <c r="R26" s="10" t="str">
        <f t="shared" si="122"/>
        <v/>
      </c>
      <c r="S26" s="10" t="str">
        <f t="shared" si="122"/>
        <v/>
      </c>
      <c r="T26" s="10" t="str">
        <f t="shared" si="122"/>
        <v/>
      </c>
      <c r="U26" s="10"/>
      <c r="V26" s="10"/>
      <c r="W26" s="43" t="str">
        <f t="shared" ref="W26:AA26" si="123">P26</f>
        <v/>
      </c>
      <c r="X26" s="10" t="str">
        <f t="shared" si="123"/>
        <v/>
      </c>
      <c r="Y26" s="10" t="str">
        <f t="shared" si="123"/>
        <v/>
      </c>
      <c r="Z26" s="10" t="str">
        <f t="shared" si="123"/>
        <v/>
      </c>
      <c r="AA26" s="10" t="str">
        <f t="shared" si="123"/>
        <v/>
      </c>
      <c r="AB26" s="10"/>
      <c r="AC26" s="10"/>
      <c r="AD26" s="43" t="str">
        <f t="shared" ref="AD26:AH26" si="124">W26</f>
        <v/>
      </c>
      <c r="AE26" s="10" t="str">
        <f t="shared" si="124"/>
        <v/>
      </c>
      <c r="AF26" s="10" t="str">
        <f t="shared" si="124"/>
        <v/>
      </c>
      <c r="AG26" s="10" t="str">
        <f t="shared" si="124"/>
        <v/>
      </c>
      <c r="AH26" s="10" t="str">
        <f t="shared" si="124"/>
        <v/>
      </c>
      <c r="AI26" s="10"/>
      <c r="AJ26" s="10"/>
      <c r="AK26" s="43" t="str">
        <f t="shared" ref="AK26:AO26" si="125">AD26</f>
        <v/>
      </c>
      <c r="AL26" s="10" t="str">
        <f t="shared" si="125"/>
        <v/>
      </c>
      <c r="AM26" s="10" t="str">
        <f t="shared" si="125"/>
        <v/>
      </c>
      <c r="AN26" s="10" t="str">
        <f t="shared" si="125"/>
        <v/>
      </c>
      <c r="AO26" s="10" t="str">
        <f t="shared" si="125"/>
        <v/>
      </c>
      <c r="AP26" s="10"/>
      <c r="AQ26" s="10"/>
      <c r="AR26" s="43" t="str">
        <f t="shared" ref="AR26:AV26" si="126">AK26</f>
        <v/>
      </c>
      <c r="AS26" s="10" t="str">
        <f t="shared" si="126"/>
        <v/>
      </c>
      <c r="AT26" s="10" t="str">
        <f t="shared" si="126"/>
        <v/>
      </c>
      <c r="AU26" s="10" t="str">
        <f t="shared" si="126"/>
        <v/>
      </c>
      <c r="AV26" s="10" t="str">
        <f t="shared" si="126"/>
        <v/>
      </c>
      <c r="AW26" s="10"/>
      <c r="AX26" s="10"/>
      <c r="AY26" s="43" t="str">
        <f t="shared" ref="AY26:BC26" si="127">AR26</f>
        <v/>
      </c>
      <c r="AZ26" s="10" t="str">
        <f t="shared" si="127"/>
        <v/>
      </c>
      <c r="BA26" s="10" t="str">
        <f t="shared" si="127"/>
        <v/>
      </c>
      <c r="BB26" s="10" t="str">
        <f t="shared" si="127"/>
        <v/>
      </c>
      <c r="BC26" s="10" t="str">
        <f t="shared" si="127"/>
        <v/>
      </c>
      <c r="BD26" s="10"/>
      <c r="BE26" s="10"/>
      <c r="BF26" s="43" t="str">
        <f t="shared" ref="BF26:BJ26" si="128">AY26</f>
        <v/>
      </c>
      <c r="BG26" s="10" t="str">
        <f t="shared" si="128"/>
        <v/>
      </c>
      <c r="BH26" s="10" t="str">
        <f t="shared" si="128"/>
        <v/>
      </c>
      <c r="BI26" s="10" t="str">
        <f t="shared" si="128"/>
        <v/>
      </c>
      <c r="BJ26" s="10" t="str">
        <f t="shared" si="128"/>
        <v/>
      </c>
      <c r="BK26" s="10"/>
      <c r="BL26" s="10"/>
      <c r="BM26" s="43" t="str">
        <f t="shared" ref="BM26:BQ26" si="129">BF26</f>
        <v/>
      </c>
      <c r="BN26" s="10" t="str">
        <f t="shared" si="129"/>
        <v/>
      </c>
      <c r="BO26" s="10" t="str">
        <f t="shared" si="129"/>
        <v/>
      </c>
      <c r="BP26" s="10" t="str">
        <f t="shared" si="129"/>
        <v/>
      </c>
      <c r="BQ26" s="10" t="str">
        <f t="shared" si="129"/>
        <v/>
      </c>
      <c r="BR26" s="10"/>
      <c r="BS26" s="10"/>
      <c r="BT26" s="43" t="str">
        <f t="shared" ref="BT26:BX26" si="130">BM26</f>
        <v/>
      </c>
      <c r="BU26" s="10" t="str">
        <f t="shared" si="130"/>
        <v/>
      </c>
      <c r="BV26" s="10" t="str">
        <f t="shared" si="130"/>
        <v/>
      </c>
      <c r="BW26" s="10" t="str">
        <f t="shared" si="130"/>
        <v/>
      </c>
      <c r="BX26" s="10" t="str">
        <f t="shared" si="130"/>
        <v/>
      </c>
      <c r="BY26" s="10"/>
      <c r="BZ26" s="10"/>
      <c r="CA26" s="43" t="str">
        <f t="shared" ref="CA26:CE26" si="131">BT26</f>
        <v/>
      </c>
      <c r="CB26" s="10" t="str">
        <f t="shared" si="131"/>
        <v/>
      </c>
      <c r="CC26" s="10" t="str">
        <f t="shared" si="131"/>
        <v/>
      </c>
      <c r="CD26" s="10" t="str">
        <f t="shared" si="131"/>
        <v/>
      </c>
      <c r="CE26" s="10" t="str">
        <f t="shared" si="131"/>
        <v/>
      </c>
      <c r="CF26" s="10"/>
      <c r="CG26" s="10"/>
      <c r="CH26" s="43" t="str">
        <f t="shared" ref="CH26:CL26" si="132">CA26</f>
        <v/>
      </c>
      <c r="CI26" s="10" t="str">
        <f t="shared" si="132"/>
        <v/>
      </c>
      <c r="CJ26" s="10" t="str">
        <f t="shared" si="132"/>
        <v/>
      </c>
      <c r="CK26" s="10" t="str">
        <f t="shared" si="132"/>
        <v/>
      </c>
      <c r="CL26" s="10" t="str">
        <f t="shared" si="132"/>
        <v/>
      </c>
      <c r="CM26" s="10"/>
      <c r="CN26" s="10"/>
      <c r="CO26" s="43" t="str">
        <f t="shared" ref="CO26:CS26" si="133">CH26</f>
        <v/>
      </c>
      <c r="CP26" s="10" t="str">
        <f t="shared" si="133"/>
        <v/>
      </c>
      <c r="CQ26" s="10" t="str">
        <f t="shared" si="133"/>
        <v/>
      </c>
      <c r="CR26" s="10" t="str">
        <f t="shared" si="133"/>
        <v/>
      </c>
      <c r="CS26" s="10" t="str">
        <f t="shared" si="133"/>
        <v/>
      </c>
      <c r="CT26" s="10"/>
      <c r="CU26" s="10"/>
      <c r="CV26" s="43" t="str">
        <f t="shared" ref="CV26:CZ26" si="134">CO26</f>
        <v/>
      </c>
      <c r="CW26" s="10" t="str">
        <f t="shared" si="134"/>
        <v/>
      </c>
      <c r="CX26" s="10" t="str">
        <f t="shared" si="134"/>
        <v/>
      </c>
      <c r="CY26" s="10" t="str">
        <f t="shared" si="134"/>
        <v/>
      </c>
      <c r="CZ26" s="10" t="str">
        <f t="shared" si="134"/>
        <v/>
      </c>
      <c r="DA26" s="10"/>
      <c r="DB26" s="10"/>
      <c r="DC26" s="43" t="str">
        <f t="shared" ref="DC26:DG26" si="135">CV26</f>
        <v/>
      </c>
      <c r="DD26" s="10" t="str">
        <f t="shared" si="135"/>
        <v/>
      </c>
      <c r="DE26" s="10" t="str">
        <f t="shared" si="135"/>
        <v/>
      </c>
      <c r="DF26" s="10" t="str">
        <f t="shared" si="135"/>
        <v/>
      </c>
      <c r="DG26" s="10" t="str">
        <f t="shared" si="135"/>
        <v/>
      </c>
      <c r="DH26" s="10"/>
      <c r="DI26" s="10"/>
      <c r="DJ26" s="43" t="str">
        <f t="shared" ref="DJ26:DN26" si="136">DC26</f>
        <v/>
      </c>
      <c r="DK26" s="10" t="str">
        <f t="shared" si="136"/>
        <v/>
      </c>
      <c r="DL26" s="10" t="str">
        <f t="shared" si="136"/>
        <v/>
      </c>
      <c r="DM26" s="10" t="str">
        <f t="shared" si="136"/>
        <v/>
      </c>
      <c r="DN26" s="10" t="str">
        <f t="shared" si="136"/>
        <v/>
      </c>
      <c r="DO26" s="10"/>
      <c r="DP26" s="10"/>
      <c r="DQ26" s="43" t="str">
        <f t="shared" ref="DQ26:DU26" si="137">DJ26</f>
        <v/>
      </c>
      <c r="DR26" s="10" t="str">
        <f t="shared" si="137"/>
        <v/>
      </c>
      <c r="DS26" s="10" t="str">
        <f t="shared" si="137"/>
        <v/>
      </c>
      <c r="DT26" s="10" t="str">
        <f t="shared" si="137"/>
        <v/>
      </c>
      <c r="DU26" s="10" t="str">
        <f t="shared" si="137"/>
        <v/>
      </c>
      <c r="DV26" s="10"/>
      <c r="DW26" s="10"/>
      <c r="DX26" s="43" t="str">
        <f t="shared" ref="DX26:EB26" si="138">DQ26</f>
        <v/>
      </c>
      <c r="DY26" s="10" t="str">
        <f t="shared" si="138"/>
        <v/>
      </c>
      <c r="DZ26" s="10" t="str">
        <f t="shared" si="138"/>
        <v/>
      </c>
      <c r="EA26" s="10" t="str">
        <f t="shared" si="138"/>
        <v/>
      </c>
      <c r="EB26" s="10" t="str">
        <f t="shared" si="138"/>
        <v/>
      </c>
      <c r="EC26" s="10"/>
      <c r="ED26" s="10"/>
      <c r="EE26" s="43" t="str">
        <f t="shared" ref="EE26:EI26" si="139">DX26</f>
        <v/>
      </c>
      <c r="EF26" s="10" t="str">
        <f t="shared" si="139"/>
        <v/>
      </c>
      <c r="EG26" s="10" t="str">
        <f t="shared" si="139"/>
        <v/>
      </c>
      <c r="EH26" s="10" t="str">
        <f t="shared" si="139"/>
        <v/>
      </c>
      <c r="EI26" s="10" t="str">
        <f t="shared" si="139"/>
        <v/>
      </c>
      <c r="EJ26" s="10"/>
      <c r="EK26" s="10"/>
      <c r="EL26" s="43" t="str">
        <f t="shared" ref="EL26:EP26" si="140">EE26</f>
        <v/>
      </c>
      <c r="EM26" s="10" t="str">
        <f t="shared" si="140"/>
        <v/>
      </c>
      <c r="EN26" s="10" t="str">
        <f t="shared" si="140"/>
        <v/>
      </c>
      <c r="EO26" s="10" t="str">
        <f t="shared" si="140"/>
        <v/>
      </c>
      <c r="EP26" s="10" t="str">
        <f t="shared" si="140"/>
        <v/>
      </c>
      <c r="EQ26" s="10"/>
      <c r="ER26" s="10"/>
    </row>
    <row r="27">
      <c r="A27" s="45"/>
      <c r="B27" s="46"/>
      <c r="C27" s="47"/>
      <c r="D27" s="47"/>
      <c r="E27" s="47"/>
      <c r="F27" s="47"/>
      <c r="G27" s="47"/>
      <c r="H27" s="47"/>
      <c r="I27" s="46" t="str">
        <f t="shared" ref="I27:M27" si="141">B27</f>
        <v/>
      </c>
      <c r="J27" s="47" t="str">
        <f t="shared" si="141"/>
        <v/>
      </c>
      <c r="K27" s="47" t="str">
        <f t="shared" si="141"/>
        <v/>
      </c>
      <c r="L27" s="47" t="str">
        <f t="shared" si="141"/>
        <v/>
      </c>
      <c r="M27" s="47" t="str">
        <f t="shared" si="141"/>
        <v/>
      </c>
      <c r="N27" s="47"/>
      <c r="O27" s="47"/>
      <c r="P27" s="46" t="str">
        <f t="shared" ref="P27:T27" si="142">I27</f>
        <v/>
      </c>
      <c r="Q27" s="47" t="str">
        <f t="shared" si="142"/>
        <v/>
      </c>
      <c r="R27" s="47" t="str">
        <f t="shared" si="142"/>
        <v/>
      </c>
      <c r="S27" s="47" t="str">
        <f t="shared" si="142"/>
        <v/>
      </c>
      <c r="T27" s="47" t="str">
        <f t="shared" si="142"/>
        <v/>
      </c>
      <c r="U27" s="47"/>
      <c r="V27" s="47"/>
      <c r="W27" s="46" t="str">
        <f t="shared" ref="W27:AA27" si="143">P27</f>
        <v/>
      </c>
      <c r="X27" s="47" t="str">
        <f t="shared" si="143"/>
        <v/>
      </c>
      <c r="Y27" s="47" t="str">
        <f t="shared" si="143"/>
        <v/>
      </c>
      <c r="Z27" s="47" t="str">
        <f t="shared" si="143"/>
        <v/>
      </c>
      <c r="AA27" s="47" t="str">
        <f t="shared" si="143"/>
        <v/>
      </c>
      <c r="AB27" s="47"/>
      <c r="AC27" s="47"/>
      <c r="AD27" s="46" t="str">
        <f t="shared" ref="AD27:AH27" si="144">W27</f>
        <v/>
      </c>
      <c r="AE27" s="47" t="str">
        <f t="shared" si="144"/>
        <v/>
      </c>
      <c r="AF27" s="47" t="str">
        <f t="shared" si="144"/>
        <v/>
      </c>
      <c r="AG27" s="47" t="str">
        <f t="shared" si="144"/>
        <v/>
      </c>
      <c r="AH27" s="47" t="str">
        <f t="shared" si="144"/>
        <v/>
      </c>
      <c r="AI27" s="47"/>
      <c r="AJ27" s="47"/>
      <c r="AK27" s="46" t="str">
        <f t="shared" ref="AK27:AO27" si="145">AD27</f>
        <v/>
      </c>
      <c r="AL27" s="47" t="str">
        <f t="shared" si="145"/>
        <v/>
      </c>
      <c r="AM27" s="47" t="str">
        <f t="shared" si="145"/>
        <v/>
      </c>
      <c r="AN27" s="47" t="str">
        <f t="shared" si="145"/>
        <v/>
      </c>
      <c r="AO27" s="47" t="str">
        <f t="shared" si="145"/>
        <v/>
      </c>
      <c r="AP27" s="47"/>
      <c r="AQ27" s="47"/>
      <c r="AR27" s="46" t="str">
        <f t="shared" ref="AR27:AV27" si="146">AK27</f>
        <v/>
      </c>
      <c r="AS27" s="47" t="str">
        <f t="shared" si="146"/>
        <v/>
      </c>
      <c r="AT27" s="47" t="str">
        <f t="shared" si="146"/>
        <v/>
      </c>
      <c r="AU27" s="47" t="str">
        <f t="shared" si="146"/>
        <v/>
      </c>
      <c r="AV27" s="47" t="str">
        <f t="shared" si="146"/>
        <v/>
      </c>
      <c r="AW27" s="47"/>
      <c r="AX27" s="47"/>
      <c r="AY27" s="46" t="str">
        <f t="shared" ref="AY27:BC27" si="147">AR27</f>
        <v/>
      </c>
      <c r="AZ27" s="47" t="str">
        <f t="shared" si="147"/>
        <v/>
      </c>
      <c r="BA27" s="47" t="str">
        <f t="shared" si="147"/>
        <v/>
      </c>
      <c r="BB27" s="47" t="str">
        <f t="shared" si="147"/>
        <v/>
      </c>
      <c r="BC27" s="47" t="str">
        <f t="shared" si="147"/>
        <v/>
      </c>
      <c r="BD27" s="47"/>
      <c r="BE27" s="47"/>
      <c r="BF27" s="46" t="str">
        <f t="shared" ref="BF27:BJ27" si="148">AY27</f>
        <v/>
      </c>
      <c r="BG27" s="47" t="str">
        <f t="shared" si="148"/>
        <v/>
      </c>
      <c r="BH27" s="47" t="str">
        <f t="shared" si="148"/>
        <v/>
      </c>
      <c r="BI27" s="47" t="str">
        <f t="shared" si="148"/>
        <v/>
      </c>
      <c r="BJ27" s="47" t="str">
        <f t="shared" si="148"/>
        <v/>
      </c>
      <c r="BK27" s="47"/>
      <c r="BL27" s="47"/>
      <c r="BM27" s="46" t="str">
        <f t="shared" ref="BM27:BQ27" si="149">BF27</f>
        <v/>
      </c>
      <c r="BN27" s="47" t="str">
        <f t="shared" si="149"/>
        <v/>
      </c>
      <c r="BO27" s="47" t="str">
        <f t="shared" si="149"/>
        <v/>
      </c>
      <c r="BP27" s="47" t="str">
        <f t="shared" si="149"/>
        <v/>
      </c>
      <c r="BQ27" s="47" t="str">
        <f t="shared" si="149"/>
        <v/>
      </c>
      <c r="BR27" s="47"/>
      <c r="BS27" s="47"/>
      <c r="BT27" s="46" t="str">
        <f t="shared" ref="BT27:BX27" si="150">BM27</f>
        <v/>
      </c>
      <c r="BU27" s="47" t="str">
        <f t="shared" si="150"/>
        <v/>
      </c>
      <c r="BV27" s="47" t="str">
        <f t="shared" si="150"/>
        <v/>
      </c>
      <c r="BW27" s="47" t="str">
        <f t="shared" si="150"/>
        <v/>
      </c>
      <c r="BX27" s="47" t="str">
        <f t="shared" si="150"/>
        <v/>
      </c>
      <c r="BY27" s="47"/>
      <c r="BZ27" s="47"/>
      <c r="CA27" s="46" t="str">
        <f t="shared" ref="CA27:CE27" si="151">BT27</f>
        <v/>
      </c>
      <c r="CB27" s="47" t="str">
        <f t="shared" si="151"/>
        <v/>
      </c>
      <c r="CC27" s="47" t="str">
        <f t="shared" si="151"/>
        <v/>
      </c>
      <c r="CD27" s="47" t="str">
        <f t="shared" si="151"/>
        <v/>
      </c>
      <c r="CE27" s="47" t="str">
        <f t="shared" si="151"/>
        <v/>
      </c>
      <c r="CF27" s="47"/>
      <c r="CG27" s="47"/>
      <c r="CH27" s="46" t="str">
        <f t="shared" ref="CH27:CL27" si="152">CA27</f>
        <v/>
      </c>
      <c r="CI27" s="47" t="str">
        <f t="shared" si="152"/>
        <v/>
      </c>
      <c r="CJ27" s="47" t="str">
        <f t="shared" si="152"/>
        <v/>
      </c>
      <c r="CK27" s="47" t="str">
        <f t="shared" si="152"/>
        <v/>
      </c>
      <c r="CL27" s="47" t="str">
        <f t="shared" si="152"/>
        <v/>
      </c>
      <c r="CM27" s="47"/>
      <c r="CN27" s="47"/>
      <c r="CO27" s="46" t="str">
        <f t="shared" ref="CO27:CS27" si="153">CH27</f>
        <v/>
      </c>
      <c r="CP27" s="47" t="str">
        <f t="shared" si="153"/>
        <v/>
      </c>
      <c r="CQ27" s="47" t="str">
        <f t="shared" si="153"/>
        <v/>
      </c>
      <c r="CR27" s="47" t="str">
        <f t="shared" si="153"/>
        <v/>
      </c>
      <c r="CS27" s="47" t="str">
        <f t="shared" si="153"/>
        <v/>
      </c>
      <c r="CT27" s="47"/>
      <c r="CU27" s="47"/>
      <c r="CV27" s="46" t="str">
        <f t="shared" ref="CV27:CZ27" si="154">CO27</f>
        <v/>
      </c>
      <c r="CW27" s="47" t="str">
        <f t="shared" si="154"/>
        <v/>
      </c>
      <c r="CX27" s="47" t="str">
        <f t="shared" si="154"/>
        <v/>
      </c>
      <c r="CY27" s="47" t="str">
        <f t="shared" si="154"/>
        <v/>
      </c>
      <c r="CZ27" s="47" t="str">
        <f t="shared" si="154"/>
        <v/>
      </c>
      <c r="DA27" s="47"/>
      <c r="DB27" s="47"/>
      <c r="DC27" s="46" t="str">
        <f t="shared" ref="DC27:DG27" si="155">CV27</f>
        <v/>
      </c>
      <c r="DD27" s="47" t="str">
        <f t="shared" si="155"/>
        <v/>
      </c>
      <c r="DE27" s="47" t="str">
        <f t="shared" si="155"/>
        <v/>
      </c>
      <c r="DF27" s="47" t="str">
        <f t="shared" si="155"/>
        <v/>
      </c>
      <c r="DG27" s="47" t="str">
        <f t="shared" si="155"/>
        <v/>
      </c>
      <c r="DH27" s="47"/>
      <c r="DI27" s="47"/>
      <c r="DJ27" s="46" t="str">
        <f t="shared" ref="DJ27:DN27" si="156">DC27</f>
        <v/>
      </c>
      <c r="DK27" s="47" t="str">
        <f t="shared" si="156"/>
        <v/>
      </c>
      <c r="DL27" s="47" t="str">
        <f t="shared" si="156"/>
        <v/>
      </c>
      <c r="DM27" s="47" t="str">
        <f t="shared" si="156"/>
        <v/>
      </c>
      <c r="DN27" s="47" t="str">
        <f t="shared" si="156"/>
        <v/>
      </c>
      <c r="DO27" s="47"/>
      <c r="DP27" s="47"/>
      <c r="DQ27" s="46" t="str">
        <f t="shared" ref="DQ27:DU27" si="157">DJ27</f>
        <v/>
      </c>
      <c r="DR27" s="47" t="str">
        <f t="shared" si="157"/>
        <v/>
      </c>
      <c r="DS27" s="47" t="str">
        <f t="shared" si="157"/>
        <v/>
      </c>
      <c r="DT27" s="47" t="str">
        <f t="shared" si="157"/>
        <v/>
      </c>
      <c r="DU27" s="47" t="str">
        <f t="shared" si="157"/>
        <v/>
      </c>
      <c r="DV27" s="47"/>
      <c r="DW27" s="47"/>
      <c r="DX27" s="46" t="str">
        <f t="shared" ref="DX27:EB27" si="158">DQ27</f>
        <v/>
      </c>
      <c r="DY27" s="47" t="str">
        <f t="shared" si="158"/>
        <v/>
      </c>
      <c r="DZ27" s="47" t="str">
        <f t="shared" si="158"/>
        <v/>
      </c>
      <c r="EA27" s="47" t="str">
        <f t="shared" si="158"/>
        <v/>
      </c>
      <c r="EB27" s="47" t="str">
        <f t="shared" si="158"/>
        <v/>
      </c>
      <c r="EC27" s="47"/>
      <c r="ED27" s="47"/>
      <c r="EE27" s="46" t="str">
        <f t="shared" ref="EE27:EI27" si="159">DX27</f>
        <v/>
      </c>
      <c r="EF27" s="47" t="str">
        <f t="shared" si="159"/>
        <v/>
      </c>
      <c r="EG27" s="47" t="str">
        <f t="shared" si="159"/>
        <v/>
      </c>
      <c r="EH27" s="47" t="str">
        <f t="shared" si="159"/>
        <v/>
      </c>
      <c r="EI27" s="47" t="str">
        <f t="shared" si="159"/>
        <v/>
      </c>
      <c r="EJ27" s="47"/>
      <c r="EK27" s="47"/>
      <c r="EL27" s="46" t="str">
        <f t="shared" ref="EL27:EP27" si="160">EE27</f>
        <v/>
      </c>
      <c r="EM27" s="47" t="str">
        <f t="shared" si="160"/>
        <v/>
      </c>
      <c r="EN27" s="47" t="str">
        <f t="shared" si="160"/>
        <v/>
      </c>
      <c r="EO27" s="47" t="str">
        <f t="shared" si="160"/>
        <v/>
      </c>
      <c r="EP27" s="47" t="str">
        <f t="shared" si="160"/>
        <v/>
      </c>
      <c r="EQ27" s="47"/>
      <c r="ER27" s="47"/>
    </row>
    <row r="28">
      <c r="A28" s="3"/>
      <c r="B28" s="42"/>
      <c r="C28" s="3"/>
      <c r="D28" s="3"/>
      <c r="E28" s="3"/>
      <c r="F28" s="3"/>
      <c r="G28" s="3"/>
      <c r="H28" s="3"/>
      <c r="I28" s="42"/>
      <c r="J28" s="3"/>
      <c r="K28" s="3"/>
      <c r="L28" s="3"/>
      <c r="M28" s="3"/>
      <c r="N28" s="3"/>
      <c r="O28" s="3"/>
      <c r="P28" s="42"/>
      <c r="Q28" s="3"/>
      <c r="R28" s="3"/>
      <c r="S28" s="3"/>
      <c r="T28" s="3"/>
      <c r="U28" s="3"/>
      <c r="V28" s="3"/>
      <c r="W28" s="42"/>
      <c r="X28" s="3"/>
      <c r="Y28" s="3"/>
      <c r="Z28" s="3"/>
      <c r="AA28" s="3"/>
      <c r="AB28" s="3"/>
      <c r="AC28" s="3"/>
      <c r="AD28" s="42"/>
      <c r="AE28" s="3"/>
      <c r="AF28" s="3"/>
      <c r="AG28" s="3"/>
      <c r="AH28" s="3"/>
      <c r="AI28" s="3"/>
      <c r="AJ28" s="3"/>
      <c r="AK28" s="42"/>
      <c r="AL28" s="3"/>
      <c r="AM28" s="3"/>
      <c r="AN28" s="3"/>
      <c r="AO28" s="3"/>
      <c r="AP28" s="3"/>
      <c r="AQ28" s="3"/>
      <c r="AR28" s="42"/>
      <c r="AS28" s="3"/>
      <c r="AT28" s="3"/>
      <c r="AU28" s="3"/>
      <c r="AV28" s="3"/>
      <c r="AW28" s="3"/>
      <c r="AX28" s="3"/>
      <c r="AY28" s="42"/>
      <c r="AZ28" s="3"/>
      <c r="BA28" s="3"/>
      <c r="BB28" s="3"/>
      <c r="BC28" s="3"/>
      <c r="BD28" s="3"/>
      <c r="BE28" s="3"/>
      <c r="BF28" s="42"/>
      <c r="BG28" s="3"/>
      <c r="BH28" s="3"/>
      <c r="BI28" s="3"/>
      <c r="BJ28" s="3"/>
      <c r="BK28" s="3"/>
      <c r="BL28" s="3"/>
      <c r="BM28" s="42"/>
      <c r="BN28" s="3"/>
      <c r="BO28" s="3"/>
      <c r="BP28" s="3"/>
      <c r="BQ28" s="3"/>
      <c r="BR28" s="3"/>
      <c r="BS28" s="3"/>
      <c r="BT28" s="42"/>
      <c r="BU28" s="3"/>
      <c r="BV28" s="3"/>
      <c r="BW28" s="3"/>
      <c r="BX28" s="3"/>
      <c r="BY28" s="3"/>
      <c r="BZ28" s="3"/>
      <c r="CA28" s="42"/>
      <c r="CB28" s="3"/>
      <c r="CC28" s="3"/>
      <c r="CD28" s="3"/>
      <c r="CE28" s="3"/>
      <c r="CF28" s="3"/>
      <c r="CG28" s="3"/>
      <c r="CH28" s="42"/>
      <c r="CI28" s="3"/>
      <c r="CJ28" s="3"/>
      <c r="CK28" s="3"/>
      <c r="CL28" s="3"/>
      <c r="CM28" s="3"/>
      <c r="CN28" s="3"/>
      <c r="CO28" s="42"/>
      <c r="CP28" s="3"/>
      <c r="CQ28" s="3"/>
      <c r="CR28" s="3"/>
      <c r="CS28" s="3"/>
      <c r="CT28" s="3"/>
      <c r="CU28" s="3"/>
      <c r="CV28" s="42"/>
      <c r="CW28" s="3"/>
      <c r="CX28" s="3"/>
      <c r="CY28" s="3"/>
      <c r="CZ28" s="3"/>
      <c r="DA28" s="3"/>
      <c r="DB28" s="3"/>
      <c r="DC28" s="42"/>
      <c r="DD28" s="3"/>
      <c r="DE28" s="3"/>
      <c r="DF28" s="3"/>
      <c r="DG28" s="3"/>
      <c r="DH28" s="3"/>
      <c r="DI28" s="3"/>
      <c r="DJ28" s="42"/>
      <c r="DK28" s="3"/>
      <c r="DL28" s="3"/>
      <c r="DM28" s="3"/>
      <c r="DN28" s="3"/>
      <c r="DO28" s="3"/>
      <c r="DP28" s="3"/>
      <c r="DQ28" s="42"/>
      <c r="DR28" s="3"/>
      <c r="DS28" s="3"/>
      <c r="DT28" s="3"/>
      <c r="DU28" s="3"/>
      <c r="DV28" s="3"/>
      <c r="DW28" s="3"/>
      <c r="DX28" s="42"/>
      <c r="DY28" s="3"/>
      <c r="DZ28" s="3"/>
      <c r="EA28" s="3"/>
      <c r="EB28" s="3"/>
      <c r="EC28" s="3"/>
      <c r="ED28" s="3"/>
      <c r="EE28" s="42"/>
      <c r="EF28" s="3"/>
      <c r="EG28" s="3"/>
      <c r="EH28" s="3"/>
      <c r="EI28" s="3"/>
      <c r="EJ28" s="3"/>
      <c r="EK28" s="3"/>
      <c r="EL28" s="42"/>
      <c r="EM28" s="3"/>
      <c r="EN28" s="3"/>
      <c r="EO28" s="3"/>
      <c r="EP28" s="3"/>
      <c r="EQ28" s="3"/>
      <c r="ER28" s="3"/>
    </row>
    <row r="29">
      <c r="A29" s="32" t="s">
        <v>81</v>
      </c>
      <c r="B29" s="33"/>
      <c r="C29" s="34"/>
      <c r="D29" s="34"/>
      <c r="E29" s="34"/>
      <c r="F29" s="34"/>
      <c r="G29" s="34"/>
      <c r="H29" s="34"/>
      <c r="I29" s="33"/>
      <c r="J29" s="34"/>
      <c r="K29" s="34"/>
      <c r="L29" s="34"/>
      <c r="M29" s="34"/>
      <c r="N29" s="34"/>
      <c r="O29" s="34"/>
      <c r="P29" s="33"/>
      <c r="Q29" s="34"/>
      <c r="R29" s="34"/>
      <c r="S29" s="34"/>
      <c r="T29" s="34"/>
      <c r="U29" s="34"/>
      <c r="V29" s="34"/>
      <c r="W29" s="33"/>
      <c r="X29" s="34"/>
      <c r="Y29" s="34"/>
      <c r="Z29" s="34"/>
      <c r="AA29" s="34"/>
      <c r="AB29" s="34"/>
      <c r="AC29" s="34"/>
      <c r="AD29" s="33"/>
      <c r="AE29" s="34"/>
      <c r="AF29" s="34"/>
      <c r="AG29" s="34"/>
      <c r="AH29" s="34"/>
      <c r="AI29" s="34"/>
      <c r="AJ29" s="34"/>
      <c r="AK29" s="33"/>
      <c r="AL29" s="34"/>
      <c r="AM29" s="34"/>
      <c r="AN29" s="34"/>
      <c r="AO29" s="34"/>
      <c r="AP29" s="34"/>
      <c r="AQ29" s="34"/>
      <c r="AR29" s="33"/>
      <c r="AS29" s="34"/>
      <c r="AT29" s="34"/>
      <c r="AU29" s="34"/>
      <c r="AV29" s="34"/>
      <c r="AW29" s="34"/>
      <c r="AX29" s="34"/>
      <c r="AY29" s="33"/>
      <c r="AZ29" s="34"/>
      <c r="BA29" s="34"/>
      <c r="BB29" s="34"/>
      <c r="BC29" s="34"/>
      <c r="BD29" s="34"/>
      <c r="BE29" s="34"/>
      <c r="BF29" s="33"/>
      <c r="BG29" s="34"/>
      <c r="BH29" s="34"/>
      <c r="BI29" s="34"/>
      <c r="BJ29" s="34"/>
      <c r="BK29" s="34"/>
      <c r="BL29" s="34"/>
      <c r="BM29" s="33"/>
      <c r="BN29" s="34"/>
      <c r="BO29" s="34"/>
      <c r="BP29" s="34"/>
      <c r="BQ29" s="34"/>
      <c r="BR29" s="34"/>
      <c r="BS29" s="34"/>
      <c r="BT29" s="33"/>
      <c r="BU29" s="34"/>
      <c r="BV29" s="34"/>
      <c r="BW29" s="34"/>
      <c r="BX29" s="34"/>
      <c r="BY29" s="34"/>
      <c r="BZ29" s="34"/>
      <c r="CA29" s="33"/>
      <c r="CB29" s="34"/>
      <c r="CC29" s="34"/>
      <c r="CD29" s="34"/>
      <c r="CE29" s="34"/>
      <c r="CF29" s="34"/>
      <c r="CG29" s="34"/>
      <c r="CH29" s="33"/>
      <c r="CI29" s="34"/>
      <c r="CJ29" s="34"/>
      <c r="CK29" s="34"/>
      <c r="CL29" s="34"/>
      <c r="CM29" s="34"/>
      <c r="CN29" s="34"/>
      <c r="CO29" s="33"/>
      <c r="CP29" s="34"/>
      <c r="CQ29" s="34"/>
      <c r="CR29" s="34"/>
      <c r="CS29" s="34"/>
      <c r="CT29" s="34"/>
      <c r="CU29" s="34"/>
      <c r="CV29" s="33"/>
      <c r="CW29" s="34"/>
      <c r="CX29" s="34"/>
      <c r="CY29" s="34"/>
      <c r="CZ29" s="34"/>
      <c r="DA29" s="34"/>
      <c r="DB29" s="34"/>
      <c r="DC29" s="33"/>
      <c r="DD29" s="34"/>
      <c r="DE29" s="34"/>
      <c r="DF29" s="34"/>
      <c r="DG29" s="34"/>
      <c r="DH29" s="34"/>
      <c r="DI29" s="34"/>
      <c r="DJ29" s="33"/>
      <c r="DK29" s="34"/>
      <c r="DL29" s="34"/>
      <c r="DM29" s="34"/>
      <c r="DN29" s="34"/>
      <c r="DO29" s="34"/>
      <c r="DP29" s="34"/>
      <c r="DQ29" s="33"/>
      <c r="DR29" s="34"/>
      <c r="DS29" s="34"/>
      <c r="DT29" s="34"/>
      <c r="DU29" s="34"/>
      <c r="DV29" s="34"/>
      <c r="DW29" s="34"/>
      <c r="DX29" s="33"/>
      <c r="DY29" s="34"/>
      <c r="DZ29" s="34"/>
      <c r="EA29" s="34"/>
      <c r="EB29" s="34"/>
      <c r="EC29" s="34"/>
      <c r="ED29" s="34"/>
      <c r="EE29" s="35" t="s">
        <v>77</v>
      </c>
      <c r="EF29" s="36"/>
      <c r="EG29" s="36"/>
      <c r="EH29" s="36"/>
      <c r="EI29" s="36"/>
      <c r="EJ29" s="36"/>
      <c r="EK29" s="36"/>
      <c r="EL29" s="33"/>
      <c r="EM29" s="34"/>
      <c r="EN29" s="34"/>
      <c r="EO29" s="34"/>
      <c r="EP29" s="34"/>
      <c r="EQ29" s="34"/>
      <c r="ER29" s="34"/>
    </row>
    <row r="30" hidden="1">
      <c r="A30" s="37" t="str">
        <f>CONCATENATE(A31," TM")</f>
        <v>Push Press TM</v>
      </c>
      <c r="B30" s="38">
        <f>if(D30="",'Quick Setup'!D16,D30/'Quick Setup'!E16)</f>
        <v>245</v>
      </c>
      <c r="C30" s="39" t="s">
        <v>75</v>
      </c>
      <c r="D30" s="40"/>
      <c r="E30" s="41"/>
      <c r="F30" s="41"/>
      <c r="G30" s="41"/>
      <c r="H30" s="41"/>
      <c r="I30" s="38">
        <f>if(K30="", if(F31&lt;&gt;"", if((F31-D31)&lt;-1,B30*(1+Setup!F14),if((F31-D31)&lt;0,B30*(1+Setup!G14),if((F31-D31)=0,B30*(1+Setup!H14),if((F31-D31)=1,B30*(1+Setup!I14),if((F31-D31)=2,B30*(1+Setup!J14),if((F31-D31)=3,B30*(1+Setup!K14),if((F31-D31)=4,B30*(1+Setup!L14),if((F31-D31)&gt;4,B30*(1+Setup!M14),B30)))))))),B30),K30/'Quick Setup'!$E16)</f>
        <v>245</v>
      </c>
      <c r="J30" s="39" t="s">
        <v>75</v>
      </c>
      <c r="K30" s="40"/>
      <c r="L30" s="41"/>
      <c r="M30" s="41"/>
      <c r="N30" s="41"/>
      <c r="O30" s="41"/>
      <c r="P30" s="38">
        <f>if(R30="", if(M31&lt;&gt;"", if((M31-K31)&lt;-1,I30*(1+Setup!R14),if((M31-K31)&lt;0,I30*(1+Setup!S14),if((M31-K31)=0,I30*(1+Setup!T14),if((M31-K31)=1,I30*(1+Setup!U14),if((M31-K31)=2,I30*(1+Setup!V14),if((M31-K31)=3,I30*(1+Setup!W14),if((M31-K31)=4,I30*(1+Setup!X14),if((M31-K31)&gt;4,I30*(1+Setup!Y14),I30)))))))),I30),R30/'Quick Setup'!$E16)</f>
        <v>245</v>
      </c>
      <c r="Q30" s="39" t="s">
        <v>75</v>
      </c>
      <c r="R30" s="40"/>
      <c r="S30" s="41"/>
      <c r="T30" s="41"/>
      <c r="U30" s="41"/>
      <c r="V30" s="41"/>
      <c r="W30" s="38">
        <f>if(Y30="", if(T31&lt;&gt;"", if((T31-R31)&lt;-1,P30*(1+Setup!AD14),if((T31-R31)&lt;0,P30*(1+Setup!AE14),if((T31-R31)=0,P30*(1+Setup!AF14),if((T31-R31)=1,P30*(1+Setup!AG14),if((T31-R31)=2,P30*(1+Setup!AH14),if((T31-R31)=3,P30*(1+Setup!AI14),if((T31-R31)=4,P30*(1+Setup!AJ14),if((T31-R31)&gt;4,P30*(1+Setup!AK14),P30)))))))),P30),Y30/'Quick Setup'!$E16)</f>
        <v>245</v>
      </c>
      <c r="X30" s="39" t="s">
        <v>75</v>
      </c>
      <c r="Y30" s="40"/>
      <c r="Z30" s="41"/>
      <c r="AA30" s="41"/>
      <c r="AB30" s="41"/>
      <c r="AC30" s="41"/>
      <c r="AD30" s="38">
        <f>if(AF30="", if(AA31&lt;&gt;"", if((AA31-Y31)&lt;-1,W30*(1+Setup!AP14),if((AA31-Y31)&lt;0,W30*(1+Setup!AQ14),if((AA31-Y31)=0,W30*(1+Setup!AR14),if((AA31-Y31)=1,W30*(1+Setup!AS14),if((AA31-Y31)=2,W30*(1+Setup!AT14),if((AA31-Y31)=3,W30*(1+Setup!AU14),if((AA31-Y31)=4,W30*(1+Setup!AV14),if((AA31-Y31)&gt;4,W30*(1+Setup!AW14),W30)))))))),W30),AF30/'Quick Setup'!$E16)</f>
        <v>245</v>
      </c>
      <c r="AE30" s="39" t="s">
        <v>75</v>
      </c>
      <c r="AF30" s="40"/>
      <c r="AG30" s="41"/>
      <c r="AH30" s="41"/>
      <c r="AI30" s="41"/>
      <c r="AJ30" s="41"/>
      <c r="AK30" s="38">
        <f>if(AM30="", if(AH31&lt;&gt;"", if((AH31-AF31)&lt;-1,AD30*(1+Setup!BB14),if((AH31-AF31)&lt;0,AD30*(1+Setup!BC14),if((AH31-AF31)=0,AD30*(1+Setup!BD14),if((AH31-AF31)=1,AD30*(1+Setup!BE14),if((AH31-AF31)=2,AD30*(1+Setup!BF14),if((AH31-AF31)=3,AD30*(1+Setup!BG14),if((AH31-AF31)=4,AD30*(1+Setup!BH14),if((AH31-AF31)&gt;4,AD30*(1+Setup!BI14),AD30)))))))),AD30),AM30/'Quick Setup'!$E16)</f>
        <v>245</v>
      </c>
      <c r="AL30" s="39" t="s">
        <v>75</v>
      </c>
      <c r="AM30" s="40"/>
      <c r="AN30" s="41"/>
      <c r="AO30" s="41"/>
      <c r="AP30" s="41"/>
      <c r="AQ30" s="41"/>
      <c r="AR30" s="38">
        <f>if(AT30="", if(AO31&lt;&gt;"", if((AO31-AM31)&lt;-1,AK30*(1+Setup!BN14),if((AO31-AM31)&lt;0,AK30*(1+Setup!BO14),if((AO31-AM31)=0,AK30*(1+Setup!BP14),if((AO31-AM31)=1,AK30*(1+Setup!BQ14),if((AO31-AM31)=2,AK30*(1+Setup!BR14),if((AO31-AM31)=3,AK30*(1+Setup!BS14),if((AO31-AM31)=4,AK30*(1+Setup!BT14),if((AO31-AM31)&gt;4,AK30*(1+Setup!BU14),AK30)))))))),AK30),AT30/'Quick Setup'!$E16)</f>
        <v>245</v>
      </c>
      <c r="AS30" s="39" t="s">
        <v>75</v>
      </c>
      <c r="AT30" s="40"/>
      <c r="AU30" s="41"/>
      <c r="AV30" s="41"/>
      <c r="AW30" s="41"/>
      <c r="AX30" s="41"/>
      <c r="AY30" s="38">
        <f>if(BA30="",AR30,BA30/'Quick Setup'!$E16)</f>
        <v>245</v>
      </c>
      <c r="AZ30" s="39" t="s">
        <v>75</v>
      </c>
      <c r="BA30" s="40"/>
      <c r="BB30" s="41"/>
      <c r="BC30" s="41"/>
      <c r="BD30" s="41"/>
      <c r="BE30" s="41"/>
      <c r="BF30" s="38">
        <f>if(BH30="", if(BC31&lt;&gt;"", if((BC31-BA31)&lt;-1,AY30*(1+Setup!CL14),if((BC31-BA31)&lt;0,AY30*(1+Setup!CM14),if((BC31-BA31)=0,AY30*(1+Setup!CN14),if((BC31-BA31)=1,AY30*(1+Setup!CO14),if((BC31-BA31)=2,AY30*(1+Setup!CP14),if((BC31-BA31)=3,AY30*(1+Setup!CQ14),if((BC31-BA31)=4,AY30*(1+Setup!CR14),if((BC31-BA31)&gt;4,AY30*(1+Setup!CS14),AY30)))))))),AY30),BH30/'Quick Setup'!$E16)</f>
        <v>245</v>
      </c>
      <c r="BG30" s="39" t="s">
        <v>75</v>
      </c>
      <c r="BH30" s="40"/>
      <c r="BI30" s="41"/>
      <c r="BJ30" s="41"/>
      <c r="BK30" s="41"/>
      <c r="BL30" s="41"/>
      <c r="BM30" s="38">
        <f>if(BO30="", if(BJ31&lt;&gt;"", if((BJ31-BH31)&lt;-1,BF30*(1+Setup!CX14),if((BJ31-BH31)&lt;0,BF30*(1+Setup!CY14),if((BJ31-BH31)=0,BF30*(1+Setup!CZ14),if((BJ31-BH31)=1,BF30*(1+Setup!DA14),if((BJ31-BH31)=2,BF30*(1+Setup!DB14),if((BJ31-BH31)=3,BF30*(1+Setup!DC14),if((BJ31-BH31)=4,BF30*(1+Setup!DD14),if((BJ31-BH31)&gt;4,BF30*(1+Setup!DE14),BF30)))))))),BF30),BO30/'Quick Setup'!$E16)</f>
        <v>245</v>
      </c>
      <c r="BN30" s="39" t="s">
        <v>75</v>
      </c>
      <c r="BO30" s="40"/>
      <c r="BP30" s="41"/>
      <c r="BQ30" s="41"/>
      <c r="BR30" s="41"/>
      <c r="BS30" s="41"/>
      <c r="BT30" s="38">
        <f>if(BV30="", if(BQ31&lt;&gt;"", if((BQ31-BO31)&lt;-1,BM30*(1+Setup!DJ14),if((BQ31-BO31)&lt;0,BM30*(1+Setup!DK14),if((BQ31-BO31)=0,BM30*(1+Setup!DL14),if((BQ31-BO31)=1,BM30*(1+Setup!DM14),if((BQ31-BO31)=2,BM30*(1+Setup!DN14),if((BQ31-BO31)=3,BM30*(1+Setup!DO14),if((BQ31-BO31)=4,BM30*(1+Setup!DP14),if((BQ31-BO31)&gt;4,BM30*(1+Setup!DQ14),BM30)))))))),BM30),BV30/'Quick Setup'!$E16)</f>
        <v>245</v>
      </c>
      <c r="BU30" s="39" t="s">
        <v>75</v>
      </c>
      <c r="BV30" s="40"/>
      <c r="BW30" s="41"/>
      <c r="BX30" s="41"/>
      <c r="BY30" s="41"/>
      <c r="BZ30" s="41"/>
      <c r="CA30" s="38">
        <f>if(CC30="", if(BX31&lt;&gt;"", if((BX31-BV31)&lt;-1,BT30*(1+Setup!DV14),if((BX31-BV31)&lt;0,BT30*(1+Setup!DW14),if((BX31-BV31)=0,BT30*(1+Setup!DX14),if((BX31-BV31)=1,BT30*(1+Setup!DY14),if((BX31-BV31)=2,BT30*(1+Setup!DZ14),if((BX31-BV31)=3,BT30*(1+Setup!EA14),if((BX31-BV31)=4,BT30*(1+Setup!EB14),if((BX31-BV31)&gt;4,BT30*(1+Setup!EC14),BT30)))))))),BT30),CC30/'Quick Setup'!$E16)</f>
        <v>245</v>
      </c>
      <c r="CB30" s="39" t="s">
        <v>75</v>
      </c>
      <c r="CC30" s="40"/>
      <c r="CD30" s="41"/>
      <c r="CE30" s="41"/>
      <c r="CF30" s="41"/>
      <c r="CG30" s="41"/>
      <c r="CH30" s="38">
        <f>if(CJ30="", if(CE31&lt;&gt;"", if((CE31-CC31)&lt;-1,CA30*(1+Setup!EH14),if((CE31-CC31)&lt;0,CA30*(1+Setup!EI14),if((CE31-CC31)=0,CA30*(1+Setup!EJ14),if((CE31-CC31)=1,CA30*(1+Setup!EK14),if((CE31-CC31)=2,CA30*(1+Setup!EL14),if((CE31-CC31)=3,CA30*(1+Setup!EM14),if((CE31-CC31)=4,CA30*(1+Setup!EN14),if((CE31-CC31)&gt;4,CA30*(1+Setup!EO14),CA30)))))))),CA30),CJ30/'Quick Setup'!$E16)</f>
        <v>245</v>
      </c>
      <c r="CI30" s="39" t="s">
        <v>75</v>
      </c>
      <c r="CJ30" s="40"/>
      <c r="CK30" s="41"/>
      <c r="CL30" s="41"/>
      <c r="CM30" s="41"/>
      <c r="CN30" s="41"/>
      <c r="CO30" s="38">
        <f>if(CQ30="", if(CL31&lt;&gt;"", if((CL31-CJ31)&lt;-1,CH30*(1+Setup!ET14),if((CL31-CJ31)&lt;0,CH30*(1+Setup!EU14),if((CL31-CJ31)=0,CH30*(1+Setup!EV14),if((CL31-CJ31)=1,CH30*(1+Setup!EW14),if((CL31-CJ31)=2,CH30*(1+Setup!EX14),if((CL31-CJ31)=3,CH30*(1+Setup!EY14),if((CL31-CJ31)=4,CH30*(1+Setup!EZ14),if((CL31-CJ31)&gt;4,CH30*(1+Setup!FA14),CH30)))))))),CH30),CQ30/'Quick Setup'!$E16)</f>
        <v>245</v>
      </c>
      <c r="CP30" s="39" t="s">
        <v>75</v>
      </c>
      <c r="CQ30" s="40"/>
      <c r="CR30" s="41"/>
      <c r="CS30" s="41"/>
      <c r="CT30" s="41"/>
      <c r="CU30" s="41"/>
      <c r="CV30" s="38">
        <f>if(CX30="",CO30,CX30/'Quick Setup'!$E16)</f>
        <v>245</v>
      </c>
      <c r="CW30" s="39" t="s">
        <v>75</v>
      </c>
      <c r="CX30" s="40"/>
      <c r="CY30" s="41"/>
      <c r="CZ30" s="41"/>
      <c r="DA30" s="41"/>
      <c r="DB30" s="41"/>
      <c r="DC30" s="38">
        <f>if(DE30="", if(CZ31&lt;&gt;"", if((CZ31-CX31)&lt;-1,CV30*(1+Setup!FR14),if((CZ31-CX31)&lt;0,CV30*(1+Setup!FS14),if((CZ31-CX31)=0,CV30*(1+Setup!FT14),if((CZ31-CX31)=1,CV30*(1+Setup!FU14),if((CZ31-CX31)=2,CV30*(1+Setup!FV14),if((CZ31-CX31)=3,CV30*(1+Setup!FW14),if((CZ31-CX31)=4,CV30*(1+Setup!FX14),if((CZ31-CX31)&gt;4,CV30*(1+Setup!FY14),CV30)))))))),CV30),DE30/'Quick Setup'!$E16)</f>
        <v>245</v>
      </c>
      <c r="DD30" s="39" t="s">
        <v>75</v>
      </c>
      <c r="DE30" s="40"/>
      <c r="DF30" s="41"/>
      <c r="DG30" s="41"/>
      <c r="DH30" s="41"/>
      <c r="DI30" s="41"/>
      <c r="DJ30" s="38">
        <f>if(DL30="", if(DG31&lt;&gt;"", if((DG31-DE31)&lt;-1,DC30*(1+Setup!GD14),if((DG31-DE31)&lt;0,DC30*(1+Setup!GE14),if((DG31-DE31)=0,DC30*(1+Setup!GF14),if((DG31-DE31)=1,DC30*(1+Setup!GG14),if((DG31-DE31)=2,DC30*(1+Setup!GH14),if((DG31-DE31)=3,DC30*(1+Setup!GI14),if((DG31-DE31)=4,DC30*(1+Setup!GJ14),if((DG31-DE31)&gt;4,DC30*(1+Setup!GK14),DC30)))))))),DC30),DL30/'Quick Setup'!$E16)</f>
        <v>245</v>
      </c>
      <c r="DK30" s="39" t="s">
        <v>75</v>
      </c>
      <c r="DL30" s="40"/>
      <c r="DM30" s="41"/>
      <c r="DN30" s="41"/>
      <c r="DO30" s="41"/>
      <c r="DP30" s="41"/>
      <c r="DQ30" s="38">
        <f>if(DS30="", if(DN31&lt;&gt;"", if((DN31-DL31)&lt;-1,DJ30*(1+Setup!GP14),if((DN31-DL31)&lt;0,DJ30*(1+Setup!GQ14),if((DN31-DL31)=0,DJ30*(1+Setup!GR14),if((DN31-DL31)=1,DJ30*(1+Setup!GS14),if((DN31-DL31)=2,DJ30*(1+Setup!GT14),if((DN31-DL31)=3,DJ30*(1+Setup!GU14),if((DN31-DL31)=4,DJ30*(1+Setup!GV14),if((DN31-DL31)&gt;4,DJ30*(1+Setup!GW14),DJ30)))))))),DJ30),DS30/'Quick Setup'!$E16)</f>
        <v>245</v>
      </c>
      <c r="DR30" s="39" t="s">
        <v>75</v>
      </c>
      <c r="DS30" s="40"/>
      <c r="DT30" s="41"/>
      <c r="DU30" s="41"/>
      <c r="DV30" s="41"/>
      <c r="DW30" s="41"/>
      <c r="DX30" s="38">
        <f>if(DZ30="", if(DU31&lt;&gt;"", if((DU31-DS31)&lt;-1,DQ30*(1+Setup!HB14),if((DU31-DS31)&lt;0,DQ30*(1+Setup!HC14),if((DU31-DS31)=0,DQ30*(1+Setup!HD14),if((DU31-DS31)=1,DQ30*(1+Setup!HE14),if((DU31-DS31)=2,DQ30*(1+Setup!HF14),if((DU31-DS31)=3,DQ30*(1+Setup!HG14),if((DU31-DS31)=4,DQ30*(1+Setup!HH14),if((DU31-DS31)&gt;4,DQ30*(1+Setup!HI14),DQ30)))))))),DQ30),DZ30/'Quick Setup'!$E16)</f>
        <v>245</v>
      </c>
      <c r="DY30" s="39" t="s">
        <v>75</v>
      </c>
      <c r="DZ30" s="40"/>
      <c r="EA30" s="41"/>
      <c r="EB30" s="41"/>
      <c r="EC30" s="41"/>
      <c r="ED30" s="41"/>
      <c r="EE30" s="38">
        <f>if(EG30="", if(EB31&lt;&gt;"", if((EB31-DZ31)&lt;-1,DX30*(1+Setup!HN14),if((EB31-DZ31)&lt;0,DX30*(1+Setup!HO14),if((EB31-DZ31)=0,DX30*(1+Setup!HP14),if((EB31-DZ31)=1,DX30*(1+Setup!HQ14),if((EB31-DZ31)=2,DX30*(1+Setup!HR14),if((EB31-DZ31)=3,DX30*(1+Setup!HS14),if((EB31-DZ31)=4,DX30*(1+Setup!HT14),if((EB31-DZ31)&gt;4,DX30*(1+Setup!HU14),DX30)))))))),DX30),EG30/'Quick Setup'!$E16)</f>
        <v>245</v>
      </c>
      <c r="EF30" s="39" t="s">
        <v>75</v>
      </c>
      <c r="EG30" s="40"/>
      <c r="EH30" s="41"/>
      <c r="EI30" s="41"/>
      <c r="EJ30" s="41"/>
      <c r="EK30" s="41"/>
      <c r="EL30" s="38">
        <f>if(EN30="", if(EI31&lt;&gt;"", if((EI31-EG31)&lt;-1,EE30*(1+Setup!HZ14),if((EI31-EG31)&lt;0,EE30*(1+Setup!IA14),if((EI31-EG31)=0,EE30*(1+Setup!IB14),if((EI31-EG31)=1,EE30*(1+Setup!IC14),if((EI31-EG31)=2,EE30*(1+Setup!ID14),if((EI31-EG31)=3,EE30*(1+Setup!IE14),if((EI31-EG31)=4,EE30*(1+Setup!IF14),if((EI31-EG31)&gt;4,EE30*(1+Setup!IG14),EE30)))))))),EE30),EN30/'Quick Setup'!$E16)</f>
        <v>245</v>
      </c>
      <c r="EM30" s="39" t="s">
        <v>75</v>
      </c>
      <c r="EN30" s="40"/>
      <c r="EO30" s="41"/>
      <c r="EP30" s="41"/>
      <c r="EQ30" s="41"/>
      <c r="ER30" s="41"/>
    </row>
    <row r="31">
      <c r="A31" s="1" t="str">
        <f>Setup!A14</f>
        <v>Push Press</v>
      </c>
      <c r="B31" s="42">
        <f>mround(B30*Setup!B14,'Quick Setup'!$A$2)</f>
        <v>147.5</v>
      </c>
      <c r="C31" s="3">
        <f>Setup!C14</f>
        <v>7</v>
      </c>
      <c r="D31" s="3">
        <f>Setup!D14</f>
        <v>14</v>
      </c>
      <c r="E31" s="3">
        <f>Setup!E14</f>
        <v>5</v>
      </c>
      <c r="F31" s="10"/>
      <c r="G31" s="10"/>
      <c r="H31" s="10"/>
      <c r="I31" s="42">
        <f>mround(I30*Setup!N14,'Quick Setup'!$A$2)</f>
        <v>160</v>
      </c>
      <c r="J31" s="3">
        <f>Setup!O14</f>
        <v>6</v>
      </c>
      <c r="K31" s="3">
        <f>Setup!P14</f>
        <v>12</v>
      </c>
      <c r="L31" s="3">
        <f>Setup!Q14</f>
        <v>5</v>
      </c>
      <c r="M31" s="10"/>
      <c r="N31" s="10"/>
      <c r="O31" s="10"/>
      <c r="P31" s="42">
        <f>mround(P30*Setup!Z14,'Quick Setup'!$A$2)</f>
        <v>172.5</v>
      </c>
      <c r="Q31" s="3">
        <f>Setup!AA14</f>
        <v>5</v>
      </c>
      <c r="R31" s="3">
        <f>Setup!AB14</f>
        <v>10</v>
      </c>
      <c r="S31" s="3">
        <f>Setup!AC14</f>
        <v>5</v>
      </c>
      <c r="T31" s="10"/>
      <c r="U31" s="10"/>
      <c r="V31" s="10"/>
      <c r="W31" s="42">
        <f>mround(W30*Setup!AL14,'Quick Setup'!$A$2)</f>
        <v>152.5</v>
      </c>
      <c r="X31" s="3">
        <f>Setup!AM14</f>
        <v>7</v>
      </c>
      <c r="Y31" s="3">
        <f>Setup!AN14</f>
        <v>13</v>
      </c>
      <c r="Z31" s="3">
        <f>Setup!AO14</f>
        <v>5</v>
      </c>
      <c r="AA31" s="10"/>
      <c r="AB31" s="10"/>
      <c r="AC31" s="10"/>
      <c r="AD31" s="42">
        <f>mround(AD30*Setup!AX14,'Quick Setup'!$A$2)</f>
        <v>165</v>
      </c>
      <c r="AE31" s="3">
        <f>Setup!AY14</f>
        <v>6</v>
      </c>
      <c r="AF31" s="3">
        <f>Setup!AZ14</f>
        <v>11</v>
      </c>
      <c r="AG31" s="3">
        <f>Setup!BA14</f>
        <v>5</v>
      </c>
      <c r="AH31" s="10"/>
      <c r="AI31" s="10"/>
      <c r="AJ31" s="10"/>
      <c r="AK31" s="42">
        <f>mround(AK30*Setup!BJ14,'Quick Setup'!$A$2)</f>
        <v>177.5</v>
      </c>
      <c r="AL31" s="3">
        <f>Setup!BK14</f>
        <v>5</v>
      </c>
      <c r="AM31" s="3">
        <f>Setup!BL14</f>
        <v>9</v>
      </c>
      <c r="AN31" s="3">
        <f>Setup!BM14</f>
        <v>5</v>
      </c>
      <c r="AO31" s="10"/>
      <c r="AP31" s="10"/>
      <c r="AQ31" s="10"/>
      <c r="AR31" s="42">
        <f>mround(AR30*Setup!BV14,'Quick Setup'!$A$2)</f>
        <v>122.5</v>
      </c>
      <c r="AS31" s="1">
        <v>5.0</v>
      </c>
      <c r="AT31" s="1" t="s">
        <v>78</v>
      </c>
      <c r="AU31" s="3">
        <f>Setup!BY14</f>
        <v>5</v>
      </c>
      <c r="AV31" s="10"/>
      <c r="AW31" s="10"/>
      <c r="AX31" s="10"/>
      <c r="AY31" s="42">
        <f>mround(AY30*Setup!CH14,'Quick Setup'!$A$2)</f>
        <v>160</v>
      </c>
      <c r="AZ31" s="3">
        <f>Setup!CI14</f>
        <v>6</v>
      </c>
      <c r="BA31" s="3">
        <f>Setup!CJ14</f>
        <v>12</v>
      </c>
      <c r="BB31" s="3">
        <f>Setup!CK14</f>
        <v>5</v>
      </c>
      <c r="BC31" s="10"/>
      <c r="BD31" s="10"/>
      <c r="BE31" s="10"/>
      <c r="BF31" s="42">
        <f>mround(BF30*Setup!CT14,'Quick Setup'!$A$2)</f>
        <v>172.5</v>
      </c>
      <c r="BG31" s="3">
        <f>Setup!CU14</f>
        <v>5</v>
      </c>
      <c r="BH31" s="3">
        <f>Setup!CV14</f>
        <v>10</v>
      </c>
      <c r="BI31" s="3">
        <f>Setup!CW14</f>
        <v>5</v>
      </c>
      <c r="BJ31" s="10"/>
      <c r="BK31" s="10"/>
      <c r="BL31" s="10"/>
      <c r="BM31" s="42">
        <f>mround(BM30*Setup!DF14,'Quick Setup'!$A$2)</f>
        <v>185</v>
      </c>
      <c r="BN31" s="3">
        <f>Setup!DG14</f>
        <v>4</v>
      </c>
      <c r="BO31" s="3">
        <f>Setup!DH14</f>
        <v>8</v>
      </c>
      <c r="BP31" s="3">
        <f>Setup!DI14</f>
        <v>5</v>
      </c>
      <c r="BQ31" s="10"/>
      <c r="BR31" s="10"/>
      <c r="BS31" s="10"/>
      <c r="BT31" s="42">
        <f>mround(BT30*Setup!DR14,'Quick Setup'!$A$2)</f>
        <v>165</v>
      </c>
      <c r="BU31" s="3">
        <f>Setup!DS14</f>
        <v>6</v>
      </c>
      <c r="BV31" s="3">
        <f>Setup!DT14</f>
        <v>11</v>
      </c>
      <c r="BW31" s="3">
        <f>Setup!DU14</f>
        <v>5</v>
      </c>
      <c r="BX31" s="10"/>
      <c r="BY31" s="10"/>
      <c r="BZ31" s="10"/>
      <c r="CA31" s="42">
        <f>mround(CA30*Setup!ED14,'Quick Setup'!$A$2)</f>
        <v>177.5</v>
      </c>
      <c r="CB31" s="3">
        <f>Setup!EE14</f>
        <v>5</v>
      </c>
      <c r="CC31" s="3">
        <f>Setup!EF14</f>
        <v>9</v>
      </c>
      <c r="CD31" s="3">
        <f>Setup!EG14</f>
        <v>5</v>
      </c>
      <c r="CE31" s="10"/>
      <c r="CF31" s="10"/>
      <c r="CG31" s="10"/>
      <c r="CH31" s="42">
        <f>mround(CH30*Setup!EP14,'Quick Setup'!$A$2)</f>
        <v>190</v>
      </c>
      <c r="CI31" s="3">
        <f>Setup!EQ14</f>
        <v>4</v>
      </c>
      <c r="CJ31" s="3">
        <f>Setup!ER14</f>
        <v>7</v>
      </c>
      <c r="CK31" s="3">
        <f>Setup!ES14</f>
        <v>5</v>
      </c>
      <c r="CL31" s="10"/>
      <c r="CM31" s="10"/>
      <c r="CN31" s="10"/>
      <c r="CO31" s="42">
        <f>mround(CO30*Setup!FB14,'Quick Setup'!$A$2)</f>
        <v>122.5</v>
      </c>
      <c r="CP31" s="1">
        <v>5.0</v>
      </c>
      <c r="CQ31" s="1" t="s">
        <v>78</v>
      </c>
      <c r="CR31" s="3">
        <f>Setup!FE14</f>
        <v>5</v>
      </c>
      <c r="CS31" s="10"/>
      <c r="CT31" s="10"/>
      <c r="CU31" s="10"/>
      <c r="CV31" s="42">
        <f>mround(CV30*Setup!FN14,'Quick Setup'!$A$2)</f>
        <v>172.5</v>
      </c>
      <c r="CW31" s="3">
        <f>Setup!FO14</f>
        <v>5</v>
      </c>
      <c r="CX31" s="3">
        <f>Setup!FP14</f>
        <v>10</v>
      </c>
      <c r="CY31" s="3">
        <f>Setup!FQ14</f>
        <v>5</v>
      </c>
      <c r="CZ31" s="10"/>
      <c r="DA31" s="10"/>
      <c r="DB31" s="10"/>
      <c r="DC31" s="42">
        <f>mround(DC30*Setup!FZ14,'Quick Setup'!$A$2)</f>
        <v>185</v>
      </c>
      <c r="DD31" s="3">
        <f>Setup!GA14</f>
        <v>4</v>
      </c>
      <c r="DE31" s="3">
        <f>Setup!GB14</f>
        <v>8</v>
      </c>
      <c r="DF31" s="3">
        <f>Setup!GC14</f>
        <v>5</v>
      </c>
      <c r="DG31" s="10"/>
      <c r="DH31" s="10"/>
      <c r="DI31" s="10"/>
      <c r="DJ31" s="42">
        <f>mround(DJ30*Setup!GL14,'Quick Setup'!$A$2)</f>
        <v>195</v>
      </c>
      <c r="DK31" s="3">
        <f>Setup!GM14</f>
        <v>3</v>
      </c>
      <c r="DL31" s="3">
        <f>Setup!GN14</f>
        <v>6</v>
      </c>
      <c r="DM31" s="3">
        <f>Setup!GO14</f>
        <v>5</v>
      </c>
      <c r="DN31" s="10"/>
      <c r="DO31" s="10"/>
      <c r="DP31" s="10"/>
      <c r="DQ31" s="42">
        <f>mround(DQ30*Setup!GX14,'Quick Setup'!$A$2)</f>
        <v>185</v>
      </c>
      <c r="DR31" s="3">
        <f>Setup!GY14</f>
        <v>4</v>
      </c>
      <c r="DS31" s="3">
        <f>Setup!GZ14</f>
        <v>8</v>
      </c>
      <c r="DT31" s="3">
        <f>Setup!HA14</f>
        <v>5</v>
      </c>
      <c r="DU31" s="10"/>
      <c r="DV31" s="10"/>
      <c r="DW31" s="10"/>
      <c r="DX31" s="42">
        <f>mround(DX30*Setup!HJ14,'Quick Setup'!$A$2)</f>
        <v>195</v>
      </c>
      <c r="DY31" s="3">
        <f>Setup!HK14</f>
        <v>3</v>
      </c>
      <c r="DZ31" s="3">
        <f>Setup!HL14</f>
        <v>6</v>
      </c>
      <c r="EA31" s="3">
        <f>Setup!HM14</f>
        <v>5</v>
      </c>
      <c r="EB31" s="10"/>
      <c r="EC31" s="10"/>
      <c r="ED31" s="10"/>
      <c r="EE31" s="42">
        <f>mround(EE30*Setup!HV14,'Quick Setup'!$A$2)</f>
        <v>207.5</v>
      </c>
      <c r="EF31" s="3">
        <f>Setup!HW14</f>
        <v>2</v>
      </c>
      <c r="EG31" s="3">
        <f>Setup!HX14</f>
        <v>4</v>
      </c>
      <c r="EH31" s="3">
        <f>Setup!HY14</f>
        <v>5</v>
      </c>
      <c r="EI31" s="10"/>
      <c r="EJ31" s="10"/>
      <c r="EK31" s="10"/>
      <c r="EL31" s="42">
        <f>mround(EL30*Setup!IH14,'Quick Setup'!$A$2)</f>
        <v>122.5</v>
      </c>
      <c r="EM31" s="1">
        <v>5.0</v>
      </c>
      <c r="EN31" s="1" t="s">
        <v>78</v>
      </c>
      <c r="EO31" s="3">
        <f>Setup!IK14</f>
        <v>5</v>
      </c>
      <c r="EP31" s="10"/>
      <c r="EQ31" s="10"/>
      <c r="ER31" s="10"/>
    </row>
    <row r="32" hidden="1">
      <c r="A32" s="37" t="str">
        <f>CONCATENATE(A33," TM")</f>
        <v>Paused Squat TM</v>
      </c>
      <c r="B32" s="38">
        <f>if(D32="",'Quick Setup'!D12,D32/'Quick Setup'!E12)</f>
        <v>460</v>
      </c>
      <c r="C32" s="39" t="s">
        <v>75</v>
      </c>
      <c r="D32" s="40"/>
      <c r="E32" s="41"/>
      <c r="F32" s="41"/>
      <c r="G32" s="41"/>
      <c r="H32" s="41"/>
      <c r="I32" s="38">
        <f>if(K32="", if(F33&lt;&gt;"", if((F33-D33)&lt;-1,B32*(1+Setup!F10),if((F33-D33)&lt;0,B32*(1+Setup!G10),if((F33-D33)=0,B32*(1+Setup!H10),if((F33-D33)=1,B32*(1+Setup!I10),if((F33-D33)=2,B32*(1+Setup!J10),if((F33-D33)=3,B32*(1+Setup!K10),if((F33-D33)=4,B32*(1+Setup!L10),if((F33-D33)&gt;4,B32*(1+Setup!M10),B32)))))))),B32),K32/'Quick Setup'!$E12)</f>
        <v>460</v>
      </c>
      <c r="J32" s="39" t="s">
        <v>75</v>
      </c>
      <c r="K32" s="40"/>
      <c r="L32" s="41"/>
      <c r="M32" s="41"/>
      <c r="N32" s="41"/>
      <c r="O32" s="41"/>
      <c r="P32" s="38">
        <f>if(R32="", if(M33&lt;&gt;"", if((M33-K33)&lt;-1,I32*(1+Setup!R10),if((M33-K33)&lt;0,I32*(1+Setup!S10),if((M33-K33)=0,I32*(1+Setup!T10),if((M33-K33)=1,I32*(1+Setup!U10),if((M33-K33)=2,I32*(1+Setup!V10),if((M33-K33)=3,I32*(1+Setup!W10),if((M33-K33)=4,I32*(1+Setup!X10),if((M33-K33)&gt;4,I32*(1+Setup!Y10),I32)))))))),I32),R32/'Quick Setup'!$E12)</f>
        <v>460</v>
      </c>
      <c r="Q32" s="39" t="s">
        <v>75</v>
      </c>
      <c r="R32" s="40"/>
      <c r="S32" s="41"/>
      <c r="T32" s="41"/>
      <c r="U32" s="41"/>
      <c r="V32" s="41"/>
      <c r="W32" s="38">
        <f>if(Y32="", if(T33&lt;&gt;"", if((T33-R33)&lt;-1,P32*(1+Setup!AD10),if((T33-R33)&lt;0,P32*(1+Setup!AE10),if((T33-R33)=0,P32*(1+Setup!AF10),if((T33-R33)=1,P32*(1+Setup!AG10),if((T33-R33)=2,P32*(1+Setup!AH10),if((T33-R33)=3,P32*(1+Setup!AI10),if((T33-R33)=4,P32*(1+Setup!AJ10),if((T33-R33)&gt;4,P32*(1+Setup!AK10),P32)))))))),P32),Y32/'Quick Setup'!$E12)</f>
        <v>460</v>
      </c>
      <c r="X32" s="39" t="s">
        <v>75</v>
      </c>
      <c r="Y32" s="40"/>
      <c r="Z32" s="41"/>
      <c r="AA32" s="41"/>
      <c r="AB32" s="41"/>
      <c r="AC32" s="41"/>
      <c r="AD32" s="38">
        <f>if(AF32="", if(AA33&lt;&gt;"", if((AA33-Y33)&lt;-1,W32*(1+Setup!AP10),if((AA33-Y33)&lt;0,W32*(1+Setup!AQ10),if((AA33-Y33)=0,W32*(1+Setup!AR10),if((AA33-Y33)=1,W32*(1+Setup!AS10),if((AA33-Y33)=2,W32*(1+Setup!AT10),if((AA33-Y33)=3,W32*(1+Setup!AU10),if((AA33-Y33)=4,W32*(1+Setup!AV10),if((AA33-Y33)&gt;4,W32*(1+Setup!AW10),W32)))))))),W32),AF32/'Quick Setup'!$E12)</f>
        <v>460</v>
      </c>
      <c r="AE32" s="39" t="s">
        <v>75</v>
      </c>
      <c r="AF32" s="40"/>
      <c r="AG32" s="41"/>
      <c r="AH32" s="41"/>
      <c r="AI32" s="41"/>
      <c r="AJ32" s="41"/>
      <c r="AK32" s="38">
        <f>if(AM32="", if(AH33&lt;&gt;"", if((AH33-AF33)&lt;-1,AD32*(1+Setup!BB10),if((AH33-AF33)&lt;0,AD32*(1+Setup!BC10),if((AH33-AF33)=0,AD32*(1+Setup!BD10),if((AH33-AF33)=1,AD32*(1+Setup!BE10),if((AH33-AF33)=2,AD32*(1+Setup!BF10),if((AH33-AF33)=3,AD32*(1+Setup!BG10),if((AH33-AF33)=4,AD32*(1+Setup!BH10),if((AH33-AF33)&gt;4,AD32*(1+Setup!BI10),AD32)))))))),AD32),AM32/'Quick Setup'!$E12)</f>
        <v>460</v>
      </c>
      <c r="AL32" s="39" t="s">
        <v>75</v>
      </c>
      <c r="AM32" s="40"/>
      <c r="AN32" s="41"/>
      <c r="AO32" s="41"/>
      <c r="AP32" s="41"/>
      <c r="AQ32" s="41"/>
      <c r="AR32" s="38">
        <f>if(AT32="", if(AO33&lt;&gt;"", if((AO33-AM33)&lt;-1,AK32*(1+Setup!BN10),if((AO33-AM33)&lt;0,AK32*(1+Setup!BO10),if((AO33-AM33)=0,AK32*(1+Setup!BP10),if((AO33-AM33)=1,AK32*(1+Setup!BQ10),if((AO33-AM33)=2,AK32*(1+Setup!BR10),if((AO33-AM33)=3,AK32*(1+Setup!BS10),if((AO33-AM33)=4,AK32*(1+Setup!BT10),if((AO33-AM33)&gt;4,AK32*(1+Setup!BU10),AK32)))))))),AK32),AT32/'Quick Setup'!$E12)</f>
        <v>460</v>
      </c>
      <c r="AS32" s="39" t="s">
        <v>75</v>
      </c>
      <c r="AT32" s="40"/>
      <c r="AU32" s="41"/>
      <c r="AV32" s="41"/>
      <c r="AW32" s="41"/>
      <c r="AX32" s="41"/>
      <c r="AY32" s="38">
        <f>if(BA32="",AR32,BA32/'Quick Setup'!$E12)</f>
        <v>460</v>
      </c>
      <c r="AZ32" s="39" t="s">
        <v>75</v>
      </c>
      <c r="BA32" s="40"/>
      <c r="BB32" s="41"/>
      <c r="BC32" s="41"/>
      <c r="BD32" s="41"/>
      <c r="BE32" s="41"/>
      <c r="BF32" s="38">
        <f>if(BH32="", if(BC33&lt;&gt;"", if((BC33-BA33)&lt;-1,AY32*(1+Setup!CL10),if((BC33-BA33)&lt;0,AY32*(1+Setup!CM10),if((BC33-BA33)=0,AY32*(1+Setup!CN10),if((BC33-BA33)=1,AY32*(1+Setup!CO10),if((BC33-BA33)=2,AY32*(1+Setup!CP10),if((BC33-BA33)=3,AY32*(1+Setup!CQ10),if((BC33-BA33)=4,AY32*(1+Setup!CR10),if((BC33-BA33)&gt;4,AY32*(1+Setup!CS10),AY32)))))))),AY32),BH32/'Quick Setup'!$E12)</f>
        <v>460</v>
      </c>
      <c r="BG32" s="39" t="s">
        <v>75</v>
      </c>
      <c r="BH32" s="40"/>
      <c r="BI32" s="41"/>
      <c r="BJ32" s="41"/>
      <c r="BK32" s="41"/>
      <c r="BL32" s="41"/>
      <c r="BM32" s="38">
        <f>if(BO32="", if(BJ33&lt;&gt;"", if((BJ33-BH33)&lt;-1,BF32*(1+Setup!CX10),if((BJ33-BH33)&lt;0,BF32*(1+Setup!CY10),if((BJ33-BH33)=0,BF32*(1+Setup!CZ10),if((BJ33-BH33)=1,BF32*(1+Setup!DA10),if((BJ33-BH33)=2,BF32*(1+Setup!DB10),if((BJ33-BH33)=3,BF32*(1+Setup!DC10),if((BJ33-BH33)=4,BF32*(1+Setup!DD10),if((BJ33-BH33)&gt;4,BF32*(1+Setup!DE10),BF32)))))))),BF32),BO32/'Quick Setup'!$E12)</f>
        <v>460</v>
      </c>
      <c r="BN32" s="39" t="s">
        <v>75</v>
      </c>
      <c r="BO32" s="40"/>
      <c r="BP32" s="41"/>
      <c r="BQ32" s="41"/>
      <c r="BR32" s="41"/>
      <c r="BS32" s="41"/>
      <c r="BT32" s="38">
        <f>if(BV32="", if(BQ33&lt;&gt;"", if((BQ33-BO33)&lt;-1,BM32*(1+Setup!DJ10),if((BQ33-BO33)&lt;0,BM32*(1+Setup!DK10),if((BQ33-BO33)=0,BM32*(1+Setup!DL10),if((BQ33-BO33)=1,BM32*(1+Setup!DM10),if((BQ33-BO33)=2,BM32*(1+Setup!DN10),if((BQ33-BO33)=3,BM32*(1+Setup!DO10),if((BQ33-BO33)=4,BM32*(1+Setup!DP10),if((BQ33-BO33)&gt;4,BM32*(1+Setup!DQ10),BM32)))))))),BM32),BV32/'Quick Setup'!$E12)</f>
        <v>460</v>
      </c>
      <c r="BU32" s="39" t="s">
        <v>75</v>
      </c>
      <c r="BV32" s="40"/>
      <c r="BW32" s="41"/>
      <c r="BX32" s="41"/>
      <c r="BY32" s="41"/>
      <c r="BZ32" s="41"/>
      <c r="CA32" s="38">
        <f>if(CC32="", if(BX33&lt;&gt;"", if((BX33-BV33)&lt;-1,BT32*(1+Setup!DV10),if((BX33-BV33)&lt;0,BT32*(1+Setup!DW10),if((BX33-BV33)=0,BT32*(1+Setup!DX10),if((BX33-BV33)=1,BT32*(1+Setup!DY10),if((BX33-BV33)=2,BT32*(1+Setup!DZ10),if((BX33-BV33)=3,BT32*(1+Setup!EA10),if((BX33-BV33)=4,BT32*(1+Setup!EB10),if((BX33-BV33)&gt;4,BT32*(1+Setup!EC10),BT32)))))))),BT32),CC32/'Quick Setup'!$E12)</f>
        <v>460</v>
      </c>
      <c r="CB32" s="39" t="s">
        <v>75</v>
      </c>
      <c r="CC32" s="40"/>
      <c r="CD32" s="41"/>
      <c r="CE32" s="41"/>
      <c r="CF32" s="41"/>
      <c r="CG32" s="41"/>
      <c r="CH32" s="38">
        <f>if(CJ32="", if(CE33&lt;&gt;"", if((CE33-CC33)&lt;-1,CA32*(1+Setup!EH10),if((CE33-CC33)&lt;0,CA32*(1+Setup!EI10),if((CE33-CC33)=0,CA32*(1+Setup!EJ10),if((CE33-CC33)=1,CA32*(1+Setup!EK10),if((CE33-CC33)=2,CA32*(1+Setup!EL10),if((CE33-CC33)=3,CA32*(1+Setup!EM10),if((CE33-CC33)=4,CA32*(1+Setup!EN10),if((CE33-CC33)&gt;4,CA32*(1+Setup!EO10),CA32)))))))),CA32),CJ32/'Quick Setup'!$E12)</f>
        <v>460</v>
      </c>
      <c r="CI32" s="39" t="s">
        <v>75</v>
      </c>
      <c r="CJ32" s="40"/>
      <c r="CK32" s="41"/>
      <c r="CL32" s="41"/>
      <c r="CM32" s="41"/>
      <c r="CN32" s="41"/>
      <c r="CO32" s="38">
        <f>if(CQ32="", if(CL33&lt;&gt;"", if((CL33-CJ33)&lt;-1,CH32*(1+Setup!ET10),if((CL33-CJ33)&lt;0,CH32*(1+Setup!EU10),if((CL33-CJ33)=0,CH32*(1+Setup!EV10),if((CL33-CJ33)=1,CH32*(1+Setup!EW10),if((CL33-CJ33)=2,CH32*(1+Setup!EX10),if((CL33-CJ33)=3,CH32*(1+Setup!EY10),if((CL33-CJ33)=4,CH32*(1+Setup!EZ10),if((CL33-CJ33)&gt;4,CH32*(1+Setup!FA10),CH32)))))))),CH32),CQ32/'Quick Setup'!$E12)</f>
        <v>460</v>
      </c>
      <c r="CP32" s="39" t="s">
        <v>75</v>
      </c>
      <c r="CQ32" s="40"/>
      <c r="CR32" s="41"/>
      <c r="CS32" s="41"/>
      <c r="CT32" s="41"/>
      <c r="CU32" s="41"/>
      <c r="CV32" s="38">
        <f>if(CX32="",CO32,CX32/'Quick Setup'!$E12)</f>
        <v>460</v>
      </c>
      <c r="CW32" s="39" t="s">
        <v>75</v>
      </c>
      <c r="CX32" s="40"/>
      <c r="CY32" s="41"/>
      <c r="CZ32" s="41"/>
      <c r="DA32" s="41"/>
      <c r="DB32" s="41"/>
      <c r="DC32" s="38">
        <f>if(DE32="", if(CZ33&lt;&gt;"", if((CZ33-CX33)&lt;-1,CV32*(1+Setup!FR10),if((CZ33-CX33)&lt;0,CV32*(1+Setup!FS10),if((CZ33-CX33)=0,CV32*(1+Setup!FT10),if((CZ33-CX33)=1,CV32*(1+Setup!FU10),if((CZ33-CX33)=2,CV32*(1+Setup!FV10),if((CZ33-CX33)=3,CV32*(1+Setup!FW10),if((CZ33-CX33)=4,CV32*(1+Setup!FX10),if((CZ33-CX33)&gt;4,CV32*(1+Setup!FY10),CV32)))))))),CV32),DE32/'Quick Setup'!$E12)</f>
        <v>460</v>
      </c>
      <c r="DD32" s="39" t="s">
        <v>75</v>
      </c>
      <c r="DE32" s="40"/>
      <c r="DF32" s="41"/>
      <c r="DG32" s="41"/>
      <c r="DH32" s="41"/>
      <c r="DI32" s="41"/>
      <c r="DJ32" s="38">
        <f>if(DL32="", if(DG33&lt;&gt;"", if((DG33-DE33)&lt;-1,DC32*(1+Setup!GD10),if((DG33-DE33)&lt;0,DC32*(1+Setup!GE10),if((DG33-DE33)=0,DC32*(1+Setup!GF10),if((DG33-DE33)=1,DC32*(1+Setup!GG10),if((DG33-DE33)=2,DC32*(1+Setup!GH10),if((DG33-DE33)=3,DC32*(1+Setup!GI10),if((DG33-DE33)=4,DC32*(1+Setup!GJ10),if((DG33-DE33)&gt;4,DC32*(1+Setup!GK10),DC32)))))))),DC32),DL32/'Quick Setup'!$E12)</f>
        <v>460</v>
      </c>
      <c r="DK32" s="39" t="s">
        <v>75</v>
      </c>
      <c r="DL32" s="40"/>
      <c r="DM32" s="41"/>
      <c r="DN32" s="41"/>
      <c r="DO32" s="41"/>
      <c r="DP32" s="41"/>
      <c r="DQ32" s="38">
        <f>if(DS32="", if(DN33&lt;&gt;"", if((DN33-DL33)&lt;-1,DJ32*(1+Setup!GP10),if((DN33-DL33)&lt;0,DJ32*(1+Setup!GQ10),if((DN33-DL33)=0,DJ32*(1+Setup!GR10),if((DN33-DL33)=1,DJ32*(1+Setup!GS10),if((DN33-DL33)=2,DJ32*(1+Setup!GT10),if((DN33-DL33)=3,DJ32*(1+Setup!GU10),if((DN33-DL33)=4,DJ32*(1+Setup!GV10),if((DN33-DL33)&gt;4,DJ32*(1+Setup!GW10),DJ32)))))))),DJ32),DS32/'Quick Setup'!$E12)</f>
        <v>460</v>
      </c>
      <c r="DR32" s="39" t="s">
        <v>75</v>
      </c>
      <c r="DS32" s="40"/>
      <c r="DT32" s="41"/>
      <c r="DU32" s="41"/>
      <c r="DV32" s="41"/>
      <c r="DW32" s="41"/>
      <c r="DX32" s="38">
        <f>if(DZ32="", if(DU33&lt;&gt;"", if((DU33-DS33)&lt;-1,DQ32*(1+Setup!HB10),if((DU33-DS33)&lt;0,DQ32*(1+Setup!HC10),if((DU33-DS33)=0,DQ32*(1+Setup!HD10),if((DU33-DS33)=1,DQ32*(1+Setup!HE10),if((DU33-DS33)=2,DQ32*(1+Setup!HF10),if((DU33-DS33)=3,DQ32*(1+Setup!HG10),if((DU33-DS33)=4,DQ32*(1+Setup!HH10),if((DU33-DS33)&gt;4,DQ32*(1+Setup!HI10),DQ32)))))))),DQ32),DZ32/'Quick Setup'!$E12)</f>
        <v>460</v>
      </c>
      <c r="DY32" s="39" t="s">
        <v>75</v>
      </c>
      <c r="DZ32" s="40"/>
      <c r="EA32" s="41"/>
      <c r="EB32" s="41"/>
      <c r="EC32" s="41"/>
      <c r="ED32" s="41"/>
      <c r="EE32" s="38">
        <f>if(EG32="", if(EB33&lt;&gt;"", if((EB33-DZ33)&lt;-1,DX32*(1+Setup!HN10),if((EB33-DZ33)&lt;0,DX32*(1+Setup!HO10),if((EB33-DZ33)=0,DX32*(1+Setup!HP10),if((EB33-DZ33)=1,DX32*(1+Setup!HQ10),if((EB33-DZ33)=2,DX32*(1+Setup!HR10),if((EB33-DZ33)=3,DX32*(1+Setup!HS10),if((EB33-DZ33)=4,DX32*(1+Setup!HT10),if((EB33-DZ33)&gt;4,DX32*(1+Setup!HU10),DX32)))))))),DX32),EG32/'Quick Setup'!$E12)</f>
        <v>460</v>
      </c>
      <c r="EF32" s="39" t="s">
        <v>75</v>
      </c>
      <c r="EG32" s="40"/>
      <c r="EH32" s="41"/>
      <c r="EI32" s="41"/>
      <c r="EJ32" s="41"/>
      <c r="EK32" s="41"/>
      <c r="EL32" s="38">
        <f>if(EN32="", if(EI33&lt;&gt;"", if((EI33-EG33)&lt;-1,EE32*(1+Setup!HZ10),if((EI33-EG33)&lt;0,EE32*(1+Setup!IA10),if((EI33-EG33)=0,EE32*(1+Setup!IB10),if((EI33-EG33)=1,EE32*(1+Setup!IC10),if((EI33-EG33)=2,EE32*(1+Setup!ID10),if((EI33-EG33)=3,EE32*(1+Setup!IE10),if((EI33-EG33)=4,EE32*(1+Setup!IF10),if((EI33-EG33)&gt;4,EE32*(1+Setup!IG10),EE32)))))))),EE32),EN32/'Quick Setup'!$E12)</f>
        <v>460</v>
      </c>
      <c r="EM32" s="39" t="s">
        <v>75</v>
      </c>
      <c r="EN32" s="40"/>
      <c r="EO32" s="41"/>
      <c r="EP32" s="41"/>
      <c r="EQ32" s="41"/>
      <c r="ER32" s="41"/>
    </row>
    <row r="33">
      <c r="A33" s="1" t="str">
        <f>Setup!A10</f>
        <v>Paused Squat</v>
      </c>
      <c r="B33" s="42">
        <f>mround(B32*Setup!B10,'Quick Setup'!$A$2)</f>
        <v>275</v>
      </c>
      <c r="C33" s="3">
        <f>Setup!C10</f>
        <v>7</v>
      </c>
      <c r="D33" s="3">
        <f>Setup!D10</f>
        <v>14</v>
      </c>
      <c r="E33" s="3">
        <f>Setup!E10</f>
        <v>5</v>
      </c>
      <c r="F33" s="10"/>
      <c r="G33" s="10"/>
      <c r="H33" s="10"/>
      <c r="I33" s="42">
        <f>mround(I32*Setup!N10,'Quick Setup'!$A$2)</f>
        <v>300</v>
      </c>
      <c r="J33" s="3">
        <f>Setup!O10</f>
        <v>6</v>
      </c>
      <c r="K33" s="3">
        <f>Setup!P10</f>
        <v>12</v>
      </c>
      <c r="L33" s="3">
        <f>Setup!Q10</f>
        <v>5</v>
      </c>
      <c r="M33" s="10"/>
      <c r="N33" s="10"/>
      <c r="O33" s="10"/>
      <c r="P33" s="42">
        <f>mround(P32*Setup!Z10,'Quick Setup'!$A$2)</f>
        <v>322.5</v>
      </c>
      <c r="Q33" s="3">
        <f>Setup!AA10</f>
        <v>5</v>
      </c>
      <c r="R33" s="3">
        <f>Setup!AB10</f>
        <v>10</v>
      </c>
      <c r="S33" s="3">
        <f>Setup!AC10</f>
        <v>5</v>
      </c>
      <c r="T33" s="10"/>
      <c r="U33" s="10"/>
      <c r="V33" s="10"/>
      <c r="W33" s="42">
        <f>mround(W32*Setup!AL10,'Quick Setup'!$A$2)</f>
        <v>287.5</v>
      </c>
      <c r="X33" s="3">
        <f>Setup!AM10</f>
        <v>7</v>
      </c>
      <c r="Y33" s="3">
        <f>Setup!AN10</f>
        <v>13</v>
      </c>
      <c r="Z33" s="3">
        <f>Setup!AO10</f>
        <v>5</v>
      </c>
      <c r="AA33" s="10"/>
      <c r="AB33" s="10"/>
      <c r="AC33" s="10"/>
      <c r="AD33" s="42">
        <f>mround(AD32*Setup!AX10,'Quick Setup'!$A$2)</f>
        <v>310</v>
      </c>
      <c r="AE33" s="3">
        <f>Setup!AY10</f>
        <v>6</v>
      </c>
      <c r="AF33" s="3">
        <f>Setup!AZ10</f>
        <v>11</v>
      </c>
      <c r="AG33" s="3">
        <f>Setup!BA10</f>
        <v>5</v>
      </c>
      <c r="AH33" s="10"/>
      <c r="AI33" s="10"/>
      <c r="AJ33" s="10"/>
      <c r="AK33" s="42">
        <f>mround(AK32*Setup!BJ10,'Quick Setup'!$A$2)</f>
        <v>332.5</v>
      </c>
      <c r="AL33" s="3">
        <f>Setup!BK10</f>
        <v>5</v>
      </c>
      <c r="AM33" s="3">
        <f>Setup!BL10</f>
        <v>9</v>
      </c>
      <c r="AN33" s="3">
        <f>Setup!BM10</f>
        <v>5</v>
      </c>
      <c r="AO33" s="10"/>
      <c r="AP33" s="10"/>
      <c r="AQ33" s="10"/>
      <c r="AR33" s="42">
        <f>mround(AR32*Setup!BV10,'Quick Setup'!$A$2)</f>
        <v>230</v>
      </c>
      <c r="AS33" s="1">
        <v>5.0</v>
      </c>
      <c r="AT33" s="1" t="s">
        <v>78</v>
      </c>
      <c r="AU33" s="3">
        <f>Setup!BY10</f>
        <v>5</v>
      </c>
      <c r="AV33" s="10"/>
      <c r="AW33" s="10"/>
      <c r="AX33" s="10"/>
      <c r="AY33" s="42">
        <f>mround(AY32*Setup!CH10,'Quick Setup'!$A$2)</f>
        <v>300</v>
      </c>
      <c r="AZ33" s="3">
        <f>Setup!CI10</f>
        <v>6</v>
      </c>
      <c r="BA33" s="3">
        <f>Setup!CJ10</f>
        <v>12</v>
      </c>
      <c r="BB33" s="3">
        <f>Setup!CK10</f>
        <v>5</v>
      </c>
      <c r="BC33" s="10"/>
      <c r="BD33" s="10"/>
      <c r="BE33" s="10"/>
      <c r="BF33" s="42">
        <f>mround(BF32*Setup!CT10,'Quick Setup'!$A$2)</f>
        <v>322.5</v>
      </c>
      <c r="BG33" s="3">
        <f>Setup!CU10</f>
        <v>5</v>
      </c>
      <c r="BH33" s="3">
        <f>Setup!CV10</f>
        <v>10</v>
      </c>
      <c r="BI33" s="3">
        <f>Setup!CW10</f>
        <v>5</v>
      </c>
      <c r="BJ33" s="10"/>
      <c r="BK33" s="10"/>
      <c r="BL33" s="10"/>
      <c r="BM33" s="42">
        <f>mround(BM32*Setup!DF10,'Quick Setup'!$A$2)</f>
        <v>345</v>
      </c>
      <c r="BN33" s="3">
        <f>Setup!DG10</f>
        <v>4</v>
      </c>
      <c r="BO33" s="3">
        <f>Setup!DH10</f>
        <v>8</v>
      </c>
      <c r="BP33" s="3">
        <f>Setup!DI10</f>
        <v>5</v>
      </c>
      <c r="BQ33" s="10"/>
      <c r="BR33" s="10"/>
      <c r="BS33" s="10"/>
      <c r="BT33" s="42">
        <f>mround(BT32*Setup!DR10,'Quick Setup'!$A$2)</f>
        <v>310</v>
      </c>
      <c r="BU33" s="3">
        <f>Setup!DS10</f>
        <v>6</v>
      </c>
      <c r="BV33" s="3">
        <f>Setup!DT10</f>
        <v>11</v>
      </c>
      <c r="BW33" s="3">
        <f>Setup!DU10</f>
        <v>5</v>
      </c>
      <c r="BX33" s="10"/>
      <c r="BY33" s="10"/>
      <c r="BZ33" s="10"/>
      <c r="CA33" s="42">
        <f>mround(CA32*Setup!ED10,'Quick Setup'!$A$2)</f>
        <v>332.5</v>
      </c>
      <c r="CB33" s="3">
        <f>Setup!EE10</f>
        <v>5</v>
      </c>
      <c r="CC33" s="3">
        <f>Setup!EF10</f>
        <v>9</v>
      </c>
      <c r="CD33" s="3">
        <f>Setup!EG10</f>
        <v>5</v>
      </c>
      <c r="CE33" s="10"/>
      <c r="CF33" s="10"/>
      <c r="CG33" s="10"/>
      <c r="CH33" s="42">
        <f>mround(CH32*Setup!EP10,'Quick Setup'!$A$2)</f>
        <v>357.5</v>
      </c>
      <c r="CI33" s="3">
        <f>Setup!EQ10</f>
        <v>4</v>
      </c>
      <c r="CJ33" s="3">
        <f>Setup!ER10</f>
        <v>7</v>
      </c>
      <c r="CK33" s="3">
        <f>Setup!ES10</f>
        <v>5</v>
      </c>
      <c r="CL33" s="10"/>
      <c r="CM33" s="10"/>
      <c r="CN33" s="10"/>
      <c r="CO33" s="42">
        <f>mround(CO32*Setup!FB10,'Quick Setup'!$A$2)</f>
        <v>230</v>
      </c>
      <c r="CP33" s="1">
        <v>5.0</v>
      </c>
      <c r="CQ33" s="1" t="s">
        <v>78</v>
      </c>
      <c r="CR33" s="3">
        <f>Setup!FE10</f>
        <v>5</v>
      </c>
      <c r="CS33" s="10"/>
      <c r="CT33" s="10"/>
      <c r="CU33" s="10"/>
      <c r="CV33" s="42">
        <f>mround(CV32*Setup!FN10,'Quick Setup'!$A$2)</f>
        <v>322.5</v>
      </c>
      <c r="CW33" s="3">
        <f>Setup!FO10</f>
        <v>5</v>
      </c>
      <c r="CX33" s="3">
        <f>Setup!FP10</f>
        <v>10</v>
      </c>
      <c r="CY33" s="3">
        <f>Setup!FQ10</f>
        <v>5</v>
      </c>
      <c r="CZ33" s="10"/>
      <c r="DA33" s="10"/>
      <c r="DB33" s="10"/>
      <c r="DC33" s="42">
        <f>mround(DC32*Setup!FZ10,'Quick Setup'!$A$2)</f>
        <v>345</v>
      </c>
      <c r="DD33" s="3">
        <f>Setup!GA10</f>
        <v>4</v>
      </c>
      <c r="DE33" s="3">
        <f>Setup!GB10</f>
        <v>8</v>
      </c>
      <c r="DF33" s="3">
        <f>Setup!GC10</f>
        <v>5</v>
      </c>
      <c r="DG33" s="10"/>
      <c r="DH33" s="10"/>
      <c r="DI33" s="10"/>
      <c r="DJ33" s="42">
        <f>mround(DJ32*Setup!GL10,'Quick Setup'!$A$2)</f>
        <v>367.5</v>
      </c>
      <c r="DK33" s="3">
        <f>Setup!GM10</f>
        <v>3</v>
      </c>
      <c r="DL33" s="3">
        <f>Setup!GN10</f>
        <v>6</v>
      </c>
      <c r="DM33" s="3">
        <f>Setup!GO10</f>
        <v>5</v>
      </c>
      <c r="DN33" s="10"/>
      <c r="DO33" s="10"/>
      <c r="DP33" s="10"/>
      <c r="DQ33" s="42">
        <f>mround(DQ32*Setup!GX10,'Quick Setup'!$A$2)</f>
        <v>345</v>
      </c>
      <c r="DR33" s="3">
        <f>Setup!GY10</f>
        <v>4</v>
      </c>
      <c r="DS33" s="3">
        <f>Setup!GZ10</f>
        <v>8</v>
      </c>
      <c r="DT33" s="3">
        <f>Setup!HA10</f>
        <v>5</v>
      </c>
      <c r="DU33" s="10"/>
      <c r="DV33" s="10"/>
      <c r="DW33" s="10"/>
      <c r="DX33" s="42">
        <f>mround(DX32*Setup!HJ10,'Quick Setup'!$A$2)</f>
        <v>367.5</v>
      </c>
      <c r="DY33" s="3">
        <f>Setup!HK10</f>
        <v>3</v>
      </c>
      <c r="DZ33" s="3">
        <f>Setup!HL10</f>
        <v>6</v>
      </c>
      <c r="EA33" s="3">
        <f>Setup!HM10</f>
        <v>5</v>
      </c>
      <c r="EB33" s="10"/>
      <c r="EC33" s="10"/>
      <c r="ED33" s="10"/>
      <c r="EE33" s="42">
        <f>mround(EE32*Setup!HV10,'Quick Setup'!$A$2)</f>
        <v>390</v>
      </c>
      <c r="EF33" s="3">
        <f>Setup!HW10</f>
        <v>2</v>
      </c>
      <c r="EG33" s="3">
        <f>Setup!HX10</f>
        <v>4</v>
      </c>
      <c r="EH33" s="3">
        <f>Setup!HY10</f>
        <v>5</v>
      </c>
      <c r="EI33" s="10"/>
      <c r="EJ33" s="10"/>
      <c r="EK33" s="10"/>
      <c r="EL33" s="42">
        <f>mround(EL32*Setup!IH10,'Quick Setup'!$A$2)</f>
        <v>230</v>
      </c>
      <c r="EM33" s="1">
        <v>5.0</v>
      </c>
      <c r="EN33" s="1" t="s">
        <v>78</v>
      </c>
      <c r="EO33" s="3">
        <f>Setup!IK10</f>
        <v>5</v>
      </c>
      <c r="EP33" s="10"/>
      <c r="EQ33" s="10"/>
      <c r="ER33" s="10"/>
    </row>
    <row r="34" hidden="1">
      <c r="A34" s="37" t="str">
        <f>CONCATENATE(A35," TM")</f>
        <v>Incline Press TM</v>
      </c>
      <c r="B34" s="38">
        <f>if(D34="",'Quick Setup'!D14,D34/'Quick Setup'!E14)</f>
        <v>280</v>
      </c>
      <c r="C34" s="39" t="s">
        <v>75</v>
      </c>
      <c r="D34" s="40"/>
      <c r="E34" s="41"/>
      <c r="F34" s="41"/>
      <c r="G34" s="41"/>
      <c r="H34" s="41"/>
      <c r="I34" s="38">
        <f>if(K34="", if(F35&lt;&gt;"", if((F35-D35)&lt;-1,B34*(1+Setup!F12),if((F35-D35)&lt;0,B34*(1+Setup!G12),if((F35-D35)=0,B34*(1+Setup!H12),if((F35-D35)=1,B34*(1+Setup!I12),if((F35-D35)=2,B34*(1+Setup!J12),if((F35-D35)=3,B34*(1+Setup!K12),if((F35-D35)=4,B34*(1+Setup!L12),if((F35-D35)&gt;4,B34*(1+Setup!M12),B34)))))))),B34),K34/'Quick Setup'!$E14)</f>
        <v>280</v>
      </c>
      <c r="J34" s="39" t="s">
        <v>75</v>
      </c>
      <c r="K34" s="40"/>
      <c r="L34" s="41"/>
      <c r="M34" s="41"/>
      <c r="N34" s="41"/>
      <c r="O34" s="41"/>
      <c r="P34" s="38">
        <f>if(R34="", if(M35&lt;&gt;"", if((M35-K35)&lt;-1,I34*(1+Setup!R12),if((M35-K35)&lt;0,I34*(1+Setup!S12),if((M35-K35)=0,I34*(1+Setup!T12),if((M35-K35)=1,I34*(1+Setup!U12),if((M35-K35)=2,I34*(1+Setup!V12),if((M35-K35)=3,I34*(1+Setup!W12),if((M35-K35)=4,I34*(1+Setup!X12),if((M35-K35)&gt;4,I34*(1+Setup!Y12),I34)))))))),I34),R34/'Quick Setup'!$E14)</f>
        <v>280</v>
      </c>
      <c r="Q34" s="39" t="s">
        <v>75</v>
      </c>
      <c r="R34" s="40"/>
      <c r="S34" s="41"/>
      <c r="T34" s="41"/>
      <c r="U34" s="41"/>
      <c r="V34" s="41"/>
      <c r="W34" s="38">
        <f>if(Y34="", if(T35&lt;&gt;"", if((T35-R35)&lt;-1,P34*(1+Setup!AD12),if((T35-R35)&lt;0,P34*(1+Setup!AE12),if((T35-R35)=0,P34*(1+Setup!AF12),if((T35-R35)=1,P34*(1+Setup!AG12),if((T35-R35)=2,P34*(1+Setup!AH12),if((T35-R35)=3,P34*(1+Setup!AI12),if((T35-R35)=4,P34*(1+Setup!AJ12),if((T35-R35)&gt;4,P34*(1+Setup!AK12),P34)))))))),P34),Y34/'Quick Setup'!$E14)</f>
        <v>280</v>
      </c>
      <c r="X34" s="39" t="s">
        <v>75</v>
      </c>
      <c r="Y34" s="40"/>
      <c r="Z34" s="41"/>
      <c r="AA34" s="41"/>
      <c r="AB34" s="41"/>
      <c r="AC34" s="41"/>
      <c r="AD34" s="38">
        <f>if(AF34="", if(AA35&lt;&gt;"", if((AA35-Y35)&lt;-1,W34*(1+Setup!AP12),if((AA35-Y35)&lt;0,W34*(1+Setup!AQ12),if((AA35-Y35)=0,W34*(1+Setup!AR12),if((AA35-Y35)=1,W34*(1+Setup!AS12),if((AA35-Y35)=2,W34*(1+Setup!AT12),if((AA35-Y35)=3,W34*(1+Setup!AU12),if((AA35-Y35)=4,W34*(1+Setup!AV12),if((AA35-Y35)&gt;4,W34*(1+Setup!AW12),W34)))))))),W34),AF34/'Quick Setup'!$E14)</f>
        <v>280</v>
      </c>
      <c r="AE34" s="39" t="s">
        <v>75</v>
      </c>
      <c r="AF34" s="40"/>
      <c r="AG34" s="41"/>
      <c r="AH34" s="41"/>
      <c r="AI34" s="41"/>
      <c r="AJ34" s="41"/>
      <c r="AK34" s="38">
        <f>if(AM34="", if(AH35&lt;&gt;"", if((AH35-AF35)&lt;-1,AD34*(1+Setup!BB12),if((AH35-AF35)&lt;0,AD34*(1+Setup!BC12),if((AH35-AF35)=0,AD34*(1+Setup!BD12),if((AH35-AF35)=1,AD34*(1+Setup!BE12),if((AH35-AF35)=2,AD34*(1+Setup!BF12),if((AH35-AF35)=3,AD34*(1+Setup!BG12),if((AH35-AF35)=4,AD34*(1+Setup!BH12),if((AH35-AF35)&gt;4,AD34*(1+Setup!BI12),AD34)))))))),AD34),AM34/'Quick Setup'!$E14)</f>
        <v>280</v>
      </c>
      <c r="AL34" s="39" t="s">
        <v>75</v>
      </c>
      <c r="AM34" s="40"/>
      <c r="AN34" s="41"/>
      <c r="AO34" s="41"/>
      <c r="AP34" s="41"/>
      <c r="AQ34" s="41"/>
      <c r="AR34" s="38">
        <f>if(AT34="", if(AO35&lt;&gt;"", if((AO35-AM35)&lt;-1,AK34*(1+Setup!BN12),if((AO35-AM35)&lt;0,AK34*(1+Setup!BO12),if((AO35-AM35)=0,AK34*(1+Setup!BP12),if((AO35-AM35)=1,AK34*(1+Setup!BQ12),if((AO35-AM35)=2,AK34*(1+Setup!BR12),if((AO35-AM35)=3,AK34*(1+Setup!BS12),if((AO35-AM35)=4,AK34*(1+Setup!BT12),if((AO35-AM35)&gt;4,AK34*(1+Setup!BU12),AK34)))))))),AK34),AT34/'Quick Setup'!$E14)</f>
        <v>280</v>
      </c>
      <c r="AS34" s="39" t="s">
        <v>75</v>
      </c>
      <c r="AT34" s="40"/>
      <c r="AU34" s="41"/>
      <c r="AV34" s="41"/>
      <c r="AW34" s="41"/>
      <c r="AX34" s="41"/>
      <c r="AY34" s="38">
        <f>if(BA34="",AR34,BA34/'Quick Setup'!$E14)</f>
        <v>280</v>
      </c>
      <c r="AZ34" s="39" t="s">
        <v>75</v>
      </c>
      <c r="BA34" s="40"/>
      <c r="BB34" s="41"/>
      <c r="BC34" s="41"/>
      <c r="BD34" s="41"/>
      <c r="BE34" s="41"/>
      <c r="BF34" s="38">
        <f>if(BH34="", if(BC35&lt;&gt;"", if((BC35-BA35)&lt;-1,AY34*(1+Setup!CL12),if((BC35-BA35)&lt;0,AY34*(1+Setup!CM12),if((BC35-BA35)=0,AY34*(1+Setup!CN12),if((BC35-BA35)=1,AY34*(1+Setup!CO12),if((BC35-BA35)=2,AY34*(1+Setup!CP12),if((BC35-BA35)=3,AY34*(1+Setup!CQ12),if((BC35-BA35)=4,AY34*(1+Setup!CR12),if((BC35-BA35)&gt;4,AY34*(1+Setup!CS12),AY34)))))))),AY34),BH34/'Quick Setup'!$E14)</f>
        <v>280</v>
      </c>
      <c r="BG34" s="39" t="s">
        <v>75</v>
      </c>
      <c r="BH34" s="40"/>
      <c r="BI34" s="41"/>
      <c r="BJ34" s="41"/>
      <c r="BK34" s="41"/>
      <c r="BL34" s="41"/>
      <c r="BM34" s="38">
        <f>if(BO34="", if(BJ35&lt;&gt;"", if((BJ35-BH35)&lt;-1,BF34*(1+Setup!CX12),if((BJ35-BH35)&lt;0,BF34*(1+Setup!CY12),if((BJ35-BH35)=0,BF34*(1+Setup!CZ12),if((BJ35-BH35)=1,BF34*(1+Setup!DA12),if((BJ35-BH35)=2,BF34*(1+Setup!DB12),if((BJ35-BH35)=3,BF34*(1+Setup!DC12),if((BJ35-BH35)=4,BF34*(1+Setup!DD12),if((BJ35-BH35)&gt;4,BF34*(1+Setup!DE12),BF34)))))))),BF34),BO34/'Quick Setup'!$E14)</f>
        <v>280</v>
      </c>
      <c r="BN34" s="39" t="s">
        <v>75</v>
      </c>
      <c r="BO34" s="40"/>
      <c r="BP34" s="41"/>
      <c r="BQ34" s="41"/>
      <c r="BR34" s="41"/>
      <c r="BS34" s="41"/>
      <c r="BT34" s="38">
        <f>if(BV34="", if(BQ35&lt;&gt;"", if((BQ35-BO35)&lt;-1,BM34*(1+Setup!DJ12),if((BQ35-BO35)&lt;0,BM34*(1+Setup!DK12),if((BQ35-BO35)=0,BM34*(1+Setup!DL12),if((BQ35-BO35)=1,BM34*(1+Setup!DM12),if((BQ35-BO35)=2,BM34*(1+Setup!DN12),if((BQ35-BO35)=3,BM34*(1+Setup!DO12),if((BQ35-BO35)=4,BM34*(1+Setup!DP12),if((BQ35-BO35)&gt;4,BM34*(1+Setup!DQ12),BM34)))))))),BM34),BV34/'Quick Setup'!$E14)</f>
        <v>280</v>
      </c>
      <c r="BU34" s="39" t="s">
        <v>75</v>
      </c>
      <c r="BV34" s="40"/>
      <c r="BW34" s="41"/>
      <c r="BX34" s="41"/>
      <c r="BY34" s="41"/>
      <c r="BZ34" s="41"/>
      <c r="CA34" s="38">
        <f>if(CC34="", if(BX35&lt;&gt;"", if((BX35-BV35)&lt;-1,BT34*(1+Setup!DV12),if((BX35-BV35)&lt;0,BT34*(1+Setup!DW12),if((BX35-BV35)=0,BT34*(1+Setup!DX12),if((BX35-BV35)=1,BT34*(1+Setup!DY12),if((BX35-BV35)=2,BT34*(1+Setup!DZ12),if((BX35-BV35)=3,BT34*(1+Setup!EA12),if((BX35-BV35)=4,BT34*(1+Setup!EB12),if((BX35-BV35)&gt;4,BT34*(1+Setup!EC12),BT34)))))))),BT34),CC34/'Quick Setup'!$E14)</f>
        <v>280</v>
      </c>
      <c r="CB34" s="39" t="s">
        <v>75</v>
      </c>
      <c r="CC34" s="40"/>
      <c r="CD34" s="41"/>
      <c r="CE34" s="41"/>
      <c r="CF34" s="41"/>
      <c r="CG34" s="41"/>
      <c r="CH34" s="38">
        <f>if(CJ34="", if(CE35&lt;&gt;"", if((CE35-CC35)&lt;-1,CA34*(1+Setup!EH12),if((CE35-CC35)&lt;0,CA34*(1+Setup!EI12),if((CE35-CC35)=0,CA34*(1+Setup!EJ12),if((CE35-CC35)=1,CA34*(1+Setup!EK12),if((CE35-CC35)=2,CA34*(1+Setup!EL12),if((CE35-CC35)=3,CA34*(1+Setup!EM12),if((CE35-CC35)=4,CA34*(1+Setup!EN12),if((CE35-CC35)&gt;4,CA34*(1+Setup!EO12),CA34)))))))),CA34),CJ34/'Quick Setup'!$E14)</f>
        <v>280</v>
      </c>
      <c r="CI34" s="39" t="s">
        <v>75</v>
      </c>
      <c r="CJ34" s="40"/>
      <c r="CK34" s="41"/>
      <c r="CL34" s="41"/>
      <c r="CM34" s="41"/>
      <c r="CN34" s="41"/>
      <c r="CO34" s="38">
        <f>if(CQ34="", if(CL35&lt;&gt;"", if((CL35-CJ35)&lt;-1,CH34*(1+Setup!ET12),if((CL35-CJ35)&lt;0,CH34*(1+Setup!EU12),if((CL35-CJ35)=0,CH34*(1+Setup!EV12),if((CL35-CJ35)=1,CH34*(1+Setup!EW12),if((CL35-CJ35)=2,CH34*(1+Setup!EX12),if((CL35-CJ35)=3,CH34*(1+Setup!EY12),if((CL35-CJ35)=4,CH34*(1+Setup!EZ12),if((CL35-CJ35)&gt;4,CH34*(1+Setup!FA12),CH34)))))))),CH34),CQ34/'Quick Setup'!$E14)</f>
        <v>280</v>
      </c>
      <c r="CP34" s="39" t="s">
        <v>75</v>
      </c>
      <c r="CQ34" s="40"/>
      <c r="CR34" s="41"/>
      <c r="CS34" s="41"/>
      <c r="CT34" s="41"/>
      <c r="CU34" s="41"/>
      <c r="CV34" s="38">
        <f>if(CX34="",CO34,CX34/'Quick Setup'!$E14)</f>
        <v>280</v>
      </c>
      <c r="CW34" s="39" t="s">
        <v>75</v>
      </c>
      <c r="CX34" s="40"/>
      <c r="CY34" s="41"/>
      <c r="CZ34" s="41"/>
      <c r="DA34" s="41"/>
      <c r="DB34" s="41"/>
      <c r="DC34" s="38">
        <f>if(DE34="", if(CZ35&lt;&gt;"", if((CZ35-CX35)&lt;-1,CV34*(1+Setup!FR12),if((CZ35-CX35)&lt;0,CV34*(1+Setup!FS12),if((CZ35-CX35)=0,CV34*(1+Setup!FT12),if((CZ35-CX35)=1,CV34*(1+Setup!FU12),if((CZ35-CX35)=2,CV34*(1+Setup!FV12),if((CZ35-CX35)=3,CV34*(1+Setup!FW12),if((CZ35-CX35)=4,CV34*(1+Setup!FX12),if((CZ35-CX35)&gt;4,CV34*(1+Setup!FY12),CV34)))))))),CV34),DE34/'Quick Setup'!$E14)</f>
        <v>280</v>
      </c>
      <c r="DD34" s="39" t="s">
        <v>75</v>
      </c>
      <c r="DE34" s="40"/>
      <c r="DF34" s="41"/>
      <c r="DG34" s="41"/>
      <c r="DH34" s="41"/>
      <c r="DI34" s="41"/>
      <c r="DJ34" s="38">
        <f>if(DL34="", if(DG35&lt;&gt;"", if((DG35-DE35)&lt;-1,DC34*(1+Setup!GD12),if((DG35-DE35)&lt;0,DC34*(1+Setup!GE12),if((DG35-DE35)=0,DC34*(1+Setup!GF12),if((DG35-DE35)=1,DC34*(1+Setup!GG12),if((DG35-DE35)=2,DC34*(1+Setup!GH12),if((DG35-DE35)=3,DC34*(1+Setup!GI12),if((DG35-DE35)=4,DC34*(1+Setup!GJ12),if((DG35-DE35)&gt;4,DC34*(1+Setup!GK12),DC34)))))))),DC34),DL34/'Quick Setup'!$E14)</f>
        <v>280</v>
      </c>
      <c r="DK34" s="39" t="s">
        <v>75</v>
      </c>
      <c r="DL34" s="40"/>
      <c r="DM34" s="41"/>
      <c r="DN34" s="41"/>
      <c r="DO34" s="41"/>
      <c r="DP34" s="41"/>
      <c r="DQ34" s="38">
        <f>if(DS34="", if(DN35&lt;&gt;"", if((DN35-DL35)&lt;-1,DJ34*(1+Setup!GP12),if((DN35-DL35)&lt;0,DJ34*(1+Setup!GQ12),if((DN35-DL35)=0,DJ34*(1+Setup!GR12),if((DN35-DL35)=1,DJ34*(1+Setup!GS12),if((DN35-DL35)=2,DJ34*(1+Setup!GT12),if((DN35-DL35)=3,DJ34*(1+Setup!GU12),if((DN35-DL35)=4,DJ34*(1+Setup!GV12),if((DN35-DL35)&gt;4,DJ34*(1+Setup!GW12),DJ34)))))))),DJ34),DS34/'Quick Setup'!$E14)</f>
        <v>280</v>
      </c>
      <c r="DR34" s="39" t="s">
        <v>75</v>
      </c>
      <c r="DS34" s="40"/>
      <c r="DT34" s="41"/>
      <c r="DU34" s="41"/>
      <c r="DV34" s="41"/>
      <c r="DW34" s="41"/>
      <c r="DX34" s="38">
        <f>if(DZ34="", if(DU35&lt;&gt;"", if((DU35-DS35)&lt;-1,DQ34*(1+Setup!HB12),if((DU35-DS35)&lt;0,DQ34*(1+Setup!HC12),if((DU35-DS35)=0,DQ34*(1+Setup!HD12),if((DU35-DS35)=1,DQ34*(1+Setup!HE12),if((DU35-DS35)=2,DQ34*(1+Setup!HF12),if((DU35-DS35)=3,DQ34*(1+Setup!HG12),if((DU35-DS35)=4,DQ34*(1+Setup!HH12),if((DU35-DS35)&gt;4,DQ34*(1+Setup!HI12),DQ34)))))))),DQ34),DZ34/'Quick Setup'!$E14)</f>
        <v>280</v>
      </c>
      <c r="DY34" s="39" t="s">
        <v>75</v>
      </c>
      <c r="DZ34" s="40"/>
      <c r="EA34" s="41"/>
      <c r="EB34" s="41"/>
      <c r="EC34" s="41"/>
      <c r="ED34" s="41"/>
      <c r="EE34" s="38">
        <f>if(EG34="", if(EB35&lt;&gt;"", if((EB35-DZ35)&lt;-1,DX34*(1+Setup!HN12),if((EB35-DZ35)&lt;0,DX34*(1+Setup!HO12),if((EB35-DZ35)=0,DX34*(1+Setup!HP12),if((EB35-DZ35)=1,DX34*(1+Setup!HQ12),if((EB35-DZ35)=2,DX34*(1+Setup!HR12),if((EB35-DZ35)=3,DX34*(1+Setup!HS12),if((EB35-DZ35)=4,DX34*(1+Setup!HT12),if((EB35-DZ35)&gt;4,DX34*(1+Setup!HU12),DX34)))))))),DX34),EG34/'Quick Setup'!$E14)</f>
        <v>280</v>
      </c>
      <c r="EF34" s="39" t="s">
        <v>75</v>
      </c>
      <c r="EG34" s="40"/>
      <c r="EH34" s="41"/>
      <c r="EI34" s="41"/>
      <c r="EJ34" s="41"/>
      <c r="EK34" s="41"/>
      <c r="EL34" s="38">
        <f>if(EN34="", if(EI35&lt;&gt;"", if((EI35-EG35)&lt;-1,EE34*(1+Setup!HZ12),if((EI35-EG35)&lt;0,EE34*(1+Setup!IA12),if((EI35-EG35)=0,EE34*(1+Setup!IB12),if((EI35-EG35)=1,EE34*(1+Setup!IC12),if((EI35-EG35)=2,EE34*(1+Setup!ID12),if((EI35-EG35)=3,EE34*(1+Setup!IE12),if((EI35-EG35)=4,EE34*(1+Setup!IF12),if((EI35-EG35)&gt;4,EE34*(1+Setup!IG12),EE34)))))))),EE34),EN34/'Quick Setup'!$E14)</f>
        <v>280</v>
      </c>
      <c r="EM34" s="39" t="s">
        <v>75</v>
      </c>
      <c r="EN34" s="40"/>
      <c r="EO34" s="41"/>
      <c r="EP34" s="41"/>
      <c r="EQ34" s="41"/>
      <c r="ER34" s="41"/>
    </row>
    <row r="35">
      <c r="A35" s="1" t="str">
        <f>Setup!A12</f>
        <v>Incline Press</v>
      </c>
      <c r="B35" s="42">
        <f>mround(B34*Setup!B12,'Quick Setup'!$A$2)</f>
        <v>167.5</v>
      </c>
      <c r="C35" s="3">
        <f>Setup!C12</f>
        <v>7</v>
      </c>
      <c r="D35" s="3">
        <f>Setup!D12</f>
        <v>14</v>
      </c>
      <c r="E35" s="3">
        <f>Setup!E12</f>
        <v>5</v>
      </c>
      <c r="F35" s="10"/>
      <c r="G35" s="10"/>
      <c r="H35" s="10"/>
      <c r="I35" s="42">
        <f>mround(I34*Setup!N12,'Quick Setup'!$A$2)</f>
        <v>182.5</v>
      </c>
      <c r="J35" s="3">
        <f>Setup!O12</f>
        <v>6</v>
      </c>
      <c r="K35" s="3">
        <f>Setup!P12</f>
        <v>12</v>
      </c>
      <c r="L35" s="3">
        <f>Setup!Q12</f>
        <v>5</v>
      </c>
      <c r="M35" s="10"/>
      <c r="N35" s="10"/>
      <c r="O35" s="10"/>
      <c r="P35" s="42">
        <f>mround(P34*Setup!Z12,'Quick Setup'!$A$2)</f>
        <v>195</v>
      </c>
      <c r="Q35" s="3">
        <f>Setup!AA12</f>
        <v>5</v>
      </c>
      <c r="R35" s="3">
        <f>Setup!AB12</f>
        <v>10</v>
      </c>
      <c r="S35" s="3">
        <f>Setup!AC12</f>
        <v>5</v>
      </c>
      <c r="T35" s="10"/>
      <c r="U35" s="10"/>
      <c r="V35" s="10"/>
      <c r="W35" s="42">
        <f>mround(W34*Setup!AL12,'Quick Setup'!$A$2)</f>
        <v>175</v>
      </c>
      <c r="X35" s="3">
        <f>Setup!AM12</f>
        <v>7</v>
      </c>
      <c r="Y35" s="3">
        <f>Setup!AN12</f>
        <v>13</v>
      </c>
      <c r="Z35" s="3">
        <f>Setup!AO12</f>
        <v>5</v>
      </c>
      <c r="AA35" s="10"/>
      <c r="AB35" s="10"/>
      <c r="AC35" s="10"/>
      <c r="AD35" s="42">
        <f>mround(AD34*Setup!AX12,'Quick Setup'!$A$2)</f>
        <v>190</v>
      </c>
      <c r="AE35" s="3">
        <f>Setup!AY12</f>
        <v>6</v>
      </c>
      <c r="AF35" s="3">
        <f>Setup!AZ12</f>
        <v>11</v>
      </c>
      <c r="AG35" s="3">
        <f>Setup!BA12</f>
        <v>5</v>
      </c>
      <c r="AH35" s="10"/>
      <c r="AI35" s="10"/>
      <c r="AJ35" s="10"/>
      <c r="AK35" s="42">
        <f>mround(AK34*Setup!BJ12,'Quick Setup'!$A$2)</f>
        <v>202.5</v>
      </c>
      <c r="AL35" s="3">
        <f>Setup!BK12</f>
        <v>5</v>
      </c>
      <c r="AM35" s="3">
        <f>Setup!BL12</f>
        <v>9</v>
      </c>
      <c r="AN35" s="3">
        <f>Setup!BM12</f>
        <v>5</v>
      </c>
      <c r="AO35" s="10"/>
      <c r="AP35" s="10"/>
      <c r="AQ35" s="10"/>
      <c r="AR35" s="42">
        <f>mround(AR34*Setup!BV12,'Quick Setup'!$A$2)</f>
        <v>140</v>
      </c>
      <c r="AS35" s="1">
        <v>5.0</v>
      </c>
      <c r="AT35" s="1" t="s">
        <v>78</v>
      </c>
      <c r="AU35" s="3">
        <f>Setup!BY12</f>
        <v>5</v>
      </c>
      <c r="AV35" s="10"/>
      <c r="AW35" s="10"/>
      <c r="AX35" s="10"/>
      <c r="AY35" s="42">
        <f>mround(AY34*Setup!CH12,'Quick Setup'!$A$2)</f>
        <v>182.5</v>
      </c>
      <c r="AZ35" s="3">
        <f>Setup!CI12</f>
        <v>6</v>
      </c>
      <c r="BA35" s="3">
        <f>Setup!CJ12</f>
        <v>12</v>
      </c>
      <c r="BB35" s="3">
        <f>Setup!CK12</f>
        <v>5</v>
      </c>
      <c r="BC35" s="10"/>
      <c r="BD35" s="10"/>
      <c r="BE35" s="10"/>
      <c r="BF35" s="42">
        <f>mround(BF34*Setup!CT12,'Quick Setup'!$A$2)</f>
        <v>195</v>
      </c>
      <c r="BG35" s="3">
        <f>Setup!CU12</f>
        <v>5</v>
      </c>
      <c r="BH35" s="3">
        <f>Setup!CV12</f>
        <v>10</v>
      </c>
      <c r="BI35" s="3">
        <f>Setup!CW12</f>
        <v>5</v>
      </c>
      <c r="BJ35" s="10"/>
      <c r="BK35" s="10"/>
      <c r="BL35" s="10"/>
      <c r="BM35" s="42">
        <f>mround(BM34*Setup!DF12,'Quick Setup'!$A$2)</f>
        <v>210</v>
      </c>
      <c r="BN35" s="3">
        <f>Setup!DG12</f>
        <v>4</v>
      </c>
      <c r="BO35" s="3">
        <f>Setup!DH12</f>
        <v>8</v>
      </c>
      <c r="BP35" s="3">
        <f>Setup!DI12</f>
        <v>5</v>
      </c>
      <c r="BQ35" s="10"/>
      <c r="BR35" s="10"/>
      <c r="BS35" s="10"/>
      <c r="BT35" s="42">
        <f>mround(BT34*Setup!DR12,'Quick Setup'!$A$2)</f>
        <v>190</v>
      </c>
      <c r="BU35" s="3">
        <f>Setup!DS12</f>
        <v>6</v>
      </c>
      <c r="BV35" s="3">
        <f>Setup!DT12</f>
        <v>11</v>
      </c>
      <c r="BW35" s="3">
        <f>Setup!DU12</f>
        <v>5</v>
      </c>
      <c r="BX35" s="10"/>
      <c r="BY35" s="10"/>
      <c r="BZ35" s="10"/>
      <c r="CA35" s="42">
        <f>mround(CA34*Setup!ED12,'Quick Setup'!$A$2)</f>
        <v>202.5</v>
      </c>
      <c r="CB35" s="3">
        <f>Setup!EE12</f>
        <v>5</v>
      </c>
      <c r="CC35" s="3">
        <f>Setup!EF12</f>
        <v>9</v>
      </c>
      <c r="CD35" s="3">
        <f>Setup!EG12</f>
        <v>5</v>
      </c>
      <c r="CE35" s="10"/>
      <c r="CF35" s="10"/>
      <c r="CG35" s="10"/>
      <c r="CH35" s="42">
        <f>mround(CH34*Setup!EP12,'Quick Setup'!$A$2)</f>
        <v>217.5</v>
      </c>
      <c r="CI35" s="3">
        <f>Setup!EQ12</f>
        <v>4</v>
      </c>
      <c r="CJ35" s="3">
        <f>Setup!ER12</f>
        <v>7</v>
      </c>
      <c r="CK35" s="3">
        <f>Setup!ES12</f>
        <v>5</v>
      </c>
      <c r="CL35" s="10"/>
      <c r="CM35" s="10"/>
      <c r="CN35" s="10"/>
      <c r="CO35" s="42">
        <f>mround(CO34*Setup!FB12,'Quick Setup'!$A$2)</f>
        <v>140</v>
      </c>
      <c r="CP35" s="1">
        <v>5.0</v>
      </c>
      <c r="CQ35" s="1" t="s">
        <v>78</v>
      </c>
      <c r="CR35" s="3">
        <f>Setup!FE12</f>
        <v>5</v>
      </c>
      <c r="CS35" s="10"/>
      <c r="CT35" s="10"/>
      <c r="CU35" s="10"/>
      <c r="CV35" s="42">
        <f>mround(CV34*Setup!FN12,'Quick Setup'!$A$2)</f>
        <v>195</v>
      </c>
      <c r="CW35" s="3">
        <f>Setup!FO12</f>
        <v>5</v>
      </c>
      <c r="CX35" s="3">
        <f>Setup!FP12</f>
        <v>10</v>
      </c>
      <c r="CY35" s="3">
        <f>Setup!FQ12</f>
        <v>5</v>
      </c>
      <c r="CZ35" s="10"/>
      <c r="DA35" s="10"/>
      <c r="DB35" s="10"/>
      <c r="DC35" s="42">
        <f>mround(DC34*Setup!FZ12,'Quick Setup'!$A$2)</f>
        <v>210</v>
      </c>
      <c r="DD35" s="3">
        <f>Setup!GA12</f>
        <v>4</v>
      </c>
      <c r="DE35" s="3">
        <f>Setup!GB12</f>
        <v>8</v>
      </c>
      <c r="DF35" s="3">
        <f>Setup!GC12</f>
        <v>5</v>
      </c>
      <c r="DG35" s="10"/>
      <c r="DH35" s="10"/>
      <c r="DI35" s="10"/>
      <c r="DJ35" s="42">
        <f>mround(DJ34*Setup!GL12,'Quick Setup'!$A$2)</f>
        <v>225</v>
      </c>
      <c r="DK35" s="3">
        <f>Setup!GM12</f>
        <v>3</v>
      </c>
      <c r="DL35" s="3">
        <f>Setup!GN12</f>
        <v>6</v>
      </c>
      <c r="DM35" s="3">
        <f>Setup!GO12</f>
        <v>5</v>
      </c>
      <c r="DN35" s="10"/>
      <c r="DO35" s="10"/>
      <c r="DP35" s="10"/>
      <c r="DQ35" s="42">
        <f>mround(DQ34*Setup!GX12,'Quick Setup'!$A$2)</f>
        <v>210</v>
      </c>
      <c r="DR35" s="3">
        <f>Setup!GY12</f>
        <v>4</v>
      </c>
      <c r="DS35" s="3">
        <f>Setup!GZ12</f>
        <v>8</v>
      </c>
      <c r="DT35" s="3">
        <f>Setup!HA12</f>
        <v>5</v>
      </c>
      <c r="DU35" s="10"/>
      <c r="DV35" s="10"/>
      <c r="DW35" s="10"/>
      <c r="DX35" s="42">
        <f>mround(DX34*Setup!HJ12,'Quick Setup'!$A$2)</f>
        <v>225</v>
      </c>
      <c r="DY35" s="3">
        <f>Setup!HK12</f>
        <v>3</v>
      </c>
      <c r="DZ35" s="3">
        <f>Setup!HL12</f>
        <v>6</v>
      </c>
      <c r="EA35" s="3">
        <f>Setup!HM12</f>
        <v>5</v>
      </c>
      <c r="EB35" s="10"/>
      <c r="EC35" s="10"/>
      <c r="ED35" s="10"/>
      <c r="EE35" s="42">
        <f>mround(EE34*Setup!HV12,'Quick Setup'!$A$2)</f>
        <v>237.5</v>
      </c>
      <c r="EF35" s="3">
        <f>Setup!HW12</f>
        <v>2</v>
      </c>
      <c r="EG35" s="3">
        <f>Setup!HX12</f>
        <v>4</v>
      </c>
      <c r="EH35" s="3">
        <f>Setup!HY12</f>
        <v>5</v>
      </c>
      <c r="EI35" s="10"/>
      <c r="EJ35" s="10"/>
      <c r="EK35" s="10"/>
      <c r="EL35" s="42">
        <f>mround(EL34*Setup!IH12,'Quick Setup'!$A$2)</f>
        <v>140</v>
      </c>
      <c r="EM35" s="1">
        <v>5.0</v>
      </c>
      <c r="EN35" s="1" t="s">
        <v>78</v>
      </c>
      <c r="EO35" s="3">
        <f>Setup!IK12</f>
        <v>5</v>
      </c>
      <c r="EP35" s="10"/>
      <c r="EQ35" s="10"/>
      <c r="ER35" s="10"/>
    </row>
    <row r="36" hidden="1">
      <c r="A36" s="37" t="str">
        <f>CONCATENATE(A37," TM")</f>
        <v>Sumo Deadlift TM</v>
      </c>
      <c r="B36" s="38">
        <f>if(D36="",'Quick Setup'!D15,D36/'Quick Setup'!E15)</f>
        <v>500</v>
      </c>
      <c r="C36" s="39" t="s">
        <v>75</v>
      </c>
      <c r="D36" s="40"/>
      <c r="E36" s="41"/>
      <c r="F36" s="41"/>
      <c r="G36" s="41"/>
      <c r="H36" s="41"/>
      <c r="I36" s="38">
        <f>if(K36="", if(F37&lt;&gt;"", if((F37-D37)&lt;-1,B36*(1+Setup!F13),if((F37-D37)&lt;0,B36*(1+Setup!G13),if((F37-D37)=0,B36*(1+Setup!H13),if((F37-D37)=1,B36*(1+Setup!I13),if((F37-D37)=2,B36*(1+Setup!J13),if((F37-D37)=3,B36*(1+Setup!K13),if((F37-D37)=4,B36*(1+Setup!L13),if((F37-D37)&gt;4,B36*(1+Setup!M13),B36)))))))),B36),K36/'Quick Setup'!$E15)</f>
        <v>500</v>
      </c>
      <c r="J36" s="39" t="s">
        <v>75</v>
      </c>
      <c r="K36" s="40"/>
      <c r="L36" s="41"/>
      <c r="M36" s="41"/>
      <c r="N36" s="41"/>
      <c r="O36" s="41"/>
      <c r="P36" s="38">
        <f>if(R36="", if(M37&lt;&gt;"", if((M37-K37)&lt;-1,I36*(1+Setup!R13),if((M37-K37)&lt;0,I36*(1+Setup!S13),if((M37-K37)=0,I36*(1+Setup!T13),if((M37-K37)=1,I36*(1+Setup!U13),if((M37-K37)=2,I36*(1+Setup!V13),if((M37-K37)=3,I36*(1+Setup!W13),if((M37-K37)=4,I36*(1+Setup!X13),if((M37-K37)&gt;4,I36*(1+Setup!Y13),I36)))))))),I36),R36/'Quick Setup'!$E15)</f>
        <v>500</v>
      </c>
      <c r="Q36" s="39" t="s">
        <v>75</v>
      </c>
      <c r="R36" s="40"/>
      <c r="S36" s="41"/>
      <c r="T36" s="41"/>
      <c r="U36" s="41"/>
      <c r="V36" s="41"/>
      <c r="W36" s="38">
        <f>if(Y36="", if(T37&lt;&gt;"", if((T37-R37)&lt;-1,P36*(1+Setup!AD13),if((T37-R37)&lt;0,P36*(1+Setup!AE13),if((T37-R37)=0,P36*(1+Setup!AF13),if((T37-R37)=1,P36*(1+Setup!AG13),if((T37-R37)=2,P36*(1+Setup!AH13),if((T37-R37)=3,P36*(1+Setup!AI13),if((T37-R37)=4,P36*(1+Setup!AJ13),if((T37-R37)&gt;4,P36*(1+Setup!AK13),P36)))))))),P36),Y36/'Quick Setup'!$E15)</f>
        <v>500</v>
      </c>
      <c r="X36" s="39" t="s">
        <v>75</v>
      </c>
      <c r="Y36" s="40"/>
      <c r="Z36" s="41"/>
      <c r="AA36" s="41"/>
      <c r="AB36" s="41"/>
      <c r="AC36" s="41"/>
      <c r="AD36" s="38">
        <f>if(AF36="", if(AA37&lt;&gt;"", if((AA37-Y37)&lt;-1,W36*(1+Setup!AP13),if((AA37-Y37)&lt;0,W36*(1+Setup!AQ13),if((AA37-Y37)=0,W36*(1+Setup!AR13),if((AA37-Y37)=1,W36*(1+Setup!AS13),if((AA37-Y37)=2,W36*(1+Setup!AT13),if((AA37-Y37)=3,W36*(1+Setup!AU13),if((AA37-Y37)=4,W36*(1+Setup!AV13),if((AA37-Y37)&gt;4,W36*(1+Setup!AW13),W36)))))))),W36),AF36/'Quick Setup'!$E15)</f>
        <v>500</v>
      </c>
      <c r="AE36" s="39" t="s">
        <v>75</v>
      </c>
      <c r="AF36" s="40"/>
      <c r="AG36" s="41"/>
      <c r="AH36" s="41"/>
      <c r="AI36" s="41"/>
      <c r="AJ36" s="41"/>
      <c r="AK36" s="38">
        <f>if(AM36="", if(AH37&lt;&gt;"", if((AH37-AF37)&lt;-1,AD36*(1+Setup!BB13),if((AH37-AF37)&lt;0,AD36*(1+Setup!BC13),if((AH37-AF37)=0,AD36*(1+Setup!BD13),if((AH37-AF37)=1,AD36*(1+Setup!BE13),if((AH37-AF37)=2,AD36*(1+Setup!BF13),if((AH37-AF37)=3,AD36*(1+Setup!BG13),if((AH37-AF37)=4,AD36*(1+Setup!BH13),if((AH37-AF37)&gt;4,AD36*(1+Setup!BI13),AD36)))))))),AD36),AM36/'Quick Setup'!$E15)</f>
        <v>500</v>
      </c>
      <c r="AL36" s="39" t="s">
        <v>75</v>
      </c>
      <c r="AM36" s="40"/>
      <c r="AN36" s="41"/>
      <c r="AO36" s="41"/>
      <c r="AP36" s="41"/>
      <c r="AQ36" s="41"/>
      <c r="AR36" s="38">
        <f>if(AT36="", if(AO37&lt;&gt;"", if((AO37-AM37)&lt;-1,AK36*(1+Setup!BN13),if((AO37-AM37)&lt;0,AK36*(1+Setup!BO13),if((AO37-AM37)=0,AK36*(1+Setup!BP13),if((AO37-AM37)=1,AK36*(1+Setup!BQ13),if((AO37-AM37)=2,AK36*(1+Setup!BR13),if((AO37-AM37)=3,AK36*(1+Setup!BS13),if((AO37-AM37)=4,AK36*(1+Setup!BT13),if((AO37-AM37)&gt;4,AK36*(1+Setup!BU13),AK36)))))))),AK36),AT36/'Quick Setup'!$E15)</f>
        <v>500</v>
      </c>
      <c r="AS36" s="39" t="s">
        <v>75</v>
      </c>
      <c r="AT36" s="40"/>
      <c r="AU36" s="41"/>
      <c r="AV36" s="41"/>
      <c r="AW36" s="41"/>
      <c r="AX36" s="41"/>
      <c r="AY36" s="38">
        <f>if(BA36="",AR36,BA36/'Quick Setup'!$E15)</f>
        <v>500</v>
      </c>
      <c r="AZ36" s="39" t="s">
        <v>75</v>
      </c>
      <c r="BA36" s="40"/>
      <c r="BB36" s="41"/>
      <c r="BC36" s="41"/>
      <c r="BD36" s="41"/>
      <c r="BE36" s="41"/>
      <c r="BF36" s="38">
        <f>if(BH36="", if(BC37&lt;&gt;"", if((BC37-BA37)&lt;-1,AY36*(1+Setup!CL13),if((BC37-BA37)&lt;0,AY36*(1+Setup!CM13),if((BC37-BA37)=0,AY36*(1+Setup!CN13),if((BC37-BA37)=1,AY36*(1+Setup!CO13),if((BC37-BA37)=2,AY36*(1+Setup!CP13),if((BC37-BA37)=3,AY36*(1+Setup!CQ13),if((BC37-BA37)=4,AY36*(1+Setup!CR13),if((BC37-BA37)&gt;4,AY36*(1+Setup!CS13),AY36)))))))),AY36),BH36/'Quick Setup'!$E15)</f>
        <v>500</v>
      </c>
      <c r="BG36" s="39" t="s">
        <v>75</v>
      </c>
      <c r="BH36" s="40"/>
      <c r="BI36" s="41"/>
      <c r="BJ36" s="41"/>
      <c r="BK36" s="41"/>
      <c r="BL36" s="41"/>
      <c r="BM36" s="38">
        <f>if(BO36="", if(BJ37&lt;&gt;"", if((BJ37-BH37)&lt;-1,BF36*(1+Setup!CX13),if((BJ37-BH37)&lt;0,BF36*(1+Setup!CY13),if((BJ37-BH37)=0,BF36*(1+Setup!CZ13),if((BJ37-BH37)=1,BF36*(1+Setup!DA13),if((BJ37-BH37)=2,BF36*(1+Setup!DB13),if((BJ37-BH37)=3,BF36*(1+Setup!DC13),if((BJ37-BH37)=4,BF36*(1+Setup!DD13),if((BJ37-BH37)&gt;4,BF36*(1+Setup!DE13),BF36)))))))),BF36),BO36/'Quick Setup'!$E15)</f>
        <v>500</v>
      </c>
      <c r="BN36" s="39" t="s">
        <v>75</v>
      </c>
      <c r="BO36" s="40"/>
      <c r="BP36" s="41"/>
      <c r="BQ36" s="41"/>
      <c r="BR36" s="41"/>
      <c r="BS36" s="41"/>
      <c r="BT36" s="38">
        <f>if(BV36="", if(BQ37&lt;&gt;"", if((BQ37-BO37)&lt;-1,BM36*(1+Setup!DJ13),if((BQ37-BO37)&lt;0,BM36*(1+Setup!DK13),if((BQ37-BO37)=0,BM36*(1+Setup!DL13),if((BQ37-BO37)=1,BM36*(1+Setup!DM13),if((BQ37-BO37)=2,BM36*(1+Setup!DN13),if((BQ37-BO37)=3,BM36*(1+Setup!DO13),if((BQ37-BO37)=4,BM36*(1+Setup!DP13),if((BQ37-BO37)&gt;4,BM36*(1+Setup!DQ13),BM36)))))))),BM36),BV36/'Quick Setup'!$E15)</f>
        <v>500</v>
      </c>
      <c r="BU36" s="39" t="s">
        <v>75</v>
      </c>
      <c r="BV36" s="40"/>
      <c r="BW36" s="41"/>
      <c r="BX36" s="41"/>
      <c r="BY36" s="41"/>
      <c r="BZ36" s="41"/>
      <c r="CA36" s="38">
        <f>if(CC36="", if(BX37&lt;&gt;"", if((BX37-BV37)&lt;-1,BT36*(1+Setup!DV13),if((BX37-BV37)&lt;0,BT36*(1+Setup!DW13),if((BX37-BV37)=0,BT36*(1+Setup!DX13),if((BX37-BV37)=1,BT36*(1+Setup!DY13),if((BX37-BV37)=2,BT36*(1+Setup!DZ13),if((BX37-BV37)=3,BT36*(1+Setup!EA13),if((BX37-BV37)=4,BT36*(1+Setup!EB13),if((BX37-BV37)&gt;4,BT36*(1+Setup!EC13),BT36)))))))),BT36),CC36/'Quick Setup'!$E15)</f>
        <v>500</v>
      </c>
      <c r="CB36" s="39" t="s">
        <v>75</v>
      </c>
      <c r="CC36" s="40"/>
      <c r="CD36" s="41"/>
      <c r="CE36" s="41"/>
      <c r="CF36" s="41"/>
      <c r="CG36" s="41"/>
      <c r="CH36" s="38">
        <f>if(CJ36="", if(CE37&lt;&gt;"", if((CE37-CC37)&lt;-1,CA36*(1+Setup!EH13),if((CE37-CC37)&lt;0,CA36*(1+Setup!EI13),if((CE37-CC37)=0,CA36*(1+Setup!EJ13),if((CE37-CC37)=1,CA36*(1+Setup!EK13),if((CE37-CC37)=2,CA36*(1+Setup!EL13),if((CE37-CC37)=3,CA36*(1+Setup!EM13),if((CE37-CC37)=4,CA36*(1+Setup!EN13),if((CE37-CC37)&gt;4,CA36*(1+Setup!EO13),CA36)))))))),CA36),CJ36/'Quick Setup'!$E15)</f>
        <v>500</v>
      </c>
      <c r="CI36" s="39" t="s">
        <v>75</v>
      </c>
      <c r="CJ36" s="40"/>
      <c r="CK36" s="41"/>
      <c r="CL36" s="41"/>
      <c r="CM36" s="41"/>
      <c r="CN36" s="41"/>
      <c r="CO36" s="38">
        <f>if(CQ36="", if(CL37&lt;&gt;"", if((CL37-CJ37)&lt;-1,CH36*(1+Setup!ET13),if((CL37-CJ37)&lt;0,CH36*(1+Setup!EU13),if((CL37-CJ37)=0,CH36*(1+Setup!EV13),if((CL37-CJ37)=1,CH36*(1+Setup!EW13),if((CL37-CJ37)=2,CH36*(1+Setup!EX13),if((CL37-CJ37)=3,CH36*(1+Setup!EY13),if((CL37-CJ37)=4,CH36*(1+Setup!EZ13),if((CL37-CJ37)&gt;4,CH36*(1+Setup!FA13),CH36)))))))),CH36),CQ36/'Quick Setup'!$E15)</f>
        <v>500</v>
      </c>
      <c r="CP36" s="39" t="s">
        <v>75</v>
      </c>
      <c r="CQ36" s="40"/>
      <c r="CR36" s="41"/>
      <c r="CS36" s="41"/>
      <c r="CT36" s="41"/>
      <c r="CU36" s="41"/>
      <c r="CV36" s="38">
        <f>if(CX36="",CO36,CX36/'Quick Setup'!$E15)</f>
        <v>500</v>
      </c>
      <c r="CW36" s="39" t="s">
        <v>75</v>
      </c>
      <c r="CX36" s="40"/>
      <c r="CY36" s="41"/>
      <c r="CZ36" s="41"/>
      <c r="DA36" s="41"/>
      <c r="DB36" s="41"/>
      <c r="DC36" s="38">
        <f>if(DE36="", if(CZ37&lt;&gt;"", if((CZ37-CX37)&lt;-1,CV36*(1+Setup!FR13),if((CZ37-CX37)&lt;0,CV36*(1+Setup!FS13),if((CZ37-CX37)=0,CV36*(1+Setup!FT13),if((CZ37-CX37)=1,CV36*(1+Setup!FU13),if((CZ37-CX37)=2,CV36*(1+Setup!FV13),if((CZ37-CX37)=3,CV36*(1+Setup!FW13),if((CZ37-CX37)=4,CV36*(1+Setup!FX13),if((CZ37-CX37)&gt;4,CV36*(1+Setup!FY13),CV36)))))))),CV36),DE36/'Quick Setup'!$E15)</f>
        <v>500</v>
      </c>
      <c r="DD36" s="39" t="s">
        <v>75</v>
      </c>
      <c r="DE36" s="40"/>
      <c r="DF36" s="41"/>
      <c r="DG36" s="41"/>
      <c r="DH36" s="41"/>
      <c r="DI36" s="41"/>
      <c r="DJ36" s="38">
        <f>if(DL36="", if(DG37&lt;&gt;"", if((DG37-DE37)&lt;-1,DC36*(1+Setup!GD13),if((DG37-DE37)&lt;0,DC36*(1+Setup!GE13),if((DG37-DE37)=0,DC36*(1+Setup!GF13),if((DG37-DE37)=1,DC36*(1+Setup!GG13),if((DG37-DE37)=2,DC36*(1+Setup!GH13),if((DG37-DE37)=3,DC36*(1+Setup!GI13),if((DG37-DE37)=4,DC36*(1+Setup!GJ13),if((DG37-DE37)&gt;4,DC36*(1+Setup!GK13),DC36)))))))),DC36),DL36/'Quick Setup'!$E15)</f>
        <v>500</v>
      </c>
      <c r="DK36" s="39" t="s">
        <v>75</v>
      </c>
      <c r="DL36" s="40"/>
      <c r="DM36" s="41"/>
      <c r="DN36" s="41"/>
      <c r="DO36" s="41"/>
      <c r="DP36" s="41"/>
      <c r="DQ36" s="38">
        <f>if(DS36="", if(DN37&lt;&gt;"", if((DN37-DL37)&lt;-1,DJ36*(1+Setup!GP13),if((DN37-DL37)&lt;0,DJ36*(1+Setup!GQ13),if((DN37-DL37)=0,DJ36*(1+Setup!GR13),if((DN37-DL37)=1,DJ36*(1+Setup!GS13),if((DN37-DL37)=2,DJ36*(1+Setup!GT13),if((DN37-DL37)=3,DJ36*(1+Setup!GU13),if((DN37-DL37)=4,DJ36*(1+Setup!GV13),if((DN37-DL37)&gt;4,DJ36*(1+Setup!GW13),DJ36)))))))),DJ36),DS36/'Quick Setup'!$E15)</f>
        <v>500</v>
      </c>
      <c r="DR36" s="39" t="s">
        <v>75</v>
      </c>
      <c r="DS36" s="40"/>
      <c r="DT36" s="41"/>
      <c r="DU36" s="41"/>
      <c r="DV36" s="41"/>
      <c r="DW36" s="41"/>
      <c r="DX36" s="38">
        <f>if(DZ36="", if(DU37&lt;&gt;"", if((DU37-DS37)&lt;-1,DQ36*(1+Setup!HB13),if((DU37-DS37)&lt;0,DQ36*(1+Setup!HC13),if((DU37-DS37)=0,DQ36*(1+Setup!HD13),if((DU37-DS37)=1,DQ36*(1+Setup!HE13),if((DU37-DS37)=2,DQ36*(1+Setup!HF13),if((DU37-DS37)=3,DQ36*(1+Setup!HG13),if((DU37-DS37)=4,DQ36*(1+Setup!HH13),if((DU37-DS37)&gt;4,DQ36*(1+Setup!HI13),DQ36)))))))),DQ36),DZ36/'Quick Setup'!$E15)</f>
        <v>500</v>
      </c>
      <c r="DY36" s="39" t="s">
        <v>75</v>
      </c>
      <c r="DZ36" s="40"/>
      <c r="EA36" s="41"/>
      <c r="EB36" s="41"/>
      <c r="EC36" s="41"/>
      <c r="ED36" s="41"/>
      <c r="EE36" s="38">
        <f>if(EG36="", if(EB37&lt;&gt;"", if((EB37-DZ37)&lt;-1,DX36*(1+Setup!HN13),if((EB37-DZ37)&lt;0,DX36*(1+Setup!HO13),if((EB37-DZ37)=0,DX36*(1+Setup!HP13),if((EB37-DZ37)=1,DX36*(1+Setup!HQ13),if((EB37-DZ37)=2,DX36*(1+Setup!HR13),if((EB37-DZ37)=3,DX36*(1+Setup!HS13),if((EB37-DZ37)=4,DX36*(1+Setup!HT13),if((EB37-DZ37)&gt;4,DX36*(1+Setup!HU13),DX36)))))))),DX36),EG36/'Quick Setup'!$E15)</f>
        <v>500</v>
      </c>
      <c r="EF36" s="39" t="s">
        <v>75</v>
      </c>
      <c r="EG36" s="40"/>
      <c r="EH36" s="41"/>
      <c r="EI36" s="41"/>
      <c r="EJ36" s="41"/>
      <c r="EK36" s="41"/>
      <c r="EL36" s="38">
        <f>if(EN36="", if(EI37&lt;&gt;"", if((EI37-EG37)&lt;-1,EE36*(1+Setup!HZ13),if((EI37-EG37)&lt;0,EE36*(1+Setup!IA13),if((EI37-EG37)=0,EE36*(1+Setup!IB13),if((EI37-EG37)=1,EE36*(1+Setup!IC13),if((EI37-EG37)=2,EE36*(1+Setup!ID13),if((EI37-EG37)=3,EE36*(1+Setup!IE13),if((EI37-EG37)=4,EE36*(1+Setup!IF13),if((EI37-EG37)&gt;4,EE36*(1+Setup!IG13),EE36)))))))),EE36),EN36/'Quick Setup'!$E15)</f>
        <v>500</v>
      </c>
      <c r="EM36" s="39" t="s">
        <v>75</v>
      </c>
      <c r="EN36" s="40"/>
      <c r="EO36" s="41"/>
      <c r="EP36" s="41"/>
      <c r="EQ36" s="41"/>
      <c r="ER36" s="41"/>
    </row>
    <row r="37">
      <c r="A37" s="1" t="str">
        <f>Setup!A13</f>
        <v>Sumo Deadlift</v>
      </c>
      <c r="B37" s="42">
        <f>mround(B36*Setup!B13,'Quick Setup'!$A$2)</f>
        <v>300</v>
      </c>
      <c r="C37" s="3">
        <f>Setup!C13</f>
        <v>7</v>
      </c>
      <c r="D37" s="3">
        <f>Setup!D13</f>
        <v>14</v>
      </c>
      <c r="E37" s="3">
        <f>Setup!E13</f>
        <v>5</v>
      </c>
      <c r="F37" s="10"/>
      <c r="G37" s="10"/>
      <c r="H37" s="10"/>
      <c r="I37" s="42">
        <f>mround(I36*Setup!N13,'Quick Setup'!$A$2)</f>
        <v>325</v>
      </c>
      <c r="J37" s="3">
        <f>Setup!O13</f>
        <v>6</v>
      </c>
      <c r="K37" s="3">
        <f>Setup!P13</f>
        <v>12</v>
      </c>
      <c r="L37" s="3">
        <f>Setup!Q13</f>
        <v>5</v>
      </c>
      <c r="M37" s="10"/>
      <c r="N37" s="10"/>
      <c r="O37" s="10"/>
      <c r="P37" s="42">
        <f>mround(P36*Setup!Z13,'Quick Setup'!$A$2)</f>
        <v>350</v>
      </c>
      <c r="Q37" s="3">
        <f>Setup!AA13</f>
        <v>5</v>
      </c>
      <c r="R37" s="3">
        <f>Setup!AB13</f>
        <v>10</v>
      </c>
      <c r="S37" s="3">
        <f>Setup!AC13</f>
        <v>5</v>
      </c>
      <c r="T37" s="10"/>
      <c r="U37" s="10"/>
      <c r="V37" s="10"/>
      <c r="W37" s="42">
        <f>mround(W36*Setup!AL13,'Quick Setup'!$A$2)</f>
        <v>312.5</v>
      </c>
      <c r="X37" s="3">
        <f>Setup!AM13</f>
        <v>7</v>
      </c>
      <c r="Y37" s="3">
        <f>Setup!AN13</f>
        <v>13</v>
      </c>
      <c r="Z37" s="3">
        <f>Setup!AO13</f>
        <v>5</v>
      </c>
      <c r="AA37" s="10"/>
      <c r="AB37" s="10"/>
      <c r="AC37" s="10"/>
      <c r="AD37" s="42">
        <f>mround(AD36*Setup!AX13,'Quick Setup'!$A$2)</f>
        <v>337.5</v>
      </c>
      <c r="AE37" s="3">
        <f>Setup!AY13</f>
        <v>6</v>
      </c>
      <c r="AF37" s="3">
        <f>Setup!AZ13</f>
        <v>11</v>
      </c>
      <c r="AG37" s="3">
        <f>Setup!BA13</f>
        <v>5</v>
      </c>
      <c r="AH37" s="10"/>
      <c r="AI37" s="10"/>
      <c r="AJ37" s="10"/>
      <c r="AK37" s="42">
        <f>mround(AK36*Setup!BJ13,'Quick Setup'!$A$2)</f>
        <v>362.5</v>
      </c>
      <c r="AL37" s="3">
        <f>Setup!BK13</f>
        <v>5</v>
      </c>
      <c r="AM37" s="3">
        <f>Setup!BL13</f>
        <v>9</v>
      </c>
      <c r="AN37" s="3">
        <f>Setup!BM13</f>
        <v>5</v>
      </c>
      <c r="AO37" s="10"/>
      <c r="AP37" s="10"/>
      <c r="AQ37" s="10"/>
      <c r="AR37" s="42">
        <f>mround(AR36*Setup!BV13,'Quick Setup'!$A$2)</f>
        <v>250</v>
      </c>
      <c r="AS37" s="1">
        <v>5.0</v>
      </c>
      <c r="AT37" s="1" t="s">
        <v>78</v>
      </c>
      <c r="AU37" s="3">
        <f>Setup!BY13</f>
        <v>5</v>
      </c>
      <c r="AV37" s="10"/>
      <c r="AW37" s="10"/>
      <c r="AX37" s="10"/>
      <c r="AY37" s="42">
        <f>mround(AY36*Setup!CH13,'Quick Setup'!$A$2)</f>
        <v>325</v>
      </c>
      <c r="AZ37" s="3">
        <f>Setup!CI13</f>
        <v>6</v>
      </c>
      <c r="BA37" s="3">
        <f>Setup!CJ13</f>
        <v>12</v>
      </c>
      <c r="BB37" s="3">
        <f>Setup!CK13</f>
        <v>5</v>
      </c>
      <c r="BC37" s="10"/>
      <c r="BD37" s="10"/>
      <c r="BE37" s="10"/>
      <c r="BF37" s="42">
        <f>mround(BF36*Setup!CT13,'Quick Setup'!$A$2)</f>
        <v>350</v>
      </c>
      <c r="BG37" s="3">
        <f>Setup!CU13</f>
        <v>5</v>
      </c>
      <c r="BH37" s="3">
        <f>Setup!CV13</f>
        <v>10</v>
      </c>
      <c r="BI37" s="3">
        <f>Setup!CW13</f>
        <v>5</v>
      </c>
      <c r="BJ37" s="10"/>
      <c r="BK37" s="10"/>
      <c r="BL37" s="10"/>
      <c r="BM37" s="42">
        <f>mround(BM36*Setup!DF13,'Quick Setup'!$A$2)</f>
        <v>375</v>
      </c>
      <c r="BN37" s="3">
        <f>Setup!DG13</f>
        <v>4</v>
      </c>
      <c r="BO37" s="3">
        <f>Setup!DH13</f>
        <v>8</v>
      </c>
      <c r="BP37" s="3">
        <f>Setup!DI13</f>
        <v>5</v>
      </c>
      <c r="BQ37" s="10"/>
      <c r="BR37" s="10"/>
      <c r="BS37" s="10"/>
      <c r="BT37" s="42">
        <f>mround(BT36*Setup!DR13,'Quick Setup'!$A$2)</f>
        <v>337.5</v>
      </c>
      <c r="BU37" s="3">
        <f>Setup!DS13</f>
        <v>6</v>
      </c>
      <c r="BV37" s="3">
        <f>Setup!DT13</f>
        <v>11</v>
      </c>
      <c r="BW37" s="3">
        <f>Setup!DU13</f>
        <v>5</v>
      </c>
      <c r="BX37" s="10"/>
      <c r="BY37" s="10"/>
      <c r="BZ37" s="10"/>
      <c r="CA37" s="42">
        <f>mround(CA36*Setup!ED13,'Quick Setup'!$A$2)</f>
        <v>362.5</v>
      </c>
      <c r="CB37" s="3">
        <f>Setup!EE13</f>
        <v>5</v>
      </c>
      <c r="CC37" s="3">
        <f>Setup!EF13</f>
        <v>9</v>
      </c>
      <c r="CD37" s="3">
        <f>Setup!EG13</f>
        <v>5</v>
      </c>
      <c r="CE37" s="10"/>
      <c r="CF37" s="10"/>
      <c r="CG37" s="10"/>
      <c r="CH37" s="42">
        <f>mround(CH36*Setup!EP13,'Quick Setup'!$A$2)</f>
        <v>387.5</v>
      </c>
      <c r="CI37" s="3">
        <f>Setup!EQ13</f>
        <v>4</v>
      </c>
      <c r="CJ37" s="3">
        <f>Setup!ER13</f>
        <v>7</v>
      </c>
      <c r="CK37" s="3">
        <f>Setup!ES13</f>
        <v>5</v>
      </c>
      <c r="CL37" s="10"/>
      <c r="CM37" s="10"/>
      <c r="CN37" s="10"/>
      <c r="CO37" s="42">
        <f>mround(CO36*Setup!FB13,'Quick Setup'!$A$2)</f>
        <v>250</v>
      </c>
      <c r="CP37" s="1">
        <v>5.0</v>
      </c>
      <c r="CQ37" s="1" t="s">
        <v>78</v>
      </c>
      <c r="CR37" s="3">
        <f>Setup!FE13</f>
        <v>5</v>
      </c>
      <c r="CS37" s="10"/>
      <c r="CT37" s="10"/>
      <c r="CU37" s="10"/>
      <c r="CV37" s="42">
        <f>mround(CV36*Setup!FN13,'Quick Setup'!$A$2)</f>
        <v>350</v>
      </c>
      <c r="CW37" s="3">
        <f>Setup!FO13</f>
        <v>5</v>
      </c>
      <c r="CX37" s="3">
        <f>Setup!FP13</f>
        <v>10</v>
      </c>
      <c r="CY37" s="3">
        <f>Setup!FQ13</f>
        <v>5</v>
      </c>
      <c r="CZ37" s="10"/>
      <c r="DA37" s="10"/>
      <c r="DB37" s="10"/>
      <c r="DC37" s="42">
        <f>mround(DC36*Setup!FZ13,'Quick Setup'!$A$2)</f>
        <v>375</v>
      </c>
      <c r="DD37" s="3">
        <f>Setup!GA13</f>
        <v>4</v>
      </c>
      <c r="DE37" s="3">
        <f>Setup!GB13</f>
        <v>8</v>
      </c>
      <c r="DF37" s="3">
        <f>Setup!GC13</f>
        <v>5</v>
      </c>
      <c r="DG37" s="10"/>
      <c r="DH37" s="10"/>
      <c r="DI37" s="10"/>
      <c r="DJ37" s="42">
        <f>mround(DJ36*Setup!GL13,'Quick Setup'!$A$2)</f>
        <v>400</v>
      </c>
      <c r="DK37" s="3">
        <f>Setup!GM13</f>
        <v>3</v>
      </c>
      <c r="DL37" s="3">
        <f>Setup!GN13</f>
        <v>6</v>
      </c>
      <c r="DM37" s="3">
        <f>Setup!GO13</f>
        <v>5</v>
      </c>
      <c r="DN37" s="10"/>
      <c r="DO37" s="10"/>
      <c r="DP37" s="10"/>
      <c r="DQ37" s="42">
        <f>mround(DQ36*Setup!GX13,'Quick Setup'!$A$2)</f>
        <v>375</v>
      </c>
      <c r="DR37" s="3">
        <f>Setup!GY13</f>
        <v>4</v>
      </c>
      <c r="DS37" s="3">
        <f>Setup!GZ13</f>
        <v>8</v>
      </c>
      <c r="DT37" s="3">
        <f>Setup!HA13</f>
        <v>5</v>
      </c>
      <c r="DU37" s="10"/>
      <c r="DV37" s="10"/>
      <c r="DW37" s="10"/>
      <c r="DX37" s="42">
        <f>mround(DX36*Setup!HJ13,'Quick Setup'!$A$2)</f>
        <v>400</v>
      </c>
      <c r="DY37" s="3">
        <f>Setup!HK13</f>
        <v>3</v>
      </c>
      <c r="DZ37" s="3">
        <f>Setup!HL13</f>
        <v>6</v>
      </c>
      <c r="EA37" s="3">
        <f>Setup!HM13</f>
        <v>5</v>
      </c>
      <c r="EB37" s="10"/>
      <c r="EC37" s="10"/>
      <c r="ED37" s="10"/>
      <c r="EE37" s="42">
        <f>mround(EE36*Setup!HV13,'Quick Setup'!$A$2)</f>
        <v>425</v>
      </c>
      <c r="EF37" s="3">
        <f>Setup!HW13</f>
        <v>2</v>
      </c>
      <c r="EG37" s="3">
        <f>Setup!HX13</f>
        <v>4</v>
      </c>
      <c r="EH37" s="3">
        <f>Setup!HY13</f>
        <v>5</v>
      </c>
      <c r="EI37" s="10"/>
      <c r="EJ37" s="10"/>
      <c r="EK37" s="10"/>
      <c r="EL37" s="42">
        <f>mround(EL36*Setup!IH13,'Quick Setup'!$A$2)</f>
        <v>250</v>
      </c>
      <c r="EM37" s="1">
        <v>5.0</v>
      </c>
      <c r="EN37" s="1" t="s">
        <v>78</v>
      </c>
      <c r="EO37" s="3">
        <f>Setup!IK13</f>
        <v>5</v>
      </c>
      <c r="EP37" s="10"/>
      <c r="EQ37" s="10"/>
      <c r="ER37" s="10"/>
    </row>
    <row r="38">
      <c r="A38" s="5"/>
      <c r="B38" s="43"/>
      <c r="C38" s="10"/>
      <c r="D38" s="10"/>
      <c r="E38" s="10"/>
      <c r="F38" s="10"/>
      <c r="G38" s="10"/>
      <c r="H38" s="10"/>
      <c r="I38" s="43" t="str">
        <f t="shared" ref="I38:M38" si="161">B38</f>
        <v/>
      </c>
      <c r="J38" s="10" t="str">
        <f t="shared" si="161"/>
        <v/>
      </c>
      <c r="K38" s="10" t="str">
        <f t="shared" si="161"/>
        <v/>
      </c>
      <c r="L38" s="10" t="str">
        <f t="shared" si="161"/>
        <v/>
      </c>
      <c r="M38" s="10" t="str">
        <f t="shared" si="161"/>
        <v/>
      </c>
      <c r="N38" s="10"/>
      <c r="O38" s="10"/>
      <c r="P38" s="43" t="str">
        <f t="shared" ref="P38:T38" si="162">I38</f>
        <v/>
      </c>
      <c r="Q38" s="10" t="str">
        <f t="shared" si="162"/>
        <v/>
      </c>
      <c r="R38" s="10" t="str">
        <f t="shared" si="162"/>
        <v/>
      </c>
      <c r="S38" s="10" t="str">
        <f t="shared" si="162"/>
        <v/>
      </c>
      <c r="T38" s="10" t="str">
        <f t="shared" si="162"/>
        <v/>
      </c>
      <c r="U38" s="10"/>
      <c r="V38" s="10"/>
      <c r="W38" s="43" t="str">
        <f t="shared" ref="W38:AA38" si="163">P38</f>
        <v/>
      </c>
      <c r="X38" s="10" t="str">
        <f t="shared" si="163"/>
        <v/>
      </c>
      <c r="Y38" s="10" t="str">
        <f t="shared" si="163"/>
        <v/>
      </c>
      <c r="Z38" s="10" t="str">
        <f t="shared" si="163"/>
        <v/>
      </c>
      <c r="AA38" s="10" t="str">
        <f t="shared" si="163"/>
        <v/>
      </c>
      <c r="AB38" s="10"/>
      <c r="AC38" s="10"/>
      <c r="AD38" s="43" t="str">
        <f t="shared" ref="AD38:AH38" si="164">W38</f>
        <v/>
      </c>
      <c r="AE38" s="10" t="str">
        <f t="shared" si="164"/>
        <v/>
      </c>
      <c r="AF38" s="10" t="str">
        <f t="shared" si="164"/>
        <v/>
      </c>
      <c r="AG38" s="10" t="str">
        <f t="shared" si="164"/>
        <v/>
      </c>
      <c r="AH38" s="10" t="str">
        <f t="shared" si="164"/>
        <v/>
      </c>
      <c r="AI38" s="10"/>
      <c r="AJ38" s="10"/>
      <c r="AK38" s="43" t="str">
        <f t="shared" ref="AK38:AO38" si="165">AD38</f>
        <v/>
      </c>
      <c r="AL38" s="10" t="str">
        <f t="shared" si="165"/>
        <v/>
      </c>
      <c r="AM38" s="10" t="str">
        <f t="shared" si="165"/>
        <v/>
      </c>
      <c r="AN38" s="10" t="str">
        <f t="shared" si="165"/>
        <v/>
      </c>
      <c r="AO38" s="10" t="str">
        <f t="shared" si="165"/>
        <v/>
      </c>
      <c r="AP38" s="10"/>
      <c r="AQ38" s="10"/>
      <c r="AR38" s="43" t="str">
        <f t="shared" ref="AR38:AV38" si="166">AK38</f>
        <v/>
      </c>
      <c r="AS38" s="10" t="str">
        <f t="shared" si="166"/>
        <v/>
      </c>
      <c r="AT38" s="10" t="str">
        <f t="shared" si="166"/>
        <v/>
      </c>
      <c r="AU38" s="10" t="str">
        <f t="shared" si="166"/>
        <v/>
      </c>
      <c r="AV38" s="10" t="str">
        <f t="shared" si="166"/>
        <v/>
      </c>
      <c r="AW38" s="10"/>
      <c r="AX38" s="10"/>
      <c r="AY38" s="43" t="str">
        <f t="shared" ref="AY38:BC38" si="167">AR38</f>
        <v/>
      </c>
      <c r="AZ38" s="10" t="str">
        <f t="shared" si="167"/>
        <v/>
      </c>
      <c r="BA38" s="10" t="str">
        <f t="shared" si="167"/>
        <v/>
      </c>
      <c r="BB38" s="10" t="str">
        <f t="shared" si="167"/>
        <v/>
      </c>
      <c r="BC38" s="10" t="str">
        <f t="shared" si="167"/>
        <v/>
      </c>
      <c r="BD38" s="10"/>
      <c r="BE38" s="10"/>
      <c r="BF38" s="43" t="str">
        <f t="shared" ref="BF38:BJ38" si="168">AY38</f>
        <v/>
      </c>
      <c r="BG38" s="10" t="str">
        <f t="shared" si="168"/>
        <v/>
      </c>
      <c r="BH38" s="10" t="str">
        <f t="shared" si="168"/>
        <v/>
      </c>
      <c r="BI38" s="10" t="str">
        <f t="shared" si="168"/>
        <v/>
      </c>
      <c r="BJ38" s="10" t="str">
        <f t="shared" si="168"/>
        <v/>
      </c>
      <c r="BK38" s="10"/>
      <c r="BL38" s="10"/>
      <c r="BM38" s="43" t="str">
        <f t="shared" ref="BM38:BQ38" si="169">BF38</f>
        <v/>
      </c>
      <c r="BN38" s="10" t="str">
        <f t="shared" si="169"/>
        <v/>
      </c>
      <c r="BO38" s="10" t="str">
        <f t="shared" si="169"/>
        <v/>
      </c>
      <c r="BP38" s="10" t="str">
        <f t="shared" si="169"/>
        <v/>
      </c>
      <c r="BQ38" s="10" t="str">
        <f t="shared" si="169"/>
        <v/>
      </c>
      <c r="BR38" s="10"/>
      <c r="BS38" s="10"/>
      <c r="BT38" s="43" t="str">
        <f t="shared" ref="BT38:BX38" si="170">BM38</f>
        <v/>
      </c>
      <c r="BU38" s="10" t="str">
        <f t="shared" si="170"/>
        <v/>
      </c>
      <c r="BV38" s="10" t="str">
        <f t="shared" si="170"/>
        <v/>
      </c>
      <c r="BW38" s="10" t="str">
        <f t="shared" si="170"/>
        <v/>
      </c>
      <c r="BX38" s="10" t="str">
        <f t="shared" si="170"/>
        <v/>
      </c>
      <c r="BY38" s="10"/>
      <c r="BZ38" s="10"/>
      <c r="CA38" s="43" t="str">
        <f t="shared" ref="CA38:CE38" si="171">BT38</f>
        <v/>
      </c>
      <c r="CB38" s="10" t="str">
        <f t="shared" si="171"/>
        <v/>
      </c>
      <c r="CC38" s="10" t="str">
        <f t="shared" si="171"/>
        <v/>
      </c>
      <c r="CD38" s="10" t="str">
        <f t="shared" si="171"/>
        <v/>
      </c>
      <c r="CE38" s="10" t="str">
        <f t="shared" si="171"/>
        <v/>
      </c>
      <c r="CF38" s="10"/>
      <c r="CG38" s="10"/>
      <c r="CH38" s="43" t="str">
        <f t="shared" ref="CH38:CL38" si="172">CA38</f>
        <v/>
      </c>
      <c r="CI38" s="10" t="str">
        <f t="shared" si="172"/>
        <v/>
      </c>
      <c r="CJ38" s="10" t="str">
        <f t="shared" si="172"/>
        <v/>
      </c>
      <c r="CK38" s="10" t="str">
        <f t="shared" si="172"/>
        <v/>
      </c>
      <c r="CL38" s="10" t="str">
        <f t="shared" si="172"/>
        <v/>
      </c>
      <c r="CM38" s="10"/>
      <c r="CN38" s="10"/>
      <c r="CO38" s="43" t="str">
        <f t="shared" ref="CO38:CS38" si="173">CH38</f>
        <v/>
      </c>
      <c r="CP38" s="10" t="str">
        <f t="shared" si="173"/>
        <v/>
      </c>
      <c r="CQ38" s="10" t="str">
        <f t="shared" si="173"/>
        <v/>
      </c>
      <c r="CR38" s="10" t="str">
        <f t="shared" si="173"/>
        <v/>
      </c>
      <c r="CS38" s="10" t="str">
        <f t="shared" si="173"/>
        <v/>
      </c>
      <c r="CT38" s="10"/>
      <c r="CU38" s="10"/>
      <c r="CV38" s="43" t="str">
        <f t="shared" ref="CV38:CZ38" si="174">CO38</f>
        <v/>
      </c>
      <c r="CW38" s="10" t="str">
        <f t="shared" si="174"/>
        <v/>
      </c>
      <c r="CX38" s="10" t="str">
        <f t="shared" si="174"/>
        <v/>
      </c>
      <c r="CY38" s="10" t="str">
        <f t="shared" si="174"/>
        <v/>
      </c>
      <c r="CZ38" s="10" t="str">
        <f t="shared" si="174"/>
        <v/>
      </c>
      <c r="DA38" s="10"/>
      <c r="DB38" s="10"/>
      <c r="DC38" s="43" t="str">
        <f t="shared" ref="DC38:DG38" si="175">CV38</f>
        <v/>
      </c>
      <c r="DD38" s="10" t="str">
        <f t="shared" si="175"/>
        <v/>
      </c>
      <c r="DE38" s="10" t="str">
        <f t="shared" si="175"/>
        <v/>
      </c>
      <c r="DF38" s="10" t="str">
        <f t="shared" si="175"/>
        <v/>
      </c>
      <c r="DG38" s="10" t="str">
        <f t="shared" si="175"/>
        <v/>
      </c>
      <c r="DH38" s="10"/>
      <c r="DI38" s="10"/>
      <c r="DJ38" s="43" t="str">
        <f t="shared" ref="DJ38:DN38" si="176">DC38</f>
        <v/>
      </c>
      <c r="DK38" s="10" t="str">
        <f t="shared" si="176"/>
        <v/>
      </c>
      <c r="DL38" s="10" t="str">
        <f t="shared" si="176"/>
        <v/>
      </c>
      <c r="DM38" s="10" t="str">
        <f t="shared" si="176"/>
        <v/>
      </c>
      <c r="DN38" s="10" t="str">
        <f t="shared" si="176"/>
        <v/>
      </c>
      <c r="DO38" s="10"/>
      <c r="DP38" s="10"/>
      <c r="DQ38" s="43" t="str">
        <f t="shared" ref="DQ38:DU38" si="177">DJ38</f>
        <v/>
      </c>
      <c r="DR38" s="10" t="str">
        <f t="shared" si="177"/>
        <v/>
      </c>
      <c r="DS38" s="10" t="str">
        <f t="shared" si="177"/>
        <v/>
      </c>
      <c r="DT38" s="10" t="str">
        <f t="shared" si="177"/>
        <v/>
      </c>
      <c r="DU38" s="10" t="str">
        <f t="shared" si="177"/>
        <v/>
      </c>
      <c r="DV38" s="10"/>
      <c r="DW38" s="10"/>
      <c r="DX38" s="43" t="str">
        <f t="shared" ref="DX38:EB38" si="178">DQ38</f>
        <v/>
      </c>
      <c r="DY38" s="10" t="str">
        <f t="shared" si="178"/>
        <v/>
      </c>
      <c r="DZ38" s="10" t="str">
        <f t="shared" si="178"/>
        <v/>
      </c>
      <c r="EA38" s="10" t="str">
        <f t="shared" si="178"/>
        <v/>
      </c>
      <c r="EB38" s="10" t="str">
        <f t="shared" si="178"/>
        <v/>
      </c>
      <c r="EC38" s="10"/>
      <c r="ED38" s="10"/>
      <c r="EE38" s="43" t="str">
        <f t="shared" ref="EE38:EI38" si="179">DX38</f>
        <v/>
      </c>
      <c r="EF38" s="10" t="str">
        <f t="shared" si="179"/>
        <v/>
      </c>
      <c r="EG38" s="10" t="str">
        <f t="shared" si="179"/>
        <v/>
      </c>
      <c r="EH38" s="10" t="str">
        <f t="shared" si="179"/>
        <v/>
      </c>
      <c r="EI38" s="10" t="str">
        <f t="shared" si="179"/>
        <v/>
      </c>
      <c r="EJ38" s="10"/>
      <c r="EK38" s="10"/>
      <c r="EL38" s="43" t="str">
        <f t="shared" ref="EL38:EP38" si="180">EE38</f>
        <v/>
      </c>
      <c r="EM38" s="10" t="str">
        <f t="shared" si="180"/>
        <v/>
      </c>
      <c r="EN38" s="10" t="str">
        <f t="shared" si="180"/>
        <v/>
      </c>
      <c r="EO38" s="10" t="str">
        <f t="shared" si="180"/>
        <v/>
      </c>
      <c r="EP38" s="10" t="str">
        <f t="shared" si="180"/>
        <v/>
      </c>
      <c r="EQ38" s="10"/>
      <c r="ER38" s="10"/>
    </row>
    <row r="39">
      <c r="A39" s="1" t="s">
        <v>79</v>
      </c>
      <c r="B39" s="42"/>
      <c r="C39" s="3"/>
      <c r="D39" s="3"/>
      <c r="E39" s="3"/>
      <c r="F39" s="3"/>
      <c r="G39" s="3"/>
      <c r="H39" s="3"/>
      <c r="I39" s="42"/>
      <c r="J39" s="3"/>
      <c r="K39" s="3"/>
      <c r="L39" s="3"/>
      <c r="M39" s="3"/>
      <c r="N39" s="3"/>
      <c r="O39" s="3"/>
      <c r="P39" s="42"/>
      <c r="Q39" s="3"/>
      <c r="R39" s="3"/>
      <c r="S39" s="3"/>
      <c r="T39" s="3"/>
      <c r="U39" s="3"/>
      <c r="V39" s="3"/>
      <c r="W39" s="42"/>
      <c r="X39" s="3"/>
      <c r="Y39" s="3"/>
      <c r="Z39" s="3"/>
      <c r="AA39" s="3"/>
      <c r="AB39" s="3"/>
      <c r="AC39" s="3"/>
      <c r="AD39" s="42"/>
      <c r="AE39" s="3"/>
      <c r="AF39" s="3"/>
      <c r="AG39" s="3"/>
      <c r="AH39" s="3"/>
      <c r="AI39" s="3"/>
      <c r="AJ39" s="3"/>
      <c r="AK39" s="42"/>
      <c r="AL39" s="3"/>
      <c r="AM39" s="3"/>
      <c r="AN39" s="3"/>
      <c r="AO39" s="3"/>
      <c r="AP39" s="3"/>
      <c r="AQ39" s="3"/>
      <c r="AR39" s="42"/>
      <c r="AS39" s="3"/>
      <c r="AT39" s="3"/>
      <c r="AU39" s="3"/>
      <c r="AV39" s="3"/>
      <c r="AW39" s="3"/>
      <c r="AX39" s="3"/>
      <c r="AY39" s="42"/>
      <c r="AZ39" s="3"/>
      <c r="BA39" s="3"/>
      <c r="BB39" s="3"/>
      <c r="BC39" s="3"/>
      <c r="BD39" s="3"/>
      <c r="BE39" s="3"/>
      <c r="BF39" s="42"/>
      <c r="BG39" s="3"/>
      <c r="BH39" s="3"/>
      <c r="BI39" s="3"/>
      <c r="BJ39" s="3"/>
      <c r="BK39" s="3"/>
      <c r="BL39" s="3"/>
      <c r="BM39" s="42"/>
      <c r="BN39" s="3"/>
      <c r="BO39" s="3"/>
      <c r="BP39" s="3"/>
      <c r="BQ39" s="3"/>
      <c r="BR39" s="3"/>
      <c r="BS39" s="3"/>
      <c r="BT39" s="42"/>
      <c r="BU39" s="3"/>
      <c r="BV39" s="3"/>
      <c r="BW39" s="3"/>
      <c r="BX39" s="3"/>
      <c r="BY39" s="3"/>
      <c r="BZ39" s="3"/>
      <c r="CA39" s="42"/>
      <c r="CB39" s="3"/>
      <c r="CC39" s="3"/>
      <c r="CD39" s="3"/>
      <c r="CE39" s="3"/>
      <c r="CF39" s="3"/>
      <c r="CG39" s="3"/>
      <c r="CH39" s="42"/>
      <c r="CI39" s="3"/>
      <c r="CJ39" s="3"/>
      <c r="CK39" s="3"/>
      <c r="CL39" s="3"/>
      <c r="CM39" s="3"/>
      <c r="CN39" s="3"/>
      <c r="CO39" s="42"/>
      <c r="CP39" s="3"/>
      <c r="CQ39" s="3"/>
      <c r="CR39" s="3"/>
      <c r="CS39" s="3"/>
      <c r="CT39" s="3"/>
      <c r="CU39" s="3"/>
      <c r="CV39" s="42"/>
      <c r="CW39" s="3"/>
      <c r="CX39" s="3"/>
      <c r="CY39" s="3"/>
      <c r="CZ39" s="3"/>
      <c r="DA39" s="3"/>
      <c r="DB39" s="3"/>
      <c r="DC39" s="42"/>
      <c r="DD39" s="3"/>
      <c r="DE39" s="3"/>
      <c r="DF39" s="3"/>
      <c r="DG39" s="3"/>
      <c r="DH39" s="3"/>
      <c r="DI39" s="3"/>
      <c r="DJ39" s="42"/>
      <c r="DK39" s="3"/>
      <c r="DL39" s="3"/>
      <c r="DM39" s="3"/>
      <c r="DN39" s="3"/>
      <c r="DO39" s="3"/>
      <c r="DP39" s="3"/>
      <c r="DQ39" s="42"/>
      <c r="DR39" s="3"/>
      <c r="DS39" s="3"/>
      <c r="DT39" s="3"/>
      <c r="DU39" s="3"/>
      <c r="DV39" s="3"/>
      <c r="DW39" s="3"/>
      <c r="DX39" s="42"/>
      <c r="DY39" s="3"/>
      <c r="DZ39" s="3"/>
      <c r="EA39" s="3"/>
      <c r="EB39" s="3"/>
      <c r="EC39" s="3"/>
      <c r="ED39" s="3"/>
      <c r="EE39" s="42"/>
      <c r="EF39" s="3"/>
      <c r="EG39" s="3"/>
      <c r="EH39" s="3"/>
      <c r="EI39" s="3"/>
      <c r="EJ39" s="3"/>
      <c r="EK39" s="3"/>
      <c r="EL39" s="42"/>
      <c r="EM39" s="3"/>
      <c r="EN39" s="3"/>
      <c r="EO39" s="3"/>
      <c r="EP39" s="3"/>
      <c r="EQ39" s="3"/>
      <c r="ER39" s="3"/>
    </row>
    <row r="40">
      <c r="A40" s="44"/>
      <c r="B40" s="43"/>
      <c r="C40" s="10"/>
      <c r="D40" s="10"/>
      <c r="E40" s="10"/>
      <c r="F40" s="10"/>
      <c r="G40" s="10"/>
      <c r="H40" s="10"/>
      <c r="I40" s="43" t="str">
        <f t="shared" ref="I40:M40" si="181">B40</f>
        <v/>
      </c>
      <c r="J40" s="10" t="str">
        <f t="shared" si="181"/>
        <v/>
      </c>
      <c r="K40" s="10" t="str">
        <f t="shared" si="181"/>
        <v/>
      </c>
      <c r="L40" s="10" t="str">
        <f t="shared" si="181"/>
        <v/>
      </c>
      <c r="M40" s="10" t="str">
        <f t="shared" si="181"/>
        <v/>
      </c>
      <c r="N40" s="10"/>
      <c r="O40" s="10"/>
      <c r="P40" s="43" t="str">
        <f t="shared" ref="P40:T40" si="182">I40</f>
        <v/>
      </c>
      <c r="Q40" s="10" t="str">
        <f t="shared" si="182"/>
        <v/>
      </c>
      <c r="R40" s="10" t="str">
        <f t="shared" si="182"/>
        <v/>
      </c>
      <c r="S40" s="10" t="str">
        <f t="shared" si="182"/>
        <v/>
      </c>
      <c r="T40" s="10" t="str">
        <f t="shared" si="182"/>
        <v/>
      </c>
      <c r="U40" s="10"/>
      <c r="V40" s="10"/>
      <c r="W40" s="43" t="str">
        <f t="shared" ref="W40:AA40" si="183">P40</f>
        <v/>
      </c>
      <c r="X40" s="10" t="str">
        <f t="shared" si="183"/>
        <v/>
      </c>
      <c r="Y40" s="10" t="str">
        <f t="shared" si="183"/>
        <v/>
      </c>
      <c r="Z40" s="10" t="str">
        <f t="shared" si="183"/>
        <v/>
      </c>
      <c r="AA40" s="10" t="str">
        <f t="shared" si="183"/>
        <v/>
      </c>
      <c r="AB40" s="10"/>
      <c r="AC40" s="10"/>
      <c r="AD40" s="43" t="str">
        <f t="shared" ref="AD40:AH40" si="184">W40</f>
        <v/>
      </c>
      <c r="AE40" s="10" t="str">
        <f t="shared" si="184"/>
        <v/>
      </c>
      <c r="AF40" s="10" t="str">
        <f t="shared" si="184"/>
        <v/>
      </c>
      <c r="AG40" s="10" t="str">
        <f t="shared" si="184"/>
        <v/>
      </c>
      <c r="AH40" s="10" t="str">
        <f t="shared" si="184"/>
        <v/>
      </c>
      <c r="AI40" s="10"/>
      <c r="AJ40" s="10"/>
      <c r="AK40" s="43" t="str">
        <f t="shared" ref="AK40:AO40" si="185">AD40</f>
        <v/>
      </c>
      <c r="AL40" s="10" t="str">
        <f t="shared" si="185"/>
        <v/>
      </c>
      <c r="AM40" s="10" t="str">
        <f t="shared" si="185"/>
        <v/>
      </c>
      <c r="AN40" s="10" t="str">
        <f t="shared" si="185"/>
        <v/>
      </c>
      <c r="AO40" s="10" t="str">
        <f t="shared" si="185"/>
        <v/>
      </c>
      <c r="AP40" s="10"/>
      <c r="AQ40" s="10"/>
      <c r="AR40" s="43" t="str">
        <f t="shared" ref="AR40:AV40" si="186">AK40</f>
        <v/>
      </c>
      <c r="AS40" s="10" t="str">
        <f t="shared" si="186"/>
        <v/>
      </c>
      <c r="AT40" s="10" t="str">
        <f t="shared" si="186"/>
        <v/>
      </c>
      <c r="AU40" s="10" t="str">
        <f t="shared" si="186"/>
        <v/>
      </c>
      <c r="AV40" s="10" t="str">
        <f t="shared" si="186"/>
        <v/>
      </c>
      <c r="AW40" s="10"/>
      <c r="AX40" s="10"/>
      <c r="AY40" s="43" t="str">
        <f t="shared" ref="AY40:BC40" si="187">AR40</f>
        <v/>
      </c>
      <c r="AZ40" s="10" t="str">
        <f t="shared" si="187"/>
        <v/>
      </c>
      <c r="BA40" s="10" t="str">
        <f t="shared" si="187"/>
        <v/>
      </c>
      <c r="BB40" s="10" t="str">
        <f t="shared" si="187"/>
        <v/>
      </c>
      <c r="BC40" s="10" t="str">
        <f t="shared" si="187"/>
        <v/>
      </c>
      <c r="BD40" s="10"/>
      <c r="BE40" s="10"/>
      <c r="BF40" s="43" t="str">
        <f t="shared" ref="BF40:BJ40" si="188">AY40</f>
        <v/>
      </c>
      <c r="BG40" s="10" t="str">
        <f t="shared" si="188"/>
        <v/>
      </c>
      <c r="BH40" s="10" t="str">
        <f t="shared" si="188"/>
        <v/>
      </c>
      <c r="BI40" s="10" t="str">
        <f t="shared" si="188"/>
        <v/>
      </c>
      <c r="BJ40" s="10" t="str">
        <f t="shared" si="188"/>
        <v/>
      </c>
      <c r="BK40" s="10"/>
      <c r="BL40" s="10"/>
      <c r="BM40" s="43" t="str">
        <f t="shared" ref="BM40:BQ40" si="189">BF40</f>
        <v/>
      </c>
      <c r="BN40" s="10" t="str">
        <f t="shared" si="189"/>
        <v/>
      </c>
      <c r="BO40" s="10" t="str">
        <f t="shared" si="189"/>
        <v/>
      </c>
      <c r="BP40" s="10" t="str">
        <f t="shared" si="189"/>
        <v/>
      </c>
      <c r="BQ40" s="10" t="str">
        <f t="shared" si="189"/>
        <v/>
      </c>
      <c r="BR40" s="10"/>
      <c r="BS40" s="10"/>
      <c r="BT40" s="43" t="str">
        <f t="shared" ref="BT40:BX40" si="190">BM40</f>
        <v/>
      </c>
      <c r="BU40" s="10" t="str">
        <f t="shared" si="190"/>
        <v/>
      </c>
      <c r="BV40" s="10" t="str">
        <f t="shared" si="190"/>
        <v/>
      </c>
      <c r="BW40" s="10" t="str">
        <f t="shared" si="190"/>
        <v/>
      </c>
      <c r="BX40" s="10" t="str">
        <f t="shared" si="190"/>
        <v/>
      </c>
      <c r="BY40" s="10"/>
      <c r="BZ40" s="10"/>
      <c r="CA40" s="43" t="str">
        <f t="shared" ref="CA40:CE40" si="191">BT40</f>
        <v/>
      </c>
      <c r="CB40" s="10" t="str">
        <f t="shared" si="191"/>
        <v/>
      </c>
      <c r="CC40" s="10" t="str">
        <f t="shared" si="191"/>
        <v/>
      </c>
      <c r="CD40" s="10" t="str">
        <f t="shared" si="191"/>
        <v/>
      </c>
      <c r="CE40" s="10" t="str">
        <f t="shared" si="191"/>
        <v/>
      </c>
      <c r="CF40" s="10"/>
      <c r="CG40" s="10"/>
      <c r="CH40" s="43" t="str">
        <f t="shared" ref="CH40:CL40" si="192">CA40</f>
        <v/>
      </c>
      <c r="CI40" s="10" t="str">
        <f t="shared" si="192"/>
        <v/>
      </c>
      <c r="CJ40" s="10" t="str">
        <f t="shared" si="192"/>
        <v/>
      </c>
      <c r="CK40" s="10" t="str">
        <f t="shared" si="192"/>
        <v/>
      </c>
      <c r="CL40" s="10" t="str">
        <f t="shared" si="192"/>
        <v/>
      </c>
      <c r="CM40" s="10"/>
      <c r="CN40" s="10"/>
      <c r="CO40" s="43" t="str">
        <f t="shared" ref="CO40:CS40" si="193">CH40</f>
        <v/>
      </c>
      <c r="CP40" s="10" t="str">
        <f t="shared" si="193"/>
        <v/>
      </c>
      <c r="CQ40" s="10" t="str">
        <f t="shared" si="193"/>
        <v/>
      </c>
      <c r="CR40" s="10" t="str">
        <f t="shared" si="193"/>
        <v/>
      </c>
      <c r="CS40" s="10" t="str">
        <f t="shared" si="193"/>
        <v/>
      </c>
      <c r="CT40" s="10"/>
      <c r="CU40" s="10"/>
      <c r="CV40" s="43" t="str">
        <f t="shared" ref="CV40:CZ40" si="194">CO40</f>
        <v/>
      </c>
      <c r="CW40" s="10" t="str">
        <f t="shared" si="194"/>
        <v/>
      </c>
      <c r="CX40" s="10" t="str">
        <f t="shared" si="194"/>
        <v/>
      </c>
      <c r="CY40" s="10" t="str">
        <f t="shared" si="194"/>
        <v/>
      </c>
      <c r="CZ40" s="10" t="str">
        <f t="shared" si="194"/>
        <v/>
      </c>
      <c r="DA40" s="10"/>
      <c r="DB40" s="10"/>
      <c r="DC40" s="43" t="str">
        <f t="shared" ref="DC40:DG40" si="195">CV40</f>
        <v/>
      </c>
      <c r="DD40" s="10" t="str">
        <f t="shared" si="195"/>
        <v/>
      </c>
      <c r="DE40" s="10" t="str">
        <f t="shared" si="195"/>
        <v/>
      </c>
      <c r="DF40" s="10" t="str">
        <f t="shared" si="195"/>
        <v/>
      </c>
      <c r="DG40" s="10" t="str">
        <f t="shared" si="195"/>
        <v/>
      </c>
      <c r="DH40" s="10"/>
      <c r="DI40" s="10"/>
      <c r="DJ40" s="43" t="str">
        <f t="shared" ref="DJ40:DN40" si="196">DC40</f>
        <v/>
      </c>
      <c r="DK40" s="10" t="str">
        <f t="shared" si="196"/>
        <v/>
      </c>
      <c r="DL40" s="10" t="str">
        <f t="shared" si="196"/>
        <v/>
      </c>
      <c r="DM40" s="10" t="str">
        <f t="shared" si="196"/>
        <v/>
      </c>
      <c r="DN40" s="10" t="str">
        <f t="shared" si="196"/>
        <v/>
      </c>
      <c r="DO40" s="10"/>
      <c r="DP40" s="10"/>
      <c r="DQ40" s="43" t="str">
        <f t="shared" ref="DQ40:DU40" si="197">DJ40</f>
        <v/>
      </c>
      <c r="DR40" s="10" t="str">
        <f t="shared" si="197"/>
        <v/>
      </c>
      <c r="DS40" s="10" t="str">
        <f t="shared" si="197"/>
        <v/>
      </c>
      <c r="DT40" s="10" t="str">
        <f t="shared" si="197"/>
        <v/>
      </c>
      <c r="DU40" s="10" t="str">
        <f t="shared" si="197"/>
        <v/>
      </c>
      <c r="DV40" s="10"/>
      <c r="DW40" s="10"/>
      <c r="DX40" s="43" t="str">
        <f t="shared" ref="DX40:EB40" si="198">DQ40</f>
        <v/>
      </c>
      <c r="DY40" s="10" t="str">
        <f t="shared" si="198"/>
        <v/>
      </c>
      <c r="DZ40" s="10" t="str">
        <f t="shared" si="198"/>
        <v/>
      </c>
      <c r="EA40" s="10" t="str">
        <f t="shared" si="198"/>
        <v/>
      </c>
      <c r="EB40" s="10" t="str">
        <f t="shared" si="198"/>
        <v/>
      </c>
      <c r="EC40" s="10"/>
      <c r="ED40" s="10"/>
      <c r="EE40" s="43" t="str">
        <f t="shared" ref="EE40:EI40" si="199">DX40</f>
        <v/>
      </c>
      <c r="EF40" s="10" t="str">
        <f t="shared" si="199"/>
        <v/>
      </c>
      <c r="EG40" s="10" t="str">
        <f t="shared" si="199"/>
        <v/>
      </c>
      <c r="EH40" s="10" t="str">
        <f t="shared" si="199"/>
        <v/>
      </c>
      <c r="EI40" s="10" t="str">
        <f t="shared" si="199"/>
        <v/>
      </c>
      <c r="EJ40" s="10"/>
      <c r="EK40" s="10"/>
      <c r="EL40" s="43" t="str">
        <f t="shared" ref="EL40:EP40" si="200">EE40</f>
        <v/>
      </c>
      <c r="EM40" s="10" t="str">
        <f t="shared" si="200"/>
        <v/>
      </c>
      <c r="EN40" s="10" t="str">
        <f t="shared" si="200"/>
        <v/>
      </c>
      <c r="EO40" s="10" t="str">
        <f t="shared" si="200"/>
        <v/>
      </c>
      <c r="EP40" s="10" t="str">
        <f t="shared" si="200"/>
        <v/>
      </c>
      <c r="EQ40" s="10"/>
      <c r="ER40" s="10"/>
    </row>
    <row r="41">
      <c r="A41" s="44"/>
      <c r="B41" s="43"/>
      <c r="C41" s="10"/>
      <c r="D41" s="10"/>
      <c r="E41" s="10"/>
      <c r="F41" s="10"/>
      <c r="G41" s="10"/>
      <c r="H41" s="10"/>
      <c r="I41" s="43" t="str">
        <f t="shared" ref="I41:M41" si="201">B41</f>
        <v/>
      </c>
      <c r="J41" s="10" t="str">
        <f t="shared" si="201"/>
        <v/>
      </c>
      <c r="K41" s="10" t="str">
        <f t="shared" si="201"/>
        <v/>
      </c>
      <c r="L41" s="10" t="str">
        <f t="shared" si="201"/>
        <v/>
      </c>
      <c r="M41" s="10" t="str">
        <f t="shared" si="201"/>
        <v/>
      </c>
      <c r="N41" s="10"/>
      <c r="O41" s="10"/>
      <c r="P41" s="43" t="str">
        <f t="shared" ref="P41:T41" si="202">I41</f>
        <v/>
      </c>
      <c r="Q41" s="10" t="str">
        <f t="shared" si="202"/>
        <v/>
      </c>
      <c r="R41" s="10" t="str">
        <f t="shared" si="202"/>
        <v/>
      </c>
      <c r="S41" s="10" t="str">
        <f t="shared" si="202"/>
        <v/>
      </c>
      <c r="T41" s="10" t="str">
        <f t="shared" si="202"/>
        <v/>
      </c>
      <c r="U41" s="10"/>
      <c r="V41" s="10"/>
      <c r="W41" s="43" t="str">
        <f t="shared" ref="W41:AA41" si="203">P41</f>
        <v/>
      </c>
      <c r="X41" s="10" t="str">
        <f t="shared" si="203"/>
        <v/>
      </c>
      <c r="Y41" s="10" t="str">
        <f t="shared" si="203"/>
        <v/>
      </c>
      <c r="Z41" s="10" t="str">
        <f t="shared" si="203"/>
        <v/>
      </c>
      <c r="AA41" s="10" t="str">
        <f t="shared" si="203"/>
        <v/>
      </c>
      <c r="AB41" s="10"/>
      <c r="AC41" s="10"/>
      <c r="AD41" s="43" t="str">
        <f t="shared" ref="AD41:AH41" si="204">W41</f>
        <v/>
      </c>
      <c r="AE41" s="10" t="str">
        <f t="shared" si="204"/>
        <v/>
      </c>
      <c r="AF41" s="10" t="str">
        <f t="shared" si="204"/>
        <v/>
      </c>
      <c r="AG41" s="10" t="str">
        <f t="shared" si="204"/>
        <v/>
      </c>
      <c r="AH41" s="10" t="str">
        <f t="shared" si="204"/>
        <v/>
      </c>
      <c r="AI41" s="10"/>
      <c r="AJ41" s="10"/>
      <c r="AK41" s="43" t="str">
        <f t="shared" ref="AK41:AO41" si="205">AD41</f>
        <v/>
      </c>
      <c r="AL41" s="10" t="str">
        <f t="shared" si="205"/>
        <v/>
      </c>
      <c r="AM41" s="10" t="str">
        <f t="shared" si="205"/>
        <v/>
      </c>
      <c r="AN41" s="10" t="str">
        <f t="shared" si="205"/>
        <v/>
      </c>
      <c r="AO41" s="10" t="str">
        <f t="shared" si="205"/>
        <v/>
      </c>
      <c r="AP41" s="10"/>
      <c r="AQ41" s="10"/>
      <c r="AR41" s="43" t="str">
        <f t="shared" ref="AR41:AV41" si="206">AK41</f>
        <v/>
      </c>
      <c r="AS41" s="10" t="str">
        <f t="shared" si="206"/>
        <v/>
      </c>
      <c r="AT41" s="10" t="str">
        <f t="shared" si="206"/>
        <v/>
      </c>
      <c r="AU41" s="10" t="str">
        <f t="shared" si="206"/>
        <v/>
      </c>
      <c r="AV41" s="10" t="str">
        <f t="shared" si="206"/>
        <v/>
      </c>
      <c r="AW41" s="10"/>
      <c r="AX41" s="10"/>
      <c r="AY41" s="43" t="str">
        <f t="shared" ref="AY41:BC41" si="207">AR41</f>
        <v/>
      </c>
      <c r="AZ41" s="10" t="str">
        <f t="shared" si="207"/>
        <v/>
      </c>
      <c r="BA41" s="10" t="str">
        <f t="shared" si="207"/>
        <v/>
      </c>
      <c r="BB41" s="10" t="str">
        <f t="shared" si="207"/>
        <v/>
      </c>
      <c r="BC41" s="10" t="str">
        <f t="shared" si="207"/>
        <v/>
      </c>
      <c r="BD41" s="10"/>
      <c r="BE41" s="10"/>
      <c r="BF41" s="43" t="str">
        <f t="shared" ref="BF41:BJ41" si="208">AY41</f>
        <v/>
      </c>
      <c r="BG41" s="10" t="str">
        <f t="shared" si="208"/>
        <v/>
      </c>
      <c r="BH41" s="10" t="str">
        <f t="shared" si="208"/>
        <v/>
      </c>
      <c r="BI41" s="10" t="str">
        <f t="shared" si="208"/>
        <v/>
      </c>
      <c r="BJ41" s="10" t="str">
        <f t="shared" si="208"/>
        <v/>
      </c>
      <c r="BK41" s="10"/>
      <c r="BL41" s="10"/>
      <c r="BM41" s="43" t="str">
        <f t="shared" ref="BM41:BQ41" si="209">BF41</f>
        <v/>
      </c>
      <c r="BN41" s="10" t="str">
        <f t="shared" si="209"/>
        <v/>
      </c>
      <c r="BO41" s="10" t="str">
        <f t="shared" si="209"/>
        <v/>
      </c>
      <c r="BP41" s="10" t="str">
        <f t="shared" si="209"/>
        <v/>
      </c>
      <c r="BQ41" s="10" t="str">
        <f t="shared" si="209"/>
        <v/>
      </c>
      <c r="BR41" s="10"/>
      <c r="BS41" s="10"/>
      <c r="BT41" s="43" t="str">
        <f t="shared" ref="BT41:BX41" si="210">BM41</f>
        <v/>
      </c>
      <c r="BU41" s="10" t="str">
        <f t="shared" si="210"/>
        <v/>
      </c>
      <c r="BV41" s="10" t="str">
        <f t="shared" si="210"/>
        <v/>
      </c>
      <c r="BW41" s="10" t="str">
        <f t="shared" si="210"/>
        <v/>
      </c>
      <c r="BX41" s="10" t="str">
        <f t="shared" si="210"/>
        <v/>
      </c>
      <c r="BY41" s="10"/>
      <c r="BZ41" s="10"/>
      <c r="CA41" s="43" t="str">
        <f t="shared" ref="CA41:CE41" si="211">BT41</f>
        <v/>
      </c>
      <c r="CB41" s="10" t="str">
        <f t="shared" si="211"/>
        <v/>
      </c>
      <c r="CC41" s="10" t="str">
        <f t="shared" si="211"/>
        <v/>
      </c>
      <c r="CD41" s="10" t="str">
        <f t="shared" si="211"/>
        <v/>
      </c>
      <c r="CE41" s="10" t="str">
        <f t="shared" si="211"/>
        <v/>
      </c>
      <c r="CF41" s="10"/>
      <c r="CG41" s="10"/>
      <c r="CH41" s="43" t="str">
        <f t="shared" ref="CH41:CL41" si="212">CA41</f>
        <v/>
      </c>
      <c r="CI41" s="10" t="str">
        <f t="shared" si="212"/>
        <v/>
      </c>
      <c r="CJ41" s="10" t="str">
        <f t="shared" si="212"/>
        <v/>
      </c>
      <c r="CK41" s="10" t="str">
        <f t="shared" si="212"/>
        <v/>
      </c>
      <c r="CL41" s="10" t="str">
        <f t="shared" si="212"/>
        <v/>
      </c>
      <c r="CM41" s="10"/>
      <c r="CN41" s="10"/>
      <c r="CO41" s="43" t="str">
        <f t="shared" ref="CO41:CS41" si="213">CH41</f>
        <v/>
      </c>
      <c r="CP41" s="10" t="str">
        <f t="shared" si="213"/>
        <v/>
      </c>
      <c r="CQ41" s="10" t="str">
        <f t="shared" si="213"/>
        <v/>
      </c>
      <c r="CR41" s="10" t="str">
        <f t="shared" si="213"/>
        <v/>
      </c>
      <c r="CS41" s="10" t="str">
        <f t="shared" si="213"/>
        <v/>
      </c>
      <c r="CT41" s="10"/>
      <c r="CU41" s="10"/>
      <c r="CV41" s="43" t="str">
        <f t="shared" ref="CV41:CZ41" si="214">CO41</f>
        <v/>
      </c>
      <c r="CW41" s="10" t="str">
        <f t="shared" si="214"/>
        <v/>
      </c>
      <c r="CX41" s="10" t="str">
        <f t="shared" si="214"/>
        <v/>
      </c>
      <c r="CY41" s="10" t="str">
        <f t="shared" si="214"/>
        <v/>
      </c>
      <c r="CZ41" s="10" t="str">
        <f t="shared" si="214"/>
        <v/>
      </c>
      <c r="DA41" s="10"/>
      <c r="DB41" s="10"/>
      <c r="DC41" s="43" t="str">
        <f t="shared" ref="DC41:DG41" si="215">CV41</f>
        <v/>
      </c>
      <c r="DD41" s="10" t="str">
        <f t="shared" si="215"/>
        <v/>
      </c>
      <c r="DE41" s="10" t="str">
        <f t="shared" si="215"/>
        <v/>
      </c>
      <c r="DF41" s="10" t="str">
        <f t="shared" si="215"/>
        <v/>
      </c>
      <c r="DG41" s="10" t="str">
        <f t="shared" si="215"/>
        <v/>
      </c>
      <c r="DH41" s="10"/>
      <c r="DI41" s="10"/>
      <c r="DJ41" s="43" t="str">
        <f t="shared" ref="DJ41:DN41" si="216">DC41</f>
        <v/>
      </c>
      <c r="DK41" s="10" t="str">
        <f t="shared" si="216"/>
        <v/>
      </c>
      <c r="DL41" s="10" t="str">
        <f t="shared" si="216"/>
        <v/>
      </c>
      <c r="DM41" s="10" t="str">
        <f t="shared" si="216"/>
        <v/>
      </c>
      <c r="DN41" s="10" t="str">
        <f t="shared" si="216"/>
        <v/>
      </c>
      <c r="DO41" s="10"/>
      <c r="DP41" s="10"/>
      <c r="DQ41" s="43" t="str">
        <f t="shared" ref="DQ41:DU41" si="217">DJ41</f>
        <v/>
      </c>
      <c r="DR41" s="10" t="str">
        <f t="shared" si="217"/>
        <v/>
      </c>
      <c r="DS41" s="10" t="str">
        <f t="shared" si="217"/>
        <v/>
      </c>
      <c r="DT41" s="10" t="str">
        <f t="shared" si="217"/>
        <v/>
      </c>
      <c r="DU41" s="10" t="str">
        <f t="shared" si="217"/>
        <v/>
      </c>
      <c r="DV41" s="10"/>
      <c r="DW41" s="10"/>
      <c r="DX41" s="43" t="str">
        <f t="shared" ref="DX41:EB41" si="218">DQ41</f>
        <v/>
      </c>
      <c r="DY41" s="10" t="str">
        <f t="shared" si="218"/>
        <v/>
      </c>
      <c r="DZ41" s="10" t="str">
        <f t="shared" si="218"/>
        <v/>
      </c>
      <c r="EA41" s="10" t="str">
        <f t="shared" si="218"/>
        <v/>
      </c>
      <c r="EB41" s="10" t="str">
        <f t="shared" si="218"/>
        <v/>
      </c>
      <c r="EC41" s="10"/>
      <c r="ED41" s="10"/>
      <c r="EE41" s="43" t="str">
        <f t="shared" ref="EE41:EI41" si="219">DX41</f>
        <v/>
      </c>
      <c r="EF41" s="10" t="str">
        <f t="shared" si="219"/>
        <v/>
      </c>
      <c r="EG41" s="10" t="str">
        <f t="shared" si="219"/>
        <v/>
      </c>
      <c r="EH41" s="10" t="str">
        <f t="shared" si="219"/>
        <v/>
      </c>
      <c r="EI41" s="10" t="str">
        <f t="shared" si="219"/>
        <v/>
      </c>
      <c r="EJ41" s="10"/>
      <c r="EK41" s="10"/>
      <c r="EL41" s="43" t="str">
        <f t="shared" ref="EL41:EP41" si="220">EE41</f>
        <v/>
      </c>
      <c r="EM41" s="10" t="str">
        <f t="shared" si="220"/>
        <v/>
      </c>
      <c r="EN41" s="10" t="str">
        <f t="shared" si="220"/>
        <v/>
      </c>
      <c r="EO41" s="10" t="str">
        <f t="shared" si="220"/>
        <v/>
      </c>
      <c r="EP41" s="10" t="str">
        <f t="shared" si="220"/>
        <v/>
      </c>
      <c r="EQ41" s="10"/>
      <c r="ER41" s="10"/>
    </row>
    <row r="42">
      <c r="A42" s="45"/>
      <c r="B42" s="46"/>
      <c r="C42" s="47"/>
      <c r="D42" s="47"/>
      <c r="E42" s="47"/>
      <c r="F42" s="47"/>
      <c r="G42" s="47"/>
      <c r="H42" s="47"/>
      <c r="I42" s="46" t="str">
        <f t="shared" ref="I42:M42" si="221">B42</f>
        <v/>
      </c>
      <c r="J42" s="47" t="str">
        <f t="shared" si="221"/>
        <v/>
      </c>
      <c r="K42" s="47" t="str">
        <f t="shared" si="221"/>
        <v/>
      </c>
      <c r="L42" s="47" t="str">
        <f t="shared" si="221"/>
        <v/>
      </c>
      <c r="M42" s="47" t="str">
        <f t="shared" si="221"/>
        <v/>
      </c>
      <c r="N42" s="47"/>
      <c r="O42" s="47"/>
      <c r="P42" s="46" t="str">
        <f t="shared" ref="P42:T42" si="222">I42</f>
        <v/>
      </c>
      <c r="Q42" s="47" t="str">
        <f t="shared" si="222"/>
        <v/>
      </c>
      <c r="R42" s="47" t="str">
        <f t="shared" si="222"/>
        <v/>
      </c>
      <c r="S42" s="47" t="str">
        <f t="shared" si="222"/>
        <v/>
      </c>
      <c r="T42" s="47" t="str">
        <f t="shared" si="222"/>
        <v/>
      </c>
      <c r="U42" s="47"/>
      <c r="V42" s="47"/>
      <c r="W42" s="46" t="str">
        <f t="shared" ref="W42:AA42" si="223">P42</f>
        <v/>
      </c>
      <c r="X42" s="47" t="str">
        <f t="shared" si="223"/>
        <v/>
      </c>
      <c r="Y42" s="47" t="str">
        <f t="shared" si="223"/>
        <v/>
      </c>
      <c r="Z42" s="47" t="str">
        <f t="shared" si="223"/>
        <v/>
      </c>
      <c r="AA42" s="47" t="str">
        <f t="shared" si="223"/>
        <v/>
      </c>
      <c r="AB42" s="47"/>
      <c r="AC42" s="47"/>
      <c r="AD42" s="46" t="str">
        <f t="shared" ref="AD42:AH42" si="224">W42</f>
        <v/>
      </c>
      <c r="AE42" s="47" t="str">
        <f t="shared" si="224"/>
        <v/>
      </c>
      <c r="AF42" s="47" t="str">
        <f t="shared" si="224"/>
        <v/>
      </c>
      <c r="AG42" s="47" t="str">
        <f t="shared" si="224"/>
        <v/>
      </c>
      <c r="AH42" s="47" t="str">
        <f t="shared" si="224"/>
        <v/>
      </c>
      <c r="AI42" s="47"/>
      <c r="AJ42" s="47"/>
      <c r="AK42" s="46" t="str">
        <f t="shared" ref="AK42:AO42" si="225">AD42</f>
        <v/>
      </c>
      <c r="AL42" s="47" t="str">
        <f t="shared" si="225"/>
        <v/>
      </c>
      <c r="AM42" s="47" t="str">
        <f t="shared" si="225"/>
        <v/>
      </c>
      <c r="AN42" s="47" t="str">
        <f t="shared" si="225"/>
        <v/>
      </c>
      <c r="AO42" s="47" t="str">
        <f t="shared" si="225"/>
        <v/>
      </c>
      <c r="AP42" s="47"/>
      <c r="AQ42" s="47"/>
      <c r="AR42" s="46" t="str">
        <f t="shared" ref="AR42:AV42" si="226">AK42</f>
        <v/>
      </c>
      <c r="AS42" s="47" t="str">
        <f t="shared" si="226"/>
        <v/>
      </c>
      <c r="AT42" s="47" t="str">
        <f t="shared" si="226"/>
        <v/>
      </c>
      <c r="AU42" s="47" t="str">
        <f t="shared" si="226"/>
        <v/>
      </c>
      <c r="AV42" s="47" t="str">
        <f t="shared" si="226"/>
        <v/>
      </c>
      <c r="AW42" s="47"/>
      <c r="AX42" s="47"/>
      <c r="AY42" s="46" t="str">
        <f t="shared" ref="AY42:BC42" si="227">AR42</f>
        <v/>
      </c>
      <c r="AZ42" s="47" t="str">
        <f t="shared" si="227"/>
        <v/>
      </c>
      <c r="BA42" s="47" t="str">
        <f t="shared" si="227"/>
        <v/>
      </c>
      <c r="BB42" s="47" t="str">
        <f t="shared" si="227"/>
        <v/>
      </c>
      <c r="BC42" s="47" t="str">
        <f t="shared" si="227"/>
        <v/>
      </c>
      <c r="BD42" s="47"/>
      <c r="BE42" s="47"/>
      <c r="BF42" s="46" t="str">
        <f t="shared" ref="BF42:BJ42" si="228">AY42</f>
        <v/>
      </c>
      <c r="BG42" s="47" t="str">
        <f t="shared" si="228"/>
        <v/>
      </c>
      <c r="BH42" s="47" t="str">
        <f t="shared" si="228"/>
        <v/>
      </c>
      <c r="BI42" s="47" t="str">
        <f t="shared" si="228"/>
        <v/>
      </c>
      <c r="BJ42" s="47" t="str">
        <f t="shared" si="228"/>
        <v/>
      </c>
      <c r="BK42" s="47"/>
      <c r="BL42" s="47"/>
      <c r="BM42" s="46" t="str">
        <f t="shared" ref="BM42:BQ42" si="229">BF42</f>
        <v/>
      </c>
      <c r="BN42" s="47" t="str">
        <f t="shared" si="229"/>
        <v/>
      </c>
      <c r="BO42" s="47" t="str">
        <f t="shared" si="229"/>
        <v/>
      </c>
      <c r="BP42" s="47" t="str">
        <f t="shared" si="229"/>
        <v/>
      </c>
      <c r="BQ42" s="47" t="str">
        <f t="shared" si="229"/>
        <v/>
      </c>
      <c r="BR42" s="47"/>
      <c r="BS42" s="47"/>
      <c r="BT42" s="46" t="str">
        <f t="shared" ref="BT42:BX42" si="230">BM42</f>
        <v/>
      </c>
      <c r="BU42" s="47" t="str">
        <f t="shared" si="230"/>
        <v/>
      </c>
      <c r="BV42" s="47" t="str">
        <f t="shared" si="230"/>
        <v/>
      </c>
      <c r="BW42" s="47" t="str">
        <f t="shared" si="230"/>
        <v/>
      </c>
      <c r="BX42" s="47" t="str">
        <f t="shared" si="230"/>
        <v/>
      </c>
      <c r="BY42" s="47"/>
      <c r="BZ42" s="47"/>
      <c r="CA42" s="46" t="str">
        <f t="shared" ref="CA42:CE42" si="231">BT42</f>
        <v/>
      </c>
      <c r="CB42" s="47" t="str">
        <f t="shared" si="231"/>
        <v/>
      </c>
      <c r="CC42" s="47" t="str">
        <f t="shared" si="231"/>
        <v/>
      </c>
      <c r="CD42" s="47" t="str">
        <f t="shared" si="231"/>
        <v/>
      </c>
      <c r="CE42" s="47" t="str">
        <f t="shared" si="231"/>
        <v/>
      </c>
      <c r="CF42" s="47"/>
      <c r="CG42" s="47"/>
      <c r="CH42" s="46" t="str">
        <f t="shared" ref="CH42:CL42" si="232">CA42</f>
        <v/>
      </c>
      <c r="CI42" s="47" t="str">
        <f t="shared" si="232"/>
        <v/>
      </c>
      <c r="CJ42" s="47" t="str">
        <f t="shared" si="232"/>
        <v/>
      </c>
      <c r="CK42" s="47" t="str">
        <f t="shared" si="232"/>
        <v/>
      </c>
      <c r="CL42" s="47" t="str">
        <f t="shared" si="232"/>
        <v/>
      </c>
      <c r="CM42" s="47"/>
      <c r="CN42" s="47"/>
      <c r="CO42" s="46" t="str">
        <f t="shared" ref="CO42:CS42" si="233">CH42</f>
        <v/>
      </c>
      <c r="CP42" s="47" t="str">
        <f t="shared" si="233"/>
        <v/>
      </c>
      <c r="CQ42" s="47" t="str">
        <f t="shared" si="233"/>
        <v/>
      </c>
      <c r="CR42" s="47" t="str">
        <f t="shared" si="233"/>
        <v/>
      </c>
      <c r="CS42" s="47" t="str">
        <f t="shared" si="233"/>
        <v/>
      </c>
      <c r="CT42" s="47"/>
      <c r="CU42" s="47"/>
      <c r="CV42" s="46" t="str">
        <f t="shared" ref="CV42:CZ42" si="234">CO42</f>
        <v/>
      </c>
      <c r="CW42" s="47" t="str">
        <f t="shared" si="234"/>
        <v/>
      </c>
      <c r="CX42" s="47" t="str">
        <f t="shared" si="234"/>
        <v/>
      </c>
      <c r="CY42" s="47" t="str">
        <f t="shared" si="234"/>
        <v/>
      </c>
      <c r="CZ42" s="47" t="str">
        <f t="shared" si="234"/>
        <v/>
      </c>
      <c r="DA42" s="47"/>
      <c r="DB42" s="47"/>
      <c r="DC42" s="46" t="str">
        <f t="shared" ref="DC42:DG42" si="235">CV42</f>
        <v/>
      </c>
      <c r="DD42" s="47" t="str">
        <f t="shared" si="235"/>
        <v/>
      </c>
      <c r="DE42" s="47" t="str">
        <f t="shared" si="235"/>
        <v/>
      </c>
      <c r="DF42" s="47" t="str">
        <f t="shared" si="235"/>
        <v/>
      </c>
      <c r="DG42" s="47" t="str">
        <f t="shared" si="235"/>
        <v/>
      </c>
      <c r="DH42" s="47"/>
      <c r="DI42" s="47"/>
      <c r="DJ42" s="46" t="str">
        <f t="shared" ref="DJ42:DN42" si="236">DC42</f>
        <v/>
      </c>
      <c r="DK42" s="47" t="str">
        <f t="shared" si="236"/>
        <v/>
      </c>
      <c r="DL42" s="47" t="str">
        <f t="shared" si="236"/>
        <v/>
      </c>
      <c r="DM42" s="47" t="str">
        <f t="shared" si="236"/>
        <v/>
      </c>
      <c r="DN42" s="47" t="str">
        <f t="shared" si="236"/>
        <v/>
      </c>
      <c r="DO42" s="47"/>
      <c r="DP42" s="47"/>
      <c r="DQ42" s="46" t="str">
        <f t="shared" ref="DQ42:DU42" si="237">DJ42</f>
        <v/>
      </c>
      <c r="DR42" s="47" t="str">
        <f t="shared" si="237"/>
        <v/>
      </c>
      <c r="DS42" s="47" t="str">
        <f t="shared" si="237"/>
        <v/>
      </c>
      <c r="DT42" s="47" t="str">
        <f t="shared" si="237"/>
        <v/>
      </c>
      <c r="DU42" s="47" t="str">
        <f t="shared" si="237"/>
        <v/>
      </c>
      <c r="DV42" s="47"/>
      <c r="DW42" s="47"/>
      <c r="DX42" s="46" t="str">
        <f t="shared" ref="DX42:EB42" si="238">DQ42</f>
        <v/>
      </c>
      <c r="DY42" s="47" t="str">
        <f t="shared" si="238"/>
        <v/>
      </c>
      <c r="DZ42" s="47" t="str">
        <f t="shared" si="238"/>
        <v/>
      </c>
      <c r="EA42" s="47" t="str">
        <f t="shared" si="238"/>
        <v/>
      </c>
      <c r="EB42" s="47" t="str">
        <f t="shared" si="238"/>
        <v/>
      </c>
      <c r="EC42" s="47"/>
      <c r="ED42" s="47"/>
      <c r="EE42" s="46" t="str">
        <f t="shared" ref="EE42:EI42" si="239">DX42</f>
        <v/>
      </c>
      <c r="EF42" s="47" t="str">
        <f t="shared" si="239"/>
        <v/>
      </c>
      <c r="EG42" s="47" t="str">
        <f t="shared" si="239"/>
        <v/>
      </c>
      <c r="EH42" s="47" t="str">
        <f t="shared" si="239"/>
        <v/>
      </c>
      <c r="EI42" s="47" t="str">
        <f t="shared" si="239"/>
        <v/>
      </c>
      <c r="EJ42" s="47"/>
      <c r="EK42" s="47"/>
      <c r="EL42" s="46" t="str">
        <f t="shared" ref="EL42:EP42" si="240">EE42</f>
        <v/>
      </c>
      <c r="EM42" s="47" t="str">
        <f t="shared" si="240"/>
        <v/>
      </c>
      <c r="EN42" s="47" t="str">
        <f t="shared" si="240"/>
        <v/>
      </c>
      <c r="EO42" s="47" t="str">
        <f t="shared" si="240"/>
        <v/>
      </c>
      <c r="EP42" s="47" t="str">
        <f t="shared" si="240"/>
        <v/>
      </c>
      <c r="EQ42" s="47"/>
      <c r="ER42" s="47"/>
    </row>
  </sheetData>
  <mergeCells count="24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6:EK16"/>
    <mergeCell ref="EE29:EK29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10 A23 A38">
      <formula1>'Quick Setup'!$B$19:$D$26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29" t="s">
        <v>49</v>
      </c>
      <c r="I1" s="29" t="s">
        <v>50</v>
      </c>
      <c r="P1" s="29" t="s">
        <v>51</v>
      </c>
      <c r="W1" s="29" t="s">
        <v>52</v>
      </c>
      <c r="AD1" s="29" t="s">
        <v>53</v>
      </c>
      <c r="AK1" s="29" t="s">
        <v>54</v>
      </c>
      <c r="AR1" s="30" t="s">
        <v>55</v>
      </c>
      <c r="AY1" s="30" t="s">
        <v>56</v>
      </c>
      <c r="BF1" s="30" t="s">
        <v>57</v>
      </c>
      <c r="BM1" s="30" t="s">
        <v>58</v>
      </c>
      <c r="BT1" s="30" t="s">
        <v>59</v>
      </c>
      <c r="CA1" s="30" t="s">
        <v>60</v>
      </c>
      <c r="CH1" s="30" t="s">
        <v>61</v>
      </c>
      <c r="CO1" s="30" t="s">
        <v>62</v>
      </c>
      <c r="CV1" s="29" t="s">
        <v>63</v>
      </c>
      <c r="DC1" s="29" t="s">
        <v>64</v>
      </c>
      <c r="DJ1" s="29" t="s">
        <v>65</v>
      </c>
      <c r="DQ1" s="29" t="s">
        <v>66</v>
      </c>
      <c r="DX1" s="29" t="s">
        <v>67</v>
      </c>
      <c r="EE1" s="29" t="s">
        <v>68</v>
      </c>
      <c r="EL1" s="29" t="s">
        <v>69</v>
      </c>
    </row>
    <row r="2">
      <c r="A2" s="3"/>
      <c r="B2" s="31" t="s">
        <v>70</v>
      </c>
      <c r="C2" s="1" t="s">
        <v>47</v>
      </c>
      <c r="D2" s="1" t="s">
        <v>48</v>
      </c>
      <c r="E2" s="1" t="s">
        <v>71</v>
      </c>
      <c r="F2" s="1" t="s">
        <v>72</v>
      </c>
      <c r="G2" s="1" t="s">
        <v>73</v>
      </c>
      <c r="H2" s="1" t="s">
        <v>74</v>
      </c>
      <c r="I2" s="31" t="s">
        <v>70</v>
      </c>
      <c r="J2" s="1" t="s">
        <v>47</v>
      </c>
      <c r="K2" s="1" t="s">
        <v>48</v>
      </c>
      <c r="L2" s="1" t="s">
        <v>71</v>
      </c>
      <c r="M2" s="1" t="s">
        <v>72</v>
      </c>
      <c r="N2" s="1" t="s">
        <v>73</v>
      </c>
      <c r="O2" s="1" t="s">
        <v>74</v>
      </c>
      <c r="P2" s="31" t="s">
        <v>70</v>
      </c>
      <c r="Q2" s="1" t="s">
        <v>47</v>
      </c>
      <c r="R2" s="1" t="s">
        <v>48</v>
      </c>
      <c r="S2" s="1" t="s">
        <v>71</v>
      </c>
      <c r="T2" s="1" t="s">
        <v>72</v>
      </c>
      <c r="U2" s="1" t="s">
        <v>73</v>
      </c>
      <c r="V2" s="1" t="s">
        <v>74</v>
      </c>
      <c r="W2" s="31" t="s">
        <v>70</v>
      </c>
      <c r="X2" s="1" t="s">
        <v>47</v>
      </c>
      <c r="Y2" s="1" t="s">
        <v>48</v>
      </c>
      <c r="Z2" s="1" t="s">
        <v>71</v>
      </c>
      <c r="AA2" s="1" t="s">
        <v>72</v>
      </c>
      <c r="AB2" s="1" t="s">
        <v>73</v>
      </c>
      <c r="AC2" s="1" t="s">
        <v>74</v>
      </c>
      <c r="AD2" s="31" t="s">
        <v>70</v>
      </c>
      <c r="AE2" s="1" t="s">
        <v>47</v>
      </c>
      <c r="AF2" s="1" t="s">
        <v>48</v>
      </c>
      <c r="AG2" s="1" t="s">
        <v>71</v>
      </c>
      <c r="AH2" s="1" t="s">
        <v>72</v>
      </c>
      <c r="AI2" s="1" t="s">
        <v>73</v>
      </c>
      <c r="AJ2" s="1" t="s">
        <v>74</v>
      </c>
      <c r="AK2" s="31" t="s">
        <v>70</v>
      </c>
      <c r="AL2" s="1" t="s">
        <v>47</v>
      </c>
      <c r="AM2" s="1" t="s">
        <v>48</v>
      </c>
      <c r="AN2" s="1" t="s">
        <v>71</v>
      </c>
      <c r="AO2" s="1" t="s">
        <v>72</v>
      </c>
      <c r="AP2" s="1" t="s">
        <v>73</v>
      </c>
      <c r="AQ2" s="1" t="s">
        <v>74</v>
      </c>
      <c r="AR2" s="31" t="s">
        <v>70</v>
      </c>
      <c r="AS2" s="1" t="s">
        <v>47</v>
      </c>
      <c r="AT2" s="1" t="s">
        <v>48</v>
      </c>
      <c r="AU2" s="1" t="s">
        <v>71</v>
      </c>
      <c r="AV2" s="1" t="s">
        <v>72</v>
      </c>
      <c r="AW2" s="1" t="s">
        <v>73</v>
      </c>
      <c r="AX2" s="1" t="s">
        <v>74</v>
      </c>
      <c r="AY2" s="31" t="s">
        <v>70</v>
      </c>
      <c r="AZ2" s="1" t="s">
        <v>47</v>
      </c>
      <c r="BA2" s="1" t="s">
        <v>48</v>
      </c>
      <c r="BB2" s="1" t="s">
        <v>71</v>
      </c>
      <c r="BC2" s="1" t="s">
        <v>72</v>
      </c>
      <c r="BD2" s="1" t="s">
        <v>73</v>
      </c>
      <c r="BE2" s="1" t="s">
        <v>74</v>
      </c>
      <c r="BF2" s="31" t="s">
        <v>70</v>
      </c>
      <c r="BG2" s="1" t="s">
        <v>47</v>
      </c>
      <c r="BH2" s="1" t="s">
        <v>48</v>
      </c>
      <c r="BI2" s="1" t="s">
        <v>71</v>
      </c>
      <c r="BJ2" s="1" t="s">
        <v>72</v>
      </c>
      <c r="BK2" s="1" t="s">
        <v>73</v>
      </c>
      <c r="BL2" s="1" t="s">
        <v>74</v>
      </c>
      <c r="BM2" s="31" t="s">
        <v>70</v>
      </c>
      <c r="BN2" s="1" t="s">
        <v>47</v>
      </c>
      <c r="BO2" s="1" t="s">
        <v>48</v>
      </c>
      <c r="BP2" s="1" t="s">
        <v>71</v>
      </c>
      <c r="BQ2" s="1" t="s">
        <v>72</v>
      </c>
      <c r="BR2" s="1" t="s">
        <v>73</v>
      </c>
      <c r="BS2" s="1" t="s">
        <v>74</v>
      </c>
      <c r="BT2" s="31" t="s">
        <v>70</v>
      </c>
      <c r="BU2" s="1" t="s">
        <v>47</v>
      </c>
      <c r="BV2" s="1" t="s">
        <v>48</v>
      </c>
      <c r="BW2" s="1" t="s">
        <v>71</v>
      </c>
      <c r="BX2" s="1" t="s">
        <v>72</v>
      </c>
      <c r="BY2" s="1" t="s">
        <v>73</v>
      </c>
      <c r="BZ2" s="1" t="s">
        <v>74</v>
      </c>
      <c r="CA2" s="31" t="s">
        <v>70</v>
      </c>
      <c r="CB2" s="1" t="s">
        <v>47</v>
      </c>
      <c r="CC2" s="1" t="s">
        <v>48</v>
      </c>
      <c r="CD2" s="1" t="s">
        <v>71</v>
      </c>
      <c r="CE2" s="1" t="s">
        <v>72</v>
      </c>
      <c r="CF2" s="1" t="s">
        <v>73</v>
      </c>
      <c r="CG2" s="1" t="s">
        <v>74</v>
      </c>
      <c r="CH2" s="31" t="s">
        <v>70</v>
      </c>
      <c r="CI2" s="1" t="s">
        <v>47</v>
      </c>
      <c r="CJ2" s="1" t="s">
        <v>48</v>
      </c>
      <c r="CK2" s="1" t="s">
        <v>71</v>
      </c>
      <c r="CL2" s="1" t="s">
        <v>72</v>
      </c>
      <c r="CM2" s="1" t="s">
        <v>73</v>
      </c>
      <c r="CN2" s="1" t="s">
        <v>74</v>
      </c>
      <c r="CO2" s="31" t="s">
        <v>70</v>
      </c>
      <c r="CP2" s="1" t="s">
        <v>47</v>
      </c>
      <c r="CQ2" s="1" t="s">
        <v>48</v>
      </c>
      <c r="CR2" s="1" t="s">
        <v>71</v>
      </c>
      <c r="CS2" s="1" t="s">
        <v>72</v>
      </c>
      <c r="CT2" s="1" t="s">
        <v>73</v>
      </c>
      <c r="CU2" s="1" t="s">
        <v>74</v>
      </c>
      <c r="CV2" s="31" t="s">
        <v>70</v>
      </c>
      <c r="CW2" s="1" t="s">
        <v>47</v>
      </c>
      <c r="CX2" s="1" t="s">
        <v>48</v>
      </c>
      <c r="CY2" s="1" t="s">
        <v>71</v>
      </c>
      <c r="CZ2" s="1" t="s">
        <v>72</v>
      </c>
      <c r="DA2" s="1" t="s">
        <v>73</v>
      </c>
      <c r="DB2" s="1" t="s">
        <v>74</v>
      </c>
      <c r="DC2" s="31" t="s">
        <v>70</v>
      </c>
      <c r="DD2" s="1" t="s">
        <v>47</v>
      </c>
      <c r="DE2" s="1" t="s">
        <v>48</v>
      </c>
      <c r="DF2" s="1" t="s">
        <v>71</v>
      </c>
      <c r="DG2" s="1" t="s">
        <v>72</v>
      </c>
      <c r="DH2" s="1" t="s">
        <v>73</v>
      </c>
      <c r="DI2" s="1" t="s">
        <v>74</v>
      </c>
      <c r="DJ2" s="31" t="s">
        <v>70</v>
      </c>
      <c r="DK2" s="1" t="s">
        <v>47</v>
      </c>
      <c r="DL2" s="1" t="s">
        <v>48</v>
      </c>
      <c r="DM2" s="1" t="s">
        <v>71</v>
      </c>
      <c r="DN2" s="1" t="s">
        <v>72</v>
      </c>
      <c r="DO2" s="1" t="s">
        <v>73</v>
      </c>
      <c r="DP2" s="1" t="s">
        <v>74</v>
      </c>
      <c r="DQ2" s="31" t="s">
        <v>70</v>
      </c>
      <c r="DR2" s="1" t="s">
        <v>47</v>
      </c>
      <c r="DS2" s="1" t="s">
        <v>48</v>
      </c>
      <c r="DT2" s="1" t="s">
        <v>71</v>
      </c>
      <c r="DU2" s="1" t="s">
        <v>72</v>
      </c>
      <c r="DV2" s="1" t="s">
        <v>73</v>
      </c>
      <c r="DW2" s="1" t="s">
        <v>74</v>
      </c>
      <c r="DX2" s="31" t="s">
        <v>70</v>
      </c>
      <c r="DY2" s="1" t="s">
        <v>47</v>
      </c>
      <c r="DZ2" s="1" t="s">
        <v>48</v>
      </c>
      <c r="EA2" s="1" t="s">
        <v>71</v>
      </c>
      <c r="EB2" s="1" t="s">
        <v>72</v>
      </c>
      <c r="EC2" s="1" t="s">
        <v>73</v>
      </c>
      <c r="ED2" s="1" t="s">
        <v>74</v>
      </c>
      <c r="EE2" s="31" t="s">
        <v>70</v>
      </c>
      <c r="EF2" s="1" t="s">
        <v>47</v>
      </c>
      <c r="EG2" s="1" t="s">
        <v>48</v>
      </c>
      <c r="EH2" s="1" t="s">
        <v>71</v>
      </c>
      <c r="EI2" s="1" t="s">
        <v>72</v>
      </c>
      <c r="EJ2" s="1" t="s">
        <v>73</v>
      </c>
      <c r="EK2" s="1" t="s">
        <v>74</v>
      </c>
      <c r="EL2" s="31" t="s">
        <v>70</v>
      </c>
      <c r="EM2" s="1" t="s">
        <v>47</v>
      </c>
      <c r="EN2" s="1" t="s">
        <v>48</v>
      </c>
      <c r="EO2" s="1" t="s">
        <v>71</v>
      </c>
      <c r="EP2" s="1" t="s">
        <v>72</v>
      </c>
      <c r="EQ2" s="1" t="s">
        <v>73</v>
      </c>
      <c r="ER2" s="1" t="s">
        <v>74</v>
      </c>
    </row>
    <row r="3">
      <c r="A3" s="32" t="s">
        <v>76</v>
      </c>
      <c r="B3" s="33"/>
      <c r="C3" s="34"/>
      <c r="D3" s="34"/>
      <c r="E3" s="34"/>
      <c r="F3" s="34"/>
      <c r="G3" s="34"/>
      <c r="H3" s="34"/>
      <c r="I3" s="33"/>
      <c r="J3" s="34"/>
      <c r="K3" s="34"/>
      <c r="L3" s="34"/>
      <c r="M3" s="34"/>
      <c r="N3" s="34"/>
      <c r="O3" s="34"/>
      <c r="P3" s="33"/>
      <c r="Q3" s="34"/>
      <c r="R3" s="34"/>
      <c r="S3" s="34"/>
      <c r="T3" s="34"/>
      <c r="U3" s="34"/>
      <c r="V3" s="34"/>
      <c r="W3" s="33"/>
      <c r="X3" s="34"/>
      <c r="Y3" s="34"/>
      <c r="Z3" s="34"/>
      <c r="AA3" s="34"/>
      <c r="AB3" s="34"/>
      <c r="AC3" s="34"/>
      <c r="AD3" s="33"/>
      <c r="AE3" s="34"/>
      <c r="AF3" s="34"/>
      <c r="AG3" s="34"/>
      <c r="AH3" s="34"/>
      <c r="AI3" s="34"/>
      <c r="AJ3" s="34"/>
      <c r="AK3" s="33"/>
      <c r="AL3" s="34"/>
      <c r="AM3" s="34"/>
      <c r="AN3" s="34"/>
      <c r="AO3" s="34"/>
      <c r="AP3" s="34"/>
      <c r="AQ3" s="34"/>
      <c r="AR3" s="33"/>
      <c r="AS3" s="34"/>
      <c r="AT3" s="34"/>
      <c r="AU3" s="34"/>
      <c r="AV3" s="34"/>
      <c r="AW3" s="34"/>
      <c r="AX3" s="34"/>
      <c r="AY3" s="33"/>
      <c r="AZ3" s="34"/>
      <c r="BA3" s="34"/>
      <c r="BB3" s="34"/>
      <c r="BC3" s="34"/>
      <c r="BD3" s="34"/>
      <c r="BE3" s="34"/>
      <c r="BF3" s="33"/>
      <c r="BG3" s="34"/>
      <c r="BH3" s="34"/>
      <c r="BI3" s="34"/>
      <c r="BJ3" s="34"/>
      <c r="BK3" s="34"/>
      <c r="BL3" s="34"/>
      <c r="BM3" s="33"/>
      <c r="BN3" s="34"/>
      <c r="BO3" s="34"/>
      <c r="BP3" s="34"/>
      <c r="BQ3" s="34"/>
      <c r="BR3" s="34"/>
      <c r="BS3" s="34"/>
      <c r="BT3" s="33"/>
      <c r="BU3" s="34"/>
      <c r="BV3" s="34"/>
      <c r="BW3" s="34"/>
      <c r="BX3" s="34"/>
      <c r="BY3" s="34"/>
      <c r="BZ3" s="34"/>
      <c r="CA3" s="33"/>
      <c r="CB3" s="34"/>
      <c r="CC3" s="34"/>
      <c r="CD3" s="34"/>
      <c r="CE3" s="34"/>
      <c r="CF3" s="34"/>
      <c r="CG3" s="34"/>
      <c r="CH3" s="33"/>
      <c r="CI3" s="34"/>
      <c r="CJ3" s="34"/>
      <c r="CK3" s="34"/>
      <c r="CL3" s="34"/>
      <c r="CM3" s="34"/>
      <c r="CN3" s="34"/>
      <c r="CO3" s="33"/>
      <c r="CP3" s="34"/>
      <c r="CQ3" s="34"/>
      <c r="CR3" s="34"/>
      <c r="CS3" s="34"/>
      <c r="CT3" s="34"/>
      <c r="CU3" s="34"/>
      <c r="CV3" s="33"/>
      <c r="CW3" s="34"/>
      <c r="CX3" s="34"/>
      <c r="CY3" s="34"/>
      <c r="CZ3" s="34"/>
      <c r="DA3" s="34"/>
      <c r="DB3" s="34"/>
      <c r="DC3" s="33"/>
      <c r="DD3" s="34"/>
      <c r="DE3" s="34"/>
      <c r="DF3" s="34"/>
      <c r="DG3" s="34"/>
      <c r="DH3" s="34"/>
      <c r="DI3" s="34"/>
      <c r="DJ3" s="33"/>
      <c r="DK3" s="34"/>
      <c r="DL3" s="34"/>
      <c r="DM3" s="34"/>
      <c r="DN3" s="34"/>
      <c r="DO3" s="34"/>
      <c r="DP3" s="34"/>
      <c r="DQ3" s="33"/>
      <c r="DR3" s="34"/>
      <c r="DS3" s="34"/>
      <c r="DT3" s="34"/>
      <c r="DU3" s="34"/>
      <c r="DV3" s="34"/>
      <c r="DW3" s="34"/>
      <c r="DX3" s="33"/>
      <c r="DY3" s="34"/>
      <c r="DZ3" s="34"/>
      <c r="EA3" s="34"/>
      <c r="EB3" s="34"/>
      <c r="EC3" s="34"/>
      <c r="ED3" s="34"/>
      <c r="EE3" s="35" t="s">
        <v>77</v>
      </c>
      <c r="EF3" s="36"/>
      <c r="EG3" s="36"/>
      <c r="EH3" s="36"/>
      <c r="EI3" s="36"/>
      <c r="EJ3" s="36"/>
      <c r="EK3" s="36"/>
      <c r="EL3" s="33"/>
      <c r="EM3" s="34"/>
      <c r="EN3" s="34"/>
      <c r="EO3" s="34"/>
      <c r="EP3" s="34"/>
      <c r="EQ3" s="34"/>
      <c r="ER3" s="34"/>
    </row>
    <row r="4" hidden="1">
      <c r="A4" s="37" t="str">
        <f>CONCATENATE(A5," TM")</f>
        <v>Squat TM</v>
      </c>
      <c r="B4" s="38">
        <f>if(D4="",'Quick Setup'!D5,D4/'Quick Setup'!E5)</f>
        <v>490</v>
      </c>
      <c r="C4" s="39" t="s">
        <v>75</v>
      </c>
      <c r="D4" s="40"/>
      <c r="E4" s="41"/>
      <c r="F4" s="41"/>
      <c r="G4" s="41"/>
      <c r="H4" s="41"/>
      <c r="I4" s="38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490</v>
      </c>
      <c r="J4" s="39" t="s">
        <v>75</v>
      </c>
      <c r="K4" s="40"/>
      <c r="L4" s="41"/>
      <c r="M4" s="41"/>
      <c r="N4" s="41"/>
      <c r="O4" s="41"/>
      <c r="P4" s="38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490</v>
      </c>
      <c r="Q4" s="39" t="s">
        <v>75</v>
      </c>
      <c r="R4" s="40"/>
      <c r="S4" s="41"/>
      <c r="T4" s="41"/>
      <c r="U4" s="41"/>
      <c r="V4" s="41"/>
      <c r="W4" s="38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490</v>
      </c>
      <c r="X4" s="39" t="s">
        <v>75</v>
      </c>
      <c r="Y4" s="40"/>
      <c r="Z4" s="41"/>
      <c r="AA4" s="41"/>
      <c r="AB4" s="41"/>
      <c r="AC4" s="41"/>
      <c r="AD4" s="38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490</v>
      </c>
      <c r="AE4" s="39" t="s">
        <v>75</v>
      </c>
      <c r="AF4" s="40"/>
      <c r="AG4" s="41"/>
      <c r="AH4" s="41"/>
      <c r="AI4" s="41"/>
      <c r="AJ4" s="41"/>
      <c r="AK4" s="38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490</v>
      </c>
      <c r="AL4" s="39" t="s">
        <v>75</v>
      </c>
      <c r="AM4" s="40"/>
      <c r="AN4" s="41"/>
      <c r="AO4" s="41"/>
      <c r="AP4" s="41"/>
      <c r="AQ4" s="41"/>
      <c r="AR4" s="38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490</v>
      </c>
      <c r="AS4" s="39" t="s">
        <v>75</v>
      </c>
      <c r="AT4" s="40"/>
      <c r="AU4" s="41"/>
      <c r="AV4" s="41"/>
      <c r="AW4" s="41"/>
      <c r="AX4" s="41"/>
      <c r="AY4" s="38">
        <f>if(BA4="",AR4,BA4/'Quick Setup'!$E5)</f>
        <v>490</v>
      </c>
      <c r="AZ4" s="39" t="s">
        <v>75</v>
      </c>
      <c r="BA4" s="40"/>
      <c r="BB4" s="41"/>
      <c r="BC4" s="41"/>
      <c r="BD4" s="41"/>
      <c r="BE4" s="41"/>
      <c r="BF4" s="38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490</v>
      </c>
      <c r="BG4" s="39" t="s">
        <v>75</v>
      </c>
      <c r="BH4" s="40"/>
      <c r="BI4" s="41"/>
      <c r="BJ4" s="41"/>
      <c r="BK4" s="41"/>
      <c r="BL4" s="41"/>
      <c r="BM4" s="38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490</v>
      </c>
      <c r="BN4" s="39" t="s">
        <v>75</v>
      </c>
      <c r="BO4" s="40"/>
      <c r="BP4" s="41"/>
      <c r="BQ4" s="41"/>
      <c r="BR4" s="41"/>
      <c r="BS4" s="41"/>
      <c r="BT4" s="38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490</v>
      </c>
      <c r="BU4" s="39" t="s">
        <v>75</v>
      </c>
      <c r="BV4" s="40"/>
      <c r="BW4" s="41"/>
      <c r="BX4" s="41"/>
      <c r="BY4" s="41"/>
      <c r="BZ4" s="41"/>
      <c r="CA4" s="38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490</v>
      </c>
      <c r="CB4" s="39" t="s">
        <v>75</v>
      </c>
      <c r="CC4" s="40"/>
      <c r="CD4" s="41"/>
      <c r="CE4" s="41"/>
      <c r="CF4" s="41"/>
      <c r="CG4" s="41"/>
      <c r="CH4" s="38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490</v>
      </c>
      <c r="CI4" s="39" t="s">
        <v>75</v>
      </c>
      <c r="CJ4" s="40"/>
      <c r="CK4" s="41"/>
      <c r="CL4" s="41"/>
      <c r="CM4" s="41"/>
      <c r="CN4" s="41"/>
      <c r="CO4" s="38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490</v>
      </c>
      <c r="CP4" s="39" t="s">
        <v>75</v>
      </c>
      <c r="CQ4" s="40"/>
      <c r="CR4" s="41"/>
      <c r="CS4" s="41"/>
      <c r="CT4" s="41"/>
      <c r="CU4" s="41"/>
      <c r="CV4" s="38">
        <f>if(CX4="",CO4,CX4/'Quick Setup'!$E5)</f>
        <v>490</v>
      </c>
      <c r="CW4" s="39" t="s">
        <v>75</v>
      </c>
      <c r="CX4" s="40"/>
      <c r="CY4" s="41"/>
      <c r="CZ4" s="41"/>
      <c r="DA4" s="41"/>
      <c r="DB4" s="41"/>
      <c r="DC4" s="38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490</v>
      </c>
      <c r="DD4" s="39" t="s">
        <v>75</v>
      </c>
      <c r="DE4" s="40"/>
      <c r="DF4" s="41"/>
      <c r="DG4" s="41"/>
      <c r="DH4" s="41"/>
      <c r="DI4" s="41"/>
      <c r="DJ4" s="38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490</v>
      </c>
      <c r="DK4" s="39" t="s">
        <v>75</v>
      </c>
      <c r="DL4" s="40"/>
      <c r="DM4" s="41"/>
      <c r="DN4" s="41"/>
      <c r="DO4" s="41"/>
      <c r="DP4" s="41"/>
      <c r="DQ4" s="38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490</v>
      </c>
      <c r="DR4" s="39" t="s">
        <v>75</v>
      </c>
      <c r="DS4" s="40"/>
      <c r="DT4" s="41"/>
      <c r="DU4" s="41"/>
      <c r="DV4" s="41"/>
      <c r="DW4" s="41"/>
      <c r="DX4" s="38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490</v>
      </c>
      <c r="DY4" s="39" t="s">
        <v>75</v>
      </c>
      <c r="DZ4" s="40"/>
      <c r="EA4" s="41"/>
      <c r="EB4" s="41"/>
      <c r="EC4" s="41"/>
      <c r="ED4" s="41"/>
      <c r="EE4" s="38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490</v>
      </c>
      <c r="EF4" s="39" t="s">
        <v>75</v>
      </c>
      <c r="EG4" s="40"/>
      <c r="EH4" s="41"/>
      <c r="EI4" s="41"/>
      <c r="EJ4" s="41"/>
      <c r="EK4" s="41"/>
      <c r="EL4" s="38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490</v>
      </c>
      <c r="EM4" s="39" t="s">
        <v>75</v>
      </c>
      <c r="EN4" s="40"/>
      <c r="EO4" s="41"/>
      <c r="EP4" s="41"/>
      <c r="EQ4" s="41"/>
      <c r="ER4" s="41"/>
    </row>
    <row r="5">
      <c r="A5" s="1" t="str">
        <f>Setup!A3</f>
        <v>Squat</v>
      </c>
      <c r="B5" s="42">
        <f>mround(B4*Setup!B3,'Quick Setup'!$A$2)</f>
        <v>342.5</v>
      </c>
      <c r="C5" s="3">
        <f>Setup!C3</f>
        <v>5</v>
      </c>
      <c r="D5" s="3">
        <f>Setup!D3</f>
        <v>10</v>
      </c>
      <c r="E5" s="3">
        <f>Setup!E3</f>
        <v>5</v>
      </c>
      <c r="F5" s="10"/>
      <c r="G5" s="10"/>
      <c r="H5" s="10"/>
      <c r="I5" s="42">
        <f>mround(I4*Setup!N3,'Quick Setup'!$A$2)</f>
        <v>367.5</v>
      </c>
      <c r="J5" s="3">
        <f>Setup!O3</f>
        <v>4</v>
      </c>
      <c r="K5" s="3">
        <f>Setup!P3</f>
        <v>8</v>
      </c>
      <c r="L5" s="3">
        <f>Setup!Q3</f>
        <v>5</v>
      </c>
      <c r="M5" s="10"/>
      <c r="N5" s="10"/>
      <c r="O5" s="10"/>
      <c r="P5" s="42">
        <f>mround(P4*Setup!Z3,'Quick Setup'!$A$2)</f>
        <v>392.5</v>
      </c>
      <c r="Q5" s="3">
        <f>Setup!AA3</f>
        <v>3</v>
      </c>
      <c r="R5" s="3">
        <f>Setup!AB3</f>
        <v>6</v>
      </c>
      <c r="S5" s="3">
        <f>Setup!AC3</f>
        <v>5</v>
      </c>
      <c r="T5" s="10"/>
      <c r="U5" s="10"/>
      <c r="V5" s="10"/>
      <c r="W5" s="42">
        <f>mround(W4*Setup!AL3,'Quick Setup'!$A$2)</f>
        <v>355</v>
      </c>
      <c r="X5" s="3">
        <f>Setup!AM3</f>
        <v>5</v>
      </c>
      <c r="Y5" s="3">
        <f>Setup!AN3</f>
        <v>9</v>
      </c>
      <c r="Z5" s="3">
        <f>Setup!AO3</f>
        <v>5</v>
      </c>
      <c r="AA5" s="10"/>
      <c r="AB5" s="10"/>
      <c r="AC5" s="10"/>
      <c r="AD5" s="42">
        <f>mround(AD4*Setup!AX3,'Quick Setup'!$A$2)</f>
        <v>380</v>
      </c>
      <c r="AE5" s="3">
        <f>Setup!AY3</f>
        <v>4</v>
      </c>
      <c r="AF5" s="3">
        <f>Setup!AZ3</f>
        <v>7</v>
      </c>
      <c r="AG5" s="3">
        <f>Setup!BA3</f>
        <v>5</v>
      </c>
      <c r="AH5" s="10"/>
      <c r="AI5" s="10"/>
      <c r="AJ5" s="10"/>
      <c r="AK5" s="42">
        <f>mround(AK4*Setup!BJ3,'Quick Setup'!$A$2)</f>
        <v>405</v>
      </c>
      <c r="AL5" s="3">
        <f>Setup!BK3</f>
        <v>3</v>
      </c>
      <c r="AM5" s="3">
        <f>Setup!BL3</f>
        <v>5</v>
      </c>
      <c r="AN5" s="3">
        <f>Setup!BM3</f>
        <v>5</v>
      </c>
      <c r="AO5" s="10"/>
      <c r="AP5" s="10"/>
      <c r="AQ5" s="10"/>
      <c r="AR5" s="42">
        <f>mround(AR4*Setup!BV3,'Quick Setup'!$A$2)</f>
        <v>295</v>
      </c>
      <c r="AS5" s="1">
        <v>5.0</v>
      </c>
      <c r="AT5" s="1" t="s">
        <v>78</v>
      </c>
      <c r="AU5" s="3">
        <f>Setup!BY3</f>
        <v>5</v>
      </c>
      <c r="AV5" s="10"/>
      <c r="AW5" s="10"/>
      <c r="AX5" s="10"/>
      <c r="AY5" s="42">
        <f>mround(AY4*Setup!CH3,'Quick Setup'!$A$2)</f>
        <v>367.5</v>
      </c>
      <c r="AZ5" s="3">
        <f>Setup!CI3</f>
        <v>4</v>
      </c>
      <c r="BA5" s="3">
        <f>Setup!CJ3</f>
        <v>8</v>
      </c>
      <c r="BB5" s="3">
        <f>Setup!CK3</f>
        <v>5</v>
      </c>
      <c r="BC5" s="10"/>
      <c r="BD5" s="10"/>
      <c r="BE5" s="10"/>
      <c r="BF5" s="42">
        <f>mround(BF4*Setup!CT3,'Quick Setup'!$A$2)</f>
        <v>392.5</v>
      </c>
      <c r="BG5" s="3">
        <f>Setup!CU3</f>
        <v>3</v>
      </c>
      <c r="BH5" s="3">
        <f>Setup!CV3</f>
        <v>6</v>
      </c>
      <c r="BI5" s="3">
        <f>Setup!CW3</f>
        <v>5</v>
      </c>
      <c r="BJ5" s="10"/>
      <c r="BK5" s="10"/>
      <c r="BL5" s="10"/>
      <c r="BM5" s="42">
        <f>mround(BM4*Setup!DF3,'Quick Setup'!$A$2)</f>
        <v>417.5</v>
      </c>
      <c r="BN5" s="3">
        <f>Setup!DG3</f>
        <v>2</v>
      </c>
      <c r="BO5" s="3">
        <f>Setup!DH3</f>
        <v>4</v>
      </c>
      <c r="BP5" s="3">
        <f>Setup!DI3</f>
        <v>5</v>
      </c>
      <c r="BQ5" s="10"/>
      <c r="BR5" s="10"/>
      <c r="BS5" s="10"/>
      <c r="BT5" s="42">
        <f>mround(BT4*Setup!DR3,'Quick Setup'!$A$2)</f>
        <v>380</v>
      </c>
      <c r="BU5" s="3">
        <f>Setup!DS3</f>
        <v>4</v>
      </c>
      <c r="BV5" s="3">
        <f>Setup!DT3</f>
        <v>7</v>
      </c>
      <c r="BW5" s="3">
        <f>Setup!DU3</f>
        <v>5</v>
      </c>
      <c r="BX5" s="10"/>
      <c r="BY5" s="10"/>
      <c r="BZ5" s="10"/>
      <c r="CA5" s="42">
        <f>mround(CA4*Setup!ED3,'Quick Setup'!$A$2)</f>
        <v>405</v>
      </c>
      <c r="CB5" s="3">
        <f>Setup!EE3</f>
        <v>3</v>
      </c>
      <c r="CC5" s="3">
        <f>Setup!EF3</f>
        <v>5</v>
      </c>
      <c r="CD5" s="3">
        <f>Setup!EG3</f>
        <v>5</v>
      </c>
      <c r="CE5" s="10"/>
      <c r="CF5" s="10"/>
      <c r="CG5" s="10"/>
      <c r="CH5" s="42">
        <f>mround(CH4*Setup!EP3,'Quick Setup'!$A$2)</f>
        <v>430</v>
      </c>
      <c r="CI5" s="3">
        <f>Setup!EQ3</f>
        <v>2</v>
      </c>
      <c r="CJ5" s="3">
        <f>Setup!ER3</f>
        <v>3</v>
      </c>
      <c r="CK5" s="3">
        <f>Setup!ES3</f>
        <v>5</v>
      </c>
      <c r="CL5" s="10"/>
      <c r="CM5" s="10"/>
      <c r="CN5" s="10"/>
      <c r="CO5" s="42">
        <f>mround(CO4*Setup!FB3,'Quick Setup'!$A$2)</f>
        <v>295</v>
      </c>
      <c r="CP5" s="1">
        <v>5.0</v>
      </c>
      <c r="CQ5" s="1" t="s">
        <v>78</v>
      </c>
      <c r="CR5" s="3">
        <f>Setup!FE3</f>
        <v>5</v>
      </c>
      <c r="CS5" s="10"/>
      <c r="CT5" s="10"/>
      <c r="CU5" s="10"/>
      <c r="CV5" s="42">
        <f>mround(CV4*Setup!FN3,'Quick Setup'!$A$2)</f>
        <v>392.5</v>
      </c>
      <c r="CW5" s="3">
        <f>Setup!FO3</f>
        <v>3</v>
      </c>
      <c r="CX5" s="3">
        <f>Setup!FP3</f>
        <v>6</v>
      </c>
      <c r="CY5" s="3">
        <f>Setup!FQ3</f>
        <v>5</v>
      </c>
      <c r="CZ5" s="10"/>
      <c r="DA5" s="10"/>
      <c r="DB5" s="10"/>
      <c r="DC5" s="42">
        <f>mround(DC4*Setup!FZ3,'Quick Setup'!$A$2)</f>
        <v>417.5</v>
      </c>
      <c r="DD5" s="3">
        <f>Setup!GA3</f>
        <v>2</v>
      </c>
      <c r="DE5" s="3">
        <f>Setup!GB3</f>
        <v>4</v>
      </c>
      <c r="DF5" s="3">
        <f>Setup!GC3</f>
        <v>5</v>
      </c>
      <c r="DG5" s="10"/>
      <c r="DH5" s="10"/>
      <c r="DI5" s="10"/>
      <c r="DJ5" s="42">
        <f>mround(DJ4*Setup!GL3,'Quick Setup'!$A$2)</f>
        <v>440</v>
      </c>
      <c r="DK5" s="3">
        <f>Setup!GM3</f>
        <v>1</v>
      </c>
      <c r="DL5" s="3">
        <f>Setup!GN3</f>
        <v>2</v>
      </c>
      <c r="DM5" s="3">
        <f>Setup!GO3</f>
        <v>5</v>
      </c>
      <c r="DN5" s="10"/>
      <c r="DO5" s="10"/>
      <c r="DP5" s="10"/>
      <c r="DQ5" s="42">
        <f>mround(DQ4*Setup!GX3,'Quick Setup'!$A$2)</f>
        <v>417.5</v>
      </c>
      <c r="DR5" s="3">
        <f>Setup!GY3</f>
        <v>2</v>
      </c>
      <c r="DS5" s="3">
        <f>Setup!GZ3</f>
        <v>4</v>
      </c>
      <c r="DT5" s="3">
        <f>Setup!HA3</f>
        <v>5</v>
      </c>
      <c r="DU5" s="10"/>
      <c r="DV5" s="10"/>
      <c r="DW5" s="10"/>
      <c r="DX5" s="42">
        <f>mround(DX4*Setup!HJ3,'Quick Setup'!$A$2)</f>
        <v>440</v>
      </c>
      <c r="DY5" s="3">
        <f>Setup!HK3</f>
        <v>1</v>
      </c>
      <c r="DZ5" s="3">
        <f>Setup!HL3</f>
        <v>2</v>
      </c>
      <c r="EA5" s="3">
        <f>Setup!HM3</f>
        <v>5</v>
      </c>
      <c r="EB5" s="10"/>
      <c r="EC5" s="10"/>
      <c r="ED5" s="10"/>
      <c r="EE5" s="42">
        <f>mround(EE4*Setup!HV3,'Quick Setup'!$A$2)</f>
        <v>465</v>
      </c>
      <c r="EF5" s="3">
        <f>Setup!HW3</f>
        <v>1</v>
      </c>
      <c r="EG5" s="3">
        <f>Setup!HX3</f>
        <v>1</v>
      </c>
      <c r="EH5" s="3">
        <f>Setup!HY3</f>
        <v>5</v>
      </c>
      <c r="EI5" s="10"/>
      <c r="EJ5" s="10"/>
      <c r="EK5" s="10"/>
      <c r="EL5" s="42">
        <f>mround(EL4*Setup!IH3,'Quick Setup'!$A$2)</f>
        <v>295</v>
      </c>
      <c r="EM5" s="1">
        <v>5.0</v>
      </c>
      <c r="EN5" s="1" t="s">
        <v>78</v>
      </c>
      <c r="EO5" s="3">
        <f>Setup!IK3</f>
        <v>5</v>
      </c>
      <c r="EP5" s="10"/>
      <c r="EQ5" s="10"/>
      <c r="ER5" s="10"/>
    </row>
    <row r="6" hidden="1">
      <c r="A6" s="37" t="str">
        <f>CONCATENATE(A7," TM")</f>
        <v>Sumo Deadlift TM</v>
      </c>
      <c r="B6" s="38">
        <f>if(D6="",'Quick Setup'!D15,D6/'Quick Setup'!E15)</f>
        <v>500</v>
      </c>
      <c r="C6" s="39" t="s">
        <v>75</v>
      </c>
      <c r="D6" s="40"/>
      <c r="E6" s="41"/>
      <c r="F6" s="41"/>
      <c r="G6" s="41"/>
      <c r="H6" s="41"/>
      <c r="I6" s="38">
        <f>if(K6="", if(F7&lt;&gt;"", if((F7-D7)&lt;-1,B6*(1+Setup!F13),if((F7-D7)&lt;0,B6*(1+Setup!G13),if((F7-D7)=0,B6*(1+Setup!H13),if((F7-D7)=1,B6*(1+Setup!I13),if((F7-D7)=2,B6*(1+Setup!J13),if((F7-D7)=3,B6*(1+Setup!K13),if((F7-D7)=4,B6*(1+Setup!L13),if((F7-D7)&gt;4,B6*(1+Setup!M13),B6)))))))),B6),K6/'Quick Setup'!$E15)</f>
        <v>500</v>
      </c>
      <c r="J6" s="39" t="s">
        <v>75</v>
      </c>
      <c r="K6" s="40"/>
      <c r="L6" s="41"/>
      <c r="M6" s="41"/>
      <c r="N6" s="41"/>
      <c r="O6" s="41"/>
      <c r="P6" s="38">
        <f>if(R6="", if(M7&lt;&gt;"", if((M7-K7)&lt;-1,I6*(1+Setup!R13),if((M7-K7)&lt;0,I6*(1+Setup!S13),if((M7-K7)=0,I6*(1+Setup!T13),if((M7-K7)=1,I6*(1+Setup!U13),if((M7-K7)=2,I6*(1+Setup!V13),if((M7-K7)=3,I6*(1+Setup!W13),if((M7-K7)=4,I6*(1+Setup!X13),if((M7-K7)&gt;4,I6*(1+Setup!Y13),I6)))))))),I6),R6/'Quick Setup'!$E15)</f>
        <v>500</v>
      </c>
      <c r="Q6" s="39" t="s">
        <v>75</v>
      </c>
      <c r="R6" s="40"/>
      <c r="S6" s="41"/>
      <c r="T6" s="41"/>
      <c r="U6" s="41"/>
      <c r="V6" s="41"/>
      <c r="W6" s="38">
        <f>if(Y6="", if(T7&lt;&gt;"", if((T7-R7)&lt;-1,P6*(1+Setup!AD13),if((T7-R7)&lt;0,P6*(1+Setup!AE13),if((T7-R7)=0,P6*(1+Setup!AF13),if((T7-R7)=1,P6*(1+Setup!AG13),if((T7-R7)=2,P6*(1+Setup!AH13),if((T7-R7)=3,P6*(1+Setup!AI13),if((T7-R7)=4,P6*(1+Setup!AJ13),if((T7-R7)&gt;4,P6*(1+Setup!AK13),P6)))))))),P6),Y6/'Quick Setup'!$E15)</f>
        <v>500</v>
      </c>
      <c r="X6" s="39" t="s">
        <v>75</v>
      </c>
      <c r="Y6" s="40"/>
      <c r="Z6" s="41"/>
      <c r="AA6" s="41"/>
      <c r="AB6" s="41"/>
      <c r="AC6" s="41"/>
      <c r="AD6" s="38">
        <f>if(AF6="", if(AA7&lt;&gt;"", if((AA7-Y7)&lt;-1,W6*(1+Setup!AP13),if((AA7-Y7)&lt;0,W6*(1+Setup!AQ13),if((AA7-Y7)=0,W6*(1+Setup!AR13),if((AA7-Y7)=1,W6*(1+Setup!AS13),if((AA7-Y7)=2,W6*(1+Setup!AT13),if((AA7-Y7)=3,W6*(1+Setup!AU13),if((AA7-Y7)=4,W6*(1+Setup!AV13),if((AA7-Y7)&gt;4,W6*(1+Setup!AW13),W6)))))))),W6),AF6/'Quick Setup'!$E15)</f>
        <v>500</v>
      </c>
      <c r="AE6" s="39" t="s">
        <v>75</v>
      </c>
      <c r="AF6" s="40"/>
      <c r="AG6" s="41"/>
      <c r="AH6" s="41"/>
      <c r="AI6" s="41"/>
      <c r="AJ6" s="41"/>
      <c r="AK6" s="38">
        <f>if(AM6="", if(AH7&lt;&gt;"", if((AH7-AF7)&lt;-1,AD6*(1+Setup!BB13),if((AH7-AF7)&lt;0,AD6*(1+Setup!BC13),if((AH7-AF7)=0,AD6*(1+Setup!BD13),if((AH7-AF7)=1,AD6*(1+Setup!BE13),if((AH7-AF7)=2,AD6*(1+Setup!BF13),if((AH7-AF7)=3,AD6*(1+Setup!BG13),if((AH7-AF7)=4,AD6*(1+Setup!BH13),if((AH7-AF7)&gt;4,AD6*(1+Setup!BI13),AD6)))))))),AD6),AM6/'Quick Setup'!$E15)</f>
        <v>500</v>
      </c>
      <c r="AL6" s="39" t="s">
        <v>75</v>
      </c>
      <c r="AM6" s="40"/>
      <c r="AN6" s="41"/>
      <c r="AO6" s="41"/>
      <c r="AP6" s="41"/>
      <c r="AQ6" s="41"/>
      <c r="AR6" s="38">
        <f>if(AT6="", if(AO7&lt;&gt;"", if((AO7-AM7)&lt;-1,AK6*(1+Setup!BN13),if((AO7-AM7)&lt;0,AK6*(1+Setup!BO13),if((AO7-AM7)=0,AK6*(1+Setup!BP13),if((AO7-AM7)=1,AK6*(1+Setup!BQ13),if((AO7-AM7)=2,AK6*(1+Setup!BR13),if((AO7-AM7)=3,AK6*(1+Setup!BS13),if((AO7-AM7)=4,AK6*(1+Setup!BT13),if((AO7-AM7)&gt;4,AK6*(1+Setup!BU13),AK6)))))))),AK6),AT6/'Quick Setup'!$E15)</f>
        <v>500</v>
      </c>
      <c r="AS6" s="39" t="s">
        <v>75</v>
      </c>
      <c r="AT6" s="40"/>
      <c r="AU6" s="41"/>
      <c r="AV6" s="41"/>
      <c r="AW6" s="41"/>
      <c r="AX6" s="41"/>
      <c r="AY6" s="38">
        <f>if(BA6="",AR6,BA6/'Quick Setup'!$E15)</f>
        <v>500</v>
      </c>
      <c r="AZ6" s="39" t="s">
        <v>75</v>
      </c>
      <c r="BA6" s="40"/>
      <c r="BB6" s="41"/>
      <c r="BC6" s="41"/>
      <c r="BD6" s="41"/>
      <c r="BE6" s="41"/>
      <c r="BF6" s="38">
        <f>if(BH6="", if(BC7&lt;&gt;"", if((BC7-BA7)&lt;-1,AY6*(1+Setup!CL13),if((BC7-BA7)&lt;0,AY6*(1+Setup!CM13),if((BC7-BA7)=0,AY6*(1+Setup!CN13),if((BC7-BA7)=1,AY6*(1+Setup!CO13),if((BC7-BA7)=2,AY6*(1+Setup!CP13),if((BC7-BA7)=3,AY6*(1+Setup!CQ13),if((BC7-BA7)=4,AY6*(1+Setup!CR13),if((BC7-BA7)&gt;4,AY6*(1+Setup!CS13),AY6)))))))),AY6),BH6/'Quick Setup'!$E15)</f>
        <v>500</v>
      </c>
      <c r="BG6" s="39" t="s">
        <v>75</v>
      </c>
      <c r="BH6" s="40"/>
      <c r="BI6" s="41"/>
      <c r="BJ6" s="41"/>
      <c r="BK6" s="41"/>
      <c r="BL6" s="41"/>
      <c r="BM6" s="38">
        <f>if(BO6="", if(BJ7&lt;&gt;"", if((BJ7-BH7)&lt;-1,BF6*(1+Setup!CX13),if((BJ7-BH7)&lt;0,BF6*(1+Setup!CY13),if((BJ7-BH7)=0,BF6*(1+Setup!CZ13),if((BJ7-BH7)=1,BF6*(1+Setup!DA13),if((BJ7-BH7)=2,BF6*(1+Setup!DB13),if((BJ7-BH7)=3,BF6*(1+Setup!DC13),if((BJ7-BH7)=4,BF6*(1+Setup!DD13),if((BJ7-BH7)&gt;4,BF6*(1+Setup!DE13),BF6)))))))),BF6),BO6/'Quick Setup'!$E15)</f>
        <v>500</v>
      </c>
      <c r="BN6" s="39" t="s">
        <v>75</v>
      </c>
      <c r="BO6" s="40"/>
      <c r="BP6" s="41"/>
      <c r="BQ6" s="41"/>
      <c r="BR6" s="41"/>
      <c r="BS6" s="41"/>
      <c r="BT6" s="38">
        <f>if(BV6="", if(BQ7&lt;&gt;"", if((BQ7-BO7)&lt;-1,BM6*(1+Setup!DJ13),if((BQ7-BO7)&lt;0,BM6*(1+Setup!DK13),if((BQ7-BO7)=0,BM6*(1+Setup!DL13),if((BQ7-BO7)=1,BM6*(1+Setup!DM13),if((BQ7-BO7)=2,BM6*(1+Setup!DN13),if((BQ7-BO7)=3,BM6*(1+Setup!DO13),if((BQ7-BO7)=4,BM6*(1+Setup!DP13),if((BQ7-BO7)&gt;4,BM6*(1+Setup!DQ13),BM6)))))))),BM6),BV6/'Quick Setup'!$E15)</f>
        <v>500</v>
      </c>
      <c r="BU6" s="39" t="s">
        <v>75</v>
      </c>
      <c r="BV6" s="40"/>
      <c r="BW6" s="41"/>
      <c r="BX6" s="41"/>
      <c r="BY6" s="41"/>
      <c r="BZ6" s="41"/>
      <c r="CA6" s="38">
        <f>if(CC6="", if(BX7&lt;&gt;"", if((BX7-BV7)&lt;-1,BT6*(1+Setup!DV13),if((BX7-BV7)&lt;0,BT6*(1+Setup!DW13),if((BX7-BV7)=0,BT6*(1+Setup!DX13),if((BX7-BV7)=1,BT6*(1+Setup!DY13),if((BX7-BV7)=2,BT6*(1+Setup!DZ13),if((BX7-BV7)=3,BT6*(1+Setup!EA13),if((BX7-BV7)=4,BT6*(1+Setup!EB13),if((BX7-BV7)&gt;4,BT6*(1+Setup!EC13),BT6)))))))),BT6),CC6/'Quick Setup'!$E15)</f>
        <v>500</v>
      </c>
      <c r="CB6" s="39" t="s">
        <v>75</v>
      </c>
      <c r="CC6" s="40"/>
      <c r="CD6" s="41"/>
      <c r="CE6" s="41"/>
      <c r="CF6" s="41"/>
      <c r="CG6" s="41"/>
      <c r="CH6" s="38">
        <f>if(CJ6="", if(CE7&lt;&gt;"", if((CE7-CC7)&lt;-1,CA6*(1+Setup!EH13),if((CE7-CC7)&lt;0,CA6*(1+Setup!EI13),if((CE7-CC7)=0,CA6*(1+Setup!EJ13),if((CE7-CC7)=1,CA6*(1+Setup!EK13),if((CE7-CC7)=2,CA6*(1+Setup!EL13),if((CE7-CC7)=3,CA6*(1+Setup!EM13),if((CE7-CC7)=4,CA6*(1+Setup!EN13),if((CE7-CC7)&gt;4,CA6*(1+Setup!EO13),CA6)))))))),CA6),CJ6/'Quick Setup'!$E15)</f>
        <v>500</v>
      </c>
      <c r="CI6" s="39" t="s">
        <v>75</v>
      </c>
      <c r="CJ6" s="40"/>
      <c r="CK6" s="41"/>
      <c r="CL6" s="41"/>
      <c r="CM6" s="41"/>
      <c r="CN6" s="41"/>
      <c r="CO6" s="38">
        <f>if(CQ6="", if(CL7&lt;&gt;"", if((CL7-CJ7)&lt;-1,CH6*(1+Setup!ET13),if((CL7-CJ7)&lt;0,CH6*(1+Setup!EU13),if((CL7-CJ7)=0,CH6*(1+Setup!EV13),if((CL7-CJ7)=1,CH6*(1+Setup!EW13),if((CL7-CJ7)=2,CH6*(1+Setup!EX13),if((CL7-CJ7)=3,CH6*(1+Setup!EY13),if((CL7-CJ7)=4,CH6*(1+Setup!EZ13),if((CL7-CJ7)&gt;4,CH6*(1+Setup!FA13),CH6)))))))),CH6),CQ6/'Quick Setup'!$E15)</f>
        <v>500</v>
      </c>
      <c r="CP6" s="39" t="s">
        <v>75</v>
      </c>
      <c r="CQ6" s="40"/>
      <c r="CR6" s="41"/>
      <c r="CS6" s="41"/>
      <c r="CT6" s="41"/>
      <c r="CU6" s="41"/>
      <c r="CV6" s="38">
        <f>if(CX6="",CO6,CX6/'Quick Setup'!$E15)</f>
        <v>500</v>
      </c>
      <c r="CW6" s="39" t="s">
        <v>75</v>
      </c>
      <c r="CX6" s="40"/>
      <c r="CY6" s="41"/>
      <c r="CZ6" s="41"/>
      <c r="DA6" s="41"/>
      <c r="DB6" s="41"/>
      <c r="DC6" s="38">
        <f>if(DE6="", if(CZ7&lt;&gt;"", if((CZ7-CX7)&lt;-1,CV6*(1+Setup!FR13),if((CZ7-CX7)&lt;0,CV6*(1+Setup!FS13),if((CZ7-CX7)=0,CV6*(1+Setup!FT13),if((CZ7-CX7)=1,CV6*(1+Setup!FU13),if((CZ7-CX7)=2,CV6*(1+Setup!FV13),if((CZ7-CX7)=3,CV6*(1+Setup!FW13),if((CZ7-CX7)=4,CV6*(1+Setup!FX13),if((CZ7-CX7)&gt;4,CV6*(1+Setup!FY13),CV6)))))))),CV6),DE6/'Quick Setup'!$E15)</f>
        <v>500</v>
      </c>
      <c r="DD6" s="39" t="s">
        <v>75</v>
      </c>
      <c r="DE6" s="40"/>
      <c r="DF6" s="41"/>
      <c r="DG6" s="41"/>
      <c r="DH6" s="41"/>
      <c r="DI6" s="41"/>
      <c r="DJ6" s="38">
        <f>if(DL6="", if(DG7&lt;&gt;"", if((DG7-DE7)&lt;-1,DC6*(1+Setup!GD13),if((DG7-DE7)&lt;0,DC6*(1+Setup!GE13),if((DG7-DE7)=0,DC6*(1+Setup!GF13),if((DG7-DE7)=1,DC6*(1+Setup!GG13),if((DG7-DE7)=2,DC6*(1+Setup!GH13),if((DG7-DE7)=3,DC6*(1+Setup!GI13),if((DG7-DE7)=4,DC6*(1+Setup!GJ13),if((DG7-DE7)&gt;4,DC6*(1+Setup!GK13),DC6)))))))),DC6),DL6/'Quick Setup'!$E15)</f>
        <v>500</v>
      </c>
      <c r="DK6" s="39" t="s">
        <v>75</v>
      </c>
      <c r="DL6" s="40"/>
      <c r="DM6" s="41"/>
      <c r="DN6" s="41"/>
      <c r="DO6" s="41"/>
      <c r="DP6" s="41"/>
      <c r="DQ6" s="38">
        <f>if(DS6="", if(DN7&lt;&gt;"", if((DN7-DL7)&lt;-1,DJ6*(1+Setup!GP13),if((DN7-DL7)&lt;0,DJ6*(1+Setup!GQ13),if((DN7-DL7)=0,DJ6*(1+Setup!GR13),if((DN7-DL7)=1,DJ6*(1+Setup!GS13),if((DN7-DL7)=2,DJ6*(1+Setup!GT13),if((DN7-DL7)=3,DJ6*(1+Setup!GU13),if((DN7-DL7)=4,DJ6*(1+Setup!GV13),if((DN7-DL7)&gt;4,DJ6*(1+Setup!GW13),DJ6)))))))),DJ6),DS6/'Quick Setup'!$E15)</f>
        <v>500</v>
      </c>
      <c r="DR6" s="39" t="s">
        <v>75</v>
      </c>
      <c r="DS6" s="40"/>
      <c r="DT6" s="41"/>
      <c r="DU6" s="41"/>
      <c r="DV6" s="41"/>
      <c r="DW6" s="41"/>
      <c r="DX6" s="38">
        <f>if(DZ6="", if(DU7&lt;&gt;"", if((DU7-DS7)&lt;-1,DQ6*(1+Setup!HB13),if((DU7-DS7)&lt;0,DQ6*(1+Setup!HC13),if((DU7-DS7)=0,DQ6*(1+Setup!HD13),if((DU7-DS7)=1,DQ6*(1+Setup!HE13),if((DU7-DS7)=2,DQ6*(1+Setup!HF13),if((DU7-DS7)=3,DQ6*(1+Setup!HG13),if((DU7-DS7)=4,DQ6*(1+Setup!HH13),if((DU7-DS7)&gt;4,DQ6*(1+Setup!HI13),DQ6)))))))),DQ6),DZ6/'Quick Setup'!$E15)</f>
        <v>500</v>
      </c>
      <c r="DY6" s="39" t="s">
        <v>75</v>
      </c>
      <c r="DZ6" s="40"/>
      <c r="EA6" s="41"/>
      <c r="EB6" s="41"/>
      <c r="EC6" s="41"/>
      <c r="ED6" s="41"/>
      <c r="EE6" s="38">
        <f>if(EG6="", if(EB7&lt;&gt;"", if((EB7-DZ7)&lt;-1,DX6*(1+Setup!HN13),if((EB7-DZ7)&lt;0,DX6*(1+Setup!HO13),if((EB7-DZ7)=0,DX6*(1+Setup!HP13),if((EB7-DZ7)=1,DX6*(1+Setup!HQ13),if((EB7-DZ7)=2,DX6*(1+Setup!HR13),if((EB7-DZ7)=3,DX6*(1+Setup!HS13),if((EB7-DZ7)=4,DX6*(1+Setup!HT13),if((EB7-DZ7)&gt;4,DX6*(1+Setup!HU13),DX6)))))))),DX6),EG6/'Quick Setup'!$E15)</f>
        <v>500</v>
      </c>
      <c r="EF6" s="39" t="s">
        <v>75</v>
      </c>
      <c r="EG6" s="40"/>
      <c r="EH6" s="41"/>
      <c r="EI6" s="41"/>
      <c r="EJ6" s="41"/>
      <c r="EK6" s="41"/>
      <c r="EL6" s="38">
        <f>if(EN6="", if(EI7&lt;&gt;"", if((EI7-EG7)&lt;-1,EE6*(1+Setup!HZ13),if((EI7-EG7)&lt;0,EE6*(1+Setup!IA13),if((EI7-EG7)=0,EE6*(1+Setup!IB13),if((EI7-EG7)=1,EE6*(1+Setup!IC13),if((EI7-EG7)=2,EE6*(1+Setup!ID13),if((EI7-EG7)=3,EE6*(1+Setup!IE13),if((EI7-EG7)=4,EE6*(1+Setup!IF13),if((EI7-EG7)&gt;4,EE6*(1+Setup!IG13),EE6)))))))),EE6),EN6/'Quick Setup'!$E15)</f>
        <v>500</v>
      </c>
      <c r="EM6" s="39" t="s">
        <v>75</v>
      </c>
      <c r="EN6" s="40"/>
      <c r="EO6" s="41"/>
      <c r="EP6" s="41"/>
      <c r="EQ6" s="41"/>
      <c r="ER6" s="41"/>
    </row>
    <row r="7">
      <c r="A7" s="1" t="str">
        <f>Setup!A13</f>
        <v>Sumo Deadlift</v>
      </c>
      <c r="B7" s="42">
        <f>mround(B6*Setup!B13,'Quick Setup'!$A$2)</f>
        <v>300</v>
      </c>
      <c r="C7" s="3">
        <f>Setup!C13</f>
        <v>7</v>
      </c>
      <c r="D7" s="3">
        <f>Setup!D13</f>
        <v>14</v>
      </c>
      <c r="E7" s="3">
        <f>Setup!E13</f>
        <v>5</v>
      </c>
      <c r="F7" s="10"/>
      <c r="G7" s="10"/>
      <c r="H7" s="10"/>
      <c r="I7" s="42">
        <f>mround(I6*Setup!N13,'Quick Setup'!$A$2)</f>
        <v>325</v>
      </c>
      <c r="J7" s="3">
        <f>Setup!O13</f>
        <v>6</v>
      </c>
      <c r="K7" s="3">
        <f>Setup!P13</f>
        <v>12</v>
      </c>
      <c r="L7" s="3">
        <f>Setup!Q13</f>
        <v>5</v>
      </c>
      <c r="M7" s="10"/>
      <c r="N7" s="10"/>
      <c r="O7" s="10"/>
      <c r="P7" s="42">
        <f>mround(P6*Setup!Z13,'Quick Setup'!$A$2)</f>
        <v>350</v>
      </c>
      <c r="Q7" s="3">
        <f>Setup!AA13</f>
        <v>5</v>
      </c>
      <c r="R7" s="3">
        <f>Setup!AB13</f>
        <v>10</v>
      </c>
      <c r="S7" s="3">
        <f>Setup!AC13</f>
        <v>5</v>
      </c>
      <c r="T7" s="10"/>
      <c r="U7" s="10"/>
      <c r="V7" s="10"/>
      <c r="W7" s="42">
        <f>mround(W6*Setup!AL13,'Quick Setup'!$A$2)</f>
        <v>312.5</v>
      </c>
      <c r="X7" s="3">
        <f>Setup!AM13</f>
        <v>7</v>
      </c>
      <c r="Y7" s="3">
        <f>Setup!AN13</f>
        <v>13</v>
      </c>
      <c r="Z7" s="3">
        <f>Setup!AO13</f>
        <v>5</v>
      </c>
      <c r="AA7" s="10"/>
      <c r="AB7" s="10"/>
      <c r="AC7" s="10"/>
      <c r="AD7" s="42">
        <f>mround(AD6*Setup!AX13,'Quick Setup'!$A$2)</f>
        <v>337.5</v>
      </c>
      <c r="AE7" s="3">
        <f>Setup!AY13</f>
        <v>6</v>
      </c>
      <c r="AF7" s="3">
        <f>Setup!AZ13</f>
        <v>11</v>
      </c>
      <c r="AG7" s="3">
        <f>Setup!BA13</f>
        <v>5</v>
      </c>
      <c r="AH7" s="10"/>
      <c r="AI7" s="10"/>
      <c r="AJ7" s="10"/>
      <c r="AK7" s="42">
        <f>mround(AK6*Setup!BJ13,'Quick Setup'!$A$2)</f>
        <v>362.5</v>
      </c>
      <c r="AL7" s="3">
        <f>Setup!BK13</f>
        <v>5</v>
      </c>
      <c r="AM7" s="3">
        <f>Setup!BL13</f>
        <v>9</v>
      </c>
      <c r="AN7" s="3">
        <f>Setup!BM13</f>
        <v>5</v>
      </c>
      <c r="AO7" s="10"/>
      <c r="AP7" s="10"/>
      <c r="AQ7" s="10"/>
      <c r="AR7" s="42">
        <f>mround(AR6*Setup!BV13,'Quick Setup'!$A$2)</f>
        <v>250</v>
      </c>
      <c r="AS7" s="1">
        <v>5.0</v>
      </c>
      <c r="AT7" s="1" t="s">
        <v>78</v>
      </c>
      <c r="AU7" s="3">
        <f>Setup!BY13</f>
        <v>5</v>
      </c>
      <c r="AV7" s="10"/>
      <c r="AW7" s="10"/>
      <c r="AX7" s="10"/>
      <c r="AY7" s="42">
        <f>mround(AY6*Setup!CH13,'Quick Setup'!$A$2)</f>
        <v>325</v>
      </c>
      <c r="AZ7" s="3">
        <f>Setup!CI13</f>
        <v>6</v>
      </c>
      <c r="BA7" s="3">
        <f>Setup!CJ13</f>
        <v>12</v>
      </c>
      <c r="BB7" s="3">
        <f>Setup!CK13</f>
        <v>5</v>
      </c>
      <c r="BC7" s="10"/>
      <c r="BD7" s="10"/>
      <c r="BE7" s="10"/>
      <c r="BF7" s="42">
        <f>mround(BF6*Setup!CT13,'Quick Setup'!$A$2)</f>
        <v>350</v>
      </c>
      <c r="BG7" s="3">
        <f>Setup!CU13</f>
        <v>5</v>
      </c>
      <c r="BH7" s="3">
        <f>Setup!CV13</f>
        <v>10</v>
      </c>
      <c r="BI7" s="3">
        <f>Setup!CW13</f>
        <v>5</v>
      </c>
      <c r="BJ7" s="10"/>
      <c r="BK7" s="10"/>
      <c r="BL7" s="10"/>
      <c r="BM7" s="42">
        <f>mround(BM6*Setup!DF13,'Quick Setup'!$A$2)</f>
        <v>375</v>
      </c>
      <c r="BN7" s="3">
        <f>Setup!DG13</f>
        <v>4</v>
      </c>
      <c r="BO7" s="3">
        <f>Setup!DH13</f>
        <v>8</v>
      </c>
      <c r="BP7" s="3">
        <f>Setup!DI13</f>
        <v>5</v>
      </c>
      <c r="BQ7" s="10"/>
      <c r="BR7" s="10"/>
      <c r="BS7" s="10"/>
      <c r="BT7" s="42">
        <f>mround(BT6*Setup!DR13,'Quick Setup'!$A$2)</f>
        <v>337.5</v>
      </c>
      <c r="BU7" s="3">
        <f>Setup!DS13</f>
        <v>6</v>
      </c>
      <c r="BV7" s="3">
        <f>Setup!DT13</f>
        <v>11</v>
      </c>
      <c r="BW7" s="3">
        <f>Setup!DU13</f>
        <v>5</v>
      </c>
      <c r="BX7" s="10"/>
      <c r="BY7" s="10"/>
      <c r="BZ7" s="10"/>
      <c r="CA7" s="42">
        <f>mround(CA6*Setup!ED13,'Quick Setup'!$A$2)</f>
        <v>362.5</v>
      </c>
      <c r="CB7" s="3">
        <f>Setup!EE13</f>
        <v>5</v>
      </c>
      <c r="CC7" s="3">
        <f>Setup!EF13</f>
        <v>9</v>
      </c>
      <c r="CD7" s="3">
        <f>Setup!EG13</f>
        <v>5</v>
      </c>
      <c r="CE7" s="10"/>
      <c r="CF7" s="10"/>
      <c r="CG7" s="10"/>
      <c r="CH7" s="42">
        <f>mround(CH6*Setup!EP13,'Quick Setup'!$A$2)</f>
        <v>387.5</v>
      </c>
      <c r="CI7" s="3">
        <f>Setup!EQ13</f>
        <v>4</v>
      </c>
      <c r="CJ7" s="3">
        <f>Setup!ER13</f>
        <v>7</v>
      </c>
      <c r="CK7" s="3">
        <f>Setup!ES13</f>
        <v>5</v>
      </c>
      <c r="CL7" s="10"/>
      <c r="CM7" s="10"/>
      <c r="CN7" s="10"/>
      <c r="CO7" s="42">
        <f>mround(CO6*Setup!FB13,'Quick Setup'!$A$2)</f>
        <v>250</v>
      </c>
      <c r="CP7" s="1">
        <v>5.0</v>
      </c>
      <c r="CQ7" s="1" t="s">
        <v>78</v>
      </c>
      <c r="CR7" s="3">
        <f>Setup!FE13</f>
        <v>5</v>
      </c>
      <c r="CS7" s="10"/>
      <c r="CT7" s="10"/>
      <c r="CU7" s="10"/>
      <c r="CV7" s="42">
        <f>mround(CV6*Setup!FN13,'Quick Setup'!$A$2)</f>
        <v>350</v>
      </c>
      <c r="CW7" s="3">
        <f>Setup!FO13</f>
        <v>5</v>
      </c>
      <c r="CX7" s="3">
        <f>Setup!FP13</f>
        <v>10</v>
      </c>
      <c r="CY7" s="3">
        <f>Setup!FQ13</f>
        <v>5</v>
      </c>
      <c r="CZ7" s="10"/>
      <c r="DA7" s="10"/>
      <c r="DB7" s="10"/>
      <c r="DC7" s="42">
        <f>mround(DC6*Setup!FZ13,'Quick Setup'!$A$2)</f>
        <v>375</v>
      </c>
      <c r="DD7" s="3">
        <f>Setup!GA13</f>
        <v>4</v>
      </c>
      <c r="DE7" s="3">
        <f>Setup!GB13</f>
        <v>8</v>
      </c>
      <c r="DF7" s="3">
        <f>Setup!GC13</f>
        <v>5</v>
      </c>
      <c r="DG7" s="10"/>
      <c r="DH7" s="10"/>
      <c r="DI7" s="10"/>
      <c r="DJ7" s="42">
        <f>mround(DJ6*Setup!GL13,'Quick Setup'!$A$2)</f>
        <v>400</v>
      </c>
      <c r="DK7" s="3">
        <f>Setup!GM13</f>
        <v>3</v>
      </c>
      <c r="DL7" s="3">
        <f>Setup!GN13</f>
        <v>6</v>
      </c>
      <c r="DM7" s="3">
        <f>Setup!GO13</f>
        <v>5</v>
      </c>
      <c r="DN7" s="10"/>
      <c r="DO7" s="10"/>
      <c r="DP7" s="10"/>
      <c r="DQ7" s="42">
        <f>mround(DQ6*Setup!GX13,'Quick Setup'!$A$2)</f>
        <v>375</v>
      </c>
      <c r="DR7" s="3">
        <f>Setup!GY13</f>
        <v>4</v>
      </c>
      <c r="DS7" s="3">
        <f>Setup!GZ13</f>
        <v>8</v>
      </c>
      <c r="DT7" s="3">
        <f>Setup!HA13</f>
        <v>5</v>
      </c>
      <c r="DU7" s="10"/>
      <c r="DV7" s="10"/>
      <c r="DW7" s="10"/>
      <c r="DX7" s="42">
        <f>mround(DX6*Setup!HJ13,'Quick Setup'!$A$2)</f>
        <v>400</v>
      </c>
      <c r="DY7" s="3">
        <f>Setup!HK13</f>
        <v>3</v>
      </c>
      <c r="DZ7" s="3">
        <f>Setup!HL13</f>
        <v>6</v>
      </c>
      <c r="EA7" s="3">
        <f>Setup!HM13</f>
        <v>5</v>
      </c>
      <c r="EB7" s="10"/>
      <c r="EC7" s="10"/>
      <c r="ED7" s="10"/>
      <c r="EE7" s="42">
        <f>mround(EE6*Setup!HV13,'Quick Setup'!$A$2)</f>
        <v>425</v>
      </c>
      <c r="EF7" s="3">
        <f>Setup!HW13</f>
        <v>2</v>
      </c>
      <c r="EG7" s="3">
        <f>Setup!HX13</f>
        <v>4</v>
      </c>
      <c r="EH7" s="3">
        <f>Setup!HY13</f>
        <v>5</v>
      </c>
      <c r="EI7" s="10"/>
      <c r="EJ7" s="10"/>
      <c r="EK7" s="10"/>
      <c r="EL7" s="42">
        <f>mround(EL6*Setup!IH13,'Quick Setup'!$A$2)</f>
        <v>250</v>
      </c>
      <c r="EM7" s="1">
        <v>5.0</v>
      </c>
      <c r="EN7" s="1" t="s">
        <v>78</v>
      </c>
      <c r="EO7" s="3">
        <f>Setup!IK13</f>
        <v>5</v>
      </c>
      <c r="EP7" s="10"/>
      <c r="EQ7" s="10"/>
      <c r="ER7" s="10"/>
    </row>
    <row r="8" hidden="1">
      <c r="A8" s="37" t="str">
        <f>CONCATENATE(A9," TM")</f>
        <v>Paused Squat TM</v>
      </c>
      <c r="B8" s="38">
        <f>if(D8="",'Quick Setup'!D12,D8/'Quick Setup'!E12)</f>
        <v>460</v>
      </c>
      <c r="C8" s="39" t="s">
        <v>75</v>
      </c>
      <c r="D8" s="40"/>
      <c r="E8" s="41"/>
      <c r="F8" s="41"/>
      <c r="G8" s="41"/>
      <c r="H8" s="41"/>
      <c r="I8" s="38">
        <f>if(K8="", if(F9&lt;&gt;"", if((F9-D9)&lt;-1,B8*(1+Setup!F10),if((F9-D9)&lt;0,B8*(1+Setup!G10),if((F9-D9)=0,B8*(1+Setup!H10),if((F9-D9)=1,B8*(1+Setup!I10),if((F9-D9)=2,B8*(1+Setup!J10),if((F9-D9)=3,B8*(1+Setup!K10),if((F9-D9)=4,B8*(1+Setup!L10),if((F9-D9)&gt;4,B8*(1+Setup!M10),B8)))))))),B8),K8/'Quick Setup'!$E12)</f>
        <v>460</v>
      </c>
      <c r="J8" s="39" t="s">
        <v>75</v>
      </c>
      <c r="K8" s="40"/>
      <c r="L8" s="41"/>
      <c r="M8" s="41"/>
      <c r="N8" s="41"/>
      <c r="O8" s="41"/>
      <c r="P8" s="38">
        <f>if(R8="", if(M9&lt;&gt;"", if((M9-K9)&lt;-1,I8*(1+Setup!R10),if((M9-K9)&lt;0,I8*(1+Setup!S10),if((M9-K9)=0,I8*(1+Setup!T10),if((M9-K9)=1,I8*(1+Setup!U10),if((M9-K9)=2,I8*(1+Setup!V10),if((M9-K9)=3,I8*(1+Setup!W10),if((M9-K9)=4,I8*(1+Setup!X10),if((M9-K9)&gt;4,I8*(1+Setup!Y10),I8)))))))),I8),R8/'Quick Setup'!$E12)</f>
        <v>460</v>
      </c>
      <c r="Q8" s="39" t="s">
        <v>75</v>
      </c>
      <c r="R8" s="40"/>
      <c r="S8" s="41"/>
      <c r="T8" s="41"/>
      <c r="U8" s="41"/>
      <c r="V8" s="41"/>
      <c r="W8" s="38">
        <f>if(Y8="", if(T9&lt;&gt;"", if((T9-R9)&lt;-1,P8*(1+Setup!AD10),if((T9-R9)&lt;0,P8*(1+Setup!AE10),if((T9-R9)=0,P8*(1+Setup!AF10),if((T9-R9)=1,P8*(1+Setup!AG10),if((T9-R9)=2,P8*(1+Setup!AH10),if((T9-R9)=3,P8*(1+Setup!AI10),if((T9-R9)=4,P8*(1+Setup!AJ10),if((T9-R9)&gt;4,P8*(1+Setup!AK10),P8)))))))),P8),Y8/'Quick Setup'!$E12)</f>
        <v>460</v>
      </c>
      <c r="X8" s="39" t="s">
        <v>75</v>
      </c>
      <c r="Y8" s="40"/>
      <c r="Z8" s="41"/>
      <c r="AA8" s="41"/>
      <c r="AB8" s="41"/>
      <c r="AC8" s="41"/>
      <c r="AD8" s="38">
        <f>if(AF8="", if(AA9&lt;&gt;"", if((AA9-Y9)&lt;-1,W8*(1+Setup!AP10),if((AA9-Y9)&lt;0,W8*(1+Setup!AQ10),if((AA9-Y9)=0,W8*(1+Setup!AR10),if((AA9-Y9)=1,W8*(1+Setup!AS10),if((AA9-Y9)=2,W8*(1+Setup!AT10),if((AA9-Y9)=3,W8*(1+Setup!AU10),if((AA9-Y9)=4,W8*(1+Setup!AV10),if((AA9-Y9)&gt;4,W8*(1+Setup!AW10),W8)))))))),W8),AF8/'Quick Setup'!$E12)</f>
        <v>460</v>
      </c>
      <c r="AE8" s="39" t="s">
        <v>75</v>
      </c>
      <c r="AF8" s="40"/>
      <c r="AG8" s="41"/>
      <c r="AH8" s="41"/>
      <c r="AI8" s="41"/>
      <c r="AJ8" s="41"/>
      <c r="AK8" s="38">
        <f>if(AM8="", if(AH9&lt;&gt;"", if((AH9-AF9)&lt;-1,AD8*(1+Setup!BB10),if((AH9-AF9)&lt;0,AD8*(1+Setup!BC10),if((AH9-AF9)=0,AD8*(1+Setup!BD10),if((AH9-AF9)=1,AD8*(1+Setup!BE10),if((AH9-AF9)=2,AD8*(1+Setup!BF10),if((AH9-AF9)=3,AD8*(1+Setup!BG10),if((AH9-AF9)=4,AD8*(1+Setup!BH10),if((AH9-AF9)&gt;4,AD8*(1+Setup!BI10),AD8)))))))),AD8),AM8/'Quick Setup'!$E12)</f>
        <v>460</v>
      </c>
      <c r="AL8" s="39" t="s">
        <v>75</v>
      </c>
      <c r="AM8" s="40"/>
      <c r="AN8" s="41"/>
      <c r="AO8" s="41"/>
      <c r="AP8" s="41"/>
      <c r="AQ8" s="41"/>
      <c r="AR8" s="38">
        <f>if(AT8="", if(AO9&lt;&gt;"", if((AO9-AM9)&lt;-1,AK8*(1+Setup!BN10),if((AO9-AM9)&lt;0,AK8*(1+Setup!BO10),if((AO9-AM9)=0,AK8*(1+Setup!BP10),if((AO9-AM9)=1,AK8*(1+Setup!BQ10),if((AO9-AM9)=2,AK8*(1+Setup!BR10),if((AO9-AM9)=3,AK8*(1+Setup!BS10),if((AO9-AM9)=4,AK8*(1+Setup!BT10),if((AO9-AM9)&gt;4,AK8*(1+Setup!BU10),AK8)))))))),AK8),AT8/'Quick Setup'!$E12)</f>
        <v>460</v>
      </c>
      <c r="AS8" s="39" t="s">
        <v>75</v>
      </c>
      <c r="AT8" s="40"/>
      <c r="AU8" s="41"/>
      <c r="AV8" s="41"/>
      <c r="AW8" s="41"/>
      <c r="AX8" s="41"/>
      <c r="AY8" s="38">
        <f>if(BA8="",AR8,BA8/'Quick Setup'!$E12)</f>
        <v>460</v>
      </c>
      <c r="AZ8" s="39" t="s">
        <v>75</v>
      </c>
      <c r="BA8" s="40"/>
      <c r="BB8" s="41"/>
      <c r="BC8" s="41"/>
      <c r="BD8" s="41"/>
      <c r="BE8" s="41"/>
      <c r="BF8" s="38">
        <f>if(BH8="", if(BC9&lt;&gt;"", if((BC9-BA9)&lt;-1,AY8*(1+Setup!CL10),if((BC9-BA9)&lt;0,AY8*(1+Setup!CM10),if((BC9-BA9)=0,AY8*(1+Setup!CN10),if((BC9-BA9)=1,AY8*(1+Setup!CO10),if((BC9-BA9)=2,AY8*(1+Setup!CP10),if((BC9-BA9)=3,AY8*(1+Setup!CQ10),if((BC9-BA9)=4,AY8*(1+Setup!CR10),if((BC9-BA9)&gt;4,AY8*(1+Setup!CS10),AY8)))))))),AY8),BH8/'Quick Setup'!$E12)</f>
        <v>460</v>
      </c>
      <c r="BG8" s="39" t="s">
        <v>75</v>
      </c>
      <c r="BH8" s="40"/>
      <c r="BI8" s="41"/>
      <c r="BJ8" s="41"/>
      <c r="BK8" s="41"/>
      <c r="BL8" s="41"/>
      <c r="BM8" s="38">
        <f>if(BO8="", if(BJ9&lt;&gt;"", if((BJ9-BH9)&lt;-1,BF8*(1+Setup!CX10),if((BJ9-BH9)&lt;0,BF8*(1+Setup!CY10),if((BJ9-BH9)=0,BF8*(1+Setup!CZ10),if((BJ9-BH9)=1,BF8*(1+Setup!DA10),if((BJ9-BH9)=2,BF8*(1+Setup!DB10),if((BJ9-BH9)=3,BF8*(1+Setup!DC10),if((BJ9-BH9)=4,BF8*(1+Setup!DD10),if((BJ9-BH9)&gt;4,BF8*(1+Setup!DE10),BF8)))))))),BF8),BO8/'Quick Setup'!$E12)</f>
        <v>460</v>
      </c>
      <c r="BN8" s="39" t="s">
        <v>75</v>
      </c>
      <c r="BO8" s="40"/>
      <c r="BP8" s="41"/>
      <c r="BQ8" s="41"/>
      <c r="BR8" s="41"/>
      <c r="BS8" s="41"/>
      <c r="BT8" s="38">
        <f>if(BV8="", if(BQ9&lt;&gt;"", if((BQ9-BO9)&lt;-1,BM8*(1+Setup!DJ10),if((BQ9-BO9)&lt;0,BM8*(1+Setup!DK10),if((BQ9-BO9)=0,BM8*(1+Setup!DL10),if((BQ9-BO9)=1,BM8*(1+Setup!DM10),if((BQ9-BO9)=2,BM8*(1+Setup!DN10),if((BQ9-BO9)=3,BM8*(1+Setup!DO10),if((BQ9-BO9)=4,BM8*(1+Setup!DP10),if((BQ9-BO9)&gt;4,BM8*(1+Setup!DQ10),BM8)))))))),BM8),BV8/'Quick Setup'!$E12)</f>
        <v>460</v>
      </c>
      <c r="BU8" s="39" t="s">
        <v>75</v>
      </c>
      <c r="BV8" s="40"/>
      <c r="BW8" s="41"/>
      <c r="BX8" s="41"/>
      <c r="BY8" s="41"/>
      <c r="BZ8" s="41"/>
      <c r="CA8" s="38">
        <f>if(CC8="", if(BX9&lt;&gt;"", if((BX9-BV9)&lt;-1,BT8*(1+Setup!DV10),if((BX9-BV9)&lt;0,BT8*(1+Setup!DW10),if((BX9-BV9)=0,BT8*(1+Setup!DX10),if((BX9-BV9)=1,BT8*(1+Setup!DY10),if((BX9-BV9)=2,BT8*(1+Setup!DZ10),if((BX9-BV9)=3,BT8*(1+Setup!EA10),if((BX9-BV9)=4,BT8*(1+Setup!EB10),if((BX9-BV9)&gt;4,BT8*(1+Setup!EC10),BT8)))))))),BT8),CC8/'Quick Setup'!$E12)</f>
        <v>460</v>
      </c>
      <c r="CB8" s="39" t="s">
        <v>75</v>
      </c>
      <c r="CC8" s="40"/>
      <c r="CD8" s="41"/>
      <c r="CE8" s="41"/>
      <c r="CF8" s="41"/>
      <c r="CG8" s="41"/>
      <c r="CH8" s="38">
        <f>if(CJ8="", if(CE9&lt;&gt;"", if((CE9-CC9)&lt;-1,CA8*(1+Setup!EH10),if((CE9-CC9)&lt;0,CA8*(1+Setup!EI10),if((CE9-CC9)=0,CA8*(1+Setup!EJ10),if((CE9-CC9)=1,CA8*(1+Setup!EK10),if((CE9-CC9)=2,CA8*(1+Setup!EL10),if((CE9-CC9)=3,CA8*(1+Setup!EM10),if((CE9-CC9)=4,CA8*(1+Setup!EN10),if((CE9-CC9)&gt;4,CA8*(1+Setup!EO10),CA8)))))))),CA8),CJ8/'Quick Setup'!$E12)</f>
        <v>460</v>
      </c>
      <c r="CI8" s="39" t="s">
        <v>75</v>
      </c>
      <c r="CJ8" s="40"/>
      <c r="CK8" s="41"/>
      <c r="CL8" s="41"/>
      <c r="CM8" s="41"/>
      <c r="CN8" s="41"/>
      <c r="CO8" s="38">
        <f>if(CQ8="", if(CL9&lt;&gt;"", if((CL9-CJ9)&lt;-1,CH8*(1+Setup!ET10),if((CL9-CJ9)&lt;0,CH8*(1+Setup!EU10),if((CL9-CJ9)=0,CH8*(1+Setup!EV10),if((CL9-CJ9)=1,CH8*(1+Setup!EW10),if((CL9-CJ9)=2,CH8*(1+Setup!EX10),if((CL9-CJ9)=3,CH8*(1+Setup!EY10),if((CL9-CJ9)=4,CH8*(1+Setup!EZ10),if((CL9-CJ9)&gt;4,CH8*(1+Setup!FA10),CH8)))))))),CH8),CQ8/'Quick Setup'!$E12)</f>
        <v>460</v>
      </c>
      <c r="CP8" s="39" t="s">
        <v>75</v>
      </c>
      <c r="CQ8" s="40"/>
      <c r="CR8" s="41"/>
      <c r="CS8" s="41"/>
      <c r="CT8" s="41"/>
      <c r="CU8" s="41"/>
      <c r="CV8" s="38">
        <f>if(CX8="",CO8,CX8/'Quick Setup'!$E12)</f>
        <v>460</v>
      </c>
      <c r="CW8" s="39" t="s">
        <v>75</v>
      </c>
      <c r="CX8" s="40"/>
      <c r="CY8" s="41"/>
      <c r="CZ8" s="41"/>
      <c r="DA8" s="41"/>
      <c r="DB8" s="41"/>
      <c r="DC8" s="38">
        <f>if(DE8="", if(CZ9&lt;&gt;"", if((CZ9-CX9)&lt;-1,CV8*(1+Setup!FR10),if((CZ9-CX9)&lt;0,CV8*(1+Setup!FS10),if((CZ9-CX9)=0,CV8*(1+Setup!FT10),if((CZ9-CX9)=1,CV8*(1+Setup!FU10),if((CZ9-CX9)=2,CV8*(1+Setup!FV10),if((CZ9-CX9)=3,CV8*(1+Setup!FW10),if((CZ9-CX9)=4,CV8*(1+Setup!FX10),if((CZ9-CX9)&gt;4,CV8*(1+Setup!FY10),CV8)))))))),CV8),DE8/'Quick Setup'!$E12)</f>
        <v>460</v>
      </c>
      <c r="DD8" s="39" t="s">
        <v>75</v>
      </c>
      <c r="DE8" s="40"/>
      <c r="DF8" s="41"/>
      <c r="DG8" s="41"/>
      <c r="DH8" s="41"/>
      <c r="DI8" s="41"/>
      <c r="DJ8" s="38">
        <f>if(DL8="", if(DG9&lt;&gt;"", if((DG9-DE9)&lt;-1,DC8*(1+Setup!GD10),if((DG9-DE9)&lt;0,DC8*(1+Setup!GE10),if((DG9-DE9)=0,DC8*(1+Setup!GF10),if((DG9-DE9)=1,DC8*(1+Setup!GG10),if((DG9-DE9)=2,DC8*(1+Setup!GH10),if((DG9-DE9)=3,DC8*(1+Setup!GI10),if((DG9-DE9)=4,DC8*(1+Setup!GJ10),if((DG9-DE9)&gt;4,DC8*(1+Setup!GK10),DC8)))))))),DC8),DL8/'Quick Setup'!$E12)</f>
        <v>460</v>
      </c>
      <c r="DK8" s="39" t="s">
        <v>75</v>
      </c>
      <c r="DL8" s="40"/>
      <c r="DM8" s="41"/>
      <c r="DN8" s="41"/>
      <c r="DO8" s="41"/>
      <c r="DP8" s="41"/>
      <c r="DQ8" s="38">
        <f>if(DS8="", if(DN9&lt;&gt;"", if((DN9-DL9)&lt;-1,DJ8*(1+Setup!GP10),if((DN9-DL9)&lt;0,DJ8*(1+Setup!GQ10),if((DN9-DL9)=0,DJ8*(1+Setup!GR10),if((DN9-DL9)=1,DJ8*(1+Setup!GS10),if((DN9-DL9)=2,DJ8*(1+Setup!GT10),if((DN9-DL9)=3,DJ8*(1+Setup!GU10),if((DN9-DL9)=4,DJ8*(1+Setup!GV10),if((DN9-DL9)&gt;4,DJ8*(1+Setup!GW10),DJ8)))))))),DJ8),DS8/'Quick Setup'!$E12)</f>
        <v>460</v>
      </c>
      <c r="DR8" s="39" t="s">
        <v>75</v>
      </c>
      <c r="DS8" s="40"/>
      <c r="DT8" s="41"/>
      <c r="DU8" s="41"/>
      <c r="DV8" s="41"/>
      <c r="DW8" s="41"/>
      <c r="DX8" s="38">
        <f>if(DZ8="", if(DU9&lt;&gt;"", if((DU9-DS9)&lt;-1,DQ8*(1+Setup!HB10),if((DU9-DS9)&lt;0,DQ8*(1+Setup!HC10),if((DU9-DS9)=0,DQ8*(1+Setup!HD10),if((DU9-DS9)=1,DQ8*(1+Setup!HE10),if((DU9-DS9)=2,DQ8*(1+Setup!HF10),if((DU9-DS9)=3,DQ8*(1+Setup!HG10),if((DU9-DS9)=4,DQ8*(1+Setup!HH10),if((DU9-DS9)&gt;4,DQ8*(1+Setup!HI10),DQ8)))))))),DQ8),DZ8/'Quick Setup'!$E12)</f>
        <v>460</v>
      </c>
      <c r="DY8" s="39" t="s">
        <v>75</v>
      </c>
      <c r="DZ8" s="40"/>
      <c r="EA8" s="41"/>
      <c r="EB8" s="41"/>
      <c r="EC8" s="41"/>
      <c r="ED8" s="41"/>
      <c r="EE8" s="38">
        <f>if(EG8="", if(EB9&lt;&gt;"", if((EB9-DZ9)&lt;-1,DX8*(1+Setup!HN10),if((EB9-DZ9)&lt;0,DX8*(1+Setup!HO10),if((EB9-DZ9)=0,DX8*(1+Setup!HP10),if((EB9-DZ9)=1,DX8*(1+Setup!HQ10),if((EB9-DZ9)=2,DX8*(1+Setup!HR10),if((EB9-DZ9)=3,DX8*(1+Setup!HS10),if((EB9-DZ9)=4,DX8*(1+Setup!HT10),if((EB9-DZ9)&gt;4,DX8*(1+Setup!HU10),DX8)))))))),DX8),EG8/'Quick Setup'!$E12)</f>
        <v>460</v>
      </c>
      <c r="EF8" s="39" t="s">
        <v>75</v>
      </c>
      <c r="EG8" s="40"/>
      <c r="EH8" s="41"/>
      <c r="EI8" s="41"/>
      <c r="EJ8" s="41"/>
      <c r="EK8" s="41"/>
      <c r="EL8" s="38">
        <f>if(EN8="", if(EI9&lt;&gt;"", if((EI9-EG9)&lt;-1,EE8*(1+Setup!HZ10),if((EI9-EG9)&lt;0,EE8*(1+Setup!IA10),if((EI9-EG9)=0,EE8*(1+Setup!IB10),if((EI9-EG9)=1,EE8*(1+Setup!IC10),if((EI9-EG9)=2,EE8*(1+Setup!ID10),if((EI9-EG9)=3,EE8*(1+Setup!IE10),if((EI9-EG9)=4,EE8*(1+Setup!IF10),if((EI9-EG9)&gt;4,EE8*(1+Setup!IG10),EE8)))))))),EE8),EN8/'Quick Setup'!$E12)</f>
        <v>460</v>
      </c>
      <c r="EM8" s="39" t="s">
        <v>75</v>
      </c>
      <c r="EN8" s="40"/>
      <c r="EO8" s="41"/>
      <c r="EP8" s="41"/>
      <c r="EQ8" s="41"/>
      <c r="ER8" s="41"/>
    </row>
    <row r="9">
      <c r="A9" s="1" t="str">
        <f>Setup!A10</f>
        <v>Paused Squat</v>
      </c>
      <c r="B9" s="42">
        <f>mround(B8*Setup!B10,'Quick Setup'!$A$2)</f>
        <v>275</v>
      </c>
      <c r="C9" s="3">
        <f>Setup!C10</f>
        <v>7</v>
      </c>
      <c r="D9" s="3">
        <f>Setup!D10</f>
        <v>14</v>
      </c>
      <c r="E9" s="3">
        <f>Setup!E10</f>
        <v>5</v>
      </c>
      <c r="F9" s="10"/>
      <c r="G9" s="10"/>
      <c r="H9" s="10"/>
      <c r="I9" s="42">
        <f>mround(I8*Setup!N10,'Quick Setup'!$A$2)</f>
        <v>300</v>
      </c>
      <c r="J9" s="3">
        <f>Setup!O10</f>
        <v>6</v>
      </c>
      <c r="K9" s="3">
        <f>Setup!P10</f>
        <v>12</v>
      </c>
      <c r="L9" s="3">
        <f>Setup!Q10</f>
        <v>5</v>
      </c>
      <c r="M9" s="10"/>
      <c r="N9" s="10"/>
      <c r="O9" s="10"/>
      <c r="P9" s="42">
        <f>mround(P8*Setup!Z10,'Quick Setup'!$A$2)</f>
        <v>322.5</v>
      </c>
      <c r="Q9" s="3">
        <f>Setup!AA10</f>
        <v>5</v>
      </c>
      <c r="R9" s="3">
        <f>Setup!AB10</f>
        <v>10</v>
      </c>
      <c r="S9" s="3">
        <f>Setup!AC10</f>
        <v>5</v>
      </c>
      <c r="T9" s="10"/>
      <c r="U9" s="10"/>
      <c r="V9" s="10"/>
      <c r="W9" s="42">
        <f>mround(W8*Setup!AL10,'Quick Setup'!$A$2)</f>
        <v>287.5</v>
      </c>
      <c r="X9" s="3">
        <f>Setup!AM10</f>
        <v>7</v>
      </c>
      <c r="Y9" s="3">
        <f>Setup!AN10</f>
        <v>13</v>
      </c>
      <c r="Z9" s="3">
        <f>Setup!AO10</f>
        <v>5</v>
      </c>
      <c r="AA9" s="10"/>
      <c r="AB9" s="10"/>
      <c r="AC9" s="10"/>
      <c r="AD9" s="42">
        <f>mround(AD8*Setup!AX10,'Quick Setup'!$A$2)</f>
        <v>310</v>
      </c>
      <c r="AE9" s="3">
        <f>Setup!AY10</f>
        <v>6</v>
      </c>
      <c r="AF9" s="3">
        <f>Setup!AZ10</f>
        <v>11</v>
      </c>
      <c r="AG9" s="3">
        <f>Setup!BA10</f>
        <v>5</v>
      </c>
      <c r="AH9" s="10"/>
      <c r="AI9" s="10"/>
      <c r="AJ9" s="10"/>
      <c r="AK9" s="42">
        <f>mround(AK8*Setup!BJ10,'Quick Setup'!$A$2)</f>
        <v>332.5</v>
      </c>
      <c r="AL9" s="3">
        <f>Setup!BK10</f>
        <v>5</v>
      </c>
      <c r="AM9" s="3">
        <f>Setup!BL10</f>
        <v>9</v>
      </c>
      <c r="AN9" s="3">
        <f>Setup!BM10</f>
        <v>5</v>
      </c>
      <c r="AO9" s="10"/>
      <c r="AP9" s="10"/>
      <c r="AQ9" s="10"/>
      <c r="AR9" s="42">
        <f>mround(AR8*Setup!BV10,'Quick Setup'!$A$2)</f>
        <v>230</v>
      </c>
      <c r="AS9" s="1">
        <v>5.0</v>
      </c>
      <c r="AT9" s="1" t="s">
        <v>78</v>
      </c>
      <c r="AU9" s="3">
        <f>Setup!BY10</f>
        <v>5</v>
      </c>
      <c r="AV9" s="10"/>
      <c r="AW9" s="10"/>
      <c r="AX9" s="10"/>
      <c r="AY9" s="42">
        <f>mround(AY8*Setup!CH10,'Quick Setup'!$A$2)</f>
        <v>300</v>
      </c>
      <c r="AZ9" s="3">
        <f>Setup!CI10</f>
        <v>6</v>
      </c>
      <c r="BA9" s="3">
        <f>Setup!CJ10</f>
        <v>12</v>
      </c>
      <c r="BB9" s="3">
        <f>Setup!CK10</f>
        <v>5</v>
      </c>
      <c r="BC9" s="10"/>
      <c r="BD9" s="10"/>
      <c r="BE9" s="10"/>
      <c r="BF9" s="42">
        <f>mround(BF8*Setup!CT10,'Quick Setup'!$A$2)</f>
        <v>322.5</v>
      </c>
      <c r="BG9" s="3">
        <f>Setup!CU10</f>
        <v>5</v>
      </c>
      <c r="BH9" s="3">
        <f>Setup!CV10</f>
        <v>10</v>
      </c>
      <c r="BI9" s="3">
        <f>Setup!CW10</f>
        <v>5</v>
      </c>
      <c r="BJ9" s="10"/>
      <c r="BK9" s="10"/>
      <c r="BL9" s="10"/>
      <c r="BM9" s="42">
        <f>mround(BM8*Setup!DF10,'Quick Setup'!$A$2)</f>
        <v>345</v>
      </c>
      <c r="BN9" s="3">
        <f>Setup!DG10</f>
        <v>4</v>
      </c>
      <c r="BO9" s="3">
        <f>Setup!DH10</f>
        <v>8</v>
      </c>
      <c r="BP9" s="3">
        <f>Setup!DI10</f>
        <v>5</v>
      </c>
      <c r="BQ9" s="10"/>
      <c r="BR9" s="10"/>
      <c r="BS9" s="10"/>
      <c r="BT9" s="42">
        <f>mround(BT8*Setup!DR10,'Quick Setup'!$A$2)</f>
        <v>310</v>
      </c>
      <c r="BU9" s="3">
        <f>Setup!DS10</f>
        <v>6</v>
      </c>
      <c r="BV9" s="3">
        <f>Setup!DT10</f>
        <v>11</v>
      </c>
      <c r="BW9" s="3">
        <f>Setup!DU10</f>
        <v>5</v>
      </c>
      <c r="BX9" s="10"/>
      <c r="BY9" s="10"/>
      <c r="BZ9" s="10"/>
      <c r="CA9" s="42">
        <f>mround(CA8*Setup!ED10,'Quick Setup'!$A$2)</f>
        <v>332.5</v>
      </c>
      <c r="CB9" s="3">
        <f>Setup!EE10</f>
        <v>5</v>
      </c>
      <c r="CC9" s="3">
        <f>Setup!EF10</f>
        <v>9</v>
      </c>
      <c r="CD9" s="3">
        <f>Setup!EG10</f>
        <v>5</v>
      </c>
      <c r="CE9" s="10"/>
      <c r="CF9" s="10"/>
      <c r="CG9" s="10"/>
      <c r="CH9" s="42">
        <f>mround(CH8*Setup!EP10,'Quick Setup'!$A$2)</f>
        <v>357.5</v>
      </c>
      <c r="CI9" s="3">
        <f>Setup!EQ10</f>
        <v>4</v>
      </c>
      <c r="CJ9" s="3">
        <f>Setup!ER10</f>
        <v>7</v>
      </c>
      <c r="CK9" s="3">
        <f>Setup!ES10</f>
        <v>5</v>
      </c>
      <c r="CL9" s="10"/>
      <c r="CM9" s="10"/>
      <c r="CN9" s="10"/>
      <c r="CO9" s="42">
        <f>mround(CO8*Setup!FB10,'Quick Setup'!$A$2)</f>
        <v>230</v>
      </c>
      <c r="CP9" s="1">
        <v>5.0</v>
      </c>
      <c r="CQ9" s="1" t="s">
        <v>78</v>
      </c>
      <c r="CR9" s="3">
        <f>Setup!FE10</f>
        <v>5</v>
      </c>
      <c r="CS9" s="10"/>
      <c r="CT9" s="10"/>
      <c r="CU9" s="10"/>
      <c r="CV9" s="42">
        <f>mround(CV8*Setup!FN10,'Quick Setup'!$A$2)</f>
        <v>322.5</v>
      </c>
      <c r="CW9" s="3">
        <f>Setup!FO10</f>
        <v>5</v>
      </c>
      <c r="CX9" s="3">
        <f>Setup!FP10</f>
        <v>10</v>
      </c>
      <c r="CY9" s="3">
        <f>Setup!FQ10</f>
        <v>5</v>
      </c>
      <c r="CZ9" s="10"/>
      <c r="DA9" s="10"/>
      <c r="DB9" s="10"/>
      <c r="DC9" s="42">
        <f>mround(DC8*Setup!FZ10,'Quick Setup'!$A$2)</f>
        <v>345</v>
      </c>
      <c r="DD9" s="3">
        <f>Setup!GA10</f>
        <v>4</v>
      </c>
      <c r="DE9" s="3">
        <f>Setup!GB10</f>
        <v>8</v>
      </c>
      <c r="DF9" s="3">
        <f>Setup!GC10</f>
        <v>5</v>
      </c>
      <c r="DG9" s="10"/>
      <c r="DH9" s="10"/>
      <c r="DI9" s="10"/>
      <c r="DJ9" s="42">
        <f>mround(DJ8*Setup!GL10,'Quick Setup'!$A$2)</f>
        <v>367.5</v>
      </c>
      <c r="DK9" s="3">
        <f>Setup!GM10</f>
        <v>3</v>
      </c>
      <c r="DL9" s="3">
        <f>Setup!GN10</f>
        <v>6</v>
      </c>
      <c r="DM9" s="3">
        <f>Setup!GO10</f>
        <v>5</v>
      </c>
      <c r="DN9" s="10"/>
      <c r="DO9" s="10"/>
      <c r="DP9" s="10"/>
      <c r="DQ9" s="42">
        <f>mround(DQ8*Setup!GX10,'Quick Setup'!$A$2)</f>
        <v>345</v>
      </c>
      <c r="DR9" s="3">
        <f>Setup!GY10</f>
        <v>4</v>
      </c>
      <c r="DS9" s="3">
        <f>Setup!GZ10</f>
        <v>8</v>
      </c>
      <c r="DT9" s="3">
        <f>Setup!HA10</f>
        <v>5</v>
      </c>
      <c r="DU9" s="10"/>
      <c r="DV9" s="10"/>
      <c r="DW9" s="10"/>
      <c r="DX9" s="42">
        <f>mround(DX8*Setup!HJ10,'Quick Setup'!$A$2)</f>
        <v>367.5</v>
      </c>
      <c r="DY9" s="3">
        <f>Setup!HK10</f>
        <v>3</v>
      </c>
      <c r="DZ9" s="3">
        <f>Setup!HL10</f>
        <v>6</v>
      </c>
      <c r="EA9" s="3">
        <f>Setup!HM10</f>
        <v>5</v>
      </c>
      <c r="EB9" s="10"/>
      <c r="EC9" s="10"/>
      <c r="ED9" s="10"/>
      <c r="EE9" s="42">
        <f>mround(EE8*Setup!HV10,'Quick Setup'!$A$2)</f>
        <v>390</v>
      </c>
      <c r="EF9" s="3">
        <f>Setup!HW10</f>
        <v>2</v>
      </c>
      <c r="EG9" s="3">
        <f>Setup!HX10</f>
        <v>4</v>
      </c>
      <c r="EH9" s="3">
        <f>Setup!HY10</f>
        <v>5</v>
      </c>
      <c r="EI9" s="10"/>
      <c r="EJ9" s="10"/>
      <c r="EK9" s="10"/>
      <c r="EL9" s="42">
        <f>mround(EL8*Setup!IH10,'Quick Setup'!$A$2)</f>
        <v>230</v>
      </c>
      <c r="EM9" s="1">
        <v>5.0</v>
      </c>
      <c r="EN9" s="1" t="s">
        <v>78</v>
      </c>
      <c r="EO9" s="3">
        <f>Setup!IK10</f>
        <v>5</v>
      </c>
      <c r="EP9" s="10"/>
      <c r="EQ9" s="10"/>
      <c r="ER9" s="10"/>
    </row>
    <row r="10">
      <c r="A10" s="5"/>
      <c r="B10" s="43"/>
      <c r="C10" s="10"/>
      <c r="D10" s="10"/>
      <c r="E10" s="10"/>
      <c r="F10" s="10"/>
      <c r="G10" s="10"/>
      <c r="H10" s="10"/>
      <c r="I10" s="43" t="str">
        <f t="shared" ref="I10:M10" si="1">B10</f>
        <v/>
      </c>
      <c r="J10" s="10" t="str">
        <f t="shared" si="1"/>
        <v/>
      </c>
      <c r="K10" s="10" t="str">
        <f t="shared" si="1"/>
        <v/>
      </c>
      <c r="L10" s="10" t="str">
        <f t="shared" si="1"/>
        <v/>
      </c>
      <c r="M10" s="10" t="str">
        <f t="shared" si="1"/>
        <v/>
      </c>
      <c r="N10" s="10"/>
      <c r="O10" s="10"/>
      <c r="P10" s="43" t="str">
        <f t="shared" ref="P10:T10" si="2">I10</f>
        <v/>
      </c>
      <c r="Q10" s="10" t="str">
        <f t="shared" si="2"/>
        <v/>
      </c>
      <c r="R10" s="10" t="str">
        <f t="shared" si="2"/>
        <v/>
      </c>
      <c r="S10" s="10" t="str">
        <f t="shared" si="2"/>
        <v/>
      </c>
      <c r="T10" s="10" t="str">
        <f t="shared" si="2"/>
        <v/>
      </c>
      <c r="U10" s="10"/>
      <c r="V10" s="10"/>
      <c r="W10" s="43" t="str">
        <f t="shared" ref="W10:AA10" si="3">P10</f>
        <v/>
      </c>
      <c r="X10" s="10" t="str">
        <f t="shared" si="3"/>
        <v/>
      </c>
      <c r="Y10" s="10" t="str">
        <f t="shared" si="3"/>
        <v/>
      </c>
      <c r="Z10" s="10" t="str">
        <f t="shared" si="3"/>
        <v/>
      </c>
      <c r="AA10" s="10" t="str">
        <f t="shared" si="3"/>
        <v/>
      </c>
      <c r="AB10" s="10"/>
      <c r="AC10" s="10"/>
      <c r="AD10" s="43" t="str">
        <f t="shared" ref="AD10:AH10" si="4">W10</f>
        <v/>
      </c>
      <c r="AE10" s="10" t="str">
        <f t="shared" si="4"/>
        <v/>
      </c>
      <c r="AF10" s="10" t="str">
        <f t="shared" si="4"/>
        <v/>
      </c>
      <c r="AG10" s="10" t="str">
        <f t="shared" si="4"/>
        <v/>
      </c>
      <c r="AH10" s="10" t="str">
        <f t="shared" si="4"/>
        <v/>
      </c>
      <c r="AI10" s="10"/>
      <c r="AJ10" s="10"/>
      <c r="AK10" s="43" t="str">
        <f t="shared" ref="AK10:AO10" si="5">AD10</f>
        <v/>
      </c>
      <c r="AL10" s="10" t="str">
        <f t="shared" si="5"/>
        <v/>
      </c>
      <c r="AM10" s="10" t="str">
        <f t="shared" si="5"/>
        <v/>
      </c>
      <c r="AN10" s="10" t="str">
        <f t="shared" si="5"/>
        <v/>
      </c>
      <c r="AO10" s="10" t="str">
        <f t="shared" si="5"/>
        <v/>
      </c>
      <c r="AP10" s="10"/>
      <c r="AQ10" s="10"/>
      <c r="AR10" s="43" t="str">
        <f t="shared" ref="AR10:AV10" si="6">AK10</f>
        <v/>
      </c>
      <c r="AS10" s="10" t="str">
        <f t="shared" si="6"/>
        <v/>
      </c>
      <c r="AT10" s="10" t="str">
        <f t="shared" si="6"/>
        <v/>
      </c>
      <c r="AU10" s="10" t="str">
        <f t="shared" si="6"/>
        <v/>
      </c>
      <c r="AV10" s="10" t="str">
        <f t="shared" si="6"/>
        <v/>
      </c>
      <c r="AW10" s="10"/>
      <c r="AX10" s="10"/>
      <c r="AY10" s="43" t="str">
        <f t="shared" ref="AY10:BC10" si="7">AR10</f>
        <v/>
      </c>
      <c r="AZ10" s="10" t="str">
        <f t="shared" si="7"/>
        <v/>
      </c>
      <c r="BA10" s="10" t="str">
        <f t="shared" si="7"/>
        <v/>
      </c>
      <c r="BB10" s="10" t="str">
        <f t="shared" si="7"/>
        <v/>
      </c>
      <c r="BC10" s="10" t="str">
        <f t="shared" si="7"/>
        <v/>
      </c>
      <c r="BD10" s="10"/>
      <c r="BE10" s="10"/>
      <c r="BF10" s="43" t="str">
        <f t="shared" ref="BF10:BJ10" si="8">AY10</f>
        <v/>
      </c>
      <c r="BG10" s="10" t="str">
        <f t="shared" si="8"/>
        <v/>
      </c>
      <c r="BH10" s="10" t="str">
        <f t="shared" si="8"/>
        <v/>
      </c>
      <c r="BI10" s="10" t="str">
        <f t="shared" si="8"/>
        <v/>
      </c>
      <c r="BJ10" s="10" t="str">
        <f t="shared" si="8"/>
        <v/>
      </c>
      <c r="BK10" s="10"/>
      <c r="BL10" s="10"/>
      <c r="BM10" s="43" t="str">
        <f t="shared" ref="BM10:BQ10" si="9">BF10</f>
        <v/>
      </c>
      <c r="BN10" s="10" t="str">
        <f t="shared" si="9"/>
        <v/>
      </c>
      <c r="BO10" s="10" t="str">
        <f t="shared" si="9"/>
        <v/>
      </c>
      <c r="BP10" s="10" t="str">
        <f t="shared" si="9"/>
        <v/>
      </c>
      <c r="BQ10" s="10" t="str">
        <f t="shared" si="9"/>
        <v/>
      </c>
      <c r="BR10" s="10"/>
      <c r="BS10" s="10"/>
      <c r="BT10" s="43" t="str">
        <f t="shared" ref="BT10:BX10" si="10">BM10</f>
        <v/>
      </c>
      <c r="BU10" s="10" t="str">
        <f t="shared" si="10"/>
        <v/>
      </c>
      <c r="BV10" s="10" t="str">
        <f t="shared" si="10"/>
        <v/>
      </c>
      <c r="BW10" s="10" t="str">
        <f t="shared" si="10"/>
        <v/>
      </c>
      <c r="BX10" s="10" t="str">
        <f t="shared" si="10"/>
        <v/>
      </c>
      <c r="BY10" s="10"/>
      <c r="BZ10" s="10"/>
      <c r="CA10" s="43" t="str">
        <f t="shared" ref="CA10:CE10" si="11">BT10</f>
        <v/>
      </c>
      <c r="CB10" s="10" t="str">
        <f t="shared" si="11"/>
        <v/>
      </c>
      <c r="CC10" s="10" t="str">
        <f t="shared" si="11"/>
        <v/>
      </c>
      <c r="CD10" s="10" t="str">
        <f t="shared" si="11"/>
        <v/>
      </c>
      <c r="CE10" s="10" t="str">
        <f t="shared" si="11"/>
        <v/>
      </c>
      <c r="CF10" s="10"/>
      <c r="CG10" s="10"/>
      <c r="CH10" s="43" t="str">
        <f t="shared" ref="CH10:CL10" si="12">CA10</f>
        <v/>
      </c>
      <c r="CI10" s="10" t="str">
        <f t="shared" si="12"/>
        <v/>
      </c>
      <c r="CJ10" s="10" t="str">
        <f t="shared" si="12"/>
        <v/>
      </c>
      <c r="CK10" s="10" t="str">
        <f t="shared" si="12"/>
        <v/>
      </c>
      <c r="CL10" s="10" t="str">
        <f t="shared" si="12"/>
        <v/>
      </c>
      <c r="CM10" s="10"/>
      <c r="CN10" s="10"/>
      <c r="CO10" s="43" t="str">
        <f t="shared" ref="CO10:CS10" si="13">CH10</f>
        <v/>
      </c>
      <c r="CP10" s="10" t="str">
        <f t="shared" si="13"/>
        <v/>
      </c>
      <c r="CQ10" s="10" t="str">
        <f t="shared" si="13"/>
        <v/>
      </c>
      <c r="CR10" s="10" t="str">
        <f t="shared" si="13"/>
        <v/>
      </c>
      <c r="CS10" s="10" t="str">
        <f t="shared" si="13"/>
        <v/>
      </c>
      <c r="CT10" s="10"/>
      <c r="CU10" s="10"/>
      <c r="CV10" s="43" t="str">
        <f t="shared" ref="CV10:CZ10" si="14">CO10</f>
        <v/>
      </c>
      <c r="CW10" s="10" t="str">
        <f t="shared" si="14"/>
        <v/>
      </c>
      <c r="CX10" s="10" t="str">
        <f t="shared" si="14"/>
        <v/>
      </c>
      <c r="CY10" s="10" t="str">
        <f t="shared" si="14"/>
        <v/>
      </c>
      <c r="CZ10" s="10" t="str">
        <f t="shared" si="14"/>
        <v/>
      </c>
      <c r="DA10" s="10"/>
      <c r="DB10" s="10"/>
      <c r="DC10" s="43" t="str">
        <f t="shared" ref="DC10:DG10" si="15">CV10</f>
        <v/>
      </c>
      <c r="DD10" s="10" t="str">
        <f t="shared" si="15"/>
        <v/>
      </c>
      <c r="DE10" s="10" t="str">
        <f t="shared" si="15"/>
        <v/>
      </c>
      <c r="DF10" s="10" t="str">
        <f t="shared" si="15"/>
        <v/>
      </c>
      <c r="DG10" s="10" t="str">
        <f t="shared" si="15"/>
        <v/>
      </c>
      <c r="DH10" s="10"/>
      <c r="DI10" s="10"/>
      <c r="DJ10" s="43" t="str">
        <f t="shared" ref="DJ10:DN10" si="16">DC10</f>
        <v/>
      </c>
      <c r="DK10" s="10" t="str">
        <f t="shared" si="16"/>
        <v/>
      </c>
      <c r="DL10" s="10" t="str">
        <f t="shared" si="16"/>
        <v/>
      </c>
      <c r="DM10" s="10" t="str">
        <f t="shared" si="16"/>
        <v/>
      </c>
      <c r="DN10" s="10" t="str">
        <f t="shared" si="16"/>
        <v/>
      </c>
      <c r="DO10" s="10"/>
      <c r="DP10" s="10"/>
      <c r="DQ10" s="43" t="str">
        <f t="shared" ref="DQ10:DU10" si="17">DJ10</f>
        <v/>
      </c>
      <c r="DR10" s="10" t="str">
        <f t="shared" si="17"/>
        <v/>
      </c>
      <c r="DS10" s="10" t="str">
        <f t="shared" si="17"/>
        <v/>
      </c>
      <c r="DT10" s="10" t="str">
        <f t="shared" si="17"/>
        <v/>
      </c>
      <c r="DU10" s="10" t="str">
        <f t="shared" si="17"/>
        <v/>
      </c>
      <c r="DV10" s="10"/>
      <c r="DW10" s="10"/>
      <c r="DX10" s="43" t="str">
        <f t="shared" ref="DX10:EB10" si="18">DQ10</f>
        <v/>
      </c>
      <c r="DY10" s="10" t="str">
        <f t="shared" si="18"/>
        <v/>
      </c>
      <c r="DZ10" s="10" t="str">
        <f t="shared" si="18"/>
        <v/>
      </c>
      <c r="EA10" s="10" t="str">
        <f t="shared" si="18"/>
        <v/>
      </c>
      <c r="EB10" s="10" t="str">
        <f t="shared" si="18"/>
        <v/>
      </c>
      <c r="EC10" s="10"/>
      <c r="ED10" s="10"/>
      <c r="EE10" s="43" t="str">
        <f t="shared" ref="EE10:EI10" si="19">DX10</f>
        <v/>
      </c>
      <c r="EF10" s="10" t="str">
        <f t="shared" si="19"/>
        <v/>
      </c>
      <c r="EG10" s="10" t="str">
        <f t="shared" si="19"/>
        <v/>
      </c>
      <c r="EH10" s="10" t="str">
        <f t="shared" si="19"/>
        <v/>
      </c>
      <c r="EI10" s="10" t="str">
        <f t="shared" si="19"/>
        <v/>
      </c>
      <c r="EJ10" s="10"/>
      <c r="EK10" s="10"/>
      <c r="EL10" s="43" t="str">
        <f t="shared" ref="EL10:EP10" si="20">EE10</f>
        <v/>
      </c>
      <c r="EM10" s="10" t="str">
        <f t="shared" si="20"/>
        <v/>
      </c>
      <c r="EN10" s="10" t="str">
        <f t="shared" si="20"/>
        <v/>
      </c>
      <c r="EO10" s="10" t="str">
        <f t="shared" si="20"/>
        <v/>
      </c>
      <c r="EP10" s="10" t="str">
        <f t="shared" si="20"/>
        <v/>
      </c>
      <c r="EQ10" s="10"/>
      <c r="ER10" s="10"/>
    </row>
    <row r="11">
      <c r="A11" s="1" t="s">
        <v>79</v>
      </c>
      <c r="B11" s="42"/>
      <c r="C11" s="3"/>
      <c r="D11" s="3"/>
      <c r="E11" s="3"/>
      <c r="F11" s="3"/>
      <c r="G11" s="3"/>
      <c r="H11" s="3"/>
      <c r="I11" s="42"/>
      <c r="J11" s="3"/>
      <c r="K11" s="3"/>
      <c r="L11" s="3"/>
      <c r="M11" s="3"/>
      <c r="N11" s="3"/>
      <c r="O11" s="3"/>
      <c r="P11" s="42"/>
      <c r="Q11" s="3"/>
      <c r="R11" s="3"/>
      <c r="S11" s="3"/>
      <c r="T11" s="3"/>
      <c r="U11" s="3"/>
      <c r="V11" s="3"/>
      <c r="W11" s="42"/>
      <c r="X11" s="3"/>
      <c r="Y11" s="3"/>
      <c r="Z11" s="3"/>
      <c r="AA11" s="3"/>
      <c r="AB11" s="3"/>
      <c r="AC11" s="3"/>
      <c r="AD11" s="42"/>
      <c r="AE11" s="3"/>
      <c r="AF11" s="3"/>
      <c r="AG11" s="3"/>
      <c r="AH11" s="3"/>
      <c r="AI11" s="3"/>
      <c r="AJ11" s="3"/>
      <c r="AK11" s="42"/>
      <c r="AL11" s="3"/>
      <c r="AM11" s="3"/>
      <c r="AN11" s="3"/>
      <c r="AO11" s="3"/>
      <c r="AP11" s="3"/>
      <c r="AQ11" s="3"/>
      <c r="AR11" s="42"/>
      <c r="AS11" s="3"/>
      <c r="AT11" s="3"/>
      <c r="AU11" s="3"/>
      <c r="AV11" s="3"/>
      <c r="AW11" s="3"/>
      <c r="AX11" s="3"/>
      <c r="AY11" s="42"/>
      <c r="AZ11" s="3"/>
      <c r="BA11" s="3"/>
      <c r="BB11" s="3"/>
      <c r="BC11" s="3"/>
      <c r="BD11" s="3"/>
      <c r="BE11" s="3"/>
      <c r="BF11" s="42"/>
      <c r="BG11" s="3"/>
      <c r="BH11" s="3"/>
      <c r="BI11" s="3"/>
      <c r="BJ11" s="3"/>
      <c r="BK11" s="3"/>
      <c r="BL11" s="3"/>
      <c r="BM11" s="42"/>
      <c r="BN11" s="3"/>
      <c r="BO11" s="3"/>
      <c r="BP11" s="3"/>
      <c r="BQ11" s="3"/>
      <c r="BR11" s="3"/>
      <c r="BS11" s="3"/>
      <c r="BT11" s="42"/>
      <c r="BU11" s="3"/>
      <c r="BV11" s="3"/>
      <c r="BW11" s="3"/>
      <c r="BX11" s="3"/>
      <c r="BY11" s="3"/>
      <c r="BZ11" s="3"/>
      <c r="CA11" s="42"/>
      <c r="CB11" s="3"/>
      <c r="CC11" s="3"/>
      <c r="CD11" s="3"/>
      <c r="CE11" s="3"/>
      <c r="CF11" s="3"/>
      <c r="CG11" s="3"/>
      <c r="CH11" s="42"/>
      <c r="CI11" s="3"/>
      <c r="CJ11" s="3"/>
      <c r="CK11" s="3"/>
      <c r="CL11" s="3"/>
      <c r="CM11" s="3"/>
      <c r="CN11" s="3"/>
      <c r="CO11" s="42"/>
      <c r="CP11" s="3"/>
      <c r="CQ11" s="3"/>
      <c r="CR11" s="3"/>
      <c r="CS11" s="3"/>
      <c r="CT11" s="3"/>
      <c r="CU11" s="3"/>
      <c r="CV11" s="42"/>
      <c r="CW11" s="3"/>
      <c r="CX11" s="3"/>
      <c r="CY11" s="3"/>
      <c r="CZ11" s="3"/>
      <c r="DA11" s="3"/>
      <c r="DB11" s="3"/>
      <c r="DC11" s="42"/>
      <c r="DD11" s="3"/>
      <c r="DE11" s="3"/>
      <c r="DF11" s="3"/>
      <c r="DG11" s="3"/>
      <c r="DH11" s="3"/>
      <c r="DI11" s="3"/>
      <c r="DJ11" s="42"/>
      <c r="DK11" s="3"/>
      <c r="DL11" s="3"/>
      <c r="DM11" s="3"/>
      <c r="DN11" s="3"/>
      <c r="DO11" s="3"/>
      <c r="DP11" s="3"/>
      <c r="DQ11" s="42"/>
      <c r="DR11" s="3"/>
      <c r="DS11" s="3"/>
      <c r="DT11" s="3"/>
      <c r="DU11" s="3"/>
      <c r="DV11" s="3"/>
      <c r="DW11" s="3"/>
      <c r="DX11" s="42"/>
      <c r="DY11" s="3"/>
      <c r="DZ11" s="3"/>
      <c r="EA11" s="3"/>
      <c r="EB11" s="3"/>
      <c r="EC11" s="3"/>
      <c r="ED11" s="3"/>
      <c r="EE11" s="42"/>
      <c r="EF11" s="3"/>
      <c r="EG11" s="3"/>
      <c r="EH11" s="3"/>
      <c r="EI11" s="3"/>
      <c r="EJ11" s="3"/>
      <c r="EK11" s="3"/>
      <c r="EL11" s="42"/>
      <c r="EM11" s="3"/>
      <c r="EN11" s="3"/>
      <c r="EO11" s="3"/>
      <c r="EP11" s="3"/>
      <c r="EQ11" s="3"/>
      <c r="ER11" s="3"/>
    </row>
    <row r="12">
      <c r="A12" s="44"/>
      <c r="B12" s="43"/>
      <c r="C12" s="10"/>
      <c r="D12" s="10"/>
      <c r="E12" s="10"/>
      <c r="F12" s="10"/>
      <c r="G12" s="10"/>
      <c r="H12" s="10"/>
      <c r="I12" s="43" t="str">
        <f t="shared" ref="I12:M12" si="21">B12</f>
        <v/>
      </c>
      <c r="J12" s="10" t="str">
        <f t="shared" si="21"/>
        <v/>
      </c>
      <c r="K12" s="10" t="str">
        <f t="shared" si="21"/>
        <v/>
      </c>
      <c r="L12" s="10" t="str">
        <f t="shared" si="21"/>
        <v/>
      </c>
      <c r="M12" s="10" t="str">
        <f t="shared" si="21"/>
        <v/>
      </c>
      <c r="N12" s="10"/>
      <c r="O12" s="10"/>
      <c r="P12" s="43" t="str">
        <f t="shared" ref="P12:T12" si="22">I12</f>
        <v/>
      </c>
      <c r="Q12" s="10" t="str">
        <f t="shared" si="22"/>
        <v/>
      </c>
      <c r="R12" s="10" t="str">
        <f t="shared" si="22"/>
        <v/>
      </c>
      <c r="S12" s="10" t="str">
        <f t="shared" si="22"/>
        <v/>
      </c>
      <c r="T12" s="10" t="str">
        <f t="shared" si="22"/>
        <v/>
      </c>
      <c r="U12" s="10"/>
      <c r="V12" s="10"/>
      <c r="W12" s="43" t="str">
        <f t="shared" ref="W12:AA12" si="23">P12</f>
        <v/>
      </c>
      <c r="X12" s="10" t="str">
        <f t="shared" si="23"/>
        <v/>
      </c>
      <c r="Y12" s="10" t="str">
        <f t="shared" si="23"/>
        <v/>
      </c>
      <c r="Z12" s="10" t="str">
        <f t="shared" si="23"/>
        <v/>
      </c>
      <c r="AA12" s="10" t="str">
        <f t="shared" si="23"/>
        <v/>
      </c>
      <c r="AB12" s="10"/>
      <c r="AC12" s="10"/>
      <c r="AD12" s="43" t="str">
        <f t="shared" ref="AD12:AH12" si="24">W12</f>
        <v/>
      </c>
      <c r="AE12" s="10" t="str">
        <f t="shared" si="24"/>
        <v/>
      </c>
      <c r="AF12" s="10" t="str">
        <f t="shared" si="24"/>
        <v/>
      </c>
      <c r="AG12" s="10" t="str">
        <f t="shared" si="24"/>
        <v/>
      </c>
      <c r="AH12" s="10" t="str">
        <f t="shared" si="24"/>
        <v/>
      </c>
      <c r="AI12" s="10"/>
      <c r="AJ12" s="10"/>
      <c r="AK12" s="43" t="str">
        <f t="shared" ref="AK12:AO12" si="25">AD12</f>
        <v/>
      </c>
      <c r="AL12" s="10" t="str">
        <f t="shared" si="25"/>
        <v/>
      </c>
      <c r="AM12" s="10" t="str">
        <f t="shared" si="25"/>
        <v/>
      </c>
      <c r="AN12" s="10" t="str">
        <f t="shared" si="25"/>
        <v/>
      </c>
      <c r="AO12" s="10" t="str">
        <f t="shared" si="25"/>
        <v/>
      </c>
      <c r="AP12" s="10"/>
      <c r="AQ12" s="10"/>
      <c r="AR12" s="43" t="str">
        <f t="shared" ref="AR12:AV12" si="26">AK12</f>
        <v/>
      </c>
      <c r="AS12" s="10" t="str">
        <f t="shared" si="26"/>
        <v/>
      </c>
      <c r="AT12" s="10" t="str">
        <f t="shared" si="26"/>
        <v/>
      </c>
      <c r="AU12" s="10" t="str">
        <f t="shared" si="26"/>
        <v/>
      </c>
      <c r="AV12" s="10" t="str">
        <f t="shared" si="26"/>
        <v/>
      </c>
      <c r="AW12" s="10"/>
      <c r="AX12" s="10"/>
      <c r="AY12" s="43" t="str">
        <f t="shared" ref="AY12:BC12" si="27">AR12</f>
        <v/>
      </c>
      <c r="AZ12" s="10" t="str">
        <f t="shared" si="27"/>
        <v/>
      </c>
      <c r="BA12" s="10" t="str">
        <f t="shared" si="27"/>
        <v/>
      </c>
      <c r="BB12" s="10" t="str">
        <f t="shared" si="27"/>
        <v/>
      </c>
      <c r="BC12" s="10" t="str">
        <f t="shared" si="27"/>
        <v/>
      </c>
      <c r="BD12" s="10"/>
      <c r="BE12" s="10"/>
      <c r="BF12" s="43" t="str">
        <f t="shared" ref="BF12:BJ12" si="28">AY12</f>
        <v/>
      </c>
      <c r="BG12" s="10" t="str">
        <f t="shared" si="28"/>
        <v/>
      </c>
      <c r="BH12" s="10" t="str">
        <f t="shared" si="28"/>
        <v/>
      </c>
      <c r="BI12" s="10" t="str">
        <f t="shared" si="28"/>
        <v/>
      </c>
      <c r="BJ12" s="10" t="str">
        <f t="shared" si="28"/>
        <v/>
      </c>
      <c r="BK12" s="10"/>
      <c r="BL12" s="10"/>
      <c r="BM12" s="43" t="str">
        <f t="shared" ref="BM12:BQ12" si="29">BF12</f>
        <v/>
      </c>
      <c r="BN12" s="10" t="str">
        <f t="shared" si="29"/>
        <v/>
      </c>
      <c r="BO12" s="10" t="str">
        <f t="shared" si="29"/>
        <v/>
      </c>
      <c r="BP12" s="10" t="str">
        <f t="shared" si="29"/>
        <v/>
      </c>
      <c r="BQ12" s="10" t="str">
        <f t="shared" si="29"/>
        <v/>
      </c>
      <c r="BR12" s="10"/>
      <c r="BS12" s="10"/>
      <c r="BT12" s="43" t="str">
        <f t="shared" ref="BT12:BX12" si="30">BM12</f>
        <v/>
      </c>
      <c r="BU12" s="10" t="str">
        <f t="shared" si="30"/>
        <v/>
      </c>
      <c r="BV12" s="10" t="str">
        <f t="shared" si="30"/>
        <v/>
      </c>
      <c r="BW12" s="10" t="str">
        <f t="shared" si="30"/>
        <v/>
      </c>
      <c r="BX12" s="10" t="str">
        <f t="shared" si="30"/>
        <v/>
      </c>
      <c r="BY12" s="10"/>
      <c r="BZ12" s="10"/>
      <c r="CA12" s="43" t="str">
        <f t="shared" ref="CA12:CE12" si="31">BT12</f>
        <v/>
      </c>
      <c r="CB12" s="10" t="str">
        <f t="shared" si="31"/>
        <v/>
      </c>
      <c r="CC12" s="10" t="str">
        <f t="shared" si="31"/>
        <v/>
      </c>
      <c r="CD12" s="10" t="str">
        <f t="shared" si="31"/>
        <v/>
      </c>
      <c r="CE12" s="10" t="str">
        <f t="shared" si="31"/>
        <v/>
      </c>
      <c r="CF12" s="10"/>
      <c r="CG12" s="10"/>
      <c r="CH12" s="43" t="str">
        <f t="shared" ref="CH12:CL12" si="32">CA12</f>
        <v/>
      </c>
      <c r="CI12" s="10" t="str">
        <f t="shared" si="32"/>
        <v/>
      </c>
      <c r="CJ12" s="10" t="str">
        <f t="shared" si="32"/>
        <v/>
      </c>
      <c r="CK12" s="10" t="str">
        <f t="shared" si="32"/>
        <v/>
      </c>
      <c r="CL12" s="10" t="str">
        <f t="shared" si="32"/>
        <v/>
      </c>
      <c r="CM12" s="10"/>
      <c r="CN12" s="10"/>
      <c r="CO12" s="43" t="str">
        <f t="shared" ref="CO12:CS12" si="33">CH12</f>
        <v/>
      </c>
      <c r="CP12" s="10" t="str">
        <f t="shared" si="33"/>
        <v/>
      </c>
      <c r="CQ12" s="10" t="str">
        <f t="shared" si="33"/>
        <v/>
      </c>
      <c r="CR12" s="10" t="str">
        <f t="shared" si="33"/>
        <v/>
      </c>
      <c r="CS12" s="10" t="str">
        <f t="shared" si="33"/>
        <v/>
      </c>
      <c r="CT12" s="10"/>
      <c r="CU12" s="10"/>
      <c r="CV12" s="43" t="str">
        <f t="shared" ref="CV12:CZ12" si="34">CO12</f>
        <v/>
      </c>
      <c r="CW12" s="10" t="str">
        <f t="shared" si="34"/>
        <v/>
      </c>
      <c r="CX12" s="10" t="str">
        <f t="shared" si="34"/>
        <v/>
      </c>
      <c r="CY12" s="10" t="str">
        <f t="shared" si="34"/>
        <v/>
      </c>
      <c r="CZ12" s="10" t="str">
        <f t="shared" si="34"/>
        <v/>
      </c>
      <c r="DA12" s="10"/>
      <c r="DB12" s="10"/>
      <c r="DC12" s="43" t="str">
        <f t="shared" ref="DC12:DG12" si="35">CV12</f>
        <v/>
      </c>
      <c r="DD12" s="10" t="str">
        <f t="shared" si="35"/>
        <v/>
      </c>
      <c r="DE12" s="10" t="str">
        <f t="shared" si="35"/>
        <v/>
      </c>
      <c r="DF12" s="10" t="str">
        <f t="shared" si="35"/>
        <v/>
      </c>
      <c r="DG12" s="10" t="str">
        <f t="shared" si="35"/>
        <v/>
      </c>
      <c r="DH12" s="10"/>
      <c r="DI12" s="10"/>
      <c r="DJ12" s="43" t="str">
        <f t="shared" ref="DJ12:DN12" si="36">DC12</f>
        <v/>
      </c>
      <c r="DK12" s="10" t="str">
        <f t="shared" si="36"/>
        <v/>
      </c>
      <c r="DL12" s="10" t="str">
        <f t="shared" si="36"/>
        <v/>
      </c>
      <c r="DM12" s="10" t="str">
        <f t="shared" si="36"/>
        <v/>
      </c>
      <c r="DN12" s="10" t="str">
        <f t="shared" si="36"/>
        <v/>
      </c>
      <c r="DO12" s="10"/>
      <c r="DP12" s="10"/>
      <c r="DQ12" s="43" t="str">
        <f t="shared" ref="DQ12:DU12" si="37">DJ12</f>
        <v/>
      </c>
      <c r="DR12" s="10" t="str">
        <f t="shared" si="37"/>
        <v/>
      </c>
      <c r="DS12" s="10" t="str">
        <f t="shared" si="37"/>
        <v/>
      </c>
      <c r="DT12" s="10" t="str">
        <f t="shared" si="37"/>
        <v/>
      </c>
      <c r="DU12" s="10" t="str">
        <f t="shared" si="37"/>
        <v/>
      </c>
      <c r="DV12" s="10"/>
      <c r="DW12" s="10"/>
      <c r="DX12" s="43" t="str">
        <f t="shared" ref="DX12:EB12" si="38">DQ12</f>
        <v/>
      </c>
      <c r="DY12" s="10" t="str">
        <f t="shared" si="38"/>
        <v/>
      </c>
      <c r="DZ12" s="10" t="str">
        <f t="shared" si="38"/>
        <v/>
      </c>
      <c r="EA12" s="10" t="str">
        <f t="shared" si="38"/>
        <v/>
      </c>
      <c r="EB12" s="10" t="str">
        <f t="shared" si="38"/>
        <v/>
      </c>
      <c r="EC12" s="10"/>
      <c r="ED12" s="10"/>
      <c r="EE12" s="43" t="str">
        <f t="shared" ref="EE12:EI12" si="39">DX12</f>
        <v/>
      </c>
      <c r="EF12" s="10" t="str">
        <f t="shared" si="39"/>
        <v/>
      </c>
      <c r="EG12" s="10" t="str">
        <f t="shared" si="39"/>
        <v/>
      </c>
      <c r="EH12" s="10" t="str">
        <f t="shared" si="39"/>
        <v/>
      </c>
      <c r="EI12" s="10" t="str">
        <f t="shared" si="39"/>
        <v/>
      </c>
      <c r="EJ12" s="10"/>
      <c r="EK12" s="10"/>
      <c r="EL12" s="43" t="str">
        <f t="shared" ref="EL12:EP12" si="40">EE12</f>
        <v/>
      </c>
      <c r="EM12" s="10" t="str">
        <f t="shared" si="40"/>
        <v/>
      </c>
      <c r="EN12" s="10" t="str">
        <f t="shared" si="40"/>
        <v/>
      </c>
      <c r="EO12" s="10" t="str">
        <f t="shared" si="40"/>
        <v/>
      </c>
      <c r="EP12" s="10" t="str">
        <f t="shared" si="40"/>
        <v/>
      </c>
      <c r="EQ12" s="10"/>
      <c r="ER12" s="10"/>
    </row>
    <row r="13">
      <c r="A13" s="44"/>
      <c r="B13" s="43"/>
      <c r="C13" s="10"/>
      <c r="D13" s="10"/>
      <c r="E13" s="10"/>
      <c r="F13" s="10"/>
      <c r="G13" s="10"/>
      <c r="H13" s="10"/>
      <c r="I13" s="43" t="str">
        <f t="shared" ref="I13:M13" si="41">B13</f>
        <v/>
      </c>
      <c r="J13" s="10" t="str">
        <f t="shared" si="41"/>
        <v/>
      </c>
      <c r="K13" s="10" t="str">
        <f t="shared" si="41"/>
        <v/>
      </c>
      <c r="L13" s="10" t="str">
        <f t="shared" si="41"/>
        <v/>
      </c>
      <c r="M13" s="10" t="str">
        <f t="shared" si="41"/>
        <v/>
      </c>
      <c r="N13" s="10"/>
      <c r="O13" s="10"/>
      <c r="P13" s="43" t="str">
        <f t="shared" ref="P13:T13" si="42">I13</f>
        <v/>
      </c>
      <c r="Q13" s="10" t="str">
        <f t="shared" si="42"/>
        <v/>
      </c>
      <c r="R13" s="10" t="str">
        <f t="shared" si="42"/>
        <v/>
      </c>
      <c r="S13" s="10" t="str">
        <f t="shared" si="42"/>
        <v/>
      </c>
      <c r="T13" s="10" t="str">
        <f t="shared" si="42"/>
        <v/>
      </c>
      <c r="U13" s="10"/>
      <c r="V13" s="10"/>
      <c r="W13" s="43" t="str">
        <f t="shared" ref="W13:AA13" si="43">P13</f>
        <v/>
      </c>
      <c r="X13" s="10" t="str">
        <f t="shared" si="43"/>
        <v/>
      </c>
      <c r="Y13" s="10" t="str">
        <f t="shared" si="43"/>
        <v/>
      </c>
      <c r="Z13" s="10" t="str">
        <f t="shared" si="43"/>
        <v/>
      </c>
      <c r="AA13" s="10" t="str">
        <f t="shared" si="43"/>
        <v/>
      </c>
      <c r="AB13" s="10"/>
      <c r="AC13" s="10"/>
      <c r="AD13" s="43" t="str">
        <f t="shared" ref="AD13:AH13" si="44">W13</f>
        <v/>
      </c>
      <c r="AE13" s="10" t="str">
        <f t="shared" si="44"/>
        <v/>
      </c>
      <c r="AF13" s="10" t="str">
        <f t="shared" si="44"/>
        <v/>
      </c>
      <c r="AG13" s="10" t="str">
        <f t="shared" si="44"/>
        <v/>
      </c>
      <c r="AH13" s="10" t="str">
        <f t="shared" si="44"/>
        <v/>
      </c>
      <c r="AI13" s="10"/>
      <c r="AJ13" s="10"/>
      <c r="AK13" s="43" t="str">
        <f t="shared" ref="AK13:AO13" si="45">AD13</f>
        <v/>
      </c>
      <c r="AL13" s="10" t="str">
        <f t="shared" si="45"/>
        <v/>
      </c>
      <c r="AM13" s="10" t="str">
        <f t="shared" si="45"/>
        <v/>
      </c>
      <c r="AN13" s="10" t="str">
        <f t="shared" si="45"/>
        <v/>
      </c>
      <c r="AO13" s="10" t="str">
        <f t="shared" si="45"/>
        <v/>
      </c>
      <c r="AP13" s="10"/>
      <c r="AQ13" s="10"/>
      <c r="AR13" s="43" t="str">
        <f t="shared" ref="AR13:AV13" si="46">AK13</f>
        <v/>
      </c>
      <c r="AS13" s="10" t="str">
        <f t="shared" si="46"/>
        <v/>
      </c>
      <c r="AT13" s="10" t="str">
        <f t="shared" si="46"/>
        <v/>
      </c>
      <c r="AU13" s="10" t="str">
        <f t="shared" si="46"/>
        <v/>
      </c>
      <c r="AV13" s="10" t="str">
        <f t="shared" si="46"/>
        <v/>
      </c>
      <c r="AW13" s="10"/>
      <c r="AX13" s="10"/>
      <c r="AY13" s="43" t="str">
        <f t="shared" ref="AY13:BC13" si="47">AR13</f>
        <v/>
      </c>
      <c r="AZ13" s="10" t="str">
        <f t="shared" si="47"/>
        <v/>
      </c>
      <c r="BA13" s="10" t="str">
        <f t="shared" si="47"/>
        <v/>
      </c>
      <c r="BB13" s="10" t="str">
        <f t="shared" si="47"/>
        <v/>
      </c>
      <c r="BC13" s="10" t="str">
        <f t="shared" si="47"/>
        <v/>
      </c>
      <c r="BD13" s="10"/>
      <c r="BE13" s="10"/>
      <c r="BF13" s="43" t="str">
        <f t="shared" ref="BF13:BJ13" si="48">AY13</f>
        <v/>
      </c>
      <c r="BG13" s="10" t="str">
        <f t="shared" si="48"/>
        <v/>
      </c>
      <c r="BH13" s="10" t="str">
        <f t="shared" si="48"/>
        <v/>
      </c>
      <c r="BI13" s="10" t="str">
        <f t="shared" si="48"/>
        <v/>
      </c>
      <c r="BJ13" s="10" t="str">
        <f t="shared" si="48"/>
        <v/>
      </c>
      <c r="BK13" s="10"/>
      <c r="BL13" s="10"/>
      <c r="BM13" s="43" t="str">
        <f t="shared" ref="BM13:BQ13" si="49">BF13</f>
        <v/>
      </c>
      <c r="BN13" s="10" t="str">
        <f t="shared" si="49"/>
        <v/>
      </c>
      <c r="BO13" s="10" t="str">
        <f t="shared" si="49"/>
        <v/>
      </c>
      <c r="BP13" s="10" t="str">
        <f t="shared" si="49"/>
        <v/>
      </c>
      <c r="BQ13" s="10" t="str">
        <f t="shared" si="49"/>
        <v/>
      </c>
      <c r="BR13" s="10"/>
      <c r="BS13" s="10"/>
      <c r="BT13" s="43" t="str">
        <f t="shared" ref="BT13:BX13" si="50">BM13</f>
        <v/>
      </c>
      <c r="BU13" s="10" t="str">
        <f t="shared" si="50"/>
        <v/>
      </c>
      <c r="BV13" s="10" t="str">
        <f t="shared" si="50"/>
        <v/>
      </c>
      <c r="BW13" s="10" t="str">
        <f t="shared" si="50"/>
        <v/>
      </c>
      <c r="BX13" s="10" t="str">
        <f t="shared" si="50"/>
        <v/>
      </c>
      <c r="BY13" s="10"/>
      <c r="BZ13" s="10"/>
      <c r="CA13" s="43" t="str">
        <f t="shared" ref="CA13:CE13" si="51">BT13</f>
        <v/>
      </c>
      <c r="CB13" s="10" t="str">
        <f t="shared" si="51"/>
        <v/>
      </c>
      <c r="CC13" s="10" t="str">
        <f t="shared" si="51"/>
        <v/>
      </c>
      <c r="CD13" s="10" t="str">
        <f t="shared" si="51"/>
        <v/>
      </c>
      <c r="CE13" s="10" t="str">
        <f t="shared" si="51"/>
        <v/>
      </c>
      <c r="CF13" s="10"/>
      <c r="CG13" s="10"/>
      <c r="CH13" s="43" t="str">
        <f t="shared" ref="CH13:CL13" si="52">CA13</f>
        <v/>
      </c>
      <c r="CI13" s="10" t="str">
        <f t="shared" si="52"/>
        <v/>
      </c>
      <c r="CJ13" s="10" t="str">
        <f t="shared" si="52"/>
        <v/>
      </c>
      <c r="CK13" s="10" t="str">
        <f t="shared" si="52"/>
        <v/>
      </c>
      <c r="CL13" s="10" t="str">
        <f t="shared" si="52"/>
        <v/>
      </c>
      <c r="CM13" s="10"/>
      <c r="CN13" s="10"/>
      <c r="CO13" s="43" t="str">
        <f t="shared" ref="CO13:CS13" si="53">CH13</f>
        <v/>
      </c>
      <c r="CP13" s="10" t="str">
        <f t="shared" si="53"/>
        <v/>
      </c>
      <c r="CQ13" s="10" t="str">
        <f t="shared" si="53"/>
        <v/>
      </c>
      <c r="CR13" s="10" t="str">
        <f t="shared" si="53"/>
        <v/>
      </c>
      <c r="CS13" s="10" t="str">
        <f t="shared" si="53"/>
        <v/>
      </c>
      <c r="CT13" s="10"/>
      <c r="CU13" s="10"/>
      <c r="CV13" s="43" t="str">
        <f t="shared" ref="CV13:CZ13" si="54">CO13</f>
        <v/>
      </c>
      <c r="CW13" s="10" t="str">
        <f t="shared" si="54"/>
        <v/>
      </c>
      <c r="CX13" s="10" t="str">
        <f t="shared" si="54"/>
        <v/>
      </c>
      <c r="CY13" s="10" t="str">
        <f t="shared" si="54"/>
        <v/>
      </c>
      <c r="CZ13" s="10" t="str">
        <f t="shared" si="54"/>
        <v/>
      </c>
      <c r="DA13" s="10"/>
      <c r="DB13" s="10"/>
      <c r="DC13" s="43" t="str">
        <f t="shared" ref="DC13:DG13" si="55">CV13</f>
        <v/>
      </c>
      <c r="DD13" s="10" t="str">
        <f t="shared" si="55"/>
        <v/>
      </c>
      <c r="DE13" s="10" t="str">
        <f t="shared" si="55"/>
        <v/>
      </c>
      <c r="DF13" s="10" t="str">
        <f t="shared" si="55"/>
        <v/>
      </c>
      <c r="DG13" s="10" t="str">
        <f t="shared" si="55"/>
        <v/>
      </c>
      <c r="DH13" s="10"/>
      <c r="DI13" s="10"/>
      <c r="DJ13" s="43" t="str">
        <f t="shared" ref="DJ13:DN13" si="56">DC13</f>
        <v/>
      </c>
      <c r="DK13" s="10" t="str">
        <f t="shared" si="56"/>
        <v/>
      </c>
      <c r="DL13" s="10" t="str">
        <f t="shared" si="56"/>
        <v/>
      </c>
      <c r="DM13" s="10" t="str">
        <f t="shared" si="56"/>
        <v/>
      </c>
      <c r="DN13" s="10" t="str">
        <f t="shared" si="56"/>
        <v/>
      </c>
      <c r="DO13" s="10"/>
      <c r="DP13" s="10"/>
      <c r="DQ13" s="43" t="str">
        <f t="shared" ref="DQ13:DU13" si="57">DJ13</f>
        <v/>
      </c>
      <c r="DR13" s="10" t="str">
        <f t="shared" si="57"/>
        <v/>
      </c>
      <c r="DS13" s="10" t="str">
        <f t="shared" si="57"/>
        <v/>
      </c>
      <c r="DT13" s="10" t="str">
        <f t="shared" si="57"/>
        <v/>
      </c>
      <c r="DU13" s="10" t="str">
        <f t="shared" si="57"/>
        <v/>
      </c>
      <c r="DV13" s="10"/>
      <c r="DW13" s="10"/>
      <c r="DX13" s="43" t="str">
        <f t="shared" ref="DX13:EB13" si="58">DQ13</f>
        <v/>
      </c>
      <c r="DY13" s="10" t="str">
        <f t="shared" si="58"/>
        <v/>
      </c>
      <c r="DZ13" s="10" t="str">
        <f t="shared" si="58"/>
        <v/>
      </c>
      <c r="EA13" s="10" t="str">
        <f t="shared" si="58"/>
        <v/>
      </c>
      <c r="EB13" s="10" t="str">
        <f t="shared" si="58"/>
        <v/>
      </c>
      <c r="EC13" s="10"/>
      <c r="ED13" s="10"/>
      <c r="EE13" s="43" t="str">
        <f t="shared" ref="EE13:EI13" si="59">DX13</f>
        <v/>
      </c>
      <c r="EF13" s="10" t="str">
        <f t="shared" si="59"/>
        <v/>
      </c>
      <c r="EG13" s="10" t="str">
        <f t="shared" si="59"/>
        <v/>
      </c>
      <c r="EH13" s="10" t="str">
        <f t="shared" si="59"/>
        <v/>
      </c>
      <c r="EI13" s="10" t="str">
        <f t="shared" si="59"/>
        <v/>
      </c>
      <c r="EJ13" s="10"/>
      <c r="EK13" s="10"/>
      <c r="EL13" s="43" t="str">
        <f t="shared" ref="EL13:EP13" si="60">EE13</f>
        <v/>
      </c>
      <c r="EM13" s="10" t="str">
        <f t="shared" si="60"/>
        <v/>
      </c>
      <c r="EN13" s="10" t="str">
        <f t="shared" si="60"/>
        <v/>
      </c>
      <c r="EO13" s="10" t="str">
        <f t="shared" si="60"/>
        <v/>
      </c>
      <c r="EP13" s="10" t="str">
        <f t="shared" si="60"/>
        <v/>
      </c>
      <c r="EQ13" s="10"/>
      <c r="ER13" s="10"/>
    </row>
    <row r="14">
      <c r="A14" s="45"/>
      <c r="B14" s="46"/>
      <c r="C14" s="47"/>
      <c r="D14" s="47"/>
      <c r="E14" s="47"/>
      <c r="F14" s="47"/>
      <c r="G14" s="47"/>
      <c r="H14" s="47"/>
      <c r="I14" s="46" t="str">
        <f t="shared" ref="I14:M14" si="61">B14</f>
        <v/>
      </c>
      <c r="J14" s="47" t="str">
        <f t="shared" si="61"/>
        <v/>
      </c>
      <c r="K14" s="47" t="str">
        <f t="shared" si="61"/>
        <v/>
      </c>
      <c r="L14" s="47" t="str">
        <f t="shared" si="61"/>
        <v/>
      </c>
      <c r="M14" s="47" t="str">
        <f t="shared" si="61"/>
        <v/>
      </c>
      <c r="N14" s="47"/>
      <c r="O14" s="47"/>
      <c r="P14" s="46" t="str">
        <f t="shared" ref="P14:T14" si="62">I14</f>
        <v/>
      </c>
      <c r="Q14" s="47" t="str">
        <f t="shared" si="62"/>
        <v/>
      </c>
      <c r="R14" s="47" t="str">
        <f t="shared" si="62"/>
        <v/>
      </c>
      <c r="S14" s="47" t="str">
        <f t="shared" si="62"/>
        <v/>
      </c>
      <c r="T14" s="47" t="str">
        <f t="shared" si="62"/>
        <v/>
      </c>
      <c r="U14" s="47"/>
      <c r="V14" s="47"/>
      <c r="W14" s="46" t="str">
        <f t="shared" ref="W14:AA14" si="63">P14</f>
        <v/>
      </c>
      <c r="X14" s="47" t="str">
        <f t="shared" si="63"/>
        <v/>
      </c>
      <c r="Y14" s="47" t="str">
        <f t="shared" si="63"/>
        <v/>
      </c>
      <c r="Z14" s="47" t="str">
        <f t="shared" si="63"/>
        <v/>
      </c>
      <c r="AA14" s="47" t="str">
        <f t="shared" si="63"/>
        <v/>
      </c>
      <c r="AB14" s="47"/>
      <c r="AC14" s="47"/>
      <c r="AD14" s="46" t="str">
        <f t="shared" ref="AD14:AH14" si="64">W14</f>
        <v/>
      </c>
      <c r="AE14" s="47" t="str">
        <f t="shared" si="64"/>
        <v/>
      </c>
      <c r="AF14" s="47" t="str">
        <f t="shared" si="64"/>
        <v/>
      </c>
      <c r="AG14" s="47" t="str">
        <f t="shared" si="64"/>
        <v/>
      </c>
      <c r="AH14" s="47" t="str">
        <f t="shared" si="64"/>
        <v/>
      </c>
      <c r="AI14" s="47"/>
      <c r="AJ14" s="47"/>
      <c r="AK14" s="46" t="str">
        <f t="shared" ref="AK14:AO14" si="65">AD14</f>
        <v/>
      </c>
      <c r="AL14" s="47" t="str">
        <f t="shared" si="65"/>
        <v/>
      </c>
      <c r="AM14" s="47" t="str">
        <f t="shared" si="65"/>
        <v/>
      </c>
      <c r="AN14" s="47" t="str">
        <f t="shared" si="65"/>
        <v/>
      </c>
      <c r="AO14" s="47" t="str">
        <f t="shared" si="65"/>
        <v/>
      </c>
      <c r="AP14" s="47"/>
      <c r="AQ14" s="47"/>
      <c r="AR14" s="46" t="str">
        <f t="shared" ref="AR14:AV14" si="66">AK14</f>
        <v/>
      </c>
      <c r="AS14" s="47" t="str">
        <f t="shared" si="66"/>
        <v/>
      </c>
      <c r="AT14" s="47" t="str">
        <f t="shared" si="66"/>
        <v/>
      </c>
      <c r="AU14" s="47" t="str">
        <f t="shared" si="66"/>
        <v/>
      </c>
      <c r="AV14" s="47" t="str">
        <f t="shared" si="66"/>
        <v/>
      </c>
      <c r="AW14" s="47"/>
      <c r="AX14" s="47"/>
      <c r="AY14" s="46" t="str">
        <f t="shared" ref="AY14:BC14" si="67">AR14</f>
        <v/>
      </c>
      <c r="AZ14" s="47" t="str">
        <f t="shared" si="67"/>
        <v/>
      </c>
      <c r="BA14" s="47" t="str">
        <f t="shared" si="67"/>
        <v/>
      </c>
      <c r="BB14" s="47" t="str">
        <f t="shared" si="67"/>
        <v/>
      </c>
      <c r="BC14" s="47" t="str">
        <f t="shared" si="67"/>
        <v/>
      </c>
      <c r="BD14" s="47"/>
      <c r="BE14" s="47"/>
      <c r="BF14" s="46" t="str">
        <f t="shared" ref="BF14:BJ14" si="68">AY14</f>
        <v/>
      </c>
      <c r="BG14" s="47" t="str">
        <f t="shared" si="68"/>
        <v/>
      </c>
      <c r="BH14" s="47" t="str">
        <f t="shared" si="68"/>
        <v/>
      </c>
      <c r="BI14" s="47" t="str">
        <f t="shared" si="68"/>
        <v/>
      </c>
      <c r="BJ14" s="47" t="str">
        <f t="shared" si="68"/>
        <v/>
      </c>
      <c r="BK14" s="47"/>
      <c r="BL14" s="47"/>
      <c r="BM14" s="46" t="str">
        <f t="shared" ref="BM14:BQ14" si="69">BF14</f>
        <v/>
      </c>
      <c r="BN14" s="47" t="str">
        <f t="shared" si="69"/>
        <v/>
      </c>
      <c r="BO14" s="47" t="str">
        <f t="shared" si="69"/>
        <v/>
      </c>
      <c r="BP14" s="47" t="str">
        <f t="shared" si="69"/>
        <v/>
      </c>
      <c r="BQ14" s="47" t="str">
        <f t="shared" si="69"/>
        <v/>
      </c>
      <c r="BR14" s="47"/>
      <c r="BS14" s="47"/>
      <c r="BT14" s="46" t="str">
        <f t="shared" ref="BT14:BX14" si="70">BM14</f>
        <v/>
      </c>
      <c r="BU14" s="47" t="str">
        <f t="shared" si="70"/>
        <v/>
      </c>
      <c r="BV14" s="47" t="str">
        <f t="shared" si="70"/>
        <v/>
      </c>
      <c r="BW14" s="47" t="str">
        <f t="shared" si="70"/>
        <v/>
      </c>
      <c r="BX14" s="47" t="str">
        <f t="shared" si="70"/>
        <v/>
      </c>
      <c r="BY14" s="47"/>
      <c r="BZ14" s="47"/>
      <c r="CA14" s="46" t="str">
        <f t="shared" ref="CA14:CE14" si="71">BT14</f>
        <v/>
      </c>
      <c r="CB14" s="47" t="str">
        <f t="shared" si="71"/>
        <v/>
      </c>
      <c r="CC14" s="47" t="str">
        <f t="shared" si="71"/>
        <v/>
      </c>
      <c r="CD14" s="47" t="str">
        <f t="shared" si="71"/>
        <v/>
      </c>
      <c r="CE14" s="47" t="str">
        <f t="shared" si="71"/>
        <v/>
      </c>
      <c r="CF14" s="47"/>
      <c r="CG14" s="47"/>
      <c r="CH14" s="46" t="str">
        <f t="shared" ref="CH14:CL14" si="72">CA14</f>
        <v/>
      </c>
      <c r="CI14" s="47" t="str">
        <f t="shared" si="72"/>
        <v/>
      </c>
      <c r="CJ14" s="47" t="str">
        <f t="shared" si="72"/>
        <v/>
      </c>
      <c r="CK14" s="47" t="str">
        <f t="shared" si="72"/>
        <v/>
      </c>
      <c r="CL14" s="47" t="str">
        <f t="shared" si="72"/>
        <v/>
      </c>
      <c r="CM14" s="47"/>
      <c r="CN14" s="47"/>
      <c r="CO14" s="46" t="str">
        <f t="shared" ref="CO14:CS14" si="73">CH14</f>
        <v/>
      </c>
      <c r="CP14" s="47" t="str">
        <f t="shared" si="73"/>
        <v/>
      </c>
      <c r="CQ14" s="47" t="str">
        <f t="shared" si="73"/>
        <v/>
      </c>
      <c r="CR14" s="47" t="str">
        <f t="shared" si="73"/>
        <v/>
      </c>
      <c r="CS14" s="47" t="str">
        <f t="shared" si="73"/>
        <v/>
      </c>
      <c r="CT14" s="47"/>
      <c r="CU14" s="47"/>
      <c r="CV14" s="46" t="str">
        <f t="shared" ref="CV14:CZ14" si="74">CO14</f>
        <v/>
      </c>
      <c r="CW14" s="47" t="str">
        <f t="shared" si="74"/>
        <v/>
      </c>
      <c r="CX14" s="47" t="str">
        <f t="shared" si="74"/>
        <v/>
      </c>
      <c r="CY14" s="47" t="str">
        <f t="shared" si="74"/>
        <v/>
      </c>
      <c r="CZ14" s="47" t="str">
        <f t="shared" si="74"/>
        <v/>
      </c>
      <c r="DA14" s="47"/>
      <c r="DB14" s="47"/>
      <c r="DC14" s="46" t="str">
        <f t="shared" ref="DC14:DG14" si="75">CV14</f>
        <v/>
      </c>
      <c r="DD14" s="47" t="str">
        <f t="shared" si="75"/>
        <v/>
      </c>
      <c r="DE14" s="47" t="str">
        <f t="shared" si="75"/>
        <v/>
      </c>
      <c r="DF14" s="47" t="str">
        <f t="shared" si="75"/>
        <v/>
      </c>
      <c r="DG14" s="47" t="str">
        <f t="shared" si="75"/>
        <v/>
      </c>
      <c r="DH14" s="47"/>
      <c r="DI14" s="47"/>
      <c r="DJ14" s="46" t="str">
        <f t="shared" ref="DJ14:DN14" si="76">DC14</f>
        <v/>
      </c>
      <c r="DK14" s="47" t="str">
        <f t="shared" si="76"/>
        <v/>
      </c>
      <c r="DL14" s="47" t="str">
        <f t="shared" si="76"/>
        <v/>
      </c>
      <c r="DM14" s="47" t="str">
        <f t="shared" si="76"/>
        <v/>
      </c>
      <c r="DN14" s="47" t="str">
        <f t="shared" si="76"/>
        <v/>
      </c>
      <c r="DO14" s="47"/>
      <c r="DP14" s="47"/>
      <c r="DQ14" s="46" t="str">
        <f t="shared" ref="DQ14:DU14" si="77">DJ14</f>
        <v/>
      </c>
      <c r="DR14" s="47" t="str">
        <f t="shared" si="77"/>
        <v/>
      </c>
      <c r="DS14" s="47" t="str">
        <f t="shared" si="77"/>
        <v/>
      </c>
      <c r="DT14" s="47" t="str">
        <f t="shared" si="77"/>
        <v/>
      </c>
      <c r="DU14" s="47" t="str">
        <f t="shared" si="77"/>
        <v/>
      </c>
      <c r="DV14" s="47"/>
      <c r="DW14" s="47"/>
      <c r="DX14" s="46" t="str">
        <f t="shared" ref="DX14:EB14" si="78">DQ14</f>
        <v/>
      </c>
      <c r="DY14" s="47" t="str">
        <f t="shared" si="78"/>
        <v/>
      </c>
      <c r="DZ14" s="47" t="str">
        <f t="shared" si="78"/>
        <v/>
      </c>
      <c r="EA14" s="47" t="str">
        <f t="shared" si="78"/>
        <v/>
      </c>
      <c r="EB14" s="47" t="str">
        <f t="shared" si="78"/>
        <v/>
      </c>
      <c r="EC14" s="47"/>
      <c r="ED14" s="47"/>
      <c r="EE14" s="46" t="str">
        <f t="shared" ref="EE14:EI14" si="79">DX14</f>
        <v/>
      </c>
      <c r="EF14" s="47" t="str">
        <f t="shared" si="79"/>
        <v/>
      </c>
      <c r="EG14" s="47" t="str">
        <f t="shared" si="79"/>
        <v/>
      </c>
      <c r="EH14" s="47" t="str">
        <f t="shared" si="79"/>
        <v/>
      </c>
      <c r="EI14" s="47" t="str">
        <f t="shared" si="79"/>
        <v/>
      </c>
      <c r="EJ14" s="47"/>
      <c r="EK14" s="47"/>
      <c r="EL14" s="46" t="str">
        <f t="shared" ref="EL14:EP14" si="80">EE14</f>
        <v/>
      </c>
      <c r="EM14" s="47" t="str">
        <f t="shared" si="80"/>
        <v/>
      </c>
      <c r="EN14" s="47" t="str">
        <f t="shared" si="80"/>
        <v/>
      </c>
      <c r="EO14" s="47" t="str">
        <f t="shared" si="80"/>
        <v/>
      </c>
      <c r="EP14" s="47" t="str">
        <f t="shared" si="80"/>
        <v/>
      </c>
      <c r="EQ14" s="47"/>
      <c r="ER14" s="47"/>
    </row>
    <row r="15">
      <c r="A15" s="3"/>
      <c r="B15" s="42"/>
      <c r="C15" s="3"/>
      <c r="D15" s="3"/>
      <c r="E15" s="3"/>
      <c r="F15" s="3"/>
      <c r="G15" s="3"/>
      <c r="H15" s="3"/>
      <c r="I15" s="42"/>
      <c r="J15" s="3"/>
      <c r="K15" s="3"/>
      <c r="L15" s="3"/>
      <c r="M15" s="3"/>
      <c r="N15" s="3"/>
      <c r="O15" s="3"/>
      <c r="P15" s="42"/>
      <c r="Q15" s="3"/>
      <c r="R15" s="3"/>
      <c r="S15" s="3"/>
      <c r="T15" s="3"/>
      <c r="U15" s="3"/>
      <c r="V15" s="3"/>
      <c r="W15" s="42"/>
      <c r="X15" s="3"/>
      <c r="Y15" s="3"/>
      <c r="Z15" s="3"/>
      <c r="AA15" s="3"/>
      <c r="AB15" s="3"/>
      <c r="AC15" s="3"/>
      <c r="AD15" s="42"/>
      <c r="AE15" s="3"/>
      <c r="AF15" s="3"/>
      <c r="AG15" s="3"/>
      <c r="AH15" s="3"/>
      <c r="AI15" s="3"/>
      <c r="AJ15" s="3"/>
      <c r="AK15" s="42"/>
      <c r="AL15" s="3"/>
      <c r="AM15" s="3"/>
      <c r="AN15" s="3"/>
      <c r="AO15" s="3"/>
      <c r="AP15" s="3"/>
      <c r="AQ15" s="3"/>
      <c r="AR15" s="42"/>
      <c r="AS15" s="3"/>
      <c r="AT15" s="3"/>
      <c r="AU15" s="3"/>
      <c r="AV15" s="3"/>
      <c r="AW15" s="3"/>
      <c r="AX15" s="3"/>
      <c r="AY15" s="42"/>
      <c r="AZ15" s="3"/>
      <c r="BA15" s="3"/>
      <c r="BB15" s="3"/>
      <c r="BC15" s="3"/>
      <c r="BD15" s="3"/>
      <c r="BE15" s="3"/>
      <c r="BF15" s="42"/>
      <c r="BG15" s="3"/>
      <c r="BH15" s="3"/>
      <c r="BI15" s="3"/>
      <c r="BJ15" s="3"/>
      <c r="BK15" s="3"/>
      <c r="BL15" s="3"/>
      <c r="BM15" s="42"/>
      <c r="BN15" s="3"/>
      <c r="BO15" s="3"/>
      <c r="BP15" s="3"/>
      <c r="BQ15" s="3"/>
      <c r="BR15" s="3"/>
      <c r="BS15" s="3"/>
      <c r="BT15" s="42"/>
      <c r="BU15" s="3"/>
      <c r="BV15" s="3"/>
      <c r="BW15" s="3"/>
      <c r="BX15" s="3"/>
      <c r="BY15" s="3"/>
      <c r="BZ15" s="3"/>
      <c r="CA15" s="42"/>
      <c r="CB15" s="3"/>
      <c r="CC15" s="3"/>
      <c r="CD15" s="3"/>
      <c r="CE15" s="3"/>
      <c r="CF15" s="3"/>
      <c r="CG15" s="3"/>
      <c r="CH15" s="42"/>
      <c r="CI15" s="3"/>
      <c r="CJ15" s="3"/>
      <c r="CK15" s="3"/>
      <c r="CL15" s="3"/>
      <c r="CM15" s="3"/>
      <c r="CN15" s="3"/>
      <c r="CO15" s="42"/>
      <c r="CP15" s="3"/>
      <c r="CQ15" s="3"/>
      <c r="CR15" s="3"/>
      <c r="CS15" s="3"/>
      <c r="CT15" s="3"/>
      <c r="CU15" s="3"/>
      <c r="CV15" s="42"/>
      <c r="CW15" s="3"/>
      <c r="CX15" s="3"/>
      <c r="CY15" s="3"/>
      <c r="CZ15" s="3"/>
      <c r="DA15" s="3"/>
      <c r="DB15" s="3"/>
      <c r="DC15" s="42"/>
      <c r="DD15" s="3"/>
      <c r="DE15" s="3"/>
      <c r="DF15" s="3"/>
      <c r="DG15" s="3"/>
      <c r="DH15" s="3"/>
      <c r="DI15" s="3"/>
      <c r="DJ15" s="42"/>
      <c r="DK15" s="3"/>
      <c r="DL15" s="3"/>
      <c r="DM15" s="3"/>
      <c r="DN15" s="3"/>
      <c r="DO15" s="3"/>
      <c r="DP15" s="3"/>
      <c r="DQ15" s="42"/>
      <c r="DR15" s="3"/>
      <c r="DS15" s="3"/>
      <c r="DT15" s="3"/>
      <c r="DU15" s="3"/>
      <c r="DV15" s="3"/>
      <c r="DW15" s="3"/>
      <c r="DX15" s="42"/>
      <c r="DY15" s="3"/>
      <c r="DZ15" s="3"/>
      <c r="EA15" s="3"/>
      <c r="EB15" s="3"/>
      <c r="EC15" s="3"/>
      <c r="ED15" s="3"/>
      <c r="EE15" s="42"/>
      <c r="EF15" s="3"/>
      <c r="EG15" s="3"/>
      <c r="EH15" s="3"/>
      <c r="EI15" s="3"/>
      <c r="EJ15" s="3"/>
      <c r="EK15" s="3"/>
      <c r="EL15" s="42"/>
      <c r="EM15" s="3"/>
      <c r="EN15" s="3"/>
      <c r="EO15" s="3"/>
      <c r="EP15" s="3"/>
      <c r="EQ15" s="3"/>
      <c r="ER15" s="3"/>
    </row>
    <row r="16">
      <c r="A16" s="32" t="s">
        <v>80</v>
      </c>
      <c r="B16" s="33"/>
      <c r="C16" s="34"/>
      <c r="D16" s="34"/>
      <c r="E16" s="34"/>
      <c r="F16" s="34"/>
      <c r="G16" s="34"/>
      <c r="H16" s="34"/>
      <c r="I16" s="33"/>
      <c r="J16" s="34"/>
      <c r="K16" s="34"/>
      <c r="L16" s="34"/>
      <c r="M16" s="34"/>
      <c r="N16" s="34"/>
      <c r="O16" s="34"/>
      <c r="P16" s="33"/>
      <c r="Q16" s="34"/>
      <c r="R16" s="34"/>
      <c r="S16" s="34"/>
      <c r="T16" s="34"/>
      <c r="U16" s="34"/>
      <c r="V16" s="34"/>
      <c r="W16" s="33"/>
      <c r="X16" s="34"/>
      <c r="Y16" s="34"/>
      <c r="Z16" s="34"/>
      <c r="AA16" s="34"/>
      <c r="AB16" s="34"/>
      <c r="AC16" s="34"/>
      <c r="AD16" s="33"/>
      <c r="AE16" s="34"/>
      <c r="AF16" s="34"/>
      <c r="AG16" s="34"/>
      <c r="AH16" s="34"/>
      <c r="AI16" s="34"/>
      <c r="AJ16" s="34"/>
      <c r="AK16" s="33"/>
      <c r="AL16" s="34"/>
      <c r="AM16" s="34"/>
      <c r="AN16" s="34"/>
      <c r="AO16" s="34"/>
      <c r="AP16" s="34"/>
      <c r="AQ16" s="34"/>
      <c r="AR16" s="33"/>
      <c r="AS16" s="34"/>
      <c r="AT16" s="34"/>
      <c r="AU16" s="34"/>
      <c r="AV16" s="34"/>
      <c r="AW16" s="34"/>
      <c r="AX16" s="34"/>
      <c r="AY16" s="33"/>
      <c r="AZ16" s="34"/>
      <c r="BA16" s="34"/>
      <c r="BB16" s="34"/>
      <c r="BC16" s="34"/>
      <c r="BD16" s="34"/>
      <c r="BE16" s="34"/>
      <c r="BF16" s="33"/>
      <c r="BG16" s="34"/>
      <c r="BH16" s="34"/>
      <c r="BI16" s="34"/>
      <c r="BJ16" s="34"/>
      <c r="BK16" s="34"/>
      <c r="BL16" s="34"/>
      <c r="BM16" s="33"/>
      <c r="BN16" s="34"/>
      <c r="BO16" s="34"/>
      <c r="BP16" s="34"/>
      <c r="BQ16" s="34"/>
      <c r="BR16" s="34"/>
      <c r="BS16" s="34"/>
      <c r="BT16" s="33"/>
      <c r="BU16" s="34"/>
      <c r="BV16" s="34"/>
      <c r="BW16" s="34"/>
      <c r="BX16" s="34"/>
      <c r="BY16" s="34"/>
      <c r="BZ16" s="34"/>
      <c r="CA16" s="33"/>
      <c r="CB16" s="34"/>
      <c r="CC16" s="34"/>
      <c r="CD16" s="34"/>
      <c r="CE16" s="34"/>
      <c r="CF16" s="34"/>
      <c r="CG16" s="34"/>
      <c r="CH16" s="33"/>
      <c r="CI16" s="34"/>
      <c r="CJ16" s="34"/>
      <c r="CK16" s="34"/>
      <c r="CL16" s="34"/>
      <c r="CM16" s="34"/>
      <c r="CN16" s="34"/>
      <c r="CO16" s="33"/>
      <c r="CP16" s="34"/>
      <c r="CQ16" s="34"/>
      <c r="CR16" s="34"/>
      <c r="CS16" s="34"/>
      <c r="CT16" s="34"/>
      <c r="CU16" s="34"/>
      <c r="CV16" s="33"/>
      <c r="CW16" s="34"/>
      <c r="CX16" s="34"/>
      <c r="CY16" s="34"/>
      <c r="CZ16" s="34"/>
      <c r="DA16" s="34"/>
      <c r="DB16" s="34"/>
      <c r="DC16" s="33"/>
      <c r="DD16" s="34"/>
      <c r="DE16" s="34"/>
      <c r="DF16" s="34"/>
      <c r="DG16" s="34"/>
      <c r="DH16" s="34"/>
      <c r="DI16" s="34"/>
      <c r="DJ16" s="33"/>
      <c r="DK16" s="34"/>
      <c r="DL16" s="34"/>
      <c r="DM16" s="34"/>
      <c r="DN16" s="34"/>
      <c r="DO16" s="34"/>
      <c r="DP16" s="34"/>
      <c r="DQ16" s="33"/>
      <c r="DR16" s="34"/>
      <c r="DS16" s="34"/>
      <c r="DT16" s="34"/>
      <c r="DU16" s="34"/>
      <c r="DV16" s="34"/>
      <c r="DW16" s="34"/>
      <c r="DX16" s="33"/>
      <c r="DY16" s="34"/>
      <c r="DZ16" s="34"/>
      <c r="EA16" s="34"/>
      <c r="EB16" s="34"/>
      <c r="EC16" s="34"/>
      <c r="ED16" s="34"/>
      <c r="EE16" s="35" t="s">
        <v>77</v>
      </c>
      <c r="EF16" s="36"/>
      <c r="EG16" s="36"/>
      <c r="EH16" s="36"/>
      <c r="EI16" s="36"/>
      <c r="EJ16" s="36"/>
      <c r="EK16" s="36"/>
      <c r="EL16" s="33"/>
      <c r="EM16" s="34"/>
      <c r="EN16" s="34"/>
      <c r="EO16" s="34"/>
      <c r="EP16" s="34"/>
      <c r="EQ16" s="34"/>
      <c r="ER16" s="34"/>
    </row>
    <row r="17" hidden="1">
      <c r="A17" s="37" t="str">
        <f>CONCATENATE(A18," TM")</f>
        <v>Bench Press TM</v>
      </c>
      <c r="B17" s="38">
        <f>if(D17="",'Quick Setup'!D6,D17/'Quick Setup'!E6)</f>
        <v>325</v>
      </c>
      <c r="C17" s="39" t="s">
        <v>75</v>
      </c>
      <c r="D17" s="40"/>
      <c r="E17" s="41"/>
      <c r="F17" s="41"/>
      <c r="G17" s="41"/>
      <c r="H17" s="41"/>
      <c r="I17" s="38">
        <f>if(K17="", if(F18&lt;&gt;"", if((F18-D18)&lt;-1,B17*(1+Setup!F4),if((F18-D18)&lt;0,B17*(1+Setup!G4),if((F18-D18)=0,B17*(1+Setup!H4),if((F18-D18)=1,B17*(1+Setup!I4),if((F18-D18)=2,B17*(1+Setup!J4),if((F18-D18)=3,B17*(1+Setup!K4),if((F18-D18)=4,B17*(1+Setup!L4),if((F18-D18)&gt;4,B17*(1+Setup!M4),B17)))))))),B17),K17/'Quick Setup'!$E6)</f>
        <v>325</v>
      </c>
      <c r="J17" s="39" t="s">
        <v>75</v>
      </c>
      <c r="K17" s="40"/>
      <c r="L17" s="41"/>
      <c r="M17" s="41"/>
      <c r="N17" s="41"/>
      <c r="O17" s="41"/>
      <c r="P17" s="38">
        <f>if(R17="", if(M18&lt;&gt;"", if((M18-K18)&lt;-1,I17*(1+Setup!R4),if((M18-K18)&lt;0,I17*(1+Setup!S4),if((M18-K18)=0,I17*(1+Setup!T4),if((M18-K18)=1,I17*(1+Setup!U4),if((M18-K18)=2,I17*(1+Setup!V4),if((M18-K18)=3,I17*(1+Setup!W4),if((M18-K18)=4,I17*(1+Setup!X4),if((M18-K18)&gt;4,I17*(1+Setup!Y4),I17)))))))),I17),R17/'Quick Setup'!$E6)</f>
        <v>325</v>
      </c>
      <c r="Q17" s="39" t="s">
        <v>75</v>
      </c>
      <c r="R17" s="40"/>
      <c r="S17" s="41"/>
      <c r="T17" s="41"/>
      <c r="U17" s="41"/>
      <c r="V17" s="41"/>
      <c r="W17" s="38">
        <f>if(Y17="", if(T18&lt;&gt;"", if((T18-R18)&lt;-1,P17*(1+Setup!AD4),if((T18-R18)&lt;0,P17*(1+Setup!AE4),if((T18-R18)=0,P17*(1+Setup!AF4),if((T18-R18)=1,P17*(1+Setup!AG4),if((T18-R18)=2,P17*(1+Setup!AH4),if((T18-R18)=3,P17*(1+Setup!AI4),if((T18-R18)=4,P17*(1+Setup!AJ4),if((T18-R18)&gt;4,P17*(1+Setup!AK4),P17)))))))),P17),Y17/'Quick Setup'!$E6)</f>
        <v>325</v>
      </c>
      <c r="X17" s="39" t="s">
        <v>75</v>
      </c>
      <c r="Y17" s="40"/>
      <c r="Z17" s="41"/>
      <c r="AA17" s="41"/>
      <c r="AB17" s="41"/>
      <c r="AC17" s="41"/>
      <c r="AD17" s="38">
        <f>if(AF17="", if(AA18&lt;&gt;"", if((AA18-Y18)&lt;-1,W17*(1+Setup!AP4),if((AA18-Y18)&lt;0,W17*(1+Setup!AQ4),if((AA18-Y18)=0,W17*(1+Setup!AR4),if((AA18-Y18)=1,W17*(1+Setup!AS4),if((AA18-Y18)=2,W17*(1+Setup!AT4),if((AA18-Y18)=3,W17*(1+Setup!AU4),if((AA18-Y18)=4,W17*(1+Setup!AV4),if((AA18-Y18)&gt;4,W17*(1+Setup!AW4),W17)))))))),W17),AF17/'Quick Setup'!$E6)</f>
        <v>325</v>
      </c>
      <c r="AE17" s="39" t="s">
        <v>75</v>
      </c>
      <c r="AF17" s="40"/>
      <c r="AG17" s="41"/>
      <c r="AH17" s="41"/>
      <c r="AI17" s="41"/>
      <c r="AJ17" s="41"/>
      <c r="AK17" s="38">
        <f>if(AM17="", if(AH18&lt;&gt;"", if((AH18-AF18)&lt;-1,AD17*(1+Setup!BB4),if((AH18-AF18)&lt;0,AD17*(1+Setup!BC4),if((AH18-AF18)=0,AD17*(1+Setup!BD4),if((AH18-AF18)=1,AD17*(1+Setup!BE4),if((AH18-AF18)=2,AD17*(1+Setup!BF4),if((AH18-AF18)=3,AD17*(1+Setup!BG4),if((AH18-AF18)=4,AD17*(1+Setup!BH4),if((AH18-AF18)&gt;4,AD17*(1+Setup!BI4),AD17)))))))),AD17),AM17/'Quick Setup'!$E6)</f>
        <v>325</v>
      </c>
      <c r="AL17" s="39" t="s">
        <v>75</v>
      </c>
      <c r="AM17" s="40"/>
      <c r="AN17" s="41"/>
      <c r="AO17" s="41"/>
      <c r="AP17" s="41"/>
      <c r="AQ17" s="41"/>
      <c r="AR17" s="38">
        <f>if(AT17="", if(AO18&lt;&gt;"", if((AO18-AM18)&lt;-1,AK17*(1+Setup!BN4),if((AO18-AM18)&lt;0,AK17*(1+Setup!BO4),if((AO18-AM18)=0,AK17*(1+Setup!BP4),if((AO18-AM18)=1,AK17*(1+Setup!BQ4),if((AO18-AM18)=2,AK17*(1+Setup!BR4),if((AO18-AM18)=3,AK17*(1+Setup!BS4),if((AO18-AM18)=4,AK17*(1+Setup!BT4),if((AO18-AM18)&gt;4,AK17*(1+Setup!BU4),AK17)))))))),AK17),AT17/'Quick Setup'!$E6)</f>
        <v>325</v>
      </c>
      <c r="AS17" s="39" t="s">
        <v>75</v>
      </c>
      <c r="AT17" s="40"/>
      <c r="AU17" s="41"/>
      <c r="AV17" s="41"/>
      <c r="AW17" s="41"/>
      <c r="AX17" s="41"/>
      <c r="AY17" s="38">
        <f>if(BA17="",AR17,BA17/'Quick Setup'!$E6)</f>
        <v>325</v>
      </c>
      <c r="AZ17" s="39" t="s">
        <v>75</v>
      </c>
      <c r="BA17" s="40"/>
      <c r="BB17" s="41"/>
      <c r="BC17" s="41"/>
      <c r="BD17" s="41"/>
      <c r="BE17" s="41"/>
      <c r="BF17" s="38">
        <f>if(BH17="", if(BC18&lt;&gt;"", if((BC18-BA18)&lt;-1,AY17*(1+Setup!CL4),if((BC18-BA18)&lt;0,AY17*(1+Setup!CM4),if((BC18-BA18)=0,AY17*(1+Setup!CN4),if((BC18-BA18)=1,AY17*(1+Setup!CO4),if((BC18-BA18)=2,AY17*(1+Setup!CP4),if((BC18-BA18)=3,AY17*(1+Setup!CQ4),if((BC18-BA18)=4,AY17*(1+Setup!CR4),if((BC18-BA18)&gt;4,AY17*(1+Setup!CS4),AY17)))))))),AY17),BH17/'Quick Setup'!$E6)</f>
        <v>325</v>
      </c>
      <c r="BG17" s="39" t="s">
        <v>75</v>
      </c>
      <c r="BH17" s="40"/>
      <c r="BI17" s="41"/>
      <c r="BJ17" s="41"/>
      <c r="BK17" s="41"/>
      <c r="BL17" s="41"/>
      <c r="BM17" s="38">
        <f>if(BO17="", if(BJ18&lt;&gt;"", if((BJ18-BH18)&lt;-1,BF17*(1+Setup!CX4),if((BJ18-BH18)&lt;0,BF17*(1+Setup!CY4),if((BJ18-BH18)=0,BF17*(1+Setup!CZ4),if((BJ18-BH18)=1,BF17*(1+Setup!DA4),if((BJ18-BH18)=2,BF17*(1+Setup!DB4),if((BJ18-BH18)=3,BF17*(1+Setup!DC4),if((BJ18-BH18)=4,BF17*(1+Setup!DD4),if((BJ18-BH18)&gt;4,BF17*(1+Setup!DE4),BF17)))))))),BF17),BO17/'Quick Setup'!$E6)</f>
        <v>325</v>
      </c>
      <c r="BN17" s="39" t="s">
        <v>75</v>
      </c>
      <c r="BO17" s="40"/>
      <c r="BP17" s="41"/>
      <c r="BQ17" s="41"/>
      <c r="BR17" s="41"/>
      <c r="BS17" s="41"/>
      <c r="BT17" s="38">
        <f>if(BV17="", if(BQ18&lt;&gt;"", if((BQ18-BO18)&lt;-1,BM17*(1+Setup!DJ4),if((BQ18-BO18)&lt;0,BM17*(1+Setup!DK4),if((BQ18-BO18)=0,BM17*(1+Setup!DL4),if((BQ18-BO18)=1,BM17*(1+Setup!DM4),if((BQ18-BO18)=2,BM17*(1+Setup!DN4),if((BQ18-BO18)=3,BM17*(1+Setup!DO4),if((BQ18-BO18)=4,BM17*(1+Setup!DP4),if((BQ18-BO18)&gt;4,BM17*(1+Setup!DQ4),BM17)))))))),BM17),BV17/'Quick Setup'!$E6)</f>
        <v>325</v>
      </c>
      <c r="BU17" s="39" t="s">
        <v>75</v>
      </c>
      <c r="BV17" s="40"/>
      <c r="BW17" s="41"/>
      <c r="BX17" s="41"/>
      <c r="BY17" s="41"/>
      <c r="BZ17" s="41"/>
      <c r="CA17" s="38">
        <f>if(CC17="", if(BX18&lt;&gt;"", if((BX18-BV18)&lt;-1,BT17*(1+Setup!DV4),if((BX18-BV18)&lt;0,BT17*(1+Setup!DW4),if((BX18-BV18)=0,BT17*(1+Setup!DX4),if((BX18-BV18)=1,BT17*(1+Setup!DY4),if((BX18-BV18)=2,BT17*(1+Setup!DZ4),if((BX18-BV18)=3,BT17*(1+Setup!EA4),if((BX18-BV18)=4,BT17*(1+Setup!EB4),if((BX18-BV18)&gt;4,BT17*(1+Setup!EC4),BT17)))))))),BT17),CC17/'Quick Setup'!$E6)</f>
        <v>325</v>
      </c>
      <c r="CB17" s="39" t="s">
        <v>75</v>
      </c>
      <c r="CC17" s="40"/>
      <c r="CD17" s="41"/>
      <c r="CE17" s="41"/>
      <c r="CF17" s="41"/>
      <c r="CG17" s="41"/>
      <c r="CH17" s="38">
        <f>if(CJ17="", if(CE18&lt;&gt;"", if((CE18-CC18)&lt;-1,CA17*(1+Setup!EH4),if((CE18-CC18)&lt;0,CA17*(1+Setup!EI4),if((CE18-CC18)=0,CA17*(1+Setup!EJ4),if((CE18-CC18)=1,CA17*(1+Setup!EK4),if((CE18-CC18)=2,CA17*(1+Setup!EL4),if((CE18-CC18)=3,CA17*(1+Setup!EM4),if((CE18-CC18)=4,CA17*(1+Setup!EN4),if((CE18-CC18)&gt;4,CA17*(1+Setup!EO4),CA17)))))))),CA17),CJ17/'Quick Setup'!$E6)</f>
        <v>325</v>
      </c>
      <c r="CI17" s="39" t="s">
        <v>75</v>
      </c>
      <c r="CJ17" s="40"/>
      <c r="CK17" s="41"/>
      <c r="CL17" s="41"/>
      <c r="CM17" s="41"/>
      <c r="CN17" s="41"/>
      <c r="CO17" s="38">
        <f>if(CQ17="", if(CL18&lt;&gt;"", if((CL18-CJ18)&lt;-1,CH17*(1+Setup!ET4),if((CL18-CJ18)&lt;0,CH17*(1+Setup!EU4),if((CL18-CJ18)=0,CH17*(1+Setup!EV4),if((CL18-CJ18)=1,CH17*(1+Setup!EW4),if((CL18-CJ18)=2,CH17*(1+Setup!EX4),if((CL18-CJ18)=3,CH17*(1+Setup!EY4),if((CL18-CJ18)=4,CH17*(1+Setup!EZ4),if((CL18-CJ18)&gt;4,CH17*(1+Setup!FA4),CH17)))))))),CH17),CQ17/'Quick Setup'!$E6)</f>
        <v>325</v>
      </c>
      <c r="CP17" s="39" t="s">
        <v>75</v>
      </c>
      <c r="CQ17" s="40"/>
      <c r="CR17" s="41"/>
      <c r="CS17" s="41"/>
      <c r="CT17" s="41"/>
      <c r="CU17" s="41"/>
      <c r="CV17" s="38">
        <f>if(CX17="",CO17,CX17/'Quick Setup'!$E6)</f>
        <v>325</v>
      </c>
      <c r="CW17" s="39" t="s">
        <v>75</v>
      </c>
      <c r="CX17" s="40"/>
      <c r="CY17" s="41"/>
      <c r="CZ17" s="41"/>
      <c r="DA17" s="41"/>
      <c r="DB17" s="41"/>
      <c r="DC17" s="38">
        <f>if(DE17="", if(CZ18&lt;&gt;"", if((CZ18-CX18)&lt;-1,CV17*(1+Setup!FR4),if((CZ18-CX18)&lt;0,CV17*(1+Setup!FS4),if((CZ18-CX18)=0,CV17*(1+Setup!FT4),if((CZ18-CX18)=1,CV17*(1+Setup!FU4),if((CZ18-CX18)=2,CV17*(1+Setup!FV4),if((CZ18-CX18)=3,CV17*(1+Setup!FW4),if((CZ18-CX18)=4,CV17*(1+Setup!FX4),if((CZ18-CX18)&gt;4,CV17*(1+Setup!FY4),CV17)))))))),CV17),DE17/'Quick Setup'!$E6)</f>
        <v>325</v>
      </c>
      <c r="DD17" s="39" t="s">
        <v>75</v>
      </c>
      <c r="DE17" s="40"/>
      <c r="DF17" s="41"/>
      <c r="DG17" s="41"/>
      <c r="DH17" s="41"/>
      <c r="DI17" s="41"/>
      <c r="DJ17" s="38">
        <f>if(DL17="", if(DG18&lt;&gt;"", if((DG18-DE18)&lt;-1,DC17*(1+Setup!GD4),if((DG18-DE18)&lt;0,DC17*(1+Setup!GE4),if((DG18-DE18)=0,DC17*(1+Setup!GF4),if((DG18-DE18)=1,DC17*(1+Setup!GG4),if((DG18-DE18)=2,DC17*(1+Setup!GH4),if((DG18-DE18)=3,DC17*(1+Setup!GI4),if((DG18-DE18)=4,DC17*(1+Setup!GJ4),if((DG18-DE18)&gt;4,DC17*(1+Setup!GK4),DC17)))))))),DC17),DL17/'Quick Setup'!$E6)</f>
        <v>325</v>
      </c>
      <c r="DK17" s="39" t="s">
        <v>75</v>
      </c>
      <c r="DL17" s="40"/>
      <c r="DM17" s="41"/>
      <c r="DN17" s="41"/>
      <c r="DO17" s="41"/>
      <c r="DP17" s="41"/>
      <c r="DQ17" s="38">
        <f>if(DS17="", if(DN18&lt;&gt;"", if((DN18-DL18)&lt;-1,DJ17*(1+Setup!GP4),if((DN18-DL18)&lt;0,DJ17*(1+Setup!GQ4),if((DN18-DL18)=0,DJ17*(1+Setup!GR4),if((DN18-DL18)=1,DJ17*(1+Setup!GS4),if((DN18-DL18)=2,DJ17*(1+Setup!GT4),if((DN18-DL18)=3,DJ17*(1+Setup!GU4),if((DN18-DL18)=4,DJ17*(1+Setup!GV4),if((DN18-DL18)&gt;4,DJ17*(1+Setup!GW4),DJ17)))))))),DJ17),DS17/'Quick Setup'!$E6)</f>
        <v>325</v>
      </c>
      <c r="DR17" s="39" t="s">
        <v>75</v>
      </c>
      <c r="DS17" s="40"/>
      <c r="DT17" s="41"/>
      <c r="DU17" s="41"/>
      <c r="DV17" s="41"/>
      <c r="DW17" s="41"/>
      <c r="DX17" s="38">
        <f>if(DZ17="", if(DU18&lt;&gt;"", if((DU18-DS18)&lt;-1,DQ17*(1+Setup!HB4),if((DU18-DS18)&lt;0,DQ17*(1+Setup!HC4),if((DU18-DS18)=0,DQ17*(1+Setup!HD4),if((DU18-DS18)=1,DQ17*(1+Setup!HE4),if((DU18-DS18)=2,DQ17*(1+Setup!HF4),if((DU18-DS18)=3,DQ17*(1+Setup!HG4),if((DU18-DS18)=4,DQ17*(1+Setup!HH4),if((DU18-DS18)&gt;4,DQ17*(1+Setup!HI4),DQ17)))))))),DQ17),DZ17/'Quick Setup'!$E6)</f>
        <v>325</v>
      </c>
      <c r="DY17" s="39" t="s">
        <v>75</v>
      </c>
      <c r="DZ17" s="40"/>
      <c r="EA17" s="41"/>
      <c r="EB17" s="41"/>
      <c r="EC17" s="41"/>
      <c r="ED17" s="41"/>
      <c r="EE17" s="38">
        <f>if(EG17="", if(EB18&lt;&gt;"", if((EB18-DZ18)&lt;-1,DX17*(1+Setup!HN4),if((EB18-DZ18)&lt;0,DX17*(1+Setup!HO4),if((EB18-DZ18)=0,DX17*(1+Setup!HP4),if((EB18-DZ18)=1,DX17*(1+Setup!HQ4),if((EB18-DZ18)=2,DX17*(1+Setup!HR4),if((EB18-DZ18)=3,DX17*(1+Setup!HS4),if((EB18-DZ18)=4,DX17*(1+Setup!HT4),if((EB18-DZ18)&gt;4,DX17*(1+Setup!HU4),DX17)))))))),DX17),EG17/'Quick Setup'!$E6)</f>
        <v>325</v>
      </c>
      <c r="EF17" s="39" t="s">
        <v>75</v>
      </c>
      <c r="EG17" s="40"/>
      <c r="EH17" s="41"/>
      <c r="EI17" s="41"/>
      <c r="EJ17" s="41"/>
      <c r="EK17" s="41"/>
      <c r="EL17" s="38">
        <f>if(EN17="", if(EI18&lt;&gt;"", if((EI18-EG18)&lt;-1,EE17*(1+Setup!HZ4),if((EI18-EG18)&lt;0,EE17*(1+Setup!IA4),if((EI18-EG18)=0,EE17*(1+Setup!IB4),if((EI18-EG18)=1,EE17*(1+Setup!IC4),if((EI18-EG18)=2,EE17*(1+Setup!ID4),if((EI18-EG18)=3,EE17*(1+Setup!IE4),if((EI18-EG18)=4,EE17*(1+Setup!IF4),if((EI18-EG18)&gt;4,EE17*(1+Setup!IG4),EE17)))))))),EE17),EN17/'Quick Setup'!$E6)</f>
        <v>325</v>
      </c>
      <c r="EM17" s="39" t="s">
        <v>75</v>
      </c>
      <c r="EN17" s="40"/>
      <c r="EO17" s="41"/>
      <c r="EP17" s="41"/>
      <c r="EQ17" s="41"/>
      <c r="ER17" s="41"/>
    </row>
    <row r="18">
      <c r="A18" s="1" t="str">
        <f>Setup!A4</f>
        <v>Bench Press</v>
      </c>
      <c r="B18" s="42">
        <f>mround(B17*Setup!B4,'Quick Setup'!$A$2)</f>
        <v>227.5</v>
      </c>
      <c r="C18" s="3">
        <f>Setup!C4</f>
        <v>5</v>
      </c>
      <c r="D18" s="3">
        <f>Setup!D4</f>
        <v>10</v>
      </c>
      <c r="E18" s="3">
        <f>Setup!E4</f>
        <v>5</v>
      </c>
      <c r="F18" s="10"/>
      <c r="G18" s="10"/>
      <c r="H18" s="10"/>
      <c r="I18" s="42">
        <f>mround(I17*Setup!N4,'Quick Setup'!$A$2)</f>
        <v>245</v>
      </c>
      <c r="J18" s="3">
        <f>Setup!O4</f>
        <v>4</v>
      </c>
      <c r="K18" s="3">
        <f>Setup!P4</f>
        <v>8</v>
      </c>
      <c r="L18" s="3">
        <f>Setup!Q4</f>
        <v>5</v>
      </c>
      <c r="M18" s="10"/>
      <c r="N18" s="10"/>
      <c r="O18" s="10"/>
      <c r="P18" s="42">
        <f>mround(P17*Setup!Z4,'Quick Setup'!$A$2)</f>
        <v>260</v>
      </c>
      <c r="Q18" s="3">
        <f>Setup!AA4</f>
        <v>3</v>
      </c>
      <c r="R18" s="3">
        <f>Setup!AB4</f>
        <v>6</v>
      </c>
      <c r="S18" s="3">
        <f>Setup!AC4</f>
        <v>5</v>
      </c>
      <c r="T18" s="10"/>
      <c r="U18" s="10"/>
      <c r="V18" s="10"/>
      <c r="W18" s="42">
        <f>mround(W17*Setup!AL4,'Quick Setup'!$A$2)</f>
        <v>235</v>
      </c>
      <c r="X18" s="3">
        <f>Setup!AM4</f>
        <v>5</v>
      </c>
      <c r="Y18" s="3">
        <f>Setup!AN4</f>
        <v>9</v>
      </c>
      <c r="Z18" s="3">
        <f>Setup!AO4</f>
        <v>5</v>
      </c>
      <c r="AA18" s="10"/>
      <c r="AB18" s="10"/>
      <c r="AC18" s="10"/>
      <c r="AD18" s="42">
        <f>mround(AD17*Setup!AX4,'Quick Setup'!$A$2)</f>
        <v>252.5</v>
      </c>
      <c r="AE18" s="3">
        <f>Setup!AY4</f>
        <v>4</v>
      </c>
      <c r="AF18" s="3">
        <f>Setup!AZ4</f>
        <v>7</v>
      </c>
      <c r="AG18" s="3">
        <f>Setup!BA4</f>
        <v>5</v>
      </c>
      <c r="AH18" s="10"/>
      <c r="AI18" s="10"/>
      <c r="AJ18" s="10"/>
      <c r="AK18" s="42">
        <f>mround(AK17*Setup!BJ4,'Quick Setup'!$A$2)</f>
        <v>267.5</v>
      </c>
      <c r="AL18" s="3">
        <f>Setup!BK4</f>
        <v>3</v>
      </c>
      <c r="AM18" s="3">
        <f>Setup!BL4</f>
        <v>5</v>
      </c>
      <c r="AN18" s="3">
        <f>Setup!BM4</f>
        <v>5</v>
      </c>
      <c r="AO18" s="10"/>
      <c r="AP18" s="10"/>
      <c r="AQ18" s="10"/>
      <c r="AR18" s="42">
        <f>mround(AR17*Setup!BV4,'Quick Setup'!$A$2)</f>
        <v>195</v>
      </c>
      <c r="AS18" s="1">
        <v>5.0</v>
      </c>
      <c r="AT18" s="1" t="s">
        <v>78</v>
      </c>
      <c r="AU18" s="3">
        <f>Setup!BY4</f>
        <v>5</v>
      </c>
      <c r="AV18" s="10"/>
      <c r="AW18" s="10"/>
      <c r="AX18" s="10"/>
      <c r="AY18" s="42">
        <f>mround(AY17*Setup!CH4,'Quick Setup'!$A$2)</f>
        <v>245</v>
      </c>
      <c r="AZ18" s="3">
        <f>Setup!CI4</f>
        <v>4</v>
      </c>
      <c r="BA18" s="3">
        <f>Setup!CJ4</f>
        <v>8</v>
      </c>
      <c r="BB18" s="3">
        <f>Setup!CK4</f>
        <v>5</v>
      </c>
      <c r="BC18" s="10"/>
      <c r="BD18" s="10"/>
      <c r="BE18" s="10"/>
      <c r="BF18" s="42">
        <f>mround(BF17*Setup!CT4,'Quick Setup'!$A$2)</f>
        <v>260</v>
      </c>
      <c r="BG18" s="3">
        <f>Setup!CU4</f>
        <v>3</v>
      </c>
      <c r="BH18" s="3">
        <f>Setup!CV4</f>
        <v>6</v>
      </c>
      <c r="BI18" s="3">
        <f>Setup!CW4</f>
        <v>5</v>
      </c>
      <c r="BJ18" s="10"/>
      <c r="BK18" s="10"/>
      <c r="BL18" s="10"/>
      <c r="BM18" s="42">
        <f>mround(BM17*Setup!DF4,'Quick Setup'!$A$2)</f>
        <v>277.5</v>
      </c>
      <c r="BN18" s="3">
        <f>Setup!DG4</f>
        <v>2</v>
      </c>
      <c r="BO18" s="3">
        <f>Setup!DH4</f>
        <v>4</v>
      </c>
      <c r="BP18" s="3">
        <f>Setup!DI4</f>
        <v>5</v>
      </c>
      <c r="BQ18" s="10"/>
      <c r="BR18" s="10"/>
      <c r="BS18" s="10"/>
      <c r="BT18" s="42">
        <f>mround(BT17*Setup!DR4,'Quick Setup'!$A$2)</f>
        <v>252.5</v>
      </c>
      <c r="BU18" s="3">
        <f>Setup!DS4</f>
        <v>4</v>
      </c>
      <c r="BV18" s="3">
        <f>Setup!DT4</f>
        <v>7</v>
      </c>
      <c r="BW18" s="3">
        <f>Setup!DU4</f>
        <v>5</v>
      </c>
      <c r="BX18" s="10"/>
      <c r="BY18" s="10"/>
      <c r="BZ18" s="10"/>
      <c r="CA18" s="42">
        <f>mround(CA17*Setup!ED4,'Quick Setup'!$A$2)</f>
        <v>267.5</v>
      </c>
      <c r="CB18" s="3">
        <f>Setup!EE4</f>
        <v>3</v>
      </c>
      <c r="CC18" s="3">
        <f>Setup!EF4</f>
        <v>5</v>
      </c>
      <c r="CD18" s="3">
        <f>Setup!EG4</f>
        <v>5</v>
      </c>
      <c r="CE18" s="10"/>
      <c r="CF18" s="10"/>
      <c r="CG18" s="10"/>
      <c r="CH18" s="42">
        <f>mround(CH17*Setup!EP4,'Quick Setup'!$A$2)</f>
        <v>285</v>
      </c>
      <c r="CI18" s="3">
        <f>Setup!EQ4</f>
        <v>2</v>
      </c>
      <c r="CJ18" s="3">
        <f>Setup!ER4</f>
        <v>3</v>
      </c>
      <c r="CK18" s="3">
        <f>Setup!ES4</f>
        <v>5</v>
      </c>
      <c r="CL18" s="10"/>
      <c r="CM18" s="10"/>
      <c r="CN18" s="10"/>
      <c r="CO18" s="42">
        <f>mround(CO17*Setup!FB4,'Quick Setup'!$A$2)</f>
        <v>195</v>
      </c>
      <c r="CP18" s="1">
        <v>5.0</v>
      </c>
      <c r="CQ18" s="1" t="s">
        <v>78</v>
      </c>
      <c r="CR18" s="3">
        <f>Setup!FE4</f>
        <v>5</v>
      </c>
      <c r="CS18" s="10"/>
      <c r="CT18" s="10"/>
      <c r="CU18" s="10"/>
      <c r="CV18" s="42">
        <f>mround(CV17*Setup!FN4,'Quick Setup'!$A$2)</f>
        <v>260</v>
      </c>
      <c r="CW18" s="3">
        <f>Setup!FO4</f>
        <v>3</v>
      </c>
      <c r="CX18" s="3">
        <f>Setup!FP4</f>
        <v>6</v>
      </c>
      <c r="CY18" s="3">
        <f>Setup!FQ4</f>
        <v>5</v>
      </c>
      <c r="CZ18" s="10"/>
      <c r="DA18" s="10"/>
      <c r="DB18" s="10"/>
      <c r="DC18" s="42">
        <f>mround(DC17*Setup!FZ4,'Quick Setup'!$A$2)</f>
        <v>277.5</v>
      </c>
      <c r="DD18" s="3">
        <f>Setup!GA4</f>
        <v>2</v>
      </c>
      <c r="DE18" s="3">
        <f>Setup!GB4</f>
        <v>4</v>
      </c>
      <c r="DF18" s="3">
        <f>Setup!GC4</f>
        <v>5</v>
      </c>
      <c r="DG18" s="10"/>
      <c r="DH18" s="10"/>
      <c r="DI18" s="10"/>
      <c r="DJ18" s="42">
        <f>mround(DJ17*Setup!GL4,'Quick Setup'!$A$2)</f>
        <v>292.5</v>
      </c>
      <c r="DK18" s="3">
        <f>Setup!GM4</f>
        <v>1</v>
      </c>
      <c r="DL18" s="3">
        <f>Setup!GN4</f>
        <v>2</v>
      </c>
      <c r="DM18" s="3">
        <f>Setup!GO4</f>
        <v>5</v>
      </c>
      <c r="DN18" s="10"/>
      <c r="DO18" s="10"/>
      <c r="DP18" s="10"/>
      <c r="DQ18" s="42">
        <f>mround(DQ17*Setup!GX4,'Quick Setup'!$A$2)</f>
        <v>277.5</v>
      </c>
      <c r="DR18" s="3">
        <f>Setup!GY4</f>
        <v>2</v>
      </c>
      <c r="DS18" s="3">
        <f>Setup!GZ4</f>
        <v>4</v>
      </c>
      <c r="DT18" s="3">
        <f>Setup!HA4</f>
        <v>5</v>
      </c>
      <c r="DU18" s="10"/>
      <c r="DV18" s="10"/>
      <c r="DW18" s="10"/>
      <c r="DX18" s="42">
        <f>mround(DX17*Setup!HJ4,'Quick Setup'!$A$2)</f>
        <v>292.5</v>
      </c>
      <c r="DY18" s="3">
        <f>Setup!HK4</f>
        <v>1</v>
      </c>
      <c r="DZ18" s="3">
        <f>Setup!HL4</f>
        <v>2</v>
      </c>
      <c r="EA18" s="3">
        <f>Setup!HM4</f>
        <v>5</v>
      </c>
      <c r="EB18" s="10"/>
      <c r="EC18" s="10"/>
      <c r="ED18" s="10"/>
      <c r="EE18" s="42">
        <f>mround(EE17*Setup!HV4,'Quick Setup'!$A$2)</f>
        <v>310</v>
      </c>
      <c r="EF18" s="3">
        <f>Setup!HW4</f>
        <v>1</v>
      </c>
      <c r="EG18" s="3">
        <f>Setup!HX4</f>
        <v>1</v>
      </c>
      <c r="EH18" s="3">
        <f>Setup!HY4</f>
        <v>5</v>
      </c>
      <c r="EI18" s="10"/>
      <c r="EJ18" s="10"/>
      <c r="EK18" s="10"/>
      <c r="EL18" s="42">
        <f>mround(EL17*Setup!IH4,'Quick Setup'!$A$2)</f>
        <v>195</v>
      </c>
      <c r="EM18" s="1">
        <v>5.0</v>
      </c>
      <c r="EN18" s="1" t="s">
        <v>78</v>
      </c>
      <c r="EO18" s="3">
        <f>Setup!IK4</f>
        <v>5</v>
      </c>
      <c r="EP18" s="10"/>
      <c r="EQ18" s="10"/>
      <c r="ER18" s="10"/>
    </row>
    <row r="19" hidden="1">
      <c r="A19" s="37" t="str">
        <f>CONCATENATE(A20," TM")</f>
        <v>Push Press TM</v>
      </c>
      <c r="B19" s="38">
        <f>if(D19="",'Quick Setup'!D16,D19/'Quick Setup'!E16)</f>
        <v>245</v>
      </c>
      <c r="C19" s="39" t="s">
        <v>75</v>
      </c>
      <c r="D19" s="40"/>
      <c r="E19" s="41"/>
      <c r="F19" s="41"/>
      <c r="G19" s="41"/>
      <c r="H19" s="41"/>
      <c r="I19" s="38">
        <f>if(K19="", if(F20&lt;&gt;"", if((F20-D20)&lt;-1,B19*(1+Setup!F14),if((F20-D20)&lt;0,B19*(1+Setup!G14),if((F20-D20)=0,B19*(1+Setup!H14),if((F20-D20)=1,B19*(1+Setup!I14),if((F20-D20)=2,B19*(1+Setup!J14),if((F20-D20)=3,B19*(1+Setup!K14),if((F20-D20)=4,B19*(1+Setup!L14),if((F20-D20)&gt;4,B19*(1+Setup!M14),B19)))))))),B19),K19/'Quick Setup'!$E16)</f>
        <v>245</v>
      </c>
      <c r="J19" s="39" t="s">
        <v>75</v>
      </c>
      <c r="K19" s="40"/>
      <c r="L19" s="41"/>
      <c r="M19" s="41"/>
      <c r="N19" s="41"/>
      <c r="O19" s="41"/>
      <c r="P19" s="38">
        <f>if(R19="", if(M20&lt;&gt;"", if((M20-K20)&lt;-1,I19*(1+Setup!R14),if((M20-K20)&lt;0,I19*(1+Setup!S14),if((M20-K20)=0,I19*(1+Setup!T14),if((M20-K20)=1,I19*(1+Setup!U14),if((M20-K20)=2,I19*(1+Setup!V14),if((M20-K20)=3,I19*(1+Setup!W14),if((M20-K20)=4,I19*(1+Setup!X14),if((M20-K20)&gt;4,I19*(1+Setup!Y14),I19)))))))),I19),R19/'Quick Setup'!$E16)</f>
        <v>245</v>
      </c>
      <c r="Q19" s="39" t="s">
        <v>75</v>
      </c>
      <c r="R19" s="40"/>
      <c r="S19" s="41"/>
      <c r="T19" s="41"/>
      <c r="U19" s="41"/>
      <c r="V19" s="41"/>
      <c r="W19" s="38">
        <f>if(Y19="", if(T20&lt;&gt;"", if((T20-R20)&lt;-1,P19*(1+Setup!AD14),if((T20-R20)&lt;0,P19*(1+Setup!AE14),if((T20-R20)=0,P19*(1+Setup!AF14),if((T20-R20)=1,P19*(1+Setup!AG14),if((T20-R20)=2,P19*(1+Setup!AH14),if((T20-R20)=3,P19*(1+Setup!AI14),if((T20-R20)=4,P19*(1+Setup!AJ14),if((T20-R20)&gt;4,P19*(1+Setup!AK14),P19)))))))),P19),Y19/'Quick Setup'!$E16)</f>
        <v>245</v>
      </c>
      <c r="X19" s="39" t="s">
        <v>75</v>
      </c>
      <c r="Y19" s="40"/>
      <c r="Z19" s="41"/>
      <c r="AA19" s="41"/>
      <c r="AB19" s="41"/>
      <c r="AC19" s="41"/>
      <c r="AD19" s="38">
        <f>if(AF19="", if(AA20&lt;&gt;"", if((AA20-Y20)&lt;-1,W19*(1+Setup!AP14),if((AA20-Y20)&lt;0,W19*(1+Setup!AQ14),if((AA20-Y20)=0,W19*(1+Setup!AR14),if((AA20-Y20)=1,W19*(1+Setup!AS14),if((AA20-Y20)=2,W19*(1+Setup!AT14),if((AA20-Y20)=3,W19*(1+Setup!AU14),if((AA20-Y20)=4,W19*(1+Setup!AV14),if((AA20-Y20)&gt;4,W19*(1+Setup!AW14),W19)))))))),W19),AF19/'Quick Setup'!$E16)</f>
        <v>245</v>
      </c>
      <c r="AE19" s="39" t="s">
        <v>75</v>
      </c>
      <c r="AF19" s="40"/>
      <c r="AG19" s="41"/>
      <c r="AH19" s="41"/>
      <c r="AI19" s="41"/>
      <c r="AJ19" s="41"/>
      <c r="AK19" s="38">
        <f>if(AM19="", if(AH20&lt;&gt;"", if((AH20-AF20)&lt;-1,AD19*(1+Setup!BB14),if((AH20-AF20)&lt;0,AD19*(1+Setup!BC14),if((AH20-AF20)=0,AD19*(1+Setup!BD14),if((AH20-AF20)=1,AD19*(1+Setup!BE14),if((AH20-AF20)=2,AD19*(1+Setup!BF14),if((AH20-AF20)=3,AD19*(1+Setup!BG14),if((AH20-AF20)=4,AD19*(1+Setup!BH14),if((AH20-AF20)&gt;4,AD19*(1+Setup!BI14),AD19)))))))),AD19),AM19/'Quick Setup'!$E16)</f>
        <v>245</v>
      </c>
      <c r="AL19" s="39" t="s">
        <v>75</v>
      </c>
      <c r="AM19" s="40"/>
      <c r="AN19" s="41"/>
      <c r="AO19" s="41"/>
      <c r="AP19" s="41"/>
      <c r="AQ19" s="41"/>
      <c r="AR19" s="38">
        <f>if(AT19="", if(AO20&lt;&gt;"", if((AO20-AM20)&lt;-1,AK19*(1+Setup!BN14),if((AO20-AM20)&lt;0,AK19*(1+Setup!BO14),if((AO20-AM20)=0,AK19*(1+Setup!BP14),if((AO20-AM20)=1,AK19*(1+Setup!BQ14),if((AO20-AM20)=2,AK19*(1+Setup!BR14),if((AO20-AM20)=3,AK19*(1+Setup!BS14),if((AO20-AM20)=4,AK19*(1+Setup!BT14),if((AO20-AM20)&gt;4,AK19*(1+Setup!BU14),AK19)))))))),AK19),AT19/'Quick Setup'!$E16)</f>
        <v>245</v>
      </c>
      <c r="AS19" s="39" t="s">
        <v>75</v>
      </c>
      <c r="AT19" s="40"/>
      <c r="AU19" s="41"/>
      <c r="AV19" s="41"/>
      <c r="AW19" s="41"/>
      <c r="AX19" s="41"/>
      <c r="AY19" s="38">
        <f>if(BA19="",AR19,BA19/'Quick Setup'!$E16)</f>
        <v>245</v>
      </c>
      <c r="AZ19" s="39" t="s">
        <v>75</v>
      </c>
      <c r="BA19" s="40"/>
      <c r="BB19" s="41"/>
      <c r="BC19" s="41"/>
      <c r="BD19" s="41"/>
      <c r="BE19" s="41"/>
      <c r="BF19" s="38">
        <f>if(BH19="", if(BC20&lt;&gt;"", if((BC20-BA20)&lt;-1,AY19*(1+Setup!CL14),if((BC20-BA20)&lt;0,AY19*(1+Setup!CM14),if((BC20-BA20)=0,AY19*(1+Setup!CN14),if((BC20-BA20)=1,AY19*(1+Setup!CO14),if((BC20-BA20)=2,AY19*(1+Setup!CP14),if((BC20-BA20)=3,AY19*(1+Setup!CQ14),if((BC20-BA20)=4,AY19*(1+Setup!CR14),if((BC20-BA20)&gt;4,AY19*(1+Setup!CS14),AY19)))))))),AY19),BH19/'Quick Setup'!$E16)</f>
        <v>245</v>
      </c>
      <c r="BG19" s="39" t="s">
        <v>75</v>
      </c>
      <c r="BH19" s="40"/>
      <c r="BI19" s="41"/>
      <c r="BJ19" s="41"/>
      <c r="BK19" s="41"/>
      <c r="BL19" s="41"/>
      <c r="BM19" s="38">
        <f>if(BO19="", if(BJ20&lt;&gt;"", if((BJ20-BH20)&lt;-1,BF19*(1+Setup!CX14),if((BJ20-BH20)&lt;0,BF19*(1+Setup!CY14),if((BJ20-BH20)=0,BF19*(1+Setup!CZ14),if((BJ20-BH20)=1,BF19*(1+Setup!DA14),if((BJ20-BH20)=2,BF19*(1+Setup!DB14),if((BJ20-BH20)=3,BF19*(1+Setup!DC14),if((BJ20-BH20)=4,BF19*(1+Setup!DD14),if((BJ20-BH20)&gt;4,BF19*(1+Setup!DE14),BF19)))))))),BF19),BO19/'Quick Setup'!$E16)</f>
        <v>245</v>
      </c>
      <c r="BN19" s="39" t="s">
        <v>75</v>
      </c>
      <c r="BO19" s="40"/>
      <c r="BP19" s="41"/>
      <c r="BQ19" s="41"/>
      <c r="BR19" s="41"/>
      <c r="BS19" s="41"/>
      <c r="BT19" s="38">
        <f>if(BV19="", if(BQ20&lt;&gt;"", if((BQ20-BO20)&lt;-1,BM19*(1+Setup!DJ14),if((BQ20-BO20)&lt;0,BM19*(1+Setup!DK14),if((BQ20-BO20)=0,BM19*(1+Setup!DL14),if((BQ20-BO20)=1,BM19*(1+Setup!DM14),if((BQ20-BO20)=2,BM19*(1+Setup!DN14),if((BQ20-BO20)=3,BM19*(1+Setup!DO14),if((BQ20-BO20)=4,BM19*(1+Setup!DP14),if((BQ20-BO20)&gt;4,BM19*(1+Setup!DQ14),BM19)))))))),BM19),BV19/'Quick Setup'!$E16)</f>
        <v>245</v>
      </c>
      <c r="BU19" s="39" t="s">
        <v>75</v>
      </c>
      <c r="BV19" s="40"/>
      <c r="BW19" s="41"/>
      <c r="BX19" s="41"/>
      <c r="BY19" s="41"/>
      <c r="BZ19" s="41"/>
      <c r="CA19" s="38">
        <f>if(CC19="", if(BX20&lt;&gt;"", if((BX20-BV20)&lt;-1,BT19*(1+Setup!DV14),if((BX20-BV20)&lt;0,BT19*(1+Setup!DW14),if((BX20-BV20)=0,BT19*(1+Setup!DX14),if((BX20-BV20)=1,BT19*(1+Setup!DY14),if((BX20-BV20)=2,BT19*(1+Setup!DZ14),if((BX20-BV20)=3,BT19*(1+Setup!EA14),if((BX20-BV20)=4,BT19*(1+Setup!EB14),if((BX20-BV20)&gt;4,BT19*(1+Setup!EC14),BT19)))))))),BT19),CC19/'Quick Setup'!$E16)</f>
        <v>245</v>
      </c>
      <c r="CB19" s="39" t="s">
        <v>75</v>
      </c>
      <c r="CC19" s="40"/>
      <c r="CD19" s="41"/>
      <c r="CE19" s="41"/>
      <c r="CF19" s="41"/>
      <c r="CG19" s="41"/>
      <c r="CH19" s="38">
        <f>if(CJ19="", if(CE20&lt;&gt;"", if((CE20-CC20)&lt;-1,CA19*(1+Setup!EH14),if((CE20-CC20)&lt;0,CA19*(1+Setup!EI14),if((CE20-CC20)=0,CA19*(1+Setup!EJ14),if((CE20-CC20)=1,CA19*(1+Setup!EK14),if((CE20-CC20)=2,CA19*(1+Setup!EL14),if((CE20-CC20)=3,CA19*(1+Setup!EM14),if((CE20-CC20)=4,CA19*(1+Setup!EN14),if((CE20-CC20)&gt;4,CA19*(1+Setup!EO14),CA19)))))))),CA19),CJ19/'Quick Setup'!$E16)</f>
        <v>245</v>
      </c>
      <c r="CI19" s="39" t="s">
        <v>75</v>
      </c>
      <c r="CJ19" s="40"/>
      <c r="CK19" s="41"/>
      <c r="CL19" s="41"/>
      <c r="CM19" s="41"/>
      <c r="CN19" s="41"/>
      <c r="CO19" s="38">
        <f>if(CQ19="", if(CL20&lt;&gt;"", if((CL20-CJ20)&lt;-1,CH19*(1+Setup!ET14),if((CL20-CJ20)&lt;0,CH19*(1+Setup!EU14),if((CL20-CJ20)=0,CH19*(1+Setup!EV14),if((CL20-CJ20)=1,CH19*(1+Setup!EW14),if((CL20-CJ20)=2,CH19*(1+Setup!EX14),if((CL20-CJ20)=3,CH19*(1+Setup!EY14),if((CL20-CJ20)=4,CH19*(1+Setup!EZ14),if((CL20-CJ20)&gt;4,CH19*(1+Setup!FA14),CH19)))))))),CH19),CQ19/'Quick Setup'!$E16)</f>
        <v>245</v>
      </c>
      <c r="CP19" s="39" t="s">
        <v>75</v>
      </c>
      <c r="CQ19" s="40"/>
      <c r="CR19" s="41"/>
      <c r="CS19" s="41"/>
      <c r="CT19" s="41"/>
      <c r="CU19" s="41"/>
      <c r="CV19" s="38">
        <f>if(CX19="",CO19,CX19/'Quick Setup'!$E16)</f>
        <v>245</v>
      </c>
      <c r="CW19" s="39" t="s">
        <v>75</v>
      </c>
      <c r="CX19" s="40"/>
      <c r="CY19" s="41"/>
      <c r="CZ19" s="41"/>
      <c r="DA19" s="41"/>
      <c r="DB19" s="41"/>
      <c r="DC19" s="38">
        <f>if(DE19="", if(CZ20&lt;&gt;"", if((CZ20-CX20)&lt;-1,CV19*(1+Setup!FR14),if((CZ20-CX20)&lt;0,CV19*(1+Setup!FS14),if((CZ20-CX20)=0,CV19*(1+Setup!FT14),if((CZ20-CX20)=1,CV19*(1+Setup!FU14),if((CZ20-CX20)=2,CV19*(1+Setup!FV14),if((CZ20-CX20)=3,CV19*(1+Setup!FW14),if((CZ20-CX20)=4,CV19*(1+Setup!FX14),if((CZ20-CX20)&gt;4,CV19*(1+Setup!FY14),CV19)))))))),CV19),DE19/'Quick Setup'!$E16)</f>
        <v>245</v>
      </c>
      <c r="DD19" s="39" t="s">
        <v>75</v>
      </c>
      <c r="DE19" s="40"/>
      <c r="DF19" s="41"/>
      <c r="DG19" s="41"/>
      <c r="DH19" s="41"/>
      <c r="DI19" s="41"/>
      <c r="DJ19" s="38">
        <f>if(DL19="", if(DG20&lt;&gt;"", if((DG20-DE20)&lt;-1,DC19*(1+Setup!GD14),if((DG20-DE20)&lt;0,DC19*(1+Setup!GE14),if((DG20-DE20)=0,DC19*(1+Setup!GF14),if((DG20-DE20)=1,DC19*(1+Setup!GG14),if((DG20-DE20)=2,DC19*(1+Setup!GH14),if((DG20-DE20)=3,DC19*(1+Setup!GI14),if((DG20-DE20)=4,DC19*(1+Setup!GJ14),if((DG20-DE20)&gt;4,DC19*(1+Setup!GK14),DC19)))))))),DC19),DL19/'Quick Setup'!$E16)</f>
        <v>245</v>
      </c>
      <c r="DK19" s="39" t="s">
        <v>75</v>
      </c>
      <c r="DL19" s="40"/>
      <c r="DM19" s="41"/>
      <c r="DN19" s="41"/>
      <c r="DO19" s="41"/>
      <c r="DP19" s="41"/>
      <c r="DQ19" s="38">
        <f>if(DS19="", if(DN20&lt;&gt;"", if((DN20-DL20)&lt;-1,DJ19*(1+Setup!GP14),if((DN20-DL20)&lt;0,DJ19*(1+Setup!GQ14),if((DN20-DL20)=0,DJ19*(1+Setup!GR14),if((DN20-DL20)=1,DJ19*(1+Setup!GS14),if((DN20-DL20)=2,DJ19*(1+Setup!GT14),if((DN20-DL20)=3,DJ19*(1+Setup!GU14),if((DN20-DL20)=4,DJ19*(1+Setup!GV14),if((DN20-DL20)&gt;4,DJ19*(1+Setup!GW14),DJ19)))))))),DJ19),DS19/'Quick Setup'!$E16)</f>
        <v>245</v>
      </c>
      <c r="DR19" s="39" t="s">
        <v>75</v>
      </c>
      <c r="DS19" s="40"/>
      <c r="DT19" s="41"/>
      <c r="DU19" s="41"/>
      <c r="DV19" s="41"/>
      <c r="DW19" s="41"/>
      <c r="DX19" s="38">
        <f>if(DZ19="", if(DU20&lt;&gt;"", if((DU20-DS20)&lt;-1,DQ19*(1+Setup!HB14),if((DU20-DS20)&lt;0,DQ19*(1+Setup!HC14),if((DU20-DS20)=0,DQ19*(1+Setup!HD14),if((DU20-DS20)=1,DQ19*(1+Setup!HE14),if((DU20-DS20)=2,DQ19*(1+Setup!HF14),if((DU20-DS20)=3,DQ19*(1+Setup!HG14),if((DU20-DS20)=4,DQ19*(1+Setup!HH14),if((DU20-DS20)&gt;4,DQ19*(1+Setup!HI14),DQ19)))))))),DQ19),DZ19/'Quick Setup'!$E16)</f>
        <v>245</v>
      </c>
      <c r="DY19" s="39" t="s">
        <v>75</v>
      </c>
      <c r="DZ19" s="40"/>
      <c r="EA19" s="41"/>
      <c r="EB19" s="41"/>
      <c r="EC19" s="41"/>
      <c r="ED19" s="41"/>
      <c r="EE19" s="38">
        <f>if(EG19="", if(EB20&lt;&gt;"", if((EB20-DZ20)&lt;-1,DX19*(1+Setup!HN14),if((EB20-DZ20)&lt;0,DX19*(1+Setup!HO14),if((EB20-DZ20)=0,DX19*(1+Setup!HP14),if((EB20-DZ20)=1,DX19*(1+Setup!HQ14),if((EB20-DZ20)=2,DX19*(1+Setup!HR14),if((EB20-DZ20)=3,DX19*(1+Setup!HS14),if((EB20-DZ20)=4,DX19*(1+Setup!HT14),if((EB20-DZ20)&gt;4,DX19*(1+Setup!HU14),DX19)))))))),DX19),EG19/'Quick Setup'!$E16)</f>
        <v>245</v>
      </c>
      <c r="EF19" s="39" t="s">
        <v>75</v>
      </c>
      <c r="EG19" s="40"/>
      <c r="EH19" s="41"/>
      <c r="EI19" s="41"/>
      <c r="EJ19" s="41"/>
      <c r="EK19" s="41"/>
      <c r="EL19" s="38">
        <f>if(EN19="", if(EI20&lt;&gt;"", if((EI20-EG20)&lt;-1,EE19*(1+Setup!HZ14),if((EI20-EG20)&lt;0,EE19*(1+Setup!IA14),if((EI20-EG20)=0,EE19*(1+Setup!IB14),if((EI20-EG20)=1,EE19*(1+Setup!IC14),if((EI20-EG20)=2,EE19*(1+Setup!ID14),if((EI20-EG20)=3,EE19*(1+Setup!IE14),if((EI20-EG20)=4,EE19*(1+Setup!IF14),if((EI20-EG20)&gt;4,EE19*(1+Setup!IG14),EE19)))))))),EE19),EN19/'Quick Setup'!$E16)</f>
        <v>245</v>
      </c>
      <c r="EM19" s="39" t="s">
        <v>75</v>
      </c>
      <c r="EN19" s="40"/>
      <c r="EO19" s="41"/>
      <c r="EP19" s="41"/>
      <c r="EQ19" s="41"/>
      <c r="ER19" s="41"/>
    </row>
    <row r="20">
      <c r="A20" s="1" t="str">
        <f>Setup!A14</f>
        <v>Push Press</v>
      </c>
      <c r="B20" s="42">
        <f>mround(B19*Setup!B14,'Quick Setup'!$A$2)</f>
        <v>147.5</v>
      </c>
      <c r="C20" s="3">
        <f>Setup!C14</f>
        <v>7</v>
      </c>
      <c r="D20" s="3">
        <f>Setup!D14</f>
        <v>14</v>
      </c>
      <c r="E20" s="3">
        <f>Setup!E14</f>
        <v>5</v>
      </c>
      <c r="F20" s="10"/>
      <c r="G20" s="10"/>
      <c r="H20" s="10"/>
      <c r="I20" s="42">
        <f>mround(I19*Setup!N14,'Quick Setup'!$A$2)</f>
        <v>160</v>
      </c>
      <c r="J20" s="3">
        <f>Setup!O14</f>
        <v>6</v>
      </c>
      <c r="K20" s="3">
        <f>Setup!P14</f>
        <v>12</v>
      </c>
      <c r="L20" s="3">
        <f>Setup!Q14</f>
        <v>5</v>
      </c>
      <c r="M20" s="10"/>
      <c r="N20" s="10"/>
      <c r="O20" s="10"/>
      <c r="P20" s="42">
        <f>mround(P19*Setup!Z14,'Quick Setup'!$A$2)</f>
        <v>172.5</v>
      </c>
      <c r="Q20" s="3">
        <f>Setup!AA14</f>
        <v>5</v>
      </c>
      <c r="R20" s="3">
        <f>Setup!AB14</f>
        <v>10</v>
      </c>
      <c r="S20" s="3">
        <f>Setup!AC14</f>
        <v>5</v>
      </c>
      <c r="T20" s="10"/>
      <c r="U20" s="10"/>
      <c r="V20" s="10"/>
      <c r="W20" s="42">
        <f>mround(W19*Setup!AL14,'Quick Setup'!$A$2)</f>
        <v>152.5</v>
      </c>
      <c r="X20" s="3">
        <f>Setup!AM14</f>
        <v>7</v>
      </c>
      <c r="Y20" s="3">
        <f>Setup!AN14</f>
        <v>13</v>
      </c>
      <c r="Z20" s="3">
        <f>Setup!AO14</f>
        <v>5</v>
      </c>
      <c r="AA20" s="10"/>
      <c r="AB20" s="10"/>
      <c r="AC20" s="10"/>
      <c r="AD20" s="42">
        <f>mround(AD19*Setup!AX14,'Quick Setup'!$A$2)</f>
        <v>165</v>
      </c>
      <c r="AE20" s="3">
        <f>Setup!AY14</f>
        <v>6</v>
      </c>
      <c r="AF20" s="3">
        <f>Setup!AZ14</f>
        <v>11</v>
      </c>
      <c r="AG20" s="3">
        <f>Setup!BA14</f>
        <v>5</v>
      </c>
      <c r="AH20" s="10"/>
      <c r="AI20" s="10"/>
      <c r="AJ20" s="10"/>
      <c r="AK20" s="42">
        <f>mround(AK19*Setup!BJ14,'Quick Setup'!$A$2)</f>
        <v>177.5</v>
      </c>
      <c r="AL20" s="3">
        <f>Setup!BK14</f>
        <v>5</v>
      </c>
      <c r="AM20" s="3">
        <f>Setup!BL14</f>
        <v>9</v>
      </c>
      <c r="AN20" s="3">
        <f>Setup!BM14</f>
        <v>5</v>
      </c>
      <c r="AO20" s="10"/>
      <c r="AP20" s="10"/>
      <c r="AQ20" s="10"/>
      <c r="AR20" s="42">
        <f>mround(AR19*Setup!BV14,'Quick Setup'!$A$2)</f>
        <v>122.5</v>
      </c>
      <c r="AS20" s="1">
        <v>5.0</v>
      </c>
      <c r="AT20" s="1" t="s">
        <v>78</v>
      </c>
      <c r="AU20" s="3">
        <f>Setup!BY14</f>
        <v>5</v>
      </c>
      <c r="AV20" s="10"/>
      <c r="AW20" s="10"/>
      <c r="AX20" s="10"/>
      <c r="AY20" s="42">
        <f>mround(AY19*Setup!CH14,'Quick Setup'!$A$2)</f>
        <v>160</v>
      </c>
      <c r="AZ20" s="3">
        <f>Setup!CI14</f>
        <v>6</v>
      </c>
      <c r="BA20" s="3">
        <f>Setup!CJ14</f>
        <v>12</v>
      </c>
      <c r="BB20" s="3">
        <f>Setup!CK14</f>
        <v>5</v>
      </c>
      <c r="BC20" s="10"/>
      <c r="BD20" s="10"/>
      <c r="BE20" s="10"/>
      <c r="BF20" s="42">
        <f>mround(BF19*Setup!CT14,'Quick Setup'!$A$2)</f>
        <v>172.5</v>
      </c>
      <c r="BG20" s="3">
        <f>Setup!CU14</f>
        <v>5</v>
      </c>
      <c r="BH20" s="3">
        <f>Setup!CV14</f>
        <v>10</v>
      </c>
      <c r="BI20" s="3">
        <f>Setup!CW14</f>
        <v>5</v>
      </c>
      <c r="BJ20" s="10"/>
      <c r="BK20" s="10"/>
      <c r="BL20" s="10"/>
      <c r="BM20" s="42">
        <f>mround(BM19*Setup!DF14,'Quick Setup'!$A$2)</f>
        <v>185</v>
      </c>
      <c r="BN20" s="3">
        <f>Setup!DG14</f>
        <v>4</v>
      </c>
      <c r="BO20" s="3">
        <f>Setup!DH14</f>
        <v>8</v>
      </c>
      <c r="BP20" s="3">
        <f>Setup!DI14</f>
        <v>5</v>
      </c>
      <c r="BQ20" s="10"/>
      <c r="BR20" s="10"/>
      <c r="BS20" s="10"/>
      <c r="BT20" s="42">
        <f>mround(BT19*Setup!DR14,'Quick Setup'!$A$2)</f>
        <v>165</v>
      </c>
      <c r="BU20" s="3">
        <f>Setup!DS14</f>
        <v>6</v>
      </c>
      <c r="BV20" s="3">
        <f>Setup!DT14</f>
        <v>11</v>
      </c>
      <c r="BW20" s="3">
        <f>Setup!DU14</f>
        <v>5</v>
      </c>
      <c r="BX20" s="10"/>
      <c r="BY20" s="10"/>
      <c r="BZ20" s="10"/>
      <c r="CA20" s="42">
        <f>mround(CA19*Setup!ED14,'Quick Setup'!$A$2)</f>
        <v>177.5</v>
      </c>
      <c r="CB20" s="3">
        <f>Setup!EE14</f>
        <v>5</v>
      </c>
      <c r="CC20" s="3">
        <f>Setup!EF14</f>
        <v>9</v>
      </c>
      <c r="CD20" s="3">
        <f>Setup!EG14</f>
        <v>5</v>
      </c>
      <c r="CE20" s="10"/>
      <c r="CF20" s="10"/>
      <c r="CG20" s="10"/>
      <c r="CH20" s="42">
        <f>mround(CH19*Setup!EP14,'Quick Setup'!$A$2)</f>
        <v>190</v>
      </c>
      <c r="CI20" s="3">
        <f>Setup!EQ14</f>
        <v>4</v>
      </c>
      <c r="CJ20" s="3">
        <f>Setup!ER14</f>
        <v>7</v>
      </c>
      <c r="CK20" s="3">
        <f>Setup!ES14</f>
        <v>5</v>
      </c>
      <c r="CL20" s="10"/>
      <c r="CM20" s="10"/>
      <c r="CN20" s="10"/>
      <c r="CO20" s="42">
        <f>mround(CO19*Setup!FB14,'Quick Setup'!$A$2)</f>
        <v>122.5</v>
      </c>
      <c r="CP20" s="1">
        <v>5.0</v>
      </c>
      <c r="CQ20" s="1" t="s">
        <v>78</v>
      </c>
      <c r="CR20" s="3">
        <f>Setup!FE14</f>
        <v>5</v>
      </c>
      <c r="CS20" s="10"/>
      <c r="CT20" s="10"/>
      <c r="CU20" s="10"/>
      <c r="CV20" s="42">
        <f>mround(CV19*Setup!FN14,'Quick Setup'!$A$2)</f>
        <v>172.5</v>
      </c>
      <c r="CW20" s="3">
        <f>Setup!FO14</f>
        <v>5</v>
      </c>
      <c r="CX20" s="3">
        <f>Setup!FP14</f>
        <v>10</v>
      </c>
      <c r="CY20" s="3">
        <f>Setup!FQ14</f>
        <v>5</v>
      </c>
      <c r="CZ20" s="10"/>
      <c r="DA20" s="10"/>
      <c r="DB20" s="10"/>
      <c r="DC20" s="42">
        <f>mround(DC19*Setup!FZ14,'Quick Setup'!$A$2)</f>
        <v>185</v>
      </c>
      <c r="DD20" s="3">
        <f>Setup!GA14</f>
        <v>4</v>
      </c>
      <c r="DE20" s="3">
        <f>Setup!GB14</f>
        <v>8</v>
      </c>
      <c r="DF20" s="3">
        <f>Setup!GC14</f>
        <v>5</v>
      </c>
      <c r="DG20" s="10"/>
      <c r="DH20" s="10"/>
      <c r="DI20" s="10"/>
      <c r="DJ20" s="42">
        <f>mround(DJ19*Setup!GL14,'Quick Setup'!$A$2)</f>
        <v>195</v>
      </c>
      <c r="DK20" s="3">
        <f>Setup!GM14</f>
        <v>3</v>
      </c>
      <c r="DL20" s="3">
        <f>Setup!GN14</f>
        <v>6</v>
      </c>
      <c r="DM20" s="3">
        <f>Setup!GO14</f>
        <v>5</v>
      </c>
      <c r="DN20" s="10"/>
      <c r="DO20" s="10"/>
      <c r="DP20" s="10"/>
      <c r="DQ20" s="42">
        <f>mround(DQ19*Setup!GX14,'Quick Setup'!$A$2)</f>
        <v>185</v>
      </c>
      <c r="DR20" s="3">
        <f>Setup!GY14</f>
        <v>4</v>
      </c>
      <c r="DS20" s="3">
        <f>Setup!GZ14</f>
        <v>8</v>
      </c>
      <c r="DT20" s="3">
        <f>Setup!HA14</f>
        <v>5</v>
      </c>
      <c r="DU20" s="10"/>
      <c r="DV20" s="10"/>
      <c r="DW20" s="10"/>
      <c r="DX20" s="42">
        <f>mround(DX19*Setup!HJ14,'Quick Setup'!$A$2)</f>
        <v>195</v>
      </c>
      <c r="DY20" s="3">
        <f>Setup!HK14</f>
        <v>3</v>
      </c>
      <c r="DZ20" s="3">
        <f>Setup!HL14</f>
        <v>6</v>
      </c>
      <c r="EA20" s="3">
        <f>Setup!HM14</f>
        <v>5</v>
      </c>
      <c r="EB20" s="10"/>
      <c r="EC20" s="10"/>
      <c r="ED20" s="10"/>
      <c r="EE20" s="42">
        <f>mround(EE19*Setup!HV14,'Quick Setup'!$A$2)</f>
        <v>207.5</v>
      </c>
      <c r="EF20" s="3">
        <f>Setup!HW14</f>
        <v>2</v>
      </c>
      <c r="EG20" s="3">
        <f>Setup!HX14</f>
        <v>4</v>
      </c>
      <c r="EH20" s="3">
        <f>Setup!HY14</f>
        <v>5</v>
      </c>
      <c r="EI20" s="10"/>
      <c r="EJ20" s="10"/>
      <c r="EK20" s="10"/>
      <c r="EL20" s="42">
        <f>mround(EL19*Setup!IH14,'Quick Setup'!$A$2)</f>
        <v>122.5</v>
      </c>
      <c r="EM20" s="1">
        <v>5.0</v>
      </c>
      <c r="EN20" s="1" t="s">
        <v>78</v>
      </c>
      <c r="EO20" s="3">
        <f>Setup!IK14</f>
        <v>5</v>
      </c>
      <c r="EP20" s="10"/>
      <c r="EQ20" s="10"/>
      <c r="ER20" s="10"/>
    </row>
    <row r="21" hidden="1">
      <c r="A21" s="37" t="str">
        <f>CONCATENATE(A22," TM")</f>
        <v>Incline Press TM</v>
      </c>
      <c r="B21" s="38">
        <f>if(D21="",'Quick Setup'!D14,D21/'Quick Setup'!E14)</f>
        <v>280</v>
      </c>
      <c r="C21" s="39" t="s">
        <v>75</v>
      </c>
      <c r="D21" s="40"/>
      <c r="E21" s="41"/>
      <c r="F21" s="41"/>
      <c r="G21" s="41"/>
      <c r="H21" s="41"/>
      <c r="I21" s="38">
        <f>if(K21="", if(F22&lt;&gt;"", if((F22-D22)&lt;-1,B21*(1+Setup!F12),if((F22-D22)&lt;0,B21*(1+Setup!G12),if((F22-D22)=0,B21*(1+Setup!H12),if((F22-D22)=1,B21*(1+Setup!I12),if((F22-D22)=2,B21*(1+Setup!J12),if((F22-D22)=3,B21*(1+Setup!K12),if((F22-D22)=4,B21*(1+Setup!L12),if((F22-D22)&gt;4,B21*(1+Setup!M12),B21)))))))),B21),K21/'Quick Setup'!$E14)</f>
        <v>280</v>
      </c>
      <c r="J21" s="39" t="s">
        <v>75</v>
      </c>
      <c r="K21" s="40"/>
      <c r="L21" s="41"/>
      <c r="M21" s="41"/>
      <c r="N21" s="41"/>
      <c r="O21" s="41"/>
      <c r="P21" s="38">
        <f>if(R21="", if(M22&lt;&gt;"", if((M22-K22)&lt;-1,I21*(1+Setup!R12),if((M22-K22)&lt;0,I21*(1+Setup!S12),if((M22-K22)=0,I21*(1+Setup!T12),if((M22-K22)=1,I21*(1+Setup!U12),if((M22-K22)=2,I21*(1+Setup!V12),if((M22-K22)=3,I21*(1+Setup!W12),if((M22-K22)=4,I21*(1+Setup!X12),if((M22-K22)&gt;4,I21*(1+Setup!Y12),I21)))))))),I21),R21/'Quick Setup'!$E14)</f>
        <v>280</v>
      </c>
      <c r="Q21" s="39" t="s">
        <v>75</v>
      </c>
      <c r="R21" s="40"/>
      <c r="S21" s="41"/>
      <c r="T21" s="41"/>
      <c r="U21" s="41"/>
      <c r="V21" s="41"/>
      <c r="W21" s="38">
        <f>if(Y21="", if(T22&lt;&gt;"", if((T22-R22)&lt;-1,P21*(1+Setup!AD12),if((T22-R22)&lt;0,P21*(1+Setup!AE12),if((T22-R22)=0,P21*(1+Setup!AF12),if((T22-R22)=1,P21*(1+Setup!AG12),if((T22-R22)=2,P21*(1+Setup!AH12),if((T22-R22)=3,P21*(1+Setup!AI12),if((T22-R22)=4,P21*(1+Setup!AJ12),if((T22-R22)&gt;4,P21*(1+Setup!AK12),P21)))))))),P21),Y21/'Quick Setup'!$E14)</f>
        <v>280</v>
      </c>
      <c r="X21" s="39" t="s">
        <v>75</v>
      </c>
      <c r="Y21" s="40"/>
      <c r="Z21" s="41"/>
      <c r="AA21" s="41"/>
      <c r="AB21" s="41"/>
      <c r="AC21" s="41"/>
      <c r="AD21" s="38">
        <f>if(AF21="", if(AA22&lt;&gt;"", if((AA22-Y22)&lt;-1,W21*(1+Setup!AP12),if((AA22-Y22)&lt;0,W21*(1+Setup!AQ12),if((AA22-Y22)=0,W21*(1+Setup!AR12),if((AA22-Y22)=1,W21*(1+Setup!AS12),if((AA22-Y22)=2,W21*(1+Setup!AT12),if((AA22-Y22)=3,W21*(1+Setup!AU12),if((AA22-Y22)=4,W21*(1+Setup!AV12),if((AA22-Y22)&gt;4,W21*(1+Setup!AW12),W21)))))))),W21),AF21/'Quick Setup'!$E14)</f>
        <v>280</v>
      </c>
      <c r="AE21" s="39" t="s">
        <v>75</v>
      </c>
      <c r="AF21" s="40"/>
      <c r="AG21" s="41"/>
      <c r="AH21" s="41"/>
      <c r="AI21" s="41"/>
      <c r="AJ21" s="41"/>
      <c r="AK21" s="38">
        <f>if(AM21="", if(AH22&lt;&gt;"", if((AH22-AF22)&lt;-1,AD21*(1+Setup!BB12),if((AH22-AF22)&lt;0,AD21*(1+Setup!BC12),if((AH22-AF22)=0,AD21*(1+Setup!BD12),if((AH22-AF22)=1,AD21*(1+Setup!BE12),if((AH22-AF22)=2,AD21*(1+Setup!BF12),if((AH22-AF22)=3,AD21*(1+Setup!BG12),if((AH22-AF22)=4,AD21*(1+Setup!BH12),if((AH22-AF22)&gt;4,AD21*(1+Setup!BI12),AD21)))))))),AD21),AM21/'Quick Setup'!$E14)</f>
        <v>280</v>
      </c>
      <c r="AL21" s="39" t="s">
        <v>75</v>
      </c>
      <c r="AM21" s="40"/>
      <c r="AN21" s="41"/>
      <c r="AO21" s="41"/>
      <c r="AP21" s="41"/>
      <c r="AQ21" s="41"/>
      <c r="AR21" s="38">
        <f>if(AT21="", if(AO22&lt;&gt;"", if((AO22-AM22)&lt;-1,AK21*(1+Setup!BN12),if((AO22-AM22)&lt;0,AK21*(1+Setup!BO12),if((AO22-AM22)=0,AK21*(1+Setup!BP12),if((AO22-AM22)=1,AK21*(1+Setup!BQ12),if((AO22-AM22)=2,AK21*(1+Setup!BR12),if((AO22-AM22)=3,AK21*(1+Setup!BS12),if((AO22-AM22)=4,AK21*(1+Setup!BT12),if((AO22-AM22)&gt;4,AK21*(1+Setup!BU12),AK21)))))))),AK21),AT21/'Quick Setup'!$E14)</f>
        <v>280</v>
      </c>
      <c r="AS21" s="39" t="s">
        <v>75</v>
      </c>
      <c r="AT21" s="40"/>
      <c r="AU21" s="41"/>
      <c r="AV21" s="41"/>
      <c r="AW21" s="41"/>
      <c r="AX21" s="41"/>
      <c r="AY21" s="38">
        <f>if(BA21="",AR21,BA21/'Quick Setup'!$E14)</f>
        <v>280</v>
      </c>
      <c r="AZ21" s="39" t="s">
        <v>75</v>
      </c>
      <c r="BA21" s="40"/>
      <c r="BB21" s="41"/>
      <c r="BC21" s="41"/>
      <c r="BD21" s="41"/>
      <c r="BE21" s="41"/>
      <c r="BF21" s="38">
        <f>if(BH21="", if(BC22&lt;&gt;"", if((BC22-BA22)&lt;-1,AY21*(1+Setup!CL12),if((BC22-BA22)&lt;0,AY21*(1+Setup!CM12),if((BC22-BA22)=0,AY21*(1+Setup!CN12),if((BC22-BA22)=1,AY21*(1+Setup!CO12),if((BC22-BA22)=2,AY21*(1+Setup!CP12),if((BC22-BA22)=3,AY21*(1+Setup!CQ12),if((BC22-BA22)=4,AY21*(1+Setup!CR12),if((BC22-BA22)&gt;4,AY21*(1+Setup!CS12),AY21)))))))),AY21),BH21/'Quick Setup'!$E14)</f>
        <v>280</v>
      </c>
      <c r="BG21" s="39" t="s">
        <v>75</v>
      </c>
      <c r="BH21" s="40"/>
      <c r="BI21" s="41"/>
      <c r="BJ21" s="41"/>
      <c r="BK21" s="41"/>
      <c r="BL21" s="41"/>
      <c r="BM21" s="38">
        <f>if(BO21="", if(BJ22&lt;&gt;"", if((BJ22-BH22)&lt;-1,BF21*(1+Setup!CX12),if((BJ22-BH22)&lt;0,BF21*(1+Setup!CY12),if((BJ22-BH22)=0,BF21*(1+Setup!CZ12),if((BJ22-BH22)=1,BF21*(1+Setup!DA12),if((BJ22-BH22)=2,BF21*(1+Setup!DB12),if((BJ22-BH22)=3,BF21*(1+Setup!DC12),if((BJ22-BH22)=4,BF21*(1+Setup!DD12),if((BJ22-BH22)&gt;4,BF21*(1+Setup!DE12),BF21)))))))),BF21),BO21/'Quick Setup'!$E14)</f>
        <v>280</v>
      </c>
      <c r="BN21" s="39" t="s">
        <v>75</v>
      </c>
      <c r="BO21" s="40"/>
      <c r="BP21" s="41"/>
      <c r="BQ21" s="41"/>
      <c r="BR21" s="41"/>
      <c r="BS21" s="41"/>
      <c r="BT21" s="38">
        <f>if(BV21="", if(BQ22&lt;&gt;"", if((BQ22-BO22)&lt;-1,BM21*(1+Setup!DJ12),if((BQ22-BO22)&lt;0,BM21*(1+Setup!DK12),if((BQ22-BO22)=0,BM21*(1+Setup!DL12),if((BQ22-BO22)=1,BM21*(1+Setup!DM12),if((BQ22-BO22)=2,BM21*(1+Setup!DN12),if((BQ22-BO22)=3,BM21*(1+Setup!DO12),if((BQ22-BO22)=4,BM21*(1+Setup!DP12),if((BQ22-BO22)&gt;4,BM21*(1+Setup!DQ12),BM21)))))))),BM21),BV21/'Quick Setup'!$E14)</f>
        <v>280</v>
      </c>
      <c r="BU21" s="39" t="s">
        <v>75</v>
      </c>
      <c r="BV21" s="40"/>
      <c r="BW21" s="41"/>
      <c r="BX21" s="41"/>
      <c r="BY21" s="41"/>
      <c r="BZ21" s="41"/>
      <c r="CA21" s="38">
        <f>if(CC21="", if(BX22&lt;&gt;"", if((BX22-BV22)&lt;-1,BT21*(1+Setup!DV12),if((BX22-BV22)&lt;0,BT21*(1+Setup!DW12),if((BX22-BV22)=0,BT21*(1+Setup!DX12),if((BX22-BV22)=1,BT21*(1+Setup!DY12),if((BX22-BV22)=2,BT21*(1+Setup!DZ12),if((BX22-BV22)=3,BT21*(1+Setup!EA12),if((BX22-BV22)=4,BT21*(1+Setup!EB12),if((BX22-BV22)&gt;4,BT21*(1+Setup!EC12),BT21)))))))),BT21),CC21/'Quick Setup'!$E14)</f>
        <v>280</v>
      </c>
      <c r="CB21" s="39" t="s">
        <v>75</v>
      </c>
      <c r="CC21" s="40"/>
      <c r="CD21" s="41"/>
      <c r="CE21" s="41"/>
      <c r="CF21" s="41"/>
      <c r="CG21" s="41"/>
      <c r="CH21" s="38">
        <f>if(CJ21="", if(CE22&lt;&gt;"", if((CE22-CC22)&lt;-1,CA21*(1+Setup!EH12),if((CE22-CC22)&lt;0,CA21*(1+Setup!EI12),if((CE22-CC22)=0,CA21*(1+Setup!EJ12),if((CE22-CC22)=1,CA21*(1+Setup!EK12),if((CE22-CC22)=2,CA21*(1+Setup!EL12),if((CE22-CC22)=3,CA21*(1+Setup!EM12),if((CE22-CC22)=4,CA21*(1+Setup!EN12),if((CE22-CC22)&gt;4,CA21*(1+Setup!EO12),CA21)))))))),CA21),CJ21/'Quick Setup'!$E14)</f>
        <v>280</v>
      </c>
      <c r="CI21" s="39" t="s">
        <v>75</v>
      </c>
      <c r="CJ21" s="40"/>
      <c r="CK21" s="41"/>
      <c r="CL21" s="41"/>
      <c r="CM21" s="41"/>
      <c r="CN21" s="41"/>
      <c r="CO21" s="38">
        <f>if(CQ21="", if(CL22&lt;&gt;"", if((CL22-CJ22)&lt;-1,CH21*(1+Setup!ET12),if((CL22-CJ22)&lt;0,CH21*(1+Setup!EU12),if((CL22-CJ22)=0,CH21*(1+Setup!EV12),if((CL22-CJ22)=1,CH21*(1+Setup!EW12),if((CL22-CJ22)=2,CH21*(1+Setup!EX12),if((CL22-CJ22)=3,CH21*(1+Setup!EY12),if((CL22-CJ22)=4,CH21*(1+Setup!EZ12),if((CL22-CJ22)&gt;4,CH21*(1+Setup!FA12),CH21)))))))),CH21),CQ21/'Quick Setup'!$E14)</f>
        <v>280</v>
      </c>
      <c r="CP21" s="39" t="s">
        <v>75</v>
      </c>
      <c r="CQ21" s="40"/>
      <c r="CR21" s="41"/>
      <c r="CS21" s="41"/>
      <c r="CT21" s="41"/>
      <c r="CU21" s="41"/>
      <c r="CV21" s="38">
        <f>if(CX21="",CO21,CX21/'Quick Setup'!$E14)</f>
        <v>280</v>
      </c>
      <c r="CW21" s="39" t="s">
        <v>75</v>
      </c>
      <c r="CX21" s="40"/>
      <c r="CY21" s="41"/>
      <c r="CZ21" s="41"/>
      <c r="DA21" s="41"/>
      <c r="DB21" s="41"/>
      <c r="DC21" s="38">
        <f>if(DE21="", if(CZ22&lt;&gt;"", if((CZ22-CX22)&lt;-1,CV21*(1+Setup!FR12),if((CZ22-CX22)&lt;0,CV21*(1+Setup!FS12),if((CZ22-CX22)=0,CV21*(1+Setup!FT12),if((CZ22-CX22)=1,CV21*(1+Setup!FU12),if((CZ22-CX22)=2,CV21*(1+Setup!FV12),if((CZ22-CX22)=3,CV21*(1+Setup!FW12),if((CZ22-CX22)=4,CV21*(1+Setup!FX12),if((CZ22-CX22)&gt;4,CV21*(1+Setup!FY12),CV21)))))))),CV21),DE21/'Quick Setup'!$E14)</f>
        <v>280</v>
      </c>
      <c r="DD21" s="39" t="s">
        <v>75</v>
      </c>
      <c r="DE21" s="40"/>
      <c r="DF21" s="41"/>
      <c r="DG21" s="41"/>
      <c r="DH21" s="41"/>
      <c r="DI21" s="41"/>
      <c r="DJ21" s="38">
        <f>if(DL21="", if(DG22&lt;&gt;"", if((DG22-DE22)&lt;-1,DC21*(1+Setup!GD12),if((DG22-DE22)&lt;0,DC21*(1+Setup!GE12),if((DG22-DE22)=0,DC21*(1+Setup!GF12),if((DG22-DE22)=1,DC21*(1+Setup!GG12),if((DG22-DE22)=2,DC21*(1+Setup!GH12),if((DG22-DE22)=3,DC21*(1+Setup!GI12),if((DG22-DE22)=4,DC21*(1+Setup!GJ12),if((DG22-DE22)&gt;4,DC21*(1+Setup!GK12),DC21)))))))),DC21),DL21/'Quick Setup'!$E14)</f>
        <v>280</v>
      </c>
      <c r="DK21" s="39" t="s">
        <v>75</v>
      </c>
      <c r="DL21" s="40"/>
      <c r="DM21" s="41"/>
      <c r="DN21" s="41"/>
      <c r="DO21" s="41"/>
      <c r="DP21" s="41"/>
      <c r="DQ21" s="38">
        <f>if(DS21="", if(DN22&lt;&gt;"", if((DN22-DL22)&lt;-1,DJ21*(1+Setup!GP12),if((DN22-DL22)&lt;0,DJ21*(1+Setup!GQ12),if((DN22-DL22)=0,DJ21*(1+Setup!GR12),if((DN22-DL22)=1,DJ21*(1+Setup!GS12),if((DN22-DL22)=2,DJ21*(1+Setup!GT12),if((DN22-DL22)=3,DJ21*(1+Setup!GU12),if((DN22-DL22)=4,DJ21*(1+Setup!GV12),if((DN22-DL22)&gt;4,DJ21*(1+Setup!GW12),DJ21)))))))),DJ21),DS21/'Quick Setup'!$E14)</f>
        <v>280</v>
      </c>
      <c r="DR21" s="39" t="s">
        <v>75</v>
      </c>
      <c r="DS21" s="40"/>
      <c r="DT21" s="41"/>
      <c r="DU21" s="41"/>
      <c r="DV21" s="41"/>
      <c r="DW21" s="41"/>
      <c r="DX21" s="38">
        <f>if(DZ21="", if(DU22&lt;&gt;"", if((DU22-DS22)&lt;-1,DQ21*(1+Setup!HB12),if((DU22-DS22)&lt;0,DQ21*(1+Setup!HC12),if((DU22-DS22)=0,DQ21*(1+Setup!HD12),if((DU22-DS22)=1,DQ21*(1+Setup!HE12),if((DU22-DS22)=2,DQ21*(1+Setup!HF12),if((DU22-DS22)=3,DQ21*(1+Setup!HG12),if((DU22-DS22)=4,DQ21*(1+Setup!HH12),if((DU22-DS22)&gt;4,DQ21*(1+Setup!HI12),DQ21)))))))),DQ21),DZ21/'Quick Setup'!$E14)</f>
        <v>280</v>
      </c>
      <c r="DY21" s="39" t="s">
        <v>75</v>
      </c>
      <c r="DZ21" s="40"/>
      <c r="EA21" s="41"/>
      <c r="EB21" s="41"/>
      <c r="EC21" s="41"/>
      <c r="ED21" s="41"/>
      <c r="EE21" s="38">
        <f>if(EG21="", if(EB22&lt;&gt;"", if((EB22-DZ22)&lt;-1,DX21*(1+Setup!HN12),if((EB22-DZ22)&lt;0,DX21*(1+Setup!HO12),if((EB22-DZ22)=0,DX21*(1+Setup!HP12),if((EB22-DZ22)=1,DX21*(1+Setup!HQ12),if((EB22-DZ22)=2,DX21*(1+Setup!HR12),if((EB22-DZ22)=3,DX21*(1+Setup!HS12),if((EB22-DZ22)=4,DX21*(1+Setup!HT12),if((EB22-DZ22)&gt;4,DX21*(1+Setup!HU12),DX21)))))))),DX21),EG21/'Quick Setup'!$E14)</f>
        <v>280</v>
      </c>
      <c r="EF21" s="39" t="s">
        <v>75</v>
      </c>
      <c r="EG21" s="40"/>
      <c r="EH21" s="41"/>
      <c r="EI21" s="41"/>
      <c r="EJ21" s="41"/>
      <c r="EK21" s="41"/>
      <c r="EL21" s="38">
        <f>if(EN21="", if(EI22&lt;&gt;"", if((EI22-EG22)&lt;-1,EE21*(1+Setup!HZ12),if((EI22-EG22)&lt;0,EE21*(1+Setup!IA12),if((EI22-EG22)=0,EE21*(1+Setup!IB12),if((EI22-EG22)=1,EE21*(1+Setup!IC12),if((EI22-EG22)=2,EE21*(1+Setup!ID12),if((EI22-EG22)=3,EE21*(1+Setup!IE12),if((EI22-EG22)=4,EE21*(1+Setup!IF12),if((EI22-EG22)&gt;4,EE21*(1+Setup!IG12),EE21)))))))),EE21),EN21/'Quick Setup'!$E14)</f>
        <v>280</v>
      </c>
      <c r="EM21" s="39" t="s">
        <v>75</v>
      </c>
      <c r="EN21" s="40"/>
      <c r="EO21" s="41"/>
      <c r="EP21" s="41"/>
      <c r="EQ21" s="41"/>
      <c r="ER21" s="41"/>
    </row>
    <row r="22">
      <c r="A22" s="1" t="str">
        <f>Setup!A12</f>
        <v>Incline Press</v>
      </c>
      <c r="B22" s="42">
        <f>mround(B21*Setup!B12,'Quick Setup'!$A$2)</f>
        <v>167.5</v>
      </c>
      <c r="C22" s="3">
        <f>Setup!C12</f>
        <v>7</v>
      </c>
      <c r="D22" s="3">
        <f>Setup!D12</f>
        <v>14</v>
      </c>
      <c r="E22" s="3">
        <f>Setup!E12</f>
        <v>5</v>
      </c>
      <c r="F22" s="10"/>
      <c r="G22" s="10"/>
      <c r="H22" s="10"/>
      <c r="I22" s="42">
        <f>mround(I21*Setup!N12,'Quick Setup'!$A$2)</f>
        <v>182.5</v>
      </c>
      <c r="J22" s="3">
        <f>Setup!O12</f>
        <v>6</v>
      </c>
      <c r="K22" s="3">
        <f>Setup!P12</f>
        <v>12</v>
      </c>
      <c r="L22" s="3">
        <f>Setup!Q12</f>
        <v>5</v>
      </c>
      <c r="M22" s="10"/>
      <c r="N22" s="10"/>
      <c r="O22" s="10"/>
      <c r="P22" s="42">
        <f>mround(P21*Setup!Z12,'Quick Setup'!$A$2)</f>
        <v>195</v>
      </c>
      <c r="Q22" s="3">
        <f>Setup!AA12</f>
        <v>5</v>
      </c>
      <c r="R22" s="3">
        <f>Setup!AB12</f>
        <v>10</v>
      </c>
      <c r="S22" s="3">
        <f>Setup!AC12</f>
        <v>5</v>
      </c>
      <c r="T22" s="10"/>
      <c r="U22" s="10"/>
      <c r="V22" s="10"/>
      <c r="W22" s="42">
        <f>mround(W21*Setup!AL12,'Quick Setup'!$A$2)</f>
        <v>175</v>
      </c>
      <c r="X22" s="3">
        <f>Setup!AM12</f>
        <v>7</v>
      </c>
      <c r="Y22" s="3">
        <f>Setup!AN12</f>
        <v>13</v>
      </c>
      <c r="Z22" s="3">
        <f>Setup!AO12</f>
        <v>5</v>
      </c>
      <c r="AA22" s="10"/>
      <c r="AB22" s="10"/>
      <c r="AC22" s="10"/>
      <c r="AD22" s="42">
        <f>mround(AD21*Setup!AX12,'Quick Setup'!$A$2)</f>
        <v>190</v>
      </c>
      <c r="AE22" s="3">
        <f>Setup!AY12</f>
        <v>6</v>
      </c>
      <c r="AF22" s="3">
        <f>Setup!AZ12</f>
        <v>11</v>
      </c>
      <c r="AG22" s="3">
        <f>Setup!BA12</f>
        <v>5</v>
      </c>
      <c r="AH22" s="10"/>
      <c r="AI22" s="10"/>
      <c r="AJ22" s="10"/>
      <c r="AK22" s="42">
        <f>mround(AK21*Setup!BJ12,'Quick Setup'!$A$2)</f>
        <v>202.5</v>
      </c>
      <c r="AL22" s="3">
        <f>Setup!BK12</f>
        <v>5</v>
      </c>
      <c r="AM22" s="3">
        <f>Setup!BL12</f>
        <v>9</v>
      </c>
      <c r="AN22" s="3">
        <f>Setup!BM12</f>
        <v>5</v>
      </c>
      <c r="AO22" s="10"/>
      <c r="AP22" s="10"/>
      <c r="AQ22" s="10"/>
      <c r="AR22" s="42">
        <f>mround(AR21*Setup!BV12,'Quick Setup'!$A$2)</f>
        <v>140</v>
      </c>
      <c r="AS22" s="1">
        <v>5.0</v>
      </c>
      <c r="AT22" s="1" t="s">
        <v>78</v>
      </c>
      <c r="AU22" s="3">
        <f>Setup!BY12</f>
        <v>5</v>
      </c>
      <c r="AV22" s="10"/>
      <c r="AW22" s="10"/>
      <c r="AX22" s="10"/>
      <c r="AY22" s="42">
        <f>mround(AY21*Setup!CH12,'Quick Setup'!$A$2)</f>
        <v>182.5</v>
      </c>
      <c r="AZ22" s="3">
        <f>Setup!CI12</f>
        <v>6</v>
      </c>
      <c r="BA22" s="3">
        <f>Setup!CJ12</f>
        <v>12</v>
      </c>
      <c r="BB22" s="3">
        <f>Setup!CK12</f>
        <v>5</v>
      </c>
      <c r="BC22" s="10"/>
      <c r="BD22" s="10"/>
      <c r="BE22" s="10"/>
      <c r="BF22" s="42">
        <f>mround(BF21*Setup!CT12,'Quick Setup'!$A$2)</f>
        <v>195</v>
      </c>
      <c r="BG22" s="3">
        <f>Setup!CU12</f>
        <v>5</v>
      </c>
      <c r="BH22" s="3">
        <f>Setup!CV12</f>
        <v>10</v>
      </c>
      <c r="BI22" s="3">
        <f>Setup!CW12</f>
        <v>5</v>
      </c>
      <c r="BJ22" s="10"/>
      <c r="BK22" s="10"/>
      <c r="BL22" s="10"/>
      <c r="BM22" s="42">
        <f>mround(BM21*Setup!DF12,'Quick Setup'!$A$2)</f>
        <v>210</v>
      </c>
      <c r="BN22" s="3">
        <f>Setup!DG12</f>
        <v>4</v>
      </c>
      <c r="BO22" s="3">
        <f>Setup!DH12</f>
        <v>8</v>
      </c>
      <c r="BP22" s="3">
        <f>Setup!DI12</f>
        <v>5</v>
      </c>
      <c r="BQ22" s="10"/>
      <c r="BR22" s="10"/>
      <c r="BS22" s="10"/>
      <c r="BT22" s="42">
        <f>mround(BT21*Setup!DR12,'Quick Setup'!$A$2)</f>
        <v>190</v>
      </c>
      <c r="BU22" s="3">
        <f>Setup!DS12</f>
        <v>6</v>
      </c>
      <c r="BV22" s="3">
        <f>Setup!DT12</f>
        <v>11</v>
      </c>
      <c r="BW22" s="3">
        <f>Setup!DU12</f>
        <v>5</v>
      </c>
      <c r="BX22" s="10"/>
      <c r="BY22" s="10"/>
      <c r="BZ22" s="10"/>
      <c r="CA22" s="42">
        <f>mround(CA21*Setup!ED12,'Quick Setup'!$A$2)</f>
        <v>202.5</v>
      </c>
      <c r="CB22" s="3">
        <f>Setup!EE12</f>
        <v>5</v>
      </c>
      <c r="CC22" s="3">
        <f>Setup!EF12</f>
        <v>9</v>
      </c>
      <c r="CD22" s="3">
        <f>Setup!EG12</f>
        <v>5</v>
      </c>
      <c r="CE22" s="10"/>
      <c r="CF22" s="10"/>
      <c r="CG22" s="10"/>
      <c r="CH22" s="42">
        <f>mround(CH21*Setup!EP12,'Quick Setup'!$A$2)</f>
        <v>217.5</v>
      </c>
      <c r="CI22" s="3">
        <f>Setup!EQ12</f>
        <v>4</v>
      </c>
      <c r="CJ22" s="3">
        <f>Setup!ER12</f>
        <v>7</v>
      </c>
      <c r="CK22" s="3">
        <f>Setup!ES12</f>
        <v>5</v>
      </c>
      <c r="CL22" s="10"/>
      <c r="CM22" s="10"/>
      <c r="CN22" s="10"/>
      <c r="CO22" s="42">
        <f>mround(CO21*Setup!FB12,'Quick Setup'!$A$2)</f>
        <v>140</v>
      </c>
      <c r="CP22" s="1">
        <v>5.0</v>
      </c>
      <c r="CQ22" s="1" t="s">
        <v>78</v>
      </c>
      <c r="CR22" s="3">
        <f>Setup!FE12</f>
        <v>5</v>
      </c>
      <c r="CS22" s="10"/>
      <c r="CT22" s="10"/>
      <c r="CU22" s="10"/>
      <c r="CV22" s="42">
        <f>mround(CV21*Setup!FN12,'Quick Setup'!$A$2)</f>
        <v>195</v>
      </c>
      <c r="CW22" s="3">
        <f>Setup!FO12</f>
        <v>5</v>
      </c>
      <c r="CX22" s="3">
        <f>Setup!FP12</f>
        <v>10</v>
      </c>
      <c r="CY22" s="3">
        <f>Setup!FQ12</f>
        <v>5</v>
      </c>
      <c r="CZ22" s="10"/>
      <c r="DA22" s="10"/>
      <c r="DB22" s="10"/>
      <c r="DC22" s="42">
        <f>mround(DC21*Setup!FZ12,'Quick Setup'!$A$2)</f>
        <v>210</v>
      </c>
      <c r="DD22" s="3">
        <f>Setup!GA12</f>
        <v>4</v>
      </c>
      <c r="DE22" s="3">
        <f>Setup!GB12</f>
        <v>8</v>
      </c>
      <c r="DF22" s="3">
        <f>Setup!GC12</f>
        <v>5</v>
      </c>
      <c r="DG22" s="10"/>
      <c r="DH22" s="10"/>
      <c r="DI22" s="10"/>
      <c r="DJ22" s="42">
        <f>mround(DJ21*Setup!GL12,'Quick Setup'!$A$2)</f>
        <v>225</v>
      </c>
      <c r="DK22" s="3">
        <f>Setup!GM12</f>
        <v>3</v>
      </c>
      <c r="DL22" s="3">
        <f>Setup!GN12</f>
        <v>6</v>
      </c>
      <c r="DM22" s="3">
        <f>Setup!GO12</f>
        <v>5</v>
      </c>
      <c r="DN22" s="10"/>
      <c r="DO22" s="10"/>
      <c r="DP22" s="10"/>
      <c r="DQ22" s="42">
        <f>mround(DQ21*Setup!GX12,'Quick Setup'!$A$2)</f>
        <v>210</v>
      </c>
      <c r="DR22" s="3">
        <f>Setup!GY12</f>
        <v>4</v>
      </c>
      <c r="DS22" s="3">
        <f>Setup!GZ12</f>
        <v>8</v>
      </c>
      <c r="DT22" s="3">
        <f>Setup!HA12</f>
        <v>5</v>
      </c>
      <c r="DU22" s="10"/>
      <c r="DV22" s="10"/>
      <c r="DW22" s="10"/>
      <c r="DX22" s="42">
        <f>mround(DX21*Setup!HJ12,'Quick Setup'!$A$2)</f>
        <v>225</v>
      </c>
      <c r="DY22" s="3">
        <f>Setup!HK12</f>
        <v>3</v>
      </c>
      <c r="DZ22" s="3">
        <f>Setup!HL12</f>
        <v>6</v>
      </c>
      <c r="EA22" s="3">
        <f>Setup!HM12</f>
        <v>5</v>
      </c>
      <c r="EB22" s="10"/>
      <c r="EC22" s="10"/>
      <c r="ED22" s="10"/>
      <c r="EE22" s="42">
        <f>mround(EE21*Setup!HV12,'Quick Setup'!$A$2)</f>
        <v>237.5</v>
      </c>
      <c r="EF22" s="3">
        <f>Setup!HW12</f>
        <v>2</v>
      </c>
      <c r="EG22" s="3">
        <f>Setup!HX12</f>
        <v>4</v>
      </c>
      <c r="EH22" s="3">
        <f>Setup!HY12</f>
        <v>5</v>
      </c>
      <c r="EI22" s="10"/>
      <c r="EJ22" s="10"/>
      <c r="EK22" s="10"/>
      <c r="EL22" s="42">
        <f>mround(EL21*Setup!IH12,'Quick Setup'!$A$2)</f>
        <v>140</v>
      </c>
      <c r="EM22" s="1">
        <v>5.0</v>
      </c>
      <c r="EN22" s="1" t="s">
        <v>78</v>
      </c>
      <c r="EO22" s="3">
        <f>Setup!IK12</f>
        <v>5</v>
      </c>
      <c r="EP22" s="10"/>
      <c r="EQ22" s="10"/>
      <c r="ER22" s="10"/>
    </row>
    <row r="23">
      <c r="A23" s="5"/>
      <c r="B23" s="43"/>
      <c r="C23" s="10"/>
      <c r="D23" s="10"/>
      <c r="E23" s="10"/>
      <c r="F23" s="10"/>
      <c r="G23" s="10"/>
      <c r="H23" s="10"/>
      <c r="I23" s="43" t="str">
        <f t="shared" ref="I23:M23" si="81">B23</f>
        <v/>
      </c>
      <c r="J23" s="10" t="str">
        <f t="shared" si="81"/>
        <v/>
      </c>
      <c r="K23" s="10" t="str">
        <f t="shared" si="81"/>
        <v/>
      </c>
      <c r="L23" s="10" t="str">
        <f t="shared" si="81"/>
        <v/>
      </c>
      <c r="M23" s="10" t="str">
        <f t="shared" si="81"/>
        <v/>
      </c>
      <c r="N23" s="10"/>
      <c r="O23" s="10"/>
      <c r="P23" s="43" t="str">
        <f t="shared" ref="P23:T23" si="82">I23</f>
        <v/>
      </c>
      <c r="Q23" s="10" t="str">
        <f t="shared" si="82"/>
        <v/>
      </c>
      <c r="R23" s="10" t="str">
        <f t="shared" si="82"/>
        <v/>
      </c>
      <c r="S23" s="10" t="str">
        <f t="shared" si="82"/>
        <v/>
      </c>
      <c r="T23" s="10" t="str">
        <f t="shared" si="82"/>
        <v/>
      </c>
      <c r="U23" s="10"/>
      <c r="V23" s="10"/>
      <c r="W23" s="43" t="str">
        <f t="shared" ref="W23:AA23" si="83">P23</f>
        <v/>
      </c>
      <c r="X23" s="10" t="str">
        <f t="shared" si="83"/>
        <v/>
      </c>
      <c r="Y23" s="10" t="str">
        <f t="shared" si="83"/>
        <v/>
      </c>
      <c r="Z23" s="10" t="str">
        <f t="shared" si="83"/>
        <v/>
      </c>
      <c r="AA23" s="10" t="str">
        <f t="shared" si="83"/>
        <v/>
      </c>
      <c r="AB23" s="10"/>
      <c r="AC23" s="10"/>
      <c r="AD23" s="43" t="str">
        <f t="shared" ref="AD23:AH23" si="84">W23</f>
        <v/>
      </c>
      <c r="AE23" s="10" t="str">
        <f t="shared" si="84"/>
        <v/>
      </c>
      <c r="AF23" s="10" t="str">
        <f t="shared" si="84"/>
        <v/>
      </c>
      <c r="AG23" s="10" t="str">
        <f t="shared" si="84"/>
        <v/>
      </c>
      <c r="AH23" s="10" t="str">
        <f t="shared" si="84"/>
        <v/>
      </c>
      <c r="AI23" s="10"/>
      <c r="AJ23" s="10"/>
      <c r="AK23" s="43" t="str">
        <f t="shared" ref="AK23:AO23" si="85">AD23</f>
        <v/>
      </c>
      <c r="AL23" s="10" t="str">
        <f t="shared" si="85"/>
        <v/>
      </c>
      <c r="AM23" s="10" t="str">
        <f t="shared" si="85"/>
        <v/>
      </c>
      <c r="AN23" s="10" t="str">
        <f t="shared" si="85"/>
        <v/>
      </c>
      <c r="AO23" s="10" t="str">
        <f t="shared" si="85"/>
        <v/>
      </c>
      <c r="AP23" s="10"/>
      <c r="AQ23" s="10"/>
      <c r="AR23" s="43" t="str">
        <f t="shared" ref="AR23:AV23" si="86">AK23</f>
        <v/>
      </c>
      <c r="AS23" s="10" t="str">
        <f t="shared" si="86"/>
        <v/>
      </c>
      <c r="AT23" s="10" t="str">
        <f t="shared" si="86"/>
        <v/>
      </c>
      <c r="AU23" s="10" t="str">
        <f t="shared" si="86"/>
        <v/>
      </c>
      <c r="AV23" s="10" t="str">
        <f t="shared" si="86"/>
        <v/>
      </c>
      <c r="AW23" s="10"/>
      <c r="AX23" s="10"/>
      <c r="AY23" s="43" t="str">
        <f t="shared" ref="AY23:BC23" si="87">AR23</f>
        <v/>
      </c>
      <c r="AZ23" s="10" t="str">
        <f t="shared" si="87"/>
        <v/>
      </c>
      <c r="BA23" s="10" t="str">
        <f t="shared" si="87"/>
        <v/>
      </c>
      <c r="BB23" s="10" t="str">
        <f t="shared" si="87"/>
        <v/>
      </c>
      <c r="BC23" s="10" t="str">
        <f t="shared" si="87"/>
        <v/>
      </c>
      <c r="BD23" s="10"/>
      <c r="BE23" s="10"/>
      <c r="BF23" s="43" t="str">
        <f t="shared" ref="BF23:BJ23" si="88">AY23</f>
        <v/>
      </c>
      <c r="BG23" s="10" t="str">
        <f t="shared" si="88"/>
        <v/>
      </c>
      <c r="BH23" s="10" t="str">
        <f t="shared" si="88"/>
        <v/>
      </c>
      <c r="BI23" s="10" t="str">
        <f t="shared" si="88"/>
        <v/>
      </c>
      <c r="BJ23" s="10" t="str">
        <f t="shared" si="88"/>
        <v/>
      </c>
      <c r="BK23" s="10"/>
      <c r="BL23" s="10"/>
      <c r="BM23" s="43" t="str">
        <f t="shared" ref="BM23:BQ23" si="89">BF23</f>
        <v/>
      </c>
      <c r="BN23" s="10" t="str">
        <f t="shared" si="89"/>
        <v/>
      </c>
      <c r="BO23" s="10" t="str">
        <f t="shared" si="89"/>
        <v/>
      </c>
      <c r="BP23" s="10" t="str">
        <f t="shared" si="89"/>
        <v/>
      </c>
      <c r="BQ23" s="10" t="str">
        <f t="shared" si="89"/>
        <v/>
      </c>
      <c r="BR23" s="10"/>
      <c r="BS23" s="10"/>
      <c r="BT23" s="43" t="str">
        <f t="shared" ref="BT23:BX23" si="90">BM23</f>
        <v/>
      </c>
      <c r="BU23" s="10" t="str">
        <f t="shared" si="90"/>
        <v/>
      </c>
      <c r="BV23" s="10" t="str">
        <f t="shared" si="90"/>
        <v/>
      </c>
      <c r="BW23" s="10" t="str">
        <f t="shared" si="90"/>
        <v/>
      </c>
      <c r="BX23" s="10" t="str">
        <f t="shared" si="90"/>
        <v/>
      </c>
      <c r="BY23" s="10"/>
      <c r="BZ23" s="10"/>
      <c r="CA23" s="43" t="str">
        <f t="shared" ref="CA23:CE23" si="91">BT23</f>
        <v/>
      </c>
      <c r="CB23" s="10" t="str">
        <f t="shared" si="91"/>
        <v/>
      </c>
      <c r="CC23" s="10" t="str">
        <f t="shared" si="91"/>
        <v/>
      </c>
      <c r="CD23" s="10" t="str">
        <f t="shared" si="91"/>
        <v/>
      </c>
      <c r="CE23" s="10" t="str">
        <f t="shared" si="91"/>
        <v/>
      </c>
      <c r="CF23" s="10"/>
      <c r="CG23" s="10"/>
      <c r="CH23" s="43" t="str">
        <f t="shared" ref="CH23:CL23" si="92">CA23</f>
        <v/>
      </c>
      <c r="CI23" s="10" t="str">
        <f t="shared" si="92"/>
        <v/>
      </c>
      <c r="CJ23" s="10" t="str">
        <f t="shared" si="92"/>
        <v/>
      </c>
      <c r="CK23" s="10" t="str">
        <f t="shared" si="92"/>
        <v/>
      </c>
      <c r="CL23" s="10" t="str">
        <f t="shared" si="92"/>
        <v/>
      </c>
      <c r="CM23" s="10"/>
      <c r="CN23" s="10"/>
      <c r="CO23" s="43" t="str">
        <f t="shared" ref="CO23:CS23" si="93">CH23</f>
        <v/>
      </c>
      <c r="CP23" s="10" t="str">
        <f t="shared" si="93"/>
        <v/>
      </c>
      <c r="CQ23" s="10" t="str">
        <f t="shared" si="93"/>
        <v/>
      </c>
      <c r="CR23" s="10" t="str">
        <f t="shared" si="93"/>
        <v/>
      </c>
      <c r="CS23" s="10" t="str">
        <f t="shared" si="93"/>
        <v/>
      </c>
      <c r="CT23" s="10"/>
      <c r="CU23" s="10"/>
      <c r="CV23" s="43" t="str">
        <f t="shared" ref="CV23:CZ23" si="94">CO23</f>
        <v/>
      </c>
      <c r="CW23" s="10" t="str">
        <f t="shared" si="94"/>
        <v/>
      </c>
      <c r="CX23" s="10" t="str">
        <f t="shared" si="94"/>
        <v/>
      </c>
      <c r="CY23" s="10" t="str">
        <f t="shared" si="94"/>
        <v/>
      </c>
      <c r="CZ23" s="10" t="str">
        <f t="shared" si="94"/>
        <v/>
      </c>
      <c r="DA23" s="10"/>
      <c r="DB23" s="10"/>
      <c r="DC23" s="43" t="str">
        <f t="shared" ref="DC23:DG23" si="95">CV23</f>
        <v/>
      </c>
      <c r="DD23" s="10" t="str">
        <f t="shared" si="95"/>
        <v/>
      </c>
      <c r="DE23" s="10" t="str">
        <f t="shared" si="95"/>
        <v/>
      </c>
      <c r="DF23" s="10" t="str">
        <f t="shared" si="95"/>
        <v/>
      </c>
      <c r="DG23" s="10" t="str">
        <f t="shared" si="95"/>
        <v/>
      </c>
      <c r="DH23" s="10"/>
      <c r="DI23" s="10"/>
      <c r="DJ23" s="43" t="str">
        <f t="shared" ref="DJ23:DN23" si="96">DC23</f>
        <v/>
      </c>
      <c r="DK23" s="10" t="str">
        <f t="shared" si="96"/>
        <v/>
      </c>
      <c r="DL23" s="10" t="str">
        <f t="shared" si="96"/>
        <v/>
      </c>
      <c r="DM23" s="10" t="str">
        <f t="shared" si="96"/>
        <v/>
      </c>
      <c r="DN23" s="10" t="str">
        <f t="shared" si="96"/>
        <v/>
      </c>
      <c r="DO23" s="10"/>
      <c r="DP23" s="10"/>
      <c r="DQ23" s="43" t="str">
        <f t="shared" ref="DQ23:DU23" si="97">DJ23</f>
        <v/>
      </c>
      <c r="DR23" s="10" t="str">
        <f t="shared" si="97"/>
        <v/>
      </c>
      <c r="DS23" s="10" t="str">
        <f t="shared" si="97"/>
        <v/>
      </c>
      <c r="DT23" s="10" t="str">
        <f t="shared" si="97"/>
        <v/>
      </c>
      <c r="DU23" s="10" t="str">
        <f t="shared" si="97"/>
        <v/>
      </c>
      <c r="DV23" s="10"/>
      <c r="DW23" s="10"/>
      <c r="DX23" s="43" t="str">
        <f t="shared" ref="DX23:EB23" si="98">DQ23</f>
        <v/>
      </c>
      <c r="DY23" s="10" t="str">
        <f t="shared" si="98"/>
        <v/>
      </c>
      <c r="DZ23" s="10" t="str">
        <f t="shared" si="98"/>
        <v/>
      </c>
      <c r="EA23" s="10" t="str">
        <f t="shared" si="98"/>
        <v/>
      </c>
      <c r="EB23" s="10" t="str">
        <f t="shared" si="98"/>
        <v/>
      </c>
      <c r="EC23" s="10"/>
      <c r="ED23" s="10"/>
      <c r="EE23" s="43" t="str">
        <f t="shared" ref="EE23:EI23" si="99">DX23</f>
        <v/>
      </c>
      <c r="EF23" s="10" t="str">
        <f t="shared" si="99"/>
        <v/>
      </c>
      <c r="EG23" s="10" t="str">
        <f t="shared" si="99"/>
        <v/>
      </c>
      <c r="EH23" s="10" t="str">
        <f t="shared" si="99"/>
        <v/>
      </c>
      <c r="EI23" s="10" t="str">
        <f t="shared" si="99"/>
        <v/>
      </c>
      <c r="EJ23" s="10"/>
      <c r="EK23" s="10"/>
      <c r="EL23" s="43" t="str">
        <f t="shared" ref="EL23:EP23" si="100">EE23</f>
        <v/>
      </c>
      <c r="EM23" s="10" t="str">
        <f t="shared" si="100"/>
        <v/>
      </c>
      <c r="EN23" s="10" t="str">
        <f t="shared" si="100"/>
        <v/>
      </c>
      <c r="EO23" s="10" t="str">
        <f t="shared" si="100"/>
        <v/>
      </c>
      <c r="EP23" s="10" t="str">
        <f t="shared" si="100"/>
        <v/>
      </c>
      <c r="EQ23" s="10"/>
      <c r="ER23" s="10"/>
    </row>
    <row r="24">
      <c r="A24" s="1" t="s">
        <v>79</v>
      </c>
      <c r="B24" s="42"/>
      <c r="C24" s="3"/>
      <c r="D24" s="3"/>
      <c r="E24" s="3"/>
      <c r="F24" s="3"/>
      <c r="G24" s="3"/>
      <c r="H24" s="3"/>
      <c r="I24" s="42"/>
      <c r="J24" s="3"/>
      <c r="K24" s="3"/>
      <c r="L24" s="3"/>
      <c r="M24" s="3"/>
      <c r="N24" s="3"/>
      <c r="O24" s="3"/>
      <c r="P24" s="42"/>
      <c r="Q24" s="3"/>
      <c r="R24" s="3"/>
      <c r="S24" s="3"/>
      <c r="T24" s="3"/>
      <c r="U24" s="3"/>
      <c r="V24" s="3"/>
      <c r="W24" s="42"/>
      <c r="X24" s="3"/>
      <c r="Y24" s="3"/>
      <c r="Z24" s="3"/>
      <c r="AA24" s="3"/>
      <c r="AB24" s="3"/>
      <c r="AC24" s="3"/>
      <c r="AD24" s="42"/>
      <c r="AE24" s="3"/>
      <c r="AF24" s="3"/>
      <c r="AG24" s="3"/>
      <c r="AH24" s="3"/>
      <c r="AI24" s="3"/>
      <c r="AJ24" s="3"/>
      <c r="AK24" s="42"/>
      <c r="AL24" s="3"/>
      <c r="AM24" s="3"/>
      <c r="AN24" s="3"/>
      <c r="AO24" s="3"/>
      <c r="AP24" s="3"/>
      <c r="AQ24" s="3"/>
      <c r="AR24" s="42"/>
      <c r="AS24" s="3"/>
      <c r="AT24" s="3"/>
      <c r="AU24" s="3"/>
      <c r="AV24" s="3"/>
      <c r="AW24" s="3"/>
      <c r="AX24" s="3"/>
      <c r="AY24" s="42"/>
      <c r="AZ24" s="3"/>
      <c r="BA24" s="3"/>
      <c r="BB24" s="3"/>
      <c r="BC24" s="3"/>
      <c r="BD24" s="3"/>
      <c r="BE24" s="3"/>
      <c r="BF24" s="42"/>
      <c r="BG24" s="3"/>
      <c r="BH24" s="3"/>
      <c r="BI24" s="3"/>
      <c r="BJ24" s="3"/>
      <c r="BK24" s="3"/>
      <c r="BL24" s="3"/>
      <c r="BM24" s="42"/>
      <c r="BN24" s="3"/>
      <c r="BO24" s="3"/>
      <c r="BP24" s="3"/>
      <c r="BQ24" s="3"/>
      <c r="BR24" s="3"/>
      <c r="BS24" s="3"/>
      <c r="BT24" s="42"/>
      <c r="BU24" s="3"/>
      <c r="BV24" s="3"/>
      <c r="BW24" s="3"/>
      <c r="BX24" s="3"/>
      <c r="BY24" s="3"/>
      <c r="BZ24" s="3"/>
      <c r="CA24" s="42"/>
      <c r="CB24" s="3"/>
      <c r="CC24" s="3"/>
      <c r="CD24" s="3"/>
      <c r="CE24" s="3"/>
      <c r="CF24" s="3"/>
      <c r="CG24" s="3"/>
      <c r="CH24" s="42"/>
      <c r="CI24" s="3"/>
      <c r="CJ24" s="3"/>
      <c r="CK24" s="3"/>
      <c r="CL24" s="3"/>
      <c r="CM24" s="3"/>
      <c r="CN24" s="3"/>
      <c r="CO24" s="42"/>
      <c r="CP24" s="3"/>
      <c r="CQ24" s="3"/>
      <c r="CR24" s="3"/>
      <c r="CS24" s="3"/>
      <c r="CT24" s="3"/>
      <c r="CU24" s="3"/>
      <c r="CV24" s="42"/>
      <c r="CW24" s="3"/>
      <c r="CX24" s="3"/>
      <c r="CY24" s="3"/>
      <c r="CZ24" s="3"/>
      <c r="DA24" s="3"/>
      <c r="DB24" s="3"/>
      <c r="DC24" s="42"/>
      <c r="DD24" s="3"/>
      <c r="DE24" s="3"/>
      <c r="DF24" s="3"/>
      <c r="DG24" s="3"/>
      <c r="DH24" s="3"/>
      <c r="DI24" s="3"/>
      <c r="DJ24" s="42"/>
      <c r="DK24" s="3"/>
      <c r="DL24" s="3"/>
      <c r="DM24" s="3"/>
      <c r="DN24" s="3"/>
      <c r="DO24" s="3"/>
      <c r="DP24" s="3"/>
      <c r="DQ24" s="42"/>
      <c r="DR24" s="3"/>
      <c r="DS24" s="3"/>
      <c r="DT24" s="3"/>
      <c r="DU24" s="3"/>
      <c r="DV24" s="3"/>
      <c r="DW24" s="3"/>
      <c r="DX24" s="42"/>
      <c r="DY24" s="3"/>
      <c r="DZ24" s="3"/>
      <c r="EA24" s="3"/>
      <c r="EB24" s="3"/>
      <c r="EC24" s="3"/>
      <c r="ED24" s="3"/>
      <c r="EE24" s="42"/>
      <c r="EF24" s="3"/>
      <c r="EG24" s="3"/>
      <c r="EH24" s="3"/>
      <c r="EI24" s="3"/>
      <c r="EJ24" s="3"/>
      <c r="EK24" s="3"/>
      <c r="EL24" s="42"/>
      <c r="EM24" s="3"/>
      <c r="EN24" s="3"/>
      <c r="EO24" s="3"/>
      <c r="EP24" s="3"/>
      <c r="EQ24" s="3"/>
      <c r="ER24" s="3"/>
    </row>
    <row r="25">
      <c r="A25" s="44"/>
      <c r="B25" s="43"/>
      <c r="C25" s="10"/>
      <c r="D25" s="10"/>
      <c r="E25" s="10"/>
      <c r="F25" s="10"/>
      <c r="G25" s="10"/>
      <c r="H25" s="10"/>
      <c r="I25" s="43" t="str">
        <f t="shared" ref="I25:M25" si="101">B25</f>
        <v/>
      </c>
      <c r="J25" s="10" t="str">
        <f t="shared" si="101"/>
        <v/>
      </c>
      <c r="K25" s="10" t="str">
        <f t="shared" si="101"/>
        <v/>
      </c>
      <c r="L25" s="10" t="str">
        <f t="shared" si="101"/>
        <v/>
      </c>
      <c r="M25" s="10" t="str">
        <f t="shared" si="101"/>
        <v/>
      </c>
      <c r="N25" s="10"/>
      <c r="O25" s="10"/>
      <c r="P25" s="43" t="str">
        <f t="shared" ref="P25:T25" si="102">I25</f>
        <v/>
      </c>
      <c r="Q25" s="10" t="str">
        <f t="shared" si="102"/>
        <v/>
      </c>
      <c r="R25" s="10" t="str">
        <f t="shared" si="102"/>
        <v/>
      </c>
      <c r="S25" s="10" t="str">
        <f t="shared" si="102"/>
        <v/>
      </c>
      <c r="T25" s="10" t="str">
        <f t="shared" si="102"/>
        <v/>
      </c>
      <c r="U25" s="10"/>
      <c r="V25" s="10"/>
      <c r="W25" s="43" t="str">
        <f t="shared" ref="W25:AA25" si="103">P25</f>
        <v/>
      </c>
      <c r="X25" s="10" t="str">
        <f t="shared" si="103"/>
        <v/>
      </c>
      <c r="Y25" s="10" t="str">
        <f t="shared" si="103"/>
        <v/>
      </c>
      <c r="Z25" s="10" t="str">
        <f t="shared" si="103"/>
        <v/>
      </c>
      <c r="AA25" s="10" t="str">
        <f t="shared" si="103"/>
        <v/>
      </c>
      <c r="AB25" s="10"/>
      <c r="AC25" s="10"/>
      <c r="AD25" s="43" t="str">
        <f t="shared" ref="AD25:AH25" si="104">W25</f>
        <v/>
      </c>
      <c r="AE25" s="10" t="str">
        <f t="shared" si="104"/>
        <v/>
      </c>
      <c r="AF25" s="10" t="str">
        <f t="shared" si="104"/>
        <v/>
      </c>
      <c r="AG25" s="10" t="str">
        <f t="shared" si="104"/>
        <v/>
      </c>
      <c r="AH25" s="10" t="str">
        <f t="shared" si="104"/>
        <v/>
      </c>
      <c r="AI25" s="10"/>
      <c r="AJ25" s="10"/>
      <c r="AK25" s="43" t="str">
        <f t="shared" ref="AK25:AO25" si="105">AD25</f>
        <v/>
      </c>
      <c r="AL25" s="10" t="str">
        <f t="shared" si="105"/>
        <v/>
      </c>
      <c r="AM25" s="10" t="str">
        <f t="shared" si="105"/>
        <v/>
      </c>
      <c r="AN25" s="10" t="str">
        <f t="shared" si="105"/>
        <v/>
      </c>
      <c r="AO25" s="10" t="str">
        <f t="shared" si="105"/>
        <v/>
      </c>
      <c r="AP25" s="10"/>
      <c r="AQ25" s="10"/>
      <c r="AR25" s="43" t="str">
        <f t="shared" ref="AR25:AV25" si="106">AK25</f>
        <v/>
      </c>
      <c r="AS25" s="10" t="str">
        <f t="shared" si="106"/>
        <v/>
      </c>
      <c r="AT25" s="10" t="str">
        <f t="shared" si="106"/>
        <v/>
      </c>
      <c r="AU25" s="10" t="str">
        <f t="shared" si="106"/>
        <v/>
      </c>
      <c r="AV25" s="10" t="str">
        <f t="shared" si="106"/>
        <v/>
      </c>
      <c r="AW25" s="10"/>
      <c r="AX25" s="10"/>
      <c r="AY25" s="43" t="str">
        <f t="shared" ref="AY25:BC25" si="107">AR25</f>
        <v/>
      </c>
      <c r="AZ25" s="10" t="str">
        <f t="shared" si="107"/>
        <v/>
      </c>
      <c r="BA25" s="10" t="str">
        <f t="shared" si="107"/>
        <v/>
      </c>
      <c r="BB25" s="10" t="str">
        <f t="shared" si="107"/>
        <v/>
      </c>
      <c r="BC25" s="10" t="str">
        <f t="shared" si="107"/>
        <v/>
      </c>
      <c r="BD25" s="10"/>
      <c r="BE25" s="10"/>
      <c r="BF25" s="43" t="str">
        <f t="shared" ref="BF25:BJ25" si="108">AY25</f>
        <v/>
      </c>
      <c r="BG25" s="10" t="str">
        <f t="shared" si="108"/>
        <v/>
      </c>
      <c r="BH25" s="10" t="str">
        <f t="shared" si="108"/>
        <v/>
      </c>
      <c r="BI25" s="10" t="str">
        <f t="shared" si="108"/>
        <v/>
      </c>
      <c r="BJ25" s="10" t="str">
        <f t="shared" si="108"/>
        <v/>
      </c>
      <c r="BK25" s="10"/>
      <c r="BL25" s="10"/>
      <c r="BM25" s="43" t="str">
        <f t="shared" ref="BM25:BQ25" si="109">BF25</f>
        <v/>
      </c>
      <c r="BN25" s="10" t="str">
        <f t="shared" si="109"/>
        <v/>
      </c>
      <c r="BO25" s="10" t="str">
        <f t="shared" si="109"/>
        <v/>
      </c>
      <c r="BP25" s="10" t="str">
        <f t="shared" si="109"/>
        <v/>
      </c>
      <c r="BQ25" s="10" t="str">
        <f t="shared" si="109"/>
        <v/>
      </c>
      <c r="BR25" s="10"/>
      <c r="BS25" s="10"/>
      <c r="BT25" s="43" t="str">
        <f t="shared" ref="BT25:BX25" si="110">BM25</f>
        <v/>
      </c>
      <c r="BU25" s="10" t="str">
        <f t="shared" si="110"/>
        <v/>
      </c>
      <c r="BV25" s="10" t="str">
        <f t="shared" si="110"/>
        <v/>
      </c>
      <c r="BW25" s="10" t="str">
        <f t="shared" si="110"/>
        <v/>
      </c>
      <c r="BX25" s="10" t="str">
        <f t="shared" si="110"/>
        <v/>
      </c>
      <c r="BY25" s="10"/>
      <c r="BZ25" s="10"/>
      <c r="CA25" s="43" t="str">
        <f t="shared" ref="CA25:CE25" si="111">BT25</f>
        <v/>
      </c>
      <c r="CB25" s="10" t="str">
        <f t="shared" si="111"/>
        <v/>
      </c>
      <c r="CC25" s="10" t="str">
        <f t="shared" si="111"/>
        <v/>
      </c>
      <c r="CD25" s="10" t="str">
        <f t="shared" si="111"/>
        <v/>
      </c>
      <c r="CE25" s="10" t="str">
        <f t="shared" si="111"/>
        <v/>
      </c>
      <c r="CF25" s="10"/>
      <c r="CG25" s="10"/>
      <c r="CH25" s="43" t="str">
        <f t="shared" ref="CH25:CL25" si="112">CA25</f>
        <v/>
      </c>
      <c r="CI25" s="10" t="str">
        <f t="shared" si="112"/>
        <v/>
      </c>
      <c r="CJ25" s="10" t="str">
        <f t="shared" si="112"/>
        <v/>
      </c>
      <c r="CK25" s="10" t="str">
        <f t="shared" si="112"/>
        <v/>
      </c>
      <c r="CL25" s="10" t="str">
        <f t="shared" si="112"/>
        <v/>
      </c>
      <c r="CM25" s="10"/>
      <c r="CN25" s="10"/>
      <c r="CO25" s="43" t="str">
        <f t="shared" ref="CO25:CS25" si="113">CH25</f>
        <v/>
      </c>
      <c r="CP25" s="10" t="str">
        <f t="shared" si="113"/>
        <v/>
      </c>
      <c r="CQ25" s="10" t="str">
        <f t="shared" si="113"/>
        <v/>
      </c>
      <c r="CR25" s="10" t="str">
        <f t="shared" si="113"/>
        <v/>
      </c>
      <c r="CS25" s="10" t="str">
        <f t="shared" si="113"/>
        <v/>
      </c>
      <c r="CT25" s="10"/>
      <c r="CU25" s="10"/>
      <c r="CV25" s="43" t="str">
        <f t="shared" ref="CV25:CZ25" si="114">CO25</f>
        <v/>
      </c>
      <c r="CW25" s="10" t="str">
        <f t="shared" si="114"/>
        <v/>
      </c>
      <c r="CX25" s="10" t="str">
        <f t="shared" si="114"/>
        <v/>
      </c>
      <c r="CY25" s="10" t="str">
        <f t="shared" si="114"/>
        <v/>
      </c>
      <c r="CZ25" s="10" t="str">
        <f t="shared" si="114"/>
        <v/>
      </c>
      <c r="DA25" s="10"/>
      <c r="DB25" s="10"/>
      <c r="DC25" s="43" t="str">
        <f t="shared" ref="DC25:DG25" si="115">CV25</f>
        <v/>
      </c>
      <c r="DD25" s="10" t="str">
        <f t="shared" si="115"/>
        <v/>
      </c>
      <c r="DE25" s="10" t="str">
        <f t="shared" si="115"/>
        <v/>
      </c>
      <c r="DF25" s="10" t="str">
        <f t="shared" si="115"/>
        <v/>
      </c>
      <c r="DG25" s="10" t="str">
        <f t="shared" si="115"/>
        <v/>
      </c>
      <c r="DH25" s="10"/>
      <c r="DI25" s="10"/>
      <c r="DJ25" s="43" t="str">
        <f t="shared" ref="DJ25:DN25" si="116">DC25</f>
        <v/>
      </c>
      <c r="DK25" s="10" t="str">
        <f t="shared" si="116"/>
        <v/>
      </c>
      <c r="DL25" s="10" t="str">
        <f t="shared" si="116"/>
        <v/>
      </c>
      <c r="DM25" s="10" t="str">
        <f t="shared" si="116"/>
        <v/>
      </c>
      <c r="DN25" s="10" t="str">
        <f t="shared" si="116"/>
        <v/>
      </c>
      <c r="DO25" s="10"/>
      <c r="DP25" s="10"/>
      <c r="DQ25" s="43" t="str">
        <f t="shared" ref="DQ25:DU25" si="117">DJ25</f>
        <v/>
      </c>
      <c r="DR25" s="10" t="str">
        <f t="shared" si="117"/>
        <v/>
      </c>
      <c r="DS25" s="10" t="str">
        <f t="shared" si="117"/>
        <v/>
      </c>
      <c r="DT25" s="10" t="str">
        <f t="shared" si="117"/>
        <v/>
      </c>
      <c r="DU25" s="10" t="str">
        <f t="shared" si="117"/>
        <v/>
      </c>
      <c r="DV25" s="10"/>
      <c r="DW25" s="10"/>
      <c r="DX25" s="43" t="str">
        <f t="shared" ref="DX25:EB25" si="118">DQ25</f>
        <v/>
      </c>
      <c r="DY25" s="10" t="str">
        <f t="shared" si="118"/>
        <v/>
      </c>
      <c r="DZ25" s="10" t="str">
        <f t="shared" si="118"/>
        <v/>
      </c>
      <c r="EA25" s="10" t="str">
        <f t="shared" si="118"/>
        <v/>
      </c>
      <c r="EB25" s="10" t="str">
        <f t="shared" si="118"/>
        <v/>
      </c>
      <c r="EC25" s="10"/>
      <c r="ED25" s="10"/>
      <c r="EE25" s="43" t="str">
        <f t="shared" ref="EE25:EI25" si="119">DX25</f>
        <v/>
      </c>
      <c r="EF25" s="10" t="str">
        <f t="shared" si="119"/>
        <v/>
      </c>
      <c r="EG25" s="10" t="str">
        <f t="shared" si="119"/>
        <v/>
      </c>
      <c r="EH25" s="10" t="str">
        <f t="shared" si="119"/>
        <v/>
      </c>
      <c r="EI25" s="10" t="str">
        <f t="shared" si="119"/>
        <v/>
      </c>
      <c r="EJ25" s="10"/>
      <c r="EK25" s="10"/>
      <c r="EL25" s="43" t="str">
        <f t="shared" ref="EL25:EP25" si="120">EE25</f>
        <v/>
      </c>
      <c r="EM25" s="10" t="str">
        <f t="shared" si="120"/>
        <v/>
      </c>
      <c r="EN25" s="10" t="str">
        <f t="shared" si="120"/>
        <v/>
      </c>
      <c r="EO25" s="10" t="str">
        <f t="shared" si="120"/>
        <v/>
      </c>
      <c r="EP25" s="10" t="str">
        <f t="shared" si="120"/>
        <v/>
      </c>
      <c r="EQ25" s="10"/>
      <c r="ER25" s="10"/>
    </row>
    <row r="26">
      <c r="A26" s="44"/>
      <c r="B26" s="43"/>
      <c r="C26" s="10"/>
      <c r="D26" s="10"/>
      <c r="E26" s="10"/>
      <c r="F26" s="10"/>
      <c r="G26" s="10"/>
      <c r="H26" s="10"/>
      <c r="I26" s="43" t="str">
        <f t="shared" ref="I26:M26" si="121">B26</f>
        <v/>
      </c>
      <c r="J26" s="10" t="str">
        <f t="shared" si="121"/>
        <v/>
      </c>
      <c r="K26" s="10" t="str">
        <f t="shared" si="121"/>
        <v/>
      </c>
      <c r="L26" s="10" t="str">
        <f t="shared" si="121"/>
        <v/>
      </c>
      <c r="M26" s="10" t="str">
        <f t="shared" si="121"/>
        <v/>
      </c>
      <c r="N26" s="10"/>
      <c r="O26" s="10"/>
      <c r="P26" s="43" t="str">
        <f t="shared" ref="P26:T26" si="122">I26</f>
        <v/>
      </c>
      <c r="Q26" s="10" t="str">
        <f t="shared" si="122"/>
        <v/>
      </c>
      <c r="R26" s="10" t="str">
        <f t="shared" si="122"/>
        <v/>
      </c>
      <c r="S26" s="10" t="str">
        <f t="shared" si="122"/>
        <v/>
      </c>
      <c r="T26" s="10" t="str">
        <f t="shared" si="122"/>
        <v/>
      </c>
      <c r="U26" s="10"/>
      <c r="V26" s="10"/>
      <c r="W26" s="43" t="str">
        <f t="shared" ref="W26:AA26" si="123">P26</f>
        <v/>
      </c>
      <c r="X26" s="10" t="str">
        <f t="shared" si="123"/>
        <v/>
      </c>
      <c r="Y26" s="10" t="str">
        <f t="shared" si="123"/>
        <v/>
      </c>
      <c r="Z26" s="10" t="str">
        <f t="shared" si="123"/>
        <v/>
      </c>
      <c r="AA26" s="10" t="str">
        <f t="shared" si="123"/>
        <v/>
      </c>
      <c r="AB26" s="10"/>
      <c r="AC26" s="10"/>
      <c r="AD26" s="43" t="str">
        <f t="shared" ref="AD26:AH26" si="124">W26</f>
        <v/>
      </c>
      <c r="AE26" s="10" t="str">
        <f t="shared" si="124"/>
        <v/>
      </c>
      <c r="AF26" s="10" t="str">
        <f t="shared" si="124"/>
        <v/>
      </c>
      <c r="AG26" s="10" t="str">
        <f t="shared" si="124"/>
        <v/>
      </c>
      <c r="AH26" s="10" t="str">
        <f t="shared" si="124"/>
        <v/>
      </c>
      <c r="AI26" s="10"/>
      <c r="AJ26" s="10"/>
      <c r="AK26" s="43" t="str">
        <f t="shared" ref="AK26:AO26" si="125">AD26</f>
        <v/>
      </c>
      <c r="AL26" s="10" t="str">
        <f t="shared" si="125"/>
        <v/>
      </c>
      <c r="AM26" s="10" t="str">
        <f t="shared" si="125"/>
        <v/>
      </c>
      <c r="AN26" s="10" t="str">
        <f t="shared" si="125"/>
        <v/>
      </c>
      <c r="AO26" s="10" t="str">
        <f t="shared" si="125"/>
        <v/>
      </c>
      <c r="AP26" s="10"/>
      <c r="AQ26" s="10"/>
      <c r="AR26" s="43" t="str">
        <f t="shared" ref="AR26:AV26" si="126">AK26</f>
        <v/>
      </c>
      <c r="AS26" s="10" t="str">
        <f t="shared" si="126"/>
        <v/>
      </c>
      <c r="AT26" s="10" t="str">
        <f t="shared" si="126"/>
        <v/>
      </c>
      <c r="AU26" s="10" t="str">
        <f t="shared" si="126"/>
        <v/>
      </c>
      <c r="AV26" s="10" t="str">
        <f t="shared" si="126"/>
        <v/>
      </c>
      <c r="AW26" s="10"/>
      <c r="AX26" s="10"/>
      <c r="AY26" s="43" t="str">
        <f t="shared" ref="AY26:BC26" si="127">AR26</f>
        <v/>
      </c>
      <c r="AZ26" s="10" t="str">
        <f t="shared" si="127"/>
        <v/>
      </c>
      <c r="BA26" s="10" t="str">
        <f t="shared" si="127"/>
        <v/>
      </c>
      <c r="BB26" s="10" t="str">
        <f t="shared" si="127"/>
        <v/>
      </c>
      <c r="BC26" s="10" t="str">
        <f t="shared" si="127"/>
        <v/>
      </c>
      <c r="BD26" s="10"/>
      <c r="BE26" s="10"/>
      <c r="BF26" s="43" t="str">
        <f t="shared" ref="BF26:BJ26" si="128">AY26</f>
        <v/>
      </c>
      <c r="BG26" s="10" t="str">
        <f t="shared" si="128"/>
        <v/>
      </c>
      <c r="BH26" s="10" t="str">
        <f t="shared" si="128"/>
        <v/>
      </c>
      <c r="BI26" s="10" t="str">
        <f t="shared" si="128"/>
        <v/>
      </c>
      <c r="BJ26" s="10" t="str">
        <f t="shared" si="128"/>
        <v/>
      </c>
      <c r="BK26" s="10"/>
      <c r="BL26" s="10"/>
      <c r="BM26" s="43" t="str">
        <f t="shared" ref="BM26:BQ26" si="129">BF26</f>
        <v/>
      </c>
      <c r="BN26" s="10" t="str">
        <f t="shared" si="129"/>
        <v/>
      </c>
      <c r="BO26" s="10" t="str">
        <f t="shared" si="129"/>
        <v/>
      </c>
      <c r="BP26" s="10" t="str">
        <f t="shared" si="129"/>
        <v/>
      </c>
      <c r="BQ26" s="10" t="str">
        <f t="shared" si="129"/>
        <v/>
      </c>
      <c r="BR26" s="10"/>
      <c r="BS26" s="10"/>
      <c r="BT26" s="43" t="str">
        <f t="shared" ref="BT26:BX26" si="130">BM26</f>
        <v/>
      </c>
      <c r="BU26" s="10" t="str">
        <f t="shared" si="130"/>
        <v/>
      </c>
      <c r="BV26" s="10" t="str">
        <f t="shared" si="130"/>
        <v/>
      </c>
      <c r="BW26" s="10" t="str">
        <f t="shared" si="130"/>
        <v/>
      </c>
      <c r="BX26" s="10" t="str">
        <f t="shared" si="130"/>
        <v/>
      </c>
      <c r="BY26" s="10"/>
      <c r="BZ26" s="10"/>
      <c r="CA26" s="43" t="str">
        <f t="shared" ref="CA26:CE26" si="131">BT26</f>
        <v/>
      </c>
      <c r="CB26" s="10" t="str">
        <f t="shared" si="131"/>
        <v/>
      </c>
      <c r="CC26" s="10" t="str">
        <f t="shared" si="131"/>
        <v/>
      </c>
      <c r="CD26" s="10" t="str">
        <f t="shared" si="131"/>
        <v/>
      </c>
      <c r="CE26" s="10" t="str">
        <f t="shared" si="131"/>
        <v/>
      </c>
      <c r="CF26" s="10"/>
      <c r="CG26" s="10"/>
      <c r="CH26" s="43" t="str">
        <f t="shared" ref="CH26:CL26" si="132">CA26</f>
        <v/>
      </c>
      <c r="CI26" s="10" t="str">
        <f t="shared" si="132"/>
        <v/>
      </c>
      <c r="CJ26" s="10" t="str">
        <f t="shared" si="132"/>
        <v/>
      </c>
      <c r="CK26" s="10" t="str">
        <f t="shared" si="132"/>
        <v/>
      </c>
      <c r="CL26" s="10" t="str">
        <f t="shared" si="132"/>
        <v/>
      </c>
      <c r="CM26" s="10"/>
      <c r="CN26" s="10"/>
      <c r="CO26" s="43" t="str">
        <f t="shared" ref="CO26:CS26" si="133">CH26</f>
        <v/>
      </c>
      <c r="CP26" s="10" t="str">
        <f t="shared" si="133"/>
        <v/>
      </c>
      <c r="CQ26" s="10" t="str">
        <f t="shared" si="133"/>
        <v/>
      </c>
      <c r="CR26" s="10" t="str">
        <f t="shared" si="133"/>
        <v/>
      </c>
      <c r="CS26" s="10" t="str">
        <f t="shared" si="133"/>
        <v/>
      </c>
      <c r="CT26" s="10"/>
      <c r="CU26" s="10"/>
      <c r="CV26" s="43" t="str">
        <f t="shared" ref="CV26:CZ26" si="134">CO26</f>
        <v/>
      </c>
      <c r="CW26" s="10" t="str">
        <f t="shared" si="134"/>
        <v/>
      </c>
      <c r="CX26" s="10" t="str">
        <f t="shared" si="134"/>
        <v/>
      </c>
      <c r="CY26" s="10" t="str">
        <f t="shared" si="134"/>
        <v/>
      </c>
      <c r="CZ26" s="10" t="str">
        <f t="shared" si="134"/>
        <v/>
      </c>
      <c r="DA26" s="10"/>
      <c r="DB26" s="10"/>
      <c r="DC26" s="43" t="str">
        <f t="shared" ref="DC26:DG26" si="135">CV26</f>
        <v/>
      </c>
      <c r="DD26" s="10" t="str">
        <f t="shared" si="135"/>
        <v/>
      </c>
      <c r="DE26" s="10" t="str">
        <f t="shared" si="135"/>
        <v/>
      </c>
      <c r="DF26" s="10" t="str">
        <f t="shared" si="135"/>
        <v/>
      </c>
      <c r="DG26" s="10" t="str">
        <f t="shared" si="135"/>
        <v/>
      </c>
      <c r="DH26" s="10"/>
      <c r="DI26" s="10"/>
      <c r="DJ26" s="43" t="str">
        <f t="shared" ref="DJ26:DN26" si="136">DC26</f>
        <v/>
      </c>
      <c r="DK26" s="10" t="str">
        <f t="shared" si="136"/>
        <v/>
      </c>
      <c r="DL26" s="10" t="str">
        <f t="shared" si="136"/>
        <v/>
      </c>
      <c r="DM26" s="10" t="str">
        <f t="shared" si="136"/>
        <v/>
      </c>
      <c r="DN26" s="10" t="str">
        <f t="shared" si="136"/>
        <v/>
      </c>
      <c r="DO26" s="10"/>
      <c r="DP26" s="10"/>
      <c r="DQ26" s="43" t="str">
        <f t="shared" ref="DQ26:DU26" si="137">DJ26</f>
        <v/>
      </c>
      <c r="DR26" s="10" t="str">
        <f t="shared" si="137"/>
        <v/>
      </c>
      <c r="DS26" s="10" t="str">
        <f t="shared" si="137"/>
        <v/>
      </c>
      <c r="DT26" s="10" t="str">
        <f t="shared" si="137"/>
        <v/>
      </c>
      <c r="DU26" s="10" t="str">
        <f t="shared" si="137"/>
        <v/>
      </c>
      <c r="DV26" s="10"/>
      <c r="DW26" s="10"/>
      <c r="DX26" s="43" t="str">
        <f t="shared" ref="DX26:EB26" si="138">DQ26</f>
        <v/>
      </c>
      <c r="DY26" s="10" t="str">
        <f t="shared" si="138"/>
        <v/>
      </c>
      <c r="DZ26" s="10" t="str">
        <f t="shared" si="138"/>
        <v/>
      </c>
      <c r="EA26" s="10" t="str">
        <f t="shared" si="138"/>
        <v/>
      </c>
      <c r="EB26" s="10" t="str">
        <f t="shared" si="138"/>
        <v/>
      </c>
      <c r="EC26" s="10"/>
      <c r="ED26" s="10"/>
      <c r="EE26" s="43" t="str">
        <f t="shared" ref="EE26:EI26" si="139">DX26</f>
        <v/>
      </c>
      <c r="EF26" s="10" t="str">
        <f t="shared" si="139"/>
        <v/>
      </c>
      <c r="EG26" s="10" t="str">
        <f t="shared" si="139"/>
        <v/>
      </c>
      <c r="EH26" s="10" t="str">
        <f t="shared" si="139"/>
        <v/>
      </c>
      <c r="EI26" s="10" t="str">
        <f t="shared" si="139"/>
        <v/>
      </c>
      <c r="EJ26" s="10"/>
      <c r="EK26" s="10"/>
      <c r="EL26" s="43" t="str">
        <f t="shared" ref="EL26:EP26" si="140">EE26</f>
        <v/>
      </c>
      <c r="EM26" s="10" t="str">
        <f t="shared" si="140"/>
        <v/>
      </c>
      <c r="EN26" s="10" t="str">
        <f t="shared" si="140"/>
        <v/>
      </c>
      <c r="EO26" s="10" t="str">
        <f t="shared" si="140"/>
        <v/>
      </c>
      <c r="EP26" s="10" t="str">
        <f t="shared" si="140"/>
        <v/>
      </c>
      <c r="EQ26" s="10"/>
      <c r="ER26" s="10"/>
    </row>
    <row r="27">
      <c r="A27" s="45"/>
      <c r="B27" s="46"/>
      <c r="C27" s="47"/>
      <c r="D27" s="47"/>
      <c r="E27" s="47"/>
      <c r="F27" s="47"/>
      <c r="G27" s="47"/>
      <c r="H27" s="47"/>
      <c r="I27" s="46" t="str">
        <f t="shared" ref="I27:M27" si="141">B27</f>
        <v/>
      </c>
      <c r="J27" s="47" t="str">
        <f t="shared" si="141"/>
        <v/>
      </c>
      <c r="K27" s="47" t="str">
        <f t="shared" si="141"/>
        <v/>
      </c>
      <c r="L27" s="47" t="str">
        <f t="shared" si="141"/>
        <v/>
      </c>
      <c r="M27" s="47" t="str">
        <f t="shared" si="141"/>
        <v/>
      </c>
      <c r="N27" s="47"/>
      <c r="O27" s="47"/>
      <c r="P27" s="46" t="str">
        <f t="shared" ref="P27:T27" si="142">I27</f>
        <v/>
      </c>
      <c r="Q27" s="47" t="str">
        <f t="shared" si="142"/>
        <v/>
      </c>
      <c r="R27" s="47" t="str">
        <f t="shared" si="142"/>
        <v/>
      </c>
      <c r="S27" s="47" t="str">
        <f t="shared" si="142"/>
        <v/>
      </c>
      <c r="T27" s="47" t="str">
        <f t="shared" si="142"/>
        <v/>
      </c>
      <c r="U27" s="47"/>
      <c r="V27" s="47"/>
      <c r="W27" s="46" t="str">
        <f t="shared" ref="W27:AA27" si="143">P27</f>
        <v/>
      </c>
      <c r="X27" s="47" t="str">
        <f t="shared" si="143"/>
        <v/>
      </c>
      <c r="Y27" s="47" t="str">
        <f t="shared" si="143"/>
        <v/>
      </c>
      <c r="Z27" s="47" t="str">
        <f t="shared" si="143"/>
        <v/>
      </c>
      <c r="AA27" s="47" t="str">
        <f t="shared" si="143"/>
        <v/>
      </c>
      <c r="AB27" s="47"/>
      <c r="AC27" s="47"/>
      <c r="AD27" s="46" t="str">
        <f t="shared" ref="AD27:AH27" si="144">W27</f>
        <v/>
      </c>
      <c r="AE27" s="47" t="str">
        <f t="shared" si="144"/>
        <v/>
      </c>
      <c r="AF27" s="47" t="str">
        <f t="shared" si="144"/>
        <v/>
      </c>
      <c r="AG27" s="47" t="str">
        <f t="shared" si="144"/>
        <v/>
      </c>
      <c r="AH27" s="47" t="str">
        <f t="shared" si="144"/>
        <v/>
      </c>
      <c r="AI27" s="47"/>
      <c r="AJ27" s="47"/>
      <c r="AK27" s="46" t="str">
        <f t="shared" ref="AK27:AO27" si="145">AD27</f>
        <v/>
      </c>
      <c r="AL27" s="47" t="str">
        <f t="shared" si="145"/>
        <v/>
      </c>
      <c r="AM27" s="47" t="str">
        <f t="shared" si="145"/>
        <v/>
      </c>
      <c r="AN27" s="47" t="str">
        <f t="shared" si="145"/>
        <v/>
      </c>
      <c r="AO27" s="47" t="str">
        <f t="shared" si="145"/>
        <v/>
      </c>
      <c r="AP27" s="47"/>
      <c r="AQ27" s="47"/>
      <c r="AR27" s="46" t="str">
        <f t="shared" ref="AR27:AV27" si="146">AK27</f>
        <v/>
      </c>
      <c r="AS27" s="47" t="str">
        <f t="shared" si="146"/>
        <v/>
      </c>
      <c r="AT27" s="47" t="str">
        <f t="shared" si="146"/>
        <v/>
      </c>
      <c r="AU27" s="47" t="str">
        <f t="shared" si="146"/>
        <v/>
      </c>
      <c r="AV27" s="47" t="str">
        <f t="shared" si="146"/>
        <v/>
      </c>
      <c r="AW27" s="47"/>
      <c r="AX27" s="47"/>
      <c r="AY27" s="46" t="str">
        <f t="shared" ref="AY27:BC27" si="147">AR27</f>
        <v/>
      </c>
      <c r="AZ27" s="47" t="str">
        <f t="shared" si="147"/>
        <v/>
      </c>
      <c r="BA27" s="47" t="str">
        <f t="shared" si="147"/>
        <v/>
      </c>
      <c r="BB27" s="47" t="str">
        <f t="shared" si="147"/>
        <v/>
      </c>
      <c r="BC27" s="47" t="str">
        <f t="shared" si="147"/>
        <v/>
      </c>
      <c r="BD27" s="47"/>
      <c r="BE27" s="47"/>
      <c r="BF27" s="46" t="str">
        <f t="shared" ref="BF27:BJ27" si="148">AY27</f>
        <v/>
      </c>
      <c r="BG27" s="47" t="str">
        <f t="shared" si="148"/>
        <v/>
      </c>
      <c r="BH27" s="47" t="str">
        <f t="shared" si="148"/>
        <v/>
      </c>
      <c r="BI27" s="47" t="str">
        <f t="shared" si="148"/>
        <v/>
      </c>
      <c r="BJ27" s="47" t="str">
        <f t="shared" si="148"/>
        <v/>
      </c>
      <c r="BK27" s="47"/>
      <c r="BL27" s="47"/>
      <c r="BM27" s="46" t="str">
        <f t="shared" ref="BM27:BQ27" si="149">BF27</f>
        <v/>
      </c>
      <c r="BN27" s="47" t="str">
        <f t="shared" si="149"/>
        <v/>
      </c>
      <c r="BO27" s="47" t="str">
        <f t="shared" si="149"/>
        <v/>
      </c>
      <c r="BP27" s="47" t="str">
        <f t="shared" si="149"/>
        <v/>
      </c>
      <c r="BQ27" s="47" t="str">
        <f t="shared" si="149"/>
        <v/>
      </c>
      <c r="BR27" s="47"/>
      <c r="BS27" s="47"/>
      <c r="BT27" s="46" t="str">
        <f t="shared" ref="BT27:BX27" si="150">BM27</f>
        <v/>
      </c>
      <c r="BU27" s="47" t="str">
        <f t="shared" si="150"/>
        <v/>
      </c>
      <c r="BV27" s="47" t="str">
        <f t="shared" si="150"/>
        <v/>
      </c>
      <c r="BW27" s="47" t="str">
        <f t="shared" si="150"/>
        <v/>
      </c>
      <c r="BX27" s="47" t="str">
        <f t="shared" si="150"/>
        <v/>
      </c>
      <c r="BY27" s="47"/>
      <c r="BZ27" s="47"/>
      <c r="CA27" s="46" t="str">
        <f t="shared" ref="CA27:CE27" si="151">BT27</f>
        <v/>
      </c>
      <c r="CB27" s="47" t="str">
        <f t="shared" si="151"/>
        <v/>
      </c>
      <c r="CC27" s="47" t="str">
        <f t="shared" si="151"/>
        <v/>
      </c>
      <c r="CD27" s="47" t="str">
        <f t="shared" si="151"/>
        <v/>
      </c>
      <c r="CE27" s="47" t="str">
        <f t="shared" si="151"/>
        <v/>
      </c>
      <c r="CF27" s="47"/>
      <c r="CG27" s="47"/>
      <c r="CH27" s="46" t="str">
        <f t="shared" ref="CH27:CL27" si="152">CA27</f>
        <v/>
      </c>
      <c r="CI27" s="47" t="str">
        <f t="shared" si="152"/>
        <v/>
      </c>
      <c r="CJ27" s="47" t="str">
        <f t="shared" si="152"/>
        <v/>
      </c>
      <c r="CK27" s="47" t="str">
        <f t="shared" si="152"/>
        <v/>
      </c>
      <c r="CL27" s="47" t="str">
        <f t="shared" si="152"/>
        <v/>
      </c>
      <c r="CM27" s="47"/>
      <c r="CN27" s="47"/>
      <c r="CO27" s="46" t="str">
        <f t="shared" ref="CO27:CS27" si="153">CH27</f>
        <v/>
      </c>
      <c r="CP27" s="47" t="str">
        <f t="shared" si="153"/>
        <v/>
      </c>
      <c r="CQ27" s="47" t="str">
        <f t="shared" si="153"/>
        <v/>
      </c>
      <c r="CR27" s="47" t="str">
        <f t="shared" si="153"/>
        <v/>
      </c>
      <c r="CS27" s="47" t="str">
        <f t="shared" si="153"/>
        <v/>
      </c>
      <c r="CT27" s="47"/>
      <c r="CU27" s="47"/>
      <c r="CV27" s="46" t="str">
        <f t="shared" ref="CV27:CZ27" si="154">CO27</f>
        <v/>
      </c>
      <c r="CW27" s="47" t="str">
        <f t="shared" si="154"/>
        <v/>
      </c>
      <c r="CX27" s="47" t="str">
        <f t="shared" si="154"/>
        <v/>
      </c>
      <c r="CY27" s="47" t="str">
        <f t="shared" si="154"/>
        <v/>
      </c>
      <c r="CZ27" s="47" t="str">
        <f t="shared" si="154"/>
        <v/>
      </c>
      <c r="DA27" s="47"/>
      <c r="DB27" s="47"/>
      <c r="DC27" s="46" t="str">
        <f t="shared" ref="DC27:DG27" si="155">CV27</f>
        <v/>
      </c>
      <c r="DD27" s="47" t="str">
        <f t="shared" si="155"/>
        <v/>
      </c>
      <c r="DE27" s="47" t="str">
        <f t="shared" si="155"/>
        <v/>
      </c>
      <c r="DF27" s="47" t="str">
        <f t="shared" si="155"/>
        <v/>
      </c>
      <c r="DG27" s="47" t="str">
        <f t="shared" si="155"/>
        <v/>
      </c>
      <c r="DH27" s="47"/>
      <c r="DI27" s="47"/>
      <c r="DJ27" s="46" t="str">
        <f t="shared" ref="DJ27:DN27" si="156">DC27</f>
        <v/>
      </c>
      <c r="DK27" s="47" t="str">
        <f t="shared" si="156"/>
        <v/>
      </c>
      <c r="DL27" s="47" t="str">
        <f t="shared" si="156"/>
        <v/>
      </c>
      <c r="DM27" s="47" t="str">
        <f t="shared" si="156"/>
        <v/>
      </c>
      <c r="DN27" s="47" t="str">
        <f t="shared" si="156"/>
        <v/>
      </c>
      <c r="DO27" s="47"/>
      <c r="DP27" s="47"/>
      <c r="DQ27" s="46" t="str">
        <f t="shared" ref="DQ27:DU27" si="157">DJ27</f>
        <v/>
      </c>
      <c r="DR27" s="47" t="str">
        <f t="shared" si="157"/>
        <v/>
      </c>
      <c r="DS27" s="47" t="str">
        <f t="shared" si="157"/>
        <v/>
      </c>
      <c r="DT27" s="47" t="str">
        <f t="shared" si="157"/>
        <v/>
      </c>
      <c r="DU27" s="47" t="str">
        <f t="shared" si="157"/>
        <v/>
      </c>
      <c r="DV27" s="47"/>
      <c r="DW27" s="47"/>
      <c r="DX27" s="46" t="str">
        <f t="shared" ref="DX27:EB27" si="158">DQ27</f>
        <v/>
      </c>
      <c r="DY27" s="47" t="str">
        <f t="shared" si="158"/>
        <v/>
      </c>
      <c r="DZ27" s="47" t="str">
        <f t="shared" si="158"/>
        <v/>
      </c>
      <c r="EA27" s="47" t="str">
        <f t="shared" si="158"/>
        <v/>
      </c>
      <c r="EB27" s="47" t="str">
        <f t="shared" si="158"/>
        <v/>
      </c>
      <c r="EC27" s="47"/>
      <c r="ED27" s="47"/>
      <c r="EE27" s="46" t="str">
        <f t="shared" ref="EE27:EI27" si="159">DX27</f>
        <v/>
      </c>
      <c r="EF27" s="47" t="str">
        <f t="shared" si="159"/>
        <v/>
      </c>
      <c r="EG27" s="47" t="str">
        <f t="shared" si="159"/>
        <v/>
      </c>
      <c r="EH27" s="47" t="str">
        <f t="shared" si="159"/>
        <v/>
      </c>
      <c r="EI27" s="47" t="str">
        <f t="shared" si="159"/>
        <v/>
      </c>
      <c r="EJ27" s="47"/>
      <c r="EK27" s="47"/>
      <c r="EL27" s="46" t="str">
        <f t="shared" ref="EL27:EP27" si="160">EE27</f>
        <v/>
      </c>
      <c r="EM27" s="47" t="str">
        <f t="shared" si="160"/>
        <v/>
      </c>
      <c r="EN27" s="47" t="str">
        <f t="shared" si="160"/>
        <v/>
      </c>
      <c r="EO27" s="47" t="str">
        <f t="shared" si="160"/>
        <v/>
      </c>
      <c r="EP27" s="47" t="str">
        <f t="shared" si="160"/>
        <v/>
      </c>
      <c r="EQ27" s="47"/>
      <c r="ER27" s="47"/>
    </row>
    <row r="28">
      <c r="A28" s="3"/>
      <c r="B28" s="42"/>
      <c r="C28" s="3"/>
      <c r="D28" s="3"/>
      <c r="E28" s="3"/>
      <c r="F28" s="3"/>
      <c r="G28" s="3"/>
      <c r="H28" s="3"/>
      <c r="I28" s="42"/>
      <c r="J28" s="3"/>
      <c r="K28" s="3"/>
      <c r="L28" s="3"/>
      <c r="M28" s="3"/>
      <c r="N28" s="3"/>
      <c r="O28" s="3"/>
      <c r="P28" s="42"/>
      <c r="Q28" s="3"/>
      <c r="R28" s="3"/>
      <c r="S28" s="3"/>
      <c r="T28" s="3"/>
      <c r="U28" s="3"/>
      <c r="V28" s="3"/>
      <c r="W28" s="42"/>
      <c r="X28" s="3"/>
      <c r="Y28" s="3"/>
      <c r="Z28" s="3"/>
      <c r="AA28" s="3"/>
      <c r="AB28" s="3"/>
      <c r="AC28" s="3"/>
      <c r="AD28" s="42"/>
      <c r="AE28" s="3"/>
      <c r="AF28" s="3"/>
      <c r="AG28" s="3"/>
      <c r="AH28" s="3"/>
      <c r="AI28" s="3"/>
      <c r="AJ28" s="3"/>
      <c r="AK28" s="42"/>
      <c r="AL28" s="3"/>
      <c r="AM28" s="3"/>
      <c r="AN28" s="3"/>
      <c r="AO28" s="3"/>
      <c r="AP28" s="3"/>
      <c r="AQ28" s="3"/>
      <c r="AR28" s="42"/>
      <c r="AS28" s="3"/>
      <c r="AT28" s="3"/>
      <c r="AU28" s="3"/>
      <c r="AV28" s="3"/>
      <c r="AW28" s="3"/>
      <c r="AX28" s="3"/>
      <c r="AY28" s="42"/>
      <c r="AZ28" s="3"/>
      <c r="BA28" s="3"/>
      <c r="BB28" s="3"/>
      <c r="BC28" s="3"/>
      <c r="BD28" s="3"/>
      <c r="BE28" s="3"/>
      <c r="BF28" s="42"/>
      <c r="BG28" s="3"/>
      <c r="BH28" s="3"/>
      <c r="BI28" s="3"/>
      <c r="BJ28" s="3"/>
      <c r="BK28" s="3"/>
      <c r="BL28" s="3"/>
      <c r="BM28" s="42"/>
      <c r="BN28" s="3"/>
      <c r="BO28" s="3"/>
      <c r="BP28" s="3"/>
      <c r="BQ28" s="3"/>
      <c r="BR28" s="3"/>
      <c r="BS28" s="3"/>
      <c r="BT28" s="42"/>
      <c r="BU28" s="3"/>
      <c r="BV28" s="3"/>
      <c r="BW28" s="3"/>
      <c r="BX28" s="3"/>
      <c r="BY28" s="3"/>
      <c r="BZ28" s="3"/>
      <c r="CA28" s="42"/>
      <c r="CB28" s="3"/>
      <c r="CC28" s="3"/>
      <c r="CD28" s="3"/>
      <c r="CE28" s="3"/>
      <c r="CF28" s="3"/>
      <c r="CG28" s="3"/>
      <c r="CH28" s="42"/>
      <c r="CI28" s="3"/>
      <c r="CJ28" s="3"/>
      <c r="CK28" s="3"/>
      <c r="CL28" s="3"/>
      <c r="CM28" s="3"/>
      <c r="CN28" s="3"/>
      <c r="CO28" s="42"/>
      <c r="CP28" s="3"/>
      <c r="CQ28" s="3"/>
      <c r="CR28" s="3"/>
      <c r="CS28" s="3"/>
      <c r="CT28" s="3"/>
      <c r="CU28" s="3"/>
      <c r="CV28" s="42"/>
      <c r="CW28" s="3"/>
      <c r="CX28" s="3"/>
      <c r="CY28" s="3"/>
      <c r="CZ28" s="3"/>
      <c r="DA28" s="3"/>
      <c r="DB28" s="3"/>
      <c r="DC28" s="42"/>
      <c r="DD28" s="3"/>
      <c r="DE28" s="3"/>
      <c r="DF28" s="3"/>
      <c r="DG28" s="3"/>
      <c r="DH28" s="3"/>
      <c r="DI28" s="3"/>
      <c r="DJ28" s="42"/>
      <c r="DK28" s="3"/>
      <c r="DL28" s="3"/>
      <c r="DM28" s="3"/>
      <c r="DN28" s="3"/>
      <c r="DO28" s="3"/>
      <c r="DP28" s="3"/>
      <c r="DQ28" s="42"/>
      <c r="DR28" s="3"/>
      <c r="DS28" s="3"/>
      <c r="DT28" s="3"/>
      <c r="DU28" s="3"/>
      <c r="DV28" s="3"/>
      <c r="DW28" s="3"/>
      <c r="DX28" s="42"/>
      <c r="DY28" s="3"/>
      <c r="DZ28" s="3"/>
      <c r="EA28" s="3"/>
      <c r="EB28" s="3"/>
      <c r="EC28" s="3"/>
      <c r="ED28" s="3"/>
      <c r="EE28" s="42"/>
      <c r="EF28" s="3"/>
      <c r="EG28" s="3"/>
      <c r="EH28" s="3"/>
      <c r="EI28" s="3"/>
      <c r="EJ28" s="3"/>
      <c r="EK28" s="3"/>
      <c r="EL28" s="42"/>
      <c r="EM28" s="3"/>
      <c r="EN28" s="3"/>
      <c r="EO28" s="3"/>
      <c r="EP28" s="3"/>
      <c r="EQ28" s="3"/>
      <c r="ER28" s="3"/>
    </row>
    <row r="29">
      <c r="A29" s="32" t="s">
        <v>81</v>
      </c>
      <c r="B29" s="33"/>
      <c r="C29" s="34"/>
      <c r="D29" s="34"/>
      <c r="E29" s="34"/>
      <c r="F29" s="34"/>
      <c r="G29" s="34"/>
      <c r="H29" s="34"/>
      <c r="I29" s="33"/>
      <c r="J29" s="34"/>
      <c r="K29" s="34"/>
      <c r="L29" s="34"/>
      <c r="M29" s="34"/>
      <c r="N29" s="34"/>
      <c r="O29" s="34"/>
      <c r="P29" s="33"/>
      <c r="Q29" s="34"/>
      <c r="R29" s="34"/>
      <c r="S29" s="34"/>
      <c r="T29" s="34"/>
      <c r="U29" s="34"/>
      <c r="V29" s="34"/>
      <c r="W29" s="33"/>
      <c r="X29" s="34"/>
      <c r="Y29" s="34"/>
      <c r="Z29" s="34"/>
      <c r="AA29" s="34"/>
      <c r="AB29" s="34"/>
      <c r="AC29" s="34"/>
      <c r="AD29" s="33"/>
      <c r="AE29" s="34"/>
      <c r="AF29" s="34"/>
      <c r="AG29" s="34"/>
      <c r="AH29" s="34"/>
      <c r="AI29" s="34"/>
      <c r="AJ29" s="34"/>
      <c r="AK29" s="33"/>
      <c r="AL29" s="34"/>
      <c r="AM29" s="34"/>
      <c r="AN29" s="34"/>
      <c r="AO29" s="34"/>
      <c r="AP29" s="34"/>
      <c r="AQ29" s="34"/>
      <c r="AR29" s="33"/>
      <c r="AS29" s="34"/>
      <c r="AT29" s="34"/>
      <c r="AU29" s="34"/>
      <c r="AV29" s="34"/>
      <c r="AW29" s="34"/>
      <c r="AX29" s="34"/>
      <c r="AY29" s="33"/>
      <c r="AZ29" s="34"/>
      <c r="BA29" s="34"/>
      <c r="BB29" s="34"/>
      <c r="BC29" s="34"/>
      <c r="BD29" s="34"/>
      <c r="BE29" s="34"/>
      <c r="BF29" s="33"/>
      <c r="BG29" s="34"/>
      <c r="BH29" s="34"/>
      <c r="BI29" s="34"/>
      <c r="BJ29" s="34"/>
      <c r="BK29" s="34"/>
      <c r="BL29" s="34"/>
      <c r="BM29" s="33"/>
      <c r="BN29" s="34"/>
      <c r="BO29" s="34"/>
      <c r="BP29" s="34"/>
      <c r="BQ29" s="34"/>
      <c r="BR29" s="34"/>
      <c r="BS29" s="34"/>
      <c r="BT29" s="33"/>
      <c r="BU29" s="34"/>
      <c r="BV29" s="34"/>
      <c r="BW29" s="34"/>
      <c r="BX29" s="34"/>
      <c r="BY29" s="34"/>
      <c r="BZ29" s="34"/>
      <c r="CA29" s="33"/>
      <c r="CB29" s="34"/>
      <c r="CC29" s="34"/>
      <c r="CD29" s="34"/>
      <c r="CE29" s="34"/>
      <c r="CF29" s="34"/>
      <c r="CG29" s="34"/>
      <c r="CH29" s="33"/>
      <c r="CI29" s="34"/>
      <c r="CJ29" s="34"/>
      <c r="CK29" s="34"/>
      <c r="CL29" s="34"/>
      <c r="CM29" s="34"/>
      <c r="CN29" s="34"/>
      <c r="CO29" s="33"/>
      <c r="CP29" s="34"/>
      <c r="CQ29" s="34"/>
      <c r="CR29" s="34"/>
      <c r="CS29" s="34"/>
      <c r="CT29" s="34"/>
      <c r="CU29" s="34"/>
      <c r="CV29" s="33"/>
      <c r="CW29" s="34"/>
      <c r="CX29" s="34"/>
      <c r="CY29" s="34"/>
      <c r="CZ29" s="34"/>
      <c r="DA29" s="34"/>
      <c r="DB29" s="34"/>
      <c r="DC29" s="33"/>
      <c r="DD29" s="34"/>
      <c r="DE29" s="34"/>
      <c r="DF29" s="34"/>
      <c r="DG29" s="34"/>
      <c r="DH29" s="34"/>
      <c r="DI29" s="34"/>
      <c r="DJ29" s="33"/>
      <c r="DK29" s="34"/>
      <c r="DL29" s="34"/>
      <c r="DM29" s="34"/>
      <c r="DN29" s="34"/>
      <c r="DO29" s="34"/>
      <c r="DP29" s="34"/>
      <c r="DQ29" s="33"/>
      <c r="DR29" s="34"/>
      <c r="DS29" s="34"/>
      <c r="DT29" s="34"/>
      <c r="DU29" s="34"/>
      <c r="DV29" s="34"/>
      <c r="DW29" s="34"/>
      <c r="DX29" s="33"/>
      <c r="DY29" s="34"/>
      <c r="DZ29" s="34"/>
      <c r="EA29" s="34"/>
      <c r="EB29" s="34"/>
      <c r="EC29" s="34"/>
      <c r="ED29" s="34"/>
      <c r="EE29" s="35" t="s">
        <v>77</v>
      </c>
      <c r="EF29" s="36"/>
      <c r="EG29" s="36"/>
      <c r="EH29" s="36"/>
      <c r="EI29" s="36"/>
      <c r="EJ29" s="36"/>
      <c r="EK29" s="36"/>
      <c r="EL29" s="33"/>
      <c r="EM29" s="34"/>
      <c r="EN29" s="34"/>
      <c r="EO29" s="34"/>
      <c r="EP29" s="34"/>
      <c r="EQ29" s="34"/>
      <c r="ER29" s="34"/>
    </row>
    <row r="30" hidden="1">
      <c r="A30" s="37" t="str">
        <f>CONCATENATE(A31," TM")</f>
        <v>Deadlift TM</v>
      </c>
      <c r="B30" s="38">
        <f>if(D30="",'Quick Setup'!D7,D30/'Quick Setup'!E7)</f>
        <v>525</v>
      </c>
      <c r="C30" s="39" t="s">
        <v>75</v>
      </c>
      <c r="D30" s="40"/>
      <c r="E30" s="41"/>
      <c r="F30" s="41"/>
      <c r="G30" s="41"/>
      <c r="H30" s="41"/>
      <c r="I30" s="38">
        <f>if(K30="", if(F31&lt;&gt;"", if((F31-D31)&lt;-1,B30*(1+Setup!F5),if((F31-D31)&lt;0,B30*(1+Setup!G5),if((F31-D31)=0,B30*(1+Setup!H5),if((F31-D31)=1,B30*(1+Setup!I5),if((F31-D31)=2,B30*(1+Setup!J5),if((F31-D31)=3,B30*(1+Setup!K5),if((F31-D31)=4,B30*(1+Setup!L5),if((F31-D31)&gt;4,B30*(1+Setup!M5),B30)))))))),B30),K30/'Quick Setup'!$E7)</f>
        <v>525</v>
      </c>
      <c r="J30" s="39" t="s">
        <v>75</v>
      </c>
      <c r="K30" s="40"/>
      <c r="L30" s="41"/>
      <c r="M30" s="41"/>
      <c r="N30" s="41"/>
      <c r="O30" s="41"/>
      <c r="P30" s="38">
        <f>if(R30="", if(M31&lt;&gt;"", if((M31-K31)&lt;-1,I30*(1+Setup!R5),if((M31-K31)&lt;0,I30*(1+Setup!S5),if((M31-K31)=0,I30*(1+Setup!T5),if((M31-K31)=1,I30*(1+Setup!U5),if((M31-K31)=2,I30*(1+Setup!V5),if((M31-K31)=3,I30*(1+Setup!W5),if((M31-K31)=4,I30*(1+Setup!X5),if((M31-K31)&gt;4,I30*(1+Setup!Y5),I30)))))))),I30),R30/'Quick Setup'!$E7)</f>
        <v>525</v>
      </c>
      <c r="Q30" s="39" t="s">
        <v>75</v>
      </c>
      <c r="R30" s="40"/>
      <c r="S30" s="41"/>
      <c r="T30" s="41"/>
      <c r="U30" s="41"/>
      <c r="V30" s="41"/>
      <c r="W30" s="38">
        <f>if(Y30="", if(T31&lt;&gt;"", if((T31-R31)&lt;-1,P30*(1+Setup!AD5),if((T31-R31)&lt;0,P30*(1+Setup!AE5),if((T31-R31)=0,P30*(1+Setup!AF5),if((T31-R31)=1,P30*(1+Setup!AG5),if((T31-R31)=2,P30*(1+Setup!AH5),if((T31-R31)=3,P30*(1+Setup!AI5),if((T31-R31)=4,P30*(1+Setup!AJ5),if((T31-R31)&gt;4,P30*(1+Setup!AK5),P30)))))))),P30),Y30/'Quick Setup'!$E7)</f>
        <v>525</v>
      </c>
      <c r="X30" s="39" t="s">
        <v>75</v>
      </c>
      <c r="Y30" s="40"/>
      <c r="Z30" s="41"/>
      <c r="AA30" s="41"/>
      <c r="AB30" s="41"/>
      <c r="AC30" s="41"/>
      <c r="AD30" s="38">
        <f>if(AF30="", if(AA31&lt;&gt;"", if((AA31-Y31)&lt;-1,W30*(1+Setup!AP5),if((AA31-Y31)&lt;0,W30*(1+Setup!AQ5),if((AA31-Y31)=0,W30*(1+Setup!AR5),if((AA31-Y31)=1,W30*(1+Setup!AS5),if((AA31-Y31)=2,W30*(1+Setup!AT5),if((AA31-Y31)=3,W30*(1+Setup!AU5),if((AA31-Y31)=4,W30*(1+Setup!AV5),if((AA31-Y31)&gt;4,W30*(1+Setup!AW5),W30)))))))),W30),AF30/'Quick Setup'!$E7)</f>
        <v>525</v>
      </c>
      <c r="AE30" s="39" t="s">
        <v>75</v>
      </c>
      <c r="AF30" s="40"/>
      <c r="AG30" s="41"/>
      <c r="AH30" s="41"/>
      <c r="AI30" s="41"/>
      <c r="AJ30" s="41"/>
      <c r="AK30" s="38">
        <f>if(AM30="", if(AH31&lt;&gt;"", if((AH31-AF31)&lt;-1,AD30*(1+Setup!BB5),if((AH31-AF31)&lt;0,AD30*(1+Setup!BC5),if((AH31-AF31)=0,AD30*(1+Setup!BD5),if((AH31-AF31)=1,AD30*(1+Setup!BE5),if((AH31-AF31)=2,AD30*(1+Setup!BF5),if((AH31-AF31)=3,AD30*(1+Setup!BG5),if((AH31-AF31)=4,AD30*(1+Setup!BH5),if((AH31-AF31)&gt;4,AD30*(1+Setup!BI5),AD30)))))))),AD30),AM30/'Quick Setup'!$E7)</f>
        <v>525</v>
      </c>
      <c r="AL30" s="39" t="s">
        <v>75</v>
      </c>
      <c r="AM30" s="40"/>
      <c r="AN30" s="41"/>
      <c r="AO30" s="41"/>
      <c r="AP30" s="41"/>
      <c r="AQ30" s="41"/>
      <c r="AR30" s="38">
        <f>if(AT30="", if(AO31&lt;&gt;"", if((AO31-AM31)&lt;-1,AK30*(1+Setup!BN5),if((AO31-AM31)&lt;0,AK30*(1+Setup!BO5),if((AO31-AM31)=0,AK30*(1+Setup!BP5),if((AO31-AM31)=1,AK30*(1+Setup!BQ5),if((AO31-AM31)=2,AK30*(1+Setup!BR5),if((AO31-AM31)=3,AK30*(1+Setup!BS5),if((AO31-AM31)=4,AK30*(1+Setup!BT5),if((AO31-AM31)&gt;4,AK30*(1+Setup!BU5),AK30)))))))),AK30),AT30/'Quick Setup'!$E7)</f>
        <v>525</v>
      </c>
      <c r="AS30" s="39" t="s">
        <v>75</v>
      </c>
      <c r="AT30" s="40"/>
      <c r="AU30" s="41"/>
      <c r="AV30" s="41"/>
      <c r="AW30" s="41"/>
      <c r="AX30" s="41"/>
      <c r="AY30" s="38">
        <f>if(BA30="",AR30,BA30/'Quick Setup'!$E7)</f>
        <v>525</v>
      </c>
      <c r="AZ30" s="39" t="s">
        <v>75</v>
      </c>
      <c r="BA30" s="40"/>
      <c r="BB30" s="41"/>
      <c r="BC30" s="41"/>
      <c r="BD30" s="41"/>
      <c r="BE30" s="41"/>
      <c r="BF30" s="38">
        <f>if(BH30="", if(BC31&lt;&gt;"", if((BC31-BA31)&lt;-1,AY30*(1+Setup!CL5),if((BC31-BA31)&lt;0,AY30*(1+Setup!CM5),if((BC31-BA31)=0,AY30*(1+Setup!CN5),if((BC31-BA31)=1,AY30*(1+Setup!CO5),if((BC31-BA31)=2,AY30*(1+Setup!CP5),if((BC31-BA31)=3,AY30*(1+Setup!CQ5),if((BC31-BA31)=4,AY30*(1+Setup!CR5),if((BC31-BA31)&gt;4,AY30*(1+Setup!CS5),AY30)))))))),AY30),BH30/'Quick Setup'!$E7)</f>
        <v>525</v>
      </c>
      <c r="BG30" s="39" t="s">
        <v>75</v>
      </c>
      <c r="BH30" s="40"/>
      <c r="BI30" s="41"/>
      <c r="BJ30" s="41"/>
      <c r="BK30" s="41"/>
      <c r="BL30" s="41"/>
      <c r="BM30" s="38">
        <f>if(BO30="", if(BJ31&lt;&gt;"", if((BJ31-BH31)&lt;-1,BF30*(1+Setup!CX5),if((BJ31-BH31)&lt;0,BF30*(1+Setup!CY5),if((BJ31-BH31)=0,BF30*(1+Setup!CZ5),if((BJ31-BH31)=1,BF30*(1+Setup!DA5),if((BJ31-BH31)=2,BF30*(1+Setup!DB5),if((BJ31-BH31)=3,BF30*(1+Setup!DC5),if((BJ31-BH31)=4,BF30*(1+Setup!DD5),if((BJ31-BH31)&gt;4,BF30*(1+Setup!DE5),BF30)))))))),BF30),BO30/'Quick Setup'!$E7)</f>
        <v>525</v>
      </c>
      <c r="BN30" s="39" t="s">
        <v>75</v>
      </c>
      <c r="BO30" s="40"/>
      <c r="BP30" s="41"/>
      <c r="BQ30" s="41"/>
      <c r="BR30" s="41"/>
      <c r="BS30" s="41"/>
      <c r="BT30" s="38">
        <f>if(BV30="", if(BQ31&lt;&gt;"", if((BQ31-BO31)&lt;-1,BM30*(1+Setup!DJ5),if((BQ31-BO31)&lt;0,BM30*(1+Setup!DK5),if((BQ31-BO31)=0,BM30*(1+Setup!DL5),if((BQ31-BO31)=1,BM30*(1+Setup!DM5),if((BQ31-BO31)=2,BM30*(1+Setup!DN5),if((BQ31-BO31)=3,BM30*(1+Setup!DO5),if((BQ31-BO31)=4,BM30*(1+Setup!DP5),if((BQ31-BO31)&gt;4,BM30*(1+Setup!DQ5),BM30)))))))),BM30),BV30/'Quick Setup'!$E7)</f>
        <v>525</v>
      </c>
      <c r="BU30" s="39" t="s">
        <v>75</v>
      </c>
      <c r="BV30" s="40"/>
      <c r="BW30" s="41"/>
      <c r="BX30" s="41"/>
      <c r="BY30" s="41"/>
      <c r="BZ30" s="41"/>
      <c r="CA30" s="38">
        <f>if(CC30="", if(BX31&lt;&gt;"", if((BX31-BV31)&lt;-1,BT30*(1+Setup!DV5),if((BX31-BV31)&lt;0,BT30*(1+Setup!DW5),if((BX31-BV31)=0,BT30*(1+Setup!DX5),if((BX31-BV31)=1,BT30*(1+Setup!DY5),if((BX31-BV31)=2,BT30*(1+Setup!DZ5),if((BX31-BV31)=3,BT30*(1+Setup!EA5),if((BX31-BV31)=4,BT30*(1+Setup!EB5),if((BX31-BV31)&gt;4,BT30*(1+Setup!EC5),BT30)))))))),BT30),CC30/'Quick Setup'!$E7)</f>
        <v>525</v>
      </c>
      <c r="CB30" s="39" t="s">
        <v>75</v>
      </c>
      <c r="CC30" s="40"/>
      <c r="CD30" s="41"/>
      <c r="CE30" s="41"/>
      <c r="CF30" s="41"/>
      <c r="CG30" s="41"/>
      <c r="CH30" s="38">
        <f>if(CJ30="", if(CE31&lt;&gt;"", if((CE31-CC31)&lt;-1,CA30*(1+Setup!EH5),if((CE31-CC31)&lt;0,CA30*(1+Setup!EI5),if((CE31-CC31)=0,CA30*(1+Setup!EJ5),if((CE31-CC31)=1,CA30*(1+Setup!EK5),if((CE31-CC31)=2,CA30*(1+Setup!EL5),if((CE31-CC31)=3,CA30*(1+Setup!EM5),if((CE31-CC31)=4,CA30*(1+Setup!EN5),if((CE31-CC31)&gt;4,CA30*(1+Setup!EO5),CA30)))))))),CA30),CJ30/'Quick Setup'!$E7)</f>
        <v>525</v>
      </c>
      <c r="CI30" s="39" t="s">
        <v>75</v>
      </c>
      <c r="CJ30" s="40"/>
      <c r="CK30" s="41"/>
      <c r="CL30" s="41"/>
      <c r="CM30" s="41"/>
      <c r="CN30" s="41"/>
      <c r="CO30" s="38">
        <f>if(CQ30="", if(CL31&lt;&gt;"", if((CL31-CJ31)&lt;-1,CH30*(1+Setup!ET5),if((CL31-CJ31)&lt;0,CH30*(1+Setup!EU5),if((CL31-CJ31)=0,CH30*(1+Setup!EV5),if((CL31-CJ31)=1,CH30*(1+Setup!EW5),if((CL31-CJ31)=2,CH30*(1+Setup!EX5),if((CL31-CJ31)=3,CH30*(1+Setup!EY5),if((CL31-CJ31)=4,CH30*(1+Setup!EZ5),if((CL31-CJ31)&gt;4,CH30*(1+Setup!FA5),CH30)))))))),CH30),CQ30/'Quick Setup'!$E7)</f>
        <v>525</v>
      </c>
      <c r="CP30" s="39" t="s">
        <v>75</v>
      </c>
      <c r="CQ30" s="40"/>
      <c r="CR30" s="41"/>
      <c r="CS30" s="41"/>
      <c r="CT30" s="41"/>
      <c r="CU30" s="41"/>
      <c r="CV30" s="38">
        <f>if(CX30="",CO30,CX30/'Quick Setup'!$E7)</f>
        <v>525</v>
      </c>
      <c r="CW30" s="39" t="s">
        <v>75</v>
      </c>
      <c r="CX30" s="40"/>
      <c r="CY30" s="41"/>
      <c r="CZ30" s="41"/>
      <c r="DA30" s="41"/>
      <c r="DB30" s="41"/>
      <c r="DC30" s="38">
        <f>if(DE30="", if(CZ31&lt;&gt;"", if((CZ31-CX31)&lt;-1,CV30*(1+Setup!FR5),if((CZ31-CX31)&lt;0,CV30*(1+Setup!FS5),if((CZ31-CX31)=0,CV30*(1+Setup!FT5),if((CZ31-CX31)=1,CV30*(1+Setup!FU5),if((CZ31-CX31)=2,CV30*(1+Setup!FV5),if((CZ31-CX31)=3,CV30*(1+Setup!FW5),if((CZ31-CX31)=4,CV30*(1+Setup!FX5),if((CZ31-CX31)&gt;4,CV30*(1+Setup!FY5),CV30)))))))),CV30),DE30/'Quick Setup'!$E7)</f>
        <v>525</v>
      </c>
      <c r="DD30" s="39" t="s">
        <v>75</v>
      </c>
      <c r="DE30" s="40"/>
      <c r="DF30" s="41"/>
      <c r="DG30" s="41"/>
      <c r="DH30" s="41"/>
      <c r="DI30" s="41"/>
      <c r="DJ30" s="38">
        <f>if(DL30="", if(DG31&lt;&gt;"", if((DG31-DE31)&lt;-1,DC30*(1+Setup!GD5),if((DG31-DE31)&lt;0,DC30*(1+Setup!GE5),if((DG31-DE31)=0,DC30*(1+Setup!GF5),if((DG31-DE31)=1,DC30*(1+Setup!GG5),if((DG31-DE31)=2,DC30*(1+Setup!GH5),if((DG31-DE31)=3,DC30*(1+Setup!GI5),if((DG31-DE31)=4,DC30*(1+Setup!GJ5),if((DG31-DE31)&gt;4,DC30*(1+Setup!GK5),DC30)))))))),DC30),DL30/'Quick Setup'!$E7)</f>
        <v>525</v>
      </c>
      <c r="DK30" s="39" t="s">
        <v>75</v>
      </c>
      <c r="DL30" s="40"/>
      <c r="DM30" s="41"/>
      <c r="DN30" s="41"/>
      <c r="DO30" s="41"/>
      <c r="DP30" s="41"/>
      <c r="DQ30" s="38">
        <f>if(DS30="", if(DN31&lt;&gt;"", if((DN31-DL31)&lt;-1,DJ30*(1+Setup!GP5),if((DN31-DL31)&lt;0,DJ30*(1+Setup!GQ5),if((DN31-DL31)=0,DJ30*(1+Setup!GR5),if((DN31-DL31)=1,DJ30*(1+Setup!GS5),if((DN31-DL31)=2,DJ30*(1+Setup!GT5),if((DN31-DL31)=3,DJ30*(1+Setup!GU5),if((DN31-DL31)=4,DJ30*(1+Setup!GV5),if((DN31-DL31)&gt;4,DJ30*(1+Setup!GW5),DJ30)))))))),DJ30),DS30/'Quick Setup'!$E7)</f>
        <v>525</v>
      </c>
      <c r="DR30" s="39" t="s">
        <v>75</v>
      </c>
      <c r="DS30" s="40"/>
      <c r="DT30" s="41"/>
      <c r="DU30" s="41"/>
      <c r="DV30" s="41"/>
      <c r="DW30" s="41"/>
      <c r="DX30" s="38">
        <f>if(DZ30="", if(DU31&lt;&gt;"", if((DU31-DS31)&lt;-1,DQ30*(1+Setup!HB5),if((DU31-DS31)&lt;0,DQ30*(1+Setup!HC5),if((DU31-DS31)=0,DQ30*(1+Setup!HD5),if((DU31-DS31)=1,DQ30*(1+Setup!HE5),if((DU31-DS31)=2,DQ30*(1+Setup!HF5),if((DU31-DS31)=3,DQ30*(1+Setup!HG5),if((DU31-DS31)=4,DQ30*(1+Setup!HH5),if((DU31-DS31)&gt;4,DQ30*(1+Setup!HI5),DQ30)))))))),DQ30),DZ30/'Quick Setup'!$E7)</f>
        <v>525</v>
      </c>
      <c r="DY30" s="39" t="s">
        <v>75</v>
      </c>
      <c r="DZ30" s="40"/>
      <c r="EA30" s="41"/>
      <c r="EB30" s="41"/>
      <c r="EC30" s="41"/>
      <c r="ED30" s="41"/>
      <c r="EE30" s="38">
        <f>if(EG30="", if(EB31&lt;&gt;"", if((EB31-DZ31)&lt;-1,DX30*(1+Setup!HN5),if((EB31-DZ31)&lt;0,DX30*(1+Setup!HO5),if((EB31-DZ31)=0,DX30*(1+Setup!HP5),if((EB31-DZ31)=1,DX30*(1+Setup!HQ5),if((EB31-DZ31)=2,DX30*(1+Setup!HR5),if((EB31-DZ31)=3,DX30*(1+Setup!HS5),if((EB31-DZ31)=4,DX30*(1+Setup!HT5),if((EB31-DZ31)&gt;4,DX30*(1+Setup!HU5),DX30)))))))),DX30),EG30/'Quick Setup'!$E7)</f>
        <v>525</v>
      </c>
      <c r="EF30" s="39" t="s">
        <v>75</v>
      </c>
      <c r="EG30" s="40"/>
      <c r="EH30" s="41"/>
      <c r="EI30" s="41"/>
      <c r="EJ30" s="41"/>
      <c r="EK30" s="41"/>
      <c r="EL30" s="38">
        <f>if(EN30="", if(EI31&lt;&gt;"", if((EI31-EG31)&lt;-1,EE30*(1+Setup!HZ5),if((EI31-EG31)&lt;0,EE30*(1+Setup!IA5),if((EI31-EG31)=0,EE30*(1+Setup!IB5),if((EI31-EG31)=1,EE30*(1+Setup!IC5),if((EI31-EG31)=2,EE30*(1+Setup!ID5),if((EI31-EG31)=3,EE30*(1+Setup!IE5),if((EI31-EG31)=4,EE30*(1+Setup!IF5),if((EI31-EG31)&gt;4,EE30*(1+Setup!IG5),EE30)))))))),EE30),EN30/'Quick Setup'!$E7)</f>
        <v>525</v>
      </c>
      <c r="EM30" s="39" t="s">
        <v>75</v>
      </c>
      <c r="EN30" s="40"/>
      <c r="EO30" s="41"/>
      <c r="EP30" s="41"/>
      <c r="EQ30" s="41"/>
      <c r="ER30" s="41"/>
    </row>
    <row r="31">
      <c r="A31" s="1" t="str">
        <f>Setup!A5</f>
        <v>Deadlift</v>
      </c>
      <c r="B31" s="42">
        <f>mround(B30*Setup!B5,'Quick Setup'!$A$2)</f>
        <v>367.5</v>
      </c>
      <c r="C31" s="3">
        <f>Setup!C5</f>
        <v>5</v>
      </c>
      <c r="D31" s="3">
        <f>Setup!D5</f>
        <v>10</v>
      </c>
      <c r="E31" s="3">
        <f>Setup!E5</f>
        <v>5</v>
      </c>
      <c r="F31" s="10"/>
      <c r="G31" s="10"/>
      <c r="H31" s="10"/>
      <c r="I31" s="42">
        <f>mround(I30*Setup!N5,'Quick Setup'!$A$2)</f>
        <v>395</v>
      </c>
      <c r="J31" s="3">
        <f>Setup!O5</f>
        <v>4</v>
      </c>
      <c r="K31" s="3">
        <f>Setup!P5</f>
        <v>8</v>
      </c>
      <c r="L31" s="3">
        <f>Setup!Q5</f>
        <v>5</v>
      </c>
      <c r="M31" s="10"/>
      <c r="N31" s="10"/>
      <c r="O31" s="10"/>
      <c r="P31" s="42">
        <f>mround(P30*Setup!Z5,'Quick Setup'!$A$2)</f>
        <v>420</v>
      </c>
      <c r="Q31" s="3">
        <f>Setup!AA5</f>
        <v>3</v>
      </c>
      <c r="R31" s="3">
        <f>Setup!AB5</f>
        <v>6</v>
      </c>
      <c r="S31" s="3">
        <f>Setup!AC5</f>
        <v>5</v>
      </c>
      <c r="T31" s="10"/>
      <c r="U31" s="10"/>
      <c r="V31" s="10"/>
      <c r="W31" s="42">
        <f>mround(W30*Setup!AL5,'Quick Setup'!$A$2)</f>
        <v>380</v>
      </c>
      <c r="X31" s="3">
        <f>Setup!AM5</f>
        <v>5</v>
      </c>
      <c r="Y31" s="3">
        <f>Setup!AN5</f>
        <v>9</v>
      </c>
      <c r="Z31" s="3">
        <f>Setup!AO5</f>
        <v>5</v>
      </c>
      <c r="AA31" s="10"/>
      <c r="AB31" s="10"/>
      <c r="AC31" s="10"/>
      <c r="AD31" s="42">
        <f>mround(AD30*Setup!AX5,'Quick Setup'!$A$2)</f>
        <v>407.5</v>
      </c>
      <c r="AE31" s="3">
        <f>Setup!AY5</f>
        <v>4</v>
      </c>
      <c r="AF31" s="3">
        <f>Setup!AZ5</f>
        <v>7</v>
      </c>
      <c r="AG31" s="3">
        <f>Setup!BA5</f>
        <v>5</v>
      </c>
      <c r="AH31" s="10"/>
      <c r="AI31" s="10"/>
      <c r="AJ31" s="10"/>
      <c r="AK31" s="42">
        <f>mround(AK30*Setup!BJ5,'Quick Setup'!$A$2)</f>
        <v>432.5</v>
      </c>
      <c r="AL31" s="3">
        <f>Setup!BK5</f>
        <v>3</v>
      </c>
      <c r="AM31" s="3">
        <f>Setup!BL5</f>
        <v>5</v>
      </c>
      <c r="AN31" s="3">
        <f>Setup!BM5</f>
        <v>5</v>
      </c>
      <c r="AO31" s="10"/>
      <c r="AP31" s="10"/>
      <c r="AQ31" s="10"/>
      <c r="AR31" s="42">
        <f>mround(AR30*Setup!BV5,'Quick Setup'!$A$2)</f>
        <v>315</v>
      </c>
      <c r="AS31" s="1">
        <v>5.0</v>
      </c>
      <c r="AT31" s="1" t="s">
        <v>78</v>
      </c>
      <c r="AU31" s="3">
        <f>Setup!BY5</f>
        <v>5</v>
      </c>
      <c r="AV31" s="10"/>
      <c r="AW31" s="10"/>
      <c r="AX31" s="10"/>
      <c r="AY31" s="42">
        <f>mround(AY30*Setup!CH5,'Quick Setup'!$A$2)</f>
        <v>395</v>
      </c>
      <c r="AZ31" s="3">
        <f>Setup!CI5</f>
        <v>4</v>
      </c>
      <c r="BA31" s="3">
        <f>Setup!CJ5</f>
        <v>8</v>
      </c>
      <c r="BB31" s="3">
        <f>Setup!CK5</f>
        <v>5</v>
      </c>
      <c r="BC31" s="10"/>
      <c r="BD31" s="10"/>
      <c r="BE31" s="10"/>
      <c r="BF31" s="42">
        <f>mround(BF30*Setup!CT5,'Quick Setup'!$A$2)</f>
        <v>420</v>
      </c>
      <c r="BG31" s="3">
        <f>Setup!CU5</f>
        <v>3</v>
      </c>
      <c r="BH31" s="3">
        <f>Setup!CV5</f>
        <v>6</v>
      </c>
      <c r="BI31" s="3">
        <f>Setup!CW5</f>
        <v>5</v>
      </c>
      <c r="BJ31" s="10"/>
      <c r="BK31" s="10"/>
      <c r="BL31" s="10"/>
      <c r="BM31" s="42">
        <f>mround(BM30*Setup!DF5,'Quick Setup'!$A$2)</f>
        <v>447.5</v>
      </c>
      <c r="BN31" s="3">
        <f>Setup!DG5</f>
        <v>2</v>
      </c>
      <c r="BO31" s="3">
        <f>Setup!DH5</f>
        <v>4</v>
      </c>
      <c r="BP31" s="3">
        <f>Setup!DI5</f>
        <v>5</v>
      </c>
      <c r="BQ31" s="10"/>
      <c r="BR31" s="10"/>
      <c r="BS31" s="10"/>
      <c r="BT31" s="42">
        <f>mround(BT30*Setup!DR5,'Quick Setup'!$A$2)</f>
        <v>407.5</v>
      </c>
      <c r="BU31" s="3">
        <f>Setup!DS5</f>
        <v>4</v>
      </c>
      <c r="BV31" s="3">
        <f>Setup!DT5</f>
        <v>7</v>
      </c>
      <c r="BW31" s="3">
        <f>Setup!DU5</f>
        <v>5</v>
      </c>
      <c r="BX31" s="10"/>
      <c r="BY31" s="10"/>
      <c r="BZ31" s="10"/>
      <c r="CA31" s="42">
        <f>mround(CA30*Setup!ED5,'Quick Setup'!$A$2)</f>
        <v>432.5</v>
      </c>
      <c r="CB31" s="3">
        <f>Setup!EE5</f>
        <v>3</v>
      </c>
      <c r="CC31" s="3">
        <f>Setup!EF5</f>
        <v>5</v>
      </c>
      <c r="CD31" s="3">
        <f>Setup!EG5</f>
        <v>5</v>
      </c>
      <c r="CE31" s="10"/>
      <c r="CF31" s="10"/>
      <c r="CG31" s="10"/>
      <c r="CH31" s="42">
        <f>mround(CH30*Setup!EP5,'Quick Setup'!$A$2)</f>
        <v>460</v>
      </c>
      <c r="CI31" s="3">
        <f>Setup!EQ5</f>
        <v>2</v>
      </c>
      <c r="CJ31" s="3">
        <f>Setup!ER5</f>
        <v>3</v>
      </c>
      <c r="CK31" s="3">
        <f>Setup!ES5</f>
        <v>5</v>
      </c>
      <c r="CL31" s="10"/>
      <c r="CM31" s="10"/>
      <c r="CN31" s="10"/>
      <c r="CO31" s="42">
        <f>mround(CO30*Setup!FB5,'Quick Setup'!$A$2)</f>
        <v>315</v>
      </c>
      <c r="CP31" s="1">
        <v>5.0</v>
      </c>
      <c r="CQ31" s="1" t="s">
        <v>78</v>
      </c>
      <c r="CR31" s="3">
        <f>Setup!FE5</f>
        <v>5</v>
      </c>
      <c r="CS31" s="10"/>
      <c r="CT31" s="10"/>
      <c r="CU31" s="10"/>
      <c r="CV31" s="42">
        <f>mround(CV30*Setup!FN5,'Quick Setup'!$A$2)</f>
        <v>420</v>
      </c>
      <c r="CW31" s="3">
        <f>Setup!FO5</f>
        <v>3</v>
      </c>
      <c r="CX31" s="3">
        <f>Setup!FP5</f>
        <v>6</v>
      </c>
      <c r="CY31" s="3">
        <f>Setup!FQ5</f>
        <v>5</v>
      </c>
      <c r="CZ31" s="10"/>
      <c r="DA31" s="10"/>
      <c r="DB31" s="10"/>
      <c r="DC31" s="42">
        <f>mround(DC30*Setup!FZ5,'Quick Setup'!$A$2)</f>
        <v>447.5</v>
      </c>
      <c r="DD31" s="3">
        <f>Setup!GA5</f>
        <v>2</v>
      </c>
      <c r="DE31" s="3">
        <f>Setup!GB5</f>
        <v>4</v>
      </c>
      <c r="DF31" s="3">
        <f>Setup!GC5</f>
        <v>5</v>
      </c>
      <c r="DG31" s="10"/>
      <c r="DH31" s="10"/>
      <c r="DI31" s="10"/>
      <c r="DJ31" s="42">
        <f>mround(DJ30*Setup!GL5,'Quick Setup'!$A$2)</f>
        <v>472.5</v>
      </c>
      <c r="DK31" s="3">
        <f>Setup!GM5</f>
        <v>1</v>
      </c>
      <c r="DL31" s="3">
        <f>Setup!GN5</f>
        <v>2</v>
      </c>
      <c r="DM31" s="3">
        <f>Setup!GO5</f>
        <v>5</v>
      </c>
      <c r="DN31" s="10"/>
      <c r="DO31" s="10"/>
      <c r="DP31" s="10"/>
      <c r="DQ31" s="42">
        <f>mround(DQ30*Setup!GX5,'Quick Setup'!$A$2)</f>
        <v>447.5</v>
      </c>
      <c r="DR31" s="3">
        <f>Setup!GY5</f>
        <v>2</v>
      </c>
      <c r="DS31" s="3">
        <f>Setup!GZ5</f>
        <v>4</v>
      </c>
      <c r="DT31" s="3">
        <f>Setup!HA5</f>
        <v>5</v>
      </c>
      <c r="DU31" s="10"/>
      <c r="DV31" s="10"/>
      <c r="DW31" s="10"/>
      <c r="DX31" s="42">
        <f>mround(DX30*Setup!HJ5,'Quick Setup'!$A$2)</f>
        <v>472.5</v>
      </c>
      <c r="DY31" s="3">
        <f>Setup!HK5</f>
        <v>1</v>
      </c>
      <c r="DZ31" s="3">
        <f>Setup!HL5</f>
        <v>2</v>
      </c>
      <c r="EA31" s="3">
        <f>Setup!HM5</f>
        <v>5</v>
      </c>
      <c r="EB31" s="10"/>
      <c r="EC31" s="10"/>
      <c r="ED31" s="10"/>
      <c r="EE31" s="42">
        <f>mround(EE30*Setup!HV5,'Quick Setup'!$A$2)</f>
        <v>500</v>
      </c>
      <c r="EF31" s="3">
        <f>Setup!HW5</f>
        <v>1</v>
      </c>
      <c r="EG31" s="3">
        <f>Setup!HX5</f>
        <v>1</v>
      </c>
      <c r="EH31" s="3">
        <f>Setup!HY5</f>
        <v>5</v>
      </c>
      <c r="EI31" s="10"/>
      <c r="EJ31" s="10"/>
      <c r="EK31" s="10"/>
      <c r="EL31" s="42">
        <f>mround(EL30*Setup!IH5,'Quick Setup'!$A$2)</f>
        <v>315</v>
      </c>
      <c r="EM31" s="1">
        <v>5.0</v>
      </c>
      <c r="EN31" s="1" t="s">
        <v>78</v>
      </c>
      <c r="EO31" s="3">
        <f>Setup!IK5</f>
        <v>5</v>
      </c>
      <c r="EP31" s="10"/>
      <c r="EQ31" s="10"/>
      <c r="ER31" s="10"/>
    </row>
    <row r="32" hidden="1">
      <c r="A32" s="37" t="str">
        <f>CONCATENATE(A33," TM")</f>
        <v>Front Squat TM</v>
      </c>
      <c r="B32" s="38">
        <f>if(D32="",'Quick Setup'!D11,D32/'Quick Setup'!E11)</f>
        <v>420</v>
      </c>
      <c r="C32" s="39" t="s">
        <v>75</v>
      </c>
      <c r="D32" s="40"/>
      <c r="E32" s="41"/>
      <c r="F32" s="41"/>
      <c r="G32" s="41"/>
      <c r="H32" s="41"/>
      <c r="I32" s="38">
        <f>if(K32="", if(F33&lt;&gt;"", if((F33-D33)&lt;-1,B32*(1+Setup!F9),if((F33-D33)&lt;0,B32*(1+Setup!G9),if((F33-D33)=0,B32*(1+Setup!H9),if((F33-D33)=1,B32*(1+Setup!I9),if((F33-D33)=2,B32*(1+Setup!J9),if((F33-D33)=3,B32*(1+Setup!K9),if((F33-D33)=4,B32*(1+Setup!L9),if((F33-D33)&gt;4,B32*(1+Setup!M9),B32)))))))),B32),K32/'Quick Setup'!$E11)</f>
        <v>420</v>
      </c>
      <c r="J32" s="39" t="s">
        <v>75</v>
      </c>
      <c r="K32" s="40"/>
      <c r="L32" s="41"/>
      <c r="M32" s="41"/>
      <c r="N32" s="41"/>
      <c r="O32" s="41"/>
      <c r="P32" s="38">
        <f>if(R32="", if(M33&lt;&gt;"", if((M33-K33)&lt;-1,I32*(1+Setup!R9),if((M33-K33)&lt;0,I32*(1+Setup!S9),if((M33-K33)=0,I32*(1+Setup!T9),if((M33-K33)=1,I32*(1+Setup!U9),if((M33-K33)=2,I32*(1+Setup!V9),if((M33-K33)=3,I32*(1+Setup!W9),if((M33-K33)=4,I32*(1+Setup!X9),if((M33-K33)&gt;4,I32*(1+Setup!Y9),I32)))))))),I32),R32/'Quick Setup'!$E11)</f>
        <v>420</v>
      </c>
      <c r="Q32" s="39" t="s">
        <v>75</v>
      </c>
      <c r="R32" s="40"/>
      <c r="S32" s="41"/>
      <c r="T32" s="41"/>
      <c r="U32" s="41"/>
      <c r="V32" s="41"/>
      <c r="W32" s="38">
        <f>if(Y32="", if(T33&lt;&gt;"", if((T33-R33)&lt;-1,P32*(1+Setup!AD9),if((T33-R33)&lt;0,P32*(1+Setup!AE9),if((T33-R33)=0,P32*(1+Setup!AF9),if((T33-R33)=1,P32*(1+Setup!AG9),if((T33-R33)=2,P32*(1+Setup!AH9),if((T33-R33)=3,P32*(1+Setup!AI9),if((T33-R33)=4,P32*(1+Setup!AJ9),if((T33-R33)&gt;4,P32*(1+Setup!AK9),P32)))))))),P32),Y32/'Quick Setup'!$E11)</f>
        <v>420</v>
      </c>
      <c r="X32" s="39" t="s">
        <v>75</v>
      </c>
      <c r="Y32" s="40"/>
      <c r="Z32" s="41"/>
      <c r="AA32" s="41"/>
      <c r="AB32" s="41"/>
      <c r="AC32" s="41"/>
      <c r="AD32" s="38">
        <f>if(AF32="", if(AA33&lt;&gt;"", if((AA33-Y33)&lt;-1,W32*(1+Setup!AP9),if((AA33-Y33)&lt;0,W32*(1+Setup!AQ9),if((AA33-Y33)=0,W32*(1+Setup!AR9),if((AA33-Y33)=1,W32*(1+Setup!AS9),if((AA33-Y33)=2,W32*(1+Setup!AT9),if((AA33-Y33)=3,W32*(1+Setup!AU9),if((AA33-Y33)=4,W32*(1+Setup!AV9),if((AA33-Y33)&gt;4,W32*(1+Setup!AW9),W32)))))))),W32),AF32/'Quick Setup'!$E11)</f>
        <v>420</v>
      </c>
      <c r="AE32" s="39" t="s">
        <v>75</v>
      </c>
      <c r="AF32" s="40"/>
      <c r="AG32" s="41"/>
      <c r="AH32" s="41"/>
      <c r="AI32" s="41"/>
      <c r="AJ32" s="41"/>
      <c r="AK32" s="38">
        <f>if(AM32="", if(AH33&lt;&gt;"", if((AH33-AF33)&lt;-1,AD32*(1+Setup!BB9),if((AH33-AF33)&lt;0,AD32*(1+Setup!BC9),if((AH33-AF33)=0,AD32*(1+Setup!BD9),if((AH33-AF33)=1,AD32*(1+Setup!BE9),if((AH33-AF33)=2,AD32*(1+Setup!BF9),if((AH33-AF33)=3,AD32*(1+Setup!BG9),if((AH33-AF33)=4,AD32*(1+Setup!BH9),if((AH33-AF33)&gt;4,AD32*(1+Setup!BI9),AD32)))))))),AD32),AM32/'Quick Setup'!$E11)</f>
        <v>420</v>
      </c>
      <c r="AL32" s="39" t="s">
        <v>75</v>
      </c>
      <c r="AM32" s="40"/>
      <c r="AN32" s="41"/>
      <c r="AO32" s="41"/>
      <c r="AP32" s="41"/>
      <c r="AQ32" s="41"/>
      <c r="AR32" s="38">
        <f>if(AT32="", if(AO33&lt;&gt;"", if((AO33-AM33)&lt;-1,AK32*(1+Setup!BN9),if((AO33-AM33)&lt;0,AK32*(1+Setup!BO9),if((AO33-AM33)=0,AK32*(1+Setup!BP9),if((AO33-AM33)=1,AK32*(1+Setup!BQ9),if((AO33-AM33)=2,AK32*(1+Setup!BR9),if((AO33-AM33)=3,AK32*(1+Setup!BS9),if((AO33-AM33)=4,AK32*(1+Setup!BT9),if((AO33-AM33)&gt;4,AK32*(1+Setup!BU9),AK32)))))))),AK32),AT32/'Quick Setup'!$E11)</f>
        <v>420</v>
      </c>
      <c r="AS32" s="39" t="s">
        <v>75</v>
      </c>
      <c r="AT32" s="40"/>
      <c r="AU32" s="41"/>
      <c r="AV32" s="41"/>
      <c r="AW32" s="41"/>
      <c r="AX32" s="41"/>
      <c r="AY32" s="38">
        <f>if(BA32="",AR32,BA32/'Quick Setup'!$E11)</f>
        <v>420</v>
      </c>
      <c r="AZ32" s="39" t="s">
        <v>75</v>
      </c>
      <c r="BA32" s="40"/>
      <c r="BB32" s="41"/>
      <c r="BC32" s="41"/>
      <c r="BD32" s="41"/>
      <c r="BE32" s="41"/>
      <c r="BF32" s="38">
        <f>if(BH32="", if(BC33&lt;&gt;"", if((BC33-BA33)&lt;-1,AY32*(1+Setup!CL9),if((BC33-BA33)&lt;0,AY32*(1+Setup!CM9),if((BC33-BA33)=0,AY32*(1+Setup!CN9),if((BC33-BA33)=1,AY32*(1+Setup!CO9),if((BC33-BA33)=2,AY32*(1+Setup!CP9),if((BC33-BA33)=3,AY32*(1+Setup!CQ9),if((BC33-BA33)=4,AY32*(1+Setup!CR9),if((BC33-BA33)&gt;4,AY32*(1+Setup!CS9),AY32)))))))),AY32),BH32/'Quick Setup'!$E11)</f>
        <v>420</v>
      </c>
      <c r="BG32" s="39" t="s">
        <v>75</v>
      </c>
      <c r="BH32" s="40"/>
      <c r="BI32" s="41"/>
      <c r="BJ32" s="41"/>
      <c r="BK32" s="41"/>
      <c r="BL32" s="41"/>
      <c r="BM32" s="38">
        <f>if(BO32="", if(BJ33&lt;&gt;"", if((BJ33-BH33)&lt;-1,BF32*(1+Setup!CX9),if((BJ33-BH33)&lt;0,BF32*(1+Setup!CY9),if((BJ33-BH33)=0,BF32*(1+Setup!CZ9),if((BJ33-BH33)=1,BF32*(1+Setup!DA9),if((BJ33-BH33)=2,BF32*(1+Setup!DB9),if((BJ33-BH33)=3,BF32*(1+Setup!DC9),if((BJ33-BH33)=4,BF32*(1+Setup!DD9),if((BJ33-BH33)&gt;4,BF32*(1+Setup!DE9),BF32)))))))),BF32),BO32/'Quick Setup'!$E11)</f>
        <v>420</v>
      </c>
      <c r="BN32" s="39" t="s">
        <v>75</v>
      </c>
      <c r="BO32" s="40"/>
      <c r="BP32" s="41"/>
      <c r="BQ32" s="41"/>
      <c r="BR32" s="41"/>
      <c r="BS32" s="41"/>
      <c r="BT32" s="38">
        <f>if(BV32="", if(BQ33&lt;&gt;"", if((BQ33-BO33)&lt;-1,BM32*(1+Setup!DJ9),if((BQ33-BO33)&lt;0,BM32*(1+Setup!DK9),if((BQ33-BO33)=0,BM32*(1+Setup!DL9),if((BQ33-BO33)=1,BM32*(1+Setup!DM9),if((BQ33-BO33)=2,BM32*(1+Setup!DN9),if((BQ33-BO33)=3,BM32*(1+Setup!DO9),if((BQ33-BO33)=4,BM32*(1+Setup!DP9),if((BQ33-BO33)&gt;4,BM32*(1+Setup!DQ9),BM32)))))))),BM32),BV32/'Quick Setup'!$E11)</f>
        <v>420</v>
      </c>
      <c r="BU32" s="39" t="s">
        <v>75</v>
      </c>
      <c r="BV32" s="40"/>
      <c r="BW32" s="41"/>
      <c r="BX32" s="41"/>
      <c r="BY32" s="41"/>
      <c r="BZ32" s="41"/>
      <c r="CA32" s="38">
        <f>if(CC32="", if(BX33&lt;&gt;"", if((BX33-BV33)&lt;-1,BT32*(1+Setup!DV9),if((BX33-BV33)&lt;0,BT32*(1+Setup!DW9),if((BX33-BV33)=0,BT32*(1+Setup!DX9),if((BX33-BV33)=1,BT32*(1+Setup!DY9),if((BX33-BV33)=2,BT32*(1+Setup!DZ9),if((BX33-BV33)=3,BT32*(1+Setup!EA9),if((BX33-BV33)=4,BT32*(1+Setup!EB9),if((BX33-BV33)&gt;4,BT32*(1+Setup!EC9),BT32)))))))),BT32),CC32/'Quick Setup'!$E11)</f>
        <v>420</v>
      </c>
      <c r="CB32" s="39" t="s">
        <v>75</v>
      </c>
      <c r="CC32" s="40"/>
      <c r="CD32" s="41"/>
      <c r="CE32" s="41"/>
      <c r="CF32" s="41"/>
      <c r="CG32" s="41"/>
      <c r="CH32" s="38">
        <f>if(CJ32="", if(CE33&lt;&gt;"", if((CE33-CC33)&lt;-1,CA32*(1+Setup!EH9),if((CE33-CC33)&lt;0,CA32*(1+Setup!EI9),if((CE33-CC33)=0,CA32*(1+Setup!EJ9),if((CE33-CC33)=1,CA32*(1+Setup!EK9),if((CE33-CC33)=2,CA32*(1+Setup!EL9),if((CE33-CC33)=3,CA32*(1+Setup!EM9),if((CE33-CC33)=4,CA32*(1+Setup!EN9),if((CE33-CC33)&gt;4,CA32*(1+Setup!EO9),CA32)))))))),CA32),CJ32/'Quick Setup'!$E11)</f>
        <v>420</v>
      </c>
      <c r="CI32" s="39" t="s">
        <v>75</v>
      </c>
      <c r="CJ32" s="40"/>
      <c r="CK32" s="41"/>
      <c r="CL32" s="41"/>
      <c r="CM32" s="41"/>
      <c r="CN32" s="41"/>
      <c r="CO32" s="38">
        <f>if(CQ32="", if(CL33&lt;&gt;"", if((CL33-CJ33)&lt;-1,CH32*(1+Setup!ET9),if((CL33-CJ33)&lt;0,CH32*(1+Setup!EU9),if((CL33-CJ33)=0,CH32*(1+Setup!EV9),if((CL33-CJ33)=1,CH32*(1+Setup!EW9),if((CL33-CJ33)=2,CH32*(1+Setup!EX9),if((CL33-CJ33)=3,CH32*(1+Setup!EY9),if((CL33-CJ33)=4,CH32*(1+Setup!EZ9),if((CL33-CJ33)&gt;4,CH32*(1+Setup!FA9),CH32)))))))),CH32),CQ32/'Quick Setup'!$E11)</f>
        <v>420</v>
      </c>
      <c r="CP32" s="39" t="s">
        <v>75</v>
      </c>
      <c r="CQ32" s="40"/>
      <c r="CR32" s="41"/>
      <c r="CS32" s="41"/>
      <c r="CT32" s="41"/>
      <c r="CU32" s="41"/>
      <c r="CV32" s="38">
        <f>if(CX32="",CO32,CX32/'Quick Setup'!$E11)</f>
        <v>420</v>
      </c>
      <c r="CW32" s="39" t="s">
        <v>75</v>
      </c>
      <c r="CX32" s="40"/>
      <c r="CY32" s="41"/>
      <c r="CZ32" s="41"/>
      <c r="DA32" s="41"/>
      <c r="DB32" s="41"/>
      <c r="DC32" s="38">
        <f>if(DE32="", if(CZ33&lt;&gt;"", if((CZ33-CX33)&lt;-1,CV32*(1+Setup!FR9),if((CZ33-CX33)&lt;0,CV32*(1+Setup!FS9),if((CZ33-CX33)=0,CV32*(1+Setup!FT9),if((CZ33-CX33)=1,CV32*(1+Setup!FU9),if((CZ33-CX33)=2,CV32*(1+Setup!FV9),if((CZ33-CX33)=3,CV32*(1+Setup!FW9),if((CZ33-CX33)=4,CV32*(1+Setup!FX9),if((CZ33-CX33)&gt;4,CV32*(1+Setup!FY9),CV32)))))))),CV32),DE32/'Quick Setup'!$E11)</f>
        <v>420</v>
      </c>
      <c r="DD32" s="39" t="s">
        <v>75</v>
      </c>
      <c r="DE32" s="40"/>
      <c r="DF32" s="41"/>
      <c r="DG32" s="41"/>
      <c r="DH32" s="41"/>
      <c r="DI32" s="41"/>
      <c r="DJ32" s="38">
        <f>if(DL32="", if(DG33&lt;&gt;"", if((DG33-DE33)&lt;-1,DC32*(1+Setup!GD9),if((DG33-DE33)&lt;0,DC32*(1+Setup!GE9),if((DG33-DE33)=0,DC32*(1+Setup!GF9),if((DG33-DE33)=1,DC32*(1+Setup!GG9),if((DG33-DE33)=2,DC32*(1+Setup!GH9),if((DG33-DE33)=3,DC32*(1+Setup!GI9),if((DG33-DE33)=4,DC32*(1+Setup!GJ9),if((DG33-DE33)&gt;4,DC32*(1+Setup!GK9),DC32)))))))),DC32),DL32/'Quick Setup'!$E11)</f>
        <v>420</v>
      </c>
      <c r="DK32" s="39" t="s">
        <v>75</v>
      </c>
      <c r="DL32" s="40"/>
      <c r="DM32" s="41"/>
      <c r="DN32" s="41"/>
      <c r="DO32" s="41"/>
      <c r="DP32" s="41"/>
      <c r="DQ32" s="38">
        <f>if(DS32="", if(DN33&lt;&gt;"", if((DN33-DL33)&lt;-1,DJ32*(1+Setup!GP9),if((DN33-DL33)&lt;0,DJ32*(1+Setup!GQ9),if((DN33-DL33)=0,DJ32*(1+Setup!GR9),if((DN33-DL33)=1,DJ32*(1+Setup!GS9),if((DN33-DL33)=2,DJ32*(1+Setup!GT9),if((DN33-DL33)=3,DJ32*(1+Setup!GU9),if((DN33-DL33)=4,DJ32*(1+Setup!GV9),if((DN33-DL33)&gt;4,DJ32*(1+Setup!GW9),DJ32)))))))),DJ32),DS32/'Quick Setup'!$E11)</f>
        <v>420</v>
      </c>
      <c r="DR32" s="39" t="s">
        <v>75</v>
      </c>
      <c r="DS32" s="40"/>
      <c r="DT32" s="41"/>
      <c r="DU32" s="41"/>
      <c r="DV32" s="41"/>
      <c r="DW32" s="41"/>
      <c r="DX32" s="38">
        <f>if(DZ32="", if(DU33&lt;&gt;"", if((DU33-DS33)&lt;-1,DQ32*(1+Setup!HB9),if((DU33-DS33)&lt;0,DQ32*(1+Setup!HC9),if((DU33-DS33)=0,DQ32*(1+Setup!HD9),if((DU33-DS33)=1,DQ32*(1+Setup!HE9),if((DU33-DS33)=2,DQ32*(1+Setup!HF9),if((DU33-DS33)=3,DQ32*(1+Setup!HG9),if((DU33-DS33)=4,DQ32*(1+Setup!HH9),if((DU33-DS33)&gt;4,DQ32*(1+Setup!HI9),DQ32)))))))),DQ32),DZ32/'Quick Setup'!$E11)</f>
        <v>420</v>
      </c>
      <c r="DY32" s="39" t="s">
        <v>75</v>
      </c>
      <c r="DZ32" s="40"/>
      <c r="EA32" s="41"/>
      <c r="EB32" s="41"/>
      <c r="EC32" s="41"/>
      <c r="ED32" s="41"/>
      <c r="EE32" s="38">
        <f>if(EG32="", if(EB33&lt;&gt;"", if((EB33-DZ33)&lt;-1,DX32*(1+Setup!HN9),if((EB33-DZ33)&lt;0,DX32*(1+Setup!HO9),if((EB33-DZ33)=0,DX32*(1+Setup!HP9),if((EB33-DZ33)=1,DX32*(1+Setup!HQ9),if((EB33-DZ33)=2,DX32*(1+Setup!HR9),if((EB33-DZ33)=3,DX32*(1+Setup!HS9),if((EB33-DZ33)=4,DX32*(1+Setup!HT9),if((EB33-DZ33)&gt;4,DX32*(1+Setup!HU9),DX32)))))))),DX32),EG32/'Quick Setup'!$E11)</f>
        <v>420</v>
      </c>
      <c r="EF32" s="39" t="s">
        <v>75</v>
      </c>
      <c r="EG32" s="40"/>
      <c r="EH32" s="41"/>
      <c r="EI32" s="41"/>
      <c r="EJ32" s="41"/>
      <c r="EK32" s="41"/>
      <c r="EL32" s="38">
        <f>if(EN32="", if(EI33&lt;&gt;"", if((EI33-EG33)&lt;-1,EE32*(1+Setup!HZ9),if((EI33-EG33)&lt;0,EE32*(1+Setup!IA9),if((EI33-EG33)=0,EE32*(1+Setup!IB9),if((EI33-EG33)=1,EE32*(1+Setup!IC9),if((EI33-EG33)=2,EE32*(1+Setup!ID9),if((EI33-EG33)=3,EE32*(1+Setup!IE9),if((EI33-EG33)=4,EE32*(1+Setup!IF9),if((EI33-EG33)&gt;4,EE32*(1+Setup!IG9),EE32)))))))),EE32),EN32/'Quick Setup'!$E11)</f>
        <v>420</v>
      </c>
      <c r="EM32" s="39" t="s">
        <v>75</v>
      </c>
      <c r="EN32" s="40"/>
      <c r="EO32" s="41"/>
      <c r="EP32" s="41"/>
      <c r="EQ32" s="41"/>
      <c r="ER32" s="41"/>
    </row>
    <row r="33">
      <c r="A33" s="1" t="str">
        <f>Setup!A9</f>
        <v>Front Squat</v>
      </c>
      <c r="B33" s="42">
        <f>mround(B32*Setup!B9,'Quick Setup'!$A$2)</f>
        <v>252.5</v>
      </c>
      <c r="C33" s="3">
        <f>Setup!C9</f>
        <v>7</v>
      </c>
      <c r="D33" s="3">
        <f>Setup!D9</f>
        <v>14</v>
      </c>
      <c r="E33" s="3">
        <f>Setup!E9</f>
        <v>5</v>
      </c>
      <c r="F33" s="10"/>
      <c r="G33" s="10"/>
      <c r="H33" s="10"/>
      <c r="I33" s="42">
        <f>mround(I32*Setup!N9,'Quick Setup'!$A$2)</f>
        <v>272.5</v>
      </c>
      <c r="J33" s="3">
        <f>Setup!O9</f>
        <v>6</v>
      </c>
      <c r="K33" s="3">
        <f>Setup!P9</f>
        <v>12</v>
      </c>
      <c r="L33" s="3">
        <f>Setup!Q9</f>
        <v>5</v>
      </c>
      <c r="M33" s="10"/>
      <c r="N33" s="10"/>
      <c r="O33" s="10"/>
      <c r="P33" s="42">
        <f>mround(P32*Setup!Z9,'Quick Setup'!$A$2)</f>
        <v>295</v>
      </c>
      <c r="Q33" s="3">
        <f>Setup!AA9</f>
        <v>5</v>
      </c>
      <c r="R33" s="3">
        <f>Setup!AB9</f>
        <v>10</v>
      </c>
      <c r="S33" s="3">
        <f>Setup!AC9</f>
        <v>5</v>
      </c>
      <c r="T33" s="10"/>
      <c r="U33" s="10"/>
      <c r="V33" s="10"/>
      <c r="W33" s="42">
        <f>mround(W32*Setup!AL9,'Quick Setup'!$A$2)</f>
        <v>262.5</v>
      </c>
      <c r="X33" s="3">
        <f>Setup!AM9</f>
        <v>7</v>
      </c>
      <c r="Y33" s="3">
        <f>Setup!AN9</f>
        <v>13</v>
      </c>
      <c r="Z33" s="3">
        <f>Setup!AO9</f>
        <v>5</v>
      </c>
      <c r="AA33" s="10"/>
      <c r="AB33" s="10"/>
      <c r="AC33" s="10"/>
      <c r="AD33" s="42">
        <f>mround(AD32*Setup!AX9,'Quick Setup'!$A$2)</f>
        <v>282.5</v>
      </c>
      <c r="AE33" s="3">
        <f>Setup!AY9</f>
        <v>6</v>
      </c>
      <c r="AF33" s="3">
        <f>Setup!AZ9</f>
        <v>11</v>
      </c>
      <c r="AG33" s="3">
        <f>Setup!BA9</f>
        <v>5</v>
      </c>
      <c r="AH33" s="10"/>
      <c r="AI33" s="10"/>
      <c r="AJ33" s="10"/>
      <c r="AK33" s="42">
        <f>mround(AK32*Setup!BJ9,'Quick Setup'!$A$2)</f>
        <v>305</v>
      </c>
      <c r="AL33" s="3">
        <f>Setup!BK9</f>
        <v>5</v>
      </c>
      <c r="AM33" s="3">
        <f>Setup!BL9</f>
        <v>9</v>
      </c>
      <c r="AN33" s="3">
        <f>Setup!BM9</f>
        <v>5</v>
      </c>
      <c r="AO33" s="10"/>
      <c r="AP33" s="10"/>
      <c r="AQ33" s="10"/>
      <c r="AR33" s="42">
        <f>mround(AR32*Setup!BV9,'Quick Setup'!$A$2)</f>
        <v>210</v>
      </c>
      <c r="AS33" s="1">
        <v>5.0</v>
      </c>
      <c r="AT33" s="1" t="s">
        <v>78</v>
      </c>
      <c r="AU33" s="3">
        <f>Setup!BY9</f>
        <v>5</v>
      </c>
      <c r="AV33" s="10"/>
      <c r="AW33" s="10"/>
      <c r="AX33" s="10"/>
      <c r="AY33" s="42">
        <f>mround(AY32*Setup!CH9,'Quick Setup'!$A$2)</f>
        <v>272.5</v>
      </c>
      <c r="AZ33" s="3">
        <f>Setup!CI9</f>
        <v>6</v>
      </c>
      <c r="BA33" s="3">
        <f>Setup!CJ9</f>
        <v>12</v>
      </c>
      <c r="BB33" s="3">
        <f>Setup!CK9</f>
        <v>5</v>
      </c>
      <c r="BC33" s="10"/>
      <c r="BD33" s="10"/>
      <c r="BE33" s="10"/>
      <c r="BF33" s="42">
        <f>mround(BF32*Setup!CT9,'Quick Setup'!$A$2)</f>
        <v>295</v>
      </c>
      <c r="BG33" s="3">
        <f>Setup!CU9</f>
        <v>5</v>
      </c>
      <c r="BH33" s="3">
        <f>Setup!CV9</f>
        <v>10</v>
      </c>
      <c r="BI33" s="3">
        <f>Setup!CW9</f>
        <v>5</v>
      </c>
      <c r="BJ33" s="10"/>
      <c r="BK33" s="10"/>
      <c r="BL33" s="10"/>
      <c r="BM33" s="42">
        <f>mround(BM32*Setup!DF9,'Quick Setup'!$A$2)</f>
        <v>315</v>
      </c>
      <c r="BN33" s="3">
        <f>Setup!DG9</f>
        <v>4</v>
      </c>
      <c r="BO33" s="3">
        <f>Setup!DH9</f>
        <v>8</v>
      </c>
      <c r="BP33" s="3">
        <f>Setup!DI9</f>
        <v>5</v>
      </c>
      <c r="BQ33" s="10"/>
      <c r="BR33" s="10"/>
      <c r="BS33" s="10"/>
      <c r="BT33" s="42">
        <f>mround(BT32*Setup!DR9,'Quick Setup'!$A$2)</f>
        <v>282.5</v>
      </c>
      <c r="BU33" s="3">
        <f>Setup!DS9</f>
        <v>6</v>
      </c>
      <c r="BV33" s="3">
        <f>Setup!DT9</f>
        <v>11</v>
      </c>
      <c r="BW33" s="3">
        <f>Setup!DU9</f>
        <v>5</v>
      </c>
      <c r="BX33" s="10"/>
      <c r="BY33" s="10"/>
      <c r="BZ33" s="10"/>
      <c r="CA33" s="42">
        <f>mround(CA32*Setup!ED9,'Quick Setup'!$A$2)</f>
        <v>305</v>
      </c>
      <c r="CB33" s="3">
        <f>Setup!EE9</f>
        <v>5</v>
      </c>
      <c r="CC33" s="3">
        <f>Setup!EF9</f>
        <v>9</v>
      </c>
      <c r="CD33" s="3">
        <f>Setup!EG9</f>
        <v>5</v>
      </c>
      <c r="CE33" s="10"/>
      <c r="CF33" s="10"/>
      <c r="CG33" s="10"/>
      <c r="CH33" s="42">
        <f>mround(CH32*Setup!EP9,'Quick Setup'!$A$2)</f>
        <v>325</v>
      </c>
      <c r="CI33" s="3">
        <f>Setup!EQ9</f>
        <v>4</v>
      </c>
      <c r="CJ33" s="3">
        <f>Setup!ER9</f>
        <v>7</v>
      </c>
      <c r="CK33" s="3">
        <f>Setup!ES9</f>
        <v>5</v>
      </c>
      <c r="CL33" s="10"/>
      <c r="CM33" s="10"/>
      <c r="CN33" s="10"/>
      <c r="CO33" s="42">
        <f>mround(CO32*Setup!FB9,'Quick Setup'!$A$2)</f>
        <v>210</v>
      </c>
      <c r="CP33" s="1">
        <v>5.0</v>
      </c>
      <c r="CQ33" s="1" t="s">
        <v>78</v>
      </c>
      <c r="CR33" s="3">
        <f>Setup!FE9</f>
        <v>5</v>
      </c>
      <c r="CS33" s="10"/>
      <c r="CT33" s="10"/>
      <c r="CU33" s="10"/>
      <c r="CV33" s="42">
        <f>mround(CV32*Setup!FN9,'Quick Setup'!$A$2)</f>
        <v>295</v>
      </c>
      <c r="CW33" s="3">
        <f>Setup!FO9</f>
        <v>5</v>
      </c>
      <c r="CX33" s="3">
        <f>Setup!FP9</f>
        <v>10</v>
      </c>
      <c r="CY33" s="3">
        <f>Setup!FQ9</f>
        <v>5</v>
      </c>
      <c r="CZ33" s="10"/>
      <c r="DA33" s="10"/>
      <c r="DB33" s="10"/>
      <c r="DC33" s="42">
        <f>mround(DC32*Setup!FZ9,'Quick Setup'!$A$2)</f>
        <v>315</v>
      </c>
      <c r="DD33" s="3">
        <f>Setup!GA9</f>
        <v>4</v>
      </c>
      <c r="DE33" s="3">
        <f>Setup!GB9</f>
        <v>8</v>
      </c>
      <c r="DF33" s="3">
        <f>Setup!GC9</f>
        <v>5</v>
      </c>
      <c r="DG33" s="10"/>
      <c r="DH33" s="10"/>
      <c r="DI33" s="10"/>
      <c r="DJ33" s="42">
        <f>mround(DJ32*Setup!GL9,'Quick Setup'!$A$2)</f>
        <v>335</v>
      </c>
      <c r="DK33" s="3">
        <f>Setup!GM9</f>
        <v>3</v>
      </c>
      <c r="DL33" s="3">
        <f>Setup!GN9</f>
        <v>6</v>
      </c>
      <c r="DM33" s="3">
        <f>Setup!GO9</f>
        <v>5</v>
      </c>
      <c r="DN33" s="10"/>
      <c r="DO33" s="10"/>
      <c r="DP33" s="10"/>
      <c r="DQ33" s="42">
        <f>mround(DQ32*Setup!GX9,'Quick Setup'!$A$2)</f>
        <v>315</v>
      </c>
      <c r="DR33" s="3">
        <f>Setup!GY9</f>
        <v>4</v>
      </c>
      <c r="DS33" s="3">
        <f>Setup!GZ9</f>
        <v>8</v>
      </c>
      <c r="DT33" s="3">
        <f>Setup!HA9</f>
        <v>5</v>
      </c>
      <c r="DU33" s="10"/>
      <c r="DV33" s="10"/>
      <c r="DW33" s="10"/>
      <c r="DX33" s="42">
        <f>mround(DX32*Setup!HJ9,'Quick Setup'!$A$2)</f>
        <v>335</v>
      </c>
      <c r="DY33" s="3">
        <f>Setup!HK9</f>
        <v>3</v>
      </c>
      <c r="DZ33" s="3">
        <f>Setup!HL9</f>
        <v>6</v>
      </c>
      <c r="EA33" s="3">
        <f>Setup!HM9</f>
        <v>5</v>
      </c>
      <c r="EB33" s="10"/>
      <c r="EC33" s="10"/>
      <c r="ED33" s="10"/>
      <c r="EE33" s="42">
        <f>mround(EE32*Setup!HV9,'Quick Setup'!$A$2)</f>
        <v>357.5</v>
      </c>
      <c r="EF33" s="3">
        <f>Setup!HW9</f>
        <v>2</v>
      </c>
      <c r="EG33" s="3">
        <f>Setup!HX9</f>
        <v>4</v>
      </c>
      <c r="EH33" s="3">
        <f>Setup!HY9</f>
        <v>5</v>
      </c>
      <c r="EI33" s="10"/>
      <c r="EJ33" s="10"/>
      <c r="EK33" s="10"/>
      <c r="EL33" s="42">
        <f>mround(EL32*Setup!IH9,'Quick Setup'!$A$2)</f>
        <v>210</v>
      </c>
      <c r="EM33" s="1">
        <v>5.0</v>
      </c>
      <c r="EN33" s="1" t="s">
        <v>78</v>
      </c>
      <c r="EO33" s="3">
        <f>Setup!IK9</f>
        <v>5</v>
      </c>
      <c r="EP33" s="10"/>
      <c r="EQ33" s="10"/>
      <c r="ER33" s="10"/>
    </row>
    <row r="34">
      <c r="A34" s="5"/>
      <c r="B34" s="43"/>
      <c r="C34" s="10"/>
      <c r="D34" s="10"/>
      <c r="E34" s="10"/>
      <c r="F34" s="10"/>
      <c r="G34" s="10"/>
      <c r="H34" s="10"/>
      <c r="I34" s="43" t="str">
        <f t="shared" ref="I34:M34" si="161">B34</f>
        <v/>
      </c>
      <c r="J34" s="10" t="str">
        <f t="shared" si="161"/>
        <v/>
      </c>
      <c r="K34" s="10" t="str">
        <f t="shared" si="161"/>
        <v/>
      </c>
      <c r="L34" s="10" t="str">
        <f t="shared" si="161"/>
        <v/>
      </c>
      <c r="M34" s="10" t="str">
        <f t="shared" si="161"/>
        <v/>
      </c>
      <c r="N34" s="10"/>
      <c r="O34" s="10"/>
      <c r="P34" s="43" t="str">
        <f t="shared" ref="P34:T34" si="162">I34</f>
        <v/>
      </c>
      <c r="Q34" s="10" t="str">
        <f t="shared" si="162"/>
        <v/>
      </c>
      <c r="R34" s="10" t="str">
        <f t="shared" si="162"/>
        <v/>
      </c>
      <c r="S34" s="10" t="str">
        <f t="shared" si="162"/>
        <v/>
      </c>
      <c r="T34" s="10" t="str">
        <f t="shared" si="162"/>
        <v/>
      </c>
      <c r="U34" s="10"/>
      <c r="V34" s="10"/>
      <c r="W34" s="43" t="str">
        <f t="shared" ref="W34:AA34" si="163">P34</f>
        <v/>
      </c>
      <c r="X34" s="10" t="str">
        <f t="shared" si="163"/>
        <v/>
      </c>
      <c r="Y34" s="10" t="str">
        <f t="shared" si="163"/>
        <v/>
      </c>
      <c r="Z34" s="10" t="str">
        <f t="shared" si="163"/>
        <v/>
      </c>
      <c r="AA34" s="10" t="str">
        <f t="shared" si="163"/>
        <v/>
      </c>
      <c r="AB34" s="10"/>
      <c r="AC34" s="10"/>
      <c r="AD34" s="43" t="str">
        <f t="shared" ref="AD34:AH34" si="164">W34</f>
        <v/>
      </c>
      <c r="AE34" s="10" t="str">
        <f t="shared" si="164"/>
        <v/>
      </c>
      <c r="AF34" s="10" t="str">
        <f t="shared" si="164"/>
        <v/>
      </c>
      <c r="AG34" s="10" t="str">
        <f t="shared" si="164"/>
        <v/>
      </c>
      <c r="AH34" s="10" t="str">
        <f t="shared" si="164"/>
        <v/>
      </c>
      <c r="AI34" s="10"/>
      <c r="AJ34" s="10"/>
      <c r="AK34" s="43" t="str">
        <f t="shared" ref="AK34:AO34" si="165">AD34</f>
        <v/>
      </c>
      <c r="AL34" s="10" t="str">
        <f t="shared" si="165"/>
        <v/>
      </c>
      <c r="AM34" s="10" t="str">
        <f t="shared" si="165"/>
        <v/>
      </c>
      <c r="AN34" s="10" t="str">
        <f t="shared" si="165"/>
        <v/>
      </c>
      <c r="AO34" s="10" t="str">
        <f t="shared" si="165"/>
        <v/>
      </c>
      <c r="AP34" s="10"/>
      <c r="AQ34" s="10"/>
      <c r="AR34" s="43" t="str">
        <f t="shared" ref="AR34:AV34" si="166">AK34</f>
        <v/>
      </c>
      <c r="AS34" s="10" t="str">
        <f t="shared" si="166"/>
        <v/>
      </c>
      <c r="AT34" s="10" t="str">
        <f t="shared" si="166"/>
        <v/>
      </c>
      <c r="AU34" s="10" t="str">
        <f t="shared" si="166"/>
        <v/>
      </c>
      <c r="AV34" s="10" t="str">
        <f t="shared" si="166"/>
        <v/>
      </c>
      <c r="AW34" s="10"/>
      <c r="AX34" s="10"/>
      <c r="AY34" s="43" t="str">
        <f t="shared" ref="AY34:BC34" si="167">AR34</f>
        <v/>
      </c>
      <c r="AZ34" s="10" t="str">
        <f t="shared" si="167"/>
        <v/>
      </c>
      <c r="BA34" s="10" t="str">
        <f t="shared" si="167"/>
        <v/>
      </c>
      <c r="BB34" s="10" t="str">
        <f t="shared" si="167"/>
        <v/>
      </c>
      <c r="BC34" s="10" t="str">
        <f t="shared" si="167"/>
        <v/>
      </c>
      <c r="BD34" s="10"/>
      <c r="BE34" s="10"/>
      <c r="BF34" s="43" t="str">
        <f t="shared" ref="BF34:BJ34" si="168">AY34</f>
        <v/>
      </c>
      <c r="BG34" s="10" t="str">
        <f t="shared" si="168"/>
        <v/>
      </c>
      <c r="BH34" s="10" t="str">
        <f t="shared" si="168"/>
        <v/>
      </c>
      <c r="BI34" s="10" t="str">
        <f t="shared" si="168"/>
        <v/>
      </c>
      <c r="BJ34" s="10" t="str">
        <f t="shared" si="168"/>
        <v/>
      </c>
      <c r="BK34" s="10"/>
      <c r="BL34" s="10"/>
      <c r="BM34" s="43" t="str">
        <f t="shared" ref="BM34:BQ34" si="169">BF34</f>
        <v/>
      </c>
      <c r="BN34" s="10" t="str">
        <f t="shared" si="169"/>
        <v/>
      </c>
      <c r="BO34" s="10" t="str">
        <f t="shared" si="169"/>
        <v/>
      </c>
      <c r="BP34" s="10" t="str">
        <f t="shared" si="169"/>
        <v/>
      </c>
      <c r="BQ34" s="10" t="str">
        <f t="shared" si="169"/>
        <v/>
      </c>
      <c r="BR34" s="10"/>
      <c r="BS34" s="10"/>
      <c r="BT34" s="43" t="str">
        <f t="shared" ref="BT34:BX34" si="170">BM34</f>
        <v/>
      </c>
      <c r="BU34" s="10" t="str">
        <f t="shared" si="170"/>
        <v/>
      </c>
      <c r="BV34" s="10" t="str">
        <f t="shared" si="170"/>
        <v/>
      </c>
      <c r="BW34" s="10" t="str">
        <f t="shared" si="170"/>
        <v/>
      </c>
      <c r="BX34" s="10" t="str">
        <f t="shared" si="170"/>
        <v/>
      </c>
      <c r="BY34" s="10"/>
      <c r="BZ34" s="10"/>
      <c r="CA34" s="43" t="str">
        <f t="shared" ref="CA34:CE34" si="171">BT34</f>
        <v/>
      </c>
      <c r="CB34" s="10" t="str">
        <f t="shared" si="171"/>
        <v/>
      </c>
      <c r="CC34" s="10" t="str">
        <f t="shared" si="171"/>
        <v/>
      </c>
      <c r="CD34" s="10" t="str">
        <f t="shared" si="171"/>
        <v/>
      </c>
      <c r="CE34" s="10" t="str">
        <f t="shared" si="171"/>
        <v/>
      </c>
      <c r="CF34" s="10"/>
      <c r="CG34" s="10"/>
      <c r="CH34" s="43" t="str">
        <f t="shared" ref="CH34:CL34" si="172">CA34</f>
        <v/>
      </c>
      <c r="CI34" s="10" t="str">
        <f t="shared" si="172"/>
        <v/>
      </c>
      <c r="CJ34" s="10" t="str">
        <f t="shared" si="172"/>
        <v/>
      </c>
      <c r="CK34" s="10" t="str">
        <f t="shared" si="172"/>
        <v/>
      </c>
      <c r="CL34" s="10" t="str">
        <f t="shared" si="172"/>
        <v/>
      </c>
      <c r="CM34" s="10"/>
      <c r="CN34" s="10"/>
      <c r="CO34" s="43" t="str">
        <f t="shared" ref="CO34:CS34" si="173">CH34</f>
        <v/>
      </c>
      <c r="CP34" s="10" t="str">
        <f t="shared" si="173"/>
        <v/>
      </c>
      <c r="CQ34" s="10" t="str">
        <f t="shared" si="173"/>
        <v/>
      </c>
      <c r="CR34" s="10" t="str">
        <f t="shared" si="173"/>
        <v/>
      </c>
      <c r="CS34" s="10" t="str">
        <f t="shared" si="173"/>
        <v/>
      </c>
      <c r="CT34" s="10"/>
      <c r="CU34" s="10"/>
      <c r="CV34" s="43" t="str">
        <f t="shared" ref="CV34:CZ34" si="174">CO34</f>
        <v/>
      </c>
      <c r="CW34" s="10" t="str">
        <f t="shared" si="174"/>
        <v/>
      </c>
      <c r="CX34" s="10" t="str">
        <f t="shared" si="174"/>
        <v/>
      </c>
      <c r="CY34" s="10" t="str">
        <f t="shared" si="174"/>
        <v/>
      </c>
      <c r="CZ34" s="10" t="str">
        <f t="shared" si="174"/>
        <v/>
      </c>
      <c r="DA34" s="10"/>
      <c r="DB34" s="10"/>
      <c r="DC34" s="43" t="str">
        <f t="shared" ref="DC34:DG34" si="175">CV34</f>
        <v/>
      </c>
      <c r="DD34" s="10" t="str">
        <f t="shared" si="175"/>
        <v/>
      </c>
      <c r="DE34" s="10" t="str">
        <f t="shared" si="175"/>
        <v/>
      </c>
      <c r="DF34" s="10" t="str">
        <f t="shared" si="175"/>
        <v/>
      </c>
      <c r="DG34" s="10" t="str">
        <f t="shared" si="175"/>
        <v/>
      </c>
      <c r="DH34" s="10"/>
      <c r="DI34" s="10"/>
      <c r="DJ34" s="43" t="str">
        <f t="shared" ref="DJ34:DN34" si="176">DC34</f>
        <v/>
      </c>
      <c r="DK34" s="10" t="str">
        <f t="shared" si="176"/>
        <v/>
      </c>
      <c r="DL34" s="10" t="str">
        <f t="shared" si="176"/>
        <v/>
      </c>
      <c r="DM34" s="10" t="str">
        <f t="shared" si="176"/>
        <v/>
      </c>
      <c r="DN34" s="10" t="str">
        <f t="shared" si="176"/>
        <v/>
      </c>
      <c r="DO34" s="10"/>
      <c r="DP34" s="10"/>
      <c r="DQ34" s="43" t="str">
        <f t="shared" ref="DQ34:DU34" si="177">DJ34</f>
        <v/>
      </c>
      <c r="DR34" s="10" t="str">
        <f t="shared" si="177"/>
        <v/>
      </c>
      <c r="DS34" s="10" t="str">
        <f t="shared" si="177"/>
        <v/>
      </c>
      <c r="DT34" s="10" t="str">
        <f t="shared" si="177"/>
        <v/>
      </c>
      <c r="DU34" s="10" t="str">
        <f t="shared" si="177"/>
        <v/>
      </c>
      <c r="DV34" s="10"/>
      <c r="DW34" s="10"/>
      <c r="DX34" s="43" t="str">
        <f t="shared" ref="DX34:EB34" si="178">DQ34</f>
        <v/>
      </c>
      <c r="DY34" s="10" t="str">
        <f t="shared" si="178"/>
        <v/>
      </c>
      <c r="DZ34" s="10" t="str">
        <f t="shared" si="178"/>
        <v/>
      </c>
      <c r="EA34" s="10" t="str">
        <f t="shared" si="178"/>
        <v/>
      </c>
      <c r="EB34" s="10" t="str">
        <f t="shared" si="178"/>
        <v/>
      </c>
      <c r="EC34" s="10"/>
      <c r="ED34" s="10"/>
      <c r="EE34" s="43" t="str">
        <f t="shared" ref="EE34:EI34" si="179">DX34</f>
        <v/>
      </c>
      <c r="EF34" s="10" t="str">
        <f t="shared" si="179"/>
        <v/>
      </c>
      <c r="EG34" s="10" t="str">
        <f t="shared" si="179"/>
        <v/>
      </c>
      <c r="EH34" s="10" t="str">
        <f t="shared" si="179"/>
        <v/>
      </c>
      <c r="EI34" s="10" t="str">
        <f t="shared" si="179"/>
        <v/>
      </c>
      <c r="EJ34" s="10"/>
      <c r="EK34" s="10"/>
      <c r="EL34" s="43" t="str">
        <f t="shared" ref="EL34:EP34" si="180">EE34</f>
        <v/>
      </c>
      <c r="EM34" s="10" t="str">
        <f t="shared" si="180"/>
        <v/>
      </c>
      <c r="EN34" s="10" t="str">
        <f t="shared" si="180"/>
        <v/>
      </c>
      <c r="EO34" s="10" t="str">
        <f t="shared" si="180"/>
        <v/>
      </c>
      <c r="EP34" s="10" t="str">
        <f t="shared" si="180"/>
        <v/>
      </c>
      <c r="EQ34" s="10"/>
      <c r="ER34" s="10"/>
    </row>
    <row r="35">
      <c r="A35" s="1" t="s">
        <v>79</v>
      </c>
      <c r="B35" s="42"/>
      <c r="C35" s="3"/>
      <c r="D35" s="3"/>
      <c r="E35" s="3"/>
      <c r="F35" s="3"/>
      <c r="G35" s="3"/>
      <c r="H35" s="3"/>
      <c r="I35" s="42"/>
      <c r="J35" s="3"/>
      <c r="K35" s="3"/>
      <c r="L35" s="3"/>
      <c r="M35" s="3"/>
      <c r="N35" s="3"/>
      <c r="O35" s="3"/>
      <c r="P35" s="42"/>
      <c r="Q35" s="3"/>
      <c r="R35" s="3"/>
      <c r="S35" s="3"/>
      <c r="T35" s="3"/>
      <c r="U35" s="3"/>
      <c r="V35" s="3"/>
      <c r="W35" s="42"/>
      <c r="X35" s="3"/>
      <c r="Y35" s="3"/>
      <c r="Z35" s="3"/>
      <c r="AA35" s="3"/>
      <c r="AB35" s="3"/>
      <c r="AC35" s="3"/>
      <c r="AD35" s="42"/>
      <c r="AE35" s="3"/>
      <c r="AF35" s="3"/>
      <c r="AG35" s="3"/>
      <c r="AH35" s="3"/>
      <c r="AI35" s="3"/>
      <c r="AJ35" s="3"/>
      <c r="AK35" s="42"/>
      <c r="AL35" s="3"/>
      <c r="AM35" s="3"/>
      <c r="AN35" s="3"/>
      <c r="AO35" s="3"/>
      <c r="AP35" s="3"/>
      <c r="AQ35" s="3"/>
      <c r="AR35" s="42"/>
      <c r="AS35" s="3"/>
      <c r="AT35" s="3"/>
      <c r="AU35" s="3"/>
      <c r="AV35" s="3"/>
      <c r="AW35" s="3"/>
      <c r="AX35" s="3"/>
      <c r="AY35" s="42"/>
      <c r="AZ35" s="3"/>
      <c r="BA35" s="3"/>
      <c r="BB35" s="3"/>
      <c r="BC35" s="3"/>
      <c r="BD35" s="3"/>
      <c r="BE35" s="3"/>
      <c r="BF35" s="42"/>
      <c r="BG35" s="3"/>
      <c r="BH35" s="3"/>
      <c r="BI35" s="3"/>
      <c r="BJ35" s="3"/>
      <c r="BK35" s="3"/>
      <c r="BL35" s="3"/>
      <c r="BM35" s="42"/>
      <c r="BN35" s="3"/>
      <c r="BO35" s="3"/>
      <c r="BP35" s="3"/>
      <c r="BQ35" s="3"/>
      <c r="BR35" s="3"/>
      <c r="BS35" s="3"/>
      <c r="BT35" s="42"/>
      <c r="BU35" s="3"/>
      <c r="BV35" s="3"/>
      <c r="BW35" s="3"/>
      <c r="BX35" s="3"/>
      <c r="BY35" s="3"/>
      <c r="BZ35" s="3"/>
      <c r="CA35" s="42"/>
      <c r="CB35" s="3"/>
      <c r="CC35" s="3"/>
      <c r="CD35" s="3"/>
      <c r="CE35" s="3"/>
      <c r="CF35" s="3"/>
      <c r="CG35" s="3"/>
      <c r="CH35" s="42"/>
      <c r="CI35" s="3"/>
      <c r="CJ35" s="3"/>
      <c r="CK35" s="3"/>
      <c r="CL35" s="3"/>
      <c r="CM35" s="3"/>
      <c r="CN35" s="3"/>
      <c r="CO35" s="42"/>
      <c r="CP35" s="3"/>
      <c r="CQ35" s="3"/>
      <c r="CR35" s="3"/>
      <c r="CS35" s="3"/>
      <c r="CT35" s="3"/>
      <c r="CU35" s="3"/>
      <c r="CV35" s="42"/>
      <c r="CW35" s="3"/>
      <c r="CX35" s="3"/>
      <c r="CY35" s="3"/>
      <c r="CZ35" s="3"/>
      <c r="DA35" s="3"/>
      <c r="DB35" s="3"/>
      <c r="DC35" s="42"/>
      <c r="DD35" s="3"/>
      <c r="DE35" s="3"/>
      <c r="DF35" s="3"/>
      <c r="DG35" s="3"/>
      <c r="DH35" s="3"/>
      <c r="DI35" s="3"/>
      <c r="DJ35" s="42"/>
      <c r="DK35" s="3"/>
      <c r="DL35" s="3"/>
      <c r="DM35" s="3"/>
      <c r="DN35" s="3"/>
      <c r="DO35" s="3"/>
      <c r="DP35" s="3"/>
      <c r="DQ35" s="42"/>
      <c r="DR35" s="3"/>
      <c r="DS35" s="3"/>
      <c r="DT35" s="3"/>
      <c r="DU35" s="3"/>
      <c r="DV35" s="3"/>
      <c r="DW35" s="3"/>
      <c r="DX35" s="42"/>
      <c r="DY35" s="3"/>
      <c r="DZ35" s="3"/>
      <c r="EA35" s="3"/>
      <c r="EB35" s="3"/>
      <c r="EC35" s="3"/>
      <c r="ED35" s="3"/>
      <c r="EE35" s="42"/>
      <c r="EF35" s="3"/>
      <c r="EG35" s="3"/>
      <c r="EH35" s="3"/>
      <c r="EI35" s="3"/>
      <c r="EJ35" s="3"/>
      <c r="EK35" s="3"/>
      <c r="EL35" s="42"/>
      <c r="EM35" s="3"/>
      <c r="EN35" s="3"/>
      <c r="EO35" s="3"/>
      <c r="EP35" s="3"/>
      <c r="EQ35" s="3"/>
      <c r="ER35" s="3"/>
    </row>
    <row r="36">
      <c r="A36" s="44"/>
      <c r="B36" s="43"/>
      <c r="C36" s="10"/>
      <c r="D36" s="10"/>
      <c r="E36" s="10"/>
      <c r="F36" s="10"/>
      <c r="G36" s="10"/>
      <c r="H36" s="10"/>
      <c r="I36" s="43" t="str">
        <f t="shared" ref="I36:M36" si="181">B36</f>
        <v/>
      </c>
      <c r="J36" s="10" t="str">
        <f t="shared" si="181"/>
        <v/>
      </c>
      <c r="K36" s="10" t="str">
        <f t="shared" si="181"/>
        <v/>
      </c>
      <c r="L36" s="10" t="str">
        <f t="shared" si="181"/>
        <v/>
      </c>
      <c r="M36" s="10" t="str">
        <f t="shared" si="181"/>
        <v/>
      </c>
      <c r="N36" s="10"/>
      <c r="O36" s="10"/>
      <c r="P36" s="43" t="str">
        <f t="shared" ref="P36:T36" si="182">I36</f>
        <v/>
      </c>
      <c r="Q36" s="10" t="str">
        <f t="shared" si="182"/>
        <v/>
      </c>
      <c r="R36" s="10" t="str">
        <f t="shared" si="182"/>
        <v/>
      </c>
      <c r="S36" s="10" t="str">
        <f t="shared" si="182"/>
        <v/>
      </c>
      <c r="T36" s="10" t="str">
        <f t="shared" si="182"/>
        <v/>
      </c>
      <c r="U36" s="10"/>
      <c r="V36" s="10"/>
      <c r="W36" s="43" t="str">
        <f t="shared" ref="W36:AA36" si="183">P36</f>
        <v/>
      </c>
      <c r="X36" s="10" t="str">
        <f t="shared" si="183"/>
        <v/>
      </c>
      <c r="Y36" s="10" t="str">
        <f t="shared" si="183"/>
        <v/>
      </c>
      <c r="Z36" s="10" t="str">
        <f t="shared" si="183"/>
        <v/>
      </c>
      <c r="AA36" s="10" t="str">
        <f t="shared" si="183"/>
        <v/>
      </c>
      <c r="AB36" s="10"/>
      <c r="AC36" s="10"/>
      <c r="AD36" s="43" t="str">
        <f t="shared" ref="AD36:AH36" si="184">W36</f>
        <v/>
      </c>
      <c r="AE36" s="10" t="str">
        <f t="shared" si="184"/>
        <v/>
      </c>
      <c r="AF36" s="10" t="str">
        <f t="shared" si="184"/>
        <v/>
      </c>
      <c r="AG36" s="10" t="str">
        <f t="shared" si="184"/>
        <v/>
      </c>
      <c r="AH36" s="10" t="str">
        <f t="shared" si="184"/>
        <v/>
      </c>
      <c r="AI36" s="10"/>
      <c r="AJ36" s="10"/>
      <c r="AK36" s="43" t="str">
        <f t="shared" ref="AK36:AO36" si="185">AD36</f>
        <v/>
      </c>
      <c r="AL36" s="10" t="str">
        <f t="shared" si="185"/>
        <v/>
      </c>
      <c r="AM36" s="10" t="str">
        <f t="shared" si="185"/>
        <v/>
      </c>
      <c r="AN36" s="10" t="str">
        <f t="shared" si="185"/>
        <v/>
      </c>
      <c r="AO36" s="10" t="str">
        <f t="shared" si="185"/>
        <v/>
      </c>
      <c r="AP36" s="10"/>
      <c r="AQ36" s="10"/>
      <c r="AR36" s="43" t="str">
        <f t="shared" ref="AR36:AV36" si="186">AK36</f>
        <v/>
      </c>
      <c r="AS36" s="10" t="str">
        <f t="shared" si="186"/>
        <v/>
      </c>
      <c r="AT36" s="10" t="str">
        <f t="shared" si="186"/>
        <v/>
      </c>
      <c r="AU36" s="10" t="str">
        <f t="shared" si="186"/>
        <v/>
      </c>
      <c r="AV36" s="10" t="str">
        <f t="shared" si="186"/>
        <v/>
      </c>
      <c r="AW36" s="10"/>
      <c r="AX36" s="10"/>
      <c r="AY36" s="43" t="str">
        <f t="shared" ref="AY36:BC36" si="187">AR36</f>
        <v/>
      </c>
      <c r="AZ36" s="10" t="str">
        <f t="shared" si="187"/>
        <v/>
      </c>
      <c r="BA36" s="10" t="str">
        <f t="shared" si="187"/>
        <v/>
      </c>
      <c r="BB36" s="10" t="str">
        <f t="shared" si="187"/>
        <v/>
      </c>
      <c r="BC36" s="10" t="str">
        <f t="shared" si="187"/>
        <v/>
      </c>
      <c r="BD36" s="10"/>
      <c r="BE36" s="10"/>
      <c r="BF36" s="43" t="str">
        <f t="shared" ref="BF36:BJ36" si="188">AY36</f>
        <v/>
      </c>
      <c r="BG36" s="10" t="str">
        <f t="shared" si="188"/>
        <v/>
      </c>
      <c r="BH36" s="10" t="str">
        <f t="shared" si="188"/>
        <v/>
      </c>
      <c r="BI36" s="10" t="str">
        <f t="shared" si="188"/>
        <v/>
      </c>
      <c r="BJ36" s="10" t="str">
        <f t="shared" si="188"/>
        <v/>
      </c>
      <c r="BK36" s="10"/>
      <c r="BL36" s="10"/>
      <c r="BM36" s="43" t="str">
        <f t="shared" ref="BM36:BQ36" si="189">BF36</f>
        <v/>
      </c>
      <c r="BN36" s="10" t="str">
        <f t="shared" si="189"/>
        <v/>
      </c>
      <c r="BO36" s="10" t="str">
        <f t="shared" si="189"/>
        <v/>
      </c>
      <c r="BP36" s="10" t="str">
        <f t="shared" si="189"/>
        <v/>
      </c>
      <c r="BQ36" s="10" t="str">
        <f t="shared" si="189"/>
        <v/>
      </c>
      <c r="BR36" s="10"/>
      <c r="BS36" s="10"/>
      <c r="BT36" s="43" t="str">
        <f t="shared" ref="BT36:BX36" si="190">BM36</f>
        <v/>
      </c>
      <c r="BU36" s="10" t="str">
        <f t="shared" si="190"/>
        <v/>
      </c>
      <c r="BV36" s="10" t="str">
        <f t="shared" si="190"/>
        <v/>
      </c>
      <c r="BW36" s="10" t="str">
        <f t="shared" si="190"/>
        <v/>
      </c>
      <c r="BX36" s="10" t="str">
        <f t="shared" si="190"/>
        <v/>
      </c>
      <c r="BY36" s="10"/>
      <c r="BZ36" s="10"/>
      <c r="CA36" s="43" t="str">
        <f t="shared" ref="CA36:CE36" si="191">BT36</f>
        <v/>
      </c>
      <c r="CB36" s="10" t="str">
        <f t="shared" si="191"/>
        <v/>
      </c>
      <c r="CC36" s="10" t="str">
        <f t="shared" si="191"/>
        <v/>
      </c>
      <c r="CD36" s="10" t="str">
        <f t="shared" si="191"/>
        <v/>
      </c>
      <c r="CE36" s="10" t="str">
        <f t="shared" si="191"/>
        <v/>
      </c>
      <c r="CF36" s="10"/>
      <c r="CG36" s="10"/>
      <c r="CH36" s="43" t="str">
        <f t="shared" ref="CH36:CL36" si="192">CA36</f>
        <v/>
      </c>
      <c r="CI36" s="10" t="str">
        <f t="shared" si="192"/>
        <v/>
      </c>
      <c r="CJ36" s="10" t="str">
        <f t="shared" si="192"/>
        <v/>
      </c>
      <c r="CK36" s="10" t="str">
        <f t="shared" si="192"/>
        <v/>
      </c>
      <c r="CL36" s="10" t="str">
        <f t="shared" si="192"/>
        <v/>
      </c>
      <c r="CM36" s="10"/>
      <c r="CN36" s="10"/>
      <c r="CO36" s="43" t="str">
        <f t="shared" ref="CO36:CS36" si="193">CH36</f>
        <v/>
      </c>
      <c r="CP36" s="10" t="str">
        <f t="shared" si="193"/>
        <v/>
      </c>
      <c r="CQ36" s="10" t="str">
        <f t="shared" si="193"/>
        <v/>
      </c>
      <c r="CR36" s="10" t="str">
        <f t="shared" si="193"/>
        <v/>
      </c>
      <c r="CS36" s="10" t="str">
        <f t="shared" si="193"/>
        <v/>
      </c>
      <c r="CT36" s="10"/>
      <c r="CU36" s="10"/>
      <c r="CV36" s="43" t="str">
        <f t="shared" ref="CV36:CZ36" si="194">CO36</f>
        <v/>
      </c>
      <c r="CW36" s="10" t="str">
        <f t="shared" si="194"/>
        <v/>
      </c>
      <c r="CX36" s="10" t="str">
        <f t="shared" si="194"/>
        <v/>
      </c>
      <c r="CY36" s="10" t="str">
        <f t="shared" si="194"/>
        <v/>
      </c>
      <c r="CZ36" s="10" t="str">
        <f t="shared" si="194"/>
        <v/>
      </c>
      <c r="DA36" s="10"/>
      <c r="DB36" s="10"/>
      <c r="DC36" s="43" t="str">
        <f t="shared" ref="DC36:DG36" si="195">CV36</f>
        <v/>
      </c>
      <c r="DD36" s="10" t="str">
        <f t="shared" si="195"/>
        <v/>
      </c>
      <c r="DE36" s="10" t="str">
        <f t="shared" si="195"/>
        <v/>
      </c>
      <c r="DF36" s="10" t="str">
        <f t="shared" si="195"/>
        <v/>
      </c>
      <c r="DG36" s="10" t="str">
        <f t="shared" si="195"/>
        <v/>
      </c>
      <c r="DH36" s="10"/>
      <c r="DI36" s="10"/>
      <c r="DJ36" s="43" t="str">
        <f t="shared" ref="DJ36:DN36" si="196">DC36</f>
        <v/>
      </c>
      <c r="DK36" s="10" t="str">
        <f t="shared" si="196"/>
        <v/>
      </c>
      <c r="DL36" s="10" t="str">
        <f t="shared" si="196"/>
        <v/>
      </c>
      <c r="DM36" s="10" t="str">
        <f t="shared" si="196"/>
        <v/>
      </c>
      <c r="DN36" s="10" t="str">
        <f t="shared" si="196"/>
        <v/>
      </c>
      <c r="DO36" s="10"/>
      <c r="DP36" s="10"/>
      <c r="DQ36" s="43" t="str">
        <f t="shared" ref="DQ36:DU36" si="197">DJ36</f>
        <v/>
      </c>
      <c r="DR36" s="10" t="str">
        <f t="shared" si="197"/>
        <v/>
      </c>
      <c r="DS36" s="10" t="str">
        <f t="shared" si="197"/>
        <v/>
      </c>
      <c r="DT36" s="10" t="str">
        <f t="shared" si="197"/>
        <v/>
      </c>
      <c r="DU36" s="10" t="str">
        <f t="shared" si="197"/>
        <v/>
      </c>
      <c r="DV36" s="10"/>
      <c r="DW36" s="10"/>
      <c r="DX36" s="43" t="str">
        <f t="shared" ref="DX36:EB36" si="198">DQ36</f>
        <v/>
      </c>
      <c r="DY36" s="10" t="str">
        <f t="shared" si="198"/>
        <v/>
      </c>
      <c r="DZ36" s="10" t="str">
        <f t="shared" si="198"/>
        <v/>
      </c>
      <c r="EA36" s="10" t="str">
        <f t="shared" si="198"/>
        <v/>
      </c>
      <c r="EB36" s="10" t="str">
        <f t="shared" si="198"/>
        <v/>
      </c>
      <c r="EC36" s="10"/>
      <c r="ED36" s="10"/>
      <c r="EE36" s="43" t="str">
        <f t="shared" ref="EE36:EI36" si="199">DX36</f>
        <v/>
      </c>
      <c r="EF36" s="10" t="str">
        <f t="shared" si="199"/>
        <v/>
      </c>
      <c r="EG36" s="10" t="str">
        <f t="shared" si="199"/>
        <v/>
      </c>
      <c r="EH36" s="10" t="str">
        <f t="shared" si="199"/>
        <v/>
      </c>
      <c r="EI36" s="10" t="str">
        <f t="shared" si="199"/>
        <v/>
      </c>
      <c r="EJ36" s="10"/>
      <c r="EK36" s="10"/>
      <c r="EL36" s="43" t="str">
        <f t="shared" ref="EL36:EP36" si="200">EE36</f>
        <v/>
      </c>
      <c r="EM36" s="10" t="str">
        <f t="shared" si="200"/>
        <v/>
      </c>
      <c r="EN36" s="10" t="str">
        <f t="shared" si="200"/>
        <v/>
      </c>
      <c r="EO36" s="10" t="str">
        <f t="shared" si="200"/>
        <v/>
      </c>
      <c r="EP36" s="10" t="str">
        <f t="shared" si="200"/>
        <v/>
      </c>
      <c r="EQ36" s="10"/>
      <c r="ER36" s="10"/>
    </row>
    <row r="37">
      <c r="A37" s="44"/>
      <c r="B37" s="43"/>
      <c r="C37" s="10"/>
      <c r="D37" s="10"/>
      <c r="E37" s="10"/>
      <c r="F37" s="10"/>
      <c r="G37" s="10"/>
      <c r="H37" s="10"/>
      <c r="I37" s="43" t="str">
        <f t="shared" ref="I37:M37" si="201">B37</f>
        <v/>
      </c>
      <c r="J37" s="10" t="str">
        <f t="shared" si="201"/>
        <v/>
      </c>
      <c r="K37" s="10" t="str">
        <f t="shared" si="201"/>
        <v/>
      </c>
      <c r="L37" s="10" t="str">
        <f t="shared" si="201"/>
        <v/>
      </c>
      <c r="M37" s="10" t="str">
        <f t="shared" si="201"/>
        <v/>
      </c>
      <c r="N37" s="10"/>
      <c r="O37" s="10"/>
      <c r="P37" s="43" t="str">
        <f t="shared" ref="P37:T37" si="202">I37</f>
        <v/>
      </c>
      <c r="Q37" s="10" t="str">
        <f t="shared" si="202"/>
        <v/>
      </c>
      <c r="R37" s="10" t="str">
        <f t="shared" si="202"/>
        <v/>
      </c>
      <c r="S37" s="10" t="str">
        <f t="shared" si="202"/>
        <v/>
      </c>
      <c r="T37" s="10" t="str">
        <f t="shared" si="202"/>
        <v/>
      </c>
      <c r="U37" s="10"/>
      <c r="V37" s="10"/>
      <c r="W37" s="43" t="str">
        <f t="shared" ref="W37:AA37" si="203">P37</f>
        <v/>
      </c>
      <c r="X37" s="10" t="str">
        <f t="shared" si="203"/>
        <v/>
      </c>
      <c r="Y37" s="10" t="str">
        <f t="shared" si="203"/>
        <v/>
      </c>
      <c r="Z37" s="10" t="str">
        <f t="shared" si="203"/>
        <v/>
      </c>
      <c r="AA37" s="10" t="str">
        <f t="shared" si="203"/>
        <v/>
      </c>
      <c r="AB37" s="10"/>
      <c r="AC37" s="10"/>
      <c r="AD37" s="43" t="str">
        <f t="shared" ref="AD37:AH37" si="204">W37</f>
        <v/>
      </c>
      <c r="AE37" s="10" t="str">
        <f t="shared" si="204"/>
        <v/>
      </c>
      <c r="AF37" s="10" t="str">
        <f t="shared" si="204"/>
        <v/>
      </c>
      <c r="AG37" s="10" t="str">
        <f t="shared" si="204"/>
        <v/>
      </c>
      <c r="AH37" s="10" t="str">
        <f t="shared" si="204"/>
        <v/>
      </c>
      <c r="AI37" s="10"/>
      <c r="AJ37" s="10"/>
      <c r="AK37" s="43" t="str">
        <f t="shared" ref="AK37:AO37" si="205">AD37</f>
        <v/>
      </c>
      <c r="AL37" s="10" t="str">
        <f t="shared" si="205"/>
        <v/>
      </c>
      <c r="AM37" s="10" t="str">
        <f t="shared" si="205"/>
        <v/>
      </c>
      <c r="AN37" s="10" t="str">
        <f t="shared" si="205"/>
        <v/>
      </c>
      <c r="AO37" s="10" t="str">
        <f t="shared" si="205"/>
        <v/>
      </c>
      <c r="AP37" s="10"/>
      <c r="AQ37" s="10"/>
      <c r="AR37" s="43" t="str">
        <f t="shared" ref="AR37:AV37" si="206">AK37</f>
        <v/>
      </c>
      <c r="AS37" s="10" t="str">
        <f t="shared" si="206"/>
        <v/>
      </c>
      <c r="AT37" s="10" t="str">
        <f t="shared" si="206"/>
        <v/>
      </c>
      <c r="AU37" s="10" t="str">
        <f t="shared" si="206"/>
        <v/>
      </c>
      <c r="AV37" s="10" t="str">
        <f t="shared" si="206"/>
        <v/>
      </c>
      <c r="AW37" s="10"/>
      <c r="AX37" s="10"/>
      <c r="AY37" s="43" t="str">
        <f t="shared" ref="AY37:BC37" si="207">AR37</f>
        <v/>
      </c>
      <c r="AZ37" s="10" t="str">
        <f t="shared" si="207"/>
        <v/>
      </c>
      <c r="BA37" s="10" t="str">
        <f t="shared" si="207"/>
        <v/>
      </c>
      <c r="BB37" s="10" t="str">
        <f t="shared" si="207"/>
        <v/>
      </c>
      <c r="BC37" s="10" t="str">
        <f t="shared" si="207"/>
        <v/>
      </c>
      <c r="BD37" s="10"/>
      <c r="BE37" s="10"/>
      <c r="BF37" s="43" t="str">
        <f t="shared" ref="BF37:BJ37" si="208">AY37</f>
        <v/>
      </c>
      <c r="BG37" s="10" t="str">
        <f t="shared" si="208"/>
        <v/>
      </c>
      <c r="BH37" s="10" t="str">
        <f t="shared" si="208"/>
        <v/>
      </c>
      <c r="BI37" s="10" t="str">
        <f t="shared" si="208"/>
        <v/>
      </c>
      <c r="BJ37" s="10" t="str">
        <f t="shared" si="208"/>
        <v/>
      </c>
      <c r="BK37" s="10"/>
      <c r="BL37" s="10"/>
      <c r="BM37" s="43" t="str">
        <f t="shared" ref="BM37:BQ37" si="209">BF37</f>
        <v/>
      </c>
      <c r="BN37" s="10" t="str">
        <f t="shared" si="209"/>
        <v/>
      </c>
      <c r="BO37" s="10" t="str">
        <f t="shared" si="209"/>
        <v/>
      </c>
      <c r="BP37" s="10" t="str">
        <f t="shared" si="209"/>
        <v/>
      </c>
      <c r="BQ37" s="10" t="str">
        <f t="shared" si="209"/>
        <v/>
      </c>
      <c r="BR37" s="10"/>
      <c r="BS37" s="10"/>
      <c r="BT37" s="43" t="str">
        <f t="shared" ref="BT37:BX37" si="210">BM37</f>
        <v/>
      </c>
      <c r="BU37" s="10" t="str">
        <f t="shared" si="210"/>
        <v/>
      </c>
      <c r="BV37" s="10" t="str">
        <f t="shared" si="210"/>
        <v/>
      </c>
      <c r="BW37" s="10" t="str">
        <f t="shared" si="210"/>
        <v/>
      </c>
      <c r="BX37" s="10" t="str">
        <f t="shared" si="210"/>
        <v/>
      </c>
      <c r="BY37" s="10"/>
      <c r="BZ37" s="10"/>
      <c r="CA37" s="43" t="str">
        <f t="shared" ref="CA37:CE37" si="211">BT37</f>
        <v/>
      </c>
      <c r="CB37" s="10" t="str">
        <f t="shared" si="211"/>
        <v/>
      </c>
      <c r="CC37" s="10" t="str">
        <f t="shared" si="211"/>
        <v/>
      </c>
      <c r="CD37" s="10" t="str">
        <f t="shared" si="211"/>
        <v/>
      </c>
      <c r="CE37" s="10" t="str">
        <f t="shared" si="211"/>
        <v/>
      </c>
      <c r="CF37" s="10"/>
      <c r="CG37" s="10"/>
      <c r="CH37" s="43" t="str">
        <f t="shared" ref="CH37:CL37" si="212">CA37</f>
        <v/>
      </c>
      <c r="CI37" s="10" t="str">
        <f t="shared" si="212"/>
        <v/>
      </c>
      <c r="CJ37" s="10" t="str">
        <f t="shared" si="212"/>
        <v/>
      </c>
      <c r="CK37" s="10" t="str">
        <f t="shared" si="212"/>
        <v/>
      </c>
      <c r="CL37" s="10" t="str">
        <f t="shared" si="212"/>
        <v/>
      </c>
      <c r="CM37" s="10"/>
      <c r="CN37" s="10"/>
      <c r="CO37" s="43" t="str">
        <f t="shared" ref="CO37:CS37" si="213">CH37</f>
        <v/>
      </c>
      <c r="CP37" s="10" t="str">
        <f t="shared" si="213"/>
        <v/>
      </c>
      <c r="CQ37" s="10" t="str">
        <f t="shared" si="213"/>
        <v/>
      </c>
      <c r="CR37" s="10" t="str">
        <f t="shared" si="213"/>
        <v/>
      </c>
      <c r="CS37" s="10" t="str">
        <f t="shared" si="213"/>
        <v/>
      </c>
      <c r="CT37" s="10"/>
      <c r="CU37" s="10"/>
      <c r="CV37" s="43" t="str">
        <f t="shared" ref="CV37:CZ37" si="214">CO37</f>
        <v/>
      </c>
      <c r="CW37" s="10" t="str">
        <f t="shared" si="214"/>
        <v/>
      </c>
      <c r="CX37" s="10" t="str">
        <f t="shared" si="214"/>
        <v/>
      </c>
      <c r="CY37" s="10" t="str">
        <f t="shared" si="214"/>
        <v/>
      </c>
      <c r="CZ37" s="10" t="str">
        <f t="shared" si="214"/>
        <v/>
      </c>
      <c r="DA37" s="10"/>
      <c r="DB37" s="10"/>
      <c r="DC37" s="43" t="str">
        <f t="shared" ref="DC37:DG37" si="215">CV37</f>
        <v/>
      </c>
      <c r="DD37" s="10" t="str">
        <f t="shared" si="215"/>
        <v/>
      </c>
      <c r="DE37" s="10" t="str">
        <f t="shared" si="215"/>
        <v/>
      </c>
      <c r="DF37" s="10" t="str">
        <f t="shared" si="215"/>
        <v/>
      </c>
      <c r="DG37" s="10" t="str">
        <f t="shared" si="215"/>
        <v/>
      </c>
      <c r="DH37" s="10"/>
      <c r="DI37" s="10"/>
      <c r="DJ37" s="43" t="str">
        <f t="shared" ref="DJ37:DN37" si="216">DC37</f>
        <v/>
      </c>
      <c r="DK37" s="10" t="str">
        <f t="shared" si="216"/>
        <v/>
      </c>
      <c r="DL37" s="10" t="str">
        <f t="shared" si="216"/>
        <v/>
      </c>
      <c r="DM37" s="10" t="str">
        <f t="shared" si="216"/>
        <v/>
      </c>
      <c r="DN37" s="10" t="str">
        <f t="shared" si="216"/>
        <v/>
      </c>
      <c r="DO37" s="10"/>
      <c r="DP37" s="10"/>
      <c r="DQ37" s="43" t="str">
        <f t="shared" ref="DQ37:DU37" si="217">DJ37</f>
        <v/>
      </c>
      <c r="DR37" s="10" t="str">
        <f t="shared" si="217"/>
        <v/>
      </c>
      <c r="DS37" s="10" t="str">
        <f t="shared" si="217"/>
        <v/>
      </c>
      <c r="DT37" s="10" t="str">
        <f t="shared" si="217"/>
        <v/>
      </c>
      <c r="DU37" s="10" t="str">
        <f t="shared" si="217"/>
        <v/>
      </c>
      <c r="DV37" s="10"/>
      <c r="DW37" s="10"/>
      <c r="DX37" s="43" t="str">
        <f t="shared" ref="DX37:EB37" si="218">DQ37</f>
        <v/>
      </c>
      <c r="DY37" s="10" t="str">
        <f t="shared" si="218"/>
        <v/>
      </c>
      <c r="DZ37" s="10" t="str">
        <f t="shared" si="218"/>
        <v/>
      </c>
      <c r="EA37" s="10" t="str">
        <f t="shared" si="218"/>
        <v/>
      </c>
      <c r="EB37" s="10" t="str">
        <f t="shared" si="218"/>
        <v/>
      </c>
      <c r="EC37" s="10"/>
      <c r="ED37" s="10"/>
      <c r="EE37" s="43" t="str">
        <f t="shared" ref="EE37:EI37" si="219">DX37</f>
        <v/>
      </c>
      <c r="EF37" s="10" t="str">
        <f t="shared" si="219"/>
        <v/>
      </c>
      <c r="EG37" s="10" t="str">
        <f t="shared" si="219"/>
        <v/>
      </c>
      <c r="EH37" s="10" t="str">
        <f t="shared" si="219"/>
        <v/>
      </c>
      <c r="EI37" s="10" t="str">
        <f t="shared" si="219"/>
        <v/>
      </c>
      <c r="EJ37" s="10"/>
      <c r="EK37" s="10"/>
      <c r="EL37" s="43" t="str">
        <f t="shared" ref="EL37:EP37" si="220">EE37</f>
        <v/>
      </c>
      <c r="EM37" s="10" t="str">
        <f t="shared" si="220"/>
        <v/>
      </c>
      <c r="EN37" s="10" t="str">
        <f t="shared" si="220"/>
        <v/>
      </c>
      <c r="EO37" s="10" t="str">
        <f t="shared" si="220"/>
        <v/>
      </c>
      <c r="EP37" s="10" t="str">
        <f t="shared" si="220"/>
        <v/>
      </c>
      <c r="EQ37" s="10"/>
      <c r="ER37" s="10"/>
    </row>
    <row r="38">
      <c r="A38" s="45"/>
      <c r="B38" s="46"/>
      <c r="C38" s="47"/>
      <c r="D38" s="47"/>
      <c r="E38" s="47"/>
      <c r="F38" s="47"/>
      <c r="G38" s="47"/>
      <c r="H38" s="47"/>
      <c r="I38" s="46" t="str">
        <f t="shared" ref="I38:M38" si="221">B38</f>
        <v/>
      </c>
      <c r="J38" s="47" t="str">
        <f t="shared" si="221"/>
        <v/>
      </c>
      <c r="K38" s="47" t="str">
        <f t="shared" si="221"/>
        <v/>
      </c>
      <c r="L38" s="47" t="str">
        <f t="shared" si="221"/>
        <v/>
      </c>
      <c r="M38" s="47" t="str">
        <f t="shared" si="221"/>
        <v/>
      </c>
      <c r="N38" s="47"/>
      <c r="O38" s="47"/>
      <c r="P38" s="46" t="str">
        <f t="shared" ref="P38:T38" si="222">I38</f>
        <v/>
      </c>
      <c r="Q38" s="47" t="str">
        <f t="shared" si="222"/>
        <v/>
      </c>
      <c r="R38" s="47" t="str">
        <f t="shared" si="222"/>
        <v/>
      </c>
      <c r="S38" s="47" t="str">
        <f t="shared" si="222"/>
        <v/>
      </c>
      <c r="T38" s="47" t="str">
        <f t="shared" si="222"/>
        <v/>
      </c>
      <c r="U38" s="47"/>
      <c r="V38" s="47"/>
      <c r="W38" s="46" t="str">
        <f t="shared" ref="W38:AA38" si="223">P38</f>
        <v/>
      </c>
      <c r="X38" s="47" t="str">
        <f t="shared" si="223"/>
        <v/>
      </c>
      <c r="Y38" s="47" t="str">
        <f t="shared" si="223"/>
        <v/>
      </c>
      <c r="Z38" s="47" t="str">
        <f t="shared" si="223"/>
        <v/>
      </c>
      <c r="AA38" s="47" t="str">
        <f t="shared" si="223"/>
        <v/>
      </c>
      <c r="AB38" s="47"/>
      <c r="AC38" s="47"/>
      <c r="AD38" s="46" t="str">
        <f t="shared" ref="AD38:AH38" si="224">W38</f>
        <v/>
      </c>
      <c r="AE38" s="47" t="str">
        <f t="shared" si="224"/>
        <v/>
      </c>
      <c r="AF38" s="47" t="str">
        <f t="shared" si="224"/>
        <v/>
      </c>
      <c r="AG38" s="47" t="str">
        <f t="shared" si="224"/>
        <v/>
      </c>
      <c r="AH38" s="47" t="str">
        <f t="shared" si="224"/>
        <v/>
      </c>
      <c r="AI38" s="47"/>
      <c r="AJ38" s="47"/>
      <c r="AK38" s="46" t="str">
        <f t="shared" ref="AK38:AO38" si="225">AD38</f>
        <v/>
      </c>
      <c r="AL38" s="47" t="str">
        <f t="shared" si="225"/>
        <v/>
      </c>
      <c r="AM38" s="47" t="str">
        <f t="shared" si="225"/>
        <v/>
      </c>
      <c r="AN38" s="47" t="str">
        <f t="shared" si="225"/>
        <v/>
      </c>
      <c r="AO38" s="47" t="str">
        <f t="shared" si="225"/>
        <v/>
      </c>
      <c r="AP38" s="47"/>
      <c r="AQ38" s="47"/>
      <c r="AR38" s="46" t="str">
        <f t="shared" ref="AR38:AV38" si="226">AK38</f>
        <v/>
      </c>
      <c r="AS38" s="47" t="str">
        <f t="shared" si="226"/>
        <v/>
      </c>
      <c r="AT38" s="47" t="str">
        <f t="shared" si="226"/>
        <v/>
      </c>
      <c r="AU38" s="47" t="str">
        <f t="shared" si="226"/>
        <v/>
      </c>
      <c r="AV38" s="47" t="str">
        <f t="shared" si="226"/>
        <v/>
      </c>
      <c r="AW38" s="47"/>
      <c r="AX38" s="47"/>
      <c r="AY38" s="46" t="str">
        <f t="shared" ref="AY38:BC38" si="227">AR38</f>
        <v/>
      </c>
      <c r="AZ38" s="47" t="str">
        <f t="shared" si="227"/>
        <v/>
      </c>
      <c r="BA38" s="47" t="str">
        <f t="shared" si="227"/>
        <v/>
      </c>
      <c r="BB38" s="47" t="str">
        <f t="shared" si="227"/>
        <v/>
      </c>
      <c r="BC38" s="47" t="str">
        <f t="shared" si="227"/>
        <v/>
      </c>
      <c r="BD38" s="47"/>
      <c r="BE38" s="47"/>
      <c r="BF38" s="46" t="str">
        <f t="shared" ref="BF38:BJ38" si="228">AY38</f>
        <v/>
      </c>
      <c r="BG38" s="47" t="str">
        <f t="shared" si="228"/>
        <v/>
      </c>
      <c r="BH38" s="47" t="str">
        <f t="shared" si="228"/>
        <v/>
      </c>
      <c r="BI38" s="47" t="str">
        <f t="shared" si="228"/>
        <v/>
      </c>
      <c r="BJ38" s="47" t="str">
        <f t="shared" si="228"/>
        <v/>
      </c>
      <c r="BK38" s="47"/>
      <c r="BL38" s="47"/>
      <c r="BM38" s="46" t="str">
        <f t="shared" ref="BM38:BQ38" si="229">BF38</f>
        <v/>
      </c>
      <c r="BN38" s="47" t="str">
        <f t="shared" si="229"/>
        <v/>
      </c>
      <c r="BO38" s="47" t="str">
        <f t="shared" si="229"/>
        <v/>
      </c>
      <c r="BP38" s="47" t="str">
        <f t="shared" si="229"/>
        <v/>
      </c>
      <c r="BQ38" s="47" t="str">
        <f t="shared" si="229"/>
        <v/>
      </c>
      <c r="BR38" s="47"/>
      <c r="BS38" s="47"/>
      <c r="BT38" s="46" t="str">
        <f t="shared" ref="BT38:BX38" si="230">BM38</f>
        <v/>
      </c>
      <c r="BU38" s="47" t="str">
        <f t="shared" si="230"/>
        <v/>
      </c>
      <c r="BV38" s="47" t="str">
        <f t="shared" si="230"/>
        <v/>
      </c>
      <c r="BW38" s="47" t="str">
        <f t="shared" si="230"/>
        <v/>
      </c>
      <c r="BX38" s="47" t="str">
        <f t="shared" si="230"/>
        <v/>
      </c>
      <c r="BY38" s="47"/>
      <c r="BZ38" s="47"/>
      <c r="CA38" s="46" t="str">
        <f t="shared" ref="CA38:CE38" si="231">BT38</f>
        <v/>
      </c>
      <c r="CB38" s="47" t="str">
        <f t="shared" si="231"/>
        <v/>
      </c>
      <c r="CC38" s="47" t="str">
        <f t="shared" si="231"/>
        <v/>
      </c>
      <c r="CD38" s="47" t="str">
        <f t="shared" si="231"/>
        <v/>
      </c>
      <c r="CE38" s="47" t="str">
        <f t="shared" si="231"/>
        <v/>
      </c>
      <c r="CF38" s="47"/>
      <c r="CG38" s="47"/>
      <c r="CH38" s="46" t="str">
        <f t="shared" ref="CH38:CL38" si="232">CA38</f>
        <v/>
      </c>
      <c r="CI38" s="47" t="str">
        <f t="shared" si="232"/>
        <v/>
      </c>
      <c r="CJ38" s="47" t="str">
        <f t="shared" si="232"/>
        <v/>
      </c>
      <c r="CK38" s="47" t="str">
        <f t="shared" si="232"/>
        <v/>
      </c>
      <c r="CL38" s="47" t="str">
        <f t="shared" si="232"/>
        <v/>
      </c>
      <c r="CM38" s="47"/>
      <c r="CN38" s="47"/>
      <c r="CO38" s="46" t="str">
        <f t="shared" ref="CO38:CS38" si="233">CH38</f>
        <v/>
      </c>
      <c r="CP38" s="47" t="str">
        <f t="shared" si="233"/>
        <v/>
      </c>
      <c r="CQ38" s="47" t="str">
        <f t="shared" si="233"/>
        <v/>
      </c>
      <c r="CR38" s="47" t="str">
        <f t="shared" si="233"/>
        <v/>
      </c>
      <c r="CS38" s="47" t="str">
        <f t="shared" si="233"/>
        <v/>
      </c>
      <c r="CT38" s="47"/>
      <c r="CU38" s="47"/>
      <c r="CV38" s="46" t="str">
        <f t="shared" ref="CV38:CZ38" si="234">CO38</f>
        <v/>
      </c>
      <c r="CW38" s="47" t="str">
        <f t="shared" si="234"/>
        <v/>
      </c>
      <c r="CX38" s="47" t="str">
        <f t="shared" si="234"/>
        <v/>
      </c>
      <c r="CY38" s="47" t="str">
        <f t="shared" si="234"/>
        <v/>
      </c>
      <c r="CZ38" s="47" t="str">
        <f t="shared" si="234"/>
        <v/>
      </c>
      <c r="DA38" s="47"/>
      <c r="DB38" s="47"/>
      <c r="DC38" s="46" t="str">
        <f t="shared" ref="DC38:DG38" si="235">CV38</f>
        <v/>
      </c>
      <c r="DD38" s="47" t="str">
        <f t="shared" si="235"/>
        <v/>
      </c>
      <c r="DE38" s="47" t="str">
        <f t="shared" si="235"/>
        <v/>
      </c>
      <c r="DF38" s="47" t="str">
        <f t="shared" si="235"/>
        <v/>
      </c>
      <c r="DG38" s="47" t="str">
        <f t="shared" si="235"/>
        <v/>
      </c>
      <c r="DH38" s="47"/>
      <c r="DI38" s="47"/>
      <c r="DJ38" s="46" t="str">
        <f t="shared" ref="DJ38:DN38" si="236">DC38</f>
        <v/>
      </c>
      <c r="DK38" s="47" t="str">
        <f t="shared" si="236"/>
        <v/>
      </c>
      <c r="DL38" s="47" t="str">
        <f t="shared" si="236"/>
        <v/>
      </c>
      <c r="DM38" s="47" t="str">
        <f t="shared" si="236"/>
        <v/>
      </c>
      <c r="DN38" s="47" t="str">
        <f t="shared" si="236"/>
        <v/>
      </c>
      <c r="DO38" s="47"/>
      <c r="DP38" s="47"/>
      <c r="DQ38" s="46" t="str">
        <f t="shared" ref="DQ38:DU38" si="237">DJ38</f>
        <v/>
      </c>
      <c r="DR38" s="47" t="str">
        <f t="shared" si="237"/>
        <v/>
      </c>
      <c r="DS38" s="47" t="str">
        <f t="shared" si="237"/>
        <v/>
      </c>
      <c r="DT38" s="47" t="str">
        <f t="shared" si="237"/>
        <v/>
      </c>
      <c r="DU38" s="47" t="str">
        <f t="shared" si="237"/>
        <v/>
      </c>
      <c r="DV38" s="47"/>
      <c r="DW38" s="47"/>
      <c r="DX38" s="46" t="str">
        <f t="shared" ref="DX38:EB38" si="238">DQ38</f>
        <v/>
      </c>
      <c r="DY38" s="47" t="str">
        <f t="shared" si="238"/>
        <v/>
      </c>
      <c r="DZ38" s="47" t="str">
        <f t="shared" si="238"/>
        <v/>
      </c>
      <c r="EA38" s="47" t="str">
        <f t="shared" si="238"/>
        <v/>
      </c>
      <c r="EB38" s="47" t="str">
        <f t="shared" si="238"/>
        <v/>
      </c>
      <c r="EC38" s="47"/>
      <c r="ED38" s="47"/>
      <c r="EE38" s="46" t="str">
        <f t="shared" ref="EE38:EI38" si="239">DX38</f>
        <v/>
      </c>
      <c r="EF38" s="47" t="str">
        <f t="shared" si="239"/>
        <v/>
      </c>
      <c r="EG38" s="47" t="str">
        <f t="shared" si="239"/>
        <v/>
      </c>
      <c r="EH38" s="47" t="str">
        <f t="shared" si="239"/>
        <v/>
      </c>
      <c r="EI38" s="47" t="str">
        <f t="shared" si="239"/>
        <v/>
      </c>
      <c r="EJ38" s="47"/>
      <c r="EK38" s="47"/>
      <c r="EL38" s="46" t="str">
        <f t="shared" ref="EL38:EP38" si="240">EE38</f>
        <v/>
      </c>
      <c r="EM38" s="47" t="str">
        <f t="shared" si="240"/>
        <v/>
      </c>
      <c r="EN38" s="47" t="str">
        <f t="shared" si="240"/>
        <v/>
      </c>
      <c r="EO38" s="47" t="str">
        <f t="shared" si="240"/>
        <v/>
      </c>
      <c r="EP38" s="47" t="str">
        <f t="shared" si="240"/>
        <v/>
      </c>
      <c r="EQ38" s="47"/>
      <c r="ER38" s="47"/>
    </row>
    <row r="39">
      <c r="A39" s="3"/>
      <c r="B39" s="42"/>
      <c r="C39" s="3"/>
      <c r="D39" s="3"/>
      <c r="E39" s="3"/>
      <c r="F39" s="3"/>
      <c r="G39" s="3"/>
      <c r="H39" s="3"/>
      <c r="I39" s="42"/>
      <c r="J39" s="3"/>
      <c r="K39" s="3"/>
      <c r="L39" s="3"/>
      <c r="M39" s="3"/>
      <c r="N39" s="3"/>
      <c r="O39" s="3"/>
      <c r="P39" s="42"/>
      <c r="Q39" s="3"/>
      <c r="R39" s="3"/>
      <c r="S39" s="3"/>
      <c r="T39" s="3"/>
      <c r="U39" s="3"/>
      <c r="V39" s="3"/>
      <c r="W39" s="42"/>
      <c r="X39" s="3"/>
      <c r="Y39" s="3"/>
      <c r="Z39" s="3"/>
      <c r="AA39" s="3"/>
      <c r="AB39" s="3"/>
      <c r="AC39" s="3"/>
      <c r="AD39" s="42"/>
      <c r="AE39" s="3"/>
      <c r="AF39" s="3"/>
      <c r="AG39" s="3"/>
      <c r="AH39" s="3"/>
      <c r="AI39" s="3"/>
      <c r="AJ39" s="3"/>
      <c r="AK39" s="42"/>
      <c r="AL39" s="3"/>
      <c r="AM39" s="3"/>
      <c r="AN39" s="3"/>
      <c r="AO39" s="3"/>
      <c r="AP39" s="3"/>
      <c r="AQ39" s="3"/>
      <c r="AR39" s="42"/>
      <c r="AS39" s="3"/>
      <c r="AT39" s="3"/>
      <c r="AU39" s="3"/>
      <c r="AV39" s="3"/>
      <c r="AW39" s="3"/>
      <c r="AX39" s="3"/>
      <c r="AY39" s="42"/>
      <c r="AZ39" s="3"/>
      <c r="BA39" s="3"/>
      <c r="BB39" s="3"/>
      <c r="BC39" s="3"/>
      <c r="BD39" s="3"/>
      <c r="BE39" s="3"/>
      <c r="BF39" s="42"/>
      <c r="BG39" s="3"/>
      <c r="BH39" s="3"/>
      <c r="BI39" s="3"/>
      <c r="BJ39" s="3"/>
      <c r="BK39" s="3"/>
      <c r="BL39" s="3"/>
      <c r="BM39" s="42"/>
      <c r="BN39" s="3"/>
      <c r="BO39" s="3"/>
      <c r="BP39" s="3"/>
      <c r="BQ39" s="3"/>
      <c r="BR39" s="3"/>
      <c r="BS39" s="3"/>
      <c r="BT39" s="42"/>
      <c r="BU39" s="3"/>
      <c r="BV39" s="3"/>
      <c r="BW39" s="3"/>
      <c r="BX39" s="3"/>
      <c r="BY39" s="3"/>
      <c r="BZ39" s="3"/>
      <c r="CA39" s="42"/>
      <c r="CB39" s="3"/>
      <c r="CC39" s="3"/>
      <c r="CD39" s="3"/>
      <c r="CE39" s="3"/>
      <c r="CF39" s="3"/>
      <c r="CG39" s="3"/>
      <c r="CH39" s="42"/>
      <c r="CI39" s="3"/>
      <c r="CJ39" s="3"/>
      <c r="CK39" s="3"/>
      <c r="CL39" s="3"/>
      <c r="CM39" s="3"/>
      <c r="CN39" s="3"/>
      <c r="CO39" s="42"/>
      <c r="CP39" s="3"/>
      <c r="CQ39" s="3"/>
      <c r="CR39" s="3"/>
      <c r="CS39" s="3"/>
      <c r="CT39" s="3"/>
      <c r="CU39" s="3"/>
      <c r="CV39" s="42"/>
      <c r="CW39" s="3"/>
      <c r="CX39" s="3"/>
      <c r="CY39" s="3"/>
      <c r="CZ39" s="3"/>
      <c r="DA39" s="3"/>
      <c r="DB39" s="3"/>
      <c r="DC39" s="42"/>
      <c r="DD39" s="3"/>
      <c r="DE39" s="3"/>
      <c r="DF39" s="3"/>
      <c r="DG39" s="3"/>
      <c r="DH39" s="3"/>
      <c r="DI39" s="3"/>
      <c r="DJ39" s="42"/>
      <c r="DK39" s="3"/>
      <c r="DL39" s="3"/>
      <c r="DM39" s="3"/>
      <c r="DN39" s="3"/>
      <c r="DO39" s="3"/>
      <c r="DP39" s="3"/>
      <c r="DQ39" s="42"/>
      <c r="DR39" s="3"/>
      <c r="DS39" s="3"/>
      <c r="DT39" s="3"/>
      <c r="DU39" s="3"/>
      <c r="DV39" s="3"/>
      <c r="DW39" s="3"/>
      <c r="DX39" s="42"/>
      <c r="DY39" s="3"/>
      <c r="DZ39" s="3"/>
      <c r="EA39" s="3"/>
      <c r="EB39" s="3"/>
      <c r="EC39" s="3"/>
      <c r="ED39" s="3"/>
      <c r="EE39" s="42"/>
      <c r="EF39" s="3"/>
      <c r="EG39" s="3"/>
      <c r="EH39" s="3"/>
      <c r="EI39" s="3"/>
      <c r="EJ39" s="3"/>
      <c r="EK39" s="3"/>
      <c r="EL39" s="42"/>
      <c r="EM39" s="3"/>
      <c r="EN39" s="3"/>
      <c r="EO39" s="3"/>
      <c r="EP39" s="3"/>
      <c r="EQ39" s="3"/>
      <c r="ER39" s="3"/>
    </row>
    <row r="40">
      <c r="A40" s="32" t="s">
        <v>82</v>
      </c>
      <c r="B40" s="33"/>
      <c r="C40" s="34"/>
      <c r="D40" s="34"/>
      <c r="E40" s="34"/>
      <c r="F40" s="34"/>
      <c r="G40" s="34"/>
      <c r="H40" s="34"/>
      <c r="I40" s="33"/>
      <c r="J40" s="34"/>
      <c r="K40" s="34"/>
      <c r="L40" s="34"/>
      <c r="M40" s="34"/>
      <c r="N40" s="34"/>
      <c r="O40" s="34"/>
      <c r="P40" s="33"/>
      <c r="Q40" s="34"/>
      <c r="R40" s="34"/>
      <c r="S40" s="34"/>
      <c r="T40" s="34"/>
      <c r="U40" s="34"/>
      <c r="V40" s="34"/>
      <c r="W40" s="33"/>
      <c r="X40" s="34"/>
      <c r="Y40" s="34"/>
      <c r="Z40" s="34"/>
      <c r="AA40" s="34"/>
      <c r="AB40" s="34"/>
      <c r="AC40" s="34"/>
      <c r="AD40" s="33"/>
      <c r="AE40" s="34"/>
      <c r="AF40" s="34"/>
      <c r="AG40" s="34"/>
      <c r="AH40" s="34"/>
      <c r="AI40" s="34"/>
      <c r="AJ40" s="34"/>
      <c r="AK40" s="33"/>
      <c r="AL40" s="34"/>
      <c r="AM40" s="34"/>
      <c r="AN40" s="34"/>
      <c r="AO40" s="34"/>
      <c r="AP40" s="34"/>
      <c r="AQ40" s="34"/>
      <c r="AR40" s="33"/>
      <c r="AS40" s="34"/>
      <c r="AT40" s="34"/>
      <c r="AU40" s="34"/>
      <c r="AV40" s="34"/>
      <c r="AW40" s="34"/>
      <c r="AX40" s="34"/>
      <c r="AY40" s="33"/>
      <c r="AZ40" s="34"/>
      <c r="BA40" s="34"/>
      <c r="BB40" s="34"/>
      <c r="BC40" s="34"/>
      <c r="BD40" s="34"/>
      <c r="BE40" s="34"/>
      <c r="BF40" s="33"/>
      <c r="BG40" s="34"/>
      <c r="BH40" s="34"/>
      <c r="BI40" s="34"/>
      <c r="BJ40" s="34"/>
      <c r="BK40" s="34"/>
      <c r="BL40" s="34"/>
      <c r="BM40" s="33"/>
      <c r="BN40" s="34"/>
      <c r="BO40" s="34"/>
      <c r="BP40" s="34"/>
      <c r="BQ40" s="34"/>
      <c r="BR40" s="34"/>
      <c r="BS40" s="34"/>
      <c r="BT40" s="33"/>
      <c r="BU40" s="34"/>
      <c r="BV40" s="34"/>
      <c r="BW40" s="34"/>
      <c r="BX40" s="34"/>
      <c r="BY40" s="34"/>
      <c r="BZ40" s="34"/>
      <c r="CA40" s="33"/>
      <c r="CB40" s="34"/>
      <c r="CC40" s="34"/>
      <c r="CD40" s="34"/>
      <c r="CE40" s="34"/>
      <c r="CF40" s="34"/>
      <c r="CG40" s="34"/>
      <c r="CH40" s="33"/>
      <c r="CI40" s="34"/>
      <c r="CJ40" s="34"/>
      <c r="CK40" s="34"/>
      <c r="CL40" s="34"/>
      <c r="CM40" s="34"/>
      <c r="CN40" s="34"/>
      <c r="CO40" s="33"/>
      <c r="CP40" s="34"/>
      <c r="CQ40" s="34"/>
      <c r="CR40" s="34"/>
      <c r="CS40" s="34"/>
      <c r="CT40" s="34"/>
      <c r="CU40" s="34"/>
      <c r="CV40" s="33"/>
      <c r="CW40" s="34"/>
      <c r="CX40" s="34"/>
      <c r="CY40" s="34"/>
      <c r="CZ40" s="34"/>
      <c r="DA40" s="34"/>
      <c r="DB40" s="34"/>
      <c r="DC40" s="33"/>
      <c r="DD40" s="34"/>
      <c r="DE40" s="34"/>
      <c r="DF40" s="34"/>
      <c r="DG40" s="34"/>
      <c r="DH40" s="34"/>
      <c r="DI40" s="34"/>
      <c r="DJ40" s="33"/>
      <c r="DK40" s="34"/>
      <c r="DL40" s="34"/>
      <c r="DM40" s="34"/>
      <c r="DN40" s="34"/>
      <c r="DO40" s="34"/>
      <c r="DP40" s="34"/>
      <c r="DQ40" s="33"/>
      <c r="DR40" s="34"/>
      <c r="DS40" s="34"/>
      <c r="DT40" s="34"/>
      <c r="DU40" s="34"/>
      <c r="DV40" s="34"/>
      <c r="DW40" s="34"/>
      <c r="DX40" s="33"/>
      <c r="DY40" s="34"/>
      <c r="DZ40" s="34"/>
      <c r="EA40" s="34"/>
      <c r="EB40" s="34"/>
      <c r="EC40" s="34"/>
      <c r="ED40" s="34"/>
      <c r="EE40" s="35" t="s">
        <v>77</v>
      </c>
      <c r="EF40" s="36"/>
      <c r="EG40" s="36"/>
      <c r="EH40" s="36"/>
      <c r="EI40" s="36"/>
      <c r="EJ40" s="36"/>
      <c r="EK40" s="36"/>
      <c r="EL40" s="33"/>
      <c r="EM40" s="34"/>
      <c r="EN40" s="34"/>
      <c r="EO40" s="34"/>
      <c r="EP40" s="34"/>
      <c r="EQ40" s="34"/>
      <c r="ER40" s="34"/>
    </row>
    <row r="41" hidden="1">
      <c r="A41" s="37" t="str">
        <f>CONCATENATE(A42," TM")</f>
        <v>OHP TM</v>
      </c>
      <c r="B41" s="38">
        <f>if(D41="",'Quick Setup'!D8,D41/'Quick Setup'!E8)</f>
        <v>200</v>
      </c>
      <c r="C41" s="39" t="s">
        <v>75</v>
      </c>
      <c r="D41" s="40"/>
      <c r="E41" s="41"/>
      <c r="F41" s="41"/>
      <c r="G41" s="41"/>
      <c r="H41" s="41"/>
      <c r="I41" s="38">
        <f>if(K41="", if(F42&lt;&gt;"", if((F42-D42)&lt;-1,B41*(1+Setup!F6),if((F42-D42)&lt;0,B41*(1+Setup!G6),if((F42-D42)=0,B41*(1+Setup!H6),if((F42-D42)=1,B41*(1+Setup!I6),if((F42-D42)=2,B41*(1+Setup!J6),if((F42-D42)=3,B41*(1+Setup!K6),if((F42-D42)=4,B41*(1+Setup!L6),if((F42-D42)&gt;4,B41*(1+Setup!M6),B41)))))))),B41),K41/'Quick Setup'!$E8)</f>
        <v>200</v>
      </c>
      <c r="J41" s="39" t="s">
        <v>75</v>
      </c>
      <c r="K41" s="40"/>
      <c r="L41" s="41"/>
      <c r="M41" s="41"/>
      <c r="N41" s="41"/>
      <c r="O41" s="41"/>
      <c r="P41" s="38">
        <f>if(R41="", if(M42&lt;&gt;"", if((M42-K42)&lt;-1,I41*(1+Setup!R6),if((M42-K42)&lt;0,I41*(1+Setup!S6),if((M42-K42)=0,I41*(1+Setup!T6),if((M42-K42)=1,I41*(1+Setup!U6),if((M42-K42)=2,I41*(1+Setup!V6),if((M42-K42)=3,I41*(1+Setup!W6),if((M42-K42)=4,I41*(1+Setup!X6),if((M42-K42)&gt;4,I41*(1+Setup!Y6),I41)))))))),I41),R41/'Quick Setup'!$E8)</f>
        <v>200</v>
      </c>
      <c r="Q41" s="39" t="s">
        <v>75</v>
      </c>
      <c r="R41" s="40"/>
      <c r="S41" s="41"/>
      <c r="T41" s="41"/>
      <c r="U41" s="41"/>
      <c r="V41" s="41"/>
      <c r="W41" s="38">
        <f>if(Y41="", if(T42&lt;&gt;"", if((T42-R42)&lt;-1,P41*(1+Setup!AD6),if((T42-R42)&lt;0,P41*(1+Setup!AE6),if((T42-R42)=0,P41*(1+Setup!AF6),if((T42-R42)=1,P41*(1+Setup!AG6),if((T42-R42)=2,P41*(1+Setup!AH6),if((T42-R42)=3,P41*(1+Setup!AI6),if((T42-R42)=4,P41*(1+Setup!AJ6),if((T42-R42)&gt;4,P41*(1+Setup!AK6),P41)))))))),P41),Y41/'Quick Setup'!$E8)</f>
        <v>200</v>
      </c>
      <c r="X41" s="39" t="s">
        <v>75</v>
      </c>
      <c r="Y41" s="40"/>
      <c r="Z41" s="41"/>
      <c r="AA41" s="41"/>
      <c r="AB41" s="41"/>
      <c r="AC41" s="41"/>
      <c r="AD41" s="38">
        <f>if(AF41="", if(AA42&lt;&gt;"", if((AA42-Y42)&lt;-1,W41*(1+Setup!AP6),if((AA42-Y42)&lt;0,W41*(1+Setup!AQ6),if((AA42-Y42)=0,W41*(1+Setup!AR6),if((AA42-Y42)=1,W41*(1+Setup!AS6),if((AA42-Y42)=2,W41*(1+Setup!AT6),if((AA42-Y42)=3,W41*(1+Setup!AU6),if((AA42-Y42)=4,W41*(1+Setup!AV6),if((AA42-Y42)&gt;4,W41*(1+Setup!AW6),W41)))))))),W41),AF41/'Quick Setup'!$E8)</f>
        <v>200</v>
      </c>
      <c r="AE41" s="39" t="s">
        <v>75</v>
      </c>
      <c r="AF41" s="40"/>
      <c r="AG41" s="41"/>
      <c r="AH41" s="41"/>
      <c r="AI41" s="41"/>
      <c r="AJ41" s="41"/>
      <c r="AK41" s="38">
        <f>if(AM41="", if(AH42&lt;&gt;"", if((AH42-AF42)&lt;-1,AD41*(1+Setup!BB6),if((AH42-AF42)&lt;0,AD41*(1+Setup!BC6),if((AH42-AF42)=0,AD41*(1+Setup!BD6),if((AH42-AF42)=1,AD41*(1+Setup!BE6),if((AH42-AF42)=2,AD41*(1+Setup!BF6),if((AH42-AF42)=3,AD41*(1+Setup!BG6),if((AH42-AF42)=4,AD41*(1+Setup!BH6),if((AH42-AF42)&gt;4,AD41*(1+Setup!BI6),AD41)))))))),AD41),AM41/'Quick Setup'!$E8)</f>
        <v>200</v>
      </c>
      <c r="AL41" s="39" t="s">
        <v>75</v>
      </c>
      <c r="AM41" s="40"/>
      <c r="AN41" s="41"/>
      <c r="AO41" s="41"/>
      <c r="AP41" s="41"/>
      <c r="AQ41" s="41"/>
      <c r="AR41" s="38">
        <f>if(AT41="", if(AO42&lt;&gt;"", if((AO42-AM42)&lt;-1,AK41*(1+Setup!BN6),if((AO42-AM42)&lt;0,AK41*(1+Setup!BO6),if((AO42-AM42)=0,AK41*(1+Setup!BP6),if((AO42-AM42)=1,AK41*(1+Setup!BQ6),if((AO42-AM42)=2,AK41*(1+Setup!BR6),if((AO42-AM42)=3,AK41*(1+Setup!BS6),if((AO42-AM42)=4,AK41*(1+Setup!BT6),if((AO42-AM42)&gt;4,AK41*(1+Setup!BU6),AK41)))))))),AK41),AT41/'Quick Setup'!$E8)</f>
        <v>200</v>
      </c>
      <c r="AS41" s="39" t="s">
        <v>75</v>
      </c>
      <c r="AT41" s="40"/>
      <c r="AU41" s="41"/>
      <c r="AV41" s="41"/>
      <c r="AW41" s="41"/>
      <c r="AX41" s="41"/>
      <c r="AY41" s="38">
        <f>if(BA41="",AR41,BA41/'Quick Setup'!$E8)</f>
        <v>200</v>
      </c>
      <c r="AZ41" s="39" t="s">
        <v>75</v>
      </c>
      <c r="BA41" s="40"/>
      <c r="BB41" s="41"/>
      <c r="BC41" s="41"/>
      <c r="BD41" s="41"/>
      <c r="BE41" s="41"/>
      <c r="BF41" s="38">
        <f>if(BH41="", if(BC42&lt;&gt;"", if((BC42-BA42)&lt;-1,AY41*(1+Setup!CL6),if((BC42-BA42)&lt;0,AY41*(1+Setup!CM6),if((BC42-BA42)=0,AY41*(1+Setup!CN6),if((BC42-BA42)=1,AY41*(1+Setup!CO6),if((BC42-BA42)=2,AY41*(1+Setup!CP6),if((BC42-BA42)=3,AY41*(1+Setup!CQ6),if((BC42-BA42)=4,AY41*(1+Setup!CR6),if((BC42-BA42)&gt;4,AY41*(1+Setup!CS6),AY41)))))))),AY41),BH41/'Quick Setup'!$E8)</f>
        <v>200</v>
      </c>
      <c r="BG41" s="39" t="s">
        <v>75</v>
      </c>
      <c r="BH41" s="40"/>
      <c r="BI41" s="41"/>
      <c r="BJ41" s="41"/>
      <c r="BK41" s="41"/>
      <c r="BL41" s="41"/>
      <c r="BM41" s="38">
        <f>if(BO41="", if(BJ42&lt;&gt;"", if((BJ42-BH42)&lt;-1,BF41*(1+Setup!CX6),if((BJ42-BH42)&lt;0,BF41*(1+Setup!CY6),if((BJ42-BH42)=0,BF41*(1+Setup!CZ6),if((BJ42-BH42)=1,BF41*(1+Setup!DA6),if((BJ42-BH42)=2,BF41*(1+Setup!DB6),if((BJ42-BH42)=3,BF41*(1+Setup!DC6),if((BJ42-BH42)=4,BF41*(1+Setup!DD6),if((BJ42-BH42)&gt;4,BF41*(1+Setup!DE6),BF41)))))))),BF41),BO41/'Quick Setup'!$E8)</f>
        <v>200</v>
      </c>
      <c r="BN41" s="39" t="s">
        <v>75</v>
      </c>
      <c r="BO41" s="40"/>
      <c r="BP41" s="41"/>
      <c r="BQ41" s="41"/>
      <c r="BR41" s="41"/>
      <c r="BS41" s="41"/>
      <c r="BT41" s="38">
        <f>if(BV41="", if(BQ42&lt;&gt;"", if((BQ42-BO42)&lt;-1,BM41*(1+Setup!DJ6),if((BQ42-BO42)&lt;0,BM41*(1+Setup!DK6),if((BQ42-BO42)=0,BM41*(1+Setup!DL6),if((BQ42-BO42)=1,BM41*(1+Setup!DM6),if((BQ42-BO42)=2,BM41*(1+Setup!DN6),if((BQ42-BO42)=3,BM41*(1+Setup!DO6),if((BQ42-BO42)=4,BM41*(1+Setup!DP6),if((BQ42-BO42)&gt;4,BM41*(1+Setup!DQ6),BM41)))))))),BM41),BV41/'Quick Setup'!$E8)</f>
        <v>200</v>
      </c>
      <c r="BU41" s="39" t="s">
        <v>75</v>
      </c>
      <c r="BV41" s="40"/>
      <c r="BW41" s="41"/>
      <c r="BX41" s="41"/>
      <c r="BY41" s="41"/>
      <c r="BZ41" s="41"/>
      <c r="CA41" s="38">
        <f>if(CC41="", if(BX42&lt;&gt;"", if((BX42-BV42)&lt;-1,BT41*(1+Setup!DV6),if((BX42-BV42)&lt;0,BT41*(1+Setup!DW6),if((BX42-BV42)=0,BT41*(1+Setup!DX6),if((BX42-BV42)=1,BT41*(1+Setup!DY6),if((BX42-BV42)=2,BT41*(1+Setup!DZ6),if((BX42-BV42)=3,BT41*(1+Setup!EA6),if((BX42-BV42)=4,BT41*(1+Setup!EB6),if((BX42-BV42)&gt;4,BT41*(1+Setup!EC6),BT41)))))))),BT41),CC41/'Quick Setup'!$E8)</f>
        <v>200</v>
      </c>
      <c r="CB41" s="39" t="s">
        <v>75</v>
      </c>
      <c r="CC41" s="40"/>
      <c r="CD41" s="41"/>
      <c r="CE41" s="41"/>
      <c r="CF41" s="41"/>
      <c r="CG41" s="41"/>
      <c r="CH41" s="38">
        <f>if(CJ41="", if(CE42&lt;&gt;"", if((CE42-CC42)&lt;-1,CA41*(1+Setup!EH6),if((CE42-CC42)&lt;0,CA41*(1+Setup!EI6),if((CE42-CC42)=0,CA41*(1+Setup!EJ6),if((CE42-CC42)=1,CA41*(1+Setup!EK6),if((CE42-CC42)=2,CA41*(1+Setup!EL6),if((CE42-CC42)=3,CA41*(1+Setup!EM6),if((CE42-CC42)=4,CA41*(1+Setup!EN6),if((CE42-CC42)&gt;4,CA41*(1+Setup!EO6),CA41)))))))),CA41),CJ41/'Quick Setup'!$E8)</f>
        <v>200</v>
      </c>
      <c r="CI41" s="39" t="s">
        <v>75</v>
      </c>
      <c r="CJ41" s="40"/>
      <c r="CK41" s="41"/>
      <c r="CL41" s="41"/>
      <c r="CM41" s="41"/>
      <c r="CN41" s="41"/>
      <c r="CO41" s="38">
        <f>if(CQ41="", if(CL42&lt;&gt;"", if((CL42-CJ42)&lt;-1,CH41*(1+Setup!ET6),if((CL42-CJ42)&lt;0,CH41*(1+Setup!EU6),if((CL42-CJ42)=0,CH41*(1+Setup!EV6),if((CL42-CJ42)=1,CH41*(1+Setup!EW6),if((CL42-CJ42)=2,CH41*(1+Setup!EX6),if((CL42-CJ42)=3,CH41*(1+Setup!EY6),if((CL42-CJ42)=4,CH41*(1+Setup!EZ6),if((CL42-CJ42)&gt;4,CH41*(1+Setup!FA6),CH41)))))))),CH41),CQ41/'Quick Setup'!$E8)</f>
        <v>200</v>
      </c>
      <c r="CP41" s="39" t="s">
        <v>75</v>
      </c>
      <c r="CQ41" s="40"/>
      <c r="CR41" s="41"/>
      <c r="CS41" s="41"/>
      <c r="CT41" s="41"/>
      <c r="CU41" s="41"/>
      <c r="CV41" s="38">
        <f>if(CX41="",CO41,CX41/'Quick Setup'!$E8)</f>
        <v>200</v>
      </c>
      <c r="CW41" s="39" t="s">
        <v>75</v>
      </c>
      <c r="CX41" s="40"/>
      <c r="CY41" s="41"/>
      <c r="CZ41" s="41"/>
      <c r="DA41" s="41"/>
      <c r="DB41" s="41"/>
      <c r="DC41" s="38">
        <f>if(DE41="", if(CZ42&lt;&gt;"", if((CZ42-CX42)&lt;-1,CV41*(1+Setup!FR6),if((CZ42-CX42)&lt;0,CV41*(1+Setup!FS6),if((CZ42-CX42)=0,CV41*(1+Setup!FT6),if((CZ42-CX42)=1,CV41*(1+Setup!FU6),if((CZ42-CX42)=2,CV41*(1+Setup!FV6),if((CZ42-CX42)=3,CV41*(1+Setup!FW6),if((CZ42-CX42)=4,CV41*(1+Setup!FX6),if((CZ42-CX42)&gt;4,CV41*(1+Setup!FY6),CV41)))))))),CV41),DE41/'Quick Setup'!$E8)</f>
        <v>200</v>
      </c>
      <c r="DD41" s="39" t="s">
        <v>75</v>
      </c>
      <c r="DE41" s="40"/>
      <c r="DF41" s="41"/>
      <c r="DG41" s="41"/>
      <c r="DH41" s="41"/>
      <c r="DI41" s="41"/>
      <c r="DJ41" s="38">
        <f>if(DL41="", if(DG42&lt;&gt;"", if((DG42-DE42)&lt;-1,DC41*(1+Setup!GD6),if((DG42-DE42)&lt;0,DC41*(1+Setup!GE6),if((DG42-DE42)=0,DC41*(1+Setup!GF6),if((DG42-DE42)=1,DC41*(1+Setup!GG6),if((DG42-DE42)=2,DC41*(1+Setup!GH6),if((DG42-DE42)=3,DC41*(1+Setup!GI6),if((DG42-DE42)=4,DC41*(1+Setup!GJ6),if((DG42-DE42)&gt;4,DC41*(1+Setup!GK6),DC41)))))))),DC41),DL41/'Quick Setup'!$E8)</f>
        <v>200</v>
      </c>
      <c r="DK41" s="39" t="s">
        <v>75</v>
      </c>
      <c r="DL41" s="40"/>
      <c r="DM41" s="41"/>
      <c r="DN41" s="41"/>
      <c r="DO41" s="41"/>
      <c r="DP41" s="41"/>
      <c r="DQ41" s="38">
        <f>if(DS41="", if(DN42&lt;&gt;"", if((DN42-DL42)&lt;-1,DJ41*(1+Setup!GP6),if((DN42-DL42)&lt;0,DJ41*(1+Setup!GQ6),if((DN42-DL42)=0,DJ41*(1+Setup!GR6),if((DN42-DL42)=1,DJ41*(1+Setup!GS6),if((DN42-DL42)=2,DJ41*(1+Setup!GT6),if((DN42-DL42)=3,DJ41*(1+Setup!GU6),if((DN42-DL42)=4,DJ41*(1+Setup!GV6),if((DN42-DL42)&gt;4,DJ41*(1+Setup!GW6),DJ41)))))))),DJ41),DS41/'Quick Setup'!$E8)</f>
        <v>200</v>
      </c>
      <c r="DR41" s="39" t="s">
        <v>75</v>
      </c>
      <c r="DS41" s="40"/>
      <c r="DT41" s="41"/>
      <c r="DU41" s="41"/>
      <c r="DV41" s="41"/>
      <c r="DW41" s="41"/>
      <c r="DX41" s="38">
        <f>if(DZ41="", if(DU42&lt;&gt;"", if((DU42-DS42)&lt;-1,DQ41*(1+Setup!HB6),if((DU42-DS42)&lt;0,DQ41*(1+Setup!HC6),if((DU42-DS42)=0,DQ41*(1+Setup!HD6),if((DU42-DS42)=1,DQ41*(1+Setup!HE6),if((DU42-DS42)=2,DQ41*(1+Setup!HF6),if((DU42-DS42)=3,DQ41*(1+Setup!HG6),if((DU42-DS42)=4,DQ41*(1+Setup!HH6),if((DU42-DS42)&gt;4,DQ41*(1+Setup!HI6),DQ41)))))))),DQ41),DZ41/'Quick Setup'!$E8)</f>
        <v>200</v>
      </c>
      <c r="DY41" s="39" t="s">
        <v>75</v>
      </c>
      <c r="DZ41" s="40"/>
      <c r="EA41" s="41"/>
      <c r="EB41" s="41"/>
      <c r="EC41" s="41"/>
      <c r="ED41" s="41"/>
      <c r="EE41" s="38">
        <f>if(EG41="", if(EB42&lt;&gt;"", if((EB42-DZ42)&lt;-1,DX41*(1+Setup!HN6),if((EB42-DZ42)&lt;0,DX41*(1+Setup!HO6),if((EB42-DZ42)=0,DX41*(1+Setup!HP6),if((EB42-DZ42)=1,DX41*(1+Setup!HQ6),if((EB42-DZ42)=2,DX41*(1+Setup!HR6),if((EB42-DZ42)=3,DX41*(1+Setup!HS6),if((EB42-DZ42)=4,DX41*(1+Setup!HT6),if((EB42-DZ42)&gt;4,DX41*(1+Setup!HU6),DX41)))))))),DX41),EG41/'Quick Setup'!$E8)</f>
        <v>200</v>
      </c>
      <c r="EF41" s="39" t="s">
        <v>75</v>
      </c>
      <c r="EG41" s="40"/>
      <c r="EH41" s="41"/>
      <c r="EI41" s="41"/>
      <c r="EJ41" s="41"/>
      <c r="EK41" s="41"/>
      <c r="EL41" s="38">
        <f>if(EN41="", if(EI42&lt;&gt;"", if((EI42-EG42)&lt;-1,EE41*(1+Setup!HZ6),if((EI42-EG42)&lt;0,EE41*(1+Setup!IA6),if((EI42-EG42)=0,EE41*(1+Setup!IB6),if((EI42-EG42)=1,EE41*(1+Setup!IC6),if((EI42-EG42)=2,EE41*(1+Setup!ID6),if((EI42-EG42)=3,EE41*(1+Setup!IE6),if((EI42-EG42)=4,EE41*(1+Setup!IF6),if((EI42-EG42)&gt;4,EE41*(1+Setup!IG6),EE41)))))))),EE41),EN41/'Quick Setup'!$E8)</f>
        <v>200</v>
      </c>
      <c r="EM41" s="39" t="s">
        <v>75</v>
      </c>
      <c r="EN41" s="40"/>
      <c r="EO41" s="41"/>
      <c r="EP41" s="41"/>
      <c r="EQ41" s="41"/>
      <c r="ER41" s="41"/>
    </row>
    <row r="42">
      <c r="A42" s="1" t="str">
        <f>Setup!A6</f>
        <v>OHP</v>
      </c>
      <c r="B42" s="42">
        <f>mround(B41*Setup!B6,'Quick Setup'!$A$2)</f>
        <v>140</v>
      </c>
      <c r="C42" s="3">
        <f>Setup!C6</f>
        <v>5</v>
      </c>
      <c r="D42" s="3">
        <f>Setup!D6</f>
        <v>10</v>
      </c>
      <c r="E42" s="3">
        <f>Setup!E6</f>
        <v>5</v>
      </c>
      <c r="F42" s="10"/>
      <c r="G42" s="10"/>
      <c r="H42" s="10"/>
      <c r="I42" s="42">
        <f>mround(I41*Setup!N6,'Quick Setup'!$A$2)</f>
        <v>150</v>
      </c>
      <c r="J42" s="3">
        <f>Setup!O6</f>
        <v>4</v>
      </c>
      <c r="K42" s="3">
        <f>Setup!P6</f>
        <v>8</v>
      </c>
      <c r="L42" s="3">
        <f>Setup!Q6</f>
        <v>5</v>
      </c>
      <c r="M42" s="10"/>
      <c r="N42" s="10"/>
      <c r="O42" s="10"/>
      <c r="P42" s="42">
        <f>mround(P41*Setup!Z6,'Quick Setup'!$A$2)</f>
        <v>160</v>
      </c>
      <c r="Q42" s="3">
        <f>Setup!AA6</f>
        <v>3</v>
      </c>
      <c r="R42" s="3">
        <f>Setup!AB6</f>
        <v>6</v>
      </c>
      <c r="S42" s="3">
        <f>Setup!AC6</f>
        <v>5</v>
      </c>
      <c r="T42" s="10"/>
      <c r="U42" s="10"/>
      <c r="V42" s="10"/>
      <c r="W42" s="42">
        <f>mround(W41*Setup!AL6,'Quick Setup'!$A$2)</f>
        <v>145</v>
      </c>
      <c r="X42" s="3">
        <f>Setup!AM6</f>
        <v>5</v>
      </c>
      <c r="Y42" s="3">
        <f>Setup!AN6</f>
        <v>9</v>
      </c>
      <c r="Z42" s="3">
        <f>Setup!AO6</f>
        <v>5</v>
      </c>
      <c r="AA42" s="10"/>
      <c r="AB42" s="10"/>
      <c r="AC42" s="10"/>
      <c r="AD42" s="42">
        <f>mround(AD41*Setup!AX6,'Quick Setup'!$A$2)</f>
        <v>155</v>
      </c>
      <c r="AE42" s="3">
        <f>Setup!AY6</f>
        <v>4</v>
      </c>
      <c r="AF42" s="3">
        <f>Setup!AZ6</f>
        <v>7</v>
      </c>
      <c r="AG42" s="3">
        <f>Setup!BA6</f>
        <v>5</v>
      </c>
      <c r="AH42" s="10"/>
      <c r="AI42" s="10"/>
      <c r="AJ42" s="10"/>
      <c r="AK42" s="42">
        <f>mround(AK41*Setup!BJ6,'Quick Setup'!$A$2)</f>
        <v>165</v>
      </c>
      <c r="AL42" s="3">
        <f>Setup!BK6</f>
        <v>3</v>
      </c>
      <c r="AM42" s="3">
        <f>Setup!BL6</f>
        <v>5</v>
      </c>
      <c r="AN42" s="3">
        <f>Setup!BM6</f>
        <v>5</v>
      </c>
      <c r="AO42" s="10"/>
      <c r="AP42" s="10"/>
      <c r="AQ42" s="10"/>
      <c r="AR42" s="42">
        <f>mround(AR41*Setup!BV6,'Quick Setup'!$A$2)</f>
        <v>120</v>
      </c>
      <c r="AS42" s="1">
        <v>5.0</v>
      </c>
      <c r="AT42" s="1" t="s">
        <v>78</v>
      </c>
      <c r="AU42" s="3">
        <f>Setup!BY6</f>
        <v>5</v>
      </c>
      <c r="AV42" s="10"/>
      <c r="AW42" s="10"/>
      <c r="AX42" s="10"/>
      <c r="AY42" s="42">
        <f>mround(AY41*Setup!CH6,'Quick Setup'!$A$2)</f>
        <v>150</v>
      </c>
      <c r="AZ42" s="3">
        <f>Setup!CI6</f>
        <v>4</v>
      </c>
      <c r="BA42" s="3">
        <f>Setup!CJ6</f>
        <v>8</v>
      </c>
      <c r="BB42" s="3">
        <f>Setup!CK6</f>
        <v>5</v>
      </c>
      <c r="BC42" s="10"/>
      <c r="BD42" s="10"/>
      <c r="BE42" s="10"/>
      <c r="BF42" s="42">
        <f>mround(BF41*Setup!CT6,'Quick Setup'!$A$2)</f>
        <v>160</v>
      </c>
      <c r="BG42" s="3">
        <f>Setup!CU6</f>
        <v>3</v>
      </c>
      <c r="BH42" s="3">
        <f>Setup!CV6</f>
        <v>6</v>
      </c>
      <c r="BI42" s="3">
        <f>Setup!CW6</f>
        <v>5</v>
      </c>
      <c r="BJ42" s="10"/>
      <c r="BK42" s="10"/>
      <c r="BL42" s="10"/>
      <c r="BM42" s="42">
        <f>mround(BM41*Setup!DF6,'Quick Setup'!$A$2)</f>
        <v>170</v>
      </c>
      <c r="BN42" s="3">
        <f>Setup!DG6</f>
        <v>2</v>
      </c>
      <c r="BO42" s="3">
        <f>Setup!DH6</f>
        <v>4</v>
      </c>
      <c r="BP42" s="3">
        <f>Setup!DI6</f>
        <v>5</v>
      </c>
      <c r="BQ42" s="10"/>
      <c r="BR42" s="10"/>
      <c r="BS42" s="10"/>
      <c r="BT42" s="42">
        <f>mround(BT41*Setup!DR6,'Quick Setup'!$A$2)</f>
        <v>155</v>
      </c>
      <c r="BU42" s="3">
        <f>Setup!DS6</f>
        <v>4</v>
      </c>
      <c r="BV42" s="3">
        <f>Setup!DT6</f>
        <v>7</v>
      </c>
      <c r="BW42" s="3">
        <f>Setup!DU6</f>
        <v>5</v>
      </c>
      <c r="BX42" s="10"/>
      <c r="BY42" s="10"/>
      <c r="BZ42" s="10"/>
      <c r="CA42" s="42">
        <f>mround(CA41*Setup!ED6,'Quick Setup'!$A$2)</f>
        <v>165</v>
      </c>
      <c r="CB42" s="3">
        <f>Setup!EE6</f>
        <v>3</v>
      </c>
      <c r="CC42" s="3">
        <f>Setup!EF6</f>
        <v>5</v>
      </c>
      <c r="CD42" s="3">
        <f>Setup!EG6</f>
        <v>5</v>
      </c>
      <c r="CE42" s="10"/>
      <c r="CF42" s="10"/>
      <c r="CG42" s="10"/>
      <c r="CH42" s="42">
        <f>mround(CH41*Setup!EP6,'Quick Setup'!$A$2)</f>
        <v>175</v>
      </c>
      <c r="CI42" s="3">
        <f>Setup!EQ6</f>
        <v>2</v>
      </c>
      <c r="CJ42" s="3">
        <f>Setup!ER6</f>
        <v>3</v>
      </c>
      <c r="CK42" s="3">
        <f>Setup!ES6</f>
        <v>5</v>
      </c>
      <c r="CL42" s="10"/>
      <c r="CM42" s="10"/>
      <c r="CN42" s="10"/>
      <c r="CO42" s="42">
        <f>mround(CO41*Setup!FB6,'Quick Setup'!$A$2)</f>
        <v>120</v>
      </c>
      <c r="CP42" s="1">
        <v>5.0</v>
      </c>
      <c r="CQ42" s="1" t="s">
        <v>78</v>
      </c>
      <c r="CR42" s="3">
        <f>Setup!FE6</f>
        <v>5</v>
      </c>
      <c r="CS42" s="10"/>
      <c r="CT42" s="10"/>
      <c r="CU42" s="10"/>
      <c r="CV42" s="42">
        <f>mround(CV41*Setup!FN6,'Quick Setup'!$A$2)</f>
        <v>160</v>
      </c>
      <c r="CW42" s="3">
        <f>Setup!FO6</f>
        <v>3</v>
      </c>
      <c r="CX42" s="3">
        <f>Setup!FP6</f>
        <v>6</v>
      </c>
      <c r="CY42" s="3">
        <f>Setup!FQ6</f>
        <v>5</v>
      </c>
      <c r="CZ42" s="10"/>
      <c r="DA42" s="10"/>
      <c r="DB42" s="10"/>
      <c r="DC42" s="42">
        <f>mround(DC41*Setup!FZ6,'Quick Setup'!$A$2)</f>
        <v>170</v>
      </c>
      <c r="DD42" s="3">
        <f>Setup!GA6</f>
        <v>2</v>
      </c>
      <c r="DE42" s="3">
        <f>Setup!GB6</f>
        <v>4</v>
      </c>
      <c r="DF42" s="3">
        <f>Setup!GC6</f>
        <v>5</v>
      </c>
      <c r="DG42" s="10"/>
      <c r="DH42" s="10"/>
      <c r="DI42" s="10"/>
      <c r="DJ42" s="42">
        <f>mround(DJ41*Setup!GL6,'Quick Setup'!$A$2)</f>
        <v>180</v>
      </c>
      <c r="DK42" s="3">
        <f>Setup!GM6</f>
        <v>1</v>
      </c>
      <c r="DL42" s="3">
        <f>Setup!GN6</f>
        <v>2</v>
      </c>
      <c r="DM42" s="3">
        <f>Setup!GO6</f>
        <v>5</v>
      </c>
      <c r="DN42" s="10"/>
      <c r="DO42" s="10"/>
      <c r="DP42" s="10"/>
      <c r="DQ42" s="42">
        <f>mround(DQ41*Setup!GX6,'Quick Setup'!$A$2)</f>
        <v>170</v>
      </c>
      <c r="DR42" s="3">
        <f>Setup!GY6</f>
        <v>2</v>
      </c>
      <c r="DS42" s="3">
        <f>Setup!GZ6</f>
        <v>4</v>
      </c>
      <c r="DT42" s="3">
        <f>Setup!HA6</f>
        <v>5</v>
      </c>
      <c r="DU42" s="10"/>
      <c r="DV42" s="10"/>
      <c r="DW42" s="10"/>
      <c r="DX42" s="42">
        <f>mround(DX41*Setup!HJ6,'Quick Setup'!$A$2)</f>
        <v>180</v>
      </c>
      <c r="DY42" s="3">
        <f>Setup!HK6</f>
        <v>1</v>
      </c>
      <c r="DZ42" s="3">
        <f>Setup!HL6</f>
        <v>2</v>
      </c>
      <c r="EA42" s="3">
        <f>Setup!HM6</f>
        <v>5</v>
      </c>
      <c r="EB42" s="10"/>
      <c r="EC42" s="10"/>
      <c r="ED42" s="10"/>
      <c r="EE42" s="42">
        <f>mround(EE41*Setup!HV6,'Quick Setup'!$A$2)</f>
        <v>190</v>
      </c>
      <c r="EF42" s="3">
        <f>Setup!HW6</f>
        <v>1</v>
      </c>
      <c r="EG42" s="3">
        <f>Setup!HX6</f>
        <v>1</v>
      </c>
      <c r="EH42" s="3">
        <f>Setup!HY6</f>
        <v>5</v>
      </c>
      <c r="EI42" s="10"/>
      <c r="EJ42" s="10"/>
      <c r="EK42" s="10"/>
      <c r="EL42" s="42">
        <f>mround(EL41*Setup!IH6,'Quick Setup'!$A$2)</f>
        <v>120</v>
      </c>
      <c r="EM42" s="1">
        <v>5.0</v>
      </c>
      <c r="EN42" s="1" t="s">
        <v>78</v>
      </c>
      <c r="EO42" s="3">
        <f>Setup!IK6</f>
        <v>5</v>
      </c>
      <c r="EP42" s="10"/>
      <c r="EQ42" s="10"/>
      <c r="ER42" s="10"/>
    </row>
    <row r="43" hidden="1">
      <c r="A43" s="37" t="str">
        <f>CONCATENATE(A44," TM")</f>
        <v>Close Grip Bench TM</v>
      </c>
      <c r="B43" s="38">
        <f>if(D43="",'Quick Setup'!D13,D43/'Quick Setup'!E13)</f>
        <v>310</v>
      </c>
      <c r="C43" s="39" t="s">
        <v>75</v>
      </c>
      <c r="D43" s="40"/>
      <c r="E43" s="41"/>
      <c r="F43" s="41"/>
      <c r="G43" s="41"/>
      <c r="H43" s="41"/>
      <c r="I43" s="38">
        <f>if(K43="", if(F44&lt;&gt;"", if((F44-D44)&lt;-1,B43*(1+Setup!F11),if((F44-D44)&lt;0,B43*(1+Setup!G11),if((F44-D44)=0,B43*(1+Setup!H11),if((F44-D44)=1,B43*(1+Setup!I11),if((F44-D44)=2,B43*(1+Setup!J11),if((F44-D44)=3,B43*(1+Setup!K11),if((F44-D44)=4,B43*(1+Setup!L11),if((F44-D44)&gt;4,B43*(1+Setup!M11),B43)))))))),B43),K43/'Quick Setup'!$E13)</f>
        <v>310</v>
      </c>
      <c r="J43" s="39" t="s">
        <v>75</v>
      </c>
      <c r="K43" s="40"/>
      <c r="L43" s="41"/>
      <c r="M43" s="41"/>
      <c r="N43" s="41"/>
      <c r="O43" s="41"/>
      <c r="P43" s="38">
        <f>if(R43="", if(M44&lt;&gt;"", if((M44-K44)&lt;-1,I43*(1+Setup!R11),if((M44-K44)&lt;0,I43*(1+Setup!S11),if((M44-K44)=0,I43*(1+Setup!T11),if((M44-K44)=1,I43*(1+Setup!U11),if((M44-K44)=2,I43*(1+Setup!V11),if((M44-K44)=3,I43*(1+Setup!W11),if((M44-K44)=4,I43*(1+Setup!X11),if((M44-K44)&gt;4,I43*(1+Setup!Y11),I43)))))))),I43),R43/'Quick Setup'!$E13)</f>
        <v>310</v>
      </c>
      <c r="Q43" s="39" t="s">
        <v>75</v>
      </c>
      <c r="R43" s="40"/>
      <c r="S43" s="41"/>
      <c r="T43" s="41"/>
      <c r="U43" s="41"/>
      <c r="V43" s="41"/>
      <c r="W43" s="38">
        <f>if(Y43="", if(T44&lt;&gt;"", if((T44-R44)&lt;-1,P43*(1+Setup!AD11),if((T44-R44)&lt;0,P43*(1+Setup!AE11),if((T44-R44)=0,P43*(1+Setup!AF11),if((T44-R44)=1,P43*(1+Setup!AG11),if((T44-R44)=2,P43*(1+Setup!AH11),if((T44-R44)=3,P43*(1+Setup!AI11),if((T44-R44)=4,P43*(1+Setup!AJ11),if((T44-R44)&gt;4,P43*(1+Setup!AK11),P43)))))))),P43),Y43/'Quick Setup'!$E13)</f>
        <v>310</v>
      </c>
      <c r="X43" s="39" t="s">
        <v>75</v>
      </c>
      <c r="Y43" s="40"/>
      <c r="Z43" s="41"/>
      <c r="AA43" s="41"/>
      <c r="AB43" s="41"/>
      <c r="AC43" s="41"/>
      <c r="AD43" s="38">
        <f>if(AF43="", if(AA44&lt;&gt;"", if((AA44-Y44)&lt;-1,W43*(1+Setup!AP11),if((AA44-Y44)&lt;0,W43*(1+Setup!AQ11),if((AA44-Y44)=0,W43*(1+Setup!AR11),if((AA44-Y44)=1,W43*(1+Setup!AS11),if((AA44-Y44)=2,W43*(1+Setup!AT11),if((AA44-Y44)=3,W43*(1+Setup!AU11),if((AA44-Y44)=4,W43*(1+Setup!AV11),if((AA44-Y44)&gt;4,W43*(1+Setup!AW11),W43)))))))),W43),AF43/'Quick Setup'!$E13)</f>
        <v>310</v>
      </c>
      <c r="AE43" s="39" t="s">
        <v>75</v>
      </c>
      <c r="AF43" s="40"/>
      <c r="AG43" s="41"/>
      <c r="AH43" s="41"/>
      <c r="AI43" s="41"/>
      <c r="AJ43" s="41"/>
      <c r="AK43" s="38">
        <f>if(AM43="", if(AH44&lt;&gt;"", if((AH44-AF44)&lt;-1,AD43*(1+Setup!BB11),if((AH44-AF44)&lt;0,AD43*(1+Setup!BC11),if((AH44-AF44)=0,AD43*(1+Setup!BD11),if((AH44-AF44)=1,AD43*(1+Setup!BE11),if((AH44-AF44)=2,AD43*(1+Setup!BF11),if((AH44-AF44)=3,AD43*(1+Setup!BG11),if((AH44-AF44)=4,AD43*(1+Setup!BH11),if((AH44-AF44)&gt;4,AD43*(1+Setup!BI11),AD43)))))))),AD43),AM43/'Quick Setup'!$E13)</f>
        <v>310</v>
      </c>
      <c r="AL43" s="39" t="s">
        <v>75</v>
      </c>
      <c r="AM43" s="40"/>
      <c r="AN43" s="41"/>
      <c r="AO43" s="41"/>
      <c r="AP43" s="41"/>
      <c r="AQ43" s="41"/>
      <c r="AR43" s="38">
        <f>if(AT43="", if(AO44&lt;&gt;"", if((AO44-AM44)&lt;-1,AK43*(1+Setup!BN11),if((AO44-AM44)&lt;0,AK43*(1+Setup!BO11),if((AO44-AM44)=0,AK43*(1+Setup!BP11),if((AO44-AM44)=1,AK43*(1+Setup!BQ11),if((AO44-AM44)=2,AK43*(1+Setup!BR11),if((AO44-AM44)=3,AK43*(1+Setup!BS11),if((AO44-AM44)=4,AK43*(1+Setup!BT11),if((AO44-AM44)&gt;4,AK43*(1+Setup!BU11),AK43)))))))),AK43),AT43/'Quick Setup'!$E13)</f>
        <v>310</v>
      </c>
      <c r="AS43" s="39" t="s">
        <v>75</v>
      </c>
      <c r="AT43" s="40"/>
      <c r="AU43" s="41"/>
      <c r="AV43" s="41"/>
      <c r="AW43" s="41"/>
      <c r="AX43" s="41"/>
      <c r="AY43" s="38">
        <f>if(BA43="",AR43,BA43/'Quick Setup'!$E13)</f>
        <v>310</v>
      </c>
      <c r="AZ43" s="39" t="s">
        <v>75</v>
      </c>
      <c r="BA43" s="40"/>
      <c r="BB43" s="41"/>
      <c r="BC43" s="41"/>
      <c r="BD43" s="41"/>
      <c r="BE43" s="41"/>
      <c r="BF43" s="38">
        <f>if(BH43="", if(BC44&lt;&gt;"", if((BC44-BA44)&lt;-1,AY43*(1+Setup!CL11),if((BC44-BA44)&lt;0,AY43*(1+Setup!CM11),if((BC44-BA44)=0,AY43*(1+Setup!CN11),if((BC44-BA44)=1,AY43*(1+Setup!CO11),if((BC44-BA44)=2,AY43*(1+Setup!CP11),if((BC44-BA44)=3,AY43*(1+Setup!CQ11),if((BC44-BA44)=4,AY43*(1+Setup!CR11),if((BC44-BA44)&gt;4,AY43*(1+Setup!CS11),AY43)))))))),AY43),BH43/'Quick Setup'!$E13)</f>
        <v>310</v>
      </c>
      <c r="BG43" s="39" t="s">
        <v>75</v>
      </c>
      <c r="BH43" s="40"/>
      <c r="BI43" s="41"/>
      <c r="BJ43" s="41"/>
      <c r="BK43" s="41"/>
      <c r="BL43" s="41"/>
      <c r="BM43" s="38">
        <f>if(BO43="", if(BJ44&lt;&gt;"", if((BJ44-BH44)&lt;-1,BF43*(1+Setup!CX11),if((BJ44-BH44)&lt;0,BF43*(1+Setup!CY11),if((BJ44-BH44)=0,BF43*(1+Setup!CZ11),if((BJ44-BH44)=1,BF43*(1+Setup!DA11),if((BJ44-BH44)=2,BF43*(1+Setup!DB11),if((BJ44-BH44)=3,BF43*(1+Setup!DC11),if((BJ44-BH44)=4,BF43*(1+Setup!DD11),if((BJ44-BH44)&gt;4,BF43*(1+Setup!DE11),BF43)))))))),BF43),BO43/'Quick Setup'!$E13)</f>
        <v>310</v>
      </c>
      <c r="BN43" s="39" t="s">
        <v>75</v>
      </c>
      <c r="BO43" s="40"/>
      <c r="BP43" s="41"/>
      <c r="BQ43" s="41"/>
      <c r="BR43" s="41"/>
      <c r="BS43" s="41"/>
      <c r="BT43" s="38">
        <f>if(BV43="", if(BQ44&lt;&gt;"", if((BQ44-BO44)&lt;-1,BM43*(1+Setup!DJ11),if((BQ44-BO44)&lt;0,BM43*(1+Setup!DK11),if((BQ44-BO44)=0,BM43*(1+Setup!DL11),if((BQ44-BO44)=1,BM43*(1+Setup!DM11),if((BQ44-BO44)=2,BM43*(1+Setup!DN11),if((BQ44-BO44)=3,BM43*(1+Setup!DO11),if((BQ44-BO44)=4,BM43*(1+Setup!DP11),if((BQ44-BO44)&gt;4,BM43*(1+Setup!DQ11),BM43)))))))),BM43),BV43/'Quick Setup'!$E13)</f>
        <v>310</v>
      </c>
      <c r="BU43" s="39" t="s">
        <v>75</v>
      </c>
      <c r="BV43" s="40"/>
      <c r="BW43" s="41"/>
      <c r="BX43" s="41"/>
      <c r="BY43" s="41"/>
      <c r="BZ43" s="41"/>
      <c r="CA43" s="38">
        <f>if(CC43="", if(BX44&lt;&gt;"", if((BX44-BV44)&lt;-1,BT43*(1+Setup!DV11),if((BX44-BV44)&lt;0,BT43*(1+Setup!DW11),if((BX44-BV44)=0,BT43*(1+Setup!DX11),if((BX44-BV44)=1,BT43*(1+Setup!DY11),if((BX44-BV44)=2,BT43*(1+Setup!DZ11),if((BX44-BV44)=3,BT43*(1+Setup!EA11),if((BX44-BV44)=4,BT43*(1+Setup!EB11),if((BX44-BV44)&gt;4,BT43*(1+Setup!EC11),BT43)))))))),BT43),CC43/'Quick Setup'!$E13)</f>
        <v>310</v>
      </c>
      <c r="CB43" s="39" t="s">
        <v>75</v>
      </c>
      <c r="CC43" s="40"/>
      <c r="CD43" s="41"/>
      <c r="CE43" s="41"/>
      <c r="CF43" s="41"/>
      <c r="CG43" s="41"/>
      <c r="CH43" s="38">
        <f>if(CJ43="", if(CE44&lt;&gt;"", if((CE44-CC44)&lt;-1,CA43*(1+Setup!EH11),if((CE44-CC44)&lt;0,CA43*(1+Setup!EI11),if((CE44-CC44)=0,CA43*(1+Setup!EJ11),if((CE44-CC44)=1,CA43*(1+Setup!EK11),if((CE44-CC44)=2,CA43*(1+Setup!EL11),if((CE44-CC44)=3,CA43*(1+Setup!EM11),if((CE44-CC44)=4,CA43*(1+Setup!EN11),if((CE44-CC44)&gt;4,CA43*(1+Setup!EO11),CA43)))))))),CA43),CJ43/'Quick Setup'!$E13)</f>
        <v>310</v>
      </c>
      <c r="CI43" s="39" t="s">
        <v>75</v>
      </c>
      <c r="CJ43" s="40"/>
      <c r="CK43" s="41"/>
      <c r="CL43" s="41"/>
      <c r="CM43" s="41"/>
      <c r="CN43" s="41"/>
      <c r="CO43" s="38">
        <f>if(CQ43="", if(CL44&lt;&gt;"", if((CL44-CJ44)&lt;-1,CH43*(1+Setup!ET11),if((CL44-CJ44)&lt;0,CH43*(1+Setup!EU11),if((CL44-CJ44)=0,CH43*(1+Setup!EV11),if((CL44-CJ44)=1,CH43*(1+Setup!EW11),if((CL44-CJ44)=2,CH43*(1+Setup!EX11),if((CL44-CJ44)=3,CH43*(1+Setup!EY11),if((CL44-CJ44)=4,CH43*(1+Setup!EZ11),if((CL44-CJ44)&gt;4,CH43*(1+Setup!FA11),CH43)))))))),CH43),CQ43/'Quick Setup'!$E13)</f>
        <v>310</v>
      </c>
      <c r="CP43" s="39" t="s">
        <v>75</v>
      </c>
      <c r="CQ43" s="40"/>
      <c r="CR43" s="41"/>
      <c r="CS43" s="41"/>
      <c r="CT43" s="41"/>
      <c r="CU43" s="41"/>
      <c r="CV43" s="38">
        <f>if(CX43="",CO43,CX43/'Quick Setup'!$E13)</f>
        <v>310</v>
      </c>
      <c r="CW43" s="39" t="s">
        <v>75</v>
      </c>
      <c r="CX43" s="40"/>
      <c r="CY43" s="41"/>
      <c r="CZ43" s="41"/>
      <c r="DA43" s="41"/>
      <c r="DB43" s="41"/>
      <c r="DC43" s="38">
        <f>if(DE43="", if(CZ44&lt;&gt;"", if((CZ44-CX44)&lt;-1,CV43*(1+Setup!FR11),if((CZ44-CX44)&lt;0,CV43*(1+Setup!FS11),if((CZ44-CX44)=0,CV43*(1+Setup!FT11),if((CZ44-CX44)=1,CV43*(1+Setup!FU11),if((CZ44-CX44)=2,CV43*(1+Setup!FV11),if((CZ44-CX44)=3,CV43*(1+Setup!FW11),if((CZ44-CX44)=4,CV43*(1+Setup!FX11),if((CZ44-CX44)&gt;4,CV43*(1+Setup!FY11),CV43)))))))),CV43),DE43/'Quick Setup'!$E13)</f>
        <v>310</v>
      </c>
      <c r="DD43" s="39" t="s">
        <v>75</v>
      </c>
      <c r="DE43" s="40"/>
      <c r="DF43" s="41"/>
      <c r="DG43" s="41"/>
      <c r="DH43" s="41"/>
      <c r="DI43" s="41"/>
      <c r="DJ43" s="38">
        <f>if(DL43="", if(DG44&lt;&gt;"", if((DG44-DE44)&lt;-1,DC43*(1+Setup!GD11),if((DG44-DE44)&lt;0,DC43*(1+Setup!GE11),if((DG44-DE44)=0,DC43*(1+Setup!GF11),if((DG44-DE44)=1,DC43*(1+Setup!GG11),if((DG44-DE44)=2,DC43*(1+Setup!GH11),if((DG44-DE44)=3,DC43*(1+Setup!GI11),if((DG44-DE44)=4,DC43*(1+Setup!GJ11),if((DG44-DE44)&gt;4,DC43*(1+Setup!GK11),DC43)))))))),DC43),DL43/'Quick Setup'!$E13)</f>
        <v>310</v>
      </c>
      <c r="DK43" s="39" t="s">
        <v>75</v>
      </c>
      <c r="DL43" s="40"/>
      <c r="DM43" s="41"/>
      <c r="DN43" s="41"/>
      <c r="DO43" s="41"/>
      <c r="DP43" s="41"/>
      <c r="DQ43" s="38">
        <f>if(DS43="", if(DN44&lt;&gt;"", if((DN44-DL44)&lt;-1,DJ43*(1+Setup!GP11),if((DN44-DL44)&lt;0,DJ43*(1+Setup!GQ11),if((DN44-DL44)=0,DJ43*(1+Setup!GR11),if((DN44-DL44)=1,DJ43*(1+Setup!GS11),if((DN44-DL44)=2,DJ43*(1+Setup!GT11),if((DN44-DL44)=3,DJ43*(1+Setup!GU11),if((DN44-DL44)=4,DJ43*(1+Setup!GV11),if((DN44-DL44)&gt;4,DJ43*(1+Setup!GW11),DJ43)))))))),DJ43),DS43/'Quick Setup'!$E13)</f>
        <v>310</v>
      </c>
      <c r="DR43" s="39" t="s">
        <v>75</v>
      </c>
      <c r="DS43" s="40"/>
      <c r="DT43" s="41"/>
      <c r="DU43" s="41"/>
      <c r="DV43" s="41"/>
      <c r="DW43" s="41"/>
      <c r="DX43" s="38">
        <f>if(DZ43="", if(DU44&lt;&gt;"", if((DU44-DS44)&lt;-1,DQ43*(1+Setup!HB11),if((DU44-DS44)&lt;0,DQ43*(1+Setup!HC11),if((DU44-DS44)=0,DQ43*(1+Setup!HD11),if((DU44-DS44)=1,DQ43*(1+Setup!HE11),if((DU44-DS44)=2,DQ43*(1+Setup!HF11),if((DU44-DS44)=3,DQ43*(1+Setup!HG11),if((DU44-DS44)=4,DQ43*(1+Setup!HH11),if((DU44-DS44)&gt;4,DQ43*(1+Setup!HI11),DQ43)))))))),DQ43),DZ43/'Quick Setup'!$E13)</f>
        <v>310</v>
      </c>
      <c r="DY43" s="39" t="s">
        <v>75</v>
      </c>
      <c r="DZ43" s="40"/>
      <c r="EA43" s="41"/>
      <c r="EB43" s="41"/>
      <c r="EC43" s="41"/>
      <c r="ED43" s="41"/>
      <c r="EE43" s="38">
        <f>if(EG43="", if(EB44&lt;&gt;"", if((EB44-DZ44)&lt;-1,DX43*(1+Setup!HN11),if((EB44-DZ44)&lt;0,DX43*(1+Setup!HO11),if((EB44-DZ44)=0,DX43*(1+Setup!HP11),if((EB44-DZ44)=1,DX43*(1+Setup!HQ11),if((EB44-DZ44)=2,DX43*(1+Setup!HR11),if((EB44-DZ44)=3,DX43*(1+Setup!HS11),if((EB44-DZ44)=4,DX43*(1+Setup!HT11),if((EB44-DZ44)&gt;4,DX43*(1+Setup!HU11),DX43)))))))),DX43),EG43/'Quick Setup'!$E13)</f>
        <v>310</v>
      </c>
      <c r="EF43" s="39" t="s">
        <v>75</v>
      </c>
      <c r="EG43" s="40"/>
      <c r="EH43" s="41"/>
      <c r="EI43" s="41"/>
      <c r="EJ43" s="41"/>
      <c r="EK43" s="41"/>
      <c r="EL43" s="38">
        <f>if(EN43="", if(EI44&lt;&gt;"", if((EI44-EG44)&lt;-1,EE43*(1+Setup!HZ11),if((EI44-EG44)&lt;0,EE43*(1+Setup!IA11),if((EI44-EG44)=0,EE43*(1+Setup!IB11),if((EI44-EG44)=1,EE43*(1+Setup!IC11),if((EI44-EG44)=2,EE43*(1+Setup!ID11),if((EI44-EG44)=3,EE43*(1+Setup!IE11),if((EI44-EG44)=4,EE43*(1+Setup!IF11),if((EI44-EG44)&gt;4,EE43*(1+Setup!IG11),EE43)))))))),EE43),EN43/'Quick Setup'!$E13)</f>
        <v>310</v>
      </c>
      <c r="EM43" s="39" t="s">
        <v>75</v>
      </c>
      <c r="EN43" s="40"/>
      <c r="EO43" s="41"/>
      <c r="EP43" s="41"/>
      <c r="EQ43" s="41"/>
      <c r="ER43" s="41"/>
    </row>
    <row r="44">
      <c r="A44" s="1" t="str">
        <f>Setup!A11</f>
        <v>Close Grip Bench</v>
      </c>
      <c r="B44" s="42">
        <f>mround(B43*Setup!B11,'Quick Setup'!$A$2)</f>
        <v>185</v>
      </c>
      <c r="C44" s="3">
        <f>Setup!C11</f>
        <v>7</v>
      </c>
      <c r="D44" s="3">
        <f>Setup!D11</f>
        <v>14</v>
      </c>
      <c r="E44" s="3">
        <f>Setup!E11</f>
        <v>5</v>
      </c>
      <c r="F44" s="10"/>
      <c r="G44" s="10"/>
      <c r="H44" s="10"/>
      <c r="I44" s="42">
        <f>mround(I43*Setup!N11,'Quick Setup'!$A$2)</f>
        <v>202.5</v>
      </c>
      <c r="J44" s="3">
        <f>Setup!O11</f>
        <v>6</v>
      </c>
      <c r="K44" s="3">
        <f>Setup!P11</f>
        <v>12</v>
      </c>
      <c r="L44" s="3">
        <f>Setup!Q11</f>
        <v>5</v>
      </c>
      <c r="M44" s="10"/>
      <c r="N44" s="10"/>
      <c r="O44" s="10"/>
      <c r="P44" s="42">
        <f>mround(P43*Setup!Z11,'Quick Setup'!$A$2)</f>
        <v>217.5</v>
      </c>
      <c r="Q44" s="3">
        <f>Setup!AA11</f>
        <v>5</v>
      </c>
      <c r="R44" s="3">
        <f>Setup!AB11</f>
        <v>10</v>
      </c>
      <c r="S44" s="3">
        <f>Setup!AC11</f>
        <v>5</v>
      </c>
      <c r="T44" s="10"/>
      <c r="U44" s="10"/>
      <c r="V44" s="10"/>
      <c r="W44" s="42">
        <f>mround(W43*Setup!AL11,'Quick Setup'!$A$2)</f>
        <v>195</v>
      </c>
      <c r="X44" s="3">
        <f>Setup!AM11</f>
        <v>7</v>
      </c>
      <c r="Y44" s="3">
        <f>Setup!AN11</f>
        <v>13</v>
      </c>
      <c r="Z44" s="3">
        <f>Setup!AO11</f>
        <v>5</v>
      </c>
      <c r="AA44" s="10"/>
      <c r="AB44" s="10"/>
      <c r="AC44" s="10"/>
      <c r="AD44" s="42">
        <f>mround(AD43*Setup!AX11,'Quick Setup'!$A$2)</f>
        <v>210</v>
      </c>
      <c r="AE44" s="3">
        <f>Setup!AY11</f>
        <v>6</v>
      </c>
      <c r="AF44" s="3">
        <f>Setup!AZ11</f>
        <v>11</v>
      </c>
      <c r="AG44" s="3">
        <f>Setup!BA11</f>
        <v>5</v>
      </c>
      <c r="AH44" s="10"/>
      <c r="AI44" s="10"/>
      <c r="AJ44" s="10"/>
      <c r="AK44" s="42">
        <f>mround(AK43*Setup!BJ11,'Quick Setup'!$A$2)</f>
        <v>225</v>
      </c>
      <c r="AL44" s="3">
        <f>Setup!BK11</f>
        <v>5</v>
      </c>
      <c r="AM44" s="3">
        <f>Setup!BL11</f>
        <v>9</v>
      </c>
      <c r="AN44" s="3">
        <f>Setup!BM11</f>
        <v>5</v>
      </c>
      <c r="AO44" s="10"/>
      <c r="AP44" s="10"/>
      <c r="AQ44" s="10"/>
      <c r="AR44" s="42">
        <f>mround(AR43*Setup!BV11,'Quick Setup'!$A$2)</f>
        <v>155</v>
      </c>
      <c r="AS44" s="1">
        <v>5.0</v>
      </c>
      <c r="AT44" s="1" t="s">
        <v>78</v>
      </c>
      <c r="AU44" s="3">
        <f>Setup!BY11</f>
        <v>5</v>
      </c>
      <c r="AV44" s="10"/>
      <c r="AW44" s="10"/>
      <c r="AX44" s="10"/>
      <c r="AY44" s="42">
        <f>mround(AY43*Setup!CH11,'Quick Setup'!$A$2)</f>
        <v>202.5</v>
      </c>
      <c r="AZ44" s="3">
        <f>Setup!CI11</f>
        <v>6</v>
      </c>
      <c r="BA44" s="3">
        <f>Setup!CJ11</f>
        <v>12</v>
      </c>
      <c r="BB44" s="3">
        <f>Setup!CK11</f>
        <v>5</v>
      </c>
      <c r="BC44" s="10"/>
      <c r="BD44" s="10"/>
      <c r="BE44" s="10"/>
      <c r="BF44" s="42">
        <f>mround(BF43*Setup!CT11,'Quick Setup'!$A$2)</f>
        <v>217.5</v>
      </c>
      <c r="BG44" s="3">
        <f>Setup!CU11</f>
        <v>5</v>
      </c>
      <c r="BH44" s="3">
        <f>Setup!CV11</f>
        <v>10</v>
      </c>
      <c r="BI44" s="3">
        <f>Setup!CW11</f>
        <v>5</v>
      </c>
      <c r="BJ44" s="10"/>
      <c r="BK44" s="10"/>
      <c r="BL44" s="10"/>
      <c r="BM44" s="42">
        <f>mround(BM43*Setup!DF11,'Quick Setup'!$A$2)</f>
        <v>232.5</v>
      </c>
      <c r="BN44" s="3">
        <f>Setup!DG11</f>
        <v>4</v>
      </c>
      <c r="BO44" s="3">
        <f>Setup!DH11</f>
        <v>8</v>
      </c>
      <c r="BP44" s="3">
        <f>Setup!DI11</f>
        <v>5</v>
      </c>
      <c r="BQ44" s="10"/>
      <c r="BR44" s="10"/>
      <c r="BS44" s="10"/>
      <c r="BT44" s="42">
        <f>mround(BT43*Setup!DR11,'Quick Setup'!$A$2)</f>
        <v>210</v>
      </c>
      <c r="BU44" s="3">
        <f>Setup!DS11</f>
        <v>6</v>
      </c>
      <c r="BV44" s="3">
        <f>Setup!DT11</f>
        <v>11</v>
      </c>
      <c r="BW44" s="3">
        <f>Setup!DU11</f>
        <v>5</v>
      </c>
      <c r="BX44" s="10"/>
      <c r="BY44" s="10"/>
      <c r="BZ44" s="10"/>
      <c r="CA44" s="42">
        <f>mround(CA43*Setup!ED11,'Quick Setup'!$A$2)</f>
        <v>225</v>
      </c>
      <c r="CB44" s="3">
        <f>Setup!EE11</f>
        <v>5</v>
      </c>
      <c r="CC44" s="3">
        <f>Setup!EF11</f>
        <v>9</v>
      </c>
      <c r="CD44" s="3">
        <f>Setup!EG11</f>
        <v>5</v>
      </c>
      <c r="CE44" s="10"/>
      <c r="CF44" s="10"/>
      <c r="CG44" s="10"/>
      <c r="CH44" s="42">
        <f>mround(CH43*Setup!EP11,'Quick Setup'!$A$2)</f>
        <v>240</v>
      </c>
      <c r="CI44" s="3">
        <f>Setup!EQ11</f>
        <v>4</v>
      </c>
      <c r="CJ44" s="3">
        <f>Setup!ER11</f>
        <v>7</v>
      </c>
      <c r="CK44" s="3">
        <f>Setup!ES11</f>
        <v>5</v>
      </c>
      <c r="CL44" s="10"/>
      <c r="CM44" s="10"/>
      <c r="CN44" s="10"/>
      <c r="CO44" s="42">
        <f>mround(CO43*Setup!FB11,'Quick Setup'!$A$2)</f>
        <v>155</v>
      </c>
      <c r="CP44" s="1">
        <v>5.0</v>
      </c>
      <c r="CQ44" s="1" t="s">
        <v>78</v>
      </c>
      <c r="CR44" s="3">
        <f>Setup!FE11</f>
        <v>5</v>
      </c>
      <c r="CS44" s="10"/>
      <c r="CT44" s="10"/>
      <c r="CU44" s="10"/>
      <c r="CV44" s="42">
        <f>mround(CV43*Setup!FN11,'Quick Setup'!$A$2)</f>
        <v>217.5</v>
      </c>
      <c r="CW44" s="3">
        <f>Setup!FO11</f>
        <v>5</v>
      </c>
      <c r="CX44" s="3">
        <f>Setup!FP11</f>
        <v>10</v>
      </c>
      <c r="CY44" s="3">
        <f>Setup!FQ11</f>
        <v>5</v>
      </c>
      <c r="CZ44" s="10"/>
      <c r="DA44" s="10"/>
      <c r="DB44" s="10"/>
      <c r="DC44" s="42">
        <f>mround(DC43*Setup!FZ11,'Quick Setup'!$A$2)</f>
        <v>232.5</v>
      </c>
      <c r="DD44" s="3">
        <f>Setup!GA11</f>
        <v>4</v>
      </c>
      <c r="DE44" s="3">
        <f>Setup!GB11</f>
        <v>8</v>
      </c>
      <c r="DF44" s="3">
        <f>Setup!GC11</f>
        <v>5</v>
      </c>
      <c r="DG44" s="10"/>
      <c r="DH44" s="10"/>
      <c r="DI44" s="10"/>
      <c r="DJ44" s="42">
        <f>mround(DJ43*Setup!GL11,'Quick Setup'!$A$2)</f>
        <v>247.5</v>
      </c>
      <c r="DK44" s="3">
        <f>Setup!GM11</f>
        <v>3</v>
      </c>
      <c r="DL44" s="3">
        <f>Setup!GN11</f>
        <v>6</v>
      </c>
      <c r="DM44" s="3">
        <f>Setup!GO11</f>
        <v>5</v>
      </c>
      <c r="DN44" s="10"/>
      <c r="DO44" s="10"/>
      <c r="DP44" s="10"/>
      <c r="DQ44" s="42">
        <f>mround(DQ43*Setup!GX11,'Quick Setup'!$A$2)</f>
        <v>232.5</v>
      </c>
      <c r="DR44" s="3">
        <f>Setup!GY11</f>
        <v>4</v>
      </c>
      <c r="DS44" s="3">
        <f>Setup!GZ11</f>
        <v>8</v>
      </c>
      <c r="DT44" s="3">
        <f>Setup!HA11</f>
        <v>5</v>
      </c>
      <c r="DU44" s="10"/>
      <c r="DV44" s="10"/>
      <c r="DW44" s="10"/>
      <c r="DX44" s="42">
        <f>mround(DX43*Setup!HJ11,'Quick Setup'!$A$2)</f>
        <v>247.5</v>
      </c>
      <c r="DY44" s="3">
        <f>Setup!HK11</f>
        <v>3</v>
      </c>
      <c r="DZ44" s="3">
        <f>Setup!HL11</f>
        <v>6</v>
      </c>
      <c r="EA44" s="3">
        <f>Setup!HM11</f>
        <v>5</v>
      </c>
      <c r="EB44" s="10"/>
      <c r="EC44" s="10"/>
      <c r="ED44" s="10"/>
      <c r="EE44" s="42">
        <f>mround(EE43*Setup!HV11,'Quick Setup'!$A$2)</f>
        <v>262.5</v>
      </c>
      <c r="EF44" s="3">
        <f>Setup!HW11</f>
        <v>2</v>
      </c>
      <c r="EG44" s="3">
        <f>Setup!HX11</f>
        <v>4</v>
      </c>
      <c r="EH44" s="3">
        <f>Setup!HY11</f>
        <v>5</v>
      </c>
      <c r="EI44" s="10"/>
      <c r="EJ44" s="10"/>
      <c r="EK44" s="10"/>
      <c r="EL44" s="42">
        <f>mround(EL43*Setup!IH11,'Quick Setup'!$A$2)</f>
        <v>155</v>
      </c>
      <c r="EM44" s="1">
        <v>5.0</v>
      </c>
      <c r="EN44" s="1" t="s">
        <v>78</v>
      </c>
      <c r="EO44" s="3">
        <f>Setup!IK11</f>
        <v>5</v>
      </c>
      <c r="EP44" s="10"/>
      <c r="EQ44" s="10"/>
      <c r="ER44" s="10"/>
    </row>
    <row r="45">
      <c r="A45" s="5"/>
      <c r="B45" s="43"/>
      <c r="C45" s="10"/>
      <c r="D45" s="10"/>
      <c r="E45" s="10"/>
      <c r="F45" s="10"/>
      <c r="G45" s="10"/>
      <c r="H45" s="10"/>
      <c r="I45" s="43" t="str">
        <f t="shared" ref="I45:M45" si="241">B45</f>
        <v/>
      </c>
      <c r="J45" s="10" t="str">
        <f t="shared" si="241"/>
        <v/>
      </c>
      <c r="K45" s="10" t="str">
        <f t="shared" si="241"/>
        <v/>
      </c>
      <c r="L45" s="10" t="str">
        <f t="shared" si="241"/>
        <v/>
      </c>
      <c r="M45" s="10" t="str">
        <f t="shared" si="241"/>
        <v/>
      </c>
      <c r="N45" s="10"/>
      <c r="O45" s="10"/>
      <c r="P45" s="43" t="str">
        <f t="shared" ref="P45:T45" si="242">I45</f>
        <v/>
      </c>
      <c r="Q45" s="10" t="str">
        <f t="shared" si="242"/>
        <v/>
      </c>
      <c r="R45" s="10" t="str">
        <f t="shared" si="242"/>
        <v/>
      </c>
      <c r="S45" s="10" t="str">
        <f t="shared" si="242"/>
        <v/>
      </c>
      <c r="T45" s="10" t="str">
        <f t="shared" si="242"/>
        <v/>
      </c>
      <c r="U45" s="10"/>
      <c r="V45" s="10"/>
      <c r="W45" s="43" t="str">
        <f t="shared" ref="W45:AA45" si="243">P45</f>
        <v/>
      </c>
      <c r="X45" s="10" t="str">
        <f t="shared" si="243"/>
        <v/>
      </c>
      <c r="Y45" s="10" t="str">
        <f t="shared" si="243"/>
        <v/>
      </c>
      <c r="Z45" s="10" t="str">
        <f t="shared" si="243"/>
        <v/>
      </c>
      <c r="AA45" s="10" t="str">
        <f t="shared" si="243"/>
        <v/>
      </c>
      <c r="AB45" s="10"/>
      <c r="AC45" s="10"/>
      <c r="AD45" s="43" t="str">
        <f t="shared" ref="AD45:AH45" si="244">W45</f>
        <v/>
      </c>
      <c r="AE45" s="10" t="str">
        <f t="shared" si="244"/>
        <v/>
      </c>
      <c r="AF45" s="10" t="str">
        <f t="shared" si="244"/>
        <v/>
      </c>
      <c r="AG45" s="10" t="str">
        <f t="shared" si="244"/>
        <v/>
      </c>
      <c r="AH45" s="10" t="str">
        <f t="shared" si="244"/>
        <v/>
      </c>
      <c r="AI45" s="10"/>
      <c r="AJ45" s="10"/>
      <c r="AK45" s="43" t="str">
        <f t="shared" ref="AK45:AO45" si="245">AD45</f>
        <v/>
      </c>
      <c r="AL45" s="10" t="str">
        <f t="shared" si="245"/>
        <v/>
      </c>
      <c r="AM45" s="10" t="str">
        <f t="shared" si="245"/>
        <v/>
      </c>
      <c r="AN45" s="10" t="str">
        <f t="shared" si="245"/>
        <v/>
      </c>
      <c r="AO45" s="10" t="str">
        <f t="shared" si="245"/>
        <v/>
      </c>
      <c r="AP45" s="10"/>
      <c r="AQ45" s="10"/>
      <c r="AR45" s="43" t="str">
        <f t="shared" ref="AR45:AV45" si="246">AK45</f>
        <v/>
      </c>
      <c r="AS45" s="10" t="str">
        <f t="shared" si="246"/>
        <v/>
      </c>
      <c r="AT45" s="10" t="str">
        <f t="shared" si="246"/>
        <v/>
      </c>
      <c r="AU45" s="10" t="str">
        <f t="shared" si="246"/>
        <v/>
      </c>
      <c r="AV45" s="10" t="str">
        <f t="shared" si="246"/>
        <v/>
      </c>
      <c r="AW45" s="10"/>
      <c r="AX45" s="10"/>
      <c r="AY45" s="43" t="str">
        <f t="shared" ref="AY45:BC45" si="247">AR45</f>
        <v/>
      </c>
      <c r="AZ45" s="10" t="str">
        <f t="shared" si="247"/>
        <v/>
      </c>
      <c r="BA45" s="10" t="str">
        <f t="shared" si="247"/>
        <v/>
      </c>
      <c r="BB45" s="10" t="str">
        <f t="shared" si="247"/>
        <v/>
      </c>
      <c r="BC45" s="10" t="str">
        <f t="shared" si="247"/>
        <v/>
      </c>
      <c r="BD45" s="10"/>
      <c r="BE45" s="10"/>
      <c r="BF45" s="43" t="str">
        <f t="shared" ref="BF45:BJ45" si="248">AY45</f>
        <v/>
      </c>
      <c r="BG45" s="10" t="str">
        <f t="shared" si="248"/>
        <v/>
      </c>
      <c r="BH45" s="10" t="str">
        <f t="shared" si="248"/>
        <v/>
      </c>
      <c r="BI45" s="10" t="str">
        <f t="shared" si="248"/>
        <v/>
      </c>
      <c r="BJ45" s="10" t="str">
        <f t="shared" si="248"/>
        <v/>
      </c>
      <c r="BK45" s="10"/>
      <c r="BL45" s="10"/>
      <c r="BM45" s="43" t="str">
        <f t="shared" ref="BM45:BQ45" si="249">BF45</f>
        <v/>
      </c>
      <c r="BN45" s="10" t="str">
        <f t="shared" si="249"/>
        <v/>
      </c>
      <c r="BO45" s="10" t="str">
        <f t="shared" si="249"/>
        <v/>
      </c>
      <c r="BP45" s="10" t="str">
        <f t="shared" si="249"/>
        <v/>
      </c>
      <c r="BQ45" s="10" t="str">
        <f t="shared" si="249"/>
        <v/>
      </c>
      <c r="BR45" s="10"/>
      <c r="BS45" s="10"/>
      <c r="BT45" s="43" t="str">
        <f t="shared" ref="BT45:BX45" si="250">BM45</f>
        <v/>
      </c>
      <c r="BU45" s="10" t="str">
        <f t="shared" si="250"/>
        <v/>
      </c>
      <c r="BV45" s="10" t="str">
        <f t="shared" si="250"/>
        <v/>
      </c>
      <c r="BW45" s="10" t="str">
        <f t="shared" si="250"/>
        <v/>
      </c>
      <c r="BX45" s="10" t="str">
        <f t="shared" si="250"/>
        <v/>
      </c>
      <c r="BY45" s="10"/>
      <c r="BZ45" s="10"/>
      <c r="CA45" s="43" t="str">
        <f t="shared" ref="CA45:CE45" si="251">BT45</f>
        <v/>
      </c>
      <c r="CB45" s="10" t="str">
        <f t="shared" si="251"/>
        <v/>
      </c>
      <c r="CC45" s="10" t="str">
        <f t="shared" si="251"/>
        <v/>
      </c>
      <c r="CD45" s="10" t="str">
        <f t="shared" si="251"/>
        <v/>
      </c>
      <c r="CE45" s="10" t="str">
        <f t="shared" si="251"/>
        <v/>
      </c>
      <c r="CF45" s="10"/>
      <c r="CG45" s="10"/>
      <c r="CH45" s="43" t="str">
        <f t="shared" ref="CH45:CL45" si="252">CA45</f>
        <v/>
      </c>
      <c r="CI45" s="10" t="str">
        <f t="shared" si="252"/>
        <v/>
      </c>
      <c r="CJ45" s="10" t="str">
        <f t="shared" si="252"/>
        <v/>
      </c>
      <c r="CK45" s="10" t="str">
        <f t="shared" si="252"/>
        <v/>
      </c>
      <c r="CL45" s="10" t="str">
        <f t="shared" si="252"/>
        <v/>
      </c>
      <c r="CM45" s="10"/>
      <c r="CN45" s="10"/>
      <c r="CO45" s="43" t="str">
        <f t="shared" ref="CO45:CS45" si="253">CH45</f>
        <v/>
      </c>
      <c r="CP45" s="10" t="str">
        <f t="shared" si="253"/>
        <v/>
      </c>
      <c r="CQ45" s="10" t="str">
        <f t="shared" si="253"/>
        <v/>
      </c>
      <c r="CR45" s="10" t="str">
        <f t="shared" si="253"/>
        <v/>
      </c>
      <c r="CS45" s="10" t="str">
        <f t="shared" si="253"/>
        <v/>
      </c>
      <c r="CT45" s="10"/>
      <c r="CU45" s="10"/>
      <c r="CV45" s="43" t="str">
        <f t="shared" ref="CV45:CZ45" si="254">CO45</f>
        <v/>
      </c>
      <c r="CW45" s="10" t="str">
        <f t="shared" si="254"/>
        <v/>
      </c>
      <c r="CX45" s="10" t="str">
        <f t="shared" si="254"/>
        <v/>
      </c>
      <c r="CY45" s="10" t="str">
        <f t="shared" si="254"/>
        <v/>
      </c>
      <c r="CZ45" s="10" t="str">
        <f t="shared" si="254"/>
        <v/>
      </c>
      <c r="DA45" s="10"/>
      <c r="DB45" s="10"/>
      <c r="DC45" s="43" t="str">
        <f t="shared" ref="DC45:DG45" si="255">CV45</f>
        <v/>
      </c>
      <c r="DD45" s="10" t="str">
        <f t="shared" si="255"/>
        <v/>
      </c>
      <c r="DE45" s="10" t="str">
        <f t="shared" si="255"/>
        <v/>
      </c>
      <c r="DF45" s="10" t="str">
        <f t="shared" si="255"/>
        <v/>
      </c>
      <c r="DG45" s="10" t="str">
        <f t="shared" si="255"/>
        <v/>
      </c>
      <c r="DH45" s="10"/>
      <c r="DI45" s="10"/>
      <c r="DJ45" s="43" t="str">
        <f t="shared" ref="DJ45:DN45" si="256">DC45</f>
        <v/>
      </c>
      <c r="DK45" s="10" t="str">
        <f t="shared" si="256"/>
        <v/>
      </c>
      <c r="DL45" s="10" t="str">
        <f t="shared" si="256"/>
        <v/>
      </c>
      <c r="DM45" s="10" t="str">
        <f t="shared" si="256"/>
        <v/>
      </c>
      <c r="DN45" s="10" t="str">
        <f t="shared" si="256"/>
        <v/>
      </c>
      <c r="DO45" s="10"/>
      <c r="DP45" s="10"/>
      <c r="DQ45" s="43" t="str">
        <f t="shared" ref="DQ45:DU45" si="257">DJ45</f>
        <v/>
      </c>
      <c r="DR45" s="10" t="str">
        <f t="shared" si="257"/>
        <v/>
      </c>
      <c r="DS45" s="10" t="str">
        <f t="shared" si="257"/>
        <v/>
      </c>
      <c r="DT45" s="10" t="str">
        <f t="shared" si="257"/>
        <v/>
      </c>
      <c r="DU45" s="10" t="str">
        <f t="shared" si="257"/>
        <v/>
      </c>
      <c r="DV45" s="10"/>
      <c r="DW45" s="10"/>
      <c r="DX45" s="43" t="str">
        <f t="shared" ref="DX45:EB45" si="258">DQ45</f>
        <v/>
      </c>
      <c r="DY45" s="10" t="str">
        <f t="shared" si="258"/>
        <v/>
      </c>
      <c r="DZ45" s="10" t="str">
        <f t="shared" si="258"/>
        <v/>
      </c>
      <c r="EA45" s="10" t="str">
        <f t="shared" si="258"/>
        <v/>
      </c>
      <c r="EB45" s="10" t="str">
        <f t="shared" si="258"/>
        <v/>
      </c>
      <c r="EC45" s="10"/>
      <c r="ED45" s="10"/>
      <c r="EE45" s="43" t="str">
        <f t="shared" ref="EE45:EI45" si="259">DX45</f>
        <v/>
      </c>
      <c r="EF45" s="10" t="str">
        <f t="shared" si="259"/>
        <v/>
      </c>
      <c r="EG45" s="10" t="str">
        <f t="shared" si="259"/>
        <v/>
      </c>
      <c r="EH45" s="10" t="str">
        <f t="shared" si="259"/>
        <v/>
      </c>
      <c r="EI45" s="10" t="str">
        <f t="shared" si="259"/>
        <v/>
      </c>
      <c r="EJ45" s="10"/>
      <c r="EK45" s="10"/>
      <c r="EL45" s="43" t="str">
        <f t="shared" ref="EL45:EP45" si="260">EE45</f>
        <v/>
      </c>
      <c r="EM45" s="10" t="str">
        <f t="shared" si="260"/>
        <v/>
      </c>
      <c r="EN45" s="10" t="str">
        <f t="shared" si="260"/>
        <v/>
      </c>
      <c r="EO45" s="10" t="str">
        <f t="shared" si="260"/>
        <v/>
      </c>
      <c r="EP45" s="10" t="str">
        <f t="shared" si="260"/>
        <v/>
      </c>
      <c r="EQ45" s="10"/>
      <c r="ER45" s="10"/>
    </row>
    <row r="46">
      <c r="A46" s="1" t="s">
        <v>79</v>
      </c>
      <c r="B46" s="42"/>
      <c r="C46" s="3"/>
      <c r="D46" s="3"/>
      <c r="E46" s="3"/>
      <c r="F46" s="3"/>
      <c r="G46" s="3"/>
      <c r="H46" s="3"/>
      <c r="I46" s="42"/>
      <c r="J46" s="3"/>
      <c r="K46" s="3"/>
      <c r="L46" s="3"/>
      <c r="M46" s="3"/>
      <c r="N46" s="3"/>
      <c r="O46" s="3"/>
      <c r="P46" s="42"/>
      <c r="Q46" s="3"/>
      <c r="R46" s="3"/>
      <c r="S46" s="3"/>
      <c r="T46" s="3"/>
      <c r="U46" s="3"/>
      <c r="V46" s="3"/>
      <c r="W46" s="42"/>
      <c r="X46" s="3"/>
      <c r="Y46" s="3"/>
      <c r="Z46" s="3"/>
      <c r="AA46" s="3"/>
      <c r="AB46" s="3"/>
      <c r="AC46" s="3"/>
      <c r="AD46" s="42"/>
      <c r="AE46" s="3"/>
      <c r="AF46" s="3"/>
      <c r="AG46" s="3"/>
      <c r="AH46" s="3"/>
      <c r="AI46" s="3"/>
      <c r="AJ46" s="3"/>
      <c r="AK46" s="42"/>
      <c r="AL46" s="3"/>
      <c r="AM46" s="3"/>
      <c r="AN46" s="3"/>
      <c r="AO46" s="3"/>
      <c r="AP46" s="3"/>
      <c r="AQ46" s="3"/>
      <c r="AR46" s="42"/>
      <c r="AS46" s="3"/>
      <c r="AT46" s="3"/>
      <c r="AU46" s="3"/>
      <c r="AV46" s="3"/>
      <c r="AW46" s="3"/>
      <c r="AX46" s="3"/>
      <c r="AY46" s="42"/>
      <c r="AZ46" s="3"/>
      <c r="BA46" s="3"/>
      <c r="BB46" s="3"/>
      <c r="BC46" s="3"/>
      <c r="BD46" s="3"/>
      <c r="BE46" s="3"/>
      <c r="BF46" s="42"/>
      <c r="BG46" s="3"/>
      <c r="BH46" s="3"/>
      <c r="BI46" s="3"/>
      <c r="BJ46" s="3"/>
      <c r="BK46" s="3"/>
      <c r="BL46" s="3"/>
      <c r="BM46" s="42"/>
      <c r="BN46" s="3"/>
      <c r="BO46" s="3"/>
      <c r="BP46" s="3"/>
      <c r="BQ46" s="3"/>
      <c r="BR46" s="3"/>
      <c r="BS46" s="3"/>
      <c r="BT46" s="42"/>
      <c r="BU46" s="3"/>
      <c r="BV46" s="3"/>
      <c r="BW46" s="3"/>
      <c r="BX46" s="3"/>
      <c r="BY46" s="3"/>
      <c r="BZ46" s="3"/>
      <c r="CA46" s="42"/>
      <c r="CB46" s="3"/>
      <c r="CC46" s="3"/>
      <c r="CD46" s="3"/>
      <c r="CE46" s="3"/>
      <c r="CF46" s="3"/>
      <c r="CG46" s="3"/>
      <c r="CH46" s="42"/>
      <c r="CI46" s="3"/>
      <c r="CJ46" s="3"/>
      <c r="CK46" s="3"/>
      <c r="CL46" s="3"/>
      <c r="CM46" s="3"/>
      <c r="CN46" s="3"/>
      <c r="CO46" s="42"/>
      <c r="CP46" s="3"/>
      <c r="CQ46" s="3"/>
      <c r="CR46" s="3"/>
      <c r="CS46" s="3"/>
      <c r="CT46" s="3"/>
      <c r="CU46" s="3"/>
      <c r="CV46" s="42"/>
      <c r="CW46" s="3"/>
      <c r="CX46" s="3"/>
      <c r="CY46" s="3"/>
      <c r="CZ46" s="3"/>
      <c r="DA46" s="3"/>
      <c r="DB46" s="3"/>
      <c r="DC46" s="42"/>
      <c r="DD46" s="3"/>
      <c r="DE46" s="3"/>
      <c r="DF46" s="3"/>
      <c r="DG46" s="3"/>
      <c r="DH46" s="3"/>
      <c r="DI46" s="3"/>
      <c r="DJ46" s="42"/>
      <c r="DK46" s="3"/>
      <c r="DL46" s="3"/>
      <c r="DM46" s="3"/>
      <c r="DN46" s="3"/>
      <c r="DO46" s="3"/>
      <c r="DP46" s="3"/>
      <c r="DQ46" s="42"/>
      <c r="DR46" s="3"/>
      <c r="DS46" s="3"/>
      <c r="DT46" s="3"/>
      <c r="DU46" s="3"/>
      <c r="DV46" s="3"/>
      <c r="DW46" s="3"/>
      <c r="DX46" s="42"/>
      <c r="DY46" s="3"/>
      <c r="DZ46" s="3"/>
      <c r="EA46" s="3"/>
      <c r="EB46" s="3"/>
      <c r="EC46" s="3"/>
      <c r="ED46" s="3"/>
      <c r="EE46" s="42"/>
      <c r="EF46" s="3"/>
      <c r="EG46" s="3"/>
      <c r="EH46" s="3"/>
      <c r="EI46" s="3"/>
      <c r="EJ46" s="3"/>
      <c r="EK46" s="3"/>
      <c r="EL46" s="42"/>
      <c r="EM46" s="3"/>
      <c r="EN46" s="3"/>
      <c r="EO46" s="3"/>
      <c r="EP46" s="3"/>
      <c r="EQ46" s="3"/>
      <c r="ER46" s="3"/>
    </row>
    <row r="47">
      <c r="A47" s="44"/>
      <c r="B47" s="43"/>
      <c r="C47" s="10"/>
      <c r="D47" s="10"/>
      <c r="E47" s="10"/>
      <c r="F47" s="10"/>
      <c r="G47" s="10"/>
      <c r="H47" s="10"/>
      <c r="I47" s="43" t="str">
        <f t="shared" ref="I47:M47" si="261">B47</f>
        <v/>
      </c>
      <c r="J47" s="10" t="str">
        <f t="shared" si="261"/>
        <v/>
      </c>
      <c r="K47" s="10" t="str">
        <f t="shared" si="261"/>
        <v/>
      </c>
      <c r="L47" s="10" t="str">
        <f t="shared" si="261"/>
        <v/>
      </c>
      <c r="M47" s="10" t="str">
        <f t="shared" si="261"/>
        <v/>
      </c>
      <c r="N47" s="10"/>
      <c r="O47" s="10"/>
      <c r="P47" s="43" t="str">
        <f t="shared" ref="P47:T47" si="262">I47</f>
        <v/>
      </c>
      <c r="Q47" s="10" t="str">
        <f t="shared" si="262"/>
        <v/>
      </c>
      <c r="R47" s="10" t="str">
        <f t="shared" si="262"/>
        <v/>
      </c>
      <c r="S47" s="10" t="str">
        <f t="shared" si="262"/>
        <v/>
      </c>
      <c r="T47" s="10" t="str">
        <f t="shared" si="262"/>
        <v/>
      </c>
      <c r="U47" s="10"/>
      <c r="V47" s="10"/>
      <c r="W47" s="43" t="str">
        <f t="shared" ref="W47:AA47" si="263">P47</f>
        <v/>
      </c>
      <c r="X47" s="10" t="str">
        <f t="shared" si="263"/>
        <v/>
      </c>
      <c r="Y47" s="10" t="str">
        <f t="shared" si="263"/>
        <v/>
      </c>
      <c r="Z47" s="10" t="str">
        <f t="shared" si="263"/>
        <v/>
      </c>
      <c r="AA47" s="10" t="str">
        <f t="shared" si="263"/>
        <v/>
      </c>
      <c r="AB47" s="10"/>
      <c r="AC47" s="10"/>
      <c r="AD47" s="43" t="str">
        <f t="shared" ref="AD47:AH47" si="264">W47</f>
        <v/>
      </c>
      <c r="AE47" s="10" t="str">
        <f t="shared" si="264"/>
        <v/>
      </c>
      <c r="AF47" s="10" t="str">
        <f t="shared" si="264"/>
        <v/>
      </c>
      <c r="AG47" s="10" t="str">
        <f t="shared" si="264"/>
        <v/>
      </c>
      <c r="AH47" s="10" t="str">
        <f t="shared" si="264"/>
        <v/>
      </c>
      <c r="AI47" s="10"/>
      <c r="AJ47" s="10"/>
      <c r="AK47" s="43" t="str">
        <f t="shared" ref="AK47:AO47" si="265">AD47</f>
        <v/>
      </c>
      <c r="AL47" s="10" t="str">
        <f t="shared" si="265"/>
        <v/>
      </c>
      <c r="AM47" s="10" t="str">
        <f t="shared" si="265"/>
        <v/>
      </c>
      <c r="AN47" s="10" t="str">
        <f t="shared" si="265"/>
        <v/>
      </c>
      <c r="AO47" s="10" t="str">
        <f t="shared" si="265"/>
        <v/>
      </c>
      <c r="AP47" s="10"/>
      <c r="AQ47" s="10"/>
      <c r="AR47" s="43" t="str">
        <f t="shared" ref="AR47:AV47" si="266">AK47</f>
        <v/>
      </c>
      <c r="AS47" s="10" t="str">
        <f t="shared" si="266"/>
        <v/>
      </c>
      <c r="AT47" s="10" t="str">
        <f t="shared" si="266"/>
        <v/>
      </c>
      <c r="AU47" s="10" t="str">
        <f t="shared" si="266"/>
        <v/>
      </c>
      <c r="AV47" s="10" t="str">
        <f t="shared" si="266"/>
        <v/>
      </c>
      <c r="AW47" s="10"/>
      <c r="AX47" s="10"/>
      <c r="AY47" s="43" t="str">
        <f t="shared" ref="AY47:BC47" si="267">AR47</f>
        <v/>
      </c>
      <c r="AZ47" s="10" t="str">
        <f t="shared" si="267"/>
        <v/>
      </c>
      <c r="BA47" s="10" t="str">
        <f t="shared" si="267"/>
        <v/>
      </c>
      <c r="BB47" s="10" t="str">
        <f t="shared" si="267"/>
        <v/>
      </c>
      <c r="BC47" s="10" t="str">
        <f t="shared" si="267"/>
        <v/>
      </c>
      <c r="BD47" s="10"/>
      <c r="BE47" s="10"/>
      <c r="BF47" s="43" t="str">
        <f t="shared" ref="BF47:BJ47" si="268">AY47</f>
        <v/>
      </c>
      <c r="BG47" s="10" t="str">
        <f t="shared" si="268"/>
        <v/>
      </c>
      <c r="BH47" s="10" t="str">
        <f t="shared" si="268"/>
        <v/>
      </c>
      <c r="BI47" s="10" t="str">
        <f t="shared" si="268"/>
        <v/>
      </c>
      <c r="BJ47" s="10" t="str">
        <f t="shared" si="268"/>
        <v/>
      </c>
      <c r="BK47" s="10"/>
      <c r="BL47" s="10"/>
      <c r="BM47" s="43" t="str">
        <f t="shared" ref="BM47:BQ47" si="269">BF47</f>
        <v/>
      </c>
      <c r="BN47" s="10" t="str">
        <f t="shared" si="269"/>
        <v/>
      </c>
      <c r="BO47" s="10" t="str">
        <f t="shared" si="269"/>
        <v/>
      </c>
      <c r="BP47" s="10" t="str">
        <f t="shared" si="269"/>
        <v/>
      </c>
      <c r="BQ47" s="10" t="str">
        <f t="shared" si="269"/>
        <v/>
      </c>
      <c r="BR47" s="10"/>
      <c r="BS47" s="10"/>
      <c r="BT47" s="43" t="str">
        <f t="shared" ref="BT47:BX47" si="270">BM47</f>
        <v/>
      </c>
      <c r="BU47" s="10" t="str">
        <f t="shared" si="270"/>
        <v/>
      </c>
      <c r="BV47" s="10" t="str">
        <f t="shared" si="270"/>
        <v/>
      </c>
      <c r="BW47" s="10" t="str">
        <f t="shared" si="270"/>
        <v/>
      </c>
      <c r="BX47" s="10" t="str">
        <f t="shared" si="270"/>
        <v/>
      </c>
      <c r="BY47" s="10"/>
      <c r="BZ47" s="10"/>
      <c r="CA47" s="43" t="str">
        <f t="shared" ref="CA47:CE47" si="271">BT47</f>
        <v/>
      </c>
      <c r="CB47" s="10" t="str">
        <f t="shared" si="271"/>
        <v/>
      </c>
      <c r="CC47" s="10" t="str">
        <f t="shared" si="271"/>
        <v/>
      </c>
      <c r="CD47" s="10" t="str">
        <f t="shared" si="271"/>
        <v/>
      </c>
      <c r="CE47" s="10" t="str">
        <f t="shared" si="271"/>
        <v/>
      </c>
      <c r="CF47" s="10"/>
      <c r="CG47" s="10"/>
      <c r="CH47" s="43" t="str">
        <f t="shared" ref="CH47:CL47" si="272">CA47</f>
        <v/>
      </c>
      <c r="CI47" s="10" t="str">
        <f t="shared" si="272"/>
        <v/>
      </c>
      <c r="CJ47" s="10" t="str">
        <f t="shared" si="272"/>
        <v/>
      </c>
      <c r="CK47" s="10" t="str">
        <f t="shared" si="272"/>
        <v/>
      </c>
      <c r="CL47" s="10" t="str">
        <f t="shared" si="272"/>
        <v/>
      </c>
      <c r="CM47" s="10"/>
      <c r="CN47" s="10"/>
      <c r="CO47" s="43" t="str">
        <f t="shared" ref="CO47:CS47" si="273">CH47</f>
        <v/>
      </c>
      <c r="CP47" s="10" t="str">
        <f t="shared" si="273"/>
        <v/>
      </c>
      <c r="CQ47" s="10" t="str">
        <f t="shared" si="273"/>
        <v/>
      </c>
      <c r="CR47" s="10" t="str">
        <f t="shared" si="273"/>
        <v/>
      </c>
      <c r="CS47" s="10" t="str">
        <f t="shared" si="273"/>
        <v/>
      </c>
      <c r="CT47" s="10"/>
      <c r="CU47" s="10"/>
      <c r="CV47" s="43" t="str">
        <f t="shared" ref="CV47:CZ47" si="274">CO47</f>
        <v/>
      </c>
      <c r="CW47" s="10" t="str">
        <f t="shared" si="274"/>
        <v/>
      </c>
      <c r="CX47" s="10" t="str">
        <f t="shared" si="274"/>
        <v/>
      </c>
      <c r="CY47" s="10" t="str">
        <f t="shared" si="274"/>
        <v/>
      </c>
      <c r="CZ47" s="10" t="str">
        <f t="shared" si="274"/>
        <v/>
      </c>
      <c r="DA47" s="10"/>
      <c r="DB47" s="10"/>
      <c r="DC47" s="43" t="str">
        <f t="shared" ref="DC47:DG47" si="275">CV47</f>
        <v/>
      </c>
      <c r="DD47" s="10" t="str">
        <f t="shared" si="275"/>
        <v/>
      </c>
      <c r="DE47" s="10" t="str">
        <f t="shared" si="275"/>
        <v/>
      </c>
      <c r="DF47" s="10" t="str">
        <f t="shared" si="275"/>
        <v/>
      </c>
      <c r="DG47" s="10" t="str">
        <f t="shared" si="275"/>
        <v/>
      </c>
      <c r="DH47" s="10"/>
      <c r="DI47" s="10"/>
      <c r="DJ47" s="43" t="str">
        <f t="shared" ref="DJ47:DN47" si="276">DC47</f>
        <v/>
      </c>
      <c r="DK47" s="10" t="str">
        <f t="shared" si="276"/>
        <v/>
      </c>
      <c r="DL47" s="10" t="str">
        <f t="shared" si="276"/>
        <v/>
      </c>
      <c r="DM47" s="10" t="str">
        <f t="shared" si="276"/>
        <v/>
      </c>
      <c r="DN47" s="10" t="str">
        <f t="shared" si="276"/>
        <v/>
      </c>
      <c r="DO47" s="10"/>
      <c r="DP47" s="10"/>
      <c r="DQ47" s="43" t="str">
        <f t="shared" ref="DQ47:DU47" si="277">DJ47</f>
        <v/>
      </c>
      <c r="DR47" s="10" t="str">
        <f t="shared" si="277"/>
        <v/>
      </c>
      <c r="DS47" s="10" t="str">
        <f t="shared" si="277"/>
        <v/>
      </c>
      <c r="DT47" s="10" t="str">
        <f t="shared" si="277"/>
        <v/>
      </c>
      <c r="DU47" s="10" t="str">
        <f t="shared" si="277"/>
        <v/>
      </c>
      <c r="DV47" s="10"/>
      <c r="DW47" s="10"/>
      <c r="DX47" s="43" t="str">
        <f t="shared" ref="DX47:EB47" si="278">DQ47</f>
        <v/>
      </c>
      <c r="DY47" s="10" t="str">
        <f t="shared" si="278"/>
        <v/>
      </c>
      <c r="DZ47" s="10" t="str">
        <f t="shared" si="278"/>
        <v/>
      </c>
      <c r="EA47" s="10" t="str">
        <f t="shared" si="278"/>
        <v/>
      </c>
      <c r="EB47" s="10" t="str">
        <f t="shared" si="278"/>
        <v/>
      </c>
      <c r="EC47" s="10"/>
      <c r="ED47" s="10"/>
      <c r="EE47" s="43" t="str">
        <f t="shared" ref="EE47:EI47" si="279">DX47</f>
        <v/>
      </c>
      <c r="EF47" s="10" t="str">
        <f t="shared" si="279"/>
        <v/>
      </c>
      <c r="EG47" s="10" t="str">
        <f t="shared" si="279"/>
        <v/>
      </c>
      <c r="EH47" s="10" t="str">
        <f t="shared" si="279"/>
        <v/>
      </c>
      <c r="EI47" s="10" t="str">
        <f t="shared" si="279"/>
        <v/>
      </c>
      <c r="EJ47" s="10"/>
      <c r="EK47" s="10"/>
      <c r="EL47" s="43" t="str">
        <f t="shared" ref="EL47:EP47" si="280">EE47</f>
        <v/>
      </c>
      <c r="EM47" s="10" t="str">
        <f t="shared" si="280"/>
        <v/>
      </c>
      <c r="EN47" s="10" t="str">
        <f t="shared" si="280"/>
        <v/>
      </c>
      <c r="EO47" s="10" t="str">
        <f t="shared" si="280"/>
        <v/>
      </c>
      <c r="EP47" s="10" t="str">
        <f t="shared" si="280"/>
        <v/>
      </c>
      <c r="EQ47" s="10"/>
      <c r="ER47" s="10"/>
    </row>
    <row r="48">
      <c r="A48" s="44"/>
      <c r="B48" s="43"/>
      <c r="C48" s="10"/>
      <c r="D48" s="10"/>
      <c r="E48" s="10"/>
      <c r="F48" s="10"/>
      <c r="G48" s="10"/>
      <c r="H48" s="10"/>
      <c r="I48" s="43" t="str">
        <f t="shared" ref="I48:M48" si="281">B48</f>
        <v/>
      </c>
      <c r="J48" s="10" t="str">
        <f t="shared" si="281"/>
        <v/>
      </c>
      <c r="K48" s="10" t="str">
        <f t="shared" si="281"/>
        <v/>
      </c>
      <c r="L48" s="10" t="str">
        <f t="shared" si="281"/>
        <v/>
      </c>
      <c r="M48" s="10" t="str">
        <f t="shared" si="281"/>
        <v/>
      </c>
      <c r="N48" s="10"/>
      <c r="O48" s="10"/>
      <c r="P48" s="43" t="str">
        <f t="shared" ref="P48:T48" si="282">I48</f>
        <v/>
      </c>
      <c r="Q48" s="10" t="str">
        <f t="shared" si="282"/>
        <v/>
      </c>
      <c r="R48" s="10" t="str">
        <f t="shared" si="282"/>
        <v/>
      </c>
      <c r="S48" s="10" t="str">
        <f t="shared" si="282"/>
        <v/>
      </c>
      <c r="T48" s="10" t="str">
        <f t="shared" si="282"/>
        <v/>
      </c>
      <c r="U48" s="10"/>
      <c r="V48" s="10"/>
      <c r="W48" s="43" t="str">
        <f t="shared" ref="W48:AA48" si="283">P48</f>
        <v/>
      </c>
      <c r="X48" s="10" t="str">
        <f t="shared" si="283"/>
        <v/>
      </c>
      <c r="Y48" s="10" t="str">
        <f t="shared" si="283"/>
        <v/>
      </c>
      <c r="Z48" s="10" t="str">
        <f t="shared" si="283"/>
        <v/>
      </c>
      <c r="AA48" s="10" t="str">
        <f t="shared" si="283"/>
        <v/>
      </c>
      <c r="AB48" s="10"/>
      <c r="AC48" s="10"/>
      <c r="AD48" s="43" t="str">
        <f t="shared" ref="AD48:AH48" si="284">W48</f>
        <v/>
      </c>
      <c r="AE48" s="10" t="str">
        <f t="shared" si="284"/>
        <v/>
      </c>
      <c r="AF48" s="10" t="str">
        <f t="shared" si="284"/>
        <v/>
      </c>
      <c r="AG48" s="10" t="str">
        <f t="shared" si="284"/>
        <v/>
      </c>
      <c r="AH48" s="10" t="str">
        <f t="shared" si="284"/>
        <v/>
      </c>
      <c r="AI48" s="10"/>
      <c r="AJ48" s="10"/>
      <c r="AK48" s="43" t="str">
        <f t="shared" ref="AK48:AO48" si="285">AD48</f>
        <v/>
      </c>
      <c r="AL48" s="10" t="str">
        <f t="shared" si="285"/>
        <v/>
      </c>
      <c r="AM48" s="10" t="str">
        <f t="shared" si="285"/>
        <v/>
      </c>
      <c r="AN48" s="10" t="str">
        <f t="shared" si="285"/>
        <v/>
      </c>
      <c r="AO48" s="10" t="str">
        <f t="shared" si="285"/>
        <v/>
      </c>
      <c r="AP48" s="10"/>
      <c r="AQ48" s="10"/>
      <c r="AR48" s="43" t="str">
        <f t="shared" ref="AR48:AV48" si="286">AK48</f>
        <v/>
      </c>
      <c r="AS48" s="10" t="str">
        <f t="shared" si="286"/>
        <v/>
      </c>
      <c r="AT48" s="10" t="str">
        <f t="shared" si="286"/>
        <v/>
      </c>
      <c r="AU48" s="10" t="str">
        <f t="shared" si="286"/>
        <v/>
      </c>
      <c r="AV48" s="10" t="str">
        <f t="shared" si="286"/>
        <v/>
      </c>
      <c r="AW48" s="10"/>
      <c r="AX48" s="10"/>
      <c r="AY48" s="43" t="str">
        <f t="shared" ref="AY48:BC48" si="287">AR48</f>
        <v/>
      </c>
      <c r="AZ48" s="10" t="str">
        <f t="shared" si="287"/>
        <v/>
      </c>
      <c r="BA48" s="10" t="str">
        <f t="shared" si="287"/>
        <v/>
      </c>
      <c r="BB48" s="10" t="str">
        <f t="shared" si="287"/>
        <v/>
      </c>
      <c r="BC48" s="10" t="str">
        <f t="shared" si="287"/>
        <v/>
      </c>
      <c r="BD48" s="10"/>
      <c r="BE48" s="10"/>
      <c r="BF48" s="43" t="str">
        <f t="shared" ref="BF48:BJ48" si="288">AY48</f>
        <v/>
      </c>
      <c r="BG48" s="10" t="str">
        <f t="shared" si="288"/>
        <v/>
      </c>
      <c r="BH48" s="10" t="str">
        <f t="shared" si="288"/>
        <v/>
      </c>
      <c r="BI48" s="10" t="str">
        <f t="shared" si="288"/>
        <v/>
      </c>
      <c r="BJ48" s="10" t="str">
        <f t="shared" si="288"/>
        <v/>
      </c>
      <c r="BK48" s="10"/>
      <c r="BL48" s="10"/>
      <c r="BM48" s="43" t="str">
        <f t="shared" ref="BM48:BQ48" si="289">BF48</f>
        <v/>
      </c>
      <c r="BN48" s="10" t="str">
        <f t="shared" si="289"/>
        <v/>
      </c>
      <c r="BO48" s="10" t="str">
        <f t="shared" si="289"/>
        <v/>
      </c>
      <c r="BP48" s="10" t="str">
        <f t="shared" si="289"/>
        <v/>
      </c>
      <c r="BQ48" s="10" t="str">
        <f t="shared" si="289"/>
        <v/>
      </c>
      <c r="BR48" s="10"/>
      <c r="BS48" s="10"/>
      <c r="BT48" s="43" t="str">
        <f t="shared" ref="BT48:BX48" si="290">BM48</f>
        <v/>
      </c>
      <c r="BU48" s="10" t="str">
        <f t="shared" si="290"/>
        <v/>
      </c>
      <c r="BV48" s="10" t="str">
        <f t="shared" si="290"/>
        <v/>
      </c>
      <c r="BW48" s="10" t="str">
        <f t="shared" si="290"/>
        <v/>
      </c>
      <c r="BX48" s="10" t="str">
        <f t="shared" si="290"/>
        <v/>
      </c>
      <c r="BY48" s="10"/>
      <c r="BZ48" s="10"/>
      <c r="CA48" s="43" t="str">
        <f t="shared" ref="CA48:CE48" si="291">BT48</f>
        <v/>
      </c>
      <c r="CB48" s="10" t="str">
        <f t="shared" si="291"/>
        <v/>
      </c>
      <c r="CC48" s="10" t="str">
        <f t="shared" si="291"/>
        <v/>
      </c>
      <c r="CD48" s="10" t="str">
        <f t="shared" si="291"/>
        <v/>
      </c>
      <c r="CE48" s="10" t="str">
        <f t="shared" si="291"/>
        <v/>
      </c>
      <c r="CF48" s="10"/>
      <c r="CG48" s="10"/>
      <c r="CH48" s="43" t="str">
        <f t="shared" ref="CH48:CL48" si="292">CA48</f>
        <v/>
      </c>
      <c r="CI48" s="10" t="str">
        <f t="shared" si="292"/>
        <v/>
      </c>
      <c r="CJ48" s="10" t="str">
        <f t="shared" si="292"/>
        <v/>
      </c>
      <c r="CK48" s="10" t="str">
        <f t="shared" si="292"/>
        <v/>
      </c>
      <c r="CL48" s="10" t="str">
        <f t="shared" si="292"/>
        <v/>
      </c>
      <c r="CM48" s="10"/>
      <c r="CN48" s="10"/>
      <c r="CO48" s="43" t="str">
        <f t="shared" ref="CO48:CS48" si="293">CH48</f>
        <v/>
      </c>
      <c r="CP48" s="10" t="str">
        <f t="shared" si="293"/>
        <v/>
      </c>
      <c r="CQ48" s="10" t="str">
        <f t="shared" si="293"/>
        <v/>
      </c>
      <c r="CR48" s="10" t="str">
        <f t="shared" si="293"/>
        <v/>
      </c>
      <c r="CS48" s="10" t="str">
        <f t="shared" si="293"/>
        <v/>
      </c>
      <c r="CT48" s="10"/>
      <c r="CU48" s="10"/>
      <c r="CV48" s="43" t="str">
        <f t="shared" ref="CV48:CZ48" si="294">CO48</f>
        <v/>
      </c>
      <c r="CW48" s="10" t="str">
        <f t="shared" si="294"/>
        <v/>
      </c>
      <c r="CX48" s="10" t="str">
        <f t="shared" si="294"/>
        <v/>
      </c>
      <c r="CY48" s="10" t="str">
        <f t="shared" si="294"/>
        <v/>
      </c>
      <c r="CZ48" s="10" t="str">
        <f t="shared" si="294"/>
        <v/>
      </c>
      <c r="DA48" s="10"/>
      <c r="DB48" s="10"/>
      <c r="DC48" s="43" t="str">
        <f t="shared" ref="DC48:DG48" si="295">CV48</f>
        <v/>
      </c>
      <c r="DD48" s="10" t="str">
        <f t="shared" si="295"/>
        <v/>
      </c>
      <c r="DE48" s="10" t="str">
        <f t="shared" si="295"/>
        <v/>
      </c>
      <c r="DF48" s="10" t="str">
        <f t="shared" si="295"/>
        <v/>
      </c>
      <c r="DG48" s="10" t="str">
        <f t="shared" si="295"/>
        <v/>
      </c>
      <c r="DH48" s="10"/>
      <c r="DI48" s="10"/>
      <c r="DJ48" s="43" t="str">
        <f t="shared" ref="DJ48:DN48" si="296">DC48</f>
        <v/>
      </c>
      <c r="DK48" s="10" t="str">
        <f t="shared" si="296"/>
        <v/>
      </c>
      <c r="DL48" s="10" t="str">
        <f t="shared" si="296"/>
        <v/>
      </c>
      <c r="DM48" s="10" t="str">
        <f t="shared" si="296"/>
        <v/>
      </c>
      <c r="DN48" s="10" t="str">
        <f t="shared" si="296"/>
        <v/>
      </c>
      <c r="DO48" s="10"/>
      <c r="DP48" s="10"/>
      <c r="DQ48" s="43" t="str">
        <f t="shared" ref="DQ48:DU48" si="297">DJ48</f>
        <v/>
      </c>
      <c r="DR48" s="10" t="str">
        <f t="shared" si="297"/>
        <v/>
      </c>
      <c r="DS48" s="10" t="str">
        <f t="shared" si="297"/>
        <v/>
      </c>
      <c r="DT48" s="10" t="str">
        <f t="shared" si="297"/>
        <v/>
      </c>
      <c r="DU48" s="10" t="str">
        <f t="shared" si="297"/>
        <v/>
      </c>
      <c r="DV48" s="10"/>
      <c r="DW48" s="10"/>
      <c r="DX48" s="43" t="str">
        <f t="shared" ref="DX48:EB48" si="298">DQ48</f>
        <v/>
      </c>
      <c r="DY48" s="10" t="str">
        <f t="shared" si="298"/>
        <v/>
      </c>
      <c r="DZ48" s="10" t="str">
        <f t="shared" si="298"/>
        <v/>
      </c>
      <c r="EA48" s="10" t="str">
        <f t="shared" si="298"/>
        <v/>
      </c>
      <c r="EB48" s="10" t="str">
        <f t="shared" si="298"/>
        <v/>
      </c>
      <c r="EC48" s="10"/>
      <c r="ED48" s="10"/>
      <c r="EE48" s="43" t="str">
        <f t="shared" ref="EE48:EI48" si="299">DX48</f>
        <v/>
      </c>
      <c r="EF48" s="10" t="str">
        <f t="shared" si="299"/>
        <v/>
      </c>
      <c r="EG48" s="10" t="str">
        <f t="shared" si="299"/>
        <v/>
      </c>
      <c r="EH48" s="10" t="str">
        <f t="shared" si="299"/>
        <v/>
      </c>
      <c r="EI48" s="10" t="str">
        <f t="shared" si="299"/>
        <v/>
      </c>
      <c r="EJ48" s="10"/>
      <c r="EK48" s="10"/>
      <c r="EL48" s="43" t="str">
        <f t="shared" ref="EL48:EP48" si="300">EE48</f>
        <v/>
      </c>
      <c r="EM48" s="10" t="str">
        <f t="shared" si="300"/>
        <v/>
      </c>
      <c r="EN48" s="10" t="str">
        <f t="shared" si="300"/>
        <v/>
      </c>
      <c r="EO48" s="10" t="str">
        <f t="shared" si="300"/>
        <v/>
      </c>
      <c r="EP48" s="10" t="str">
        <f t="shared" si="300"/>
        <v/>
      </c>
      <c r="EQ48" s="10"/>
      <c r="ER48" s="10"/>
    </row>
    <row r="49">
      <c r="A49" s="45"/>
      <c r="B49" s="46"/>
      <c r="C49" s="47"/>
      <c r="D49" s="47"/>
      <c r="E49" s="47"/>
      <c r="F49" s="47"/>
      <c r="G49" s="47"/>
      <c r="H49" s="47"/>
      <c r="I49" s="46" t="str">
        <f t="shared" ref="I49:M49" si="301">B49</f>
        <v/>
      </c>
      <c r="J49" s="47" t="str">
        <f t="shared" si="301"/>
        <v/>
      </c>
      <c r="K49" s="47" t="str">
        <f t="shared" si="301"/>
        <v/>
      </c>
      <c r="L49" s="47" t="str">
        <f t="shared" si="301"/>
        <v/>
      </c>
      <c r="M49" s="47" t="str">
        <f t="shared" si="301"/>
        <v/>
      </c>
      <c r="N49" s="47"/>
      <c r="O49" s="47"/>
      <c r="P49" s="46" t="str">
        <f t="shared" ref="P49:T49" si="302">I49</f>
        <v/>
      </c>
      <c r="Q49" s="47" t="str">
        <f t="shared" si="302"/>
        <v/>
      </c>
      <c r="R49" s="47" t="str">
        <f t="shared" si="302"/>
        <v/>
      </c>
      <c r="S49" s="47" t="str">
        <f t="shared" si="302"/>
        <v/>
      </c>
      <c r="T49" s="47" t="str">
        <f t="shared" si="302"/>
        <v/>
      </c>
      <c r="U49" s="47"/>
      <c r="V49" s="47"/>
      <c r="W49" s="46" t="str">
        <f t="shared" ref="W49:AA49" si="303">P49</f>
        <v/>
      </c>
      <c r="X49" s="47" t="str">
        <f t="shared" si="303"/>
        <v/>
      </c>
      <c r="Y49" s="47" t="str">
        <f t="shared" si="303"/>
        <v/>
      </c>
      <c r="Z49" s="47" t="str">
        <f t="shared" si="303"/>
        <v/>
      </c>
      <c r="AA49" s="47" t="str">
        <f t="shared" si="303"/>
        <v/>
      </c>
      <c r="AB49" s="47"/>
      <c r="AC49" s="47"/>
      <c r="AD49" s="46" t="str">
        <f t="shared" ref="AD49:AH49" si="304">W49</f>
        <v/>
      </c>
      <c r="AE49" s="47" t="str">
        <f t="shared" si="304"/>
        <v/>
      </c>
      <c r="AF49" s="47" t="str">
        <f t="shared" si="304"/>
        <v/>
      </c>
      <c r="AG49" s="47" t="str">
        <f t="shared" si="304"/>
        <v/>
      </c>
      <c r="AH49" s="47" t="str">
        <f t="shared" si="304"/>
        <v/>
      </c>
      <c r="AI49" s="47"/>
      <c r="AJ49" s="47"/>
      <c r="AK49" s="46" t="str">
        <f t="shared" ref="AK49:AO49" si="305">AD49</f>
        <v/>
      </c>
      <c r="AL49" s="47" t="str">
        <f t="shared" si="305"/>
        <v/>
      </c>
      <c r="AM49" s="47" t="str">
        <f t="shared" si="305"/>
        <v/>
      </c>
      <c r="AN49" s="47" t="str">
        <f t="shared" si="305"/>
        <v/>
      </c>
      <c r="AO49" s="47" t="str">
        <f t="shared" si="305"/>
        <v/>
      </c>
      <c r="AP49" s="47"/>
      <c r="AQ49" s="47"/>
      <c r="AR49" s="46" t="str">
        <f t="shared" ref="AR49:AV49" si="306">AK49</f>
        <v/>
      </c>
      <c r="AS49" s="47" t="str">
        <f t="shared" si="306"/>
        <v/>
      </c>
      <c r="AT49" s="47" t="str">
        <f t="shared" si="306"/>
        <v/>
      </c>
      <c r="AU49" s="47" t="str">
        <f t="shared" si="306"/>
        <v/>
      </c>
      <c r="AV49" s="47" t="str">
        <f t="shared" si="306"/>
        <v/>
      </c>
      <c r="AW49" s="47"/>
      <c r="AX49" s="47"/>
      <c r="AY49" s="46" t="str">
        <f t="shared" ref="AY49:BC49" si="307">AR49</f>
        <v/>
      </c>
      <c r="AZ49" s="47" t="str">
        <f t="shared" si="307"/>
        <v/>
      </c>
      <c r="BA49" s="47" t="str">
        <f t="shared" si="307"/>
        <v/>
      </c>
      <c r="BB49" s="47" t="str">
        <f t="shared" si="307"/>
        <v/>
      </c>
      <c r="BC49" s="47" t="str">
        <f t="shared" si="307"/>
        <v/>
      </c>
      <c r="BD49" s="47"/>
      <c r="BE49" s="47"/>
      <c r="BF49" s="46" t="str">
        <f t="shared" ref="BF49:BJ49" si="308">AY49</f>
        <v/>
      </c>
      <c r="BG49" s="47" t="str">
        <f t="shared" si="308"/>
        <v/>
      </c>
      <c r="BH49" s="47" t="str">
        <f t="shared" si="308"/>
        <v/>
      </c>
      <c r="BI49" s="47" t="str">
        <f t="shared" si="308"/>
        <v/>
      </c>
      <c r="BJ49" s="47" t="str">
        <f t="shared" si="308"/>
        <v/>
      </c>
      <c r="BK49" s="47"/>
      <c r="BL49" s="47"/>
      <c r="BM49" s="46" t="str">
        <f t="shared" ref="BM49:BQ49" si="309">BF49</f>
        <v/>
      </c>
      <c r="BN49" s="47" t="str">
        <f t="shared" si="309"/>
        <v/>
      </c>
      <c r="BO49" s="47" t="str">
        <f t="shared" si="309"/>
        <v/>
      </c>
      <c r="BP49" s="47" t="str">
        <f t="shared" si="309"/>
        <v/>
      </c>
      <c r="BQ49" s="47" t="str">
        <f t="shared" si="309"/>
        <v/>
      </c>
      <c r="BR49" s="47"/>
      <c r="BS49" s="47"/>
      <c r="BT49" s="46" t="str">
        <f t="shared" ref="BT49:BX49" si="310">BM49</f>
        <v/>
      </c>
      <c r="BU49" s="47" t="str">
        <f t="shared" si="310"/>
        <v/>
      </c>
      <c r="BV49" s="47" t="str">
        <f t="shared" si="310"/>
        <v/>
      </c>
      <c r="BW49" s="47" t="str">
        <f t="shared" si="310"/>
        <v/>
      </c>
      <c r="BX49" s="47" t="str">
        <f t="shared" si="310"/>
        <v/>
      </c>
      <c r="BY49" s="47"/>
      <c r="BZ49" s="47"/>
      <c r="CA49" s="46" t="str">
        <f t="shared" ref="CA49:CE49" si="311">BT49</f>
        <v/>
      </c>
      <c r="CB49" s="47" t="str">
        <f t="shared" si="311"/>
        <v/>
      </c>
      <c r="CC49" s="47" t="str">
        <f t="shared" si="311"/>
        <v/>
      </c>
      <c r="CD49" s="47" t="str">
        <f t="shared" si="311"/>
        <v/>
      </c>
      <c r="CE49" s="47" t="str">
        <f t="shared" si="311"/>
        <v/>
      </c>
      <c r="CF49" s="47"/>
      <c r="CG49" s="47"/>
      <c r="CH49" s="46" t="str">
        <f t="shared" ref="CH49:CL49" si="312">CA49</f>
        <v/>
      </c>
      <c r="CI49" s="47" t="str">
        <f t="shared" si="312"/>
        <v/>
      </c>
      <c r="CJ49" s="47" t="str">
        <f t="shared" si="312"/>
        <v/>
      </c>
      <c r="CK49" s="47" t="str">
        <f t="shared" si="312"/>
        <v/>
      </c>
      <c r="CL49" s="47" t="str">
        <f t="shared" si="312"/>
        <v/>
      </c>
      <c r="CM49" s="47"/>
      <c r="CN49" s="47"/>
      <c r="CO49" s="46" t="str">
        <f t="shared" ref="CO49:CS49" si="313">CH49</f>
        <v/>
      </c>
      <c r="CP49" s="47" t="str">
        <f t="shared" si="313"/>
        <v/>
      </c>
      <c r="CQ49" s="47" t="str">
        <f t="shared" si="313"/>
        <v/>
      </c>
      <c r="CR49" s="47" t="str">
        <f t="shared" si="313"/>
        <v/>
      </c>
      <c r="CS49" s="47" t="str">
        <f t="shared" si="313"/>
        <v/>
      </c>
      <c r="CT49" s="47"/>
      <c r="CU49" s="47"/>
      <c r="CV49" s="46" t="str">
        <f t="shared" ref="CV49:CZ49" si="314">CO49</f>
        <v/>
      </c>
      <c r="CW49" s="47" t="str">
        <f t="shared" si="314"/>
        <v/>
      </c>
      <c r="CX49" s="47" t="str">
        <f t="shared" si="314"/>
        <v/>
      </c>
      <c r="CY49" s="47" t="str">
        <f t="shared" si="314"/>
        <v/>
      </c>
      <c r="CZ49" s="47" t="str">
        <f t="shared" si="314"/>
        <v/>
      </c>
      <c r="DA49" s="47"/>
      <c r="DB49" s="47"/>
      <c r="DC49" s="46" t="str">
        <f t="shared" ref="DC49:DG49" si="315">CV49</f>
        <v/>
      </c>
      <c r="DD49" s="47" t="str">
        <f t="shared" si="315"/>
        <v/>
      </c>
      <c r="DE49" s="47" t="str">
        <f t="shared" si="315"/>
        <v/>
      </c>
      <c r="DF49" s="47" t="str">
        <f t="shared" si="315"/>
        <v/>
      </c>
      <c r="DG49" s="47" t="str">
        <f t="shared" si="315"/>
        <v/>
      </c>
      <c r="DH49" s="47"/>
      <c r="DI49" s="47"/>
      <c r="DJ49" s="46" t="str">
        <f t="shared" ref="DJ49:DN49" si="316">DC49</f>
        <v/>
      </c>
      <c r="DK49" s="47" t="str">
        <f t="shared" si="316"/>
        <v/>
      </c>
      <c r="DL49" s="47" t="str">
        <f t="shared" si="316"/>
        <v/>
      </c>
      <c r="DM49" s="47" t="str">
        <f t="shared" si="316"/>
        <v/>
      </c>
      <c r="DN49" s="47" t="str">
        <f t="shared" si="316"/>
        <v/>
      </c>
      <c r="DO49" s="47"/>
      <c r="DP49" s="47"/>
      <c r="DQ49" s="46" t="str">
        <f t="shared" ref="DQ49:DU49" si="317">DJ49</f>
        <v/>
      </c>
      <c r="DR49" s="47" t="str">
        <f t="shared" si="317"/>
        <v/>
      </c>
      <c r="DS49" s="47" t="str">
        <f t="shared" si="317"/>
        <v/>
      </c>
      <c r="DT49" s="47" t="str">
        <f t="shared" si="317"/>
        <v/>
      </c>
      <c r="DU49" s="47" t="str">
        <f t="shared" si="317"/>
        <v/>
      </c>
      <c r="DV49" s="47"/>
      <c r="DW49" s="47"/>
      <c r="DX49" s="46" t="str">
        <f t="shared" ref="DX49:EB49" si="318">DQ49</f>
        <v/>
      </c>
      <c r="DY49" s="47" t="str">
        <f t="shared" si="318"/>
        <v/>
      </c>
      <c r="DZ49" s="47" t="str">
        <f t="shared" si="318"/>
        <v/>
      </c>
      <c r="EA49" s="47" t="str">
        <f t="shared" si="318"/>
        <v/>
      </c>
      <c r="EB49" s="47" t="str">
        <f t="shared" si="318"/>
        <v/>
      </c>
      <c r="EC49" s="47"/>
      <c r="ED49" s="47"/>
      <c r="EE49" s="46" t="str">
        <f t="shared" ref="EE49:EI49" si="319">DX49</f>
        <v/>
      </c>
      <c r="EF49" s="47" t="str">
        <f t="shared" si="319"/>
        <v/>
      </c>
      <c r="EG49" s="47" t="str">
        <f t="shared" si="319"/>
        <v/>
      </c>
      <c r="EH49" s="47" t="str">
        <f t="shared" si="319"/>
        <v/>
      </c>
      <c r="EI49" s="47" t="str">
        <f t="shared" si="319"/>
        <v/>
      </c>
      <c r="EJ49" s="47"/>
      <c r="EK49" s="47"/>
      <c r="EL49" s="46" t="str">
        <f t="shared" ref="EL49:EP49" si="320">EE49</f>
        <v/>
      </c>
      <c r="EM49" s="47" t="str">
        <f t="shared" si="320"/>
        <v/>
      </c>
      <c r="EN49" s="47" t="str">
        <f t="shared" si="320"/>
        <v/>
      </c>
      <c r="EO49" s="47" t="str">
        <f t="shared" si="320"/>
        <v/>
      </c>
      <c r="EP49" s="47" t="str">
        <f t="shared" si="320"/>
        <v/>
      </c>
      <c r="EQ49" s="47"/>
      <c r="ER49" s="47"/>
    </row>
  </sheetData>
  <mergeCells count="25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6:EK16"/>
    <mergeCell ref="EE29:EK29"/>
    <mergeCell ref="EE40:EK40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10 A23 A34 A45">
      <formula1>'Quick Setup'!$B$19:$D$26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29" t="s">
        <v>49</v>
      </c>
      <c r="I1" s="29" t="s">
        <v>50</v>
      </c>
      <c r="P1" s="29" t="s">
        <v>51</v>
      </c>
      <c r="W1" s="29" t="s">
        <v>52</v>
      </c>
      <c r="AD1" s="29" t="s">
        <v>53</v>
      </c>
      <c r="AK1" s="29" t="s">
        <v>54</v>
      </c>
      <c r="AR1" s="30" t="s">
        <v>55</v>
      </c>
      <c r="AY1" s="30" t="s">
        <v>56</v>
      </c>
      <c r="BF1" s="30" t="s">
        <v>57</v>
      </c>
      <c r="BM1" s="30" t="s">
        <v>58</v>
      </c>
      <c r="BT1" s="30" t="s">
        <v>59</v>
      </c>
      <c r="CA1" s="30" t="s">
        <v>60</v>
      </c>
      <c r="CH1" s="30" t="s">
        <v>61</v>
      </c>
      <c r="CO1" s="30" t="s">
        <v>62</v>
      </c>
      <c r="CV1" s="29" t="s">
        <v>63</v>
      </c>
      <c r="DC1" s="29" t="s">
        <v>64</v>
      </c>
      <c r="DJ1" s="29" t="s">
        <v>65</v>
      </c>
      <c r="DQ1" s="29" t="s">
        <v>66</v>
      </c>
      <c r="DX1" s="29" t="s">
        <v>67</v>
      </c>
      <c r="EE1" s="29" t="s">
        <v>68</v>
      </c>
      <c r="EL1" s="29" t="s">
        <v>69</v>
      </c>
    </row>
    <row r="2">
      <c r="A2" s="3"/>
      <c r="B2" s="31" t="s">
        <v>70</v>
      </c>
      <c r="C2" s="1" t="s">
        <v>47</v>
      </c>
      <c r="D2" s="1" t="s">
        <v>48</v>
      </c>
      <c r="E2" s="1" t="s">
        <v>71</v>
      </c>
      <c r="F2" s="1" t="s">
        <v>72</v>
      </c>
      <c r="G2" s="1" t="s">
        <v>73</v>
      </c>
      <c r="H2" s="1" t="s">
        <v>74</v>
      </c>
      <c r="I2" s="31" t="s">
        <v>70</v>
      </c>
      <c r="J2" s="1" t="s">
        <v>47</v>
      </c>
      <c r="K2" s="1" t="s">
        <v>48</v>
      </c>
      <c r="L2" s="1" t="s">
        <v>71</v>
      </c>
      <c r="M2" s="1" t="s">
        <v>72</v>
      </c>
      <c r="N2" s="1" t="s">
        <v>73</v>
      </c>
      <c r="O2" s="1" t="s">
        <v>74</v>
      </c>
      <c r="P2" s="31" t="s">
        <v>70</v>
      </c>
      <c r="Q2" s="1" t="s">
        <v>47</v>
      </c>
      <c r="R2" s="1" t="s">
        <v>48</v>
      </c>
      <c r="S2" s="1" t="s">
        <v>71</v>
      </c>
      <c r="T2" s="1" t="s">
        <v>72</v>
      </c>
      <c r="U2" s="1" t="s">
        <v>73</v>
      </c>
      <c r="V2" s="1" t="s">
        <v>74</v>
      </c>
      <c r="W2" s="31" t="s">
        <v>70</v>
      </c>
      <c r="X2" s="1" t="s">
        <v>47</v>
      </c>
      <c r="Y2" s="1" t="s">
        <v>48</v>
      </c>
      <c r="Z2" s="1" t="s">
        <v>71</v>
      </c>
      <c r="AA2" s="1" t="s">
        <v>72</v>
      </c>
      <c r="AB2" s="1" t="s">
        <v>73</v>
      </c>
      <c r="AC2" s="1" t="s">
        <v>74</v>
      </c>
      <c r="AD2" s="31" t="s">
        <v>70</v>
      </c>
      <c r="AE2" s="1" t="s">
        <v>47</v>
      </c>
      <c r="AF2" s="1" t="s">
        <v>48</v>
      </c>
      <c r="AG2" s="1" t="s">
        <v>71</v>
      </c>
      <c r="AH2" s="1" t="s">
        <v>72</v>
      </c>
      <c r="AI2" s="1" t="s">
        <v>73</v>
      </c>
      <c r="AJ2" s="1" t="s">
        <v>74</v>
      </c>
      <c r="AK2" s="31" t="s">
        <v>70</v>
      </c>
      <c r="AL2" s="1" t="s">
        <v>47</v>
      </c>
      <c r="AM2" s="1" t="s">
        <v>48</v>
      </c>
      <c r="AN2" s="1" t="s">
        <v>71</v>
      </c>
      <c r="AO2" s="1" t="s">
        <v>72</v>
      </c>
      <c r="AP2" s="1" t="s">
        <v>73</v>
      </c>
      <c r="AQ2" s="1" t="s">
        <v>74</v>
      </c>
      <c r="AR2" s="31" t="s">
        <v>70</v>
      </c>
      <c r="AS2" s="1" t="s">
        <v>47</v>
      </c>
      <c r="AT2" s="1" t="s">
        <v>48</v>
      </c>
      <c r="AU2" s="1" t="s">
        <v>71</v>
      </c>
      <c r="AV2" s="1" t="s">
        <v>72</v>
      </c>
      <c r="AW2" s="1" t="s">
        <v>73</v>
      </c>
      <c r="AX2" s="1" t="s">
        <v>74</v>
      </c>
      <c r="AY2" s="31" t="s">
        <v>70</v>
      </c>
      <c r="AZ2" s="1" t="s">
        <v>47</v>
      </c>
      <c r="BA2" s="1" t="s">
        <v>48</v>
      </c>
      <c r="BB2" s="1" t="s">
        <v>71</v>
      </c>
      <c r="BC2" s="1" t="s">
        <v>72</v>
      </c>
      <c r="BD2" s="1" t="s">
        <v>73</v>
      </c>
      <c r="BE2" s="1" t="s">
        <v>74</v>
      </c>
      <c r="BF2" s="31" t="s">
        <v>70</v>
      </c>
      <c r="BG2" s="1" t="s">
        <v>47</v>
      </c>
      <c r="BH2" s="1" t="s">
        <v>48</v>
      </c>
      <c r="BI2" s="1" t="s">
        <v>71</v>
      </c>
      <c r="BJ2" s="1" t="s">
        <v>72</v>
      </c>
      <c r="BK2" s="1" t="s">
        <v>73</v>
      </c>
      <c r="BL2" s="1" t="s">
        <v>74</v>
      </c>
      <c r="BM2" s="31" t="s">
        <v>70</v>
      </c>
      <c r="BN2" s="1" t="s">
        <v>47</v>
      </c>
      <c r="BO2" s="1" t="s">
        <v>48</v>
      </c>
      <c r="BP2" s="1" t="s">
        <v>71</v>
      </c>
      <c r="BQ2" s="1" t="s">
        <v>72</v>
      </c>
      <c r="BR2" s="1" t="s">
        <v>73</v>
      </c>
      <c r="BS2" s="1" t="s">
        <v>74</v>
      </c>
      <c r="BT2" s="31" t="s">
        <v>70</v>
      </c>
      <c r="BU2" s="1" t="s">
        <v>47</v>
      </c>
      <c r="BV2" s="1" t="s">
        <v>48</v>
      </c>
      <c r="BW2" s="1" t="s">
        <v>71</v>
      </c>
      <c r="BX2" s="1" t="s">
        <v>72</v>
      </c>
      <c r="BY2" s="1" t="s">
        <v>73</v>
      </c>
      <c r="BZ2" s="1" t="s">
        <v>74</v>
      </c>
      <c r="CA2" s="31" t="s">
        <v>70</v>
      </c>
      <c r="CB2" s="1" t="s">
        <v>47</v>
      </c>
      <c r="CC2" s="1" t="s">
        <v>48</v>
      </c>
      <c r="CD2" s="1" t="s">
        <v>71</v>
      </c>
      <c r="CE2" s="1" t="s">
        <v>72</v>
      </c>
      <c r="CF2" s="1" t="s">
        <v>73</v>
      </c>
      <c r="CG2" s="1" t="s">
        <v>74</v>
      </c>
      <c r="CH2" s="31" t="s">
        <v>70</v>
      </c>
      <c r="CI2" s="1" t="s">
        <v>47</v>
      </c>
      <c r="CJ2" s="1" t="s">
        <v>48</v>
      </c>
      <c r="CK2" s="1" t="s">
        <v>71</v>
      </c>
      <c r="CL2" s="1" t="s">
        <v>72</v>
      </c>
      <c r="CM2" s="1" t="s">
        <v>73</v>
      </c>
      <c r="CN2" s="1" t="s">
        <v>74</v>
      </c>
      <c r="CO2" s="31" t="s">
        <v>70</v>
      </c>
      <c r="CP2" s="1" t="s">
        <v>47</v>
      </c>
      <c r="CQ2" s="1" t="s">
        <v>48</v>
      </c>
      <c r="CR2" s="1" t="s">
        <v>71</v>
      </c>
      <c r="CS2" s="1" t="s">
        <v>72</v>
      </c>
      <c r="CT2" s="1" t="s">
        <v>73</v>
      </c>
      <c r="CU2" s="1" t="s">
        <v>74</v>
      </c>
      <c r="CV2" s="31" t="s">
        <v>70</v>
      </c>
      <c r="CW2" s="1" t="s">
        <v>47</v>
      </c>
      <c r="CX2" s="1" t="s">
        <v>48</v>
      </c>
      <c r="CY2" s="1" t="s">
        <v>71</v>
      </c>
      <c r="CZ2" s="1" t="s">
        <v>72</v>
      </c>
      <c r="DA2" s="1" t="s">
        <v>73</v>
      </c>
      <c r="DB2" s="1" t="s">
        <v>74</v>
      </c>
      <c r="DC2" s="31" t="s">
        <v>70</v>
      </c>
      <c r="DD2" s="1" t="s">
        <v>47</v>
      </c>
      <c r="DE2" s="1" t="s">
        <v>48</v>
      </c>
      <c r="DF2" s="1" t="s">
        <v>71</v>
      </c>
      <c r="DG2" s="1" t="s">
        <v>72</v>
      </c>
      <c r="DH2" s="1" t="s">
        <v>73</v>
      </c>
      <c r="DI2" s="1" t="s">
        <v>74</v>
      </c>
      <c r="DJ2" s="31" t="s">
        <v>70</v>
      </c>
      <c r="DK2" s="1" t="s">
        <v>47</v>
      </c>
      <c r="DL2" s="1" t="s">
        <v>48</v>
      </c>
      <c r="DM2" s="1" t="s">
        <v>71</v>
      </c>
      <c r="DN2" s="1" t="s">
        <v>72</v>
      </c>
      <c r="DO2" s="1" t="s">
        <v>73</v>
      </c>
      <c r="DP2" s="1" t="s">
        <v>74</v>
      </c>
      <c r="DQ2" s="31" t="s">
        <v>70</v>
      </c>
      <c r="DR2" s="1" t="s">
        <v>47</v>
      </c>
      <c r="DS2" s="1" t="s">
        <v>48</v>
      </c>
      <c r="DT2" s="1" t="s">
        <v>71</v>
      </c>
      <c r="DU2" s="1" t="s">
        <v>72</v>
      </c>
      <c r="DV2" s="1" t="s">
        <v>73</v>
      </c>
      <c r="DW2" s="1" t="s">
        <v>74</v>
      </c>
      <c r="DX2" s="31" t="s">
        <v>70</v>
      </c>
      <c r="DY2" s="1" t="s">
        <v>47</v>
      </c>
      <c r="DZ2" s="1" t="s">
        <v>48</v>
      </c>
      <c r="EA2" s="1" t="s">
        <v>71</v>
      </c>
      <c r="EB2" s="1" t="s">
        <v>72</v>
      </c>
      <c r="EC2" s="1" t="s">
        <v>73</v>
      </c>
      <c r="ED2" s="1" t="s">
        <v>74</v>
      </c>
      <c r="EE2" s="31" t="s">
        <v>70</v>
      </c>
      <c r="EF2" s="1" t="s">
        <v>47</v>
      </c>
      <c r="EG2" s="1" t="s">
        <v>48</v>
      </c>
      <c r="EH2" s="1" t="s">
        <v>71</v>
      </c>
      <c r="EI2" s="1" t="s">
        <v>72</v>
      </c>
      <c r="EJ2" s="1" t="s">
        <v>73</v>
      </c>
      <c r="EK2" s="1" t="s">
        <v>74</v>
      </c>
      <c r="EL2" s="31" t="s">
        <v>70</v>
      </c>
      <c r="EM2" s="1" t="s">
        <v>47</v>
      </c>
      <c r="EN2" s="1" t="s">
        <v>48</v>
      </c>
      <c r="EO2" s="1" t="s">
        <v>71</v>
      </c>
      <c r="EP2" s="1" t="s">
        <v>72</v>
      </c>
      <c r="EQ2" s="1" t="s">
        <v>73</v>
      </c>
      <c r="ER2" s="1" t="s">
        <v>74</v>
      </c>
    </row>
    <row r="3">
      <c r="A3" s="32" t="s">
        <v>76</v>
      </c>
      <c r="B3" s="33"/>
      <c r="C3" s="34"/>
      <c r="D3" s="34"/>
      <c r="E3" s="34"/>
      <c r="F3" s="34"/>
      <c r="G3" s="34"/>
      <c r="H3" s="34"/>
      <c r="I3" s="33"/>
      <c r="J3" s="34"/>
      <c r="K3" s="34"/>
      <c r="L3" s="34"/>
      <c r="M3" s="34"/>
      <c r="N3" s="34"/>
      <c r="O3" s="34"/>
      <c r="P3" s="33"/>
      <c r="Q3" s="34"/>
      <c r="R3" s="34"/>
      <c r="S3" s="34"/>
      <c r="T3" s="34"/>
      <c r="U3" s="34"/>
      <c r="V3" s="34"/>
      <c r="W3" s="33"/>
      <c r="X3" s="34"/>
      <c r="Y3" s="34"/>
      <c r="Z3" s="34"/>
      <c r="AA3" s="34"/>
      <c r="AB3" s="34"/>
      <c r="AC3" s="34"/>
      <c r="AD3" s="33"/>
      <c r="AE3" s="34"/>
      <c r="AF3" s="34"/>
      <c r="AG3" s="34"/>
      <c r="AH3" s="34"/>
      <c r="AI3" s="34"/>
      <c r="AJ3" s="34"/>
      <c r="AK3" s="33"/>
      <c r="AL3" s="34"/>
      <c r="AM3" s="34"/>
      <c r="AN3" s="34"/>
      <c r="AO3" s="34"/>
      <c r="AP3" s="34"/>
      <c r="AQ3" s="34"/>
      <c r="AR3" s="33"/>
      <c r="AS3" s="34"/>
      <c r="AT3" s="34"/>
      <c r="AU3" s="34"/>
      <c r="AV3" s="34"/>
      <c r="AW3" s="34"/>
      <c r="AX3" s="34"/>
      <c r="AY3" s="33"/>
      <c r="AZ3" s="34"/>
      <c r="BA3" s="34"/>
      <c r="BB3" s="34"/>
      <c r="BC3" s="34"/>
      <c r="BD3" s="34"/>
      <c r="BE3" s="34"/>
      <c r="BF3" s="33"/>
      <c r="BG3" s="34"/>
      <c r="BH3" s="34"/>
      <c r="BI3" s="34"/>
      <c r="BJ3" s="34"/>
      <c r="BK3" s="34"/>
      <c r="BL3" s="34"/>
      <c r="BM3" s="33"/>
      <c r="BN3" s="34"/>
      <c r="BO3" s="34"/>
      <c r="BP3" s="34"/>
      <c r="BQ3" s="34"/>
      <c r="BR3" s="34"/>
      <c r="BS3" s="34"/>
      <c r="BT3" s="33"/>
      <c r="BU3" s="34"/>
      <c r="BV3" s="34"/>
      <c r="BW3" s="34"/>
      <c r="BX3" s="34"/>
      <c r="BY3" s="34"/>
      <c r="BZ3" s="34"/>
      <c r="CA3" s="33"/>
      <c r="CB3" s="34"/>
      <c r="CC3" s="34"/>
      <c r="CD3" s="34"/>
      <c r="CE3" s="34"/>
      <c r="CF3" s="34"/>
      <c r="CG3" s="34"/>
      <c r="CH3" s="33"/>
      <c r="CI3" s="34"/>
      <c r="CJ3" s="34"/>
      <c r="CK3" s="34"/>
      <c r="CL3" s="34"/>
      <c r="CM3" s="34"/>
      <c r="CN3" s="34"/>
      <c r="CO3" s="33"/>
      <c r="CP3" s="34"/>
      <c r="CQ3" s="34"/>
      <c r="CR3" s="34"/>
      <c r="CS3" s="34"/>
      <c r="CT3" s="34"/>
      <c r="CU3" s="34"/>
      <c r="CV3" s="33"/>
      <c r="CW3" s="34"/>
      <c r="CX3" s="34"/>
      <c r="CY3" s="34"/>
      <c r="CZ3" s="34"/>
      <c r="DA3" s="34"/>
      <c r="DB3" s="34"/>
      <c r="DC3" s="33"/>
      <c r="DD3" s="34"/>
      <c r="DE3" s="34"/>
      <c r="DF3" s="34"/>
      <c r="DG3" s="34"/>
      <c r="DH3" s="34"/>
      <c r="DI3" s="34"/>
      <c r="DJ3" s="33"/>
      <c r="DK3" s="34"/>
      <c r="DL3" s="34"/>
      <c r="DM3" s="34"/>
      <c r="DN3" s="34"/>
      <c r="DO3" s="34"/>
      <c r="DP3" s="34"/>
      <c r="DQ3" s="33"/>
      <c r="DR3" s="34"/>
      <c r="DS3" s="34"/>
      <c r="DT3" s="34"/>
      <c r="DU3" s="34"/>
      <c r="DV3" s="34"/>
      <c r="DW3" s="34"/>
      <c r="DX3" s="33"/>
      <c r="DY3" s="34"/>
      <c r="DZ3" s="34"/>
      <c r="EA3" s="34"/>
      <c r="EB3" s="34"/>
      <c r="EC3" s="34"/>
      <c r="ED3" s="34"/>
      <c r="EE3" s="35" t="s">
        <v>77</v>
      </c>
      <c r="EF3" s="36"/>
      <c r="EG3" s="36"/>
      <c r="EH3" s="36"/>
      <c r="EI3" s="36"/>
      <c r="EJ3" s="36"/>
      <c r="EK3" s="36"/>
      <c r="EL3" s="33"/>
      <c r="EM3" s="34"/>
      <c r="EN3" s="34"/>
      <c r="EO3" s="34"/>
      <c r="EP3" s="34"/>
      <c r="EQ3" s="34"/>
      <c r="ER3" s="34"/>
    </row>
    <row r="4" hidden="1">
      <c r="A4" s="37" t="str">
        <f>CONCATENATE(A5," TM")</f>
        <v>Squat TM</v>
      </c>
      <c r="B4" s="38">
        <f>if(D4="",'Quick Setup'!D5,D4/'Quick Setup'!E5)</f>
        <v>490</v>
      </c>
      <c r="C4" s="39" t="s">
        <v>75</v>
      </c>
      <c r="D4" s="40"/>
      <c r="E4" s="41"/>
      <c r="F4" s="41"/>
      <c r="G4" s="41"/>
      <c r="H4" s="41"/>
      <c r="I4" s="38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490</v>
      </c>
      <c r="J4" s="39" t="s">
        <v>75</v>
      </c>
      <c r="K4" s="40"/>
      <c r="L4" s="41"/>
      <c r="M4" s="41"/>
      <c r="N4" s="41"/>
      <c r="O4" s="41"/>
      <c r="P4" s="38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490</v>
      </c>
      <c r="Q4" s="39" t="s">
        <v>75</v>
      </c>
      <c r="R4" s="40"/>
      <c r="S4" s="41"/>
      <c r="T4" s="41"/>
      <c r="U4" s="41"/>
      <c r="V4" s="41"/>
      <c r="W4" s="38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490</v>
      </c>
      <c r="X4" s="39" t="s">
        <v>75</v>
      </c>
      <c r="Y4" s="40"/>
      <c r="Z4" s="41"/>
      <c r="AA4" s="41"/>
      <c r="AB4" s="41"/>
      <c r="AC4" s="41"/>
      <c r="AD4" s="38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490</v>
      </c>
      <c r="AE4" s="39" t="s">
        <v>75</v>
      </c>
      <c r="AF4" s="40"/>
      <c r="AG4" s="41"/>
      <c r="AH4" s="41"/>
      <c r="AI4" s="41"/>
      <c r="AJ4" s="41"/>
      <c r="AK4" s="38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490</v>
      </c>
      <c r="AL4" s="39" t="s">
        <v>75</v>
      </c>
      <c r="AM4" s="40"/>
      <c r="AN4" s="41"/>
      <c r="AO4" s="41"/>
      <c r="AP4" s="41"/>
      <c r="AQ4" s="41"/>
      <c r="AR4" s="38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490</v>
      </c>
      <c r="AS4" s="39" t="s">
        <v>75</v>
      </c>
      <c r="AT4" s="40"/>
      <c r="AU4" s="41"/>
      <c r="AV4" s="41"/>
      <c r="AW4" s="41"/>
      <c r="AX4" s="41"/>
      <c r="AY4" s="38">
        <f>if(BA4="",AR4,BA4/'Quick Setup'!$E5)</f>
        <v>490</v>
      </c>
      <c r="AZ4" s="39" t="s">
        <v>75</v>
      </c>
      <c r="BA4" s="40"/>
      <c r="BB4" s="41"/>
      <c r="BC4" s="41"/>
      <c r="BD4" s="41"/>
      <c r="BE4" s="41"/>
      <c r="BF4" s="38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490</v>
      </c>
      <c r="BG4" s="39" t="s">
        <v>75</v>
      </c>
      <c r="BH4" s="40"/>
      <c r="BI4" s="41"/>
      <c r="BJ4" s="41"/>
      <c r="BK4" s="41"/>
      <c r="BL4" s="41"/>
      <c r="BM4" s="38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490</v>
      </c>
      <c r="BN4" s="39" t="s">
        <v>75</v>
      </c>
      <c r="BO4" s="40"/>
      <c r="BP4" s="41"/>
      <c r="BQ4" s="41"/>
      <c r="BR4" s="41"/>
      <c r="BS4" s="41"/>
      <c r="BT4" s="38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490</v>
      </c>
      <c r="BU4" s="39" t="s">
        <v>75</v>
      </c>
      <c r="BV4" s="40"/>
      <c r="BW4" s="41"/>
      <c r="BX4" s="41"/>
      <c r="BY4" s="41"/>
      <c r="BZ4" s="41"/>
      <c r="CA4" s="38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490</v>
      </c>
      <c r="CB4" s="39" t="s">
        <v>75</v>
      </c>
      <c r="CC4" s="40"/>
      <c r="CD4" s="41"/>
      <c r="CE4" s="41"/>
      <c r="CF4" s="41"/>
      <c r="CG4" s="41"/>
      <c r="CH4" s="38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490</v>
      </c>
      <c r="CI4" s="39" t="s">
        <v>75</v>
      </c>
      <c r="CJ4" s="40"/>
      <c r="CK4" s="41"/>
      <c r="CL4" s="41"/>
      <c r="CM4" s="41"/>
      <c r="CN4" s="41"/>
      <c r="CO4" s="38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490</v>
      </c>
      <c r="CP4" s="39" t="s">
        <v>75</v>
      </c>
      <c r="CQ4" s="40"/>
      <c r="CR4" s="41"/>
      <c r="CS4" s="41"/>
      <c r="CT4" s="41"/>
      <c r="CU4" s="41"/>
      <c r="CV4" s="38">
        <f>if(CX4="",CO4,CX4/'Quick Setup'!$E5)</f>
        <v>490</v>
      </c>
      <c r="CW4" s="39" t="s">
        <v>75</v>
      </c>
      <c r="CX4" s="40"/>
      <c r="CY4" s="41"/>
      <c r="CZ4" s="41"/>
      <c r="DA4" s="41"/>
      <c r="DB4" s="41"/>
      <c r="DC4" s="38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490</v>
      </c>
      <c r="DD4" s="39" t="s">
        <v>75</v>
      </c>
      <c r="DE4" s="40"/>
      <c r="DF4" s="41"/>
      <c r="DG4" s="41"/>
      <c r="DH4" s="41"/>
      <c r="DI4" s="41"/>
      <c r="DJ4" s="38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490</v>
      </c>
      <c r="DK4" s="39" t="s">
        <v>75</v>
      </c>
      <c r="DL4" s="40"/>
      <c r="DM4" s="41"/>
      <c r="DN4" s="41"/>
      <c r="DO4" s="41"/>
      <c r="DP4" s="41"/>
      <c r="DQ4" s="38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490</v>
      </c>
      <c r="DR4" s="39" t="s">
        <v>75</v>
      </c>
      <c r="DS4" s="40"/>
      <c r="DT4" s="41"/>
      <c r="DU4" s="41"/>
      <c r="DV4" s="41"/>
      <c r="DW4" s="41"/>
      <c r="DX4" s="38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490</v>
      </c>
      <c r="DY4" s="39" t="s">
        <v>75</v>
      </c>
      <c r="DZ4" s="40"/>
      <c r="EA4" s="41"/>
      <c r="EB4" s="41"/>
      <c r="EC4" s="41"/>
      <c r="ED4" s="41"/>
      <c r="EE4" s="38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490</v>
      </c>
      <c r="EF4" s="39" t="s">
        <v>75</v>
      </c>
      <c r="EG4" s="40"/>
      <c r="EH4" s="41"/>
      <c r="EI4" s="41"/>
      <c r="EJ4" s="41"/>
      <c r="EK4" s="41"/>
      <c r="EL4" s="38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490</v>
      </c>
      <c r="EM4" s="39" t="s">
        <v>75</v>
      </c>
      <c r="EN4" s="40"/>
      <c r="EO4" s="41"/>
      <c r="EP4" s="41"/>
      <c r="EQ4" s="41"/>
      <c r="ER4" s="41"/>
    </row>
    <row r="5">
      <c r="A5" s="1" t="str">
        <f>Setup!A3</f>
        <v>Squat</v>
      </c>
      <c r="B5" s="42">
        <f>mround(B4*Setup!B3,'Quick Setup'!$A$2)</f>
        <v>342.5</v>
      </c>
      <c r="C5" s="3">
        <f>Setup!C3</f>
        <v>5</v>
      </c>
      <c r="D5" s="3">
        <f>Setup!D3</f>
        <v>10</v>
      </c>
      <c r="E5" s="3">
        <f>Setup!E3</f>
        <v>5</v>
      </c>
      <c r="F5" s="10"/>
      <c r="G5" s="10"/>
      <c r="H5" s="10"/>
      <c r="I5" s="42">
        <f>mround(I4*Setup!N3,'Quick Setup'!$A$2)</f>
        <v>367.5</v>
      </c>
      <c r="J5" s="3">
        <f>Setup!O3</f>
        <v>4</v>
      </c>
      <c r="K5" s="3">
        <f>Setup!P3</f>
        <v>8</v>
      </c>
      <c r="L5" s="3">
        <f>Setup!Q3</f>
        <v>5</v>
      </c>
      <c r="M5" s="10"/>
      <c r="N5" s="10"/>
      <c r="O5" s="10"/>
      <c r="P5" s="42">
        <f>mround(P4*Setup!Z3,'Quick Setup'!$A$2)</f>
        <v>392.5</v>
      </c>
      <c r="Q5" s="3">
        <f>Setup!AA3</f>
        <v>3</v>
      </c>
      <c r="R5" s="3">
        <f>Setup!AB3</f>
        <v>6</v>
      </c>
      <c r="S5" s="3">
        <f>Setup!AC3</f>
        <v>5</v>
      </c>
      <c r="T5" s="10"/>
      <c r="U5" s="10"/>
      <c r="V5" s="10"/>
      <c r="W5" s="42">
        <f>mround(W4*Setup!AL3,'Quick Setup'!$A$2)</f>
        <v>355</v>
      </c>
      <c r="X5" s="3">
        <f>Setup!AM3</f>
        <v>5</v>
      </c>
      <c r="Y5" s="3">
        <f>Setup!AN3</f>
        <v>9</v>
      </c>
      <c r="Z5" s="3">
        <f>Setup!AO3</f>
        <v>5</v>
      </c>
      <c r="AA5" s="10"/>
      <c r="AB5" s="10"/>
      <c r="AC5" s="10"/>
      <c r="AD5" s="42">
        <f>mround(AD4*Setup!AX3,'Quick Setup'!$A$2)</f>
        <v>380</v>
      </c>
      <c r="AE5" s="3">
        <f>Setup!AY3</f>
        <v>4</v>
      </c>
      <c r="AF5" s="3">
        <f>Setup!AZ3</f>
        <v>7</v>
      </c>
      <c r="AG5" s="3">
        <f>Setup!BA3</f>
        <v>5</v>
      </c>
      <c r="AH5" s="10"/>
      <c r="AI5" s="10"/>
      <c r="AJ5" s="10"/>
      <c r="AK5" s="42">
        <f>mround(AK4*Setup!BJ3,'Quick Setup'!$A$2)</f>
        <v>405</v>
      </c>
      <c r="AL5" s="3">
        <f>Setup!BK3</f>
        <v>3</v>
      </c>
      <c r="AM5" s="3">
        <f>Setup!BL3</f>
        <v>5</v>
      </c>
      <c r="AN5" s="3">
        <f>Setup!BM3</f>
        <v>5</v>
      </c>
      <c r="AO5" s="10"/>
      <c r="AP5" s="10"/>
      <c r="AQ5" s="10"/>
      <c r="AR5" s="42">
        <f>mround(AR4*Setup!BV3,'Quick Setup'!$A$2)</f>
        <v>295</v>
      </c>
      <c r="AS5" s="1">
        <v>5.0</v>
      </c>
      <c r="AT5" s="1" t="s">
        <v>78</v>
      </c>
      <c r="AU5" s="3">
        <f>Setup!BY3</f>
        <v>5</v>
      </c>
      <c r="AV5" s="10"/>
      <c r="AW5" s="10"/>
      <c r="AX5" s="10"/>
      <c r="AY5" s="42">
        <f>mround(AY4*Setup!CH3,'Quick Setup'!$A$2)</f>
        <v>367.5</v>
      </c>
      <c r="AZ5" s="3">
        <f>Setup!CI3</f>
        <v>4</v>
      </c>
      <c r="BA5" s="3">
        <f>Setup!CJ3</f>
        <v>8</v>
      </c>
      <c r="BB5" s="3">
        <f>Setup!CK3</f>
        <v>5</v>
      </c>
      <c r="BC5" s="10"/>
      <c r="BD5" s="10"/>
      <c r="BE5" s="10"/>
      <c r="BF5" s="42">
        <f>mround(BF4*Setup!CT3,'Quick Setup'!$A$2)</f>
        <v>392.5</v>
      </c>
      <c r="BG5" s="3">
        <f>Setup!CU3</f>
        <v>3</v>
      </c>
      <c r="BH5" s="3">
        <f>Setup!CV3</f>
        <v>6</v>
      </c>
      <c r="BI5" s="3">
        <f>Setup!CW3</f>
        <v>5</v>
      </c>
      <c r="BJ5" s="10"/>
      <c r="BK5" s="10"/>
      <c r="BL5" s="10"/>
      <c r="BM5" s="42">
        <f>mround(BM4*Setup!DF3,'Quick Setup'!$A$2)</f>
        <v>417.5</v>
      </c>
      <c r="BN5" s="3">
        <f>Setup!DG3</f>
        <v>2</v>
      </c>
      <c r="BO5" s="3">
        <f>Setup!DH3</f>
        <v>4</v>
      </c>
      <c r="BP5" s="3">
        <f>Setup!DI3</f>
        <v>5</v>
      </c>
      <c r="BQ5" s="10"/>
      <c r="BR5" s="10"/>
      <c r="BS5" s="10"/>
      <c r="BT5" s="42">
        <f>mround(BT4*Setup!DR3,'Quick Setup'!$A$2)</f>
        <v>380</v>
      </c>
      <c r="BU5" s="3">
        <f>Setup!DS3</f>
        <v>4</v>
      </c>
      <c r="BV5" s="3">
        <f>Setup!DT3</f>
        <v>7</v>
      </c>
      <c r="BW5" s="3">
        <f>Setup!DU3</f>
        <v>5</v>
      </c>
      <c r="BX5" s="10"/>
      <c r="BY5" s="10"/>
      <c r="BZ5" s="10"/>
      <c r="CA5" s="42">
        <f>mround(CA4*Setup!ED3,'Quick Setup'!$A$2)</f>
        <v>405</v>
      </c>
      <c r="CB5" s="3">
        <f>Setup!EE3</f>
        <v>3</v>
      </c>
      <c r="CC5" s="3">
        <f>Setup!EF3</f>
        <v>5</v>
      </c>
      <c r="CD5" s="3">
        <f>Setup!EG3</f>
        <v>5</v>
      </c>
      <c r="CE5" s="10"/>
      <c r="CF5" s="10"/>
      <c r="CG5" s="10"/>
      <c r="CH5" s="42">
        <f>mround(CH4*Setup!EP3,'Quick Setup'!$A$2)</f>
        <v>430</v>
      </c>
      <c r="CI5" s="3">
        <f>Setup!EQ3</f>
        <v>2</v>
      </c>
      <c r="CJ5" s="3">
        <f>Setup!ER3</f>
        <v>3</v>
      </c>
      <c r="CK5" s="3">
        <f>Setup!ES3</f>
        <v>5</v>
      </c>
      <c r="CL5" s="10"/>
      <c r="CM5" s="10"/>
      <c r="CN5" s="10"/>
      <c r="CO5" s="42">
        <f>mround(CO4*Setup!FB3,'Quick Setup'!$A$2)</f>
        <v>295</v>
      </c>
      <c r="CP5" s="1">
        <v>5.0</v>
      </c>
      <c r="CQ5" s="1" t="s">
        <v>78</v>
      </c>
      <c r="CR5" s="3">
        <f>Setup!FE3</f>
        <v>5</v>
      </c>
      <c r="CS5" s="10"/>
      <c r="CT5" s="10"/>
      <c r="CU5" s="10"/>
      <c r="CV5" s="42">
        <f>mround(CV4*Setup!FN3,'Quick Setup'!$A$2)</f>
        <v>392.5</v>
      </c>
      <c r="CW5" s="3">
        <f>Setup!FO3</f>
        <v>3</v>
      </c>
      <c r="CX5" s="3">
        <f>Setup!FP3</f>
        <v>6</v>
      </c>
      <c r="CY5" s="3">
        <f>Setup!FQ3</f>
        <v>5</v>
      </c>
      <c r="CZ5" s="10"/>
      <c r="DA5" s="10"/>
      <c r="DB5" s="10"/>
      <c r="DC5" s="42">
        <f>mround(DC4*Setup!FZ3,'Quick Setup'!$A$2)</f>
        <v>417.5</v>
      </c>
      <c r="DD5" s="3">
        <f>Setup!GA3</f>
        <v>2</v>
      </c>
      <c r="DE5" s="3">
        <f>Setup!GB3</f>
        <v>4</v>
      </c>
      <c r="DF5" s="3">
        <f>Setup!GC3</f>
        <v>5</v>
      </c>
      <c r="DG5" s="10"/>
      <c r="DH5" s="10"/>
      <c r="DI5" s="10"/>
      <c r="DJ5" s="42">
        <f>mround(DJ4*Setup!GL3,'Quick Setup'!$A$2)</f>
        <v>440</v>
      </c>
      <c r="DK5" s="3">
        <f>Setup!GM3</f>
        <v>1</v>
      </c>
      <c r="DL5" s="3">
        <f>Setup!GN3</f>
        <v>2</v>
      </c>
      <c r="DM5" s="3">
        <f>Setup!GO3</f>
        <v>5</v>
      </c>
      <c r="DN5" s="10"/>
      <c r="DO5" s="10"/>
      <c r="DP5" s="10"/>
      <c r="DQ5" s="42">
        <f>mround(DQ4*Setup!GX3,'Quick Setup'!$A$2)</f>
        <v>417.5</v>
      </c>
      <c r="DR5" s="3">
        <f>Setup!GY3</f>
        <v>2</v>
      </c>
      <c r="DS5" s="3">
        <f>Setup!GZ3</f>
        <v>4</v>
      </c>
      <c r="DT5" s="3">
        <f>Setup!HA3</f>
        <v>5</v>
      </c>
      <c r="DU5" s="10"/>
      <c r="DV5" s="10"/>
      <c r="DW5" s="10"/>
      <c r="DX5" s="42">
        <f>mround(DX4*Setup!HJ3,'Quick Setup'!$A$2)</f>
        <v>440</v>
      </c>
      <c r="DY5" s="3">
        <f>Setup!HK3</f>
        <v>1</v>
      </c>
      <c r="DZ5" s="3">
        <f>Setup!HL3</f>
        <v>2</v>
      </c>
      <c r="EA5" s="3">
        <f>Setup!HM3</f>
        <v>5</v>
      </c>
      <c r="EB5" s="10"/>
      <c r="EC5" s="10"/>
      <c r="ED5" s="10"/>
      <c r="EE5" s="42">
        <f>mround(EE4*Setup!HV3,'Quick Setup'!$A$2)</f>
        <v>465</v>
      </c>
      <c r="EF5" s="3">
        <f>Setup!HW3</f>
        <v>1</v>
      </c>
      <c r="EG5" s="3">
        <f>Setup!HX3</f>
        <v>1</v>
      </c>
      <c r="EH5" s="3">
        <f>Setup!HY3</f>
        <v>5</v>
      </c>
      <c r="EI5" s="10"/>
      <c r="EJ5" s="10"/>
      <c r="EK5" s="10"/>
      <c r="EL5" s="42">
        <f>mround(EL4*Setup!IH3,'Quick Setup'!$A$2)</f>
        <v>295</v>
      </c>
      <c r="EM5" s="1">
        <v>5.0</v>
      </c>
      <c r="EN5" s="1" t="s">
        <v>78</v>
      </c>
      <c r="EO5" s="3">
        <f>Setup!IK3</f>
        <v>5</v>
      </c>
      <c r="EP5" s="10"/>
      <c r="EQ5" s="10"/>
      <c r="ER5" s="10"/>
    </row>
    <row r="6" hidden="1">
      <c r="A6" s="37" t="str">
        <f>CONCATENATE(A7," TM")</f>
        <v>Paused Squat TM</v>
      </c>
      <c r="B6" s="38">
        <f>if(D6="",'Quick Setup'!D12,D6/'Quick Setup'!E12)</f>
        <v>460</v>
      </c>
      <c r="C6" s="39" t="s">
        <v>75</v>
      </c>
      <c r="D6" s="40"/>
      <c r="E6" s="41"/>
      <c r="F6" s="41"/>
      <c r="G6" s="41"/>
      <c r="H6" s="41"/>
      <c r="I6" s="38">
        <f>if(K6="", if(F7&lt;&gt;"", if((F7-D7)&lt;-1,B6*(1+Setup!F10),if((F7-D7)&lt;0,B6*(1+Setup!G10),if((F7-D7)=0,B6*(1+Setup!H10),if((F7-D7)=1,B6*(1+Setup!I10),if((F7-D7)=2,B6*(1+Setup!J10),if((F7-D7)=3,B6*(1+Setup!K10),if((F7-D7)=4,B6*(1+Setup!L10),if((F7-D7)&gt;4,B6*(1+Setup!M10),B6)))))))),B6),K6/'Quick Setup'!$E12)</f>
        <v>460</v>
      </c>
      <c r="J6" s="39" t="s">
        <v>75</v>
      </c>
      <c r="K6" s="40"/>
      <c r="L6" s="41"/>
      <c r="M6" s="41"/>
      <c r="N6" s="41"/>
      <c r="O6" s="41"/>
      <c r="P6" s="38">
        <f>if(R6="", if(M7&lt;&gt;"", if((M7-K7)&lt;-1,I6*(1+Setup!R10),if((M7-K7)&lt;0,I6*(1+Setup!S10),if((M7-K7)=0,I6*(1+Setup!T10),if((M7-K7)=1,I6*(1+Setup!U10),if((M7-K7)=2,I6*(1+Setup!V10),if((M7-K7)=3,I6*(1+Setup!W10),if((M7-K7)=4,I6*(1+Setup!X10),if((M7-K7)&gt;4,I6*(1+Setup!Y10),I6)))))))),I6),R6/'Quick Setup'!$E12)</f>
        <v>460</v>
      </c>
      <c r="Q6" s="39" t="s">
        <v>75</v>
      </c>
      <c r="R6" s="40"/>
      <c r="S6" s="41"/>
      <c r="T6" s="41"/>
      <c r="U6" s="41"/>
      <c r="V6" s="41"/>
      <c r="W6" s="38">
        <f>if(Y6="", if(T7&lt;&gt;"", if((T7-R7)&lt;-1,P6*(1+Setup!AD10),if((T7-R7)&lt;0,P6*(1+Setup!AE10),if((T7-R7)=0,P6*(1+Setup!AF10),if((T7-R7)=1,P6*(1+Setup!AG10),if((T7-R7)=2,P6*(1+Setup!AH10),if((T7-R7)=3,P6*(1+Setup!AI10),if((T7-R7)=4,P6*(1+Setup!AJ10),if((T7-R7)&gt;4,P6*(1+Setup!AK10),P6)))))))),P6),Y6/'Quick Setup'!$E12)</f>
        <v>460</v>
      </c>
      <c r="X6" s="39" t="s">
        <v>75</v>
      </c>
      <c r="Y6" s="40"/>
      <c r="Z6" s="41"/>
      <c r="AA6" s="41"/>
      <c r="AB6" s="41"/>
      <c r="AC6" s="41"/>
      <c r="AD6" s="38">
        <f>if(AF6="", if(AA7&lt;&gt;"", if((AA7-Y7)&lt;-1,W6*(1+Setup!AP10),if((AA7-Y7)&lt;0,W6*(1+Setup!AQ10),if((AA7-Y7)=0,W6*(1+Setup!AR10),if((AA7-Y7)=1,W6*(1+Setup!AS10),if((AA7-Y7)=2,W6*(1+Setup!AT10),if((AA7-Y7)=3,W6*(1+Setup!AU10),if((AA7-Y7)=4,W6*(1+Setup!AV10),if((AA7-Y7)&gt;4,W6*(1+Setup!AW10),W6)))))))),W6),AF6/'Quick Setup'!$E12)</f>
        <v>460</v>
      </c>
      <c r="AE6" s="39" t="s">
        <v>75</v>
      </c>
      <c r="AF6" s="40"/>
      <c r="AG6" s="41"/>
      <c r="AH6" s="41"/>
      <c r="AI6" s="41"/>
      <c r="AJ6" s="41"/>
      <c r="AK6" s="38">
        <f>if(AM6="", if(AH7&lt;&gt;"", if((AH7-AF7)&lt;-1,AD6*(1+Setup!BB10),if((AH7-AF7)&lt;0,AD6*(1+Setup!BC10),if((AH7-AF7)=0,AD6*(1+Setup!BD10),if((AH7-AF7)=1,AD6*(1+Setup!BE10),if((AH7-AF7)=2,AD6*(1+Setup!BF10),if((AH7-AF7)=3,AD6*(1+Setup!BG10),if((AH7-AF7)=4,AD6*(1+Setup!BH10),if((AH7-AF7)&gt;4,AD6*(1+Setup!BI10),AD6)))))))),AD6),AM6/'Quick Setup'!$E12)</f>
        <v>460</v>
      </c>
      <c r="AL6" s="39" t="s">
        <v>75</v>
      </c>
      <c r="AM6" s="40"/>
      <c r="AN6" s="41"/>
      <c r="AO6" s="41"/>
      <c r="AP6" s="41"/>
      <c r="AQ6" s="41"/>
      <c r="AR6" s="38">
        <f>if(AT6="", if(AO7&lt;&gt;"", if((AO7-AM7)&lt;-1,AK6*(1+Setup!BN10),if((AO7-AM7)&lt;0,AK6*(1+Setup!BO10),if((AO7-AM7)=0,AK6*(1+Setup!BP10),if((AO7-AM7)=1,AK6*(1+Setup!BQ10),if((AO7-AM7)=2,AK6*(1+Setup!BR10),if((AO7-AM7)=3,AK6*(1+Setup!BS10),if((AO7-AM7)=4,AK6*(1+Setup!BT10),if((AO7-AM7)&gt;4,AK6*(1+Setup!BU10),AK6)))))))),AK6),AT6/'Quick Setup'!$E12)</f>
        <v>460</v>
      </c>
      <c r="AS6" s="39" t="s">
        <v>75</v>
      </c>
      <c r="AT6" s="40"/>
      <c r="AU6" s="41"/>
      <c r="AV6" s="41"/>
      <c r="AW6" s="41"/>
      <c r="AX6" s="41"/>
      <c r="AY6" s="38">
        <f>if(BA6="",AR6,BA6/'Quick Setup'!$E12)</f>
        <v>460</v>
      </c>
      <c r="AZ6" s="39" t="s">
        <v>75</v>
      </c>
      <c r="BA6" s="40"/>
      <c r="BB6" s="41"/>
      <c r="BC6" s="41"/>
      <c r="BD6" s="41"/>
      <c r="BE6" s="41"/>
      <c r="BF6" s="38">
        <f>if(BH6="", if(BC7&lt;&gt;"", if((BC7-BA7)&lt;-1,AY6*(1+Setup!CL10),if((BC7-BA7)&lt;0,AY6*(1+Setup!CM10),if((BC7-BA7)=0,AY6*(1+Setup!CN10),if((BC7-BA7)=1,AY6*(1+Setup!CO10),if((BC7-BA7)=2,AY6*(1+Setup!CP10),if((BC7-BA7)=3,AY6*(1+Setup!CQ10),if((BC7-BA7)=4,AY6*(1+Setup!CR10),if((BC7-BA7)&gt;4,AY6*(1+Setup!CS10),AY6)))))))),AY6),BH6/'Quick Setup'!$E12)</f>
        <v>460</v>
      </c>
      <c r="BG6" s="39" t="s">
        <v>75</v>
      </c>
      <c r="BH6" s="40"/>
      <c r="BI6" s="41"/>
      <c r="BJ6" s="41"/>
      <c r="BK6" s="41"/>
      <c r="BL6" s="41"/>
      <c r="BM6" s="38">
        <f>if(BO6="", if(BJ7&lt;&gt;"", if((BJ7-BH7)&lt;-1,BF6*(1+Setup!CX10),if((BJ7-BH7)&lt;0,BF6*(1+Setup!CY10),if((BJ7-BH7)=0,BF6*(1+Setup!CZ10),if((BJ7-BH7)=1,BF6*(1+Setup!DA10),if((BJ7-BH7)=2,BF6*(1+Setup!DB10),if((BJ7-BH7)=3,BF6*(1+Setup!DC10),if((BJ7-BH7)=4,BF6*(1+Setup!DD10),if((BJ7-BH7)&gt;4,BF6*(1+Setup!DE10),BF6)))))))),BF6),BO6/'Quick Setup'!$E12)</f>
        <v>460</v>
      </c>
      <c r="BN6" s="39" t="s">
        <v>75</v>
      </c>
      <c r="BO6" s="40"/>
      <c r="BP6" s="41"/>
      <c r="BQ6" s="41"/>
      <c r="BR6" s="41"/>
      <c r="BS6" s="41"/>
      <c r="BT6" s="38">
        <f>if(BV6="", if(BQ7&lt;&gt;"", if((BQ7-BO7)&lt;-1,BM6*(1+Setup!DJ10),if((BQ7-BO7)&lt;0,BM6*(1+Setup!DK10),if((BQ7-BO7)=0,BM6*(1+Setup!DL10),if((BQ7-BO7)=1,BM6*(1+Setup!DM10),if((BQ7-BO7)=2,BM6*(1+Setup!DN10),if((BQ7-BO7)=3,BM6*(1+Setup!DO10),if((BQ7-BO7)=4,BM6*(1+Setup!DP10),if((BQ7-BO7)&gt;4,BM6*(1+Setup!DQ10),BM6)))))))),BM6),BV6/'Quick Setup'!$E12)</f>
        <v>460</v>
      </c>
      <c r="BU6" s="39" t="s">
        <v>75</v>
      </c>
      <c r="BV6" s="40"/>
      <c r="BW6" s="41"/>
      <c r="BX6" s="41"/>
      <c r="BY6" s="41"/>
      <c r="BZ6" s="41"/>
      <c r="CA6" s="38">
        <f>if(CC6="", if(BX7&lt;&gt;"", if((BX7-BV7)&lt;-1,BT6*(1+Setup!DV10),if((BX7-BV7)&lt;0,BT6*(1+Setup!DW10),if((BX7-BV7)=0,BT6*(1+Setup!DX10),if((BX7-BV7)=1,BT6*(1+Setup!DY10),if((BX7-BV7)=2,BT6*(1+Setup!DZ10),if((BX7-BV7)=3,BT6*(1+Setup!EA10),if((BX7-BV7)=4,BT6*(1+Setup!EB10),if((BX7-BV7)&gt;4,BT6*(1+Setup!EC10),BT6)))))))),BT6),CC6/'Quick Setup'!$E12)</f>
        <v>460</v>
      </c>
      <c r="CB6" s="39" t="s">
        <v>75</v>
      </c>
      <c r="CC6" s="40"/>
      <c r="CD6" s="41"/>
      <c r="CE6" s="41"/>
      <c r="CF6" s="41"/>
      <c r="CG6" s="41"/>
      <c r="CH6" s="38">
        <f>if(CJ6="", if(CE7&lt;&gt;"", if((CE7-CC7)&lt;-1,CA6*(1+Setup!EH10),if((CE7-CC7)&lt;0,CA6*(1+Setup!EI10),if((CE7-CC7)=0,CA6*(1+Setup!EJ10),if((CE7-CC7)=1,CA6*(1+Setup!EK10),if((CE7-CC7)=2,CA6*(1+Setup!EL10),if((CE7-CC7)=3,CA6*(1+Setup!EM10),if((CE7-CC7)=4,CA6*(1+Setup!EN10),if((CE7-CC7)&gt;4,CA6*(1+Setup!EO10),CA6)))))))),CA6),CJ6/'Quick Setup'!$E12)</f>
        <v>460</v>
      </c>
      <c r="CI6" s="39" t="s">
        <v>75</v>
      </c>
      <c r="CJ6" s="40"/>
      <c r="CK6" s="41"/>
      <c r="CL6" s="41"/>
      <c r="CM6" s="41"/>
      <c r="CN6" s="41"/>
      <c r="CO6" s="38">
        <f>if(CQ6="", if(CL7&lt;&gt;"", if((CL7-CJ7)&lt;-1,CH6*(1+Setup!ET10),if((CL7-CJ7)&lt;0,CH6*(1+Setup!EU10),if((CL7-CJ7)=0,CH6*(1+Setup!EV10),if((CL7-CJ7)=1,CH6*(1+Setup!EW10),if((CL7-CJ7)=2,CH6*(1+Setup!EX10),if((CL7-CJ7)=3,CH6*(1+Setup!EY10),if((CL7-CJ7)=4,CH6*(1+Setup!EZ10),if((CL7-CJ7)&gt;4,CH6*(1+Setup!FA10),CH6)))))))),CH6),CQ6/'Quick Setup'!$E12)</f>
        <v>460</v>
      </c>
      <c r="CP6" s="39" t="s">
        <v>75</v>
      </c>
      <c r="CQ6" s="40"/>
      <c r="CR6" s="41"/>
      <c r="CS6" s="41"/>
      <c r="CT6" s="41"/>
      <c r="CU6" s="41"/>
      <c r="CV6" s="38">
        <f>if(CX6="",CO6,CX6/'Quick Setup'!$E12)</f>
        <v>460</v>
      </c>
      <c r="CW6" s="39" t="s">
        <v>75</v>
      </c>
      <c r="CX6" s="40"/>
      <c r="CY6" s="41"/>
      <c r="CZ6" s="41"/>
      <c r="DA6" s="41"/>
      <c r="DB6" s="41"/>
      <c r="DC6" s="38">
        <f>if(DE6="", if(CZ7&lt;&gt;"", if((CZ7-CX7)&lt;-1,CV6*(1+Setup!FR10),if((CZ7-CX7)&lt;0,CV6*(1+Setup!FS10),if((CZ7-CX7)=0,CV6*(1+Setup!FT10),if((CZ7-CX7)=1,CV6*(1+Setup!FU10),if((CZ7-CX7)=2,CV6*(1+Setup!FV10),if((CZ7-CX7)=3,CV6*(1+Setup!FW10),if((CZ7-CX7)=4,CV6*(1+Setup!FX10),if((CZ7-CX7)&gt;4,CV6*(1+Setup!FY10),CV6)))))))),CV6),DE6/'Quick Setup'!$E12)</f>
        <v>460</v>
      </c>
      <c r="DD6" s="39" t="s">
        <v>75</v>
      </c>
      <c r="DE6" s="40"/>
      <c r="DF6" s="41"/>
      <c r="DG6" s="41"/>
      <c r="DH6" s="41"/>
      <c r="DI6" s="41"/>
      <c r="DJ6" s="38">
        <f>if(DL6="", if(DG7&lt;&gt;"", if((DG7-DE7)&lt;-1,DC6*(1+Setup!GD10),if((DG7-DE7)&lt;0,DC6*(1+Setup!GE10),if((DG7-DE7)=0,DC6*(1+Setup!GF10),if((DG7-DE7)=1,DC6*(1+Setup!GG10),if((DG7-DE7)=2,DC6*(1+Setup!GH10),if((DG7-DE7)=3,DC6*(1+Setup!GI10),if((DG7-DE7)=4,DC6*(1+Setup!GJ10),if((DG7-DE7)&gt;4,DC6*(1+Setup!GK10),DC6)))))))),DC6),DL6/'Quick Setup'!$E12)</f>
        <v>460</v>
      </c>
      <c r="DK6" s="39" t="s">
        <v>75</v>
      </c>
      <c r="DL6" s="40"/>
      <c r="DM6" s="41"/>
      <c r="DN6" s="41"/>
      <c r="DO6" s="41"/>
      <c r="DP6" s="41"/>
      <c r="DQ6" s="38">
        <f>if(DS6="", if(DN7&lt;&gt;"", if((DN7-DL7)&lt;-1,DJ6*(1+Setup!GP10),if((DN7-DL7)&lt;0,DJ6*(1+Setup!GQ10),if((DN7-DL7)=0,DJ6*(1+Setup!GR10),if((DN7-DL7)=1,DJ6*(1+Setup!GS10),if((DN7-DL7)=2,DJ6*(1+Setup!GT10),if((DN7-DL7)=3,DJ6*(1+Setup!GU10),if((DN7-DL7)=4,DJ6*(1+Setup!GV10),if((DN7-DL7)&gt;4,DJ6*(1+Setup!GW10),DJ6)))))))),DJ6),DS6/'Quick Setup'!$E12)</f>
        <v>460</v>
      </c>
      <c r="DR6" s="39" t="s">
        <v>75</v>
      </c>
      <c r="DS6" s="40"/>
      <c r="DT6" s="41"/>
      <c r="DU6" s="41"/>
      <c r="DV6" s="41"/>
      <c r="DW6" s="41"/>
      <c r="DX6" s="38">
        <f>if(DZ6="", if(DU7&lt;&gt;"", if((DU7-DS7)&lt;-1,DQ6*(1+Setup!HB10),if((DU7-DS7)&lt;0,DQ6*(1+Setup!HC10),if((DU7-DS7)=0,DQ6*(1+Setup!HD10),if((DU7-DS7)=1,DQ6*(1+Setup!HE10),if((DU7-DS7)=2,DQ6*(1+Setup!HF10),if((DU7-DS7)=3,DQ6*(1+Setup!HG10),if((DU7-DS7)=4,DQ6*(1+Setup!HH10),if((DU7-DS7)&gt;4,DQ6*(1+Setup!HI10),DQ6)))))))),DQ6),DZ6/'Quick Setup'!$E12)</f>
        <v>460</v>
      </c>
      <c r="DY6" s="39" t="s">
        <v>75</v>
      </c>
      <c r="DZ6" s="40"/>
      <c r="EA6" s="41"/>
      <c r="EB6" s="41"/>
      <c r="EC6" s="41"/>
      <c r="ED6" s="41"/>
      <c r="EE6" s="38">
        <f>if(EG6="", if(EB7&lt;&gt;"", if((EB7-DZ7)&lt;-1,DX6*(1+Setup!HN10),if((EB7-DZ7)&lt;0,DX6*(1+Setup!HO10),if((EB7-DZ7)=0,DX6*(1+Setup!HP10),if((EB7-DZ7)=1,DX6*(1+Setup!HQ10),if((EB7-DZ7)=2,DX6*(1+Setup!HR10),if((EB7-DZ7)=3,DX6*(1+Setup!HS10),if((EB7-DZ7)=4,DX6*(1+Setup!HT10),if((EB7-DZ7)&gt;4,DX6*(1+Setup!HU10),DX6)))))))),DX6),EG6/'Quick Setup'!$E12)</f>
        <v>460</v>
      </c>
      <c r="EF6" s="39" t="s">
        <v>75</v>
      </c>
      <c r="EG6" s="40"/>
      <c r="EH6" s="41"/>
      <c r="EI6" s="41"/>
      <c r="EJ6" s="41"/>
      <c r="EK6" s="41"/>
      <c r="EL6" s="38">
        <f>if(EN6="", if(EI7&lt;&gt;"", if((EI7-EG7)&lt;-1,EE6*(1+Setup!HZ10),if((EI7-EG7)&lt;0,EE6*(1+Setup!IA10),if((EI7-EG7)=0,EE6*(1+Setup!IB10),if((EI7-EG7)=1,EE6*(1+Setup!IC10),if((EI7-EG7)=2,EE6*(1+Setup!ID10),if((EI7-EG7)=3,EE6*(1+Setup!IE10),if((EI7-EG7)=4,EE6*(1+Setup!IF10),if((EI7-EG7)&gt;4,EE6*(1+Setup!IG10),EE6)))))))),EE6),EN6/'Quick Setup'!$E12)</f>
        <v>460</v>
      </c>
      <c r="EM6" s="39" t="s">
        <v>75</v>
      </c>
      <c r="EN6" s="40"/>
      <c r="EO6" s="41"/>
      <c r="EP6" s="41"/>
      <c r="EQ6" s="41"/>
      <c r="ER6" s="41"/>
    </row>
    <row r="7">
      <c r="A7" s="1" t="str">
        <f>Setup!A10</f>
        <v>Paused Squat</v>
      </c>
      <c r="B7" s="42">
        <f>mround(B6*Setup!B10,'Quick Setup'!$A$2)</f>
        <v>275</v>
      </c>
      <c r="C7" s="3">
        <f>Setup!C10</f>
        <v>7</v>
      </c>
      <c r="D7" s="3">
        <f>Setup!D10</f>
        <v>14</v>
      </c>
      <c r="E7" s="3">
        <f>Setup!E10</f>
        <v>5</v>
      </c>
      <c r="F7" s="10"/>
      <c r="G7" s="10"/>
      <c r="H7" s="10"/>
      <c r="I7" s="42">
        <f>mround(I6*Setup!N10,'Quick Setup'!$A$2)</f>
        <v>300</v>
      </c>
      <c r="J7" s="3">
        <f>Setup!O10</f>
        <v>6</v>
      </c>
      <c r="K7" s="3">
        <f>Setup!P10</f>
        <v>12</v>
      </c>
      <c r="L7" s="3">
        <f>Setup!Q10</f>
        <v>5</v>
      </c>
      <c r="M7" s="10"/>
      <c r="N7" s="10"/>
      <c r="O7" s="10"/>
      <c r="P7" s="42">
        <f>mround(P6*Setup!Z10,'Quick Setup'!$A$2)</f>
        <v>322.5</v>
      </c>
      <c r="Q7" s="3">
        <f>Setup!AA10</f>
        <v>5</v>
      </c>
      <c r="R7" s="3">
        <f>Setup!AB10</f>
        <v>10</v>
      </c>
      <c r="S7" s="3">
        <f>Setup!AC10</f>
        <v>5</v>
      </c>
      <c r="T7" s="10"/>
      <c r="U7" s="10"/>
      <c r="V7" s="10"/>
      <c r="W7" s="42">
        <f>mround(W6*Setup!AL10,'Quick Setup'!$A$2)</f>
        <v>287.5</v>
      </c>
      <c r="X7" s="3">
        <f>Setup!AM10</f>
        <v>7</v>
      </c>
      <c r="Y7" s="3">
        <f>Setup!AN10</f>
        <v>13</v>
      </c>
      <c r="Z7" s="3">
        <f>Setup!AO10</f>
        <v>5</v>
      </c>
      <c r="AA7" s="10"/>
      <c r="AB7" s="10"/>
      <c r="AC7" s="10"/>
      <c r="AD7" s="42">
        <f>mround(AD6*Setup!AX10,'Quick Setup'!$A$2)</f>
        <v>310</v>
      </c>
      <c r="AE7" s="3">
        <f>Setup!AY10</f>
        <v>6</v>
      </c>
      <c r="AF7" s="3">
        <f>Setup!AZ10</f>
        <v>11</v>
      </c>
      <c r="AG7" s="3">
        <f>Setup!BA10</f>
        <v>5</v>
      </c>
      <c r="AH7" s="10"/>
      <c r="AI7" s="10"/>
      <c r="AJ7" s="10"/>
      <c r="AK7" s="42">
        <f>mround(AK6*Setup!BJ10,'Quick Setup'!$A$2)</f>
        <v>332.5</v>
      </c>
      <c r="AL7" s="3">
        <f>Setup!BK10</f>
        <v>5</v>
      </c>
      <c r="AM7" s="3">
        <f>Setup!BL10</f>
        <v>9</v>
      </c>
      <c r="AN7" s="3">
        <f>Setup!BM10</f>
        <v>5</v>
      </c>
      <c r="AO7" s="10"/>
      <c r="AP7" s="10"/>
      <c r="AQ7" s="10"/>
      <c r="AR7" s="42">
        <f>mround(AR6*Setup!BV10,'Quick Setup'!$A$2)</f>
        <v>230</v>
      </c>
      <c r="AS7" s="1">
        <v>5.0</v>
      </c>
      <c r="AT7" s="1" t="s">
        <v>78</v>
      </c>
      <c r="AU7" s="3">
        <f>Setup!BY10</f>
        <v>5</v>
      </c>
      <c r="AV7" s="10"/>
      <c r="AW7" s="10"/>
      <c r="AX7" s="10"/>
      <c r="AY7" s="42">
        <f>mround(AY6*Setup!CH10,'Quick Setup'!$A$2)</f>
        <v>300</v>
      </c>
      <c r="AZ7" s="3">
        <f>Setup!CI10</f>
        <v>6</v>
      </c>
      <c r="BA7" s="3">
        <f>Setup!CJ10</f>
        <v>12</v>
      </c>
      <c r="BB7" s="3">
        <f>Setup!CK10</f>
        <v>5</v>
      </c>
      <c r="BC7" s="10"/>
      <c r="BD7" s="10"/>
      <c r="BE7" s="10"/>
      <c r="BF7" s="42">
        <f>mround(BF6*Setup!CT10,'Quick Setup'!$A$2)</f>
        <v>322.5</v>
      </c>
      <c r="BG7" s="3">
        <f>Setup!CU10</f>
        <v>5</v>
      </c>
      <c r="BH7" s="3">
        <f>Setup!CV10</f>
        <v>10</v>
      </c>
      <c r="BI7" s="3">
        <f>Setup!CW10</f>
        <v>5</v>
      </c>
      <c r="BJ7" s="10"/>
      <c r="BK7" s="10"/>
      <c r="BL7" s="10"/>
      <c r="BM7" s="42">
        <f>mround(BM6*Setup!DF10,'Quick Setup'!$A$2)</f>
        <v>345</v>
      </c>
      <c r="BN7" s="3">
        <f>Setup!DG10</f>
        <v>4</v>
      </c>
      <c r="BO7" s="3">
        <f>Setup!DH10</f>
        <v>8</v>
      </c>
      <c r="BP7" s="3">
        <f>Setup!DI10</f>
        <v>5</v>
      </c>
      <c r="BQ7" s="10"/>
      <c r="BR7" s="10"/>
      <c r="BS7" s="10"/>
      <c r="BT7" s="42">
        <f>mround(BT6*Setup!DR10,'Quick Setup'!$A$2)</f>
        <v>310</v>
      </c>
      <c r="BU7" s="3">
        <f>Setup!DS10</f>
        <v>6</v>
      </c>
      <c r="BV7" s="3">
        <f>Setup!DT10</f>
        <v>11</v>
      </c>
      <c r="BW7" s="3">
        <f>Setup!DU10</f>
        <v>5</v>
      </c>
      <c r="BX7" s="10"/>
      <c r="BY7" s="10"/>
      <c r="BZ7" s="10"/>
      <c r="CA7" s="42">
        <f>mround(CA6*Setup!ED10,'Quick Setup'!$A$2)</f>
        <v>332.5</v>
      </c>
      <c r="CB7" s="3">
        <f>Setup!EE10</f>
        <v>5</v>
      </c>
      <c r="CC7" s="3">
        <f>Setup!EF10</f>
        <v>9</v>
      </c>
      <c r="CD7" s="3">
        <f>Setup!EG10</f>
        <v>5</v>
      </c>
      <c r="CE7" s="10"/>
      <c r="CF7" s="10"/>
      <c r="CG7" s="10"/>
      <c r="CH7" s="42">
        <f>mround(CH6*Setup!EP10,'Quick Setup'!$A$2)</f>
        <v>357.5</v>
      </c>
      <c r="CI7" s="3">
        <f>Setup!EQ10</f>
        <v>4</v>
      </c>
      <c r="CJ7" s="3">
        <f>Setup!ER10</f>
        <v>7</v>
      </c>
      <c r="CK7" s="3">
        <f>Setup!ES10</f>
        <v>5</v>
      </c>
      <c r="CL7" s="10"/>
      <c r="CM7" s="10"/>
      <c r="CN7" s="10"/>
      <c r="CO7" s="42">
        <f>mround(CO6*Setup!FB10,'Quick Setup'!$A$2)</f>
        <v>230</v>
      </c>
      <c r="CP7" s="1">
        <v>5.0</v>
      </c>
      <c r="CQ7" s="1" t="s">
        <v>78</v>
      </c>
      <c r="CR7" s="3">
        <f>Setup!FE10</f>
        <v>5</v>
      </c>
      <c r="CS7" s="10"/>
      <c r="CT7" s="10"/>
      <c r="CU7" s="10"/>
      <c r="CV7" s="42">
        <f>mround(CV6*Setup!FN10,'Quick Setup'!$A$2)</f>
        <v>322.5</v>
      </c>
      <c r="CW7" s="3">
        <f>Setup!FO10</f>
        <v>5</v>
      </c>
      <c r="CX7" s="3">
        <f>Setup!FP10</f>
        <v>10</v>
      </c>
      <c r="CY7" s="3">
        <f>Setup!FQ10</f>
        <v>5</v>
      </c>
      <c r="CZ7" s="10"/>
      <c r="DA7" s="10"/>
      <c r="DB7" s="10"/>
      <c r="DC7" s="42">
        <f>mround(DC6*Setup!FZ10,'Quick Setup'!$A$2)</f>
        <v>345</v>
      </c>
      <c r="DD7" s="3">
        <f>Setup!GA10</f>
        <v>4</v>
      </c>
      <c r="DE7" s="3">
        <f>Setup!GB10</f>
        <v>8</v>
      </c>
      <c r="DF7" s="3">
        <f>Setup!GC10</f>
        <v>5</v>
      </c>
      <c r="DG7" s="10"/>
      <c r="DH7" s="10"/>
      <c r="DI7" s="10"/>
      <c r="DJ7" s="42">
        <f>mround(DJ6*Setup!GL10,'Quick Setup'!$A$2)</f>
        <v>367.5</v>
      </c>
      <c r="DK7" s="3">
        <f>Setup!GM10</f>
        <v>3</v>
      </c>
      <c r="DL7" s="3">
        <f>Setup!GN10</f>
        <v>6</v>
      </c>
      <c r="DM7" s="3">
        <f>Setup!GO10</f>
        <v>5</v>
      </c>
      <c r="DN7" s="10"/>
      <c r="DO7" s="10"/>
      <c r="DP7" s="10"/>
      <c r="DQ7" s="42">
        <f>mround(DQ6*Setup!GX10,'Quick Setup'!$A$2)</f>
        <v>345</v>
      </c>
      <c r="DR7" s="3">
        <f>Setup!GY10</f>
        <v>4</v>
      </c>
      <c r="DS7" s="3">
        <f>Setup!GZ10</f>
        <v>8</v>
      </c>
      <c r="DT7" s="3">
        <f>Setup!HA10</f>
        <v>5</v>
      </c>
      <c r="DU7" s="10"/>
      <c r="DV7" s="10"/>
      <c r="DW7" s="10"/>
      <c r="DX7" s="42">
        <f>mround(DX6*Setup!HJ10,'Quick Setup'!$A$2)</f>
        <v>367.5</v>
      </c>
      <c r="DY7" s="3">
        <f>Setup!HK10</f>
        <v>3</v>
      </c>
      <c r="DZ7" s="3">
        <f>Setup!HL10</f>
        <v>6</v>
      </c>
      <c r="EA7" s="3">
        <f>Setup!HM10</f>
        <v>5</v>
      </c>
      <c r="EB7" s="10"/>
      <c r="EC7" s="10"/>
      <c r="ED7" s="10"/>
      <c r="EE7" s="42">
        <f>mround(EE6*Setup!HV10,'Quick Setup'!$A$2)</f>
        <v>390</v>
      </c>
      <c r="EF7" s="3">
        <f>Setup!HW10</f>
        <v>2</v>
      </c>
      <c r="EG7" s="3">
        <f>Setup!HX10</f>
        <v>4</v>
      </c>
      <c r="EH7" s="3">
        <f>Setup!HY10</f>
        <v>5</v>
      </c>
      <c r="EI7" s="10"/>
      <c r="EJ7" s="10"/>
      <c r="EK7" s="10"/>
      <c r="EL7" s="42">
        <f>mround(EL6*Setup!IH10,'Quick Setup'!$A$2)</f>
        <v>230</v>
      </c>
      <c r="EM7" s="1">
        <v>5.0</v>
      </c>
      <c r="EN7" s="1" t="s">
        <v>78</v>
      </c>
      <c r="EO7" s="3">
        <f>Setup!IK10</f>
        <v>5</v>
      </c>
      <c r="EP7" s="10"/>
      <c r="EQ7" s="10"/>
      <c r="ER7" s="10"/>
    </row>
    <row r="8">
      <c r="A8" s="5"/>
      <c r="B8" s="43"/>
      <c r="C8" s="10"/>
      <c r="D8" s="10"/>
      <c r="E8" s="10"/>
      <c r="F8" s="10"/>
      <c r="G8" s="10"/>
      <c r="H8" s="10"/>
      <c r="I8" s="43" t="str">
        <f t="shared" ref="I8:M8" si="1">B8</f>
        <v/>
      </c>
      <c r="J8" s="10" t="str">
        <f t="shared" si="1"/>
        <v/>
      </c>
      <c r="K8" s="10" t="str">
        <f t="shared" si="1"/>
        <v/>
      </c>
      <c r="L8" s="10" t="str">
        <f t="shared" si="1"/>
        <v/>
      </c>
      <c r="M8" s="10" t="str">
        <f t="shared" si="1"/>
        <v/>
      </c>
      <c r="N8" s="10"/>
      <c r="O8" s="10"/>
      <c r="P8" s="43" t="str">
        <f t="shared" ref="P8:T8" si="2">I8</f>
        <v/>
      </c>
      <c r="Q8" s="10" t="str">
        <f t="shared" si="2"/>
        <v/>
      </c>
      <c r="R8" s="10" t="str">
        <f t="shared" si="2"/>
        <v/>
      </c>
      <c r="S8" s="10" t="str">
        <f t="shared" si="2"/>
        <v/>
      </c>
      <c r="T8" s="10" t="str">
        <f t="shared" si="2"/>
        <v/>
      </c>
      <c r="U8" s="10"/>
      <c r="V8" s="10"/>
      <c r="W8" s="43" t="str">
        <f t="shared" ref="W8:AA8" si="3">P8</f>
        <v/>
      </c>
      <c r="X8" s="10" t="str">
        <f t="shared" si="3"/>
        <v/>
      </c>
      <c r="Y8" s="10" t="str">
        <f t="shared" si="3"/>
        <v/>
      </c>
      <c r="Z8" s="10" t="str">
        <f t="shared" si="3"/>
        <v/>
      </c>
      <c r="AA8" s="10" t="str">
        <f t="shared" si="3"/>
        <v/>
      </c>
      <c r="AB8" s="10"/>
      <c r="AC8" s="10"/>
      <c r="AD8" s="43" t="str">
        <f t="shared" ref="AD8:AH8" si="4">W8</f>
        <v/>
      </c>
      <c r="AE8" s="10" t="str">
        <f t="shared" si="4"/>
        <v/>
      </c>
      <c r="AF8" s="10" t="str">
        <f t="shared" si="4"/>
        <v/>
      </c>
      <c r="AG8" s="10" t="str">
        <f t="shared" si="4"/>
        <v/>
      </c>
      <c r="AH8" s="10" t="str">
        <f t="shared" si="4"/>
        <v/>
      </c>
      <c r="AI8" s="10"/>
      <c r="AJ8" s="10"/>
      <c r="AK8" s="43" t="str">
        <f t="shared" ref="AK8:AO8" si="5">AD8</f>
        <v/>
      </c>
      <c r="AL8" s="10" t="str">
        <f t="shared" si="5"/>
        <v/>
      </c>
      <c r="AM8" s="10" t="str">
        <f t="shared" si="5"/>
        <v/>
      </c>
      <c r="AN8" s="10" t="str">
        <f t="shared" si="5"/>
        <v/>
      </c>
      <c r="AO8" s="10" t="str">
        <f t="shared" si="5"/>
        <v/>
      </c>
      <c r="AP8" s="10"/>
      <c r="AQ8" s="10"/>
      <c r="AR8" s="43" t="str">
        <f t="shared" ref="AR8:AV8" si="6">AK8</f>
        <v/>
      </c>
      <c r="AS8" s="10" t="str">
        <f t="shared" si="6"/>
        <v/>
      </c>
      <c r="AT8" s="10" t="str">
        <f t="shared" si="6"/>
        <v/>
      </c>
      <c r="AU8" s="10" t="str">
        <f t="shared" si="6"/>
        <v/>
      </c>
      <c r="AV8" s="10" t="str">
        <f t="shared" si="6"/>
        <v/>
      </c>
      <c r="AW8" s="10"/>
      <c r="AX8" s="10"/>
      <c r="AY8" s="43" t="str">
        <f t="shared" ref="AY8:BC8" si="7">AR8</f>
        <v/>
      </c>
      <c r="AZ8" s="10" t="str">
        <f t="shared" si="7"/>
        <v/>
      </c>
      <c r="BA8" s="10" t="str">
        <f t="shared" si="7"/>
        <v/>
      </c>
      <c r="BB8" s="10" t="str">
        <f t="shared" si="7"/>
        <v/>
      </c>
      <c r="BC8" s="10" t="str">
        <f t="shared" si="7"/>
        <v/>
      </c>
      <c r="BD8" s="10"/>
      <c r="BE8" s="10"/>
      <c r="BF8" s="43" t="str">
        <f t="shared" ref="BF8:BJ8" si="8">AY8</f>
        <v/>
      </c>
      <c r="BG8" s="10" t="str">
        <f t="shared" si="8"/>
        <v/>
      </c>
      <c r="BH8" s="10" t="str">
        <f t="shared" si="8"/>
        <v/>
      </c>
      <c r="BI8" s="10" t="str">
        <f t="shared" si="8"/>
        <v/>
      </c>
      <c r="BJ8" s="10" t="str">
        <f t="shared" si="8"/>
        <v/>
      </c>
      <c r="BK8" s="10"/>
      <c r="BL8" s="10"/>
      <c r="BM8" s="43" t="str">
        <f t="shared" ref="BM8:BQ8" si="9">BF8</f>
        <v/>
      </c>
      <c r="BN8" s="10" t="str">
        <f t="shared" si="9"/>
        <v/>
      </c>
      <c r="BO8" s="10" t="str">
        <f t="shared" si="9"/>
        <v/>
      </c>
      <c r="BP8" s="10" t="str">
        <f t="shared" si="9"/>
        <v/>
      </c>
      <c r="BQ8" s="10" t="str">
        <f t="shared" si="9"/>
        <v/>
      </c>
      <c r="BR8" s="10"/>
      <c r="BS8" s="10"/>
      <c r="BT8" s="43" t="str">
        <f t="shared" ref="BT8:BX8" si="10">BM8</f>
        <v/>
      </c>
      <c r="BU8" s="10" t="str">
        <f t="shared" si="10"/>
        <v/>
      </c>
      <c r="BV8" s="10" t="str">
        <f t="shared" si="10"/>
        <v/>
      </c>
      <c r="BW8" s="10" t="str">
        <f t="shared" si="10"/>
        <v/>
      </c>
      <c r="BX8" s="10" t="str">
        <f t="shared" si="10"/>
        <v/>
      </c>
      <c r="BY8" s="10"/>
      <c r="BZ8" s="10"/>
      <c r="CA8" s="43" t="str">
        <f t="shared" ref="CA8:CE8" si="11">BT8</f>
        <v/>
      </c>
      <c r="CB8" s="10" t="str">
        <f t="shared" si="11"/>
        <v/>
      </c>
      <c r="CC8" s="10" t="str">
        <f t="shared" si="11"/>
        <v/>
      </c>
      <c r="CD8" s="10" t="str">
        <f t="shared" si="11"/>
        <v/>
      </c>
      <c r="CE8" s="10" t="str">
        <f t="shared" si="11"/>
        <v/>
      </c>
      <c r="CF8" s="10"/>
      <c r="CG8" s="10"/>
      <c r="CH8" s="43" t="str">
        <f t="shared" ref="CH8:CL8" si="12">CA8</f>
        <v/>
      </c>
      <c r="CI8" s="10" t="str">
        <f t="shared" si="12"/>
        <v/>
      </c>
      <c r="CJ8" s="10" t="str">
        <f t="shared" si="12"/>
        <v/>
      </c>
      <c r="CK8" s="10" t="str">
        <f t="shared" si="12"/>
        <v/>
      </c>
      <c r="CL8" s="10" t="str">
        <f t="shared" si="12"/>
        <v/>
      </c>
      <c r="CM8" s="10"/>
      <c r="CN8" s="10"/>
      <c r="CO8" s="43" t="str">
        <f t="shared" ref="CO8:CS8" si="13">CH8</f>
        <v/>
      </c>
      <c r="CP8" s="10" t="str">
        <f t="shared" si="13"/>
        <v/>
      </c>
      <c r="CQ8" s="10" t="str">
        <f t="shared" si="13"/>
        <v/>
      </c>
      <c r="CR8" s="10" t="str">
        <f t="shared" si="13"/>
        <v/>
      </c>
      <c r="CS8" s="10" t="str">
        <f t="shared" si="13"/>
        <v/>
      </c>
      <c r="CT8" s="10"/>
      <c r="CU8" s="10"/>
      <c r="CV8" s="43" t="str">
        <f t="shared" ref="CV8:CZ8" si="14">CO8</f>
        <v/>
      </c>
      <c r="CW8" s="10" t="str">
        <f t="shared" si="14"/>
        <v/>
      </c>
      <c r="CX8" s="10" t="str">
        <f t="shared" si="14"/>
        <v/>
      </c>
      <c r="CY8" s="10" t="str">
        <f t="shared" si="14"/>
        <v/>
      </c>
      <c r="CZ8" s="10" t="str">
        <f t="shared" si="14"/>
        <v/>
      </c>
      <c r="DA8" s="10"/>
      <c r="DB8" s="10"/>
      <c r="DC8" s="43" t="str">
        <f t="shared" ref="DC8:DG8" si="15">CV8</f>
        <v/>
      </c>
      <c r="DD8" s="10" t="str">
        <f t="shared" si="15"/>
        <v/>
      </c>
      <c r="DE8" s="10" t="str">
        <f t="shared" si="15"/>
        <v/>
      </c>
      <c r="DF8" s="10" t="str">
        <f t="shared" si="15"/>
        <v/>
      </c>
      <c r="DG8" s="10" t="str">
        <f t="shared" si="15"/>
        <v/>
      </c>
      <c r="DH8" s="10"/>
      <c r="DI8" s="10"/>
      <c r="DJ8" s="43" t="str">
        <f t="shared" ref="DJ8:DN8" si="16">DC8</f>
        <v/>
      </c>
      <c r="DK8" s="10" t="str">
        <f t="shared" si="16"/>
        <v/>
      </c>
      <c r="DL8" s="10" t="str">
        <f t="shared" si="16"/>
        <v/>
      </c>
      <c r="DM8" s="10" t="str">
        <f t="shared" si="16"/>
        <v/>
      </c>
      <c r="DN8" s="10" t="str">
        <f t="shared" si="16"/>
        <v/>
      </c>
      <c r="DO8" s="10"/>
      <c r="DP8" s="10"/>
      <c r="DQ8" s="43" t="str">
        <f t="shared" ref="DQ8:DU8" si="17">DJ8</f>
        <v/>
      </c>
      <c r="DR8" s="10" t="str">
        <f t="shared" si="17"/>
        <v/>
      </c>
      <c r="DS8" s="10" t="str">
        <f t="shared" si="17"/>
        <v/>
      </c>
      <c r="DT8" s="10" t="str">
        <f t="shared" si="17"/>
        <v/>
      </c>
      <c r="DU8" s="10" t="str">
        <f t="shared" si="17"/>
        <v/>
      </c>
      <c r="DV8" s="10"/>
      <c r="DW8" s="10"/>
      <c r="DX8" s="43" t="str">
        <f t="shared" ref="DX8:EB8" si="18">DQ8</f>
        <v/>
      </c>
      <c r="DY8" s="10" t="str">
        <f t="shared" si="18"/>
        <v/>
      </c>
      <c r="DZ8" s="10" t="str">
        <f t="shared" si="18"/>
        <v/>
      </c>
      <c r="EA8" s="10" t="str">
        <f t="shared" si="18"/>
        <v/>
      </c>
      <c r="EB8" s="10" t="str">
        <f t="shared" si="18"/>
        <v/>
      </c>
      <c r="EC8" s="10"/>
      <c r="ED8" s="10"/>
      <c r="EE8" s="43" t="str">
        <f t="shared" ref="EE8:EI8" si="19">DX8</f>
        <v/>
      </c>
      <c r="EF8" s="10" t="str">
        <f t="shared" si="19"/>
        <v/>
      </c>
      <c r="EG8" s="10" t="str">
        <f t="shared" si="19"/>
        <v/>
      </c>
      <c r="EH8" s="10" t="str">
        <f t="shared" si="19"/>
        <v/>
      </c>
      <c r="EI8" s="10" t="str">
        <f t="shared" si="19"/>
        <v/>
      </c>
      <c r="EJ8" s="10"/>
      <c r="EK8" s="10"/>
      <c r="EL8" s="43" t="str">
        <f t="shared" ref="EL8:EP8" si="20">EE8</f>
        <v/>
      </c>
      <c r="EM8" s="10" t="str">
        <f t="shared" si="20"/>
        <v/>
      </c>
      <c r="EN8" s="10" t="str">
        <f t="shared" si="20"/>
        <v/>
      </c>
      <c r="EO8" s="10" t="str">
        <f t="shared" si="20"/>
        <v/>
      </c>
      <c r="EP8" s="10" t="str">
        <f t="shared" si="20"/>
        <v/>
      </c>
      <c r="EQ8" s="10"/>
      <c r="ER8" s="10"/>
    </row>
    <row r="9">
      <c r="A9" s="1" t="s">
        <v>79</v>
      </c>
      <c r="B9" s="42"/>
      <c r="C9" s="3"/>
      <c r="D9" s="3"/>
      <c r="E9" s="3"/>
      <c r="F9" s="3"/>
      <c r="G9" s="3"/>
      <c r="H9" s="3"/>
      <c r="I9" s="42"/>
      <c r="J9" s="3"/>
      <c r="K9" s="3"/>
      <c r="L9" s="3"/>
      <c r="M9" s="3"/>
      <c r="N9" s="3"/>
      <c r="O9" s="3"/>
      <c r="P9" s="42"/>
      <c r="Q9" s="3"/>
      <c r="R9" s="3"/>
      <c r="S9" s="3"/>
      <c r="T9" s="3"/>
      <c r="U9" s="3"/>
      <c r="V9" s="3"/>
      <c r="W9" s="42"/>
      <c r="X9" s="3"/>
      <c r="Y9" s="3"/>
      <c r="Z9" s="3"/>
      <c r="AA9" s="3"/>
      <c r="AB9" s="3"/>
      <c r="AC9" s="3"/>
      <c r="AD9" s="42"/>
      <c r="AE9" s="3"/>
      <c r="AF9" s="3"/>
      <c r="AG9" s="3"/>
      <c r="AH9" s="3"/>
      <c r="AI9" s="3"/>
      <c r="AJ9" s="3"/>
      <c r="AK9" s="42"/>
      <c r="AL9" s="3"/>
      <c r="AM9" s="3"/>
      <c r="AN9" s="3"/>
      <c r="AO9" s="3"/>
      <c r="AP9" s="3"/>
      <c r="AQ9" s="3"/>
      <c r="AR9" s="42"/>
      <c r="AS9" s="3"/>
      <c r="AT9" s="3"/>
      <c r="AU9" s="3"/>
      <c r="AV9" s="3"/>
      <c r="AW9" s="3"/>
      <c r="AX9" s="3"/>
      <c r="AY9" s="42"/>
      <c r="AZ9" s="3"/>
      <c r="BA9" s="3"/>
      <c r="BB9" s="3"/>
      <c r="BC9" s="3"/>
      <c r="BD9" s="3"/>
      <c r="BE9" s="3"/>
      <c r="BF9" s="42"/>
      <c r="BG9" s="3"/>
      <c r="BH9" s="3"/>
      <c r="BI9" s="3"/>
      <c r="BJ9" s="3"/>
      <c r="BK9" s="3"/>
      <c r="BL9" s="3"/>
      <c r="BM9" s="42"/>
      <c r="BN9" s="3"/>
      <c r="BO9" s="3"/>
      <c r="BP9" s="3"/>
      <c r="BQ9" s="3"/>
      <c r="BR9" s="3"/>
      <c r="BS9" s="3"/>
      <c r="BT9" s="42"/>
      <c r="BU9" s="3"/>
      <c r="BV9" s="3"/>
      <c r="BW9" s="3"/>
      <c r="BX9" s="3"/>
      <c r="BY9" s="3"/>
      <c r="BZ9" s="3"/>
      <c r="CA9" s="42"/>
      <c r="CB9" s="3"/>
      <c r="CC9" s="3"/>
      <c r="CD9" s="3"/>
      <c r="CE9" s="3"/>
      <c r="CF9" s="3"/>
      <c r="CG9" s="3"/>
      <c r="CH9" s="42"/>
      <c r="CI9" s="3"/>
      <c r="CJ9" s="3"/>
      <c r="CK9" s="3"/>
      <c r="CL9" s="3"/>
      <c r="CM9" s="3"/>
      <c r="CN9" s="3"/>
      <c r="CO9" s="42"/>
      <c r="CP9" s="3"/>
      <c r="CQ9" s="3"/>
      <c r="CR9" s="3"/>
      <c r="CS9" s="3"/>
      <c r="CT9" s="3"/>
      <c r="CU9" s="3"/>
      <c r="CV9" s="42"/>
      <c r="CW9" s="3"/>
      <c r="CX9" s="3"/>
      <c r="CY9" s="3"/>
      <c r="CZ9" s="3"/>
      <c r="DA9" s="3"/>
      <c r="DB9" s="3"/>
      <c r="DC9" s="42"/>
      <c r="DD9" s="3"/>
      <c r="DE9" s="3"/>
      <c r="DF9" s="3"/>
      <c r="DG9" s="3"/>
      <c r="DH9" s="3"/>
      <c r="DI9" s="3"/>
      <c r="DJ9" s="42"/>
      <c r="DK9" s="3"/>
      <c r="DL9" s="3"/>
      <c r="DM9" s="3"/>
      <c r="DN9" s="3"/>
      <c r="DO9" s="3"/>
      <c r="DP9" s="3"/>
      <c r="DQ9" s="42"/>
      <c r="DR9" s="3"/>
      <c r="DS9" s="3"/>
      <c r="DT9" s="3"/>
      <c r="DU9" s="3"/>
      <c r="DV9" s="3"/>
      <c r="DW9" s="3"/>
      <c r="DX9" s="42"/>
      <c r="DY9" s="3"/>
      <c r="DZ9" s="3"/>
      <c r="EA9" s="3"/>
      <c r="EB9" s="3"/>
      <c r="EC9" s="3"/>
      <c r="ED9" s="3"/>
      <c r="EE9" s="42"/>
      <c r="EF9" s="3"/>
      <c r="EG9" s="3"/>
      <c r="EH9" s="3"/>
      <c r="EI9" s="3"/>
      <c r="EJ9" s="3"/>
      <c r="EK9" s="3"/>
      <c r="EL9" s="42"/>
      <c r="EM9" s="3"/>
      <c r="EN9" s="3"/>
      <c r="EO9" s="3"/>
      <c r="EP9" s="3"/>
      <c r="EQ9" s="3"/>
      <c r="ER9" s="3"/>
    </row>
    <row r="10">
      <c r="A10" s="44"/>
      <c r="B10" s="43"/>
      <c r="C10" s="10"/>
      <c r="D10" s="10"/>
      <c r="E10" s="10"/>
      <c r="F10" s="10"/>
      <c r="G10" s="10"/>
      <c r="H10" s="10"/>
      <c r="I10" s="43" t="str">
        <f t="shared" ref="I10:M10" si="21">B10</f>
        <v/>
      </c>
      <c r="J10" s="10" t="str">
        <f t="shared" si="21"/>
        <v/>
      </c>
      <c r="K10" s="10" t="str">
        <f t="shared" si="21"/>
        <v/>
      </c>
      <c r="L10" s="10" t="str">
        <f t="shared" si="21"/>
        <v/>
      </c>
      <c r="M10" s="10" t="str">
        <f t="shared" si="21"/>
        <v/>
      </c>
      <c r="N10" s="10"/>
      <c r="O10" s="10"/>
      <c r="P10" s="43" t="str">
        <f t="shared" ref="P10:T10" si="22">I10</f>
        <v/>
      </c>
      <c r="Q10" s="10" t="str">
        <f t="shared" si="22"/>
        <v/>
      </c>
      <c r="R10" s="10" t="str">
        <f t="shared" si="22"/>
        <v/>
      </c>
      <c r="S10" s="10" t="str">
        <f t="shared" si="22"/>
        <v/>
      </c>
      <c r="T10" s="10" t="str">
        <f t="shared" si="22"/>
        <v/>
      </c>
      <c r="U10" s="10"/>
      <c r="V10" s="10"/>
      <c r="W10" s="43" t="str">
        <f t="shared" ref="W10:AA10" si="23">P10</f>
        <v/>
      </c>
      <c r="X10" s="10" t="str">
        <f t="shared" si="23"/>
        <v/>
      </c>
      <c r="Y10" s="10" t="str">
        <f t="shared" si="23"/>
        <v/>
      </c>
      <c r="Z10" s="10" t="str">
        <f t="shared" si="23"/>
        <v/>
      </c>
      <c r="AA10" s="10" t="str">
        <f t="shared" si="23"/>
        <v/>
      </c>
      <c r="AB10" s="10"/>
      <c r="AC10" s="10"/>
      <c r="AD10" s="43" t="str">
        <f t="shared" ref="AD10:AH10" si="24">W10</f>
        <v/>
      </c>
      <c r="AE10" s="10" t="str">
        <f t="shared" si="24"/>
        <v/>
      </c>
      <c r="AF10" s="10" t="str">
        <f t="shared" si="24"/>
        <v/>
      </c>
      <c r="AG10" s="10" t="str">
        <f t="shared" si="24"/>
        <v/>
      </c>
      <c r="AH10" s="10" t="str">
        <f t="shared" si="24"/>
        <v/>
      </c>
      <c r="AI10" s="10"/>
      <c r="AJ10" s="10"/>
      <c r="AK10" s="43" t="str">
        <f t="shared" ref="AK10:AO10" si="25">AD10</f>
        <v/>
      </c>
      <c r="AL10" s="10" t="str">
        <f t="shared" si="25"/>
        <v/>
      </c>
      <c r="AM10" s="10" t="str">
        <f t="shared" si="25"/>
        <v/>
      </c>
      <c r="AN10" s="10" t="str">
        <f t="shared" si="25"/>
        <v/>
      </c>
      <c r="AO10" s="10" t="str">
        <f t="shared" si="25"/>
        <v/>
      </c>
      <c r="AP10" s="10"/>
      <c r="AQ10" s="10"/>
      <c r="AR10" s="43" t="str">
        <f t="shared" ref="AR10:AV10" si="26">AK10</f>
        <v/>
      </c>
      <c r="AS10" s="10" t="str">
        <f t="shared" si="26"/>
        <v/>
      </c>
      <c r="AT10" s="10" t="str">
        <f t="shared" si="26"/>
        <v/>
      </c>
      <c r="AU10" s="10" t="str">
        <f t="shared" si="26"/>
        <v/>
      </c>
      <c r="AV10" s="10" t="str">
        <f t="shared" si="26"/>
        <v/>
      </c>
      <c r="AW10" s="10"/>
      <c r="AX10" s="10"/>
      <c r="AY10" s="43" t="str">
        <f t="shared" ref="AY10:BC10" si="27">AR10</f>
        <v/>
      </c>
      <c r="AZ10" s="10" t="str">
        <f t="shared" si="27"/>
        <v/>
      </c>
      <c r="BA10" s="10" t="str">
        <f t="shared" si="27"/>
        <v/>
      </c>
      <c r="BB10" s="10" t="str">
        <f t="shared" si="27"/>
        <v/>
      </c>
      <c r="BC10" s="10" t="str">
        <f t="shared" si="27"/>
        <v/>
      </c>
      <c r="BD10" s="10"/>
      <c r="BE10" s="10"/>
      <c r="BF10" s="43" t="str">
        <f t="shared" ref="BF10:BJ10" si="28">AY10</f>
        <v/>
      </c>
      <c r="BG10" s="10" t="str">
        <f t="shared" si="28"/>
        <v/>
      </c>
      <c r="BH10" s="10" t="str">
        <f t="shared" si="28"/>
        <v/>
      </c>
      <c r="BI10" s="10" t="str">
        <f t="shared" si="28"/>
        <v/>
      </c>
      <c r="BJ10" s="10" t="str">
        <f t="shared" si="28"/>
        <v/>
      </c>
      <c r="BK10" s="10"/>
      <c r="BL10" s="10"/>
      <c r="BM10" s="43" t="str">
        <f t="shared" ref="BM10:BQ10" si="29">BF10</f>
        <v/>
      </c>
      <c r="BN10" s="10" t="str">
        <f t="shared" si="29"/>
        <v/>
      </c>
      <c r="BO10" s="10" t="str">
        <f t="shared" si="29"/>
        <v/>
      </c>
      <c r="BP10" s="10" t="str">
        <f t="shared" si="29"/>
        <v/>
      </c>
      <c r="BQ10" s="10" t="str">
        <f t="shared" si="29"/>
        <v/>
      </c>
      <c r="BR10" s="10"/>
      <c r="BS10" s="10"/>
      <c r="BT10" s="43" t="str">
        <f t="shared" ref="BT10:BX10" si="30">BM10</f>
        <v/>
      </c>
      <c r="BU10" s="10" t="str">
        <f t="shared" si="30"/>
        <v/>
      </c>
      <c r="BV10" s="10" t="str">
        <f t="shared" si="30"/>
        <v/>
      </c>
      <c r="BW10" s="10" t="str">
        <f t="shared" si="30"/>
        <v/>
      </c>
      <c r="BX10" s="10" t="str">
        <f t="shared" si="30"/>
        <v/>
      </c>
      <c r="BY10" s="10"/>
      <c r="BZ10" s="10"/>
      <c r="CA10" s="43" t="str">
        <f t="shared" ref="CA10:CE10" si="31">BT10</f>
        <v/>
      </c>
      <c r="CB10" s="10" t="str">
        <f t="shared" si="31"/>
        <v/>
      </c>
      <c r="CC10" s="10" t="str">
        <f t="shared" si="31"/>
        <v/>
      </c>
      <c r="CD10" s="10" t="str">
        <f t="shared" si="31"/>
        <v/>
      </c>
      <c r="CE10" s="10" t="str">
        <f t="shared" si="31"/>
        <v/>
      </c>
      <c r="CF10" s="10"/>
      <c r="CG10" s="10"/>
      <c r="CH10" s="43" t="str">
        <f t="shared" ref="CH10:CL10" si="32">CA10</f>
        <v/>
      </c>
      <c r="CI10" s="10" t="str">
        <f t="shared" si="32"/>
        <v/>
      </c>
      <c r="CJ10" s="10" t="str">
        <f t="shared" si="32"/>
        <v/>
      </c>
      <c r="CK10" s="10" t="str">
        <f t="shared" si="32"/>
        <v/>
      </c>
      <c r="CL10" s="10" t="str">
        <f t="shared" si="32"/>
        <v/>
      </c>
      <c r="CM10" s="10"/>
      <c r="CN10" s="10"/>
      <c r="CO10" s="43" t="str">
        <f t="shared" ref="CO10:CS10" si="33">CH10</f>
        <v/>
      </c>
      <c r="CP10" s="10" t="str">
        <f t="shared" si="33"/>
        <v/>
      </c>
      <c r="CQ10" s="10" t="str">
        <f t="shared" si="33"/>
        <v/>
      </c>
      <c r="CR10" s="10" t="str">
        <f t="shared" si="33"/>
        <v/>
      </c>
      <c r="CS10" s="10" t="str">
        <f t="shared" si="33"/>
        <v/>
      </c>
      <c r="CT10" s="10"/>
      <c r="CU10" s="10"/>
      <c r="CV10" s="43" t="str">
        <f t="shared" ref="CV10:CZ10" si="34">CO10</f>
        <v/>
      </c>
      <c r="CW10" s="10" t="str">
        <f t="shared" si="34"/>
        <v/>
      </c>
      <c r="CX10" s="10" t="str">
        <f t="shared" si="34"/>
        <v/>
      </c>
      <c r="CY10" s="10" t="str">
        <f t="shared" si="34"/>
        <v/>
      </c>
      <c r="CZ10" s="10" t="str">
        <f t="shared" si="34"/>
        <v/>
      </c>
      <c r="DA10" s="10"/>
      <c r="DB10" s="10"/>
      <c r="DC10" s="43" t="str">
        <f t="shared" ref="DC10:DG10" si="35">CV10</f>
        <v/>
      </c>
      <c r="DD10" s="10" t="str">
        <f t="shared" si="35"/>
        <v/>
      </c>
      <c r="DE10" s="10" t="str">
        <f t="shared" si="35"/>
        <v/>
      </c>
      <c r="DF10" s="10" t="str">
        <f t="shared" si="35"/>
        <v/>
      </c>
      <c r="DG10" s="10" t="str">
        <f t="shared" si="35"/>
        <v/>
      </c>
      <c r="DH10" s="10"/>
      <c r="DI10" s="10"/>
      <c r="DJ10" s="43" t="str">
        <f t="shared" ref="DJ10:DN10" si="36">DC10</f>
        <v/>
      </c>
      <c r="DK10" s="10" t="str">
        <f t="shared" si="36"/>
        <v/>
      </c>
      <c r="DL10" s="10" t="str">
        <f t="shared" si="36"/>
        <v/>
      </c>
      <c r="DM10" s="10" t="str">
        <f t="shared" si="36"/>
        <v/>
      </c>
      <c r="DN10" s="10" t="str">
        <f t="shared" si="36"/>
        <v/>
      </c>
      <c r="DO10" s="10"/>
      <c r="DP10" s="10"/>
      <c r="DQ10" s="43" t="str">
        <f t="shared" ref="DQ10:DU10" si="37">DJ10</f>
        <v/>
      </c>
      <c r="DR10" s="10" t="str">
        <f t="shared" si="37"/>
        <v/>
      </c>
      <c r="DS10" s="10" t="str">
        <f t="shared" si="37"/>
        <v/>
      </c>
      <c r="DT10" s="10" t="str">
        <f t="shared" si="37"/>
        <v/>
      </c>
      <c r="DU10" s="10" t="str">
        <f t="shared" si="37"/>
        <v/>
      </c>
      <c r="DV10" s="10"/>
      <c r="DW10" s="10"/>
      <c r="DX10" s="43" t="str">
        <f t="shared" ref="DX10:EB10" si="38">DQ10</f>
        <v/>
      </c>
      <c r="DY10" s="10" t="str">
        <f t="shared" si="38"/>
        <v/>
      </c>
      <c r="DZ10" s="10" t="str">
        <f t="shared" si="38"/>
        <v/>
      </c>
      <c r="EA10" s="10" t="str">
        <f t="shared" si="38"/>
        <v/>
      </c>
      <c r="EB10" s="10" t="str">
        <f t="shared" si="38"/>
        <v/>
      </c>
      <c r="EC10" s="10"/>
      <c r="ED10" s="10"/>
      <c r="EE10" s="43" t="str">
        <f t="shared" ref="EE10:EI10" si="39">DX10</f>
        <v/>
      </c>
      <c r="EF10" s="10" t="str">
        <f t="shared" si="39"/>
        <v/>
      </c>
      <c r="EG10" s="10" t="str">
        <f t="shared" si="39"/>
        <v/>
      </c>
      <c r="EH10" s="10" t="str">
        <f t="shared" si="39"/>
        <v/>
      </c>
      <c r="EI10" s="10" t="str">
        <f t="shared" si="39"/>
        <v/>
      </c>
      <c r="EJ10" s="10"/>
      <c r="EK10" s="10"/>
      <c r="EL10" s="43" t="str">
        <f t="shared" ref="EL10:EP10" si="40">EE10</f>
        <v/>
      </c>
      <c r="EM10" s="10" t="str">
        <f t="shared" si="40"/>
        <v/>
      </c>
      <c r="EN10" s="10" t="str">
        <f t="shared" si="40"/>
        <v/>
      </c>
      <c r="EO10" s="10" t="str">
        <f t="shared" si="40"/>
        <v/>
      </c>
      <c r="EP10" s="10" t="str">
        <f t="shared" si="40"/>
        <v/>
      </c>
      <c r="EQ10" s="10"/>
      <c r="ER10" s="10"/>
    </row>
    <row r="11">
      <c r="A11" s="44"/>
      <c r="B11" s="43"/>
      <c r="C11" s="10"/>
      <c r="D11" s="10"/>
      <c r="E11" s="10"/>
      <c r="F11" s="10"/>
      <c r="G11" s="10"/>
      <c r="H11" s="10"/>
      <c r="I11" s="43" t="str">
        <f t="shared" ref="I11:M11" si="41">B11</f>
        <v/>
      </c>
      <c r="J11" s="10" t="str">
        <f t="shared" si="41"/>
        <v/>
      </c>
      <c r="K11" s="10" t="str">
        <f t="shared" si="41"/>
        <v/>
      </c>
      <c r="L11" s="10" t="str">
        <f t="shared" si="41"/>
        <v/>
      </c>
      <c r="M11" s="10" t="str">
        <f t="shared" si="41"/>
        <v/>
      </c>
      <c r="N11" s="10"/>
      <c r="O11" s="10"/>
      <c r="P11" s="43" t="str">
        <f t="shared" ref="P11:T11" si="42">I11</f>
        <v/>
      </c>
      <c r="Q11" s="10" t="str">
        <f t="shared" si="42"/>
        <v/>
      </c>
      <c r="R11" s="10" t="str">
        <f t="shared" si="42"/>
        <v/>
      </c>
      <c r="S11" s="10" t="str">
        <f t="shared" si="42"/>
        <v/>
      </c>
      <c r="T11" s="10" t="str">
        <f t="shared" si="42"/>
        <v/>
      </c>
      <c r="U11" s="10"/>
      <c r="V11" s="10"/>
      <c r="W11" s="43" t="str">
        <f t="shared" ref="W11:AA11" si="43">P11</f>
        <v/>
      </c>
      <c r="X11" s="10" t="str">
        <f t="shared" si="43"/>
        <v/>
      </c>
      <c r="Y11" s="10" t="str">
        <f t="shared" si="43"/>
        <v/>
      </c>
      <c r="Z11" s="10" t="str">
        <f t="shared" si="43"/>
        <v/>
      </c>
      <c r="AA11" s="10" t="str">
        <f t="shared" si="43"/>
        <v/>
      </c>
      <c r="AB11" s="10"/>
      <c r="AC11" s="10"/>
      <c r="AD11" s="43" t="str">
        <f t="shared" ref="AD11:AH11" si="44">W11</f>
        <v/>
      </c>
      <c r="AE11" s="10" t="str">
        <f t="shared" si="44"/>
        <v/>
      </c>
      <c r="AF11" s="10" t="str">
        <f t="shared" si="44"/>
        <v/>
      </c>
      <c r="AG11" s="10" t="str">
        <f t="shared" si="44"/>
        <v/>
      </c>
      <c r="AH11" s="10" t="str">
        <f t="shared" si="44"/>
        <v/>
      </c>
      <c r="AI11" s="10"/>
      <c r="AJ11" s="10"/>
      <c r="AK11" s="43" t="str">
        <f t="shared" ref="AK11:AO11" si="45">AD11</f>
        <v/>
      </c>
      <c r="AL11" s="10" t="str">
        <f t="shared" si="45"/>
        <v/>
      </c>
      <c r="AM11" s="10" t="str">
        <f t="shared" si="45"/>
        <v/>
      </c>
      <c r="AN11" s="10" t="str">
        <f t="shared" si="45"/>
        <v/>
      </c>
      <c r="AO11" s="10" t="str">
        <f t="shared" si="45"/>
        <v/>
      </c>
      <c r="AP11" s="10"/>
      <c r="AQ11" s="10"/>
      <c r="AR11" s="43" t="str">
        <f t="shared" ref="AR11:AV11" si="46">AK11</f>
        <v/>
      </c>
      <c r="AS11" s="10" t="str">
        <f t="shared" si="46"/>
        <v/>
      </c>
      <c r="AT11" s="10" t="str">
        <f t="shared" si="46"/>
        <v/>
      </c>
      <c r="AU11" s="10" t="str">
        <f t="shared" si="46"/>
        <v/>
      </c>
      <c r="AV11" s="10" t="str">
        <f t="shared" si="46"/>
        <v/>
      </c>
      <c r="AW11" s="10"/>
      <c r="AX11" s="10"/>
      <c r="AY11" s="43" t="str">
        <f t="shared" ref="AY11:BC11" si="47">AR11</f>
        <v/>
      </c>
      <c r="AZ11" s="10" t="str">
        <f t="shared" si="47"/>
        <v/>
      </c>
      <c r="BA11" s="10" t="str">
        <f t="shared" si="47"/>
        <v/>
      </c>
      <c r="BB11" s="10" t="str">
        <f t="shared" si="47"/>
        <v/>
      </c>
      <c r="BC11" s="10" t="str">
        <f t="shared" si="47"/>
        <v/>
      </c>
      <c r="BD11" s="10"/>
      <c r="BE11" s="10"/>
      <c r="BF11" s="43" t="str">
        <f t="shared" ref="BF11:BJ11" si="48">AY11</f>
        <v/>
      </c>
      <c r="BG11" s="10" t="str">
        <f t="shared" si="48"/>
        <v/>
      </c>
      <c r="BH11" s="10" t="str">
        <f t="shared" si="48"/>
        <v/>
      </c>
      <c r="BI11" s="10" t="str">
        <f t="shared" si="48"/>
        <v/>
      </c>
      <c r="BJ11" s="10" t="str">
        <f t="shared" si="48"/>
        <v/>
      </c>
      <c r="BK11" s="10"/>
      <c r="BL11" s="10"/>
      <c r="BM11" s="43" t="str">
        <f t="shared" ref="BM11:BQ11" si="49">BF11</f>
        <v/>
      </c>
      <c r="BN11" s="10" t="str">
        <f t="shared" si="49"/>
        <v/>
      </c>
      <c r="BO11" s="10" t="str">
        <f t="shared" si="49"/>
        <v/>
      </c>
      <c r="BP11" s="10" t="str">
        <f t="shared" si="49"/>
        <v/>
      </c>
      <c r="BQ11" s="10" t="str">
        <f t="shared" si="49"/>
        <v/>
      </c>
      <c r="BR11" s="10"/>
      <c r="BS11" s="10"/>
      <c r="BT11" s="43" t="str">
        <f t="shared" ref="BT11:BX11" si="50">BM11</f>
        <v/>
      </c>
      <c r="BU11" s="10" t="str">
        <f t="shared" si="50"/>
        <v/>
      </c>
      <c r="BV11" s="10" t="str">
        <f t="shared" si="50"/>
        <v/>
      </c>
      <c r="BW11" s="10" t="str">
        <f t="shared" si="50"/>
        <v/>
      </c>
      <c r="BX11" s="10" t="str">
        <f t="shared" si="50"/>
        <v/>
      </c>
      <c r="BY11" s="10"/>
      <c r="BZ11" s="10"/>
      <c r="CA11" s="43" t="str">
        <f t="shared" ref="CA11:CE11" si="51">BT11</f>
        <v/>
      </c>
      <c r="CB11" s="10" t="str">
        <f t="shared" si="51"/>
        <v/>
      </c>
      <c r="CC11" s="10" t="str">
        <f t="shared" si="51"/>
        <v/>
      </c>
      <c r="CD11" s="10" t="str">
        <f t="shared" si="51"/>
        <v/>
      </c>
      <c r="CE11" s="10" t="str">
        <f t="shared" si="51"/>
        <v/>
      </c>
      <c r="CF11" s="10"/>
      <c r="CG11" s="10"/>
      <c r="CH11" s="43" t="str">
        <f t="shared" ref="CH11:CL11" si="52">CA11</f>
        <v/>
      </c>
      <c r="CI11" s="10" t="str">
        <f t="shared" si="52"/>
        <v/>
      </c>
      <c r="CJ11" s="10" t="str">
        <f t="shared" si="52"/>
        <v/>
      </c>
      <c r="CK11" s="10" t="str">
        <f t="shared" si="52"/>
        <v/>
      </c>
      <c r="CL11" s="10" t="str">
        <f t="shared" si="52"/>
        <v/>
      </c>
      <c r="CM11" s="10"/>
      <c r="CN11" s="10"/>
      <c r="CO11" s="43" t="str">
        <f t="shared" ref="CO11:CS11" si="53">CH11</f>
        <v/>
      </c>
      <c r="CP11" s="10" t="str">
        <f t="shared" si="53"/>
        <v/>
      </c>
      <c r="CQ11" s="10" t="str">
        <f t="shared" si="53"/>
        <v/>
      </c>
      <c r="CR11" s="10" t="str">
        <f t="shared" si="53"/>
        <v/>
      </c>
      <c r="CS11" s="10" t="str">
        <f t="shared" si="53"/>
        <v/>
      </c>
      <c r="CT11" s="10"/>
      <c r="CU11" s="10"/>
      <c r="CV11" s="43" t="str">
        <f t="shared" ref="CV11:CZ11" si="54">CO11</f>
        <v/>
      </c>
      <c r="CW11" s="10" t="str">
        <f t="shared" si="54"/>
        <v/>
      </c>
      <c r="CX11" s="10" t="str">
        <f t="shared" si="54"/>
        <v/>
      </c>
      <c r="CY11" s="10" t="str">
        <f t="shared" si="54"/>
        <v/>
      </c>
      <c r="CZ11" s="10" t="str">
        <f t="shared" si="54"/>
        <v/>
      </c>
      <c r="DA11" s="10"/>
      <c r="DB11" s="10"/>
      <c r="DC11" s="43" t="str">
        <f t="shared" ref="DC11:DG11" si="55">CV11</f>
        <v/>
      </c>
      <c r="DD11" s="10" t="str">
        <f t="shared" si="55"/>
        <v/>
      </c>
      <c r="DE11" s="10" t="str">
        <f t="shared" si="55"/>
        <v/>
      </c>
      <c r="DF11" s="10" t="str">
        <f t="shared" si="55"/>
        <v/>
      </c>
      <c r="DG11" s="10" t="str">
        <f t="shared" si="55"/>
        <v/>
      </c>
      <c r="DH11" s="10"/>
      <c r="DI11" s="10"/>
      <c r="DJ11" s="43" t="str">
        <f t="shared" ref="DJ11:DN11" si="56">DC11</f>
        <v/>
      </c>
      <c r="DK11" s="10" t="str">
        <f t="shared" si="56"/>
        <v/>
      </c>
      <c r="DL11" s="10" t="str">
        <f t="shared" si="56"/>
        <v/>
      </c>
      <c r="DM11" s="10" t="str">
        <f t="shared" si="56"/>
        <v/>
      </c>
      <c r="DN11" s="10" t="str">
        <f t="shared" si="56"/>
        <v/>
      </c>
      <c r="DO11" s="10"/>
      <c r="DP11" s="10"/>
      <c r="DQ11" s="43" t="str">
        <f t="shared" ref="DQ11:DU11" si="57">DJ11</f>
        <v/>
      </c>
      <c r="DR11" s="10" t="str">
        <f t="shared" si="57"/>
        <v/>
      </c>
      <c r="DS11" s="10" t="str">
        <f t="shared" si="57"/>
        <v/>
      </c>
      <c r="DT11" s="10" t="str">
        <f t="shared" si="57"/>
        <v/>
      </c>
      <c r="DU11" s="10" t="str">
        <f t="shared" si="57"/>
        <v/>
      </c>
      <c r="DV11" s="10"/>
      <c r="DW11" s="10"/>
      <c r="DX11" s="43" t="str">
        <f t="shared" ref="DX11:EB11" si="58">DQ11</f>
        <v/>
      </c>
      <c r="DY11" s="10" t="str">
        <f t="shared" si="58"/>
        <v/>
      </c>
      <c r="DZ11" s="10" t="str">
        <f t="shared" si="58"/>
        <v/>
      </c>
      <c r="EA11" s="10" t="str">
        <f t="shared" si="58"/>
        <v/>
      </c>
      <c r="EB11" s="10" t="str">
        <f t="shared" si="58"/>
        <v/>
      </c>
      <c r="EC11" s="10"/>
      <c r="ED11" s="10"/>
      <c r="EE11" s="43" t="str">
        <f t="shared" ref="EE11:EI11" si="59">DX11</f>
        <v/>
      </c>
      <c r="EF11" s="10" t="str">
        <f t="shared" si="59"/>
        <v/>
      </c>
      <c r="EG11" s="10" t="str">
        <f t="shared" si="59"/>
        <v/>
      </c>
      <c r="EH11" s="10" t="str">
        <f t="shared" si="59"/>
        <v/>
      </c>
      <c r="EI11" s="10" t="str">
        <f t="shared" si="59"/>
        <v/>
      </c>
      <c r="EJ11" s="10"/>
      <c r="EK11" s="10"/>
      <c r="EL11" s="43" t="str">
        <f t="shared" ref="EL11:EP11" si="60">EE11</f>
        <v/>
      </c>
      <c r="EM11" s="10" t="str">
        <f t="shared" si="60"/>
        <v/>
      </c>
      <c r="EN11" s="10" t="str">
        <f t="shared" si="60"/>
        <v/>
      </c>
      <c r="EO11" s="10" t="str">
        <f t="shared" si="60"/>
        <v/>
      </c>
      <c r="EP11" s="10" t="str">
        <f t="shared" si="60"/>
        <v/>
      </c>
      <c r="EQ11" s="10"/>
      <c r="ER11" s="10"/>
    </row>
    <row r="12">
      <c r="A12" s="45"/>
      <c r="B12" s="46"/>
      <c r="C12" s="47"/>
      <c r="D12" s="47"/>
      <c r="E12" s="47"/>
      <c r="F12" s="47"/>
      <c r="G12" s="47"/>
      <c r="H12" s="47"/>
      <c r="I12" s="46" t="str">
        <f t="shared" ref="I12:M12" si="61">B12</f>
        <v/>
      </c>
      <c r="J12" s="47" t="str">
        <f t="shared" si="61"/>
        <v/>
      </c>
      <c r="K12" s="47" t="str">
        <f t="shared" si="61"/>
        <v/>
      </c>
      <c r="L12" s="47" t="str">
        <f t="shared" si="61"/>
        <v/>
      </c>
      <c r="M12" s="47" t="str">
        <f t="shared" si="61"/>
        <v/>
      </c>
      <c r="N12" s="47"/>
      <c r="O12" s="47"/>
      <c r="P12" s="46" t="str">
        <f t="shared" ref="P12:T12" si="62">I12</f>
        <v/>
      </c>
      <c r="Q12" s="47" t="str">
        <f t="shared" si="62"/>
        <v/>
      </c>
      <c r="R12" s="47" t="str">
        <f t="shared" si="62"/>
        <v/>
      </c>
      <c r="S12" s="47" t="str">
        <f t="shared" si="62"/>
        <v/>
      </c>
      <c r="T12" s="47" t="str">
        <f t="shared" si="62"/>
        <v/>
      </c>
      <c r="U12" s="47"/>
      <c r="V12" s="47"/>
      <c r="W12" s="46" t="str">
        <f t="shared" ref="W12:AA12" si="63">P12</f>
        <v/>
      </c>
      <c r="X12" s="47" t="str">
        <f t="shared" si="63"/>
        <v/>
      </c>
      <c r="Y12" s="47" t="str">
        <f t="shared" si="63"/>
        <v/>
      </c>
      <c r="Z12" s="47" t="str">
        <f t="shared" si="63"/>
        <v/>
      </c>
      <c r="AA12" s="47" t="str">
        <f t="shared" si="63"/>
        <v/>
      </c>
      <c r="AB12" s="47"/>
      <c r="AC12" s="47"/>
      <c r="AD12" s="46" t="str">
        <f t="shared" ref="AD12:AH12" si="64">W12</f>
        <v/>
      </c>
      <c r="AE12" s="47" t="str">
        <f t="shared" si="64"/>
        <v/>
      </c>
      <c r="AF12" s="47" t="str">
        <f t="shared" si="64"/>
        <v/>
      </c>
      <c r="AG12" s="47" t="str">
        <f t="shared" si="64"/>
        <v/>
      </c>
      <c r="AH12" s="47" t="str">
        <f t="shared" si="64"/>
        <v/>
      </c>
      <c r="AI12" s="47"/>
      <c r="AJ12" s="47"/>
      <c r="AK12" s="46" t="str">
        <f t="shared" ref="AK12:AO12" si="65">AD12</f>
        <v/>
      </c>
      <c r="AL12" s="47" t="str">
        <f t="shared" si="65"/>
        <v/>
      </c>
      <c r="AM12" s="47" t="str">
        <f t="shared" si="65"/>
        <v/>
      </c>
      <c r="AN12" s="47" t="str">
        <f t="shared" si="65"/>
        <v/>
      </c>
      <c r="AO12" s="47" t="str">
        <f t="shared" si="65"/>
        <v/>
      </c>
      <c r="AP12" s="47"/>
      <c r="AQ12" s="47"/>
      <c r="AR12" s="46" t="str">
        <f t="shared" ref="AR12:AV12" si="66">AK12</f>
        <v/>
      </c>
      <c r="AS12" s="47" t="str">
        <f t="shared" si="66"/>
        <v/>
      </c>
      <c r="AT12" s="47" t="str">
        <f t="shared" si="66"/>
        <v/>
      </c>
      <c r="AU12" s="47" t="str">
        <f t="shared" si="66"/>
        <v/>
      </c>
      <c r="AV12" s="47" t="str">
        <f t="shared" si="66"/>
        <v/>
      </c>
      <c r="AW12" s="47"/>
      <c r="AX12" s="47"/>
      <c r="AY12" s="46" t="str">
        <f t="shared" ref="AY12:BC12" si="67">AR12</f>
        <v/>
      </c>
      <c r="AZ12" s="47" t="str">
        <f t="shared" si="67"/>
        <v/>
      </c>
      <c r="BA12" s="47" t="str">
        <f t="shared" si="67"/>
        <v/>
      </c>
      <c r="BB12" s="47" t="str">
        <f t="shared" si="67"/>
        <v/>
      </c>
      <c r="BC12" s="47" t="str">
        <f t="shared" si="67"/>
        <v/>
      </c>
      <c r="BD12" s="47"/>
      <c r="BE12" s="47"/>
      <c r="BF12" s="46" t="str">
        <f t="shared" ref="BF12:BJ12" si="68">AY12</f>
        <v/>
      </c>
      <c r="BG12" s="47" t="str">
        <f t="shared" si="68"/>
        <v/>
      </c>
      <c r="BH12" s="47" t="str">
        <f t="shared" si="68"/>
        <v/>
      </c>
      <c r="BI12" s="47" t="str">
        <f t="shared" si="68"/>
        <v/>
      </c>
      <c r="BJ12" s="47" t="str">
        <f t="shared" si="68"/>
        <v/>
      </c>
      <c r="BK12" s="47"/>
      <c r="BL12" s="47"/>
      <c r="BM12" s="46" t="str">
        <f t="shared" ref="BM12:BQ12" si="69">BF12</f>
        <v/>
      </c>
      <c r="BN12" s="47" t="str">
        <f t="shared" si="69"/>
        <v/>
      </c>
      <c r="BO12" s="47" t="str">
        <f t="shared" si="69"/>
        <v/>
      </c>
      <c r="BP12" s="47" t="str">
        <f t="shared" si="69"/>
        <v/>
      </c>
      <c r="BQ12" s="47" t="str">
        <f t="shared" si="69"/>
        <v/>
      </c>
      <c r="BR12" s="47"/>
      <c r="BS12" s="47"/>
      <c r="BT12" s="46" t="str">
        <f t="shared" ref="BT12:BX12" si="70">BM12</f>
        <v/>
      </c>
      <c r="BU12" s="47" t="str">
        <f t="shared" si="70"/>
        <v/>
      </c>
      <c r="BV12" s="47" t="str">
        <f t="shared" si="70"/>
        <v/>
      </c>
      <c r="BW12" s="47" t="str">
        <f t="shared" si="70"/>
        <v/>
      </c>
      <c r="BX12" s="47" t="str">
        <f t="shared" si="70"/>
        <v/>
      </c>
      <c r="BY12" s="47"/>
      <c r="BZ12" s="47"/>
      <c r="CA12" s="46" t="str">
        <f t="shared" ref="CA12:CE12" si="71">BT12</f>
        <v/>
      </c>
      <c r="CB12" s="47" t="str">
        <f t="shared" si="71"/>
        <v/>
      </c>
      <c r="CC12" s="47" t="str">
        <f t="shared" si="71"/>
        <v/>
      </c>
      <c r="CD12" s="47" t="str">
        <f t="shared" si="71"/>
        <v/>
      </c>
      <c r="CE12" s="47" t="str">
        <f t="shared" si="71"/>
        <v/>
      </c>
      <c r="CF12" s="47"/>
      <c r="CG12" s="47"/>
      <c r="CH12" s="46" t="str">
        <f t="shared" ref="CH12:CL12" si="72">CA12</f>
        <v/>
      </c>
      <c r="CI12" s="47" t="str">
        <f t="shared" si="72"/>
        <v/>
      </c>
      <c r="CJ12" s="47" t="str">
        <f t="shared" si="72"/>
        <v/>
      </c>
      <c r="CK12" s="47" t="str">
        <f t="shared" si="72"/>
        <v/>
      </c>
      <c r="CL12" s="47" t="str">
        <f t="shared" si="72"/>
        <v/>
      </c>
      <c r="CM12" s="47"/>
      <c r="CN12" s="47"/>
      <c r="CO12" s="46" t="str">
        <f t="shared" ref="CO12:CS12" si="73">CH12</f>
        <v/>
      </c>
      <c r="CP12" s="47" t="str">
        <f t="shared" si="73"/>
        <v/>
      </c>
      <c r="CQ12" s="47" t="str">
        <f t="shared" si="73"/>
        <v/>
      </c>
      <c r="CR12" s="47" t="str">
        <f t="shared" si="73"/>
        <v/>
      </c>
      <c r="CS12" s="47" t="str">
        <f t="shared" si="73"/>
        <v/>
      </c>
      <c r="CT12" s="47"/>
      <c r="CU12" s="47"/>
      <c r="CV12" s="46" t="str">
        <f t="shared" ref="CV12:CZ12" si="74">CO12</f>
        <v/>
      </c>
      <c r="CW12" s="47" t="str">
        <f t="shared" si="74"/>
        <v/>
      </c>
      <c r="CX12" s="47" t="str">
        <f t="shared" si="74"/>
        <v/>
      </c>
      <c r="CY12" s="47" t="str">
        <f t="shared" si="74"/>
        <v/>
      </c>
      <c r="CZ12" s="47" t="str">
        <f t="shared" si="74"/>
        <v/>
      </c>
      <c r="DA12" s="47"/>
      <c r="DB12" s="47"/>
      <c r="DC12" s="46" t="str">
        <f t="shared" ref="DC12:DG12" si="75">CV12</f>
        <v/>
      </c>
      <c r="DD12" s="47" t="str">
        <f t="shared" si="75"/>
        <v/>
      </c>
      <c r="DE12" s="47" t="str">
        <f t="shared" si="75"/>
        <v/>
      </c>
      <c r="DF12" s="47" t="str">
        <f t="shared" si="75"/>
        <v/>
      </c>
      <c r="DG12" s="47" t="str">
        <f t="shared" si="75"/>
        <v/>
      </c>
      <c r="DH12" s="47"/>
      <c r="DI12" s="47"/>
      <c r="DJ12" s="46" t="str">
        <f t="shared" ref="DJ12:DN12" si="76">DC12</f>
        <v/>
      </c>
      <c r="DK12" s="47" t="str">
        <f t="shared" si="76"/>
        <v/>
      </c>
      <c r="DL12" s="47" t="str">
        <f t="shared" si="76"/>
        <v/>
      </c>
      <c r="DM12" s="47" t="str">
        <f t="shared" si="76"/>
        <v/>
      </c>
      <c r="DN12" s="47" t="str">
        <f t="shared" si="76"/>
        <v/>
      </c>
      <c r="DO12" s="47"/>
      <c r="DP12" s="47"/>
      <c r="DQ12" s="46" t="str">
        <f t="shared" ref="DQ12:DU12" si="77">DJ12</f>
        <v/>
      </c>
      <c r="DR12" s="47" t="str">
        <f t="shared" si="77"/>
        <v/>
      </c>
      <c r="DS12" s="47" t="str">
        <f t="shared" si="77"/>
        <v/>
      </c>
      <c r="DT12" s="47" t="str">
        <f t="shared" si="77"/>
        <v/>
      </c>
      <c r="DU12" s="47" t="str">
        <f t="shared" si="77"/>
        <v/>
      </c>
      <c r="DV12" s="47"/>
      <c r="DW12" s="47"/>
      <c r="DX12" s="46" t="str">
        <f t="shared" ref="DX12:EB12" si="78">DQ12</f>
        <v/>
      </c>
      <c r="DY12" s="47" t="str">
        <f t="shared" si="78"/>
        <v/>
      </c>
      <c r="DZ12" s="47" t="str">
        <f t="shared" si="78"/>
        <v/>
      </c>
      <c r="EA12" s="47" t="str">
        <f t="shared" si="78"/>
        <v/>
      </c>
      <c r="EB12" s="47" t="str">
        <f t="shared" si="78"/>
        <v/>
      </c>
      <c r="EC12" s="47"/>
      <c r="ED12" s="47"/>
      <c r="EE12" s="46" t="str">
        <f t="shared" ref="EE12:EI12" si="79">DX12</f>
        <v/>
      </c>
      <c r="EF12" s="47" t="str">
        <f t="shared" si="79"/>
        <v/>
      </c>
      <c r="EG12" s="47" t="str">
        <f t="shared" si="79"/>
        <v/>
      </c>
      <c r="EH12" s="47" t="str">
        <f t="shared" si="79"/>
        <v/>
      </c>
      <c r="EI12" s="47" t="str">
        <f t="shared" si="79"/>
        <v/>
      </c>
      <c r="EJ12" s="47"/>
      <c r="EK12" s="47"/>
      <c r="EL12" s="46" t="str">
        <f t="shared" ref="EL12:EP12" si="80">EE12</f>
        <v/>
      </c>
      <c r="EM12" s="47" t="str">
        <f t="shared" si="80"/>
        <v/>
      </c>
      <c r="EN12" s="47" t="str">
        <f t="shared" si="80"/>
        <v/>
      </c>
      <c r="EO12" s="47" t="str">
        <f t="shared" si="80"/>
        <v/>
      </c>
      <c r="EP12" s="47" t="str">
        <f t="shared" si="80"/>
        <v/>
      </c>
      <c r="EQ12" s="47"/>
      <c r="ER12" s="47"/>
    </row>
    <row r="13">
      <c r="A13" s="3"/>
      <c r="B13" s="42"/>
      <c r="C13" s="3"/>
      <c r="D13" s="3"/>
      <c r="E13" s="3"/>
      <c r="F13" s="3"/>
      <c r="G13" s="3"/>
      <c r="H13" s="3"/>
      <c r="I13" s="42"/>
      <c r="J13" s="3"/>
      <c r="K13" s="3"/>
      <c r="L13" s="3"/>
      <c r="M13" s="3"/>
      <c r="N13" s="3"/>
      <c r="O13" s="3"/>
      <c r="P13" s="42"/>
      <c r="Q13" s="3"/>
      <c r="R13" s="3"/>
      <c r="S13" s="3"/>
      <c r="T13" s="3"/>
      <c r="U13" s="3"/>
      <c r="V13" s="3"/>
      <c r="W13" s="42"/>
      <c r="X13" s="3"/>
      <c r="Y13" s="3"/>
      <c r="Z13" s="3"/>
      <c r="AA13" s="3"/>
      <c r="AB13" s="3"/>
      <c r="AC13" s="3"/>
      <c r="AD13" s="42"/>
      <c r="AE13" s="3"/>
      <c r="AF13" s="3"/>
      <c r="AG13" s="3"/>
      <c r="AH13" s="3"/>
      <c r="AI13" s="3"/>
      <c r="AJ13" s="3"/>
      <c r="AK13" s="42"/>
      <c r="AL13" s="3"/>
      <c r="AM13" s="3"/>
      <c r="AN13" s="3"/>
      <c r="AO13" s="3"/>
      <c r="AP13" s="3"/>
      <c r="AQ13" s="3"/>
      <c r="AR13" s="42"/>
      <c r="AS13" s="3"/>
      <c r="AT13" s="3"/>
      <c r="AU13" s="3"/>
      <c r="AV13" s="3"/>
      <c r="AW13" s="3"/>
      <c r="AX13" s="3"/>
      <c r="AY13" s="42"/>
      <c r="AZ13" s="3"/>
      <c r="BA13" s="3"/>
      <c r="BB13" s="3"/>
      <c r="BC13" s="3"/>
      <c r="BD13" s="3"/>
      <c r="BE13" s="3"/>
      <c r="BF13" s="42"/>
      <c r="BG13" s="3"/>
      <c r="BH13" s="3"/>
      <c r="BI13" s="3"/>
      <c r="BJ13" s="3"/>
      <c r="BK13" s="3"/>
      <c r="BL13" s="3"/>
      <c r="BM13" s="42"/>
      <c r="BN13" s="3"/>
      <c r="BO13" s="3"/>
      <c r="BP13" s="3"/>
      <c r="BQ13" s="3"/>
      <c r="BR13" s="3"/>
      <c r="BS13" s="3"/>
      <c r="BT13" s="42"/>
      <c r="BU13" s="3"/>
      <c r="BV13" s="3"/>
      <c r="BW13" s="3"/>
      <c r="BX13" s="3"/>
      <c r="BY13" s="3"/>
      <c r="BZ13" s="3"/>
      <c r="CA13" s="42"/>
      <c r="CB13" s="3"/>
      <c r="CC13" s="3"/>
      <c r="CD13" s="3"/>
      <c r="CE13" s="3"/>
      <c r="CF13" s="3"/>
      <c r="CG13" s="3"/>
      <c r="CH13" s="42"/>
      <c r="CI13" s="3"/>
      <c r="CJ13" s="3"/>
      <c r="CK13" s="3"/>
      <c r="CL13" s="3"/>
      <c r="CM13" s="3"/>
      <c r="CN13" s="3"/>
      <c r="CO13" s="42"/>
      <c r="CP13" s="3"/>
      <c r="CQ13" s="3"/>
      <c r="CR13" s="3"/>
      <c r="CS13" s="3"/>
      <c r="CT13" s="3"/>
      <c r="CU13" s="3"/>
      <c r="CV13" s="42"/>
      <c r="CW13" s="3"/>
      <c r="CX13" s="3"/>
      <c r="CY13" s="3"/>
      <c r="CZ13" s="3"/>
      <c r="DA13" s="3"/>
      <c r="DB13" s="3"/>
      <c r="DC13" s="42"/>
      <c r="DD13" s="3"/>
      <c r="DE13" s="3"/>
      <c r="DF13" s="3"/>
      <c r="DG13" s="3"/>
      <c r="DH13" s="3"/>
      <c r="DI13" s="3"/>
      <c r="DJ13" s="42"/>
      <c r="DK13" s="3"/>
      <c r="DL13" s="3"/>
      <c r="DM13" s="3"/>
      <c r="DN13" s="3"/>
      <c r="DO13" s="3"/>
      <c r="DP13" s="3"/>
      <c r="DQ13" s="42"/>
      <c r="DR13" s="3"/>
      <c r="DS13" s="3"/>
      <c r="DT13" s="3"/>
      <c r="DU13" s="3"/>
      <c r="DV13" s="3"/>
      <c r="DW13" s="3"/>
      <c r="DX13" s="42"/>
      <c r="DY13" s="3"/>
      <c r="DZ13" s="3"/>
      <c r="EA13" s="3"/>
      <c r="EB13" s="3"/>
      <c r="EC13" s="3"/>
      <c r="ED13" s="3"/>
      <c r="EE13" s="42"/>
      <c r="EF13" s="3"/>
      <c r="EG13" s="3"/>
      <c r="EH13" s="3"/>
      <c r="EI13" s="3"/>
      <c r="EJ13" s="3"/>
      <c r="EK13" s="3"/>
      <c r="EL13" s="42"/>
      <c r="EM13" s="3"/>
      <c r="EN13" s="3"/>
      <c r="EO13" s="3"/>
      <c r="EP13" s="3"/>
      <c r="EQ13" s="3"/>
      <c r="ER13" s="3"/>
    </row>
    <row r="14">
      <c r="A14" s="32" t="s">
        <v>80</v>
      </c>
      <c r="B14" s="33"/>
      <c r="C14" s="34"/>
      <c r="D14" s="34"/>
      <c r="E14" s="34"/>
      <c r="F14" s="34"/>
      <c r="G14" s="34"/>
      <c r="H14" s="34"/>
      <c r="I14" s="33"/>
      <c r="J14" s="34"/>
      <c r="K14" s="34"/>
      <c r="L14" s="34"/>
      <c r="M14" s="34"/>
      <c r="N14" s="34"/>
      <c r="O14" s="34"/>
      <c r="P14" s="33"/>
      <c r="Q14" s="34"/>
      <c r="R14" s="34"/>
      <c r="S14" s="34"/>
      <c r="T14" s="34"/>
      <c r="U14" s="34"/>
      <c r="V14" s="34"/>
      <c r="W14" s="33"/>
      <c r="X14" s="34"/>
      <c r="Y14" s="34"/>
      <c r="Z14" s="34"/>
      <c r="AA14" s="34"/>
      <c r="AB14" s="34"/>
      <c r="AC14" s="34"/>
      <c r="AD14" s="33"/>
      <c r="AE14" s="34"/>
      <c r="AF14" s="34"/>
      <c r="AG14" s="34"/>
      <c r="AH14" s="34"/>
      <c r="AI14" s="34"/>
      <c r="AJ14" s="34"/>
      <c r="AK14" s="33"/>
      <c r="AL14" s="34"/>
      <c r="AM14" s="34"/>
      <c r="AN14" s="34"/>
      <c r="AO14" s="34"/>
      <c r="AP14" s="34"/>
      <c r="AQ14" s="34"/>
      <c r="AR14" s="33"/>
      <c r="AS14" s="34"/>
      <c r="AT14" s="34"/>
      <c r="AU14" s="34"/>
      <c r="AV14" s="34"/>
      <c r="AW14" s="34"/>
      <c r="AX14" s="34"/>
      <c r="AY14" s="33"/>
      <c r="AZ14" s="34"/>
      <c r="BA14" s="34"/>
      <c r="BB14" s="34"/>
      <c r="BC14" s="34"/>
      <c r="BD14" s="34"/>
      <c r="BE14" s="34"/>
      <c r="BF14" s="33"/>
      <c r="BG14" s="34"/>
      <c r="BH14" s="34"/>
      <c r="BI14" s="34"/>
      <c r="BJ14" s="34"/>
      <c r="BK14" s="34"/>
      <c r="BL14" s="34"/>
      <c r="BM14" s="33"/>
      <c r="BN14" s="34"/>
      <c r="BO14" s="34"/>
      <c r="BP14" s="34"/>
      <c r="BQ14" s="34"/>
      <c r="BR14" s="34"/>
      <c r="BS14" s="34"/>
      <c r="BT14" s="33"/>
      <c r="BU14" s="34"/>
      <c r="BV14" s="34"/>
      <c r="BW14" s="34"/>
      <c r="BX14" s="34"/>
      <c r="BY14" s="34"/>
      <c r="BZ14" s="34"/>
      <c r="CA14" s="33"/>
      <c r="CB14" s="34"/>
      <c r="CC14" s="34"/>
      <c r="CD14" s="34"/>
      <c r="CE14" s="34"/>
      <c r="CF14" s="34"/>
      <c r="CG14" s="34"/>
      <c r="CH14" s="33"/>
      <c r="CI14" s="34"/>
      <c r="CJ14" s="34"/>
      <c r="CK14" s="34"/>
      <c r="CL14" s="34"/>
      <c r="CM14" s="34"/>
      <c r="CN14" s="34"/>
      <c r="CO14" s="33"/>
      <c r="CP14" s="34"/>
      <c r="CQ14" s="34"/>
      <c r="CR14" s="34"/>
      <c r="CS14" s="34"/>
      <c r="CT14" s="34"/>
      <c r="CU14" s="34"/>
      <c r="CV14" s="33"/>
      <c r="CW14" s="34"/>
      <c r="CX14" s="34"/>
      <c r="CY14" s="34"/>
      <c r="CZ14" s="34"/>
      <c r="DA14" s="34"/>
      <c r="DB14" s="34"/>
      <c r="DC14" s="33"/>
      <c r="DD14" s="34"/>
      <c r="DE14" s="34"/>
      <c r="DF14" s="34"/>
      <c r="DG14" s="34"/>
      <c r="DH14" s="34"/>
      <c r="DI14" s="34"/>
      <c r="DJ14" s="33"/>
      <c r="DK14" s="34"/>
      <c r="DL14" s="34"/>
      <c r="DM14" s="34"/>
      <c r="DN14" s="34"/>
      <c r="DO14" s="34"/>
      <c r="DP14" s="34"/>
      <c r="DQ14" s="33"/>
      <c r="DR14" s="34"/>
      <c r="DS14" s="34"/>
      <c r="DT14" s="34"/>
      <c r="DU14" s="34"/>
      <c r="DV14" s="34"/>
      <c r="DW14" s="34"/>
      <c r="DX14" s="33"/>
      <c r="DY14" s="34"/>
      <c r="DZ14" s="34"/>
      <c r="EA14" s="34"/>
      <c r="EB14" s="34"/>
      <c r="EC14" s="34"/>
      <c r="ED14" s="34"/>
      <c r="EE14" s="35" t="s">
        <v>77</v>
      </c>
      <c r="EF14" s="36"/>
      <c r="EG14" s="36"/>
      <c r="EH14" s="36"/>
      <c r="EI14" s="36"/>
      <c r="EJ14" s="36"/>
      <c r="EK14" s="36"/>
      <c r="EL14" s="33"/>
      <c r="EM14" s="34"/>
      <c r="EN14" s="34"/>
      <c r="EO14" s="34"/>
      <c r="EP14" s="34"/>
      <c r="EQ14" s="34"/>
      <c r="ER14" s="34"/>
    </row>
    <row r="15" hidden="1">
      <c r="A15" s="37" t="str">
        <f>CONCATENATE(A16," TM")</f>
        <v>Bench Press TM</v>
      </c>
      <c r="B15" s="38">
        <f>if(D15="",'Quick Setup'!D6,D15/'Quick Setup'!E6)</f>
        <v>325</v>
      </c>
      <c r="C15" s="39" t="s">
        <v>75</v>
      </c>
      <c r="D15" s="40"/>
      <c r="E15" s="41"/>
      <c r="F15" s="41"/>
      <c r="G15" s="41"/>
      <c r="H15" s="41"/>
      <c r="I15" s="38">
        <f>if(K15="", if(F16&lt;&gt;"", if((F16-D16)&lt;-1,B15*(1+Setup!F4),if((F16-D16)&lt;0,B15*(1+Setup!G4),if((F16-D16)=0,B15*(1+Setup!H4),if((F16-D16)=1,B15*(1+Setup!I4),if((F16-D16)=2,B15*(1+Setup!J4),if((F16-D16)=3,B15*(1+Setup!K4),if((F16-D16)=4,B15*(1+Setup!L4),if((F16-D16)&gt;4,B15*(1+Setup!M4),B15)))))))),B15),K15/'Quick Setup'!$E6)</f>
        <v>325</v>
      </c>
      <c r="J15" s="39" t="s">
        <v>75</v>
      </c>
      <c r="K15" s="40"/>
      <c r="L15" s="41"/>
      <c r="M15" s="41"/>
      <c r="N15" s="41"/>
      <c r="O15" s="41"/>
      <c r="P15" s="38">
        <f>if(R15="", if(M16&lt;&gt;"", if((M16-K16)&lt;-1,I15*(1+Setup!R4),if((M16-K16)&lt;0,I15*(1+Setup!S4),if((M16-K16)=0,I15*(1+Setup!T4),if((M16-K16)=1,I15*(1+Setup!U4),if((M16-K16)=2,I15*(1+Setup!V4),if((M16-K16)=3,I15*(1+Setup!W4),if((M16-K16)=4,I15*(1+Setup!X4),if((M16-K16)&gt;4,I15*(1+Setup!Y4),I15)))))))),I15),R15/'Quick Setup'!$E6)</f>
        <v>325</v>
      </c>
      <c r="Q15" s="39" t="s">
        <v>75</v>
      </c>
      <c r="R15" s="40"/>
      <c r="S15" s="41"/>
      <c r="T15" s="41"/>
      <c r="U15" s="41"/>
      <c r="V15" s="41"/>
      <c r="W15" s="38">
        <f>if(Y15="", if(T16&lt;&gt;"", if((T16-R16)&lt;-1,P15*(1+Setup!AD4),if((T16-R16)&lt;0,P15*(1+Setup!AE4),if((T16-R16)=0,P15*(1+Setup!AF4),if((T16-R16)=1,P15*(1+Setup!AG4),if((T16-R16)=2,P15*(1+Setup!AH4),if((T16-R16)=3,P15*(1+Setup!AI4),if((T16-R16)=4,P15*(1+Setup!AJ4),if((T16-R16)&gt;4,P15*(1+Setup!AK4),P15)))))))),P15),Y15/'Quick Setup'!$E6)</f>
        <v>325</v>
      </c>
      <c r="X15" s="39" t="s">
        <v>75</v>
      </c>
      <c r="Y15" s="40"/>
      <c r="Z15" s="41"/>
      <c r="AA15" s="41"/>
      <c r="AB15" s="41"/>
      <c r="AC15" s="41"/>
      <c r="AD15" s="38">
        <f>if(AF15="", if(AA16&lt;&gt;"", if((AA16-Y16)&lt;-1,W15*(1+Setup!AP4),if((AA16-Y16)&lt;0,W15*(1+Setup!AQ4),if((AA16-Y16)=0,W15*(1+Setup!AR4),if((AA16-Y16)=1,W15*(1+Setup!AS4),if((AA16-Y16)=2,W15*(1+Setup!AT4),if((AA16-Y16)=3,W15*(1+Setup!AU4),if((AA16-Y16)=4,W15*(1+Setup!AV4),if((AA16-Y16)&gt;4,W15*(1+Setup!AW4),W15)))))))),W15),AF15/'Quick Setup'!$E6)</f>
        <v>325</v>
      </c>
      <c r="AE15" s="39" t="s">
        <v>75</v>
      </c>
      <c r="AF15" s="40"/>
      <c r="AG15" s="41"/>
      <c r="AH15" s="41"/>
      <c r="AI15" s="41"/>
      <c r="AJ15" s="41"/>
      <c r="AK15" s="38">
        <f>if(AM15="", if(AH16&lt;&gt;"", if((AH16-AF16)&lt;-1,AD15*(1+Setup!BB4),if((AH16-AF16)&lt;0,AD15*(1+Setup!BC4),if((AH16-AF16)=0,AD15*(1+Setup!BD4),if((AH16-AF16)=1,AD15*(1+Setup!BE4),if((AH16-AF16)=2,AD15*(1+Setup!BF4),if((AH16-AF16)=3,AD15*(1+Setup!BG4),if((AH16-AF16)=4,AD15*(1+Setup!BH4),if((AH16-AF16)&gt;4,AD15*(1+Setup!BI4),AD15)))))))),AD15),AM15/'Quick Setup'!$E6)</f>
        <v>325</v>
      </c>
      <c r="AL15" s="39" t="s">
        <v>75</v>
      </c>
      <c r="AM15" s="40"/>
      <c r="AN15" s="41"/>
      <c r="AO15" s="41"/>
      <c r="AP15" s="41"/>
      <c r="AQ15" s="41"/>
      <c r="AR15" s="38">
        <f>if(AT15="", if(AO16&lt;&gt;"", if((AO16-AM16)&lt;-1,AK15*(1+Setup!BN4),if((AO16-AM16)&lt;0,AK15*(1+Setup!BO4),if((AO16-AM16)=0,AK15*(1+Setup!BP4),if((AO16-AM16)=1,AK15*(1+Setup!BQ4),if((AO16-AM16)=2,AK15*(1+Setup!BR4),if((AO16-AM16)=3,AK15*(1+Setup!BS4),if((AO16-AM16)=4,AK15*(1+Setup!BT4),if((AO16-AM16)&gt;4,AK15*(1+Setup!BU4),AK15)))))))),AK15),AT15/'Quick Setup'!$E6)</f>
        <v>325</v>
      </c>
      <c r="AS15" s="39" t="s">
        <v>75</v>
      </c>
      <c r="AT15" s="40"/>
      <c r="AU15" s="41"/>
      <c r="AV15" s="41"/>
      <c r="AW15" s="41"/>
      <c r="AX15" s="41"/>
      <c r="AY15" s="38">
        <f>if(BA15="",AR15,BA15/'Quick Setup'!$E6)</f>
        <v>325</v>
      </c>
      <c r="AZ15" s="39" t="s">
        <v>75</v>
      </c>
      <c r="BA15" s="40"/>
      <c r="BB15" s="41"/>
      <c r="BC15" s="41"/>
      <c r="BD15" s="41"/>
      <c r="BE15" s="41"/>
      <c r="BF15" s="38">
        <f>if(BH15="", if(BC16&lt;&gt;"", if((BC16-BA16)&lt;-1,AY15*(1+Setup!CL4),if((BC16-BA16)&lt;0,AY15*(1+Setup!CM4),if((BC16-BA16)=0,AY15*(1+Setup!CN4),if((BC16-BA16)=1,AY15*(1+Setup!CO4),if((BC16-BA16)=2,AY15*(1+Setup!CP4),if((BC16-BA16)=3,AY15*(1+Setup!CQ4),if((BC16-BA16)=4,AY15*(1+Setup!CR4),if((BC16-BA16)&gt;4,AY15*(1+Setup!CS4),AY15)))))))),AY15),BH15/'Quick Setup'!$E6)</f>
        <v>325</v>
      </c>
      <c r="BG15" s="39" t="s">
        <v>75</v>
      </c>
      <c r="BH15" s="40"/>
      <c r="BI15" s="41"/>
      <c r="BJ15" s="41"/>
      <c r="BK15" s="41"/>
      <c r="BL15" s="41"/>
      <c r="BM15" s="38">
        <f>if(BO15="", if(BJ16&lt;&gt;"", if((BJ16-BH16)&lt;-1,BF15*(1+Setup!CX4),if((BJ16-BH16)&lt;0,BF15*(1+Setup!CY4),if((BJ16-BH16)=0,BF15*(1+Setup!CZ4),if((BJ16-BH16)=1,BF15*(1+Setup!DA4),if((BJ16-BH16)=2,BF15*(1+Setup!DB4),if((BJ16-BH16)=3,BF15*(1+Setup!DC4),if((BJ16-BH16)=4,BF15*(1+Setup!DD4),if((BJ16-BH16)&gt;4,BF15*(1+Setup!DE4),BF15)))))))),BF15),BO15/'Quick Setup'!$E6)</f>
        <v>325</v>
      </c>
      <c r="BN15" s="39" t="s">
        <v>75</v>
      </c>
      <c r="BO15" s="40"/>
      <c r="BP15" s="41"/>
      <c r="BQ15" s="41"/>
      <c r="BR15" s="41"/>
      <c r="BS15" s="41"/>
      <c r="BT15" s="38">
        <f>if(BV15="", if(BQ16&lt;&gt;"", if((BQ16-BO16)&lt;-1,BM15*(1+Setup!DJ4),if((BQ16-BO16)&lt;0,BM15*(1+Setup!DK4),if((BQ16-BO16)=0,BM15*(1+Setup!DL4),if((BQ16-BO16)=1,BM15*(1+Setup!DM4),if((BQ16-BO16)=2,BM15*(1+Setup!DN4),if((BQ16-BO16)=3,BM15*(1+Setup!DO4),if((BQ16-BO16)=4,BM15*(1+Setup!DP4),if((BQ16-BO16)&gt;4,BM15*(1+Setup!DQ4),BM15)))))))),BM15),BV15/'Quick Setup'!$E6)</f>
        <v>325</v>
      </c>
      <c r="BU15" s="39" t="s">
        <v>75</v>
      </c>
      <c r="BV15" s="40"/>
      <c r="BW15" s="41"/>
      <c r="BX15" s="41"/>
      <c r="BY15" s="41"/>
      <c r="BZ15" s="41"/>
      <c r="CA15" s="38">
        <f>if(CC15="", if(BX16&lt;&gt;"", if((BX16-BV16)&lt;-1,BT15*(1+Setup!DV4),if((BX16-BV16)&lt;0,BT15*(1+Setup!DW4),if((BX16-BV16)=0,BT15*(1+Setup!DX4),if((BX16-BV16)=1,BT15*(1+Setup!DY4),if((BX16-BV16)=2,BT15*(1+Setup!DZ4),if((BX16-BV16)=3,BT15*(1+Setup!EA4),if((BX16-BV16)=4,BT15*(1+Setup!EB4),if((BX16-BV16)&gt;4,BT15*(1+Setup!EC4),BT15)))))))),BT15),CC15/'Quick Setup'!$E6)</f>
        <v>325</v>
      </c>
      <c r="CB15" s="39" t="s">
        <v>75</v>
      </c>
      <c r="CC15" s="40"/>
      <c r="CD15" s="41"/>
      <c r="CE15" s="41"/>
      <c r="CF15" s="41"/>
      <c r="CG15" s="41"/>
      <c r="CH15" s="38">
        <f>if(CJ15="", if(CE16&lt;&gt;"", if((CE16-CC16)&lt;-1,CA15*(1+Setup!EH4),if((CE16-CC16)&lt;0,CA15*(1+Setup!EI4),if((CE16-CC16)=0,CA15*(1+Setup!EJ4),if((CE16-CC16)=1,CA15*(1+Setup!EK4),if((CE16-CC16)=2,CA15*(1+Setup!EL4),if((CE16-CC16)=3,CA15*(1+Setup!EM4),if((CE16-CC16)=4,CA15*(1+Setup!EN4),if((CE16-CC16)&gt;4,CA15*(1+Setup!EO4),CA15)))))))),CA15),CJ15/'Quick Setup'!$E6)</f>
        <v>325</v>
      </c>
      <c r="CI15" s="39" t="s">
        <v>75</v>
      </c>
      <c r="CJ15" s="40"/>
      <c r="CK15" s="41"/>
      <c r="CL15" s="41"/>
      <c r="CM15" s="41"/>
      <c r="CN15" s="41"/>
      <c r="CO15" s="38">
        <f>if(CQ15="", if(CL16&lt;&gt;"", if((CL16-CJ16)&lt;-1,CH15*(1+Setup!ET4),if((CL16-CJ16)&lt;0,CH15*(1+Setup!EU4),if((CL16-CJ16)=0,CH15*(1+Setup!EV4),if((CL16-CJ16)=1,CH15*(1+Setup!EW4),if((CL16-CJ16)=2,CH15*(1+Setup!EX4),if((CL16-CJ16)=3,CH15*(1+Setup!EY4),if((CL16-CJ16)=4,CH15*(1+Setup!EZ4),if((CL16-CJ16)&gt;4,CH15*(1+Setup!FA4),CH15)))))))),CH15),CQ15/'Quick Setup'!$E6)</f>
        <v>325</v>
      </c>
      <c r="CP15" s="39" t="s">
        <v>75</v>
      </c>
      <c r="CQ15" s="40"/>
      <c r="CR15" s="41"/>
      <c r="CS15" s="41"/>
      <c r="CT15" s="41"/>
      <c r="CU15" s="41"/>
      <c r="CV15" s="38">
        <f>if(CX15="",CO15,CX15/'Quick Setup'!$E6)</f>
        <v>325</v>
      </c>
      <c r="CW15" s="39" t="s">
        <v>75</v>
      </c>
      <c r="CX15" s="40"/>
      <c r="CY15" s="41"/>
      <c r="CZ15" s="41"/>
      <c r="DA15" s="41"/>
      <c r="DB15" s="41"/>
      <c r="DC15" s="38">
        <f>if(DE15="", if(CZ16&lt;&gt;"", if((CZ16-CX16)&lt;-1,CV15*(1+Setup!FR4),if((CZ16-CX16)&lt;0,CV15*(1+Setup!FS4),if((CZ16-CX16)=0,CV15*(1+Setup!FT4),if((CZ16-CX16)=1,CV15*(1+Setup!FU4),if((CZ16-CX16)=2,CV15*(1+Setup!FV4),if((CZ16-CX16)=3,CV15*(1+Setup!FW4),if((CZ16-CX16)=4,CV15*(1+Setup!FX4),if((CZ16-CX16)&gt;4,CV15*(1+Setup!FY4),CV15)))))))),CV15),DE15/'Quick Setup'!$E6)</f>
        <v>325</v>
      </c>
      <c r="DD15" s="39" t="s">
        <v>75</v>
      </c>
      <c r="DE15" s="40"/>
      <c r="DF15" s="41"/>
      <c r="DG15" s="41"/>
      <c r="DH15" s="41"/>
      <c r="DI15" s="41"/>
      <c r="DJ15" s="38">
        <f>if(DL15="", if(DG16&lt;&gt;"", if((DG16-DE16)&lt;-1,DC15*(1+Setup!GD4),if((DG16-DE16)&lt;0,DC15*(1+Setup!GE4),if((DG16-DE16)=0,DC15*(1+Setup!GF4),if((DG16-DE16)=1,DC15*(1+Setup!GG4),if((DG16-DE16)=2,DC15*(1+Setup!GH4),if((DG16-DE16)=3,DC15*(1+Setup!GI4),if((DG16-DE16)=4,DC15*(1+Setup!GJ4),if((DG16-DE16)&gt;4,DC15*(1+Setup!GK4),DC15)))))))),DC15),DL15/'Quick Setup'!$E6)</f>
        <v>325</v>
      </c>
      <c r="DK15" s="39" t="s">
        <v>75</v>
      </c>
      <c r="DL15" s="40"/>
      <c r="DM15" s="41"/>
      <c r="DN15" s="41"/>
      <c r="DO15" s="41"/>
      <c r="DP15" s="41"/>
      <c r="DQ15" s="38">
        <f>if(DS15="", if(DN16&lt;&gt;"", if((DN16-DL16)&lt;-1,DJ15*(1+Setup!GP4),if((DN16-DL16)&lt;0,DJ15*(1+Setup!GQ4),if((DN16-DL16)=0,DJ15*(1+Setup!GR4),if((DN16-DL16)=1,DJ15*(1+Setup!GS4),if((DN16-DL16)=2,DJ15*(1+Setup!GT4),if((DN16-DL16)=3,DJ15*(1+Setup!GU4),if((DN16-DL16)=4,DJ15*(1+Setup!GV4),if((DN16-DL16)&gt;4,DJ15*(1+Setup!GW4),DJ15)))))))),DJ15),DS15/'Quick Setup'!$E6)</f>
        <v>325</v>
      </c>
      <c r="DR15" s="39" t="s">
        <v>75</v>
      </c>
      <c r="DS15" s="40"/>
      <c r="DT15" s="41"/>
      <c r="DU15" s="41"/>
      <c r="DV15" s="41"/>
      <c r="DW15" s="41"/>
      <c r="DX15" s="38">
        <f>if(DZ15="", if(DU16&lt;&gt;"", if((DU16-DS16)&lt;-1,DQ15*(1+Setup!HB4),if((DU16-DS16)&lt;0,DQ15*(1+Setup!HC4),if((DU16-DS16)=0,DQ15*(1+Setup!HD4),if((DU16-DS16)=1,DQ15*(1+Setup!HE4),if((DU16-DS16)=2,DQ15*(1+Setup!HF4),if((DU16-DS16)=3,DQ15*(1+Setup!HG4),if((DU16-DS16)=4,DQ15*(1+Setup!HH4),if((DU16-DS16)&gt;4,DQ15*(1+Setup!HI4),DQ15)))))))),DQ15),DZ15/'Quick Setup'!$E6)</f>
        <v>325</v>
      </c>
      <c r="DY15" s="39" t="s">
        <v>75</v>
      </c>
      <c r="DZ15" s="40"/>
      <c r="EA15" s="41"/>
      <c r="EB15" s="41"/>
      <c r="EC15" s="41"/>
      <c r="ED15" s="41"/>
      <c r="EE15" s="38">
        <f>if(EG15="", if(EB16&lt;&gt;"", if((EB16-DZ16)&lt;-1,DX15*(1+Setup!HN4),if((EB16-DZ16)&lt;0,DX15*(1+Setup!HO4),if((EB16-DZ16)=0,DX15*(1+Setup!HP4),if((EB16-DZ16)=1,DX15*(1+Setup!HQ4),if((EB16-DZ16)=2,DX15*(1+Setup!HR4),if((EB16-DZ16)=3,DX15*(1+Setup!HS4),if((EB16-DZ16)=4,DX15*(1+Setup!HT4),if((EB16-DZ16)&gt;4,DX15*(1+Setup!HU4),DX15)))))))),DX15),EG15/'Quick Setup'!$E6)</f>
        <v>325</v>
      </c>
      <c r="EF15" s="39" t="s">
        <v>75</v>
      </c>
      <c r="EG15" s="40"/>
      <c r="EH15" s="41"/>
      <c r="EI15" s="41"/>
      <c r="EJ15" s="41"/>
      <c r="EK15" s="41"/>
      <c r="EL15" s="38">
        <f>if(EN15="", if(EI16&lt;&gt;"", if((EI16-EG16)&lt;-1,EE15*(1+Setup!HZ4),if((EI16-EG16)&lt;0,EE15*(1+Setup!IA4),if((EI16-EG16)=0,EE15*(1+Setup!IB4),if((EI16-EG16)=1,EE15*(1+Setup!IC4),if((EI16-EG16)=2,EE15*(1+Setup!ID4),if((EI16-EG16)=3,EE15*(1+Setup!IE4),if((EI16-EG16)=4,EE15*(1+Setup!IF4),if((EI16-EG16)&gt;4,EE15*(1+Setup!IG4),EE15)))))))),EE15),EN15/'Quick Setup'!$E6)</f>
        <v>325</v>
      </c>
      <c r="EM15" s="39" t="s">
        <v>75</v>
      </c>
      <c r="EN15" s="40"/>
      <c r="EO15" s="41"/>
      <c r="EP15" s="41"/>
      <c r="EQ15" s="41"/>
      <c r="ER15" s="41"/>
    </row>
    <row r="16">
      <c r="A16" s="1" t="str">
        <f>Setup!A4</f>
        <v>Bench Press</v>
      </c>
      <c r="B16" s="42">
        <f>mround(B15*Setup!B4,'Quick Setup'!$A$2)</f>
        <v>227.5</v>
      </c>
      <c r="C16" s="3">
        <f>Setup!C4</f>
        <v>5</v>
      </c>
      <c r="D16" s="3">
        <f>Setup!D4</f>
        <v>10</v>
      </c>
      <c r="E16" s="3">
        <f>Setup!E4</f>
        <v>5</v>
      </c>
      <c r="F16" s="10"/>
      <c r="G16" s="10"/>
      <c r="H16" s="10"/>
      <c r="I16" s="42">
        <f>mround(I15*Setup!N4,'Quick Setup'!$A$2)</f>
        <v>245</v>
      </c>
      <c r="J16" s="3">
        <f>Setup!O4</f>
        <v>4</v>
      </c>
      <c r="K16" s="3">
        <f>Setup!P4</f>
        <v>8</v>
      </c>
      <c r="L16" s="3">
        <f>Setup!Q4</f>
        <v>5</v>
      </c>
      <c r="M16" s="10"/>
      <c r="N16" s="10"/>
      <c r="O16" s="10"/>
      <c r="P16" s="42">
        <f>mround(P15*Setup!Z4,'Quick Setup'!$A$2)</f>
        <v>260</v>
      </c>
      <c r="Q16" s="3">
        <f>Setup!AA4</f>
        <v>3</v>
      </c>
      <c r="R16" s="3">
        <f>Setup!AB4</f>
        <v>6</v>
      </c>
      <c r="S16" s="3">
        <f>Setup!AC4</f>
        <v>5</v>
      </c>
      <c r="T16" s="10"/>
      <c r="U16" s="10"/>
      <c r="V16" s="10"/>
      <c r="W16" s="42">
        <f>mround(W15*Setup!AL4,'Quick Setup'!$A$2)</f>
        <v>235</v>
      </c>
      <c r="X16" s="3">
        <f>Setup!AM4</f>
        <v>5</v>
      </c>
      <c r="Y16" s="3">
        <f>Setup!AN4</f>
        <v>9</v>
      </c>
      <c r="Z16" s="3">
        <f>Setup!AO4</f>
        <v>5</v>
      </c>
      <c r="AA16" s="10"/>
      <c r="AB16" s="10"/>
      <c r="AC16" s="10"/>
      <c r="AD16" s="42">
        <f>mround(AD15*Setup!AX4,'Quick Setup'!$A$2)</f>
        <v>252.5</v>
      </c>
      <c r="AE16" s="3">
        <f>Setup!AY4</f>
        <v>4</v>
      </c>
      <c r="AF16" s="3">
        <f>Setup!AZ4</f>
        <v>7</v>
      </c>
      <c r="AG16" s="3">
        <f>Setup!BA4</f>
        <v>5</v>
      </c>
      <c r="AH16" s="10"/>
      <c r="AI16" s="10"/>
      <c r="AJ16" s="10"/>
      <c r="AK16" s="42">
        <f>mround(AK15*Setup!BJ4,'Quick Setup'!$A$2)</f>
        <v>267.5</v>
      </c>
      <c r="AL16" s="3">
        <f>Setup!BK4</f>
        <v>3</v>
      </c>
      <c r="AM16" s="3">
        <f>Setup!BL4</f>
        <v>5</v>
      </c>
      <c r="AN16" s="3">
        <f>Setup!BM4</f>
        <v>5</v>
      </c>
      <c r="AO16" s="10"/>
      <c r="AP16" s="10"/>
      <c r="AQ16" s="10"/>
      <c r="AR16" s="42">
        <f>mround(AR15*Setup!BV4,'Quick Setup'!$A$2)</f>
        <v>195</v>
      </c>
      <c r="AS16" s="1">
        <v>5.0</v>
      </c>
      <c r="AT16" s="1" t="s">
        <v>78</v>
      </c>
      <c r="AU16" s="3">
        <f>Setup!BY4</f>
        <v>5</v>
      </c>
      <c r="AV16" s="10"/>
      <c r="AW16" s="10"/>
      <c r="AX16" s="10"/>
      <c r="AY16" s="42">
        <f>mround(AY15*Setup!CH4,'Quick Setup'!$A$2)</f>
        <v>245</v>
      </c>
      <c r="AZ16" s="3">
        <f>Setup!CI4</f>
        <v>4</v>
      </c>
      <c r="BA16" s="3">
        <f>Setup!CJ4</f>
        <v>8</v>
      </c>
      <c r="BB16" s="3">
        <f>Setup!CK4</f>
        <v>5</v>
      </c>
      <c r="BC16" s="10"/>
      <c r="BD16" s="10"/>
      <c r="BE16" s="10"/>
      <c r="BF16" s="42">
        <f>mround(BF15*Setup!CT4,'Quick Setup'!$A$2)</f>
        <v>260</v>
      </c>
      <c r="BG16" s="3">
        <f>Setup!CU4</f>
        <v>3</v>
      </c>
      <c r="BH16" s="3">
        <f>Setup!CV4</f>
        <v>6</v>
      </c>
      <c r="BI16" s="3">
        <f>Setup!CW4</f>
        <v>5</v>
      </c>
      <c r="BJ16" s="10"/>
      <c r="BK16" s="10"/>
      <c r="BL16" s="10"/>
      <c r="BM16" s="42">
        <f>mround(BM15*Setup!DF4,'Quick Setup'!$A$2)</f>
        <v>277.5</v>
      </c>
      <c r="BN16" s="3">
        <f>Setup!DG4</f>
        <v>2</v>
      </c>
      <c r="BO16" s="3">
        <f>Setup!DH4</f>
        <v>4</v>
      </c>
      <c r="BP16" s="3">
        <f>Setup!DI4</f>
        <v>5</v>
      </c>
      <c r="BQ16" s="10"/>
      <c r="BR16" s="10"/>
      <c r="BS16" s="10"/>
      <c r="BT16" s="42">
        <f>mround(BT15*Setup!DR4,'Quick Setup'!$A$2)</f>
        <v>252.5</v>
      </c>
      <c r="BU16" s="3">
        <f>Setup!DS4</f>
        <v>4</v>
      </c>
      <c r="BV16" s="3">
        <f>Setup!DT4</f>
        <v>7</v>
      </c>
      <c r="BW16" s="3">
        <f>Setup!DU4</f>
        <v>5</v>
      </c>
      <c r="BX16" s="10"/>
      <c r="BY16" s="10"/>
      <c r="BZ16" s="10"/>
      <c r="CA16" s="42">
        <f>mround(CA15*Setup!ED4,'Quick Setup'!$A$2)</f>
        <v>267.5</v>
      </c>
      <c r="CB16" s="3">
        <f>Setup!EE4</f>
        <v>3</v>
      </c>
      <c r="CC16" s="3">
        <f>Setup!EF4</f>
        <v>5</v>
      </c>
      <c r="CD16" s="3">
        <f>Setup!EG4</f>
        <v>5</v>
      </c>
      <c r="CE16" s="10"/>
      <c r="CF16" s="10"/>
      <c r="CG16" s="10"/>
      <c r="CH16" s="42">
        <f>mround(CH15*Setup!EP4,'Quick Setup'!$A$2)</f>
        <v>285</v>
      </c>
      <c r="CI16" s="3">
        <f>Setup!EQ4</f>
        <v>2</v>
      </c>
      <c r="CJ16" s="3">
        <f>Setup!ER4</f>
        <v>3</v>
      </c>
      <c r="CK16" s="3">
        <f>Setup!ES4</f>
        <v>5</v>
      </c>
      <c r="CL16" s="10"/>
      <c r="CM16" s="10"/>
      <c r="CN16" s="10"/>
      <c r="CO16" s="42">
        <f>mround(CO15*Setup!FB4,'Quick Setup'!$A$2)</f>
        <v>195</v>
      </c>
      <c r="CP16" s="1">
        <v>5.0</v>
      </c>
      <c r="CQ16" s="1" t="s">
        <v>78</v>
      </c>
      <c r="CR16" s="3">
        <f>Setup!FE4</f>
        <v>5</v>
      </c>
      <c r="CS16" s="10"/>
      <c r="CT16" s="10"/>
      <c r="CU16" s="10"/>
      <c r="CV16" s="42">
        <f>mround(CV15*Setup!FN4,'Quick Setup'!$A$2)</f>
        <v>260</v>
      </c>
      <c r="CW16" s="3">
        <f>Setup!FO4</f>
        <v>3</v>
      </c>
      <c r="CX16" s="3">
        <f>Setup!FP4</f>
        <v>6</v>
      </c>
      <c r="CY16" s="3">
        <f>Setup!FQ4</f>
        <v>5</v>
      </c>
      <c r="CZ16" s="10"/>
      <c r="DA16" s="10"/>
      <c r="DB16" s="10"/>
      <c r="DC16" s="42">
        <f>mround(DC15*Setup!FZ4,'Quick Setup'!$A$2)</f>
        <v>277.5</v>
      </c>
      <c r="DD16" s="3">
        <f>Setup!GA4</f>
        <v>2</v>
      </c>
      <c r="DE16" s="3">
        <f>Setup!GB4</f>
        <v>4</v>
      </c>
      <c r="DF16" s="3">
        <f>Setup!GC4</f>
        <v>5</v>
      </c>
      <c r="DG16" s="10"/>
      <c r="DH16" s="10"/>
      <c r="DI16" s="10"/>
      <c r="DJ16" s="42">
        <f>mround(DJ15*Setup!GL4,'Quick Setup'!$A$2)</f>
        <v>292.5</v>
      </c>
      <c r="DK16" s="3">
        <f>Setup!GM4</f>
        <v>1</v>
      </c>
      <c r="DL16" s="3">
        <f>Setup!GN4</f>
        <v>2</v>
      </c>
      <c r="DM16" s="3">
        <f>Setup!GO4</f>
        <v>5</v>
      </c>
      <c r="DN16" s="10"/>
      <c r="DO16" s="10"/>
      <c r="DP16" s="10"/>
      <c r="DQ16" s="42">
        <f>mround(DQ15*Setup!GX4,'Quick Setup'!$A$2)</f>
        <v>277.5</v>
      </c>
      <c r="DR16" s="3">
        <f>Setup!GY4</f>
        <v>2</v>
      </c>
      <c r="DS16" s="3">
        <f>Setup!GZ4</f>
        <v>4</v>
      </c>
      <c r="DT16" s="3">
        <f>Setup!HA4</f>
        <v>5</v>
      </c>
      <c r="DU16" s="10"/>
      <c r="DV16" s="10"/>
      <c r="DW16" s="10"/>
      <c r="DX16" s="42">
        <f>mround(DX15*Setup!HJ4,'Quick Setup'!$A$2)</f>
        <v>292.5</v>
      </c>
      <c r="DY16" s="3">
        <f>Setup!HK4</f>
        <v>1</v>
      </c>
      <c r="DZ16" s="3">
        <f>Setup!HL4</f>
        <v>2</v>
      </c>
      <c r="EA16" s="3">
        <f>Setup!HM4</f>
        <v>5</v>
      </c>
      <c r="EB16" s="10"/>
      <c r="EC16" s="10"/>
      <c r="ED16" s="10"/>
      <c r="EE16" s="42">
        <f>mround(EE15*Setup!HV4,'Quick Setup'!$A$2)</f>
        <v>310</v>
      </c>
      <c r="EF16" s="3">
        <f>Setup!HW4</f>
        <v>1</v>
      </c>
      <c r="EG16" s="3">
        <f>Setup!HX4</f>
        <v>1</v>
      </c>
      <c r="EH16" s="3">
        <f>Setup!HY4</f>
        <v>5</v>
      </c>
      <c r="EI16" s="10"/>
      <c r="EJ16" s="10"/>
      <c r="EK16" s="10"/>
      <c r="EL16" s="42">
        <f>mround(EL15*Setup!IH4,'Quick Setup'!$A$2)</f>
        <v>195</v>
      </c>
      <c r="EM16" s="1">
        <v>5.0</v>
      </c>
      <c r="EN16" s="1" t="s">
        <v>78</v>
      </c>
      <c r="EO16" s="3">
        <f>Setup!IK4</f>
        <v>5</v>
      </c>
      <c r="EP16" s="10"/>
      <c r="EQ16" s="10"/>
      <c r="ER16" s="10"/>
    </row>
    <row r="17" hidden="1">
      <c r="A17" s="37" t="str">
        <f>CONCATENATE(A18," TM")</f>
        <v>Push Press TM</v>
      </c>
      <c r="B17" s="38">
        <f>if(D17="",'Quick Setup'!D16,D17/'Quick Setup'!E16)</f>
        <v>245</v>
      </c>
      <c r="C17" s="39" t="s">
        <v>75</v>
      </c>
      <c r="D17" s="40"/>
      <c r="E17" s="41"/>
      <c r="F17" s="41"/>
      <c r="G17" s="41"/>
      <c r="H17" s="41"/>
      <c r="I17" s="38">
        <f>if(K17="", if(F18&lt;&gt;"", if((F18-D18)&lt;-1,B17*(1+Setup!F14),if((F18-D18)&lt;0,B17*(1+Setup!G14),if((F18-D18)=0,B17*(1+Setup!H14),if((F18-D18)=1,B17*(1+Setup!I14),if((F18-D18)=2,B17*(1+Setup!J14),if((F18-D18)=3,B17*(1+Setup!K14),if((F18-D18)=4,B17*(1+Setup!L14),if((F18-D18)&gt;4,B17*(1+Setup!M14),B17)))))))),B17),K17/'Quick Setup'!$E16)</f>
        <v>245</v>
      </c>
      <c r="J17" s="39" t="s">
        <v>75</v>
      </c>
      <c r="K17" s="40"/>
      <c r="L17" s="41"/>
      <c r="M17" s="41"/>
      <c r="N17" s="41"/>
      <c r="O17" s="41"/>
      <c r="P17" s="38">
        <f>if(R17="", if(M18&lt;&gt;"", if((M18-K18)&lt;-1,I17*(1+Setup!R14),if((M18-K18)&lt;0,I17*(1+Setup!S14),if((M18-K18)=0,I17*(1+Setup!T14),if((M18-K18)=1,I17*(1+Setup!U14),if((M18-K18)=2,I17*(1+Setup!V14),if((M18-K18)=3,I17*(1+Setup!W14),if((M18-K18)=4,I17*(1+Setup!X14),if((M18-K18)&gt;4,I17*(1+Setup!Y14),I17)))))))),I17),R17/'Quick Setup'!$E16)</f>
        <v>245</v>
      </c>
      <c r="Q17" s="39" t="s">
        <v>75</v>
      </c>
      <c r="R17" s="40"/>
      <c r="S17" s="41"/>
      <c r="T17" s="41"/>
      <c r="U17" s="41"/>
      <c r="V17" s="41"/>
      <c r="W17" s="38">
        <f>if(Y17="", if(T18&lt;&gt;"", if((T18-R18)&lt;-1,P17*(1+Setup!AD14),if((T18-R18)&lt;0,P17*(1+Setup!AE14),if((T18-R18)=0,P17*(1+Setup!AF14),if((T18-R18)=1,P17*(1+Setup!AG14),if((T18-R18)=2,P17*(1+Setup!AH14),if((T18-R18)=3,P17*(1+Setup!AI14),if((T18-R18)=4,P17*(1+Setup!AJ14),if((T18-R18)&gt;4,P17*(1+Setup!AK14),P17)))))))),P17),Y17/'Quick Setup'!$E16)</f>
        <v>245</v>
      </c>
      <c r="X17" s="39" t="s">
        <v>75</v>
      </c>
      <c r="Y17" s="40"/>
      <c r="Z17" s="41"/>
      <c r="AA17" s="41"/>
      <c r="AB17" s="41"/>
      <c r="AC17" s="41"/>
      <c r="AD17" s="38">
        <f>if(AF17="", if(AA18&lt;&gt;"", if((AA18-Y18)&lt;-1,W17*(1+Setup!AP14),if((AA18-Y18)&lt;0,W17*(1+Setup!AQ14),if((AA18-Y18)=0,W17*(1+Setup!AR14),if((AA18-Y18)=1,W17*(1+Setup!AS14),if((AA18-Y18)=2,W17*(1+Setup!AT14),if((AA18-Y18)=3,W17*(1+Setup!AU14),if((AA18-Y18)=4,W17*(1+Setup!AV14),if((AA18-Y18)&gt;4,W17*(1+Setup!AW14),W17)))))))),W17),AF17/'Quick Setup'!$E16)</f>
        <v>245</v>
      </c>
      <c r="AE17" s="39" t="s">
        <v>75</v>
      </c>
      <c r="AF17" s="40"/>
      <c r="AG17" s="41"/>
      <c r="AH17" s="41"/>
      <c r="AI17" s="41"/>
      <c r="AJ17" s="41"/>
      <c r="AK17" s="38">
        <f>if(AM17="", if(AH18&lt;&gt;"", if((AH18-AF18)&lt;-1,AD17*(1+Setup!BB14),if((AH18-AF18)&lt;0,AD17*(1+Setup!BC14),if((AH18-AF18)=0,AD17*(1+Setup!BD14),if((AH18-AF18)=1,AD17*(1+Setup!BE14),if((AH18-AF18)=2,AD17*(1+Setup!BF14),if((AH18-AF18)=3,AD17*(1+Setup!BG14),if((AH18-AF18)=4,AD17*(1+Setup!BH14),if((AH18-AF18)&gt;4,AD17*(1+Setup!BI14),AD17)))))))),AD17),AM17/'Quick Setup'!$E16)</f>
        <v>245</v>
      </c>
      <c r="AL17" s="39" t="s">
        <v>75</v>
      </c>
      <c r="AM17" s="40"/>
      <c r="AN17" s="41"/>
      <c r="AO17" s="41"/>
      <c r="AP17" s="41"/>
      <c r="AQ17" s="41"/>
      <c r="AR17" s="38">
        <f>if(AT17="", if(AO18&lt;&gt;"", if((AO18-AM18)&lt;-1,AK17*(1+Setup!BN14),if((AO18-AM18)&lt;0,AK17*(1+Setup!BO14),if((AO18-AM18)=0,AK17*(1+Setup!BP14),if((AO18-AM18)=1,AK17*(1+Setup!BQ14),if((AO18-AM18)=2,AK17*(1+Setup!BR14),if((AO18-AM18)=3,AK17*(1+Setup!BS14),if((AO18-AM18)=4,AK17*(1+Setup!BT14),if((AO18-AM18)&gt;4,AK17*(1+Setup!BU14),AK17)))))))),AK17),AT17/'Quick Setup'!$E16)</f>
        <v>245</v>
      </c>
      <c r="AS17" s="39" t="s">
        <v>75</v>
      </c>
      <c r="AT17" s="40"/>
      <c r="AU17" s="41"/>
      <c r="AV17" s="41"/>
      <c r="AW17" s="41"/>
      <c r="AX17" s="41"/>
      <c r="AY17" s="38">
        <f>if(BA17="",AR17,BA17/'Quick Setup'!$E16)</f>
        <v>245</v>
      </c>
      <c r="AZ17" s="39" t="s">
        <v>75</v>
      </c>
      <c r="BA17" s="40"/>
      <c r="BB17" s="41"/>
      <c r="BC17" s="41"/>
      <c r="BD17" s="41"/>
      <c r="BE17" s="41"/>
      <c r="BF17" s="38">
        <f>if(BH17="", if(BC18&lt;&gt;"", if((BC18-BA18)&lt;-1,AY17*(1+Setup!CL14),if((BC18-BA18)&lt;0,AY17*(1+Setup!CM14),if((BC18-BA18)=0,AY17*(1+Setup!CN14),if((BC18-BA18)=1,AY17*(1+Setup!CO14),if((BC18-BA18)=2,AY17*(1+Setup!CP14),if((BC18-BA18)=3,AY17*(1+Setup!CQ14),if((BC18-BA18)=4,AY17*(1+Setup!CR14),if((BC18-BA18)&gt;4,AY17*(1+Setup!CS14),AY17)))))))),AY17),BH17/'Quick Setup'!$E16)</f>
        <v>245</v>
      </c>
      <c r="BG17" s="39" t="s">
        <v>75</v>
      </c>
      <c r="BH17" s="40"/>
      <c r="BI17" s="41"/>
      <c r="BJ17" s="41"/>
      <c r="BK17" s="41"/>
      <c r="BL17" s="41"/>
      <c r="BM17" s="38">
        <f>if(BO17="", if(BJ18&lt;&gt;"", if((BJ18-BH18)&lt;-1,BF17*(1+Setup!CX14),if((BJ18-BH18)&lt;0,BF17*(1+Setup!CY14),if((BJ18-BH18)=0,BF17*(1+Setup!CZ14),if((BJ18-BH18)=1,BF17*(1+Setup!DA14),if((BJ18-BH18)=2,BF17*(1+Setup!DB14),if((BJ18-BH18)=3,BF17*(1+Setup!DC14),if((BJ18-BH18)=4,BF17*(1+Setup!DD14),if((BJ18-BH18)&gt;4,BF17*(1+Setup!DE14),BF17)))))))),BF17),BO17/'Quick Setup'!$E16)</f>
        <v>245</v>
      </c>
      <c r="BN17" s="39" t="s">
        <v>75</v>
      </c>
      <c r="BO17" s="40"/>
      <c r="BP17" s="41"/>
      <c r="BQ17" s="41"/>
      <c r="BR17" s="41"/>
      <c r="BS17" s="41"/>
      <c r="BT17" s="38">
        <f>if(BV17="", if(BQ18&lt;&gt;"", if((BQ18-BO18)&lt;-1,BM17*(1+Setup!DJ14),if((BQ18-BO18)&lt;0,BM17*(1+Setup!DK14),if((BQ18-BO18)=0,BM17*(1+Setup!DL14),if((BQ18-BO18)=1,BM17*(1+Setup!DM14),if((BQ18-BO18)=2,BM17*(1+Setup!DN14),if((BQ18-BO18)=3,BM17*(1+Setup!DO14),if((BQ18-BO18)=4,BM17*(1+Setup!DP14),if((BQ18-BO18)&gt;4,BM17*(1+Setup!DQ14),BM17)))))))),BM17),BV17/'Quick Setup'!$E16)</f>
        <v>245</v>
      </c>
      <c r="BU17" s="39" t="s">
        <v>75</v>
      </c>
      <c r="BV17" s="40"/>
      <c r="BW17" s="41"/>
      <c r="BX17" s="41"/>
      <c r="BY17" s="41"/>
      <c r="BZ17" s="41"/>
      <c r="CA17" s="38">
        <f>if(CC17="", if(BX18&lt;&gt;"", if((BX18-BV18)&lt;-1,BT17*(1+Setup!DV14),if((BX18-BV18)&lt;0,BT17*(1+Setup!DW14),if((BX18-BV18)=0,BT17*(1+Setup!DX14),if((BX18-BV18)=1,BT17*(1+Setup!DY14),if((BX18-BV18)=2,BT17*(1+Setup!DZ14),if((BX18-BV18)=3,BT17*(1+Setup!EA14),if((BX18-BV18)=4,BT17*(1+Setup!EB14),if((BX18-BV18)&gt;4,BT17*(1+Setup!EC14),BT17)))))))),BT17),CC17/'Quick Setup'!$E16)</f>
        <v>245</v>
      </c>
      <c r="CB17" s="39" t="s">
        <v>75</v>
      </c>
      <c r="CC17" s="40"/>
      <c r="CD17" s="41"/>
      <c r="CE17" s="41"/>
      <c r="CF17" s="41"/>
      <c r="CG17" s="41"/>
      <c r="CH17" s="38">
        <f>if(CJ17="", if(CE18&lt;&gt;"", if((CE18-CC18)&lt;-1,CA17*(1+Setup!EH14),if((CE18-CC18)&lt;0,CA17*(1+Setup!EI14),if((CE18-CC18)=0,CA17*(1+Setup!EJ14),if((CE18-CC18)=1,CA17*(1+Setup!EK14),if((CE18-CC18)=2,CA17*(1+Setup!EL14),if((CE18-CC18)=3,CA17*(1+Setup!EM14),if((CE18-CC18)=4,CA17*(1+Setup!EN14),if((CE18-CC18)&gt;4,CA17*(1+Setup!EO14),CA17)))))))),CA17),CJ17/'Quick Setup'!$E16)</f>
        <v>245</v>
      </c>
      <c r="CI17" s="39" t="s">
        <v>75</v>
      </c>
      <c r="CJ17" s="40"/>
      <c r="CK17" s="41"/>
      <c r="CL17" s="41"/>
      <c r="CM17" s="41"/>
      <c r="CN17" s="41"/>
      <c r="CO17" s="38">
        <f>if(CQ17="", if(CL18&lt;&gt;"", if((CL18-CJ18)&lt;-1,CH17*(1+Setup!ET14),if((CL18-CJ18)&lt;0,CH17*(1+Setup!EU14),if((CL18-CJ18)=0,CH17*(1+Setup!EV14),if((CL18-CJ18)=1,CH17*(1+Setup!EW14),if((CL18-CJ18)=2,CH17*(1+Setup!EX14),if((CL18-CJ18)=3,CH17*(1+Setup!EY14),if((CL18-CJ18)=4,CH17*(1+Setup!EZ14),if((CL18-CJ18)&gt;4,CH17*(1+Setup!FA14),CH17)))))))),CH17),CQ17/'Quick Setup'!$E16)</f>
        <v>245</v>
      </c>
      <c r="CP17" s="39" t="s">
        <v>75</v>
      </c>
      <c r="CQ17" s="40"/>
      <c r="CR17" s="41"/>
      <c r="CS17" s="41"/>
      <c r="CT17" s="41"/>
      <c r="CU17" s="41"/>
      <c r="CV17" s="38">
        <f>if(CX17="",CO17,CX17/'Quick Setup'!$E16)</f>
        <v>245</v>
      </c>
      <c r="CW17" s="39" t="s">
        <v>75</v>
      </c>
      <c r="CX17" s="40"/>
      <c r="CY17" s="41"/>
      <c r="CZ17" s="41"/>
      <c r="DA17" s="41"/>
      <c r="DB17" s="41"/>
      <c r="DC17" s="38">
        <f>if(DE17="", if(CZ18&lt;&gt;"", if((CZ18-CX18)&lt;-1,CV17*(1+Setup!FR14),if((CZ18-CX18)&lt;0,CV17*(1+Setup!FS14),if((CZ18-CX18)=0,CV17*(1+Setup!FT14),if((CZ18-CX18)=1,CV17*(1+Setup!FU14),if((CZ18-CX18)=2,CV17*(1+Setup!FV14),if((CZ18-CX18)=3,CV17*(1+Setup!FW14),if((CZ18-CX18)=4,CV17*(1+Setup!FX14),if((CZ18-CX18)&gt;4,CV17*(1+Setup!FY14),CV17)))))))),CV17),DE17/'Quick Setup'!$E16)</f>
        <v>245</v>
      </c>
      <c r="DD17" s="39" t="s">
        <v>75</v>
      </c>
      <c r="DE17" s="40"/>
      <c r="DF17" s="41"/>
      <c r="DG17" s="41"/>
      <c r="DH17" s="41"/>
      <c r="DI17" s="41"/>
      <c r="DJ17" s="38">
        <f>if(DL17="", if(DG18&lt;&gt;"", if((DG18-DE18)&lt;-1,DC17*(1+Setup!GD14),if((DG18-DE18)&lt;0,DC17*(1+Setup!GE14),if((DG18-DE18)=0,DC17*(1+Setup!GF14),if((DG18-DE18)=1,DC17*(1+Setup!GG14),if((DG18-DE18)=2,DC17*(1+Setup!GH14),if((DG18-DE18)=3,DC17*(1+Setup!GI14),if((DG18-DE18)=4,DC17*(1+Setup!GJ14),if((DG18-DE18)&gt;4,DC17*(1+Setup!GK14),DC17)))))))),DC17),DL17/'Quick Setup'!$E16)</f>
        <v>245</v>
      </c>
      <c r="DK17" s="39" t="s">
        <v>75</v>
      </c>
      <c r="DL17" s="40"/>
      <c r="DM17" s="41"/>
      <c r="DN17" s="41"/>
      <c r="DO17" s="41"/>
      <c r="DP17" s="41"/>
      <c r="DQ17" s="38">
        <f>if(DS17="", if(DN18&lt;&gt;"", if((DN18-DL18)&lt;-1,DJ17*(1+Setup!GP14),if((DN18-DL18)&lt;0,DJ17*(1+Setup!GQ14),if((DN18-DL18)=0,DJ17*(1+Setup!GR14),if((DN18-DL18)=1,DJ17*(1+Setup!GS14),if((DN18-DL18)=2,DJ17*(1+Setup!GT14),if((DN18-DL18)=3,DJ17*(1+Setup!GU14),if((DN18-DL18)=4,DJ17*(1+Setup!GV14),if((DN18-DL18)&gt;4,DJ17*(1+Setup!GW14),DJ17)))))))),DJ17),DS17/'Quick Setup'!$E16)</f>
        <v>245</v>
      </c>
      <c r="DR17" s="39" t="s">
        <v>75</v>
      </c>
      <c r="DS17" s="40"/>
      <c r="DT17" s="41"/>
      <c r="DU17" s="41"/>
      <c r="DV17" s="41"/>
      <c r="DW17" s="41"/>
      <c r="DX17" s="38">
        <f>if(DZ17="", if(DU18&lt;&gt;"", if((DU18-DS18)&lt;-1,DQ17*(1+Setup!HB14),if((DU18-DS18)&lt;0,DQ17*(1+Setup!HC14),if((DU18-DS18)=0,DQ17*(1+Setup!HD14),if((DU18-DS18)=1,DQ17*(1+Setup!HE14),if((DU18-DS18)=2,DQ17*(1+Setup!HF14),if((DU18-DS18)=3,DQ17*(1+Setup!HG14),if((DU18-DS18)=4,DQ17*(1+Setup!HH14),if((DU18-DS18)&gt;4,DQ17*(1+Setup!HI14),DQ17)))))))),DQ17),DZ17/'Quick Setup'!$E16)</f>
        <v>245</v>
      </c>
      <c r="DY17" s="39" t="s">
        <v>75</v>
      </c>
      <c r="DZ17" s="40"/>
      <c r="EA17" s="41"/>
      <c r="EB17" s="41"/>
      <c r="EC17" s="41"/>
      <c r="ED17" s="41"/>
      <c r="EE17" s="38">
        <f>if(EG17="", if(EB18&lt;&gt;"", if((EB18-DZ18)&lt;-1,DX17*(1+Setup!HN14),if((EB18-DZ18)&lt;0,DX17*(1+Setup!HO14),if((EB18-DZ18)=0,DX17*(1+Setup!HP14),if((EB18-DZ18)=1,DX17*(1+Setup!HQ14),if((EB18-DZ18)=2,DX17*(1+Setup!HR14),if((EB18-DZ18)=3,DX17*(1+Setup!HS14),if((EB18-DZ18)=4,DX17*(1+Setup!HT14),if((EB18-DZ18)&gt;4,DX17*(1+Setup!HU14),DX17)))))))),DX17),EG17/'Quick Setup'!$E16)</f>
        <v>245</v>
      </c>
      <c r="EF17" s="39" t="s">
        <v>75</v>
      </c>
      <c r="EG17" s="40"/>
      <c r="EH17" s="41"/>
      <c r="EI17" s="41"/>
      <c r="EJ17" s="41"/>
      <c r="EK17" s="41"/>
      <c r="EL17" s="38">
        <f>if(EN17="", if(EI18&lt;&gt;"", if((EI18-EG18)&lt;-1,EE17*(1+Setup!HZ14),if((EI18-EG18)&lt;0,EE17*(1+Setup!IA14),if((EI18-EG18)=0,EE17*(1+Setup!IB14),if((EI18-EG18)=1,EE17*(1+Setup!IC14),if((EI18-EG18)=2,EE17*(1+Setup!ID14),if((EI18-EG18)=3,EE17*(1+Setup!IE14),if((EI18-EG18)=4,EE17*(1+Setup!IF14),if((EI18-EG18)&gt;4,EE17*(1+Setup!IG14),EE17)))))))),EE17),EN17/'Quick Setup'!$E16)</f>
        <v>245</v>
      </c>
      <c r="EM17" s="39" t="s">
        <v>75</v>
      </c>
      <c r="EN17" s="40"/>
      <c r="EO17" s="41"/>
      <c r="EP17" s="41"/>
      <c r="EQ17" s="41"/>
      <c r="ER17" s="41"/>
    </row>
    <row r="18">
      <c r="A18" s="1" t="str">
        <f>Setup!A14</f>
        <v>Push Press</v>
      </c>
      <c r="B18" s="42">
        <f>mround(B17*Setup!B14,'Quick Setup'!$A$2)</f>
        <v>147.5</v>
      </c>
      <c r="C18" s="3">
        <f>Setup!C14</f>
        <v>7</v>
      </c>
      <c r="D18" s="3">
        <f>Setup!D14</f>
        <v>14</v>
      </c>
      <c r="E18" s="3">
        <f>Setup!E14</f>
        <v>5</v>
      </c>
      <c r="F18" s="10"/>
      <c r="G18" s="10"/>
      <c r="H18" s="10"/>
      <c r="I18" s="42">
        <f>mround(I17*Setup!N14,'Quick Setup'!$A$2)</f>
        <v>160</v>
      </c>
      <c r="J18" s="3">
        <f>Setup!O14</f>
        <v>6</v>
      </c>
      <c r="K18" s="3">
        <f>Setup!P14</f>
        <v>12</v>
      </c>
      <c r="L18" s="3">
        <f>Setup!Q14</f>
        <v>5</v>
      </c>
      <c r="M18" s="10"/>
      <c r="N18" s="10"/>
      <c r="O18" s="10"/>
      <c r="P18" s="42">
        <f>mround(P17*Setup!Z14,'Quick Setup'!$A$2)</f>
        <v>172.5</v>
      </c>
      <c r="Q18" s="3">
        <f>Setup!AA14</f>
        <v>5</v>
      </c>
      <c r="R18" s="3">
        <f>Setup!AB14</f>
        <v>10</v>
      </c>
      <c r="S18" s="3">
        <f>Setup!AC14</f>
        <v>5</v>
      </c>
      <c r="T18" s="10"/>
      <c r="U18" s="10"/>
      <c r="V18" s="10"/>
      <c r="W18" s="42">
        <f>mround(W17*Setup!AL14,'Quick Setup'!$A$2)</f>
        <v>152.5</v>
      </c>
      <c r="X18" s="3">
        <f>Setup!AM14</f>
        <v>7</v>
      </c>
      <c r="Y18" s="3">
        <f>Setup!AN14</f>
        <v>13</v>
      </c>
      <c r="Z18" s="3">
        <f>Setup!AO14</f>
        <v>5</v>
      </c>
      <c r="AA18" s="10"/>
      <c r="AB18" s="10"/>
      <c r="AC18" s="10"/>
      <c r="AD18" s="42">
        <f>mround(AD17*Setup!AX14,'Quick Setup'!$A$2)</f>
        <v>165</v>
      </c>
      <c r="AE18" s="3">
        <f>Setup!AY14</f>
        <v>6</v>
      </c>
      <c r="AF18" s="3">
        <f>Setup!AZ14</f>
        <v>11</v>
      </c>
      <c r="AG18" s="3">
        <f>Setup!BA14</f>
        <v>5</v>
      </c>
      <c r="AH18" s="10"/>
      <c r="AI18" s="10"/>
      <c r="AJ18" s="10"/>
      <c r="AK18" s="42">
        <f>mround(AK17*Setup!BJ14,'Quick Setup'!$A$2)</f>
        <v>177.5</v>
      </c>
      <c r="AL18" s="3">
        <f>Setup!BK14</f>
        <v>5</v>
      </c>
      <c r="AM18" s="3">
        <f>Setup!BL14</f>
        <v>9</v>
      </c>
      <c r="AN18" s="3">
        <f>Setup!BM14</f>
        <v>5</v>
      </c>
      <c r="AO18" s="10"/>
      <c r="AP18" s="10"/>
      <c r="AQ18" s="10"/>
      <c r="AR18" s="42">
        <f>mround(AR17*Setup!BV14,'Quick Setup'!$A$2)</f>
        <v>122.5</v>
      </c>
      <c r="AS18" s="1">
        <v>5.0</v>
      </c>
      <c r="AT18" s="1" t="s">
        <v>78</v>
      </c>
      <c r="AU18" s="3">
        <f>Setup!BY14</f>
        <v>5</v>
      </c>
      <c r="AV18" s="10"/>
      <c r="AW18" s="10"/>
      <c r="AX18" s="10"/>
      <c r="AY18" s="42">
        <f>mround(AY17*Setup!CH14,'Quick Setup'!$A$2)</f>
        <v>160</v>
      </c>
      <c r="AZ18" s="3">
        <f>Setup!CI14</f>
        <v>6</v>
      </c>
      <c r="BA18" s="3">
        <f>Setup!CJ14</f>
        <v>12</v>
      </c>
      <c r="BB18" s="3">
        <f>Setup!CK14</f>
        <v>5</v>
      </c>
      <c r="BC18" s="10"/>
      <c r="BD18" s="10"/>
      <c r="BE18" s="10"/>
      <c r="BF18" s="42">
        <f>mround(BF17*Setup!CT14,'Quick Setup'!$A$2)</f>
        <v>172.5</v>
      </c>
      <c r="BG18" s="3">
        <f>Setup!CU14</f>
        <v>5</v>
      </c>
      <c r="BH18" s="3">
        <f>Setup!CV14</f>
        <v>10</v>
      </c>
      <c r="BI18" s="3">
        <f>Setup!CW14</f>
        <v>5</v>
      </c>
      <c r="BJ18" s="10"/>
      <c r="BK18" s="10"/>
      <c r="BL18" s="10"/>
      <c r="BM18" s="42">
        <f>mround(BM17*Setup!DF14,'Quick Setup'!$A$2)</f>
        <v>185</v>
      </c>
      <c r="BN18" s="3">
        <f>Setup!DG14</f>
        <v>4</v>
      </c>
      <c r="BO18" s="3">
        <f>Setup!DH14</f>
        <v>8</v>
      </c>
      <c r="BP18" s="3">
        <f>Setup!DI14</f>
        <v>5</v>
      </c>
      <c r="BQ18" s="10"/>
      <c r="BR18" s="10"/>
      <c r="BS18" s="10"/>
      <c r="BT18" s="42">
        <f>mround(BT17*Setup!DR14,'Quick Setup'!$A$2)</f>
        <v>165</v>
      </c>
      <c r="BU18" s="3">
        <f>Setup!DS14</f>
        <v>6</v>
      </c>
      <c r="BV18" s="3">
        <f>Setup!DT14</f>
        <v>11</v>
      </c>
      <c r="BW18" s="3">
        <f>Setup!DU14</f>
        <v>5</v>
      </c>
      <c r="BX18" s="10"/>
      <c r="BY18" s="10"/>
      <c r="BZ18" s="10"/>
      <c r="CA18" s="42">
        <f>mround(CA17*Setup!ED14,'Quick Setup'!$A$2)</f>
        <v>177.5</v>
      </c>
      <c r="CB18" s="3">
        <f>Setup!EE14</f>
        <v>5</v>
      </c>
      <c r="CC18" s="3">
        <f>Setup!EF14</f>
        <v>9</v>
      </c>
      <c r="CD18" s="3">
        <f>Setup!EG14</f>
        <v>5</v>
      </c>
      <c r="CE18" s="10"/>
      <c r="CF18" s="10"/>
      <c r="CG18" s="10"/>
      <c r="CH18" s="42">
        <f>mround(CH17*Setup!EP14,'Quick Setup'!$A$2)</f>
        <v>190</v>
      </c>
      <c r="CI18" s="3">
        <f>Setup!EQ14</f>
        <v>4</v>
      </c>
      <c r="CJ18" s="3">
        <f>Setup!ER14</f>
        <v>7</v>
      </c>
      <c r="CK18" s="3">
        <f>Setup!ES14</f>
        <v>5</v>
      </c>
      <c r="CL18" s="10"/>
      <c r="CM18" s="10"/>
      <c r="CN18" s="10"/>
      <c r="CO18" s="42">
        <f>mround(CO17*Setup!FB14,'Quick Setup'!$A$2)</f>
        <v>122.5</v>
      </c>
      <c r="CP18" s="1">
        <v>5.0</v>
      </c>
      <c r="CQ18" s="1" t="s">
        <v>78</v>
      </c>
      <c r="CR18" s="3">
        <f>Setup!FE14</f>
        <v>5</v>
      </c>
      <c r="CS18" s="10"/>
      <c r="CT18" s="10"/>
      <c r="CU18" s="10"/>
      <c r="CV18" s="42">
        <f>mround(CV17*Setup!FN14,'Quick Setup'!$A$2)</f>
        <v>172.5</v>
      </c>
      <c r="CW18" s="3">
        <f>Setup!FO14</f>
        <v>5</v>
      </c>
      <c r="CX18" s="3">
        <f>Setup!FP14</f>
        <v>10</v>
      </c>
      <c r="CY18" s="3">
        <f>Setup!FQ14</f>
        <v>5</v>
      </c>
      <c r="CZ18" s="10"/>
      <c r="DA18" s="10"/>
      <c r="DB18" s="10"/>
      <c r="DC18" s="42">
        <f>mround(DC17*Setup!FZ14,'Quick Setup'!$A$2)</f>
        <v>185</v>
      </c>
      <c r="DD18" s="3">
        <f>Setup!GA14</f>
        <v>4</v>
      </c>
      <c r="DE18" s="3">
        <f>Setup!GB14</f>
        <v>8</v>
      </c>
      <c r="DF18" s="3">
        <f>Setup!GC14</f>
        <v>5</v>
      </c>
      <c r="DG18" s="10"/>
      <c r="DH18" s="10"/>
      <c r="DI18" s="10"/>
      <c r="DJ18" s="42">
        <f>mround(DJ17*Setup!GL14,'Quick Setup'!$A$2)</f>
        <v>195</v>
      </c>
      <c r="DK18" s="3">
        <f>Setup!GM14</f>
        <v>3</v>
      </c>
      <c r="DL18" s="3">
        <f>Setup!GN14</f>
        <v>6</v>
      </c>
      <c r="DM18" s="3">
        <f>Setup!GO14</f>
        <v>5</v>
      </c>
      <c r="DN18" s="10"/>
      <c r="DO18" s="10"/>
      <c r="DP18" s="10"/>
      <c r="DQ18" s="42">
        <f>mround(DQ17*Setup!GX14,'Quick Setup'!$A$2)</f>
        <v>185</v>
      </c>
      <c r="DR18" s="3">
        <f>Setup!GY14</f>
        <v>4</v>
      </c>
      <c r="DS18" s="3">
        <f>Setup!GZ14</f>
        <v>8</v>
      </c>
      <c r="DT18" s="3">
        <f>Setup!HA14</f>
        <v>5</v>
      </c>
      <c r="DU18" s="10"/>
      <c r="DV18" s="10"/>
      <c r="DW18" s="10"/>
      <c r="DX18" s="42">
        <f>mround(DX17*Setup!HJ14,'Quick Setup'!$A$2)</f>
        <v>195</v>
      </c>
      <c r="DY18" s="3">
        <f>Setup!HK14</f>
        <v>3</v>
      </c>
      <c r="DZ18" s="3">
        <f>Setup!HL14</f>
        <v>6</v>
      </c>
      <c r="EA18" s="3">
        <f>Setup!HM14</f>
        <v>5</v>
      </c>
      <c r="EB18" s="10"/>
      <c r="EC18" s="10"/>
      <c r="ED18" s="10"/>
      <c r="EE18" s="42">
        <f>mround(EE17*Setup!HV14,'Quick Setup'!$A$2)</f>
        <v>207.5</v>
      </c>
      <c r="EF18" s="3">
        <f>Setup!HW14</f>
        <v>2</v>
      </c>
      <c r="EG18" s="3">
        <f>Setup!HX14</f>
        <v>4</v>
      </c>
      <c r="EH18" s="3">
        <f>Setup!HY14</f>
        <v>5</v>
      </c>
      <c r="EI18" s="10"/>
      <c r="EJ18" s="10"/>
      <c r="EK18" s="10"/>
      <c r="EL18" s="42">
        <f>mround(EL17*Setup!IH14,'Quick Setup'!$A$2)</f>
        <v>122.5</v>
      </c>
      <c r="EM18" s="1">
        <v>5.0</v>
      </c>
      <c r="EN18" s="1" t="s">
        <v>78</v>
      </c>
      <c r="EO18" s="3">
        <f>Setup!IK14</f>
        <v>5</v>
      </c>
      <c r="EP18" s="10"/>
      <c r="EQ18" s="10"/>
      <c r="ER18" s="10"/>
    </row>
    <row r="19" hidden="1">
      <c r="A19" s="37" t="str">
        <f>CONCATENATE(A20," TM")</f>
        <v>Incline Press TM</v>
      </c>
      <c r="B19" s="38">
        <f>if(D19="",'Quick Setup'!D14,D19/'Quick Setup'!E14)</f>
        <v>280</v>
      </c>
      <c r="C19" s="39" t="s">
        <v>75</v>
      </c>
      <c r="D19" s="40"/>
      <c r="E19" s="41"/>
      <c r="F19" s="41"/>
      <c r="G19" s="41"/>
      <c r="H19" s="41"/>
      <c r="I19" s="38">
        <f>if(K19="", if(F20&lt;&gt;"", if((F20-D20)&lt;-1,B19*(1+Setup!F12),if((F20-D20)&lt;0,B19*(1+Setup!G12),if((F20-D20)=0,B19*(1+Setup!H12),if((F20-D20)=1,B19*(1+Setup!I12),if((F20-D20)=2,B19*(1+Setup!J12),if((F20-D20)=3,B19*(1+Setup!K12),if((F20-D20)=4,B19*(1+Setup!L12),if((F20-D20)&gt;4,B19*(1+Setup!M12),B19)))))))),B19),K19/'Quick Setup'!$E14)</f>
        <v>280</v>
      </c>
      <c r="J19" s="39" t="s">
        <v>75</v>
      </c>
      <c r="K19" s="40"/>
      <c r="L19" s="41"/>
      <c r="M19" s="41"/>
      <c r="N19" s="41"/>
      <c r="O19" s="41"/>
      <c r="P19" s="38">
        <f>if(R19="", if(M20&lt;&gt;"", if((M20-K20)&lt;-1,I19*(1+Setup!R12),if((M20-K20)&lt;0,I19*(1+Setup!S12),if((M20-K20)=0,I19*(1+Setup!T12),if((M20-K20)=1,I19*(1+Setup!U12),if((M20-K20)=2,I19*(1+Setup!V12),if((M20-K20)=3,I19*(1+Setup!W12),if((M20-K20)=4,I19*(1+Setup!X12),if((M20-K20)&gt;4,I19*(1+Setup!Y12),I19)))))))),I19),R19/'Quick Setup'!$E14)</f>
        <v>280</v>
      </c>
      <c r="Q19" s="39" t="s">
        <v>75</v>
      </c>
      <c r="R19" s="40"/>
      <c r="S19" s="41"/>
      <c r="T19" s="41"/>
      <c r="U19" s="41"/>
      <c r="V19" s="41"/>
      <c r="W19" s="38">
        <f>if(Y19="", if(T20&lt;&gt;"", if((T20-R20)&lt;-1,P19*(1+Setup!AD12),if((T20-R20)&lt;0,P19*(1+Setup!AE12),if((T20-R20)=0,P19*(1+Setup!AF12),if((T20-R20)=1,P19*(1+Setup!AG12),if((T20-R20)=2,P19*(1+Setup!AH12),if((T20-R20)=3,P19*(1+Setup!AI12),if((T20-R20)=4,P19*(1+Setup!AJ12),if((T20-R20)&gt;4,P19*(1+Setup!AK12),P19)))))))),P19),Y19/'Quick Setup'!$E14)</f>
        <v>280</v>
      </c>
      <c r="X19" s="39" t="s">
        <v>75</v>
      </c>
      <c r="Y19" s="40"/>
      <c r="Z19" s="41"/>
      <c r="AA19" s="41"/>
      <c r="AB19" s="41"/>
      <c r="AC19" s="41"/>
      <c r="AD19" s="38">
        <f>if(AF19="", if(AA20&lt;&gt;"", if((AA20-Y20)&lt;-1,W19*(1+Setup!AP12),if((AA20-Y20)&lt;0,W19*(1+Setup!AQ12),if((AA20-Y20)=0,W19*(1+Setup!AR12),if((AA20-Y20)=1,W19*(1+Setup!AS12),if((AA20-Y20)=2,W19*(1+Setup!AT12),if((AA20-Y20)=3,W19*(1+Setup!AU12),if((AA20-Y20)=4,W19*(1+Setup!AV12),if((AA20-Y20)&gt;4,W19*(1+Setup!AW12),W19)))))))),W19),AF19/'Quick Setup'!$E14)</f>
        <v>280</v>
      </c>
      <c r="AE19" s="39" t="s">
        <v>75</v>
      </c>
      <c r="AF19" s="40"/>
      <c r="AG19" s="41"/>
      <c r="AH19" s="41"/>
      <c r="AI19" s="41"/>
      <c r="AJ19" s="41"/>
      <c r="AK19" s="38">
        <f>if(AM19="", if(AH20&lt;&gt;"", if((AH20-AF20)&lt;-1,AD19*(1+Setup!BB12),if((AH20-AF20)&lt;0,AD19*(1+Setup!BC12),if((AH20-AF20)=0,AD19*(1+Setup!BD12),if((AH20-AF20)=1,AD19*(1+Setup!BE12),if((AH20-AF20)=2,AD19*(1+Setup!BF12),if((AH20-AF20)=3,AD19*(1+Setup!BG12),if((AH20-AF20)=4,AD19*(1+Setup!BH12),if((AH20-AF20)&gt;4,AD19*(1+Setup!BI12),AD19)))))))),AD19),AM19/'Quick Setup'!$E14)</f>
        <v>280</v>
      </c>
      <c r="AL19" s="39" t="s">
        <v>75</v>
      </c>
      <c r="AM19" s="40"/>
      <c r="AN19" s="41"/>
      <c r="AO19" s="41"/>
      <c r="AP19" s="41"/>
      <c r="AQ19" s="41"/>
      <c r="AR19" s="38">
        <f>if(AT19="", if(AO20&lt;&gt;"", if((AO20-AM20)&lt;-1,AK19*(1+Setup!BN12),if((AO20-AM20)&lt;0,AK19*(1+Setup!BO12),if((AO20-AM20)=0,AK19*(1+Setup!BP12),if((AO20-AM20)=1,AK19*(1+Setup!BQ12),if((AO20-AM20)=2,AK19*(1+Setup!BR12),if((AO20-AM20)=3,AK19*(1+Setup!BS12),if((AO20-AM20)=4,AK19*(1+Setup!BT12),if((AO20-AM20)&gt;4,AK19*(1+Setup!BU12),AK19)))))))),AK19),AT19/'Quick Setup'!$E14)</f>
        <v>280</v>
      </c>
      <c r="AS19" s="39" t="s">
        <v>75</v>
      </c>
      <c r="AT19" s="40"/>
      <c r="AU19" s="41"/>
      <c r="AV19" s="41"/>
      <c r="AW19" s="41"/>
      <c r="AX19" s="41"/>
      <c r="AY19" s="38">
        <f>if(BA19="",AR19,BA19/'Quick Setup'!$E14)</f>
        <v>280</v>
      </c>
      <c r="AZ19" s="39" t="s">
        <v>75</v>
      </c>
      <c r="BA19" s="40"/>
      <c r="BB19" s="41"/>
      <c r="BC19" s="41"/>
      <c r="BD19" s="41"/>
      <c r="BE19" s="41"/>
      <c r="BF19" s="38">
        <f>if(BH19="", if(BC20&lt;&gt;"", if((BC20-BA20)&lt;-1,AY19*(1+Setup!CL12),if((BC20-BA20)&lt;0,AY19*(1+Setup!CM12),if((BC20-BA20)=0,AY19*(1+Setup!CN12),if((BC20-BA20)=1,AY19*(1+Setup!CO12),if((BC20-BA20)=2,AY19*(1+Setup!CP12),if((BC20-BA20)=3,AY19*(1+Setup!CQ12),if((BC20-BA20)=4,AY19*(1+Setup!CR12),if((BC20-BA20)&gt;4,AY19*(1+Setup!CS12),AY19)))))))),AY19),BH19/'Quick Setup'!$E14)</f>
        <v>280</v>
      </c>
      <c r="BG19" s="39" t="s">
        <v>75</v>
      </c>
      <c r="BH19" s="40"/>
      <c r="BI19" s="41"/>
      <c r="BJ19" s="41"/>
      <c r="BK19" s="41"/>
      <c r="BL19" s="41"/>
      <c r="BM19" s="38">
        <f>if(BO19="", if(BJ20&lt;&gt;"", if((BJ20-BH20)&lt;-1,BF19*(1+Setup!CX12),if((BJ20-BH20)&lt;0,BF19*(1+Setup!CY12),if((BJ20-BH20)=0,BF19*(1+Setup!CZ12),if((BJ20-BH20)=1,BF19*(1+Setup!DA12),if((BJ20-BH20)=2,BF19*(1+Setup!DB12),if((BJ20-BH20)=3,BF19*(1+Setup!DC12),if((BJ20-BH20)=4,BF19*(1+Setup!DD12),if((BJ20-BH20)&gt;4,BF19*(1+Setup!DE12),BF19)))))))),BF19),BO19/'Quick Setup'!$E14)</f>
        <v>280</v>
      </c>
      <c r="BN19" s="39" t="s">
        <v>75</v>
      </c>
      <c r="BO19" s="40"/>
      <c r="BP19" s="41"/>
      <c r="BQ19" s="41"/>
      <c r="BR19" s="41"/>
      <c r="BS19" s="41"/>
      <c r="BT19" s="38">
        <f>if(BV19="", if(BQ20&lt;&gt;"", if((BQ20-BO20)&lt;-1,BM19*(1+Setup!DJ12),if((BQ20-BO20)&lt;0,BM19*(1+Setup!DK12),if((BQ20-BO20)=0,BM19*(1+Setup!DL12),if((BQ20-BO20)=1,BM19*(1+Setup!DM12),if((BQ20-BO20)=2,BM19*(1+Setup!DN12),if((BQ20-BO20)=3,BM19*(1+Setup!DO12),if((BQ20-BO20)=4,BM19*(1+Setup!DP12),if((BQ20-BO20)&gt;4,BM19*(1+Setup!DQ12),BM19)))))))),BM19),BV19/'Quick Setup'!$E14)</f>
        <v>280</v>
      </c>
      <c r="BU19" s="39" t="s">
        <v>75</v>
      </c>
      <c r="BV19" s="40"/>
      <c r="BW19" s="41"/>
      <c r="BX19" s="41"/>
      <c r="BY19" s="41"/>
      <c r="BZ19" s="41"/>
      <c r="CA19" s="38">
        <f>if(CC19="", if(BX20&lt;&gt;"", if((BX20-BV20)&lt;-1,BT19*(1+Setup!DV12),if((BX20-BV20)&lt;0,BT19*(1+Setup!DW12),if((BX20-BV20)=0,BT19*(1+Setup!DX12),if((BX20-BV20)=1,BT19*(1+Setup!DY12),if((BX20-BV20)=2,BT19*(1+Setup!DZ12),if((BX20-BV20)=3,BT19*(1+Setup!EA12),if((BX20-BV20)=4,BT19*(1+Setup!EB12),if((BX20-BV20)&gt;4,BT19*(1+Setup!EC12),BT19)))))))),BT19),CC19/'Quick Setup'!$E14)</f>
        <v>280</v>
      </c>
      <c r="CB19" s="39" t="s">
        <v>75</v>
      </c>
      <c r="CC19" s="40"/>
      <c r="CD19" s="41"/>
      <c r="CE19" s="41"/>
      <c r="CF19" s="41"/>
      <c r="CG19" s="41"/>
      <c r="CH19" s="38">
        <f>if(CJ19="", if(CE20&lt;&gt;"", if((CE20-CC20)&lt;-1,CA19*(1+Setup!EH12),if((CE20-CC20)&lt;0,CA19*(1+Setup!EI12),if((CE20-CC20)=0,CA19*(1+Setup!EJ12),if((CE20-CC20)=1,CA19*(1+Setup!EK12),if((CE20-CC20)=2,CA19*(1+Setup!EL12),if((CE20-CC20)=3,CA19*(1+Setup!EM12),if((CE20-CC20)=4,CA19*(1+Setup!EN12),if((CE20-CC20)&gt;4,CA19*(1+Setup!EO12),CA19)))))))),CA19),CJ19/'Quick Setup'!$E14)</f>
        <v>280</v>
      </c>
      <c r="CI19" s="39" t="s">
        <v>75</v>
      </c>
      <c r="CJ19" s="40"/>
      <c r="CK19" s="41"/>
      <c r="CL19" s="41"/>
      <c r="CM19" s="41"/>
      <c r="CN19" s="41"/>
      <c r="CO19" s="38">
        <f>if(CQ19="", if(CL20&lt;&gt;"", if((CL20-CJ20)&lt;-1,CH19*(1+Setup!ET12),if((CL20-CJ20)&lt;0,CH19*(1+Setup!EU12),if((CL20-CJ20)=0,CH19*(1+Setup!EV12),if((CL20-CJ20)=1,CH19*(1+Setup!EW12),if((CL20-CJ20)=2,CH19*(1+Setup!EX12),if((CL20-CJ20)=3,CH19*(1+Setup!EY12),if((CL20-CJ20)=4,CH19*(1+Setup!EZ12),if((CL20-CJ20)&gt;4,CH19*(1+Setup!FA12),CH19)))))))),CH19),CQ19/'Quick Setup'!$E14)</f>
        <v>280</v>
      </c>
      <c r="CP19" s="39" t="s">
        <v>75</v>
      </c>
      <c r="CQ19" s="40"/>
      <c r="CR19" s="41"/>
      <c r="CS19" s="41"/>
      <c r="CT19" s="41"/>
      <c r="CU19" s="41"/>
      <c r="CV19" s="38">
        <f>if(CX19="",CO19,CX19/'Quick Setup'!$E14)</f>
        <v>280</v>
      </c>
      <c r="CW19" s="39" t="s">
        <v>75</v>
      </c>
      <c r="CX19" s="40"/>
      <c r="CY19" s="41"/>
      <c r="CZ19" s="41"/>
      <c r="DA19" s="41"/>
      <c r="DB19" s="41"/>
      <c r="DC19" s="38">
        <f>if(DE19="", if(CZ20&lt;&gt;"", if((CZ20-CX20)&lt;-1,CV19*(1+Setup!FR12),if((CZ20-CX20)&lt;0,CV19*(1+Setup!FS12),if((CZ20-CX20)=0,CV19*(1+Setup!FT12),if((CZ20-CX20)=1,CV19*(1+Setup!FU12),if((CZ20-CX20)=2,CV19*(1+Setup!FV12),if((CZ20-CX20)=3,CV19*(1+Setup!FW12),if((CZ20-CX20)=4,CV19*(1+Setup!FX12),if((CZ20-CX20)&gt;4,CV19*(1+Setup!FY12),CV19)))))))),CV19),DE19/'Quick Setup'!$E14)</f>
        <v>280</v>
      </c>
      <c r="DD19" s="39" t="s">
        <v>75</v>
      </c>
      <c r="DE19" s="40"/>
      <c r="DF19" s="41"/>
      <c r="DG19" s="41"/>
      <c r="DH19" s="41"/>
      <c r="DI19" s="41"/>
      <c r="DJ19" s="38">
        <f>if(DL19="", if(DG20&lt;&gt;"", if((DG20-DE20)&lt;-1,DC19*(1+Setup!GD12),if((DG20-DE20)&lt;0,DC19*(1+Setup!GE12),if((DG20-DE20)=0,DC19*(1+Setup!GF12),if((DG20-DE20)=1,DC19*(1+Setup!GG12),if((DG20-DE20)=2,DC19*(1+Setup!GH12),if((DG20-DE20)=3,DC19*(1+Setup!GI12),if((DG20-DE20)=4,DC19*(1+Setup!GJ12),if((DG20-DE20)&gt;4,DC19*(1+Setup!GK12),DC19)))))))),DC19),DL19/'Quick Setup'!$E14)</f>
        <v>280</v>
      </c>
      <c r="DK19" s="39" t="s">
        <v>75</v>
      </c>
      <c r="DL19" s="40"/>
      <c r="DM19" s="41"/>
      <c r="DN19" s="41"/>
      <c r="DO19" s="41"/>
      <c r="DP19" s="41"/>
      <c r="DQ19" s="38">
        <f>if(DS19="", if(DN20&lt;&gt;"", if((DN20-DL20)&lt;-1,DJ19*(1+Setup!GP12),if((DN20-DL20)&lt;0,DJ19*(1+Setup!GQ12),if((DN20-DL20)=0,DJ19*(1+Setup!GR12),if((DN20-DL20)=1,DJ19*(1+Setup!GS12),if((DN20-DL20)=2,DJ19*(1+Setup!GT12),if((DN20-DL20)=3,DJ19*(1+Setup!GU12),if((DN20-DL20)=4,DJ19*(1+Setup!GV12),if((DN20-DL20)&gt;4,DJ19*(1+Setup!GW12),DJ19)))))))),DJ19),DS19/'Quick Setup'!$E14)</f>
        <v>280</v>
      </c>
      <c r="DR19" s="39" t="s">
        <v>75</v>
      </c>
      <c r="DS19" s="40"/>
      <c r="DT19" s="41"/>
      <c r="DU19" s="41"/>
      <c r="DV19" s="41"/>
      <c r="DW19" s="41"/>
      <c r="DX19" s="38">
        <f>if(DZ19="", if(DU20&lt;&gt;"", if((DU20-DS20)&lt;-1,DQ19*(1+Setup!HB12),if((DU20-DS20)&lt;0,DQ19*(1+Setup!HC12),if((DU20-DS20)=0,DQ19*(1+Setup!HD12),if((DU20-DS20)=1,DQ19*(1+Setup!HE12),if((DU20-DS20)=2,DQ19*(1+Setup!HF12),if((DU20-DS20)=3,DQ19*(1+Setup!HG12),if((DU20-DS20)=4,DQ19*(1+Setup!HH12),if((DU20-DS20)&gt;4,DQ19*(1+Setup!HI12),DQ19)))))))),DQ19),DZ19/'Quick Setup'!$E14)</f>
        <v>280</v>
      </c>
      <c r="DY19" s="39" t="s">
        <v>75</v>
      </c>
      <c r="DZ19" s="40"/>
      <c r="EA19" s="41"/>
      <c r="EB19" s="41"/>
      <c r="EC19" s="41"/>
      <c r="ED19" s="41"/>
      <c r="EE19" s="38">
        <f>if(EG19="", if(EB20&lt;&gt;"", if((EB20-DZ20)&lt;-1,DX19*(1+Setup!HN12),if((EB20-DZ20)&lt;0,DX19*(1+Setup!HO12),if((EB20-DZ20)=0,DX19*(1+Setup!HP12),if((EB20-DZ20)=1,DX19*(1+Setup!HQ12),if((EB20-DZ20)=2,DX19*(1+Setup!HR12),if((EB20-DZ20)=3,DX19*(1+Setup!HS12),if((EB20-DZ20)=4,DX19*(1+Setup!HT12),if((EB20-DZ20)&gt;4,DX19*(1+Setup!HU12),DX19)))))))),DX19),EG19/'Quick Setup'!$E14)</f>
        <v>280</v>
      </c>
      <c r="EF19" s="39" t="s">
        <v>75</v>
      </c>
      <c r="EG19" s="40"/>
      <c r="EH19" s="41"/>
      <c r="EI19" s="41"/>
      <c r="EJ19" s="41"/>
      <c r="EK19" s="41"/>
      <c r="EL19" s="38">
        <f>if(EN19="", if(EI20&lt;&gt;"", if((EI20-EG20)&lt;-1,EE19*(1+Setup!HZ12),if((EI20-EG20)&lt;0,EE19*(1+Setup!IA12),if((EI20-EG20)=0,EE19*(1+Setup!IB12),if((EI20-EG20)=1,EE19*(1+Setup!IC12),if((EI20-EG20)=2,EE19*(1+Setup!ID12),if((EI20-EG20)=3,EE19*(1+Setup!IE12),if((EI20-EG20)=4,EE19*(1+Setup!IF12),if((EI20-EG20)&gt;4,EE19*(1+Setup!IG12),EE19)))))))),EE19),EN19/'Quick Setup'!$E14)</f>
        <v>280</v>
      </c>
      <c r="EM19" s="39" t="s">
        <v>75</v>
      </c>
      <c r="EN19" s="40"/>
      <c r="EO19" s="41"/>
      <c r="EP19" s="41"/>
      <c r="EQ19" s="41"/>
      <c r="ER19" s="41"/>
    </row>
    <row r="20">
      <c r="A20" s="1" t="str">
        <f>Setup!A12</f>
        <v>Incline Press</v>
      </c>
      <c r="B20" s="42">
        <f>mround(B19*Setup!B12,'Quick Setup'!$A$2)</f>
        <v>167.5</v>
      </c>
      <c r="C20" s="3">
        <f>Setup!C12</f>
        <v>7</v>
      </c>
      <c r="D20" s="3">
        <f>Setup!D12</f>
        <v>14</v>
      </c>
      <c r="E20" s="3">
        <f>Setup!E12</f>
        <v>5</v>
      </c>
      <c r="F20" s="10"/>
      <c r="G20" s="10"/>
      <c r="H20" s="10"/>
      <c r="I20" s="42">
        <f>mround(I19*Setup!N12,'Quick Setup'!$A$2)</f>
        <v>182.5</v>
      </c>
      <c r="J20" s="3">
        <f>Setup!O12</f>
        <v>6</v>
      </c>
      <c r="K20" s="3">
        <f>Setup!P12</f>
        <v>12</v>
      </c>
      <c r="L20" s="3">
        <f>Setup!Q12</f>
        <v>5</v>
      </c>
      <c r="M20" s="10"/>
      <c r="N20" s="10"/>
      <c r="O20" s="10"/>
      <c r="P20" s="42">
        <f>mround(P19*Setup!Z12,'Quick Setup'!$A$2)</f>
        <v>195</v>
      </c>
      <c r="Q20" s="3">
        <f>Setup!AA12</f>
        <v>5</v>
      </c>
      <c r="R20" s="3">
        <f>Setup!AB12</f>
        <v>10</v>
      </c>
      <c r="S20" s="3">
        <f>Setup!AC12</f>
        <v>5</v>
      </c>
      <c r="T20" s="10"/>
      <c r="U20" s="10"/>
      <c r="V20" s="10"/>
      <c r="W20" s="42">
        <f>mround(W19*Setup!AL12,'Quick Setup'!$A$2)</f>
        <v>175</v>
      </c>
      <c r="X20" s="3">
        <f>Setup!AM12</f>
        <v>7</v>
      </c>
      <c r="Y20" s="3">
        <f>Setup!AN12</f>
        <v>13</v>
      </c>
      <c r="Z20" s="3">
        <f>Setup!AO12</f>
        <v>5</v>
      </c>
      <c r="AA20" s="10"/>
      <c r="AB20" s="10"/>
      <c r="AC20" s="10"/>
      <c r="AD20" s="42">
        <f>mround(AD19*Setup!AX12,'Quick Setup'!$A$2)</f>
        <v>190</v>
      </c>
      <c r="AE20" s="3">
        <f>Setup!AY12</f>
        <v>6</v>
      </c>
      <c r="AF20" s="3">
        <f>Setup!AZ12</f>
        <v>11</v>
      </c>
      <c r="AG20" s="3">
        <f>Setup!BA12</f>
        <v>5</v>
      </c>
      <c r="AH20" s="10"/>
      <c r="AI20" s="10"/>
      <c r="AJ20" s="10"/>
      <c r="AK20" s="42">
        <f>mround(AK19*Setup!BJ12,'Quick Setup'!$A$2)</f>
        <v>202.5</v>
      </c>
      <c r="AL20" s="3">
        <f>Setup!BK12</f>
        <v>5</v>
      </c>
      <c r="AM20" s="3">
        <f>Setup!BL12</f>
        <v>9</v>
      </c>
      <c r="AN20" s="3">
        <f>Setup!BM12</f>
        <v>5</v>
      </c>
      <c r="AO20" s="10"/>
      <c r="AP20" s="10"/>
      <c r="AQ20" s="10"/>
      <c r="AR20" s="42">
        <f>mround(AR19*Setup!BV12,'Quick Setup'!$A$2)</f>
        <v>140</v>
      </c>
      <c r="AS20" s="1">
        <v>5.0</v>
      </c>
      <c r="AT20" s="1" t="s">
        <v>78</v>
      </c>
      <c r="AU20" s="3">
        <f>Setup!BY12</f>
        <v>5</v>
      </c>
      <c r="AV20" s="10"/>
      <c r="AW20" s="10"/>
      <c r="AX20" s="10"/>
      <c r="AY20" s="42">
        <f>mround(AY19*Setup!CH12,'Quick Setup'!$A$2)</f>
        <v>182.5</v>
      </c>
      <c r="AZ20" s="3">
        <f>Setup!CI12</f>
        <v>6</v>
      </c>
      <c r="BA20" s="3">
        <f>Setup!CJ12</f>
        <v>12</v>
      </c>
      <c r="BB20" s="3">
        <f>Setup!CK12</f>
        <v>5</v>
      </c>
      <c r="BC20" s="10"/>
      <c r="BD20" s="10"/>
      <c r="BE20" s="10"/>
      <c r="BF20" s="42">
        <f>mround(BF19*Setup!CT12,'Quick Setup'!$A$2)</f>
        <v>195</v>
      </c>
      <c r="BG20" s="3">
        <f>Setup!CU12</f>
        <v>5</v>
      </c>
      <c r="BH20" s="3">
        <f>Setup!CV12</f>
        <v>10</v>
      </c>
      <c r="BI20" s="3">
        <f>Setup!CW12</f>
        <v>5</v>
      </c>
      <c r="BJ20" s="10"/>
      <c r="BK20" s="10"/>
      <c r="BL20" s="10"/>
      <c r="BM20" s="42">
        <f>mround(BM19*Setup!DF12,'Quick Setup'!$A$2)</f>
        <v>210</v>
      </c>
      <c r="BN20" s="3">
        <f>Setup!DG12</f>
        <v>4</v>
      </c>
      <c r="BO20" s="3">
        <f>Setup!DH12</f>
        <v>8</v>
      </c>
      <c r="BP20" s="3">
        <f>Setup!DI12</f>
        <v>5</v>
      </c>
      <c r="BQ20" s="10"/>
      <c r="BR20" s="10"/>
      <c r="BS20" s="10"/>
      <c r="BT20" s="42">
        <f>mround(BT19*Setup!DR12,'Quick Setup'!$A$2)</f>
        <v>190</v>
      </c>
      <c r="BU20" s="3">
        <f>Setup!DS12</f>
        <v>6</v>
      </c>
      <c r="BV20" s="3">
        <f>Setup!DT12</f>
        <v>11</v>
      </c>
      <c r="BW20" s="3">
        <f>Setup!DU12</f>
        <v>5</v>
      </c>
      <c r="BX20" s="10"/>
      <c r="BY20" s="10"/>
      <c r="BZ20" s="10"/>
      <c r="CA20" s="42">
        <f>mround(CA19*Setup!ED12,'Quick Setup'!$A$2)</f>
        <v>202.5</v>
      </c>
      <c r="CB20" s="3">
        <f>Setup!EE12</f>
        <v>5</v>
      </c>
      <c r="CC20" s="3">
        <f>Setup!EF12</f>
        <v>9</v>
      </c>
      <c r="CD20" s="3">
        <f>Setup!EG12</f>
        <v>5</v>
      </c>
      <c r="CE20" s="10"/>
      <c r="CF20" s="10"/>
      <c r="CG20" s="10"/>
      <c r="CH20" s="42">
        <f>mround(CH19*Setup!EP12,'Quick Setup'!$A$2)</f>
        <v>217.5</v>
      </c>
      <c r="CI20" s="3">
        <f>Setup!EQ12</f>
        <v>4</v>
      </c>
      <c r="CJ20" s="3">
        <f>Setup!ER12</f>
        <v>7</v>
      </c>
      <c r="CK20" s="3">
        <f>Setup!ES12</f>
        <v>5</v>
      </c>
      <c r="CL20" s="10"/>
      <c r="CM20" s="10"/>
      <c r="CN20" s="10"/>
      <c r="CO20" s="42">
        <f>mround(CO19*Setup!FB12,'Quick Setup'!$A$2)</f>
        <v>140</v>
      </c>
      <c r="CP20" s="1">
        <v>5.0</v>
      </c>
      <c r="CQ20" s="1" t="s">
        <v>78</v>
      </c>
      <c r="CR20" s="3">
        <f>Setup!FE12</f>
        <v>5</v>
      </c>
      <c r="CS20" s="10"/>
      <c r="CT20" s="10"/>
      <c r="CU20" s="10"/>
      <c r="CV20" s="42">
        <f>mround(CV19*Setup!FN12,'Quick Setup'!$A$2)</f>
        <v>195</v>
      </c>
      <c r="CW20" s="3">
        <f>Setup!FO12</f>
        <v>5</v>
      </c>
      <c r="CX20" s="3">
        <f>Setup!FP12</f>
        <v>10</v>
      </c>
      <c r="CY20" s="3">
        <f>Setup!FQ12</f>
        <v>5</v>
      </c>
      <c r="CZ20" s="10"/>
      <c r="DA20" s="10"/>
      <c r="DB20" s="10"/>
      <c r="DC20" s="42">
        <f>mround(DC19*Setup!FZ12,'Quick Setup'!$A$2)</f>
        <v>210</v>
      </c>
      <c r="DD20" s="3">
        <f>Setup!GA12</f>
        <v>4</v>
      </c>
      <c r="DE20" s="3">
        <f>Setup!GB12</f>
        <v>8</v>
      </c>
      <c r="DF20" s="3">
        <f>Setup!GC12</f>
        <v>5</v>
      </c>
      <c r="DG20" s="10"/>
      <c r="DH20" s="10"/>
      <c r="DI20" s="10"/>
      <c r="DJ20" s="42">
        <f>mround(DJ19*Setup!GL12,'Quick Setup'!$A$2)</f>
        <v>225</v>
      </c>
      <c r="DK20" s="3">
        <f>Setup!GM12</f>
        <v>3</v>
      </c>
      <c r="DL20" s="3">
        <f>Setup!GN12</f>
        <v>6</v>
      </c>
      <c r="DM20" s="3">
        <f>Setup!GO12</f>
        <v>5</v>
      </c>
      <c r="DN20" s="10"/>
      <c r="DO20" s="10"/>
      <c r="DP20" s="10"/>
      <c r="DQ20" s="42">
        <f>mround(DQ19*Setup!GX12,'Quick Setup'!$A$2)</f>
        <v>210</v>
      </c>
      <c r="DR20" s="3">
        <f>Setup!GY12</f>
        <v>4</v>
      </c>
      <c r="DS20" s="3">
        <f>Setup!GZ12</f>
        <v>8</v>
      </c>
      <c r="DT20" s="3">
        <f>Setup!HA12</f>
        <v>5</v>
      </c>
      <c r="DU20" s="10"/>
      <c r="DV20" s="10"/>
      <c r="DW20" s="10"/>
      <c r="DX20" s="42">
        <f>mround(DX19*Setup!HJ12,'Quick Setup'!$A$2)</f>
        <v>225</v>
      </c>
      <c r="DY20" s="3">
        <f>Setup!HK12</f>
        <v>3</v>
      </c>
      <c r="DZ20" s="3">
        <f>Setup!HL12</f>
        <v>6</v>
      </c>
      <c r="EA20" s="3">
        <f>Setup!HM12</f>
        <v>5</v>
      </c>
      <c r="EB20" s="10"/>
      <c r="EC20" s="10"/>
      <c r="ED20" s="10"/>
      <c r="EE20" s="42">
        <f>mround(EE19*Setup!HV12,'Quick Setup'!$A$2)</f>
        <v>237.5</v>
      </c>
      <c r="EF20" s="3">
        <f>Setup!HW12</f>
        <v>2</v>
      </c>
      <c r="EG20" s="3">
        <f>Setup!HX12</f>
        <v>4</v>
      </c>
      <c r="EH20" s="3">
        <f>Setup!HY12</f>
        <v>5</v>
      </c>
      <c r="EI20" s="10"/>
      <c r="EJ20" s="10"/>
      <c r="EK20" s="10"/>
      <c r="EL20" s="42">
        <f>mround(EL19*Setup!IH12,'Quick Setup'!$A$2)</f>
        <v>140</v>
      </c>
      <c r="EM20" s="1">
        <v>5.0</v>
      </c>
      <c r="EN20" s="1" t="s">
        <v>78</v>
      </c>
      <c r="EO20" s="3">
        <f>Setup!IK12</f>
        <v>5</v>
      </c>
      <c r="EP20" s="10"/>
      <c r="EQ20" s="10"/>
      <c r="ER20" s="10"/>
    </row>
    <row r="21">
      <c r="A21" s="5"/>
      <c r="B21" s="43"/>
      <c r="C21" s="10"/>
      <c r="D21" s="10"/>
      <c r="E21" s="10"/>
      <c r="F21" s="10"/>
      <c r="G21" s="10"/>
      <c r="H21" s="10"/>
      <c r="I21" s="43" t="str">
        <f t="shared" ref="I21:M21" si="81">B21</f>
        <v/>
      </c>
      <c r="J21" s="10" t="str">
        <f t="shared" si="81"/>
        <v/>
      </c>
      <c r="K21" s="10" t="str">
        <f t="shared" si="81"/>
        <v/>
      </c>
      <c r="L21" s="10" t="str">
        <f t="shared" si="81"/>
        <v/>
      </c>
      <c r="M21" s="10" t="str">
        <f t="shared" si="81"/>
        <v/>
      </c>
      <c r="N21" s="10"/>
      <c r="O21" s="10"/>
      <c r="P21" s="43" t="str">
        <f t="shared" ref="P21:T21" si="82">I21</f>
        <v/>
      </c>
      <c r="Q21" s="10" t="str">
        <f t="shared" si="82"/>
        <v/>
      </c>
      <c r="R21" s="10" t="str">
        <f t="shared" si="82"/>
        <v/>
      </c>
      <c r="S21" s="10" t="str">
        <f t="shared" si="82"/>
        <v/>
      </c>
      <c r="T21" s="10" t="str">
        <f t="shared" si="82"/>
        <v/>
      </c>
      <c r="U21" s="10"/>
      <c r="V21" s="10"/>
      <c r="W21" s="43" t="str">
        <f t="shared" ref="W21:AA21" si="83">P21</f>
        <v/>
      </c>
      <c r="X21" s="10" t="str">
        <f t="shared" si="83"/>
        <v/>
      </c>
      <c r="Y21" s="10" t="str">
        <f t="shared" si="83"/>
        <v/>
      </c>
      <c r="Z21" s="10" t="str">
        <f t="shared" si="83"/>
        <v/>
      </c>
      <c r="AA21" s="10" t="str">
        <f t="shared" si="83"/>
        <v/>
      </c>
      <c r="AB21" s="10"/>
      <c r="AC21" s="10"/>
      <c r="AD21" s="43" t="str">
        <f t="shared" ref="AD21:AH21" si="84">W21</f>
        <v/>
      </c>
      <c r="AE21" s="10" t="str">
        <f t="shared" si="84"/>
        <v/>
      </c>
      <c r="AF21" s="10" t="str">
        <f t="shared" si="84"/>
        <v/>
      </c>
      <c r="AG21" s="10" t="str">
        <f t="shared" si="84"/>
        <v/>
      </c>
      <c r="AH21" s="10" t="str">
        <f t="shared" si="84"/>
        <v/>
      </c>
      <c r="AI21" s="10"/>
      <c r="AJ21" s="10"/>
      <c r="AK21" s="43" t="str">
        <f t="shared" ref="AK21:AO21" si="85">AD21</f>
        <v/>
      </c>
      <c r="AL21" s="10" t="str">
        <f t="shared" si="85"/>
        <v/>
      </c>
      <c r="AM21" s="10" t="str">
        <f t="shared" si="85"/>
        <v/>
      </c>
      <c r="AN21" s="10" t="str">
        <f t="shared" si="85"/>
        <v/>
      </c>
      <c r="AO21" s="10" t="str">
        <f t="shared" si="85"/>
        <v/>
      </c>
      <c r="AP21" s="10"/>
      <c r="AQ21" s="10"/>
      <c r="AR21" s="43" t="str">
        <f t="shared" ref="AR21:AV21" si="86">AK21</f>
        <v/>
      </c>
      <c r="AS21" s="10" t="str">
        <f t="shared" si="86"/>
        <v/>
      </c>
      <c r="AT21" s="10" t="str">
        <f t="shared" si="86"/>
        <v/>
      </c>
      <c r="AU21" s="10" t="str">
        <f t="shared" si="86"/>
        <v/>
      </c>
      <c r="AV21" s="10" t="str">
        <f t="shared" si="86"/>
        <v/>
      </c>
      <c r="AW21" s="10"/>
      <c r="AX21" s="10"/>
      <c r="AY21" s="43" t="str">
        <f t="shared" ref="AY21:BC21" si="87">AR21</f>
        <v/>
      </c>
      <c r="AZ21" s="10" t="str">
        <f t="shared" si="87"/>
        <v/>
      </c>
      <c r="BA21" s="10" t="str">
        <f t="shared" si="87"/>
        <v/>
      </c>
      <c r="BB21" s="10" t="str">
        <f t="shared" si="87"/>
        <v/>
      </c>
      <c r="BC21" s="10" t="str">
        <f t="shared" si="87"/>
        <v/>
      </c>
      <c r="BD21" s="10"/>
      <c r="BE21" s="10"/>
      <c r="BF21" s="43" t="str">
        <f t="shared" ref="BF21:BJ21" si="88">AY21</f>
        <v/>
      </c>
      <c r="BG21" s="10" t="str">
        <f t="shared" si="88"/>
        <v/>
      </c>
      <c r="BH21" s="10" t="str">
        <f t="shared" si="88"/>
        <v/>
      </c>
      <c r="BI21" s="10" t="str">
        <f t="shared" si="88"/>
        <v/>
      </c>
      <c r="BJ21" s="10" t="str">
        <f t="shared" si="88"/>
        <v/>
      </c>
      <c r="BK21" s="10"/>
      <c r="BL21" s="10"/>
      <c r="BM21" s="43" t="str">
        <f t="shared" ref="BM21:BQ21" si="89">BF21</f>
        <v/>
      </c>
      <c r="BN21" s="10" t="str">
        <f t="shared" si="89"/>
        <v/>
      </c>
      <c r="BO21" s="10" t="str">
        <f t="shared" si="89"/>
        <v/>
      </c>
      <c r="BP21" s="10" t="str">
        <f t="shared" si="89"/>
        <v/>
      </c>
      <c r="BQ21" s="10" t="str">
        <f t="shared" si="89"/>
        <v/>
      </c>
      <c r="BR21" s="10"/>
      <c r="BS21" s="10"/>
      <c r="BT21" s="43" t="str">
        <f t="shared" ref="BT21:BX21" si="90">BM21</f>
        <v/>
      </c>
      <c r="BU21" s="10" t="str">
        <f t="shared" si="90"/>
        <v/>
      </c>
      <c r="BV21" s="10" t="str">
        <f t="shared" si="90"/>
        <v/>
      </c>
      <c r="BW21" s="10" t="str">
        <f t="shared" si="90"/>
        <v/>
      </c>
      <c r="BX21" s="10" t="str">
        <f t="shared" si="90"/>
        <v/>
      </c>
      <c r="BY21" s="10"/>
      <c r="BZ21" s="10"/>
      <c r="CA21" s="43" t="str">
        <f t="shared" ref="CA21:CE21" si="91">BT21</f>
        <v/>
      </c>
      <c r="CB21" s="10" t="str">
        <f t="shared" si="91"/>
        <v/>
      </c>
      <c r="CC21" s="10" t="str">
        <f t="shared" si="91"/>
        <v/>
      </c>
      <c r="CD21" s="10" t="str">
        <f t="shared" si="91"/>
        <v/>
      </c>
      <c r="CE21" s="10" t="str">
        <f t="shared" si="91"/>
        <v/>
      </c>
      <c r="CF21" s="10"/>
      <c r="CG21" s="10"/>
      <c r="CH21" s="43" t="str">
        <f t="shared" ref="CH21:CL21" si="92">CA21</f>
        <v/>
      </c>
      <c r="CI21" s="10" t="str">
        <f t="shared" si="92"/>
        <v/>
      </c>
      <c r="CJ21" s="10" t="str">
        <f t="shared" si="92"/>
        <v/>
      </c>
      <c r="CK21" s="10" t="str">
        <f t="shared" si="92"/>
        <v/>
      </c>
      <c r="CL21" s="10" t="str">
        <f t="shared" si="92"/>
        <v/>
      </c>
      <c r="CM21" s="10"/>
      <c r="CN21" s="10"/>
      <c r="CO21" s="43" t="str">
        <f t="shared" ref="CO21:CS21" si="93">CH21</f>
        <v/>
      </c>
      <c r="CP21" s="10" t="str">
        <f t="shared" si="93"/>
        <v/>
      </c>
      <c r="CQ21" s="10" t="str">
        <f t="shared" si="93"/>
        <v/>
      </c>
      <c r="CR21" s="10" t="str">
        <f t="shared" si="93"/>
        <v/>
      </c>
      <c r="CS21" s="10" t="str">
        <f t="shared" si="93"/>
        <v/>
      </c>
      <c r="CT21" s="10"/>
      <c r="CU21" s="10"/>
      <c r="CV21" s="43" t="str">
        <f t="shared" ref="CV21:CZ21" si="94">CO21</f>
        <v/>
      </c>
      <c r="CW21" s="10" t="str">
        <f t="shared" si="94"/>
        <v/>
      </c>
      <c r="CX21" s="10" t="str">
        <f t="shared" si="94"/>
        <v/>
      </c>
      <c r="CY21" s="10" t="str">
        <f t="shared" si="94"/>
        <v/>
      </c>
      <c r="CZ21" s="10" t="str">
        <f t="shared" si="94"/>
        <v/>
      </c>
      <c r="DA21" s="10"/>
      <c r="DB21" s="10"/>
      <c r="DC21" s="43" t="str">
        <f t="shared" ref="DC21:DG21" si="95">CV21</f>
        <v/>
      </c>
      <c r="DD21" s="10" t="str">
        <f t="shared" si="95"/>
        <v/>
      </c>
      <c r="DE21" s="10" t="str">
        <f t="shared" si="95"/>
        <v/>
      </c>
      <c r="DF21" s="10" t="str">
        <f t="shared" si="95"/>
        <v/>
      </c>
      <c r="DG21" s="10" t="str">
        <f t="shared" si="95"/>
        <v/>
      </c>
      <c r="DH21" s="10"/>
      <c r="DI21" s="10"/>
      <c r="DJ21" s="43" t="str">
        <f t="shared" ref="DJ21:DN21" si="96">DC21</f>
        <v/>
      </c>
      <c r="DK21" s="10" t="str">
        <f t="shared" si="96"/>
        <v/>
      </c>
      <c r="DL21" s="10" t="str">
        <f t="shared" si="96"/>
        <v/>
      </c>
      <c r="DM21" s="10" t="str">
        <f t="shared" si="96"/>
        <v/>
      </c>
      <c r="DN21" s="10" t="str">
        <f t="shared" si="96"/>
        <v/>
      </c>
      <c r="DO21" s="10"/>
      <c r="DP21" s="10"/>
      <c r="DQ21" s="43" t="str">
        <f t="shared" ref="DQ21:DU21" si="97">DJ21</f>
        <v/>
      </c>
      <c r="DR21" s="10" t="str">
        <f t="shared" si="97"/>
        <v/>
      </c>
      <c r="DS21" s="10" t="str">
        <f t="shared" si="97"/>
        <v/>
      </c>
      <c r="DT21" s="10" t="str">
        <f t="shared" si="97"/>
        <v/>
      </c>
      <c r="DU21" s="10" t="str">
        <f t="shared" si="97"/>
        <v/>
      </c>
      <c r="DV21" s="10"/>
      <c r="DW21" s="10"/>
      <c r="DX21" s="43" t="str">
        <f t="shared" ref="DX21:EB21" si="98">DQ21</f>
        <v/>
      </c>
      <c r="DY21" s="10" t="str">
        <f t="shared" si="98"/>
        <v/>
      </c>
      <c r="DZ21" s="10" t="str">
        <f t="shared" si="98"/>
        <v/>
      </c>
      <c r="EA21" s="10" t="str">
        <f t="shared" si="98"/>
        <v/>
      </c>
      <c r="EB21" s="10" t="str">
        <f t="shared" si="98"/>
        <v/>
      </c>
      <c r="EC21" s="10"/>
      <c r="ED21" s="10"/>
      <c r="EE21" s="43" t="str">
        <f t="shared" ref="EE21:EI21" si="99">DX21</f>
        <v/>
      </c>
      <c r="EF21" s="10" t="str">
        <f t="shared" si="99"/>
        <v/>
      </c>
      <c r="EG21" s="10" t="str">
        <f t="shared" si="99"/>
        <v/>
      </c>
      <c r="EH21" s="10" t="str">
        <f t="shared" si="99"/>
        <v/>
      </c>
      <c r="EI21" s="10" t="str">
        <f t="shared" si="99"/>
        <v/>
      </c>
      <c r="EJ21" s="10"/>
      <c r="EK21" s="10"/>
      <c r="EL21" s="43" t="str">
        <f t="shared" ref="EL21:EP21" si="100">EE21</f>
        <v/>
      </c>
      <c r="EM21" s="10" t="str">
        <f t="shared" si="100"/>
        <v/>
      </c>
      <c r="EN21" s="10" t="str">
        <f t="shared" si="100"/>
        <v/>
      </c>
      <c r="EO21" s="10" t="str">
        <f t="shared" si="100"/>
        <v/>
      </c>
      <c r="EP21" s="10" t="str">
        <f t="shared" si="100"/>
        <v/>
      </c>
      <c r="EQ21" s="10"/>
      <c r="ER21" s="10"/>
    </row>
    <row r="22">
      <c r="A22" s="1" t="s">
        <v>79</v>
      </c>
      <c r="B22" s="42"/>
      <c r="C22" s="3"/>
      <c r="D22" s="3"/>
      <c r="E22" s="3"/>
      <c r="F22" s="3"/>
      <c r="G22" s="3"/>
      <c r="H22" s="3"/>
      <c r="I22" s="42"/>
      <c r="J22" s="3"/>
      <c r="K22" s="3"/>
      <c r="L22" s="3"/>
      <c r="M22" s="3"/>
      <c r="N22" s="3"/>
      <c r="O22" s="3"/>
      <c r="P22" s="42"/>
      <c r="Q22" s="3"/>
      <c r="R22" s="3"/>
      <c r="S22" s="3"/>
      <c r="T22" s="3"/>
      <c r="U22" s="3"/>
      <c r="V22" s="3"/>
      <c r="W22" s="42"/>
      <c r="X22" s="3"/>
      <c r="Y22" s="3"/>
      <c r="Z22" s="3"/>
      <c r="AA22" s="3"/>
      <c r="AB22" s="3"/>
      <c r="AC22" s="3"/>
      <c r="AD22" s="42"/>
      <c r="AE22" s="3"/>
      <c r="AF22" s="3"/>
      <c r="AG22" s="3"/>
      <c r="AH22" s="3"/>
      <c r="AI22" s="3"/>
      <c r="AJ22" s="3"/>
      <c r="AK22" s="42"/>
      <c r="AL22" s="3"/>
      <c r="AM22" s="3"/>
      <c r="AN22" s="3"/>
      <c r="AO22" s="3"/>
      <c r="AP22" s="3"/>
      <c r="AQ22" s="3"/>
      <c r="AR22" s="42"/>
      <c r="AS22" s="3"/>
      <c r="AT22" s="3"/>
      <c r="AU22" s="3"/>
      <c r="AV22" s="3"/>
      <c r="AW22" s="3"/>
      <c r="AX22" s="3"/>
      <c r="AY22" s="42"/>
      <c r="AZ22" s="3"/>
      <c r="BA22" s="3"/>
      <c r="BB22" s="3"/>
      <c r="BC22" s="3"/>
      <c r="BD22" s="3"/>
      <c r="BE22" s="3"/>
      <c r="BF22" s="42"/>
      <c r="BG22" s="3"/>
      <c r="BH22" s="3"/>
      <c r="BI22" s="3"/>
      <c r="BJ22" s="3"/>
      <c r="BK22" s="3"/>
      <c r="BL22" s="3"/>
      <c r="BM22" s="42"/>
      <c r="BN22" s="3"/>
      <c r="BO22" s="3"/>
      <c r="BP22" s="3"/>
      <c r="BQ22" s="3"/>
      <c r="BR22" s="3"/>
      <c r="BS22" s="3"/>
      <c r="BT22" s="42"/>
      <c r="BU22" s="3"/>
      <c r="BV22" s="3"/>
      <c r="BW22" s="3"/>
      <c r="BX22" s="3"/>
      <c r="BY22" s="3"/>
      <c r="BZ22" s="3"/>
      <c r="CA22" s="42"/>
      <c r="CB22" s="3"/>
      <c r="CC22" s="3"/>
      <c r="CD22" s="3"/>
      <c r="CE22" s="3"/>
      <c r="CF22" s="3"/>
      <c r="CG22" s="3"/>
      <c r="CH22" s="42"/>
      <c r="CI22" s="3"/>
      <c r="CJ22" s="3"/>
      <c r="CK22" s="3"/>
      <c r="CL22" s="3"/>
      <c r="CM22" s="3"/>
      <c r="CN22" s="3"/>
      <c r="CO22" s="42"/>
      <c r="CP22" s="3"/>
      <c r="CQ22" s="3"/>
      <c r="CR22" s="3"/>
      <c r="CS22" s="3"/>
      <c r="CT22" s="3"/>
      <c r="CU22" s="3"/>
      <c r="CV22" s="42"/>
      <c r="CW22" s="3"/>
      <c r="CX22" s="3"/>
      <c r="CY22" s="3"/>
      <c r="CZ22" s="3"/>
      <c r="DA22" s="3"/>
      <c r="DB22" s="3"/>
      <c r="DC22" s="42"/>
      <c r="DD22" s="3"/>
      <c r="DE22" s="3"/>
      <c r="DF22" s="3"/>
      <c r="DG22" s="3"/>
      <c r="DH22" s="3"/>
      <c r="DI22" s="3"/>
      <c r="DJ22" s="42"/>
      <c r="DK22" s="3"/>
      <c r="DL22" s="3"/>
      <c r="DM22" s="3"/>
      <c r="DN22" s="3"/>
      <c r="DO22" s="3"/>
      <c r="DP22" s="3"/>
      <c r="DQ22" s="42"/>
      <c r="DR22" s="3"/>
      <c r="DS22" s="3"/>
      <c r="DT22" s="3"/>
      <c r="DU22" s="3"/>
      <c r="DV22" s="3"/>
      <c r="DW22" s="3"/>
      <c r="DX22" s="42"/>
      <c r="DY22" s="3"/>
      <c r="DZ22" s="3"/>
      <c r="EA22" s="3"/>
      <c r="EB22" s="3"/>
      <c r="EC22" s="3"/>
      <c r="ED22" s="3"/>
      <c r="EE22" s="42"/>
      <c r="EF22" s="3"/>
      <c r="EG22" s="3"/>
      <c r="EH22" s="3"/>
      <c r="EI22" s="3"/>
      <c r="EJ22" s="3"/>
      <c r="EK22" s="3"/>
      <c r="EL22" s="42"/>
      <c r="EM22" s="3"/>
      <c r="EN22" s="3"/>
      <c r="EO22" s="3"/>
      <c r="EP22" s="3"/>
      <c r="EQ22" s="3"/>
      <c r="ER22" s="3"/>
    </row>
    <row r="23">
      <c r="A23" s="44"/>
      <c r="B23" s="43"/>
      <c r="C23" s="10"/>
      <c r="D23" s="10"/>
      <c r="E23" s="10"/>
      <c r="F23" s="10"/>
      <c r="G23" s="10"/>
      <c r="H23" s="10"/>
      <c r="I23" s="43" t="str">
        <f t="shared" ref="I23:M23" si="101">B23</f>
        <v/>
      </c>
      <c r="J23" s="10" t="str">
        <f t="shared" si="101"/>
        <v/>
      </c>
      <c r="K23" s="10" t="str">
        <f t="shared" si="101"/>
        <v/>
      </c>
      <c r="L23" s="10" t="str">
        <f t="shared" si="101"/>
        <v/>
      </c>
      <c r="M23" s="10" t="str">
        <f t="shared" si="101"/>
        <v/>
      </c>
      <c r="N23" s="10"/>
      <c r="O23" s="10"/>
      <c r="P23" s="43" t="str">
        <f t="shared" ref="P23:T23" si="102">I23</f>
        <v/>
      </c>
      <c r="Q23" s="10" t="str">
        <f t="shared" si="102"/>
        <v/>
      </c>
      <c r="R23" s="10" t="str">
        <f t="shared" si="102"/>
        <v/>
      </c>
      <c r="S23" s="10" t="str">
        <f t="shared" si="102"/>
        <v/>
      </c>
      <c r="T23" s="10" t="str">
        <f t="shared" si="102"/>
        <v/>
      </c>
      <c r="U23" s="10"/>
      <c r="V23" s="10"/>
      <c r="W23" s="43" t="str">
        <f t="shared" ref="W23:AA23" si="103">P23</f>
        <v/>
      </c>
      <c r="X23" s="10" t="str">
        <f t="shared" si="103"/>
        <v/>
      </c>
      <c r="Y23" s="10" t="str">
        <f t="shared" si="103"/>
        <v/>
      </c>
      <c r="Z23" s="10" t="str">
        <f t="shared" si="103"/>
        <v/>
      </c>
      <c r="AA23" s="10" t="str">
        <f t="shared" si="103"/>
        <v/>
      </c>
      <c r="AB23" s="10"/>
      <c r="AC23" s="10"/>
      <c r="AD23" s="43" t="str">
        <f t="shared" ref="AD23:AH23" si="104">W23</f>
        <v/>
      </c>
      <c r="AE23" s="10" t="str">
        <f t="shared" si="104"/>
        <v/>
      </c>
      <c r="AF23" s="10" t="str">
        <f t="shared" si="104"/>
        <v/>
      </c>
      <c r="AG23" s="10" t="str">
        <f t="shared" si="104"/>
        <v/>
      </c>
      <c r="AH23" s="10" t="str">
        <f t="shared" si="104"/>
        <v/>
      </c>
      <c r="AI23" s="10"/>
      <c r="AJ23" s="10"/>
      <c r="AK23" s="43" t="str">
        <f t="shared" ref="AK23:AO23" si="105">AD23</f>
        <v/>
      </c>
      <c r="AL23" s="10" t="str">
        <f t="shared" si="105"/>
        <v/>
      </c>
      <c r="AM23" s="10" t="str">
        <f t="shared" si="105"/>
        <v/>
      </c>
      <c r="AN23" s="10" t="str">
        <f t="shared" si="105"/>
        <v/>
      </c>
      <c r="AO23" s="10" t="str">
        <f t="shared" si="105"/>
        <v/>
      </c>
      <c r="AP23" s="10"/>
      <c r="AQ23" s="10"/>
      <c r="AR23" s="43" t="str">
        <f t="shared" ref="AR23:AV23" si="106">AK23</f>
        <v/>
      </c>
      <c r="AS23" s="10" t="str">
        <f t="shared" si="106"/>
        <v/>
      </c>
      <c r="AT23" s="10" t="str">
        <f t="shared" si="106"/>
        <v/>
      </c>
      <c r="AU23" s="10" t="str">
        <f t="shared" si="106"/>
        <v/>
      </c>
      <c r="AV23" s="10" t="str">
        <f t="shared" si="106"/>
        <v/>
      </c>
      <c r="AW23" s="10"/>
      <c r="AX23" s="10"/>
      <c r="AY23" s="43" t="str">
        <f t="shared" ref="AY23:BC23" si="107">AR23</f>
        <v/>
      </c>
      <c r="AZ23" s="10" t="str">
        <f t="shared" si="107"/>
        <v/>
      </c>
      <c r="BA23" s="10" t="str">
        <f t="shared" si="107"/>
        <v/>
      </c>
      <c r="BB23" s="10" t="str">
        <f t="shared" si="107"/>
        <v/>
      </c>
      <c r="BC23" s="10" t="str">
        <f t="shared" si="107"/>
        <v/>
      </c>
      <c r="BD23" s="10"/>
      <c r="BE23" s="10"/>
      <c r="BF23" s="43" t="str">
        <f t="shared" ref="BF23:BJ23" si="108">AY23</f>
        <v/>
      </c>
      <c r="BG23" s="10" t="str">
        <f t="shared" si="108"/>
        <v/>
      </c>
      <c r="BH23" s="10" t="str">
        <f t="shared" si="108"/>
        <v/>
      </c>
      <c r="BI23" s="10" t="str">
        <f t="shared" si="108"/>
        <v/>
      </c>
      <c r="BJ23" s="10" t="str">
        <f t="shared" si="108"/>
        <v/>
      </c>
      <c r="BK23" s="10"/>
      <c r="BL23" s="10"/>
      <c r="BM23" s="43" t="str">
        <f t="shared" ref="BM23:BQ23" si="109">BF23</f>
        <v/>
      </c>
      <c r="BN23" s="10" t="str">
        <f t="shared" si="109"/>
        <v/>
      </c>
      <c r="BO23" s="10" t="str">
        <f t="shared" si="109"/>
        <v/>
      </c>
      <c r="BP23" s="10" t="str">
        <f t="shared" si="109"/>
        <v/>
      </c>
      <c r="BQ23" s="10" t="str">
        <f t="shared" si="109"/>
        <v/>
      </c>
      <c r="BR23" s="10"/>
      <c r="BS23" s="10"/>
      <c r="BT23" s="43" t="str">
        <f t="shared" ref="BT23:BX23" si="110">BM23</f>
        <v/>
      </c>
      <c r="BU23" s="10" t="str">
        <f t="shared" si="110"/>
        <v/>
      </c>
      <c r="BV23" s="10" t="str">
        <f t="shared" si="110"/>
        <v/>
      </c>
      <c r="BW23" s="10" t="str">
        <f t="shared" si="110"/>
        <v/>
      </c>
      <c r="BX23" s="10" t="str">
        <f t="shared" si="110"/>
        <v/>
      </c>
      <c r="BY23" s="10"/>
      <c r="BZ23" s="10"/>
      <c r="CA23" s="43" t="str">
        <f t="shared" ref="CA23:CE23" si="111">BT23</f>
        <v/>
      </c>
      <c r="CB23" s="10" t="str">
        <f t="shared" si="111"/>
        <v/>
      </c>
      <c r="CC23" s="10" t="str">
        <f t="shared" si="111"/>
        <v/>
      </c>
      <c r="CD23" s="10" t="str">
        <f t="shared" si="111"/>
        <v/>
      </c>
      <c r="CE23" s="10" t="str">
        <f t="shared" si="111"/>
        <v/>
      </c>
      <c r="CF23" s="10"/>
      <c r="CG23" s="10"/>
      <c r="CH23" s="43" t="str">
        <f t="shared" ref="CH23:CL23" si="112">CA23</f>
        <v/>
      </c>
      <c r="CI23" s="10" t="str">
        <f t="shared" si="112"/>
        <v/>
      </c>
      <c r="CJ23" s="10" t="str">
        <f t="shared" si="112"/>
        <v/>
      </c>
      <c r="CK23" s="10" t="str">
        <f t="shared" si="112"/>
        <v/>
      </c>
      <c r="CL23" s="10" t="str">
        <f t="shared" si="112"/>
        <v/>
      </c>
      <c r="CM23" s="10"/>
      <c r="CN23" s="10"/>
      <c r="CO23" s="43" t="str">
        <f t="shared" ref="CO23:CS23" si="113">CH23</f>
        <v/>
      </c>
      <c r="CP23" s="10" t="str">
        <f t="shared" si="113"/>
        <v/>
      </c>
      <c r="CQ23" s="10" t="str">
        <f t="shared" si="113"/>
        <v/>
      </c>
      <c r="CR23" s="10" t="str">
        <f t="shared" si="113"/>
        <v/>
      </c>
      <c r="CS23" s="10" t="str">
        <f t="shared" si="113"/>
        <v/>
      </c>
      <c r="CT23" s="10"/>
      <c r="CU23" s="10"/>
      <c r="CV23" s="43" t="str">
        <f t="shared" ref="CV23:CZ23" si="114">CO23</f>
        <v/>
      </c>
      <c r="CW23" s="10" t="str">
        <f t="shared" si="114"/>
        <v/>
      </c>
      <c r="CX23" s="10" t="str">
        <f t="shared" si="114"/>
        <v/>
      </c>
      <c r="CY23" s="10" t="str">
        <f t="shared" si="114"/>
        <v/>
      </c>
      <c r="CZ23" s="10" t="str">
        <f t="shared" si="114"/>
        <v/>
      </c>
      <c r="DA23" s="10"/>
      <c r="DB23" s="10"/>
      <c r="DC23" s="43" t="str">
        <f t="shared" ref="DC23:DG23" si="115">CV23</f>
        <v/>
      </c>
      <c r="DD23" s="10" t="str">
        <f t="shared" si="115"/>
        <v/>
      </c>
      <c r="DE23" s="10" t="str">
        <f t="shared" si="115"/>
        <v/>
      </c>
      <c r="DF23" s="10" t="str">
        <f t="shared" si="115"/>
        <v/>
      </c>
      <c r="DG23" s="10" t="str">
        <f t="shared" si="115"/>
        <v/>
      </c>
      <c r="DH23" s="10"/>
      <c r="DI23" s="10"/>
      <c r="DJ23" s="43" t="str">
        <f t="shared" ref="DJ23:DN23" si="116">DC23</f>
        <v/>
      </c>
      <c r="DK23" s="10" t="str">
        <f t="shared" si="116"/>
        <v/>
      </c>
      <c r="DL23" s="10" t="str">
        <f t="shared" si="116"/>
        <v/>
      </c>
      <c r="DM23" s="10" t="str">
        <f t="shared" si="116"/>
        <v/>
      </c>
      <c r="DN23" s="10" t="str">
        <f t="shared" si="116"/>
        <v/>
      </c>
      <c r="DO23" s="10"/>
      <c r="DP23" s="10"/>
      <c r="DQ23" s="43" t="str">
        <f t="shared" ref="DQ23:DU23" si="117">DJ23</f>
        <v/>
      </c>
      <c r="DR23" s="10" t="str">
        <f t="shared" si="117"/>
        <v/>
      </c>
      <c r="DS23" s="10" t="str">
        <f t="shared" si="117"/>
        <v/>
      </c>
      <c r="DT23" s="10" t="str">
        <f t="shared" si="117"/>
        <v/>
      </c>
      <c r="DU23" s="10" t="str">
        <f t="shared" si="117"/>
        <v/>
      </c>
      <c r="DV23" s="10"/>
      <c r="DW23" s="10"/>
      <c r="DX23" s="43" t="str">
        <f t="shared" ref="DX23:EB23" si="118">DQ23</f>
        <v/>
      </c>
      <c r="DY23" s="10" t="str">
        <f t="shared" si="118"/>
        <v/>
      </c>
      <c r="DZ23" s="10" t="str">
        <f t="shared" si="118"/>
        <v/>
      </c>
      <c r="EA23" s="10" t="str">
        <f t="shared" si="118"/>
        <v/>
      </c>
      <c r="EB23" s="10" t="str">
        <f t="shared" si="118"/>
        <v/>
      </c>
      <c r="EC23" s="10"/>
      <c r="ED23" s="10"/>
      <c r="EE23" s="43" t="str">
        <f t="shared" ref="EE23:EI23" si="119">DX23</f>
        <v/>
      </c>
      <c r="EF23" s="10" t="str">
        <f t="shared" si="119"/>
        <v/>
      </c>
      <c r="EG23" s="10" t="str">
        <f t="shared" si="119"/>
        <v/>
      </c>
      <c r="EH23" s="10" t="str">
        <f t="shared" si="119"/>
        <v/>
      </c>
      <c r="EI23" s="10" t="str">
        <f t="shared" si="119"/>
        <v/>
      </c>
      <c r="EJ23" s="10"/>
      <c r="EK23" s="10"/>
      <c r="EL23" s="43" t="str">
        <f t="shared" ref="EL23:EP23" si="120">EE23</f>
        <v/>
      </c>
      <c r="EM23" s="10" t="str">
        <f t="shared" si="120"/>
        <v/>
      </c>
      <c r="EN23" s="10" t="str">
        <f t="shared" si="120"/>
        <v/>
      </c>
      <c r="EO23" s="10" t="str">
        <f t="shared" si="120"/>
        <v/>
      </c>
      <c r="EP23" s="10" t="str">
        <f t="shared" si="120"/>
        <v/>
      </c>
      <c r="EQ23" s="10"/>
      <c r="ER23" s="10"/>
    </row>
    <row r="24">
      <c r="A24" s="44"/>
      <c r="B24" s="43"/>
      <c r="C24" s="10"/>
      <c r="D24" s="10"/>
      <c r="E24" s="10"/>
      <c r="F24" s="10"/>
      <c r="G24" s="10"/>
      <c r="H24" s="10"/>
      <c r="I24" s="43" t="str">
        <f t="shared" ref="I24:M24" si="121">B24</f>
        <v/>
      </c>
      <c r="J24" s="10" t="str">
        <f t="shared" si="121"/>
        <v/>
      </c>
      <c r="K24" s="10" t="str">
        <f t="shared" si="121"/>
        <v/>
      </c>
      <c r="L24" s="10" t="str">
        <f t="shared" si="121"/>
        <v/>
      </c>
      <c r="M24" s="10" t="str">
        <f t="shared" si="121"/>
        <v/>
      </c>
      <c r="N24" s="10"/>
      <c r="O24" s="10"/>
      <c r="P24" s="43" t="str">
        <f t="shared" ref="P24:T24" si="122">I24</f>
        <v/>
      </c>
      <c r="Q24" s="10" t="str">
        <f t="shared" si="122"/>
        <v/>
      </c>
      <c r="R24" s="10" t="str">
        <f t="shared" si="122"/>
        <v/>
      </c>
      <c r="S24" s="10" t="str">
        <f t="shared" si="122"/>
        <v/>
      </c>
      <c r="T24" s="10" t="str">
        <f t="shared" si="122"/>
        <v/>
      </c>
      <c r="U24" s="10"/>
      <c r="V24" s="10"/>
      <c r="W24" s="43" t="str">
        <f t="shared" ref="W24:AA24" si="123">P24</f>
        <v/>
      </c>
      <c r="X24" s="10" t="str">
        <f t="shared" si="123"/>
        <v/>
      </c>
      <c r="Y24" s="10" t="str">
        <f t="shared" si="123"/>
        <v/>
      </c>
      <c r="Z24" s="10" t="str">
        <f t="shared" si="123"/>
        <v/>
      </c>
      <c r="AA24" s="10" t="str">
        <f t="shared" si="123"/>
        <v/>
      </c>
      <c r="AB24" s="10"/>
      <c r="AC24" s="10"/>
      <c r="AD24" s="43" t="str">
        <f t="shared" ref="AD24:AH24" si="124">W24</f>
        <v/>
      </c>
      <c r="AE24" s="10" t="str">
        <f t="shared" si="124"/>
        <v/>
      </c>
      <c r="AF24" s="10" t="str">
        <f t="shared" si="124"/>
        <v/>
      </c>
      <c r="AG24" s="10" t="str">
        <f t="shared" si="124"/>
        <v/>
      </c>
      <c r="AH24" s="10" t="str">
        <f t="shared" si="124"/>
        <v/>
      </c>
      <c r="AI24" s="10"/>
      <c r="AJ24" s="10"/>
      <c r="AK24" s="43" t="str">
        <f t="shared" ref="AK24:AO24" si="125">AD24</f>
        <v/>
      </c>
      <c r="AL24" s="10" t="str">
        <f t="shared" si="125"/>
        <v/>
      </c>
      <c r="AM24" s="10" t="str">
        <f t="shared" si="125"/>
        <v/>
      </c>
      <c r="AN24" s="10" t="str">
        <f t="shared" si="125"/>
        <v/>
      </c>
      <c r="AO24" s="10" t="str">
        <f t="shared" si="125"/>
        <v/>
      </c>
      <c r="AP24" s="10"/>
      <c r="AQ24" s="10"/>
      <c r="AR24" s="43" t="str">
        <f t="shared" ref="AR24:AV24" si="126">AK24</f>
        <v/>
      </c>
      <c r="AS24" s="10" t="str">
        <f t="shared" si="126"/>
        <v/>
      </c>
      <c r="AT24" s="10" t="str">
        <f t="shared" si="126"/>
        <v/>
      </c>
      <c r="AU24" s="10" t="str">
        <f t="shared" si="126"/>
        <v/>
      </c>
      <c r="AV24" s="10" t="str">
        <f t="shared" si="126"/>
        <v/>
      </c>
      <c r="AW24" s="10"/>
      <c r="AX24" s="10"/>
      <c r="AY24" s="43" t="str">
        <f t="shared" ref="AY24:BC24" si="127">AR24</f>
        <v/>
      </c>
      <c r="AZ24" s="10" t="str">
        <f t="shared" si="127"/>
        <v/>
      </c>
      <c r="BA24" s="10" t="str">
        <f t="shared" si="127"/>
        <v/>
      </c>
      <c r="BB24" s="10" t="str">
        <f t="shared" si="127"/>
        <v/>
      </c>
      <c r="BC24" s="10" t="str">
        <f t="shared" si="127"/>
        <v/>
      </c>
      <c r="BD24" s="10"/>
      <c r="BE24" s="10"/>
      <c r="BF24" s="43" t="str">
        <f t="shared" ref="BF24:BJ24" si="128">AY24</f>
        <v/>
      </c>
      <c r="BG24" s="10" t="str">
        <f t="shared" si="128"/>
        <v/>
      </c>
      <c r="BH24" s="10" t="str">
        <f t="shared" si="128"/>
        <v/>
      </c>
      <c r="BI24" s="10" t="str">
        <f t="shared" si="128"/>
        <v/>
      </c>
      <c r="BJ24" s="10" t="str">
        <f t="shared" si="128"/>
        <v/>
      </c>
      <c r="BK24" s="10"/>
      <c r="BL24" s="10"/>
      <c r="BM24" s="43" t="str">
        <f t="shared" ref="BM24:BQ24" si="129">BF24</f>
        <v/>
      </c>
      <c r="BN24" s="10" t="str">
        <f t="shared" si="129"/>
        <v/>
      </c>
      <c r="BO24" s="10" t="str">
        <f t="shared" si="129"/>
        <v/>
      </c>
      <c r="BP24" s="10" t="str">
        <f t="shared" si="129"/>
        <v/>
      </c>
      <c r="BQ24" s="10" t="str">
        <f t="shared" si="129"/>
        <v/>
      </c>
      <c r="BR24" s="10"/>
      <c r="BS24" s="10"/>
      <c r="BT24" s="43" t="str">
        <f t="shared" ref="BT24:BX24" si="130">BM24</f>
        <v/>
      </c>
      <c r="BU24" s="10" t="str">
        <f t="shared" si="130"/>
        <v/>
      </c>
      <c r="BV24" s="10" t="str">
        <f t="shared" si="130"/>
        <v/>
      </c>
      <c r="BW24" s="10" t="str">
        <f t="shared" si="130"/>
        <v/>
      </c>
      <c r="BX24" s="10" t="str">
        <f t="shared" si="130"/>
        <v/>
      </c>
      <c r="BY24" s="10"/>
      <c r="BZ24" s="10"/>
      <c r="CA24" s="43" t="str">
        <f t="shared" ref="CA24:CE24" si="131">BT24</f>
        <v/>
      </c>
      <c r="CB24" s="10" t="str">
        <f t="shared" si="131"/>
        <v/>
      </c>
      <c r="CC24" s="10" t="str">
        <f t="shared" si="131"/>
        <v/>
      </c>
      <c r="CD24" s="10" t="str">
        <f t="shared" si="131"/>
        <v/>
      </c>
      <c r="CE24" s="10" t="str">
        <f t="shared" si="131"/>
        <v/>
      </c>
      <c r="CF24" s="10"/>
      <c r="CG24" s="10"/>
      <c r="CH24" s="43" t="str">
        <f t="shared" ref="CH24:CL24" si="132">CA24</f>
        <v/>
      </c>
      <c r="CI24" s="10" t="str">
        <f t="shared" si="132"/>
        <v/>
      </c>
      <c r="CJ24" s="10" t="str">
        <f t="shared" si="132"/>
        <v/>
      </c>
      <c r="CK24" s="10" t="str">
        <f t="shared" si="132"/>
        <v/>
      </c>
      <c r="CL24" s="10" t="str">
        <f t="shared" si="132"/>
        <v/>
      </c>
      <c r="CM24" s="10"/>
      <c r="CN24" s="10"/>
      <c r="CO24" s="43" t="str">
        <f t="shared" ref="CO24:CS24" si="133">CH24</f>
        <v/>
      </c>
      <c r="CP24" s="10" t="str">
        <f t="shared" si="133"/>
        <v/>
      </c>
      <c r="CQ24" s="10" t="str">
        <f t="shared" si="133"/>
        <v/>
      </c>
      <c r="CR24" s="10" t="str">
        <f t="shared" si="133"/>
        <v/>
      </c>
      <c r="CS24" s="10" t="str">
        <f t="shared" si="133"/>
        <v/>
      </c>
      <c r="CT24" s="10"/>
      <c r="CU24" s="10"/>
      <c r="CV24" s="43" t="str">
        <f t="shared" ref="CV24:CZ24" si="134">CO24</f>
        <v/>
      </c>
      <c r="CW24" s="10" t="str">
        <f t="shared" si="134"/>
        <v/>
      </c>
      <c r="CX24" s="10" t="str">
        <f t="shared" si="134"/>
        <v/>
      </c>
      <c r="CY24" s="10" t="str">
        <f t="shared" si="134"/>
        <v/>
      </c>
      <c r="CZ24" s="10" t="str">
        <f t="shared" si="134"/>
        <v/>
      </c>
      <c r="DA24" s="10"/>
      <c r="DB24" s="10"/>
      <c r="DC24" s="43" t="str">
        <f t="shared" ref="DC24:DG24" si="135">CV24</f>
        <v/>
      </c>
      <c r="DD24" s="10" t="str">
        <f t="shared" si="135"/>
        <v/>
      </c>
      <c r="DE24" s="10" t="str">
        <f t="shared" si="135"/>
        <v/>
      </c>
      <c r="DF24" s="10" t="str">
        <f t="shared" si="135"/>
        <v/>
      </c>
      <c r="DG24" s="10" t="str">
        <f t="shared" si="135"/>
        <v/>
      </c>
      <c r="DH24" s="10"/>
      <c r="DI24" s="10"/>
      <c r="DJ24" s="43" t="str">
        <f t="shared" ref="DJ24:DN24" si="136">DC24</f>
        <v/>
      </c>
      <c r="DK24" s="10" t="str">
        <f t="shared" si="136"/>
        <v/>
      </c>
      <c r="DL24" s="10" t="str">
        <f t="shared" si="136"/>
        <v/>
      </c>
      <c r="DM24" s="10" t="str">
        <f t="shared" si="136"/>
        <v/>
      </c>
      <c r="DN24" s="10" t="str">
        <f t="shared" si="136"/>
        <v/>
      </c>
      <c r="DO24" s="10"/>
      <c r="DP24" s="10"/>
      <c r="DQ24" s="43" t="str">
        <f t="shared" ref="DQ24:DU24" si="137">DJ24</f>
        <v/>
      </c>
      <c r="DR24" s="10" t="str">
        <f t="shared" si="137"/>
        <v/>
      </c>
      <c r="DS24" s="10" t="str">
        <f t="shared" si="137"/>
        <v/>
      </c>
      <c r="DT24" s="10" t="str">
        <f t="shared" si="137"/>
        <v/>
      </c>
      <c r="DU24" s="10" t="str">
        <f t="shared" si="137"/>
        <v/>
      </c>
      <c r="DV24" s="10"/>
      <c r="DW24" s="10"/>
      <c r="DX24" s="43" t="str">
        <f t="shared" ref="DX24:EB24" si="138">DQ24</f>
        <v/>
      </c>
      <c r="DY24" s="10" t="str">
        <f t="shared" si="138"/>
        <v/>
      </c>
      <c r="DZ24" s="10" t="str">
        <f t="shared" si="138"/>
        <v/>
      </c>
      <c r="EA24" s="10" t="str">
        <f t="shared" si="138"/>
        <v/>
      </c>
      <c r="EB24" s="10" t="str">
        <f t="shared" si="138"/>
        <v/>
      </c>
      <c r="EC24" s="10"/>
      <c r="ED24" s="10"/>
      <c r="EE24" s="43" t="str">
        <f t="shared" ref="EE24:EI24" si="139">DX24</f>
        <v/>
      </c>
      <c r="EF24" s="10" t="str">
        <f t="shared" si="139"/>
        <v/>
      </c>
      <c r="EG24" s="10" t="str">
        <f t="shared" si="139"/>
        <v/>
      </c>
      <c r="EH24" s="10" t="str">
        <f t="shared" si="139"/>
        <v/>
      </c>
      <c r="EI24" s="10" t="str">
        <f t="shared" si="139"/>
        <v/>
      </c>
      <c r="EJ24" s="10"/>
      <c r="EK24" s="10"/>
      <c r="EL24" s="43" t="str">
        <f t="shared" ref="EL24:EP24" si="140">EE24</f>
        <v/>
      </c>
      <c r="EM24" s="10" t="str">
        <f t="shared" si="140"/>
        <v/>
      </c>
      <c r="EN24" s="10" t="str">
        <f t="shared" si="140"/>
        <v/>
      </c>
      <c r="EO24" s="10" t="str">
        <f t="shared" si="140"/>
        <v/>
      </c>
      <c r="EP24" s="10" t="str">
        <f t="shared" si="140"/>
        <v/>
      </c>
      <c r="EQ24" s="10"/>
      <c r="ER24" s="10"/>
    </row>
    <row r="25">
      <c r="A25" s="45"/>
      <c r="B25" s="46"/>
      <c r="C25" s="47"/>
      <c r="D25" s="47"/>
      <c r="E25" s="47"/>
      <c r="F25" s="47"/>
      <c r="G25" s="47"/>
      <c r="H25" s="47"/>
      <c r="I25" s="46" t="str">
        <f t="shared" ref="I25:M25" si="141">B25</f>
        <v/>
      </c>
      <c r="J25" s="47" t="str">
        <f t="shared" si="141"/>
        <v/>
      </c>
      <c r="K25" s="47" t="str">
        <f t="shared" si="141"/>
        <v/>
      </c>
      <c r="L25" s="47" t="str">
        <f t="shared" si="141"/>
        <v/>
      </c>
      <c r="M25" s="47" t="str">
        <f t="shared" si="141"/>
        <v/>
      </c>
      <c r="N25" s="47"/>
      <c r="O25" s="47"/>
      <c r="P25" s="46" t="str">
        <f t="shared" ref="P25:T25" si="142">I25</f>
        <v/>
      </c>
      <c r="Q25" s="47" t="str">
        <f t="shared" si="142"/>
        <v/>
      </c>
      <c r="R25" s="47" t="str">
        <f t="shared" si="142"/>
        <v/>
      </c>
      <c r="S25" s="47" t="str">
        <f t="shared" si="142"/>
        <v/>
      </c>
      <c r="T25" s="47" t="str">
        <f t="shared" si="142"/>
        <v/>
      </c>
      <c r="U25" s="47"/>
      <c r="V25" s="47"/>
      <c r="W25" s="46" t="str">
        <f t="shared" ref="W25:AA25" si="143">P25</f>
        <v/>
      </c>
      <c r="X25" s="47" t="str">
        <f t="shared" si="143"/>
        <v/>
      </c>
      <c r="Y25" s="47" t="str">
        <f t="shared" si="143"/>
        <v/>
      </c>
      <c r="Z25" s="47" t="str">
        <f t="shared" si="143"/>
        <v/>
      </c>
      <c r="AA25" s="47" t="str">
        <f t="shared" si="143"/>
        <v/>
      </c>
      <c r="AB25" s="47"/>
      <c r="AC25" s="47"/>
      <c r="AD25" s="46" t="str">
        <f t="shared" ref="AD25:AH25" si="144">W25</f>
        <v/>
      </c>
      <c r="AE25" s="47" t="str">
        <f t="shared" si="144"/>
        <v/>
      </c>
      <c r="AF25" s="47" t="str">
        <f t="shared" si="144"/>
        <v/>
      </c>
      <c r="AG25" s="47" t="str">
        <f t="shared" si="144"/>
        <v/>
      </c>
      <c r="AH25" s="47" t="str">
        <f t="shared" si="144"/>
        <v/>
      </c>
      <c r="AI25" s="47"/>
      <c r="AJ25" s="47"/>
      <c r="AK25" s="46" t="str">
        <f t="shared" ref="AK25:AO25" si="145">AD25</f>
        <v/>
      </c>
      <c r="AL25" s="47" t="str">
        <f t="shared" si="145"/>
        <v/>
      </c>
      <c r="AM25" s="47" t="str">
        <f t="shared" si="145"/>
        <v/>
      </c>
      <c r="AN25" s="47" t="str">
        <f t="shared" si="145"/>
        <v/>
      </c>
      <c r="AO25" s="47" t="str">
        <f t="shared" si="145"/>
        <v/>
      </c>
      <c r="AP25" s="47"/>
      <c r="AQ25" s="47"/>
      <c r="AR25" s="46" t="str">
        <f t="shared" ref="AR25:AV25" si="146">AK25</f>
        <v/>
      </c>
      <c r="AS25" s="47" t="str">
        <f t="shared" si="146"/>
        <v/>
      </c>
      <c r="AT25" s="47" t="str">
        <f t="shared" si="146"/>
        <v/>
      </c>
      <c r="AU25" s="47" t="str">
        <f t="shared" si="146"/>
        <v/>
      </c>
      <c r="AV25" s="47" t="str">
        <f t="shared" si="146"/>
        <v/>
      </c>
      <c r="AW25" s="47"/>
      <c r="AX25" s="47"/>
      <c r="AY25" s="46" t="str">
        <f t="shared" ref="AY25:BC25" si="147">AR25</f>
        <v/>
      </c>
      <c r="AZ25" s="47" t="str">
        <f t="shared" si="147"/>
        <v/>
      </c>
      <c r="BA25" s="47" t="str">
        <f t="shared" si="147"/>
        <v/>
      </c>
      <c r="BB25" s="47" t="str">
        <f t="shared" si="147"/>
        <v/>
      </c>
      <c r="BC25" s="47" t="str">
        <f t="shared" si="147"/>
        <v/>
      </c>
      <c r="BD25" s="47"/>
      <c r="BE25" s="47"/>
      <c r="BF25" s="46" t="str">
        <f t="shared" ref="BF25:BJ25" si="148">AY25</f>
        <v/>
      </c>
      <c r="BG25" s="47" t="str">
        <f t="shared" si="148"/>
        <v/>
      </c>
      <c r="BH25" s="47" t="str">
        <f t="shared" si="148"/>
        <v/>
      </c>
      <c r="BI25" s="47" t="str">
        <f t="shared" si="148"/>
        <v/>
      </c>
      <c r="BJ25" s="47" t="str">
        <f t="shared" si="148"/>
        <v/>
      </c>
      <c r="BK25" s="47"/>
      <c r="BL25" s="47"/>
      <c r="BM25" s="46" t="str">
        <f t="shared" ref="BM25:BQ25" si="149">BF25</f>
        <v/>
      </c>
      <c r="BN25" s="47" t="str">
        <f t="shared" si="149"/>
        <v/>
      </c>
      <c r="BO25" s="47" t="str">
        <f t="shared" si="149"/>
        <v/>
      </c>
      <c r="BP25" s="47" t="str">
        <f t="shared" si="149"/>
        <v/>
      </c>
      <c r="BQ25" s="47" t="str">
        <f t="shared" si="149"/>
        <v/>
      </c>
      <c r="BR25" s="47"/>
      <c r="BS25" s="47"/>
      <c r="BT25" s="46" t="str">
        <f t="shared" ref="BT25:BX25" si="150">BM25</f>
        <v/>
      </c>
      <c r="BU25" s="47" t="str">
        <f t="shared" si="150"/>
        <v/>
      </c>
      <c r="BV25" s="47" t="str">
        <f t="shared" si="150"/>
        <v/>
      </c>
      <c r="BW25" s="47" t="str">
        <f t="shared" si="150"/>
        <v/>
      </c>
      <c r="BX25" s="47" t="str">
        <f t="shared" si="150"/>
        <v/>
      </c>
      <c r="BY25" s="47"/>
      <c r="BZ25" s="47"/>
      <c r="CA25" s="46" t="str">
        <f t="shared" ref="CA25:CE25" si="151">BT25</f>
        <v/>
      </c>
      <c r="CB25" s="47" t="str">
        <f t="shared" si="151"/>
        <v/>
      </c>
      <c r="CC25" s="47" t="str">
        <f t="shared" si="151"/>
        <v/>
      </c>
      <c r="CD25" s="47" t="str">
        <f t="shared" si="151"/>
        <v/>
      </c>
      <c r="CE25" s="47" t="str">
        <f t="shared" si="151"/>
        <v/>
      </c>
      <c r="CF25" s="47"/>
      <c r="CG25" s="47"/>
      <c r="CH25" s="46" t="str">
        <f t="shared" ref="CH25:CL25" si="152">CA25</f>
        <v/>
      </c>
      <c r="CI25" s="47" t="str">
        <f t="shared" si="152"/>
        <v/>
      </c>
      <c r="CJ25" s="47" t="str">
        <f t="shared" si="152"/>
        <v/>
      </c>
      <c r="CK25" s="47" t="str">
        <f t="shared" si="152"/>
        <v/>
      </c>
      <c r="CL25" s="47" t="str">
        <f t="shared" si="152"/>
        <v/>
      </c>
      <c r="CM25" s="47"/>
      <c r="CN25" s="47"/>
      <c r="CO25" s="46" t="str">
        <f t="shared" ref="CO25:CS25" si="153">CH25</f>
        <v/>
      </c>
      <c r="CP25" s="47" t="str">
        <f t="shared" si="153"/>
        <v/>
      </c>
      <c r="CQ25" s="47" t="str">
        <f t="shared" si="153"/>
        <v/>
      </c>
      <c r="CR25" s="47" t="str">
        <f t="shared" si="153"/>
        <v/>
      </c>
      <c r="CS25" s="47" t="str">
        <f t="shared" si="153"/>
        <v/>
      </c>
      <c r="CT25" s="47"/>
      <c r="CU25" s="47"/>
      <c r="CV25" s="46" t="str">
        <f t="shared" ref="CV25:CZ25" si="154">CO25</f>
        <v/>
      </c>
      <c r="CW25" s="47" t="str">
        <f t="shared" si="154"/>
        <v/>
      </c>
      <c r="CX25" s="47" t="str">
        <f t="shared" si="154"/>
        <v/>
      </c>
      <c r="CY25" s="47" t="str">
        <f t="shared" si="154"/>
        <v/>
      </c>
      <c r="CZ25" s="47" t="str">
        <f t="shared" si="154"/>
        <v/>
      </c>
      <c r="DA25" s="47"/>
      <c r="DB25" s="47"/>
      <c r="DC25" s="46" t="str">
        <f t="shared" ref="DC25:DG25" si="155">CV25</f>
        <v/>
      </c>
      <c r="DD25" s="47" t="str">
        <f t="shared" si="155"/>
        <v/>
      </c>
      <c r="DE25" s="47" t="str">
        <f t="shared" si="155"/>
        <v/>
      </c>
      <c r="DF25" s="47" t="str">
        <f t="shared" si="155"/>
        <v/>
      </c>
      <c r="DG25" s="47" t="str">
        <f t="shared" si="155"/>
        <v/>
      </c>
      <c r="DH25" s="47"/>
      <c r="DI25" s="47"/>
      <c r="DJ25" s="46" t="str">
        <f t="shared" ref="DJ25:DN25" si="156">DC25</f>
        <v/>
      </c>
      <c r="DK25" s="47" t="str">
        <f t="shared" si="156"/>
        <v/>
      </c>
      <c r="DL25" s="47" t="str">
        <f t="shared" si="156"/>
        <v/>
      </c>
      <c r="DM25" s="47" t="str">
        <f t="shared" si="156"/>
        <v/>
      </c>
      <c r="DN25" s="47" t="str">
        <f t="shared" si="156"/>
        <v/>
      </c>
      <c r="DO25" s="47"/>
      <c r="DP25" s="47"/>
      <c r="DQ25" s="46" t="str">
        <f t="shared" ref="DQ25:DU25" si="157">DJ25</f>
        <v/>
      </c>
      <c r="DR25" s="47" t="str">
        <f t="shared" si="157"/>
        <v/>
      </c>
      <c r="DS25" s="47" t="str">
        <f t="shared" si="157"/>
        <v/>
      </c>
      <c r="DT25" s="47" t="str">
        <f t="shared" si="157"/>
        <v/>
      </c>
      <c r="DU25" s="47" t="str">
        <f t="shared" si="157"/>
        <v/>
      </c>
      <c r="DV25" s="47"/>
      <c r="DW25" s="47"/>
      <c r="DX25" s="46" t="str">
        <f t="shared" ref="DX25:EB25" si="158">DQ25</f>
        <v/>
      </c>
      <c r="DY25" s="47" t="str">
        <f t="shared" si="158"/>
        <v/>
      </c>
      <c r="DZ25" s="47" t="str">
        <f t="shared" si="158"/>
        <v/>
      </c>
      <c r="EA25" s="47" t="str">
        <f t="shared" si="158"/>
        <v/>
      </c>
      <c r="EB25" s="47" t="str">
        <f t="shared" si="158"/>
        <v/>
      </c>
      <c r="EC25" s="47"/>
      <c r="ED25" s="47"/>
      <c r="EE25" s="46" t="str">
        <f t="shared" ref="EE25:EI25" si="159">DX25</f>
        <v/>
      </c>
      <c r="EF25" s="47" t="str">
        <f t="shared" si="159"/>
        <v/>
      </c>
      <c r="EG25" s="47" t="str">
        <f t="shared" si="159"/>
        <v/>
      </c>
      <c r="EH25" s="47" t="str">
        <f t="shared" si="159"/>
        <v/>
      </c>
      <c r="EI25" s="47" t="str">
        <f t="shared" si="159"/>
        <v/>
      </c>
      <c r="EJ25" s="47"/>
      <c r="EK25" s="47"/>
      <c r="EL25" s="46" t="str">
        <f t="shared" ref="EL25:EP25" si="160">EE25</f>
        <v/>
      </c>
      <c r="EM25" s="47" t="str">
        <f t="shared" si="160"/>
        <v/>
      </c>
      <c r="EN25" s="47" t="str">
        <f t="shared" si="160"/>
        <v/>
      </c>
      <c r="EO25" s="47" t="str">
        <f t="shared" si="160"/>
        <v/>
      </c>
      <c r="EP25" s="47" t="str">
        <f t="shared" si="160"/>
        <v/>
      </c>
      <c r="EQ25" s="47"/>
      <c r="ER25" s="47"/>
    </row>
    <row r="26">
      <c r="A26" s="3"/>
      <c r="B26" s="42"/>
      <c r="C26" s="3"/>
      <c r="D26" s="3"/>
      <c r="E26" s="3"/>
      <c r="F26" s="3"/>
      <c r="G26" s="3"/>
      <c r="H26" s="3"/>
      <c r="I26" s="42"/>
      <c r="J26" s="3"/>
      <c r="K26" s="3"/>
      <c r="L26" s="3"/>
      <c r="M26" s="3"/>
      <c r="N26" s="3"/>
      <c r="O26" s="3"/>
      <c r="P26" s="42"/>
      <c r="Q26" s="3"/>
      <c r="R26" s="3"/>
      <c r="S26" s="3"/>
      <c r="T26" s="3"/>
      <c r="U26" s="3"/>
      <c r="V26" s="3"/>
      <c r="W26" s="42"/>
      <c r="X26" s="3"/>
      <c r="Y26" s="3"/>
      <c r="Z26" s="3"/>
      <c r="AA26" s="3"/>
      <c r="AB26" s="3"/>
      <c r="AC26" s="3"/>
      <c r="AD26" s="42"/>
      <c r="AE26" s="3"/>
      <c r="AF26" s="3"/>
      <c r="AG26" s="3"/>
      <c r="AH26" s="3"/>
      <c r="AI26" s="3"/>
      <c r="AJ26" s="3"/>
      <c r="AK26" s="42"/>
      <c r="AL26" s="3"/>
      <c r="AM26" s="3"/>
      <c r="AN26" s="3"/>
      <c r="AO26" s="3"/>
      <c r="AP26" s="3"/>
      <c r="AQ26" s="3"/>
      <c r="AR26" s="42"/>
      <c r="AS26" s="3"/>
      <c r="AT26" s="3"/>
      <c r="AU26" s="3"/>
      <c r="AV26" s="3"/>
      <c r="AW26" s="3"/>
      <c r="AX26" s="3"/>
      <c r="AY26" s="42"/>
      <c r="AZ26" s="3"/>
      <c r="BA26" s="3"/>
      <c r="BB26" s="3"/>
      <c r="BC26" s="3"/>
      <c r="BD26" s="3"/>
      <c r="BE26" s="3"/>
      <c r="BF26" s="42"/>
      <c r="BG26" s="3"/>
      <c r="BH26" s="3"/>
      <c r="BI26" s="3"/>
      <c r="BJ26" s="3"/>
      <c r="BK26" s="3"/>
      <c r="BL26" s="3"/>
      <c r="BM26" s="42"/>
      <c r="BN26" s="3"/>
      <c r="BO26" s="3"/>
      <c r="BP26" s="3"/>
      <c r="BQ26" s="3"/>
      <c r="BR26" s="3"/>
      <c r="BS26" s="3"/>
      <c r="BT26" s="42"/>
      <c r="BU26" s="3"/>
      <c r="BV26" s="3"/>
      <c r="BW26" s="3"/>
      <c r="BX26" s="3"/>
      <c r="BY26" s="3"/>
      <c r="BZ26" s="3"/>
      <c r="CA26" s="42"/>
      <c r="CB26" s="3"/>
      <c r="CC26" s="3"/>
      <c r="CD26" s="3"/>
      <c r="CE26" s="3"/>
      <c r="CF26" s="3"/>
      <c r="CG26" s="3"/>
      <c r="CH26" s="42"/>
      <c r="CI26" s="3"/>
      <c r="CJ26" s="3"/>
      <c r="CK26" s="3"/>
      <c r="CL26" s="3"/>
      <c r="CM26" s="3"/>
      <c r="CN26" s="3"/>
      <c r="CO26" s="42"/>
      <c r="CP26" s="3"/>
      <c r="CQ26" s="3"/>
      <c r="CR26" s="3"/>
      <c r="CS26" s="3"/>
      <c r="CT26" s="3"/>
      <c r="CU26" s="3"/>
      <c r="CV26" s="42"/>
      <c r="CW26" s="3"/>
      <c r="CX26" s="3"/>
      <c r="CY26" s="3"/>
      <c r="CZ26" s="3"/>
      <c r="DA26" s="3"/>
      <c r="DB26" s="3"/>
      <c r="DC26" s="42"/>
      <c r="DD26" s="3"/>
      <c r="DE26" s="3"/>
      <c r="DF26" s="3"/>
      <c r="DG26" s="3"/>
      <c r="DH26" s="3"/>
      <c r="DI26" s="3"/>
      <c r="DJ26" s="42"/>
      <c r="DK26" s="3"/>
      <c r="DL26" s="3"/>
      <c r="DM26" s="3"/>
      <c r="DN26" s="3"/>
      <c r="DO26" s="3"/>
      <c r="DP26" s="3"/>
      <c r="DQ26" s="42"/>
      <c r="DR26" s="3"/>
      <c r="DS26" s="3"/>
      <c r="DT26" s="3"/>
      <c r="DU26" s="3"/>
      <c r="DV26" s="3"/>
      <c r="DW26" s="3"/>
      <c r="DX26" s="42"/>
      <c r="DY26" s="3"/>
      <c r="DZ26" s="3"/>
      <c r="EA26" s="3"/>
      <c r="EB26" s="3"/>
      <c r="EC26" s="3"/>
      <c r="ED26" s="3"/>
      <c r="EE26" s="42"/>
      <c r="EF26" s="3"/>
      <c r="EG26" s="3"/>
      <c r="EH26" s="3"/>
      <c r="EI26" s="3"/>
      <c r="EJ26" s="3"/>
      <c r="EK26" s="3"/>
      <c r="EL26" s="42"/>
      <c r="EM26" s="3"/>
      <c r="EN26" s="3"/>
      <c r="EO26" s="3"/>
      <c r="EP26" s="3"/>
      <c r="EQ26" s="3"/>
      <c r="ER26" s="3"/>
    </row>
    <row r="27">
      <c r="A27" s="32" t="s">
        <v>81</v>
      </c>
      <c r="B27" s="33"/>
      <c r="C27" s="34"/>
      <c r="D27" s="34"/>
      <c r="E27" s="34"/>
      <c r="F27" s="34"/>
      <c r="G27" s="34"/>
      <c r="H27" s="34"/>
      <c r="I27" s="33"/>
      <c r="J27" s="34"/>
      <c r="K27" s="34"/>
      <c r="L27" s="34"/>
      <c r="M27" s="34"/>
      <c r="N27" s="34"/>
      <c r="O27" s="34"/>
      <c r="P27" s="33"/>
      <c r="Q27" s="34"/>
      <c r="R27" s="34"/>
      <c r="S27" s="34"/>
      <c r="T27" s="34"/>
      <c r="U27" s="34"/>
      <c r="V27" s="34"/>
      <c r="W27" s="33"/>
      <c r="X27" s="34"/>
      <c r="Y27" s="34"/>
      <c r="Z27" s="34"/>
      <c r="AA27" s="34"/>
      <c r="AB27" s="34"/>
      <c r="AC27" s="34"/>
      <c r="AD27" s="33"/>
      <c r="AE27" s="34"/>
      <c r="AF27" s="34"/>
      <c r="AG27" s="34"/>
      <c r="AH27" s="34"/>
      <c r="AI27" s="34"/>
      <c r="AJ27" s="34"/>
      <c r="AK27" s="33"/>
      <c r="AL27" s="34"/>
      <c r="AM27" s="34"/>
      <c r="AN27" s="34"/>
      <c r="AO27" s="34"/>
      <c r="AP27" s="34"/>
      <c r="AQ27" s="34"/>
      <c r="AR27" s="33"/>
      <c r="AS27" s="34"/>
      <c r="AT27" s="34"/>
      <c r="AU27" s="34"/>
      <c r="AV27" s="34"/>
      <c r="AW27" s="34"/>
      <c r="AX27" s="34"/>
      <c r="AY27" s="33"/>
      <c r="AZ27" s="34"/>
      <c r="BA27" s="34"/>
      <c r="BB27" s="34"/>
      <c r="BC27" s="34"/>
      <c r="BD27" s="34"/>
      <c r="BE27" s="34"/>
      <c r="BF27" s="33"/>
      <c r="BG27" s="34"/>
      <c r="BH27" s="34"/>
      <c r="BI27" s="34"/>
      <c r="BJ27" s="34"/>
      <c r="BK27" s="34"/>
      <c r="BL27" s="34"/>
      <c r="BM27" s="33"/>
      <c r="BN27" s="34"/>
      <c r="BO27" s="34"/>
      <c r="BP27" s="34"/>
      <c r="BQ27" s="34"/>
      <c r="BR27" s="34"/>
      <c r="BS27" s="34"/>
      <c r="BT27" s="33"/>
      <c r="BU27" s="34"/>
      <c r="BV27" s="34"/>
      <c r="BW27" s="34"/>
      <c r="BX27" s="34"/>
      <c r="BY27" s="34"/>
      <c r="BZ27" s="34"/>
      <c r="CA27" s="33"/>
      <c r="CB27" s="34"/>
      <c r="CC27" s="34"/>
      <c r="CD27" s="34"/>
      <c r="CE27" s="34"/>
      <c r="CF27" s="34"/>
      <c r="CG27" s="34"/>
      <c r="CH27" s="33"/>
      <c r="CI27" s="34"/>
      <c r="CJ27" s="34"/>
      <c r="CK27" s="34"/>
      <c r="CL27" s="34"/>
      <c r="CM27" s="34"/>
      <c r="CN27" s="34"/>
      <c r="CO27" s="33"/>
      <c r="CP27" s="34"/>
      <c r="CQ27" s="34"/>
      <c r="CR27" s="34"/>
      <c r="CS27" s="34"/>
      <c r="CT27" s="34"/>
      <c r="CU27" s="34"/>
      <c r="CV27" s="33"/>
      <c r="CW27" s="34"/>
      <c r="CX27" s="34"/>
      <c r="CY27" s="34"/>
      <c r="CZ27" s="34"/>
      <c r="DA27" s="34"/>
      <c r="DB27" s="34"/>
      <c r="DC27" s="33"/>
      <c r="DD27" s="34"/>
      <c r="DE27" s="34"/>
      <c r="DF27" s="34"/>
      <c r="DG27" s="34"/>
      <c r="DH27" s="34"/>
      <c r="DI27" s="34"/>
      <c r="DJ27" s="33"/>
      <c r="DK27" s="34"/>
      <c r="DL27" s="34"/>
      <c r="DM27" s="34"/>
      <c r="DN27" s="34"/>
      <c r="DO27" s="34"/>
      <c r="DP27" s="34"/>
      <c r="DQ27" s="33"/>
      <c r="DR27" s="34"/>
      <c r="DS27" s="34"/>
      <c r="DT27" s="34"/>
      <c r="DU27" s="34"/>
      <c r="DV27" s="34"/>
      <c r="DW27" s="34"/>
      <c r="DX27" s="33"/>
      <c r="DY27" s="34"/>
      <c r="DZ27" s="34"/>
      <c r="EA27" s="34"/>
      <c r="EB27" s="34"/>
      <c r="EC27" s="34"/>
      <c r="ED27" s="34"/>
      <c r="EE27" s="35" t="s">
        <v>77</v>
      </c>
      <c r="EF27" s="36"/>
      <c r="EG27" s="36"/>
      <c r="EH27" s="36"/>
      <c r="EI27" s="36"/>
      <c r="EJ27" s="36"/>
      <c r="EK27" s="36"/>
      <c r="EL27" s="33"/>
      <c r="EM27" s="34"/>
      <c r="EN27" s="34"/>
      <c r="EO27" s="34"/>
      <c r="EP27" s="34"/>
      <c r="EQ27" s="34"/>
      <c r="ER27" s="34"/>
    </row>
    <row r="28" hidden="1">
      <c r="A28" s="37" t="str">
        <f>CONCATENATE(A29," TM")</f>
        <v>Deadlift TM</v>
      </c>
      <c r="B28" s="38">
        <f>if(D28="",'Quick Setup'!D7,D28/'Quick Setup'!E7)</f>
        <v>525</v>
      </c>
      <c r="C28" s="39" t="s">
        <v>75</v>
      </c>
      <c r="D28" s="40"/>
      <c r="E28" s="41"/>
      <c r="F28" s="41"/>
      <c r="G28" s="41"/>
      <c r="H28" s="41"/>
      <c r="I28" s="38">
        <f>if(K28="", if(F29&lt;&gt;"", if((F29-D29)&lt;-1,B28*(1+Setup!F5),if((F29-D29)&lt;0,B28*(1+Setup!G5),if((F29-D29)=0,B28*(1+Setup!H5),if((F29-D29)=1,B28*(1+Setup!I5),if((F29-D29)=2,B28*(1+Setup!J5),if((F29-D29)=3,B28*(1+Setup!K5),if((F29-D29)=4,B28*(1+Setup!L5),if((F29-D29)&gt;4,B28*(1+Setup!M5),B28)))))))),B28),K28/'Quick Setup'!$E7)</f>
        <v>525</v>
      </c>
      <c r="J28" s="39" t="s">
        <v>75</v>
      </c>
      <c r="K28" s="40"/>
      <c r="L28" s="41"/>
      <c r="M28" s="41"/>
      <c r="N28" s="41"/>
      <c r="O28" s="41"/>
      <c r="P28" s="38">
        <f>if(R28="", if(M29&lt;&gt;"", if((M29-K29)&lt;-1,I28*(1+Setup!R5),if((M29-K29)&lt;0,I28*(1+Setup!S5),if((M29-K29)=0,I28*(1+Setup!T5),if((M29-K29)=1,I28*(1+Setup!U5),if((M29-K29)=2,I28*(1+Setup!V5),if((M29-K29)=3,I28*(1+Setup!W5),if((M29-K29)=4,I28*(1+Setup!X5),if((M29-K29)&gt;4,I28*(1+Setup!Y5),I28)))))))),I28),R28/'Quick Setup'!$E7)</f>
        <v>525</v>
      </c>
      <c r="Q28" s="39" t="s">
        <v>75</v>
      </c>
      <c r="R28" s="40"/>
      <c r="S28" s="41"/>
      <c r="T28" s="41"/>
      <c r="U28" s="41"/>
      <c r="V28" s="41"/>
      <c r="W28" s="38">
        <f>if(Y28="", if(T29&lt;&gt;"", if((T29-R29)&lt;-1,P28*(1+Setup!AD5),if((T29-R29)&lt;0,P28*(1+Setup!AE5),if((T29-R29)=0,P28*(1+Setup!AF5),if((T29-R29)=1,P28*(1+Setup!AG5),if((T29-R29)=2,P28*(1+Setup!AH5),if((T29-R29)=3,P28*(1+Setup!AI5),if((T29-R29)=4,P28*(1+Setup!AJ5),if((T29-R29)&gt;4,P28*(1+Setup!AK5),P28)))))))),P28),Y28/'Quick Setup'!$E7)</f>
        <v>525</v>
      </c>
      <c r="X28" s="39" t="s">
        <v>75</v>
      </c>
      <c r="Y28" s="40"/>
      <c r="Z28" s="41"/>
      <c r="AA28" s="41"/>
      <c r="AB28" s="41"/>
      <c r="AC28" s="41"/>
      <c r="AD28" s="38">
        <f>if(AF28="", if(AA29&lt;&gt;"", if((AA29-Y29)&lt;-1,W28*(1+Setup!AP5),if((AA29-Y29)&lt;0,W28*(1+Setup!AQ5),if((AA29-Y29)=0,W28*(1+Setup!AR5),if((AA29-Y29)=1,W28*(1+Setup!AS5),if((AA29-Y29)=2,W28*(1+Setup!AT5),if((AA29-Y29)=3,W28*(1+Setup!AU5),if((AA29-Y29)=4,W28*(1+Setup!AV5),if((AA29-Y29)&gt;4,W28*(1+Setup!AW5),W28)))))))),W28),AF28/'Quick Setup'!$E7)</f>
        <v>525</v>
      </c>
      <c r="AE28" s="39" t="s">
        <v>75</v>
      </c>
      <c r="AF28" s="40"/>
      <c r="AG28" s="41"/>
      <c r="AH28" s="41"/>
      <c r="AI28" s="41"/>
      <c r="AJ28" s="41"/>
      <c r="AK28" s="38">
        <f>if(AM28="", if(AH29&lt;&gt;"", if((AH29-AF29)&lt;-1,AD28*(1+Setup!BB5),if((AH29-AF29)&lt;0,AD28*(1+Setup!BC5),if((AH29-AF29)=0,AD28*(1+Setup!BD5),if((AH29-AF29)=1,AD28*(1+Setup!BE5),if((AH29-AF29)=2,AD28*(1+Setup!BF5),if((AH29-AF29)=3,AD28*(1+Setup!BG5),if((AH29-AF29)=4,AD28*(1+Setup!BH5),if((AH29-AF29)&gt;4,AD28*(1+Setup!BI5),AD28)))))))),AD28),AM28/'Quick Setup'!$E7)</f>
        <v>525</v>
      </c>
      <c r="AL28" s="39" t="s">
        <v>75</v>
      </c>
      <c r="AM28" s="40"/>
      <c r="AN28" s="41"/>
      <c r="AO28" s="41"/>
      <c r="AP28" s="41"/>
      <c r="AQ28" s="41"/>
      <c r="AR28" s="38">
        <f>if(AT28="", if(AO29&lt;&gt;"", if((AO29-AM29)&lt;-1,AK28*(1+Setup!BN5),if((AO29-AM29)&lt;0,AK28*(1+Setup!BO5),if((AO29-AM29)=0,AK28*(1+Setup!BP5),if((AO29-AM29)=1,AK28*(1+Setup!BQ5),if((AO29-AM29)=2,AK28*(1+Setup!BR5),if((AO29-AM29)=3,AK28*(1+Setup!BS5),if((AO29-AM29)=4,AK28*(1+Setup!BT5),if((AO29-AM29)&gt;4,AK28*(1+Setup!BU5),AK28)))))))),AK28),AT28/'Quick Setup'!$E7)</f>
        <v>525</v>
      </c>
      <c r="AS28" s="39" t="s">
        <v>75</v>
      </c>
      <c r="AT28" s="40"/>
      <c r="AU28" s="41"/>
      <c r="AV28" s="41"/>
      <c r="AW28" s="41"/>
      <c r="AX28" s="41"/>
      <c r="AY28" s="38">
        <f>if(BA28="",AR28,BA28/'Quick Setup'!$E7)</f>
        <v>525</v>
      </c>
      <c r="AZ28" s="39" t="s">
        <v>75</v>
      </c>
      <c r="BA28" s="40"/>
      <c r="BB28" s="41"/>
      <c r="BC28" s="41"/>
      <c r="BD28" s="41"/>
      <c r="BE28" s="41"/>
      <c r="BF28" s="38">
        <f>if(BH28="", if(BC29&lt;&gt;"", if((BC29-BA29)&lt;-1,AY28*(1+Setup!CL5),if((BC29-BA29)&lt;0,AY28*(1+Setup!CM5),if((BC29-BA29)=0,AY28*(1+Setup!CN5),if((BC29-BA29)=1,AY28*(1+Setup!CO5),if((BC29-BA29)=2,AY28*(1+Setup!CP5),if((BC29-BA29)=3,AY28*(1+Setup!CQ5),if((BC29-BA29)=4,AY28*(1+Setup!CR5),if((BC29-BA29)&gt;4,AY28*(1+Setup!CS5),AY28)))))))),AY28),BH28/'Quick Setup'!$E7)</f>
        <v>525</v>
      </c>
      <c r="BG28" s="39" t="s">
        <v>75</v>
      </c>
      <c r="BH28" s="40"/>
      <c r="BI28" s="41"/>
      <c r="BJ28" s="41"/>
      <c r="BK28" s="41"/>
      <c r="BL28" s="41"/>
      <c r="BM28" s="38">
        <f>if(BO28="", if(BJ29&lt;&gt;"", if((BJ29-BH29)&lt;-1,BF28*(1+Setup!CX5),if((BJ29-BH29)&lt;0,BF28*(1+Setup!CY5),if((BJ29-BH29)=0,BF28*(1+Setup!CZ5),if((BJ29-BH29)=1,BF28*(1+Setup!DA5),if((BJ29-BH29)=2,BF28*(1+Setup!DB5),if((BJ29-BH29)=3,BF28*(1+Setup!DC5),if((BJ29-BH29)=4,BF28*(1+Setup!DD5),if((BJ29-BH29)&gt;4,BF28*(1+Setup!DE5),BF28)))))))),BF28),BO28/'Quick Setup'!$E7)</f>
        <v>525</v>
      </c>
      <c r="BN28" s="39" t="s">
        <v>75</v>
      </c>
      <c r="BO28" s="40"/>
      <c r="BP28" s="41"/>
      <c r="BQ28" s="41"/>
      <c r="BR28" s="41"/>
      <c r="BS28" s="41"/>
      <c r="BT28" s="38">
        <f>if(BV28="", if(BQ29&lt;&gt;"", if((BQ29-BO29)&lt;-1,BM28*(1+Setup!DJ5),if((BQ29-BO29)&lt;0,BM28*(1+Setup!DK5),if((BQ29-BO29)=0,BM28*(1+Setup!DL5),if((BQ29-BO29)=1,BM28*(1+Setup!DM5),if((BQ29-BO29)=2,BM28*(1+Setup!DN5),if((BQ29-BO29)=3,BM28*(1+Setup!DO5),if((BQ29-BO29)=4,BM28*(1+Setup!DP5),if((BQ29-BO29)&gt;4,BM28*(1+Setup!DQ5),BM28)))))))),BM28),BV28/'Quick Setup'!$E7)</f>
        <v>525</v>
      </c>
      <c r="BU28" s="39" t="s">
        <v>75</v>
      </c>
      <c r="BV28" s="40"/>
      <c r="BW28" s="41"/>
      <c r="BX28" s="41"/>
      <c r="BY28" s="41"/>
      <c r="BZ28" s="41"/>
      <c r="CA28" s="38">
        <f>if(CC28="", if(BX29&lt;&gt;"", if((BX29-BV29)&lt;-1,BT28*(1+Setup!DV5),if((BX29-BV29)&lt;0,BT28*(1+Setup!DW5),if((BX29-BV29)=0,BT28*(1+Setup!DX5),if((BX29-BV29)=1,BT28*(1+Setup!DY5),if((BX29-BV29)=2,BT28*(1+Setup!DZ5),if((BX29-BV29)=3,BT28*(1+Setup!EA5),if((BX29-BV29)=4,BT28*(1+Setup!EB5),if((BX29-BV29)&gt;4,BT28*(1+Setup!EC5),BT28)))))))),BT28),CC28/'Quick Setup'!$E7)</f>
        <v>525</v>
      </c>
      <c r="CB28" s="39" t="s">
        <v>75</v>
      </c>
      <c r="CC28" s="40"/>
      <c r="CD28" s="41"/>
      <c r="CE28" s="41"/>
      <c r="CF28" s="41"/>
      <c r="CG28" s="41"/>
      <c r="CH28" s="38">
        <f>if(CJ28="", if(CE29&lt;&gt;"", if((CE29-CC29)&lt;-1,CA28*(1+Setup!EH5),if((CE29-CC29)&lt;0,CA28*(1+Setup!EI5),if((CE29-CC29)=0,CA28*(1+Setup!EJ5),if((CE29-CC29)=1,CA28*(1+Setup!EK5),if((CE29-CC29)=2,CA28*(1+Setup!EL5),if((CE29-CC29)=3,CA28*(1+Setup!EM5),if((CE29-CC29)=4,CA28*(1+Setup!EN5),if((CE29-CC29)&gt;4,CA28*(1+Setup!EO5),CA28)))))))),CA28),CJ28/'Quick Setup'!$E7)</f>
        <v>525</v>
      </c>
      <c r="CI28" s="39" t="s">
        <v>75</v>
      </c>
      <c r="CJ28" s="40"/>
      <c r="CK28" s="41"/>
      <c r="CL28" s="41"/>
      <c r="CM28" s="41"/>
      <c r="CN28" s="41"/>
      <c r="CO28" s="38">
        <f>if(CQ28="", if(CL29&lt;&gt;"", if((CL29-CJ29)&lt;-1,CH28*(1+Setup!ET5),if((CL29-CJ29)&lt;0,CH28*(1+Setup!EU5),if((CL29-CJ29)=0,CH28*(1+Setup!EV5),if((CL29-CJ29)=1,CH28*(1+Setup!EW5),if((CL29-CJ29)=2,CH28*(1+Setup!EX5),if((CL29-CJ29)=3,CH28*(1+Setup!EY5),if((CL29-CJ29)=4,CH28*(1+Setup!EZ5),if((CL29-CJ29)&gt;4,CH28*(1+Setup!FA5),CH28)))))))),CH28),CQ28/'Quick Setup'!$E7)</f>
        <v>525</v>
      </c>
      <c r="CP28" s="39" t="s">
        <v>75</v>
      </c>
      <c r="CQ28" s="40"/>
      <c r="CR28" s="41"/>
      <c r="CS28" s="41"/>
      <c r="CT28" s="41"/>
      <c r="CU28" s="41"/>
      <c r="CV28" s="38">
        <f>if(CX28="",CO28,CX28/'Quick Setup'!$E7)</f>
        <v>525</v>
      </c>
      <c r="CW28" s="39" t="s">
        <v>75</v>
      </c>
      <c r="CX28" s="40"/>
      <c r="CY28" s="41"/>
      <c r="CZ28" s="41"/>
      <c r="DA28" s="41"/>
      <c r="DB28" s="41"/>
      <c r="DC28" s="38">
        <f>if(DE28="", if(CZ29&lt;&gt;"", if((CZ29-CX29)&lt;-1,CV28*(1+Setup!FR5),if((CZ29-CX29)&lt;0,CV28*(1+Setup!FS5),if((CZ29-CX29)=0,CV28*(1+Setup!FT5),if((CZ29-CX29)=1,CV28*(1+Setup!FU5),if((CZ29-CX29)=2,CV28*(1+Setup!FV5),if((CZ29-CX29)=3,CV28*(1+Setup!FW5),if((CZ29-CX29)=4,CV28*(1+Setup!FX5),if((CZ29-CX29)&gt;4,CV28*(1+Setup!FY5),CV28)))))))),CV28),DE28/'Quick Setup'!$E7)</f>
        <v>525</v>
      </c>
      <c r="DD28" s="39" t="s">
        <v>75</v>
      </c>
      <c r="DE28" s="40"/>
      <c r="DF28" s="41"/>
      <c r="DG28" s="41"/>
      <c r="DH28" s="41"/>
      <c r="DI28" s="41"/>
      <c r="DJ28" s="38">
        <f>if(DL28="", if(DG29&lt;&gt;"", if((DG29-DE29)&lt;-1,DC28*(1+Setup!GD5),if((DG29-DE29)&lt;0,DC28*(1+Setup!GE5),if((DG29-DE29)=0,DC28*(1+Setup!GF5),if((DG29-DE29)=1,DC28*(1+Setup!GG5),if((DG29-DE29)=2,DC28*(1+Setup!GH5),if((DG29-DE29)=3,DC28*(1+Setup!GI5),if((DG29-DE29)=4,DC28*(1+Setup!GJ5),if((DG29-DE29)&gt;4,DC28*(1+Setup!GK5),DC28)))))))),DC28),DL28/'Quick Setup'!$E7)</f>
        <v>525</v>
      </c>
      <c r="DK28" s="39" t="s">
        <v>75</v>
      </c>
      <c r="DL28" s="40"/>
      <c r="DM28" s="41"/>
      <c r="DN28" s="41"/>
      <c r="DO28" s="41"/>
      <c r="DP28" s="41"/>
      <c r="DQ28" s="38">
        <f>if(DS28="", if(DN29&lt;&gt;"", if((DN29-DL29)&lt;-1,DJ28*(1+Setup!GP5),if((DN29-DL29)&lt;0,DJ28*(1+Setup!GQ5),if((DN29-DL29)=0,DJ28*(1+Setup!GR5),if((DN29-DL29)=1,DJ28*(1+Setup!GS5),if((DN29-DL29)=2,DJ28*(1+Setup!GT5),if((DN29-DL29)=3,DJ28*(1+Setup!GU5),if((DN29-DL29)=4,DJ28*(1+Setup!GV5),if((DN29-DL29)&gt;4,DJ28*(1+Setup!GW5),DJ28)))))))),DJ28),DS28/'Quick Setup'!$E7)</f>
        <v>525</v>
      </c>
      <c r="DR28" s="39" t="s">
        <v>75</v>
      </c>
      <c r="DS28" s="40"/>
      <c r="DT28" s="41"/>
      <c r="DU28" s="41"/>
      <c r="DV28" s="41"/>
      <c r="DW28" s="41"/>
      <c r="DX28" s="38">
        <f>if(DZ28="", if(DU29&lt;&gt;"", if((DU29-DS29)&lt;-1,DQ28*(1+Setup!HB5),if((DU29-DS29)&lt;0,DQ28*(1+Setup!HC5),if((DU29-DS29)=0,DQ28*(1+Setup!HD5),if((DU29-DS29)=1,DQ28*(1+Setup!HE5),if((DU29-DS29)=2,DQ28*(1+Setup!HF5),if((DU29-DS29)=3,DQ28*(1+Setup!HG5),if((DU29-DS29)=4,DQ28*(1+Setup!HH5),if((DU29-DS29)&gt;4,DQ28*(1+Setup!HI5),DQ28)))))))),DQ28),DZ28/'Quick Setup'!$E7)</f>
        <v>525</v>
      </c>
      <c r="DY28" s="39" t="s">
        <v>75</v>
      </c>
      <c r="DZ28" s="40"/>
      <c r="EA28" s="41"/>
      <c r="EB28" s="41"/>
      <c r="EC28" s="41"/>
      <c r="ED28" s="41"/>
      <c r="EE28" s="38">
        <f>if(EG28="", if(EB29&lt;&gt;"", if((EB29-DZ29)&lt;-1,DX28*(1+Setup!HN5),if((EB29-DZ29)&lt;0,DX28*(1+Setup!HO5),if((EB29-DZ29)=0,DX28*(1+Setup!HP5),if((EB29-DZ29)=1,DX28*(1+Setup!HQ5),if((EB29-DZ29)=2,DX28*(1+Setup!HR5),if((EB29-DZ29)=3,DX28*(1+Setup!HS5),if((EB29-DZ29)=4,DX28*(1+Setup!HT5),if((EB29-DZ29)&gt;4,DX28*(1+Setup!HU5),DX28)))))))),DX28),EG28/'Quick Setup'!$E7)</f>
        <v>525</v>
      </c>
      <c r="EF28" s="39" t="s">
        <v>75</v>
      </c>
      <c r="EG28" s="40"/>
      <c r="EH28" s="41"/>
      <c r="EI28" s="41"/>
      <c r="EJ28" s="41"/>
      <c r="EK28" s="41"/>
      <c r="EL28" s="38">
        <f>if(EN28="", if(EI29&lt;&gt;"", if((EI29-EG29)&lt;-1,EE28*(1+Setup!HZ5),if((EI29-EG29)&lt;0,EE28*(1+Setup!IA5),if((EI29-EG29)=0,EE28*(1+Setup!IB5),if((EI29-EG29)=1,EE28*(1+Setup!IC5),if((EI29-EG29)=2,EE28*(1+Setup!ID5),if((EI29-EG29)=3,EE28*(1+Setup!IE5),if((EI29-EG29)=4,EE28*(1+Setup!IF5),if((EI29-EG29)&gt;4,EE28*(1+Setup!IG5),EE28)))))))),EE28),EN28/'Quick Setup'!$E7)</f>
        <v>525</v>
      </c>
      <c r="EM28" s="39" t="s">
        <v>75</v>
      </c>
      <c r="EN28" s="40"/>
      <c r="EO28" s="41"/>
      <c r="EP28" s="41"/>
      <c r="EQ28" s="41"/>
      <c r="ER28" s="41"/>
    </row>
    <row r="29">
      <c r="A29" s="1" t="str">
        <f>Setup!A5</f>
        <v>Deadlift</v>
      </c>
      <c r="B29" s="42">
        <f>mround(B28*Setup!B5,'Quick Setup'!$A$2)</f>
        <v>367.5</v>
      </c>
      <c r="C29" s="3">
        <f>Setup!C5</f>
        <v>5</v>
      </c>
      <c r="D29" s="3">
        <f>Setup!D5</f>
        <v>10</v>
      </c>
      <c r="E29" s="3">
        <f>Setup!E5</f>
        <v>5</v>
      </c>
      <c r="F29" s="10"/>
      <c r="G29" s="10"/>
      <c r="H29" s="10"/>
      <c r="I29" s="42">
        <f>mround(I28*Setup!N5,'Quick Setup'!$A$2)</f>
        <v>395</v>
      </c>
      <c r="J29" s="3">
        <f>Setup!O5</f>
        <v>4</v>
      </c>
      <c r="K29" s="3">
        <f>Setup!P5</f>
        <v>8</v>
      </c>
      <c r="L29" s="3">
        <f>Setup!Q5</f>
        <v>5</v>
      </c>
      <c r="M29" s="10"/>
      <c r="N29" s="10"/>
      <c r="O29" s="10"/>
      <c r="P29" s="42">
        <f>mround(P28*Setup!Z5,'Quick Setup'!$A$2)</f>
        <v>420</v>
      </c>
      <c r="Q29" s="3">
        <f>Setup!AA5</f>
        <v>3</v>
      </c>
      <c r="R29" s="3">
        <f>Setup!AB5</f>
        <v>6</v>
      </c>
      <c r="S29" s="3">
        <f>Setup!AC5</f>
        <v>5</v>
      </c>
      <c r="T29" s="10"/>
      <c r="U29" s="10"/>
      <c r="V29" s="10"/>
      <c r="W29" s="42">
        <f>mround(W28*Setup!AL5,'Quick Setup'!$A$2)</f>
        <v>380</v>
      </c>
      <c r="X29" s="3">
        <f>Setup!AM5</f>
        <v>5</v>
      </c>
      <c r="Y29" s="3">
        <f>Setup!AN5</f>
        <v>9</v>
      </c>
      <c r="Z29" s="3">
        <f>Setup!AO5</f>
        <v>5</v>
      </c>
      <c r="AA29" s="10"/>
      <c r="AB29" s="10"/>
      <c r="AC29" s="10"/>
      <c r="AD29" s="42">
        <f>mround(AD28*Setup!AX5,'Quick Setup'!$A$2)</f>
        <v>407.5</v>
      </c>
      <c r="AE29" s="3">
        <f>Setup!AY5</f>
        <v>4</v>
      </c>
      <c r="AF29" s="3">
        <f>Setup!AZ5</f>
        <v>7</v>
      </c>
      <c r="AG29" s="3">
        <f>Setup!BA5</f>
        <v>5</v>
      </c>
      <c r="AH29" s="10"/>
      <c r="AI29" s="10"/>
      <c r="AJ29" s="10"/>
      <c r="AK29" s="42">
        <f>mround(AK28*Setup!BJ5,'Quick Setup'!$A$2)</f>
        <v>432.5</v>
      </c>
      <c r="AL29" s="3">
        <f>Setup!BK5</f>
        <v>3</v>
      </c>
      <c r="AM29" s="3">
        <f>Setup!BL5</f>
        <v>5</v>
      </c>
      <c r="AN29" s="3">
        <f>Setup!BM5</f>
        <v>5</v>
      </c>
      <c r="AO29" s="10"/>
      <c r="AP29" s="10"/>
      <c r="AQ29" s="10"/>
      <c r="AR29" s="42">
        <f>mround(AR28*Setup!BV5,'Quick Setup'!$A$2)</f>
        <v>315</v>
      </c>
      <c r="AS29" s="1">
        <v>5.0</v>
      </c>
      <c r="AT29" s="1" t="s">
        <v>78</v>
      </c>
      <c r="AU29" s="3">
        <f>Setup!BY5</f>
        <v>5</v>
      </c>
      <c r="AV29" s="10"/>
      <c r="AW29" s="10"/>
      <c r="AX29" s="10"/>
      <c r="AY29" s="42">
        <f>mround(AY28*Setup!CH5,'Quick Setup'!$A$2)</f>
        <v>395</v>
      </c>
      <c r="AZ29" s="3">
        <f>Setup!CI5</f>
        <v>4</v>
      </c>
      <c r="BA29" s="3">
        <f>Setup!CJ5</f>
        <v>8</v>
      </c>
      <c r="BB29" s="3">
        <f>Setup!CK5</f>
        <v>5</v>
      </c>
      <c r="BC29" s="10"/>
      <c r="BD29" s="10"/>
      <c r="BE29" s="10"/>
      <c r="BF29" s="42">
        <f>mround(BF28*Setup!CT5,'Quick Setup'!$A$2)</f>
        <v>420</v>
      </c>
      <c r="BG29" s="3">
        <f>Setup!CU5</f>
        <v>3</v>
      </c>
      <c r="BH29" s="3">
        <f>Setup!CV5</f>
        <v>6</v>
      </c>
      <c r="BI29" s="3">
        <f>Setup!CW5</f>
        <v>5</v>
      </c>
      <c r="BJ29" s="10"/>
      <c r="BK29" s="10"/>
      <c r="BL29" s="10"/>
      <c r="BM29" s="42">
        <f>mround(BM28*Setup!DF5,'Quick Setup'!$A$2)</f>
        <v>447.5</v>
      </c>
      <c r="BN29" s="3">
        <f>Setup!DG5</f>
        <v>2</v>
      </c>
      <c r="BO29" s="3">
        <f>Setup!DH5</f>
        <v>4</v>
      </c>
      <c r="BP29" s="3">
        <f>Setup!DI5</f>
        <v>5</v>
      </c>
      <c r="BQ29" s="10"/>
      <c r="BR29" s="10"/>
      <c r="BS29" s="10"/>
      <c r="BT29" s="42">
        <f>mround(BT28*Setup!DR5,'Quick Setup'!$A$2)</f>
        <v>407.5</v>
      </c>
      <c r="BU29" s="3">
        <f>Setup!DS5</f>
        <v>4</v>
      </c>
      <c r="BV29" s="3">
        <f>Setup!DT5</f>
        <v>7</v>
      </c>
      <c r="BW29" s="3">
        <f>Setup!DU5</f>
        <v>5</v>
      </c>
      <c r="BX29" s="10"/>
      <c r="BY29" s="10"/>
      <c r="BZ29" s="10"/>
      <c r="CA29" s="42">
        <f>mround(CA28*Setup!ED5,'Quick Setup'!$A$2)</f>
        <v>432.5</v>
      </c>
      <c r="CB29" s="3">
        <f>Setup!EE5</f>
        <v>3</v>
      </c>
      <c r="CC29" s="3">
        <f>Setup!EF5</f>
        <v>5</v>
      </c>
      <c r="CD29" s="3">
        <f>Setup!EG5</f>
        <v>5</v>
      </c>
      <c r="CE29" s="10"/>
      <c r="CF29" s="10"/>
      <c r="CG29" s="10"/>
      <c r="CH29" s="42">
        <f>mround(CH28*Setup!EP5,'Quick Setup'!$A$2)</f>
        <v>460</v>
      </c>
      <c r="CI29" s="3">
        <f>Setup!EQ5</f>
        <v>2</v>
      </c>
      <c r="CJ29" s="3">
        <f>Setup!ER5</f>
        <v>3</v>
      </c>
      <c r="CK29" s="3">
        <f>Setup!ES5</f>
        <v>5</v>
      </c>
      <c r="CL29" s="10"/>
      <c r="CM29" s="10"/>
      <c r="CN29" s="10"/>
      <c r="CO29" s="42">
        <f>mround(CO28*Setup!FB5,'Quick Setup'!$A$2)</f>
        <v>315</v>
      </c>
      <c r="CP29" s="1">
        <v>5.0</v>
      </c>
      <c r="CQ29" s="1" t="s">
        <v>78</v>
      </c>
      <c r="CR29" s="3">
        <f>Setup!FE5</f>
        <v>5</v>
      </c>
      <c r="CS29" s="10"/>
      <c r="CT29" s="10"/>
      <c r="CU29" s="10"/>
      <c r="CV29" s="42">
        <f>mround(CV28*Setup!FN5,'Quick Setup'!$A$2)</f>
        <v>420</v>
      </c>
      <c r="CW29" s="3">
        <f>Setup!FO5</f>
        <v>3</v>
      </c>
      <c r="CX29" s="3">
        <f>Setup!FP5</f>
        <v>6</v>
      </c>
      <c r="CY29" s="3">
        <f>Setup!FQ5</f>
        <v>5</v>
      </c>
      <c r="CZ29" s="10"/>
      <c r="DA29" s="10"/>
      <c r="DB29" s="10"/>
      <c r="DC29" s="42">
        <f>mround(DC28*Setup!FZ5,'Quick Setup'!$A$2)</f>
        <v>447.5</v>
      </c>
      <c r="DD29" s="3">
        <f>Setup!GA5</f>
        <v>2</v>
      </c>
      <c r="DE29" s="3">
        <f>Setup!GB5</f>
        <v>4</v>
      </c>
      <c r="DF29" s="3">
        <f>Setup!GC5</f>
        <v>5</v>
      </c>
      <c r="DG29" s="10"/>
      <c r="DH29" s="10"/>
      <c r="DI29" s="10"/>
      <c r="DJ29" s="42">
        <f>mround(DJ28*Setup!GL5,'Quick Setup'!$A$2)</f>
        <v>472.5</v>
      </c>
      <c r="DK29" s="3">
        <f>Setup!GM5</f>
        <v>1</v>
      </c>
      <c r="DL29" s="3">
        <f>Setup!GN5</f>
        <v>2</v>
      </c>
      <c r="DM29" s="3">
        <f>Setup!GO5</f>
        <v>5</v>
      </c>
      <c r="DN29" s="10"/>
      <c r="DO29" s="10"/>
      <c r="DP29" s="10"/>
      <c r="DQ29" s="42">
        <f>mround(DQ28*Setup!GX5,'Quick Setup'!$A$2)</f>
        <v>447.5</v>
      </c>
      <c r="DR29" s="3">
        <f>Setup!GY5</f>
        <v>2</v>
      </c>
      <c r="DS29" s="3">
        <f>Setup!GZ5</f>
        <v>4</v>
      </c>
      <c r="DT29" s="3">
        <f>Setup!HA5</f>
        <v>5</v>
      </c>
      <c r="DU29" s="10"/>
      <c r="DV29" s="10"/>
      <c r="DW29" s="10"/>
      <c r="DX29" s="42">
        <f>mround(DX28*Setup!HJ5,'Quick Setup'!$A$2)</f>
        <v>472.5</v>
      </c>
      <c r="DY29" s="3">
        <f>Setup!HK5</f>
        <v>1</v>
      </c>
      <c r="DZ29" s="3">
        <f>Setup!HL5</f>
        <v>2</v>
      </c>
      <c r="EA29" s="3">
        <f>Setup!HM5</f>
        <v>5</v>
      </c>
      <c r="EB29" s="10"/>
      <c r="EC29" s="10"/>
      <c r="ED29" s="10"/>
      <c r="EE29" s="42">
        <f>mround(EE28*Setup!HV5,'Quick Setup'!$A$2)</f>
        <v>500</v>
      </c>
      <c r="EF29" s="3">
        <f>Setup!HW5</f>
        <v>1</v>
      </c>
      <c r="EG29" s="3">
        <f>Setup!HX5</f>
        <v>1</v>
      </c>
      <c r="EH29" s="3">
        <f>Setup!HY5</f>
        <v>5</v>
      </c>
      <c r="EI29" s="10"/>
      <c r="EJ29" s="10"/>
      <c r="EK29" s="10"/>
      <c r="EL29" s="42">
        <f>mround(EL28*Setup!IH5,'Quick Setup'!$A$2)</f>
        <v>315</v>
      </c>
      <c r="EM29" s="1">
        <v>5.0</v>
      </c>
      <c r="EN29" s="1" t="s">
        <v>78</v>
      </c>
      <c r="EO29" s="3">
        <f>Setup!IK5</f>
        <v>5</v>
      </c>
      <c r="EP29" s="10"/>
      <c r="EQ29" s="10"/>
      <c r="ER29" s="10"/>
    </row>
    <row r="30">
      <c r="A30" s="5"/>
      <c r="B30" s="43"/>
      <c r="C30" s="10"/>
      <c r="D30" s="10"/>
      <c r="E30" s="10"/>
      <c r="F30" s="10"/>
      <c r="G30" s="10"/>
      <c r="H30" s="10"/>
      <c r="I30" s="43" t="str">
        <f t="shared" ref="I30:M30" si="161">B30</f>
        <v/>
      </c>
      <c r="J30" s="10" t="str">
        <f t="shared" si="161"/>
        <v/>
      </c>
      <c r="K30" s="10" t="str">
        <f t="shared" si="161"/>
        <v/>
      </c>
      <c r="L30" s="10" t="str">
        <f t="shared" si="161"/>
        <v/>
      </c>
      <c r="M30" s="10" t="str">
        <f t="shared" si="161"/>
        <v/>
      </c>
      <c r="N30" s="10"/>
      <c r="O30" s="10"/>
      <c r="P30" s="43" t="str">
        <f t="shared" ref="P30:T30" si="162">I30</f>
        <v/>
      </c>
      <c r="Q30" s="10" t="str">
        <f t="shared" si="162"/>
        <v/>
      </c>
      <c r="R30" s="10" t="str">
        <f t="shared" si="162"/>
        <v/>
      </c>
      <c r="S30" s="10" t="str">
        <f t="shared" si="162"/>
        <v/>
      </c>
      <c r="T30" s="10" t="str">
        <f t="shared" si="162"/>
        <v/>
      </c>
      <c r="U30" s="10"/>
      <c r="V30" s="10"/>
      <c r="W30" s="43" t="str">
        <f t="shared" ref="W30:AA30" si="163">P30</f>
        <v/>
      </c>
      <c r="X30" s="10" t="str">
        <f t="shared" si="163"/>
        <v/>
      </c>
      <c r="Y30" s="10" t="str">
        <f t="shared" si="163"/>
        <v/>
      </c>
      <c r="Z30" s="10" t="str">
        <f t="shared" si="163"/>
        <v/>
      </c>
      <c r="AA30" s="10" t="str">
        <f t="shared" si="163"/>
        <v/>
      </c>
      <c r="AB30" s="10"/>
      <c r="AC30" s="10"/>
      <c r="AD30" s="43" t="str">
        <f t="shared" ref="AD30:AH30" si="164">W30</f>
        <v/>
      </c>
      <c r="AE30" s="10" t="str">
        <f t="shared" si="164"/>
        <v/>
      </c>
      <c r="AF30" s="10" t="str">
        <f t="shared" si="164"/>
        <v/>
      </c>
      <c r="AG30" s="10" t="str">
        <f t="shared" si="164"/>
        <v/>
      </c>
      <c r="AH30" s="10" t="str">
        <f t="shared" si="164"/>
        <v/>
      </c>
      <c r="AI30" s="10"/>
      <c r="AJ30" s="10"/>
      <c r="AK30" s="43" t="str">
        <f t="shared" ref="AK30:AO30" si="165">AD30</f>
        <v/>
      </c>
      <c r="AL30" s="10" t="str">
        <f t="shared" si="165"/>
        <v/>
      </c>
      <c r="AM30" s="10" t="str">
        <f t="shared" si="165"/>
        <v/>
      </c>
      <c r="AN30" s="10" t="str">
        <f t="shared" si="165"/>
        <v/>
      </c>
      <c r="AO30" s="10" t="str">
        <f t="shared" si="165"/>
        <v/>
      </c>
      <c r="AP30" s="10"/>
      <c r="AQ30" s="10"/>
      <c r="AR30" s="43" t="str">
        <f t="shared" ref="AR30:AV30" si="166">AK30</f>
        <v/>
      </c>
      <c r="AS30" s="10" t="str">
        <f t="shared" si="166"/>
        <v/>
      </c>
      <c r="AT30" s="10" t="str">
        <f t="shared" si="166"/>
        <v/>
      </c>
      <c r="AU30" s="10" t="str">
        <f t="shared" si="166"/>
        <v/>
      </c>
      <c r="AV30" s="10" t="str">
        <f t="shared" si="166"/>
        <v/>
      </c>
      <c r="AW30" s="10"/>
      <c r="AX30" s="10"/>
      <c r="AY30" s="43" t="str">
        <f t="shared" ref="AY30:BC30" si="167">AR30</f>
        <v/>
      </c>
      <c r="AZ30" s="10" t="str">
        <f t="shared" si="167"/>
        <v/>
      </c>
      <c r="BA30" s="10" t="str">
        <f t="shared" si="167"/>
        <v/>
      </c>
      <c r="BB30" s="10" t="str">
        <f t="shared" si="167"/>
        <v/>
      </c>
      <c r="BC30" s="10" t="str">
        <f t="shared" si="167"/>
        <v/>
      </c>
      <c r="BD30" s="10"/>
      <c r="BE30" s="10"/>
      <c r="BF30" s="43" t="str">
        <f t="shared" ref="BF30:BJ30" si="168">AY30</f>
        <v/>
      </c>
      <c r="BG30" s="10" t="str">
        <f t="shared" si="168"/>
        <v/>
      </c>
      <c r="BH30" s="10" t="str">
        <f t="shared" si="168"/>
        <v/>
      </c>
      <c r="BI30" s="10" t="str">
        <f t="shared" si="168"/>
        <v/>
      </c>
      <c r="BJ30" s="10" t="str">
        <f t="shared" si="168"/>
        <v/>
      </c>
      <c r="BK30" s="10"/>
      <c r="BL30" s="10"/>
      <c r="BM30" s="43" t="str">
        <f t="shared" ref="BM30:BQ30" si="169">BF30</f>
        <v/>
      </c>
      <c r="BN30" s="10" t="str">
        <f t="shared" si="169"/>
        <v/>
      </c>
      <c r="BO30" s="10" t="str">
        <f t="shared" si="169"/>
        <v/>
      </c>
      <c r="BP30" s="10" t="str">
        <f t="shared" si="169"/>
        <v/>
      </c>
      <c r="BQ30" s="10" t="str">
        <f t="shared" si="169"/>
        <v/>
      </c>
      <c r="BR30" s="10"/>
      <c r="BS30" s="10"/>
      <c r="BT30" s="43" t="str">
        <f t="shared" ref="BT30:BX30" si="170">BM30</f>
        <v/>
      </c>
      <c r="BU30" s="10" t="str">
        <f t="shared" si="170"/>
        <v/>
      </c>
      <c r="BV30" s="10" t="str">
        <f t="shared" si="170"/>
        <v/>
      </c>
      <c r="BW30" s="10" t="str">
        <f t="shared" si="170"/>
        <v/>
      </c>
      <c r="BX30" s="10" t="str">
        <f t="shared" si="170"/>
        <v/>
      </c>
      <c r="BY30" s="10"/>
      <c r="BZ30" s="10"/>
      <c r="CA30" s="43" t="str">
        <f t="shared" ref="CA30:CE30" si="171">BT30</f>
        <v/>
      </c>
      <c r="CB30" s="10" t="str">
        <f t="shared" si="171"/>
        <v/>
      </c>
      <c r="CC30" s="10" t="str">
        <f t="shared" si="171"/>
        <v/>
      </c>
      <c r="CD30" s="10" t="str">
        <f t="shared" si="171"/>
        <v/>
      </c>
      <c r="CE30" s="10" t="str">
        <f t="shared" si="171"/>
        <v/>
      </c>
      <c r="CF30" s="10"/>
      <c r="CG30" s="10"/>
      <c r="CH30" s="43" t="str">
        <f t="shared" ref="CH30:CL30" si="172">CA30</f>
        <v/>
      </c>
      <c r="CI30" s="10" t="str">
        <f t="shared" si="172"/>
        <v/>
      </c>
      <c r="CJ30" s="10" t="str">
        <f t="shared" si="172"/>
        <v/>
      </c>
      <c r="CK30" s="10" t="str">
        <f t="shared" si="172"/>
        <v/>
      </c>
      <c r="CL30" s="10" t="str">
        <f t="shared" si="172"/>
        <v/>
      </c>
      <c r="CM30" s="10"/>
      <c r="CN30" s="10"/>
      <c r="CO30" s="43" t="str">
        <f t="shared" ref="CO30:CS30" si="173">CH30</f>
        <v/>
      </c>
      <c r="CP30" s="10" t="str">
        <f t="shared" si="173"/>
        <v/>
      </c>
      <c r="CQ30" s="10" t="str">
        <f t="shared" si="173"/>
        <v/>
      </c>
      <c r="CR30" s="10" t="str">
        <f t="shared" si="173"/>
        <v/>
      </c>
      <c r="CS30" s="10" t="str">
        <f t="shared" si="173"/>
        <v/>
      </c>
      <c r="CT30" s="10"/>
      <c r="CU30" s="10"/>
      <c r="CV30" s="43" t="str">
        <f t="shared" ref="CV30:CZ30" si="174">CO30</f>
        <v/>
      </c>
      <c r="CW30" s="10" t="str">
        <f t="shared" si="174"/>
        <v/>
      </c>
      <c r="CX30" s="10" t="str">
        <f t="shared" si="174"/>
        <v/>
      </c>
      <c r="CY30" s="10" t="str">
        <f t="shared" si="174"/>
        <v/>
      </c>
      <c r="CZ30" s="10" t="str">
        <f t="shared" si="174"/>
        <v/>
      </c>
      <c r="DA30" s="10"/>
      <c r="DB30" s="10"/>
      <c r="DC30" s="43" t="str">
        <f t="shared" ref="DC30:DG30" si="175">CV30</f>
        <v/>
      </c>
      <c r="DD30" s="10" t="str">
        <f t="shared" si="175"/>
        <v/>
      </c>
      <c r="DE30" s="10" t="str">
        <f t="shared" si="175"/>
        <v/>
      </c>
      <c r="DF30" s="10" t="str">
        <f t="shared" si="175"/>
        <v/>
      </c>
      <c r="DG30" s="10" t="str">
        <f t="shared" si="175"/>
        <v/>
      </c>
      <c r="DH30" s="10"/>
      <c r="DI30" s="10"/>
      <c r="DJ30" s="43" t="str">
        <f t="shared" ref="DJ30:DN30" si="176">DC30</f>
        <v/>
      </c>
      <c r="DK30" s="10" t="str">
        <f t="shared" si="176"/>
        <v/>
      </c>
      <c r="DL30" s="10" t="str">
        <f t="shared" si="176"/>
        <v/>
      </c>
      <c r="DM30" s="10" t="str">
        <f t="shared" si="176"/>
        <v/>
      </c>
      <c r="DN30" s="10" t="str">
        <f t="shared" si="176"/>
        <v/>
      </c>
      <c r="DO30" s="10"/>
      <c r="DP30" s="10"/>
      <c r="DQ30" s="43" t="str">
        <f t="shared" ref="DQ30:DU30" si="177">DJ30</f>
        <v/>
      </c>
      <c r="DR30" s="10" t="str">
        <f t="shared" si="177"/>
        <v/>
      </c>
      <c r="DS30" s="10" t="str">
        <f t="shared" si="177"/>
        <v/>
      </c>
      <c r="DT30" s="10" t="str">
        <f t="shared" si="177"/>
        <v/>
      </c>
      <c r="DU30" s="10" t="str">
        <f t="shared" si="177"/>
        <v/>
      </c>
      <c r="DV30" s="10"/>
      <c r="DW30" s="10"/>
      <c r="DX30" s="43" t="str">
        <f t="shared" ref="DX30:EB30" si="178">DQ30</f>
        <v/>
      </c>
      <c r="DY30" s="10" t="str">
        <f t="shared" si="178"/>
        <v/>
      </c>
      <c r="DZ30" s="10" t="str">
        <f t="shared" si="178"/>
        <v/>
      </c>
      <c r="EA30" s="10" t="str">
        <f t="shared" si="178"/>
        <v/>
      </c>
      <c r="EB30" s="10" t="str">
        <f t="shared" si="178"/>
        <v/>
      </c>
      <c r="EC30" s="10"/>
      <c r="ED30" s="10"/>
      <c r="EE30" s="43" t="str">
        <f t="shared" ref="EE30:EI30" si="179">DX30</f>
        <v/>
      </c>
      <c r="EF30" s="10" t="str">
        <f t="shared" si="179"/>
        <v/>
      </c>
      <c r="EG30" s="10" t="str">
        <f t="shared" si="179"/>
        <v/>
      </c>
      <c r="EH30" s="10" t="str">
        <f t="shared" si="179"/>
        <v/>
      </c>
      <c r="EI30" s="10" t="str">
        <f t="shared" si="179"/>
        <v/>
      </c>
      <c r="EJ30" s="10"/>
      <c r="EK30" s="10"/>
      <c r="EL30" s="43" t="str">
        <f t="shared" ref="EL30:EP30" si="180">EE30</f>
        <v/>
      </c>
      <c r="EM30" s="10" t="str">
        <f t="shared" si="180"/>
        <v/>
      </c>
      <c r="EN30" s="10" t="str">
        <f t="shared" si="180"/>
        <v/>
      </c>
      <c r="EO30" s="10" t="str">
        <f t="shared" si="180"/>
        <v/>
      </c>
      <c r="EP30" s="10" t="str">
        <f t="shared" si="180"/>
        <v/>
      </c>
      <c r="EQ30" s="10"/>
      <c r="ER30" s="10"/>
    </row>
    <row r="31">
      <c r="A31" s="1" t="s">
        <v>79</v>
      </c>
      <c r="B31" s="42"/>
      <c r="C31" s="3"/>
      <c r="D31" s="3"/>
      <c r="E31" s="3"/>
      <c r="F31" s="3"/>
      <c r="G31" s="3"/>
      <c r="H31" s="3"/>
      <c r="I31" s="42"/>
      <c r="J31" s="3"/>
      <c r="K31" s="3"/>
      <c r="L31" s="3"/>
      <c r="M31" s="3"/>
      <c r="N31" s="3"/>
      <c r="O31" s="3"/>
      <c r="P31" s="42"/>
      <c r="Q31" s="3"/>
      <c r="R31" s="3"/>
      <c r="S31" s="3"/>
      <c r="T31" s="3"/>
      <c r="U31" s="3"/>
      <c r="V31" s="3"/>
      <c r="W31" s="42"/>
      <c r="X31" s="3"/>
      <c r="Y31" s="3"/>
      <c r="Z31" s="3"/>
      <c r="AA31" s="3"/>
      <c r="AB31" s="3"/>
      <c r="AC31" s="3"/>
      <c r="AD31" s="42"/>
      <c r="AE31" s="3"/>
      <c r="AF31" s="3"/>
      <c r="AG31" s="3"/>
      <c r="AH31" s="3"/>
      <c r="AI31" s="3"/>
      <c r="AJ31" s="3"/>
      <c r="AK31" s="42"/>
      <c r="AL31" s="3"/>
      <c r="AM31" s="3"/>
      <c r="AN31" s="3"/>
      <c r="AO31" s="3"/>
      <c r="AP31" s="3"/>
      <c r="AQ31" s="3"/>
      <c r="AR31" s="42"/>
      <c r="AS31" s="3"/>
      <c r="AT31" s="3"/>
      <c r="AU31" s="3"/>
      <c r="AV31" s="3"/>
      <c r="AW31" s="3"/>
      <c r="AX31" s="3"/>
      <c r="AY31" s="42"/>
      <c r="AZ31" s="3"/>
      <c r="BA31" s="3"/>
      <c r="BB31" s="3"/>
      <c r="BC31" s="3"/>
      <c r="BD31" s="3"/>
      <c r="BE31" s="3"/>
      <c r="BF31" s="42"/>
      <c r="BG31" s="3"/>
      <c r="BH31" s="3"/>
      <c r="BI31" s="3"/>
      <c r="BJ31" s="3"/>
      <c r="BK31" s="3"/>
      <c r="BL31" s="3"/>
      <c r="BM31" s="42"/>
      <c r="BN31" s="3"/>
      <c r="BO31" s="3"/>
      <c r="BP31" s="3"/>
      <c r="BQ31" s="3"/>
      <c r="BR31" s="3"/>
      <c r="BS31" s="3"/>
      <c r="BT31" s="42"/>
      <c r="BU31" s="3"/>
      <c r="BV31" s="3"/>
      <c r="BW31" s="3"/>
      <c r="BX31" s="3"/>
      <c r="BY31" s="3"/>
      <c r="BZ31" s="3"/>
      <c r="CA31" s="42"/>
      <c r="CB31" s="3"/>
      <c r="CC31" s="3"/>
      <c r="CD31" s="3"/>
      <c r="CE31" s="3"/>
      <c r="CF31" s="3"/>
      <c r="CG31" s="3"/>
      <c r="CH31" s="42"/>
      <c r="CI31" s="3"/>
      <c r="CJ31" s="3"/>
      <c r="CK31" s="3"/>
      <c r="CL31" s="3"/>
      <c r="CM31" s="3"/>
      <c r="CN31" s="3"/>
      <c r="CO31" s="42"/>
      <c r="CP31" s="3"/>
      <c r="CQ31" s="3"/>
      <c r="CR31" s="3"/>
      <c r="CS31" s="3"/>
      <c r="CT31" s="3"/>
      <c r="CU31" s="3"/>
      <c r="CV31" s="42"/>
      <c r="CW31" s="3"/>
      <c r="CX31" s="3"/>
      <c r="CY31" s="3"/>
      <c r="CZ31" s="3"/>
      <c r="DA31" s="3"/>
      <c r="DB31" s="3"/>
      <c r="DC31" s="42"/>
      <c r="DD31" s="3"/>
      <c r="DE31" s="3"/>
      <c r="DF31" s="3"/>
      <c r="DG31" s="3"/>
      <c r="DH31" s="3"/>
      <c r="DI31" s="3"/>
      <c r="DJ31" s="42"/>
      <c r="DK31" s="3"/>
      <c r="DL31" s="3"/>
      <c r="DM31" s="3"/>
      <c r="DN31" s="3"/>
      <c r="DO31" s="3"/>
      <c r="DP31" s="3"/>
      <c r="DQ31" s="42"/>
      <c r="DR31" s="3"/>
      <c r="DS31" s="3"/>
      <c r="DT31" s="3"/>
      <c r="DU31" s="3"/>
      <c r="DV31" s="3"/>
      <c r="DW31" s="3"/>
      <c r="DX31" s="42"/>
      <c r="DY31" s="3"/>
      <c r="DZ31" s="3"/>
      <c r="EA31" s="3"/>
      <c r="EB31" s="3"/>
      <c r="EC31" s="3"/>
      <c r="ED31" s="3"/>
      <c r="EE31" s="42"/>
      <c r="EF31" s="3"/>
      <c r="EG31" s="3"/>
      <c r="EH31" s="3"/>
      <c r="EI31" s="3"/>
      <c r="EJ31" s="3"/>
      <c r="EK31" s="3"/>
      <c r="EL31" s="42"/>
      <c r="EM31" s="3"/>
      <c r="EN31" s="3"/>
      <c r="EO31" s="3"/>
      <c r="EP31" s="3"/>
      <c r="EQ31" s="3"/>
      <c r="ER31" s="3"/>
    </row>
    <row r="32">
      <c r="A32" s="44"/>
      <c r="B32" s="43"/>
      <c r="C32" s="10"/>
      <c r="D32" s="10"/>
      <c r="E32" s="10"/>
      <c r="F32" s="10"/>
      <c r="G32" s="10"/>
      <c r="H32" s="10"/>
      <c r="I32" s="43" t="str">
        <f t="shared" ref="I32:M32" si="181">B32</f>
        <v/>
      </c>
      <c r="J32" s="10" t="str">
        <f t="shared" si="181"/>
        <v/>
      </c>
      <c r="K32" s="10" t="str">
        <f t="shared" si="181"/>
        <v/>
      </c>
      <c r="L32" s="10" t="str">
        <f t="shared" si="181"/>
        <v/>
      </c>
      <c r="M32" s="10" t="str">
        <f t="shared" si="181"/>
        <v/>
      </c>
      <c r="N32" s="10"/>
      <c r="O32" s="10"/>
      <c r="P32" s="43" t="str">
        <f t="shared" ref="P32:T32" si="182">I32</f>
        <v/>
      </c>
      <c r="Q32" s="10" t="str">
        <f t="shared" si="182"/>
        <v/>
      </c>
      <c r="R32" s="10" t="str">
        <f t="shared" si="182"/>
        <v/>
      </c>
      <c r="S32" s="10" t="str">
        <f t="shared" si="182"/>
        <v/>
      </c>
      <c r="T32" s="10" t="str">
        <f t="shared" si="182"/>
        <v/>
      </c>
      <c r="U32" s="10"/>
      <c r="V32" s="10"/>
      <c r="W32" s="43" t="str">
        <f t="shared" ref="W32:AA32" si="183">P32</f>
        <v/>
      </c>
      <c r="X32" s="10" t="str">
        <f t="shared" si="183"/>
        <v/>
      </c>
      <c r="Y32" s="10" t="str">
        <f t="shared" si="183"/>
        <v/>
      </c>
      <c r="Z32" s="10" t="str">
        <f t="shared" si="183"/>
        <v/>
      </c>
      <c r="AA32" s="10" t="str">
        <f t="shared" si="183"/>
        <v/>
      </c>
      <c r="AB32" s="10"/>
      <c r="AC32" s="10"/>
      <c r="AD32" s="43" t="str">
        <f t="shared" ref="AD32:AH32" si="184">W32</f>
        <v/>
      </c>
      <c r="AE32" s="10" t="str">
        <f t="shared" si="184"/>
        <v/>
      </c>
      <c r="AF32" s="10" t="str">
        <f t="shared" si="184"/>
        <v/>
      </c>
      <c r="AG32" s="10" t="str">
        <f t="shared" si="184"/>
        <v/>
      </c>
      <c r="AH32" s="10" t="str">
        <f t="shared" si="184"/>
        <v/>
      </c>
      <c r="AI32" s="10"/>
      <c r="AJ32" s="10"/>
      <c r="AK32" s="43" t="str">
        <f t="shared" ref="AK32:AO32" si="185">AD32</f>
        <v/>
      </c>
      <c r="AL32" s="10" t="str">
        <f t="shared" si="185"/>
        <v/>
      </c>
      <c r="AM32" s="10" t="str">
        <f t="shared" si="185"/>
        <v/>
      </c>
      <c r="AN32" s="10" t="str">
        <f t="shared" si="185"/>
        <v/>
      </c>
      <c r="AO32" s="10" t="str">
        <f t="shared" si="185"/>
        <v/>
      </c>
      <c r="AP32" s="10"/>
      <c r="AQ32" s="10"/>
      <c r="AR32" s="43" t="str">
        <f t="shared" ref="AR32:AV32" si="186">AK32</f>
        <v/>
      </c>
      <c r="AS32" s="10" t="str">
        <f t="shared" si="186"/>
        <v/>
      </c>
      <c r="AT32" s="10" t="str">
        <f t="shared" si="186"/>
        <v/>
      </c>
      <c r="AU32" s="10" t="str">
        <f t="shared" si="186"/>
        <v/>
      </c>
      <c r="AV32" s="10" t="str">
        <f t="shared" si="186"/>
        <v/>
      </c>
      <c r="AW32" s="10"/>
      <c r="AX32" s="10"/>
      <c r="AY32" s="43" t="str">
        <f t="shared" ref="AY32:BC32" si="187">AR32</f>
        <v/>
      </c>
      <c r="AZ32" s="10" t="str">
        <f t="shared" si="187"/>
        <v/>
      </c>
      <c r="BA32" s="10" t="str">
        <f t="shared" si="187"/>
        <v/>
      </c>
      <c r="BB32" s="10" t="str">
        <f t="shared" si="187"/>
        <v/>
      </c>
      <c r="BC32" s="10" t="str">
        <f t="shared" si="187"/>
        <v/>
      </c>
      <c r="BD32" s="10"/>
      <c r="BE32" s="10"/>
      <c r="BF32" s="43" t="str">
        <f t="shared" ref="BF32:BJ32" si="188">AY32</f>
        <v/>
      </c>
      <c r="BG32" s="10" t="str">
        <f t="shared" si="188"/>
        <v/>
      </c>
      <c r="BH32" s="10" t="str">
        <f t="shared" si="188"/>
        <v/>
      </c>
      <c r="BI32" s="10" t="str">
        <f t="shared" si="188"/>
        <v/>
      </c>
      <c r="BJ32" s="10" t="str">
        <f t="shared" si="188"/>
        <v/>
      </c>
      <c r="BK32" s="10"/>
      <c r="BL32" s="10"/>
      <c r="BM32" s="43" t="str">
        <f t="shared" ref="BM32:BQ32" si="189">BF32</f>
        <v/>
      </c>
      <c r="BN32" s="10" t="str">
        <f t="shared" si="189"/>
        <v/>
      </c>
      <c r="BO32" s="10" t="str">
        <f t="shared" si="189"/>
        <v/>
      </c>
      <c r="BP32" s="10" t="str">
        <f t="shared" si="189"/>
        <v/>
      </c>
      <c r="BQ32" s="10" t="str">
        <f t="shared" si="189"/>
        <v/>
      </c>
      <c r="BR32" s="10"/>
      <c r="BS32" s="10"/>
      <c r="BT32" s="43" t="str">
        <f t="shared" ref="BT32:BX32" si="190">BM32</f>
        <v/>
      </c>
      <c r="BU32" s="10" t="str">
        <f t="shared" si="190"/>
        <v/>
      </c>
      <c r="BV32" s="10" t="str">
        <f t="shared" si="190"/>
        <v/>
      </c>
      <c r="BW32" s="10" t="str">
        <f t="shared" si="190"/>
        <v/>
      </c>
      <c r="BX32" s="10" t="str">
        <f t="shared" si="190"/>
        <v/>
      </c>
      <c r="BY32" s="10"/>
      <c r="BZ32" s="10"/>
      <c r="CA32" s="43" t="str">
        <f t="shared" ref="CA32:CE32" si="191">BT32</f>
        <v/>
      </c>
      <c r="CB32" s="10" t="str">
        <f t="shared" si="191"/>
        <v/>
      </c>
      <c r="CC32" s="10" t="str">
        <f t="shared" si="191"/>
        <v/>
      </c>
      <c r="CD32" s="10" t="str">
        <f t="shared" si="191"/>
        <v/>
      </c>
      <c r="CE32" s="10" t="str">
        <f t="shared" si="191"/>
        <v/>
      </c>
      <c r="CF32" s="10"/>
      <c r="CG32" s="10"/>
      <c r="CH32" s="43" t="str">
        <f t="shared" ref="CH32:CL32" si="192">CA32</f>
        <v/>
      </c>
      <c r="CI32" s="10" t="str">
        <f t="shared" si="192"/>
        <v/>
      </c>
      <c r="CJ32" s="10" t="str">
        <f t="shared" si="192"/>
        <v/>
      </c>
      <c r="CK32" s="10" t="str">
        <f t="shared" si="192"/>
        <v/>
      </c>
      <c r="CL32" s="10" t="str">
        <f t="shared" si="192"/>
        <v/>
      </c>
      <c r="CM32" s="10"/>
      <c r="CN32" s="10"/>
      <c r="CO32" s="43" t="str">
        <f t="shared" ref="CO32:CS32" si="193">CH32</f>
        <v/>
      </c>
      <c r="CP32" s="10" t="str">
        <f t="shared" si="193"/>
        <v/>
      </c>
      <c r="CQ32" s="10" t="str">
        <f t="shared" si="193"/>
        <v/>
      </c>
      <c r="CR32" s="10" t="str">
        <f t="shared" si="193"/>
        <v/>
      </c>
      <c r="CS32" s="10" t="str">
        <f t="shared" si="193"/>
        <v/>
      </c>
      <c r="CT32" s="10"/>
      <c r="CU32" s="10"/>
      <c r="CV32" s="43" t="str">
        <f t="shared" ref="CV32:CZ32" si="194">CO32</f>
        <v/>
      </c>
      <c r="CW32" s="10" t="str">
        <f t="shared" si="194"/>
        <v/>
      </c>
      <c r="CX32" s="10" t="str">
        <f t="shared" si="194"/>
        <v/>
      </c>
      <c r="CY32" s="10" t="str">
        <f t="shared" si="194"/>
        <v/>
      </c>
      <c r="CZ32" s="10" t="str">
        <f t="shared" si="194"/>
        <v/>
      </c>
      <c r="DA32" s="10"/>
      <c r="DB32" s="10"/>
      <c r="DC32" s="43" t="str">
        <f t="shared" ref="DC32:DG32" si="195">CV32</f>
        <v/>
      </c>
      <c r="DD32" s="10" t="str">
        <f t="shared" si="195"/>
        <v/>
      </c>
      <c r="DE32" s="10" t="str">
        <f t="shared" si="195"/>
        <v/>
      </c>
      <c r="DF32" s="10" t="str">
        <f t="shared" si="195"/>
        <v/>
      </c>
      <c r="DG32" s="10" t="str">
        <f t="shared" si="195"/>
        <v/>
      </c>
      <c r="DH32" s="10"/>
      <c r="DI32" s="10"/>
      <c r="DJ32" s="43" t="str">
        <f t="shared" ref="DJ32:DN32" si="196">DC32</f>
        <v/>
      </c>
      <c r="DK32" s="10" t="str">
        <f t="shared" si="196"/>
        <v/>
      </c>
      <c r="DL32" s="10" t="str">
        <f t="shared" si="196"/>
        <v/>
      </c>
      <c r="DM32" s="10" t="str">
        <f t="shared" si="196"/>
        <v/>
      </c>
      <c r="DN32" s="10" t="str">
        <f t="shared" si="196"/>
        <v/>
      </c>
      <c r="DO32" s="10"/>
      <c r="DP32" s="10"/>
      <c r="DQ32" s="43" t="str">
        <f t="shared" ref="DQ32:DU32" si="197">DJ32</f>
        <v/>
      </c>
      <c r="DR32" s="10" t="str">
        <f t="shared" si="197"/>
        <v/>
      </c>
      <c r="DS32" s="10" t="str">
        <f t="shared" si="197"/>
        <v/>
      </c>
      <c r="DT32" s="10" t="str">
        <f t="shared" si="197"/>
        <v/>
      </c>
      <c r="DU32" s="10" t="str">
        <f t="shared" si="197"/>
        <v/>
      </c>
      <c r="DV32" s="10"/>
      <c r="DW32" s="10"/>
      <c r="DX32" s="43" t="str">
        <f t="shared" ref="DX32:EB32" si="198">DQ32</f>
        <v/>
      </c>
      <c r="DY32" s="10" t="str">
        <f t="shared" si="198"/>
        <v/>
      </c>
      <c r="DZ32" s="10" t="str">
        <f t="shared" si="198"/>
        <v/>
      </c>
      <c r="EA32" s="10" t="str">
        <f t="shared" si="198"/>
        <v/>
      </c>
      <c r="EB32" s="10" t="str">
        <f t="shared" si="198"/>
        <v/>
      </c>
      <c r="EC32" s="10"/>
      <c r="ED32" s="10"/>
      <c r="EE32" s="43" t="str">
        <f t="shared" ref="EE32:EI32" si="199">DX32</f>
        <v/>
      </c>
      <c r="EF32" s="10" t="str">
        <f t="shared" si="199"/>
        <v/>
      </c>
      <c r="EG32" s="10" t="str">
        <f t="shared" si="199"/>
        <v/>
      </c>
      <c r="EH32" s="10" t="str">
        <f t="shared" si="199"/>
        <v/>
      </c>
      <c r="EI32" s="10" t="str">
        <f t="shared" si="199"/>
        <v/>
      </c>
      <c r="EJ32" s="10"/>
      <c r="EK32" s="10"/>
      <c r="EL32" s="43" t="str">
        <f t="shared" ref="EL32:EP32" si="200">EE32</f>
        <v/>
      </c>
      <c r="EM32" s="10" t="str">
        <f t="shared" si="200"/>
        <v/>
      </c>
      <c r="EN32" s="10" t="str">
        <f t="shared" si="200"/>
        <v/>
      </c>
      <c r="EO32" s="10" t="str">
        <f t="shared" si="200"/>
        <v/>
      </c>
      <c r="EP32" s="10" t="str">
        <f t="shared" si="200"/>
        <v/>
      </c>
      <c r="EQ32" s="10"/>
      <c r="ER32" s="10"/>
    </row>
    <row r="33">
      <c r="A33" s="44"/>
      <c r="B33" s="43"/>
      <c r="C33" s="10"/>
      <c r="D33" s="10"/>
      <c r="E33" s="10"/>
      <c r="F33" s="10"/>
      <c r="G33" s="10"/>
      <c r="H33" s="10"/>
      <c r="I33" s="43" t="str">
        <f t="shared" ref="I33:M33" si="201">B33</f>
        <v/>
      </c>
      <c r="J33" s="10" t="str">
        <f t="shared" si="201"/>
        <v/>
      </c>
      <c r="K33" s="10" t="str">
        <f t="shared" si="201"/>
        <v/>
      </c>
      <c r="L33" s="10" t="str">
        <f t="shared" si="201"/>
        <v/>
      </c>
      <c r="M33" s="10" t="str">
        <f t="shared" si="201"/>
        <v/>
      </c>
      <c r="N33" s="10"/>
      <c r="O33" s="10"/>
      <c r="P33" s="43" t="str">
        <f t="shared" ref="P33:T33" si="202">I33</f>
        <v/>
      </c>
      <c r="Q33" s="10" t="str">
        <f t="shared" si="202"/>
        <v/>
      </c>
      <c r="R33" s="10" t="str">
        <f t="shared" si="202"/>
        <v/>
      </c>
      <c r="S33" s="10" t="str">
        <f t="shared" si="202"/>
        <v/>
      </c>
      <c r="T33" s="10" t="str">
        <f t="shared" si="202"/>
        <v/>
      </c>
      <c r="U33" s="10"/>
      <c r="V33" s="10"/>
      <c r="W33" s="43" t="str">
        <f t="shared" ref="W33:AA33" si="203">P33</f>
        <v/>
      </c>
      <c r="X33" s="10" t="str">
        <f t="shared" si="203"/>
        <v/>
      </c>
      <c r="Y33" s="10" t="str">
        <f t="shared" si="203"/>
        <v/>
      </c>
      <c r="Z33" s="10" t="str">
        <f t="shared" si="203"/>
        <v/>
      </c>
      <c r="AA33" s="10" t="str">
        <f t="shared" si="203"/>
        <v/>
      </c>
      <c r="AB33" s="10"/>
      <c r="AC33" s="10"/>
      <c r="AD33" s="43" t="str">
        <f t="shared" ref="AD33:AH33" si="204">W33</f>
        <v/>
      </c>
      <c r="AE33" s="10" t="str">
        <f t="shared" si="204"/>
        <v/>
      </c>
      <c r="AF33" s="10" t="str">
        <f t="shared" si="204"/>
        <v/>
      </c>
      <c r="AG33" s="10" t="str">
        <f t="shared" si="204"/>
        <v/>
      </c>
      <c r="AH33" s="10" t="str">
        <f t="shared" si="204"/>
        <v/>
      </c>
      <c r="AI33" s="10"/>
      <c r="AJ33" s="10"/>
      <c r="AK33" s="43" t="str">
        <f t="shared" ref="AK33:AO33" si="205">AD33</f>
        <v/>
      </c>
      <c r="AL33" s="10" t="str">
        <f t="shared" si="205"/>
        <v/>
      </c>
      <c r="AM33" s="10" t="str">
        <f t="shared" si="205"/>
        <v/>
      </c>
      <c r="AN33" s="10" t="str">
        <f t="shared" si="205"/>
        <v/>
      </c>
      <c r="AO33" s="10" t="str">
        <f t="shared" si="205"/>
        <v/>
      </c>
      <c r="AP33" s="10"/>
      <c r="AQ33" s="10"/>
      <c r="AR33" s="43" t="str">
        <f t="shared" ref="AR33:AV33" si="206">AK33</f>
        <v/>
      </c>
      <c r="AS33" s="10" t="str">
        <f t="shared" si="206"/>
        <v/>
      </c>
      <c r="AT33" s="10" t="str">
        <f t="shared" si="206"/>
        <v/>
      </c>
      <c r="AU33" s="10" t="str">
        <f t="shared" si="206"/>
        <v/>
      </c>
      <c r="AV33" s="10" t="str">
        <f t="shared" si="206"/>
        <v/>
      </c>
      <c r="AW33" s="10"/>
      <c r="AX33" s="10"/>
      <c r="AY33" s="43" t="str">
        <f t="shared" ref="AY33:BC33" si="207">AR33</f>
        <v/>
      </c>
      <c r="AZ33" s="10" t="str">
        <f t="shared" si="207"/>
        <v/>
      </c>
      <c r="BA33" s="10" t="str">
        <f t="shared" si="207"/>
        <v/>
      </c>
      <c r="BB33" s="10" t="str">
        <f t="shared" si="207"/>
        <v/>
      </c>
      <c r="BC33" s="10" t="str">
        <f t="shared" si="207"/>
        <v/>
      </c>
      <c r="BD33" s="10"/>
      <c r="BE33" s="10"/>
      <c r="BF33" s="43" t="str">
        <f t="shared" ref="BF33:BJ33" si="208">AY33</f>
        <v/>
      </c>
      <c r="BG33" s="10" t="str">
        <f t="shared" si="208"/>
        <v/>
      </c>
      <c r="BH33" s="10" t="str">
        <f t="shared" si="208"/>
        <v/>
      </c>
      <c r="BI33" s="10" t="str">
        <f t="shared" si="208"/>
        <v/>
      </c>
      <c r="BJ33" s="10" t="str">
        <f t="shared" si="208"/>
        <v/>
      </c>
      <c r="BK33" s="10"/>
      <c r="BL33" s="10"/>
      <c r="BM33" s="43" t="str">
        <f t="shared" ref="BM33:BQ33" si="209">BF33</f>
        <v/>
      </c>
      <c r="BN33" s="10" t="str">
        <f t="shared" si="209"/>
        <v/>
      </c>
      <c r="BO33" s="10" t="str">
        <f t="shared" si="209"/>
        <v/>
      </c>
      <c r="BP33" s="10" t="str">
        <f t="shared" si="209"/>
        <v/>
      </c>
      <c r="BQ33" s="10" t="str">
        <f t="shared" si="209"/>
        <v/>
      </c>
      <c r="BR33" s="10"/>
      <c r="BS33" s="10"/>
      <c r="BT33" s="43" t="str">
        <f t="shared" ref="BT33:BX33" si="210">BM33</f>
        <v/>
      </c>
      <c r="BU33" s="10" t="str">
        <f t="shared" si="210"/>
        <v/>
      </c>
      <c r="BV33" s="10" t="str">
        <f t="shared" si="210"/>
        <v/>
      </c>
      <c r="BW33" s="10" t="str">
        <f t="shared" si="210"/>
        <v/>
      </c>
      <c r="BX33" s="10" t="str">
        <f t="shared" si="210"/>
        <v/>
      </c>
      <c r="BY33" s="10"/>
      <c r="BZ33" s="10"/>
      <c r="CA33" s="43" t="str">
        <f t="shared" ref="CA33:CE33" si="211">BT33</f>
        <v/>
      </c>
      <c r="CB33" s="10" t="str">
        <f t="shared" si="211"/>
        <v/>
      </c>
      <c r="CC33" s="10" t="str">
        <f t="shared" si="211"/>
        <v/>
      </c>
      <c r="CD33" s="10" t="str">
        <f t="shared" si="211"/>
        <v/>
      </c>
      <c r="CE33" s="10" t="str">
        <f t="shared" si="211"/>
        <v/>
      </c>
      <c r="CF33" s="10"/>
      <c r="CG33" s="10"/>
      <c r="CH33" s="43" t="str">
        <f t="shared" ref="CH33:CL33" si="212">CA33</f>
        <v/>
      </c>
      <c r="CI33" s="10" t="str">
        <f t="shared" si="212"/>
        <v/>
      </c>
      <c r="CJ33" s="10" t="str">
        <f t="shared" si="212"/>
        <v/>
      </c>
      <c r="CK33" s="10" t="str">
        <f t="shared" si="212"/>
        <v/>
      </c>
      <c r="CL33" s="10" t="str">
        <f t="shared" si="212"/>
        <v/>
      </c>
      <c r="CM33" s="10"/>
      <c r="CN33" s="10"/>
      <c r="CO33" s="43" t="str">
        <f t="shared" ref="CO33:CS33" si="213">CH33</f>
        <v/>
      </c>
      <c r="CP33" s="10" t="str">
        <f t="shared" si="213"/>
        <v/>
      </c>
      <c r="CQ33" s="10" t="str">
        <f t="shared" si="213"/>
        <v/>
      </c>
      <c r="CR33" s="10" t="str">
        <f t="shared" si="213"/>
        <v/>
      </c>
      <c r="CS33" s="10" t="str">
        <f t="shared" si="213"/>
        <v/>
      </c>
      <c r="CT33" s="10"/>
      <c r="CU33" s="10"/>
      <c r="CV33" s="43" t="str">
        <f t="shared" ref="CV33:CZ33" si="214">CO33</f>
        <v/>
      </c>
      <c r="CW33" s="10" t="str">
        <f t="shared" si="214"/>
        <v/>
      </c>
      <c r="CX33" s="10" t="str">
        <f t="shared" si="214"/>
        <v/>
      </c>
      <c r="CY33" s="10" t="str">
        <f t="shared" si="214"/>
        <v/>
      </c>
      <c r="CZ33" s="10" t="str">
        <f t="shared" si="214"/>
        <v/>
      </c>
      <c r="DA33" s="10"/>
      <c r="DB33" s="10"/>
      <c r="DC33" s="43" t="str">
        <f t="shared" ref="DC33:DG33" si="215">CV33</f>
        <v/>
      </c>
      <c r="DD33" s="10" t="str">
        <f t="shared" si="215"/>
        <v/>
      </c>
      <c r="DE33" s="10" t="str">
        <f t="shared" si="215"/>
        <v/>
      </c>
      <c r="DF33" s="10" t="str">
        <f t="shared" si="215"/>
        <v/>
      </c>
      <c r="DG33" s="10" t="str">
        <f t="shared" si="215"/>
        <v/>
      </c>
      <c r="DH33" s="10"/>
      <c r="DI33" s="10"/>
      <c r="DJ33" s="43" t="str">
        <f t="shared" ref="DJ33:DN33" si="216">DC33</f>
        <v/>
      </c>
      <c r="DK33" s="10" t="str">
        <f t="shared" si="216"/>
        <v/>
      </c>
      <c r="DL33" s="10" t="str">
        <f t="shared" si="216"/>
        <v/>
      </c>
      <c r="DM33" s="10" t="str">
        <f t="shared" si="216"/>
        <v/>
      </c>
      <c r="DN33" s="10" t="str">
        <f t="shared" si="216"/>
        <v/>
      </c>
      <c r="DO33" s="10"/>
      <c r="DP33" s="10"/>
      <c r="DQ33" s="43" t="str">
        <f t="shared" ref="DQ33:DU33" si="217">DJ33</f>
        <v/>
      </c>
      <c r="DR33" s="10" t="str">
        <f t="shared" si="217"/>
        <v/>
      </c>
      <c r="DS33" s="10" t="str">
        <f t="shared" si="217"/>
        <v/>
      </c>
      <c r="DT33" s="10" t="str">
        <f t="shared" si="217"/>
        <v/>
      </c>
      <c r="DU33" s="10" t="str">
        <f t="shared" si="217"/>
        <v/>
      </c>
      <c r="DV33" s="10"/>
      <c r="DW33" s="10"/>
      <c r="DX33" s="43" t="str">
        <f t="shared" ref="DX33:EB33" si="218">DQ33</f>
        <v/>
      </c>
      <c r="DY33" s="10" t="str">
        <f t="shared" si="218"/>
        <v/>
      </c>
      <c r="DZ33" s="10" t="str">
        <f t="shared" si="218"/>
        <v/>
      </c>
      <c r="EA33" s="10" t="str">
        <f t="shared" si="218"/>
        <v/>
      </c>
      <c r="EB33" s="10" t="str">
        <f t="shared" si="218"/>
        <v/>
      </c>
      <c r="EC33" s="10"/>
      <c r="ED33" s="10"/>
      <c r="EE33" s="43" t="str">
        <f t="shared" ref="EE33:EI33" si="219">DX33</f>
        <v/>
      </c>
      <c r="EF33" s="10" t="str">
        <f t="shared" si="219"/>
        <v/>
      </c>
      <c r="EG33" s="10" t="str">
        <f t="shared" si="219"/>
        <v/>
      </c>
      <c r="EH33" s="10" t="str">
        <f t="shared" si="219"/>
        <v/>
      </c>
      <c r="EI33" s="10" t="str">
        <f t="shared" si="219"/>
        <v/>
      </c>
      <c r="EJ33" s="10"/>
      <c r="EK33" s="10"/>
      <c r="EL33" s="43" t="str">
        <f t="shared" ref="EL33:EP33" si="220">EE33</f>
        <v/>
      </c>
      <c r="EM33" s="10" t="str">
        <f t="shared" si="220"/>
        <v/>
      </c>
      <c r="EN33" s="10" t="str">
        <f t="shared" si="220"/>
        <v/>
      </c>
      <c r="EO33" s="10" t="str">
        <f t="shared" si="220"/>
        <v/>
      </c>
      <c r="EP33" s="10" t="str">
        <f t="shared" si="220"/>
        <v/>
      </c>
      <c r="EQ33" s="10"/>
      <c r="ER33" s="10"/>
    </row>
    <row r="34">
      <c r="A34" s="45"/>
      <c r="B34" s="46"/>
      <c r="C34" s="47"/>
      <c r="D34" s="47"/>
      <c r="E34" s="47"/>
      <c r="F34" s="47"/>
      <c r="G34" s="47"/>
      <c r="H34" s="47"/>
      <c r="I34" s="46" t="str">
        <f t="shared" ref="I34:M34" si="221">B34</f>
        <v/>
      </c>
      <c r="J34" s="47" t="str">
        <f t="shared" si="221"/>
        <v/>
      </c>
      <c r="K34" s="47" t="str">
        <f t="shared" si="221"/>
        <v/>
      </c>
      <c r="L34" s="47" t="str">
        <f t="shared" si="221"/>
        <v/>
      </c>
      <c r="M34" s="47" t="str">
        <f t="shared" si="221"/>
        <v/>
      </c>
      <c r="N34" s="47"/>
      <c r="O34" s="47"/>
      <c r="P34" s="46" t="str">
        <f t="shared" ref="P34:T34" si="222">I34</f>
        <v/>
      </c>
      <c r="Q34" s="47" t="str">
        <f t="shared" si="222"/>
        <v/>
      </c>
      <c r="R34" s="47" t="str">
        <f t="shared" si="222"/>
        <v/>
      </c>
      <c r="S34" s="47" t="str">
        <f t="shared" si="222"/>
        <v/>
      </c>
      <c r="T34" s="47" t="str">
        <f t="shared" si="222"/>
        <v/>
      </c>
      <c r="U34" s="47"/>
      <c r="V34" s="47"/>
      <c r="W34" s="46" t="str">
        <f t="shared" ref="W34:AA34" si="223">P34</f>
        <v/>
      </c>
      <c r="X34" s="47" t="str">
        <f t="shared" si="223"/>
        <v/>
      </c>
      <c r="Y34" s="47" t="str">
        <f t="shared" si="223"/>
        <v/>
      </c>
      <c r="Z34" s="47" t="str">
        <f t="shared" si="223"/>
        <v/>
      </c>
      <c r="AA34" s="47" t="str">
        <f t="shared" si="223"/>
        <v/>
      </c>
      <c r="AB34" s="47"/>
      <c r="AC34" s="47"/>
      <c r="AD34" s="46" t="str">
        <f t="shared" ref="AD34:AH34" si="224">W34</f>
        <v/>
      </c>
      <c r="AE34" s="47" t="str">
        <f t="shared" si="224"/>
        <v/>
      </c>
      <c r="AF34" s="47" t="str">
        <f t="shared" si="224"/>
        <v/>
      </c>
      <c r="AG34" s="47" t="str">
        <f t="shared" si="224"/>
        <v/>
      </c>
      <c r="AH34" s="47" t="str">
        <f t="shared" si="224"/>
        <v/>
      </c>
      <c r="AI34" s="47"/>
      <c r="AJ34" s="47"/>
      <c r="AK34" s="46" t="str">
        <f t="shared" ref="AK34:AO34" si="225">AD34</f>
        <v/>
      </c>
      <c r="AL34" s="47" t="str">
        <f t="shared" si="225"/>
        <v/>
      </c>
      <c r="AM34" s="47" t="str">
        <f t="shared" si="225"/>
        <v/>
      </c>
      <c r="AN34" s="47" t="str">
        <f t="shared" si="225"/>
        <v/>
      </c>
      <c r="AO34" s="47" t="str">
        <f t="shared" si="225"/>
        <v/>
      </c>
      <c r="AP34" s="47"/>
      <c r="AQ34" s="47"/>
      <c r="AR34" s="46" t="str">
        <f t="shared" ref="AR34:AV34" si="226">AK34</f>
        <v/>
      </c>
      <c r="AS34" s="47" t="str">
        <f t="shared" si="226"/>
        <v/>
      </c>
      <c r="AT34" s="47" t="str">
        <f t="shared" si="226"/>
        <v/>
      </c>
      <c r="AU34" s="47" t="str">
        <f t="shared" si="226"/>
        <v/>
      </c>
      <c r="AV34" s="47" t="str">
        <f t="shared" si="226"/>
        <v/>
      </c>
      <c r="AW34" s="47"/>
      <c r="AX34" s="47"/>
      <c r="AY34" s="46" t="str">
        <f t="shared" ref="AY34:BC34" si="227">AR34</f>
        <v/>
      </c>
      <c r="AZ34" s="47" t="str">
        <f t="shared" si="227"/>
        <v/>
      </c>
      <c r="BA34" s="47" t="str">
        <f t="shared" si="227"/>
        <v/>
      </c>
      <c r="BB34" s="47" t="str">
        <f t="shared" si="227"/>
        <v/>
      </c>
      <c r="BC34" s="47" t="str">
        <f t="shared" si="227"/>
        <v/>
      </c>
      <c r="BD34" s="47"/>
      <c r="BE34" s="47"/>
      <c r="BF34" s="46" t="str">
        <f t="shared" ref="BF34:BJ34" si="228">AY34</f>
        <v/>
      </c>
      <c r="BG34" s="47" t="str">
        <f t="shared" si="228"/>
        <v/>
      </c>
      <c r="BH34" s="47" t="str">
        <f t="shared" si="228"/>
        <v/>
      </c>
      <c r="BI34" s="47" t="str">
        <f t="shared" si="228"/>
        <v/>
      </c>
      <c r="BJ34" s="47" t="str">
        <f t="shared" si="228"/>
        <v/>
      </c>
      <c r="BK34" s="47"/>
      <c r="BL34" s="47"/>
      <c r="BM34" s="46" t="str">
        <f t="shared" ref="BM34:BQ34" si="229">BF34</f>
        <v/>
      </c>
      <c r="BN34" s="47" t="str">
        <f t="shared" si="229"/>
        <v/>
      </c>
      <c r="BO34" s="47" t="str">
        <f t="shared" si="229"/>
        <v/>
      </c>
      <c r="BP34" s="47" t="str">
        <f t="shared" si="229"/>
        <v/>
      </c>
      <c r="BQ34" s="47" t="str">
        <f t="shared" si="229"/>
        <v/>
      </c>
      <c r="BR34" s="47"/>
      <c r="BS34" s="47"/>
      <c r="BT34" s="46" t="str">
        <f t="shared" ref="BT34:BX34" si="230">BM34</f>
        <v/>
      </c>
      <c r="BU34" s="47" t="str">
        <f t="shared" si="230"/>
        <v/>
      </c>
      <c r="BV34" s="47" t="str">
        <f t="shared" si="230"/>
        <v/>
      </c>
      <c r="BW34" s="47" t="str">
        <f t="shared" si="230"/>
        <v/>
      </c>
      <c r="BX34" s="47" t="str">
        <f t="shared" si="230"/>
        <v/>
      </c>
      <c r="BY34" s="47"/>
      <c r="BZ34" s="47"/>
      <c r="CA34" s="46" t="str">
        <f t="shared" ref="CA34:CE34" si="231">BT34</f>
        <v/>
      </c>
      <c r="CB34" s="47" t="str">
        <f t="shared" si="231"/>
        <v/>
      </c>
      <c r="CC34" s="47" t="str">
        <f t="shared" si="231"/>
        <v/>
      </c>
      <c r="CD34" s="47" t="str">
        <f t="shared" si="231"/>
        <v/>
      </c>
      <c r="CE34" s="47" t="str">
        <f t="shared" si="231"/>
        <v/>
      </c>
      <c r="CF34" s="47"/>
      <c r="CG34" s="47"/>
      <c r="CH34" s="46" t="str">
        <f t="shared" ref="CH34:CL34" si="232">CA34</f>
        <v/>
      </c>
      <c r="CI34" s="47" t="str">
        <f t="shared" si="232"/>
        <v/>
      </c>
      <c r="CJ34" s="47" t="str">
        <f t="shared" si="232"/>
        <v/>
      </c>
      <c r="CK34" s="47" t="str">
        <f t="shared" si="232"/>
        <v/>
      </c>
      <c r="CL34" s="47" t="str">
        <f t="shared" si="232"/>
        <v/>
      </c>
      <c r="CM34" s="47"/>
      <c r="CN34" s="47"/>
      <c r="CO34" s="46" t="str">
        <f t="shared" ref="CO34:CS34" si="233">CH34</f>
        <v/>
      </c>
      <c r="CP34" s="47" t="str">
        <f t="shared" si="233"/>
        <v/>
      </c>
      <c r="CQ34" s="47" t="str">
        <f t="shared" si="233"/>
        <v/>
      </c>
      <c r="CR34" s="47" t="str">
        <f t="shared" si="233"/>
        <v/>
      </c>
      <c r="CS34" s="47" t="str">
        <f t="shared" si="233"/>
        <v/>
      </c>
      <c r="CT34" s="47"/>
      <c r="CU34" s="47"/>
      <c r="CV34" s="46" t="str">
        <f t="shared" ref="CV34:CZ34" si="234">CO34</f>
        <v/>
      </c>
      <c r="CW34" s="47" t="str">
        <f t="shared" si="234"/>
        <v/>
      </c>
      <c r="CX34" s="47" t="str">
        <f t="shared" si="234"/>
        <v/>
      </c>
      <c r="CY34" s="47" t="str">
        <f t="shared" si="234"/>
        <v/>
      </c>
      <c r="CZ34" s="47" t="str">
        <f t="shared" si="234"/>
        <v/>
      </c>
      <c r="DA34" s="47"/>
      <c r="DB34" s="47"/>
      <c r="DC34" s="46" t="str">
        <f t="shared" ref="DC34:DG34" si="235">CV34</f>
        <v/>
      </c>
      <c r="DD34" s="47" t="str">
        <f t="shared" si="235"/>
        <v/>
      </c>
      <c r="DE34" s="47" t="str">
        <f t="shared" si="235"/>
        <v/>
      </c>
      <c r="DF34" s="47" t="str">
        <f t="shared" si="235"/>
        <v/>
      </c>
      <c r="DG34" s="47" t="str">
        <f t="shared" si="235"/>
        <v/>
      </c>
      <c r="DH34" s="47"/>
      <c r="DI34" s="47"/>
      <c r="DJ34" s="46" t="str">
        <f t="shared" ref="DJ34:DN34" si="236">DC34</f>
        <v/>
      </c>
      <c r="DK34" s="47" t="str">
        <f t="shared" si="236"/>
        <v/>
      </c>
      <c r="DL34" s="47" t="str">
        <f t="shared" si="236"/>
        <v/>
      </c>
      <c r="DM34" s="47" t="str">
        <f t="shared" si="236"/>
        <v/>
      </c>
      <c r="DN34" s="47" t="str">
        <f t="shared" si="236"/>
        <v/>
      </c>
      <c r="DO34" s="47"/>
      <c r="DP34" s="47"/>
      <c r="DQ34" s="46" t="str">
        <f t="shared" ref="DQ34:DU34" si="237">DJ34</f>
        <v/>
      </c>
      <c r="DR34" s="47" t="str">
        <f t="shared" si="237"/>
        <v/>
      </c>
      <c r="DS34" s="47" t="str">
        <f t="shared" si="237"/>
        <v/>
      </c>
      <c r="DT34" s="47" t="str">
        <f t="shared" si="237"/>
        <v/>
      </c>
      <c r="DU34" s="47" t="str">
        <f t="shared" si="237"/>
        <v/>
      </c>
      <c r="DV34" s="47"/>
      <c r="DW34" s="47"/>
      <c r="DX34" s="46" t="str">
        <f t="shared" ref="DX34:EB34" si="238">DQ34</f>
        <v/>
      </c>
      <c r="DY34" s="47" t="str">
        <f t="shared" si="238"/>
        <v/>
      </c>
      <c r="DZ34" s="47" t="str">
        <f t="shared" si="238"/>
        <v/>
      </c>
      <c r="EA34" s="47" t="str">
        <f t="shared" si="238"/>
        <v/>
      </c>
      <c r="EB34" s="47" t="str">
        <f t="shared" si="238"/>
        <v/>
      </c>
      <c r="EC34" s="47"/>
      <c r="ED34" s="47"/>
      <c r="EE34" s="46" t="str">
        <f t="shared" ref="EE34:EI34" si="239">DX34</f>
        <v/>
      </c>
      <c r="EF34" s="47" t="str">
        <f t="shared" si="239"/>
        <v/>
      </c>
      <c r="EG34" s="47" t="str">
        <f t="shared" si="239"/>
        <v/>
      </c>
      <c r="EH34" s="47" t="str">
        <f t="shared" si="239"/>
        <v/>
      </c>
      <c r="EI34" s="47" t="str">
        <f t="shared" si="239"/>
        <v/>
      </c>
      <c r="EJ34" s="47"/>
      <c r="EK34" s="47"/>
      <c r="EL34" s="46" t="str">
        <f t="shared" ref="EL34:EP34" si="240">EE34</f>
        <v/>
      </c>
      <c r="EM34" s="47" t="str">
        <f t="shared" si="240"/>
        <v/>
      </c>
      <c r="EN34" s="47" t="str">
        <f t="shared" si="240"/>
        <v/>
      </c>
      <c r="EO34" s="47" t="str">
        <f t="shared" si="240"/>
        <v/>
      </c>
      <c r="EP34" s="47" t="str">
        <f t="shared" si="240"/>
        <v/>
      </c>
      <c r="EQ34" s="47"/>
      <c r="ER34" s="47"/>
    </row>
    <row r="35">
      <c r="A35" s="3"/>
      <c r="B35" s="42"/>
      <c r="C35" s="3"/>
      <c r="D35" s="3"/>
      <c r="E35" s="3"/>
      <c r="F35" s="3"/>
      <c r="G35" s="3"/>
      <c r="H35" s="3"/>
      <c r="I35" s="42"/>
      <c r="J35" s="3"/>
      <c r="K35" s="3"/>
      <c r="L35" s="3"/>
      <c r="M35" s="3"/>
      <c r="N35" s="3"/>
      <c r="O35" s="3"/>
      <c r="P35" s="42"/>
      <c r="Q35" s="3"/>
      <c r="R35" s="3"/>
      <c r="S35" s="3"/>
      <c r="T35" s="3"/>
      <c r="U35" s="3"/>
      <c r="V35" s="3"/>
      <c r="W35" s="42"/>
      <c r="X35" s="3"/>
      <c r="Y35" s="3"/>
      <c r="Z35" s="3"/>
      <c r="AA35" s="3"/>
      <c r="AB35" s="3"/>
      <c r="AC35" s="3"/>
      <c r="AD35" s="42"/>
      <c r="AE35" s="3"/>
      <c r="AF35" s="3"/>
      <c r="AG35" s="3"/>
      <c r="AH35" s="3"/>
      <c r="AI35" s="3"/>
      <c r="AJ35" s="3"/>
      <c r="AK35" s="42"/>
      <c r="AL35" s="3"/>
      <c r="AM35" s="3"/>
      <c r="AN35" s="3"/>
      <c r="AO35" s="3"/>
      <c r="AP35" s="3"/>
      <c r="AQ35" s="3"/>
      <c r="AR35" s="42"/>
      <c r="AS35" s="3"/>
      <c r="AT35" s="3"/>
      <c r="AU35" s="3"/>
      <c r="AV35" s="3"/>
      <c r="AW35" s="3"/>
      <c r="AX35" s="3"/>
      <c r="AY35" s="42"/>
      <c r="AZ35" s="3"/>
      <c r="BA35" s="3"/>
      <c r="BB35" s="3"/>
      <c r="BC35" s="3"/>
      <c r="BD35" s="3"/>
      <c r="BE35" s="3"/>
      <c r="BF35" s="42"/>
      <c r="BG35" s="3"/>
      <c r="BH35" s="3"/>
      <c r="BI35" s="3"/>
      <c r="BJ35" s="3"/>
      <c r="BK35" s="3"/>
      <c r="BL35" s="3"/>
      <c r="BM35" s="42"/>
      <c r="BN35" s="3"/>
      <c r="BO35" s="3"/>
      <c r="BP35" s="3"/>
      <c r="BQ35" s="3"/>
      <c r="BR35" s="3"/>
      <c r="BS35" s="3"/>
      <c r="BT35" s="42"/>
      <c r="BU35" s="3"/>
      <c r="BV35" s="3"/>
      <c r="BW35" s="3"/>
      <c r="BX35" s="3"/>
      <c r="BY35" s="3"/>
      <c r="BZ35" s="3"/>
      <c r="CA35" s="42"/>
      <c r="CB35" s="3"/>
      <c r="CC35" s="3"/>
      <c r="CD35" s="3"/>
      <c r="CE35" s="3"/>
      <c r="CF35" s="3"/>
      <c r="CG35" s="3"/>
      <c r="CH35" s="42"/>
      <c r="CI35" s="3"/>
      <c r="CJ35" s="3"/>
      <c r="CK35" s="3"/>
      <c r="CL35" s="3"/>
      <c r="CM35" s="3"/>
      <c r="CN35" s="3"/>
      <c r="CO35" s="42"/>
      <c r="CP35" s="3"/>
      <c r="CQ35" s="3"/>
      <c r="CR35" s="3"/>
      <c r="CS35" s="3"/>
      <c r="CT35" s="3"/>
      <c r="CU35" s="3"/>
      <c r="CV35" s="42"/>
      <c r="CW35" s="3"/>
      <c r="CX35" s="3"/>
      <c r="CY35" s="3"/>
      <c r="CZ35" s="3"/>
      <c r="DA35" s="3"/>
      <c r="DB35" s="3"/>
      <c r="DC35" s="42"/>
      <c r="DD35" s="3"/>
      <c r="DE35" s="3"/>
      <c r="DF35" s="3"/>
      <c r="DG35" s="3"/>
      <c r="DH35" s="3"/>
      <c r="DI35" s="3"/>
      <c r="DJ35" s="42"/>
      <c r="DK35" s="3"/>
      <c r="DL35" s="3"/>
      <c r="DM35" s="3"/>
      <c r="DN35" s="3"/>
      <c r="DO35" s="3"/>
      <c r="DP35" s="3"/>
      <c r="DQ35" s="42"/>
      <c r="DR35" s="3"/>
      <c r="DS35" s="3"/>
      <c r="DT35" s="3"/>
      <c r="DU35" s="3"/>
      <c r="DV35" s="3"/>
      <c r="DW35" s="3"/>
      <c r="DX35" s="42"/>
      <c r="DY35" s="3"/>
      <c r="DZ35" s="3"/>
      <c r="EA35" s="3"/>
      <c r="EB35" s="3"/>
      <c r="EC35" s="3"/>
      <c r="ED35" s="3"/>
      <c r="EE35" s="42"/>
      <c r="EF35" s="3"/>
      <c r="EG35" s="3"/>
      <c r="EH35" s="3"/>
      <c r="EI35" s="3"/>
      <c r="EJ35" s="3"/>
      <c r="EK35" s="3"/>
      <c r="EL35" s="42"/>
      <c r="EM35" s="3"/>
      <c r="EN35" s="3"/>
      <c r="EO35" s="3"/>
      <c r="EP35" s="3"/>
      <c r="EQ35" s="3"/>
      <c r="ER35" s="3"/>
    </row>
    <row r="36">
      <c r="A36" s="32" t="s">
        <v>82</v>
      </c>
      <c r="B36" s="33"/>
      <c r="C36" s="34"/>
      <c r="D36" s="34"/>
      <c r="E36" s="34"/>
      <c r="F36" s="34"/>
      <c r="G36" s="34"/>
      <c r="H36" s="34"/>
      <c r="I36" s="33"/>
      <c r="J36" s="34"/>
      <c r="K36" s="34"/>
      <c r="L36" s="34"/>
      <c r="M36" s="34"/>
      <c r="N36" s="34"/>
      <c r="O36" s="34"/>
      <c r="P36" s="33"/>
      <c r="Q36" s="34"/>
      <c r="R36" s="34"/>
      <c r="S36" s="34"/>
      <c r="T36" s="34"/>
      <c r="U36" s="34"/>
      <c r="V36" s="34"/>
      <c r="W36" s="33"/>
      <c r="X36" s="34"/>
      <c r="Y36" s="34"/>
      <c r="Z36" s="34"/>
      <c r="AA36" s="34"/>
      <c r="AB36" s="34"/>
      <c r="AC36" s="34"/>
      <c r="AD36" s="33"/>
      <c r="AE36" s="34"/>
      <c r="AF36" s="34"/>
      <c r="AG36" s="34"/>
      <c r="AH36" s="34"/>
      <c r="AI36" s="34"/>
      <c r="AJ36" s="34"/>
      <c r="AK36" s="33"/>
      <c r="AL36" s="34"/>
      <c r="AM36" s="34"/>
      <c r="AN36" s="34"/>
      <c r="AO36" s="34"/>
      <c r="AP36" s="34"/>
      <c r="AQ36" s="34"/>
      <c r="AR36" s="33"/>
      <c r="AS36" s="34"/>
      <c r="AT36" s="34"/>
      <c r="AU36" s="34"/>
      <c r="AV36" s="34"/>
      <c r="AW36" s="34"/>
      <c r="AX36" s="34"/>
      <c r="AY36" s="33"/>
      <c r="AZ36" s="34"/>
      <c r="BA36" s="34"/>
      <c r="BB36" s="34"/>
      <c r="BC36" s="34"/>
      <c r="BD36" s="34"/>
      <c r="BE36" s="34"/>
      <c r="BF36" s="33"/>
      <c r="BG36" s="34"/>
      <c r="BH36" s="34"/>
      <c r="BI36" s="34"/>
      <c r="BJ36" s="34"/>
      <c r="BK36" s="34"/>
      <c r="BL36" s="34"/>
      <c r="BM36" s="33"/>
      <c r="BN36" s="34"/>
      <c r="BO36" s="34"/>
      <c r="BP36" s="34"/>
      <c r="BQ36" s="34"/>
      <c r="BR36" s="34"/>
      <c r="BS36" s="34"/>
      <c r="BT36" s="33"/>
      <c r="BU36" s="34"/>
      <c r="BV36" s="34"/>
      <c r="BW36" s="34"/>
      <c r="BX36" s="34"/>
      <c r="BY36" s="34"/>
      <c r="BZ36" s="34"/>
      <c r="CA36" s="33"/>
      <c r="CB36" s="34"/>
      <c r="CC36" s="34"/>
      <c r="CD36" s="34"/>
      <c r="CE36" s="34"/>
      <c r="CF36" s="34"/>
      <c r="CG36" s="34"/>
      <c r="CH36" s="33"/>
      <c r="CI36" s="34"/>
      <c r="CJ36" s="34"/>
      <c r="CK36" s="34"/>
      <c r="CL36" s="34"/>
      <c r="CM36" s="34"/>
      <c r="CN36" s="34"/>
      <c r="CO36" s="33"/>
      <c r="CP36" s="34"/>
      <c r="CQ36" s="34"/>
      <c r="CR36" s="34"/>
      <c r="CS36" s="34"/>
      <c r="CT36" s="34"/>
      <c r="CU36" s="34"/>
      <c r="CV36" s="33"/>
      <c r="CW36" s="34"/>
      <c r="CX36" s="34"/>
      <c r="CY36" s="34"/>
      <c r="CZ36" s="34"/>
      <c r="DA36" s="34"/>
      <c r="DB36" s="34"/>
      <c r="DC36" s="33"/>
      <c r="DD36" s="34"/>
      <c r="DE36" s="34"/>
      <c r="DF36" s="34"/>
      <c r="DG36" s="34"/>
      <c r="DH36" s="34"/>
      <c r="DI36" s="34"/>
      <c r="DJ36" s="33"/>
      <c r="DK36" s="34"/>
      <c r="DL36" s="34"/>
      <c r="DM36" s="34"/>
      <c r="DN36" s="34"/>
      <c r="DO36" s="34"/>
      <c r="DP36" s="34"/>
      <c r="DQ36" s="33"/>
      <c r="DR36" s="34"/>
      <c r="DS36" s="34"/>
      <c r="DT36" s="34"/>
      <c r="DU36" s="34"/>
      <c r="DV36" s="34"/>
      <c r="DW36" s="34"/>
      <c r="DX36" s="33"/>
      <c r="DY36" s="34"/>
      <c r="DZ36" s="34"/>
      <c r="EA36" s="34"/>
      <c r="EB36" s="34"/>
      <c r="EC36" s="34"/>
      <c r="ED36" s="34"/>
      <c r="EE36" s="35" t="s">
        <v>77</v>
      </c>
      <c r="EF36" s="36"/>
      <c r="EG36" s="36"/>
      <c r="EH36" s="36"/>
      <c r="EI36" s="36"/>
      <c r="EJ36" s="36"/>
      <c r="EK36" s="36"/>
      <c r="EL36" s="33"/>
      <c r="EM36" s="34"/>
      <c r="EN36" s="34"/>
      <c r="EO36" s="34"/>
      <c r="EP36" s="34"/>
      <c r="EQ36" s="34"/>
      <c r="ER36" s="34"/>
    </row>
    <row r="37" hidden="1">
      <c r="A37" s="37" t="str">
        <f>CONCATENATE(A38," TM")</f>
        <v>OHP TM</v>
      </c>
      <c r="B37" s="38">
        <f>if(D37="",'Quick Setup'!D8,D37/'Quick Setup'!E8)</f>
        <v>200</v>
      </c>
      <c r="C37" s="39" t="s">
        <v>75</v>
      </c>
      <c r="D37" s="40"/>
      <c r="E37" s="41"/>
      <c r="F37" s="41"/>
      <c r="G37" s="41"/>
      <c r="H37" s="41"/>
      <c r="I37" s="38">
        <f>if(K37="", if(F38&lt;&gt;"", if((F38-D38)&lt;-1,B37*(1+Setup!F6),if((F38-D38)&lt;0,B37*(1+Setup!G6),if((F38-D38)=0,B37*(1+Setup!H6),if((F38-D38)=1,B37*(1+Setup!I6),if((F38-D38)=2,B37*(1+Setup!J6),if((F38-D38)=3,B37*(1+Setup!K6),if((F38-D38)=4,B37*(1+Setup!L6),if((F38-D38)&gt;4,B37*(1+Setup!M6),B37)))))))),B37),K37/'Quick Setup'!$E8)</f>
        <v>200</v>
      </c>
      <c r="J37" s="39" t="s">
        <v>75</v>
      </c>
      <c r="K37" s="40"/>
      <c r="L37" s="41"/>
      <c r="M37" s="41"/>
      <c r="N37" s="41"/>
      <c r="O37" s="41"/>
      <c r="P37" s="38">
        <f>if(R37="", if(M38&lt;&gt;"", if((M38-K38)&lt;-1,I37*(1+Setup!R6),if((M38-K38)&lt;0,I37*(1+Setup!S6),if((M38-K38)=0,I37*(1+Setup!T6),if((M38-K38)=1,I37*(1+Setup!U6),if((M38-K38)=2,I37*(1+Setup!V6),if((M38-K38)=3,I37*(1+Setup!W6),if((M38-K38)=4,I37*(1+Setup!X6),if((M38-K38)&gt;4,I37*(1+Setup!Y6),I37)))))))),I37),R37/'Quick Setup'!$E8)</f>
        <v>200</v>
      </c>
      <c r="Q37" s="39" t="s">
        <v>75</v>
      </c>
      <c r="R37" s="40"/>
      <c r="S37" s="41"/>
      <c r="T37" s="41"/>
      <c r="U37" s="41"/>
      <c r="V37" s="41"/>
      <c r="W37" s="38">
        <f>if(Y37="", if(T38&lt;&gt;"", if((T38-R38)&lt;-1,P37*(1+Setup!AD6),if((T38-R38)&lt;0,P37*(1+Setup!AE6),if((T38-R38)=0,P37*(1+Setup!AF6),if((T38-R38)=1,P37*(1+Setup!AG6),if((T38-R38)=2,P37*(1+Setup!AH6),if((T38-R38)=3,P37*(1+Setup!AI6),if((T38-R38)=4,P37*(1+Setup!AJ6),if((T38-R38)&gt;4,P37*(1+Setup!AK6),P37)))))))),P37),Y37/'Quick Setup'!$E8)</f>
        <v>200</v>
      </c>
      <c r="X37" s="39" t="s">
        <v>75</v>
      </c>
      <c r="Y37" s="40"/>
      <c r="Z37" s="41"/>
      <c r="AA37" s="41"/>
      <c r="AB37" s="41"/>
      <c r="AC37" s="41"/>
      <c r="AD37" s="38">
        <f>if(AF37="", if(AA38&lt;&gt;"", if((AA38-Y38)&lt;-1,W37*(1+Setup!AP6),if((AA38-Y38)&lt;0,W37*(1+Setup!AQ6),if((AA38-Y38)=0,W37*(1+Setup!AR6),if((AA38-Y38)=1,W37*(1+Setup!AS6),if((AA38-Y38)=2,W37*(1+Setup!AT6),if((AA38-Y38)=3,W37*(1+Setup!AU6),if((AA38-Y38)=4,W37*(1+Setup!AV6),if((AA38-Y38)&gt;4,W37*(1+Setup!AW6),W37)))))))),W37),AF37/'Quick Setup'!$E8)</f>
        <v>200</v>
      </c>
      <c r="AE37" s="39" t="s">
        <v>75</v>
      </c>
      <c r="AF37" s="40"/>
      <c r="AG37" s="41"/>
      <c r="AH37" s="41"/>
      <c r="AI37" s="41"/>
      <c r="AJ37" s="41"/>
      <c r="AK37" s="38">
        <f>if(AM37="", if(AH38&lt;&gt;"", if((AH38-AF38)&lt;-1,AD37*(1+Setup!BB6),if((AH38-AF38)&lt;0,AD37*(1+Setup!BC6),if((AH38-AF38)=0,AD37*(1+Setup!BD6),if((AH38-AF38)=1,AD37*(1+Setup!BE6),if((AH38-AF38)=2,AD37*(1+Setup!BF6),if((AH38-AF38)=3,AD37*(1+Setup!BG6),if((AH38-AF38)=4,AD37*(1+Setup!BH6),if((AH38-AF38)&gt;4,AD37*(1+Setup!BI6),AD37)))))))),AD37),AM37/'Quick Setup'!$E8)</f>
        <v>200</v>
      </c>
      <c r="AL37" s="39" t="s">
        <v>75</v>
      </c>
      <c r="AM37" s="40"/>
      <c r="AN37" s="41"/>
      <c r="AO37" s="41"/>
      <c r="AP37" s="41"/>
      <c r="AQ37" s="41"/>
      <c r="AR37" s="38">
        <f>if(AT37="", if(AO38&lt;&gt;"", if((AO38-AM38)&lt;-1,AK37*(1+Setup!BN6),if((AO38-AM38)&lt;0,AK37*(1+Setup!BO6),if((AO38-AM38)=0,AK37*(1+Setup!BP6),if((AO38-AM38)=1,AK37*(1+Setup!BQ6),if((AO38-AM38)=2,AK37*(1+Setup!BR6),if((AO38-AM38)=3,AK37*(1+Setup!BS6),if((AO38-AM38)=4,AK37*(1+Setup!BT6),if((AO38-AM38)&gt;4,AK37*(1+Setup!BU6),AK37)))))))),AK37),AT37/'Quick Setup'!$E8)</f>
        <v>200</v>
      </c>
      <c r="AS37" s="39" t="s">
        <v>75</v>
      </c>
      <c r="AT37" s="40"/>
      <c r="AU37" s="41"/>
      <c r="AV37" s="41"/>
      <c r="AW37" s="41"/>
      <c r="AX37" s="41"/>
      <c r="AY37" s="38">
        <f>if(BA37="",AR37,BA37/'Quick Setup'!$E8)</f>
        <v>200</v>
      </c>
      <c r="AZ37" s="39" t="s">
        <v>75</v>
      </c>
      <c r="BA37" s="40"/>
      <c r="BB37" s="41"/>
      <c r="BC37" s="41"/>
      <c r="BD37" s="41"/>
      <c r="BE37" s="41"/>
      <c r="BF37" s="38">
        <f>if(BH37="", if(BC38&lt;&gt;"", if((BC38-BA38)&lt;-1,AY37*(1+Setup!CL6),if((BC38-BA38)&lt;0,AY37*(1+Setup!CM6),if((BC38-BA38)=0,AY37*(1+Setup!CN6),if((BC38-BA38)=1,AY37*(1+Setup!CO6),if((BC38-BA38)=2,AY37*(1+Setup!CP6),if((BC38-BA38)=3,AY37*(1+Setup!CQ6),if((BC38-BA38)=4,AY37*(1+Setup!CR6),if((BC38-BA38)&gt;4,AY37*(1+Setup!CS6),AY37)))))))),AY37),BH37/'Quick Setup'!$E8)</f>
        <v>200</v>
      </c>
      <c r="BG37" s="39" t="s">
        <v>75</v>
      </c>
      <c r="BH37" s="40"/>
      <c r="BI37" s="41"/>
      <c r="BJ37" s="41"/>
      <c r="BK37" s="41"/>
      <c r="BL37" s="41"/>
      <c r="BM37" s="38">
        <f>if(BO37="", if(BJ38&lt;&gt;"", if((BJ38-BH38)&lt;-1,BF37*(1+Setup!CX6),if((BJ38-BH38)&lt;0,BF37*(1+Setup!CY6),if((BJ38-BH38)=0,BF37*(1+Setup!CZ6),if((BJ38-BH38)=1,BF37*(1+Setup!DA6),if((BJ38-BH38)=2,BF37*(1+Setup!DB6),if((BJ38-BH38)=3,BF37*(1+Setup!DC6),if((BJ38-BH38)=4,BF37*(1+Setup!DD6),if((BJ38-BH38)&gt;4,BF37*(1+Setup!DE6),BF37)))))))),BF37),BO37/'Quick Setup'!$E8)</f>
        <v>200</v>
      </c>
      <c r="BN37" s="39" t="s">
        <v>75</v>
      </c>
      <c r="BO37" s="40"/>
      <c r="BP37" s="41"/>
      <c r="BQ37" s="41"/>
      <c r="BR37" s="41"/>
      <c r="BS37" s="41"/>
      <c r="BT37" s="38">
        <f>if(BV37="", if(BQ38&lt;&gt;"", if((BQ38-BO38)&lt;-1,BM37*(1+Setup!DJ6),if((BQ38-BO38)&lt;0,BM37*(1+Setup!DK6),if((BQ38-BO38)=0,BM37*(1+Setup!DL6),if((BQ38-BO38)=1,BM37*(1+Setup!DM6),if((BQ38-BO38)=2,BM37*(1+Setup!DN6),if((BQ38-BO38)=3,BM37*(1+Setup!DO6),if((BQ38-BO38)=4,BM37*(1+Setup!DP6),if((BQ38-BO38)&gt;4,BM37*(1+Setup!DQ6),BM37)))))))),BM37),BV37/'Quick Setup'!$E8)</f>
        <v>200</v>
      </c>
      <c r="BU37" s="39" t="s">
        <v>75</v>
      </c>
      <c r="BV37" s="40"/>
      <c r="BW37" s="41"/>
      <c r="BX37" s="41"/>
      <c r="BY37" s="41"/>
      <c r="BZ37" s="41"/>
      <c r="CA37" s="38">
        <f>if(CC37="", if(BX38&lt;&gt;"", if((BX38-BV38)&lt;-1,BT37*(1+Setup!DV6),if((BX38-BV38)&lt;0,BT37*(1+Setup!DW6),if((BX38-BV38)=0,BT37*(1+Setup!DX6),if((BX38-BV38)=1,BT37*(1+Setup!DY6),if((BX38-BV38)=2,BT37*(1+Setup!DZ6),if((BX38-BV38)=3,BT37*(1+Setup!EA6),if((BX38-BV38)=4,BT37*(1+Setup!EB6),if((BX38-BV38)&gt;4,BT37*(1+Setup!EC6),BT37)))))))),BT37),CC37/'Quick Setup'!$E8)</f>
        <v>200</v>
      </c>
      <c r="CB37" s="39" t="s">
        <v>75</v>
      </c>
      <c r="CC37" s="40"/>
      <c r="CD37" s="41"/>
      <c r="CE37" s="41"/>
      <c r="CF37" s="41"/>
      <c r="CG37" s="41"/>
      <c r="CH37" s="38">
        <f>if(CJ37="", if(CE38&lt;&gt;"", if((CE38-CC38)&lt;-1,CA37*(1+Setup!EH6),if((CE38-CC38)&lt;0,CA37*(1+Setup!EI6),if((CE38-CC38)=0,CA37*(1+Setup!EJ6),if((CE38-CC38)=1,CA37*(1+Setup!EK6),if((CE38-CC38)=2,CA37*(1+Setup!EL6),if((CE38-CC38)=3,CA37*(1+Setup!EM6),if((CE38-CC38)=4,CA37*(1+Setup!EN6),if((CE38-CC38)&gt;4,CA37*(1+Setup!EO6),CA37)))))))),CA37),CJ37/'Quick Setup'!$E8)</f>
        <v>200</v>
      </c>
      <c r="CI37" s="39" t="s">
        <v>75</v>
      </c>
      <c r="CJ37" s="40"/>
      <c r="CK37" s="41"/>
      <c r="CL37" s="41"/>
      <c r="CM37" s="41"/>
      <c r="CN37" s="41"/>
      <c r="CO37" s="38">
        <f>if(CQ37="", if(CL38&lt;&gt;"", if((CL38-CJ38)&lt;-1,CH37*(1+Setup!ET6),if((CL38-CJ38)&lt;0,CH37*(1+Setup!EU6),if((CL38-CJ38)=0,CH37*(1+Setup!EV6),if((CL38-CJ38)=1,CH37*(1+Setup!EW6),if((CL38-CJ38)=2,CH37*(1+Setup!EX6),if((CL38-CJ38)=3,CH37*(1+Setup!EY6),if((CL38-CJ38)=4,CH37*(1+Setup!EZ6),if((CL38-CJ38)&gt;4,CH37*(1+Setup!FA6),CH37)))))))),CH37),CQ37/'Quick Setup'!$E8)</f>
        <v>200</v>
      </c>
      <c r="CP37" s="39" t="s">
        <v>75</v>
      </c>
      <c r="CQ37" s="40"/>
      <c r="CR37" s="41"/>
      <c r="CS37" s="41"/>
      <c r="CT37" s="41"/>
      <c r="CU37" s="41"/>
      <c r="CV37" s="38">
        <f>if(CX37="",CO37,CX37/'Quick Setup'!$E8)</f>
        <v>200</v>
      </c>
      <c r="CW37" s="39" t="s">
        <v>75</v>
      </c>
      <c r="CX37" s="40"/>
      <c r="CY37" s="41"/>
      <c r="CZ37" s="41"/>
      <c r="DA37" s="41"/>
      <c r="DB37" s="41"/>
      <c r="DC37" s="38">
        <f>if(DE37="", if(CZ38&lt;&gt;"", if((CZ38-CX38)&lt;-1,CV37*(1+Setup!FR6),if((CZ38-CX38)&lt;0,CV37*(1+Setup!FS6),if((CZ38-CX38)=0,CV37*(1+Setup!FT6),if((CZ38-CX38)=1,CV37*(1+Setup!FU6),if((CZ38-CX38)=2,CV37*(1+Setup!FV6),if((CZ38-CX38)=3,CV37*(1+Setup!FW6),if((CZ38-CX38)=4,CV37*(1+Setup!FX6),if((CZ38-CX38)&gt;4,CV37*(1+Setup!FY6),CV37)))))))),CV37),DE37/'Quick Setup'!$E8)</f>
        <v>200</v>
      </c>
      <c r="DD37" s="39" t="s">
        <v>75</v>
      </c>
      <c r="DE37" s="40"/>
      <c r="DF37" s="41"/>
      <c r="DG37" s="41"/>
      <c r="DH37" s="41"/>
      <c r="DI37" s="41"/>
      <c r="DJ37" s="38">
        <f>if(DL37="", if(DG38&lt;&gt;"", if((DG38-DE38)&lt;-1,DC37*(1+Setup!GD6),if((DG38-DE38)&lt;0,DC37*(1+Setup!GE6),if((DG38-DE38)=0,DC37*(1+Setup!GF6),if((DG38-DE38)=1,DC37*(1+Setup!GG6),if((DG38-DE38)=2,DC37*(1+Setup!GH6),if((DG38-DE38)=3,DC37*(1+Setup!GI6),if((DG38-DE38)=4,DC37*(1+Setup!GJ6),if((DG38-DE38)&gt;4,DC37*(1+Setup!GK6),DC37)))))))),DC37),DL37/'Quick Setup'!$E8)</f>
        <v>200</v>
      </c>
      <c r="DK37" s="39" t="s">
        <v>75</v>
      </c>
      <c r="DL37" s="40"/>
      <c r="DM37" s="41"/>
      <c r="DN37" s="41"/>
      <c r="DO37" s="41"/>
      <c r="DP37" s="41"/>
      <c r="DQ37" s="38">
        <f>if(DS37="", if(DN38&lt;&gt;"", if((DN38-DL38)&lt;-1,DJ37*(1+Setup!GP6),if((DN38-DL38)&lt;0,DJ37*(1+Setup!GQ6),if((DN38-DL38)=0,DJ37*(1+Setup!GR6),if((DN38-DL38)=1,DJ37*(1+Setup!GS6),if((DN38-DL38)=2,DJ37*(1+Setup!GT6),if((DN38-DL38)=3,DJ37*(1+Setup!GU6),if((DN38-DL38)=4,DJ37*(1+Setup!GV6),if((DN38-DL38)&gt;4,DJ37*(1+Setup!GW6),DJ37)))))))),DJ37),DS37/'Quick Setup'!$E8)</f>
        <v>200</v>
      </c>
      <c r="DR37" s="39" t="s">
        <v>75</v>
      </c>
      <c r="DS37" s="40"/>
      <c r="DT37" s="41"/>
      <c r="DU37" s="41"/>
      <c r="DV37" s="41"/>
      <c r="DW37" s="41"/>
      <c r="DX37" s="38">
        <f>if(DZ37="", if(DU38&lt;&gt;"", if((DU38-DS38)&lt;-1,DQ37*(1+Setup!HB6),if((DU38-DS38)&lt;0,DQ37*(1+Setup!HC6),if((DU38-DS38)=0,DQ37*(1+Setup!HD6),if((DU38-DS38)=1,DQ37*(1+Setup!HE6),if((DU38-DS38)=2,DQ37*(1+Setup!HF6),if((DU38-DS38)=3,DQ37*(1+Setup!HG6),if((DU38-DS38)=4,DQ37*(1+Setup!HH6),if((DU38-DS38)&gt;4,DQ37*(1+Setup!HI6),DQ37)))))))),DQ37),DZ37/'Quick Setup'!$E8)</f>
        <v>200</v>
      </c>
      <c r="DY37" s="39" t="s">
        <v>75</v>
      </c>
      <c r="DZ37" s="40"/>
      <c r="EA37" s="41"/>
      <c r="EB37" s="41"/>
      <c r="EC37" s="41"/>
      <c r="ED37" s="41"/>
      <c r="EE37" s="38">
        <f>if(EG37="", if(EB38&lt;&gt;"", if((EB38-DZ38)&lt;-1,DX37*(1+Setup!HN6),if((EB38-DZ38)&lt;0,DX37*(1+Setup!HO6),if((EB38-DZ38)=0,DX37*(1+Setup!HP6),if((EB38-DZ38)=1,DX37*(1+Setup!HQ6),if((EB38-DZ38)=2,DX37*(1+Setup!HR6),if((EB38-DZ38)=3,DX37*(1+Setup!HS6),if((EB38-DZ38)=4,DX37*(1+Setup!HT6),if((EB38-DZ38)&gt;4,DX37*(1+Setup!HU6),DX37)))))))),DX37),EG37/'Quick Setup'!$E8)</f>
        <v>200</v>
      </c>
      <c r="EF37" s="39" t="s">
        <v>75</v>
      </c>
      <c r="EG37" s="40"/>
      <c r="EH37" s="41"/>
      <c r="EI37" s="41"/>
      <c r="EJ37" s="41"/>
      <c r="EK37" s="41"/>
      <c r="EL37" s="38">
        <f>if(EN37="", if(EI38&lt;&gt;"", if((EI38-EG38)&lt;-1,EE37*(1+Setup!HZ6),if((EI38-EG38)&lt;0,EE37*(1+Setup!IA6),if((EI38-EG38)=0,EE37*(1+Setup!IB6),if((EI38-EG38)=1,EE37*(1+Setup!IC6),if((EI38-EG38)=2,EE37*(1+Setup!ID6),if((EI38-EG38)=3,EE37*(1+Setup!IE6),if((EI38-EG38)=4,EE37*(1+Setup!IF6),if((EI38-EG38)&gt;4,EE37*(1+Setup!IG6),EE37)))))))),EE37),EN37/'Quick Setup'!$E8)</f>
        <v>200</v>
      </c>
      <c r="EM37" s="39" t="s">
        <v>75</v>
      </c>
      <c r="EN37" s="40"/>
      <c r="EO37" s="41"/>
      <c r="EP37" s="41"/>
      <c r="EQ37" s="41"/>
      <c r="ER37" s="41"/>
    </row>
    <row r="38">
      <c r="A38" s="1" t="str">
        <f>Setup!A6</f>
        <v>OHP</v>
      </c>
      <c r="B38" s="42">
        <f>mround(B37*Setup!B6,'Quick Setup'!$A$2)</f>
        <v>140</v>
      </c>
      <c r="C38" s="3">
        <f>Setup!C6</f>
        <v>5</v>
      </c>
      <c r="D38" s="3">
        <f>Setup!D6</f>
        <v>10</v>
      </c>
      <c r="E38" s="3">
        <f>Setup!E6</f>
        <v>5</v>
      </c>
      <c r="F38" s="10"/>
      <c r="G38" s="10"/>
      <c r="H38" s="10"/>
      <c r="I38" s="42">
        <f>mround(I37*Setup!N6,'Quick Setup'!$A$2)</f>
        <v>150</v>
      </c>
      <c r="J38" s="3">
        <f>Setup!O6</f>
        <v>4</v>
      </c>
      <c r="K38" s="3">
        <f>Setup!P6</f>
        <v>8</v>
      </c>
      <c r="L38" s="3">
        <f>Setup!Q6</f>
        <v>5</v>
      </c>
      <c r="M38" s="10"/>
      <c r="N38" s="10"/>
      <c r="O38" s="10"/>
      <c r="P38" s="42">
        <f>mround(P37*Setup!Z6,'Quick Setup'!$A$2)</f>
        <v>160</v>
      </c>
      <c r="Q38" s="3">
        <f>Setup!AA6</f>
        <v>3</v>
      </c>
      <c r="R38" s="3">
        <f>Setup!AB6</f>
        <v>6</v>
      </c>
      <c r="S38" s="3">
        <f>Setup!AC6</f>
        <v>5</v>
      </c>
      <c r="T38" s="10"/>
      <c r="U38" s="10"/>
      <c r="V38" s="10"/>
      <c r="W38" s="42">
        <f>mround(W37*Setup!AL6,'Quick Setup'!$A$2)</f>
        <v>145</v>
      </c>
      <c r="X38" s="3">
        <f>Setup!AM6</f>
        <v>5</v>
      </c>
      <c r="Y38" s="3">
        <f>Setup!AN6</f>
        <v>9</v>
      </c>
      <c r="Z38" s="3">
        <f>Setup!AO6</f>
        <v>5</v>
      </c>
      <c r="AA38" s="10"/>
      <c r="AB38" s="10"/>
      <c r="AC38" s="10"/>
      <c r="AD38" s="42">
        <f>mround(AD37*Setup!AX6,'Quick Setup'!$A$2)</f>
        <v>155</v>
      </c>
      <c r="AE38" s="3">
        <f>Setup!AY6</f>
        <v>4</v>
      </c>
      <c r="AF38" s="3">
        <f>Setup!AZ6</f>
        <v>7</v>
      </c>
      <c r="AG38" s="3">
        <f>Setup!BA6</f>
        <v>5</v>
      </c>
      <c r="AH38" s="10"/>
      <c r="AI38" s="10"/>
      <c r="AJ38" s="10"/>
      <c r="AK38" s="42">
        <f>mround(AK37*Setup!BJ6,'Quick Setup'!$A$2)</f>
        <v>165</v>
      </c>
      <c r="AL38" s="3">
        <f>Setup!BK6</f>
        <v>3</v>
      </c>
      <c r="AM38" s="3">
        <f>Setup!BL6</f>
        <v>5</v>
      </c>
      <c r="AN38" s="3">
        <f>Setup!BM6</f>
        <v>5</v>
      </c>
      <c r="AO38" s="10"/>
      <c r="AP38" s="10"/>
      <c r="AQ38" s="10"/>
      <c r="AR38" s="42">
        <f>mround(AR37*Setup!BV6,'Quick Setup'!$A$2)</f>
        <v>120</v>
      </c>
      <c r="AS38" s="1">
        <v>5.0</v>
      </c>
      <c r="AT38" s="1" t="s">
        <v>78</v>
      </c>
      <c r="AU38" s="3">
        <f>Setup!BY6</f>
        <v>5</v>
      </c>
      <c r="AV38" s="10"/>
      <c r="AW38" s="10"/>
      <c r="AX38" s="10"/>
      <c r="AY38" s="42">
        <f>mround(AY37*Setup!CH6,'Quick Setup'!$A$2)</f>
        <v>150</v>
      </c>
      <c r="AZ38" s="3">
        <f>Setup!CI6</f>
        <v>4</v>
      </c>
      <c r="BA38" s="3">
        <f>Setup!CJ6</f>
        <v>8</v>
      </c>
      <c r="BB38" s="3">
        <f>Setup!CK6</f>
        <v>5</v>
      </c>
      <c r="BC38" s="10"/>
      <c r="BD38" s="10"/>
      <c r="BE38" s="10"/>
      <c r="BF38" s="42">
        <f>mround(BF37*Setup!CT6,'Quick Setup'!$A$2)</f>
        <v>160</v>
      </c>
      <c r="BG38" s="3">
        <f>Setup!CU6</f>
        <v>3</v>
      </c>
      <c r="BH38" s="3">
        <f>Setup!CV6</f>
        <v>6</v>
      </c>
      <c r="BI38" s="3">
        <f>Setup!CW6</f>
        <v>5</v>
      </c>
      <c r="BJ38" s="10"/>
      <c r="BK38" s="10"/>
      <c r="BL38" s="10"/>
      <c r="BM38" s="42">
        <f>mround(BM37*Setup!DF6,'Quick Setup'!$A$2)</f>
        <v>170</v>
      </c>
      <c r="BN38" s="3">
        <f>Setup!DG6</f>
        <v>2</v>
      </c>
      <c r="BO38" s="3">
        <f>Setup!DH6</f>
        <v>4</v>
      </c>
      <c r="BP38" s="3">
        <f>Setup!DI6</f>
        <v>5</v>
      </c>
      <c r="BQ38" s="10"/>
      <c r="BR38" s="10"/>
      <c r="BS38" s="10"/>
      <c r="BT38" s="42">
        <f>mround(BT37*Setup!DR6,'Quick Setup'!$A$2)</f>
        <v>155</v>
      </c>
      <c r="BU38" s="3">
        <f>Setup!DS6</f>
        <v>4</v>
      </c>
      <c r="BV38" s="3">
        <f>Setup!DT6</f>
        <v>7</v>
      </c>
      <c r="BW38" s="3">
        <f>Setup!DU6</f>
        <v>5</v>
      </c>
      <c r="BX38" s="10"/>
      <c r="BY38" s="10"/>
      <c r="BZ38" s="10"/>
      <c r="CA38" s="42">
        <f>mround(CA37*Setup!ED6,'Quick Setup'!$A$2)</f>
        <v>165</v>
      </c>
      <c r="CB38" s="3">
        <f>Setup!EE6</f>
        <v>3</v>
      </c>
      <c r="CC38" s="3">
        <f>Setup!EF6</f>
        <v>5</v>
      </c>
      <c r="CD38" s="3">
        <f>Setup!EG6</f>
        <v>5</v>
      </c>
      <c r="CE38" s="10"/>
      <c r="CF38" s="10"/>
      <c r="CG38" s="10"/>
      <c r="CH38" s="42">
        <f>mround(CH37*Setup!EP6,'Quick Setup'!$A$2)</f>
        <v>175</v>
      </c>
      <c r="CI38" s="3">
        <f>Setup!EQ6</f>
        <v>2</v>
      </c>
      <c r="CJ38" s="3">
        <f>Setup!ER6</f>
        <v>3</v>
      </c>
      <c r="CK38" s="3">
        <f>Setup!ES6</f>
        <v>5</v>
      </c>
      <c r="CL38" s="10"/>
      <c r="CM38" s="10"/>
      <c r="CN38" s="10"/>
      <c r="CO38" s="42">
        <f>mround(CO37*Setup!FB6,'Quick Setup'!$A$2)</f>
        <v>120</v>
      </c>
      <c r="CP38" s="1">
        <v>5.0</v>
      </c>
      <c r="CQ38" s="1" t="s">
        <v>78</v>
      </c>
      <c r="CR38" s="3">
        <f>Setup!FE6</f>
        <v>5</v>
      </c>
      <c r="CS38" s="10"/>
      <c r="CT38" s="10"/>
      <c r="CU38" s="10"/>
      <c r="CV38" s="42">
        <f>mround(CV37*Setup!FN6,'Quick Setup'!$A$2)</f>
        <v>160</v>
      </c>
      <c r="CW38" s="3">
        <f>Setup!FO6</f>
        <v>3</v>
      </c>
      <c r="CX38" s="3">
        <f>Setup!FP6</f>
        <v>6</v>
      </c>
      <c r="CY38" s="3">
        <f>Setup!FQ6</f>
        <v>5</v>
      </c>
      <c r="CZ38" s="10"/>
      <c r="DA38" s="10"/>
      <c r="DB38" s="10"/>
      <c r="DC38" s="42">
        <f>mround(DC37*Setup!FZ6,'Quick Setup'!$A$2)</f>
        <v>170</v>
      </c>
      <c r="DD38" s="3">
        <f>Setup!GA6</f>
        <v>2</v>
      </c>
      <c r="DE38" s="3">
        <f>Setup!GB6</f>
        <v>4</v>
      </c>
      <c r="DF38" s="3">
        <f>Setup!GC6</f>
        <v>5</v>
      </c>
      <c r="DG38" s="10"/>
      <c r="DH38" s="10"/>
      <c r="DI38" s="10"/>
      <c r="DJ38" s="42">
        <f>mround(DJ37*Setup!GL6,'Quick Setup'!$A$2)</f>
        <v>180</v>
      </c>
      <c r="DK38" s="3">
        <f>Setup!GM6</f>
        <v>1</v>
      </c>
      <c r="DL38" s="3">
        <f>Setup!GN6</f>
        <v>2</v>
      </c>
      <c r="DM38" s="3">
        <f>Setup!GO6</f>
        <v>5</v>
      </c>
      <c r="DN38" s="10"/>
      <c r="DO38" s="10"/>
      <c r="DP38" s="10"/>
      <c r="DQ38" s="42">
        <f>mround(DQ37*Setup!GX6,'Quick Setup'!$A$2)</f>
        <v>170</v>
      </c>
      <c r="DR38" s="3">
        <f>Setup!GY6</f>
        <v>2</v>
      </c>
      <c r="DS38" s="3">
        <f>Setup!GZ6</f>
        <v>4</v>
      </c>
      <c r="DT38" s="3">
        <f>Setup!HA6</f>
        <v>5</v>
      </c>
      <c r="DU38" s="10"/>
      <c r="DV38" s="10"/>
      <c r="DW38" s="10"/>
      <c r="DX38" s="42">
        <f>mround(DX37*Setup!HJ6,'Quick Setup'!$A$2)</f>
        <v>180</v>
      </c>
      <c r="DY38" s="3">
        <f>Setup!HK6</f>
        <v>1</v>
      </c>
      <c r="DZ38" s="3">
        <f>Setup!HL6</f>
        <v>2</v>
      </c>
      <c r="EA38" s="3">
        <f>Setup!HM6</f>
        <v>5</v>
      </c>
      <c r="EB38" s="10"/>
      <c r="EC38" s="10"/>
      <c r="ED38" s="10"/>
      <c r="EE38" s="42">
        <f>mround(EE37*Setup!HV6,'Quick Setup'!$A$2)</f>
        <v>190</v>
      </c>
      <c r="EF38" s="3">
        <f>Setup!HW6</f>
        <v>1</v>
      </c>
      <c r="EG38" s="3">
        <f>Setup!HX6</f>
        <v>1</v>
      </c>
      <c r="EH38" s="3">
        <f>Setup!HY6</f>
        <v>5</v>
      </c>
      <c r="EI38" s="10"/>
      <c r="EJ38" s="10"/>
      <c r="EK38" s="10"/>
      <c r="EL38" s="42">
        <f>mround(EL37*Setup!IH6,'Quick Setup'!$A$2)</f>
        <v>120</v>
      </c>
      <c r="EM38" s="1">
        <v>5.0</v>
      </c>
      <c r="EN38" s="1" t="s">
        <v>78</v>
      </c>
      <c r="EO38" s="3">
        <f>Setup!IK6</f>
        <v>5</v>
      </c>
      <c r="EP38" s="10"/>
      <c r="EQ38" s="10"/>
      <c r="ER38" s="10"/>
    </row>
    <row r="39" hidden="1">
      <c r="A39" s="37" t="str">
        <f>CONCATENATE(A40," TM")</f>
        <v>Close Grip Bench TM</v>
      </c>
      <c r="B39" s="38">
        <f>if(D39="",'Quick Setup'!D13,D39/'Quick Setup'!E13)</f>
        <v>310</v>
      </c>
      <c r="C39" s="39" t="s">
        <v>75</v>
      </c>
      <c r="D39" s="40"/>
      <c r="E39" s="41"/>
      <c r="F39" s="41"/>
      <c r="G39" s="41"/>
      <c r="H39" s="41"/>
      <c r="I39" s="38">
        <f>if(K39="", if(F40&lt;&gt;"", if((F40-D40)&lt;-1,B39*(1+Setup!F11),if((F40-D40)&lt;0,B39*(1+Setup!G11),if((F40-D40)=0,B39*(1+Setup!H11),if((F40-D40)=1,B39*(1+Setup!I11),if((F40-D40)=2,B39*(1+Setup!J11),if((F40-D40)=3,B39*(1+Setup!K11),if((F40-D40)=4,B39*(1+Setup!L11),if((F40-D40)&gt;4,B39*(1+Setup!M11),B39)))))))),B39),K39/'Quick Setup'!$E13)</f>
        <v>310</v>
      </c>
      <c r="J39" s="39" t="s">
        <v>75</v>
      </c>
      <c r="K39" s="40"/>
      <c r="L39" s="41"/>
      <c r="M39" s="41"/>
      <c r="N39" s="41"/>
      <c r="O39" s="41"/>
      <c r="P39" s="38">
        <f>if(R39="", if(M40&lt;&gt;"", if((M40-K40)&lt;-1,I39*(1+Setup!R11),if((M40-K40)&lt;0,I39*(1+Setup!S11),if((M40-K40)=0,I39*(1+Setup!T11),if((M40-K40)=1,I39*(1+Setup!U11),if((M40-K40)=2,I39*(1+Setup!V11),if((M40-K40)=3,I39*(1+Setup!W11),if((M40-K40)=4,I39*(1+Setup!X11),if((M40-K40)&gt;4,I39*(1+Setup!Y11),I39)))))))),I39),R39/'Quick Setup'!$E13)</f>
        <v>310</v>
      </c>
      <c r="Q39" s="39" t="s">
        <v>75</v>
      </c>
      <c r="R39" s="40"/>
      <c r="S39" s="41"/>
      <c r="T39" s="41"/>
      <c r="U39" s="41"/>
      <c r="V39" s="41"/>
      <c r="W39" s="38">
        <f>if(Y39="", if(T40&lt;&gt;"", if((T40-R40)&lt;-1,P39*(1+Setup!AD11),if((T40-R40)&lt;0,P39*(1+Setup!AE11),if((T40-R40)=0,P39*(1+Setup!AF11),if((T40-R40)=1,P39*(1+Setup!AG11),if((T40-R40)=2,P39*(1+Setup!AH11),if((T40-R40)=3,P39*(1+Setup!AI11),if((T40-R40)=4,P39*(1+Setup!AJ11),if((T40-R40)&gt;4,P39*(1+Setup!AK11),P39)))))))),P39),Y39/'Quick Setup'!$E13)</f>
        <v>310</v>
      </c>
      <c r="X39" s="39" t="s">
        <v>75</v>
      </c>
      <c r="Y39" s="40"/>
      <c r="Z39" s="41"/>
      <c r="AA39" s="41"/>
      <c r="AB39" s="41"/>
      <c r="AC39" s="41"/>
      <c r="AD39" s="38">
        <f>if(AF39="", if(AA40&lt;&gt;"", if((AA40-Y40)&lt;-1,W39*(1+Setup!AP11),if((AA40-Y40)&lt;0,W39*(1+Setup!AQ11),if((AA40-Y40)=0,W39*(1+Setup!AR11),if((AA40-Y40)=1,W39*(1+Setup!AS11),if((AA40-Y40)=2,W39*(1+Setup!AT11),if((AA40-Y40)=3,W39*(1+Setup!AU11),if((AA40-Y40)=4,W39*(1+Setup!AV11),if((AA40-Y40)&gt;4,W39*(1+Setup!AW11),W39)))))))),W39),AF39/'Quick Setup'!$E13)</f>
        <v>310</v>
      </c>
      <c r="AE39" s="39" t="s">
        <v>75</v>
      </c>
      <c r="AF39" s="40"/>
      <c r="AG39" s="41"/>
      <c r="AH39" s="41"/>
      <c r="AI39" s="41"/>
      <c r="AJ39" s="41"/>
      <c r="AK39" s="38">
        <f>if(AM39="", if(AH40&lt;&gt;"", if((AH40-AF40)&lt;-1,AD39*(1+Setup!BB11),if((AH40-AF40)&lt;0,AD39*(1+Setup!BC11),if((AH40-AF40)=0,AD39*(1+Setup!BD11),if((AH40-AF40)=1,AD39*(1+Setup!BE11),if((AH40-AF40)=2,AD39*(1+Setup!BF11),if((AH40-AF40)=3,AD39*(1+Setup!BG11),if((AH40-AF40)=4,AD39*(1+Setup!BH11),if((AH40-AF40)&gt;4,AD39*(1+Setup!BI11),AD39)))))))),AD39),AM39/'Quick Setup'!$E13)</f>
        <v>310</v>
      </c>
      <c r="AL39" s="39" t="s">
        <v>75</v>
      </c>
      <c r="AM39" s="40"/>
      <c r="AN39" s="41"/>
      <c r="AO39" s="41"/>
      <c r="AP39" s="41"/>
      <c r="AQ39" s="41"/>
      <c r="AR39" s="38">
        <f>if(AT39="", if(AO40&lt;&gt;"", if((AO40-AM40)&lt;-1,AK39*(1+Setup!BN11),if((AO40-AM40)&lt;0,AK39*(1+Setup!BO11),if((AO40-AM40)=0,AK39*(1+Setup!BP11),if((AO40-AM40)=1,AK39*(1+Setup!BQ11),if((AO40-AM40)=2,AK39*(1+Setup!BR11),if((AO40-AM40)=3,AK39*(1+Setup!BS11),if((AO40-AM40)=4,AK39*(1+Setup!BT11),if((AO40-AM40)&gt;4,AK39*(1+Setup!BU11),AK39)))))))),AK39),AT39/'Quick Setup'!$E13)</f>
        <v>310</v>
      </c>
      <c r="AS39" s="39" t="s">
        <v>75</v>
      </c>
      <c r="AT39" s="40"/>
      <c r="AU39" s="41"/>
      <c r="AV39" s="41"/>
      <c r="AW39" s="41"/>
      <c r="AX39" s="41"/>
      <c r="AY39" s="38">
        <f>if(BA39="",AR39,BA39/'Quick Setup'!$E13)</f>
        <v>310</v>
      </c>
      <c r="AZ39" s="39" t="s">
        <v>75</v>
      </c>
      <c r="BA39" s="40"/>
      <c r="BB39" s="41"/>
      <c r="BC39" s="41"/>
      <c r="BD39" s="41"/>
      <c r="BE39" s="41"/>
      <c r="BF39" s="38">
        <f>if(BH39="", if(BC40&lt;&gt;"", if((BC40-BA40)&lt;-1,AY39*(1+Setup!CL11),if((BC40-BA40)&lt;0,AY39*(1+Setup!CM11),if((BC40-BA40)=0,AY39*(1+Setup!CN11),if((BC40-BA40)=1,AY39*(1+Setup!CO11),if((BC40-BA40)=2,AY39*(1+Setup!CP11),if((BC40-BA40)=3,AY39*(1+Setup!CQ11),if((BC40-BA40)=4,AY39*(1+Setup!CR11),if((BC40-BA40)&gt;4,AY39*(1+Setup!CS11),AY39)))))))),AY39),BH39/'Quick Setup'!$E13)</f>
        <v>310</v>
      </c>
      <c r="BG39" s="39" t="s">
        <v>75</v>
      </c>
      <c r="BH39" s="40"/>
      <c r="BI39" s="41"/>
      <c r="BJ39" s="41"/>
      <c r="BK39" s="41"/>
      <c r="BL39" s="41"/>
      <c r="BM39" s="38">
        <f>if(BO39="", if(BJ40&lt;&gt;"", if((BJ40-BH40)&lt;-1,BF39*(1+Setup!CX11),if((BJ40-BH40)&lt;0,BF39*(1+Setup!CY11),if((BJ40-BH40)=0,BF39*(1+Setup!CZ11),if((BJ40-BH40)=1,BF39*(1+Setup!DA11),if((BJ40-BH40)=2,BF39*(1+Setup!DB11),if((BJ40-BH40)=3,BF39*(1+Setup!DC11),if((BJ40-BH40)=4,BF39*(1+Setup!DD11),if((BJ40-BH40)&gt;4,BF39*(1+Setup!DE11),BF39)))))))),BF39),BO39/'Quick Setup'!$E13)</f>
        <v>310</v>
      </c>
      <c r="BN39" s="39" t="s">
        <v>75</v>
      </c>
      <c r="BO39" s="40"/>
      <c r="BP39" s="41"/>
      <c r="BQ39" s="41"/>
      <c r="BR39" s="41"/>
      <c r="BS39" s="41"/>
      <c r="BT39" s="38">
        <f>if(BV39="", if(BQ40&lt;&gt;"", if((BQ40-BO40)&lt;-1,BM39*(1+Setup!DJ11),if((BQ40-BO40)&lt;0,BM39*(1+Setup!DK11),if((BQ40-BO40)=0,BM39*(1+Setup!DL11),if((BQ40-BO40)=1,BM39*(1+Setup!DM11),if((BQ40-BO40)=2,BM39*(1+Setup!DN11),if((BQ40-BO40)=3,BM39*(1+Setup!DO11),if((BQ40-BO40)=4,BM39*(1+Setup!DP11),if((BQ40-BO40)&gt;4,BM39*(1+Setup!DQ11),BM39)))))))),BM39),BV39/'Quick Setup'!$E13)</f>
        <v>310</v>
      </c>
      <c r="BU39" s="39" t="s">
        <v>75</v>
      </c>
      <c r="BV39" s="40"/>
      <c r="BW39" s="41"/>
      <c r="BX39" s="41"/>
      <c r="BY39" s="41"/>
      <c r="BZ39" s="41"/>
      <c r="CA39" s="38">
        <f>if(CC39="", if(BX40&lt;&gt;"", if((BX40-BV40)&lt;-1,BT39*(1+Setup!DV11),if((BX40-BV40)&lt;0,BT39*(1+Setup!DW11),if((BX40-BV40)=0,BT39*(1+Setup!DX11),if((BX40-BV40)=1,BT39*(1+Setup!DY11),if((BX40-BV40)=2,BT39*(1+Setup!DZ11),if((BX40-BV40)=3,BT39*(1+Setup!EA11),if((BX40-BV40)=4,BT39*(1+Setup!EB11),if((BX40-BV40)&gt;4,BT39*(1+Setup!EC11),BT39)))))))),BT39),CC39/'Quick Setup'!$E13)</f>
        <v>310</v>
      </c>
      <c r="CB39" s="39" t="s">
        <v>75</v>
      </c>
      <c r="CC39" s="40"/>
      <c r="CD39" s="41"/>
      <c r="CE39" s="41"/>
      <c r="CF39" s="41"/>
      <c r="CG39" s="41"/>
      <c r="CH39" s="38">
        <f>if(CJ39="", if(CE40&lt;&gt;"", if((CE40-CC40)&lt;-1,CA39*(1+Setup!EH11),if((CE40-CC40)&lt;0,CA39*(1+Setup!EI11),if((CE40-CC40)=0,CA39*(1+Setup!EJ11),if((CE40-CC40)=1,CA39*(1+Setup!EK11),if((CE40-CC40)=2,CA39*(1+Setup!EL11),if((CE40-CC40)=3,CA39*(1+Setup!EM11),if((CE40-CC40)=4,CA39*(1+Setup!EN11),if((CE40-CC40)&gt;4,CA39*(1+Setup!EO11),CA39)))))))),CA39),CJ39/'Quick Setup'!$E13)</f>
        <v>310</v>
      </c>
      <c r="CI39" s="39" t="s">
        <v>75</v>
      </c>
      <c r="CJ39" s="40"/>
      <c r="CK39" s="41"/>
      <c r="CL39" s="41"/>
      <c r="CM39" s="41"/>
      <c r="CN39" s="41"/>
      <c r="CO39" s="38">
        <f>if(CQ39="", if(CL40&lt;&gt;"", if((CL40-CJ40)&lt;-1,CH39*(1+Setup!ET11),if((CL40-CJ40)&lt;0,CH39*(1+Setup!EU11),if((CL40-CJ40)=0,CH39*(1+Setup!EV11),if((CL40-CJ40)=1,CH39*(1+Setup!EW11),if((CL40-CJ40)=2,CH39*(1+Setup!EX11),if((CL40-CJ40)=3,CH39*(1+Setup!EY11),if((CL40-CJ40)=4,CH39*(1+Setup!EZ11),if((CL40-CJ40)&gt;4,CH39*(1+Setup!FA11),CH39)))))))),CH39),CQ39/'Quick Setup'!$E13)</f>
        <v>310</v>
      </c>
      <c r="CP39" s="39" t="s">
        <v>75</v>
      </c>
      <c r="CQ39" s="40"/>
      <c r="CR39" s="41"/>
      <c r="CS39" s="41"/>
      <c r="CT39" s="41"/>
      <c r="CU39" s="41"/>
      <c r="CV39" s="38">
        <f>if(CX39="",CO39,CX39/'Quick Setup'!$E13)</f>
        <v>310</v>
      </c>
      <c r="CW39" s="39" t="s">
        <v>75</v>
      </c>
      <c r="CX39" s="40"/>
      <c r="CY39" s="41"/>
      <c r="CZ39" s="41"/>
      <c r="DA39" s="41"/>
      <c r="DB39" s="41"/>
      <c r="DC39" s="38">
        <f>if(DE39="", if(CZ40&lt;&gt;"", if((CZ40-CX40)&lt;-1,CV39*(1+Setup!FR11),if((CZ40-CX40)&lt;0,CV39*(1+Setup!FS11),if((CZ40-CX40)=0,CV39*(1+Setup!FT11),if((CZ40-CX40)=1,CV39*(1+Setup!FU11),if((CZ40-CX40)=2,CV39*(1+Setup!FV11),if((CZ40-CX40)=3,CV39*(1+Setup!FW11),if((CZ40-CX40)=4,CV39*(1+Setup!FX11),if((CZ40-CX40)&gt;4,CV39*(1+Setup!FY11),CV39)))))))),CV39),DE39/'Quick Setup'!$E13)</f>
        <v>310</v>
      </c>
      <c r="DD39" s="39" t="s">
        <v>75</v>
      </c>
      <c r="DE39" s="40"/>
      <c r="DF39" s="41"/>
      <c r="DG39" s="41"/>
      <c r="DH39" s="41"/>
      <c r="DI39" s="41"/>
      <c r="DJ39" s="38">
        <f>if(DL39="", if(DG40&lt;&gt;"", if((DG40-DE40)&lt;-1,DC39*(1+Setup!GD11),if((DG40-DE40)&lt;0,DC39*(1+Setup!GE11),if((DG40-DE40)=0,DC39*(1+Setup!GF11),if((DG40-DE40)=1,DC39*(1+Setup!GG11),if((DG40-DE40)=2,DC39*(1+Setup!GH11),if((DG40-DE40)=3,DC39*(1+Setup!GI11),if((DG40-DE40)=4,DC39*(1+Setup!GJ11),if((DG40-DE40)&gt;4,DC39*(1+Setup!GK11),DC39)))))))),DC39),DL39/'Quick Setup'!$E13)</f>
        <v>310</v>
      </c>
      <c r="DK39" s="39" t="s">
        <v>75</v>
      </c>
      <c r="DL39" s="40"/>
      <c r="DM39" s="41"/>
      <c r="DN39" s="41"/>
      <c r="DO39" s="41"/>
      <c r="DP39" s="41"/>
      <c r="DQ39" s="38">
        <f>if(DS39="", if(DN40&lt;&gt;"", if((DN40-DL40)&lt;-1,DJ39*(1+Setup!GP11),if((DN40-DL40)&lt;0,DJ39*(1+Setup!GQ11),if((DN40-DL40)=0,DJ39*(1+Setup!GR11),if((DN40-DL40)=1,DJ39*(1+Setup!GS11),if((DN40-DL40)=2,DJ39*(1+Setup!GT11),if((DN40-DL40)=3,DJ39*(1+Setup!GU11),if((DN40-DL40)=4,DJ39*(1+Setup!GV11),if((DN40-DL40)&gt;4,DJ39*(1+Setup!GW11),DJ39)))))))),DJ39),DS39/'Quick Setup'!$E13)</f>
        <v>310</v>
      </c>
      <c r="DR39" s="39" t="s">
        <v>75</v>
      </c>
      <c r="DS39" s="40"/>
      <c r="DT39" s="41"/>
      <c r="DU39" s="41"/>
      <c r="DV39" s="41"/>
      <c r="DW39" s="41"/>
      <c r="DX39" s="38">
        <f>if(DZ39="", if(DU40&lt;&gt;"", if((DU40-DS40)&lt;-1,DQ39*(1+Setup!HB11),if((DU40-DS40)&lt;0,DQ39*(1+Setup!HC11),if((DU40-DS40)=0,DQ39*(1+Setup!HD11),if((DU40-DS40)=1,DQ39*(1+Setup!HE11),if((DU40-DS40)=2,DQ39*(1+Setup!HF11),if((DU40-DS40)=3,DQ39*(1+Setup!HG11),if((DU40-DS40)=4,DQ39*(1+Setup!HH11),if((DU40-DS40)&gt;4,DQ39*(1+Setup!HI11),DQ39)))))))),DQ39),DZ39/'Quick Setup'!$E13)</f>
        <v>310</v>
      </c>
      <c r="DY39" s="39" t="s">
        <v>75</v>
      </c>
      <c r="DZ39" s="40"/>
      <c r="EA39" s="41"/>
      <c r="EB39" s="41"/>
      <c r="EC39" s="41"/>
      <c r="ED39" s="41"/>
      <c r="EE39" s="38">
        <f>if(EG39="", if(EB40&lt;&gt;"", if((EB40-DZ40)&lt;-1,DX39*(1+Setup!HN11),if((EB40-DZ40)&lt;0,DX39*(1+Setup!HO11),if((EB40-DZ40)=0,DX39*(1+Setup!HP11),if((EB40-DZ40)=1,DX39*(1+Setup!HQ11),if((EB40-DZ40)=2,DX39*(1+Setup!HR11),if((EB40-DZ40)=3,DX39*(1+Setup!HS11),if((EB40-DZ40)=4,DX39*(1+Setup!HT11),if((EB40-DZ40)&gt;4,DX39*(1+Setup!HU11),DX39)))))))),DX39),EG39/'Quick Setup'!$E13)</f>
        <v>310</v>
      </c>
      <c r="EF39" s="39" t="s">
        <v>75</v>
      </c>
      <c r="EG39" s="40"/>
      <c r="EH39" s="41"/>
      <c r="EI39" s="41"/>
      <c r="EJ39" s="41"/>
      <c r="EK39" s="41"/>
      <c r="EL39" s="38">
        <f>if(EN39="", if(EI40&lt;&gt;"", if((EI40-EG40)&lt;-1,EE39*(1+Setup!HZ11),if((EI40-EG40)&lt;0,EE39*(1+Setup!IA11),if((EI40-EG40)=0,EE39*(1+Setup!IB11),if((EI40-EG40)=1,EE39*(1+Setup!IC11),if((EI40-EG40)=2,EE39*(1+Setup!ID11),if((EI40-EG40)=3,EE39*(1+Setup!IE11),if((EI40-EG40)=4,EE39*(1+Setup!IF11),if((EI40-EG40)&gt;4,EE39*(1+Setup!IG11),EE39)))))))),EE39),EN39/'Quick Setup'!$E13)</f>
        <v>310</v>
      </c>
      <c r="EM39" s="39" t="s">
        <v>75</v>
      </c>
      <c r="EN39" s="40"/>
      <c r="EO39" s="41"/>
      <c r="EP39" s="41"/>
      <c r="EQ39" s="41"/>
      <c r="ER39" s="41"/>
    </row>
    <row r="40">
      <c r="A40" s="1" t="str">
        <f>Setup!A11</f>
        <v>Close Grip Bench</v>
      </c>
      <c r="B40" s="42">
        <f>mround(B39*Setup!B11,'Quick Setup'!$A$2)</f>
        <v>185</v>
      </c>
      <c r="C40" s="3">
        <f>Setup!C11</f>
        <v>7</v>
      </c>
      <c r="D40" s="3">
        <f>Setup!D11</f>
        <v>14</v>
      </c>
      <c r="E40" s="3">
        <f>Setup!E11</f>
        <v>5</v>
      </c>
      <c r="F40" s="10"/>
      <c r="G40" s="10"/>
      <c r="H40" s="10"/>
      <c r="I40" s="42">
        <f>mround(I39*Setup!N11,'Quick Setup'!$A$2)</f>
        <v>202.5</v>
      </c>
      <c r="J40" s="3">
        <f>Setup!O11</f>
        <v>6</v>
      </c>
      <c r="K40" s="3">
        <f>Setup!P11</f>
        <v>12</v>
      </c>
      <c r="L40" s="3">
        <f>Setup!Q11</f>
        <v>5</v>
      </c>
      <c r="M40" s="10"/>
      <c r="N40" s="10"/>
      <c r="O40" s="10"/>
      <c r="P40" s="42">
        <f>mround(P39*Setup!Z11,'Quick Setup'!$A$2)</f>
        <v>217.5</v>
      </c>
      <c r="Q40" s="3">
        <f>Setup!AA11</f>
        <v>5</v>
      </c>
      <c r="R40" s="3">
        <f>Setup!AB11</f>
        <v>10</v>
      </c>
      <c r="S40" s="3">
        <f>Setup!AC11</f>
        <v>5</v>
      </c>
      <c r="T40" s="10"/>
      <c r="U40" s="10"/>
      <c r="V40" s="10"/>
      <c r="W40" s="42">
        <f>mround(W39*Setup!AL11,'Quick Setup'!$A$2)</f>
        <v>195</v>
      </c>
      <c r="X40" s="3">
        <f>Setup!AM11</f>
        <v>7</v>
      </c>
      <c r="Y40" s="3">
        <f>Setup!AN11</f>
        <v>13</v>
      </c>
      <c r="Z40" s="3">
        <f>Setup!AO11</f>
        <v>5</v>
      </c>
      <c r="AA40" s="10"/>
      <c r="AB40" s="10"/>
      <c r="AC40" s="10"/>
      <c r="AD40" s="42">
        <f>mround(AD39*Setup!AX11,'Quick Setup'!$A$2)</f>
        <v>210</v>
      </c>
      <c r="AE40" s="3">
        <f>Setup!AY11</f>
        <v>6</v>
      </c>
      <c r="AF40" s="3">
        <f>Setup!AZ11</f>
        <v>11</v>
      </c>
      <c r="AG40" s="3">
        <f>Setup!BA11</f>
        <v>5</v>
      </c>
      <c r="AH40" s="10"/>
      <c r="AI40" s="10"/>
      <c r="AJ40" s="10"/>
      <c r="AK40" s="42">
        <f>mround(AK39*Setup!BJ11,'Quick Setup'!$A$2)</f>
        <v>225</v>
      </c>
      <c r="AL40" s="3">
        <f>Setup!BK11</f>
        <v>5</v>
      </c>
      <c r="AM40" s="3">
        <f>Setup!BL11</f>
        <v>9</v>
      </c>
      <c r="AN40" s="3">
        <f>Setup!BM11</f>
        <v>5</v>
      </c>
      <c r="AO40" s="10"/>
      <c r="AP40" s="10"/>
      <c r="AQ40" s="10"/>
      <c r="AR40" s="42">
        <f>mround(AR39*Setup!BV11,'Quick Setup'!$A$2)</f>
        <v>155</v>
      </c>
      <c r="AS40" s="1">
        <v>5.0</v>
      </c>
      <c r="AT40" s="1" t="s">
        <v>78</v>
      </c>
      <c r="AU40" s="3">
        <f>Setup!BY11</f>
        <v>5</v>
      </c>
      <c r="AV40" s="10"/>
      <c r="AW40" s="10"/>
      <c r="AX40" s="10"/>
      <c r="AY40" s="42">
        <f>mround(AY39*Setup!CH11,'Quick Setup'!$A$2)</f>
        <v>202.5</v>
      </c>
      <c r="AZ40" s="3">
        <f>Setup!CI11</f>
        <v>6</v>
      </c>
      <c r="BA40" s="3">
        <f>Setup!CJ11</f>
        <v>12</v>
      </c>
      <c r="BB40" s="3">
        <f>Setup!CK11</f>
        <v>5</v>
      </c>
      <c r="BC40" s="10"/>
      <c r="BD40" s="10"/>
      <c r="BE40" s="10"/>
      <c r="BF40" s="42">
        <f>mround(BF39*Setup!CT11,'Quick Setup'!$A$2)</f>
        <v>217.5</v>
      </c>
      <c r="BG40" s="3">
        <f>Setup!CU11</f>
        <v>5</v>
      </c>
      <c r="BH40" s="3">
        <f>Setup!CV11</f>
        <v>10</v>
      </c>
      <c r="BI40" s="3">
        <f>Setup!CW11</f>
        <v>5</v>
      </c>
      <c r="BJ40" s="10"/>
      <c r="BK40" s="10"/>
      <c r="BL40" s="10"/>
      <c r="BM40" s="42">
        <f>mround(BM39*Setup!DF11,'Quick Setup'!$A$2)</f>
        <v>232.5</v>
      </c>
      <c r="BN40" s="3">
        <f>Setup!DG11</f>
        <v>4</v>
      </c>
      <c r="BO40" s="3">
        <f>Setup!DH11</f>
        <v>8</v>
      </c>
      <c r="BP40" s="3">
        <f>Setup!DI11</f>
        <v>5</v>
      </c>
      <c r="BQ40" s="10"/>
      <c r="BR40" s="10"/>
      <c r="BS40" s="10"/>
      <c r="BT40" s="42">
        <f>mround(BT39*Setup!DR11,'Quick Setup'!$A$2)</f>
        <v>210</v>
      </c>
      <c r="BU40" s="3">
        <f>Setup!DS11</f>
        <v>6</v>
      </c>
      <c r="BV40" s="3">
        <f>Setup!DT11</f>
        <v>11</v>
      </c>
      <c r="BW40" s="3">
        <f>Setup!DU11</f>
        <v>5</v>
      </c>
      <c r="BX40" s="10"/>
      <c r="BY40" s="10"/>
      <c r="BZ40" s="10"/>
      <c r="CA40" s="42">
        <f>mround(CA39*Setup!ED11,'Quick Setup'!$A$2)</f>
        <v>225</v>
      </c>
      <c r="CB40" s="3">
        <f>Setup!EE11</f>
        <v>5</v>
      </c>
      <c r="CC40" s="3">
        <f>Setup!EF11</f>
        <v>9</v>
      </c>
      <c r="CD40" s="3">
        <f>Setup!EG11</f>
        <v>5</v>
      </c>
      <c r="CE40" s="10"/>
      <c r="CF40" s="10"/>
      <c r="CG40" s="10"/>
      <c r="CH40" s="42">
        <f>mround(CH39*Setup!EP11,'Quick Setup'!$A$2)</f>
        <v>240</v>
      </c>
      <c r="CI40" s="3">
        <f>Setup!EQ11</f>
        <v>4</v>
      </c>
      <c r="CJ40" s="3">
        <f>Setup!ER11</f>
        <v>7</v>
      </c>
      <c r="CK40" s="3">
        <f>Setup!ES11</f>
        <v>5</v>
      </c>
      <c r="CL40" s="10"/>
      <c r="CM40" s="10"/>
      <c r="CN40" s="10"/>
      <c r="CO40" s="42">
        <f>mround(CO39*Setup!FB11,'Quick Setup'!$A$2)</f>
        <v>155</v>
      </c>
      <c r="CP40" s="1">
        <v>5.0</v>
      </c>
      <c r="CQ40" s="1" t="s">
        <v>78</v>
      </c>
      <c r="CR40" s="3">
        <f>Setup!FE11</f>
        <v>5</v>
      </c>
      <c r="CS40" s="10"/>
      <c r="CT40" s="10"/>
      <c r="CU40" s="10"/>
      <c r="CV40" s="42">
        <f>mround(CV39*Setup!FN11,'Quick Setup'!$A$2)</f>
        <v>217.5</v>
      </c>
      <c r="CW40" s="3">
        <f>Setup!FO11</f>
        <v>5</v>
      </c>
      <c r="CX40" s="3">
        <f>Setup!FP11</f>
        <v>10</v>
      </c>
      <c r="CY40" s="3">
        <f>Setup!FQ11</f>
        <v>5</v>
      </c>
      <c r="CZ40" s="10"/>
      <c r="DA40" s="10"/>
      <c r="DB40" s="10"/>
      <c r="DC40" s="42">
        <f>mround(DC39*Setup!FZ11,'Quick Setup'!$A$2)</f>
        <v>232.5</v>
      </c>
      <c r="DD40" s="3">
        <f>Setup!GA11</f>
        <v>4</v>
      </c>
      <c r="DE40" s="3">
        <f>Setup!GB11</f>
        <v>8</v>
      </c>
      <c r="DF40" s="3">
        <f>Setup!GC11</f>
        <v>5</v>
      </c>
      <c r="DG40" s="10"/>
      <c r="DH40" s="10"/>
      <c r="DI40" s="10"/>
      <c r="DJ40" s="42">
        <f>mround(DJ39*Setup!GL11,'Quick Setup'!$A$2)</f>
        <v>247.5</v>
      </c>
      <c r="DK40" s="3">
        <f>Setup!GM11</f>
        <v>3</v>
      </c>
      <c r="DL40" s="3">
        <f>Setup!GN11</f>
        <v>6</v>
      </c>
      <c r="DM40" s="3">
        <f>Setup!GO11</f>
        <v>5</v>
      </c>
      <c r="DN40" s="10"/>
      <c r="DO40" s="10"/>
      <c r="DP40" s="10"/>
      <c r="DQ40" s="42">
        <f>mround(DQ39*Setup!GX11,'Quick Setup'!$A$2)</f>
        <v>232.5</v>
      </c>
      <c r="DR40" s="3">
        <f>Setup!GY11</f>
        <v>4</v>
      </c>
      <c r="DS40" s="3">
        <f>Setup!GZ11</f>
        <v>8</v>
      </c>
      <c r="DT40" s="3">
        <f>Setup!HA11</f>
        <v>5</v>
      </c>
      <c r="DU40" s="10"/>
      <c r="DV40" s="10"/>
      <c r="DW40" s="10"/>
      <c r="DX40" s="42">
        <f>mround(DX39*Setup!HJ11,'Quick Setup'!$A$2)</f>
        <v>247.5</v>
      </c>
      <c r="DY40" s="3">
        <f>Setup!HK11</f>
        <v>3</v>
      </c>
      <c r="DZ40" s="3">
        <f>Setup!HL11</f>
        <v>6</v>
      </c>
      <c r="EA40" s="3">
        <f>Setup!HM11</f>
        <v>5</v>
      </c>
      <c r="EB40" s="10"/>
      <c r="EC40" s="10"/>
      <c r="ED40" s="10"/>
      <c r="EE40" s="42">
        <f>mround(EE39*Setup!HV11,'Quick Setup'!$A$2)</f>
        <v>262.5</v>
      </c>
      <c r="EF40" s="3">
        <f>Setup!HW11</f>
        <v>2</v>
      </c>
      <c r="EG40" s="3">
        <f>Setup!HX11</f>
        <v>4</v>
      </c>
      <c r="EH40" s="3">
        <f>Setup!HY11</f>
        <v>5</v>
      </c>
      <c r="EI40" s="10"/>
      <c r="EJ40" s="10"/>
      <c r="EK40" s="10"/>
      <c r="EL40" s="42">
        <f>mround(EL39*Setup!IH11,'Quick Setup'!$A$2)</f>
        <v>155</v>
      </c>
      <c r="EM40" s="1">
        <v>5.0</v>
      </c>
      <c r="EN40" s="1" t="s">
        <v>78</v>
      </c>
      <c r="EO40" s="3">
        <f>Setup!IK11</f>
        <v>5</v>
      </c>
      <c r="EP40" s="10"/>
      <c r="EQ40" s="10"/>
      <c r="ER40" s="10"/>
    </row>
    <row r="41">
      <c r="A41" s="5"/>
      <c r="B41" s="43"/>
      <c r="C41" s="10"/>
      <c r="D41" s="10"/>
      <c r="E41" s="10"/>
      <c r="F41" s="10"/>
      <c r="G41" s="10"/>
      <c r="H41" s="10"/>
      <c r="I41" s="43" t="str">
        <f t="shared" ref="I41:M41" si="241">B41</f>
        <v/>
      </c>
      <c r="J41" s="10" t="str">
        <f t="shared" si="241"/>
        <v/>
      </c>
      <c r="K41" s="10" t="str">
        <f t="shared" si="241"/>
        <v/>
      </c>
      <c r="L41" s="10" t="str">
        <f t="shared" si="241"/>
        <v/>
      </c>
      <c r="M41" s="10" t="str">
        <f t="shared" si="241"/>
        <v/>
      </c>
      <c r="N41" s="10"/>
      <c r="O41" s="10"/>
      <c r="P41" s="43" t="str">
        <f t="shared" ref="P41:T41" si="242">I41</f>
        <v/>
      </c>
      <c r="Q41" s="10" t="str">
        <f t="shared" si="242"/>
        <v/>
      </c>
      <c r="R41" s="10" t="str">
        <f t="shared" si="242"/>
        <v/>
      </c>
      <c r="S41" s="10" t="str">
        <f t="shared" si="242"/>
        <v/>
      </c>
      <c r="T41" s="10" t="str">
        <f t="shared" si="242"/>
        <v/>
      </c>
      <c r="U41" s="10"/>
      <c r="V41" s="10"/>
      <c r="W41" s="43" t="str">
        <f t="shared" ref="W41:AA41" si="243">P41</f>
        <v/>
      </c>
      <c r="X41" s="10" t="str">
        <f t="shared" si="243"/>
        <v/>
      </c>
      <c r="Y41" s="10" t="str">
        <f t="shared" si="243"/>
        <v/>
      </c>
      <c r="Z41" s="10" t="str">
        <f t="shared" si="243"/>
        <v/>
      </c>
      <c r="AA41" s="10" t="str">
        <f t="shared" si="243"/>
        <v/>
      </c>
      <c r="AB41" s="10"/>
      <c r="AC41" s="10"/>
      <c r="AD41" s="43" t="str">
        <f t="shared" ref="AD41:AH41" si="244">W41</f>
        <v/>
      </c>
      <c r="AE41" s="10" t="str">
        <f t="shared" si="244"/>
        <v/>
      </c>
      <c r="AF41" s="10" t="str">
        <f t="shared" si="244"/>
        <v/>
      </c>
      <c r="AG41" s="10" t="str">
        <f t="shared" si="244"/>
        <v/>
      </c>
      <c r="AH41" s="10" t="str">
        <f t="shared" si="244"/>
        <v/>
      </c>
      <c r="AI41" s="10"/>
      <c r="AJ41" s="10"/>
      <c r="AK41" s="43" t="str">
        <f t="shared" ref="AK41:AO41" si="245">AD41</f>
        <v/>
      </c>
      <c r="AL41" s="10" t="str">
        <f t="shared" si="245"/>
        <v/>
      </c>
      <c r="AM41" s="10" t="str">
        <f t="shared" si="245"/>
        <v/>
      </c>
      <c r="AN41" s="10" t="str">
        <f t="shared" si="245"/>
        <v/>
      </c>
      <c r="AO41" s="10" t="str">
        <f t="shared" si="245"/>
        <v/>
      </c>
      <c r="AP41" s="10"/>
      <c r="AQ41" s="10"/>
      <c r="AR41" s="43" t="str">
        <f t="shared" ref="AR41:AV41" si="246">AK41</f>
        <v/>
      </c>
      <c r="AS41" s="10" t="str">
        <f t="shared" si="246"/>
        <v/>
      </c>
      <c r="AT41" s="10" t="str">
        <f t="shared" si="246"/>
        <v/>
      </c>
      <c r="AU41" s="10" t="str">
        <f t="shared" si="246"/>
        <v/>
      </c>
      <c r="AV41" s="10" t="str">
        <f t="shared" si="246"/>
        <v/>
      </c>
      <c r="AW41" s="10"/>
      <c r="AX41" s="10"/>
      <c r="AY41" s="43" t="str">
        <f t="shared" ref="AY41:BC41" si="247">AR41</f>
        <v/>
      </c>
      <c r="AZ41" s="10" t="str">
        <f t="shared" si="247"/>
        <v/>
      </c>
      <c r="BA41" s="10" t="str">
        <f t="shared" si="247"/>
        <v/>
      </c>
      <c r="BB41" s="10" t="str">
        <f t="shared" si="247"/>
        <v/>
      </c>
      <c r="BC41" s="10" t="str">
        <f t="shared" si="247"/>
        <v/>
      </c>
      <c r="BD41" s="10"/>
      <c r="BE41" s="10"/>
      <c r="BF41" s="43" t="str">
        <f t="shared" ref="BF41:BJ41" si="248">AY41</f>
        <v/>
      </c>
      <c r="BG41" s="10" t="str">
        <f t="shared" si="248"/>
        <v/>
      </c>
      <c r="BH41" s="10" t="str">
        <f t="shared" si="248"/>
        <v/>
      </c>
      <c r="BI41" s="10" t="str">
        <f t="shared" si="248"/>
        <v/>
      </c>
      <c r="BJ41" s="10" t="str">
        <f t="shared" si="248"/>
        <v/>
      </c>
      <c r="BK41" s="10"/>
      <c r="BL41" s="10"/>
      <c r="BM41" s="43" t="str">
        <f t="shared" ref="BM41:BQ41" si="249">BF41</f>
        <v/>
      </c>
      <c r="BN41" s="10" t="str">
        <f t="shared" si="249"/>
        <v/>
      </c>
      <c r="BO41" s="10" t="str">
        <f t="shared" si="249"/>
        <v/>
      </c>
      <c r="BP41" s="10" t="str">
        <f t="shared" si="249"/>
        <v/>
      </c>
      <c r="BQ41" s="10" t="str">
        <f t="shared" si="249"/>
        <v/>
      </c>
      <c r="BR41" s="10"/>
      <c r="BS41" s="10"/>
      <c r="BT41" s="43" t="str">
        <f t="shared" ref="BT41:BX41" si="250">BM41</f>
        <v/>
      </c>
      <c r="BU41" s="10" t="str">
        <f t="shared" si="250"/>
        <v/>
      </c>
      <c r="BV41" s="10" t="str">
        <f t="shared" si="250"/>
        <v/>
      </c>
      <c r="BW41" s="10" t="str">
        <f t="shared" si="250"/>
        <v/>
      </c>
      <c r="BX41" s="10" t="str">
        <f t="shared" si="250"/>
        <v/>
      </c>
      <c r="BY41" s="10"/>
      <c r="BZ41" s="10"/>
      <c r="CA41" s="43" t="str">
        <f t="shared" ref="CA41:CE41" si="251">BT41</f>
        <v/>
      </c>
      <c r="CB41" s="10" t="str">
        <f t="shared" si="251"/>
        <v/>
      </c>
      <c r="CC41" s="10" t="str">
        <f t="shared" si="251"/>
        <v/>
      </c>
      <c r="CD41" s="10" t="str">
        <f t="shared" si="251"/>
        <v/>
      </c>
      <c r="CE41" s="10" t="str">
        <f t="shared" si="251"/>
        <v/>
      </c>
      <c r="CF41" s="10"/>
      <c r="CG41" s="10"/>
      <c r="CH41" s="43" t="str">
        <f t="shared" ref="CH41:CL41" si="252">CA41</f>
        <v/>
      </c>
      <c r="CI41" s="10" t="str">
        <f t="shared" si="252"/>
        <v/>
      </c>
      <c r="CJ41" s="10" t="str">
        <f t="shared" si="252"/>
        <v/>
      </c>
      <c r="CK41" s="10" t="str">
        <f t="shared" si="252"/>
        <v/>
      </c>
      <c r="CL41" s="10" t="str">
        <f t="shared" si="252"/>
        <v/>
      </c>
      <c r="CM41" s="10"/>
      <c r="CN41" s="10"/>
      <c r="CO41" s="43" t="str">
        <f t="shared" ref="CO41:CS41" si="253">CH41</f>
        <v/>
      </c>
      <c r="CP41" s="10" t="str">
        <f t="shared" si="253"/>
        <v/>
      </c>
      <c r="CQ41" s="10" t="str">
        <f t="shared" si="253"/>
        <v/>
      </c>
      <c r="CR41" s="10" t="str">
        <f t="shared" si="253"/>
        <v/>
      </c>
      <c r="CS41" s="10" t="str">
        <f t="shared" si="253"/>
        <v/>
      </c>
      <c r="CT41" s="10"/>
      <c r="CU41" s="10"/>
      <c r="CV41" s="43" t="str">
        <f t="shared" ref="CV41:CZ41" si="254">CO41</f>
        <v/>
      </c>
      <c r="CW41" s="10" t="str">
        <f t="shared" si="254"/>
        <v/>
      </c>
      <c r="CX41" s="10" t="str">
        <f t="shared" si="254"/>
        <v/>
      </c>
      <c r="CY41" s="10" t="str">
        <f t="shared" si="254"/>
        <v/>
      </c>
      <c r="CZ41" s="10" t="str">
        <f t="shared" si="254"/>
        <v/>
      </c>
      <c r="DA41" s="10"/>
      <c r="DB41" s="10"/>
      <c r="DC41" s="43" t="str">
        <f t="shared" ref="DC41:DG41" si="255">CV41</f>
        <v/>
      </c>
      <c r="DD41" s="10" t="str">
        <f t="shared" si="255"/>
        <v/>
      </c>
      <c r="DE41" s="10" t="str">
        <f t="shared" si="255"/>
        <v/>
      </c>
      <c r="DF41" s="10" t="str">
        <f t="shared" si="255"/>
        <v/>
      </c>
      <c r="DG41" s="10" t="str">
        <f t="shared" si="255"/>
        <v/>
      </c>
      <c r="DH41" s="10"/>
      <c r="DI41" s="10"/>
      <c r="DJ41" s="43" t="str">
        <f t="shared" ref="DJ41:DN41" si="256">DC41</f>
        <v/>
      </c>
      <c r="DK41" s="10" t="str">
        <f t="shared" si="256"/>
        <v/>
      </c>
      <c r="DL41" s="10" t="str">
        <f t="shared" si="256"/>
        <v/>
      </c>
      <c r="DM41" s="10" t="str">
        <f t="shared" si="256"/>
        <v/>
      </c>
      <c r="DN41" s="10" t="str">
        <f t="shared" si="256"/>
        <v/>
      </c>
      <c r="DO41" s="10"/>
      <c r="DP41" s="10"/>
      <c r="DQ41" s="43" t="str">
        <f t="shared" ref="DQ41:DU41" si="257">DJ41</f>
        <v/>
      </c>
      <c r="DR41" s="10" t="str">
        <f t="shared" si="257"/>
        <v/>
      </c>
      <c r="DS41" s="10" t="str">
        <f t="shared" si="257"/>
        <v/>
      </c>
      <c r="DT41" s="10" t="str">
        <f t="shared" si="257"/>
        <v/>
      </c>
      <c r="DU41" s="10" t="str">
        <f t="shared" si="257"/>
        <v/>
      </c>
      <c r="DV41" s="10"/>
      <c r="DW41" s="10"/>
      <c r="DX41" s="43" t="str">
        <f t="shared" ref="DX41:EB41" si="258">DQ41</f>
        <v/>
      </c>
      <c r="DY41" s="10" t="str">
        <f t="shared" si="258"/>
        <v/>
      </c>
      <c r="DZ41" s="10" t="str">
        <f t="shared" si="258"/>
        <v/>
      </c>
      <c r="EA41" s="10" t="str">
        <f t="shared" si="258"/>
        <v/>
      </c>
      <c r="EB41" s="10" t="str">
        <f t="shared" si="258"/>
        <v/>
      </c>
      <c r="EC41" s="10"/>
      <c r="ED41" s="10"/>
      <c r="EE41" s="43" t="str">
        <f t="shared" ref="EE41:EI41" si="259">DX41</f>
        <v/>
      </c>
      <c r="EF41" s="10" t="str">
        <f t="shared" si="259"/>
        <v/>
      </c>
      <c r="EG41" s="10" t="str">
        <f t="shared" si="259"/>
        <v/>
      </c>
      <c r="EH41" s="10" t="str">
        <f t="shared" si="259"/>
        <v/>
      </c>
      <c r="EI41" s="10" t="str">
        <f t="shared" si="259"/>
        <v/>
      </c>
      <c r="EJ41" s="10"/>
      <c r="EK41" s="10"/>
      <c r="EL41" s="43" t="str">
        <f t="shared" ref="EL41:EP41" si="260">EE41</f>
        <v/>
      </c>
      <c r="EM41" s="10" t="str">
        <f t="shared" si="260"/>
        <v/>
      </c>
      <c r="EN41" s="10" t="str">
        <f t="shared" si="260"/>
        <v/>
      </c>
      <c r="EO41" s="10" t="str">
        <f t="shared" si="260"/>
        <v/>
      </c>
      <c r="EP41" s="10" t="str">
        <f t="shared" si="260"/>
        <v/>
      </c>
      <c r="EQ41" s="10"/>
      <c r="ER41" s="10"/>
    </row>
    <row r="42">
      <c r="A42" s="1" t="s">
        <v>79</v>
      </c>
      <c r="B42" s="42"/>
      <c r="C42" s="3"/>
      <c r="D42" s="3"/>
      <c r="E42" s="3"/>
      <c r="F42" s="3"/>
      <c r="G42" s="3"/>
      <c r="H42" s="3"/>
      <c r="I42" s="42"/>
      <c r="J42" s="3"/>
      <c r="K42" s="3"/>
      <c r="L42" s="3"/>
      <c r="M42" s="3"/>
      <c r="N42" s="3"/>
      <c r="O42" s="3"/>
      <c r="P42" s="42"/>
      <c r="Q42" s="3"/>
      <c r="R42" s="3"/>
      <c r="S42" s="3"/>
      <c r="T42" s="3"/>
      <c r="U42" s="3"/>
      <c r="V42" s="3"/>
      <c r="W42" s="42"/>
      <c r="X42" s="3"/>
      <c r="Y42" s="3"/>
      <c r="Z42" s="3"/>
      <c r="AA42" s="3"/>
      <c r="AB42" s="3"/>
      <c r="AC42" s="3"/>
      <c r="AD42" s="42"/>
      <c r="AE42" s="3"/>
      <c r="AF42" s="3"/>
      <c r="AG42" s="3"/>
      <c r="AH42" s="3"/>
      <c r="AI42" s="3"/>
      <c r="AJ42" s="3"/>
      <c r="AK42" s="42"/>
      <c r="AL42" s="3"/>
      <c r="AM42" s="3"/>
      <c r="AN42" s="3"/>
      <c r="AO42" s="3"/>
      <c r="AP42" s="3"/>
      <c r="AQ42" s="3"/>
      <c r="AR42" s="42"/>
      <c r="AS42" s="3"/>
      <c r="AT42" s="3"/>
      <c r="AU42" s="3"/>
      <c r="AV42" s="3"/>
      <c r="AW42" s="3"/>
      <c r="AX42" s="3"/>
      <c r="AY42" s="42"/>
      <c r="AZ42" s="3"/>
      <c r="BA42" s="3"/>
      <c r="BB42" s="3"/>
      <c r="BC42" s="3"/>
      <c r="BD42" s="3"/>
      <c r="BE42" s="3"/>
      <c r="BF42" s="42"/>
      <c r="BG42" s="3"/>
      <c r="BH42" s="3"/>
      <c r="BI42" s="3"/>
      <c r="BJ42" s="3"/>
      <c r="BK42" s="3"/>
      <c r="BL42" s="3"/>
      <c r="BM42" s="42"/>
      <c r="BN42" s="3"/>
      <c r="BO42" s="3"/>
      <c r="BP42" s="3"/>
      <c r="BQ42" s="3"/>
      <c r="BR42" s="3"/>
      <c r="BS42" s="3"/>
      <c r="BT42" s="42"/>
      <c r="BU42" s="3"/>
      <c r="BV42" s="3"/>
      <c r="BW42" s="3"/>
      <c r="BX42" s="3"/>
      <c r="BY42" s="3"/>
      <c r="BZ42" s="3"/>
      <c r="CA42" s="42"/>
      <c r="CB42" s="3"/>
      <c r="CC42" s="3"/>
      <c r="CD42" s="3"/>
      <c r="CE42" s="3"/>
      <c r="CF42" s="3"/>
      <c r="CG42" s="3"/>
      <c r="CH42" s="42"/>
      <c r="CI42" s="3"/>
      <c r="CJ42" s="3"/>
      <c r="CK42" s="3"/>
      <c r="CL42" s="3"/>
      <c r="CM42" s="3"/>
      <c r="CN42" s="3"/>
      <c r="CO42" s="42"/>
      <c r="CP42" s="3"/>
      <c r="CQ42" s="3"/>
      <c r="CR42" s="3"/>
      <c r="CS42" s="3"/>
      <c r="CT42" s="3"/>
      <c r="CU42" s="3"/>
      <c r="CV42" s="42"/>
      <c r="CW42" s="3"/>
      <c r="CX42" s="3"/>
      <c r="CY42" s="3"/>
      <c r="CZ42" s="3"/>
      <c r="DA42" s="3"/>
      <c r="DB42" s="3"/>
      <c r="DC42" s="42"/>
      <c r="DD42" s="3"/>
      <c r="DE42" s="3"/>
      <c r="DF42" s="3"/>
      <c r="DG42" s="3"/>
      <c r="DH42" s="3"/>
      <c r="DI42" s="3"/>
      <c r="DJ42" s="42"/>
      <c r="DK42" s="3"/>
      <c r="DL42" s="3"/>
      <c r="DM42" s="3"/>
      <c r="DN42" s="3"/>
      <c r="DO42" s="3"/>
      <c r="DP42" s="3"/>
      <c r="DQ42" s="42"/>
      <c r="DR42" s="3"/>
      <c r="DS42" s="3"/>
      <c r="DT42" s="3"/>
      <c r="DU42" s="3"/>
      <c r="DV42" s="3"/>
      <c r="DW42" s="3"/>
      <c r="DX42" s="42"/>
      <c r="DY42" s="3"/>
      <c r="DZ42" s="3"/>
      <c r="EA42" s="3"/>
      <c r="EB42" s="3"/>
      <c r="EC42" s="3"/>
      <c r="ED42" s="3"/>
      <c r="EE42" s="42"/>
      <c r="EF42" s="3"/>
      <c r="EG42" s="3"/>
      <c r="EH42" s="3"/>
      <c r="EI42" s="3"/>
      <c r="EJ42" s="3"/>
      <c r="EK42" s="3"/>
      <c r="EL42" s="42"/>
      <c r="EM42" s="3"/>
      <c r="EN42" s="3"/>
      <c r="EO42" s="3"/>
      <c r="EP42" s="3"/>
      <c r="EQ42" s="3"/>
      <c r="ER42" s="3"/>
    </row>
    <row r="43">
      <c r="A43" s="44"/>
      <c r="B43" s="43"/>
      <c r="C43" s="10"/>
      <c r="D43" s="10"/>
      <c r="E43" s="10"/>
      <c r="F43" s="10"/>
      <c r="G43" s="10"/>
      <c r="H43" s="10"/>
      <c r="I43" s="43" t="str">
        <f t="shared" ref="I43:M43" si="261">B43</f>
        <v/>
      </c>
      <c r="J43" s="10" t="str">
        <f t="shared" si="261"/>
        <v/>
      </c>
      <c r="K43" s="10" t="str">
        <f t="shared" si="261"/>
        <v/>
      </c>
      <c r="L43" s="10" t="str">
        <f t="shared" si="261"/>
        <v/>
      </c>
      <c r="M43" s="10" t="str">
        <f t="shared" si="261"/>
        <v/>
      </c>
      <c r="N43" s="10"/>
      <c r="O43" s="10"/>
      <c r="P43" s="43" t="str">
        <f t="shared" ref="P43:T43" si="262">I43</f>
        <v/>
      </c>
      <c r="Q43" s="10" t="str">
        <f t="shared" si="262"/>
        <v/>
      </c>
      <c r="R43" s="10" t="str">
        <f t="shared" si="262"/>
        <v/>
      </c>
      <c r="S43" s="10" t="str">
        <f t="shared" si="262"/>
        <v/>
      </c>
      <c r="T43" s="10" t="str">
        <f t="shared" si="262"/>
        <v/>
      </c>
      <c r="U43" s="10"/>
      <c r="V43" s="10"/>
      <c r="W43" s="43" t="str">
        <f t="shared" ref="W43:AA43" si="263">P43</f>
        <v/>
      </c>
      <c r="X43" s="10" t="str">
        <f t="shared" si="263"/>
        <v/>
      </c>
      <c r="Y43" s="10" t="str">
        <f t="shared" si="263"/>
        <v/>
      </c>
      <c r="Z43" s="10" t="str">
        <f t="shared" si="263"/>
        <v/>
      </c>
      <c r="AA43" s="10" t="str">
        <f t="shared" si="263"/>
        <v/>
      </c>
      <c r="AB43" s="10"/>
      <c r="AC43" s="10"/>
      <c r="AD43" s="43" t="str">
        <f t="shared" ref="AD43:AH43" si="264">W43</f>
        <v/>
      </c>
      <c r="AE43" s="10" t="str">
        <f t="shared" si="264"/>
        <v/>
      </c>
      <c r="AF43" s="10" t="str">
        <f t="shared" si="264"/>
        <v/>
      </c>
      <c r="AG43" s="10" t="str">
        <f t="shared" si="264"/>
        <v/>
      </c>
      <c r="AH43" s="10" t="str">
        <f t="shared" si="264"/>
        <v/>
      </c>
      <c r="AI43" s="10"/>
      <c r="AJ43" s="10"/>
      <c r="AK43" s="43" t="str">
        <f t="shared" ref="AK43:AO43" si="265">AD43</f>
        <v/>
      </c>
      <c r="AL43" s="10" t="str">
        <f t="shared" si="265"/>
        <v/>
      </c>
      <c r="AM43" s="10" t="str">
        <f t="shared" si="265"/>
        <v/>
      </c>
      <c r="AN43" s="10" t="str">
        <f t="shared" si="265"/>
        <v/>
      </c>
      <c r="AO43" s="10" t="str">
        <f t="shared" si="265"/>
        <v/>
      </c>
      <c r="AP43" s="10"/>
      <c r="AQ43" s="10"/>
      <c r="AR43" s="43" t="str">
        <f t="shared" ref="AR43:AV43" si="266">AK43</f>
        <v/>
      </c>
      <c r="AS43" s="10" t="str">
        <f t="shared" si="266"/>
        <v/>
      </c>
      <c r="AT43" s="10" t="str">
        <f t="shared" si="266"/>
        <v/>
      </c>
      <c r="AU43" s="10" t="str">
        <f t="shared" si="266"/>
        <v/>
      </c>
      <c r="AV43" s="10" t="str">
        <f t="shared" si="266"/>
        <v/>
      </c>
      <c r="AW43" s="10"/>
      <c r="AX43" s="10"/>
      <c r="AY43" s="43" t="str">
        <f t="shared" ref="AY43:BC43" si="267">AR43</f>
        <v/>
      </c>
      <c r="AZ43" s="10" t="str">
        <f t="shared" si="267"/>
        <v/>
      </c>
      <c r="BA43" s="10" t="str">
        <f t="shared" si="267"/>
        <v/>
      </c>
      <c r="BB43" s="10" t="str">
        <f t="shared" si="267"/>
        <v/>
      </c>
      <c r="BC43" s="10" t="str">
        <f t="shared" si="267"/>
        <v/>
      </c>
      <c r="BD43" s="10"/>
      <c r="BE43" s="10"/>
      <c r="BF43" s="43" t="str">
        <f t="shared" ref="BF43:BJ43" si="268">AY43</f>
        <v/>
      </c>
      <c r="BG43" s="10" t="str">
        <f t="shared" si="268"/>
        <v/>
      </c>
      <c r="BH43" s="10" t="str">
        <f t="shared" si="268"/>
        <v/>
      </c>
      <c r="BI43" s="10" t="str">
        <f t="shared" si="268"/>
        <v/>
      </c>
      <c r="BJ43" s="10" t="str">
        <f t="shared" si="268"/>
        <v/>
      </c>
      <c r="BK43" s="10"/>
      <c r="BL43" s="10"/>
      <c r="BM43" s="43" t="str">
        <f t="shared" ref="BM43:BQ43" si="269">BF43</f>
        <v/>
      </c>
      <c r="BN43" s="10" t="str">
        <f t="shared" si="269"/>
        <v/>
      </c>
      <c r="BO43" s="10" t="str">
        <f t="shared" si="269"/>
        <v/>
      </c>
      <c r="BP43" s="10" t="str">
        <f t="shared" si="269"/>
        <v/>
      </c>
      <c r="BQ43" s="10" t="str">
        <f t="shared" si="269"/>
        <v/>
      </c>
      <c r="BR43" s="10"/>
      <c r="BS43" s="10"/>
      <c r="BT43" s="43" t="str">
        <f t="shared" ref="BT43:BX43" si="270">BM43</f>
        <v/>
      </c>
      <c r="BU43" s="10" t="str">
        <f t="shared" si="270"/>
        <v/>
      </c>
      <c r="BV43" s="10" t="str">
        <f t="shared" si="270"/>
        <v/>
      </c>
      <c r="BW43" s="10" t="str">
        <f t="shared" si="270"/>
        <v/>
      </c>
      <c r="BX43" s="10" t="str">
        <f t="shared" si="270"/>
        <v/>
      </c>
      <c r="BY43" s="10"/>
      <c r="BZ43" s="10"/>
      <c r="CA43" s="43" t="str">
        <f t="shared" ref="CA43:CE43" si="271">BT43</f>
        <v/>
      </c>
      <c r="CB43" s="10" t="str">
        <f t="shared" si="271"/>
        <v/>
      </c>
      <c r="CC43" s="10" t="str">
        <f t="shared" si="271"/>
        <v/>
      </c>
      <c r="CD43" s="10" t="str">
        <f t="shared" si="271"/>
        <v/>
      </c>
      <c r="CE43" s="10" t="str">
        <f t="shared" si="271"/>
        <v/>
      </c>
      <c r="CF43" s="10"/>
      <c r="CG43" s="10"/>
      <c r="CH43" s="43" t="str">
        <f t="shared" ref="CH43:CL43" si="272">CA43</f>
        <v/>
      </c>
      <c r="CI43" s="10" t="str">
        <f t="shared" si="272"/>
        <v/>
      </c>
      <c r="CJ43" s="10" t="str">
        <f t="shared" si="272"/>
        <v/>
      </c>
      <c r="CK43" s="10" t="str">
        <f t="shared" si="272"/>
        <v/>
      </c>
      <c r="CL43" s="10" t="str">
        <f t="shared" si="272"/>
        <v/>
      </c>
      <c r="CM43" s="10"/>
      <c r="CN43" s="10"/>
      <c r="CO43" s="43" t="str">
        <f t="shared" ref="CO43:CS43" si="273">CH43</f>
        <v/>
      </c>
      <c r="CP43" s="10" t="str">
        <f t="shared" si="273"/>
        <v/>
      </c>
      <c r="CQ43" s="10" t="str">
        <f t="shared" si="273"/>
        <v/>
      </c>
      <c r="CR43" s="10" t="str">
        <f t="shared" si="273"/>
        <v/>
      </c>
      <c r="CS43" s="10" t="str">
        <f t="shared" si="273"/>
        <v/>
      </c>
      <c r="CT43" s="10"/>
      <c r="CU43" s="10"/>
      <c r="CV43" s="43" t="str">
        <f t="shared" ref="CV43:CZ43" si="274">CO43</f>
        <v/>
      </c>
      <c r="CW43" s="10" t="str">
        <f t="shared" si="274"/>
        <v/>
      </c>
      <c r="CX43" s="10" t="str">
        <f t="shared" si="274"/>
        <v/>
      </c>
      <c r="CY43" s="10" t="str">
        <f t="shared" si="274"/>
        <v/>
      </c>
      <c r="CZ43" s="10" t="str">
        <f t="shared" si="274"/>
        <v/>
      </c>
      <c r="DA43" s="10"/>
      <c r="DB43" s="10"/>
      <c r="DC43" s="43" t="str">
        <f t="shared" ref="DC43:DG43" si="275">CV43</f>
        <v/>
      </c>
      <c r="DD43" s="10" t="str">
        <f t="shared" si="275"/>
        <v/>
      </c>
      <c r="DE43" s="10" t="str">
        <f t="shared" si="275"/>
        <v/>
      </c>
      <c r="DF43" s="10" t="str">
        <f t="shared" si="275"/>
        <v/>
      </c>
      <c r="DG43" s="10" t="str">
        <f t="shared" si="275"/>
        <v/>
      </c>
      <c r="DH43" s="10"/>
      <c r="DI43" s="10"/>
      <c r="DJ43" s="43" t="str">
        <f t="shared" ref="DJ43:DN43" si="276">DC43</f>
        <v/>
      </c>
      <c r="DK43" s="10" t="str">
        <f t="shared" si="276"/>
        <v/>
      </c>
      <c r="DL43" s="10" t="str">
        <f t="shared" si="276"/>
        <v/>
      </c>
      <c r="DM43" s="10" t="str">
        <f t="shared" si="276"/>
        <v/>
      </c>
      <c r="DN43" s="10" t="str">
        <f t="shared" si="276"/>
        <v/>
      </c>
      <c r="DO43" s="10"/>
      <c r="DP43" s="10"/>
      <c r="DQ43" s="43" t="str">
        <f t="shared" ref="DQ43:DU43" si="277">DJ43</f>
        <v/>
      </c>
      <c r="DR43" s="10" t="str">
        <f t="shared" si="277"/>
        <v/>
      </c>
      <c r="DS43" s="10" t="str">
        <f t="shared" si="277"/>
        <v/>
      </c>
      <c r="DT43" s="10" t="str">
        <f t="shared" si="277"/>
        <v/>
      </c>
      <c r="DU43" s="10" t="str">
        <f t="shared" si="277"/>
        <v/>
      </c>
      <c r="DV43" s="10"/>
      <c r="DW43" s="10"/>
      <c r="DX43" s="43" t="str">
        <f t="shared" ref="DX43:EB43" si="278">DQ43</f>
        <v/>
      </c>
      <c r="DY43" s="10" t="str">
        <f t="shared" si="278"/>
        <v/>
      </c>
      <c r="DZ43" s="10" t="str">
        <f t="shared" si="278"/>
        <v/>
      </c>
      <c r="EA43" s="10" t="str">
        <f t="shared" si="278"/>
        <v/>
      </c>
      <c r="EB43" s="10" t="str">
        <f t="shared" si="278"/>
        <v/>
      </c>
      <c r="EC43" s="10"/>
      <c r="ED43" s="10"/>
      <c r="EE43" s="43" t="str">
        <f t="shared" ref="EE43:EI43" si="279">DX43</f>
        <v/>
      </c>
      <c r="EF43" s="10" t="str">
        <f t="shared" si="279"/>
        <v/>
      </c>
      <c r="EG43" s="10" t="str">
        <f t="shared" si="279"/>
        <v/>
      </c>
      <c r="EH43" s="10" t="str">
        <f t="shared" si="279"/>
        <v/>
      </c>
      <c r="EI43" s="10" t="str">
        <f t="shared" si="279"/>
        <v/>
      </c>
      <c r="EJ43" s="10"/>
      <c r="EK43" s="10"/>
      <c r="EL43" s="43" t="str">
        <f t="shared" ref="EL43:EP43" si="280">EE43</f>
        <v/>
      </c>
      <c r="EM43" s="10" t="str">
        <f t="shared" si="280"/>
        <v/>
      </c>
      <c r="EN43" s="10" t="str">
        <f t="shared" si="280"/>
        <v/>
      </c>
      <c r="EO43" s="10" t="str">
        <f t="shared" si="280"/>
        <v/>
      </c>
      <c r="EP43" s="10" t="str">
        <f t="shared" si="280"/>
        <v/>
      </c>
      <c r="EQ43" s="10"/>
      <c r="ER43" s="10"/>
    </row>
    <row r="44">
      <c r="A44" s="44"/>
      <c r="B44" s="43"/>
      <c r="C44" s="10"/>
      <c r="D44" s="10"/>
      <c r="E44" s="10"/>
      <c r="F44" s="10"/>
      <c r="G44" s="10"/>
      <c r="H44" s="10"/>
      <c r="I44" s="43" t="str">
        <f t="shared" ref="I44:M44" si="281">B44</f>
        <v/>
      </c>
      <c r="J44" s="10" t="str">
        <f t="shared" si="281"/>
        <v/>
      </c>
      <c r="K44" s="10" t="str">
        <f t="shared" si="281"/>
        <v/>
      </c>
      <c r="L44" s="10" t="str">
        <f t="shared" si="281"/>
        <v/>
      </c>
      <c r="M44" s="10" t="str">
        <f t="shared" si="281"/>
        <v/>
      </c>
      <c r="N44" s="10"/>
      <c r="O44" s="10"/>
      <c r="P44" s="43" t="str">
        <f t="shared" ref="P44:T44" si="282">I44</f>
        <v/>
      </c>
      <c r="Q44" s="10" t="str">
        <f t="shared" si="282"/>
        <v/>
      </c>
      <c r="R44" s="10" t="str">
        <f t="shared" si="282"/>
        <v/>
      </c>
      <c r="S44" s="10" t="str">
        <f t="shared" si="282"/>
        <v/>
      </c>
      <c r="T44" s="10" t="str">
        <f t="shared" si="282"/>
        <v/>
      </c>
      <c r="U44" s="10"/>
      <c r="V44" s="10"/>
      <c r="W44" s="43" t="str">
        <f t="shared" ref="W44:AA44" si="283">P44</f>
        <v/>
      </c>
      <c r="X44" s="10" t="str">
        <f t="shared" si="283"/>
        <v/>
      </c>
      <c r="Y44" s="10" t="str">
        <f t="shared" si="283"/>
        <v/>
      </c>
      <c r="Z44" s="10" t="str">
        <f t="shared" si="283"/>
        <v/>
      </c>
      <c r="AA44" s="10" t="str">
        <f t="shared" si="283"/>
        <v/>
      </c>
      <c r="AB44" s="10"/>
      <c r="AC44" s="10"/>
      <c r="AD44" s="43" t="str">
        <f t="shared" ref="AD44:AH44" si="284">W44</f>
        <v/>
      </c>
      <c r="AE44" s="10" t="str">
        <f t="shared" si="284"/>
        <v/>
      </c>
      <c r="AF44" s="10" t="str">
        <f t="shared" si="284"/>
        <v/>
      </c>
      <c r="AG44" s="10" t="str">
        <f t="shared" si="284"/>
        <v/>
      </c>
      <c r="AH44" s="10" t="str">
        <f t="shared" si="284"/>
        <v/>
      </c>
      <c r="AI44" s="10"/>
      <c r="AJ44" s="10"/>
      <c r="AK44" s="43" t="str">
        <f t="shared" ref="AK44:AO44" si="285">AD44</f>
        <v/>
      </c>
      <c r="AL44" s="10" t="str">
        <f t="shared" si="285"/>
        <v/>
      </c>
      <c r="AM44" s="10" t="str">
        <f t="shared" si="285"/>
        <v/>
      </c>
      <c r="AN44" s="10" t="str">
        <f t="shared" si="285"/>
        <v/>
      </c>
      <c r="AO44" s="10" t="str">
        <f t="shared" si="285"/>
        <v/>
      </c>
      <c r="AP44" s="10"/>
      <c r="AQ44" s="10"/>
      <c r="AR44" s="43" t="str">
        <f t="shared" ref="AR44:AV44" si="286">AK44</f>
        <v/>
      </c>
      <c r="AS44" s="10" t="str">
        <f t="shared" si="286"/>
        <v/>
      </c>
      <c r="AT44" s="10" t="str">
        <f t="shared" si="286"/>
        <v/>
      </c>
      <c r="AU44" s="10" t="str">
        <f t="shared" si="286"/>
        <v/>
      </c>
      <c r="AV44" s="10" t="str">
        <f t="shared" si="286"/>
        <v/>
      </c>
      <c r="AW44" s="10"/>
      <c r="AX44" s="10"/>
      <c r="AY44" s="43" t="str">
        <f t="shared" ref="AY44:BC44" si="287">AR44</f>
        <v/>
      </c>
      <c r="AZ44" s="10" t="str">
        <f t="shared" si="287"/>
        <v/>
      </c>
      <c r="BA44" s="10" t="str">
        <f t="shared" si="287"/>
        <v/>
      </c>
      <c r="BB44" s="10" t="str">
        <f t="shared" si="287"/>
        <v/>
      </c>
      <c r="BC44" s="10" t="str">
        <f t="shared" si="287"/>
        <v/>
      </c>
      <c r="BD44" s="10"/>
      <c r="BE44" s="10"/>
      <c r="BF44" s="43" t="str">
        <f t="shared" ref="BF44:BJ44" si="288">AY44</f>
        <v/>
      </c>
      <c r="BG44" s="10" t="str">
        <f t="shared" si="288"/>
        <v/>
      </c>
      <c r="BH44" s="10" t="str">
        <f t="shared" si="288"/>
        <v/>
      </c>
      <c r="BI44" s="10" t="str">
        <f t="shared" si="288"/>
        <v/>
      </c>
      <c r="BJ44" s="10" t="str">
        <f t="shared" si="288"/>
        <v/>
      </c>
      <c r="BK44" s="10"/>
      <c r="BL44" s="10"/>
      <c r="BM44" s="43" t="str">
        <f t="shared" ref="BM44:BQ44" si="289">BF44</f>
        <v/>
      </c>
      <c r="BN44" s="10" t="str">
        <f t="shared" si="289"/>
        <v/>
      </c>
      <c r="BO44" s="10" t="str">
        <f t="shared" si="289"/>
        <v/>
      </c>
      <c r="BP44" s="10" t="str">
        <f t="shared" si="289"/>
        <v/>
      </c>
      <c r="BQ44" s="10" t="str">
        <f t="shared" si="289"/>
        <v/>
      </c>
      <c r="BR44" s="10"/>
      <c r="BS44" s="10"/>
      <c r="BT44" s="43" t="str">
        <f t="shared" ref="BT44:BX44" si="290">BM44</f>
        <v/>
      </c>
      <c r="BU44" s="10" t="str">
        <f t="shared" si="290"/>
        <v/>
      </c>
      <c r="BV44" s="10" t="str">
        <f t="shared" si="290"/>
        <v/>
      </c>
      <c r="BW44" s="10" t="str">
        <f t="shared" si="290"/>
        <v/>
      </c>
      <c r="BX44" s="10" t="str">
        <f t="shared" si="290"/>
        <v/>
      </c>
      <c r="BY44" s="10"/>
      <c r="BZ44" s="10"/>
      <c r="CA44" s="43" t="str">
        <f t="shared" ref="CA44:CE44" si="291">BT44</f>
        <v/>
      </c>
      <c r="CB44" s="10" t="str">
        <f t="shared" si="291"/>
        <v/>
      </c>
      <c r="CC44" s="10" t="str">
        <f t="shared" si="291"/>
        <v/>
      </c>
      <c r="CD44" s="10" t="str">
        <f t="shared" si="291"/>
        <v/>
      </c>
      <c r="CE44" s="10" t="str">
        <f t="shared" si="291"/>
        <v/>
      </c>
      <c r="CF44" s="10"/>
      <c r="CG44" s="10"/>
      <c r="CH44" s="43" t="str">
        <f t="shared" ref="CH44:CL44" si="292">CA44</f>
        <v/>
      </c>
      <c r="CI44" s="10" t="str">
        <f t="shared" si="292"/>
        <v/>
      </c>
      <c r="CJ44" s="10" t="str">
        <f t="shared" si="292"/>
        <v/>
      </c>
      <c r="CK44" s="10" t="str">
        <f t="shared" si="292"/>
        <v/>
      </c>
      <c r="CL44" s="10" t="str">
        <f t="shared" si="292"/>
        <v/>
      </c>
      <c r="CM44" s="10"/>
      <c r="CN44" s="10"/>
      <c r="CO44" s="43" t="str">
        <f t="shared" ref="CO44:CS44" si="293">CH44</f>
        <v/>
      </c>
      <c r="CP44" s="10" t="str">
        <f t="shared" si="293"/>
        <v/>
      </c>
      <c r="CQ44" s="10" t="str">
        <f t="shared" si="293"/>
        <v/>
      </c>
      <c r="CR44" s="10" t="str">
        <f t="shared" si="293"/>
        <v/>
      </c>
      <c r="CS44" s="10" t="str">
        <f t="shared" si="293"/>
        <v/>
      </c>
      <c r="CT44" s="10"/>
      <c r="CU44" s="10"/>
      <c r="CV44" s="43" t="str">
        <f t="shared" ref="CV44:CZ44" si="294">CO44</f>
        <v/>
      </c>
      <c r="CW44" s="10" t="str">
        <f t="shared" si="294"/>
        <v/>
      </c>
      <c r="CX44" s="10" t="str">
        <f t="shared" si="294"/>
        <v/>
      </c>
      <c r="CY44" s="10" t="str">
        <f t="shared" si="294"/>
        <v/>
      </c>
      <c r="CZ44" s="10" t="str">
        <f t="shared" si="294"/>
        <v/>
      </c>
      <c r="DA44" s="10"/>
      <c r="DB44" s="10"/>
      <c r="DC44" s="43" t="str">
        <f t="shared" ref="DC44:DG44" si="295">CV44</f>
        <v/>
      </c>
      <c r="DD44" s="10" t="str">
        <f t="shared" si="295"/>
        <v/>
      </c>
      <c r="DE44" s="10" t="str">
        <f t="shared" si="295"/>
        <v/>
      </c>
      <c r="DF44" s="10" t="str">
        <f t="shared" si="295"/>
        <v/>
      </c>
      <c r="DG44" s="10" t="str">
        <f t="shared" si="295"/>
        <v/>
      </c>
      <c r="DH44" s="10"/>
      <c r="DI44" s="10"/>
      <c r="DJ44" s="43" t="str">
        <f t="shared" ref="DJ44:DN44" si="296">DC44</f>
        <v/>
      </c>
      <c r="DK44" s="10" t="str">
        <f t="shared" si="296"/>
        <v/>
      </c>
      <c r="DL44" s="10" t="str">
        <f t="shared" si="296"/>
        <v/>
      </c>
      <c r="DM44" s="10" t="str">
        <f t="shared" si="296"/>
        <v/>
      </c>
      <c r="DN44" s="10" t="str">
        <f t="shared" si="296"/>
        <v/>
      </c>
      <c r="DO44" s="10"/>
      <c r="DP44" s="10"/>
      <c r="DQ44" s="43" t="str">
        <f t="shared" ref="DQ44:DU44" si="297">DJ44</f>
        <v/>
      </c>
      <c r="DR44" s="10" t="str">
        <f t="shared" si="297"/>
        <v/>
      </c>
      <c r="DS44" s="10" t="str">
        <f t="shared" si="297"/>
        <v/>
      </c>
      <c r="DT44" s="10" t="str">
        <f t="shared" si="297"/>
        <v/>
      </c>
      <c r="DU44" s="10" t="str">
        <f t="shared" si="297"/>
        <v/>
      </c>
      <c r="DV44" s="10"/>
      <c r="DW44" s="10"/>
      <c r="DX44" s="43" t="str">
        <f t="shared" ref="DX44:EB44" si="298">DQ44</f>
        <v/>
      </c>
      <c r="DY44" s="10" t="str">
        <f t="shared" si="298"/>
        <v/>
      </c>
      <c r="DZ44" s="10" t="str">
        <f t="shared" si="298"/>
        <v/>
      </c>
      <c r="EA44" s="10" t="str">
        <f t="shared" si="298"/>
        <v/>
      </c>
      <c r="EB44" s="10" t="str">
        <f t="shared" si="298"/>
        <v/>
      </c>
      <c r="EC44" s="10"/>
      <c r="ED44" s="10"/>
      <c r="EE44" s="43" t="str">
        <f t="shared" ref="EE44:EI44" si="299">DX44</f>
        <v/>
      </c>
      <c r="EF44" s="10" t="str">
        <f t="shared" si="299"/>
        <v/>
      </c>
      <c r="EG44" s="10" t="str">
        <f t="shared" si="299"/>
        <v/>
      </c>
      <c r="EH44" s="10" t="str">
        <f t="shared" si="299"/>
        <v/>
      </c>
      <c r="EI44" s="10" t="str">
        <f t="shared" si="299"/>
        <v/>
      </c>
      <c r="EJ44" s="10"/>
      <c r="EK44" s="10"/>
      <c r="EL44" s="43" t="str">
        <f t="shared" ref="EL44:EP44" si="300">EE44</f>
        <v/>
      </c>
      <c r="EM44" s="10" t="str">
        <f t="shared" si="300"/>
        <v/>
      </c>
      <c r="EN44" s="10" t="str">
        <f t="shared" si="300"/>
        <v/>
      </c>
      <c r="EO44" s="10" t="str">
        <f t="shared" si="300"/>
        <v/>
      </c>
      <c r="EP44" s="10" t="str">
        <f t="shared" si="300"/>
        <v/>
      </c>
      <c r="EQ44" s="10"/>
      <c r="ER44" s="10"/>
    </row>
    <row r="45">
      <c r="A45" s="45"/>
      <c r="B45" s="46"/>
      <c r="C45" s="47"/>
      <c r="D45" s="47"/>
      <c r="E45" s="47"/>
      <c r="F45" s="47"/>
      <c r="G45" s="47"/>
      <c r="H45" s="47"/>
      <c r="I45" s="46" t="str">
        <f t="shared" ref="I45:M45" si="301">B45</f>
        <v/>
      </c>
      <c r="J45" s="47" t="str">
        <f t="shared" si="301"/>
        <v/>
      </c>
      <c r="K45" s="47" t="str">
        <f t="shared" si="301"/>
        <v/>
      </c>
      <c r="L45" s="47" t="str">
        <f t="shared" si="301"/>
        <v/>
      </c>
      <c r="M45" s="47" t="str">
        <f t="shared" si="301"/>
        <v/>
      </c>
      <c r="N45" s="47"/>
      <c r="O45" s="47"/>
      <c r="P45" s="46" t="str">
        <f t="shared" ref="P45:T45" si="302">I45</f>
        <v/>
      </c>
      <c r="Q45" s="47" t="str">
        <f t="shared" si="302"/>
        <v/>
      </c>
      <c r="R45" s="47" t="str">
        <f t="shared" si="302"/>
        <v/>
      </c>
      <c r="S45" s="47" t="str">
        <f t="shared" si="302"/>
        <v/>
      </c>
      <c r="T45" s="47" t="str">
        <f t="shared" si="302"/>
        <v/>
      </c>
      <c r="U45" s="47"/>
      <c r="V45" s="47"/>
      <c r="W45" s="46" t="str">
        <f t="shared" ref="W45:AA45" si="303">P45</f>
        <v/>
      </c>
      <c r="X45" s="47" t="str">
        <f t="shared" si="303"/>
        <v/>
      </c>
      <c r="Y45" s="47" t="str">
        <f t="shared" si="303"/>
        <v/>
      </c>
      <c r="Z45" s="47" t="str">
        <f t="shared" si="303"/>
        <v/>
      </c>
      <c r="AA45" s="47" t="str">
        <f t="shared" si="303"/>
        <v/>
      </c>
      <c r="AB45" s="47"/>
      <c r="AC45" s="47"/>
      <c r="AD45" s="46" t="str">
        <f t="shared" ref="AD45:AH45" si="304">W45</f>
        <v/>
      </c>
      <c r="AE45" s="47" t="str">
        <f t="shared" si="304"/>
        <v/>
      </c>
      <c r="AF45" s="47" t="str">
        <f t="shared" si="304"/>
        <v/>
      </c>
      <c r="AG45" s="47" t="str">
        <f t="shared" si="304"/>
        <v/>
      </c>
      <c r="AH45" s="47" t="str">
        <f t="shared" si="304"/>
        <v/>
      </c>
      <c r="AI45" s="47"/>
      <c r="AJ45" s="47"/>
      <c r="AK45" s="46" t="str">
        <f t="shared" ref="AK45:AO45" si="305">AD45</f>
        <v/>
      </c>
      <c r="AL45" s="47" t="str">
        <f t="shared" si="305"/>
        <v/>
      </c>
      <c r="AM45" s="47" t="str">
        <f t="shared" si="305"/>
        <v/>
      </c>
      <c r="AN45" s="47" t="str">
        <f t="shared" si="305"/>
        <v/>
      </c>
      <c r="AO45" s="47" t="str">
        <f t="shared" si="305"/>
        <v/>
      </c>
      <c r="AP45" s="47"/>
      <c r="AQ45" s="47"/>
      <c r="AR45" s="46" t="str">
        <f t="shared" ref="AR45:AV45" si="306">AK45</f>
        <v/>
      </c>
      <c r="AS45" s="47" t="str">
        <f t="shared" si="306"/>
        <v/>
      </c>
      <c r="AT45" s="47" t="str">
        <f t="shared" si="306"/>
        <v/>
      </c>
      <c r="AU45" s="47" t="str">
        <f t="shared" si="306"/>
        <v/>
      </c>
      <c r="AV45" s="47" t="str">
        <f t="shared" si="306"/>
        <v/>
      </c>
      <c r="AW45" s="47"/>
      <c r="AX45" s="47"/>
      <c r="AY45" s="46" t="str">
        <f t="shared" ref="AY45:BC45" si="307">AR45</f>
        <v/>
      </c>
      <c r="AZ45" s="47" t="str">
        <f t="shared" si="307"/>
        <v/>
      </c>
      <c r="BA45" s="47" t="str">
        <f t="shared" si="307"/>
        <v/>
      </c>
      <c r="BB45" s="47" t="str">
        <f t="shared" si="307"/>
        <v/>
      </c>
      <c r="BC45" s="47" t="str">
        <f t="shared" si="307"/>
        <v/>
      </c>
      <c r="BD45" s="47"/>
      <c r="BE45" s="47"/>
      <c r="BF45" s="46" t="str">
        <f t="shared" ref="BF45:BJ45" si="308">AY45</f>
        <v/>
      </c>
      <c r="BG45" s="47" t="str">
        <f t="shared" si="308"/>
        <v/>
      </c>
      <c r="BH45" s="47" t="str">
        <f t="shared" si="308"/>
        <v/>
      </c>
      <c r="BI45" s="47" t="str">
        <f t="shared" si="308"/>
        <v/>
      </c>
      <c r="BJ45" s="47" t="str">
        <f t="shared" si="308"/>
        <v/>
      </c>
      <c r="BK45" s="47"/>
      <c r="BL45" s="47"/>
      <c r="BM45" s="46" t="str">
        <f t="shared" ref="BM45:BQ45" si="309">BF45</f>
        <v/>
      </c>
      <c r="BN45" s="47" t="str">
        <f t="shared" si="309"/>
        <v/>
      </c>
      <c r="BO45" s="47" t="str">
        <f t="shared" si="309"/>
        <v/>
      </c>
      <c r="BP45" s="47" t="str">
        <f t="shared" si="309"/>
        <v/>
      </c>
      <c r="BQ45" s="47" t="str">
        <f t="shared" si="309"/>
        <v/>
      </c>
      <c r="BR45" s="47"/>
      <c r="BS45" s="47"/>
      <c r="BT45" s="46" t="str">
        <f t="shared" ref="BT45:BX45" si="310">BM45</f>
        <v/>
      </c>
      <c r="BU45" s="47" t="str">
        <f t="shared" si="310"/>
        <v/>
      </c>
      <c r="BV45" s="47" t="str">
        <f t="shared" si="310"/>
        <v/>
      </c>
      <c r="BW45" s="47" t="str">
        <f t="shared" si="310"/>
        <v/>
      </c>
      <c r="BX45" s="47" t="str">
        <f t="shared" si="310"/>
        <v/>
      </c>
      <c r="BY45" s="47"/>
      <c r="BZ45" s="47"/>
      <c r="CA45" s="46" t="str">
        <f t="shared" ref="CA45:CE45" si="311">BT45</f>
        <v/>
      </c>
      <c r="CB45" s="47" t="str">
        <f t="shared" si="311"/>
        <v/>
      </c>
      <c r="CC45" s="47" t="str">
        <f t="shared" si="311"/>
        <v/>
      </c>
      <c r="CD45" s="47" t="str">
        <f t="shared" si="311"/>
        <v/>
      </c>
      <c r="CE45" s="47" t="str">
        <f t="shared" si="311"/>
        <v/>
      </c>
      <c r="CF45" s="47"/>
      <c r="CG45" s="47"/>
      <c r="CH45" s="46" t="str">
        <f t="shared" ref="CH45:CL45" si="312">CA45</f>
        <v/>
      </c>
      <c r="CI45" s="47" t="str">
        <f t="shared" si="312"/>
        <v/>
      </c>
      <c r="CJ45" s="47" t="str">
        <f t="shared" si="312"/>
        <v/>
      </c>
      <c r="CK45" s="47" t="str">
        <f t="shared" si="312"/>
        <v/>
      </c>
      <c r="CL45" s="47" t="str">
        <f t="shared" si="312"/>
        <v/>
      </c>
      <c r="CM45" s="47"/>
      <c r="CN45" s="47"/>
      <c r="CO45" s="46" t="str">
        <f t="shared" ref="CO45:CS45" si="313">CH45</f>
        <v/>
      </c>
      <c r="CP45" s="47" t="str">
        <f t="shared" si="313"/>
        <v/>
      </c>
      <c r="CQ45" s="47" t="str">
        <f t="shared" si="313"/>
        <v/>
      </c>
      <c r="CR45" s="47" t="str">
        <f t="shared" si="313"/>
        <v/>
      </c>
      <c r="CS45" s="47" t="str">
        <f t="shared" si="313"/>
        <v/>
      </c>
      <c r="CT45" s="47"/>
      <c r="CU45" s="47"/>
      <c r="CV45" s="46" t="str">
        <f t="shared" ref="CV45:CZ45" si="314">CO45</f>
        <v/>
      </c>
      <c r="CW45" s="47" t="str">
        <f t="shared" si="314"/>
        <v/>
      </c>
      <c r="CX45" s="47" t="str">
        <f t="shared" si="314"/>
        <v/>
      </c>
      <c r="CY45" s="47" t="str">
        <f t="shared" si="314"/>
        <v/>
      </c>
      <c r="CZ45" s="47" t="str">
        <f t="shared" si="314"/>
        <v/>
      </c>
      <c r="DA45" s="47"/>
      <c r="DB45" s="47"/>
      <c r="DC45" s="46" t="str">
        <f t="shared" ref="DC45:DG45" si="315">CV45</f>
        <v/>
      </c>
      <c r="DD45" s="47" t="str">
        <f t="shared" si="315"/>
        <v/>
      </c>
      <c r="DE45" s="47" t="str">
        <f t="shared" si="315"/>
        <v/>
      </c>
      <c r="DF45" s="47" t="str">
        <f t="shared" si="315"/>
        <v/>
      </c>
      <c r="DG45" s="47" t="str">
        <f t="shared" si="315"/>
        <v/>
      </c>
      <c r="DH45" s="47"/>
      <c r="DI45" s="47"/>
      <c r="DJ45" s="46" t="str">
        <f t="shared" ref="DJ45:DN45" si="316">DC45</f>
        <v/>
      </c>
      <c r="DK45" s="47" t="str">
        <f t="shared" si="316"/>
        <v/>
      </c>
      <c r="DL45" s="47" t="str">
        <f t="shared" si="316"/>
        <v/>
      </c>
      <c r="DM45" s="47" t="str">
        <f t="shared" si="316"/>
        <v/>
      </c>
      <c r="DN45" s="47" t="str">
        <f t="shared" si="316"/>
        <v/>
      </c>
      <c r="DO45" s="47"/>
      <c r="DP45" s="47"/>
      <c r="DQ45" s="46" t="str">
        <f t="shared" ref="DQ45:DU45" si="317">DJ45</f>
        <v/>
      </c>
      <c r="DR45" s="47" t="str">
        <f t="shared" si="317"/>
        <v/>
      </c>
      <c r="DS45" s="47" t="str">
        <f t="shared" si="317"/>
        <v/>
      </c>
      <c r="DT45" s="47" t="str">
        <f t="shared" si="317"/>
        <v/>
      </c>
      <c r="DU45" s="47" t="str">
        <f t="shared" si="317"/>
        <v/>
      </c>
      <c r="DV45" s="47"/>
      <c r="DW45" s="47"/>
      <c r="DX45" s="46" t="str">
        <f t="shared" ref="DX45:EB45" si="318">DQ45</f>
        <v/>
      </c>
      <c r="DY45" s="47" t="str">
        <f t="shared" si="318"/>
        <v/>
      </c>
      <c r="DZ45" s="47" t="str">
        <f t="shared" si="318"/>
        <v/>
      </c>
      <c r="EA45" s="47" t="str">
        <f t="shared" si="318"/>
        <v/>
      </c>
      <c r="EB45" s="47" t="str">
        <f t="shared" si="318"/>
        <v/>
      </c>
      <c r="EC45" s="47"/>
      <c r="ED45" s="47"/>
      <c r="EE45" s="46" t="str">
        <f t="shared" ref="EE45:EI45" si="319">DX45</f>
        <v/>
      </c>
      <c r="EF45" s="47" t="str">
        <f t="shared" si="319"/>
        <v/>
      </c>
      <c r="EG45" s="47" t="str">
        <f t="shared" si="319"/>
        <v/>
      </c>
      <c r="EH45" s="47" t="str">
        <f t="shared" si="319"/>
        <v/>
      </c>
      <c r="EI45" s="47" t="str">
        <f t="shared" si="319"/>
        <v/>
      </c>
      <c r="EJ45" s="47"/>
      <c r="EK45" s="47"/>
      <c r="EL45" s="46" t="str">
        <f t="shared" ref="EL45:EP45" si="320">EE45</f>
        <v/>
      </c>
      <c r="EM45" s="47" t="str">
        <f t="shared" si="320"/>
        <v/>
      </c>
      <c r="EN45" s="47" t="str">
        <f t="shared" si="320"/>
        <v/>
      </c>
      <c r="EO45" s="47" t="str">
        <f t="shared" si="320"/>
        <v/>
      </c>
      <c r="EP45" s="47" t="str">
        <f t="shared" si="320"/>
        <v/>
      </c>
      <c r="EQ45" s="47"/>
      <c r="ER45" s="47"/>
    </row>
    <row r="46">
      <c r="A46" s="3"/>
      <c r="B46" s="42"/>
      <c r="C46" s="3"/>
      <c r="D46" s="3"/>
      <c r="E46" s="3"/>
      <c r="F46" s="3"/>
      <c r="G46" s="3"/>
      <c r="H46" s="3"/>
      <c r="I46" s="42"/>
      <c r="J46" s="3"/>
      <c r="K46" s="3"/>
      <c r="L46" s="3"/>
      <c r="M46" s="3"/>
      <c r="N46" s="3"/>
      <c r="O46" s="3"/>
      <c r="P46" s="42"/>
      <c r="Q46" s="3"/>
      <c r="R46" s="3"/>
      <c r="S46" s="3"/>
      <c r="T46" s="3"/>
      <c r="U46" s="3"/>
      <c r="V46" s="3"/>
      <c r="W46" s="42"/>
      <c r="X46" s="3"/>
      <c r="Y46" s="3"/>
      <c r="Z46" s="3"/>
      <c r="AA46" s="3"/>
      <c r="AB46" s="3"/>
      <c r="AC46" s="3"/>
      <c r="AD46" s="42"/>
      <c r="AE46" s="3"/>
      <c r="AF46" s="3"/>
      <c r="AG46" s="3"/>
      <c r="AH46" s="3"/>
      <c r="AI46" s="3"/>
      <c r="AJ46" s="3"/>
      <c r="AK46" s="42"/>
      <c r="AL46" s="3"/>
      <c r="AM46" s="3"/>
      <c r="AN46" s="3"/>
      <c r="AO46" s="3"/>
      <c r="AP46" s="3"/>
      <c r="AQ46" s="3"/>
      <c r="AR46" s="42"/>
      <c r="AS46" s="3"/>
      <c r="AT46" s="3"/>
      <c r="AU46" s="3"/>
      <c r="AV46" s="3"/>
      <c r="AW46" s="3"/>
      <c r="AX46" s="3"/>
      <c r="AY46" s="42"/>
      <c r="AZ46" s="3"/>
      <c r="BA46" s="3"/>
      <c r="BB46" s="3"/>
      <c r="BC46" s="3"/>
      <c r="BD46" s="3"/>
      <c r="BE46" s="3"/>
      <c r="BF46" s="42"/>
      <c r="BG46" s="3"/>
      <c r="BH46" s="3"/>
      <c r="BI46" s="3"/>
      <c r="BJ46" s="3"/>
      <c r="BK46" s="3"/>
      <c r="BL46" s="3"/>
      <c r="BM46" s="42"/>
      <c r="BN46" s="3"/>
      <c r="BO46" s="3"/>
      <c r="BP46" s="3"/>
      <c r="BQ46" s="3"/>
      <c r="BR46" s="3"/>
      <c r="BS46" s="3"/>
      <c r="BT46" s="42"/>
      <c r="BU46" s="3"/>
      <c r="BV46" s="3"/>
      <c r="BW46" s="3"/>
      <c r="BX46" s="3"/>
      <c r="BY46" s="3"/>
      <c r="BZ46" s="3"/>
      <c r="CA46" s="42"/>
      <c r="CB46" s="3"/>
      <c r="CC46" s="3"/>
      <c r="CD46" s="3"/>
      <c r="CE46" s="3"/>
      <c r="CF46" s="3"/>
      <c r="CG46" s="3"/>
      <c r="CH46" s="42"/>
      <c r="CI46" s="3"/>
      <c r="CJ46" s="3"/>
      <c r="CK46" s="3"/>
      <c r="CL46" s="3"/>
      <c r="CM46" s="3"/>
      <c r="CN46" s="3"/>
      <c r="CO46" s="42"/>
      <c r="CP46" s="3"/>
      <c r="CQ46" s="3"/>
      <c r="CR46" s="3"/>
      <c r="CS46" s="3"/>
      <c r="CT46" s="3"/>
      <c r="CU46" s="3"/>
      <c r="CV46" s="42"/>
      <c r="CW46" s="3"/>
      <c r="CX46" s="3"/>
      <c r="CY46" s="3"/>
      <c r="CZ46" s="3"/>
      <c r="DA46" s="3"/>
      <c r="DB46" s="3"/>
      <c r="DC46" s="42"/>
      <c r="DD46" s="3"/>
      <c r="DE46" s="3"/>
      <c r="DF46" s="3"/>
      <c r="DG46" s="3"/>
      <c r="DH46" s="3"/>
      <c r="DI46" s="3"/>
      <c r="DJ46" s="42"/>
      <c r="DK46" s="3"/>
      <c r="DL46" s="3"/>
      <c r="DM46" s="3"/>
      <c r="DN46" s="3"/>
      <c r="DO46" s="3"/>
      <c r="DP46" s="3"/>
      <c r="DQ46" s="42"/>
      <c r="DR46" s="3"/>
      <c r="DS46" s="3"/>
      <c r="DT46" s="3"/>
      <c r="DU46" s="3"/>
      <c r="DV46" s="3"/>
      <c r="DW46" s="3"/>
      <c r="DX46" s="42"/>
      <c r="DY46" s="3"/>
      <c r="DZ46" s="3"/>
      <c r="EA46" s="3"/>
      <c r="EB46" s="3"/>
      <c r="EC46" s="3"/>
      <c r="ED46" s="3"/>
      <c r="EE46" s="42"/>
      <c r="EF46" s="3"/>
      <c r="EG46" s="3"/>
      <c r="EH46" s="3"/>
      <c r="EI46" s="3"/>
      <c r="EJ46" s="3"/>
      <c r="EK46" s="3"/>
      <c r="EL46" s="42"/>
      <c r="EM46" s="3"/>
      <c r="EN46" s="3"/>
      <c r="EO46" s="3"/>
      <c r="EP46" s="3"/>
      <c r="EQ46" s="3"/>
      <c r="ER46" s="3"/>
    </row>
    <row r="47">
      <c r="A47" s="32" t="s">
        <v>83</v>
      </c>
      <c r="B47" s="33"/>
      <c r="C47" s="34"/>
      <c r="D47" s="34"/>
      <c r="E47" s="34"/>
      <c r="F47" s="34"/>
      <c r="G47" s="34"/>
      <c r="H47" s="34"/>
      <c r="I47" s="33"/>
      <c r="J47" s="34"/>
      <c r="K47" s="34"/>
      <c r="L47" s="34"/>
      <c r="M47" s="34"/>
      <c r="N47" s="34"/>
      <c r="O47" s="34"/>
      <c r="P47" s="33"/>
      <c r="Q47" s="34"/>
      <c r="R47" s="34"/>
      <c r="S47" s="34"/>
      <c r="T47" s="34"/>
      <c r="U47" s="34"/>
      <c r="V47" s="34"/>
      <c r="W47" s="33"/>
      <c r="X47" s="34"/>
      <c r="Y47" s="34"/>
      <c r="Z47" s="34"/>
      <c r="AA47" s="34"/>
      <c r="AB47" s="34"/>
      <c r="AC47" s="34"/>
      <c r="AD47" s="33"/>
      <c r="AE47" s="34"/>
      <c r="AF47" s="34"/>
      <c r="AG47" s="34"/>
      <c r="AH47" s="34"/>
      <c r="AI47" s="34"/>
      <c r="AJ47" s="34"/>
      <c r="AK47" s="33"/>
      <c r="AL47" s="34"/>
      <c r="AM47" s="34"/>
      <c r="AN47" s="34"/>
      <c r="AO47" s="34"/>
      <c r="AP47" s="34"/>
      <c r="AQ47" s="34"/>
      <c r="AR47" s="33"/>
      <c r="AS47" s="34"/>
      <c r="AT47" s="34"/>
      <c r="AU47" s="34"/>
      <c r="AV47" s="34"/>
      <c r="AW47" s="34"/>
      <c r="AX47" s="34"/>
      <c r="AY47" s="33"/>
      <c r="AZ47" s="34"/>
      <c r="BA47" s="34"/>
      <c r="BB47" s="34"/>
      <c r="BC47" s="34"/>
      <c r="BD47" s="34"/>
      <c r="BE47" s="34"/>
      <c r="BF47" s="33"/>
      <c r="BG47" s="34"/>
      <c r="BH47" s="34"/>
      <c r="BI47" s="34"/>
      <c r="BJ47" s="34"/>
      <c r="BK47" s="34"/>
      <c r="BL47" s="34"/>
      <c r="BM47" s="33"/>
      <c r="BN47" s="34"/>
      <c r="BO47" s="34"/>
      <c r="BP47" s="34"/>
      <c r="BQ47" s="34"/>
      <c r="BR47" s="34"/>
      <c r="BS47" s="34"/>
      <c r="BT47" s="33"/>
      <c r="BU47" s="34"/>
      <c r="BV47" s="34"/>
      <c r="BW47" s="34"/>
      <c r="BX47" s="34"/>
      <c r="BY47" s="34"/>
      <c r="BZ47" s="34"/>
      <c r="CA47" s="33"/>
      <c r="CB47" s="34"/>
      <c r="CC47" s="34"/>
      <c r="CD47" s="34"/>
      <c r="CE47" s="34"/>
      <c r="CF47" s="34"/>
      <c r="CG47" s="34"/>
      <c r="CH47" s="33"/>
      <c r="CI47" s="34"/>
      <c r="CJ47" s="34"/>
      <c r="CK47" s="34"/>
      <c r="CL47" s="34"/>
      <c r="CM47" s="34"/>
      <c r="CN47" s="34"/>
      <c r="CO47" s="33"/>
      <c r="CP47" s="34"/>
      <c r="CQ47" s="34"/>
      <c r="CR47" s="34"/>
      <c r="CS47" s="34"/>
      <c r="CT47" s="34"/>
      <c r="CU47" s="34"/>
      <c r="CV47" s="33"/>
      <c r="CW47" s="34"/>
      <c r="CX47" s="34"/>
      <c r="CY47" s="34"/>
      <c r="CZ47" s="34"/>
      <c r="DA47" s="34"/>
      <c r="DB47" s="34"/>
      <c r="DC47" s="33"/>
      <c r="DD47" s="34"/>
      <c r="DE47" s="34"/>
      <c r="DF47" s="34"/>
      <c r="DG47" s="34"/>
      <c r="DH47" s="34"/>
      <c r="DI47" s="34"/>
      <c r="DJ47" s="33"/>
      <c r="DK47" s="34"/>
      <c r="DL47" s="34"/>
      <c r="DM47" s="34"/>
      <c r="DN47" s="34"/>
      <c r="DO47" s="34"/>
      <c r="DP47" s="34"/>
      <c r="DQ47" s="33"/>
      <c r="DR47" s="34"/>
      <c r="DS47" s="34"/>
      <c r="DT47" s="34"/>
      <c r="DU47" s="34"/>
      <c r="DV47" s="34"/>
      <c r="DW47" s="34"/>
      <c r="DX47" s="33"/>
      <c r="DY47" s="34"/>
      <c r="DZ47" s="34"/>
      <c r="EA47" s="34"/>
      <c r="EB47" s="34"/>
      <c r="EC47" s="34"/>
      <c r="ED47" s="34"/>
      <c r="EE47" s="35" t="s">
        <v>77</v>
      </c>
      <c r="EF47" s="36"/>
      <c r="EG47" s="36"/>
      <c r="EH47" s="36"/>
      <c r="EI47" s="36"/>
      <c r="EJ47" s="36"/>
      <c r="EK47" s="36"/>
      <c r="EL47" s="33"/>
      <c r="EM47" s="34"/>
      <c r="EN47" s="34"/>
      <c r="EO47" s="34"/>
      <c r="EP47" s="34"/>
      <c r="EQ47" s="34"/>
      <c r="ER47" s="34"/>
    </row>
    <row r="48" hidden="1">
      <c r="A48" s="37" t="str">
        <f>CONCATENATE(A49," TM")</f>
        <v>Front Squat TM</v>
      </c>
      <c r="B48" s="38">
        <f>if(D48="",'Quick Setup'!D11,D48/'Quick Setup'!E11)</f>
        <v>420</v>
      </c>
      <c r="C48" s="39" t="s">
        <v>75</v>
      </c>
      <c r="D48" s="40"/>
      <c r="E48" s="41"/>
      <c r="F48" s="41"/>
      <c r="G48" s="41"/>
      <c r="H48" s="41"/>
      <c r="I48" s="38">
        <f>if(K48="", if(F49&lt;&gt;"", if((F49-D49)&lt;-1,B48*(1+Setup!F9),if((F49-D49)&lt;0,B48*(1+Setup!G9),if((F49-D49)=0,B48*(1+Setup!H9),if((F49-D49)=1,B48*(1+Setup!I9),if((F49-D49)=2,B48*(1+Setup!J9),if((F49-D49)=3,B48*(1+Setup!K9),if((F49-D49)=4,B48*(1+Setup!L9),if((F49-D49)&gt;4,B48*(1+Setup!M9),B48)))))))),B48),K48/'Quick Setup'!$E11)</f>
        <v>420</v>
      </c>
      <c r="J48" s="39" t="s">
        <v>75</v>
      </c>
      <c r="K48" s="40"/>
      <c r="L48" s="41"/>
      <c r="M48" s="41"/>
      <c r="N48" s="41"/>
      <c r="O48" s="41"/>
      <c r="P48" s="38">
        <f>if(R48="", if(M49&lt;&gt;"", if((M49-K49)&lt;-1,I48*(1+Setup!R9),if((M49-K49)&lt;0,I48*(1+Setup!S9),if((M49-K49)=0,I48*(1+Setup!T9),if((M49-K49)=1,I48*(1+Setup!U9),if((M49-K49)=2,I48*(1+Setup!V9),if((M49-K49)=3,I48*(1+Setup!W9),if((M49-K49)=4,I48*(1+Setup!X9),if((M49-K49)&gt;4,I48*(1+Setup!Y9),I48)))))))),I48),R48/'Quick Setup'!$E11)</f>
        <v>420</v>
      </c>
      <c r="Q48" s="39" t="s">
        <v>75</v>
      </c>
      <c r="R48" s="40"/>
      <c r="S48" s="41"/>
      <c r="T48" s="41"/>
      <c r="U48" s="41"/>
      <c r="V48" s="41"/>
      <c r="W48" s="38">
        <f>if(Y48="", if(T49&lt;&gt;"", if((T49-R49)&lt;-1,P48*(1+Setup!AD9),if((T49-R49)&lt;0,P48*(1+Setup!AE9),if((T49-R49)=0,P48*(1+Setup!AF9),if((T49-R49)=1,P48*(1+Setup!AG9),if((T49-R49)=2,P48*(1+Setup!AH9),if((T49-R49)=3,P48*(1+Setup!AI9),if((T49-R49)=4,P48*(1+Setup!AJ9),if((T49-R49)&gt;4,P48*(1+Setup!AK9),P48)))))))),P48),Y48/'Quick Setup'!$E11)</f>
        <v>420</v>
      </c>
      <c r="X48" s="39" t="s">
        <v>75</v>
      </c>
      <c r="Y48" s="40"/>
      <c r="Z48" s="41"/>
      <c r="AA48" s="41"/>
      <c r="AB48" s="41"/>
      <c r="AC48" s="41"/>
      <c r="AD48" s="38">
        <f>if(AF48="", if(AA49&lt;&gt;"", if((AA49-Y49)&lt;-1,W48*(1+Setup!AP9),if((AA49-Y49)&lt;0,W48*(1+Setup!AQ9),if((AA49-Y49)=0,W48*(1+Setup!AR9),if((AA49-Y49)=1,W48*(1+Setup!AS9),if((AA49-Y49)=2,W48*(1+Setup!AT9),if((AA49-Y49)=3,W48*(1+Setup!AU9),if((AA49-Y49)=4,W48*(1+Setup!AV9),if((AA49-Y49)&gt;4,W48*(1+Setup!AW9),W48)))))))),W48),AF48/'Quick Setup'!$E11)</f>
        <v>420</v>
      </c>
      <c r="AE48" s="39" t="s">
        <v>75</v>
      </c>
      <c r="AF48" s="40"/>
      <c r="AG48" s="41"/>
      <c r="AH48" s="41"/>
      <c r="AI48" s="41"/>
      <c r="AJ48" s="41"/>
      <c r="AK48" s="38">
        <f>if(AM48="", if(AH49&lt;&gt;"", if((AH49-AF49)&lt;-1,AD48*(1+Setup!BB9),if((AH49-AF49)&lt;0,AD48*(1+Setup!BC9),if((AH49-AF49)=0,AD48*(1+Setup!BD9),if((AH49-AF49)=1,AD48*(1+Setup!BE9),if((AH49-AF49)=2,AD48*(1+Setup!BF9),if((AH49-AF49)=3,AD48*(1+Setup!BG9),if((AH49-AF49)=4,AD48*(1+Setup!BH9),if((AH49-AF49)&gt;4,AD48*(1+Setup!BI9),AD48)))))))),AD48),AM48/'Quick Setup'!$E11)</f>
        <v>420</v>
      </c>
      <c r="AL48" s="39" t="s">
        <v>75</v>
      </c>
      <c r="AM48" s="40"/>
      <c r="AN48" s="41"/>
      <c r="AO48" s="41"/>
      <c r="AP48" s="41"/>
      <c r="AQ48" s="41"/>
      <c r="AR48" s="38">
        <f>if(AT48="", if(AO49&lt;&gt;"", if((AO49-AM49)&lt;-1,AK48*(1+Setup!BN9),if((AO49-AM49)&lt;0,AK48*(1+Setup!BO9),if((AO49-AM49)=0,AK48*(1+Setup!BP9),if((AO49-AM49)=1,AK48*(1+Setup!BQ9),if((AO49-AM49)=2,AK48*(1+Setup!BR9),if((AO49-AM49)=3,AK48*(1+Setup!BS9),if((AO49-AM49)=4,AK48*(1+Setup!BT9),if((AO49-AM49)&gt;4,AK48*(1+Setup!BU9),AK48)))))))),AK48),AT48/'Quick Setup'!$E11)</f>
        <v>420</v>
      </c>
      <c r="AS48" s="39" t="s">
        <v>75</v>
      </c>
      <c r="AT48" s="40"/>
      <c r="AU48" s="41"/>
      <c r="AV48" s="41"/>
      <c r="AW48" s="41"/>
      <c r="AX48" s="41"/>
      <c r="AY48" s="38">
        <f>if(BA48="",AR48,BA48/'Quick Setup'!$E11)</f>
        <v>420</v>
      </c>
      <c r="AZ48" s="39" t="s">
        <v>75</v>
      </c>
      <c r="BA48" s="40"/>
      <c r="BB48" s="41"/>
      <c r="BC48" s="41"/>
      <c r="BD48" s="41"/>
      <c r="BE48" s="41"/>
      <c r="BF48" s="38">
        <f>if(BH48="", if(BC49&lt;&gt;"", if((BC49-BA49)&lt;-1,AY48*(1+Setup!CL9),if((BC49-BA49)&lt;0,AY48*(1+Setup!CM9),if((BC49-BA49)=0,AY48*(1+Setup!CN9),if((BC49-BA49)=1,AY48*(1+Setup!CO9),if((BC49-BA49)=2,AY48*(1+Setup!CP9),if((BC49-BA49)=3,AY48*(1+Setup!CQ9),if((BC49-BA49)=4,AY48*(1+Setup!CR9),if((BC49-BA49)&gt;4,AY48*(1+Setup!CS9),AY48)))))))),AY48),BH48/'Quick Setup'!$E11)</f>
        <v>420</v>
      </c>
      <c r="BG48" s="39" t="s">
        <v>75</v>
      </c>
      <c r="BH48" s="40"/>
      <c r="BI48" s="41"/>
      <c r="BJ48" s="41"/>
      <c r="BK48" s="41"/>
      <c r="BL48" s="41"/>
      <c r="BM48" s="38">
        <f>if(BO48="", if(BJ49&lt;&gt;"", if((BJ49-BH49)&lt;-1,BF48*(1+Setup!CX9),if((BJ49-BH49)&lt;0,BF48*(1+Setup!CY9),if((BJ49-BH49)=0,BF48*(1+Setup!CZ9),if((BJ49-BH49)=1,BF48*(1+Setup!DA9),if((BJ49-BH49)=2,BF48*(1+Setup!DB9),if((BJ49-BH49)=3,BF48*(1+Setup!DC9),if((BJ49-BH49)=4,BF48*(1+Setup!DD9),if((BJ49-BH49)&gt;4,BF48*(1+Setup!DE9),BF48)))))))),BF48),BO48/'Quick Setup'!$E11)</f>
        <v>420</v>
      </c>
      <c r="BN48" s="39" t="s">
        <v>75</v>
      </c>
      <c r="BO48" s="40"/>
      <c r="BP48" s="41"/>
      <c r="BQ48" s="41"/>
      <c r="BR48" s="41"/>
      <c r="BS48" s="41"/>
      <c r="BT48" s="38">
        <f>if(BV48="", if(BQ49&lt;&gt;"", if((BQ49-BO49)&lt;-1,BM48*(1+Setup!DJ9),if((BQ49-BO49)&lt;0,BM48*(1+Setup!DK9),if((BQ49-BO49)=0,BM48*(1+Setup!DL9),if((BQ49-BO49)=1,BM48*(1+Setup!DM9),if((BQ49-BO49)=2,BM48*(1+Setup!DN9),if((BQ49-BO49)=3,BM48*(1+Setup!DO9),if((BQ49-BO49)=4,BM48*(1+Setup!DP9),if((BQ49-BO49)&gt;4,BM48*(1+Setup!DQ9),BM48)))))))),BM48),BV48/'Quick Setup'!$E11)</f>
        <v>420</v>
      </c>
      <c r="BU48" s="39" t="s">
        <v>75</v>
      </c>
      <c r="BV48" s="40"/>
      <c r="BW48" s="41"/>
      <c r="BX48" s="41"/>
      <c r="BY48" s="41"/>
      <c r="BZ48" s="41"/>
      <c r="CA48" s="38">
        <f>if(CC48="", if(BX49&lt;&gt;"", if((BX49-BV49)&lt;-1,BT48*(1+Setup!DV9),if((BX49-BV49)&lt;0,BT48*(1+Setup!DW9),if((BX49-BV49)=0,BT48*(1+Setup!DX9),if((BX49-BV49)=1,BT48*(1+Setup!DY9),if((BX49-BV49)=2,BT48*(1+Setup!DZ9),if((BX49-BV49)=3,BT48*(1+Setup!EA9),if((BX49-BV49)=4,BT48*(1+Setup!EB9),if((BX49-BV49)&gt;4,BT48*(1+Setup!EC9),BT48)))))))),BT48),CC48/'Quick Setup'!$E11)</f>
        <v>420</v>
      </c>
      <c r="CB48" s="39" t="s">
        <v>75</v>
      </c>
      <c r="CC48" s="40"/>
      <c r="CD48" s="41"/>
      <c r="CE48" s="41"/>
      <c r="CF48" s="41"/>
      <c r="CG48" s="41"/>
      <c r="CH48" s="38">
        <f>if(CJ48="", if(CE49&lt;&gt;"", if((CE49-CC49)&lt;-1,CA48*(1+Setup!EH9),if((CE49-CC49)&lt;0,CA48*(1+Setup!EI9),if((CE49-CC49)=0,CA48*(1+Setup!EJ9),if((CE49-CC49)=1,CA48*(1+Setup!EK9),if((CE49-CC49)=2,CA48*(1+Setup!EL9),if((CE49-CC49)=3,CA48*(1+Setup!EM9),if((CE49-CC49)=4,CA48*(1+Setup!EN9),if((CE49-CC49)&gt;4,CA48*(1+Setup!EO9),CA48)))))))),CA48),CJ48/'Quick Setup'!$E11)</f>
        <v>420</v>
      </c>
      <c r="CI48" s="39" t="s">
        <v>75</v>
      </c>
      <c r="CJ48" s="40"/>
      <c r="CK48" s="41"/>
      <c r="CL48" s="41"/>
      <c r="CM48" s="41"/>
      <c r="CN48" s="41"/>
      <c r="CO48" s="38">
        <f>if(CQ48="", if(CL49&lt;&gt;"", if((CL49-CJ49)&lt;-1,CH48*(1+Setup!ET9),if((CL49-CJ49)&lt;0,CH48*(1+Setup!EU9),if((CL49-CJ49)=0,CH48*(1+Setup!EV9),if((CL49-CJ49)=1,CH48*(1+Setup!EW9),if((CL49-CJ49)=2,CH48*(1+Setup!EX9),if((CL49-CJ49)=3,CH48*(1+Setup!EY9),if((CL49-CJ49)=4,CH48*(1+Setup!EZ9),if((CL49-CJ49)&gt;4,CH48*(1+Setup!FA9),CH48)))))))),CH48),CQ48/'Quick Setup'!$E11)</f>
        <v>420</v>
      </c>
      <c r="CP48" s="39" t="s">
        <v>75</v>
      </c>
      <c r="CQ48" s="40"/>
      <c r="CR48" s="41"/>
      <c r="CS48" s="41"/>
      <c r="CT48" s="41"/>
      <c r="CU48" s="41"/>
      <c r="CV48" s="38">
        <f>if(CX48="",CO48,CX48/'Quick Setup'!$E11)</f>
        <v>420</v>
      </c>
      <c r="CW48" s="39" t="s">
        <v>75</v>
      </c>
      <c r="CX48" s="40"/>
      <c r="CY48" s="41"/>
      <c r="CZ48" s="41"/>
      <c r="DA48" s="41"/>
      <c r="DB48" s="41"/>
      <c r="DC48" s="38">
        <f>if(DE48="", if(CZ49&lt;&gt;"", if((CZ49-CX49)&lt;-1,CV48*(1+Setup!FR9),if((CZ49-CX49)&lt;0,CV48*(1+Setup!FS9),if((CZ49-CX49)=0,CV48*(1+Setup!FT9),if((CZ49-CX49)=1,CV48*(1+Setup!FU9),if((CZ49-CX49)=2,CV48*(1+Setup!FV9),if((CZ49-CX49)=3,CV48*(1+Setup!FW9),if((CZ49-CX49)=4,CV48*(1+Setup!FX9),if((CZ49-CX49)&gt;4,CV48*(1+Setup!FY9),CV48)))))))),CV48),DE48/'Quick Setup'!$E11)</f>
        <v>420</v>
      </c>
      <c r="DD48" s="39" t="s">
        <v>75</v>
      </c>
      <c r="DE48" s="40"/>
      <c r="DF48" s="41"/>
      <c r="DG48" s="41"/>
      <c r="DH48" s="41"/>
      <c r="DI48" s="41"/>
      <c r="DJ48" s="38">
        <f>if(DL48="", if(DG49&lt;&gt;"", if((DG49-DE49)&lt;-1,DC48*(1+Setup!GD9),if((DG49-DE49)&lt;0,DC48*(1+Setup!GE9),if((DG49-DE49)=0,DC48*(1+Setup!GF9),if((DG49-DE49)=1,DC48*(1+Setup!GG9),if((DG49-DE49)=2,DC48*(1+Setup!GH9),if((DG49-DE49)=3,DC48*(1+Setup!GI9),if((DG49-DE49)=4,DC48*(1+Setup!GJ9),if((DG49-DE49)&gt;4,DC48*(1+Setup!GK9),DC48)))))))),DC48),DL48/'Quick Setup'!$E11)</f>
        <v>420</v>
      </c>
      <c r="DK48" s="39" t="s">
        <v>75</v>
      </c>
      <c r="DL48" s="40"/>
      <c r="DM48" s="41"/>
      <c r="DN48" s="41"/>
      <c r="DO48" s="41"/>
      <c r="DP48" s="41"/>
      <c r="DQ48" s="38">
        <f>if(DS48="", if(DN49&lt;&gt;"", if((DN49-DL49)&lt;-1,DJ48*(1+Setup!GP9),if((DN49-DL49)&lt;0,DJ48*(1+Setup!GQ9),if((DN49-DL49)=0,DJ48*(1+Setup!GR9),if((DN49-DL49)=1,DJ48*(1+Setup!GS9),if((DN49-DL49)=2,DJ48*(1+Setup!GT9),if((DN49-DL49)=3,DJ48*(1+Setup!GU9),if((DN49-DL49)=4,DJ48*(1+Setup!GV9),if((DN49-DL49)&gt;4,DJ48*(1+Setup!GW9),DJ48)))))))),DJ48),DS48/'Quick Setup'!$E11)</f>
        <v>420</v>
      </c>
      <c r="DR48" s="39" t="s">
        <v>75</v>
      </c>
      <c r="DS48" s="40"/>
      <c r="DT48" s="41"/>
      <c r="DU48" s="41"/>
      <c r="DV48" s="41"/>
      <c r="DW48" s="41"/>
      <c r="DX48" s="38">
        <f>if(DZ48="", if(DU49&lt;&gt;"", if((DU49-DS49)&lt;-1,DQ48*(1+Setup!HB9),if((DU49-DS49)&lt;0,DQ48*(1+Setup!HC9),if((DU49-DS49)=0,DQ48*(1+Setup!HD9),if((DU49-DS49)=1,DQ48*(1+Setup!HE9),if((DU49-DS49)=2,DQ48*(1+Setup!HF9),if((DU49-DS49)=3,DQ48*(1+Setup!HG9),if((DU49-DS49)=4,DQ48*(1+Setup!HH9),if((DU49-DS49)&gt;4,DQ48*(1+Setup!HI9),DQ48)))))))),DQ48),DZ48/'Quick Setup'!$E11)</f>
        <v>420</v>
      </c>
      <c r="DY48" s="39" t="s">
        <v>75</v>
      </c>
      <c r="DZ48" s="40"/>
      <c r="EA48" s="41"/>
      <c r="EB48" s="41"/>
      <c r="EC48" s="41"/>
      <c r="ED48" s="41"/>
      <c r="EE48" s="38">
        <f>if(EG48="", if(EB49&lt;&gt;"", if((EB49-DZ49)&lt;-1,DX48*(1+Setup!HN9),if((EB49-DZ49)&lt;0,DX48*(1+Setup!HO9),if((EB49-DZ49)=0,DX48*(1+Setup!HP9),if((EB49-DZ49)=1,DX48*(1+Setup!HQ9),if((EB49-DZ49)=2,DX48*(1+Setup!HR9),if((EB49-DZ49)=3,DX48*(1+Setup!HS9),if((EB49-DZ49)=4,DX48*(1+Setup!HT9),if((EB49-DZ49)&gt;4,DX48*(1+Setup!HU9),DX48)))))))),DX48),EG48/'Quick Setup'!$E11)</f>
        <v>420</v>
      </c>
      <c r="EF48" s="39" t="s">
        <v>75</v>
      </c>
      <c r="EG48" s="40"/>
      <c r="EH48" s="41"/>
      <c r="EI48" s="41"/>
      <c r="EJ48" s="41"/>
      <c r="EK48" s="41"/>
      <c r="EL48" s="38">
        <f>if(EN48="", if(EI49&lt;&gt;"", if((EI49-EG49)&lt;-1,EE48*(1+Setup!HZ9),if((EI49-EG49)&lt;0,EE48*(1+Setup!IA9),if((EI49-EG49)=0,EE48*(1+Setup!IB9),if((EI49-EG49)=1,EE48*(1+Setup!IC9),if((EI49-EG49)=2,EE48*(1+Setup!ID9),if((EI49-EG49)=3,EE48*(1+Setup!IE9),if((EI49-EG49)=4,EE48*(1+Setup!IF9),if((EI49-EG49)&gt;4,EE48*(1+Setup!IG9),EE48)))))))),EE48),EN48/'Quick Setup'!$E11)</f>
        <v>420</v>
      </c>
      <c r="EM48" s="39" t="s">
        <v>75</v>
      </c>
      <c r="EN48" s="40"/>
      <c r="EO48" s="41"/>
      <c r="EP48" s="41"/>
      <c r="EQ48" s="41"/>
      <c r="ER48" s="41"/>
    </row>
    <row r="49">
      <c r="A49" s="1" t="str">
        <f>Setup!A9</f>
        <v>Front Squat</v>
      </c>
      <c r="B49" s="42">
        <f>mround(B48*Setup!B9,'Quick Setup'!$A$2)</f>
        <v>252.5</v>
      </c>
      <c r="C49" s="3">
        <f>Setup!C9</f>
        <v>7</v>
      </c>
      <c r="D49" s="3">
        <f>Setup!D9</f>
        <v>14</v>
      </c>
      <c r="E49" s="3">
        <f>Setup!E9</f>
        <v>5</v>
      </c>
      <c r="F49" s="10"/>
      <c r="G49" s="10"/>
      <c r="H49" s="10"/>
      <c r="I49" s="42">
        <f>mround(I48*Setup!N9,'Quick Setup'!$A$2)</f>
        <v>272.5</v>
      </c>
      <c r="J49" s="3">
        <f>Setup!O9</f>
        <v>6</v>
      </c>
      <c r="K49" s="3">
        <f>Setup!P9</f>
        <v>12</v>
      </c>
      <c r="L49" s="3">
        <f>Setup!Q9</f>
        <v>5</v>
      </c>
      <c r="M49" s="10"/>
      <c r="N49" s="10"/>
      <c r="O49" s="10"/>
      <c r="P49" s="42">
        <f>mround(P48*Setup!Z9,'Quick Setup'!$A$2)</f>
        <v>295</v>
      </c>
      <c r="Q49" s="3">
        <f>Setup!AA9</f>
        <v>5</v>
      </c>
      <c r="R49" s="3">
        <f>Setup!AB9</f>
        <v>10</v>
      </c>
      <c r="S49" s="3">
        <f>Setup!AC9</f>
        <v>5</v>
      </c>
      <c r="T49" s="10"/>
      <c r="U49" s="10"/>
      <c r="V49" s="10"/>
      <c r="W49" s="42">
        <f>mround(W48*Setup!AL9,'Quick Setup'!$A$2)</f>
        <v>262.5</v>
      </c>
      <c r="X49" s="3">
        <f>Setup!AM9</f>
        <v>7</v>
      </c>
      <c r="Y49" s="3">
        <f>Setup!AN9</f>
        <v>13</v>
      </c>
      <c r="Z49" s="3">
        <f>Setup!AO9</f>
        <v>5</v>
      </c>
      <c r="AA49" s="10"/>
      <c r="AB49" s="10"/>
      <c r="AC49" s="10"/>
      <c r="AD49" s="42">
        <f>mround(AD48*Setup!AX9,'Quick Setup'!$A$2)</f>
        <v>282.5</v>
      </c>
      <c r="AE49" s="3">
        <f>Setup!AY9</f>
        <v>6</v>
      </c>
      <c r="AF49" s="3">
        <f>Setup!AZ9</f>
        <v>11</v>
      </c>
      <c r="AG49" s="3">
        <f>Setup!BA9</f>
        <v>5</v>
      </c>
      <c r="AH49" s="10"/>
      <c r="AI49" s="10"/>
      <c r="AJ49" s="10"/>
      <c r="AK49" s="42">
        <f>mround(AK48*Setup!BJ9,'Quick Setup'!$A$2)</f>
        <v>305</v>
      </c>
      <c r="AL49" s="3">
        <f>Setup!BK9</f>
        <v>5</v>
      </c>
      <c r="AM49" s="3">
        <f>Setup!BL9</f>
        <v>9</v>
      </c>
      <c r="AN49" s="3">
        <f>Setup!BM9</f>
        <v>5</v>
      </c>
      <c r="AO49" s="10"/>
      <c r="AP49" s="10"/>
      <c r="AQ49" s="10"/>
      <c r="AR49" s="42">
        <f>mround(AR48*Setup!BV9,'Quick Setup'!$A$2)</f>
        <v>210</v>
      </c>
      <c r="AS49" s="1">
        <v>5.0</v>
      </c>
      <c r="AT49" s="1" t="s">
        <v>78</v>
      </c>
      <c r="AU49" s="3">
        <f>Setup!BY9</f>
        <v>5</v>
      </c>
      <c r="AV49" s="10"/>
      <c r="AW49" s="10"/>
      <c r="AX49" s="10"/>
      <c r="AY49" s="42">
        <f>mround(AY48*Setup!CH9,'Quick Setup'!$A$2)</f>
        <v>272.5</v>
      </c>
      <c r="AZ49" s="3">
        <f>Setup!CI9</f>
        <v>6</v>
      </c>
      <c r="BA49" s="3">
        <f>Setup!CJ9</f>
        <v>12</v>
      </c>
      <c r="BB49" s="3">
        <f>Setup!CK9</f>
        <v>5</v>
      </c>
      <c r="BC49" s="10"/>
      <c r="BD49" s="10"/>
      <c r="BE49" s="10"/>
      <c r="BF49" s="42">
        <f>mround(BF48*Setup!CT9,'Quick Setup'!$A$2)</f>
        <v>295</v>
      </c>
      <c r="BG49" s="3">
        <f>Setup!CU9</f>
        <v>5</v>
      </c>
      <c r="BH49" s="3">
        <f>Setup!CV9</f>
        <v>10</v>
      </c>
      <c r="BI49" s="3">
        <f>Setup!CW9</f>
        <v>5</v>
      </c>
      <c r="BJ49" s="10"/>
      <c r="BK49" s="10"/>
      <c r="BL49" s="10"/>
      <c r="BM49" s="42">
        <f>mround(BM48*Setup!DF9,'Quick Setup'!$A$2)</f>
        <v>315</v>
      </c>
      <c r="BN49" s="3">
        <f>Setup!DG9</f>
        <v>4</v>
      </c>
      <c r="BO49" s="3">
        <f>Setup!DH9</f>
        <v>8</v>
      </c>
      <c r="BP49" s="3">
        <f>Setup!DI9</f>
        <v>5</v>
      </c>
      <c r="BQ49" s="10"/>
      <c r="BR49" s="10"/>
      <c r="BS49" s="10"/>
      <c r="BT49" s="42">
        <f>mround(BT48*Setup!DR9,'Quick Setup'!$A$2)</f>
        <v>282.5</v>
      </c>
      <c r="BU49" s="3">
        <f>Setup!DS9</f>
        <v>6</v>
      </c>
      <c r="BV49" s="3">
        <f>Setup!DT9</f>
        <v>11</v>
      </c>
      <c r="BW49" s="3">
        <f>Setup!DU9</f>
        <v>5</v>
      </c>
      <c r="BX49" s="10"/>
      <c r="BY49" s="10"/>
      <c r="BZ49" s="10"/>
      <c r="CA49" s="42">
        <f>mround(CA48*Setup!ED9,'Quick Setup'!$A$2)</f>
        <v>305</v>
      </c>
      <c r="CB49" s="3">
        <f>Setup!EE9</f>
        <v>5</v>
      </c>
      <c r="CC49" s="3">
        <f>Setup!EF9</f>
        <v>9</v>
      </c>
      <c r="CD49" s="3">
        <f>Setup!EG9</f>
        <v>5</v>
      </c>
      <c r="CE49" s="10"/>
      <c r="CF49" s="10"/>
      <c r="CG49" s="10"/>
      <c r="CH49" s="42">
        <f>mround(CH48*Setup!EP9,'Quick Setup'!$A$2)</f>
        <v>325</v>
      </c>
      <c r="CI49" s="3">
        <f>Setup!EQ9</f>
        <v>4</v>
      </c>
      <c r="CJ49" s="3">
        <f>Setup!ER9</f>
        <v>7</v>
      </c>
      <c r="CK49" s="3">
        <f>Setup!ES9</f>
        <v>5</v>
      </c>
      <c r="CL49" s="10"/>
      <c r="CM49" s="10"/>
      <c r="CN49" s="10"/>
      <c r="CO49" s="42">
        <f>mround(CO48*Setup!FB9,'Quick Setup'!$A$2)</f>
        <v>210</v>
      </c>
      <c r="CP49" s="1">
        <v>5.0</v>
      </c>
      <c r="CQ49" s="1" t="s">
        <v>78</v>
      </c>
      <c r="CR49" s="3">
        <f>Setup!FE9</f>
        <v>5</v>
      </c>
      <c r="CS49" s="10"/>
      <c r="CT49" s="10"/>
      <c r="CU49" s="10"/>
      <c r="CV49" s="42">
        <f>mround(CV48*Setup!FN9,'Quick Setup'!$A$2)</f>
        <v>295</v>
      </c>
      <c r="CW49" s="3">
        <f>Setup!FO9</f>
        <v>5</v>
      </c>
      <c r="CX49" s="3">
        <f>Setup!FP9</f>
        <v>10</v>
      </c>
      <c r="CY49" s="3">
        <f>Setup!FQ9</f>
        <v>5</v>
      </c>
      <c r="CZ49" s="10"/>
      <c r="DA49" s="10"/>
      <c r="DB49" s="10"/>
      <c r="DC49" s="42">
        <f>mround(DC48*Setup!FZ9,'Quick Setup'!$A$2)</f>
        <v>315</v>
      </c>
      <c r="DD49" s="3">
        <f>Setup!GA9</f>
        <v>4</v>
      </c>
      <c r="DE49" s="3">
        <f>Setup!GB9</f>
        <v>8</v>
      </c>
      <c r="DF49" s="3">
        <f>Setup!GC9</f>
        <v>5</v>
      </c>
      <c r="DG49" s="10"/>
      <c r="DH49" s="10"/>
      <c r="DI49" s="10"/>
      <c r="DJ49" s="42">
        <f>mround(DJ48*Setup!GL9,'Quick Setup'!$A$2)</f>
        <v>335</v>
      </c>
      <c r="DK49" s="3">
        <f>Setup!GM9</f>
        <v>3</v>
      </c>
      <c r="DL49" s="3">
        <f>Setup!GN9</f>
        <v>6</v>
      </c>
      <c r="DM49" s="3">
        <f>Setup!GO9</f>
        <v>5</v>
      </c>
      <c r="DN49" s="10"/>
      <c r="DO49" s="10"/>
      <c r="DP49" s="10"/>
      <c r="DQ49" s="42">
        <f>mround(DQ48*Setup!GX9,'Quick Setup'!$A$2)</f>
        <v>315</v>
      </c>
      <c r="DR49" s="3">
        <f>Setup!GY9</f>
        <v>4</v>
      </c>
      <c r="DS49" s="3">
        <f>Setup!GZ9</f>
        <v>8</v>
      </c>
      <c r="DT49" s="3">
        <f>Setup!HA9</f>
        <v>5</v>
      </c>
      <c r="DU49" s="10"/>
      <c r="DV49" s="10"/>
      <c r="DW49" s="10"/>
      <c r="DX49" s="42">
        <f>mround(DX48*Setup!HJ9,'Quick Setup'!$A$2)</f>
        <v>335</v>
      </c>
      <c r="DY49" s="3">
        <f>Setup!HK9</f>
        <v>3</v>
      </c>
      <c r="DZ49" s="3">
        <f>Setup!HL9</f>
        <v>6</v>
      </c>
      <c r="EA49" s="3">
        <f>Setup!HM9</f>
        <v>5</v>
      </c>
      <c r="EB49" s="10"/>
      <c r="EC49" s="10"/>
      <c r="ED49" s="10"/>
      <c r="EE49" s="42">
        <f>mround(EE48*Setup!HV9,'Quick Setup'!$A$2)</f>
        <v>357.5</v>
      </c>
      <c r="EF49" s="3">
        <f>Setup!HW9</f>
        <v>2</v>
      </c>
      <c r="EG49" s="3">
        <f>Setup!HX9</f>
        <v>4</v>
      </c>
      <c r="EH49" s="3">
        <f>Setup!HY9</f>
        <v>5</v>
      </c>
      <c r="EI49" s="10"/>
      <c r="EJ49" s="10"/>
      <c r="EK49" s="10"/>
      <c r="EL49" s="42">
        <f>mround(EL48*Setup!IH9,'Quick Setup'!$A$2)</f>
        <v>210</v>
      </c>
      <c r="EM49" s="1">
        <v>5.0</v>
      </c>
      <c r="EN49" s="1" t="s">
        <v>78</v>
      </c>
      <c r="EO49" s="3">
        <f>Setup!IK9</f>
        <v>5</v>
      </c>
      <c r="EP49" s="10"/>
      <c r="EQ49" s="10"/>
      <c r="ER49" s="10"/>
    </row>
    <row r="50" hidden="1">
      <c r="A50" s="37" t="str">
        <f>CONCATENATE(A51," TM")</f>
        <v>Sumo Deadlift TM</v>
      </c>
      <c r="B50" s="38">
        <f>if(D50="",'Quick Setup'!D15,D50/'Quick Setup'!E15)</f>
        <v>500</v>
      </c>
      <c r="C50" s="39" t="s">
        <v>75</v>
      </c>
      <c r="D50" s="40"/>
      <c r="E50" s="41"/>
      <c r="F50" s="41"/>
      <c r="G50" s="41"/>
      <c r="H50" s="41"/>
      <c r="I50" s="38">
        <f>if(K50="", if(F51&lt;&gt;"", if((F51-D51)&lt;-1,B50*(1+Setup!F13),if((F51-D51)&lt;0,B50*(1+Setup!G13),if((F51-D51)=0,B50*(1+Setup!H13),if((F51-D51)=1,B50*(1+Setup!I13),if((F51-D51)=2,B50*(1+Setup!J13),if((F51-D51)=3,B50*(1+Setup!K13),if((F51-D51)=4,B50*(1+Setup!L13),if((F51-D51)&gt;4,B50*(1+Setup!M13),B50)))))))),B50),K50/'Quick Setup'!$E15)</f>
        <v>500</v>
      </c>
      <c r="J50" s="39" t="s">
        <v>75</v>
      </c>
      <c r="K50" s="40"/>
      <c r="L50" s="41"/>
      <c r="M50" s="41"/>
      <c r="N50" s="41"/>
      <c r="O50" s="41"/>
      <c r="P50" s="38">
        <f>if(R50="", if(M51&lt;&gt;"", if((M51-K51)&lt;-1,I50*(1+Setup!R13),if((M51-K51)&lt;0,I50*(1+Setup!S13),if((M51-K51)=0,I50*(1+Setup!T13),if((M51-K51)=1,I50*(1+Setup!U13),if((M51-K51)=2,I50*(1+Setup!V13),if((M51-K51)=3,I50*(1+Setup!W13),if((M51-K51)=4,I50*(1+Setup!X13),if((M51-K51)&gt;4,I50*(1+Setup!Y13),I50)))))))),I50),R50/'Quick Setup'!$E15)</f>
        <v>500</v>
      </c>
      <c r="Q50" s="39" t="s">
        <v>75</v>
      </c>
      <c r="R50" s="40"/>
      <c r="S50" s="41"/>
      <c r="T50" s="41"/>
      <c r="U50" s="41"/>
      <c r="V50" s="41"/>
      <c r="W50" s="38">
        <f>if(Y50="", if(T51&lt;&gt;"", if((T51-R51)&lt;-1,P50*(1+Setup!AD13),if((T51-R51)&lt;0,P50*(1+Setup!AE13),if((T51-R51)=0,P50*(1+Setup!AF13),if((T51-R51)=1,P50*(1+Setup!AG13),if((T51-R51)=2,P50*(1+Setup!AH13),if((T51-R51)=3,P50*(1+Setup!AI13),if((T51-R51)=4,P50*(1+Setup!AJ13),if((T51-R51)&gt;4,P50*(1+Setup!AK13),P50)))))))),P50),Y50/'Quick Setup'!$E15)</f>
        <v>500</v>
      </c>
      <c r="X50" s="39" t="s">
        <v>75</v>
      </c>
      <c r="Y50" s="40"/>
      <c r="Z50" s="41"/>
      <c r="AA50" s="41"/>
      <c r="AB50" s="41"/>
      <c r="AC50" s="41"/>
      <c r="AD50" s="38">
        <f>if(AF50="", if(AA51&lt;&gt;"", if((AA51-Y51)&lt;-1,W50*(1+Setup!AP13),if((AA51-Y51)&lt;0,W50*(1+Setup!AQ13),if((AA51-Y51)=0,W50*(1+Setup!AR13),if((AA51-Y51)=1,W50*(1+Setup!AS13),if((AA51-Y51)=2,W50*(1+Setup!AT13),if((AA51-Y51)=3,W50*(1+Setup!AU13),if((AA51-Y51)=4,W50*(1+Setup!AV13),if((AA51-Y51)&gt;4,W50*(1+Setup!AW13),W50)))))))),W50),AF50/'Quick Setup'!$E15)</f>
        <v>500</v>
      </c>
      <c r="AE50" s="39" t="s">
        <v>75</v>
      </c>
      <c r="AF50" s="40"/>
      <c r="AG50" s="41"/>
      <c r="AH50" s="41"/>
      <c r="AI50" s="41"/>
      <c r="AJ50" s="41"/>
      <c r="AK50" s="38">
        <f>if(AM50="", if(AH51&lt;&gt;"", if((AH51-AF51)&lt;-1,AD50*(1+Setup!BB13),if((AH51-AF51)&lt;0,AD50*(1+Setup!BC13),if((AH51-AF51)=0,AD50*(1+Setup!BD13),if((AH51-AF51)=1,AD50*(1+Setup!BE13),if((AH51-AF51)=2,AD50*(1+Setup!BF13),if((AH51-AF51)=3,AD50*(1+Setup!BG13),if((AH51-AF51)=4,AD50*(1+Setup!BH13),if((AH51-AF51)&gt;4,AD50*(1+Setup!BI13),AD50)))))))),AD50),AM50/'Quick Setup'!$E15)</f>
        <v>500</v>
      </c>
      <c r="AL50" s="39" t="s">
        <v>75</v>
      </c>
      <c r="AM50" s="40"/>
      <c r="AN50" s="41"/>
      <c r="AO50" s="41"/>
      <c r="AP50" s="41"/>
      <c r="AQ50" s="41"/>
      <c r="AR50" s="38">
        <f>if(AT50="", if(AO51&lt;&gt;"", if((AO51-AM51)&lt;-1,AK50*(1+Setup!BN13),if((AO51-AM51)&lt;0,AK50*(1+Setup!BO13),if((AO51-AM51)=0,AK50*(1+Setup!BP13),if((AO51-AM51)=1,AK50*(1+Setup!BQ13),if((AO51-AM51)=2,AK50*(1+Setup!BR13),if((AO51-AM51)=3,AK50*(1+Setup!BS13),if((AO51-AM51)=4,AK50*(1+Setup!BT13),if((AO51-AM51)&gt;4,AK50*(1+Setup!BU13),AK50)))))))),AK50),AT50/'Quick Setup'!$E15)</f>
        <v>500</v>
      </c>
      <c r="AS50" s="39" t="s">
        <v>75</v>
      </c>
      <c r="AT50" s="40"/>
      <c r="AU50" s="41"/>
      <c r="AV50" s="41"/>
      <c r="AW50" s="41"/>
      <c r="AX50" s="41"/>
      <c r="AY50" s="38">
        <f>if(BA50="",AR50,BA50/'Quick Setup'!$E15)</f>
        <v>500</v>
      </c>
      <c r="AZ50" s="39" t="s">
        <v>75</v>
      </c>
      <c r="BA50" s="40"/>
      <c r="BB50" s="41"/>
      <c r="BC50" s="41"/>
      <c r="BD50" s="41"/>
      <c r="BE50" s="41"/>
      <c r="BF50" s="38">
        <f>if(BH50="", if(BC51&lt;&gt;"", if((BC51-BA51)&lt;-1,AY50*(1+Setup!CL13),if((BC51-BA51)&lt;0,AY50*(1+Setup!CM13),if((BC51-BA51)=0,AY50*(1+Setup!CN13),if((BC51-BA51)=1,AY50*(1+Setup!CO13),if((BC51-BA51)=2,AY50*(1+Setup!CP13),if((BC51-BA51)=3,AY50*(1+Setup!CQ13),if((BC51-BA51)=4,AY50*(1+Setup!CR13),if((BC51-BA51)&gt;4,AY50*(1+Setup!CS13),AY50)))))))),AY50),BH50/'Quick Setup'!$E15)</f>
        <v>500</v>
      </c>
      <c r="BG50" s="39" t="s">
        <v>75</v>
      </c>
      <c r="BH50" s="40"/>
      <c r="BI50" s="41"/>
      <c r="BJ50" s="41"/>
      <c r="BK50" s="41"/>
      <c r="BL50" s="41"/>
      <c r="BM50" s="38">
        <f>if(BO50="", if(BJ51&lt;&gt;"", if((BJ51-BH51)&lt;-1,BF50*(1+Setup!CX13),if((BJ51-BH51)&lt;0,BF50*(1+Setup!CY13),if((BJ51-BH51)=0,BF50*(1+Setup!CZ13),if((BJ51-BH51)=1,BF50*(1+Setup!DA13),if((BJ51-BH51)=2,BF50*(1+Setup!DB13),if((BJ51-BH51)=3,BF50*(1+Setup!DC13),if((BJ51-BH51)=4,BF50*(1+Setup!DD13),if((BJ51-BH51)&gt;4,BF50*(1+Setup!DE13),BF50)))))))),BF50),BO50/'Quick Setup'!$E15)</f>
        <v>500</v>
      </c>
      <c r="BN50" s="39" t="s">
        <v>75</v>
      </c>
      <c r="BO50" s="40"/>
      <c r="BP50" s="41"/>
      <c r="BQ50" s="41"/>
      <c r="BR50" s="41"/>
      <c r="BS50" s="41"/>
      <c r="BT50" s="38">
        <f>if(BV50="", if(BQ51&lt;&gt;"", if((BQ51-BO51)&lt;-1,BM50*(1+Setup!DJ13),if((BQ51-BO51)&lt;0,BM50*(1+Setup!DK13),if((BQ51-BO51)=0,BM50*(1+Setup!DL13),if((BQ51-BO51)=1,BM50*(1+Setup!DM13),if((BQ51-BO51)=2,BM50*(1+Setup!DN13),if((BQ51-BO51)=3,BM50*(1+Setup!DO13),if((BQ51-BO51)=4,BM50*(1+Setup!DP13),if((BQ51-BO51)&gt;4,BM50*(1+Setup!DQ13),BM50)))))))),BM50),BV50/'Quick Setup'!$E15)</f>
        <v>500</v>
      </c>
      <c r="BU50" s="39" t="s">
        <v>75</v>
      </c>
      <c r="BV50" s="40"/>
      <c r="BW50" s="41"/>
      <c r="BX50" s="41"/>
      <c r="BY50" s="41"/>
      <c r="BZ50" s="41"/>
      <c r="CA50" s="38">
        <f>if(CC50="", if(BX51&lt;&gt;"", if((BX51-BV51)&lt;-1,BT50*(1+Setup!DV13),if((BX51-BV51)&lt;0,BT50*(1+Setup!DW13),if((BX51-BV51)=0,BT50*(1+Setup!DX13),if((BX51-BV51)=1,BT50*(1+Setup!DY13),if((BX51-BV51)=2,BT50*(1+Setup!DZ13),if((BX51-BV51)=3,BT50*(1+Setup!EA13),if((BX51-BV51)=4,BT50*(1+Setup!EB13),if((BX51-BV51)&gt;4,BT50*(1+Setup!EC13),BT50)))))))),BT50),CC50/'Quick Setup'!$E15)</f>
        <v>500</v>
      </c>
      <c r="CB50" s="39" t="s">
        <v>75</v>
      </c>
      <c r="CC50" s="40"/>
      <c r="CD50" s="41"/>
      <c r="CE50" s="41"/>
      <c r="CF50" s="41"/>
      <c r="CG50" s="41"/>
      <c r="CH50" s="38">
        <f>if(CJ50="", if(CE51&lt;&gt;"", if((CE51-CC51)&lt;-1,CA50*(1+Setup!EH13),if((CE51-CC51)&lt;0,CA50*(1+Setup!EI13),if((CE51-CC51)=0,CA50*(1+Setup!EJ13),if((CE51-CC51)=1,CA50*(1+Setup!EK13),if((CE51-CC51)=2,CA50*(1+Setup!EL13),if((CE51-CC51)=3,CA50*(1+Setup!EM13),if((CE51-CC51)=4,CA50*(1+Setup!EN13),if((CE51-CC51)&gt;4,CA50*(1+Setup!EO13),CA50)))))))),CA50),CJ50/'Quick Setup'!$E15)</f>
        <v>500</v>
      </c>
      <c r="CI50" s="39" t="s">
        <v>75</v>
      </c>
      <c r="CJ50" s="40"/>
      <c r="CK50" s="41"/>
      <c r="CL50" s="41"/>
      <c r="CM50" s="41"/>
      <c r="CN50" s="41"/>
      <c r="CO50" s="38">
        <f>if(CQ50="", if(CL51&lt;&gt;"", if((CL51-CJ51)&lt;-1,CH50*(1+Setup!ET13),if((CL51-CJ51)&lt;0,CH50*(1+Setup!EU13),if((CL51-CJ51)=0,CH50*(1+Setup!EV13),if((CL51-CJ51)=1,CH50*(1+Setup!EW13),if((CL51-CJ51)=2,CH50*(1+Setup!EX13),if((CL51-CJ51)=3,CH50*(1+Setup!EY13),if((CL51-CJ51)=4,CH50*(1+Setup!EZ13),if((CL51-CJ51)&gt;4,CH50*(1+Setup!FA13),CH50)))))))),CH50),CQ50/'Quick Setup'!$E15)</f>
        <v>500</v>
      </c>
      <c r="CP50" s="39" t="s">
        <v>75</v>
      </c>
      <c r="CQ50" s="40"/>
      <c r="CR50" s="41"/>
      <c r="CS50" s="41"/>
      <c r="CT50" s="41"/>
      <c r="CU50" s="41"/>
      <c r="CV50" s="38">
        <f>if(CX50="",CO50,CX50/'Quick Setup'!$E15)</f>
        <v>500</v>
      </c>
      <c r="CW50" s="39" t="s">
        <v>75</v>
      </c>
      <c r="CX50" s="40"/>
      <c r="CY50" s="41"/>
      <c r="CZ50" s="41"/>
      <c r="DA50" s="41"/>
      <c r="DB50" s="41"/>
      <c r="DC50" s="38">
        <f>if(DE50="", if(CZ51&lt;&gt;"", if((CZ51-CX51)&lt;-1,CV50*(1+Setup!FR13),if((CZ51-CX51)&lt;0,CV50*(1+Setup!FS13),if((CZ51-CX51)=0,CV50*(1+Setup!FT13),if((CZ51-CX51)=1,CV50*(1+Setup!FU13),if((CZ51-CX51)=2,CV50*(1+Setup!FV13),if((CZ51-CX51)=3,CV50*(1+Setup!FW13),if((CZ51-CX51)=4,CV50*(1+Setup!FX13),if((CZ51-CX51)&gt;4,CV50*(1+Setup!FY13),CV50)))))))),CV50),DE50/'Quick Setup'!$E15)</f>
        <v>500</v>
      </c>
      <c r="DD50" s="39" t="s">
        <v>75</v>
      </c>
      <c r="DE50" s="40"/>
      <c r="DF50" s="41"/>
      <c r="DG50" s="41"/>
      <c r="DH50" s="41"/>
      <c r="DI50" s="41"/>
      <c r="DJ50" s="38">
        <f>if(DL50="", if(DG51&lt;&gt;"", if((DG51-DE51)&lt;-1,DC50*(1+Setup!GD13),if((DG51-DE51)&lt;0,DC50*(1+Setup!GE13),if((DG51-DE51)=0,DC50*(1+Setup!GF13),if((DG51-DE51)=1,DC50*(1+Setup!GG13),if((DG51-DE51)=2,DC50*(1+Setup!GH13),if((DG51-DE51)=3,DC50*(1+Setup!GI13),if((DG51-DE51)=4,DC50*(1+Setup!GJ13),if((DG51-DE51)&gt;4,DC50*(1+Setup!GK13),DC50)))))))),DC50),DL50/'Quick Setup'!$E15)</f>
        <v>500</v>
      </c>
      <c r="DK50" s="39" t="s">
        <v>75</v>
      </c>
      <c r="DL50" s="40"/>
      <c r="DM50" s="41"/>
      <c r="DN50" s="41"/>
      <c r="DO50" s="41"/>
      <c r="DP50" s="41"/>
      <c r="DQ50" s="38">
        <f>if(DS50="", if(DN51&lt;&gt;"", if((DN51-DL51)&lt;-1,DJ50*(1+Setup!GP13),if((DN51-DL51)&lt;0,DJ50*(1+Setup!GQ13),if((DN51-DL51)=0,DJ50*(1+Setup!GR13),if((DN51-DL51)=1,DJ50*(1+Setup!GS13),if((DN51-DL51)=2,DJ50*(1+Setup!GT13),if((DN51-DL51)=3,DJ50*(1+Setup!GU13),if((DN51-DL51)=4,DJ50*(1+Setup!GV13),if((DN51-DL51)&gt;4,DJ50*(1+Setup!GW13),DJ50)))))))),DJ50),DS50/'Quick Setup'!$E15)</f>
        <v>500</v>
      </c>
      <c r="DR50" s="39" t="s">
        <v>75</v>
      </c>
      <c r="DS50" s="40"/>
      <c r="DT50" s="41"/>
      <c r="DU50" s="41"/>
      <c r="DV50" s="41"/>
      <c r="DW50" s="41"/>
      <c r="DX50" s="38">
        <f>if(DZ50="", if(DU51&lt;&gt;"", if((DU51-DS51)&lt;-1,DQ50*(1+Setup!HB13),if((DU51-DS51)&lt;0,DQ50*(1+Setup!HC13),if((DU51-DS51)=0,DQ50*(1+Setup!HD13),if((DU51-DS51)=1,DQ50*(1+Setup!HE13),if((DU51-DS51)=2,DQ50*(1+Setup!HF13),if((DU51-DS51)=3,DQ50*(1+Setup!HG13),if((DU51-DS51)=4,DQ50*(1+Setup!HH13),if((DU51-DS51)&gt;4,DQ50*(1+Setup!HI13),DQ50)))))))),DQ50),DZ50/'Quick Setup'!$E15)</f>
        <v>500</v>
      </c>
      <c r="DY50" s="39" t="s">
        <v>75</v>
      </c>
      <c r="DZ50" s="40"/>
      <c r="EA50" s="41"/>
      <c r="EB50" s="41"/>
      <c r="EC50" s="41"/>
      <c r="ED50" s="41"/>
      <c r="EE50" s="38">
        <f>if(EG50="", if(EB51&lt;&gt;"", if((EB51-DZ51)&lt;-1,DX50*(1+Setup!HN13),if((EB51-DZ51)&lt;0,DX50*(1+Setup!HO13),if((EB51-DZ51)=0,DX50*(1+Setup!HP13),if((EB51-DZ51)=1,DX50*(1+Setup!HQ13),if((EB51-DZ51)=2,DX50*(1+Setup!HR13),if((EB51-DZ51)=3,DX50*(1+Setup!HS13),if((EB51-DZ51)=4,DX50*(1+Setup!HT13),if((EB51-DZ51)&gt;4,DX50*(1+Setup!HU13),DX50)))))))),DX50),EG50/'Quick Setup'!$E15)</f>
        <v>500</v>
      </c>
      <c r="EF50" s="39" t="s">
        <v>75</v>
      </c>
      <c r="EG50" s="40"/>
      <c r="EH50" s="41"/>
      <c r="EI50" s="41"/>
      <c r="EJ50" s="41"/>
      <c r="EK50" s="41"/>
      <c r="EL50" s="38">
        <f>if(EN50="", if(EI51&lt;&gt;"", if((EI51-EG51)&lt;-1,EE50*(1+Setup!HZ13),if((EI51-EG51)&lt;0,EE50*(1+Setup!IA13),if((EI51-EG51)=0,EE50*(1+Setup!IB13),if((EI51-EG51)=1,EE50*(1+Setup!IC13),if((EI51-EG51)=2,EE50*(1+Setup!ID13),if((EI51-EG51)=3,EE50*(1+Setup!IE13),if((EI51-EG51)=4,EE50*(1+Setup!IF13),if((EI51-EG51)&gt;4,EE50*(1+Setup!IG13),EE50)))))))),EE50),EN50/'Quick Setup'!$E15)</f>
        <v>500</v>
      </c>
      <c r="EM50" s="39" t="s">
        <v>75</v>
      </c>
      <c r="EN50" s="40"/>
      <c r="EO50" s="41"/>
      <c r="EP50" s="41"/>
      <c r="EQ50" s="41"/>
      <c r="ER50" s="41"/>
    </row>
    <row r="51">
      <c r="A51" s="1" t="str">
        <f>Setup!A13</f>
        <v>Sumo Deadlift</v>
      </c>
      <c r="B51" s="42">
        <f>mround(B50*Setup!B13,'Quick Setup'!$A$2)</f>
        <v>300</v>
      </c>
      <c r="C51" s="3">
        <f>Setup!C13</f>
        <v>7</v>
      </c>
      <c r="D51" s="3">
        <f>Setup!D13</f>
        <v>14</v>
      </c>
      <c r="E51" s="3">
        <f>Setup!E13</f>
        <v>5</v>
      </c>
      <c r="F51" s="10"/>
      <c r="G51" s="10"/>
      <c r="H51" s="10"/>
      <c r="I51" s="42">
        <f>mround(I50*Setup!N13,'Quick Setup'!$A$2)</f>
        <v>325</v>
      </c>
      <c r="J51" s="3">
        <f>Setup!O13</f>
        <v>6</v>
      </c>
      <c r="K51" s="3">
        <f>Setup!P13</f>
        <v>12</v>
      </c>
      <c r="L51" s="3">
        <f>Setup!Q13</f>
        <v>5</v>
      </c>
      <c r="M51" s="10"/>
      <c r="N51" s="10"/>
      <c r="O51" s="10"/>
      <c r="P51" s="42">
        <f>mround(P50*Setup!Z13,'Quick Setup'!$A$2)</f>
        <v>350</v>
      </c>
      <c r="Q51" s="3">
        <f>Setup!AA13</f>
        <v>5</v>
      </c>
      <c r="R51" s="3">
        <f>Setup!AB13</f>
        <v>10</v>
      </c>
      <c r="S51" s="3">
        <f>Setup!AC13</f>
        <v>5</v>
      </c>
      <c r="T51" s="10"/>
      <c r="U51" s="10"/>
      <c r="V51" s="10"/>
      <c r="W51" s="42">
        <f>mround(W50*Setup!AL13,'Quick Setup'!$A$2)</f>
        <v>312.5</v>
      </c>
      <c r="X51" s="3">
        <f>Setup!AM13</f>
        <v>7</v>
      </c>
      <c r="Y51" s="3">
        <f>Setup!AN13</f>
        <v>13</v>
      </c>
      <c r="Z51" s="3">
        <f>Setup!AO13</f>
        <v>5</v>
      </c>
      <c r="AA51" s="10"/>
      <c r="AB51" s="10"/>
      <c r="AC51" s="10"/>
      <c r="AD51" s="42">
        <f>mround(AD50*Setup!AX13,'Quick Setup'!$A$2)</f>
        <v>337.5</v>
      </c>
      <c r="AE51" s="3">
        <f>Setup!AY13</f>
        <v>6</v>
      </c>
      <c r="AF51" s="3">
        <f>Setup!AZ13</f>
        <v>11</v>
      </c>
      <c r="AG51" s="3">
        <f>Setup!BA13</f>
        <v>5</v>
      </c>
      <c r="AH51" s="10"/>
      <c r="AI51" s="10"/>
      <c r="AJ51" s="10"/>
      <c r="AK51" s="42">
        <f>mround(AK50*Setup!BJ13,'Quick Setup'!$A$2)</f>
        <v>362.5</v>
      </c>
      <c r="AL51" s="3">
        <f>Setup!BK13</f>
        <v>5</v>
      </c>
      <c r="AM51" s="3">
        <f>Setup!BL13</f>
        <v>9</v>
      </c>
      <c r="AN51" s="3">
        <f>Setup!BM13</f>
        <v>5</v>
      </c>
      <c r="AO51" s="10"/>
      <c r="AP51" s="10"/>
      <c r="AQ51" s="10"/>
      <c r="AR51" s="42">
        <f>mround(AR50*Setup!BV13,'Quick Setup'!$A$2)</f>
        <v>250</v>
      </c>
      <c r="AS51" s="1">
        <v>5.0</v>
      </c>
      <c r="AT51" s="1" t="s">
        <v>78</v>
      </c>
      <c r="AU51" s="3">
        <f>Setup!BY13</f>
        <v>5</v>
      </c>
      <c r="AV51" s="10"/>
      <c r="AW51" s="10"/>
      <c r="AX51" s="10"/>
      <c r="AY51" s="42">
        <f>mround(AY50*Setup!CH13,'Quick Setup'!$A$2)</f>
        <v>325</v>
      </c>
      <c r="AZ51" s="3">
        <f>Setup!CI13</f>
        <v>6</v>
      </c>
      <c r="BA51" s="3">
        <f>Setup!CJ13</f>
        <v>12</v>
      </c>
      <c r="BB51" s="3">
        <f>Setup!CK13</f>
        <v>5</v>
      </c>
      <c r="BC51" s="10"/>
      <c r="BD51" s="10"/>
      <c r="BE51" s="10"/>
      <c r="BF51" s="42">
        <f>mround(BF50*Setup!CT13,'Quick Setup'!$A$2)</f>
        <v>350</v>
      </c>
      <c r="BG51" s="3">
        <f>Setup!CU13</f>
        <v>5</v>
      </c>
      <c r="BH51" s="3">
        <f>Setup!CV13</f>
        <v>10</v>
      </c>
      <c r="BI51" s="3">
        <f>Setup!CW13</f>
        <v>5</v>
      </c>
      <c r="BJ51" s="10"/>
      <c r="BK51" s="10"/>
      <c r="BL51" s="10"/>
      <c r="BM51" s="42">
        <f>mround(BM50*Setup!DF13,'Quick Setup'!$A$2)</f>
        <v>375</v>
      </c>
      <c r="BN51" s="3">
        <f>Setup!DG13</f>
        <v>4</v>
      </c>
      <c r="BO51" s="3">
        <f>Setup!DH13</f>
        <v>8</v>
      </c>
      <c r="BP51" s="3">
        <f>Setup!DI13</f>
        <v>5</v>
      </c>
      <c r="BQ51" s="10"/>
      <c r="BR51" s="10"/>
      <c r="BS51" s="10"/>
      <c r="BT51" s="42">
        <f>mround(BT50*Setup!DR13,'Quick Setup'!$A$2)</f>
        <v>337.5</v>
      </c>
      <c r="BU51" s="3">
        <f>Setup!DS13</f>
        <v>6</v>
      </c>
      <c r="BV51" s="3">
        <f>Setup!DT13</f>
        <v>11</v>
      </c>
      <c r="BW51" s="3">
        <f>Setup!DU13</f>
        <v>5</v>
      </c>
      <c r="BX51" s="10"/>
      <c r="BY51" s="10"/>
      <c r="BZ51" s="10"/>
      <c r="CA51" s="42">
        <f>mround(CA50*Setup!ED13,'Quick Setup'!$A$2)</f>
        <v>362.5</v>
      </c>
      <c r="CB51" s="3">
        <f>Setup!EE13</f>
        <v>5</v>
      </c>
      <c r="CC51" s="3">
        <f>Setup!EF13</f>
        <v>9</v>
      </c>
      <c r="CD51" s="3">
        <f>Setup!EG13</f>
        <v>5</v>
      </c>
      <c r="CE51" s="10"/>
      <c r="CF51" s="10"/>
      <c r="CG51" s="10"/>
      <c r="CH51" s="42">
        <f>mround(CH50*Setup!EP13,'Quick Setup'!$A$2)</f>
        <v>387.5</v>
      </c>
      <c r="CI51" s="3">
        <f>Setup!EQ13</f>
        <v>4</v>
      </c>
      <c r="CJ51" s="3">
        <f>Setup!ER13</f>
        <v>7</v>
      </c>
      <c r="CK51" s="3">
        <f>Setup!ES13</f>
        <v>5</v>
      </c>
      <c r="CL51" s="10"/>
      <c r="CM51" s="10"/>
      <c r="CN51" s="10"/>
      <c r="CO51" s="42">
        <f>mround(CO50*Setup!FB13,'Quick Setup'!$A$2)</f>
        <v>250</v>
      </c>
      <c r="CP51" s="1">
        <v>5.0</v>
      </c>
      <c r="CQ51" s="1" t="s">
        <v>78</v>
      </c>
      <c r="CR51" s="3">
        <f>Setup!FE13</f>
        <v>5</v>
      </c>
      <c r="CS51" s="10"/>
      <c r="CT51" s="10"/>
      <c r="CU51" s="10"/>
      <c r="CV51" s="42">
        <f>mround(CV50*Setup!FN13,'Quick Setup'!$A$2)</f>
        <v>350</v>
      </c>
      <c r="CW51" s="3">
        <f>Setup!FO13</f>
        <v>5</v>
      </c>
      <c r="CX51" s="3">
        <f>Setup!FP13</f>
        <v>10</v>
      </c>
      <c r="CY51" s="3">
        <f>Setup!FQ13</f>
        <v>5</v>
      </c>
      <c r="CZ51" s="10"/>
      <c r="DA51" s="10"/>
      <c r="DB51" s="10"/>
      <c r="DC51" s="42">
        <f>mround(DC50*Setup!FZ13,'Quick Setup'!$A$2)</f>
        <v>375</v>
      </c>
      <c r="DD51" s="3">
        <f>Setup!GA13</f>
        <v>4</v>
      </c>
      <c r="DE51" s="3">
        <f>Setup!GB13</f>
        <v>8</v>
      </c>
      <c r="DF51" s="3">
        <f>Setup!GC13</f>
        <v>5</v>
      </c>
      <c r="DG51" s="10"/>
      <c r="DH51" s="10"/>
      <c r="DI51" s="10"/>
      <c r="DJ51" s="42">
        <f>mround(DJ50*Setup!GL13,'Quick Setup'!$A$2)</f>
        <v>400</v>
      </c>
      <c r="DK51" s="3">
        <f>Setup!GM13</f>
        <v>3</v>
      </c>
      <c r="DL51" s="3">
        <f>Setup!GN13</f>
        <v>6</v>
      </c>
      <c r="DM51" s="3">
        <f>Setup!GO13</f>
        <v>5</v>
      </c>
      <c r="DN51" s="10"/>
      <c r="DO51" s="10"/>
      <c r="DP51" s="10"/>
      <c r="DQ51" s="42">
        <f>mround(DQ50*Setup!GX13,'Quick Setup'!$A$2)</f>
        <v>375</v>
      </c>
      <c r="DR51" s="3">
        <f>Setup!GY13</f>
        <v>4</v>
      </c>
      <c r="DS51" s="3">
        <f>Setup!GZ13</f>
        <v>8</v>
      </c>
      <c r="DT51" s="3">
        <f>Setup!HA13</f>
        <v>5</v>
      </c>
      <c r="DU51" s="10"/>
      <c r="DV51" s="10"/>
      <c r="DW51" s="10"/>
      <c r="DX51" s="42">
        <f>mround(DX50*Setup!HJ13,'Quick Setup'!$A$2)</f>
        <v>400</v>
      </c>
      <c r="DY51" s="3">
        <f>Setup!HK13</f>
        <v>3</v>
      </c>
      <c r="DZ51" s="3">
        <f>Setup!HL13</f>
        <v>6</v>
      </c>
      <c r="EA51" s="3">
        <f>Setup!HM13</f>
        <v>5</v>
      </c>
      <c r="EB51" s="10"/>
      <c r="EC51" s="10"/>
      <c r="ED51" s="10"/>
      <c r="EE51" s="42">
        <f>mround(EE50*Setup!HV13,'Quick Setup'!$A$2)</f>
        <v>425</v>
      </c>
      <c r="EF51" s="3">
        <f>Setup!HW13</f>
        <v>2</v>
      </c>
      <c r="EG51" s="3">
        <f>Setup!HX13</f>
        <v>4</v>
      </c>
      <c r="EH51" s="3">
        <f>Setup!HY13</f>
        <v>5</v>
      </c>
      <c r="EI51" s="10"/>
      <c r="EJ51" s="10"/>
      <c r="EK51" s="10"/>
      <c r="EL51" s="42">
        <f>mround(EL50*Setup!IH13,'Quick Setup'!$A$2)</f>
        <v>250</v>
      </c>
      <c r="EM51" s="1">
        <v>5.0</v>
      </c>
      <c r="EN51" s="1" t="s">
        <v>78</v>
      </c>
      <c r="EO51" s="3">
        <f>Setup!IK13</f>
        <v>5</v>
      </c>
      <c r="EP51" s="10"/>
      <c r="EQ51" s="10"/>
      <c r="ER51" s="10"/>
    </row>
    <row r="52">
      <c r="A52" s="5"/>
      <c r="B52" s="43"/>
      <c r="C52" s="10"/>
      <c r="D52" s="10"/>
      <c r="E52" s="10"/>
      <c r="F52" s="10"/>
      <c r="G52" s="10"/>
      <c r="H52" s="10"/>
      <c r="I52" s="43" t="str">
        <f t="shared" ref="I52:M52" si="321">B52</f>
        <v/>
      </c>
      <c r="J52" s="10" t="str">
        <f t="shared" si="321"/>
        <v/>
      </c>
      <c r="K52" s="10" t="str">
        <f t="shared" si="321"/>
        <v/>
      </c>
      <c r="L52" s="10" t="str">
        <f t="shared" si="321"/>
        <v/>
      </c>
      <c r="M52" s="10" t="str">
        <f t="shared" si="321"/>
        <v/>
      </c>
      <c r="N52" s="10"/>
      <c r="O52" s="10"/>
      <c r="P52" s="43" t="str">
        <f t="shared" ref="P52:T52" si="322">I52</f>
        <v/>
      </c>
      <c r="Q52" s="10" t="str">
        <f t="shared" si="322"/>
        <v/>
      </c>
      <c r="R52" s="10" t="str">
        <f t="shared" si="322"/>
        <v/>
      </c>
      <c r="S52" s="10" t="str">
        <f t="shared" si="322"/>
        <v/>
      </c>
      <c r="T52" s="10" t="str">
        <f t="shared" si="322"/>
        <v/>
      </c>
      <c r="U52" s="10"/>
      <c r="V52" s="10"/>
      <c r="W52" s="43" t="str">
        <f t="shared" ref="W52:AA52" si="323">P52</f>
        <v/>
      </c>
      <c r="X52" s="10" t="str">
        <f t="shared" si="323"/>
        <v/>
      </c>
      <c r="Y52" s="10" t="str">
        <f t="shared" si="323"/>
        <v/>
      </c>
      <c r="Z52" s="10" t="str">
        <f t="shared" si="323"/>
        <v/>
      </c>
      <c r="AA52" s="10" t="str">
        <f t="shared" si="323"/>
        <v/>
      </c>
      <c r="AB52" s="10"/>
      <c r="AC52" s="10"/>
      <c r="AD52" s="43" t="str">
        <f t="shared" ref="AD52:AH52" si="324">W52</f>
        <v/>
      </c>
      <c r="AE52" s="10" t="str">
        <f t="shared" si="324"/>
        <v/>
      </c>
      <c r="AF52" s="10" t="str">
        <f t="shared" si="324"/>
        <v/>
      </c>
      <c r="AG52" s="10" t="str">
        <f t="shared" si="324"/>
        <v/>
      </c>
      <c r="AH52" s="10" t="str">
        <f t="shared" si="324"/>
        <v/>
      </c>
      <c r="AI52" s="10"/>
      <c r="AJ52" s="10"/>
      <c r="AK52" s="43" t="str">
        <f t="shared" ref="AK52:AO52" si="325">AD52</f>
        <v/>
      </c>
      <c r="AL52" s="10" t="str">
        <f t="shared" si="325"/>
        <v/>
      </c>
      <c r="AM52" s="10" t="str">
        <f t="shared" si="325"/>
        <v/>
      </c>
      <c r="AN52" s="10" t="str">
        <f t="shared" si="325"/>
        <v/>
      </c>
      <c r="AO52" s="10" t="str">
        <f t="shared" si="325"/>
        <v/>
      </c>
      <c r="AP52" s="10"/>
      <c r="AQ52" s="10"/>
      <c r="AR52" s="43" t="str">
        <f t="shared" ref="AR52:AV52" si="326">AK52</f>
        <v/>
      </c>
      <c r="AS52" s="10" t="str">
        <f t="shared" si="326"/>
        <v/>
      </c>
      <c r="AT52" s="10" t="str">
        <f t="shared" si="326"/>
        <v/>
      </c>
      <c r="AU52" s="10" t="str">
        <f t="shared" si="326"/>
        <v/>
      </c>
      <c r="AV52" s="10" t="str">
        <f t="shared" si="326"/>
        <v/>
      </c>
      <c r="AW52" s="10"/>
      <c r="AX52" s="10"/>
      <c r="AY52" s="43" t="str">
        <f t="shared" ref="AY52:BC52" si="327">AR52</f>
        <v/>
      </c>
      <c r="AZ52" s="10" t="str">
        <f t="shared" si="327"/>
        <v/>
      </c>
      <c r="BA52" s="10" t="str">
        <f t="shared" si="327"/>
        <v/>
      </c>
      <c r="BB52" s="10" t="str">
        <f t="shared" si="327"/>
        <v/>
      </c>
      <c r="BC52" s="10" t="str">
        <f t="shared" si="327"/>
        <v/>
      </c>
      <c r="BD52" s="10"/>
      <c r="BE52" s="10"/>
      <c r="BF52" s="43" t="str">
        <f t="shared" ref="BF52:BJ52" si="328">AY52</f>
        <v/>
      </c>
      <c r="BG52" s="10" t="str">
        <f t="shared" si="328"/>
        <v/>
      </c>
      <c r="BH52" s="10" t="str">
        <f t="shared" si="328"/>
        <v/>
      </c>
      <c r="BI52" s="10" t="str">
        <f t="shared" si="328"/>
        <v/>
      </c>
      <c r="BJ52" s="10" t="str">
        <f t="shared" si="328"/>
        <v/>
      </c>
      <c r="BK52" s="10"/>
      <c r="BL52" s="10"/>
      <c r="BM52" s="43" t="str">
        <f t="shared" ref="BM52:BQ52" si="329">BF52</f>
        <v/>
      </c>
      <c r="BN52" s="10" t="str">
        <f t="shared" si="329"/>
        <v/>
      </c>
      <c r="BO52" s="10" t="str">
        <f t="shared" si="329"/>
        <v/>
      </c>
      <c r="BP52" s="10" t="str">
        <f t="shared" si="329"/>
        <v/>
      </c>
      <c r="BQ52" s="10" t="str">
        <f t="shared" si="329"/>
        <v/>
      </c>
      <c r="BR52" s="10"/>
      <c r="BS52" s="10"/>
      <c r="BT52" s="43" t="str">
        <f t="shared" ref="BT52:BX52" si="330">BM52</f>
        <v/>
      </c>
      <c r="BU52" s="10" t="str">
        <f t="shared" si="330"/>
        <v/>
      </c>
      <c r="BV52" s="10" t="str">
        <f t="shared" si="330"/>
        <v/>
      </c>
      <c r="BW52" s="10" t="str">
        <f t="shared" si="330"/>
        <v/>
      </c>
      <c r="BX52" s="10" t="str">
        <f t="shared" si="330"/>
        <v/>
      </c>
      <c r="BY52" s="10"/>
      <c r="BZ52" s="10"/>
      <c r="CA52" s="43" t="str">
        <f t="shared" ref="CA52:CE52" si="331">BT52</f>
        <v/>
      </c>
      <c r="CB52" s="10" t="str">
        <f t="shared" si="331"/>
        <v/>
      </c>
      <c r="CC52" s="10" t="str">
        <f t="shared" si="331"/>
        <v/>
      </c>
      <c r="CD52" s="10" t="str">
        <f t="shared" si="331"/>
        <v/>
      </c>
      <c r="CE52" s="10" t="str">
        <f t="shared" si="331"/>
        <v/>
      </c>
      <c r="CF52" s="10"/>
      <c r="CG52" s="10"/>
      <c r="CH52" s="43" t="str">
        <f t="shared" ref="CH52:CL52" si="332">CA52</f>
        <v/>
      </c>
      <c r="CI52" s="10" t="str">
        <f t="shared" si="332"/>
        <v/>
      </c>
      <c r="CJ52" s="10" t="str">
        <f t="shared" si="332"/>
        <v/>
      </c>
      <c r="CK52" s="10" t="str">
        <f t="shared" si="332"/>
        <v/>
      </c>
      <c r="CL52" s="10" t="str">
        <f t="shared" si="332"/>
        <v/>
      </c>
      <c r="CM52" s="10"/>
      <c r="CN52" s="10"/>
      <c r="CO52" s="43" t="str">
        <f t="shared" ref="CO52:CS52" si="333">CH52</f>
        <v/>
      </c>
      <c r="CP52" s="10" t="str">
        <f t="shared" si="333"/>
        <v/>
      </c>
      <c r="CQ52" s="10" t="str">
        <f t="shared" si="333"/>
        <v/>
      </c>
      <c r="CR52" s="10" t="str">
        <f t="shared" si="333"/>
        <v/>
      </c>
      <c r="CS52" s="10" t="str">
        <f t="shared" si="333"/>
        <v/>
      </c>
      <c r="CT52" s="10"/>
      <c r="CU52" s="10"/>
      <c r="CV52" s="43" t="str">
        <f t="shared" ref="CV52:CZ52" si="334">CO52</f>
        <v/>
      </c>
      <c r="CW52" s="10" t="str">
        <f t="shared" si="334"/>
        <v/>
      </c>
      <c r="CX52" s="10" t="str">
        <f t="shared" si="334"/>
        <v/>
      </c>
      <c r="CY52" s="10" t="str">
        <f t="shared" si="334"/>
        <v/>
      </c>
      <c r="CZ52" s="10" t="str">
        <f t="shared" si="334"/>
        <v/>
      </c>
      <c r="DA52" s="10"/>
      <c r="DB52" s="10"/>
      <c r="DC52" s="43" t="str">
        <f t="shared" ref="DC52:DG52" si="335">CV52</f>
        <v/>
      </c>
      <c r="DD52" s="10" t="str">
        <f t="shared" si="335"/>
        <v/>
      </c>
      <c r="DE52" s="10" t="str">
        <f t="shared" si="335"/>
        <v/>
      </c>
      <c r="DF52" s="10" t="str">
        <f t="shared" si="335"/>
        <v/>
      </c>
      <c r="DG52" s="10" t="str">
        <f t="shared" si="335"/>
        <v/>
      </c>
      <c r="DH52" s="10"/>
      <c r="DI52" s="10"/>
      <c r="DJ52" s="43" t="str">
        <f t="shared" ref="DJ52:DN52" si="336">DC52</f>
        <v/>
      </c>
      <c r="DK52" s="10" t="str">
        <f t="shared" si="336"/>
        <v/>
      </c>
      <c r="DL52" s="10" t="str">
        <f t="shared" si="336"/>
        <v/>
      </c>
      <c r="DM52" s="10" t="str">
        <f t="shared" si="336"/>
        <v/>
      </c>
      <c r="DN52" s="10" t="str">
        <f t="shared" si="336"/>
        <v/>
      </c>
      <c r="DO52" s="10"/>
      <c r="DP52" s="10"/>
      <c r="DQ52" s="43" t="str">
        <f t="shared" ref="DQ52:DU52" si="337">DJ52</f>
        <v/>
      </c>
      <c r="DR52" s="10" t="str">
        <f t="shared" si="337"/>
        <v/>
      </c>
      <c r="DS52" s="10" t="str">
        <f t="shared" si="337"/>
        <v/>
      </c>
      <c r="DT52" s="10" t="str">
        <f t="shared" si="337"/>
        <v/>
      </c>
      <c r="DU52" s="10" t="str">
        <f t="shared" si="337"/>
        <v/>
      </c>
      <c r="DV52" s="10"/>
      <c r="DW52" s="10"/>
      <c r="DX52" s="43" t="str">
        <f t="shared" ref="DX52:EB52" si="338">DQ52</f>
        <v/>
      </c>
      <c r="DY52" s="10" t="str">
        <f t="shared" si="338"/>
        <v/>
      </c>
      <c r="DZ52" s="10" t="str">
        <f t="shared" si="338"/>
        <v/>
      </c>
      <c r="EA52" s="10" t="str">
        <f t="shared" si="338"/>
        <v/>
      </c>
      <c r="EB52" s="10" t="str">
        <f t="shared" si="338"/>
        <v/>
      </c>
      <c r="EC52" s="10"/>
      <c r="ED52" s="10"/>
      <c r="EE52" s="43" t="str">
        <f t="shared" ref="EE52:EI52" si="339">DX52</f>
        <v/>
      </c>
      <c r="EF52" s="10" t="str">
        <f t="shared" si="339"/>
        <v/>
      </c>
      <c r="EG52" s="10" t="str">
        <f t="shared" si="339"/>
        <v/>
      </c>
      <c r="EH52" s="10" t="str">
        <f t="shared" si="339"/>
        <v/>
      </c>
      <c r="EI52" s="10" t="str">
        <f t="shared" si="339"/>
        <v/>
      </c>
      <c r="EJ52" s="10"/>
      <c r="EK52" s="10"/>
      <c r="EL52" s="43" t="str">
        <f t="shared" ref="EL52:EP52" si="340">EE52</f>
        <v/>
      </c>
      <c r="EM52" s="10" t="str">
        <f t="shared" si="340"/>
        <v/>
      </c>
      <c r="EN52" s="10" t="str">
        <f t="shared" si="340"/>
        <v/>
      </c>
      <c r="EO52" s="10" t="str">
        <f t="shared" si="340"/>
        <v/>
      </c>
      <c r="EP52" s="10" t="str">
        <f t="shared" si="340"/>
        <v/>
      </c>
      <c r="EQ52" s="10"/>
      <c r="ER52" s="10"/>
    </row>
    <row r="53">
      <c r="A53" s="1" t="s">
        <v>79</v>
      </c>
      <c r="B53" s="42"/>
      <c r="C53" s="3"/>
      <c r="D53" s="3"/>
      <c r="E53" s="3"/>
      <c r="F53" s="3"/>
      <c r="G53" s="3"/>
      <c r="H53" s="3"/>
      <c r="I53" s="42"/>
      <c r="J53" s="3"/>
      <c r="K53" s="3"/>
      <c r="L53" s="3"/>
      <c r="M53" s="3"/>
      <c r="N53" s="3"/>
      <c r="O53" s="3"/>
      <c r="P53" s="42"/>
      <c r="Q53" s="3"/>
      <c r="R53" s="3"/>
      <c r="S53" s="3"/>
      <c r="T53" s="3"/>
      <c r="U53" s="3"/>
      <c r="V53" s="3"/>
      <c r="W53" s="42"/>
      <c r="X53" s="3"/>
      <c r="Y53" s="3"/>
      <c r="Z53" s="3"/>
      <c r="AA53" s="3"/>
      <c r="AB53" s="3"/>
      <c r="AC53" s="3"/>
      <c r="AD53" s="42"/>
      <c r="AE53" s="3"/>
      <c r="AF53" s="3"/>
      <c r="AG53" s="3"/>
      <c r="AH53" s="3"/>
      <c r="AI53" s="3"/>
      <c r="AJ53" s="3"/>
      <c r="AK53" s="42"/>
      <c r="AL53" s="3"/>
      <c r="AM53" s="3"/>
      <c r="AN53" s="3"/>
      <c r="AO53" s="3"/>
      <c r="AP53" s="3"/>
      <c r="AQ53" s="3"/>
      <c r="AR53" s="42"/>
      <c r="AS53" s="3"/>
      <c r="AT53" s="3"/>
      <c r="AU53" s="3"/>
      <c r="AV53" s="3"/>
      <c r="AW53" s="3"/>
      <c r="AX53" s="3"/>
      <c r="AY53" s="42"/>
      <c r="AZ53" s="3"/>
      <c r="BA53" s="3"/>
      <c r="BB53" s="3"/>
      <c r="BC53" s="3"/>
      <c r="BD53" s="3"/>
      <c r="BE53" s="3"/>
      <c r="BF53" s="42"/>
      <c r="BG53" s="3"/>
      <c r="BH53" s="3"/>
      <c r="BI53" s="3"/>
      <c r="BJ53" s="3"/>
      <c r="BK53" s="3"/>
      <c r="BL53" s="3"/>
      <c r="BM53" s="42"/>
      <c r="BN53" s="3"/>
      <c r="BO53" s="3"/>
      <c r="BP53" s="3"/>
      <c r="BQ53" s="3"/>
      <c r="BR53" s="3"/>
      <c r="BS53" s="3"/>
      <c r="BT53" s="42"/>
      <c r="BU53" s="3"/>
      <c r="BV53" s="3"/>
      <c r="BW53" s="3"/>
      <c r="BX53" s="3"/>
      <c r="BY53" s="3"/>
      <c r="BZ53" s="3"/>
      <c r="CA53" s="42"/>
      <c r="CB53" s="3"/>
      <c r="CC53" s="3"/>
      <c r="CD53" s="3"/>
      <c r="CE53" s="3"/>
      <c r="CF53" s="3"/>
      <c r="CG53" s="3"/>
      <c r="CH53" s="42"/>
      <c r="CI53" s="3"/>
      <c r="CJ53" s="3"/>
      <c r="CK53" s="3"/>
      <c r="CL53" s="3"/>
      <c r="CM53" s="3"/>
      <c r="CN53" s="3"/>
      <c r="CO53" s="42"/>
      <c r="CP53" s="3"/>
      <c r="CQ53" s="3"/>
      <c r="CR53" s="3"/>
      <c r="CS53" s="3"/>
      <c r="CT53" s="3"/>
      <c r="CU53" s="3"/>
      <c r="CV53" s="42"/>
      <c r="CW53" s="3"/>
      <c r="CX53" s="3"/>
      <c r="CY53" s="3"/>
      <c r="CZ53" s="3"/>
      <c r="DA53" s="3"/>
      <c r="DB53" s="3"/>
      <c r="DC53" s="42"/>
      <c r="DD53" s="3"/>
      <c r="DE53" s="3"/>
      <c r="DF53" s="3"/>
      <c r="DG53" s="3"/>
      <c r="DH53" s="3"/>
      <c r="DI53" s="3"/>
      <c r="DJ53" s="42"/>
      <c r="DK53" s="3"/>
      <c r="DL53" s="3"/>
      <c r="DM53" s="3"/>
      <c r="DN53" s="3"/>
      <c r="DO53" s="3"/>
      <c r="DP53" s="3"/>
      <c r="DQ53" s="42"/>
      <c r="DR53" s="3"/>
      <c r="DS53" s="3"/>
      <c r="DT53" s="3"/>
      <c r="DU53" s="3"/>
      <c r="DV53" s="3"/>
      <c r="DW53" s="3"/>
      <c r="DX53" s="42"/>
      <c r="DY53" s="3"/>
      <c r="DZ53" s="3"/>
      <c r="EA53" s="3"/>
      <c r="EB53" s="3"/>
      <c r="EC53" s="3"/>
      <c r="ED53" s="3"/>
      <c r="EE53" s="42"/>
      <c r="EF53" s="3"/>
      <c r="EG53" s="3"/>
      <c r="EH53" s="3"/>
      <c r="EI53" s="3"/>
      <c r="EJ53" s="3"/>
      <c r="EK53" s="3"/>
      <c r="EL53" s="42"/>
      <c r="EM53" s="3"/>
      <c r="EN53" s="3"/>
      <c r="EO53" s="3"/>
      <c r="EP53" s="3"/>
      <c r="EQ53" s="3"/>
      <c r="ER53" s="3"/>
    </row>
    <row r="54">
      <c r="A54" s="44"/>
      <c r="B54" s="43"/>
      <c r="C54" s="10"/>
      <c r="D54" s="10"/>
      <c r="E54" s="10"/>
      <c r="F54" s="10"/>
      <c r="G54" s="10"/>
      <c r="H54" s="10"/>
      <c r="I54" s="43" t="str">
        <f t="shared" ref="I54:M54" si="341">B54</f>
        <v/>
      </c>
      <c r="J54" s="10" t="str">
        <f t="shared" si="341"/>
        <v/>
      </c>
      <c r="K54" s="10" t="str">
        <f t="shared" si="341"/>
        <v/>
      </c>
      <c r="L54" s="10" t="str">
        <f t="shared" si="341"/>
        <v/>
      </c>
      <c r="M54" s="10" t="str">
        <f t="shared" si="341"/>
        <v/>
      </c>
      <c r="N54" s="10"/>
      <c r="O54" s="10"/>
      <c r="P54" s="43" t="str">
        <f t="shared" ref="P54:T54" si="342">I54</f>
        <v/>
      </c>
      <c r="Q54" s="10" t="str">
        <f t="shared" si="342"/>
        <v/>
      </c>
      <c r="R54" s="10" t="str">
        <f t="shared" si="342"/>
        <v/>
      </c>
      <c r="S54" s="10" t="str">
        <f t="shared" si="342"/>
        <v/>
      </c>
      <c r="T54" s="10" t="str">
        <f t="shared" si="342"/>
        <v/>
      </c>
      <c r="U54" s="10"/>
      <c r="V54" s="10"/>
      <c r="W54" s="43" t="str">
        <f t="shared" ref="W54:AA54" si="343">P54</f>
        <v/>
      </c>
      <c r="X54" s="10" t="str">
        <f t="shared" si="343"/>
        <v/>
      </c>
      <c r="Y54" s="10" t="str">
        <f t="shared" si="343"/>
        <v/>
      </c>
      <c r="Z54" s="10" t="str">
        <f t="shared" si="343"/>
        <v/>
      </c>
      <c r="AA54" s="10" t="str">
        <f t="shared" si="343"/>
        <v/>
      </c>
      <c r="AB54" s="10"/>
      <c r="AC54" s="10"/>
      <c r="AD54" s="43" t="str">
        <f t="shared" ref="AD54:AH54" si="344">W54</f>
        <v/>
      </c>
      <c r="AE54" s="10" t="str">
        <f t="shared" si="344"/>
        <v/>
      </c>
      <c r="AF54" s="10" t="str">
        <f t="shared" si="344"/>
        <v/>
      </c>
      <c r="AG54" s="10" t="str">
        <f t="shared" si="344"/>
        <v/>
      </c>
      <c r="AH54" s="10" t="str">
        <f t="shared" si="344"/>
        <v/>
      </c>
      <c r="AI54" s="10"/>
      <c r="AJ54" s="10"/>
      <c r="AK54" s="43" t="str">
        <f t="shared" ref="AK54:AO54" si="345">AD54</f>
        <v/>
      </c>
      <c r="AL54" s="10" t="str">
        <f t="shared" si="345"/>
        <v/>
      </c>
      <c r="AM54" s="10" t="str">
        <f t="shared" si="345"/>
        <v/>
      </c>
      <c r="AN54" s="10" t="str">
        <f t="shared" si="345"/>
        <v/>
      </c>
      <c r="AO54" s="10" t="str">
        <f t="shared" si="345"/>
        <v/>
      </c>
      <c r="AP54" s="10"/>
      <c r="AQ54" s="10"/>
      <c r="AR54" s="43" t="str">
        <f t="shared" ref="AR54:AV54" si="346">AK54</f>
        <v/>
      </c>
      <c r="AS54" s="10" t="str">
        <f t="shared" si="346"/>
        <v/>
      </c>
      <c r="AT54" s="10" t="str">
        <f t="shared" si="346"/>
        <v/>
      </c>
      <c r="AU54" s="10" t="str">
        <f t="shared" si="346"/>
        <v/>
      </c>
      <c r="AV54" s="10" t="str">
        <f t="shared" si="346"/>
        <v/>
      </c>
      <c r="AW54" s="10"/>
      <c r="AX54" s="10"/>
      <c r="AY54" s="43" t="str">
        <f t="shared" ref="AY54:BC54" si="347">AR54</f>
        <v/>
      </c>
      <c r="AZ54" s="10" t="str">
        <f t="shared" si="347"/>
        <v/>
      </c>
      <c r="BA54" s="10" t="str">
        <f t="shared" si="347"/>
        <v/>
      </c>
      <c r="BB54" s="10" t="str">
        <f t="shared" si="347"/>
        <v/>
      </c>
      <c r="BC54" s="10" t="str">
        <f t="shared" si="347"/>
        <v/>
      </c>
      <c r="BD54" s="10"/>
      <c r="BE54" s="10"/>
      <c r="BF54" s="43" t="str">
        <f t="shared" ref="BF54:BJ54" si="348">AY54</f>
        <v/>
      </c>
      <c r="BG54" s="10" t="str">
        <f t="shared" si="348"/>
        <v/>
      </c>
      <c r="BH54" s="10" t="str">
        <f t="shared" si="348"/>
        <v/>
      </c>
      <c r="BI54" s="10" t="str">
        <f t="shared" si="348"/>
        <v/>
      </c>
      <c r="BJ54" s="10" t="str">
        <f t="shared" si="348"/>
        <v/>
      </c>
      <c r="BK54" s="10"/>
      <c r="BL54" s="10"/>
      <c r="BM54" s="43" t="str">
        <f t="shared" ref="BM54:BQ54" si="349">BF54</f>
        <v/>
      </c>
      <c r="BN54" s="10" t="str">
        <f t="shared" si="349"/>
        <v/>
      </c>
      <c r="BO54" s="10" t="str">
        <f t="shared" si="349"/>
        <v/>
      </c>
      <c r="BP54" s="10" t="str">
        <f t="shared" si="349"/>
        <v/>
      </c>
      <c r="BQ54" s="10" t="str">
        <f t="shared" si="349"/>
        <v/>
      </c>
      <c r="BR54" s="10"/>
      <c r="BS54" s="10"/>
      <c r="BT54" s="43" t="str">
        <f t="shared" ref="BT54:BX54" si="350">BM54</f>
        <v/>
      </c>
      <c r="BU54" s="10" t="str">
        <f t="shared" si="350"/>
        <v/>
      </c>
      <c r="BV54" s="10" t="str">
        <f t="shared" si="350"/>
        <v/>
      </c>
      <c r="BW54" s="10" t="str">
        <f t="shared" si="350"/>
        <v/>
      </c>
      <c r="BX54" s="10" t="str">
        <f t="shared" si="350"/>
        <v/>
      </c>
      <c r="BY54" s="10"/>
      <c r="BZ54" s="10"/>
      <c r="CA54" s="43" t="str">
        <f t="shared" ref="CA54:CE54" si="351">BT54</f>
        <v/>
      </c>
      <c r="CB54" s="10" t="str">
        <f t="shared" si="351"/>
        <v/>
      </c>
      <c r="CC54" s="10" t="str">
        <f t="shared" si="351"/>
        <v/>
      </c>
      <c r="CD54" s="10" t="str">
        <f t="shared" si="351"/>
        <v/>
      </c>
      <c r="CE54" s="10" t="str">
        <f t="shared" si="351"/>
        <v/>
      </c>
      <c r="CF54" s="10"/>
      <c r="CG54" s="10"/>
      <c r="CH54" s="43" t="str">
        <f t="shared" ref="CH54:CL54" si="352">CA54</f>
        <v/>
      </c>
      <c r="CI54" s="10" t="str">
        <f t="shared" si="352"/>
        <v/>
      </c>
      <c r="CJ54" s="10" t="str">
        <f t="shared" si="352"/>
        <v/>
      </c>
      <c r="CK54" s="10" t="str">
        <f t="shared" si="352"/>
        <v/>
      </c>
      <c r="CL54" s="10" t="str">
        <f t="shared" si="352"/>
        <v/>
      </c>
      <c r="CM54" s="10"/>
      <c r="CN54" s="10"/>
      <c r="CO54" s="43" t="str">
        <f t="shared" ref="CO54:CS54" si="353">CH54</f>
        <v/>
      </c>
      <c r="CP54" s="10" t="str">
        <f t="shared" si="353"/>
        <v/>
      </c>
      <c r="CQ54" s="10" t="str">
        <f t="shared" si="353"/>
        <v/>
      </c>
      <c r="CR54" s="10" t="str">
        <f t="shared" si="353"/>
        <v/>
      </c>
      <c r="CS54" s="10" t="str">
        <f t="shared" si="353"/>
        <v/>
      </c>
      <c r="CT54" s="10"/>
      <c r="CU54" s="10"/>
      <c r="CV54" s="43" t="str">
        <f t="shared" ref="CV54:CZ54" si="354">CO54</f>
        <v/>
      </c>
      <c r="CW54" s="10" t="str">
        <f t="shared" si="354"/>
        <v/>
      </c>
      <c r="CX54" s="10" t="str">
        <f t="shared" si="354"/>
        <v/>
      </c>
      <c r="CY54" s="10" t="str">
        <f t="shared" si="354"/>
        <v/>
      </c>
      <c r="CZ54" s="10" t="str">
        <f t="shared" si="354"/>
        <v/>
      </c>
      <c r="DA54" s="10"/>
      <c r="DB54" s="10"/>
      <c r="DC54" s="43" t="str">
        <f t="shared" ref="DC54:DG54" si="355">CV54</f>
        <v/>
      </c>
      <c r="DD54" s="10" t="str">
        <f t="shared" si="355"/>
        <v/>
      </c>
      <c r="DE54" s="10" t="str">
        <f t="shared" si="355"/>
        <v/>
      </c>
      <c r="DF54" s="10" t="str">
        <f t="shared" si="355"/>
        <v/>
      </c>
      <c r="DG54" s="10" t="str">
        <f t="shared" si="355"/>
        <v/>
      </c>
      <c r="DH54" s="10"/>
      <c r="DI54" s="10"/>
      <c r="DJ54" s="43" t="str">
        <f t="shared" ref="DJ54:DN54" si="356">DC54</f>
        <v/>
      </c>
      <c r="DK54" s="10" t="str">
        <f t="shared" si="356"/>
        <v/>
      </c>
      <c r="DL54" s="10" t="str">
        <f t="shared" si="356"/>
        <v/>
      </c>
      <c r="DM54" s="10" t="str">
        <f t="shared" si="356"/>
        <v/>
      </c>
      <c r="DN54" s="10" t="str">
        <f t="shared" si="356"/>
        <v/>
      </c>
      <c r="DO54" s="10"/>
      <c r="DP54" s="10"/>
      <c r="DQ54" s="43" t="str">
        <f t="shared" ref="DQ54:DU54" si="357">DJ54</f>
        <v/>
      </c>
      <c r="DR54" s="10" t="str">
        <f t="shared" si="357"/>
        <v/>
      </c>
      <c r="DS54" s="10" t="str">
        <f t="shared" si="357"/>
        <v/>
      </c>
      <c r="DT54" s="10" t="str">
        <f t="shared" si="357"/>
        <v/>
      </c>
      <c r="DU54" s="10" t="str">
        <f t="shared" si="357"/>
        <v/>
      </c>
      <c r="DV54" s="10"/>
      <c r="DW54" s="10"/>
      <c r="DX54" s="43" t="str">
        <f t="shared" ref="DX54:EB54" si="358">DQ54</f>
        <v/>
      </c>
      <c r="DY54" s="10" t="str">
        <f t="shared" si="358"/>
        <v/>
      </c>
      <c r="DZ54" s="10" t="str">
        <f t="shared" si="358"/>
        <v/>
      </c>
      <c r="EA54" s="10" t="str">
        <f t="shared" si="358"/>
        <v/>
      </c>
      <c r="EB54" s="10" t="str">
        <f t="shared" si="358"/>
        <v/>
      </c>
      <c r="EC54" s="10"/>
      <c r="ED54" s="10"/>
      <c r="EE54" s="43" t="str">
        <f t="shared" ref="EE54:EI54" si="359">DX54</f>
        <v/>
      </c>
      <c r="EF54" s="10" t="str">
        <f t="shared" si="359"/>
        <v/>
      </c>
      <c r="EG54" s="10" t="str">
        <f t="shared" si="359"/>
        <v/>
      </c>
      <c r="EH54" s="10" t="str">
        <f t="shared" si="359"/>
        <v/>
      </c>
      <c r="EI54" s="10" t="str">
        <f t="shared" si="359"/>
        <v/>
      </c>
      <c r="EJ54" s="10"/>
      <c r="EK54" s="10"/>
      <c r="EL54" s="43" t="str">
        <f t="shared" ref="EL54:EP54" si="360">EE54</f>
        <v/>
      </c>
      <c r="EM54" s="10" t="str">
        <f t="shared" si="360"/>
        <v/>
      </c>
      <c r="EN54" s="10" t="str">
        <f t="shared" si="360"/>
        <v/>
      </c>
      <c r="EO54" s="10" t="str">
        <f t="shared" si="360"/>
        <v/>
      </c>
      <c r="EP54" s="10" t="str">
        <f t="shared" si="360"/>
        <v/>
      </c>
      <c r="EQ54" s="10"/>
      <c r="ER54" s="10"/>
    </row>
    <row r="55">
      <c r="A55" s="44"/>
      <c r="B55" s="43"/>
      <c r="C55" s="10"/>
      <c r="D55" s="10"/>
      <c r="E55" s="10"/>
      <c r="F55" s="10"/>
      <c r="G55" s="10"/>
      <c r="H55" s="10"/>
      <c r="I55" s="43" t="str">
        <f t="shared" ref="I55:M55" si="361">B55</f>
        <v/>
      </c>
      <c r="J55" s="10" t="str">
        <f t="shared" si="361"/>
        <v/>
      </c>
      <c r="K55" s="10" t="str">
        <f t="shared" si="361"/>
        <v/>
      </c>
      <c r="L55" s="10" t="str">
        <f t="shared" si="361"/>
        <v/>
      </c>
      <c r="M55" s="10" t="str">
        <f t="shared" si="361"/>
        <v/>
      </c>
      <c r="N55" s="10"/>
      <c r="O55" s="10"/>
      <c r="P55" s="43" t="str">
        <f t="shared" ref="P55:T55" si="362">I55</f>
        <v/>
      </c>
      <c r="Q55" s="10" t="str">
        <f t="shared" si="362"/>
        <v/>
      </c>
      <c r="R55" s="10" t="str">
        <f t="shared" si="362"/>
        <v/>
      </c>
      <c r="S55" s="10" t="str">
        <f t="shared" si="362"/>
        <v/>
      </c>
      <c r="T55" s="10" t="str">
        <f t="shared" si="362"/>
        <v/>
      </c>
      <c r="U55" s="10"/>
      <c r="V55" s="10"/>
      <c r="W55" s="43" t="str">
        <f t="shared" ref="W55:AA55" si="363">P55</f>
        <v/>
      </c>
      <c r="X55" s="10" t="str">
        <f t="shared" si="363"/>
        <v/>
      </c>
      <c r="Y55" s="10" t="str">
        <f t="shared" si="363"/>
        <v/>
      </c>
      <c r="Z55" s="10" t="str">
        <f t="shared" si="363"/>
        <v/>
      </c>
      <c r="AA55" s="10" t="str">
        <f t="shared" si="363"/>
        <v/>
      </c>
      <c r="AB55" s="10"/>
      <c r="AC55" s="10"/>
      <c r="AD55" s="43" t="str">
        <f t="shared" ref="AD55:AH55" si="364">W55</f>
        <v/>
      </c>
      <c r="AE55" s="10" t="str">
        <f t="shared" si="364"/>
        <v/>
      </c>
      <c r="AF55" s="10" t="str">
        <f t="shared" si="364"/>
        <v/>
      </c>
      <c r="AG55" s="10" t="str">
        <f t="shared" si="364"/>
        <v/>
      </c>
      <c r="AH55" s="10" t="str">
        <f t="shared" si="364"/>
        <v/>
      </c>
      <c r="AI55" s="10"/>
      <c r="AJ55" s="10"/>
      <c r="AK55" s="43" t="str">
        <f t="shared" ref="AK55:AO55" si="365">AD55</f>
        <v/>
      </c>
      <c r="AL55" s="10" t="str">
        <f t="shared" si="365"/>
        <v/>
      </c>
      <c r="AM55" s="10" t="str">
        <f t="shared" si="365"/>
        <v/>
      </c>
      <c r="AN55" s="10" t="str">
        <f t="shared" si="365"/>
        <v/>
      </c>
      <c r="AO55" s="10" t="str">
        <f t="shared" si="365"/>
        <v/>
      </c>
      <c r="AP55" s="10"/>
      <c r="AQ55" s="10"/>
      <c r="AR55" s="43" t="str">
        <f t="shared" ref="AR55:AV55" si="366">AK55</f>
        <v/>
      </c>
      <c r="AS55" s="10" t="str">
        <f t="shared" si="366"/>
        <v/>
      </c>
      <c r="AT55" s="10" t="str">
        <f t="shared" si="366"/>
        <v/>
      </c>
      <c r="AU55" s="10" t="str">
        <f t="shared" si="366"/>
        <v/>
      </c>
      <c r="AV55" s="10" t="str">
        <f t="shared" si="366"/>
        <v/>
      </c>
      <c r="AW55" s="10"/>
      <c r="AX55" s="10"/>
      <c r="AY55" s="43" t="str">
        <f t="shared" ref="AY55:BC55" si="367">AR55</f>
        <v/>
      </c>
      <c r="AZ55" s="10" t="str">
        <f t="shared" si="367"/>
        <v/>
      </c>
      <c r="BA55" s="10" t="str">
        <f t="shared" si="367"/>
        <v/>
      </c>
      <c r="BB55" s="10" t="str">
        <f t="shared" si="367"/>
        <v/>
      </c>
      <c r="BC55" s="10" t="str">
        <f t="shared" si="367"/>
        <v/>
      </c>
      <c r="BD55" s="10"/>
      <c r="BE55" s="10"/>
      <c r="BF55" s="43" t="str">
        <f t="shared" ref="BF55:BJ55" si="368">AY55</f>
        <v/>
      </c>
      <c r="BG55" s="10" t="str">
        <f t="shared" si="368"/>
        <v/>
      </c>
      <c r="BH55" s="10" t="str">
        <f t="shared" si="368"/>
        <v/>
      </c>
      <c r="BI55" s="10" t="str">
        <f t="shared" si="368"/>
        <v/>
      </c>
      <c r="BJ55" s="10" t="str">
        <f t="shared" si="368"/>
        <v/>
      </c>
      <c r="BK55" s="10"/>
      <c r="BL55" s="10"/>
      <c r="BM55" s="43" t="str">
        <f t="shared" ref="BM55:BQ55" si="369">BF55</f>
        <v/>
      </c>
      <c r="BN55" s="10" t="str">
        <f t="shared" si="369"/>
        <v/>
      </c>
      <c r="BO55" s="10" t="str">
        <f t="shared" si="369"/>
        <v/>
      </c>
      <c r="BP55" s="10" t="str">
        <f t="shared" si="369"/>
        <v/>
      </c>
      <c r="BQ55" s="10" t="str">
        <f t="shared" si="369"/>
        <v/>
      </c>
      <c r="BR55" s="10"/>
      <c r="BS55" s="10"/>
      <c r="BT55" s="43" t="str">
        <f t="shared" ref="BT55:BX55" si="370">BM55</f>
        <v/>
      </c>
      <c r="BU55" s="10" t="str">
        <f t="shared" si="370"/>
        <v/>
      </c>
      <c r="BV55" s="10" t="str">
        <f t="shared" si="370"/>
        <v/>
      </c>
      <c r="BW55" s="10" t="str">
        <f t="shared" si="370"/>
        <v/>
      </c>
      <c r="BX55" s="10" t="str">
        <f t="shared" si="370"/>
        <v/>
      </c>
      <c r="BY55" s="10"/>
      <c r="BZ55" s="10"/>
      <c r="CA55" s="43" t="str">
        <f t="shared" ref="CA55:CE55" si="371">BT55</f>
        <v/>
      </c>
      <c r="CB55" s="10" t="str">
        <f t="shared" si="371"/>
        <v/>
      </c>
      <c r="CC55" s="10" t="str">
        <f t="shared" si="371"/>
        <v/>
      </c>
      <c r="CD55" s="10" t="str">
        <f t="shared" si="371"/>
        <v/>
      </c>
      <c r="CE55" s="10" t="str">
        <f t="shared" si="371"/>
        <v/>
      </c>
      <c r="CF55" s="10"/>
      <c r="CG55" s="10"/>
      <c r="CH55" s="43" t="str">
        <f t="shared" ref="CH55:CL55" si="372">CA55</f>
        <v/>
      </c>
      <c r="CI55" s="10" t="str">
        <f t="shared" si="372"/>
        <v/>
      </c>
      <c r="CJ55" s="10" t="str">
        <f t="shared" si="372"/>
        <v/>
      </c>
      <c r="CK55" s="10" t="str">
        <f t="shared" si="372"/>
        <v/>
      </c>
      <c r="CL55" s="10" t="str">
        <f t="shared" si="372"/>
        <v/>
      </c>
      <c r="CM55" s="10"/>
      <c r="CN55" s="10"/>
      <c r="CO55" s="43" t="str">
        <f t="shared" ref="CO55:CS55" si="373">CH55</f>
        <v/>
      </c>
      <c r="CP55" s="10" t="str">
        <f t="shared" si="373"/>
        <v/>
      </c>
      <c r="CQ55" s="10" t="str">
        <f t="shared" si="373"/>
        <v/>
      </c>
      <c r="CR55" s="10" t="str">
        <f t="shared" si="373"/>
        <v/>
      </c>
      <c r="CS55" s="10" t="str">
        <f t="shared" si="373"/>
        <v/>
      </c>
      <c r="CT55" s="10"/>
      <c r="CU55" s="10"/>
      <c r="CV55" s="43" t="str">
        <f t="shared" ref="CV55:CZ55" si="374">CO55</f>
        <v/>
      </c>
      <c r="CW55" s="10" t="str">
        <f t="shared" si="374"/>
        <v/>
      </c>
      <c r="CX55" s="10" t="str">
        <f t="shared" si="374"/>
        <v/>
      </c>
      <c r="CY55" s="10" t="str">
        <f t="shared" si="374"/>
        <v/>
      </c>
      <c r="CZ55" s="10" t="str">
        <f t="shared" si="374"/>
        <v/>
      </c>
      <c r="DA55" s="10"/>
      <c r="DB55" s="10"/>
      <c r="DC55" s="43" t="str">
        <f t="shared" ref="DC55:DG55" si="375">CV55</f>
        <v/>
      </c>
      <c r="DD55" s="10" t="str">
        <f t="shared" si="375"/>
        <v/>
      </c>
      <c r="DE55" s="10" t="str">
        <f t="shared" si="375"/>
        <v/>
      </c>
      <c r="DF55" s="10" t="str">
        <f t="shared" si="375"/>
        <v/>
      </c>
      <c r="DG55" s="10" t="str">
        <f t="shared" si="375"/>
        <v/>
      </c>
      <c r="DH55" s="10"/>
      <c r="DI55" s="10"/>
      <c r="DJ55" s="43" t="str">
        <f t="shared" ref="DJ55:DN55" si="376">DC55</f>
        <v/>
      </c>
      <c r="DK55" s="10" t="str">
        <f t="shared" si="376"/>
        <v/>
      </c>
      <c r="DL55" s="10" t="str">
        <f t="shared" si="376"/>
        <v/>
      </c>
      <c r="DM55" s="10" t="str">
        <f t="shared" si="376"/>
        <v/>
      </c>
      <c r="DN55" s="10" t="str">
        <f t="shared" si="376"/>
        <v/>
      </c>
      <c r="DO55" s="10"/>
      <c r="DP55" s="10"/>
      <c r="DQ55" s="43" t="str">
        <f t="shared" ref="DQ55:DU55" si="377">DJ55</f>
        <v/>
      </c>
      <c r="DR55" s="10" t="str">
        <f t="shared" si="377"/>
        <v/>
      </c>
      <c r="DS55" s="10" t="str">
        <f t="shared" si="377"/>
        <v/>
      </c>
      <c r="DT55" s="10" t="str">
        <f t="shared" si="377"/>
        <v/>
      </c>
      <c r="DU55" s="10" t="str">
        <f t="shared" si="377"/>
        <v/>
      </c>
      <c r="DV55" s="10"/>
      <c r="DW55" s="10"/>
      <c r="DX55" s="43" t="str">
        <f t="shared" ref="DX55:EB55" si="378">DQ55</f>
        <v/>
      </c>
      <c r="DY55" s="10" t="str">
        <f t="shared" si="378"/>
        <v/>
      </c>
      <c r="DZ55" s="10" t="str">
        <f t="shared" si="378"/>
        <v/>
      </c>
      <c r="EA55" s="10" t="str">
        <f t="shared" si="378"/>
        <v/>
      </c>
      <c r="EB55" s="10" t="str">
        <f t="shared" si="378"/>
        <v/>
      </c>
      <c r="EC55" s="10"/>
      <c r="ED55" s="10"/>
      <c r="EE55" s="43" t="str">
        <f t="shared" ref="EE55:EI55" si="379">DX55</f>
        <v/>
      </c>
      <c r="EF55" s="10" t="str">
        <f t="shared" si="379"/>
        <v/>
      </c>
      <c r="EG55" s="10" t="str">
        <f t="shared" si="379"/>
        <v/>
      </c>
      <c r="EH55" s="10" t="str">
        <f t="shared" si="379"/>
        <v/>
      </c>
      <c r="EI55" s="10" t="str">
        <f t="shared" si="379"/>
        <v/>
      </c>
      <c r="EJ55" s="10"/>
      <c r="EK55" s="10"/>
      <c r="EL55" s="43" t="str">
        <f t="shared" ref="EL55:EP55" si="380">EE55</f>
        <v/>
      </c>
      <c r="EM55" s="10" t="str">
        <f t="shared" si="380"/>
        <v/>
      </c>
      <c r="EN55" s="10" t="str">
        <f t="shared" si="380"/>
        <v/>
      </c>
      <c r="EO55" s="10" t="str">
        <f t="shared" si="380"/>
        <v/>
      </c>
      <c r="EP55" s="10" t="str">
        <f t="shared" si="380"/>
        <v/>
      </c>
      <c r="EQ55" s="10"/>
      <c r="ER55" s="10"/>
    </row>
    <row r="56">
      <c r="A56" s="45"/>
      <c r="B56" s="46"/>
      <c r="C56" s="47"/>
      <c r="D56" s="47"/>
      <c r="E56" s="47"/>
      <c r="F56" s="47"/>
      <c r="G56" s="47"/>
      <c r="H56" s="47"/>
      <c r="I56" s="46" t="str">
        <f t="shared" ref="I56:M56" si="381">B56</f>
        <v/>
      </c>
      <c r="J56" s="47" t="str">
        <f t="shared" si="381"/>
        <v/>
      </c>
      <c r="K56" s="47" t="str">
        <f t="shared" si="381"/>
        <v/>
      </c>
      <c r="L56" s="47" t="str">
        <f t="shared" si="381"/>
        <v/>
      </c>
      <c r="M56" s="47" t="str">
        <f t="shared" si="381"/>
        <v/>
      </c>
      <c r="N56" s="47"/>
      <c r="O56" s="47"/>
      <c r="P56" s="46" t="str">
        <f t="shared" ref="P56:T56" si="382">I56</f>
        <v/>
      </c>
      <c r="Q56" s="47" t="str">
        <f t="shared" si="382"/>
        <v/>
      </c>
      <c r="R56" s="47" t="str">
        <f t="shared" si="382"/>
        <v/>
      </c>
      <c r="S56" s="47" t="str">
        <f t="shared" si="382"/>
        <v/>
      </c>
      <c r="T56" s="47" t="str">
        <f t="shared" si="382"/>
        <v/>
      </c>
      <c r="U56" s="47"/>
      <c r="V56" s="47"/>
      <c r="W56" s="46" t="str">
        <f t="shared" ref="W56:AA56" si="383">P56</f>
        <v/>
      </c>
      <c r="X56" s="47" t="str">
        <f t="shared" si="383"/>
        <v/>
      </c>
      <c r="Y56" s="47" t="str">
        <f t="shared" si="383"/>
        <v/>
      </c>
      <c r="Z56" s="47" t="str">
        <f t="shared" si="383"/>
        <v/>
      </c>
      <c r="AA56" s="47" t="str">
        <f t="shared" si="383"/>
        <v/>
      </c>
      <c r="AB56" s="47"/>
      <c r="AC56" s="47"/>
      <c r="AD56" s="46" t="str">
        <f t="shared" ref="AD56:AH56" si="384">W56</f>
        <v/>
      </c>
      <c r="AE56" s="47" t="str">
        <f t="shared" si="384"/>
        <v/>
      </c>
      <c r="AF56" s="47" t="str">
        <f t="shared" si="384"/>
        <v/>
      </c>
      <c r="AG56" s="47" t="str">
        <f t="shared" si="384"/>
        <v/>
      </c>
      <c r="AH56" s="47" t="str">
        <f t="shared" si="384"/>
        <v/>
      </c>
      <c r="AI56" s="47"/>
      <c r="AJ56" s="47"/>
      <c r="AK56" s="46" t="str">
        <f t="shared" ref="AK56:AO56" si="385">AD56</f>
        <v/>
      </c>
      <c r="AL56" s="47" t="str">
        <f t="shared" si="385"/>
        <v/>
      </c>
      <c r="AM56" s="47" t="str">
        <f t="shared" si="385"/>
        <v/>
      </c>
      <c r="AN56" s="47" t="str">
        <f t="shared" si="385"/>
        <v/>
      </c>
      <c r="AO56" s="47" t="str">
        <f t="shared" si="385"/>
        <v/>
      </c>
      <c r="AP56" s="47"/>
      <c r="AQ56" s="47"/>
      <c r="AR56" s="46" t="str">
        <f t="shared" ref="AR56:AV56" si="386">AK56</f>
        <v/>
      </c>
      <c r="AS56" s="47" t="str">
        <f t="shared" si="386"/>
        <v/>
      </c>
      <c r="AT56" s="47" t="str">
        <f t="shared" si="386"/>
        <v/>
      </c>
      <c r="AU56" s="47" t="str">
        <f t="shared" si="386"/>
        <v/>
      </c>
      <c r="AV56" s="47" t="str">
        <f t="shared" si="386"/>
        <v/>
      </c>
      <c r="AW56" s="47"/>
      <c r="AX56" s="47"/>
      <c r="AY56" s="46" t="str">
        <f t="shared" ref="AY56:BC56" si="387">AR56</f>
        <v/>
      </c>
      <c r="AZ56" s="47" t="str">
        <f t="shared" si="387"/>
        <v/>
      </c>
      <c r="BA56" s="47" t="str">
        <f t="shared" si="387"/>
        <v/>
      </c>
      <c r="BB56" s="47" t="str">
        <f t="shared" si="387"/>
        <v/>
      </c>
      <c r="BC56" s="47" t="str">
        <f t="shared" si="387"/>
        <v/>
      </c>
      <c r="BD56" s="47"/>
      <c r="BE56" s="47"/>
      <c r="BF56" s="46" t="str">
        <f t="shared" ref="BF56:BJ56" si="388">AY56</f>
        <v/>
      </c>
      <c r="BG56" s="47" t="str">
        <f t="shared" si="388"/>
        <v/>
      </c>
      <c r="BH56" s="47" t="str">
        <f t="shared" si="388"/>
        <v/>
      </c>
      <c r="BI56" s="47" t="str">
        <f t="shared" si="388"/>
        <v/>
      </c>
      <c r="BJ56" s="47" t="str">
        <f t="shared" si="388"/>
        <v/>
      </c>
      <c r="BK56" s="47"/>
      <c r="BL56" s="47"/>
      <c r="BM56" s="46" t="str">
        <f t="shared" ref="BM56:BQ56" si="389">BF56</f>
        <v/>
      </c>
      <c r="BN56" s="47" t="str">
        <f t="shared" si="389"/>
        <v/>
      </c>
      <c r="BO56" s="47" t="str">
        <f t="shared" si="389"/>
        <v/>
      </c>
      <c r="BP56" s="47" t="str">
        <f t="shared" si="389"/>
        <v/>
      </c>
      <c r="BQ56" s="47" t="str">
        <f t="shared" si="389"/>
        <v/>
      </c>
      <c r="BR56" s="47"/>
      <c r="BS56" s="47"/>
      <c r="BT56" s="46" t="str">
        <f t="shared" ref="BT56:BX56" si="390">BM56</f>
        <v/>
      </c>
      <c r="BU56" s="47" t="str">
        <f t="shared" si="390"/>
        <v/>
      </c>
      <c r="BV56" s="47" t="str">
        <f t="shared" si="390"/>
        <v/>
      </c>
      <c r="BW56" s="47" t="str">
        <f t="shared" si="390"/>
        <v/>
      </c>
      <c r="BX56" s="47" t="str">
        <f t="shared" si="390"/>
        <v/>
      </c>
      <c r="BY56" s="47"/>
      <c r="BZ56" s="47"/>
      <c r="CA56" s="46" t="str">
        <f t="shared" ref="CA56:CE56" si="391">BT56</f>
        <v/>
      </c>
      <c r="CB56" s="47" t="str">
        <f t="shared" si="391"/>
        <v/>
      </c>
      <c r="CC56" s="47" t="str">
        <f t="shared" si="391"/>
        <v/>
      </c>
      <c r="CD56" s="47" t="str">
        <f t="shared" si="391"/>
        <v/>
      </c>
      <c r="CE56" s="47" t="str">
        <f t="shared" si="391"/>
        <v/>
      </c>
      <c r="CF56" s="47"/>
      <c r="CG56" s="47"/>
      <c r="CH56" s="46" t="str">
        <f t="shared" ref="CH56:CL56" si="392">CA56</f>
        <v/>
      </c>
      <c r="CI56" s="47" t="str">
        <f t="shared" si="392"/>
        <v/>
      </c>
      <c r="CJ56" s="47" t="str">
        <f t="shared" si="392"/>
        <v/>
      </c>
      <c r="CK56" s="47" t="str">
        <f t="shared" si="392"/>
        <v/>
      </c>
      <c r="CL56" s="47" t="str">
        <f t="shared" si="392"/>
        <v/>
      </c>
      <c r="CM56" s="47"/>
      <c r="CN56" s="47"/>
      <c r="CO56" s="46" t="str">
        <f t="shared" ref="CO56:CS56" si="393">CH56</f>
        <v/>
      </c>
      <c r="CP56" s="47" t="str">
        <f t="shared" si="393"/>
        <v/>
      </c>
      <c r="CQ56" s="47" t="str">
        <f t="shared" si="393"/>
        <v/>
      </c>
      <c r="CR56" s="47" t="str">
        <f t="shared" si="393"/>
        <v/>
      </c>
      <c r="CS56" s="47" t="str">
        <f t="shared" si="393"/>
        <v/>
      </c>
      <c r="CT56" s="47"/>
      <c r="CU56" s="47"/>
      <c r="CV56" s="46" t="str">
        <f t="shared" ref="CV56:CZ56" si="394">CO56</f>
        <v/>
      </c>
      <c r="CW56" s="47" t="str">
        <f t="shared" si="394"/>
        <v/>
      </c>
      <c r="CX56" s="47" t="str">
        <f t="shared" si="394"/>
        <v/>
      </c>
      <c r="CY56" s="47" t="str">
        <f t="shared" si="394"/>
        <v/>
      </c>
      <c r="CZ56" s="47" t="str">
        <f t="shared" si="394"/>
        <v/>
      </c>
      <c r="DA56" s="47"/>
      <c r="DB56" s="47"/>
      <c r="DC56" s="46" t="str">
        <f t="shared" ref="DC56:DG56" si="395">CV56</f>
        <v/>
      </c>
      <c r="DD56" s="47" t="str">
        <f t="shared" si="395"/>
        <v/>
      </c>
      <c r="DE56" s="47" t="str">
        <f t="shared" si="395"/>
        <v/>
      </c>
      <c r="DF56" s="47" t="str">
        <f t="shared" si="395"/>
        <v/>
      </c>
      <c r="DG56" s="47" t="str">
        <f t="shared" si="395"/>
        <v/>
      </c>
      <c r="DH56" s="47"/>
      <c r="DI56" s="47"/>
      <c r="DJ56" s="46" t="str">
        <f t="shared" ref="DJ56:DN56" si="396">DC56</f>
        <v/>
      </c>
      <c r="DK56" s="47" t="str">
        <f t="shared" si="396"/>
        <v/>
      </c>
      <c r="DL56" s="47" t="str">
        <f t="shared" si="396"/>
        <v/>
      </c>
      <c r="DM56" s="47" t="str">
        <f t="shared" si="396"/>
        <v/>
      </c>
      <c r="DN56" s="47" t="str">
        <f t="shared" si="396"/>
        <v/>
      </c>
      <c r="DO56" s="47"/>
      <c r="DP56" s="47"/>
      <c r="DQ56" s="46" t="str">
        <f t="shared" ref="DQ56:DU56" si="397">DJ56</f>
        <v/>
      </c>
      <c r="DR56" s="47" t="str">
        <f t="shared" si="397"/>
        <v/>
      </c>
      <c r="DS56" s="47" t="str">
        <f t="shared" si="397"/>
        <v/>
      </c>
      <c r="DT56" s="47" t="str">
        <f t="shared" si="397"/>
        <v/>
      </c>
      <c r="DU56" s="47" t="str">
        <f t="shared" si="397"/>
        <v/>
      </c>
      <c r="DV56" s="47"/>
      <c r="DW56" s="47"/>
      <c r="DX56" s="46" t="str">
        <f t="shared" ref="DX56:EB56" si="398">DQ56</f>
        <v/>
      </c>
      <c r="DY56" s="47" t="str">
        <f t="shared" si="398"/>
        <v/>
      </c>
      <c r="DZ56" s="47" t="str">
        <f t="shared" si="398"/>
        <v/>
      </c>
      <c r="EA56" s="47" t="str">
        <f t="shared" si="398"/>
        <v/>
      </c>
      <c r="EB56" s="47" t="str">
        <f t="shared" si="398"/>
        <v/>
      </c>
      <c r="EC56" s="47"/>
      <c r="ED56" s="47"/>
      <c r="EE56" s="46" t="str">
        <f t="shared" ref="EE56:EI56" si="399">DX56</f>
        <v/>
      </c>
      <c r="EF56" s="47" t="str">
        <f t="shared" si="399"/>
        <v/>
      </c>
      <c r="EG56" s="47" t="str">
        <f t="shared" si="399"/>
        <v/>
      </c>
      <c r="EH56" s="47" t="str">
        <f t="shared" si="399"/>
        <v/>
      </c>
      <c r="EI56" s="47" t="str">
        <f t="shared" si="399"/>
        <v/>
      </c>
      <c r="EJ56" s="47"/>
      <c r="EK56" s="47"/>
      <c r="EL56" s="46" t="str">
        <f t="shared" ref="EL56:EP56" si="400">EE56</f>
        <v/>
      </c>
      <c r="EM56" s="47" t="str">
        <f t="shared" si="400"/>
        <v/>
      </c>
      <c r="EN56" s="47" t="str">
        <f t="shared" si="400"/>
        <v/>
      </c>
      <c r="EO56" s="47" t="str">
        <f t="shared" si="400"/>
        <v/>
      </c>
      <c r="EP56" s="47" t="str">
        <f t="shared" si="400"/>
        <v/>
      </c>
      <c r="EQ56" s="47"/>
      <c r="ER56" s="47"/>
    </row>
  </sheetData>
  <mergeCells count="26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4:EK14"/>
    <mergeCell ref="EE27:EK27"/>
    <mergeCell ref="EE36:EK36"/>
    <mergeCell ref="EE47:EK47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8 A21 A30 A41 A52">
      <formula1>'Quick Setup'!$B$19:$D$26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29" t="s">
        <v>49</v>
      </c>
      <c r="I1" s="29" t="s">
        <v>50</v>
      </c>
      <c r="P1" s="29" t="s">
        <v>51</v>
      </c>
      <c r="W1" s="29" t="s">
        <v>52</v>
      </c>
      <c r="AD1" s="29" t="s">
        <v>53</v>
      </c>
      <c r="AK1" s="29" t="s">
        <v>54</v>
      </c>
      <c r="AR1" s="30" t="s">
        <v>55</v>
      </c>
      <c r="AY1" s="30" t="s">
        <v>56</v>
      </c>
      <c r="BF1" s="30" t="s">
        <v>57</v>
      </c>
      <c r="BM1" s="30" t="s">
        <v>58</v>
      </c>
      <c r="BT1" s="30" t="s">
        <v>59</v>
      </c>
      <c r="CA1" s="30" t="s">
        <v>60</v>
      </c>
      <c r="CH1" s="30" t="s">
        <v>61</v>
      </c>
      <c r="CO1" s="30" t="s">
        <v>62</v>
      </c>
      <c r="CV1" s="29" t="s">
        <v>63</v>
      </c>
      <c r="DC1" s="29" t="s">
        <v>64</v>
      </c>
      <c r="DJ1" s="29" t="s">
        <v>65</v>
      </c>
      <c r="DQ1" s="29" t="s">
        <v>66</v>
      </c>
      <c r="DX1" s="29" t="s">
        <v>67</v>
      </c>
      <c r="EE1" s="29" t="s">
        <v>68</v>
      </c>
      <c r="EL1" s="29" t="s">
        <v>69</v>
      </c>
    </row>
    <row r="2">
      <c r="A2" s="3"/>
      <c r="B2" s="31" t="s">
        <v>70</v>
      </c>
      <c r="C2" s="1" t="s">
        <v>47</v>
      </c>
      <c r="D2" s="1" t="s">
        <v>48</v>
      </c>
      <c r="E2" s="1" t="s">
        <v>71</v>
      </c>
      <c r="F2" s="1" t="s">
        <v>72</v>
      </c>
      <c r="G2" s="1" t="s">
        <v>73</v>
      </c>
      <c r="H2" s="1" t="s">
        <v>74</v>
      </c>
      <c r="I2" s="31" t="s">
        <v>70</v>
      </c>
      <c r="J2" s="1" t="s">
        <v>47</v>
      </c>
      <c r="K2" s="1" t="s">
        <v>48</v>
      </c>
      <c r="L2" s="1" t="s">
        <v>71</v>
      </c>
      <c r="M2" s="1" t="s">
        <v>72</v>
      </c>
      <c r="N2" s="1" t="s">
        <v>73</v>
      </c>
      <c r="O2" s="1" t="s">
        <v>74</v>
      </c>
      <c r="P2" s="31" t="s">
        <v>70</v>
      </c>
      <c r="Q2" s="1" t="s">
        <v>47</v>
      </c>
      <c r="R2" s="1" t="s">
        <v>48</v>
      </c>
      <c r="S2" s="1" t="s">
        <v>71</v>
      </c>
      <c r="T2" s="1" t="s">
        <v>72</v>
      </c>
      <c r="U2" s="1" t="s">
        <v>73</v>
      </c>
      <c r="V2" s="1" t="s">
        <v>74</v>
      </c>
      <c r="W2" s="31" t="s">
        <v>70</v>
      </c>
      <c r="X2" s="1" t="s">
        <v>47</v>
      </c>
      <c r="Y2" s="1" t="s">
        <v>48</v>
      </c>
      <c r="Z2" s="1" t="s">
        <v>71</v>
      </c>
      <c r="AA2" s="1" t="s">
        <v>72</v>
      </c>
      <c r="AB2" s="1" t="s">
        <v>73</v>
      </c>
      <c r="AC2" s="1" t="s">
        <v>74</v>
      </c>
      <c r="AD2" s="31" t="s">
        <v>70</v>
      </c>
      <c r="AE2" s="1" t="s">
        <v>47</v>
      </c>
      <c r="AF2" s="1" t="s">
        <v>48</v>
      </c>
      <c r="AG2" s="1" t="s">
        <v>71</v>
      </c>
      <c r="AH2" s="1" t="s">
        <v>72</v>
      </c>
      <c r="AI2" s="1" t="s">
        <v>73</v>
      </c>
      <c r="AJ2" s="1" t="s">
        <v>74</v>
      </c>
      <c r="AK2" s="31" t="s">
        <v>70</v>
      </c>
      <c r="AL2" s="1" t="s">
        <v>47</v>
      </c>
      <c r="AM2" s="1" t="s">
        <v>48</v>
      </c>
      <c r="AN2" s="1" t="s">
        <v>71</v>
      </c>
      <c r="AO2" s="1" t="s">
        <v>72</v>
      </c>
      <c r="AP2" s="1" t="s">
        <v>73</v>
      </c>
      <c r="AQ2" s="1" t="s">
        <v>74</v>
      </c>
      <c r="AR2" s="31" t="s">
        <v>70</v>
      </c>
      <c r="AS2" s="1" t="s">
        <v>47</v>
      </c>
      <c r="AT2" s="1" t="s">
        <v>48</v>
      </c>
      <c r="AU2" s="1" t="s">
        <v>71</v>
      </c>
      <c r="AV2" s="1" t="s">
        <v>72</v>
      </c>
      <c r="AW2" s="1" t="s">
        <v>73</v>
      </c>
      <c r="AX2" s="1" t="s">
        <v>74</v>
      </c>
      <c r="AY2" s="31" t="s">
        <v>70</v>
      </c>
      <c r="AZ2" s="1" t="s">
        <v>47</v>
      </c>
      <c r="BA2" s="1" t="s">
        <v>48</v>
      </c>
      <c r="BB2" s="1" t="s">
        <v>71</v>
      </c>
      <c r="BC2" s="1" t="s">
        <v>72</v>
      </c>
      <c r="BD2" s="1" t="s">
        <v>73</v>
      </c>
      <c r="BE2" s="1" t="s">
        <v>74</v>
      </c>
      <c r="BF2" s="31" t="s">
        <v>70</v>
      </c>
      <c r="BG2" s="1" t="s">
        <v>47</v>
      </c>
      <c r="BH2" s="1" t="s">
        <v>48</v>
      </c>
      <c r="BI2" s="1" t="s">
        <v>71</v>
      </c>
      <c r="BJ2" s="1" t="s">
        <v>72</v>
      </c>
      <c r="BK2" s="1" t="s">
        <v>73</v>
      </c>
      <c r="BL2" s="1" t="s">
        <v>74</v>
      </c>
      <c r="BM2" s="31" t="s">
        <v>70</v>
      </c>
      <c r="BN2" s="1" t="s">
        <v>47</v>
      </c>
      <c r="BO2" s="1" t="s">
        <v>48</v>
      </c>
      <c r="BP2" s="1" t="s">
        <v>71</v>
      </c>
      <c r="BQ2" s="1" t="s">
        <v>72</v>
      </c>
      <c r="BR2" s="1" t="s">
        <v>73</v>
      </c>
      <c r="BS2" s="1" t="s">
        <v>74</v>
      </c>
      <c r="BT2" s="31" t="s">
        <v>70</v>
      </c>
      <c r="BU2" s="1" t="s">
        <v>47</v>
      </c>
      <c r="BV2" s="1" t="s">
        <v>48</v>
      </c>
      <c r="BW2" s="1" t="s">
        <v>71</v>
      </c>
      <c r="BX2" s="1" t="s">
        <v>72</v>
      </c>
      <c r="BY2" s="1" t="s">
        <v>73</v>
      </c>
      <c r="BZ2" s="1" t="s">
        <v>74</v>
      </c>
      <c r="CA2" s="31" t="s">
        <v>70</v>
      </c>
      <c r="CB2" s="1" t="s">
        <v>47</v>
      </c>
      <c r="CC2" s="1" t="s">
        <v>48</v>
      </c>
      <c r="CD2" s="1" t="s">
        <v>71</v>
      </c>
      <c r="CE2" s="1" t="s">
        <v>72</v>
      </c>
      <c r="CF2" s="1" t="s">
        <v>73</v>
      </c>
      <c r="CG2" s="1" t="s">
        <v>74</v>
      </c>
      <c r="CH2" s="31" t="s">
        <v>70</v>
      </c>
      <c r="CI2" s="1" t="s">
        <v>47</v>
      </c>
      <c r="CJ2" s="1" t="s">
        <v>48</v>
      </c>
      <c r="CK2" s="1" t="s">
        <v>71</v>
      </c>
      <c r="CL2" s="1" t="s">
        <v>72</v>
      </c>
      <c r="CM2" s="1" t="s">
        <v>73</v>
      </c>
      <c r="CN2" s="1" t="s">
        <v>74</v>
      </c>
      <c r="CO2" s="31" t="s">
        <v>70</v>
      </c>
      <c r="CP2" s="1" t="s">
        <v>47</v>
      </c>
      <c r="CQ2" s="1" t="s">
        <v>48</v>
      </c>
      <c r="CR2" s="1" t="s">
        <v>71</v>
      </c>
      <c r="CS2" s="1" t="s">
        <v>72</v>
      </c>
      <c r="CT2" s="1" t="s">
        <v>73</v>
      </c>
      <c r="CU2" s="1" t="s">
        <v>74</v>
      </c>
      <c r="CV2" s="31" t="s">
        <v>70</v>
      </c>
      <c r="CW2" s="1" t="s">
        <v>47</v>
      </c>
      <c r="CX2" s="1" t="s">
        <v>48</v>
      </c>
      <c r="CY2" s="1" t="s">
        <v>71</v>
      </c>
      <c r="CZ2" s="1" t="s">
        <v>72</v>
      </c>
      <c r="DA2" s="1" t="s">
        <v>73</v>
      </c>
      <c r="DB2" s="1" t="s">
        <v>74</v>
      </c>
      <c r="DC2" s="31" t="s">
        <v>70</v>
      </c>
      <c r="DD2" s="1" t="s">
        <v>47</v>
      </c>
      <c r="DE2" s="1" t="s">
        <v>48</v>
      </c>
      <c r="DF2" s="1" t="s">
        <v>71</v>
      </c>
      <c r="DG2" s="1" t="s">
        <v>72</v>
      </c>
      <c r="DH2" s="1" t="s">
        <v>73</v>
      </c>
      <c r="DI2" s="1" t="s">
        <v>74</v>
      </c>
      <c r="DJ2" s="31" t="s">
        <v>70</v>
      </c>
      <c r="DK2" s="1" t="s">
        <v>47</v>
      </c>
      <c r="DL2" s="1" t="s">
        <v>48</v>
      </c>
      <c r="DM2" s="1" t="s">
        <v>71</v>
      </c>
      <c r="DN2" s="1" t="s">
        <v>72</v>
      </c>
      <c r="DO2" s="1" t="s">
        <v>73</v>
      </c>
      <c r="DP2" s="1" t="s">
        <v>74</v>
      </c>
      <c r="DQ2" s="31" t="s">
        <v>70</v>
      </c>
      <c r="DR2" s="1" t="s">
        <v>47</v>
      </c>
      <c r="DS2" s="1" t="s">
        <v>48</v>
      </c>
      <c r="DT2" s="1" t="s">
        <v>71</v>
      </c>
      <c r="DU2" s="1" t="s">
        <v>72</v>
      </c>
      <c r="DV2" s="1" t="s">
        <v>73</v>
      </c>
      <c r="DW2" s="1" t="s">
        <v>74</v>
      </c>
      <c r="DX2" s="31" t="s">
        <v>70</v>
      </c>
      <c r="DY2" s="1" t="s">
        <v>47</v>
      </c>
      <c r="DZ2" s="1" t="s">
        <v>48</v>
      </c>
      <c r="EA2" s="1" t="s">
        <v>71</v>
      </c>
      <c r="EB2" s="1" t="s">
        <v>72</v>
      </c>
      <c r="EC2" s="1" t="s">
        <v>73</v>
      </c>
      <c r="ED2" s="1" t="s">
        <v>74</v>
      </c>
      <c r="EE2" s="31" t="s">
        <v>70</v>
      </c>
      <c r="EF2" s="1" t="s">
        <v>47</v>
      </c>
      <c r="EG2" s="1" t="s">
        <v>48</v>
      </c>
      <c r="EH2" s="1" t="s">
        <v>71</v>
      </c>
      <c r="EI2" s="1" t="s">
        <v>72</v>
      </c>
      <c r="EJ2" s="1" t="s">
        <v>73</v>
      </c>
      <c r="EK2" s="1" t="s">
        <v>74</v>
      </c>
      <c r="EL2" s="31" t="s">
        <v>70</v>
      </c>
      <c r="EM2" s="1" t="s">
        <v>47</v>
      </c>
      <c r="EN2" s="1" t="s">
        <v>48</v>
      </c>
      <c r="EO2" s="1" t="s">
        <v>71</v>
      </c>
      <c r="EP2" s="1" t="s">
        <v>72</v>
      </c>
      <c r="EQ2" s="1" t="s">
        <v>73</v>
      </c>
      <c r="ER2" s="1" t="s">
        <v>74</v>
      </c>
    </row>
    <row r="3">
      <c r="A3" s="32" t="s">
        <v>76</v>
      </c>
      <c r="B3" s="33"/>
      <c r="C3" s="34"/>
      <c r="D3" s="34"/>
      <c r="E3" s="34"/>
      <c r="F3" s="34"/>
      <c r="G3" s="34"/>
      <c r="H3" s="34"/>
      <c r="I3" s="33"/>
      <c r="J3" s="34"/>
      <c r="K3" s="34"/>
      <c r="L3" s="34"/>
      <c r="M3" s="34"/>
      <c r="N3" s="34"/>
      <c r="O3" s="34"/>
      <c r="P3" s="33"/>
      <c r="Q3" s="34"/>
      <c r="R3" s="34"/>
      <c r="S3" s="34"/>
      <c r="T3" s="34"/>
      <c r="U3" s="34"/>
      <c r="V3" s="34"/>
      <c r="W3" s="33"/>
      <c r="X3" s="34"/>
      <c r="Y3" s="34"/>
      <c r="Z3" s="34"/>
      <c r="AA3" s="34"/>
      <c r="AB3" s="34"/>
      <c r="AC3" s="34"/>
      <c r="AD3" s="33"/>
      <c r="AE3" s="34"/>
      <c r="AF3" s="34"/>
      <c r="AG3" s="34"/>
      <c r="AH3" s="34"/>
      <c r="AI3" s="34"/>
      <c r="AJ3" s="34"/>
      <c r="AK3" s="33"/>
      <c r="AL3" s="34"/>
      <c r="AM3" s="34"/>
      <c r="AN3" s="34"/>
      <c r="AO3" s="34"/>
      <c r="AP3" s="34"/>
      <c r="AQ3" s="34"/>
      <c r="AR3" s="33"/>
      <c r="AS3" s="34"/>
      <c r="AT3" s="34"/>
      <c r="AU3" s="34"/>
      <c r="AV3" s="34"/>
      <c r="AW3" s="34"/>
      <c r="AX3" s="34"/>
      <c r="AY3" s="33"/>
      <c r="AZ3" s="34"/>
      <c r="BA3" s="34"/>
      <c r="BB3" s="34"/>
      <c r="BC3" s="34"/>
      <c r="BD3" s="34"/>
      <c r="BE3" s="34"/>
      <c r="BF3" s="33"/>
      <c r="BG3" s="34"/>
      <c r="BH3" s="34"/>
      <c r="BI3" s="34"/>
      <c r="BJ3" s="34"/>
      <c r="BK3" s="34"/>
      <c r="BL3" s="34"/>
      <c r="BM3" s="33"/>
      <c r="BN3" s="34"/>
      <c r="BO3" s="34"/>
      <c r="BP3" s="34"/>
      <c r="BQ3" s="34"/>
      <c r="BR3" s="34"/>
      <c r="BS3" s="34"/>
      <c r="BT3" s="33"/>
      <c r="BU3" s="34"/>
      <c r="BV3" s="34"/>
      <c r="BW3" s="34"/>
      <c r="BX3" s="34"/>
      <c r="BY3" s="34"/>
      <c r="BZ3" s="34"/>
      <c r="CA3" s="33"/>
      <c r="CB3" s="34"/>
      <c r="CC3" s="34"/>
      <c r="CD3" s="34"/>
      <c r="CE3" s="34"/>
      <c r="CF3" s="34"/>
      <c r="CG3" s="34"/>
      <c r="CH3" s="33"/>
      <c r="CI3" s="34"/>
      <c r="CJ3" s="34"/>
      <c r="CK3" s="34"/>
      <c r="CL3" s="34"/>
      <c r="CM3" s="34"/>
      <c r="CN3" s="34"/>
      <c r="CO3" s="33"/>
      <c r="CP3" s="34"/>
      <c r="CQ3" s="34"/>
      <c r="CR3" s="34"/>
      <c r="CS3" s="34"/>
      <c r="CT3" s="34"/>
      <c r="CU3" s="34"/>
      <c r="CV3" s="33"/>
      <c r="CW3" s="34"/>
      <c r="CX3" s="34"/>
      <c r="CY3" s="34"/>
      <c r="CZ3" s="34"/>
      <c r="DA3" s="34"/>
      <c r="DB3" s="34"/>
      <c r="DC3" s="33"/>
      <c r="DD3" s="34"/>
      <c r="DE3" s="34"/>
      <c r="DF3" s="34"/>
      <c r="DG3" s="34"/>
      <c r="DH3" s="34"/>
      <c r="DI3" s="34"/>
      <c r="DJ3" s="33"/>
      <c r="DK3" s="34"/>
      <c r="DL3" s="34"/>
      <c r="DM3" s="34"/>
      <c r="DN3" s="34"/>
      <c r="DO3" s="34"/>
      <c r="DP3" s="34"/>
      <c r="DQ3" s="33"/>
      <c r="DR3" s="34"/>
      <c r="DS3" s="34"/>
      <c r="DT3" s="34"/>
      <c r="DU3" s="34"/>
      <c r="DV3" s="34"/>
      <c r="DW3" s="34"/>
      <c r="DX3" s="33"/>
      <c r="DY3" s="34"/>
      <c r="DZ3" s="34"/>
      <c r="EA3" s="34"/>
      <c r="EB3" s="34"/>
      <c r="EC3" s="34"/>
      <c r="ED3" s="34"/>
      <c r="EE3" s="35" t="s">
        <v>77</v>
      </c>
      <c r="EF3" s="36"/>
      <c r="EG3" s="36"/>
      <c r="EH3" s="36"/>
      <c r="EI3" s="36"/>
      <c r="EJ3" s="36"/>
      <c r="EK3" s="36"/>
      <c r="EL3" s="33"/>
      <c r="EM3" s="34"/>
      <c r="EN3" s="34"/>
      <c r="EO3" s="34"/>
      <c r="EP3" s="34"/>
      <c r="EQ3" s="34"/>
      <c r="ER3" s="34"/>
    </row>
    <row r="4" hidden="1">
      <c r="A4" s="37" t="str">
        <f>CONCATENATE(A5," TM")</f>
        <v>Squat TM</v>
      </c>
      <c r="B4" s="38">
        <f>if(D4="",'Quick Setup'!D5,D4/'Quick Setup'!E5)</f>
        <v>490</v>
      </c>
      <c r="C4" s="39" t="s">
        <v>75</v>
      </c>
      <c r="D4" s="40"/>
      <c r="E4" s="41"/>
      <c r="F4" s="41"/>
      <c r="G4" s="41"/>
      <c r="H4" s="41"/>
      <c r="I4" s="38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490</v>
      </c>
      <c r="J4" s="39" t="s">
        <v>75</v>
      </c>
      <c r="K4" s="40"/>
      <c r="L4" s="41"/>
      <c r="M4" s="41"/>
      <c r="N4" s="41"/>
      <c r="O4" s="41"/>
      <c r="P4" s="38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490</v>
      </c>
      <c r="Q4" s="39" t="s">
        <v>75</v>
      </c>
      <c r="R4" s="40"/>
      <c r="S4" s="41"/>
      <c r="T4" s="41"/>
      <c r="U4" s="41"/>
      <c r="V4" s="41"/>
      <c r="W4" s="38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490</v>
      </c>
      <c r="X4" s="39" t="s">
        <v>75</v>
      </c>
      <c r="Y4" s="40"/>
      <c r="Z4" s="41"/>
      <c r="AA4" s="41"/>
      <c r="AB4" s="41"/>
      <c r="AC4" s="41"/>
      <c r="AD4" s="38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490</v>
      </c>
      <c r="AE4" s="39" t="s">
        <v>75</v>
      </c>
      <c r="AF4" s="40"/>
      <c r="AG4" s="41"/>
      <c r="AH4" s="41"/>
      <c r="AI4" s="41"/>
      <c r="AJ4" s="41"/>
      <c r="AK4" s="38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490</v>
      </c>
      <c r="AL4" s="39" t="s">
        <v>75</v>
      </c>
      <c r="AM4" s="40"/>
      <c r="AN4" s="41"/>
      <c r="AO4" s="41"/>
      <c r="AP4" s="41"/>
      <c r="AQ4" s="41"/>
      <c r="AR4" s="38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490</v>
      </c>
      <c r="AS4" s="39" t="s">
        <v>75</v>
      </c>
      <c r="AT4" s="40"/>
      <c r="AU4" s="41"/>
      <c r="AV4" s="41"/>
      <c r="AW4" s="41"/>
      <c r="AX4" s="41"/>
      <c r="AY4" s="38">
        <f>if(BA4="",AR4,BA4/'Quick Setup'!$E5)</f>
        <v>490</v>
      </c>
      <c r="AZ4" s="39" t="s">
        <v>75</v>
      </c>
      <c r="BA4" s="40"/>
      <c r="BB4" s="41"/>
      <c r="BC4" s="41"/>
      <c r="BD4" s="41"/>
      <c r="BE4" s="41"/>
      <c r="BF4" s="38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490</v>
      </c>
      <c r="BG4" s="39" t="s">
        <v>75</v>
      </c>
      <c r="BH4" s="40"/>
      <c r="BI4" s="41"/>
      <c r="BJ4" s="41"/>
      <c r="BK4" s="41"/>
      <c r="BL4" s="41"/>
      <c r="BM4" s="38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490</v>
      </c>
      <c r="BN4" s="39" t="s">
        <v>75</v>
      </c>
      <c r="BO4" s="40"/>
      <c r="BP4" s="41"/>
      <c r="BQ4" s="41"/>
      <c r="BR4" s="41"/>
      <c r="BS4" s="41"/>
      <c r="BT4" s="38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490</v>
      </c>
      <c r="BU4" s="39" t="s">
        <v>75</v>
      </c>
      <c r="BV4" s="40"/>
      <c r="BW4" s="41"/>
      <c r="BX4" s="41"/>
      <c r="BY4" s="41"/>
      <c r="BZ4" s="41"/>
      <c r="CA4" s="38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490</v>
      </c>
      <c r="CB4" s="39" t="s">
        <v>75</v>
      </c>
      <c r="CC4" s="40"/>
      <c r="CD4" s="41"/>
      <c r="CE4" s="41"/>
      <c r="CF4" s="41"/>
      <c r="CG4" s="41"/>
      <c r="CH4" s="38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490</v>
      </c>
      <c r="CI4" s="39" t="s">
        <v>75</v>
      </c>
      <c r="CJ4" s="40"/>
      <c r="CK4" s="41"/>
      <c r="CL4" s="41"/>
      <c r="CM4" s="41"/>
      <c r="CN4" s="41"/>
      <c r="CO4" s="38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490</v>
      </c>
      <c r="CP4" s="39" t="s">
        <v>75</v>
      </c>
      <c r="CQ4" s="40"/>
      <c r="CR4" s="41"/>
      <c r="CS4" s="41"/>
      <c r="CT4" s="41"/>
      <c r="CU4" s="41"/>
      <c r="CV4" s="38">
        <f>if(CX4="",CO4,CX4/'Quick Setup'!$E5)</f>
        <v>490</v>
      </c>
      <c r="CW4" s="39" t="s">
        <v>75</v>
      </c>
      <c r="CX4" s="40"/>
      <c r="CY4" s="41"/>
      <c r="CZ4" s="41"/>
      <c r="DA4" s="41"/>
      <c r="DB4" s="41"/>
      <c r="DC4" s="38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490</v>
      </c>
      <c r="DD4" s="39" t="s">
        <v>75</v>
      </c>
      <c r="DE4" s="40"/>
      <c r="DF4" s="41"/>
      <c r="DG4" s="41"/>
      <c r="DH4" s="41"/>
      <c r="DI4" s="41"/>
      <c r="DJ4" s="38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490</v>
      </c>
      <c r="DK4" s="39" t="s">
        <v>75</v>
      </c>
      <c r="DL4" s="40"/>
      <c r="DM4" s="41"/>
      <c r="DN4" s="41"/>
      <c r="DO4" s="41"/>
      <c r="DP4" s="41"/>
      <c r="DQ4" s="38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490</v>
      </c>
      <c r="DR4" s="39" t="s">
        <v>75</v>
      </c>
      <c r="DS4" s="40"/>
      <c r="DT4" s="41"/>
      <c r="DU4" s="41"/>
      <c r="DV4" s="41"/>
      <c r="DW4" s="41"/>
      <c r="DX4" s="38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490</v>
      </c>
      <c r="DY4" s="39" t="s">
        <v>75</v>
      </c>
      <c r="DZ4" s="40"/>
      <c r="EA4" s="41"/>
      <c r="EB4" s="41"/>
      <c r="EC4" s="41"/>
      <c r="ED4" s="41"/>
      <c r="EE4" s="38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490</v>
      </c>
      <c r="EF4" s="39" t="s">
        <v>75</v>
      </c>
      <c r="EG4" s="40"/>
      <c r="EH4" s="41"/>
      <c r="EI4" s="41"/>
      <c r="EJ4" s="41"/>
      <c r="EK4" s="41"/>
      <c r="EL4" s="38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490</v>
      </c>
      <c r="EM4" s="39" t="s">
        <v>75</v>
      </c>
      <c r="EN4" s="40"/>
      <c r="EO4" s="41"/>
      <c r="EP4" s="41"/>
      <c r="EQ4" s="41"/>
      <c r="ER4" s="41"/>
    </row>
    <row r="5">
      <c r="A5" s="1" t="str">
        <f>Setup!A3</f>
        <v>Squat</v>
      </c>
      <c r="B5" s="42">
        <f>mround(B4*Setup!B3,'Quick Setup'!$A$2)</f>
        <v>342.5</v>
      </c>
      <c r="C5" s="3">
        <f>Setup!C3</f>
        <v>5</v>
      </c>
      <c r="D5" s="3">
        <f>Setup!D3</f>
        <v>10</v>
      </c>
      <c r="E5" s="3">
        <f>Setup!E3</f>
        <v>5</v>
      </c>
      <c r="F5" s="10"/>
      <c r="G5" s="10"/>
      <c r="H5" s="10"/>
      <c r="I5" s="42">
        <f>mround(I4*Setup!N3,'Quick Setup'!$A$2)</f>
        <v>367.5</v>
      </c>
      <c r="J5" s="3">
        <f>Setup!O3</f>
        <v>4</v>
      </c>
      <c r="K5" s="3">
        <f>Setup!P3</f>
        <v>8</v>
      </c>
      <c r="L5" s="3">
        <f>Setup!Q3</f>
        <v>5</v>
      </c>
      <c r="M5" s="10"/>
      <c r="N5" s="10"/>
      <c r="O5" s="10"/>
      <c r="P5" s="42">
        <f>mround(P4*Setup!Z3,'Quick Setup'!$A$2)</f>
        <v>392.5</v>
      </c>
      <c r="Q5" s="3">
        <f>Setup!AA3</f>
        <v>3</v>
      </c>
      <c r="R5" s="3">
        <f>Setup!AB3</f>
        <v>6</v>
      </c>
      <c r="S5" s="3">
        <f>Setup!AC3</f>
        <v>5</v>
      </c>
      <c r="T5" s="10"/>
      <c r="U5" s="10"/>
      <c r="V5" s="10"/>
      <c r="W5" s="42">
        <f>mround(W4*Setup!AL3,'Quick Setup'!$A$2)</f>
        <v>355</v>
      </c>
      <c r="X5" s="3">
        <f>Setup!AM3</f>
        <v>5</v>
      </c>
      <c r="Y5" s="3">
        <f>Setup!AN3</f>
        <v>9</v>
      </c>
      <c r="Z5" s="3">
        <f>Setup!AO3</f>
        <v>5</v>
      </c>
      <c r="AA5" s="10"/>
      <c r="AB5" s="10"/>
      <c r="AC5" s="10"/>
      <c r="AD5" s="42">
        <f>mround(AD4*Setup!AX3,'Quick Setup'!$A$2)</f>
        <v>380</v>
      </c>
      <c r="AE5" s="3">
        <f>Setup!AY3</f>
        <v>4</v>
      </c>
      <c r="AF5" s="3">
        <f>Setup!AZ3</f>
        <v>7</v>
      </c>
      <c r="AG5" s="3">
        <f>Setup!BA3</f>
        <v>5</v>
      </c>
      <c r="AH5" s="10"/>
      <c r="AI5" s="10"/>
      <c r="AJ5" s="10"/>
      <c r="AK5" s="42">
        <f>mround(AK4*Setup!BJ3,'Quick Setup'!$A$2)</f>
        <v>405</v>
      </c>
      <c r="AL5" s="3">
        <f>Setup!BK3</f>
        <v>3</v>
      </c>
      <c r="AM5" s="3">
        <f>Setup!BL3</f>
        <v>5</v>
      </c>
      <c r="AN5" s="3">
        <f>Setup!BM3</f>
        <v>5</v>
      </c>
      <c r="AO5" s="10"/>
      <c r="AP5" s="10"/>
      <c r="AQ5" s="10"/>
      <c r="AR5" s="42">
        <f>mround(AR4*Setup!BV3,'Quick Setup'!$A$2)</f>
        <v>295</v>
      </c>
      <c r="AS5" s="1">
        <v>5.0</v>
      </c>
      <c r="AT5" s="1" t="s">
        <v>78</v>
      </c>
      <c r="AU5" s="3">
        <f>Setup!BY3</f>
        <v>5</v>
      </c>
      <c r="AV5" s="10"/>
      <c r="AW5" s="10"/>
      <c r="AX5" s="10"/>
      <c r="AY5" s="42">
        <f>mround(AY4*Setup!CH3,'Quick Setup'!$A$2)</f>
        <v>367.5</v>
      </c>
      <c r="AZ5" s="3">
        <f>Setup!CI3</f>
        <v>4</v>
      </c>
      <c r="BA5" s="3">
        <f>Setup!CJ3</f>
        <v>8</v>
      </c>
      <c r="BB5" s="3">
        <f>Setup!CK3</f>
        <v>5</v>
      </c>
      <c r="BC5" s="10"/>
      <c r="BD5" s="10"/>
      <c r="BE5" s="10"/>
      <c r="BF5" s="42">
        <f>mround(BF4*Setup!CT3,'Quick Setup'!$A$2)</f>
        <v>392.5</v>
      </c>
      <c r="BG5" s="3">
        <f>Setup!CU3</f>
        <v>3</v>
      </c>
      <c r="BH5" s="3">
        <f>Setup!CV3</f>
        <v>6</v>
      </c>
      <c r="BI5" s="3">
        <f>Setup!CW3</f>
        <v>5</v>
      </c>
      <c r="BJ5" s="10"/>
      <c r="BK5" s="10"/>
      <c r="BL5" s="10"/>
      <c r="BM5" s="42">
        <f>mround(BM4*Setup!DF3,'Quick Setup'!$A$2)</f>
        <v>417.5</v>
      </c>
      <c r="BN5" s="3">
        <f>Setup!DG3</f>
        <v>2</v>
      </c>
      <c r="BO5" s="3">
        <f>Setup!DH3</f>
        <v>4</v>
      </c>
      <c r="BP5" s="3">
        <f>Setup!DI3</f>
        <v>5</v>
      </c>
      <c r="BQ5" s="10"/>
      <c r="BR5" s="10"/>
      <c r="BS5" s="10"/>
      <c r="BT5" s="42">
        <f>mround(BT4*Setup!DR3,'Quick Setup'!$A$2)</f>
        <v>380</v>
      </c>
      <c r="BU5" s="3">
        <f>Setup!DS3</f>
        <v>4</v>
      </c>
      <c r="BV5" s="3">
        <f>Setup!DT3</f>
        <v>7</v>
      </c>
      <c r="BW5" s="3">
        <f>Setup!DU3</f>
        <v>5</v>
      </c>
      <c r="BX5" s="10"/>
      <c r="BY5" s="10"/>
      <c r="BZ5" s="10"/>
      <c r="CA5" s="42">
        <f>mround(CA4*Setup!ED3,'Quick Setup'!$A$2)</f>
        <v>405</v>
      </c>
      <c r="CB5" s="3">
        <f>Setup!EE3</f>
        <v>3</v>
      </c>
      <c r="CC5" s="3">
        <f>Setup!EF3</f>
        <v>5</v>
      </c>
      <c r="CD5" s="3">
        <f>Setup!EG3</f>
        <v>5</v>
      </c>
      <c r="CE5" s="10"/>
      <c r="CF5" s="10"/>
      <c r="CG5" s="10"/>
      <c r="CH5" s="42">
        <f>mround(CH4*Setup!EP3,'Quick Setup'!$A$2)</f>
        <v>430</v>
      </c>
      <c r="CI5" s="3">
        <f>Setup!EQ3</f>
        <v>2</v>
      </c>
      <c r="CJ5" s="3">
        <f>Setup!ER3</f>
        <v>3</v>
      </c>
      <c r="CK5" s="3">
        <f>Setup!ES3</f>
        <v>5</v>
      </c>
      <c r="CL5" s="10"/>
      <c r="CM5" s="10"/>
      <c r="CN5" s="10"/>
      <c r="CO5" s="42">
        <f>mround(CO4*Setup!FB3,'Quick Setup'!$A$2)</f>
        <v>295</v>
      </c>
      <c r="CP5" s="1">
        <v>5.0</v>
      </c>
      <c r="CQ5" s="1" t="s">
        <v>78</v>
      </c>
      <c r="CR5" s="3">
        <f>Setup!FE3</f>
        <v>5</v>
      </c>
      <c r="CS5" s="10"/>
      <c r="CT5" s="10"/>
      <c r="CU5" s="10"/>
      <c r="CV5" s="42">
        <f>mround(CV4*Setup!FN3,'Quick Setup'!$A$2)</f>
        <v>392.5</v>
      </c>
      <c r="CW5" s="3">
        <f>Setup!FO3</f>
        <v>3</v>
      </c>
      <c r="CX5" s="3">
        <f>Setup!FP3</f>
        <v>6</v>
      </c>
      <c r="CY5" s="3">
        <f>Setup!FQ3</f>
        <v>5</v>
      </c>
      <c r="CZ5" s="10"/>
      <c r="DA5" s="10"/>
      <c r="DB5" s="10"/>
      <c r="DC5" s="42">
        <f>mround(DC4*Setup!FZ3,'Quick Setup'!$A$2)</f>
        <v>417.5</v>
      </c>
      <c r="DD5" s="3">
        <f>Setup!GA3</f>
        <v>2</v>
      </c>
      <c r="DE5" s="3">
        <f>Setup!GB3</f>
        <v>4</v>
      </c>
      <c r="DF5" s="3">
        <f>Setup!GC3</f>
        <v>5</v>
      </c>
      <c r="DG5" s="10"/>
      <c r="DH5" s="10"/>
      <c r="DI5" s="10"/>
      <c r="DJ5" s="42">
        <f>mround(DJ4*Setup!GL3,'Quick Setup'!$A$2)</f>
        <v>440</v>
      </c>
      <c r="DK5" s="3">
        <f>Setup!GM3</f>
        <v>1</v>
      </c>
      <c r="DL5" s="3">
        <f>Setup!GN3</f>
        <v>2</v>
      </c>
      <c r="DM5" s="3">
        <f>Setup!GO3</f>
        <v>5</v>
      </c>
      <c r="DN5" s="10"/>
      <c r="DO5" s="10"/>
      <c r="DP5" s="10"/>
      <c r="DQ5" s="42">
        <f>mround(DQ4*Setup!GX3,'Quick Setup'!$A$2)</f>
        <v>417.5</v>
      </c>
      <c r="DR5" s="3">
        <f>Setup!GY3</f>
        <v>2</v>
      </c>
      <c r="DS5" s="3">
        <f>Setup!GZ3</f>
        <v>4</v>
      </c>
      <c r="DT5" s="3">
        <f>Setup!HA3</f>
        <v>5</v>
      </c>
      <c r="DU5" s="10"/>
      <c r="DV5" s="10"/>
      <c r="DW5" s="10"/>
      <c r="DX5" s="42">
        <f>mround(DX4*Setup!HJ3,'Quick Setup'!$A$2)</f>
        <v>440</v>
      </c>
      <c r="DY5" s="3">
        <f>Setup!HK3</f>
        <v>1</v>
      </c>
      <c r="DZ5" s="3">
        <f>Setup!HL3</f>
        <v>2</v>
      </c>
      <c r="EA5" s="3">
        <f>Setup!HM3</f>
        <v>5</v>
      </c>
      <c r="EB5" s="10"/>
      <c r="EC5" s="10"/>
      <c r="ED5" s="10"/>
      <c r="EE5" s="42">
        <f>mround(EE4*Setup!HV3,'Quick Setup'!$A$2)</f>
        <v>465</v>
      </c>
      <c r="EF5" s="3">
        <f>Setup!HW3</f>
        <v>1</v>
      </c>
      <c r="EG5" s="3">
        <f>Setup!HX3</f>
        <v>1</v>
      </c>
      <c r="EH5" s="3">
        <f>Setup!HY3</f>
        <v>5</v>
      </c>
      <c r="EI5" s="10"/>
      <c r="EJ5" s="10"/>
      <c r="EK5" s="10"/>
      <c r="EL5" s="42">
        <f>mround(EL4*Setup!IH3,'Quick Setup'!$A$2)</f>
        <v>295</v>
      </c>
      <c r="EM5" s="1">
        <v>5.0</v>
      </c>
      <c r="EN5" s="1" t="s">
        <v>78</v>
      </c>
      <c r="EO5" s="3">
        <f>Setup!IK3</f>
        <v>5</v>
      </c>
      <c r="EP5" s="10"/>
      <c r="EQ5" s="10"/>
      <c r="ER5" s="10"/>
    </row>
    <row r="6" hidden="1">
      <c r="A6" s="37" t="str">
        <f>CONCATENATE(A7," TM")</f>
        <v>Sumo Deadlift TM</v>
      </c>
      <c r="B6" s="38">
        <f>if(D6="",'Quick Setup'!D15,D6/'Quick Setup'!E15)</f>
        <v>500</v>
      </c>
      <c r="C6" s="39" t="s">
        <v>75</v>
      </c>
      <c r="D6" s="40"/>
      <c r="E6" s="41"/>
      <c r="F6" s="41"/>
      <c r="G6" s="41"/>
      <c r="H6" s="41"/>
      <c r="I6" s="38">
        <f>if(K6="", if(F7&lt;&gt;"", if((F7-D7)&lt;-1,B6*(1+Setup!F13),if((F7-D7)&lt;0,B6*(1+Setup!G13),if((F7-D7)=0,B6*(1+Setup!H13),if((F7-D7)=1,B6*(1+Setup!I13),if((F7-D7)=2,B6*(1+Setup!J13),if((F7-D7)=3,B6*(1+Setup!K13),if((F7-D7)=4,B6*(1+Setup!L13),if((F7-D7)&gt;4,B6*(1+Setup!M13),B6)))))))),B6),K6/'Quick Setup'!$E15)</f>
        <v>500</v>
      </c>
      <c r="J6" s="39" t="s">
        <v>75</v>
      </c>
      <c r="K6" s="40"/>
      <c r="L6" s="41"/>
      <c r="M6" s="41"/>
      <c r="N6" s="41"/>
      <c r="O6" s="41"/>
      <c r="P6" s="38">
        <f>if(R6="", if(M7&lt;&gt;"", if((M7-K7)&lt;-1,I6*(1+Setup!R13),if((M7-K7)&lt;0,I6*(1+Setup!S13),if((M7-K7)=0,I6*(1+Setup!T13),if((M7-K7)=1,I6*(1+Setup!U13),if((M7-K7)=2,I6*(1+Setup!V13),if((M7-K7)=3,I6*(1+Setup!W13),if((M7-K7)=4,I6*(1+Setup!X13),if((M7-K7)&gt;4,I6*(1+Setup!Y13),I6)))))))),I6),R6/'Quick Setup'!$E15)</f>
        <v>500</v>
      </c>
      <c r="Q6" s="39" t="s">
        <v>75</v>
      </c>
      <c r="R6" s="40"/>
      <c r="S6" s="41"/>
      <c r="T6" s="41"/>
      <c r="U6" s="41"/>
      <c r="V6" s="41"/>
      <c r="W6" s="38">
        <f>if(Y6="", if(T7&lt;&gt;"", if((T7-R7)&lt;-1,P6*(1+Setup!AD13),if((T7-R7)&lt;0,P6*(1+Setup!AE13),if((T7-R7)=0,P6*(1+Setup!AF13),if((T7-R7)=1,P6*(1+Setup!AG13),if((T7-R7)=2,P6*(1+Setup!AH13),if((T7-R7)=3,P6*(1+Setup!AI13),if((T7-R7)=4,P6*(1+Setup!AJ13),if((T7-R7)&gt;4,P6*(1+Setup!AK13),P6)))))))),P6),Y6/'Quick Setup'!$E15)</f>
        <v>500</v>
      </c>
      <c r="X6" s="39" t="s">
        <v>75</v>
      </c>
      <c r="Y6" s="40"/>
      <c r="Z6" s="41"/>
      <c r="AA6" s="41"/>
      <c r="AB6" s="41"/>
      <c r="AC6" s="41"/>
      <c r="AD6" s="38">
        <f>if(AF6="", if(AA7&lt;&gt;"", if((AA7-Y7)&lt;-1,W6*(1+Setup!AP13),if((AA7-Y7)&lt;0,W6*(1+Setup!AQ13),if((AA7-Y7)=0,W6*(1+Setup!AR13),if((AA7-Y7)=1,W6*(1+Setup!AS13),if((AA7-Y7)=2,W6*(1+Setup!AT13),if((AA7-Y7)=3,W6*(1+Setup!AU13),if((AA7-Y7)=4,W6*(1+Setup!AV13),if((AA7-Y7)&gt;4,W6*(1+Setup!AW13),W6)))))))),W6),AF6/'Quick Setup'!$E15)</f>
        <v>500</v>
      </c>
      <c r="AE6" s="39" t="s">
        <v>75</v>
      </c>
      <c r="AF6" s="40"/>
      <c r="AG6" s="41"/>
      <c r="AH6" s="41"/>
      <c r="AI6" s="41"/>
      <c r="AJ6" s="41"/>
      <c r="AK6" s="38">
        <f>if(AM6="", if(AH7&lt;&gt;"", if((AH7-AF7)&lt;-1,AD6*(1+Setup!BB13),if((AH7-AF7)&lt;0,AD6*(1+Setup!BC13),if((AH7-AF7)=0,AD6*(1+Setup!BD13),if((AH7-AF7)=1,AD6*(1+Setup!BE13),if((AH7-AF7)=2,AD6*(1+Setup!BF13),if((AH7-AF7)=3,AD6*(1+Setup!BG13),if((AH7-AF7)=4,AD6*(1+Setup!BH13),if((AH7-AF7)&gt;4,AD6*(1+Setup!BI13),AD6)))))))),AD6),AM6/'Quick Setup'!$E15)</f>
        <v>500</v>
      </c>
      <c r="AL6" s="39" t="s">
        <v>75</v>
      </c>
      <c r="AM6" s="40"/>
      <c r="AN6" s="41"/>
      <c r="AO6" s="41"/>
      <c r="AP6" s="41"/>
      <c r="AQ6" s="41"/>
      <c r="AR6" s="38">
        <f>if(AT6="", if(AO7&lt;&gt;"", if((AO7-AM7)&lt;-1,AK6*(1+Setup!BN13),if((AO7-AM7)&lt;0,AK6*(1+Setup!BO13),if((AO7-AM7)=0,AK6*(1+Setup!BP13),if((AO7-AM7)=1,AK6*(1+Setup!BQ13),if((AO7-AM7)=2,AK6*(1+Setup!BR13),if((AO7-AM7)=3,AK6*(1+Setup!BS13),if((AO7-AM7)=4,AK6*(1+Setup!BT13),if((AO7-AM7)&gt;4,AK6*(1+Setup!BU13),AK6)))))))),AK6),AT6/'Quick Setup'!$E15)</f>
        <v>500</v>
      </c>
      <c r="AS6" s="39" t="s">
        <v>75</v>
      </c>
      <c r="AT6" s="40"/>
      <c r="AU6" s="41"/>
      <c r="AV6" s="41"/>
      <c r="AW6" s="41"/>
      <c r="AX6" s="41"/>
      <c r="AY6" s="38">
        <f>if(BA6="",AR6,BA6/'Quick Setup'!$E15)</f>
        <v>500</v>
      </c>
      <c r="AZ6" s="39" t="s">
        <v>75</v>
      </c>
      <c r="BA6" s="40"/>
      <c r="BB6" s="41"/>
      <c r="BC6" s="41"/>
      <c r="BD6" s="41"/>
      <c r="BE6" s="41"/>
      <c r="BF6" s="38">
        <f>if(BH6="", if(BC7&lt;&gt;"", if((BC7-BA7)&lt;-1,AY6*(1+Setup!CL13),if((BC7-BA7)&lt;0,AY6*(1+Setup!CM13),if((BC7-BA7)=0,AY6*(1+Setup!CN13),if((BC7-BA7)=1,AY6*(1+Setup!CO13),if((BC7-BA7)=2,AY6*(1+Setup!CP13),if((BC7-BA7)=3,AY6*(1+Setup!CQ13),if((BC7-BA7)=4,AY6*(1+Setup!CR13),if((BC7-BA7)&gt;4,AY6*(1+Setup!CS13),AY6)))))))),AY6),BH6/'Quick Setup'!$E15)</f>
        <v>500</v>
      </c>
      <c r="BG6" s="39" t="s">
        <v>75</v>
      </c>
      <c r="BH6" s="40"/>
      <c r="BI6" s="41"/>
      <c r="BJ6" s="41"/>
      <c r="BK6" s="41"/>
      <c r="BL6" s="41"/>
      <c r="BM6" s="38">
        <f>if(BO6="", if(BJ7&lt;&gt;"", if((BJ7-BH7)&lt;-1,BF6*(1+Setup!CX13),if((BJ7-BH7)&lt;0,BF6*(1+Setup!CY13),if((BJ7-BH7)=0,BF6*(1+Setup!CZ13),if((BJ7-BH7)=1,BF6*(1+Setup!DA13),if((BJ7-BH7)=2,BF6*(1+Setup!DB13),if((BJ7-BH7)=3,BF6*(1+Setup!DC13),if((BJ7-BH7)=4,BF6*(1+Setup!DD13),if((BJ7-BH7)&gt;4,BF6*(1+Setup!DE13),BF6)))))))),BF6),BO6/'Quick Setup'!$E15)</f>
        <v>500</v>
      </c>
      <c r="BN6" s="39" t="s">
        <v>75</v>
      </c>
      <c r="BO6" s="40"/>
      <c r="BP6" s="41"/>
      <c r="BQ6" s="41"/>
      <c r="BR6" s="41"/>
      <c r="BS6" s="41"/>
      <c r="BT6" s="38">
        <f>if(BV6="", if(BQ7&lt;&gt;"", if((BQ7-BO7)&lt;-1,BM6*(1+Setup!DJ13),if((BQ7-BO7)&lt;0,BM6*(1+Setup!DK13),if((BQ7-BO7)=0,BM6*(1+Setup!DL13),if((BQ7-BO7)=1,BM6*(1+Setup!DM13),if((BQ7-BO7)=2,BM6*(1+Setup!DN13),if((BQ7-BO7)=3,BM6*(1+Setup!DO13),if((BQ7-BO7)=4,BM6*(1+Setup!DP13),if((BQ7-BO7)&gt;4,BM6*(1+Setup!DQ13),BM6)))))))),BM6),BV6/'Quick Setup'!$E15)</f>
        <v>500</v>
      </c>
      <c r="BU6" s="39" t="s">
        <v>75</v>
      </c>
      <c r="BV6" s="40"/>
      <c r="BW6" s="41"/>
      <c r="BX6" s="41"/>
      <c r="BY6" s="41"/>
      <c r="BZ6" s="41"/>
      <c r="CA6" s="38">
        <f>if(CC6="", if(BX7&lt;&gt;"", if((BX7-BV7)&lt;-1,BT6*(1+Setup!DV13),if((BX7-BV7)&lt;0,BT6*(1+Setup!DW13),if((BX7-BV7)=0,BT6*(1+Setup!DX13),if((BX7-BV7)=1,BT6*(1+Setup!DY13),if((BX7-BV7)=2,BT6*(1+Setup!DZ13),if((BX7-BV7)=3,BT6*(1+Setup!EA13),if((BX7-BV7)=4,BT6*(1+Setup!EB13),if((BX7-BV7)&gt;4,BT6*(1+Setup!EC13),BT6)))))))),BT6),CC6/'Quick Setup'!$E15)</f>
        <v>500</v>
      </c>
      <c r="CB6" s="39" t="s">
        <v>75</v>
      </c>
      <c r="CC6" s="40"/>
      <c r="CD6" s="41"/>
      <c r="CE6" s="41"/>
      <c r="CF6" s="41"/>
      <c r="CG6" s="41"/>
      <c r="CH6" s="38">
        <f>if(CJ6="", if(CE7&lt;&gt;"", if((CE7-CC7)&lt;-1,CA6*(1+Setup!EH13),if((CE7-CC7)&lt;0,CA6*(1+Setup!EI13),if((CE7-CC7)=0,CA6*(1+Setup!EJ13),if((CE7-CC7)=1,CA6*(1+Setup!EK13),if((CE7-CC7)=2,CA6*(1+Setup!EL13),if((CE7-CC7)=3,CA6*(1+Setup!EM13),if((CE7-CC7)=4,CA6*(1+Setup!EN13),if((CE7-CC7)&gt;4,CA6*(1+Setup!EO13),CA6)))))))),CA6),CJ6/'Quick Setup'!$E15)</f>
        <v>500</v>
      </c>
      <c r="CI6" s="39" t="s">
        <v>75</v>
      </c>
      <c r="CJ6" s="40"/>
      <c r="CK6" s="41"/>
      <c r="CL6" s="41"/>
      <c r="CM6" s="41"/>
      <c r="CN6" s="41"/>
      <c r="CO6" s="38">
        <f>if(CQ6="", if(CL7&lt;&gt;"", if((CL7-CJ7)&lt;-1,CH6*(1+Setup!ET13),if((CL7-CJ7)&lt;0,CH6*(1+Setup!EU13),if((CL7-CJ7)=0,CH6*(1+Setup!EV13),if((CL7-CJ7)=1,CH6*(1+Setup!EW13),if((CL7-CJ7)=2,CH6*(1+Setup!EX13),if((CL7-CJ7)=3,CH6*(1+Setup!EY13),if((CL7-CJ7)=4,CH6*(1+Setup!EZ13),if((CL7-CJ7)&gt;4,CH6*(1+Setup!FA13),CH6)))))))),CH6),CQ6/'Quick Setup'!$E15)</f>
        <v>500</v>
      </c>
      <c r="CP6" s="39" t="s">
        <v>75</v>
      </c>
      <c r="CQ6" s="40"/>
      <c r="CR6" s="41"/>
      <c r="CS6" s="41"/>
      <c r="CT6" s="41"/>
      <c r="CU6" s="41"/>
      <c r="CV6" s="38">
        <f>if(CX6="",CO6,CX6/'Quick Setup'!$E15)</f>
        <v>500</v>
      </c>
      <c r="CW6" s="39" t="s">
        <v>75</v>
      </c>
      <c r="CX6" s="40"/>
      <c r="CY6" s="41"/>
      <c r="CZ6" s="41"/>
      <c r="DA6" s="41"/>
      <c r="DB6" s="41"/>
      <c r="DC6" s="38">
        <f>if(DE6="", if(CZ7&lt;&gt;"", if((CZ7-CX7)&lt;-1,CV6*(1+Setup!FR13),if((CZ7-CX7)&lt;0,CV6*(1+Setup!FS13),if((CZ7-CX7)=0,CV6*(1+Setup!FT13),if((CZ7-CX7)=1,CV6*(1+Setup!FU13),if((CZ7-CX7)=2,CV6*(1+Setup!FV13),if((CZ7-CX7)=3,CV6*(1+Setup!FW13),if((CZ7-CX7)=4,CV6*(1+Setup!FX13),if((CZ7-CX7)&gt;4,CV6*(1+Setup!FY13),CV6)))))))),CV6),DE6/'Quick Setup'!$E15)</f>
        <v>500</v>
      </c>
      <c r="DD6" s="39" t="s">
        <v>75</v>
      </c>
      <c r="DE6" s="40"/>
      <c r="DF6" s="41"/>
      <c r="DG6" s="41"/>
      <c r="DH6" s="41"/>
      <c r="DI6" s="41"/>
      <c r="DJ6" s="38">
        <f>if(DL6="", if(DG7&lt;&gt;"", if((DG7-DE7)&lt;-1,DC6*(1+Setup!GD13),if((DG7-DE7)&lt;0,DC6*(1+Setup!GE13),if((DG7-DE7)=0,DC6*(1+Setup!GF13),if((DG7-DE7)=1,DC6*(1+Setup!GG13),if((DG7-DE7)=2,DC6*(1+Setup!GH13),if((DG7-DE7)=3,DC6*(1+Setup!GI13),if((DG7-DE7)=4,DC6*(1+Setup!GJ13),if((DG7-DE7)&gt;4,DC6*(1+Setup!GK13),DC6)))))))),DC6),DL6/'Quick Setup'!$E15)</f>
        <v>500</v>
      </c>
      <c r="DK6" s="39" t="s">
        <v>75</v>
      </c>
      <c r="DL6" s="40"/>
      <c r="DM6" s="41"/>
      <c r="DN6" s="41"/>
      <c r="DO6" s="41"/>
      <c r="DP6" s="41"/>
      <c r="DQ6" s="38">
        <f>if(DS6="", if(DN7&lt;&gt;"", if((DN7-DL7)&lt;-1,DJ6*(1+Setup!GP13),if((DN7-DL7)&lt;0,DJ6*(1+Setup!GQ13),if((DN7-DL7)=0,DJ6*(1+Setup!GR13),if((DN7-DL7)=1,DJ6*(1+Setup!GS13),if((DN7-DL7)=2,DJ6*(1+Setup!GT13),if((DN7-DL7)=3,DJ6*(1+Setup!GU13),if((DN7-DL7)=4,DJ6*(1+Setup!GV13),if((DN7-DL7)&gt;4,DJ6*(1+Setup!GW13),DJ6)))))))),DJ6),DS6/'Quick Setup'!$E15)</f>
        <v>500</v>
      </c>
      <c r="DR6" s="39" t="s">
        <v>75</v>
      </c>
      <c r="DS6" s="40"/>
      <c r="DT6" s="41"/>
      <c r="DU6" s="41"/>
      <c r="DV6" s="41"/>
      <c r="DW6" s="41"/>
      <c r="DX6" s="38">
        <f>if(DZ6="", if(DU7&lt;&gt;"", if((DU7-DS7)&lt;-1,DQ6*(1+Setup!HB13),if((DU7-DS7)&lt;0,DQ6*(1+Setup!HC13),if((DU7-DS7)=0,DQ6*(1+Setup!HD13),if((DU7-DS7)=1,DQ6*(1+Setup!HE13),if((DU7-DS7)=2,DQ6*(1+Setup!HF13),if((DU7-DS7)=3,DQ6*(1+Setup!HG13),if((DU7-DS7)=4,DQ6*(1+Setup!HH13),if((DU7-DS7)&gt;4,DQ6*(1+Setup!HI13),DQ6)))))))),DQ6),DZ6/'Quick Setup'!$E15)</f>
        <v>500</v>
      </c>
      <c r="DY6" s="39" t="s">
        <v>75</v>
      </c>
      <c r="DZ6" s="40"/>
      <c r="EA6" s="41"/>
      <c r="EB6" s="41"/>
      <c r="EC6" s="41"/>
      <c r="ED6" s="41"/>
      <c r="EE6" s="38">
        <f>if(EG6="", if(EB7&lt;&gt;"", if((EB7-DZ7)&lt;-1,DX6*(1+Setup!HN13),if((EB7-DZ7)&lt;0,DX6*(1+Setup!HO13),if((EB7-DZ7)=0,DX6*(1+Setup!HP13),if((EB7-DZ7)=1,DX6*(1+Setup!HQ13),if((EB7-DZ7)=2,DX6*(1+Setup!HR13),if((EB7-DZ7)=3,DX6*(1+Setup!HS13),if((EB7-DZ7)=4,DX6*(1+Setup!HT13),if((EB7-DZ7)&gt;4,DX6*(1+Setup!HU13),DX6)))))))),DX6),EG6/'Quick Setup'!$E15)</f>
        <v>500</v>
      </c>
      <c r="EF6" s="39" t="s">
        <v>75</v>
      </c>
      <c r="EG6" s="40"/>
      <c r="EH6" s="41"/>
      <c r="EI6" s="41"/>
      <c r="EJ6" s="41"/>
      <c r="EK6" s="41"/>
      <c r="EL6" s="38">
        <f>if(EN6="", if(EI7&lt;&gt;"", if((EI7-EG7)&lt;-1,EE6*(1+Setup!HZ13),if((EI7-EG7)&lt;0,EE6*(1+Setup!IA13),if((EI7-EG7)=0,EE6*(1+Setup!IB13),if((EI7-EG7)=1,EE6*(1+Setup!IC13),if((EI7-EG7)=2,EE6*(1+Setup!ID13),if((EI7-EG7)=3,EE6*(1+Setup!IE13),if((EI7-EG7)=4,EE6*(1+Setup!IF13),if((EI7-EG7)&gt;4,EE6*(1+Setup!IG13),EE6)))))))),EE6),EN6/'Quick Setup'!$E15)</f>
        <v>500</v>
      </c>
      <c r="EM6" s="39" t="s">
        <v>75</v>
      </c>
      <c r="EN6" s="40"/>
      <c r="EO6" s="41"/>
      <c r="EP6" s="41"/>
      <c r="EQ6" s="41"/>
      <c r="ER6" s="41"/>
    </row>
    <row r="7">
      <c r="A7" s="1" t="str">
        <f>Setup!A13</f>
        <v>Sumo Deadlift</v>
      </c>
      <c r="B7" s="42">
        <f>mround(B6*Setup!B13,'Quick Setup'!$A$2)</f>
        <v>300</v>
      </c>
      <c r="C7" s="3">
        <f>Setup!C13</f>
        <v>7</v>
      </c>
      <c r="D7" s="3">
        <f>Setup!D13</f>
        <v>14</v>
      </c>
      <c r="E7" s="3">
        <f>Setup!E13</f>
        <v>5</v>
      </c>
      <c r="F7" s="10"/>
      <c r="G7" s="10"/>
      <c r="H7" s="10"/>
      <c r="I7" s="42">
        <f>mround(I6*Setup!N13,'Quick Setup'!$A$2)</f>
        <v>325</v>
      </c>
      <c r="J7" s="3">
        <f>Setup!O13</f>
        <v>6</v>
      </c>
      <c r="K7" s="3">
        <f>Setup!P13</f>
        <v>12</v>
      </c>
      <c r="L7" s="3">
        <f>Setup!Q13</f>
        <v>5</v>
      </c>
      <c r="M7" s="10"/>
      <c r="N7" s="10"/>
      <c r="O7" s="10"/>
      <c r="P7" s="42">
        <f>mround(P6*Setup!Z13,'Quick Setup'!$A$2)</f>
        <v>350</v>
      </c>
      <c r="Q7" s="3">
        <f>Setup!AA13</f>
        <v>5</v>
      </c>
      <c r="R7" s="3">
        <f>Setup!AB13</f>
        <v>10</v>
      </c>
      <c r="S7" s="3">
        <f>Setup!AC13</f>
        <v>5</v>
      </c>
      <c r="T7" s="10"/>
      <c r="U7" s="10"/>
      <c r="V7" s="10"/>
      <c r="W7" s="42">
        <f>mround(W6*Setup!AL13,'Quick Setup'!$A$2)</f>
        <v>312.5</v>
      </c>
      <c r="X7" s="3">
        <f>Setup!AM13</f>
        <v>7</v>
      </c>
      <c r="Y7" s="3">
        <f>Setup!AN13</f>
        <v>13</v>
      </c>
      <c r="Z7" s="3">
        <f>Setup!AO13</f>
        <v>5</v>
      </c>
      <c r="AA7" s="10"/>
      <c r="AB7" s="10"/>
      <c r="AC7" s="10"/>
      <c r="AD7" s="42">
        <f>mround(AD6*Setup!AX13,'Quick Setup'!$A$2)</f>
        <v>337.5</v>
      </c>
      <c r="AE7" s="3">
        <f>Setup!AY13</f>
        <v>6</v>
      </c>
      <c r="AF7" s="3">
        <f>Setup!AZ13</f>
        <v>11</v>
      </c>
      <c r="AG7" s="3">
        <f>Setup!BA13</f>
        <v>5</v>
      </c>
      <c r="AH7" s="10"/>
      <c r="AI7" s="10"/>
      <c r="AJ7" s="10"/>
      <c r="AK7" s="42">
        <f>mround(AK6*Setup!BJ13,'Quick Setup'!$A$2)</f>
        <v>362.5</v>
      </c>
      <c r="AL7" s="3">
        <f>Setup!BK13</f>
        <v>5</v>
      </c>
      <c r="AM7" s="3">
        <f>Setup!BL13</f>
        <v>9</v>
      </c>
      <c r="AN7" s="3">
        <f>Setup!BM13</f>
        <v>5</v>
      </c>
      <c r="AO7" s="10"/>
      <c r="AP7" s="10"/>
      <c r="AQ7" s="10"/>
      <c r="AR7" s="42">
        <f>mround(AR6*Setup!BV13,'Quick Setup'!$A$2)</f>
        <v>250</v>
      </c>
      <c r="AS7" s="1">
        <v>5.0</v>
      </c>
      <c r="AT7" s="1" t="s">
        <v>78</v>
      </c>
      <c r="AU7" s="3">
        <f>Setup!BY13</f>
        <v>5</v>
      </c>
      <c r="AV7" s="10"/>
      <c r="AW7" s="10"/>
      <c r="AX7" s="10"/>
      <c r="AY7" s="42">
        <f>mround(AY6*Setup!CH13,'Quick Setup'!$A$2)</f>
        <v>325</v>
      </c>
      <c r="AZ7" s="3">
        <f>Setup!CI13</f>
        <v>6</v>
      </c>
      <c r="BA7" s="3">
        <f>Setup!CJ13</f>
        <v>12</v>
      </c>
      <c r="BB7" s="3">
        <f>Setup!CK13</f>
        <v>5</v>
      </c>
      <c r="BC7" s="10"/>
      <c r="BD7" s="10"/>
      <c r="BE7" s="10"/>
      <c r="BF7" s="42">
        <f>mround(BF6*Setup!CT13,'Quick Setup'!$A$2)</f>
        <v>350</v>
      </c>
      <c r="BG7" s="3">
        <f>Setup!CU13</f>
        <v>5</v>
      </c>
      <c r="BH7" s="3">
        <f>Setup!CV13</f>
        <v>10</v>
      </c>
      <c r="BI7" s="3">
        <f>Setup!CW13</f>
        <v>5</v>
      </c>
      <c r="BJ7" s="10"/>
      <c r="BK7" s="10"/>
      <c r="BL7" s="10"/>
      <c r="BM7" s="42">
        <f>mround(BM6*Setup!DF13,'Quick Setup'!$A$2)</f>
        <v>375</v>
      </c>
      <c r="BN7" s="3">
        <f>Setup!DG13</f>
        <v>4</v>
      </c>
      <c r="BO7" s="3">
        <f>Setup!DH13</f>
        <v>8</v>
      </c>
      <c r="BP7" s="3">
        <f>Setup!DI13</f>
        <v>5</v>
      </c>
      <c r="BQ7" s="10"/>
      <c r="BR7" s="10"/>
      <c r="BS7" s="10"/>
      <c r="BT7" s="42">
        <f>mround(BT6*Setup!DR13,'Quick Setup'!$A$2)</f>
        <v>337.5</v>
      </c>
      <c r="BU7" s="3">
        <f>Setup!DS13</f>
        <v>6</v>
      </c>
      <c r="BV7" s="3">
        <f>Setup!DT13</f>
        <v>11</v>
      </c>
      <c r="BW7" s="3">
        <f>Setup!DU13</f>
        <v>5</v>
      </c>
      <c r="BX7" s="10"/>
      <c r="BY7" s="10"/>
      <c r="BZ7" s="10"/>
      <c r="CA7" s="42">
        <f>mround(CA6*Setup!ED13,'Quick Setup'!$A$2)</f>
        <v>362.5</v>
      </c>
      <c r="CB7" s="3">
        <f>Setup!EE13</f>
        <v>5</v>
      </c>
      <c r="CC7" s="3">
        <f>Setup!EF13</f>
        <v>9</v>
      </c>
      <c r="CD7" s="3">
        <f>Setup!EG13</f>
        <v>5</v>
      </c>
      <c r="CE7" s="10"/>
      <c r="CF7" s="10"/>
      <c r="CG7" s="10"/>
      <c r="CH7" s="42">
        <f>mround(CH6*Setup!EP13,'Quick Setup'!$A$2)</f>
        <v>387.5</v>
      </c>
      <c r="CI7" s="3">
        <f>Setup!EQ13</f>
        <v>4</v>
      </c>
      <c r="CJ7" s="3">
        <f>Setup!ER13</f>
        <v>7</v>
      </c>
      <c r="CK7" s="3">
        <f>Setup!ES13</f>
        <v>5</v>
      </c>
      <c r="CL7" s="10"/>
      <c r="CM7" s="10"/>
      <c r="CN7" s="10"/>
      <c r="CO7" s="42">
        <f>mround(CO6*Setup!FB13,'Quick Setup'!$A$2)</f>
        <v>250</v>
      </c>
      <c r="CP7" s="1">
        <v>5.0</v>
      </c>
      <c r="CQ7" s="1" t="s">
        <v>78</v>
      </c>
      <c r="CR7" s="3">
        <f>Setup!FE13</f>
        <v>5</v>
      </c>
      <c r="CS7" s="10"/>
      <c r="CT7" s="10"/>
      <c r="CU7" s="10"/>
      <c r="CV7" s="42">
        <f>mround(CV6*Setup!FN13,'Quick Setup'!$A$2)</f>
        <v>350</v>
      </c>
      <c r="CW7" s="3">
        <f>Setup!FO13</f>
        <v>5</v>
      </c>
      <c r="CX7" s="3">
        <f>Setup!FP13</f>
        <v>10</v>
      </c>
      <c r="CY7" s="3">
        <f>Setup!FQ13</f>
        <v>5</v>
      </c>
      <c r="CZ7" s="10"/>
      <c r="DA7" s="10"/>
      <c r="DB7" s="10"/>
      <c r="DC7" s="42">
        <f>mround(DC6*Setup!FZ13,'Quick Setup'!$A$2)</f>
        <v>375</v>
      </c>
      <c r="DD7" s="3">
        <f>Setup!GA13</f>
        <v>4</v>
      </c>
      <c r="DE7" s="3">
        <f>Setup!GB13</f>
        <v>8</v>
      </c>
      <c r="DF7" s="3">
        <f>Setup!GC13</f>
        <v>5</v>
      </c>
      <c r="DG7" s="10"/>
      <c r="DH7" s="10"/>
      <c r="DI7" s="10"/>
      <c r="DJ7" s="42">
        <f>mround(DJ6*Setup!GL13,'Quick Setup'!$A$2)</f>
        <v>400</v>
      </c>
      <c r="DK7" s="3">
        <f>Setup!GM13</f>
        <v>3</v>
      </c>
      <c r="DL7" s="3">
        <f>Setup!GN13</f>
        <v>6</v>
      </c>
      <c r="DM7" s="3">
        <f>Setup!GO13</f>
        <v>5</v>
      </c>
      <c r="DN7" s="10"/>
      <c r="DO7" s="10"/>
      <c r="DP7" s="10"/>
      <c r="DQ7" s="42">
        <f>mround(DQ6*Setup!GX13,'Quick Setup'!$A$2)</f>
        <v>375</v>
      </c>
      <c r="DR7" s="3">
        <f>Setup!GY13</f>
        <v>4</v>
      </c>
      <c r="DS7" s="3">
        <f>Setup!GZ13</f>
        <v>8</v>
      </c>
      <c r="DT7" s="3">
        <f>Setup!HA13</f>
        <v>5</v>
      </c>
      <c r="DU7" s="10"/>
      <c r="DV7" s="10"/>
      <c r="DW7" s="10"/>
      <c r="DX7" s="42">
        <f>mround(DX6*Setup!HJ13,'Quick Setup'!$A$2)</f>
        <v>400</v>
      </c>
      <c r="DY7" s="3">
        <f>Setup!HK13</f>
        <v>3</v>
      </c>
      <c r="DZ7" s="3">
        <f>Setup!HL13</f>
        <v>6</v>
      </c>
      <c r="EA7" s="3">
        <f>Setup!HM13</f>
        <v>5</v>
      </c>
      <c r="EB7" s="10"/>
      <c r="EC7" s="10"/>
      <c r="ED7" s="10"/>
      <c r="EE7" s="42">
        <f>mround(EE6*Setup!HV13,'Quick Setup'!$A$2)</f>
        <v>425</v>
      </c>
      <c r="EF7" s="3">
        <f>Setup!HW13</f>
        <v>2</v>
      </c>
      <c r="EG7" s="3">
        <f>Setup!HX13</f>
        <v>4</v>
      </c>
      <c r="EH7" s="3">
        <f>Setup!HY13</f>
        <v>5</v>
      </c>
      <c r="EI7" s="10"/>
      <c r="EJ7" s="10"/>
      <c r="EK7" s="10"/>
      <c r="EL7" s="42">
        <f>mround(EL6*Setup!IH13,'Quick Setup'!$A$2)</f>
        <v>250</v>
      </c>
      <c r="EM7" s="1">
        <v>5.0</v>
      </c>
      <c r="EN7" s="1" t="s">
        <v>78</v>
      </c>
      <c r="EO7" s="3">
        <f>Setup!IK13</f>
        <v>5</v>
      </c>
      <c r="EP7" s="10"/>
      <c r="EQ7" s="10"/>
      <c r="ER7" s="10"/>
    </row>
    <row r="8">
      <c r="A8" s="5"/>
      <c r="B8" s="43"/>
      <c r="C8" s="10"/>
      <c r="D8" s="10"/>
      <c r="E8" s="10"/>
      <c r="F8" s="10"/>
      <c r="G8" s="10"/>
      <c r="H8" s="10"/>
      <c r="I8" s="43" t="str">
        <f t="shared" ref="I8:M8" si="1">B8</f>
        <v/>
      </c>
      <c r="J8" s="10" t="str">
        <f t="shared" si="1"/>
        <v/>
      </c>
      <c r="K8" s="10" t="str">
        <f t="shared" si="1"/>
        <v/>
      </c>
      <c r="L8" s="10" t="str">
        <f t="shared" si="1"/>
        <v/>
      </c>
      <c r="M8" s="10" t="str">
        <f t="shared" si="1"/>
        <v/>
      </c>
      <c r="N8" s="10"/>
      <c r="O8" s="10"/>
      <c r="P8" s="43" t="str">
        <f t="shared" ref="P8:T8" si="2">I8</f>
        <v/>
      </c>
      <c r="Q8" s="10" t="str">
        <f t="shared" si="2"/>
        <v/>
      </c>
      <c r="R8" s="10" t="str">
        <f t="shared" si="2"/>
        <v/>
      </c>
      <c r="S8" s="10" t="str">
        <f t="shared" si="2"/>
        <v/>
      </c>
      <c r="T8" s="10" t="str">
        <f t="shared" si="2"/>
        <v/>
      </c>
      <c r="U8" s="10"/>
      <c r="V8" s="10"/>
      <c r="W8" s="43" t="str">
        <f t="shared" ref="W8:AA8" si="3">P8</f>
        <v/>
      </c>
      <c r="X8" s="10" t="str">
        <f t="shared" si="3"/>
        <v/>
      </c>
      <c r="Y8" s="10" t="str">
        <f t="shared" si="3"/>
        <v/>
      </c>
      <c r="Z8" s="10" t="str">
        <f t="shared" si="3"/>
        <v/>
      </c>
      <c r="AA8" s="10" t="str">
        <f t="shared" si="3"/>
        <v/>
      </c>
      <c r="AB8" s="10"/>
      <c r="AC8" s="10"/>
      <c r="AD8" s="43" t="str">
        <f t="shared" ref="AD8:AH8" si="4">W8</f>
        <v/>
      </c>
      <c r="AE8" s="10" t="str">
        <f t="shared" si="4"/>
        <v/>
      </c>
      <c r="AF8" s="10" t="str">
        <f t="shared" si="4"/>
        <v/>
      </c>
      <c r="AG8" s="10" t="str">
        <f t="shared" si="4"/>
        <v/>
      </c>
      <c r="AH8" s="10" t="str">
        <f t="shared" si="4"/>
        <v/>
      </c>
      <c r="AI8" s="10"/>
      <c r="AJ8" s="10"/>
      <c r="AK8" s="43" t="str">
        <f t="shared" ref="AK8:AO8" si="5">AD8</f>
        <v/>
      </c>
      <c r="AL8" s="10" t="str">
        <f t="shared" si="5"/>
        <v/>
      </c>
      <c r="AM8" s="10" t="str">
        <f t="shared" si="5"/>
        <v/>
      </c>
      <c r="AN8" s="10" t="str">
        <f t="shared" si="5"/>
        <v/>
      </c>
      <c r="AO8" s="10" t="str">
        <f t="shared" si="5"/>
        <v/>
      </c>
      <c r="AP8" s="10"/>
      <c r="AQ8" s="10"/>
      <c r="AR8" s="43" t="str">
        <f t="shared" ref="AR8:AV8" si="6">AK8</f>
        <v/>
      </c>
      <c r="AS8" s="10" t="str">
        <f t="shared" si="6"/>
        <v/>
      </c>
      <c r="AT8" s="10" t="str">
        <f t="shared" si="6"/>
        <v/>
      </c>
      <c r="AU8" s="10" t="str">
        <f t="shared" si="6"/>
        <v/>
      </c>
      <c r="AV8" s="10" t="str">
        <f t="shared" si="6"/>
        <v/>
      </c>
      <c r="AW8" s="10"/>
      <c r="AX8" s="10"/>
      <c r="AY8" s="43" t="str">
        <f t="shared" ref="AY8:BC8" si="7">AR8</f>
        <v/>
      </c>
      <c r="AZ8" s="10" t="str">
        <f t="shared" si="7"/>
        <v/>
      </c>
      <c r="BA8" s="10" t="str">
        <f t="shared" si="7"/>
        <v/>
      </c>
      <c r="BB8" s="10" t="str">
        <f t="shared" si="7"/>
        <v/>
      </c>
      <c r="BC8" s="10" t="str">
        <f t="shared" si="7"/>
        <v/>
      </c>
      <c r="BD8" s="10"/>
      <c r="BE8" s="10"/>
      <c r="BF8" s="43" t="str">
        <f t="shared" ref="BF8:BJ8" si="8">AY8</f>
        <v/>
      </c>
      <c r="BG8" s="10" t="str">
        <f t="shared" si="8"/>
        <v/>
      </c>
      <c r="BH8" s="10" t="str">
        <f t="shared" si="8"/>
        <v/>
      </c>
      <c r="BI8" s="10" t="str">
        <f t="shared" si="8"/>
        <v/>
      </c>
      <c r="BJ8" s="10" t="str">
        <f t="shared" si="8"/>
        <v/>
      </c>
      <c r="BK8" s="10"/>
      <c r="BL8" s="10"/>
      <c r="BM8" s="43" t="str">
        <f t="shared" ref="BM8:BQ8" si="9">BF8</f>
        <v/>
      </c>
      <c r="BN8" s="10" t="str">
        <f t="shared" si="9"/>
        <v/>
      </c>
      <c r="BO8" s="10" t="str">
        <f t="shared" si="9"/>
        <v/>
      </c>
      <c r="BP8" s="10" t="str">
        <f t="shared" si="9"/>
        <v/>
      </c>
      <c r="BQ8" s="10" t="str">
        <f t="shared" si="9"/>
        <v/>
      </c>
      <c r="BR8" s="10"/>
      <c r="BS8" s="10"/>
      <c r="BT8" s="43" t="str">
        <f t="shared" ref="BT8:BX8" si="10">BM8</f>
        <v/>
      </c>
      <c r="BU8" s="10" t="str">
        <f t="shared" si="10"/>
        <v/>
      </c>
      <c r="BV8" s="10" t="str">
        <f t="shared" si="10"/>
        <v/>
      </c>
      <c r="BW8" s="10" t="str">
        <f t="shared" si="10"/>
        <v/>
      </c>
      <c r="BX8" s="10" t="str">
        <f t="shared" si="10"/>
        <v/>
      </c>
      <c r="BY8" s="10"/>
      <c r="BZ8" s="10"/>
      <c r="CA8" s="43" t="str">
        <f t="shared" ref="CA8:CE8" si="11">BT8</f>
        <v/>
      </c>
      <c r="CB8" s="10" t="str">
        <f t="shared" si="11"/>
        <v/>
      </c>
      <c r="CC8" s="10" t="str">
        <f t="shared" si="11"/>
        <v/>
      </c>
      <c r="CD8" s="10" t="str">
        <f t="shared" si="11"/>
        <v/>
      </c>
      <c r="CE8" s="10" t="str">
        <f t="shared" si="11"/>
        <v/>
      </c>
      <c r="CF8" s="10"/>
      <c r="CG8" s="10"/>
      <c r="CH8" s="43" t="str">
        <f t="shared" ref="CH8:CL8" si="12">CA8</f>
        <v/>
      </c>
      <c r="CI8" s="10" t="str">
        <f t="shared" si="12"/>
        <v/>
      </c>
      <c r="CJ8" s="10" t="str">
        <f t="shared" si="12"/>
        <v/>
      </c>
      <c r="CK8" s="10" t="str">
        <f t="shared" si="12"/>
        <v/>
      </c>
      <c r="CL8" s="10" t="str">
        <f t="shared" si="12"/>
        <v/>
      </c>
      <c r="CM8" s="10"/>
      <c r="CN8" s="10"/>
      <c r="CO8" s="43" t="str">
        <f t="shared" ref="CO8:CS8" si="13">CH8</f>
        <v/>
      </c>
      <c r="CP8" s="10" t="str">
        <f t="shared" si="13"/>
        <v/>
      </c>
      <c r="CQ8" s="10" t="str">
        <f t="shared" si="13"/>
        <v/>
      </c>
      <c r="CR8" s="10" t="str">
        <f t="shared" si="13"/>
        <v/>
      </c>
      <c r="CS8" s="10" t="str">
        <f t="shared" si="13"/>
        <v/>
      </c>
      <c r="CT8" s="10"/>
      <c r="CU8" s="10"/>
      <c r="CV8" s="43" t="str">
        <f t="shared" ref="CV8:CZ8" si="14">CO8</f>
        <v/>
      </c>
      <c r="CW8" s="10" t="str">
        <f t="shared" si="14"/>
        <v/>
      </c>
      <c r="CX8" s="10" t="str">
        <f t="shared" si="14"/>
        <v/>
      </c>
      <c r="CY8" s="10" t="str">
        <f t="shared" si="14"/>
        <v/>
      </c>
      <c r="CZ8" s="10" t="str">
        <f t="shared" si="14"/>
        <v/>
      </c>
      <c r="DA8" s="10"/>
      <c r="DB8" s="10"/>
      <c r="DC8" s="43" t="str">
        <f t="shared" ref="DC8:DG8" si="15">CV8</f>
        <v/>
      </c>
      <c r="DD8" s="10" t="str">
        <f t="shared" si="15"/>
        <v/>
      </c>
      <c r="DE8" s="10" t="str">
        <f t="shared" si="15"/>
        <v/>
      </c>
      <c r="DF8" s="10" t="str">
        <f t="shared" si="15"/>
        <v/>
      </c>
      <c r="DG8" s="10" t="str">
        <f t="shared" si="15"/>
        <v/>
      </c>
      <c r="DH8" s="10"/>
      <c r="DI8" s="10"/>
      <c r="DJ8" s="43" t="str">
        <f t="shared" ref="DJ8:DN8" si="16">DC8</f>
        <v/>
      </c>
      <c r="DK8" s="10" t="str">
        <f t="shared" si="16"/>
        <v/>
      </c>
      <c r="DL8" s="10" t="str">
        <f t="shared" si="16"/>
        <v/>
      </c>
      <c r="DM8" s="10" t="str">
        <f t="shared" si="16"/>
        <v/>
      </c>
      <c r="DN8" s="10" t="str">
        <f t="shared" si="16"/>
        <v/>
      </c>
      <c r="DO8" s="10"/>
      <c r="DP8" s="10"/>
      <c r="DQ8" s="43" t="str">
        <f t="shared" ref="DQ8:DU8" si="17">DJ8</f>
        <v/>
      </c>
      <c r="DR8" s="10" t="str">
        <f t="shared" si="17"/>
        <v/>
      </c>
      <c r="DS8" s="10" t="str">
        <f t="shared" si="17"/>
        <v/>
      </c>
      <c r="DT8" s="10" t="str">
        <f t="shared" si="17"/>
        <v/>
      </c>
      <c r="DU8" s="10" t="str">
        <f t="shared" si="17"/>
        <v/>
      </c>
      <c r="DV8" s="10"/>
      <c r="DW8" s="10"/>
      <c r="DX8" s="43" t="str">
        <f t="shared" ref="DX8:EB8" si="18">DQ8</f>
        <v/>
      </c>
      <c r="DY8" s="10" t="str">
        <f t="shared" si="18"/>
        <v/>
      </c>
      <c r="DZ8" s="10" t="str">
        <f t="shared" si="18"/>
        <v/>
      </c>
      <c r="EA8" s="10" t="str">
        <f t="shared" si="18"/>
        <v/>
      </c>
      <c r="EB8" s="10" t="str">
        <f t="shared" si="18"/>
        <v/>
      </c>
      <c r="EC8" s="10"/>
      <c r="ED8" s="10"/>
      <c r="EE8" s="43" t="str">
        <f t="shared" ref="EE8:EI8" si="19">DX8</f>
        <v/>
      </c>
      <c r="EF8" s="10" t="str">
        <f t="shared" si="19"/>
        <v/>
      </c>
      <c r="EG8" s="10" t="str">
        <f t="shared" si="19"/>
        <v/>
      </c>
      <c r="EH8" s="10" t="str">
        <f t="shared" si="19"/>
        <v/>
      </c>
      <c r="EI8" s="10" t="str">
        <f t="shared" si="19"/>
        <v/>
      </c>
      <c r="EJ8" s="10"/>
      <c r="EK8" s="10"/>
      <c r="EL8" s="43" t="str">
        <f t="shared" ref="EL8:EP8" si="20">EE8</f>
        <v/>
      </c>
      <c r="EM8" s="10" t="str">
        <f t="shared" si="20"/>
        <v/>
      </c>
      <c r="EN8" s="10" t="str">
        <f t="shared" si="20"/>
        <v/>
      </c>
      <c r="EO8" s="10" t="str">
        <f t="shared" si="20"/>
        <v/>
      </c>
      <c r="EP8" s="10" t="str">
        <f t="shared" si="20"/>
        <v/>
      </c>
      <c r="EQ8" s="10"/>
      <c r="ER8" s="10"/>
    </row>
    <row r="9">
      <c r="A9" s="1" t="s">
        <v>79</v>
      </c>
      <c r="B9" s="42"/>
      <c r="C9" s="3"/>
      <c r="D9" s="3"/>
      <c r="E9" s="3"/>
      <c r="F9" s="3"/>
      <c r="G9" s="3"/>
      <c r="H9" s="3"/>
      <c r="I9" s="42"/>
      <c r="J9" s="3"/>
      <c r="K9" s="3"/>
      <c r="L9" s="3"/>
      <c r="M9" s="3"/>
      <c r="N9" s="3"/>
      <c r="O9" s="3"/>
      <c r="P9" s="42"/>
      <c r="Q9" s="3"/>
      <c r="R9" s="3"/>
      <c r="S9" s="3"/>
      <c r="T9" s="3"/>
      <c r="U9" s="3"/>
      <c r="V9" s="3"/>
      <c r="W9" s="42"/>
      <c r="X9" s="3"/>
      <c r="Y9" s="3"/>
      <c r="Z9" s="3"/>
      <c r="AA9" s="3"/>
      <c r="AB9" s="3"/>
      <c r="AC9" s="3"/>
      <c r="AD9" s="42"/>
      <c r="AE9" s="3"/>
      <c r="AF9" s="3"/>
      <c r="AG9" s="3"/>
      <c r="AH9" s="3"/>
      <c r="AI9" s="3"/>
      <c r="AJ9" s="3"/>
      <c r="AK9" s="42"/>
      <c r="AL9" s="3"/>
      <c r="AM9" s="3"/>
      <c r="AN9" s="3"/>
      <c r="AO9" s="3"/>
      <c r="AP9" s="3"/>
      <c r="AQ9" s="3"/>
      <c r="AR9" s="42"/>
      <c r="AS9" s="3"/>
      <c r="AT9" s="3"/>
      <c r="AU9" s="3"/>
      <c r="AV9" s="3"/>
      <c r="AW9" s="3"/>
      <c r="AX9" s="3"/>
      <c r="AY9" s="42"/>
      <c r="AZ9" s="3"/>
      <c r="BA9" s="3"/>
      <c r="BB9" s="3"/>
      <c r="BC9" s="3"/>
      <c r="BD9" s="3"/>
      <c r="BE9" s="3"/>
      <c r="BF9" s="42"/>
      <c r="BG9" s="3"/>
      <c r="BH9" s="3"/>
      <c r="BI9" s="3"/>
      <c r="BJ9" s="3"/>
      <c r="BK9" s="3"/>
      <c r="BL9" s="3"/>
      <c r="BM9" s="42"/>
      <c r="BN9" s="3"/>
      <c r="BO9" s="3"/>
      <c r="BP9" s="3"/>
      <c r="BQ9" s="3"/>
      <c r="BR9" s="3"/>
      <c r="BS9" s="3"/>
      <c r="BT9" s="42"/>
      <c r="BU9" s="3"/>
      <c r="BV9" s="3"/>
      <c r="BW9" s="3"/>
      <c r="BX9" s="3"/>
      <c r="BY9" s="3"/>
      <c r="BZ9" s="3"/>
      <c r="CA9" s="42"/>
      <c r="CB9" s="3"/>
      <c r="CC9" s="3"/>
      <c r="CD9" s="3"/>
      <c r="CE9" s="3"/>
      <c r="CF9" s="3"/>
      <c r="CG9" s="3"/>
      <c r="CH9" s="42"/>
      <c r="CI9" s="3"/>
      <c r="CJ9" s="3"/>
      <c r="CK9" s="3"/>
      <c r="CL9" s="3"/>
      <c r="CM9" s="3"/>
      <c r="CN9" s="3"/>
      <c r="CO9" s="42"/>
      <c r="CP9" s="3"/>
      <c r="CQ9" s="3"/>
      <c r="CR9" s="3"/>
      <c r="CS9" s="3"/>
      <c r="CT9" s="3"/>
      <c r="CU9" s="3"/>
      <c r="CV9" s="42"/>
      <c r="CW9" s="3"/>
      <c r="CX9" s="3"/>
      <c r="CY9" s="3"/>
      <c r="CZ9" s="3"/>
      <c r="DA9" s="3"/>
      <c r="DB9" s="3"/>
      <c r="DC9" s="42"/>
      <c r="DD9" s="3"/>
      <c r="DE9" s="3"/>
      <c r="DF9" s="3"/>
      <c r="DG9" s="3"/>
      <c r="DH9" s="3"/>
      <c r="DI9" s="3"/>
      <c r="DJ9" s="42"/>
      <c r="DK9" s="3"/>
      <c r="DL9" s="3"/>
      <c r="DM9" s="3"/>
      <c r="DN9" s="3"/>
      <c r="DO9" s="3"/>
      <c r="DP9" s="3"/>
      <c r="DQ9" s="42"/>
      <c r="DR9" s="3"/>
      <c r="DS9" s="3"/>
      <c r="DT9" s="3"/>
      <c r="DU9" s="3"/>
      <c r="DV9" s="3"/>
      <c r="DW9" s="3"/>
      <c r="DX9" s="42"/>
      <c r="DY9" s="3"/>
      <c r="DZ9" s="3"/>
      <c r="EA9" s="3"/>
      <c r="EB9" s="3"/>
      <c r="EC9" s="3"/>
      <c r="ED9" s="3"/>
      <c r="EE9" s="42"/>
      <c r="EF9" s="3"/>
      <c r="EG9" s="3"/>
      <c r="EH9" s="3"/>
      <c r="EI9" s="3"/>
      <c r="EJ9" s="3"/>
      <c r="EK9" s="3"/>
      <c r="EL9" s="42"/>
      <c r="EM9" s="3"/>
      <c r="EN9" s="3"/>
      <c r="EO9" s="3"/>
      <c r="EP9" s="3"/>
      <c r="EQ9" s="3"/>
      <c r="ER9" s="3"/>
    </row>
    <row r="10">
      <c r="A10" s="44"/>
      <c r="B10" s="43"/>
      <c r="C10" s="10"/>
      <c r="D10" s="10"/>
      <c r="E10" s="10"/>
      <c r="F10" s="10"/>
      <c r="G10" s="10"/>
      <c r="H10" s="10"/>
      <c r="I10" s="43" t="str">
        <f t="shared" ref="I10:M10" si="21">B10</f>
        <v/>
      </c>
      <c r="J10" s="10" t="str">
        <f t="shared" si="21"/>
        <v/>
      </c>
      <c r="K10" s="10" t="str">
        <f t="shared" si="21"/>
        <v/>
      </c>
      <c r="L10" s="10" t="str">
        <f t="shared" si="21"/>
        <v/>
      </c>
      <c r="M10" s="10" t="str">
        <f t="shared" si="21"/>
        <v/>
      </c>
      <c r="N10" s="10"/>
      <c r="O10" s="10"/>
      <c r="P10" s="43" t="str">
        <f t="shared" ref="P10:T10" si="22">I10</f>
        <v/>
      </c>
      <c r="Q10" s="10" t="str">
        <f t="shared" si="22"/>
        <v/>
      </c>
      <c r="R10" s="10" t="str">
        <f t="shared" si="22"/>
        <v/>
      </c>
      <c r="S10" s="10" t="str">
        <f t="shared" si="22"/>
        <v/>
      </c>
      <c r="T10" s="10" t="str">
        <f t="shared" si="22"/>
        <v/>
      </c>
      <c r="U10" s="10"/>
      <c r="V10" s="10"/>
      <c r="W10" s="43" t="str">
        <f t="shared" ref="W10:AA10" si="23">P10</f>
        <v/>
      </c>
      <c r="X10" s="10" t="str">
        <f t="shared" si="23"/>
        <v/>
      </c>
      <c r="Y10" s="10" t="str">
        <f t="shared" si="23"/>
        <v/>
      </c>
      <c r="Z10" s="10" t="str">
        <f t="shared" si="23"/>
        <v/>
      </c>
      <c r="AA10" s="10" t="str">
        <f t="shared" si="23"/>
        <v/>
      </c>
      <c r="AB10" s="10"/>
      <c r="AC10" s="10"/>
      <c r="AD10" s="43" t="str">
        <f t="shared" ref="AD10:AH10" si="24">W10</f>
        <v/>
      </c>
      <c r="AE10" s="10" t="str">
        <f t="shared" si="24"/>
        <v/>
      </c>
      <c r="AF10" s="10" t="str">
        <f t="shared" si="24"/>
        <v/>
      </c>
      <c r="AG10" s="10" t="str">
        <f t="shared" si="24"/>
        <v/>
      </c>
      <c r="AH10" s="10" t="str">
        <f t="shared" si="24"/>
        <v/>
      </c>
      <c r="AI10" s="10"/>
      <c r="AJ10" s="10"/>
      <c r="AK10" s="43" t="str">
        <f t="shared" ref="AK10:AO10" si="25">AD10</f>
        <v/>
      </c>
      <c r="AL10" s="10" t="str">
        <f t="shared" si="25"/>
        <v/>
      </c>
      <c r="AM10" s="10" t="str">
        <f t="shared" si="25"/>
        <v/>
      </c>
      <c r="AN10" s="10" t="str">
        <f t="shared" si="25"/>
        <v/>
      </c>
      <c r="AO10" s="10" t="str">
        <f t="shared" si="25"/>
        <v/>
      </c>
      <c r="AP10" s="10"/>
      <c r="AQ10" s="10"/>
      <c r="AR10" s="43" t="str">
        <f t="shared" ref="AR10:AV10" si="26">AK10</f>
        <v/>
      </c>
      <c r="AS10" s="10" t="str">
        <f t="shared" si="26"/>
        <v/>
      </c>
      <c r="AT10" s="10" t="str">
        <f t="shared" si="26"/>
        <v/>
      </c>
      <c r="AU10" s="10" t="str">
        <f t="shared" si="26"/>
        <v/>
      </c>
      <c r="AV10" s="10" t="str">
        <f t="shared" si="26"/>
        <v/>
      </c>
      <c r="AW10" s="10"/>
      <c r="AX10" s="10"/>
      <c r="AY10" s="43" t="str">
        <f t="shared" ref="AY10:BC10" si="27">AR10</f>
        <v/>
      </c>
      <c r="AZ10" s="10" t="str">
        <f t="shared" si="27"/>
        <v/>
      </c>
      <c r="BA10" s="10" t="str">
        <f t="shared" si="27"/>
        <v/>
      </c>
      <c r="BB10" s="10" t="str">
        <f t="shared" si="27"/>
        <v/>
      </c>
      <c r="BC10" s="10" t="str">
        <f t="shared" si="27"/>
        <v/>
      </c>
      <c r="BD10" s="10"/>
      <c r="BE10" s="10"/>
      <c r="BF10" s="43" t="str">
        <f t="shared" ref="BF10:BJ10" si="28">AY10</f>
        <v/>
      </c>
      <c r="BG10" s="10" t="str">
        <f t="shared" si="28"/>
        <v/>
      </c>
      <c r="BH10" s="10" t="str">
        <f t="shared" si="28"/>
        <v/>
      </c>
      <c r="BI10" s="10" t="str">
        <f t="shared" si="28"/>
        <v/>
      </c>
      <c r="BJ10" s="10" t="str">
        <f t="shared" si="28"/>
        <v/>
      </c>
      <c r="BK10" s="10"/>
      <c r="BL10" s="10"/>
      <c r="BM10" s="43" t="str">
        <f t="shared" ref="BM10:BQ10" si="29">BF10</f>
        <v/>
      </c>
      <c r="BN10" s="10" t="str">
        <f t="shared" si="29"/>
        <v/>
      </c>
      <c r="BO10" s="10" t="str">
        <f t="shared" si="29"/>
        <v/>
      </c>
      <c r="BP10" s="10" t="str">
        <f t="shared" si="29"/>
        <v/>
      </c>
      <c r="BQ10" s="10" t="str">
        <f t="shared" si="29"/>
        <v/>
      </c>
      <c r="BR10" s="10"/>
      <c r="BS10" s="10"/>
      <c r="BT10" s="43" t="str">
        <f t="shared" ref="BT10:BX10" si="30">BM10</f>
        <v/>
      </c>
      <c r="BU10" s="10" t="str">
        <f t="shared" si="30"/>
        <v/>
      </c>
      <c r="BV10" s="10" t="str">
        <f t="shared" si="30"/>
        <v/>
      </c>
      <c r="BW10" s="10" t="str">
        <f t="shared" si="30"/>
        <v/>
      </c>
      <c r="BX10" s="10" t="str">
        <f t="shared" si="30"/>
        <v/>
      </c>
      <c r="BY10" s="10"/>
      <c r="BZ10" s="10"/>
      <c r="CA10" s="43" t="str">
        <f t="shared" ref="CA10:CE10" si="31">BT10</f>
        <v/>
      </c>
      <c r="CB10" s="10" t="str">
        <f t="shared" si="31"/>
        <v/>
      </c>
      <c r="CC10" s="10" t="str">
        <f t="shared" si="31"/>
        <v/>
      </c>
      <c r="CD10" s="10" t="str">
        <f t="shared" si="31"/>
        <v/>
      </c>
      <c r="CE10" s="10" t="str">
        <f t="shared" si="31"/>
        <v/>
      </c>
      <c r="CF10" s="10"/>
      <c r="CG10" s="10"/>
      <c r="CH10" s="43" t="str">
        <f t="shared" ref="CH10:CL10" si="32">CA10</f>
        <v/>
      </c>
      <c r="CI10" s="10" t="str">
        <f t="shared" si="32"/>
        <v/>
      </c>
      <c r="CJ10" s="10" t="str">
        <f t="shared" si="32"/>
        <v/>
      </c>
      <c r="CK10" s="10" t="str">
        <f t="shared" si="32"/>
        <v/>
      </c>
      <c r="CL10" s="10" t="str">
        <f t="shared" si="32"/>
        <v/>
      </c>
      <c r="CM10" s="10"/>
      <c r="CN10" s="10"/>
      <c r="CO10" s="43" t="str">
        <f t="shared" ref="CO10:CS10" si="33">CH10</f>
        <v/>
      </c>
      <c r="CP10" s="10" t="str">
        <f t="shared" si="33"/>
        <v/>
      </c>
      <c r="CQ10" s="10" t="str">
        <f t="shared" si="33"/>
        <v/>
      </c>
      <c r="CR10" s="10" t="str">
        <f t="shared" si="33"/>
        <v/>
      </c>
      <c r="CS10" s="10" t="str">
        <f t="shared" si="33"/>
        <v/>
      </c>
      <c r="CT10" s="10"/>
      <c r="CU10" s="10"/>
      <c r="CV10" s="43" t="str">
        <f t="shared" ref="CV10:CZ10" si="34">CO10</f>
        <v/>
      </c>
      <c r="CW10" s="10" t="str">
        <f t="shared" si="34"/>
        <v/>
      </c>
      <c r="CX10" s="10" t="str">
        <f t="shared" si="34"/>
        <v/>
      </c>
      <c r="CY10" s="10" t="str">
        <f t="shared" si="34"/>
        <v/>
      </c>
      <c r="CZ10" s="10" t="str">
        <f t="shared" si="34"/>
        <v/>
      </c>
      <c r="DA10" s="10"/>
      <c r="DB10" s="10"/>
      <c r="DC10" s="43" t="str">
        <f t="shared" ref="DC10:DG10" si="35">CV10</f>
        <v/>
      </c>
      <c r="DD10" s="10" t="str">
        <f t="shared" si="35"/>
        <v/>
      </c>
      <c r="DE10" s="10" t="str">
        <f t="shared" si="35"/>
        <v/>
      </c>
      <c r="DF10" s="10" t="str">
        <f t="shared" si="35"/>
        <v/>
      </c>
      <c r="DG10" s="10" t="str">
        <f t="shared" si="35"/>
        <v/>
      </c>
      <c r="DH10" s="10"/>
      <c r="DI10" s="10"/>
      <c r="DJ10" s="43" t="str">
        <f t="shared" ref="DJ10:DN10" si="36">DC10</f>
        <v/>
      </c>
      <c r="DK10" s="10" t="str">
        <f t="shared" si="36"/>
        <v/>
      </c>
      <c r="DL10" s="10" t="str">
        <f t="shared" si="36"/>
        <v/>
      </c>
      <c r="DM10" s="10" t="str">
        <f t="shared" si="36"/>
        <v/>
      </c>
      <c r="DN10" s="10" t="str">
        <f t="shared" si="36"/>
        <v/>
      </c>
      <c r="DO10" s="10"/>
      <c r="DP10" s="10"/>
      <c r="DQ10" s="43" t="str">
        <f t="shared" ref="DQ10:DU10" si="37">DJ10</f>
        <v/>
      </c>
      <c r="DR10" s="10" t="str">
        <f t="shared" si="37"/>
        <v/>
      </c>
      <c r="DS10" s="10" t="str">
        <f t="shared" si="37"/>
        <v/>
      </c>
      <c r="DT10" s="10" t="str">
        <f t="shared" si="37"/>
        <v/>
      </c>
      <c r="DU10" s="10" t="str">
        <f t="shared" si="37"/>
        <v/>
      </c>
      <c r="DV10" s="10"/>
      <c r="DW10" s="10"/>
      <c r="DX10" s="43" t="str">
        <f t="shared" ref="DX10:EB10" si="38">DQ10</f>
        <v/>
      </c>
      <c r="DY10" s="10" t="str">
        <f t="shared" si="38"/>
        <v/>
      </c>
      <c r="DZ10" s="10" t="str">
        <f t="shared" si="38"/>
        <v/>
      </c>
      <c r="EA10" s="10" t="str">
        <f t="shared" si="38"/>
        <v/>
      </c>
      <c r="EB10" s="10" t="str">
        <f t="shared" si="38"/>
        <v/>
      </c>
      <c r="EC10" s="10"/>
      <c r="ED10" s="10"/>
      <c r="EE10" s="43" t="str">
        <f t="shared" ref="EE10:EI10" si="39">DX10</f>
        <v/>
      </c>
      <c r="EF10" s="10" t="str">
        <f t="shared" si="39"/>
        <v/>
      </c>
      <c r="EG10" s="10" t="str">
        <f t="shared" si="39"/>
        <v/>
      </c>
      <c r="EH10" s="10" t="str">
        <f t="shared" si="39"/>
        <v/>
      </c>
      <c r="EI10" s="10" t="str">
        <f t="shared" si="39"/>
        <v/>
      </c>
      <c r="EJ10" s="10"/>
      <c r="EK10" s="10"/>
      <c r="EL10" s="43" t="str">
        <f t="shared" ref="EL10:EP10" si="40">EE10</f>
        <v/>
      </c>
      <c r="EM10" s="10" t="str">
        <f t="shared" si="40"/>
        <v/>
      </c>
      <c r="EN10" s="10" t="str">
        <f t="shared" si="40"/>
        <v/>
      </c>
      <c r="EO10" s="10" t="str">
        <f t="shared" si="40"/>
        <v/>
      </c>
      <c r="EP10" s="10" t="str">
        <f t="shared" si="40"/>
        <v/>
      </c>
      <c r="EQ10" s="10"/>
      <c r="ER10" s="10"/>
    </row>
    <row r="11">
      <c r="A11" s="44"/>
      <c r="B11" s="43"/>
      <c r="C11" s="10"/>
      <c r="D11" s="10"/>
      <c r="E11" s="10"/>
      <c r="F11" s="10"/>
      <c r="G11" s="10"/>
      <c r="H11" s="10"/>
      <c r="I11" s="43" t="str">
        <f t="shared" ref="I11:M11" si="41">B11</f>
        <v/>
      </c>
      <c r="J11" s="10" t="str">
        <f t="shared" si="41"/>
        <v/>
      </c>
      <c r="K11" s="10" t="str">
        <f t="shared" si="41"/>
        <v/>
      </c>
      <c r="L11" s="10" t="str">
        <f t="shared" si="41"/>
        <v/>
      </c>
      <c r="M11" s="10" t="str">
        <f t="shared" si="41"/>
        <v/>
      </c>
      <c r="N11" s="10"/>
      <c r="O11" s="10"/>
      <c r="P11" s="43" t="str">
        <f t="shared" ref="P11:T11" si="42">I11</f>
        <v/>
      </c>
      <c r="Q11" s="10" t="str">
        <f t="shared" si="42"/>
        <v/>
      </c>
      <c r="R11" s="10" t="str">
        <f t="shared" si="42"/>
        <v/>
      </c>
      <c r="S11" s="10" t="str">
        <f t="shared" si="42"/>
        <v/>
      </c>
      <c r="T11" s="10" t="str">
        <f t="shared" si="42"/>
        <v/>
      </c>
      <c r="U11" s="10"/>
      <c r="V11" s="10"/>
      <c r="W11" s="43" t="str">
        <f t="shared" ref="W11:AA11" si="43">P11</f>
        <v/>
      </c>
      <c r="X11" s="10" t="str">
        <f t="shared" si="43"/>
        <v/>
      </c>
      <c r="Y11" s="10" t="str">
        <f t="shared" si="43"/>
        <v/>
      </c>
      <c r="Z11" s="10" t="str">
        <f t="shared" si="43"/>
        <v/>
      </c>
      <c r="AA11" s="10" t="str">
        <f t="shared" si="43"/>
        <v/>
      </c>
      <c r="AB11" s="10"/>
      <c r="AC11" s="10"/>
      <c r="AD11" s="43" t="str">
        <f t="shared" ref="AD11:AH11" si="44">W11</f>
        <v/>
      </c>
      <c r="AE11" s="10" t="str">
        <f t="shared" si="44"/>
        <v/>
      </c>
      <c r="AF11" s="10" t="str">
        <f t="shared" si="44"/>
        <v/>
      </c>
      <c r="AG11" s="10" t="str">
        <f t="shared" si="44"/>
        <v/>
      </c>
      <c r="AH11" s="10" t="str">
        <f t="shared" si="44"/>
        <v/>
      </c>
      <c r="AI11" s="10"/>
      <c r="AJ11" s="10"/>
      <c r="AK11" s="43" t="str">
        <f t="shared" ref="AK11:AO11" si="45">AD11</f>
        <v/>
      </c>
      <c r="AL11" s="10" t="str">
        <f t="shared" si="45"/>
        <v/>
      </c>
      <c r="AM11" s="10" t="str">
        <f t="shared" si="45"/>
        <v/>
      </c>
      <c r="AN11" s="10" t="str">
        <f t="shared" si="45"/>
        <v/>
      </c>
      <c r="AO11" s="10" t="str">
        <f t="shared" si="45"/>
        <v/>
      </c>
      <c r="AP11" s="10"/>
      <c r="AQ11" s="10"/>
      <c r="AR11" s="43" t="str">
        <f t="shared" ref="AR11:AV11" si="46">AK11</f>
        <v/>
      </c>
      <c r="AS11" s="10" t="str">
        <f t="shared" si="46"/>
        <v/>
      </c>
      <c r="AT11" s="10" t="str">
        <f t="shared" si="46"/>
        <v/>
      </c>
      <c r="AU11" s="10" t="str">
        <f t="shared" si="46"/>
        <v/>
      </c>
      <c r="AV11" s="10" t="str">
        <f t="shared" si="46"/>
        <v/>
      </c>
      <c r="AW11" s="10"/>
      <c r="AX11" s="10"/>
      <c r="AY11" s="43" t="str">
        <f t="shared" ref="AY11:BC11" si="47">AR11</f>
        <v/>
      </c>
      <c r="AZ11" s="10" t="str">
        <f t="shared" si="47"/>
        <v/>
      </c>
      <c r="BA11" s="10" t="str">
        <f t="shared" si="47"/>
        <v/>
      </c>
      <c r="BB11" s="10" t="str">
        <f t="shared" si="47"/>
        <v/>
      </c>
      <c r="BC11" s="10" t="str">
        <f t="shared" si="47"/>
        <v/>
      </c>
      <c r="BD11" s="10"/>
      <c r="BE11" s="10"/>
      <c r="BF11" s="43" t="str">
        <f t="shared" ref="BF11:BJ11" si="48">AY11</f>
        <v/>
      </c>
      <c r="BG11" s="10" t="str">
        <f t="shared" si="48"/>
        <v/>
      </c>
      <c r="BH11" s="10" t="str">
        <f t="shared" si="48"/>
        <v/>
      </c>
      <c r="BI11" s="10" t="str">
        <f t="shared" si="48"/>
        <v/>
      </c>
      <c r="BJ11" s="10" t="str">
        <f t="shared" si="48"/>
        <v/>
      </c>
      <c r="BK11" s="10"/>
      <c r="BL11" s="10"/>
      <c r="BM11" s="43" t="str">
        <f t="shared" ref="BM11:BQ11" si="49">BF11</f>
        <v/>
      </c>
      <c r="BN11" s="10" t="str">
        <f t="shared" si="49"/>
        <v/>
      </c>
      <c r="BO11" s="10" t="str">
        <f t="shared" si="49"/>
        <v/>
      </c>
      <c r="BP11" s="10" t="str">
        <f t="shared" si="49"/>
        <v/>
      </c>
      <c r="BQ11" s="10" t="str">
        <f t="shared" si="49"/>
        <v/>
      </c>
      <c r="BR11" s="10"/>
      <c r="BS11" s="10"/>
      <c r="BT11" s="43" t="str">
        <f t="shared" ref="BT11:BX11" si="50">BM11</f>
        <v/>
      </c>
      <c r="BU11" s="10" t="str">
        <f t="shared" si="50"/>
        <v/>
      </c>
      <c r="BV11" s="10" t="str">
        <f t="shared" si="50"/>
        <v/>
      </c>
      <c r="BW11" s="10" t="str">
        <f t="shared" si="50"/>
        <v/>
      </c>
      <c r="BX11" s="10" t="str">
        <f t="shared" si="50"/>
        <v/>
      </c>
      <c r="BY11" s="10"/>
      <c r="BZ11" s="10"/>
      <c r="CA11" s="43" t="str">
        <f t="shared" ref="CA11:CE11" si="51">BT11</f>
        <v/>
      </c>
      <c r="CB11" s="10" t="str">
        <f t="shared" si="51"/>
        <v/>
      </c>
      <c r="CC11" s="10" t="str">
        <f t="shared" si="51"/>
        <v/>
      </c>
      <c r="CD11" s="10" t="str">
        <f t="shared" si="51"/>
        <v/>
      </c>
      <c r="CE11" s="10" t="str">
        <f t="shared" si="51"/>
        <v/>
      </c>
      <c r="CF11" s="10"/>
      <c r="CG11" s="10"/>
      <c r="CH11" s="43" t="str">
        <f t="shared" ref="CH11:CL11" si="52">CA11</f>
        <v/>
      </c>
      <c r="CI11" s="10" t="str">
        <f t="shared" si="52"/>
        <v/>
      </c>
      <c r="CJ11" s="10" t="str">
        <f t="shared" si="52"/>
        <v/>
      </c>
      <c r="CK11" s="10" t="str">
        <f t="shared" si="52"/>
        <v/>
      </c>
      <c r="CL11" s="10" t="str">
        <f t="shared" si="52"/>
        <v/>
      </c>
      <c r="CM11" s="10"/>
      <c r="CN11" s="10"/>
      <c r="CO11" s="43" t="str">
        <f t="shared" ref="CO11:CS11" si="53">CH11</f>
        <v/>
      </c>
      <c r="CP11" s="10" t="str">
        <f t="shared" si="53"/>
        <v/>
      </c>
      <c r="CQ11" s="10" t="str">
        <f t="shared" si="53"/>
        <v/>
      </c>
      <c r="CR11" s="10" t="str">
        <f t="shared" si="53"/>
        <v/>
      </c>
      <c r="CS11" s="10" t="str">
        <f t="shared" si="53"/>
        <v/>
      </c>
      <c r="CT11" s="10"/>
      <c r="CU11" s="10"/>
      <c r="CV11" s="43" t="str">
        <f t="shared" ref="CV11:CZ11" si="54">CO11</f>
        <v/>
      </c>
      <c r="CW11" s="10" t="str">
        <f t="shared" si="54"/>
        <v/>
      </c>
      <c r="CX11" s="10" t="str">
        <f t="shared" si="54"/>
        <v/>
      </c>
      <c r="CY11" s="10" t="str">
        <f t="shared" si="54"/>
        <v/>
      </c>
      <c r="CZ11" s="10" t="str">
        <f t="shared" si="54"/>
        <v/>
      </c>
      <c r="DA11" s="10"/>
      <c r="DB11" s="10"/>
      <c r="DC11" s="43" t="str">
        <f t="shared" ref="DC11:DG11" si="55">CV11</f>
        <v/>
      </c>
      <c r="DD11" s="10" t="str">
        <f t="shared" si="55"/>
        <v/>
      </c>
      <c r="DE11" s="10" t="str">
        <f t="shared" si="55"/>
        <v/>
      </c>
      <c r="DF11" s="10" t="str">
        <f t="shared" si="55"/>
        <v/>
      </c>
      <c r="DG11" s="10" t="str">
        <f t="shared" si="55"/>
        <v/>
      </c>
      <c r="DH11" s="10"/>
      <c r="DI11" s="10"/>
      <c r="DJ11" s="43" t="str">
        <f t="shared" ref="DJ11:DN11" si="56">DC11</f>
        <v/>
      </c>
      <c r="DK11" s="10" t="str">
        <f t="shared" si="56"/>
        <v/>
      </c>
      <c r="DL11" s="10" t="str">
        <f t="shared" si="56"/>
        <v/>
      </c>
      <c r="DM11" s="10" t="str">
        <f t="shared" si="56"/>
        <v/>
      </c>
      <c r="DN11" s="10" t="str">
        <f t="shared" si="56"/>
        <v/>
      </c>
      <c r="DO11" s="10"/>
      <c r="DP11" s="10"/>
      <c r="DQ11" s="43" t="str">
        <f t="shared" ref="DQ11:DU11" si="57">DJ11</f>
        <v/>
      </c>
      <c r="DR11" s="10" t="str">
        <f t="shared" si="57"/>
        <v/>
      </c>
      <c r="DS11" s="10" t="str">
        <f t="shared" si="57"/>
        <v/>
      </c>
      <c r="DT11" s="10" t="str">
        <f t="shared" si="57"/>
        <v/>
      </c>
      <c r="DU11" s="10" t="str">
        <f t="shared" si="57"/>
        <v/>
      </c>
      <c r="DV11" s="10"/>
      <c r="DW11" s="10"/>
      <c r="DX11" s="43" t="str">
        <f t="shared" ref="DX11:EB11" si="58">DQ11</f>
        <v/>
      </c>
      <c r="DY11" s="10" t="str">
        <f t="shared" si="58"/>
        <v/>
      </c>
      <c r="DZ11" s="10" t="str">
        <f t="shared" si="58"/>
        <v/>
      </c>
      <c r="EA11" s="10" t="str">
        <f t="shared" si="58"/>
        <v/>
      </c>
      <c r="EB11" s="10" t="str">
        <f t="shared" si="58"/>
        <v/>
      </c>
      <c r="EC11" s="10"/>
      <c r="ED11" s="10"/>
      <c r="EE11" s="43" t="str">
        <f t="shared" ref="EE11:EI11" si="59">DX11</f>
        <v/>
      </c>
      <c r="EF11" s="10" t="str">
        <f t="shared" si="59"/>
        <v/>
      </c>
      <c r="EG11" s="10" t="str">
        <f t="shared" si="59"/>
        <v/>
      </c>
      <c r="EH11" s="10" t="str">
        <f t="shared" si="59"/>
        <v/>
      </c>
      <c r="EI11" s="10" t="str">
        <f t="shared" si="59"/>
        <v/>
      </c>
      <c r="EJ11" s="10"/>
      <c r="EK11" s="10"/>
      <c r="EL11" s="43" t="str">
        <f t="shared" ref="EL11:EP11" si="60">EE11</f>
        <v/>
      </c>
      <c r="EM11" s="10" t="str">
        <f t="shared" si="60"/>
        <v/>
      </c>
      <c r="EN11" s="10" t="str">
        <f t="shared" si="60"/>
        <v/>
      </c>
      <c r="EO11" s="10" t="str">
        <f t="shared" si="60"/>
        <v/>
      </c>
      <c r="EP11" s="10" t="str">
        <f t="shared" si="60"/>
        <v/>
      </c>
      <c r="EQ11" s="10"/>
      <c r="ER11" s="10"/>
    </row>
    <row r="12">
      <c r="A12" s="45"/>
      <c r="B12" s="46"/>
      <c r="C12" s="47"/>
      <c r="D12" s="47"/>
      <c r="E12" s="47"/>
      <c r="F12" s="47"/>
      <c r="G12" s="47"/>
      <c r="H12" s="47"/>
      <c r="I12" s="46" t="str">
        <f t="shared" ref="I12:M12" si="61">B12</f>
        <v/>
      </c>
      <c r="J12" s="47" t="str">
        <f t="shared" si="61"/>
        <v/>
      </c>
      <c r="K12" s="47" t="str">
        <f t="shared" si="61"/>
        <v/>
      </c>
      <c r="L12" s="47" t="str">
        <f t="shared" si="61"/>
        <v/>
      </c>
      <c r="M12" s="47" t="str">
        <f t="shared" si="61"/>
        <v/>
      </c>
      <c r="N12" s="47"/>
      <c r="O12" s="47"/>
      <c r="P12" s="46" t="str">
        <f t="shared" ref="P12:T12" si="62">I12</f>
        <v/>
      </c>
      <c r="Q12" s="47" t="str">
        <f t="shared" si="62"/>
        <v/>
      </c>
      <c r="R12" s="47" t="str">
        <f t="shared" si="62"/>
        <v/>
      </c>
      <c r="S12" s="47" t="str">
        <f t="shared" si="62"/>
        <v/>
      </c>
      <c r="T12" s="47" t="str">
        <f t="shared" si="62"/>
        <v/>
      </c>
      <c r="U12" s="47"/>
      <c r="V12" s="47"/>
      <c r="W12" s="46" t="str">
        <f t="shared" ref="W12:AA12" si="63">P12</f>
        <v/>
      </c>
      <c r="X12" s="47" t="str">
        <f t="shared" si="63"/>
        <v/>
      </c>
      <c r="Y12" s="47" t="str">
        <f t="shared" si="63"/>
        <v/>
      </c>
      <c r="Z12" s="47" t="str">
        <f t="shared" si="63"/>
        <v/>
      </c>
      <c r="AA12" s="47" t="str">
        <f t="shared" si="63"/>
        <v/>
      </c>
      <c r="AB12" s="47"/>
      <c r="AC12" s="47"/>
      <c r="AD12" s="46" t="str">
        <f t="shared" ref="AD12:AH12" si="64">W12</f>
        <v/>
      </c>
      <c r="AE12" s="47" t="str">
        <f t="shared" si="64"/>
        <v/>
      </c>
      <c r="AF12" s="47" t="str">
        <f t="shared" si="64"/>
        <v/>
      </c>
      <c r="AG12" s="47" t="str">
        <f t="shared" si="64"/>
        <v/>
      </c>
      <c r="AH12" s="47" t="str">
        <f t="shared" si="64"/>
        <v/>
      </c>
      <c r="AI12" s="47"/>
      <c r="AJ12" s="47"/>
      <c r="AK12" s="46" t="str">
        <f t="shared" ref="AK12:AO12" si="65">AD12</f>
        <v/>
      </c>
      <c r="AL12" s="47" t="str">
        <f t="shared" si="65"/>
        <v/>
      </c>
      <c r="AM12" s="47" t="str">
        <f t="shared" si="65"/>
        <v/>
      </c>
      <c r="AN12" s="47" t="str">
        <f t="shared" si="65"/>
        <v/>
      </c>
      <c r="AO12" s="47" t="str">
        <f t="shared" si="65"/>
        <v/>
      </c>
      <c r="AP12" s="47"/>
      <c r="AQ12" s="47"/>
      <c r="AR12" s="46" t="str">
        <f t="shared" ref="AR12:AV12" si="66">AK12</f>
        <v/>
      </c>
      <c r="AS12" s="47" t="str">
        <f t="shared" si="66"/>
        <v/>
      </c>
      <c r="AT12" s="47" t="str">
        <f t="shared" si="66"/>
        <v/>
      </c>
      <c r="AU12" s="47" t="str">
        <f t="shared" si="66"/>
        <v/>
      </c>
      <c r="AV12" s="47" t="str">
        <f t="shared" si="66"/>
        <v/>
      </c>
      <c r="AW12" s="47"/>
      <c r="AX12" s="47"/>
      <c r="AY12" s="46" t="str">
        <f t="shared" ref="AY12:BC12" si="67">AR12</f>
        <v/>
      </c>
      <c r="AZ12" s="47" t="str">
        <f t="shared" si="67"/>
        <v/>
      </c>
      <c r="BA12" s="47" t="str">
        <f t="shared" si="67"/>
        <v/>
      </c>
      <c r="BB12" s="47" t="str">
        <f t="shared" si="67"/>
        <v/>
      </c>
      <c r="BC12" s="47" t="str">
        <f t="shared" si="67"/>
        <v/>
      </c>
      <c r="BD12" s="47"/>
      <c r="BE12" s="47"/>
      <c r="BF12" s="46" t="str">
        <f t="shared" ref="BF12:BJ12" si="68">AY12</f>
        <v/>
      </c>
      <c r="BG12" s="47" t="str">
        <f t="shared" si="68"/>
        <v/>
      </c>
      <c r="BH12" s="47" t="str">
        <f t="shared" si="68"/>
        <v/>
      </c>
      <c r="BI12" s="47" t="str">
        <f t="shared" si="68"/>
        <v/>
      </c>
      <c r="BJ12" s="47" t="str">
        <f t="shared" si="68"/>
        <v/>
      </c>
      <c r="BK12" s="47"/>
      <c r="BL12" s="47"/>
      <c r="BM12" s="46" t="str">
        <f t="shared" ref="BM12:BQ12" si="69">BF12</f>
        <v/>
      </c>
      <c r="BN12" s="47" t="str">
        <f t="shared" si="69"/>
        <v/>
      </c>
      <c r="BO12" s="47" t="str">
        <f t="shared" si="69"/>
        <v/>
      </c>
      <c r="BP12" s="47" t="str">
        <f t="shared" si="69"/>
        <v/>
      </c>
      <c r="BQ12" s="47" t="str">
        <f t="shared" si="69"/>
        <v/>
      </c>
      <c r="BR12" s="47"/>
      <c r="BS12" s="47"/>
      <c r="BT12" s="46" t="str">
        <f t="shared" ref="BT12:BX12" si="70">BM12</f>
        <v/>
      </c>
      <c r="BU12" s="47" t="str">
        <f t="shared" si="70"/>
        <v/>
      </c>
      <c r="BV12" s="47" t="str">
        <f t="shared" si="70"/>
        <v/>
      </c>
      <c r="BW12" s="47" t="str">
        <f t="shared" si="70"/>
        <v/>
      </c>
      <c r="BX12" s="47" t="str">
        <f t="shared" si="70"/>
        <v/>
      </c>
      <c r="BY12" s="47"/>
      <c r="BZ12" s="47"/>
      <c r="CA12" s="46" t="str">
        <f t="shared" ref="CA12:CE12" si="71">BT12</f>
        <v/>
      </c>
      <c r="CB12" s="47" t="str">
        <f t="shared" si="71"/>
        <v/>
      </c>
      <c r="CC12" s="47" t="str">
        <f t="shared" si="71"/>
        <v/>
      </c>
      <c r="CD12" s="47" t="str">
        <f t="shared" si="71"/>
        <v/>
      </c>
      <c r="CE12" s="47" t="str">
        <f t="shared" si="71"/>
        <v/>
      </c>
      <c r="CF12" s="47"/>
      <c r="CG12" s="47"/>
      <c r="CH12" s="46" t="str">
        <f t="shared" ref="CH12:CL12" si="72">CA12</f>
        <v/>
      </c>
      <c r="CI12" s="47" t="str">
        <f t="shared" si="72"/>
        <v/>
      </c>
      <c r="CJ12" s="47" t="str">
        <f t="shared" si="72"/>
        <v/>
      </c>
      <c r="CK12" s="47" t="str">
        <f t="shared" si="72"/>
        <v/>
      </c>
      <c r="CL12" s="47" t="str">
        <f t="shared" si="72"/>
        <v/>
      </c>
      <c r="CM12" s="47"/>
      <c r="CN12" s="47"/>
      <c r="CO12" s="46" t="str">
        <f t="shared" ref="CO12:CS12" si="73">CH12</f>
        <v/>
      </c>
      <c r="CP12" s="47" t="str">
        <f t="shared" si="73"/>
        <v/>
      </c>
      <c r="CQ12" s="47" t="str">
        <f t="shared" si="73"/>
        <v/>
      </c>
      <c r="CR12" s="47" t="str">
        <f t="shared" si="73"/>
        <v/>
      </c>
      <c r="CS12" s="47" t="str">
        <f t="shared" si="73"/>
        <v/>
      </c>
      <c r="CT12" s="47"/>
      <c r="CU12" s="47"/>
      <c r="CV12" s="46" t="str">
        <f t="shared" ref="CV12:CZ12" si="74">CO12</f>
        <v/>
      </c>
      <c r="CW12" s="47" t="str">
        <f t="shared" si="74"/>
        <v/>
      </c>
      <c r="CX12" s="47" t="str">
        <f t="shared" si="74"/>
        <v/>
      </c>
      <c r="CY12" s="47" t="str">
        <f t="shared" si="74"/>
        <v/>
      </c>
      <c r="CZ12" s="47" t="str">
        <f t="shared" si="74"/>
        <v/>
      </c>
      <c r="DA12" s="47"/>
      <c r="DB12" s="47"/>
      <c r="DC12" s="46" t="str">
        <f t="shared" ref="DC12:DG12" si="75">CV12</f>
        <v/>
      </c>
      <c r="DD12" s="47" t="str">
        <f t="shared" si="75"/>
        <v/>
      </c>
      <c r="DE12" s="47" t="str">
        <f t="shared" si="75"/>
        <v/>
      </c>
      <c r="DF12" s="47" t="str">
        <f t="shared" si="75"/>
        <v/>
      </c>
      <c r="DG12" s="47" t="str">
        <f t="shared" si="75"/>
        <v/>
      </c>
      <c r="DH12" s="47"/>
      <c r="DI12" s="47"/>
      <c r="DJ12" s="46" t="str">
        <f t="shared" ref="DJ12:DN12" si="76">DC12</f>
        <v/>
      </c>
      <c r="DK12" s="47" t="str">
        <f t="shared" si="76"/>
        <v/>
      </c>
      <c r="DL12" s="47" t="str">
        <f t="shared" si="76"/>
        <v/>
      </c>
      <c r="DM12" s="47" t="str">
        <f t="shared" si="76"/>
        <v/>
      </c>
      <c r="DN12" s="47" t="str">
        <f t="shared" si="76"/>
        <v/>
      </c>
      <c r="DO12" s="47"/>
      <c r="DP12" s="47"/>
      <c r="DQ12" s="46" t="str">
        <f t="shared" ref="DQ12:DU12" si="77">DJ12</f>
        <v/>
      </c>
      <c r="DR12" s="47" t="str">
        <f t="shared" si="77"/>
        <v/>
      </c>
      <c r="DS12" s="47" t="str">
        <f t="shared" si="77"/>
        <v/>
      </c>
      <c r="DT12" s="47" t="str">
        <f t="shared" si="77"/>
        <v/>
      </c>
      <c r="DU12" s="47" t="str">
        <f t="shared" si="77"/>
        <v/>
      </c>
      <c r="DV12" s="47"/>
      <c r="DW12" s="47"/>
      <c r="DX12" s="46" t="str">
        <f t="shared" ref="DX12:EB12" si="78">DQ12</f>
        <v/>
      </c>
      <c r="DY12" s="47" t="str">
        <f t="shared" si="78"/>
        <v/>
      </c>
      <c r="DZ12" s="47" t="str">
        <f t="shared" si="78"/>
        <v/>
      </c>
      <c r="EA12" s="47" t="str">
        <f t="shared" si="78"/>
        <v/>
      </c>
      <c r="EB12" s="47" t="str">
        <f t="shared" si="78"/>
        <v/>
      </c>
      <c r="EC12" s="47"/>
      <c r="ED12" s="47"/>
      <c r="EE12" s="46" t="str">
        <f t="shared" ref="EE12:EI12" si="79">DX12</f>
        <v/>
      </c>
      <c r="EF12" s="47" t="str">
        <f t="shared" si="79"/>
        <v/>
      </c>
      <c r="EG12" s="47" t="str">
        <f t="shared" si="79"/>
        <v/>
      </c>
      <c r="EH12" s="47" t="str">
        <f t="shared" si="79"/>
        <v/>
      </c>
      <c r="EI12" s="47" t="str">
        <f t="shared" si="79"/>
        <v/>
      </c>
      <c r="EJ12" s="47"/>
      <c r="EK12" s="47"/>
      <c r="EL12" s="46" t="str">
        <f t="shared" ref="EL12:EP12" si="80">EE12</f>
        <v/>
      </c>
      <c r="EM12" s="47" t="str">
        <f t="shared" si="80"/>
        <v/>
      </c>
      <c r="EN12" s="47" t="str">
        <f t="shared" si="80"/>
        <v/>
      </c>
      <c r="EO12" s="47" t="str">
        <f t="shared" si="80"/>
        <v/>
      </c>
      <c r="EP12" s="47" t="str">
        <f t="shared" si="80"/>
        <v/>
      </c>
      <c r="EQ12" s="47"/>
      <c r="ER12" s="47"/>
    </row>
    <row r="13">
      <c r="A13" s="3"/>
      <c r="B13" s="42"/>
      <c r="C13" s="3"/>
      <c r="D13" s="3"/>
      <c r="E13" s="3"/>
      <c r="F13" s="3"/>
      <c r="G13" s="3"/>
      <c r="H13" s="3"/>
      <c r="I13" s="42"/>
      <c r="J13" s="3"/>
      <c r="K13" s="3"/>
      <c r="L13" s="3"/>
      <c r="M13" s="3"/>
      <c r="N13" s="3"/>
      <c r="O13" s="3"/>
      <c r="P13" s="42"/>
      <c r="Q13" s="3"/>
      <c r="R13" s="3"/>
      <c r="S13" s="3"/>
      <c r="T13" s="3"/>
      <c r="U13" s="3"/>
      <c r="V13" s="3"/>
      <c r="W13" s="42"/>
      <c r="X13" s="3"/>
      <c r="Y13" s="3"/>
      <c r="Z13" s="3"/>
      <c r="AA13" s="3"/>
      <c r="AB13" s="3"/>
      <c r="AC13" s="3"/>
      <c r="AD13" s="42"/>
      <c r="AE13" s="3"/>
      <c r="AF13" s="3"/>
      <c r="AG13" s="3"/>
      <c r="AH13" s="3"/>
      <c r="AI13" s="3"/>
      <c r="AJ13" s="3"/>
      <c r="AK13" s="42"/>
      <c r="AL13" s="3"/>
      <c r="AM13" s="3"/>
      <c r="AN13" s="3"/>
      <c r="AO13" s="3"/>
      <c r="AP13" s="3"/>
      <c r="AQ13" s="3"/>
      <c r="AR13" s="42"/>
      <c r="AS13" s="3"/>
      <c r="AT13" s="3"/>
      <c r="AU13" s="3"/>
      <c r="AV13" s="3"/>
      <c r="AW13" s="3"/>
      <c r="AX13" s="3"/>
      <c r="AY13" s="42"/>
      <c r="AZ13" s="3"/>
      <c r="BA13" s="3"/>
      <c r="BB13" s="3"/>
      <c r="BC13" s="3"/>
      <c r="BD13" s="3"/>
      <c r="BE13" s="3"/>
      <c r="BF13" s="42"/>
      <c r="BG13" s="3"/>
      <c r="BH13" s="3"/>
      <c r="BI13" s="3"/>
      <c r="BJ13" s="3"/>
      <c r="BK13" s="3"/>
      <c r="BL13" s="3"/>
      <c r="BM13" s="42"/>
      <c r="BN13" s="3"/>
      <c r="BO13" s="3"/>
      <c r="BP13" s="3"/>
      <c r="BQ13" s="3"/>
      <c r="BR13" s="3"/>
      <c r="BS13" s="3"/>
      <c r="BT13" s="42"/>
      <c r="BU13" s="3"/>
      <c r="BV13" s="3"/>
      <c r="BW13" s="3"/>
      <c r="BX13" s="3"/>
      <c r="BY13" s="3"/>
      <c r="BZ13" s="3"/>
      <c r="CA13" s="42"/>
      <c r="CB13" s="3"/>
      <c r="CC13" s="3"/>
      <c r="CD13" s="3"/>
      <c r="CE13" s="3"/>
      <c r="CF13" s="3"/>
      <c r="CG13" s="3"/>
      <c r="CH13" s="42"/>
      <c r="CI13" s="3"/>
      <c r="CJ13" s="3"/>
      <c r="CK13" s="3"/>
      <c r="CL13" s="3"/>
      <c r="CM13" s="3"/>
      <c r="CN13" s="3"/>
      <c r="CO13" s="42"/>
      <c r="CP13" s="3"/>
      <c r="CQ13" s="3"/>
      <c r="CR13" s="3"/>
      <c r="CS13" s="3"/>
      <c r="CT13" s="3"/>
      <c r="CU13" s="3"/>
      <c r="CV13" s="42"/>
      <c r="CW13" s="3"/>
      <c r="CX13" s="3"/>
      <c r="CY13" s="3"/>
      <c r="CZ13" s="3"/>
      <c r="DA13" s="3"/>
      <c r="DB13" s="3"/>
      <c r="DC13" s="42"/>
      <c r="DD13" s="3"/>
      <c r="DE13" s="3"/>
      <c r="DF13" s="3"/>
      <c r="DG13" s="3"/>
      <c r="DH13" s="3"/>
      <c r="DI13" s="3"/>
      <c r="DJ13" s="42"/>
      <c r="DK13" s="3"/>
      <c r="DL13" s="3"/>
      <c r="DM13" s="3"/>
      <c r="DN13" s="3"/>
      <c r="DO13" s="3"/>
      <c r="DP13" s="3"/>
      <c r="DQ13" s="42"/>
      <c r="DR13" s="3"/>
      <c r="DS13" s="3"/>
      <c r="DT13" s="3"/>
      <c r="DU13" s="3"/>
      <c r="DV13" s="3"/>
      <c r="DW13" s="3"/>
      <c r="DX13" s="42"/>
      <c r="DY13" s="3"/>
      <c r="DZ13" s="3"/>
      <c r="EA13" s="3"/>
      <c r="EB13" s="3"/>
      <c r="EC13" s="3"/>
      <c r="ED13" s="3"/>
      <c r="EE13" s="42"/>
      <c r="EF13" s="3"/>
      <c r="EG13" s="3"/>
      <c r="EH13" s="3"/>
      <c r="EI13" s="3"/>
      <c r="EJ13" s="3"/>
      <c r="EK13" s="3"/>
      <c r="EL13" s="42"/>
      <c r="EM13" s="3"/>
      <c r="EN13" s="3"/>
      <c r="EO13" s="3"/>
      <c r="EP13" s="3"/>
      <c r="EQ13" s="3"/>
      <c r="ER13" s="3"/>
    </row>
    <row r="14">
      <c r="A14" s="32" t="s">
        <v>80</v>
      </c>
      <c r="B14" s="33"/>
      <c r="C14" s="34"/>
      <c r="D14" s="34"/>
      <c r="E14" s="34"/>
      <c r="F14" s="34"/>
      <c r="G14" s="34"/>
      <c r="H14" s="34"/>
      <c r="I14" s="33"/>
      <c r="J14" s="34"/>
      <c r="K14" s="34"/>
      <c r="L14" s="34"/>
      <c r="M14" s="34"/>
      <c r="N14" s="34"/>
      <c r="O14" s="34"/>
      <c r="P14" s="33"/>
      <c r="Q14" s="34"/>
      <c r="R14" s="34"/>
      <c r="S14" s="34"/>
      <c r="T14" s="34"/>
      <c r="U14" s="34"/>
      <c r="V14" s="34"/>
      <c r="W14" s="33"/>
      <c r="X14" s="34"/>
      <c r="Y14" s="34"/>
      <c r="Z14" s="34"/>
      <c r="AA14" s="34"/>
      <c r="AB14" s="34"/>
      <c r="AC14" s="34"/>
      <c r="AD14" s="33"/>
      <c r="AE14" s="34"/>
      <c r="AF14" s="34"/>
      <c r="AG14" s="34"/>
      <c r="AH14" s="34"/>
      <c r="AI14" s="34"/>
      <c r="AJ14" s="34"/>
      <c r="AK14" s="33"/>
      <c r="AL14" s="34"/>
      <c r="AM14" s="34"/>
      <c r="AN14" s="34"/>
      <c r="AO14" s="34"/>
      <c r="AP14" s="34"/>
      <c r="AQ14" s="34"/>
      <c r="AR14" s="33"/>
      <c r="AS14" s="34"/>
      <c r="AT14" s="34"/>
      <c r="AU14" s="34"/>
      <c r="AV14" s="34"/>
      <c r="AW14" s="34"/>
      <c r="AX14" s="34"/>
      <c r="AY14" s="33"/>
      <c r="AZ14" s="34"/>
      <c r="BA14" s="34"/>
      <c r="BB14" s="34"/>
      <c r="BC14" s="34"/>
      <c r="BD14" s="34"/>
      <c r="BE14" s="34"/>
      <c r="BF14" s="33"/>
      <c r="BG14" s="34"/>
      <c r="BH14" s="34"/>
      <c r="BI14" s="34"/>
      <c r="BJ14" s="34"/>
      <c r="BK14" s="34"/>
      <c r="BL14" s="34"/>
      <c r="BM14" s="33"/>
      <c r="BN14" s="34"/>
      <c r="BO14" s="34"/>
      <c r="BP14" s="34"/>
      <c r="BQ14" s="34"/>
      <c r="BR14" s="34"/>
      <c r="BS14" s="34"/>
      <c r="BT14" s="33"/>
      <c r="BU14" s="34"/>
      <c r="BV14" s="34"/>
      <c r="BW14" s="34"/>
      <c r="BX14" s="34"/>
      <c r="BY14" s="34"/>
      <c r="BZ14" s="34"/>
      <c r="CA14" s="33"/>
      <c r="CB14" s="34"/>
      <c r="CC14" s="34"/>
      <c r="CD14" s="34"/>
      <c r="CE14" s="34"/>
      <c r="CF14" s="34"/>
      <c r="CG14" s="34"/>
      <c r="CH14" s="33"/>
      <c r="CI14" s="34"/>
      <c r="CJ14" s="34"/>
      <c r="CK14" s="34"/>
      <c r="CL14" s="34"/>
      <c r="CM14" s="34"/>
      <c r="CN14" s="34"/>
      <c r="CO14" s="33"/>
      <c r="CP14" s="34"/>
      <c r="CQ14" s="34"/>
      <c r="CR14" s="34"/>
      <c r="CS14" s="34"/>
      <c r="CT14" s="34"/>
      <c r="CU14" s="34"/>
      <c r="CV14" s="33"/>
      <c r="CW14" s="34"/>
      <c r="CX14" s="34"/>
      <c r="CY14" s="34"/>
      <c r="CZ14" s="34"/>
      <c r="DA14" s="34"/>
      <c r="DB14" s="34"/>
      <c r="DC14" s="33"/>
      <c r="DD14" s="34"/>
      <c r="DE14" s="34"/>
      <c r="DF14" s="34"/>
      <c r="DG14" s="34"/>
      <c r="DH14" s="34"/>
      <c r="DI14" s="34"/>
      <c r="DJ14" s="33"/>
      <c r="DK14" s="34"/>
      <c r="DL14" s="34"/>
      <c r="DM14" s="34"/>
      <c r="DN14" s="34"/>
      <c r="DO14" s="34"/>
      <c r="DP14" s="34"/>
      <c r="DQ14" s="33"/>
      <c r="DR14" s="34"/>
      <c r="DS14" s="34"/>
      <c r="DT14" s="34"/>
      <c r="DU14" s="34"/>
      <c r="DV14" s="34"/>
      <c r="DW14" s="34"/>
      <c r="DX14" s="33"/>
      <c r="DY14" s="34"/>
      <c r="DZ14" s="34"/>
      <c r="EA14" s="34"/>
      <c r="EB14" s="34"/>
      <c r="EC14" s="34"/>
      <c r="ED14" s="34"/>
      <c r="EE14" s="35" t="s">
        <v>77</v>
      </c>
      <c r="EF14" s="36"/>
      <c r="EG14" s="36"/>
      <c r="EH14" s="36"/>
      <c r="EI14" s="36"/>
      <c r="EJ14" s="36"/>
      <c r="EK14" s="36"/>
      <c r="EL14" s="33"/>
      <c r="EM14" s="34"/>
      <c r="EN14" s="34"/>
      <c r="EO14" s="34"/>
      <c r="EP14" s="34"/>
      <c r="EQ14" s="34"/>
      <c r="ER14" s="34"/>
    </row>
    <row r="15" hidden="1">
      <c r="A15" s="37" t="str">
        <f>CONCATENATE(A16," TM")</f>
        <v>Bench Press TM</v>
      </c>
      <c r="B15" s="38">
        <f>if(D15="",'Quick Setup'!D6,D15/'Quick Setup'!E6)</f>
        <v>325</v>
      </c>
      <c r="C15" s="39" t="s">
        <v>75</v>
      </c>
      <c r="D15" s="40"/>
      <c r="E15" s="41"/>
      <c r="F15" s="41"/>
      <c r="G15" s="41"/>
      <c r="H15" s="41"/>
      <c r="I15" s="38">
        <f>if(K15="", if(F16&lt;&gt;"", if((F16-D16)&lt;-1,B15*(1+Setup!F4),if((F16-D16)&lt;0,B15*(1+Setup!G4),if((F16-D16)=0,B15*(1+Setup!H4),if((F16-D16)=1,B15*(1+Setup!I4),if((F16-D16)=2,B15*(1+Setup!J4),if((F16-D16)=3,B15*(1+Setup!K4),if((F16-D16)=4,B15*(1+Setup!L4),if((F16-D16)&gt;4,B15*(1+Setup!M4),B15)))))))),B15),K15/'Quick Setup'!$E6)</f>
        <v>325</v>
      </c>
      <c r="J15" s="39" t="s">
        <v>75</v>
      </c>
      <c r="K15" s="40"/>
      <c r="L15" s="41"/>
      <c r="M15" s="41"/>
      <c r="N15" s="41"/>
      <c r="O15" s="41"/>
      <c r="P15" s="38">
        <f>if(R15="", if(M16&lt;&gt;"", if((M16-K16)&lt;-1,I15*(1+Setup!R4),if((M16-K16)&lt;0,I15*(1+Setup!S4),if((M16-K16)=0,I15*(1+Setup!T4),if((M16-K16)=1,I15*(1+Setup!U4),if((M16-K16)=2,I15*(1+Setup!V4),if((M16-K16)=3,I15*(1+Setup!W4),if((M16-K16)=4,I15*(1+Setup!X4),if((M16-K16)&gt;4,I15*(1+Setup!Y4),I15)))))))),I15),R15/'Quick Setup'!$E6)</f>
        <v>325</v>
      </c>
      <c r="Q15" s="39" t="s">
        <v>75</v>
      </c>
      <c r="R15" s="40"/>
      <c r="S15" s="41"/>
      <c r="T15" s="41"/>
      <c r="U15" s="41"/>
      <c r="V15" s="41"/>
      <c r="W15" s="38">
        <f>if(Y15="", if(T16&lt;&gt;"", if((T16-R16)&lt;-1,P15*(1+Setup!AD4),if((T16-R16)&lt;0,P15*(1+Setup!AE4),if((T16-R16)=0,P15*(1+Setup!AF4),if((T16-R16)=1,P15*(1+Setup!AG4),if((T16-R16)=2,P15*(1+Setup!AH4),if((T16-R16)=3,P15*(1+Setup!AI4),if((T16-R16)=4,P15*(1+Setup!AJ4),if((T16-R16)&gt;4,P15*(1+Setup!AK4),P15)))))))),P15),Y15/'Quick Setup'!$E6)</f>
        <v>325</v>
      </c>
      <c r="X15" s="39" t="s">
        <v>75</v>
      </c>
      <c r="Y15" s="40"/>
      <c r="Z15" s="41"/>
      <c r="AA15" s="41"/>
      <c r="AB15" s="41"/>
      <c r="AC15" s="41"/>
      <c r="AD15" s="38">
        <f>if(AF15="", if(AA16&lt;&gt;"", if((AA16-Y16)&lt;-1,W15*(1+Setup!AP4),if((AA16-Y16)&lt;0,W15*(1+Setup!AQ4),if((AA16-Y16)=0,W15*(1+Setup!AR4),if((AA16-Y16)=1,W15*(1+Setup!AS4),if((AA16-Y16)=2,W15*(1+Setup!AT4),if((AA16-Y16)=3,W15*(1+Setup!AU4),if((AA16-Y16)=4,W15*(1+Setup!AV4),if((AA16-Y16)&gt;4,W15*(1+Setup!AW4),W15)))))))),W15),AF15/'Quick Setup'!$E6)</f>
        <v>325</v>
      </c>
      <c r="AE15" s="39" t="s">
        <v>75</v>
      </c>
      <c r="AF15" s="40"/>
      <c r="AG15" s="41"/>
      <c r="AH15" s="41"/>
      <c r="AI15" s="41"/>
      <c r="AJ15" s="41"/>
      <c r="AK15" s="38">
        <f>if(AM15="", if(AH16&lt;&gt;"", if((AH16-AF16)&lt;-1,AD15*(1+Setup!BB4),if((AH16-AF16)&lt;0,AD15*(1+Setup!BC4),if((AH16-AF16)=0,AD15*(1+Setup!BD4),if((AH16-AF16)=1,AD15*(1+Setup!BE4),if((AH16-AF16)=2,AD15*(1+Setup!BF4),if((AH16-AF16)=3,AD15*(1+Setup!BG4),if((AH16-AF16)=4,AD15*(1+Setup!BH4),if((AH16-AF16)&gt;4,AD15*(1+Setup!BI4),AD15)))))))),AD15),AM15/'Quick Setup'!$E6)</f>
        <v>325</v>
      </c>
      <c r="AL15" s="39" t="s">
        <v>75</v>
      </c>
      <c r="AM15" s="40"/>
      <c r="AN15" s="41"/>
      <c r="AO15" s="41"/>
      <c r="AP15" s="41"/>
      <c r="AQ15" s="41"/>
      <c r="AR15" s="38">
        <f>if(AT15="", if(AO16&lt;&gt;"", if((AO16-AM16)&lt;-1,AK15*(1+Setup!BN4),if((AO16-AM16)&lt;0,AK15*(1+Setup!BO4),if((AO16-AM16)=0,AK15*(1+Setup!BP4),if((AO16-AM16)=1,AK15*(1+Setup!BQ4),if((AO16-AM16)=2,AK15*(1+Setup!BR4),if((AO16-AM16)=3,AK15*(1+Setup!BS4),if((AO16-AM16)=4,AK15*(1+Setup!BT4),if((AO16-AM16)&gt;4,AK15*(1+Setup!BU4),AK15)))))))),AK15),AT15/'Quick Setup'!$E6)</f>
        <v>325</v>
      </c>
      <c r="AS15" s="39" t="s">
        <v>75</v>
      </c>
      <c r="AT15" s="40"/>
      <c r="AU15" s="41"/>
      <c r="AV15" s="41"/>
      <c r="AW15" s="41"/>
      <c r="AX15" s="41"/>
      <c r="AY15" s="38">
        <f>if(BA15="",AR15,BA15/'Quick Setup'!$E6)</f>
        <v>325</v>
      </c>
      <c r="AZ15" s="39" t="s">
        <v>75</v>
      </c>
      <c r="BA15" s="40"/>
      <c r="BB15" s="41"/>
      <c r="BC15" s="41"/>
      <c r="BD15" s="41"/>
      <c r="BE15" s="41"/>
      <c r="BF15" s="38">
        <f>if(BH15="", if(BC16&lt;&gt;"", if((BC16-BA16)&lt;-1,AY15*(1+Setup!CL4),if((BC16-BA16)&lt;0,AY15*(1+Setup!CM4),if((BC16-BA16)=0,AY15*(1+Setup!CN4),if((BC16-BA16)=1,AY15*(1+Setup!CO4),if((BC16-BA16)=2,AY15*(1+Setup!CP4),if((BC16-BA16)=3,AY15*(1+Setup!CQ4),if((BC16-BA16)=4,AY15*(1+Setup!CR4),if((BC16-BA16)&gt;4,AY15*(1+Setup!CS4),AY15)))))))),AY15),BH15/'Quick Setup'!$E6)</f>
        <v>325</v>
      </c>
      <c r="BG15" s="39" t="s">
        <v>75</v>
      </c>
      <c r="BH15" s="40"/>
      <c r="BI15" s="41"/>
      <c r="BJ15" s="41"/>
      <c r="BK15" s="41"/>
      <c r="BL15" s="41"/>
      <c r="BM15" s="38">
        <f>if(BO15="", if(BJ16&lt;&gt;"", if((BJ16-BH16)&lt;-1,BF15*(1+Setup!CX4),if((BJ16-BH16)&lt;0,BF15*(1+Setup!CY4),if((BJ16-BH16)=0,BF15*(1+Setup!CZ4),if((BJ16-BH16)=1,BF15*(1+Setup!DA4),if((BJ16-BH16)=2,BF15*(1+Setup!DB4),if((BJ16-BH16)=3,BF15*(1+Setup!DC4),if((BJ16-BH16)=4,BF15*(1+Setup!DD4),if((BJ16-BH16)&gt;4,BF15*(1+Setup!DE4),BF15)))))))),BF15),BO15/'Quick Setup'!$E6)</f>
        <v>325</v>
      </c>
      <c r="BN15" s="39" t="s">
        <v>75</v>
      </c>
      <c r="BO15" s="40"/>
      <c r="BP15" s="41"/>
      <c r="BQ15" s="41"/>
      <c r="BR15" s="41"/>
      <c r="BS15" s="41"/>
      <c r="BT15" s="38">
        <f>if(BV15="", if(BQ16&lt;&gt;"", if((BQ16-BO16)&lt;-1,BM15*(1+Setup!DJ4),if((BQ16-BO16)&lt;0,BM15*(1+Setup!DK4),if((BQ16-BO16)=0,BM15*(1+Setup!DL4),if((BQ16-BO16)=1,BM15*(1+Setup!DM4),if((BQ16-BO16)=2,BM15*(1+Setup!DN4),if((BQ16-BO16)=3,BM15*(1+Setup!DO4),if((BQ16-BO16)=4,BM15*(1+Setup!DP4),if((BQ16-BO16)&gt;4,BM15*(1+Setup!DQ4),BM15)))))))),BM15),BV15/'Quick Setup'!$E6)</f>
        <v>325</v>
      </c>
      <c r="BU15" s="39" t="s">
        <v>75</v>
      </c>
      <c r="BV15" s="40"/>
      <c r="BW15" s="41"/>
      <c r="BX15" s="41"/>
      <c r="BY15" s="41"/>
      <c r="BZ15" s="41"/>
      <c r="CA15" s="38">
        <f>if(CC15="", if(BX16&lt;&gt;"", if((BX16-BV16)&lt;-1,BT15*(1+Setup!DV4),if((BX16-BV16)&lt;0,BT15*(1+Setup!DW4),if((BX16-BV16)=0,BT15*(1+Setup!DX4),if((BX16-BV16)=1,BT15*(1+Setup!DY4),if((BX16-BV16)=2,BT15*(1+Setup!DZ4),if((BX16-BV16)=3,BT15*(1+Setup!EA4),if((BX16-BV16)=4,BT15*(1+Setup!EB4),if((BX16-BV16)&gt;4,BT15*(1+Setup!EC4),BT15)))))))),BT15),CC15/'Quick Setup'!$E6)</f>
        <v>325</v>
      </c>
      <c r="CB15" s="39" t="s">
        <v>75</v>
      </c>
      <c r="CC15" s="40"/>
      <c r="CD15" s="41"/>
      <c r="CE15" s="41"/>
      <c r="CF15" s="41"/>
      <c r="CG15" s="41"/>
      <c r="CH15" s="38">
        <f>if(CJ15="", if(CE16&lt;&gt;"", if((CE16-CC16)&lt;-1,CA15*(1+Setup!EH4),if((CE16-CC16)&lt;0,CA15*(1+Setup!EI4),if((CE16-CC16)=0,CA15*(1+Setup!EJ4),if((CE16-CC16)=1,CA15*(1+Setup!EK4),if((CE16-CC16)=2,CA15*(1+Setup!EL4),if((CE16-CC16)=3,CA15*(1+Setup!EM4),if((CE16-CC16)=4,CA15*(1+Setup!EN4),if((CE16-CC16)&gt;4,CA15*(1+Setup!EO4),CA15)))))))),CA15),CJ15/'Quick Setup'!$E6)</f>
        <v>325</v>
      </c>
      <c r="CI15" s="39" t="s">
        <v>75</v>
      </c>
      <c r="CJ15" s="40"/>
      <c r="CK15" s="41"/>
      <c r="CL15" s="41"/>
      <c r="CM15" s="41"/>
      <c r="CN15" s="41"/>
      <c r="CO15" s="38">
        <f>if(CQ15="", if(CL16&lt;&gt;"", if((CL16-CJ16)&lt;-1,CH15*(1+Setup!ET4),if((CL16-CJ16)&lt;0,CH15*(1+Setup!EU4),if((CL16-CJ16)=0,CH15*(1+Setup!EV4),if((CL16-CJ16)=1,CH15*(1+Setup!EW4),if((CL16-CJ16)=2,CH15*(1+Setup!EX4),if((CL16-CJ16)=3,CH15*(1+Setup!EY4),if((CL16-CJ16)=4,CH15*(1+Setup!EZ4),if((CL16-CJ16)&gt;4,CH15*(1+Setup!FA4),CH15)))))))),CH15),CQ15/'Quick Setup'!$E6)</f>
        <v>325</v>
      </c>
      <c r="CP15" s="39" t="s">
        <v>75</v>
      </c>
      <c r="CQ15" s="40"/>
      <c r="CR15" s="41"/>
      <c r="CS15" s="41"/>
      <c r="CT15" s="41"/>
      <c r="CU15" s="41"/>
      <c r="CV15" s="38">
        <f>if(CX15="",CO15,CX15/'Quick Setup'!$E6)</f>
        <v>325</v>
      </c>
      <c r="CW15" s="39" t="s">
        <v>75</v>
      </c>
      <c r="CX15" s="40"/>
      <c r="CY15" s="41"/>
      <c r="CZ15" s="41"/>
      <c r="DA15" s="41"/>
      <c r="DB15" s="41"/>
      <c r="DC15" s="38">
        <f>if(DE15="", if(CZ16&lt;&gt;"", if((CZ16-CX16)&lt;-1,CV15*(1+Setup!FR4),if((CZ16-CX16)&lt;0,CV15*(1+Setup!FS4),if((CZ16-CX16)=0,CV15*(1+Setup!FT4),if((CZ16-CX16)=1,CV15*(1+Setup!FU4),if((CZ16-CX16)=2,CV15*(1+Setup!FV4),if((CZ16-CX16)=3,CV15*(1+Setup!FW4),if((CZ16-CX16)=4,CV15*(1+Setup!FX4),if((CZ16-CX16)&gt;4,CV15*(1+Setup!FY4),CV15)))))))),CV15),DE15/'Quick Setup'!$E6)</f>
        <v>325</v>
      </c>
      <c r="DD15" s="39" t="s">
        <v>75</v>
      </c>
      <c r="DE15" s="40"/>
      <c r="DF15" s="41"/>
      <c r="DG15" s="41"/>
      <c r="DH15" s="41"/>
      <c r="DI15" s="41"/>
      <c r="DJ15" s="38">
        <f>if(DL15="", if(DG16&lt;&gt;"", if((DG16-DE16)&lt;-1,DC15*(1+Setup!GD4),if((DG16-DE16)&lt;0,DC15*(1+Setup!GE4),if((DG16-DE16)=0,DC15*(1+Setup!GF4),if((DG16-DE16)=1,DC15*(1+Setup!GG4),if((DG16-DE16)=2,DC15*(1+Setup!GH4),if((DG16-DE16)=3,DC15*(1+Setup!GI4),if((DG16-DE16)=4,DC15*(1+Setup!GJ4),if((DG16-DE16)&gt;4,DC15*(1+Setup!GK4),DC15)))))))),DC15),DL15/'Quick Setup'!$E6)</f>
        <v>325</v>
      </c>
      <c r="DK15" s="39" t="s">
        <v>75</v>
      </c>
      <c r="DL15" s="40"/>
      <c r="DM15" s="41"/>
      <c r="DN15" s="41"/>
      <c r="DO15" s="41"/>
      <c r="DP15" s="41"/>
      <c r="DQ15" s="38">
        <f>if(DS15="", if(DN16&lt;&gt;"", if((DN16-DL16)&lt;-1,DJ15*(1+Setup!GP4),if((DN16-DL16)&lt;0,DJ15*(1+Setup!GQ4),if((DN16-DL16)=0,DJ15*(1+Setup!GR4),if((DN16-DL16)=1,DJ15*(1+Setup!GS4),if((DN16-DL16)=2,DJ15*(1+Setup!GT4),if((DN16-DL16)=3,DJ15*(1+Setup!GU4),if((DN16-DL16)=4,DJ15*(1+Setup!GV4),if((DN16-DL16)&gt;4,DJ15*(1+Setup!GW4),DJ15)))))))),DJ15),DS15/'Quick Setup'!$E6)</f>
        <v>325</v>
      </c>
      <c r="DR15" s="39" t="s">
        <v>75</v>
      </c>
      <c r="DS15" s="40"/>
      <c r="DT15" s="41"/>
      <c r="DU15" s="41"/>
      <c r="DV15" s="41"/>
      <c r="DW15" s="41"/>
      <c r="DX15" s="38">
        <f>if(DZ15="", if(DU16&lt;&gt;"", if((DU16-DS16)&lt;-1,DQ15*(1+Setup!HB4),if((DU16-DS16)&lt;0,DQ15*(1+Setup!HC4),if((DU16-DS16)=0,DQ15*(1+Setup!HD4),if((DU16-DS16)=1,DQ15*(1+Setup!HE4),if((DU16-DS16)=2,DQ15*(1+Setup!HF4),if((DU16-DS16)=3,DQ15*(1+Setup!HG4),if((DU16-DS16)=4,DQ15*(1+Setup!HH4),if((DU16-DS16)&gt;4,DQ15*(1+Setup!HI4),DQ15)))))))),DQ15),DZ15/'Quick Setup'!$E6)</f>
        <v>325</v>
      </c>
      <c r="DY15" s="39" t="s">
        <v>75</v>
      </c>
      <c r="DZ15" s="40"/>
      <c r="EA15" s="41"/>
      <c r="EB15" s="41"/>
      <c r="EC15" s="41"/>
      <c r="ED15" s="41"/>
      <c r="EE15" s="38">
        <f>if(EG15="", if(EB16&lt;&gt;"", if((EB16-DZ16)&lt;-1,DX15*(1+Setup!HN4),if((EB16-DZ16)&lt;0,DX15*(1+Setup!HO4),if((EB16-DZ16)=0,DX15*(1+Setup!HP4),if((EB16-DZ16)=1,DX15*(1+Setup!HQ4),if((EB16-DZ16)=2,DX15*(1+Setup!HR4),if((EB16-DZ16)=3,DX15*(1+Setup!HS4),if((EB16-DZ16)=4,DX15*(1+Setup!HT4),if((EB16-DZ16)&gt;4,DX15*(1+Setup!HU4),DX15)))))))),DX15),EG15/'Quick Setup'!$E6)</f>
        <v>325</v>
      </c>
      <c r="EF15" s="39" t="s">
        <v>75</v>
      </c>
      <c r="EG15" s="40"/>
      <c r="EH15" s="41"/>
      <c r="EI15" s="41"/>
      <c r="EJ15" s="41"/>
      <c r="EK15" s="41"/>
      <c r="EL15" s="38">
        <f>if(EN15="", if(EI16&lt;&gt;"", if((EI16-EG16)&lt;-1,EE15*(1+Setup!HZ4),if((EI16-EG16)&lt;0,EE15*(1+Setup!IA4),if((EI16-EG16)=0,EE15*(1+Setup!IB4),if((EI16-EG16)=1,EE15*(1+Setup!IC4),if((EI16-EG16)=2,EE15*(1+Setup!ID4),if((EI16-EG16)=3,EE15*(1+Setup!IE4),if((EI16-EG16)=4,EE15*(1+Setup!IF4),if((EI16-EG16)&gt;4,EE15*(1+Setup!IG4),EE15)))))))),EE15),EN15/'Quick Setup'!$E6)</f>
        <v>325</v>
      </c>
      <c r="EM15" s="39" t="s">
        <v>75</v>
      </c>
      <c r="EN15" s="40"/>
      <c r="EO15" s="41"/>
      <c r="EP15" s="41"/>
      <c r="EQ15" s="41"/>
      <c r="ER15" s="41"/>
    </row>
    <row r="16">
      <c r="A16" s="1" t="str">
        <f>Setup!A4</f>
        <v>Bench Press</v>
      </c>
      <c r="B16" s="42">
        <f>mround(B15*Setup!B4,'Quick Setup'!$A$2)</f>
        <v>227.5</v>
      </c>
      <c r="C16" s="3">
        <f>Setup!C4</f>
        <v>5</v>
      </c>
      <c r="D16" s="3">
        <f>Setup!D4</f>
        <v>10</v>
      </c>
      <c r="E16" s="3">
        <f>Setup!E4</f>
        <v>5</v>
      </c>
      <c r="F16" s="10"/>
      <c r="G16" s="10"/>
      <c r="H16" s="10"/>
      <c r="I16" s="42">
        <f>mround(I15*Setup!N4,'Quick Setup'!$A$2)</f>
        <v>245</v>
      </c>
      <c r="J16" s="3">
        <f>Setup!O4</f>
        <v>4</v>
      </c>
      <c r="K16" s="3">
        <f>Setup!P4</f>
        <v>8</v>
      </c>
      <c r="L16" s="3">
        <f>Setup!Q4</f>
        <v>5</v>
      </c>
      <c r="M16" s="10"/>
      <c r="N16" s="10"/>
      <c r="O16" s="10"/>
      <c r="P16" s="42">
        <f>mround(P15*Setup!Z4,'Quick Setup'!$A$2)</f>
        <v>260</v>
      </c>
      <c r="Q16" s="3">
        <f>Setup!AA4</f>
        <v>3</v>
      </c>
      <c r="R16" s="3">
        <f>Setup!AB4</f>
        <v>6</v>
      </c>
      <c r="S16" s="3">
        <f>Setup!AC4</f>
        <v>5</v>
      </c>
      <c r="T16" s="10"/>
      <c r="U16" s="10"/>
      <c r="V16" s="10"/>
      <c r="W16" s="42">
        <f>mround(W15*Setup!AL4,'Quick Setup'!$A$2)</f>
        <v>235</v>
      </c>
      <c r="X16" s="3">
        <f>Setup!AM4</f>
        <v>5</v>
      </c>
      <c r="Y16" s="3">
        <f>Setup!AN4</f>
        <v>9</v>
      </c>
      <c r="Z16" s="3">
        <f>Setup!AO4</f>
        <v>5</v>
      </c>
      <c r="AA16" s="10"/>
      <c r="AB16" s="10"/>
      <c r="AC16" s="10"/>
      <c r="AD16" s="42">
        <f>mround(AD15*Setup!AX4,'Quick Setup'!$A$2)</f>
        <v>252.5</v>
      </c>
      <c r="AE16" s="3">
        <f>Setup!AY4</f>
        <v>4</v>
      </c>
      <c r="AF16" s="3">
        <f>Setup!AZ4</f>
        <v>7</v>
      </c>
      <c r="AG16" s="3">
        <f>Setup!BA4</f>
        <v>5</v>
      </c>
      <c r="AH16" s="10"/>
      <c r="AI16" s="10"/>
      <c r="AJ16" s="10"/>
      <c r="AK16" s="42">
        <f>mround(AK15*Setup!BJ4,'Quick Setup'!$A$2)</f>
        <v>267.5</v>
      </c>
      <c r="AL16" s="3">
        <f>Setup!BK4</f>
        <v>3</v>
      </c>
      <c r="AM16" s="3">
        <f>Setup!BL4</f>
        <v>5</v>
      </c>
      <c r="AN16" s="3">
        <f>Setup!BM4</f>
        <v>5</v>
      </c>
      <c r="AO16" s="10"/>
      <c r="AP16" s="10"/>
      <c r="AQ16" s="10"/>
      <c r="AR16" s="42">
        <f>mround(AR15*Setup!BV4,'Quick Setup'!$A$2)</f>
        <v>195</v>
      </c>
      <c r="AS16" s="1">
        <v>5.0</v>
      </c>
      <c r="AT16" s="1" t="s">
        <v>78</v>
      </c>
      <c r="AU16" s="3">
        <f>Setup!BY4</f>
        <v>5</v>
      </c>
      <c r="AV16" s="10"/>
      <c r="AW16" s="10"/>
      <c r="AX16" s="10"/>
      <c r="AY16" s="42">
        <f>mround(AY15*Setup!CH4,'Quick Setup'!$A$2)</f>
        <v>245</v>
      </c>
      <c r="AZ16" s="3">
        <f>Setup!CI4</f>
        <v>4</v>
      </c>
      <c r="BA16" s="3">
        <f>Setup!CJ4</f>
        <v>8</v>
      </c>
      <c r="BB16" s="3">
        <f>Setup!CK4</f>
        <v>5</v>
      </c>
      <c r="BC16" s="10"/>
      <c r="BD16" s="10"/>
      <c r="BE16" s="10"/>
      <c r="BF16" s="42">
        <f>mround(BF15*Setup!CT4,'Quick Setup'!$A$2)</f>
        <v>260</v>
      </c>
      <c r="BG16" s="3">
        <f>Setup!CU4</f>
        <v>3</v>
      </c>
      <c r="BH16" s="3">
        <f>Setup!CV4</f>
        <v>6</v>
      </c>
      <c r="BI16" s="3">
        <f>Setup!CW4</f>
        <v>5</v>
      </c>
      <c r="BJ16" s="10"/>
      <c r="BK16" s="10"/>
      <c r="BL16" s="10"/>
      <c r="BM16" s="42">
        <f>mround(BM15*Setup!DF4,'Quick Setup'!$A$2)</f>
        <v>277.5</v>
      </c>
      <c r="BN16" s="3">
        <f>Setup!DG4</f>
        <v>2</v>
      </c>
      <c r="BO16" s="3">
        <f>Setup!DH4</f>
        <v>4</v>
      </c>
      <c r="BP16" s="3">
        <f>Setup!DI4</f>
        <v>5</v>
      </c>
      <c r="BQ16" s="10"/>
      <c r="BR16" s="10"/>
      <c r="BS16" s="10"/>
      <c r="BT16" s="42">
        <f>mround(BT15*Setup!DR4,'Quick Setup'!$A$2)</f>
        <v>252.5</v>
      </c>
      <c r="BU16" s="3">
        <f>Setup!DS4</f>
        <v>4</v>
      </c>
      <c r="BV16" s="3">
        <f>Setup!DT4</f>
        <v>7</v>
      </c>
      <c r="BW16" s="3">
        <f>Setup!DU4</f>
        <v>5</v>
      </c>
      <c r="BX16" s="10"/>
      <c r="BY16" s="10"/>
      <c r="BZ16" s="10"/>
      <c r="CA16" s="42">
        <f>mround(CA15*Setup!ED4,'Quick Setup'!$A$2)</f>
        <v>267.5</v>
      </c>
      <c r="CB16" s="3">
        <f>Setup!EE4</f>
        <v>3</v>
      </c>
      <c r="CC16" s="3">
        <f>Setup!EF4</f>
        <v>5</v>
      </c>
      <c r="CD16" s="3">
        <f>Setup!EG4</f>
        <v>5</v>
      </c>
      <c r="CE16" s="10"/>
      <c r="CF16" s="10"/>
      <c r="CG16" s="10"/>
      <c r="CH16" s="42">
        <f>mround(CH15*Setup!EP4,'Quick Setup'!$A$2)</f>
        <v>285</v>
      </c>
      <c r="CI16" s="3">
        <f>Setup!EQ4</f>
        <v>2</v>
      </c>
      <c r="CJ16" s="3">
        <f>Setup!ER4</f>
        <v>3</v>
      </c>
      <c r="CK16" s="3">
        <f>Setup!ES4</f>
        <v>5</v>
      </c>
      <c r="CL16" s="10"/>
      <c r="CM16" s="10"/>
      <c r="CN16" s="10"/>
      <c r="CO16" s="42">
        <f>mround(CO15*Setup!FB4,'Quick Setup'!$A$2)</f>
        <v>195</v>
      </c>
      <c r="CP16" s="1">
        <v>5.0</v>
      </c>
      <c r="CQ16" s="1" t="s">
        <v>78</v>
      </c>
      <c r="CR16" s="3">
        <f>Setup!FE4</f>
        <v>5</v>
      </c>
      <c r="CS16" s="10"/>
      <c r="CT16" s="10"/>
      <c r="CU16" s="10"/>
      <c r="CV16" s="42">
        <f>mround(CV15*Setup!FN4,'Quick Setup'!$A$2)</f>
        <v>260</v>
      </c>
      <c r="CW16" s="3">
        <f>Setup!FO4</f>
        <v>3</v>
      </c>
      <c r="CX16" s="3">
        <f>Setup!FP4</f>
        <v>6</v>
      </c>
      <c r="CY16" s="3">
        <f>Setup!FQ4</f>
        <v>5</v>
      </c>
      <c r="CZ16" s="10"/>
      <c r="DA16" s="10"/>
      <c r="DB16" s="10"/>
      <c r="DC16" s="42">
        <f>mround(DC15*Setup!FZ4,'Quick Setup'!$A$2)</f>
        <v>277.5</v>
      </c>
      <c r="DD16" s="3">
        <f>Setup!GA4</f>
        <v>2</v>
      </c>
      <c r="DE16" s="3">
        <f>Setup!GB4</f>
        <v>4</v>
      </c>
      <c r="DF16" s="3">
        <f>Setup!GC4</f>
        <v>5</v>
      </c>
      <c r="DG16" s="10"/>
      <c r="DH16" s="10"/>
      <c r="DI16" s="10"/>
      <c r="DJ16" s="42">
        <f>mround(DJ15*Setup!GL4,'Quick Setup'!$A$2)</f>
        <v>292.5</v>
      </c>
      <c r="DK16" s="3">
        <f>Setup!GM4</f>
        <v>1</v>
      </c>
      <c r="DL16" s="3">
        <f>Setup!GN4</f>
        <v>2</v>
      </c>
      <c r="DM16" s="3">
        <f>Setup!GO4</f>
        <v>5</v>
      </c>
      <c r="DN16" s="10"/>
      <c r="DO16" s="10"/>
      <c r="DP16" s="10"/>
      <c r="DQ16" s="42">
        <f>mround(DQ15*Setup!GX4,'Quick Setup'!$A$2)</f>
        <v>277.5</v>
      </c>
      <c r="DR16" s="3">
        <f>Setup!GY4</f>
        <v>2</v>
      </c>
      <c r="DS16" s="3">
        <f>Setup!GZ4</f>
        <v>4</v>
      </c>
      <c r="DT16" s="3">
        <f>Setup!HA4</f>
        <v>5</v>
      </c>
      <c r="DU16" s="10"/>
      <c r="DV16" s="10"/>
      <c r="DW16" s="10"/>
      <c r="DX16" s="42">
        <f>mround(DX15*Setup!HJ4,'Quick Setup'!$A$2)</f>
        <v>292.5</v>
      </c>
      <c r="DY16" s="3">
        <f>Setup!HK4</f>
        <v>1</v>
      </c>
      <c r="DZ16" s="3">
        <f>Setup!HL4</f>
        <v>2</v>
      </c>
      <c r="EA16" s="3">
        <f>Setup!HM4</f>
        <v>5</v>
      </c>
      <c r="EB16" s="10"/>
      <c r="EC16" s="10"/>
      <c r="ED16" s="10"/>
      <c r="EE16" s="42">
        <f>mround(EE15*Setup!HV4,'Quick Setup'!$A$2)</f>
        <v>310</v>
      </c>
      <c r="EF16" s="3">
        <f>Setup!HW4</f>
        <v>1</v>
      </c>
      <c r="EG16" s="3">
        <f>Setup!HX4</f>
        <v>1</v>
      </c>
      <c r="EH16" s="3">
        <f>Setup!HY4</f>
        <v>5</v>
      </c>
      <c r="EI16" s="10"/>
      <c r="EJ16" s="10"/>
      <c r="EK16" s="10"/>
      <c r="EL16" s="42">
        <f>mround(EL15*Setup!IH4,'Quick Setup'!$A$2)</f>
        <v>195</v>
      </c>
      <c r="EM16" s="1">
        <v>5.0</v>
      </c>
      <c r="EN16" s="1" t="s">
        <v>78</v>
      </c>
      <c r="EO16" s="3">
        <f>Setup!IK4</f>
        <v>5</v>
      </c>
      <c r="EP16" s="10"/>
      <c r="EQ16" s="10"/>
      <c r="ER16" s="10"/>
    </row>
    <row r="17" hidden="1">
      <c r="A17" s="37" t="str">
        <f>CONCATENATE(A18," TM")</f>
        <v>Push Press TM</v>
      </c>
      <c r="B17" s="38">
        <f>if(D17="",'Quick Setup'!D16,D17/'Quick Setup'!E16)</f>
        <v>245</v>
      </c>
      <c r="C17" s="39" t="s">
        <v>75</v>
      </c>
      <c r="D17" s="40"/>
      <c r="E17" s="41"/>
      <c r="F17" s="41"/>
      <c r="G17" s="41"/>
      <c r="H17" s="41"/>
      <c r="I17" s="38">
        <f>if(K17="", if(F18&lt;&gt;"", if((F18-D18)&lt;-1,B17*(1+Setup!F14),if((F18-D18)&lt;0,B17*(1+Setup!G14),if((F18-D18)=0,B17*(1+Setup!H14),if((F18-D18)=1,B17*(1+Setup!I14),if((F18-D18)=2,B17*(1+Setup!J14),if((F18-D18)=3,B17*(1+Setup!K14),if((F18-D18)=4,B17*(1+Setup!L14),if((F18-D18)&gt;4,B17*(1+Setup!M14),B17)))))))),B17),K17/'Quick Setup'!$E16)</f>
        <v>245</v>
      </c>
      <c r="J17" s="39" t="s">
        <v>75</v>
      </c>
      <c r="K17" s="40"/>
      <c r="L17" s="41"/>
      <c r="M17" s="41"/>
      <c r="N17" s="41"/>
      <c r="O17" s="41"/>
      <c r="P17" s="38">
        <f>if(R17="", if(M18&lt;&gt;"", if((M18-K18)&lt;-1,I17*(1+Setup!R14),if((M18-K18)&lt;0,I17*(1+Setup!S14),if((M18-K18)=0,I17*(1+Setup!T14),if((M18-K18)=1,I17*(1+Setup!U14),if((M18-K18)=2,I17*(1+Setup!V14),if((M18-K18)=3,I17*(1+Setup!W14),if((M18-K18)=4,I17*(1+Setup!X14),if((M18-K18)&gt;4,I17*(1+Setup!Y14),I17)))))))),I17),R17/'Quick Setup'!$E16)</f>
        <v>245</v>
      </c>
      <c r="Q17" s="39" t="s">
        <v>75</v>
      </c>
      <c r="R17" s="40"/>
      <c r="S17" s="41"/>
      <c r="T17" s="41"/>
      <c r="U17" s="41"/>
      <c r="V17" s="41"/>
      <c r="W17" s="38">
        <f>if(Y17="", if(T18&lt;&gt;"", if((T18-R18)&lt;-1,P17*(1+Setup!AD14),if((T18-R18)&lt;0,P17*(1+Setup!AE14),if((T18-R18)=0,P17*(1+Setup!AF14),if((T18-R18)=1,P17*(1+Setup!AG14),if((T18-R18)=2,P17*(1+Setup!AH14),if((T18-R18)=3,P17*(1+Setup!AI14),if((T18-R18)=4,P17*(1+Setup!AJ14),if((T18-R18)&gt;4,P17*(1+Setup!AK14),P17)))))))),P17),Y17/'Quick Setup'!$E16)</f>
        <v>245</v>
      </c>
      <c r="X17" s="39" t="s">
        <v>75</v>
      </c>
      <c r="Y17" s="40"/>
      <c r="Z17" s="41"/>
      <c r="AA17" s="41"/>
      <c r="AB17" s="41"/>
      <c r="AC17" s="41"/>
      <c r="AD17" s="38">
        <f>if(AF17="", if(AA18&lt;&gt;"", if((AA18-Y18)&lt;-1,W17*(1+Setup!AP14),if((AA18-Y18)&lt;0,W17*(1+Setup!AQ14),if((AA18-Y18)=0,W17*(1+Setup!AR14),if((AA18-Y18)=1,W17*(1+Setup!AS14),if((AA18-Y18)=2,W17*(1+Setup!AT14),if((AA18-Y18)=3,W17*(1+Setup!AU14),if((AA18-Y18)=4,W17*(1+Setup!AV14),if((AA18-Y18)&gt;4,W17*(1+Setup!AW14),W17)))))))),W17),AF17/'Quick Setup'!$E16)</f>
        <v>245</v>
      </c>
      <c r="AE17" s="39" t="s">
        <v>75</v>
      </c>
      <c r="AF17" s="40"/>
      <c r="AG17" s="41"/>
      <c r="AH17" s="41"/>
      <c r="AI17" s="41"/>
      <c r="AJ17" s="41"/>
      <c r="AK17" s="38">
        <f>if(AM17="", if(AH18&lt;&gt;"", if((AH18-AF18)&lt;-1,AD17*(1+Setup!BB14),if((AH18-AF18)&lt;0,AD17*(1+Setup!BC14),if((AH18-AF18)=0,AD17*(1+Setup!BD14),if((AH18-AF18)=1,AD17*(1+Setup!BE14),if((AH18-AF18)=2,AD17*(1+Setup!BF14),if((AH18-AF18)=3,AD17*(1+Setup!BG14),if((AH18-AF18)=4,AD17*(1+Setup!BH14),if((AH18-AF18)&gt;4,AD17*(1+Setup!BI14),AD17)))))))),AD17),AM17/'Quick Setup'!$E16)</f>
        <v>245</v>
      </c>
      <c r="AL17" s="39" t="s">
        <v>75</v>
      </c>
      <c r="AM17" s="40"/>
      <c r="AN17" s="41"/>
      <c r="AO17" s="41"/>
      <c r="AP17" s="41"/>
      <c r="AQ17" s="41"/>
      <c r="AR17" s="38">
        <f>if(AT17="", if(AO18&lt;&gt;"", if((AO18-AM18)&lt;-1,AK17*(1+Setup!BN14),if((AO18-AM18)&lt;0,AK17*(1+Setup!BO14),if((AO18-AM18)=0,AK17*(1+Setup!BP14),if((AO18-AM18)=1,AK17*(1+Setup!BQ14),if((AO18-AM18)=2,AK17*(1+Setup!BR14),if((AO18-AM18)=3,AK17*(1+Setup!BS14),if((AO18-AM18)=4,AK17*(1+Setup!BT14),if((AO18-AM18)&gt;4,AK17*(1+Setup!BU14),AK17)))))))),AK17),AT17/'Quick Setup'!$E16)</f>
        <v>245</v>
      </c>
      <c r="AS17" s="39" t="s">
        <v>75</v>
      </c>
      <c r="AT17" s="40"/>
      <c r="AU17" s="41"/>
      <c r="AV17" s="41"/>
      <c r="AW17" s="41"/>
      <c r="AX17" s="41"/>
      <c r="AY17" s="38">
        <f>if(BA17="",AR17,BA17/'Quick Setup'!$E16)</f>
        <v>245</v>
      </c>
      <c r="AZ17" s="39" t="s">
        <v>75</v>
      </c>
      <c r="BA17" s="40"/>
      <c r="BB17" s="41"/>
      <c r="BC17" s="41"/>
      <c r="BD17" s="41"/>
      <c r="BE17" s="41"/>
      <c r="BF17" s="38">
        <f>if(BH17="", if(BC18&lt;&gt;"", if((BC18-BA18)&lt;-1,AY17*(1+Setup!CL14),if((BC18-BA18)&lt;0,AY17*(1+Setup!CM14),if((BC18-BA18)=0,AY17*(1+Setup!CN14),if((BC18-BA18)=1,AY17*(1+Setup!CO14),if((BC18-BA18)=2,AY17*(1+Setup!CP14),if((BC18-BA18)=3,AY17*(1+Setup!CQ14),if((BC18-BA18)=4,AY17*(1+Setup!CR14),if((BC18-BA18)&gt;4,AY17*(1+Setup!CS14),AY17)))))))),AY17),BH17/'Quick Setup'!$E16)</f>
        <v>245</v>
      </c>
      <c r="BG17" s="39" t="s">
        <v>75</v>
      </c>
      <c r="BH17" s="40"/>
      <c r="BI17" s="41"/>
      <c r="BJ17" s="41"/>
      <c r="BK17" s="41"/>
      <c r="BL17" s="41"/>
      <c r="BM17" s="38">
        <f>if(BO17="", if(BJ18&lt;&gt;"", if((BJ18-BH18)&lt;-1,BF17*(1+Setup!CX14),if((BJ18-BH18)&lt;0,BF17*(1+Setup!CY14),if((BJ18-BH18)=0,BF17*(1+Setup!CZ14),if((BJ18-BH18)=1,BF17*(1+Setup!DA14),if((BJ18-BH18)=2,BF17*(1+Setup!DB14),if((BJ18-BH18)=3,BF17*(1+Setup!DC14),if((BJ18-BH18)=4,BF17*(1+Setup!DD14),if((BJ18-BH18)&gt;4,BF17*(1+Setup!DE14),BF17)))))))),BF17),BO17/'Quick Setup'!$E16)</f>
        <v>245</v>
      </c>
      <c r="BN17" s="39" t="s">
        <v>75</v>
      </c>
      <c r="BO17" s="40"/>
      <c r="BP17" s="41"/>
      <c r="BQ17" s="41"/>
      <c r="BR17" s="41"/>
      <c r="BS17" s="41"/>
      <c r="BT17" s="38">
        <f>if(BV17="", if(BQ18&lt;&gt;"", if((BQ18-BO18)&lt;-1,BM17*(1+Setup!DJ14),if((BQ18-BO18)&lt;0,BM17*(1+Setup!DK14),if((BQ18-BO18)=0,BM17*(1+Setup!DL14),if((BQ18-BO18)=1,BM17*(1+Setup!DM14),if((BQ18-BO18)=2,BM17*(1+Setup!DN14),if((BQ18-BO18)=3,BM17*(1+Setup!DO14),if((BQ18-BO18)=4,BM17*(1+Setup!DP14),if((BQ18-BO18)&gt;4,BM17*(1+Setup!DQ14),BM17)))))))),BM17),BV17/'Quick Setup'!$E16)</f>
        <v>245</v>
      </c>
      <c r="BU17" s="39" t="s">
        <v>75</v>
      </c>
      <c r="BV17" s="40"/>
      <c r="BW17" s="41"/>
      <c r="BX17" s="41"/>
      <c r="BY17" s="41"/>
      <c r="BZ17" s="41"/>
      <c r="CA17" s="38">
        <f>if(CC17="", if(BX18&lt;&gt;"", if((BX18-BV18)&lt;-1,BT17*(1+Setup!DV14),if((BX18-BV18)&lt;0,BT17*(1+Setup!DW14),if((BX18-BV18)=0,BT17*(1+Setup!DX14),if((BX18-BV18)=1,BT17*(1+Setup!DY14),if((BX18-BV18)=2,BT17*(1+Setup!DZ14),if((BX18-BV18)=3,BT17*(1+Setup!EA14),if((BX18-BV18)=4,BT17*(1+Setup!EB14),if((BX18-BV18)&gt;4,BT17*(1+Setup!EC14),BT17)))))))),BT17),CC17/'Quick Setup'!$E16)</f>
        <v>245</v>
      </c>
      <c r="CB17" s="39" t="s">
        <v>75</v>
      </c>
      <c r="CC17" s="40"/>
      <c r="CD17" s="41"/>
      <c r="CE17" s="41"/>
      <c r="CF17" s="41"/>
      <c r="CG17" s="41"/>
      <c r="CH17" s="38">
        <f>if(CJ17="", if(CE18&lt;&gt;"", if((CE18-CC18)&lt;-1,CA17*(1+Setup!EH14),if((CE18-CC18)&lt;0,CA17*(1+Setup!EI14),if((CE18-CC18)=0,CA17*(1+Setup!EJ14),if((CE18-CC18)=1,CA17*(1+Setup!EK14),if((CE18-CC18)=2,CA17*(1+Setup!EL14),if((CE18-CC18)=3,CA17*(1+Setup!EM14),if((CE18-CC18)=4,CA17*(1+Setup!EN14),if((CE18-CC18)&gt;4,CA17*(1+Setup!EO14),CA17)))))))),CA17),CJ17/'Quick Setup'!$E16)</f>
        <v>245</v>
      </c>
      <c r="CI17" s="39" t="s">
        <v>75</v>
      </c>
      <c r="CJ17" s="40"/>
      <c r="CK17" s="41"/>
      <c r="CL17" s="41"/>
      <c r="CM17" s="41"/>
      <c r="CN17" s="41"/>
      <c r="CO17" s="38">
        <f>if(CQ17="", if(CL18&lt;&gt;"", if((CL18-CJ18)&lt;-1,CH17*(1+Setup!ET14),if((CL18-CJ18)&lt;0,CH17*(1+Setup!EU14),if((CL18-CJ18)=0,CH17*(1+Setup!EV14),if((CL18-CJ18)=1,CH17*(1+Setup!EW14),if((CL18-CJ18)=2,CH17*(1+Setup!EX14),if((CL18-CJ18)=3,CH17*(1+Setup!EY14),if((CL18-CJ18)=4,CH17*(1+Setup!EZ14),if((CL18-CJ18)&gt;4,CH17*(1+Setup!FA14),CH17)))))))),CH17),CQ17/'Quick Setup'!$E16)</f>
        <v>245</v>
      </c>
      <c r="CP17" s="39" t="s">
        <v>75</v>
      </c>
      <c r="CQ17" s="40"/>
      <c r="CR17" s="41"/>
      <c r="CS17" s="41"/>
      <c r="CT17" s="41"/>
      <c r="CU17" s="41"/>
      <c r="CV17" s="38">
        <f>if(CX17="",CO17,CX17/'Quick Setup'!$E16)</f>
        <v>245</v>
      </c>
      <c r="CW17" s="39" t="s">
        <v>75</v>
      </c>
      <c r="CX17" s="40"/>
      <c r="CY17" s="41"/>
      <c r="CZ17" s="41"/>
      <c r="DA17" s="41"/>
      <c r="DB17" s="41"/>
      <c r="DC17" s="38">
        <f>if(DE17="", if(CZ18&lt;&gt;"", if((CZ18-CX18)&lt;-1,CV17*(1+Setup!FR14),if((CZ18-CX18)&lt;0,CV17*(1+Setup!FS14),if((CZ18-CX18)=0,CV17*(1+Setup!FT14),if((CZ18-CX18)=1,CV17*(1+Setup!FU14),if((CZ18-CX18)=2,CV17*(1+Setup!FV14),if((CZ18-CX18)=3,CV17*(1+Setup!FW14),if((CZ18-CX18)=4,CV17*(1+Setup!FX14),if((CZ18-CX18)&gt;4,CV17*(1+Setup!FY14),CV17)))))))),CV17),DE17/'Quick Setup'!$E16)</f>
        <v>245</v>
      </c>
      <c r="DD17" s="39" t="s">
        <v>75</v>
      </c>
      <c r="DE17" s="40"/>
      <c r="DF17" s="41"/>
      <c r="DG17" s="41"/>
      <c r="DH17" s="41"/>
      <c r="DI17" s="41"/>
      <c r="DJ17" s="38">
        <f>if(DL17="", if(DG18&lt;&gt;"", if((DG18-DE18)&lt;-1,DC17*(1+Setup!GD14),if((DG18-DE18)&lt;0,DC17*(1+Setup!GE14),if((DG18-DE18)=0,DC17*(1+Setup!GF14),if((DG18-DE18)=1,DC17*(1+Setup!GG14),if((DG18-DE18)=2,DC17*(1+Setup!GH14),if((DG18-DE18)=3,DC17*(1+Setup!GI14),if((DG18-DE18)=4,DC17*(1+Setup!GJ14),if((DG18-DE18)&gt;4,DC17*(1+Setup!GK14),DC17)))))))),DC17),DL17/'Quick Setup'!$E16)</f>
        <v>245</v>
      </c>
      <c r="DK17" s="39" t="s">
        <v>75</v>
      </c>
      <c r="DL17" s="40"/>
      <c r="DM17" s="41"/>
      <c r="DN17" s="41"/>
      <c r="DO17" s="41"/>
      <c r="DP17" s="41"/>
      <c r="DQ17" s="38">
        <f>if(DS17="", if(DN18&lt;&gt;"", if((DN18-DL18)&lt;-1,DJ17*(1+Setup!GP14),if((DN18-DL18)&lt;0,DJ17*(1+Setup!GQ14),if((DN18-DL18)=0,DJ17*(1+Setup!GR14),if((DN18-DL18)=1,DJ17*(1+Setup!GS14),if((DN18-DL18)=2,DJ17*(1+Setup!GT14),if((DN18-DL18)=3,DJ17*(1+Setup!GU14),if((DN18-DL18)=4,DJ17*(1+Setup!GV14),if((DN18-DL18)&gt;4,DJ17*(1+Setup!GW14),DJ17)))))))),DJ17),DS17/'Quick Setup'!$E16)</f>
        <v>245</v>
      </c>
      <c r="DR17" s="39" t="s">
        <v>75</v>
      </c>
      <c r="DS17" s="40"/>
      <c r="DT17" s="41"/>
      <c r="DU17" s="41"/>
      <c r="DV17" s="41"/>
      <c r="DW17" s="41"/>
      <c r="DX17" s="38">
        <f>if(DZ17="", if(DU18&lt;&gt;"", if((DU18-DS18)&lt;-1,DQ17*(1+Setup!HB14),if((DU18-DS18)&lt;0,DQ17*(1+Setup!HC14),if((DU18-DS18)=0,DQ17*(1+Setup!HD14),if((DU18-DS18)=1,DQ17*(1+Setup!HE14),if((DU18-DS18)=2,DQ17*(1+Setup!HF14),if((DU18-DS18)=3,DQ17*(1+Setup!HG14),if((DU18-DS18)=4,DQ17*(1+Setup!HH14),if((DU18-DS18)&gt;4,DQ17*(1+Setup!HI14),DQ17)))))))),DQ17),DZ17/'Quick Setup'!$E16)</f>
        <v>245</v>
      </c>
      <c r="DY17" s="39" t="s">
        <v>75</v>
      </c>
      <c r="DZ17" s="40"/>
      <c r="EA17" s="41"/>
      <c r="EB17" s="41"/>
      <c r="EC17" s="41"/>
      <c r="ED17" s="41"/>
      <c r="EE17" s="38">
        <f>if(EG17="", if(EB18&lt;&gt;"", if((EB18-DZ18)&lt;-1,DX17*(1+Setup!HN14),if((EB18-DZ18)&lt;0,DX17*(1+Setup!HO14),if((EB18-DZ18)=0,DX17*(1+Setup!HP14),if((EB18-DZ18)=1,DX17*(1+Setup!HQ14),if((EB18-DZ18)=2,DX17*(1+Setup!HR14),if((EB18-DZ18)=3,DX17*(1+Setup!HS14),if((EB18-DZ18)=4,DX17*(1+Setup!HT14),if((EB18-DZ18)&gt;4,DX17*(1+Setup!HU14),DX17)))))))),DX17),EG17/'Quick Setup'!$E16)</f>
        <v>245</v>
      </c>
      <c r="EF17" s="39" t="s">
        <v>75</v>
      </c>
      <c r="EG17" s="40"/>
      <c r="EH17" s="41"/>
      <c r="EI17" s="41"/>
      <c r="EJ17" s="41"/>
      <c r="EK17" s="41"/>
      <c r="EL17" s="38">
        <f>if(EN17="", if(EI18&lt;&gt;"", if((EI18-EG18)&lt;-1,EE17*(1+Setup!HZ14),if((EI18-EG18)&lt;0,EE17*(1+Setup!IA14),if((EI18-EG18)=0,EE17*(1+Setup!IB14),if((EI18-EG18)=1,EE17*(1+Setup!IC14),if((EI18-EG18)=2,EE17*(1+Setup!ID14),if((EI18-EG18)=3,EE17*(1+Setup!IE14),if((EI18-EG18)=4,EE17*(1+Setup!IF14),if((EI18-EG18)&gt;4,EE17*(1+Setup!IG14),EE17)))))))),EE17),EN17/'Quick Setup'!$E16)</f>
        <v>245</v>
      </c>
      <c r="EM17" s="39" t="s">
        <v>75</v>
      </c>
      <c r="EN17" s="40"/>
      <c r="EO17" s="41"/>
      <c r="EP17" s="41"/>
      <c r="EQ17" s="41"/>
      <c r="ER17" s="41"/>
    </row>
    <row r="18">
      <c r="A18" s="1" t="str">
        <f>Setup!A14</f>
        <v>Push Press</v>
      </c>
      <c r="B18" s="42">
        <f>mround(B17*Setup!B14,'Quick Setup'!$A$2)</f>
        <v>147.5</v>
      </c>
      <c r="C18" s="3">
        <f>Setup!C14</f>
        <v>7</v>
      </c>
      <c r="D18" s="3">
        <f>Setup!D14</f>
        <v>14</v>
      </c>
      <c r="E18" s="3">
        <f>Setup!E14</f>
        <v>5</v>
      </c>
      <c r="F18" s="10"/>
      <c r="G18" s="10"/>
      <c r="H18" s="10"/>
      <c r="I18" s="42">
        <f>mround(I17*Setup!N14,'Quick Setup'!$A$2)</f>
        <v>160</v>
      </c>
      <c r="J18" s="3">
        <f>Setup!O14</f>
        <v>6</v>
      </c>
      <c r="K18" s="3">
        <f>Setup!P14</f>
        <v>12</v>
      </c>
      <c r="L18" s="3">
        <f>Setup!Q14</f>
        <v>5</v>
      </c>
      <c r="M18" s="10"/>
      <c r="N18" s="10"/>
      <c r="O18" s="10"/>
      <c r="P18" s="42">
        <f>mround(P17*Setup!Z14,'Quick Setup'!$A$2)</f>
        <v>172.5</v>
      </c>
      <c r="Q18" s="3">
        <f>Setup!AA14</f>
        <v>5</v>
      </c>
      <c r="R18" s="3">
        <f>Setup!AB14</f>
        <v>10</v>
      </c>
      <c r="S18" s="3">
        <f>Setup!AC14</f>
        <v>5</v>
      </c>
      <c r="T18" s="10"/>
      <c r="U18" s="10"/>
      <c r="V18" s="10"/>
      <c r="W18" s="42">
        <f>mround(W17*Setup!AL14,'Quick Setup'!$A$2)</f>
        <v>152.5</v>
      </c>
      <c r="X18" s="3">
        <f>Setup!AM14</f>
        <v>7</v>
      </c>
      <c r="Y18" s="3">
        <f>Setup!AN14</f>
        <v>13</v>
      </c>
      <c r="Z18" s="3">
        <f>Setup!AO14</f>
        <v>5</v>
      </c>
      <c r="AA18" s="10"/>
      <c r="AB18" s="10"/>
      <c r="AC18" s="10"/>
      <c r="AD18" s="42">
        <f>mround(AD17*Setup!AX14,'Quick Setup'!$A$2)</f>
        <v>165</v>
      </c>
      <c r="AE18" s="3">
        <f>Setup!AY14</f>
        <v>6</v>
      </c>
      <c r="AF18" s="3">
        <f>Setup!AZ14</f>
        <v>11</v>
      </c>
      <c r="AG18" s="3">
        <f>Setup!BA14</f>
        <v>5</v>
      </c>
      <c r="AH18" s="10"/>
      <c r="AI18" s="10"/>
      <c r="AJ18" s="10"/>
      <c r="AK18" s="42">
        <f>mround(AK17*Setup!BJ14,'Quick Setup'!$A$2)</f>
        <v>177.5</v>
      </c>
      <c r="AL18" s="3">
        <f>Setup!BK14</f>
        <v>5</v>
      </c>
      <c r="AM18" s="3">
        <f>Setup!BL14</f>
        <v>9</v>
      </c>
      <c r="AN18" s="3">
        <f>Setup!BM14</f>
        <v>5</v>
      </c>
      <c r="AO18" s="10"/>
      <c r="AP18" s="10"/>
      <c r="AQ18" s="10"/>
      <c r="AR18" s="42">
        <f>mround(AR17*Setup!BV14,'Quick Setup'!$A$2)</f>
        <v>122.5</v>
      </c>
      <c r="AS18" s="1">
        <v>5.0</v>
      </c>
      <c r="AT18" s="1" t="s">
        <v>78</v>
      </c>
      <c r="AU18" s="3">
        <f>Setup!BY14</f>
        <v>5</v>
      </c>
      <c r="AV18" s="10"/>
      <c r="AW18" s="10"/>
      <c r="AX18" s="10"/>
      <c r="AY18" s="42">
        <f>mround(AY17*Setup!CH14,'Quick Setup'!$A$2)</f>
        <v>160</v>
      </c>
      <c r="AZ18" s="3">
        <f>Setup!CI14</f>
        <v>6</v>
      </c>
      <c r="BA18" s="3">
        <f>Setup!CJ14</f>
        <v>12</v>
      </c>
      <c r="BB18" s="3">
        <f>Setup!CK14</f>
        <v>5</v>
      </c>
      <c r="BC18" s="10"/>
      <c r="BD18" s="10"/>
      <c r="BE18" s="10"/>
      <c r="BF18" s="42">
        <f>mround(BF17*Setup!CT14,'Quick Setup'!$A$2)</f>
        <v>172.5</v>
      </c>
      <c r="BG18" s="3">
        <f>Setup!CU14</f>
        <v>5</v>
      </c>
      <c r="BH18" s="3">
        <f>Setup!CV14</f>
        <v>10</v>
      </c>
      <c r="BI18" s="3">
        <f>Setup!CW14</f>
        <v>5</v>
      </c>
      <c r="BJ18" s="10"/>
      <c r="BK18" s="10"/>
      <c r="BL18" s="10"/>
      <c r="BM18" s="42">
        <f>mround(BM17*Setup!DF14,'Quick Setup'!$A$2)</f>
        <v>185</v>
      </c>
      <c r="BN18" s="3">
        <f>Setup!DG14</f>
        <v>4</v>
      </c>
      <c r="BO18" s="3">
        <f>Setup!DH14</f>
        <v>8</v>
      </c>
      <c r="BP18" s="3">
        <f>Setup!DI14</f>
        <v>5</v>
      </c>
      <c r="BQ18" s="10"/>
      <c r="BR18" s="10"/>
      <c r="BS18" s="10"/>
      <c r="BT18" s="42">
        <f>mround(BT17*Setup!DR14,'Quick Setup'!$A$2)</f>
        <v>165</v>
      </c>
      <c r="BU18" s="3">
        <f>Setup!DS14</f>
        <v>6</v>
      </c>
      <c r="BV18" s="3">
        <f>Setup!DT14</f>
        <v>11</v>
      </c>
      <c r="BW18" s="3">
        <f>Setup!DU14</f>
        <v>5</v>
      </c>
      <c r="BX18" s="10"/>
      <c r="BY18" s="10"/>
      <c r="BZ18" s="10"/>
      <c r="CA18" s="42">
        <f>mround(CA17*Setup!ED14,'Quick Setup'!$A$2)</f>
        <v>177.5</v>
      </c>
      <c r="CB18" s="3">
        <f>Setup!EE14</f>
        <v>5</v>
      </c>
      <c r="CC18" s="3">
        <f>Setup!EF14</f>
        <v>9</v>
      </c>
      <c r="CD18" s="3">
        <f>Setup!EG14</f>
        <v>5</v>
      </c>
      <c r="CE18" s="10"/>
      <c r="CF18" s="10"/>
      <c r="CG18" s="10"/>
      <c r="CH18" s="42">
        <f>mround(CH17*Setup!EP14,'Quick Setup'!$A$2)</f>
        <v>190</v>
      </c>
      <c r="CI18" s="3">
        <f>Setup!EQ14</f>
        <v>4</v>
      </c>
      <c r="CJ18" s="3">
        <f>Setup!ER14</f>
        <v>7</v>
      </c>
      <c r="CK18" s="3">
        <f>Setup!ES14</f>
        <v>5</v>
      </c>
      <c r="CL18" s="10"/>
      <c r="CM18" s="10"/>
      <c r="CN18" s="10"/>
      <c r="CO18" s="42">
        <f>mround(CO17*Setup!FB14,'Quick Setup'!$A$2)</f>
        <v>122.5</v>
      </c>
      <c r="CP18" s="1">
        <v>5.0</v>
      </c>
      <c r="CQ18" s="1" t="s">
        <v>78</v>
      </c>
      <c r="CR18" s="3">
        <f>Setup!FE14</f>
        <v>5</v>
      </c>
      <c r="CS18" s="10"/>
      <c r="CT18" s="10"/>
      <c r="CU18" s="10"/>
      <c r="CV18" s="42">
        <f>mround(CV17*Setup!FN14,'Quick Setup'!$A$2)</f>
        <v>172.5</v>
      </c>
      <c r="CW18" s="3">
        <f>Setup!FO14</f>
        <v>5</v>
      </c>
      <c r="CX18" s="3">
        <f>Setup!FP14</f>
        <v>10</v>
      </c>
      <c r="CY18" s="3">
        <f>Setup!FQ14</f>
        <v>5</v>
      </c>
      <c r="CZ18" s="10"/>
      <c r="DA18" s="10"/>
      <c r="DB18" s="10"/>
      <c r="DC18" s="42">
        <f>mround(DC17*Setup!FZ14,'Quick Setup'!$A$2)</f>
        <v>185</v>
      </c>
      <c r="DD18" s="3">
        <f>Setup!GA14</f>
        <v>4</v>
      </c>
      <c r="DE18" s="3">
        <f>Setup!GB14</f>
        <v>8</v>
      </c>
      <c r="DF18" s="3">
        <f>Setup!GC14</f>
        <v>5</v>
      </c>
      <c r="DG18" s="10"/>
      <c r="DH18" s="10"/>
      <c r="DI18" s="10"/>
      <c r="DJ18" s="42">
        <f>mround(DJ17*Setup!GL14,'Quick Setup'!$A$2)</f>
        <v>195</v>
      </c>
      <c r="DK18" s="3">
        <f>Setup!GM14</f>
        <v>3</v>
      </c>
      <c r="DL18" s="3">
        <f>Setup!GN14</f>
        <v>6</v>
      </c>
      <c r="DM18" s="3">
        <f>Setup!GO14</f>
        <v>5</v>
      </c>
      <c r="DN18" s="10"/>
      <c r="DO18" s="10"/>
      <c r="DP18" s="10"/>
      <c r="DQ18" s="42">
        <f>mround(DQ17*Setup!GX14,'Quick Setup'!$A$2)</f>
        <v>185</v>
      </c>
      <c r="DR18" s="3">
        <f>Setup!GY14</f>
        <v>4</v>
      </c>
      <c r="DS18" s="3">
        <f>Setup!GZ14</f>
        <v>8</v>
      </c>
      <c r="DT18" s="3">
        <f>Setup!HA14</f>
        <v>5</v>
      </c>
      <c r="DU18" s="10"/>
      <c r="DV18" s="10"/>
      <c r="DW18" s="10"/>
      <c r="DX18" s="42">
        <f>mround(DX17*Setup!HJ14,'Quick Setup'!$A$2)</f>
        <v>195</v>
      </c>
      <c r="DY18" s="3">
        <f>Setup!HK14</f>
        <v>3</v>
      </c>
      <c r="DZ18" s="3">
        <f>Setup!HL14</f>
        <v>6</v>
      </c>
      <c r="EA18" s="3">
        <f>Setup!HM14</f>
        <v>5</v>
      </c>
      <c r="EB18" s="10"/>
      <c r="EC18" s="10"/>
      <c r="ED18" s="10"/>
      <c r="EE18" s="42">
        <f>mround(EE17*Setup!HV14,'Quick Setup'!$A$2)</f>
        <v>207.5</v>
      </c>
      <c r="EF18" s="3">
        <f>Setup!HW14</f>
        <v>2</v>
      </c>
      <c r="EG18" s="3">
        <f>Setup!HX14</f>
        <v>4</v>
      </c>
      <c r="EH18" s="3">
        <f>Setup!HY14</f>
        <v>5</v>
      </c>
      <c r="EI18" s="10"/>
      <c r="EJ18" s="10"/>
      <c r="EK18" s="10"/>
      <c r="EL18" s="42">
        <f>mround(EL17*Setup!IH14,'Quick Setup'!$A$2)</f>
        <v>122.5</v>
      </c>
      <c r="EM18" s="1">
        <v>5.0</v>
      </c>
      <c r="EN18" s="1" t="s">
        <v>78</v>
      </c>
      <c r="EO18" s="3">
        <f>Setup!IK14</f>
        <v>5</v>
      </c>
      <c r="EP18" s="10"/>
      <c r="EQ18" s="10"/>
      <c r="ER18" s="10"/>
    </row>
    <row r="19">
      <c r="A19" s="5"/>
      <c r="B19" s="43"/>
      <c r="C19" s="10"/>
      <c r="D19" s="10"/>
      <c r="E19" s="10"/>
      <c r="F19" s="10"/>
      <c r="G19" s="10"/>
      <c r="H19" s="10"/>
      <c r="I19" s="43" t="str">
        <f t="shared" ref="I19:M19" si="81">B19</f>
        <v/>
      </c>
      <c r="J19" s="10" t="str">
        <f t="shared" si="81"/>
        <v/>
      </c>
      <c r="K19" s="10" t="str">
        <f t="shared" si="81"/>
        <v/>
      </c>
      <c r="L19" s="10" t="str">
        <f t="shared" si="81"/>
        <v/>
      </c>
      <c r="M19" s="10" t="str">
        <f t="shared" si="81"/>
        <v/>
      </c>
      <c r="N19" s="10"/>
      <c r="O19" s="10"/>
      <c r="P19" s="43" t="str">
        <f t="shared" ref="P19:T19" si="82">I19</f>
        <v/>
      </c>
      <c r="Q19" s="10" t="str">
        <f t="shared" si="82"/>
        <v/>
      </c>
      <c r="R19" s="10" t="str">
        <f t="shared" si="82"/>
        <v/>
      </c>
      <c r="S19" s="10" t="str">
        <f t="shared" si="82"/>
        <v/>
      </c>
      <c r="T19" s="10" t="str">
        <f t="shared" si="82"/>
        <v/>
      </c>
      <c r="U19" s="10"/>
      <c r="V19" s="10"/>
      <c r="W19" s="43" t="str">
        <f t="shared" ref="W19:AA19" si="83">P19</f>
        <v/>
      </c>
      <c r="X19" s="10" t="str">
        <f t="shared" si="83"/>
        <v/>
      </c>
      <c r="Y19" s="10" t="str">
        <f t="shared" si="83"/>
        <v/>
      </c>
      <c r="Z19" s="10" t="str">
        <f t="shared" si="83"/>
        <v/>
      </c>
      <c r="AA19" s="10" t="str">
        <f t="shared" si="83"/>
        <v/>
      </c>
      <c r="AB19" s="10"/>
      <c r="AC19" s="10"/>
      <c r="AD19" s="43" t="str">
        <f t="shared" ref="AD19:AH19" si="84">W19</f>
        <v/>
      </c>
      <c r="AE19" s="10" t="str">
        <f t="shared" si="84"/>
        <v/>
      </c>
      <c r="AF19" s="10" t="str">
        <f t="shared" si="84"/>
        <v/>
      </c>
      <c r="AG19" s="10" t="str">
        <f t="shared" si="84"/>
        <v/>
      </c>
      <c r="AH19" s="10" t="str">
        <f t="shared" si="84"/>
        <v/>
      </c>
      <c r="AI19" s="10"/>
      <c r="AJ19" s="10"/>
      <c r="AK19" s="43" t="str">
        <f t="shared" ref="AK19:AO19" si="85">AD19</f>
        <v/>
      </c>
      <c r="AL19" s="10" t="str">
        <f t="shared" si="85"/>
        <v/>
      </c>
      <c r="AM19" s="10" t="str">
        <f t="shared" si="85"/>
        <v/>
      </c>
      <c r="AN19" s="10" t="str">
        <f t="shared" si="85"/>
        <v/>
      </c>
      <c r="AO19" s="10" t="str">
        <f t="shared" si="85"/>
        <v/>
      </c>
      <c r="AP19" s="10"/>
      <c r="AQ19" s="10"/>
      <c r="AR19" s="43" t="str">
        <f t="shared" ref="AR19:AV19" si="86">AK19</f>
        <v/>
      </c>
      <c r="AS19" s="10" t="str">
        <f t="shared" si="86"/>
        <v/>
      </c>
      <c r="AT19" s="10" t="str">
        <f t="shared" si="86"/>
        <v/>
      </c>
      <c r="AU19" s="10" t="str">
        <f t="shared" si="86"/>
        <v/>
      </c>
      <c r="AV19" s="10" t="str">
        <f t="shared" si="86"/>
        <v/>
      </c>
      <c r="AW19" s="10"/>
      <c r="AX19" s="10"/>
      <c r="AY19" s="43" t="str">
        <f t="shared" ref="AY19:BC19" si="87">AR19</f>
        <v/>
      </c>
      <c r="AZ19" s="10" t="str">
        <f t="shared" si="87"/>
        <v/>
      </c>
      <c r="BA19" s="10" t="str">
        <f t="shared" si="87"/>
        <v/>
      </c>
      <c r="BB19" s="10" t="str">
        <f t="shared" si="87"/>
        <v/>
      </c>
      <c r="BC19" s="10" t="str">
        <f t="shared" si="87"/>
        <v/>
      </c>
      <c r="BD19" s="10"/>
      <c r="BE19" s="10"/>
      <c r="BF19" s="43" t="str">
        <f t="shared" ref="BF19:BJ19" si="88">AY19</f>
        <v/>
      </c>
      <c r="BG19" s="10" t="str">
        <f t="shared" si="88"/>
        <v/>
      </c>
      <c r="BH19" s="10" t="str">
        <f t="shared" si="88"/>
        <v/>
      </c>
      <c r="BI19" s="10" t="str">
        <f t="shared" si="88"/>
        <v/>
      </c>
      <c r="BJ19" s="10" t="str">
        <f t="shared" si="88"/>
        <v/>
      </c>
      <c r="BK19" s="10"/>
      <c r="BL19" s="10"/>
      <c r="BM19" s="43" t="str">
        <f t="shared" ref="BM19:BQ19" si="89">BF19</f>
        <v/>
      </c>
      <c r="BN19" s="10" t="str">
        <f t="shared" si="89"/>
        <v/>
      </c>
      <c r="BO19" s="10" t="str">
        <f t="shared" si="89"/>
        <v/>
      </c>
      <c r="BP19" s="10" t="str">
        <f t="shared" si="89"/>
        <v/>
      </c>
      <c r="BQ19" s="10" t="str">
        <f t="shared" si="89"/>
        <v/>
      </c>
      <c r="BR19" s="10"/>
      <c r="BS19" s="10"/>
      <c r="BT19" s="43" t="str">
        <f t="shared" ref="BT19:BX19" si="90">BM19</f>
        <v/>
      </c>
      <c r="BU19" s="10" t="str">
        <f t="shared" si="90"/>
        <v/>
      </c>
      <c r="BV19" s="10" t="str">
        <f t="shared" si="90"/>
        <v/>
      </c>
      <c r="BW19" s="10" t="str">
        <f t="shared" si="90"/>
        <v/>
      </c>
      <c r="BX19" s="10" t="str">
        <f t="shared" si="90"/>
        <v/>
      </c>
      <c r="BY19" s="10"/>
      <c r="BZ19" s="10"/>
      <c r="CA19" s="43" t="str">
        <f t="shared" ref="CA19:CE19" si="91">BT19</f>
        <v/>
      </c>
      <c r="CB19" s="10" t="str">
        <f t="shared" si="91"/>
        <v/>
      </c>
      <c r="CC19" s="10" t="str">
        <f t="shared" si="91"/>
        <v/>
      </c>
      <c r="CD19" s="10" t="str">
        <f t="shared" si="91"/>
        <v/>
      </c>
      <c r="CE19" s="10" t="str">
        <f t="shared" si="91"/>
        <v/>
      </c>
      <c r="CF19" s="10"/>
      <c r="CG19" s="10"/>
      <c r="CH19" s="43" t="str">
        <f t="shared" ref="CH19:CL19" si="92">CA19</f>
        <v/>
      </c>
      <c r="CI19" s="10" t="str">
        <f t="shared" si="92"/>
        <v/>
      </c>
      <c r="CJ19" s="10" t="str">
        <f t="shared" si="92"/>
        <v/>
      </c>
      <c r="CK19" s="10" t="str">
        <f t="shared" si="92"/>
        <v/>
      </c>
      <c r="CL19" s="10" t="str">
        <f t="shared" si="92"/>
        <v/>
      </c>
      <c r="CM19" s="10"/>
      <c r="CN19" s="10"/>
      <c r="CO19" s="43" t="str">
        <f t="shared" ref="CO19:CS19" si="93">CH19</f>
        <v/>
      </c>
      <c r="CP19" s="10" t="str">
        <f t="shared" si="93"/>
        <v/>
      </c>
      <c r="CQ19" s="10" t="str">
        <f t="shared" si="93"/>
        <v/>
      </c>
      <c r="CR19" s="10" t="str">
        <f t="shared" si="93"/>
        <v/>
      </c>
      <c r="CS19" s="10" t="str">
        <f t="shared" si="93"/>
        <v/>
      </c>
      <c r="CT19" s="10"/>
      <c r="CU19" s="10"/>
      <c r="CV19" s="43" t="str">
        <f t="shared" ref="CV19:CZ19" si="94">CO19</f>
        <v/>
      </c>
      <c r="CW19" s="10" t="str">
        <f t="shared" si="94"/>
        <v/>
      </c>
      <c r="CX19" s="10" t="str">
        <f t="shared" si="94"/>
        <v/>
      </c>
      <c r="CY19" s="10" t="str">
        <f t="shared" si="94"/>
        <v/>
      </c>
      <c r="CZ19" s="10" t="str">
        <f t="shared" si="94"/>
        <v/>
      </c>
      <c r="DA19" s="10"/>
      <c r="DB19" s="10"/>
      <c r="DC19" s="43" t="str">
        <f t="shared" ref="DC19:DG19" si="95">CV19</f>
        <v/>
      </c>
      <c r="DD19" s="10" t="str">
        <f t="shared" si="95"/>
        <v/>
      </c>
      <c r="DE19" s="10" t="str">
        <f t="shared" si="95"/>
        <v/>
      </c>
      <c r="DF19" s="10" t="str">
        <f t="shared" si="95"/>
        <v/>
      </c>
      <c r="DG19" s="10" t="str">
        <f t="shared" si="95"/>
        <v/>
      </c>
      <c r="DH19" s="10"/>
      <c r="DI19" s="10"/>
      <c r="DJ19" s="43" t="str">
        <f t="shared" ref="DJ19:DN19" si="96">DC19</f>
        <v/>
      </c>
      <c r="DK19" s="10" t="str">
        <f t="shared" si="96"/>
        <v/>
      </c>
      <c r="DL19" s="10" t="str">
        <f t="shared" si="96"/>
        <v/>
      </c>
      <c r="DM19" s="10" t="str">
        <f t="shared" si="96"/>
        <v/>
      </c>
      <c r="DN19" s="10" t="str">
        <f t="shared" si="96"/>
        <v/>
      </c>
      <c r="DO19" s="10"/>
      <c r="DP19" s="10"/>
      <c r="DQ19" s="43" t="str">
        <f t="shared" ref="DQ19:DU19" si="97">DJ19</f>
        <v/>
      </c>
      <c r="DR19" s="10" t="str">
        <f t="shared" si="97"/>
        <v/>
      </c>
      <c r="DS19" s="10" t="str">
        <f t="shared" si="97"/>
        <v/>
      </c>
      <c r="DT19" s="10" t="str">
        <f t="shared" si="97"/>
        <v/>
      </c>
      <c r="DU19" s="10" t="str">
        <f t="shared" si="97"/>
        <v/>
      </c>
      <c r="DV19" s="10"/>
      <c r="DW19" s="10"/>
      <c r="DX19" s="43" t="str">
        <f t="shared" ref="DX19:EB19" si="98">DQ19</f>
        <v/>
      </c>
      <c r="DY19" s="10" t="str">
        <f t="shared" si="98"/>
        <v/>
      </c>
      <c r="DZ19" s="10" t="str">
        <f t="shared" si="98"/>
        <v/>
      </c>
      <c r="EA19" s="10" t="str">
        <f t="shared" si="98"/>
        <v/>
      </c>
      <c r="EB19" s="10" t="str">
        <f t="shared" si="98"/>
        <v/>
      </c>
      <c r="EC19" s="10"/>
      <c r="ED19" s="10"/>
      <c r="EE19" s="43" t="str">
        <f t="shared" ref="EE19:EI19" si="99">DX19</f>
        <v/>
      </c>
      <c r="EF19" s="10" t="str">
        <f t="shared" si="99"/>
        <v/>
      </c>
      <c r="EG19" s="10" t="str">
        <f t="shared" si="99"/>
        <v/>
      </c>
      <c r="EH19" s="10" t="str">
        <f t="shared" si="99"/>
        <v/>
      </c>
      <c r="EI19" s="10" t="str">
        <f t="shared" si="99"/>
        <v/>
      </c>
      <c r="EJ19" s="10"/>
      <c r="EK19" s="10"/>
      <c r="EL19" s="43" t="str">
        <f t="shared" ref="EL19:EP19" si="100">EE19</f>
        <v/>
      </c>
      <c r="EM19" s="10" t="str">
        <f t="shared" si="100"/>
        <v/>
      </c>
      <c r="EN19" s="10" t="str">
        <f t="shared" si="100"/>
        <v/>
      </c>
      <c r="EO19" s="10" t="str">
        <f t="shared" si="100"/>
        <v/>
      </c>
      <c r="EP19" s="10" t="str">
        <f t="shared" si="100"/>
        <v/>
      </c>
      <c r="EQ19" s="10"/>
      <c r="ER19" s="10"/>
    </row>
    <row r="20">
      <c r="A20" s="1" t="s">
        <v>79</v>
      </c>
      <c r="B20" s="42"/>
      <c r="C20" s="3"/>
      <c r="D20" s="3"/>
      <c r="E20" s="3"/>
      <c r="F20" s="3"/>
      <c r="G20" s="3"/>
      <c r="H20" s="3"/>
      <c r="I20" s="42"/>
      <c r="J20" s="3"/>
      <c r="K20" s="3"/>
      <c r="L20" s="3"/>
      <c r="M20" s="3"/>
      <c r="N20" s="3"/>
      <c r="O20" s="3"/>
      <c r="P20" s="42"/>
      <c r="Q20" s="3"/>
      <c r="R20" s="3"/>
      <c r="S20" s="3"/>
      <c r="T20" s="3"/>
      <c r="U20" s="3"/>
      <c r="V20" s="3"/>
      <c r="W20" s="42"/>
      <c r="X20" s="3"/>
      <c r="Y20" s="3"/>
      <c r="Z20" s="3"/>
      <c r="AA20" s="3"/>
      <c r="AB20" s="3"/>
      <c r="AC20" s="3"/>
      <c r="AD20" s="42"/>
      <c r="AE20" s="3"/>
      <c r="AF20" s="3"/>
      <c r="AG20" s="3"/>
      <c r="AH20" s="3"/>
      <c r="AI20" s="3"/>
      <c r="AJ20" s="3"/>
      <c r="AK20" s="42"/>
      <c r="AL20" s="3"/>
      <c r="AM20" s="3"/>
      <c r="AN20" s="3"/>
      <c r="AO20" s="3"/>
      <c r="AP20" s="3"/>
      <c r="AQ20" s="3"/>
      <c r="AR20" s="42"/>
      <c r="AS20" s="3"/>
      <c r="AT20" s="3"/>
      <c r="AU20" s="3"/>
      <c r="AV20" s="3"/>
      <c r="AW20" s="3"/>
      <c r="AX20" s="3"/>
      <c r="AY20" s="42"/>
      <c r="AZ20" s="3"/>
      <c r="BA20" s="3"/>
      <c r="BB20" s="3"/>
      <c r="BC20" s="3"/>
      <c r="BD20" s="3"/>
      <c r="BE20" s="3"/>
      <c r="BF20" s="42"/>
      <c r="BG20" s="3"/>
      <c r="BH20" s="3"/>
      <c r="BI20" s="3"/>
      <c r="BJ20" s="3"/>
      <c r="BK20" s="3"/>
      <c r="BL20" s="3"/>
      <c r="BM20" s="42"/>
      <c r="BN20" s="3"/>
      <c r="BO20" s="3"/>
      <c r="BP20" s="3"/>
      <c r="BQ20" s="3"/>
      <c r="BR20" s="3"/>
      <c r="BS20" s="3"/>
      <c r="BT20" s="42"/>
      <c r="BU20" s="3"/>
      <c r="BV20" s="3"/>
      <c r="BW20" s="3"/>
      <c r="BX20" s="3"/>
      <c r="BY20" s="3"/>
      <c r="BZ20" s="3"/>
      <c r="CA20" s="42"/>
      <c r="CB20" s="3"/>
      <c r="CC20" s="3"/>
      <c r="CD20" s="3"/>
      <c r="CE20" s="3"/>
      <c r="CF20" s="3"/>
      <c r="CG20" s="3"/>
      <c r="CH20" s="42"/>
      <c r="CI20" s="3"/>
      <c r="CJ20" s="3"/>
      <c r="CK20" s="3"/>
      <c r="CL20" s="3"/>
      <c r="CM20" s="3"/>
      <c r="CN20" s="3"/>
      <c r="CO20" s="42"/>
      <c r="CP20" s="3"/>
      <c r="CQ20" s="3"/>
      <c r="CR20" s="3"/>
      <c r="CS20" s="3"/>
      <c r="CT20" s="3"/>
      <c r="CU20" s="3"/>
      <c r="CV20" s="42"/>
      <c r="CW20" s="3"/>
      <c r="CX20" s="3"/>
      <c r="CY20" s="3"/>
      <c r="CZ20" s="3"/>
      <c r="DA20" s="3"/>
      <c r="DB20" s="3"/>
      <c r="DC20" s="42"/>
      <c r="DD20" s="3"/>
      <c r="DE20" s="3"/>
      <c r="DF20" s="3"/>
      <c r="DG20" s="3"/>
      <c r="DH20" s="3"/>
      <c r="DI20" s="3"/>
      <c r="DJ20" s="42"/>
      <c r="DK20" s="3"/>
      <c r="DL20" s="3"/>
      <c r="DM20" s="3"/>
      <c r="DN20" s="3"/>
      <c r="DO20" s="3"/>
      <c r="DP20" s="3"/>
      <c r="DQ20" s="42"/>
      <c r="DR20" s="3"/>
      <c r="DS20" s="3"/>
      <c r="DT20" s="3"/>
      <c r="DU20" s="3"/>
      <c r="DV20" s="3"/>
      <c r="DW20" s="3"/>
      <c r="DX20" s="42"/>
      <c r="DY20" s="3"/>
      <c r="DZ20" s="3"/>
      <c r="EA20" s="3"/>
      <c r="EB20" s="3"/>
      <c r="EC20" s="3"/>
      <c r="ED20" s="3"/>
      <c r="EE20" s="42"/>
      <c r="EF20" s="3"/>
      <c r="EG20" s="3"/>
      <c r="EH20" s="3"/>
      <c r="EI20" s="3"/>
      <c r="EJ20" s="3"/>
      <c r="EK20" s="3"/>
      <c r="EL20" s="42"/>
      <c r="EM20" s="3"/>
      <c r="EN20" s="3"/>
      <c r="EO20" s="3"/>
      <c r="EP20" s="3"/>
      <c r="EQ20" s="3"/>
      <c r="ER20" s="3"/>
    </row>
    <row r="21">
      <c r="A21" s="44"/>
      <c r="B21" s="43"/>
      <c r="C21" s="10"/>
      <c r="D21" s="10"/>
      <c r="E21" s="10"/>
      <c r="F21" s="10"/>
      <c r="G21" s="10"/>
      <c r="H21" s="10"/>
      <c r="I21" s="43" t="str">
        <f t="shared" ref="I21:M21" si="101">B21</f>
        <v/>
      </c>
      <c r="J21" s="10" t="str">
        <f t="shared" si="101"/>
        <v/>
      </c>
      <c r="K21" s="10" t="str">
        <f t="shared" si="101"/>
        <v/>
      </c>
      <c r="L21" s="10" t="str">
        <f t="shared" si="101"/>
        <v/>
      </c>
      <c r="M21" s="10" t="str">
        <f t="shared" si="101"/>
        <v/>
      </c>
      <c r="N21" s="10"/>
      <c r="O21" s="10"/>
      <c r="P21" s="43" t="str">
        <f t="shared" ref="P21:T21" si="102">I21</f>
        <v/>
      </c>
      <c r="Q21" s="10" t="str">
        <f t="shared" si="102"/>
        <v/>
      </c>
      <c r="R21" s="10" t="str">
        <f t="shared" si="102"/>
        <v/>
      </c>
      <c r="S21" s="10" t="str">
        <f t="shared" si="102"/>
        <v/>
      </c>
      <c r="T21" s="10" t="str">
        <f t="shared" si="102"/>
        <v/>
      </c>
      <c r="U21" s="10"/>
      <c r="V21" s="10"/>
      <c r="W21" s="43" t="str">
        <f t="shared" ref="W21:AA21" si="103">P21</f>
        <v/>
      </c>
      <c r="X21" s="10" t="str">
        <f t="shared" si="103"/>
        <v/>
      </c>
      <c r="Y21" s="10" t="str">
        <f t="shared" si="103"/>
        <v/>
      </c>
      <c r="Z21" s="10" t="str">
        <f t="shared" si="103"/>
        <v/>
      </c>
      <c r="AA21" s="10" t="str">
        <f t="shared" si="103"/>
        <v/>
      </c>
      <c r="AB21" s="10"/>
      <c r="AC21" s="10"/>
      <c r="AD21" s="43" t="str">
        <f t="shared" ref="AD21:AH21" si="104">W21</f>
        <v/>
      </c>
      <c r="AE21" s="10" t="str">
        <f t="shared" si="104"/>
        <v/>
      </c>
      <c r="AF21" s="10" t="str">
        <f t="shared" si="104"/>
        <v/>
      </c>
      <c r="AG21" s="10" t="str">
        <f t="shared" si="104"/>
        <v/>
      </c>
      <c r="AH21" s="10" t="str">
        <f t="shared" si="104"/>
        <v/>
      </c>
      <c r="AI21" s="10"/>
      <c r="AJ21" s="10"/>
      <c r="AK21" s="43" t="str">
        <f t="shared" ref="AK21:AO21" si="105">AD21</f>
        <v/>
      </c>
      <c r="AL21" s="10" t="str">
        <f t="shared" si="105"/>
        <v/>
      </c>
      <c r="AM21" s="10" t="str">
        <f t="shared" si="105"/>
        <v/>
      </c>
      <c r="AN21" s="10" t="str">
        <f t="shared" si="105"/>
        <v/>
      </c>
      <c r="AO21" s="10" t="str">
        <f t="shared" si="105"/>
        <v/>
      </c>
      <c r="AP21" s="10"/>
      <c r="AQ21" s="10"/>
      <c r="AR21" s="43" t="str">
        <f t="shared" ref="AR21:AV21" si="106">AK21</f>
        <v/>
      </c>
      <c r="AS21" s="10" t="str">
        <f t="shared" si="106"/>
        <v/>
      </c>
      <c r="AT21" s="10" t="str">
        <f t="shared" si="106"/>
        <v/>
      </c>
      <c r="AU21" s="10" t="str">
        <f t="shared" si="106"/>
        <v/>
      </c>
      <c r="AV21" s="10" t="str">
        <f t="shared" si="106"/>
        <v/>
      </c>
      <c r="AW21" s="10"/>
      <c r="AX21" s="10"/>
      <c r="AY21" s="43" t="str">
        <f t="shared" ref="AY21:BC21" si="107">AR21</f>
        <v/>
      </c>
      <c r="AZ21" s="10" t="str">
        <f t="shared" si="107"/>
        <v/>
      </c>
      <c r="BA21" s="10" t="str">
        <f t="shared" si="107"/>
        <v/>
      </c>
      <c r="BB21" s="10" t="str">
        <f t="shared" si="107"/>
        <v/>
      </c>
      <c r="BC21" s="10" t="str">
        <f t="shared" si="107"/>
        <v/>
      </c>
      <c r="BD21" s="10"/>
      <c r="BE21" s="10"/>
      <c r="BF21" s="43" t="str">
        <f t="shared" ref="BF21:BJ21" si="108">AY21</f>
        <v/>
      </c>
      <c r="BG21" s="10" t="str">
        <f t="shared" si="108"/>
        <v/>
      </c>
      <c r="BH21" s="10" t="str">
        <f t="shared" si="108"/>
        <v/>
      </c>
      <c r="BI21" s="10" t="str">
        <f t="shared" si="108"/>
        <v/>
      </c>
      <c r="BJ21" s="10" t="str">
        <f t="shared" si="108"/>
        <v/>
      </c>
      <c r="BK21" s="10"/>
      <c r="BL21" s="10"/>
      <c r="BM21" s="43" t="str">
        <f t="shared" ref="BM21:BQ21" si="109">BF21</f>
        <v/>
      </c>
      <c r="BN21" s="10" t="str">
        <f t="shared" si="109"/>
        <v/>
      </c>
      <c r="BO21" s="10" t="str">
        <f t="shared" si="109"/>
        <v/>
      </c>
      <c r="BP21" s="10" t="str">
        <f t="shared" si="109"/>
        <v/>
      </c>
      <c r="BQ21" s="10" t="str">
        <f t="shared" si="109"/>
        <v/>
      </c>
      <c r="BR21" s="10"/>
      <c r="BS21" s="10"/>
      <c r="BT21" s="43" t="str">
        <f t="shared" ref="BT21:BX21" si="110">BM21</f>
        <v/>
      </c>
      <c r="BU21" s="10" t="str">
        <f t="shared" si="110"/>
        <v/>
      </c>
      <c r="BV21" s="10" t="str">
        <f t="shared" si="110"/>
        <v/>
      </c>
      <c r="BW21" s="10" t="str">
        <f t="shared" si="110"/>
        <v/>
      </c>
      <c r="BX21" s="10" t="str">
        <f t="shared" si="110"/>
        <v/>
      </c>
      <c r="BY21" s="10"/>
      <c r="BZ21" s="10"/>
      <c r="CA21" s="43" t="str">
        <f t="shared" ref="CA21:CE21" si="111">BT21</f>
        <v/>
      </c>
      <c r="CB21" s="10" t="str">
        <f t="shared" si="111"/>
        <v/>
      </c>
      <c r="CC21" s="10" t="str">
        <f t="shared" si="111"/>
        <v/>
      </c>
      <c r="CD21" s="10" t="str">
        <f t="shared" si="111"/>
        <v/>
      </c>
      <c r="CE21" s="10" t="str">
        <f t="shared" si="111"/>
        <v/>
      </c>
      <c r="CF21" s="10"/>
      <c r="CG21" s="10"/>
      <c r="CH21" s="43" t="str">
        <f t="shared" ref="CH21:CL21" si="112">CA21</f>
        <v/>
      </c>
      <c r="CI21" s="10" t="str">
        <f t="shared" si="112"/>
        <v/>
      </c>
      <c r="CJ21" s="10" t="str">
        <f t="shared" si="112"/>
        <v/>
      </c>
      <c r="CK21" s="10" t="str">
        <f t="shared" si="112"/>
        <v/>
      </c>
      <c r="CL21" s="10" t="str">
        <f t="shared" si="112"/>
        <v/>
      </c>
      <c r="CM21" s="10"/>
      <c r="CN21" s="10"/>
      <c r="CO21" s="43" t="str">
        <f t="shared" ref="CO21:CS21" si="113">CH21</f>
        <v/>
      </c>
      <c r="CP21" s="10" t="str">
        <f t="shared" si="113"/>
        <v/>
      </c>
      <c r="CQ21" s="10" t="str">
        <f t="shared" si="113"/>
        <v/>
      </c>
      <c r="CR21" s="10" t="str">
        <f t="shared" si="113"/>
        <v/>
      </c>
      <c r="CS21" s="10" t="str">
        <f t="shared" si="113"/>
        <v/>
      </c>
      <c r="CT21" s="10"/>
      <c r="CU21" s="10"/>
      <c r="CV21" s="43" t="str">
        <f t="shared" ref="CV21:CZ21" si="114">CO21</f>
        <v/>
      </c>
      <c r="CW21" s="10" t="str">
        <f t="shared" si="114"/>
        <v/>
      </c>
      <c r="CX21" s="10" t="str">
        <f t="shared" si="114"/>
        <v/>
      </c>
      <c r="CY21" s="10" t="str">
        <f t="shared" si="114"/>
        <v/>
      </c>
      <c r="CZ21" s="10" t="str">
        <f t="shared" si="114"/>
        <v/>
      </c>
      <c r="DA21" s="10"/>
      <c r="DB21" s="10"/>
      <c r="DC21" s="43" t="str">
        <f t="shared" ref="DC21:DG21" si="115">CV21</f>
        <v/>
      </c>
      <c r="DD21" s="10" t="str">
        <f t="shared" si="115"/>
        <v/>
      </c>
      <c r="DE21" s="10" t="str">
        <f t="shared" si="115"/>
        <v/>
      </c>
      <c r="DF21" s="10" t="str">
        <f t="shared" si="115"/>
        <v/>
      </c>
      <c r="DG21" s="10" t="str">
        <f t="shared" si="115"/>
        <v/>
      </c>
      <c r="DH21" s="10"/>
      <c r="DI21" s="10"/>
      <c r="DJ21" s="43" t="str">
        <f t="shared" ref="DJ21:DN21" si="116">DC21</f>
        <v/>
      </c>
      <c r="DK21" s="10" t="str">
        <f t="shared" si="116"/>
        <v/>
      </c>
      <c r="DL21" s="10" t="str">
        <f t="shared" si="116"/>
        <v/>
      </c>
      <c r="DM21" s="10" t="str">
        <f t="shared" si="116"/>
        <v/>
      </c>
      <c r="DN21" s="10" t="str">
        <f t="shared" si="116"/>
        <v/>
      </c>
      <c r="DO21" s="10"/>
      <c r="DP21" s="10"/>
      <c r="DQ21" s="43" t="str">
        <f t="shared" ref="DQ21:DU21" si="117">DJ21</f>
        <v/>
      </c>
      <c r="DR21" s="10" t="str">
        <f t="shared" si="117"/>
        <v/>
      </c>
      <c r="DS21" s="10" t="str">
        <f t="shared" si="117"/>
        <v/>
      </c>
      <c r="DT21" s="10" t="str">
        <f t="shared" si="117"/>
        <v/>
      </c>
      <c r="DU21" s="10" t="str">
        <f t="shared" si="117"/>
        <v/>
      </c>
      <c r="DV21" s="10"/>
      <c r="DW21" s="10"/>
      <c r="DX21" s="43" t="str">
        <f t="shared" ref="DX21:EB21" si="118">DQ21</f>
        <v/>
      </c>
      <c r="DY21" s="10" t="str">
        <f t="shared" si="118"/>
        <v/>
      </c>
      <c r="DZ21" s="10" t="str">
        <f t="shared" si="118"/>
        <v/>
      </c>
      <c r="EA21" s="10" t="str">
        <f t="shared" si="118"/>
        <v/>
      </c>
      <c r="EB21" s="10" t="str">
        <f t="shared" si="118"/>
        <v/>
      </c>
      <c r="EC21" s="10"/>
      <c r="ED21" s="10"/>
      <c r="EE21" s="43" t="str">
        <f t="shared" ref="EE21:EI21" si="119">DX21</f>
        <v/>
      </c>
      <c r="EF21" s="10" t="str">
        <f t="shared" si="119"/>
        <v/>
      </c>
      <c r="EG21" s="10" t="str">
        <f t="shared" si="119"/>
        <v/>
      </c>
      <c r="EH21" s="10" t="str">
        <f t="shared" si="119"/>
        <v/>
      </c>
      <c r="EI21" s="10" t="str">
        <f t="shared" si="119"/>
        <v/>
      </c>
      <c r="EJ21" s="10"/>
      <c r="EK21" s="10"/>
      <c r="EL21" s="43" t="str">
        <f t="shared" ref="EL21:EP21" si="120">EE21</f>
        <v/>
      </c>
      <c r="EM21" s="10" t="str">
        <f t="shared" si="120"/>
        <v/>
      </c>
      <c r="EN21" s="10" t="str">
        <f t="shared" si="120"/>
        <v/>
      </c>
      <c r="EO21" s="10" t="str">
        <f t="shared" si="120"/>
        <v/>
      </c>
      <c r="EP21" s="10" t="str">
        <f t="shared" si="120"/>
        <v/>
      </c>
      <c r="EQ21" s="10"/>
      <c r="ER21" s="10"/>
    </row>
    <row r="22">
      <c r="A22" s="44"/>
      <c r="B22" s="43"/>
      <c r="C22" s="10"/>
      <c r="D22" s="10"/>
      <c r="E22" s="10"/>
      <c r="F22" s="10"/>
      <c r="G22" s="10"/>
      <c r="H22" s="10"/>
      <c r="I22" s="43" t="str">
        <f t="shared" ref="I22:M22" si="121">B22</f>
        <v/>
      </c>
      <c r="J22" s="10" t="str">
        <f t="shared" si="121"/>
        <v/>
      </c>
      <c r="K22" s="10" t="str">
        <f t="shared" si="121"/>
        <v/>
      </c>
      <c r="L22" s="10" t="str">
        <f t="shared" si="121"/>
        <v/>
      </c>
      <c r="M22" s="10" t="str">
        <f t="shared" si="121"/>
        <v/>
      </c>
      <c r="N22" s="10"/>
      <c r="O22" s="10"/>
      <c r="P22" s="43" t="str">
        <f t="shared" ref="P22:T22" si="122">I22</f>
        <v/>
      </c>
      <c r="Q22" s="10" t="str">
        <f t="shared" si="122"/>
        <v/>
      </c>
      <c r="R22" s="10" t="str">
        <f t="shared" si="122"/>
        <v/>
      </c>
      <c r="S22" s="10" t="str">
        <f t="shared" si="122"/>
        <v/>
      </c>
      <c r="T22" s="10" t="str">
        <f t="shared" si="122"/>
        <v/>
      </c>
      <c r="U22" s="10"/>
      <c r="V22" s="10"/>
      <c r="W22" s="43" t="str">
        <f t="shared" ref="W22:AA22" si="123">P22</f>
        <v/>
      </c>
      <c r="X22" s="10" t="str">
        <f t="shared" si="123"/>
        <v/>
      </c>
      <c r="Y22" s="10" t="str">
        <f t="shared" si="123"/>
        <v/>
      </c>
      <c r="Z22" s="10" t="str">
        <f t="shared" si="123"/>
        <v/>
      </c>
      <c r="AA22" s="10" t="str">
        <f t="shared" si="123"/>
        <v/>
      </c>
      <c r="AB22" s="10"/>
      <c r="AC22" s="10"/>
      <c r="AD22" s="43" t="str">
        <f t="shared" ref="AD22:AH22" si="124">W22</f>
        <v/>
      </c>
      <c r="AE22" s="10" t="str">
        <f t="shared" si="124"/>
        <v/>
      </c>
      <c r="AF22" s="10" t="str">
        <f t="shared" si="124"/>
        <v/>
      </c>
      <c r="AG22" s="10" t="str">
        <f t="shared" si="124"/>
        <v/>
      </c>
      <c r="AH22" s="10" t="str">
        <f t="shared" si="124"/>
        <v/>
      </c>
      <c r="AI22" s="10"/>
      <c r="AJ22" s="10"/>
      <c r="AK22" s="43" t="str">
        <f t="shared" ref="AK22:AO22" si="125">AD22</f>
        <v/>
      </c>
      <c r="AL22" s="10" t="str">
        <f t="shared" si="125"/>
        <v/>
      </c>
      <c r="AM22" s="10" t="str">
        <f t="shared" si="125"/>
        <v/>
      </c>
      <c r="AN22" s="10" t="str">
        <f t="shared" si="125"/>
        <v/>
      </c>
      <c r="AO22" s="10" t="str">
        <f t="shared" si="125"/>
        <v/>
      </c>
      <c r="AP22" s="10"/>
      <c r="AQ22" s="10"/>
      <c r="AR22" s="43" t="str">
        <f t="shared" ref="AR22:AV22" si="126">AK22</f>
        <v/>
      </c>
      <c r="AS22" s="10" t="str">
        <f t="shared" si="126"/>
        <v/>
      </c>
      <c r="AT22" s="10" t="str">
        <f t="shared" si="126"/>
        <v/>
      </c>
      <c r="AU22" s="10" t="str">
        <f t="shared" si="126"/>
        <v/>
      </c>
      <c r="AV22" s="10" t="str">
        <f t="shared" si="126"/>
        <v/>
      </c>
      <c r="AW22" s="10"/>
      <c r="AX22" s="10"/>
      <c r="AY22" s="43" t="str">
        <f t="shared" ref="AY22:BC22" si="127">AR22</f>
        <v/>
      </c>
      <c r="AZ22" s="10" t="str">
        <f t="shared" si="127"/>
        <v/>
      </c>
      <c r="BA22" s="10" t="str">
        <f t="shared" si="127"/>
        <v/>
      </c>
      <c r="BB22" s="10" t="str">
        <f t="shared" si="127"/>
        <v/>
      </c>
      <c r="BC22" s="10" t="str">
        <f t="shared" si="127"/>
        <v/>
      </c>
      <c r="BD22" s="10"/>
      <c r="BE22" s="10"/>
      <c r="BF22" s="43" t="str">
        <f t="shared" ref="BF22:BJ22" si="128">AY22</f>
        <v/>
      </c>
      <c r="BG22" s="10" t="str">
        <f t="shared" si="128"/>
        <v/>
      </c>
      <c r="BH22" s="10" t="str">
        <f t="shared" si="128"/>
        <v/>
      </c>
      <c r="BI22" s="10" t="str">
        <f t="shared" si="128"/>
        <v/>
      </c>
      <c r="BJ22" s="10" t="str">
        <f t="shared" si="128"/>
        <v/>
      </c>
      <c r="BK22" s="10"/>
      <c r="BL22" s="10"/>
      <c r="BM22" s="43" t="str">
        <f t="shared" ref="BM22:BQ22" si="129">BF22</f>
        <v/>
      </c>
      <c r="BN22" s="10" t="str">
        <f t="shared" si="129"/>
        <v/>
      </c>
      <c r="BO22" s="10" t="str">
        <f t="shared" si="129"/>
        <v/>
      </c>
      <c r="BP22" s="10" t="str">
        <f t="shared" si="129"/>
        <v/>
      </c>
      <c r="BQ22" s="10" t="str">
        <f t="shared" si="129"/>
        <v/>
      </c>
      <c r="BR22" s="10"/>
      <c r="BS22" s="10"/>
      <c r="BT22" s="43" t="str">
        <f t="shared" ref="BT22:BX22" si="130">BM22</f>
        <v/>
      </c>
      <c r="BU22" s="10" t="str">
        <f t="shared" si="130"/>
        <v/>
      </c>
      <c r="BV22" s="10" t="str">
        <f t="shared" si="130"/>
        <v/>
      </c>
      <c r="BW22" s="10" t="str">
        <f t="shared" si="130"/>
        <v/>
      </c>
      <c r="BX22" s="10" t="str">
        <f t="shared" si="130"/>
        <v/>
      </c>
      <c r="BY22" s="10"/>
      <c r="BZ22" s="10"/>
      <c r="CA22" s="43" t="str">
        <f t="shared" ref="CA22:CE22" si="131">BT22</f>
        <v/>
      </c>
      <c r="CB22" s="10" t="str">
        <f t="shared" si="131"/>
        <v/>
      </c>
      <c r="CC22" s="10" t="str">
        <f t="shared" si="131"/>
        <v/>
      </c>
      <c r="CD22" s="10" t="str">
        <f t="shared" si="131"/>
        <v/>
      </c>
      <c r="CE22" s="10" t="str">
        <f t="shared" si="131"/>
        <v/>
      </c>
      <c r="CF22" s="10"/>
      <c r="CG22" s="10"/>
      <c r="CH22" s="43" t="str">
        <f t="shared" ref="CH22:CL22" si="132">CA22</f>
        <v/>
      </c>
      <c r="CI22" s="10" t="str">
        <f t="shared" si="132"/>
        <v/>
      </c>
      <c r="CJ22" s="10" t="str">
        <f t="shared" si="132"/>
        <v/>
      </c>
      <c r="CK22" s="10" t="str">
        <f t="shared" si="132"/>
        <v/>
      </c>
      <c r="CL22" s="10" t="str">
        <f t="shared" si="132"/>
        <v/>
      </c>
      <c r="CM22" s="10"/>
      <c r="CN22" s="10"/>
      <c r="CO22" s="43" t="str">
        <f t="shared" ref="CO22:CS22" si="133">CH22</f>
        <v/>
      </c>
      <c r="CP22" s="10" t="str">
        <f t="shared" si="133"/>
        <v/>
      </c>
      <c r="CQ22" s="10" t="str">
        <f t="shared" si="133"/>
        <v/>
      </c>
      <c r="CR22" s="10" t="str">
        <f t="shared" si="133"/>
        <v/>
      </c>
      <c r="CS22" s="10" t="str">
        <f t="shared" si="133"/>
        <v/>
      </c>
      <c r="CT22" s="10"/>
      <c r="CU22" s="10"/>
      <c r="CV22" s="43" t="str">
        <f t="shared" ref="CV22:CZ22" si="134">CO22</f>
        <v/>
      </c>
      <c r="CW22" s="10" t="str">
        <f t="shared" si="134"/>
        <v/>
      </c>
      <c r="CX22" s="10" t="str">
        <f t="shared" si="134"/>
        <v/>
      </c>
      <c r="CY22" s="10" t="str">
        <f t="shared" si="134"/>
        <v/>
      </c>
      <c r="CZ22" s="10" t="str">
        <f t="shared" si="134"/>
        <v/>
      </c>
      <c r="DA22" s="10"/>
      <c r="DB22" s="10"/>
      <c r="DC22" s="43" t="str">
        <f t="shared" ref="DC22:DG22" si="135">CV22</f>
        <v/>
      </c>
      <c r="DD22" s="10" t="str">
        <f t="shared" si="135"/>
        <v/>
      </c>
      <c r="DE22" s="10" t="str">
        <f t="shared" si="135"/>
        <v/>
      </c>
      <c r="DF22" s="10" t="str">
        <f t="shared" si="135"/>
        <v/>
      </c>
      <c r="DG22" s="10" t="str">
        <f t="shared" si="135"/>
        <v/>
      </c>
      <c r="DH22" s="10"/>
      <c r="DI22" s="10"/>
      <c r="DJ22" s="43" t="str">
        <f t="shared" ref="DJ22:DN22" si="136">DC22</f>
        <v/>
      </c>
      <c r="DK22" s="10" t="str">
        <f t="shared" si="136"/>
        <v/>
      </c>
      <c r="DL22" s="10" t="str">
        <f t="shared" si="136"/>
        <v/>
      </c>
      <c r="DM22" s="10" t="str">
        <f t="shared" si="136"/>
        <v/>
      </c>
      <c r="DN22" s="10" t="str">
        <f t="shared" si="136"/>
        <v/>
      </c>
      <c r="DO22" s="10"/>
      <c r="DP22" s="10"/>
      <c r="DQ22" s="43" t="str">
        <f t="shared" ref="DQ22:DU22" si="137">DJ22</f>
        <v/>
      </c>
      <c r="DR22" s="10" t="str">
        <f t="shared" si="137"/>
        <v/>
      </c>
      <c r="DS22" s="10" t="str">
        <f t="shared" si="137"/>
        <v/>
      </c>
      <c r="DT22" s="10" t="str">
        <f t="shared" si="137"/>
        <v/>
      </c>
      <c r="DU22" s="10" t="str">
        <f t="shared" si="137"/>
        <v/>
      </c>
      <c r="DV22" s="10"/>
      <c r="DW22" s="10"/>
      <c r="DX22" s="43" t="str">
        <f t="shared" ref="DX22:EB22" si="138">DQ22</f>
        <v/>
      </c>
      <c r="DY22" s="10" t="str">
        <f t="shared" si="138"/>
        <v/>
      </c>
      <c r="DZ22" s="10" t="str">
        <f t="shared" si="138"/>
        <v/>
      </c>
      <c r="EA22" s="10" t="str">
        <f t="shared" si="138"/>
        <v/>
      </c>
      <c r="EB22" s="10" t="str">
        <f t="shared" si="138"/>
        <v/>
      </c>
      <c r="EC22" s="10"/>
      <c r="ED22" s="10"/>
      <c r="EE22" s="43" t="str">
        <f t="shared" ref="EE22:EI22" si="139">DX22</f>
        <v/>
      </c>
      <c r="EF22" s="10" t="str">
        <f t="shared" si="139"/>
        <v/>
      </c>
      <c r="EG22" s="10" t="str">
        <f t="shared" si="139"/>
        <v/>
      </c>
      <c r="EH22" s="10" t="str">
        <f t="shared" si="139"/>
        <v/>
      </c>
      <c r="EI22" s="10" t="str">
        <f t="shared" si="139"/>
        <v/>
      </c>
      <c r="EJ22" s="10"/>
      <c r="EK22" s="10"/>
      <c r="EL22" s="43" t="str">
        <f t="shared" ref="EL22:EP22" si="140">EE22</f>
        <v/>
      </c>
      <c r="EM22" s="10" t="str">
        <f t="shared" si="140"/>
        <v/>
      </c>
      <c r="EN22" s="10" t="str">
        <f t="shared" si="140"/>
        <v/>
      </c>
      <c r="EO22" s="10" t="str">
        <f t="shared" si="140"/>
        <v/>
      </c>
      <c r="EP22" s="10" t="str">
        <f t="shared" si="140"/>
        <v/>
      </c>
      <c r="EQ22" s="10"/>
      <c r="ER22" s="10"/>
    </row>
    <row r="23">
      <c r="A23" s="45"/>
      <c r="B23" s="46"/>
      <c r="C23" s="47"/>
      <c r="D23" s="47"/>
      <c r="E23" s="47"/>
      <c r="F23" s="47"/>
      <c r="G23" s="47"/>
      <c r="H23" s="47"/>
      <c r="I23" s="46" t="str">
        <f t="shared" ref="I23:M23" si="141">B23</f>
        <v/>
      </c>
      <c r="J23" s="47" t="str">
        <f t="shared" si="141"/>
        <v/>
      </c>
      <c r="K23" s="47" t="str">
        <f t="shared" si="141"/>
        <v/>
      </c>
      <c r="L23" s="47" t="str">
        <f t="shared" si="141"/>
        <v/>
      </c>
      <c r="M23" s="47" t="str">
        <f t="shared" si="141"/>
        <v/>
      </c>
      <c r="N23" s="47"/>
      <c r="O23" s="47"/>
      <c r="P23" s="46" t="str">
        <f t="shared" ref="P23:T23" si="142">I23</f>
        <v/>
      </c>
      <c r="Q23" s="47" t="str">
        <f t="shared" si="142"/>
        <v/>
      </c>
      <c r="R23" s="47" t="str">
        <f t="shared" si="142"/>
        <v/>
      </c>
      <c r="S23" s="47" t="str">
        <f t="shared" si="142"/>
        <v/>
      </c>
      <c r="T23" s="47" t="str">
        <f t="shared" si="142"/>
        <v/>
      </c>
      <c r="U23" s="47"/>
      <c r="V23" s="47"/>
      <c r="W23" s="46" t="str">
        <f t="shared" ref="W23:AA23" si="143">P23</f>
        <v/>
      </c>
      <c r="X23" s="47" t="str">
        <f t="shared" si="143"/>
        <v/>
      </c>
      <c r="Y23" s="47" t="str">
        <f t="shared" si="143"/>
        <v/>
      </c>
      <c r="Z23" s="47" t="str">
        <f t="shared" si="143"/>
        <v/>
      </c>
      <c r="AA23" s="47" t="str">
        <f t="shared" si="143"/>
        <v/>
      </c>
      <c r="AB23" s="47"/>
      <c r="AC23" s="47"/>
      <c r="AD23" s="46" t="str">
        <f t="shared" ref="AD23:AH23" si="144">W23</f>
        <v/>
      </c>
      <c r="AE23" s="47" t="str">
        <f t="shared" si="144"/>
        <v/>
      </c>
      <c r="AF23" s="47" t="str">
        <f t="shared" si="144"/>
        <v/>
      </c>
      <c r="AG23" s="47" t="str">
        <f t="shared" si="144"/>
        <v/>
      </c>
      <c r="AH23" s="47" t="str">
        <f t="shared" si="144"/>
        <v/>
      </c>
      <c r="AI23" s="47"/>
      <c r="AJ23" s="47"/>
      <c r="AK23" s="46" t="str">
        <f t="shared" ref="AK23:AO23" si="145">AD23</f>
        <v/>
      </c>
      <c r="AL23" s="47" t="str">
        <f t="shared" si="145"/>
        <v/>
      </c>
      <c r="AM23" s="47" t="str">
        <f t="shared" si="145"/>
        <v/>
      </c>
      <c r="AN23" s="47" t="str">
        <f t="shared" si="145"/>
        <v/>
      </c>
      <c r="AO23" s="47" t="str">
        <f t="shared" si="145"/>
        <v/>
      </c>
      <c r="AP23" s="47"/>
      <c r="AQ23" s="47"/>
      <c r="AR23" s="46" t="str">
        <f t="shared" ref="AR23:AV23" si="146">AK23</f>
        <v/>
      </c>
      <c r="AS23" s="47" t="str">
        <f t="shared" si="146"/>
        <v/>
      </c>
      <c r="AT23" s="47" t="str">
        <f t="shared" si="146"/>
        <v/>
      </c>
      <c r="AU23" s="47" t="str">
        <f t="shared" si="146"/>
        <v/>
      </c>
      <c r="AV23" s="47" t="str">
        <f t="shared" si="146"/>
        <v/>
      </c>
      <c r="AW23" s="47"/>
      <c r="AX23" s="47"/>
      <c r="AY23" s="46" t="str">
        <f t="shared" ref="AY23:BC23" si="147">AR23</f>
        <v/>
      </c>
      <c r="AZ23" s="47" t="str">
        <f t="shared" si="147"/>
        <v/>
      </c>
      <c r="BA23" s="47" t="str">
        <f t="shared" si="147"/>
        <v/>
      </c>
      <c r="BB23" s="47" t="str">
        <f t="shared" si="147"/>
        <v/>
      </c>
      <c r="BC23" s="47" t="str">
        <f t="shared" si="147"/>
        <v/>
      </c>
      <c r="BD23" s="47"/>
      <c r="BE23" s="47"/>
      <c r="BF23" s="46" t="str">
        <f t="shared" ref="BF23:BJ23" si="148">AY23</f>
        <v/>
      </c>
      <c r="BG23" s="47" t="str">
        <f t="shared" si="148"/>
        <v/>
      </c>
      <c r="BH23" s="47" t="str">
        <f t="shared" si="148"/>
        <v/>
      </c>
      <c r="BI23" s="47" t="str">
        <f t="shared" si="148"/>
        <v/>
      </c>
      <c r="BJ23" s="47" t="str">
        <f t="shared" si="148"/>
        <v/>
      </c>
      <c r="BK23" s="47"/>
      <c r="BL23" s="47"/>
      <c r="BM23" s="46" t="str">
        <f t="shared" ref="BM23:BQ23" si="149">BF23</f>
        <v/>
      </c>
      <c r="BN23" s="47" t="str">
        <f t="shared" si="149"/>
        <v/>
      </c>
      <c r="BO23" s="47" t="str">
        <f t="shared" si="149"/>
        <v/>
      </c>
      <c r="BP23" s="47" t="str">
        <f t="shared" si="149"/>
        <v/>
      </c>
      <c r="BQ23" s="47" t="str">
        <f t="shared" si="149"/>
        <v/>
      </c>
      <c r="BR23" s="47"/>
      <c r="BS23" s="47"/>
      <c r="BT23" s="46" t="str">
        <f t="shared" ref="BT23:BX23" si="150">BM23</f>
        <v/>
      </c>
      <c r="BU23" s="47" t="str">
        <f t="shared" si="150"/>
        <v/>
      </c>
      <c r="BV23" s="47" t="str">
        <f t="shared" si="150"/>
        <v/>
      </c>
      <c r="BW23" s="47" t="str">
        <f t="shared" si="150"/>
        <v/>
      </c>
      <c r="BX23" s="47" t="str">
        <f t="shared" si="150"/>
        <v/>
      </c>
      <c r="BY23" s="47"/>
      <c r="BZ23" s="47"/>
      <c r="CA23" s="46" t="str">
        <f t="shared" ref="CA23:CE23" si="151">BT23</f>
        <v/>
      </c>
      <c r="CB23" s="47" t="str">
        <f t="shared" si="151"/>
        <v/>
      </c>
      <c r="CC23" s="47" t="str">
        <f t="shared" si="151"/>
        <v/>
      </c>
      <c r="CD23" s="47" t="str">
        <f t="shared" si="151"/>
        <v/>
      </c>
      <c r="CE23" s="47" t="str">
        <f t="shared" si="151"/>
        <v/>
      </c>
      <c r="CF23" s="47"/>
      <c r="CG23" s="47"/>
      <c r="CH23" s="46" t="str">
        <f t="shared" ref="CH23:CL23" si="152">CA23</f>
        <v/>
      </c>
      <c r="CI23" s="47" t="str">
        <f t="shared" si="152"/>
        <v/>
      </c>
      <c r="CJ23" s="47" t="str">
        <f t="shared" si="152"/>
        <v/>
      </c>
      <c r="CK23" s="47" t="str">
        <f t="shared" si="152"/>
        <v/>
      </c>
      <c r="CL23" s="47" t="str">
        <f t="shared" si="152"/>
        <v/>
      </c>
      <c r="CM23" s="47"/>
      <c r="CN23" s="47"/>
      <c r="CO23" s="46" t="str">
        <f t="shared" ref="CO23:CS23" si="153">CH23</f>
        <v/>
      </c>
      <c r="CP23" s="47" t="str">
        <f t="shared" si="153"/>
        <v/>
      </c>
      <c r="CQ23" s="47" t="str">
        <f t="shared" si="153"/>
        <v/>
      </c>
      <c r="CR23" s="47" t="str">
        <f t="shared" si="153"/>
        <v/>
      </c>
      <c r="CS23" s="47" t="str">
        <f t="shared" si="153"/>
        <v/>
      </c>
      <c r="CT23" s="47"/>
      <c r="CU23" s="47"/>
      <c r="CV23" s="46" t="str">
        <f t="shared" ref="CV23:CZ23" si="154">CO23</f>
        <v/>
      </c>
      <c r="CW23" s="47" t="str">
        <f t="shared" si="154"/>
        <v/>
      </c>
      <c r="CX23" s="47" t="str">
        <f t="shared" si="154"/>
        <v/>
      </c>
      <c r="CY23" s="47" t="str">
        <f t="shared" si="154"/>
        <v/>
      </c>
      <c r="CZ23" s="47" t="str">
        <f t="shared" si="154"/>
        <v/>
      </c>
      <c r="DA23" s="47"/>
      <c r="DB23" s="47"/>
      <c r="DC23" s="46" t="str">
        <f t="shared" ref="DC23:DG23" si="155">CV23</f>
        <v/>
      </c>
      <c r="DD23" s="47" t="str">
        <f t="shared" si="155"/>
        <v/>
      </c>
      <c r="DE23" s="47" t="str">
        <f t="shared" si="155"/>
        <v/>
      </c>
      <c r="DF23" s="47" t="str">
        <f t="shared" si="155"/>
        <v/>
      </c>
      <c r="DG23" s="47" t="str">
        <f t="shared" si="155"/>
        <v/>
      </c>
      <c r="DH23" s="47"/>
      <c r="DI23" s="47"/>
      <c r="DJ23" s="46" t="str">
        <f t="shared" ref="DJ23:DN23" si="156">DC23</f>
        <v/>
      </c>
      <c r="DK23" s="47" t="str">
        <f t="shared" si="156"/>
        <v/>
      </c>
      <c r="DL23" s="47" t="str">
        <f t="shared" si="156"/>
        <v/>
      </c>
      <c r="DM23" s="47" t="str">
        <f t="shared" si="156"/>
        <v/>
      </c>
      <c r="DN23" s="47" t="str">
        <f t="shared" si="156"/>
        <v/>
      </c>
      <c r="DO23" s="47"/>
      <c r="DP23" s="47"/>
      <c r="DQ23" s="46" t="str">
        <f t="shared" ref="DQ23:DU23" si="157">DJ23</f>
        <v/>
      </c>
      <c r="DR23" s="47" t="str">
        <f t="shared" si="157"/>
        <v/>
      </c>
      <c r="DS23" s="47" t="str">
        <f t="shared" si="157"/>
        <v/>
      </c>
      <c r="DT23" s="47" t="str">
        <f t="shared" si="157"/>
        <v/>
      </c>
      <c r="DU23" s="47" t="str">
        <f t="shared" si="157"/>
        <v/>
      </c>
      <c r="DV23" s="47"/>
      <c r="DW23" s="47"/>
      <c r="DX23" s="46" t="str">
        <f t="shared" ref="DX23:EB23" si="158">DQ23</f>
        <v/>
      </c>
      <c r="DY23" s="47" t="str">
        <f t="shared" si="158"/>
        <v/>
      </c>
      <c r="DZ23" s="47" t="str">
        <f t="shared" si="158"/>
        <v/>
      </c>
      <c r="EA23" s="47" t="str">
        <f t="shared" si="158"/>
        <v/>
      </c>
      <c r="EB23" s="47" t="str">
        <f t="shared" si="158"/>
        <v/>
      </c>
      <c r="EC23" s="47"/>
      <c r="ED23" s="47"/>
      <c r="EE23" s="46" t="str">
        <f t="shared" ref="EE23:EI23" si="159">DX23</f>
        <v/>
      </c>
      <c r="EF23" s="47" t="str">
        <f t="shared" si="159"/>
        <v/>
      </c>
      <c r="EG23" s="47" t="str">
        <f t="shared" si="159"/>
        <v/>
      </c>
      <c r="EH23" s="47" t="str">
        <f t="shared" si="159"/>
        <v/>
      </c>
      <c r="EI23" s="47" t="str">
        <f t="shared" si="159"/>
        <v/>
      </c>
      <c r="EJ23" s="47"/>
      <c r="EK23" s="47"/>
      <c r="EL23" s="46" t="str">
        <f t="shared" ref="EL23:EP23" si="160">EE23</f>
        <v/>
      </c>
      <c r="EM23" s="47" t="str">
        <f t="shared" si="160"/>
        <v/>
      </c>
      <c r="EN23" s="47" t="str">
        <f t="shared" si="160"/>
        <v/>
      </c>
      <c r="EO23" s="47" t="str">
        <f t="shared" si="160"/>
        <v/>
      </c>
      <c r="EP23" s="47" t="str">
        <f t="shared" si="160"/>
        <v/>
      </c>
      <c r="EQ23" s="47"/>
      <c r="ER23" s="47"/>
    </row>
    <row r="24">
      <c r="A24" s="3"/>
      <c r="B24" s="42"/>
      <c r="C24" s="3"/>
      <c r="D24" s="3"/>
      <c r="E24" s="3"/>
      <c r="F24" s="3"/>
      <c r="G24" s="3"/>
      <c r="H24" s="3"/>
      <c r="I24" s="42"/>
      <c r="J24" s="3"/>
      <c r="K24" s="3"/>
      <c r="L24" s="3"/>
      <c r="M24" s="3"/>
      <c r="N24" s="3"/>
      <c r="O24" s="3"/>
      <c r="P24" s="42"/>
      <c r="Q24" s="3"/>
      <c r="R24" s="3"/>
      <c r="S24" s="3"/>
      <c r="T24" s="3"/>
      <c r="U24" s="3"/>
      <c r="V24" s="3"/>
      <c r="W24" s="42"/>
      <c r="X24" s="3"/>
      <c r="Y24" s="3"/>
      <c r="Z24" s="3"/>
      <c r="AA24" s="3"/>
      <c r="AB24" s="3"/>
      <c r="AC24" s="3"/>
      <c r="AD24" s="42"/>
      <c r="AE24" s="3"/>
      <c r="AF24" s="3"/>
      <c r="AG24" s="3"/>
      <c r="AH24" s="3"/>
      <c r="AI24" s="3"/>
      <c r="AJ24" s="3"/>
      <c r="AK24" s="42"/>
      <c r="AL24" s="3"/>
      <c r="AM24" s="3"/>
      <c r="AN24" s="3"/>
      <c r="AO24" s="3"/>
      <c r="AP24" s="3"/>
      <c r="AQ24" s="3"/>
      <c r="AR24" s="42"/>
      <c r="AS24" s="3"/>
      <c r="AT24" s="3"/>
      <c r="AU24" s="3"/>
      <c r="AV24" s="3"/>
      <c r="AW24" s="3"/>
      <c r="AX24" s="3"/>
      <c r="AY24" s="42"/>
      <c r="AZ24" s="3"/>
      <c r="BA24" s="3"/>
      <c r="BB24" s="3"/>
      <c r="BC24" s="3"/>
      <c r="BD24" s="3"/>
      <c r="BE24" s="3"/>
      <c r="BF24" s="42"/>
      <c r="BG24" s="3"/>
      <c r="BH24" s="3"/>
      <c r="BI24" s="3"/>
      <c r="BJ24" s="3"/>
      <c r="BK24" s="3"/>
      <c r="BL24" s="3"/>
      <c r="BM24" s="42"/>
      <c r="BN24" s="3"/>
      <c r="BO24" s="3"/>
      <c r="BP24" s="3"/>
      <c r="BQ24" s="3"/>
      <c r="BR24" s="3"/>
      <c r="BS24" s="3"/>
      <c r="BT24" s="42"/>
      <c r="BU24" s="3"/>
      <c r="BV24" s="3"/>
      <c r="BW24" s="3"/>
      <c r="BX24" s="3"/>
      <c r="BY24" s="3"/>
      <c r="BZ24" s="3"/>
      <c r="CA24" s="42"/>
      <c r="CB24" s="3"/>
      <c r="CC24" s="3"/>
      <c r="CD24" s="3"/>
      <c r="CE24" s="3"/>
      <c r="CF24" s="3"/>
      <c r="CG24" s="3"/>
      <c r="CH24" s="42"/>
      <c r="CI24" s="3"/>
      <c r="CJ24" s="3"/>
      <c r="CK24" s="3"/>
      <c r="CL24" s="3"/>
      <c r="CM24" s="3"/>
      <c r="CN24" s="3"/>
      <c r="CO24" s="42"/>
      <c r="CP24" s="3"/>
      <c r="CQ24" s="3"/>
      <c r="CR24" s="3"/>
      <c r="CS24" s="3"/>
      <c r="CT24" s="3"/>
      <c r="CU24" s="3"/>
      <c r="CV24" s="42"/>
      <c r="CW24" s="3"/>
      <c r="CX24" s="3"/>
      <c r="CY24" s="3"/>
      <c r="CZ24" s="3"/>
      <c r="DA24" s="3"/>
      <c r="DB24" s="3"/>
      <c r="DC24" s="42"/>
      <c r="DD24" s="3"/>
      <c r="DE24" s="3"/>
      <c r="DF24" s="3"/>
      <c r="DG24" s="3"/>
      <c r="DH24" s="3"/>
      <c r="DI24" s="3"/>
      <c r="DJ24" s="42"/>
      <c r="DK24" s="3"/>
      <c r="DL24" s="3"/>
      <c r="DM24" s="3"/>
      <c r="DN24" s="3"/>
      <c r="DO24" s="3"/>
      <c r="DP24" s="3"/>
      <c r="DQ24" s="42"/>
      <c r="DR24" s="3"/>
      <c r="DS24" s="3"/>
      <c r="DT24" s="3"/>
      <c r="DU24" s="3"/>
      <c r="DV24" s="3"/>
      <c r="DW24" s="3"/>
      <c r="DX24" s="42"/>
      <c r="DY24" s="3"/>
      <c r="DZ24" s="3"/>
      <c r="EA24" s="3"/>
      <c r="EB24" s="3"/>
      <c r="EC24" s="3"/>
      <c r="ED24" s="3"/>
      <c r="EE24" s="42"/>
      <c r="EF24" s="3"/>
      <c r="EG24" s="3"/>
      <c r="EH24" s="3"/>
      <c r="EI24" s="3"/>
      <c r="EJ24" s="3"/>
      <c r="EK24" s="3"/>
      <c r="EL24" s="42"/>
      <c r="EM24" s="3"/>
      <c r="EN24" s="3"/>
      <c r="EO24" s="3"/>
      <c r="EP24" s="3"/>
      <c r="EQ24" s="3"/>
      <c r="ER24" s="3"/>
    </row>
    <row r="25">
      <c r="A25" s="32" t="s">
        <v>81</v>
      </c>
      <c r="B25" s="33"/>
      <c r="C25" s="34"/>
      <c r="D25" s="34"/>
      <c r="E25" s="34"/>
      <c r="F25" s="34"/>
      <c r="G25" s="34"/>
      <c r="H25" s="34"/>
      <c r="I25" s="33"/>
      <c r="J25" s="34"/>
      <c r="K25" s="34"/>
      <c r="L25" s="34"/>
      <c r="M25" s="34"/>
      <c r="N25" s="34"/>
      <c r="O25" s="34"/>
      <c r="P25" s="33"/>
      <c r="Q25" s="34"/>
      <c r="R25" s="34"/>
      <c r="S25" s="34"/>
      <c r="T25" s="34"/>
      <c r="U25" s="34"/>
      <c r="V25" s="34"/>
      <c r="W25" s="33"/>
      <c r="X25" s="34"/>
      <c r="Y25" s="34"/>
      <c r="Z25" s="34"/>
      <c r="AA25" s="34"/>
      <c r="AB25" s="34"/>
      <c r="AC25" s="34"/>
      <c r="AD25" s="33"/>
      <c r="AE25" s="34"/>
      <c r="AF25" s="34"/>
      <c r="AG25" s="34"/>
      <c r="AH25" s="34"/>
      <c r="AI25" s="34"/>
      <c r="AJ25" s="34"/>
      <c r="AK25" s="33"/>
      <c r="AL25" s="34"/>
      <c r="AM25" s="34"/>
      <c r="AN25" s="34"/>
      <c r="AO25" s="34"/>
      <c r="AP25" s="34"/>
      <c r="AQ25" s="34"/>
      <c r="AR25" s="33"/>
      <c r="AS25" s="34"/>
      <c r="AT25" s="34"/>
      <c r="AU25" s="34"/>
      <c r="AV25" s="34"/>
      <c r="AW25" s="34"/>
      <c r="AX25" s="34"/>
      <c r="AY25" s="33"/>
      <c r="AZ25" s="34"/>
      <c r="BA25" s="34"/>
      <c r="BB25" s="34"/>
      <c r="BC25" s="34"/>
      <c r="BD25" s="34"/>
      <c r="BE25" s="34"/>
      <c r="BF25" s="33"/>
      <c r="BG25" s="34"/>
      <c r="BH25" s="34"/>
      <c r="BI25" s="34"/>
      <c r="BJ25" s="34"/>
      <c r="BK25" s="34"/>
      <c r="BL25" s="34"/>
      <c r="BM25" s="33"/>
      <c r="BN25" s="34"/>
      <c r="BO25" s="34"/>
      <c r="BP25" s="34"/>
      <c r="BQ25" s="34"/>
      <c r="BR25" s="34"/>
      <c r="BS25" s="34"/>
      <c r="BT25" s="33"/>
      <c r="BU25" s="34"/>
      <c r="BV25" s="34"/>
      <c r="BW25" s="34"/>
      <c r="BX25" s="34"/>
      <c r="BY25" s="34"/>
      <c r="BZ25" s="34"/>
      <c r="CA25" s="33"/>
      <c r="CB25" s="34"/>
      <c r="CC25" s="34"/>
      <c r="CD25" s="34"/>
      <c r="CE25" s="34"/>
      <c r="CF25" s="34"/>
      <c r="CG25" s="34"/>
      <c r="CH25" s="33"/>
      <c r="CI25" s="34"/>
      <c r="CJ25" s="34"/>
      <c r="CK25" s="34"/>
      <c r="CL25" s="34"/>
      <c r="CM25" s="34"/>
      <c r="CN25" s="34"/>
      <c r="CO25" s="33"/>
      <c r="CP25" s="34"/>
      <c r="CQ25" s="34"/>
      <c r="CR25" s="34"/>
      <c r="CS25" s="34"/>
      <c r="CT25" s="34"/>
      <c r="CU25" s="34"/>
      <c r="CV25" s="33"/>
      <c r="CW25" s="34"/>
      <c r="CX25" s="34"/>
      <c r="CY25" s="34"/>
      <c r="CZ25" s="34"/>
      <c r="DA25" s="34"/>
      <c r="DB25" s="34"/>
      <c r="DC25" s="33"/>
      <c r="DD25" s="34"/>
      <c r="DE25" s="34"/>
      <c r="DF25" s="34"/>
      <c r="DG25" s="34"/>
      <c r="DH25" s="34"/>
      <c r="DI25" s="34"/>
      <c r="DJ25" s="33"/>
      <c r="DK25" s="34"/>
      <c r="DL25" s="34"/>
      <c r="DM25" s="34"/>
      <c r="DN25" s="34"/>
      <c r="DO25" s="34"/>
      <c r="DP25" s="34"/>
      <c r="DQ25" s="33"/>
      <c r="DR25" s="34"/>
      <c r="DS25" s="34"/>
      <c r="DT25" s="34"/>
      <c r="DU25" s="34"/>
      <c r="DV25" s="34"/>
      <c r="DW25" s="34"/>
      <c r="DX25" s="33"/>
      <c r="DY25" s="34"/>
      <c r="DZ25" s="34"/>
      <c r="EA25" s="34"/>
      <c r="EB25" s="34"/>
      <c r="EC25" s="34"/>
      <c r="ED25" s="34"/>
      <c r="EE25" s="35" t="s">
        <v>77</v>
      </c>
      <c r="EF25" s="36"/>
      <c r="EG25" s="36"/>
      <c r="EH25" s="36"/>
      <c r="EI25" s="36"/>
      <c r="EJ25" s="36"/>
      <c r="EK25" s="36"/>
      <c r="EL25" s="33"/>
      <c r="EM25" s="34"/>
      <c r="EN25" s="34"/>
      <c r="EO25" s="34"/>
      <c r="EP25" s="34"/>
      <c r="EQ25" s="34"/>
      <c r="ER25" s="34"/>
    </row>
    <row r="26" hidden="1">
      <c r="A26" s="37" t="str">
        <f>CONCATENATE(A27," TM")</f>
        <v>Deadlift TM</v>
      </c>
      <c r="B26" s="38">
        <f>if(D26="",'Quick Setup'!D7,D26/'Quick Setup'!E7)</f>
        <v>525</v>
      </c>
      <c r="C26" s="39" t="s">
        <v>75</v>
      </c>
      <c r="D26" s="40"/>
      <c r="E26" s="41"/>
      <c r="F26" s="41"/>
      <c r="G26" s="41"/>
      <c r="H26" s="41"/>
      <c r="I26" s="38">
        <f>if(K26="", if(F27&lt;&gt;"", if((F27-D27)&lt;-1,B26*(1+Setup!F5),if((F27-D27)&lt;0,B26*(1+Setup!G5),if((F27-D27)=0,B26*(1+Setup!H5),if((F27-D27)=1,B26*(1+Setup!I5),if((F27-D27)=2,B26*(1+Setup!J5),if((F27-D27)=3,B26*(1+Setup!K5),if((F27-D27)=4,B26*(1+Setup!L5),if((F27-D27)&gt;4,B26*(1+Setup!M5),B26)))))))),B26),K26/'Quick Setup'!$E7)</f>
        <v>525</v>
      </c>
      <c r="J26" s="39" t="s">
        <v>75</v>
      </c>
      <c r="K26" s="40"/>
      <c r="L26" s="41"/>
      <c r="M26" s="41"/>
      <c r="N26" s="41"/>
      <c r="O26" s="41"/>
      <c r="P26" s="38">
        <f>if(R26="", if(M27&lt;&gt;"", if((M27-K27)&lt;-1,I26*(1+Setup!R5),if((M27-K27)&lt;0,I26*(1+Setup!S5),if((M27-K27)=0,I26*(1+Setup!T5),if((M27-K27)=1,I26*(1+Setup!U5),if((M27-K27)=2,I26*(1+Setup!V5),if((M27-K27)=3,I26*(1+Setup!W5),if((M27-K27)=4,I26*(1+Setup!X5),if((M27-K27)&gt;4,I26*(1+Setup!Y5),I26)))))))),I26),R26/'Quick Setup'!$E7)</f>
        <v>525</v>
      </c>
      <c r="Q26" s="39" t="s">
        <v>75</v>
      </c>
      <c r="R26" s="40"/>
      <c r="S26" s="41"/>
      <c r="T26" s="41"/>
      <c r="U26" s="41"/>
      <c r="V26" s="41"/>
      <c r="W26" s="38">
        <f>if(Y26="", if(T27&lt;&gt;"", if((T27-R27)&lt;-1,P26*(1+Setup!AD5),if((T27-R27)&lt;0,P26*(1+Setup!AE5),if((T27-R27)=0,P26*(1+Setup!AF5),if((T27-R27)=1,P26*(1+Setup!AG5),if((T27-R27)=2,P26*(1+Setup!AH5),if((T27-R27)=3,P26*(1+Setup!AI5),if((T27-R27)=4,P26*(1+Setup!AJ5),if((T27-R27)&gt;4,P26*(1+Setup!AK5),P26)))))))),P26),Y26/'Quick Setup'!$E7)</f>
        <v>525</v>
      </c>
      <c r="X26" s="39" t="s">
        <v>75</v>
      </c>
      <c r="Y26" s="40"/>
      <c r="Z26" s="41"/>
      <c r="AA26" s="41"/>
      <c r="AB26" s="41"/>
      <c r="AC26" s="41"/>
      <c r="AD26" s="38">
        <f>if(AF26="", if(AA27&lt;&gt;"", if((AA27-Y27)&lt;-1,W26*(1+Setup!AP5),if((AA27-Y27)&lt;0,W26*(1+Setup!AQ5),if((AA27-Y27)=0,W26*(1+Setup!AR5),if((AA27-Y27)=1,W26*(1+Setup!AS5),if((AA27-Y27)=2,W26*(1+Setup!AT5),if((AA27-Y27)=3,W26*(1+Setup!AU5),if((AA27-Y27)=4,W26*(1+Setup!AV5),if((AA27-Y27)&gt;4,W26*(1+Setup!AW5),W26)))))))),W26),AF26/'Quick Setup'!$E7)</f>
        <v>525</v>
      </c>
      <c r="AE26" s="39" t="s">
        <v>75</v>
      </c>
      <c r="AF26" s="40"/>
      <c r="AG26" s="41"/>
      <c r="AH26" s="41"/>
      <c r="AI26" s="41"/>
      <c r="AJ26" s="41"/>
      <c r="AK26" s="38">
        <f>if(AM26="", if(AH27&lt;&gt;"", if((AH27-AF27)&lt;-1,AD26*(1+Setup!BB5),if((AH27-AF27)&lt;0,AD26*(1+Setup!BC5),if((AH27-AF27)=0,AD26*(1+Setup!BD5),if((AH27-AF27)=1,AD26*(1+Setup!BE5),if((AH27-AF27)=2,AD26*(1+Setup!BF5),if((AH27-AF27)=3,AD26*(1+Setup!BG5),if((AH27-AF27)=4,AD26*(1+Setup!BH5),if((AH27-AF27)&gt;4,AD26*(1+Setup!BI5),AD26)))))))),AD26),AM26/'Quick Setup'!$E7)</f>
        <v>525</v>
      </c>
      <c r="AL26" s="39" t="s">
        <v>75</v>
      </c>
      <c r="AM26" s="40"/>
      <c r="AN26" s="41"/>
      <c r="AO26" s="41"/>
      <c r="AP26" s="41"/>
      <c r="AQ26" s="41"/>
      <c r="AR26" s="38">
        <f>if(AT26="", if(AO27&lt;&gt;"", if((AO27-AM27)&lt;-1,AK26*(1+Setup!BN5),if((AO27-AM27)&lt;0,AK26*(1+Setup!BO5),if((AO27-AM27)=0,AK26*(1+Setup!BP5),if((AO27-AM27)=1,AK26*(1+Setup!BQ5),if((AO27-AM27)=2,AK26*(1+Setup!BR5),if((AO27-AM27)=3,AK26*(1+Setup!BS5),if((AO27-AM27)=4,AK26*(1+Setup!BT5),if((AO27-AM27)&gt;4,AK26*(1+Setup!BU5),AK26)))))))),AK26),AT26/'Quick Setup'!$E7)</f>
        <v>525</v>
      </c>
      <c r="AS26" s="39" t="s">
        <v>75</v>
      </c>
      <c r="AT26" s="40"/>
      <c r="AU26" s="41"/>
      <c r="AV26" s="41"/>
      <c r="AW26" s="41"/>
      <c r="AX26" s="41"/>
      <c r="AY26" s="38">
        <f>if(BA26="",AR26,BA26/'Quick Setup'!$E7)</f>
        <v>525</v>
      </c>
      <c r="AZ26" s="39" t="s">
        <v>75</v>
      </c>
      <c r="BA26" s="40"/>
      <c r="BB26" s="41"/>
      <c r="BC26" s="41"/>
      <c r="BD26" s="41"/>
      <c r="BE26" s="41"/>
      <c r="BF26" s="38">
        <f>if(BH26="", if(BC27&lt;&gt;"", if((BC27-BA27)&lt;-1,AY26*(1+Setup!CL5),if((BC27-BA27)&lt;0,AY26*(1+Setup!CM5),if((BC27-BA27)=0,AY26*(1+Setup!CN5),if((BC27-BA27)=1,AY26*(1+Setup!CO5),if((BC27-BA27)=2,AY26*(1+Setup!CP5),if((BC27-BA27)=3,AY26*(1+Setup!CQ5),if((BC27-BA27)=4,AY26*(1+Setup!CR5),if((BC27-BA27)&gt;4,AY26*(1+Setup!CS5),AY26)))))))),AY26),BH26/'Quick Setup'!$E7)</f>
        <v>525</v>
      </c>
      <c r="BG26" s="39" t="s">
        <v>75</v>
      </c>
      <c r="BH26" s="40"/>
      <c r="BI26" s="41"/>
      <c r="BJ26" s="41"/>
      <c r="BK26" s="41"/>
      <c r="BL26" s="41"/>
      <c r="BM26" s="38">
        <f>if(BO26="", if(BJ27&lt;&gt;"", if((BJ27-BH27)&lt;-1,BF26*(1+Setup!CX5),if((BJ27-BH27)&lt;0,BF26*(1+Setup!CY5),if((BJ27-BH27)=0,BF26*(1+Setup!CZ5),if((BJ27-BH27)=1,BF26*(1+Setup!DA5),if((BJ27-BH27)=2,BF26*(1+Setup!DB5),if((BJ27-BH27)=3,BF26*(1+Setup!DC5),if((BJ27-BH27)=4,BF26*(1+Setup!DD5),if((BJ27-BH27)&gt;4,BF26*(1+Setup!DE5),BF26)))))))),BF26),BO26/'Quick Setup'!$E7)</f>
        <v>525</v>
      </c>
      <c r="BN26" s="39" t="s">
        <v>75</v>
      </c>
      <c r="BO26" s="40"/>
      <c r="BP26" s="41"/>
      <c r="BQ26" s="41"/>
      <c r="BR26" s="41"/>
      <c r="BS26" s="41"/>
      <c r="BT26" s="38">
        <f>if(BV26="", if(BQ27&lt;&gt;"", if((BQ27-BO27)&lt;-1,BM26*(1+Setup!DJ5),if((BQ27-BO27)&lt;0,BM26*(1+Setup!DK5),if((BQ27-BO27)=0,BM26*(1+Setup!DL5),if((BQ27-BO27)=1,BM26*(1+Setup!DM5),if((BQ27-BO27)=2,BM26*(1+Setup!DN5),if((BQ27-BO27)=3,BM26*(1+Setup!DO5),if((BQ27-BO27)=4,BM26*(1+Setup!DP5),if((BQ27-BO27)&gt;4,BM26*(1+Setup!DQ5),BM26)))))))),BM26),BV26/'Quick Setup'!$E7)</f>
        <v>525</v>
      </c>
      <c r="BU26" s="39" t="s">
        <v>75</v>
      </c>
      <c r="BV26" s="40"/>
      <c r="BW26" s="41"/>
      <c r="BX26" s="41"/>
      <c r="BY26" s="41"/>
      <c r="BZ26" s="41"/>
      <c r="CA26" s="38">
        <f>if(CC26="", if(BX27&lt;&gt;"", if((BX27-BV27)&lt;-1,BT26*(1+Setup!DV5),if((BX27-BV27)&lt;0,BT26*(1+Setup!DW5),if((BX27-BV27)=0,BT26*(1+Setup!DX5),if((BX27-BV27)=1,BT26*(1+Setup!DY5),if((BX27-BV27)=2,BT26*(1+Setup!DZ5),if((BX27-BV27)=3,BT26*(1+Setup!EA5),if((BX27-BV27)=4,BT26*(1+Setup!EB5),if((BX27-BV27)&gt;4,BT26*(1+Setup!EC5),BT26)))))))),BT26),CC26/'Quick Setup'!$E7)</f>
        <v>525</v>
      </c>
      <c r="CB26" s="39" t="s">
        <v>75</v>
      </c>
      <c r="CC26" s="40"/>
      <c r="CD26" s="41"/>
      <c r="CE26" s="41"/>
      <c r="CF26" s="41"/>
      <c r="CG26" s="41"/>
      <c r="CH26" s="38">
        <f>if(CJ26="", if(CE27&lt;&gt;"", if((CE27-CC27)&lt;-1,CA26*(1+Setup!EH5),if((CE27-CC27)&lt;0,CA26*(1+Setup!EI5),if((CE27-CC27)=0,CA26*(1+Setup!EJ5),if((CE27-CC27)=1,CA26*(1+Setup!EK5),if((CE27-CC27)=2,CA26*(1+Setup!EL5),if((CE27-CC27)=3,CA26*(1+Setup!EM5),if((CE27-CC27)=4,CA26*(1+Setup!EN5),if((CE27-CC27)&gt;4,CA26*(1+Setup!EO5),CA26)))))))),CA26),CJ26/'Quick Setup'!$E7)</f>
        <v>525</v>
      </c>
      <c r="CI26" s="39" t="s">
        <v>75</v>
      </c>
      <c r="CJ26" s="40"/>
      <c r="CK26" s="41"/>
      <c r="CL26" s="41"/>
      <c r="CM26" s="41"/>
      <c r="CN26" s="41"/>
      <c r="CO26" s="38">
        <f>if(CQ26="", if(CL27&lt;&gt;"", if((CL27-CJ27)&lt;-1,CH26*(1+Setup!ET5),if((CL27-CJ27)&lt;0,CH26*(1+Setup!EU5),if((CL27-CJ27)=0,CH26*(1+Setup!EV5),if((CL27-CJ27)=1,CH26*(1+Setup!EW5),if((CL27-CJ27)=2,CH26*(1+Setup!EX5),if((CL27-CJ27)=3,CH26*(1+Setup!EY5),if((CL27-CJ27)=4,CH26*(1+Setup!EZ5),if((CL27-CJ27)&gt;4,CH26*(1+Setup!FA5),CH26)))))))),CH26),CQ26/'Quick Setup'!$E7)</f>
        <v>525</v>
      </c>
      <c r="CP26" s="39" t="s">
        <v>75</v>
      </c>
      <c r="CQ26" s="40"/>
      <c r="CR26" s="41"/>
      <c r="CS26" s="41"/>
      <c r="CT26" s="41"/>
      <c r="CU26" s="41"/>
      <c r="CV26" s="38">
        <f>if(CX26="",CO26,CX26/'Quick Setup'!$E7)</f>
        <v>525</v>
      </c>
      <c r="CW26" s="39" t="s">
        <v>75</v>
      </c>
      <c r="CX26" s="40"/>
      <c r="CY26" s="41"/>
      <c r="CZ26" s="41"/>
      <c r="DA26" s="41"/>
      <c r="DB26" s="41"/>
      <c r="DC26" s="38">
        <f>if(DE26="", if(CZ27&lt;&gt;"", if((CZ27-CX27)&lt;-1,CV26*(1+Setup!FR5),if((CZ27-CX27)&lt;0,CV26*(1+Setup!FS5),if((CZ27-CX27)=0,CV26*(1+Setup!FT5),if((CZ27-CX27)=1,CV26*(1+Setup!FU5),if((CZ27-CX27)=2,CV26*(1+Setup!FV5),if((CZ27-CX27)=3,CV26*(1+Setup!FW5),if((CZ27-CX27)=4,CV26*(1+Setup!FX5),if((CZ27-CX27)&gt;4,CV26*(1+Setup!FY5),CV26)))))))),CV26),DE26/'Quick Setup'!$E7)</f>
        <v>525</v>
      </c>
      <c r="DD26" s="39" t="s">
        <v>75</v>
      </c>
      <c r="DE26" s="40"/>
      <c r="DF26" s="41"/>
      <c r="DG26" s="41"/>
      <c r="DH26" s="41"/>
      <c r="DI26" s="41"/>
      <c r="DJ26" s="38">
        <f>if(DL26="", if(DG27&lt;&gt;"", if((DG27-DE27)&lt;-1,DC26*(1+Setup!GD5),if((DG27-DE27)&lt;0,DC26*(1+Setup!GE5),if((DG27-DE27)=0,DC26*(1+Setup!GF5),if((DG27-DE27)=1,DC26*(1+Setup!GG5),if((DG27-DE27)=2,DC26*(1+Setup!GH5),if((DG27-DE27)=3,DC26*(1+Setup!GI5),if((DG27-DE27)=4,DC26*(1+Setup!GJ5),if((DG27-DE27)&gt;4,DC26*(1+Setup!GK5),DC26)))))))),DC26),DL26/'Quick Setup'!$E7)</f>
        <v>525</v>
      </c>
      <c r="DK26" s="39" t="s">
        <v>75</v>
      </c>
      <c r="DL26" s="40"/>
      <c r="DM26" s="41"/>
      <c r="DN26" s="41"/>
      <c r="DO26" s="41"/>
      <c r="DP26" s="41"/>
      <c r="DQ26" s="38">
        <f>if(DS26="", if(DN27&lt;&gt;"", if((DN27-DL27)&lt;-1,DJ26*(1+Setup!GP5),if((DN27-DL27)&lt;0,DJ26*(1+Setup!GQ5),if((DN27-DL27)=0,DJ26*(1+Setup!GR5),if((DN27-DL27)=1,DJ26*(1+Setup!GS5),if((DN27-DL27)=2,DJ26*(1+Setup!GT5),if((DN27-DL27)=3,DJ26*(1+Setup!GU5),if((DN27-DL27)=4,DJ26*(1+Setup!GV5),if((DN27-DL27)&gt;4,DJ26*(1+Setup!GW5),DJ26)))))))),DJ26),DS26/'Quick Setup'!$E7)</f>
        <v>525</v>
      </c>
      <c r="DR26" s="39" t="s">
        <v>75</v>
      </c>
      <c r="DS26" s="40"/>
      <c r="DT26" s="41"/>
      <c r="DU26" s="41"/>
      <c r="DV26" s="41"/>
      <c r="DW26" s="41"/>
      <c r="DX26" s="38">
        <f>if(DZ26="", if(DU27&lt;&gt;"", if((DU27-DS27)&lt;-1,DQ26*(1+Setup!HB5),if((DU27-DS27)&lt;0,DQ26*(1+Setup!HC5),if((DU27-DS27)=0,DQ26*(1+Setup!HD5),if((DU27-DS27)=1,DQ26*(1+Setup!HE5),if((DU27-DS27)=2,DQ26*(1+Setup!HF5),if((DU27-DS27)=3,DQ26*(1+Setup!HG5),if((DU27-DS27)=4,DQ26*(1+Setup!HH5),if((DU27-DS27)&gt;4,DQ26*(1+Setup!HI5),DQ26)))))))),DQ26),DZ26/'Quick Setup'!$E7)</f>
        <v>525</v>
      </c>
      <c r="DY26" s="39" t="s">
        <v>75</v>
      </c>
      <c r="DZ26" s="40"/>
      <c r="EA26" s="41"/>
      <c r="EB26" s="41"/>
      <c r="EC26" s="41"/>
      <c r="ED26" s="41"/>
      <c r="EE26" s="38">
        <f>if(EG26="", if(EB27&lt;&gt;"", if((EB27-DZ27)&lt;-1,DX26*(1+Setup!HN5),if((EB27-DZ27)&lt;0,DX26*(1+Setup!HO5),if((EB27-DZ27)=0,DX26*(1+Setup!HP5),if((EB27-DZ27)=1,DX26*(1+Setup!HQ5),if((EB27-DZ27)=2,DX26*(1+Setup!HR5),if((EB27-DZ27)=3,DX26*(1+Setup!HS5),if((EB27-DZ27)=4,DX26*(1+Setup!HT5),if((EB27-DZ27)&gt;4,DX26*(1+Setup!HU5),DX26)))))))),DX26),EG26/'Quick Setup'!$E7)</f>
        <v>525</v>
      </c>
      <c r="EF26" s="39" t="s">
        <v>75</v>
      </c>
      <c r="EG26" s="40"/>
      <c r="EH26" s="41"/>
      <c r="EI26" s="41"/>
      <c r="EJ26" s="41"/>
      <c r="EK26" s="41"/>
      <c r="EL26" s="38">
        <f>if(EN26="", if(EI27&lt;&gt;"", if((EI27-EG27)&lt;-1,EE26*(1+Setup!HZ5),if((EI27-EG27)&lt;0,EE26*(1+Setup!IA5),if((EI27-EG27)=0,EE26*(1+Setup!IB5),if((EI27-EG27)=1,EE26*(1+Setup!IC5),if((EI27-EG27)=2,EE26*(1+Setup!ID5),if((EI27-EG27)=3,EE26*(1+Setup!IE5),if((EI27-EG27)=4,EE26*(1+Setup!IF5),if((EI27-EG27)&gt;4,EE26*(1+Setup!IG5),EE26)))))))),EE26),EN26/'Quick Setup'!$E7)</f>
        <v>525</v>
      </c>
      <c r="EM26" s="39" t="s">
        <v>75</v>
      </c>
      <c r="EN26" s="40"/>
      <c r="EO26" s="41"/>
      <c r="EP26" s="41"/>
      <c r="EQ26" s="41"/>
      <c r="ER26" s="41"/>
    </row>
    <row r="27">
      <c r="A27" s="1" t="str">
        <f>Setup!A5</f>
        <v>Deadlift</v>
      </c>
      <c r="B27" s="42">
        <f>mround(B26*Setup!B5,'Quick Setup'!$A$2)</f>
        <v>367.5</v>
      </c>
      <c r="C27" s="3">
        <f>Setup!C5</f>
        <v>5</v>
      </c>
      <c r="D27" s="3">
        <f>Setup!D5</f>
        <v>10</v>
      </c>
      <c r="E27" s="3">
        <f>Setup!E5</f>
        <v>5</v>
      </c>
      <c r="F27" s="10"/>
      <c r="G27" s="10"/>
      <c r="H27" s="10"/>
      <c r="I27" s="42">
        <f>mround(I26*Setup!N5,'Quick Setup'!$A$2)</f>
        <v>395</v>
      </c>
      <c r="J27" s="3">
        <f>Setup!O5</f>
        <v>4</v>
      </c>
      <c r="K27" s="3">
        <f>Setup!P5</f>
        <v>8</v>
      </c>
      <c r="L27" s="3">
        <f>Setup!Q5</f>
        <v>5</v>
      </c>
      <c r="M27" s="10"/>
      <c r="N27" s="10"/>
      <c r="O27" s="10"/>
      <c r="P27" s="42">
        <f>mround(P26*Setup!Z5,'Quick Setup'!$A$2)</f>
        <v>420</v>
      </c>
      <c r="Q27" s="3">
        <f>Setup!AA5</f>
        <v>3</v>
      </c>
      <c r="R27" s="3">
        <f>Setup!AB5</f>
        <v>6</v>
      </c>
      <c r="S27" s="3">
        <f>Setup!AC5</f>
        <v>5</v>
      </c>
      <c r="T27" s="10"/>
      <c r="U27" s="10"/>
      <c r="V27" s="10"/>
      <c r="W27" s="42">
        <f>mround(W26*Setup!AL5,'Quick Setup'!$A$2)</f>
        <v>380</v>
      </c>
      <c r="X27" s="3">
        <f>Setup!AM5</f>
        <v>5</v>
      </c>
      <c r="Y27" s="3">
        <f>Setup!AN5</f>
        <v>9</v>
      </c>
      <c r="Z27" s="3">
        <f>Setup!AO5</f>
        <v>5</v>
      </c>
      <c r="AA27" s="10"/>
      <c r="AB27" s="10"/>
      <c r="AC27" s="10"/>
      <c r="AD27" s="42">
        <f>mround(AD26*Setup!AX5,'Quick Setup'!$A$2)</f>
        <v>407.5</v>
      </c>
      <c r="AE27" s="3">
        <f>Setup!AY5</f>
        <v>4</v>
      </c>
      <c r="AF27" s="3">
        <f>Setup!AZ5</f>
        <v>7</v>
      </c>
      <c r="AG27" s="3">
        <f>Setup!BA5</f>
        <v>5</v>
      </c>
      <c r="AH27" s="10"/>
      <c r="AI27" s="10"/>
      <c r="AJ27" s="10"/>
      <c r="AK27" s="42">
        <f>mround(AK26*Setup!BJ5,'Quick Setup'!$A$2)</f>
        <v>432.5</v>
      </c>
      <c r="AL27" s="3">
        <f>Setup!BK5</f>
        <v>3</v>
      </c>
      <c r="AM27" s="3">
        <f>Setup!BL5</f>
        <v>5</v>
      </c>
      <c r="AN27" s="3">
        <f>Setup!BM5</f>
        <v>5</v>
      </c>
      <c r="AO27" s="10"/>
      <c r="AP27" s="10"/>
      <c r="AQ27" s="10"/>
      <c r="AR27" s="42">
        <f>mround(AR26*Setup!BV5,'Quick Setup'!$A$2)</f>
        <v>315</v>
      </c>
      <c r="AS27" s="1">
        <v>5.0</v>
      </c>
      <c r="AT27" s="1" t="s">
        <v>78</v>
      </c>
      <c r="AU27" s="3">
        <f>Setup!BY5</f>
        <v>5</v>
      </c>
      <c r="AV27" s="10"/>
      <c r="AW27" s="10"/>
      <c r="AX27" s="10"/>
      <c r="AY27" s="42">
        <f>mround(AY26*Setup!CH5,'Quick Setup'!$A$2)</f>
        <v>395</v>
      </c>
      <c r="AZ27" s="3">
        <f>Setup!CI5</f>
        <v>4</v>
      </c>
      <c r="BA27" s="3">
        <f>Setup!CJ5</f>
        <v>8</v>
      </c>
      <c r="BB27" s="3">
        <f>Setup!CK5</f>
        <v>5</v>
      </c>
      <c r="BC27" s="10"/>
      <c r="BD27" s="10"/>
      <c r="BE27" s="10"/>
      <c r="BF27" s="42">
        <f>mround(BF26*Setup!CT5,'Quick Setup'!$A$2)</f>
        <v>420</v>
      </c>
      <c r="BG27" s="3">
        <f>Setup!CU5</f>
        <v>3</v>
      </c>
      <c r="BH27" s="3">
        <f>Setup!CV5</f>
        <v>6</v>
      </c>
      <c r="BI27" s="3">
        <f>Setup!CW5</f>
        <v>5</v>
      </c>
      <c r="BJ27" s="10"/>
      <c r="BK27" s="10"/>
      <c r="BL27" s="10"/>
      <c r="BM27" s="42">
        <f>mround(BM26*Setup!DF5,'Quick Setup'!$A$2)</f>
        <v>447.5</v>
      </c>
      <c r="BN27" s="3">
        <f>Setup!DG5</f>
        <v>2</v>
      </c>
      <c r="BO27" s="3">
        <f>Setup!DH5</f>
        <v>4</v>
      </c>
      <c r="BP27" s="3">
        <f>Setup!DI5</f>
        <v>5</v>
      </c>
      <c r="BQ27" s="10"/>
      <c r="BR27" s="10"/>
      <c r="BS27" s="10"/>
      <c r="BT27" s="42">
        <f>mround(BT26*Setup!DR5,'Quick Setup'!$A$2)</f>
        <v>407.5</v>
      </c>
      <c r="BU27" s="3">
        <f>Setup!DS5</f>
        <v>4</v>
      </c>
      <c r="BV27" s="3">
        <f>Setup!DT5</f>
        <v>7</v>
      </c>
      <c r="BW27" s="3">
        <f>Setup!DU5</f>
        <v>5</v>
      </c>
      <c r="BX27" s="10"/>
      <c r="BY27" s="10"/>
      <c r="BZ27" s="10"/>
      <c r="CA27" s="42">
        <f>mround(CA26*Setup!ED5,'Quick Setup'!$A$2)</f>
        <v>432.5</v>
      </c>
      <c r="CB27" s="3">
        <f>Setup!EE5</f>
        <v>3</v>
      </c>
      <c r="CC27" s="3">
        <f>Setup!EF5</f>
        <v>5</v>
      </c>
      <c r="CD27" s="3">
        <f>Setup!EG5</f>
        <v>5</v>
      </c>
      <c r="CE27" s="10"/>
      <c r="CF27" s="10"/>
      <c r="CG27" s="10"/>
      <c r="CH27" s="42">
        <f>mround(CH26*Setup!EP5,'Quick Setup'!$A$2)</f>
        <v>460</v>
      </c>
      <c r="CI27" s="3">
        <f>Setup!EQ5</f>
        <v>2</v>
      </c>
      <c r="CJ27" s="3">
        <f>Setup!ER5</f>
        <v>3</v>
      </c>
      <c r="CK27" s="3">
        <f>Setup!ES5</f>
        <v>5</v>
      </c>
      <c r="CL27" s="10"/>
      <c r="CM27" s="10"/>
      <c r="CN27" s="10"/>
      <c r="CO27" s="42">
        <f>mround(CO26*Setup!FB5,'Quick Setup'!$A$2)</f>
        <v>315</v>
      </c>
      <c r="CP27" s="1">
        <v>5.0</v>
      </c>
      <c r="CQ27" s="1" t="s">
        <v>78</v>
      </c>
      <c r="CR27" s="3">
        <f>Setup!FE5</f>
        <v>5</v>
      </c>
      <c r="CS27" s="10"/>
      <c r="CT27" s="10"/>
      <c r="CU27" s="10"/>
      <c r="CV27" s="42">
        <f>mround(CV26*Setup!FN5,'Quick Setup'!$A$2)</f>
        <v>420</v>
      </c>
      <c r="CW27" s="3">
        <f>Setup!FO5</f>
        <v>3</v>
      </c>
      <c r="CX27" s="3">
        <f>Setup!FP5</f>
        <v>6</v>
      </c>
      <c r="CY27" s="3">
        <f>Setup!FQ5</f>
        <v>5</v>
      </c>
      <c r="CZ27" s="10"/>
      <c r="DA27" s="10"/>
      <c r="DB27" s="10"/>
      <c r="DC27" s="42">
        <f>mround(DC26*Setup!FZ5,'Quick Setup'!$A$2)</f>
        <v>447.5</v>
      </c>
      <c r="DD27" s="3">
        <f>Setup!GA5</f>
        <v>2</v>
      </c>
      <c r="DE27" s="3">
        <f>Setup!GB5</f>
        <v>4</v>
      </c>
      <c r="DF27" s="3">
        <f>Setup!GC5</f>
        <v>5</v>
      </c>
      <c r="DG27" s="10"/>
      <c r="DH27" s="10"/>
      <c r="DI27" s="10"/>
      <c r="DJ27" s="42">
        <f>mround(DJ26*Setup!GL5,'Quick Setup'!$A$2)</f>
        <v>472.5</v>
      </c>
      <c r="DK27" s="3">
        <f>Setup!GM5</f>
        <v>1</v>
      </c>
      <c r="DL27" s="3">
        <f>Setup!GN5</f>
        <v>2</v>
      </c>
      <c r="DM27" s="3">
        <f>Setup!GO5</f>
        <v>5</v>
      </c>
      <c r="DN27" s="10"/>
      <c r="DO27" s="10"/>
      <c r="DP27" s="10"/>
      <c r="DQ27" s="42">
        <f>mround(DQ26*Setup!GX5,'Quick Setup'!$A$2)</f>
        <v>447.5</v>
      </c>
      <c r="DR27" s="3">
        <f>Setup!GY5</f>
        <v>2</v>
      </c>
      <c r="DS27" s="3">
        <f>Setup!GZ5</f>
        <v>4</v>
      </c>
      <c r="DT27" s="3">
        <f>Setup!HA5</f>
        <v>5</v>
      </c>
      <c r="DU27" s="10"/>
      <c r="DV27" s="10"/>
      <c r="DW27" s="10"/>
      <c r="DX27" s="42">
        <f>mround(DX26*Setup!HJ5,'Quick Setup'!$A$2)</f>
        <v>472.5</v>
      </c>
      <c r="DY27" s="3">
        <f>Setup!HK5</f>
        <v>1</v>
      </c>
      <c r="DZ27" s="3">
        <f>Setup!HL5</f>
        <v>2</v>
      </c>
      <c r="EA27" s="3">
        <f>Setup!HM5</f>
        <v>5</v>
      </c>
      <c r="EB27" s="10"/>
      <c r="EC27" s="10"/>
      <c r="ED27" s="10"/>
      <c r="EE27" s="42">
        <f>mround(EE26*Setup!HV5,'Quick Setup'!$A$2)</f>
        <v>500</v>
      </c>
      <c r="EF27" s="3">
        <f>Setup!HW5</f>
        <v>1</v>
      </c>
      <c r="EG27" s="3">
        <f>Setup!HX5</f>
        <v>1</v>
      </c>
      <c r="EH27" s="3">
        <f>Setup!HY5</f>
        <v>5</v>
      </c>
      <c r="EI27" s="10"/>
      <c r="EJ27" s="10"/>
      <c r="EK27" s="10"/>
      <c r="EL27" s="42">
        <f>mround(EL26*Setup!IH5,'Quick Setup'!$A$2)</f>
        <v>315</v>
      </c>
      <c r="EM27" s="1">
        <v>5.0</v>
      </c>
      <c r="EN27" s="1" t="s">
        <v>78</v>
      </c>
      <c r="EO27" s="3">
        <f>Setup!IK5</f>
        <v>5</v>
      </c>
      <c r="EP27" s="10"/>
      <c r="EQ27" s="10"/>
      <c r="ER27" s="10"/>
    </row>
    <row r="28" hidden="1">
      <c r="A28" s="37" t="str">
        <f>CONCATENATE(A29," TM")</f>
        <v>Paused Squat TM</v>
      </c>
      <c r="B28" s="38">
        <f>if(D28="",'Quick Setup'!D12,D28/'Quick Setup'!E12)</f>
        <v>460</v>
      </c>
      <c r="C28" s="39" t="s">
        <v>75</v>
      </c>
      <c r="D28" s="40"/>
      <c r="E28" s="41"/>
      <c r="F28" s="41"/>
      <c r="G28" s="41"/>
      <c r="H28" s="41"/>
      <c r="I28" s="38">
        <f>if(K28="", if(F29&lt;&gt;"", if((F29-D29)&lt;-1,B28*(1+Setup!F10),if((F29-D29)&lt;0,B28*(1+Setup!G10),if((F29-D29)=0,B28*(1+Setup!H10),if((F29-D29)=1,B28*(1+Setup!I10),if((F29-D29)=2,B28*(1+Setup!J10),if((F29-D29)=3,B28*(1+Setup!K10),if((F29-D29)=4,B28*(1+Setup!L10),if((F29-D29)&gt;4,B28*(1+Setup!M10),B28)))))))),B28),K28/'Quick Setup'!$E12)</f>
        <v>460</v>
      </c>
      <c r="J28" s="39" t="s">
        <v>75</v>
      </c>
      <c r="K28" s="40"/>
      <c r="L28" s="41"/>
      <c r="M28" s="41"/>
      <c r="N28" s="41"/>
      <c r="O28" s="41"/>
      <c r="P28" s="38">
        <f>if(R28="", if(M29&lt;&gt;"", if((M29-K29)&lt;-1,I28*(1+Setup!R10),if((M29-K29)&lt;0,I28*(1+Setup!S10),if((M29-K29)=0,I28*(1+Setup!T10),if((M29-K29)=1,I28*(1+Setup!U10),if((M29-K29)=2,I28*(1+Setup!V10),if((M29-K29)=3,I28*(1+Setup!W10),if((M29-K29)=4,I28*(1+Setup!X10),if((M29-K29)&gt;4,I28*(1+Setup!Y10),I28)))))))),I28),R28/'Quick Setup'!$E12)</f>
        <v>460</v>
      </c>
      <c r="Q28" s="39" t="s">
        <v>75</v>
      </c>
      <c r="R28" s="40"/>
      <c r="S28" s="41"/>
      <c r="T28" s="41"/>
      <c r="U28" s="41"/>
      <c r="V28" s="41"/>
      <c r="W28" s="38">
        <f>if(Y28="", if(T29&lt;&gt;"", if((T29-R29)&lt;-1,P28*(1+Setup!AD10),if((T29-R29)&lt;0,P28*(1+Setup!AE10),if((T29-R29)=0,P28*(1+Setup!AF10),if((T29-R29)=1,P28*(1+Setup!AG10),if((T29-R29)=2,P28*(1+Setup!AH10),if((T29-R29)=3,P28*(1+Setup!AI10),if((T29-R29)=4,P28*(1+Setup!AJ10),if((T29-R29)&gt;4,P28*(1+Setup!AK10),P28)))))))),P28),Y28/'Quick Setup'!$E12)</f>
        <v>460</v>
      </c>
      <c r="X28" s="39" t="s">
        <v>75</v>
      </c>
      <c r="Y28" s="40"/>
      <c r="Z28" s="41"/>
      <c r="AA28" s="41"/>
      <c r="AB28" s="41"/>
      <c r="AC28" s="41"/>
      <c r="AD28" s="38">
        <f>if(AF28="", if(AA29&lt;&gt;"", if((AA29-Y29)&lt;-1,W28*(1+Setup!AP10),if((AA29-Y29)&lt;0,W28*(1+Setup!AQ10),if((AA29-Y29)=0,W28*(1+Setup!AR10),if((AA29-Y29)=1,W28*(1+Setup!AS10),if((AA29-Y29)=2,W28*(1+Setup!AT10),if((AA29-Y29)=3,W28*(1+Setup!AU10),if((AA29-Y29)=4,W28*(1+Setup!AV10),if((AA29-Y29)&gt;4,W28*(1+Setup!AW10),W28)))))))),W28),AF28/'Quick Setup'!$E12)</f>
        <v>460</v>
      </c>
      <c r="AE28" s="39" t="s">
        <v>75</v>
      </c>
      <c r="AF28" s="40"/>
      <c r="AG28" s="41"/>
      <c r="AH28" s="41"/>
      <c r="AI28" s="41"/>
      <c r="AJ28" s="41"/>
      <c r="AK28" s="38">
        <f>if(AM28="", if(AH29&lt;&gt;"", if((AH29-AF29)&lt;-1,AD28*(1+Setup!BB10),if((AH29-AF29)&lt;0,AD28*(1+Setup!BC10),if((AH29-AF29)=0,AD28*(1+Setup!BD10),if((AH29-AF29)=1,AD28*(1+Setup!BE10),if((AH29-AF29)=2,AD28*(1+Setup!BF10),if((AH29-AF29)=3,AD28*(1+Setup!BG10),if((AH29-AF29)=4,AD28*(1+Setup!BH10),if((AH29-AF29)&gt;4,AD28*(1+Setup!BI10),AD28)))))))),AD28),AM28/'Quick Setup'!$E12)</f>
        <v>460</v>
      </c>
      <c r="AL28" s="39" t="s">
        <v>75</v>
      </c>
      <c r="AM28" s="40"/>
      <c r="AN28" s="41"/>
      <c r="AO28" s="41"/>
      <c r="AP28" s="41"/>
      <c r="AQ28" s="41"/>
      <c r="AR28" s="38">
        <f>if(AT28="", if(AO29&lt;&gt;"", if((AO29-AM29)&lt;-1,AK28*(1+Setup!BN10),if((AO29-AM29)&lt;0,AK28*(1+Setup!BO10),if((AO29-AM29)=0,AK28*(1+Setup!BP10),if((AO29-AM29)=1,AK28*(1+Setup!BQ10),if((AO29-AM29)=2,AK28*(1+Setup!BR10),if((AO29-AM29)=3,AK28*(1+Setup!BS10),if((AO29-AM29)=4,AK28*(1+Setup!BT10),if((AO29-AM29)&gt;4,AK28*(1+Setup!BU10),AK28)))))))),AK28),AT28/'Quick Setup'!$E12)</f>
        <v>460</v>
      </c>
      <c r="AS28" s="39" t="s">
        <v>75</v>
      </c>
      <c r="AT28" s="40"/>
      <c r="AU28" s="41"/>
      <c r="AV28" s="41"/>
      <c r="AW28" s="41"/>
      <c r="AX28" s="41"/>
      <c r="AY28" s="38">
        <f>if(BA28="",AR28,BA28/'Quick Setup'!$E12)</f>
        <v>460</v>
      </c>
      <c r="AZ28" s="39" t="s">
        <v>75</v>
      </c>
      <c r="BA28" s="40"/>
      <c r="BB28" s="41"/>
      <c r="BC28" s="41"/>
      <c r="BD28" s="41"/>
      <c r="BE28" s="41"/>
      <c r="BF28" s="38">
        <f>if(BH28="", if(BC29&lt;&gt;"", if((BC29-BA29)&lt;-1,AY28*(1+Setup!CL10),if((BC29-BA29)&lt;0,AY28*(1+Setup!CM10),if((BC29-BA29)=0,AY28*(1+Setup!CN10),if((BC29-BA29)=1,AY28*(1+Setup!CO10),if((BC29-BA29)=2,AY28*(1+Setup!CP10),if((BC29-BA29)=3,AY28*(1+Setup!CQ10),if((BC29-BA29)=4,AY28*(1+Setup!CR10),if((BC29-BA29)&gt;4,AY28*(1+Setup!CS10),AY28)))))))),AY28),BH28/'Quick Setup'!$E12)</f>
        <v>460</v>
      </c>
      <c r="BG28" s="39" t="s">
        <v>75</v>
      </c>
      <c r="BH28" s="40"/>
      <c r="BI28" s="41"/>
      <c r="BJ28" s="41"/>
      <c r="BK28" s="41"/>
      <c r="BL28" s="41"/>
      <c r="BM28" s="38">
        <f>if(BO28="", if(BJ29&lt;&gt;"", if((BJ29-BH29)&lt;-1,BF28*(1+Setup!CX10),if((BJ29-BH29)&lt;0,BF28*(1+Setup!CY10),if((BJ29-BH29)=0,BF28*(1+Setup!CZ10),if((BJ29-BH29)=1,BF28*(1+Setup!DA10),if((BJ29-BH29)=2,BF28*(1+Setup!DB10),if((BJ29-BH29)=3,BF28*(1+Setup!DC10),if((BJ29-BH29)=4,BF28*(1+Setup!DD10),if((BJ29-BH29)&gt;4,BF28*(1+Setup!DE10),BF28)))))))),BF28),BO28/'Quick Setup'!$E12)</f>
        <v>460</v>
      </c>
      <c r="BN28" s="39" t="s">
        <v>75</v>
      </c>
      <c r="BO28" s="40"/>
      <c r="BP28" s="41"/>
      <c r="BQ28" s="41"/>
      <c r="BR28" s="41"/>
      <c r="BS28" s="41"/>
      <c r="BT28" s="38">
        <f>if(BV28="", if(BQ29&lt;&gt;"", if((BQ29-BO29)&lt;-1,BM28*(1+Setup!DJ10),if((BQ29-BO29)&lt;0,BM28*(1+Setup!DK10),if((BQ29-BO29)=0,BM28*(1+Setup!DL10),if((BQ29-BO29)=1,BM28*(1+Setup!DM10),if((BQ29-BO29)=2,BM28*(1+Setup!DN10),if((BQ29-BO29)=3,BM28*(1+Setup!DO10),if((BQ29-BO29)=4,BM28*(1+Setup!DP10),if((BQ29-BO29)&gt;4,BM28*(1+Setup!DQ10),BM28)))))))),BM28),BV28/'Quick Setup'!$E12)</f>
        <v>460</v>
      </c>
      <c r="BU28" s="39" t="s">
        <v>75</v>
      </c>
      <c r="BV28" s="40"/>
      <c r="BW28" s="41"/>
      <c r="BX28" s="41"/>
      <c r="BY28" s="41"/>
      <c r="BZ28" s="41"/>
      <c r="CA28" s="38">
        <f>if(CC28="", if(BX29&lt;&gt;"", if((BX29-BV29)&lt;-1,BT28*(1+Setup!DV10),if((BX29-BV29)&lt;0,BT28*(1+Setup!DW10),if((BX29-BV29)=0,BT28*(1+Setup!DX10),if((BX29-BV29)=1,BT28*(1+Setup!DY10),if((BX29-BV29)=2,BT28*(1+Setup!DZ10),if((BX29-BV29)=3,BT28*(1+Setup!EA10),if((BX29-BV29)=4,BT28*(1+Setup!EB10),if((BX29-BV29)&gt;4,BT28*(1+Setup!EC10),BT28)))))))),BT28),CC28/'Quick Setup'!$E12)</f>
        <v>460</v>
      </c>
      <c r="CB28" s="39" t="s">
        <v>75</v>
      </c>
      <c r="CC28" s="40"/>
      <c r="CD28" s="41"/>
      <c r="CE28" s="41"/>
      <c r="CF28" s="41"/>
      <c r="CG28" s="41"/>
      <c r="CH28" s="38">
        <f>if(CJ28="", if(CE29&lt;&gt;"", if((CE29-CC29)&lt;-1,CA28*(1+Setup!EH10),if((CE29-CC29)&lt;0,CA28*(1+Setup!EI10),if((CE29-CC29)=0,CA28*(1+Setup!EJ10),if((CE29-CC29)=1,CA28*(1+Setup!EK10),if((CE29-CC29)=2,CA28*(1+Setup!EL10),if((CE29-CC29)=3,CA28*(1+Setup!EM10),if((CE29-CC29)=4,CA28*(1+Setup!EN10),if((CE29-CC29)&gt;4,CA28*(1+Setup!EO10),CA28)))))))),CA28),CJ28/'Quick Setup'!$E12)</f>
        <v>460</v>
      </c>
      <c r="CI28" s="39" t="s">
        <v>75</v>
      </c>
      <c r="CJ28" s="40"/>
      <c r="CK28" s="41"/>
      <c r="CL28" s="41"/>
      <c r="CM28" s="41"/>
      <c r="CN28" s="41"/>
      <c r="CO28" s="38">
        <f>if(CQ28="", if(CL29&lt;&gt;"", if((CL29-CJ29)&lt;-1,CH28*(1+Setup!ET10),if((CL29-CJ29)&lt;0,CH28*(1+Setup!EU10),if((CL29-CJ29)=0,CH28*(1+Setup!EV10),if((CL29-CJ29)=1,CH28*(1+Setup!EW10),if((CL29-CJ29)=2,CH28*(1+Setup!EX10),if((CL29-CJ29)=3,CH28*(1+Setup!EY10),if((CL29-CJ29)=4,CH28*(1+Setup!EZ10),if((CL29-CJ29)&gt;4,CH28*(1+Setup!FA10),CH28)))))))),CH28),CQ28/'Quick Setup'!$E12)</f>
        <v>460</v>
      </c>
      <c r="CP28" s="39" t="s">
        <v>75</v>
      </c>
      <c r="CQ28" s="40"/>
      <c r="CR28" s="41"/>
      <c r="CS28" s="41"/>
      <c r="CT28" s="41"/>
      <c r="CU28" s="41"/>
      <c r="CV28" s="38">
        <f>if(CX28="",CO28,CX28/'Quick Setup'!$E12)</f>
        <v>460</v>
      </c>
      <c r="CW28" s="39" t="s">
        <v>75</v>
      </c>
      <c r="CX28" s="40"/>
      <c r="CY28" s="41"/>
      <c r="CZ28" s="41"/>
      <c r="DA28" s="41"/>
      <c r="DB28" s="41"/>
      <c r="DC28" s="38">
        <f>if(DE28="", if(CZ29&lt;&gt;"", if((CZ29-CX29)&lt;-1,CV28*(1+Setup!FR10),if((CZ29-CX29)&lt;0,CV28*(1+Setup!FS10),if((CZ29-CX29)=0,CV28*(1+Setup!FT10),if((CZ29-CX29)=1,CV28*(1+Setup!FU10),if((CZ29-CX29)=2,CV28*(1+Setup!FV10),if((CZ29-CX29)=3,CV28*(1+Setup!FW10),if((CZ29-CX29)=4,CV28*(1+Setup!FX10),if((CZ29-CX29)&gt;4,CV28*(1+Setup!FY10),CV28)))))))),CV28),DE28/'Quick Setup'!$E12)</f>
        <v>460</v>
      </c>
      <c r="DD28" s="39" t="s">
        <v>75</v>
      </c>
      <c r="DE28" s="40"/>
      <c r="DF28" s="41"/>
      <c r="DG28" s="41"/>
      <c r="DH28" s="41"/>
      <c r="DI28" s="41"/>
      <c r="DJ28" s="38">
        <f>if(DL28="", if(DG29&lt;&gt;"", if((DG29-DE29)&lt;-1,DC28*(1+Setup!GD10),if((DG29-DE29)&lt;0,DC28*(1+Setup!GE10),if((DG29-DE29)=0,DC28*(1+Setup!GF10),if((DG29-DE29)=1,DC28*(1+Setup!GG10),if((DG29-DE29)=2,DC28*(1+Setup!GH10),if((DG29-DE29)=3,DC28*(1+Setup!GI10),if((DG29-DE29)=4,DC28*(1+Setup!GJ10),if((DG29-DE29)&gt;4,DC28*(1+Setup!GK10),DC28)))))))),DC28),DL28/'Quick Setup'!$E12)</f>
        <v>460</v>
      </c>
      <c r="DK28" s="39" t="s">
        <v>75</v>
      </c>
      <c r="DL28" s="40"/>
      <c r="DM28" s="41"/>
      <c r="DN28" s="41"/>
      <c r="DO28" s="41"/>
      <c r="DP28" s="41"/>
      <c r="DQ28" s="38">
        <f>if(DS28="", if(DN29&lt;&gt;"", if((DN29-DL29)&lt;-1,DJ28*(1+Setup!GP10),if((DN29-DL29)&lt;0,DJ28*(1+Setup!GQ10),if((DN29-DL29)=0,DJ28*(1+Setup!GR10),if((DN29-DL29)=1,DJ28*(1+Setup!GS10),if((DN29-DL29)=2,DJ28*(1+Setup!GT10),if((DN29-DL29)=3,DJ28*(1+Setup!GU10),if((DN29-DL29)=4,DJ28*(1+Setup!GV10),if((DN29-DL29)&gt;4,DJ28*(1+Setup!GW10),DJ28)))))))),DJ28),DS28/'Quick Setup'!$E12)</f>
        <v>460</v>
      </c>
      <c r="DR28" s="39" t="s">
        <v>75</v>
      </c>
      <c r="DS28" s="40"/>
      <c r="DT28" s="41"/>
      <c r="DU28" s="41"/>
      <c r="DV28" s="41"/>
      <c r="DW28" s="41"/>
      <c r="DX28" s="38">
        <f>if(DZ28="", if(DU29&lt;&gt;"", if((DU29-DS29)&lt;-1,DQ28*(1+Setup!HB10),if((DU29-DS29)&lt;0,DQ28*(1+Setup!HC10),if((DU29-DS29)=0,DQ28*(1+Setup!HD10),if((DU29-DS29)=1,DQ28*(1+Setup!HE10),if((DU29-DS29)=2,DQ28*(1+Setup!HF10),if((DU29-DS29)=3,DQ28*(1+Setup!HG10),if((DU29-DS29)=4,DQ28*(1+Setup!HH10),if((DU29-DS29)&gt;4,DQ28*(1+Setup!HI10),DQ28)))))))),DQ28),DZ28/'Quick Setup'!$E12)</f>
        <v>460</v>
      </c>
      <c r="DY28" s="39" t="s">
        <v>75</v>
      </c>
      <c r="DZ28" s="40"/>
      <c r="EA28" s="41"/>
      <c r="EB28" s="41"/>
      <c r="EC28" s="41"/>
      <c r="ED28" s="41"/>
      <c r="EE28" s="38">
        <f>if(EG28="", if(EB29&lt;&gt;"", if((EB29-DZ29)&lt;-1,DX28*(1+Setup!HN10),if((EB29-DZ29)&lt;0,DX28*(1+Setup!HO10),if((EB29-DZ29)=0,DX28*(1+Setup!HP10),if((EB29-DZ29)=1,DX28*(1+Setup!HQ10),if((EB29-DZ29)=2,DX28*(1+Setup!HR10),if((EB29-DZ29)=3,DX28*(1+Setup!HS10),if((EB29-DZ29)=4,DX28*(1+Setup!HT10),if((EB29-DZ29)&gt;4,DX28*(1+Setup!HU10),DX28)))))))),DX28),EG28/'Quick Setup'!$E12)</f>
        <v>460</v>
      </c>
      <c r="EF28" s="39" t="s">
        <v>75</v>
      </c>
      <c r="EG28" s="40"/>
      <c r="EH28" s="41"/>
      <c r="EI28" s="41"/>
      <c r="EJ28" s="41"/>
      <c r="EK28" s="41"/>
      <c r="EL28" s="38">
        <f>if(EN28="", if(EI29&lt;&gt;"", if((EI29-EG29)&lt;-1,EE28*(1+Setup!HZ10),if((EI29-EG29)&lt;0,EE28*(1+Setup!IA10),if((EI29-EG29)=0,EE28*(1+Setup!IB10),if((EI29-EG29)=1,EE28*(1+Setup!IC10),if((EI29-EG29)=2,EE28*(1+Setup!ID10),if((EI29-EG29)=3,EE28*(1+Setup!IE10),if((EI29-EG29)=4,EE28*(1+Setup!IF10),if((EI29-EG29)&gt;4,EE28*(1+Setup!IG10),EE28)))))))),EE28),EN28/'Quick Setup'!$E12)</f>
        <v>460</v>
      </c>
      <c r="EM28" s="39" t="s">
        <v>75</v>
      </c>
      <c r="EN28" s="40"/>
      <c r="EO28" s="41"/>
      <c r="EP28" s="41"/>
      <c r="EQ28" s="41"/>
      <c r="ER28" s="41"/>
    </row>
    <row r="29">
      <c r="A29" s="1" t="str">
        <f>Setup!A10</f>
        <v>Paused Squat</v>
      </c>
      <c r="B29" s="42">
        <f>mround(B28*Setup!B10,'Quick Setup'!$A$2)</f>
        <v>275</v>
      </c>
      <c r="C29" s="3">
        <f>Setup!C10</f>
        <v>7</v>
      </c>
      <c r="D29" s="3">
        <f>Setup!D10</f>
        <v>14</v>
      </c>
      <c r="E29" s="3">
        <f>Setup!E10</f>
        <v>5</v>
      </c>
      <c r="F29" s="10"/>
      <c r="G29" s="10"/>
      <c r="H29" s="10"/>
      <c r="I29" s="42">
        <f>mround(I28*Setup!N10,'Quick Setup'!$A$2)</f>
        <v>300</v>
      </c>
      <c r="J29" s="3">
        <f>Setup!O10</f>
        <v>6</v>
      </c>
      <c r="K29" s="3">
        <f>Setup!P10</f>
        <v>12</v>
      </c>
      <c r="L29" s="3">
        <f>Setup!Q10</f>
        <v>5</v>
      </c>
      <c r="M29" s="10"/>
      <c r="N29" s="10"/>
      <c r="O29" s="10"/>
      <c r="P29" s="42">
        <f>mround(P28*Setup!Z10,'Quick Setup'!$A$2)</f>
        <v>322.5</v>
      </c>
      <c r="Q29" s="3">
        <f>Setup!AA10</f>
        <v>5</v>
      </c>
      <c r="R29" s="3">
        <f>Setup!AB10</f>
        <v>10</v>
      </c>
      <c r="S29" s="3">
        <f>Setup!AC10</f>
        <v>5</v>
      </c>
      <c r="T29" s="10"/>
      <c r="U29" s="10"/>
      <c r="V29" s="10"/>
      <c r="W29" s="42">
        <f>mround(W28*Setup!AL10,'Quick Setup'!$A$2)</f>
        <v>287.5</v>
      </c>
      <c r="X29" s="3">
        <f>Setup!AM10</f>
        <v>7</v>
      </c>
      <c r="Y29" s="3">
        <f>Setup!AN10</f>
        <v>13</v>
      </c>
      <c r="Z29" s="3">
        <f>Setup!AO10</f>
        <v>5</v>
      </c>
      <c r="AA29" s="10"/>
      <c r="AB29" s="10"/>
      <c r="AC29" s="10"/>
      <c r="AD29" s="42">
        <f>mround(AD28*Setup!AX10,'Quick Setup'!$A$2)</f>
        <v>310</v>
      </c>
      <c r="AE29" s="3">
        <f>Setup!AY10</f>
        <v>6</v>
      </c>
      <c r="AF29" s="3">
        <f>Setup!AZ10</f>
        <v>11</v>
      </c>
      <c r="AG29" s="3">
        <f>Setup!BA10</f>
        <v>5</v>
      </c>
      <c r="AH29" s="10"/>
      <c r="AI29" s="10"/>
      <c r="AJ29" s="10"/>
      <c r="AK29" s="42">
        <f>mround(AK28*Setup!BJ10,'Quick Setup'!$A$2)</f>
        <v>332.5</v>
      </c>
      <c r="AL29" s="3">
        <f>Setup!BK10</f>
        <v>5</v>
      </c>
      <c r="AM29" s="3">
        <f>Setup!BL10</f>
        <v>9</v>
      </c>
      <c r="AN29" s="3">
        <f>Setup!BM10</f>
        <v>5</v>
      </c>
      <c r="AO29" s="10"/>
      <c r="AP29" s="10"/>
      <c r="AQ29" s="10"/>
      <c r="AR29" s="42">
        <f>mround(AR28*Setup!BV10,'Quick Setup'!$A$2)</f>
        <v>230</v>
      </c>
      <c r="AS29" s="1">
        <v>5.0</v>
      </c>
      <c r="AT29" s="1" t="s">
        <v>78</v>
      </c>
      <c r="AU29" s="3">
        <f>Setup!BY10</f>
        <v>5</v>
      </c>
      <c r="AV29" s="10"/>
      <c r="AW29" s="10"/>
      <c r="AX29" s="10"/>
      <c r="AY29" s="42">
        <f>mround(AY28*Setup!CH10,'Quick Setup'!$A$2)</f>
        <v>300</v>
      </c>
      <c r="AZ29" s="3">
        <f>Setup!CI10</f>
        <v>6</v>
      </c>
      <c r="BA29" s="3">
        <f>Setup!CJ10</f>
        <v>12</v>
      </c>
      <c r="BB29" s="3">
        <f>Setup!CK10</f>
        <v>5</v>
      </c>
      <c r="BC29" s="10"/>
      <c r="BD29" s="10"/>
      <c r="BE29" s="10"/>
      <c r="BF29" s="42">
        <f>mround(BF28*Setup!CT10,'Quick Setup'!$A$2)</f>
        <v>322.5</v>
      </c>
      <c r="BG29" s="3">
        <f>Setup!CU10</f>
        <v>5</v>
      </c>
      <c r="BH29" s="3">
        <f>Setup!CV10</f>
        <v>10</v>
      </c>
      <c r="BI29" s="3">
        <f>Setup!CW10</f>
        <v>5</v>
      </c>
      <c r="BJ29" s="10"/>
      <c r="BK29" s="10"/>
      <c r="BL29" s="10"/>
      <c r="BM29" s="42">
        <f>mround(BM28*Setup!DF10,'Quick Setup'!$A$2)</f>
        <v>345</v>
      </c>
      <c r="BN29" s="3">
        <f>Setup!DG10</f>
        <v>4</v>
      </c>
      <c r="BO29" s="3">
        <f>Setup!DH10</f>
        <v>8</v>
      </c>
      <c r="BP29" s="3">
        <f>Setup!DI10</f>
        <v>5</v>
      </c>
      <c r="BQ29" s="10"/>
      <c r="BR29" s="10"/>
      <c r="BS29" s="10"/>
      <c r="BT29" s="42">
        <f>mround(BT28*Setup!DR10,'Quick Setup'!$A$2)</f>
        <v>310</v>
      </c>
      <c r="BU29" s="3">
        <f>Setup!DS10</f>
        <v>6</v>
      </c>
      <c r="BV29" s="3">
        <f>Setup!DT10</f>
        <v>11</v>
      </c>
      <c r="BW29" s="3">
        <f>Setup!DU10</f>
        <v>5</v>
      </c>
      <c r="BX29" s="10"/>
      <c r="BY29" s="10"/>
      <c r="BZ29" s="10"/>
      <c r="CA29" s="42">
        <f>mround(CA28*Setup!ED10,'Quick Setup'!$A$2)</f>
        <v>332.5</v>
      </c>
      <c r="CB29" s="3">
        <f>Setup!EE10</f>
        <v>5</v>
      </c>
      <c r="CC29" s="3">
        <f>Setup!EF10</f>
        <v>9</v>
      </c>
      <c r="CD29" s="3">
        <f>Setup!EG10</f>
        <v>5</v>
      </c>
      <c r="CE29" s="10"/>
      <c r="CF29" s="10"/>
      <c r="CG29" s="10"/>
      <c r="CH29" s="42">
        <f>mround(CH28*Setup!EP10,'Quick Setup'!$A$2)</f>
        <v>357.5</v>
      </c>
      <c r="CI29" s="3">
        <f>Setup!EQ10</f>
        <v>4</v>
      </c>
      <c r="CJ29" s="3">
        <f>Setup!ER10</f>
        <v>7</v>
      </c>
      <c r="CK29" s="3">
        <f>Setup!ES10</f>
        <v>5</v>
      </c>
      <c r="CL29" s="10"/>
      <c r="CM29" s="10"/>
      <c r="CN29" s="10"/>
      <c r="CO29" s="42">
        <f>mround(CO28*Setup!FB10,'Quick Setup'!$A$2)</f>
        <v>230</v>
      </c>
      <c r="CP29" s="1">
        <v>5.0</v>
      </c>
      <c r="CQ29" s="1" t="s">
        <v>78</v>
      </c>
      <c r="CR29" s="3">
        <f>Setup!FE10</f>
        <v>5</v>
      </c>
      <c r="CS29" s="10"/>
      <c r="CT29" s="10"/>
      <c r="CU29" s="10"/>
      <c r="CV29" s="42">
        <f>mround(CV28*Setup!FN10,'Quick Setup'!$A$2)</f>
        <v>322.5</v>
      </c>
      <c r="CW29" s="3">
        <f>Setup!FO10</f>
        <v>5</v>
      </c>
      <c r="CX29" s="3">
        <f>Setup!FP10</f>
        <v>10</v>
      </c>
      <c r="CY29" s="3">
        <f>Setup!FQ10</f>
        <v>5</v>
      </c>
      <c r="CZ29" s="10"/>
      <c r="DA29" s="10"/>
      <c r="DB29" s="10"/>
      <c r="DC29" s="42">
        <f>mround(DC28*Setup!FZ10,'Quick Setup'!$A$2)</f>
        <v>345</v>
      </c>
      <c r="DD29" s="3">
        <f>Setup!GA10</f>
        <v>4</v>
      </c>
      <c r="DE29" s="3">
        <f>Setup!GB10</f>
        <v>8</v>
      </c>
      <c r="DF29" s="3">
        <f>Setup!GC10</f>
        <v>5</v>
      </c>
      <c r="DG29" s="10"/>
      <c r="DH29" s="10"/>
      <c r="DI29" s="10"/>
      <c r="DJ29" s="42">
        <f>mround(DJ28*Setup!GL10,'Quick Setup'!$A$2)</f>
        <v>367.5</v>
      </c>
      <c r="DK29" s="3">
        <f>Setup!GM10</f>
        <v>3</v>
      </c>
      <c r="DL29" s="3">
        <f>Setup!GN10</f>
        <v>6</v>
      </c>
      <c r="DM29" s="3">
        <f>Setup!GO10</f>
        <v>5</v>
      </c>
      <c r="DN29" s="10"/>
      <c r="DO29" s="10"/>
      <c r="DP29" s="10"/>
      <c r="DQ29" s="42">
        <f>mround(DQ28*Setup!GX10,'Quick Setup'!$A$2)</f>
        <v>345</v>
      </c>
      <c r="DR29" s="3">
        <f>Setup!GY10</f>
        <v>4</v>
      </c>
      <c r="DS29" s="3">
        <f>Setup!GZ10</f>
        <v>8</v>
      </c>
      <c r="DT29" s="3">
        <f>Setup!HA10</f>
        <v>5</v>
      </c>
      <c r="DU29" s="10"/>
      <c r="DV29" s="10"/>
      <c r="DW29" s="10"/>
      <c r="DX29" s="42">
        <f>mround(DX28*Setup!HJ10,'Quick Setup'!$A$2)</f>
        <v>367.5</v>
      </c>
      <c r="DY29" s="3">
        <f>Setup!HK10</f>
        <v>3</v>
      </c>
      <c r="DZ29" s="3">
        <f>Setup!HL10</f>
        <v>6</v>
      </c>
      <c r="EA29" s="3">
        <f>Setup!HM10</f>
        <v>5</v>
      </c>
      <c r="EB29" s="10"/>
      <c r="EC29" s="10"/>
      <c r="ED29" s="10"/>
      <c r="EE29" s="42">
        <f>mround(EE28*Setup!HV10,'Quick Setup'!$A$2)</f>
        <v>390</v>
      </c>
      <c r="EF29" s="3">
        <f>Setup!HW10</f>
        <v>2</v>
      </c>
      <c r="EG29" s="3">
        <f>Setup!HX10</f>
        <v>4</v>
      </c>
      <c r="EH29" s="3">
        <f>Setup!HY10</f>
        <v>5</v>
      </c>
      <c r="EI29" s="10"/>
      <c r="EJ29" s="10"/>
      <c r="EK29" s="10"/>
      <c r="EL29" s="42">
        <f>mround(EL28*Setup!IH10,'Quick Setup'!$A$2)</f>
        <v>230</v>
      </c>
      <c r="EM29" s="1">
        <v>5.0</v>
      </c>
      <c r="EN29" s="1" t="s">
        <v>78</v>
      </c>
      <c r="EO29" s="3">
        <f>Setup!IK10</f>
        <v>5</v>
      </c>
      <c r="EP29" s="10"/>
      <c r="EQ29" s="10"/>
      <c r="ER29" s="10"/>
    </row>
    <row r="30">
      <c r="A30" s="5"/>
      <c r="B30" s="43"/>
      <c r="C30" s="10"/>
      <c r="D30" s="10"/>
      <c r="E30" s="10"/>
      <c r="F30" s="10"/>
      <c r="G30" s="10"/>
      <c r="H30" s="10"/>
      <c r="I30" s="43" t="str">
        <f t="shared" ref="I30:M30" si="161">B30</f>
        <v/>
      </c>
      <c r="J30" s="10" t="str">
        <f t="shared" si="161"/>
        <v/>
      </c>
      <c r="K30" s="10" t="str">
        <f t="shared" si="161"/>
        <v/>
      </c>
      <c r="L30" s="10" t="str">
        <f t="shared" si="161"/>
        <v/>
      </c>
      <c r="M30" s="10" t="str">
        <f t="shared" si="161"/>
        <v/>
      </c>
      <c r="N30" s="10"/>
      <c r="O30" s="10"/>
      <c r="P30" s="43" t="str">
        <f t="shared" ref="P30:T30" si="162">I30</f>
        <v/>
      </c>
      <c r="Q30" s="10" t="str">
        <f t="shared" si="162"/>
        <v/>
      </c>
      <c r="R30" s="10" t="str">
        <f t="shared" si="162"/>
        <v/>
      </c>
      <c r="S30" s="10" t="str">
        <f t="shared" si="162"/>
        <v/>
      </c>
      <c r="T30" s="10" t="str">
        <f t="shared" si="162"/>
        <v/>
      </c>
      <c r="U30" s="10"/>
      <c r="V30" s="10"/>
      <c r="W30" s="43" t="str">
        <f t="shared" ref="W30:AA30" si="163">P30</f>
        <v/>
      </c>
      <c r="X30" s="10" t="str">
        <f t="shared" si="163"/>
        <v/>
      </c>
      <c r="Y30" s="10" t="str">
        <f t="shared" si="163"/>
        <v/>
      </c>
      <c r="Z30" s="10" t="str">
        <f t="shared" si="163"/>
        <v/>
      </c>
      <c r="AA30" s="10" t="str">
        <f t="shared" si="163"/>
        <v/>
      </c>
      <c r="AB30" s="10"/>
      <c r="AC30" s="10"/>
      <c r="AD30" s="43" t="str">
        <f t="shared" ref="AD30:AH30" si="164">W30</f>
        <v/>
      </c>
      <c r="AE30" s="10" t="str">
        <f t="shared" si="164"/>
        <v/>
      </c>
      <c r="AF30" s="10" t="str">
        <f t="shared" si="164"/>
        <v/>
      </c>
      <c r="AG30" s="10" t="str">
        <f t="shared" si="164"/>
        <v/>
      </c>
      <c r="AH30" s="10" t="str">
        <f t="shared" si="164"/>
        <v/>
      </c>
      <c r="AI30" s="10"/>
      <c r="AJ30" s="10"/>
      <c r="AK30" s="43" t="str">
        <f t="shared" ref="AK30:AO30" si="165">AD30</f>
        <v/>
      </c>
      <c r="AL30" s="10" t="str">
        <f t="shared" si="165"/>
        <v/>
      </c>
      <c r="AM30" s="10" t="str">
        <f t="shared" si="165"/>
        <v/>
      </c>
      <c r="AN30" s="10" t="str">
        <f t="shared" si="165"/>
        <v/>
      </c>
      <c r="AO30" s="10" t="str">
        <f t="shared" si="165"/>
        <v/>
      </c>
      <c r="AP30" s="10"/>
      <c r="AQ30" s="10"/>
      <c r="AR30" s="43" t="str">
        <f t="shared" ref="AR30:AV30" si="166">AK30</f>
        <v/>
      </c>
      <c r="AS30" s="10" t="str">
        <f t="shared" si="166"/>
        <v/>
      </c>
      <c r="AT30" s="10" t="str">
        <f t="shared" si="166"/>
        <v/>
      </c>
      <c r="AU30" s="10" t="str">
        <f t="shared" si="166"/>
        <v/>
      </c>
      <c r="AV30" s="10" t="str">
        <f t="shared" si="166"/>
        <v/>
      </c>
      <c r="AW30" s="10"/>
      <c r="AX30" s="10"/>
      <c r="AY30" s="43" t="str">
        <f t="shared" ref="AY30:BC30" si="167">AR30</f>
        <v/>
      </c>
      <c r="AZ30" s="10" t="str">
        <f t="shared" si="167"/>
        <v/>
      </c>
      <c r="BA30" s="10" t="str">
        <f t="shared" si="167"/>
        <v/>
      </c>
      <c r="BB30" s="10" t="str">
        <f t="shared" si="167"/>
        <v/>
      </c>
      <c r="BC30" s="10" t="str">
        <f t="shared" si="167"/>
        <v/>
      </c>
      <c r="BD30" s="10"/>
      <c r="BE30" s="10"/>
      <c r="BF30" s="43" t="str">
        <f t="shared" ref="BF30:BJ30" si="168">AY30</f>
        <v/>
      </c>
      <c r="BG30" s="10" t="str">
        <f t="shared" si="168"/>
        <v/>
      </c>
      <c r="BH30" s="10" t="str">
        <f t="shared" si="168"/>
        <v/>
      </c>
      <c r="BI30" s="10" t="str">
        <f t="shared" si="168"/>
        <v/>
      </c>
      <c r="BJ30" s="10" t="str">
        <f t="shared" si="168"/>
        <v/>
      </c>
      <c r="BK30" s="10"/>
      <c r="BL30" s="10"/>
      <c r="BM30" s="43" t="str">
        <f t="shared" ref="BM30:BQ30" si="169">BF30</f>
        <v/>
      </c>
      <c r="BN30" s="10" t="str">
        <f t="shared" si="169"/>
        <v/>
      </c>
      <c r="BO30" s="10" t="str">
        <f t="shared" si="169"/>
        <v/>
      </c>
      <c r="BP30" s="10" t="str">
        <f t="shared" si="169"/>
        <v/>
      </c>
      <c r="BQ30" s="10" t="str">
        <f t="shared" si="169"/>
        <v/>
      </c>
      <c r="BR30" s="10"/>
      <c r="BS30" s="10"/>
      <c r="BT30" s="43" t="str">
        <f t="shared" ref="BT30:BX30" si="170">BM30</f>
        <v/>
      </c>
      <c r="BU30" s="10" t="str">
        <f t="shared" si="170"/>
        <v/>
      </c>
      <c r="BV30" s="10" t="str">
        <f t="shared" si="170"/>
        <v/>
      </c>
      <c r="BW30" s="10" t="str">
        <f t="shared" si="170"/>
        <v/>
      </c>
      <c r="BX30" s="10" t="str">
        <f t="shared" si="170"/>
        <v/>
      </c>
      <c r="BY30" s="10"/>
      <c r="BZ30" s="10"/>
      <c r="CA30" s="43" t="str">
        <f t="shared" ref="CA30:CE30" si="171">BT30</f>
        <v/>
      </c>
      <c r="CB30" s="10" t="str">
        <f t="shared" si="171"/>
        <v/>
      </c>
      <c r="CC30" s="10" t="str">
        <f t="shared" si="171"/>
        <v/>
      </c>
      <c r="CD30" s="10" t="str">
        <f t="shared" si="171"/>
        <v/>
      </c>
      <c r="CE30" s="10" t="str">
        <f t="shared" si="171"/>
        <v/>
      </c>
      <c r="CF30" s="10"/>
      <c r="CG30" s="10"/>
      <c r="CH30" s="43" t="str">
        <f t="shared" ref="CH30:CL30" si="172">CA30</f>
        <v/>
      </c>
      <c r="CI30" s="10" t="str">
        <f t="shared" si="172"/>
        <v/>
      </c>
      <c r="CJ30" s="10" t="str">
        <f t="shared" si="172"/>
        <v/>
      </c>
      <c r="CK30" s="10" t="str">
        <f t="shared" si="172"/>
        <v/>
      </c>
      <c r="CL30" s="10" t="str">
        <f t="shared" si="172"/>
        <v/>
      </c>
      <c r="CM30" s="10"/>
      <c r="CN30" s="10"/>
      <c r="CO30" s="43" t="str">
        <f t="shared" ref="CO30:CS30" si="173">CH30</f>
        <v/>
      </c>
      <c r="CP30" s="10" t="str">
        <f t="shared" si="173"/>
        <v/>
      </c>
      <c r="CQ30" s="10" t="str">
        <f t="shared" si="173"/>
        <v/>
      </c>
      <c r="CR30" s="10" t="str">
        <f t="shared" si="173"/>
        <v/>
      </c>
      <c r="CS30" s="10" t="str">
        <f t="shared" si="173"/>
        <v/>
      </c>
      <c r="CT30" s="10"/>
      <c r="CU30" s="10"/>
      <c r="CV30" s="43" t="str">
        <f t="shared" ref="CV30:CZ30" si="174">CO30</f>
        <v/>
      </c>
      <c r="CW30" s="10" t="str">
        <f t="shared" si="174"/>
        <v/>
      </c>
      <c r="CX30" s="10" t="str">
        <f t="shared" si="174"/>
        <v/>
      </c>
      <c r="CY30" s="10" t="str">
        <f t="shared" si="174"/>
        <v/>
      </c>
      <c r="CZ30" s="10" t="str">
        <f t="shared" si="174"/>
        <v/>
      </c>
      <c r="DA30" s="10"/>
      <c r="DB30" s="10"/>
      <c r="DC30" s="43" t="str">
        <f t="shared" ref="DC30:DG30" si="175">CV30</f>
        <v/>
      </c>
      <c r="DD30" s="10" t="str">
        <f t="shared" si="175"/>
        <v/>
      </c>
      <c r="DE30" s="10" t="str">
        <f t="shared" si="175"/>
        <v/>
      </c>
      <c r="DF30" s="10" t="str">
        <f t="shared" si="175"/>
        <v/>
      </c>
      <c r="DG30" s="10" t="str">
        <f t="shared" si="175"/>
        <v/>
      </c>
      <c r="DH30" s="10"/>
      <c r="DI30" s="10"/>
      <c r="DJ30" s="43" t="str">
        <f t="shared" ref="DJ30:DN30" si="176">DC30</f>
        <v/>
      </c>
      <c r="DK30" s="10" t="str">
        <f t="shared" si="176"/>
        <v/>
      </c>
      <c r="DL30" s="10" t="str">
        <f t="shared" si="176"/>
        <v/>
      </c>
      <c r="DM30" s="10" t="str">
        <f t="shared" si="176"/>
        <v/>
      </c>
      <c r="DN30" s="10" t="str">
        <f t="shared" si="176"/>
        <v/>
      </c>
      <c r="DO30" s="10"/>
      <c r="DP30" s="10"/>
      <c r="DQ30" s="43" t="str">
        <f t="shared" ref="DQ30:DU30" si="177">DJ30</f>
        <v/>
      </c>
      <c r="DR30" s="10" t="str">
        <f t="shared" si="177"/>
        <v/>
      </c>
      <c r="DS30" s="10" t="str">
        <f t="shared" si="177"/>
        <v/>
      </c>
      <c r="DT30" s="10" t="str">
        <f t="shared" si="177"/>
        <v/>
      </c>
      <c r="DU30" s="10" t="str">
        <f t="shared" si="177"/>
        <v/>
      </c>
      <c r="DV30" s="10"/>
      <c r="DW30" s="10"/>
      <c r="DX30" s="43" t="str">
        <f t="shared" ref="DX30:EB30" si="178">DQ30</f>
        <v/>
      </c>
      <c r="DY30" s="10" t="str">
        <f t="shared" si="178"/>
        <v/>
      </c>
      <c r="DZ30" s="10" t="str">
        <f t="shared" si="178"/>
        <v/>
      </c>
      <c r="EA30" s="10" t="str">
        <f t="shared" si="178"/>
        <v/>
      </c>
      <c r="EB30" s="10" t="str">
        <f t="shared" si="178"/>
        <v/>
      </c>
      <c r="EC30" s="10"/>
      <c r="ED30" s="10"/>
      <c r="EE30" s="43" t="str">
        <f t="shared" ref="EE30:EI30" si="179">DX30</f>
        <v/>
      </c>
      <c r="EF30" s="10" t="str">
        <f t="shared" si="179"/>
        <v/>
      </c>
      <c r="EG30" s="10" t="str">
        <f t="shared" si="179"/>
        <v/>
      </c>
      <c r="EH30" s="10" t="str">
        <f t="shared" si="179"/>
        <v/>
      </c>
      <c r="EI30" s="10" t="str">
        <f t="shared" si="179"/>
        <v/>
      </c>
      <c r="EJ30" s="10"/>
      <c r="EK30" s="10"/>
      <c r="EL30" s="43" t="str">
        <f t="shared" ref="EL30:EP30" si="180">EE30</f>
        <v/>
      </c>
      <c r="EM30" s="10" t="str">
        <f t="shared" si="180"/>
        <v/>
      </c>
      <c r="EN30" s="10" t="str">
        <f t="shared" si="180"/>
        <v/>
      </c>
      <c r="EO30" s="10" t="str">
        <f t="shared" si="180"/>
        <v/>
      </c>
      <c r="EP30" s="10" t="str">
        <f t="shared" si="180"/>
        <v/>
      </c>
      <c r="EQ30" s="10"/>
      <c r="ER30" s="10"/>
    </row>
    <row r="31">
      <c r="A31" s="1" t="s">
        <v>79</v>
      </c>
      <c r="B31" s="42"/>
      <c r="C31" s="3"/>
      <c r="D31" s="3"/>
      <c r="E31" s="3"/>
      <c r="F31" s="3"/>
      <c r="G31" s="3"/>
      <c r="H31" s="3"/>
      <c r="I31" s="42"/>
      <c r="J31" s="3"/>
      <c r="K31" s="3"/>
      <c r="L31" s="3"/>
      <c r="M31" s="3"/>
      <c r="N31" s="3"/>
      <c r="O31" s="3"/>
      <c r="P31" s="42"/>
      <c r="Q31" s="3"/>
      <c r="R31" s="3"/>
      <c r="S31" s="3"/>
      <c r="T31" s="3"/>
      <c r="U31" s="3"/>
      <c r="V31" s="3"/>
      <c r="W31" s="42"/>
      <c r="X31" s="3"/>
      <c r="Y31" s="3"/>
      <c r="Z31" s="3"/>
      <c r="AA31" s="3"/>
      <c r="AB31" s="3"/>
      <c r="AC31" s="3"/>
      <c r="AD31" s="42"/>
      <c r="AE31" s="3"/>
      <c r="AF31" s="3"/>
      <c r="AG31" s="3"/>
      <c r="AH31" s="3"/>
      <c r="AI31" s="3"/>
      <c r="AJ31" s="3"/>
      <c r="AK31" s="42"/>
      <c r="AL31" s="3"/>
      <c r="AM31" s="3"/>
      <c r="AN31" s="3"/>
      <c r="AO31" s="3"/>
      <c r="AP31" s="3"/>
      <c r="AQ31" s="3"/>
      <c r="AR31" s="42"/>
      <c r="AS31" s="3"/>
      <c r="AT31" s="3"/>
      <c r="AU31" s="3"/>
      <c r="AV31" s="3"/>
      <c r="AW31" s="3"/>
      <c r="AX31" s="3"/>
      <c r="AY31" s="42"/>
      <c r="AZ31" s="3"/>
      <c r="BA31" s="3"/>
      <c r="BB31" s="3"/>
      <c r="BC31" s="3"/>
      <c r="BD31" s="3"/>
      <c r="BE31" s="3"/>
      <c r="BF31" s="42"/>
      <c r="BG31" s="3"/>
      <c r="BH31" s="3"/>
      <c r="BI31" s="3"/>
      <c r="BJ31" s="3"/>
      <c r="BK31" s="3"/>
      <c r="BL31" s="3"/>
      <c r="BM31" s="42"/>
      <c r="BN31" s="3"/>
      <c r="BO31" s="3"/>
      <c r="BP31" s="3"/>
      <c r="BQ31" s="3"/>
      <c r="BR31" s="3"/>
      <c r="BS31" s="3"/>
      <c r="BT31" s="42"/>
      <c r="BU31" s="3"/>
      <c r="BV31" s="3"/>
      <c r="BW31" s="3"/>
      <c r="BX31" s="3"/>
      <c r="BY31" s="3"/>
      <c r="BZ31" s="3"/>
      <c r="CA31" s="42"/>
      <c r="CB31" s="3"/>
      <c r="CC31" s="3"/>
      <c r="CD31" s="3"/>
      <c r="CE31" s="3"/>
      <c r="CF31" s="3"/>
      <c r="CG31" s="3"/>
      <c r="CH31" s="42"/>
      <c r="CI31" s="3"/>
      <c r="CJ31" s="3"/>
      <c r="CK31" s="3"/>
      <c r="CL31" s="3"/>
      <c r="CM31" s="3"/>
      <c r="CN31" s="3"/>
      <c r="CO31" s="42"/>
      <c r="CP31" s="3"/>
      <c r="CQ31" s="3"/>
      <c r="CR31" s="3"/>
      <c r="CS31" s="3"/>
      <c r="CT31" s="3"/>
      <c r="CU31" s="3"/>
      <c r="CV31" s="42"/>
      <c r="CW31" s="3"/>
      <c r="CX31" s="3"/>
      <c r="CY31" s="3"/>
      <c r="CZ31" s="3"/>
      <c r="DA31" s="3"/>
      <c r="DB31" s="3"/>
      <c r="DC31" s="42"/>
      <c r="DD31" s="3"/>
      <c r="DE31" s="3"/>
      <c r="DF31" s="3"/>
      <c r="DG31" s="3"/>
      <c r="DH31" s="3"/>
      <c r="DI31" s="3"/>
      <c r="DJ31" s="42"/>
      <c r="DK31" s="3"/>
      <c r="DL31" s="3"/>
      <c r="DM31" s="3"/>
      <c r="DN31" s="3"/>
      <c r="DO31" s="3"/>
      <c r="DP31" s="3"/>
      <c r="DQ31" s="42"/>
      <c r="DR31" s="3"/>
      <c r="DS31" s="3"/>
      <c r="DT31" s="3"/>
      <c r="DU31" s="3"/>
      <c r="DV31" s="3"/>
      <c r="DW31" s="3"/>
      <c r="DX31" s="42"/>
      <c r="DY31" s="3"/>
      <c r="DZ31" s="3"/>
      <c r="EA31" s="3"/>
      <c r="EB31" s="3"/>
      <c r="EC31" s="3"/>
      <c r="ED31" s="3"/>
      <c r="EE31" s="42"/>
      <c r="EF31" s="3"/>
      <c r="EG31" s="3"/>
      <c r="EH31" s="3"/>
      <c r="EI31" s="3"/>
      <c r="EJ31" s="3"/>
      <c r="EK31" s="3"/>
      <c r="EL31" s="42"/>
      <c r="EM31" s="3"/>
      <c r="EN31" s="3"/>
      <c r="EO31" s="3"/>
      <c r="EP31" s="3"/>
      <c r="EQ31" s="3"/>
      <c r="ER31" s="3"/>
    </row>
    <row r="32">
      <c r="A32" s="44"/>
      <c r="B32" s="43"/>
      <c r="C32" s="10"/>
      <c r="D32" s="10"/>
      <c r="E32" s="10"/>
      <c r="F32" s="10"/>
      <c r="G32" s="10"/>
      <c r="H32" s="10"/>
      <c r="I32" s="43" t="str">
        <f t="shared" ref="I32:M32" si="181">B32</f>
        <v/>
      </c>
      <c r="J32" s="10" t="str">
        <f t="shared" si="181"/>
        <v/>
      </c>
      <c r="K32" s="10" t="str">
        <f t="shared" si="181"/>
        <v/>
      </c>
      <c r="L32" s="10" t="str">
        <f t="shared" si="181"/>
        <v/>
      </c>
      <c r="M32" s="10" t="str">
        <f t="shared" si="181"/>
        <v/>
      </c>
      <c r="N32" s="10"/>
      <c r="O32" s="10"/>
      <c r="P32" s="43" t="str">
        <f t="shared" ref="P32:T32" si="182">I32</f>
        <v/>
      </c>
      <c r="Q32" s="10" t="str">
        <f t="shared" si="182"/>
        <v/>
      </c>
      <c r="R32" s="10" t="str">
        <f t="shared" si="182"/>
        <v/>
      </c>
      <c r="S32" s="10" t="str">
        <f t="shared" si="182"/>
        <v/>
      </c>
      <c r="T32" s="10" t="str">
        <f t="shared" si="182"/>
        <v/>
      </c>
      <c r="U32" s="10"/>
      <c r="V32" s="10"/>
      <c r="W32" s="43" t="str">
        <f t="shared" ref="W32:AA32" si="183">P32</f>
        <v/>
      </c>
      <c r="X32" s="10" t="str">
        <f t="shared" si="183"/>
        <v/>
      </c>
      <c r="Y32" s="10" t="str">
        <f t="shared" si="183"/>
        <v/>
      </c>
      <c r="Z32" s="10" t="str">
        <f t="shared" si="183"/>
        <v/>
      </c>
      <c r="AA32" s="10" t="str">
        <f t="shared" si="183"/>
        <v/>
      </c>
      <c r="AB32" s="10"/>
      <c r="AC32" s="10"/>
      <c r="AD32" s="43" t="str">
        <f t="shared" ref="AD32:AH32" si="184">W32</f>
        <v/>
      </c>
      <c r="AE32" s="10" t="str">
        <f t="shared" si="184"/>
        <v/>
      </c>
      <c r="AF32" s="10" t="str">
        <f t="shared" si="184"/>
        <v/>
      </c>
      <c r="AG32" s="10" t="str">
        <f t="shared" si="184"/>
        <v/>
      </c>
      <c r="AH32" s="10" t="str">
        <f t="shared" si="184"/>
        <v/>
      </c>
      <c r="AI32" s="10"/>
      <c r="AJ32" s="10"/>
      <c r="AK32" s="43" t="str">
        <f t="shared" ref="AK32:AO32" si="185">AD32</f>
        <v/>
      </c>
      <c r="AL32" s="10" t="str">
        <f t="shared" si="185"/>
        <v/>
      </c>
      <c r="AM32" s="10" t="str">
        <f t="shared" si="185"/>
        <v/>
      </c>
      <c r="AN32" s="10" t="str">
        <f t="shared" si="185"/>
        <v/>
      </c>
      <c r="AO32" s="10" t="str">
        <f t="shared" si="185"/>
        <v/>
      </c>
      <c r="AP32" s="10"/>
      <c r="AQ32" s="10"/>
      <c r="AR32" s="43" t="str">
        <f t="shared" ref="AR32:AV32" si="186">AK32</f>
        <v/>
      </c>
      <c r="AS32" s="10" t="str">
        <f t="shared" si="186"/>
        <v/>
      </c>
      <c r="AT32" s="10" t="str">
        <f t="shared" si="186"/>
        <v/>
      </c>
      <c r="AU32" s="10" t="str">
        <f t="shared" si="186"/>
        <v/>
      </c>
      <c r="AV32" s="10" t="str">
        <f t="shared" si="186"/>
        <v/>
      </c>
      <c r="AW32" s="10"/>
      <c r="AX32" s="10"/>
      <c r="AY32" s="43" t="str">
        <f t="shared" ref="AY32:BC32" si="187">AR32</f>
        <v/>
      </c>
      <c r="AZ32" s="10" t="str">
        <f t="shared" si="187"/>
        <v/>
      </c>
      <c r="BA32" s="10" t="str">
        <f t="shared" si="187"/>
        <v/>
      </c>
      <c r="BB32" s="10" t="str">
        <f t="shared" si="187"/>
        <v/>
      </c>
      <c r="BC32" s="10" t="str">
        <f t="shared" si="187"/>
        <v/>
      </c>
      <c r="BD32" s="10"/>
      <c r="BE32" s="10"/>
      <c r="BF32" s="43" t="str">
        <f t="shared" ref="BF32:BJ32" si="188">AY32</f>
        <v/>
      </c>
      <c r="BG32" s="10" t="str">
        <f t="shared" si="188"/>
        <v/>
      </c>
      <c r="BH32" s="10" t="str">
        <f t="shared" si="188"/>
        <v/>
      </c>
      <c r="BI32" s="10" t="str">
        <f t="shared" si="188"/>
        <v/>
      </c>
      <c r="BJ32" s="10" t="str">
        <f t="shared" si="188"/>
        <v/>
      </c>
      <c r="BK32" s="10"/>
      <c r="BL32" s="10"/>
      <c r="BM32" s="43" t="str">
        <f t="shared" ref="BM32:BQ32" si="189">BF32</f>
        <v/>
      </c>
      <c r="BN32" s="10" t="str">
        <f t="shared" si="189"/>
        <v/>
      </c>
      <c r="BO32" s="10" t="str">
        <f t="shared" si="189"/>
        <v/>
      </c>
      <c r="BP32" s="10" t="str">
        <f t="shared" si="189"/>
        <v/>
      </c>
      <c r="BQ32" s="10" t="str">
        <f t="shared" si="189"/>
        <v/>
      </c>
      <c r="BR32" s="10"/>
      <c r="BS32" s="10"/>
      <c r="BT32" s="43" t="str">
        <f t="shared" ref="BT32:BX32" si="190">BM32</f>
        <v/>
      </c>
      <c r="BU32" s="10" t="str">
        <f t="shared" si="190"/>
        <v/>
      </c>
      <c r="BV32" s="10" t="str">
        <f t="shared" si="190"/>
        <v/>
      </c>
      <c r="BW32" s="10" t="str">
        <f t="shared" si="190"/>
        <v/>
      </c>
      <c r="BX32" s="10" t="str">
        <f t="shared" si="190"/>
        <v/>
      </c>
      <c r="BY32" s="10"/>
      <c r="BZ32" s="10"/>
      <c r="CA32" s="43" t="str">
        <f t="shared" ref="CA32:CE32" si="191">BT32</f>
        <v/>
      </c>
      <c r="CB32" s="10" t="str">
        <f t="shared" si="191"/>
        <v/>
      </c>
      <c r="CC32" s="10" t="str">
        <f t="shared" si="191"/>
        <v/>
      </c>
      <c r="CD32" s="10" t="str">
        <f t="shared" si="191"/>
        <v/>
      </c>
      <c r="CE32" s="10" t="str">
        <f t="shared" si="191"/>
        <v/>
      </c>
      <c r="CF32" s="10"/>
      <c r="CG32" s="10"/>
      <c r="CH32" s="43" t="str">
        <f t="shared" ref="CH32:CL32" si="192">CA32</f>
        <v/>
      </c>
      <c r="CI32" s="10" t="str">
        <f t="shared" si="192"/>
        <v/>
      </c>
      <c r="CJ32" s="10" t="str">
        <f t="shared" si="192"/>
        <v/>
      </c>
      <c r="CK32" s="10" t="str">
        <f t="shared" si="192"/>
        <v/>
      </c>
      <c r="CL32" s="10" t="str">
        <f t="shared" si="192"/>
        <v/>
      </c>
      <c r="CM32" s="10"/>
      <c r="CN32" s="10"/>
      <c r="CO32" s="43" t="str">
        <f t="shared" ref="CO32:CS32" si="193">CH32</f>
        <v/>
      </c>
      <c r="CP32" s="10" t="str">
        <f t="shared" si="193"/>
        <v/>
      </c>
      <c r="CQ32" s="10" t="str">
        <f t="shared" si="193"/>
        <v/>
      </c>
      <c r="CR32" s="10" t="str">
        <f t="shared" si="193"/>
        <v/>
      </c>
      <c r="CS32" s="10" t="str">
        <f t="shared" si="193"/>
        <v/>
      </c>
      <c r="CT32" s="10"/>
      <c r="CU32" s="10"/>
      <c r="CV32" s="43" t="str">
        <f t="shared" ref="CV32:CZ32" si="194">CO32</f>
        <v/>
      </c>
      <c r="CW32" s="10" t="str">
        <f t="shared" si="194"/>
        <v/>
      </c>
      <c r="CX32" s="10" t="str">
        <f t="shared" si="194"/>
        <v/>
      </c>
      <c r="CY32" s="10" t="str">
        <f t="shared" si="194"/>
        <v/>
      </c>
      <c r="CZ32" s="10" t="str">
        <f t="shared" si="194"/>
        <v/>
      </c>
      <c r="DA32" s="10"/>
      <c r="DB32" s="10"/>
      <c r="DC32" s="43" t="str">
        <f t="shared" ref="DC32:DG32" si="195">CV32</f>
        <v/>
      </c>
      <c r="DD32" s="10" t="str">
        <f t="shared" si="195"/>
        <v/>
      </c>
      <c r="DE32" s="10" t="str">
        <f t="shared" si="195"/>
        <v/>
      </c>
      <c r="DF32" s="10" t="str">
        <f t="shared" si="195"/>
        <v/>
      </c>
      <c r="DG32" s="10" t="str">
        <f t="shared" si="195"/>
        <v/>
      </c>
      <c r="DH32" s="10"/>
      <c r="DI32" s="10"/>
      <c r="DJ32" s="43" t="str">
        <f t="shared" ref="DJ32:DN32" si="196">DC32</f>
        <v/>
      </c>
      <c r="DK32" s="10" t="str">
        <f t="shared" si="196"/>
        <v/>
      </c>
      <c r="DL32" s="10" t="str">
        <f t="shared" si="196"/>
        <v/>
      </c>
      <c r="DM32" s="10" t="str">
        <f t="shared" si="196"/>
        <v/>
      </c>
      <c r="DN32" s="10" t="str">
        <f t="shared" si="196"/>
        <v/>
      </c>
      <c r="DO32" s="10"/>
      <c r="DP32" s="10"/>
      <c r="DQ32" s="43" t="str">
        <f t="shared" ref="DQ32:DU32" si="197">DJ32</f>
        <v/>
      </c>
      <c r="DR32" s="10" t="str">
        <f t="shared" si="197"/>
        <v/>
      </c>
      <c r="DS32" s="10" t="str">
        <f t="shared" si="197"/>
        <v/>
      </c>
      <c r="DT32" s="10" t="str">
        <f t="shared" si="197"/>
        <v/>
      </c>
      <c r="DU32" s="10" t="str">
        <f t="shared" si="197"/>
        <v/>
      </c>
      <c r="DV32" s="10"/>
      <c r="DW32" s="10"/>
      <c r="DX32" s="43" t="str">
        <f t="shared" ref="DX32:EB32" si="198">DQ32</f>
        <v/>
      </c>
      <c r="DY32" s="10" t="str">
        <f t="shared" si="198"/>
        <v/>
      </c>
      <c r="DZ32" s="10" t="str">
        <f t="shared" si="198"/>
        <v/>
      </c>
      <c r="EA32" s="10" t="str">
        <f t="shared" si="198"/>
        <v/>
      </c>
      <c r="EB32" s="10" t="str">
        <f t="shared" si="198"/>
        <v/>
      </c>
      <c r="EC32" s="10"/>
      <c r="ED32" s="10"/>
      <c r="EE32" s="43" t="str">
        <f t="shared" ref="EE32:EI32" si="199">DX32</f>
        <v/>
      </c>
      <c r="EF32" s="10" t="str">
        <f t="shared" si="199"/>
        <v/>
      </c>
      <c r="EG32" s="10" t="str">
        <f t="shared" si="199"/>
        <v/>
      </c>
      <c r="EH32" s="10" t="str">
        <f t="shared" si="199"/>
        <v/>
      </c>
      <c r="EI32" s="10" t="str">
        <f t="shared" si="199"/>
        <v/>
      </c>
      <c r="EJ32" s="10"/>
      <c r="EK32" s="10"/>
      <c r="EL32" s="43" t="str">
        <f t="shared" ref="EL32:EP32" si="200">EE32</f>
        <v/>
      </c>
      <c r="EM32" s="10" t="str">
        <f t="shared" si="200"/>
        <v/>
      </c>
      <c r="EN32" s="10" t="str">
        <f t="shared" si="200"/>
        <v/>
      </c>
      <c r="EO32" s="10" t="str">
        <f t="shared" si="200"/>
        <v/>
      </c>
      <c r="EP32" s="10" t="str">
        <f t="shared" si="200"/>
        <v/>
      </c>
      <c r="EQ32" s="10"/>
      <c r="ER32" s="10"/>
    </row>
    <row r="33">
      <c r="A33" s="44"/>
      <c r="B33" s="43"/>
      <c r="C33" s="10"/>
      <c r="D33" s="10"/>
      <c r="E33" s="10"/>
      <c r="F33" s="10"/>
      <c r="G33" s="10"/>
      <c r="H33" s="10"/>
      <c r="I33" s="43" t="str">
        <f t="shared" ref="I33:M33" si="201">B33</f>
        <v/>
      </c>
      <c r="J33" s="10" t="str">
        <f t="shared" si="201"/>
        <v/>
      </c>
      <c r="K33" s="10" t="str">
        <f t="shared" si="201"/>
        <v/>
      </c>
      <c r="L33" s="10" t="str">
        <f t="shared" si="201"/>
        <v/>
      </c>
      <c r="M33" s="10" t="str">
        <f t="shared" si="201"/>
        <v/>
      </c>
      <c r="N33" s="10"/>
      <c r="O33" s="10"/>
      <c r="P33" s="43" t="str">
        <f t="shared" ref="P33:T33" si="202">I33</f>
        <v/>
      </c>
      <c r="Q33" s="10" t="str">
        <f t="shared" si="202"/>
        <v/>
      </c>
      <c r="R33" s="10" t="str">
        <f t="shared" si="202"/>
        <v/>
      </c>
      <c r="S33" s="10" t="str">
        <f t="shared" si="202"/>
        <v/>
      </c>
      <c r="T33" s="10" t="str">
        <f t="shared" si="202"/>
        <v/>
      </c>
      <c r="U33" s="10"/>
      <c r="V33" s="10"/>
      <c r="W33" s="43" t="str">
        <f t="shared" ref="W33:AA33" si="203">P33</f>
        <v/>
      </c>
      <c r="X33" s="10" t="str">
        <f t="shared" si="203"/>
        <v/>
      </c>
      <c r="Y33" s="10" t="str">
        <f t="shared" si="203"/>
        <v/>
      </c>
      <c r="Z33" s="10" t="str">
        <f t="shared" si="203"/>
        <v/>
      </c>
      <c r="AA33" s="10" t="str">
        <f t="shared" si="203"/>
        <v/>
      </c>
      <c r="AB33" s="10"/>
      <c r="AC33" s="10"/>
      <c r="AD33" s="43" t="str">
        <f t="shared" ref="AD33:AH33" si="204">W33</f>
        <v/>
      </c>
      <c r="AE33" s="10" t="str">
        <f t="shared" si="204"/>
        <v/>
      </c>
      <c r="AF33" s="10" t="str">
        <f t="shared" si="204"/>
        <v/>
      </c>
      <c r="AG33" s="10" t="str">
        <f t="shared" si="204"/>
        <v/>
      </c>
      <c r="AH33" s="10" t="str">
        <f t="shared" si="204"/>
        <v/>
      </c>
      <c r="AI33" s="10"/>
      <c r="AJ33" s="10"/>
      <c r="AK33" s="43" t="str">
        <f t="shared" ref="AK33:AO33" si="205">AD33</f>
        <v/>
      </c>
      <c r="AL33" s="10" t="str">
        <f t="shared" si="205"/>
        <v/>
      </c>
      <c r="AM33" s="10" t="str">
        <f t="shared" si="205"/>
        <v/>
      </c>
      <c r="AN33" s="10" t="str">
        <f t="shared" si="205"/>
        <v/>
      </c>
      <c r="AO33" s="10" t="str">
        <f t="shared" si="205"/>
        <v/>
      </c>
      <c r="AP33" s="10"/>
      <c r="AQ33" s="10"/>
      <c r="AR33" s="43" t="str">
        <f t="shared" ref="AR33:AV33" si="206">AK33</f>
        <v/>
      </c>
      <c r="AS33" s="10" t="str">
        <f t="shared" si="206"/>
        <v/>
      </c>
      <c r="AT33" s="10" t="str">
        <f t="shared" si="206"/>
        <v/>
      </c>
      <c r="AU33" s="10" t="str">
        <f t="shared" si="206"/>
        <v/>
      </c>
      <c r="AV33" s="10" t="str">
        <f t="shared" si="206"/>
        <v/>
      </c>
      <c r="AW33" s="10"/>
      <c r="AX33" s="10"/>
      <c r="AY33" s="43" t="str">
        <f t="shared" ref="AY33:BC33" si="207">AR33</f>
        <v/>
      </c>
      <c r="AZ33" s="10" t="str">
        <f t="shared" si="207"/>
        <v/>
      </c>
      <c r="BA33" s="10" t="str">
        <f t="shared" si="207"/>
        <v/>
      </c>
      <c r="BB33" s="10" t="str">
        <f t="shared" si="207"/>
        <v/>
      </c>
      <c r="BC33" s="10" t="str">
        <f t="shared" si="207"/>
        <v/>
      </c>
      <c r="BD33" s="10"/>
      <c r="BE33" s="10"/>
      <c r="BF33" s="43" t="str">
        <f t="shared" ref="BF33:BJ33" si="208">AY33</f>
        <v/>
      </c>
      <c r="BG33" s="10" t="str">
        <f t="shared" si="208"/>
        <v/>
      </c>
      <c r="BH33" s="10" t="str">
        <f t="shared" si="208"/>
        <v/>
      </c>
      <c r="BI33" s="10" t="str">
        <f t="shared" si="208"/>
        <v/>
      </c>
      <c r="BJ33" s="10" t="str">
        <f t="shared" si="208"/>
        <v/>
      </c>
      <c r="BK33" s="10"/>
      <c r="BL33" s="10"/>
      <c r="BM33" s="43" t="str">
        <f t="shared" ref="BM33:BQ33" si="209">BF33</f>
        <v/>
      </c>
      <c r="BN33" s="10" t="str">
        <f t="shared" si="209"/>
        <v/>
      </c>
      <c r="BO33" s="10" t="str">
        <f t="shared" si="209"/>
        <v/>
      </c>
      <c r="BP33" s="10" t="str">
        <f t="shared" si="209"/>
        <v/>
      </c>
      <c r="BQ33" s="10" t="str">
        <f t="shared" si="209"/>
        <v/>
      </c>
      <c r="BR33" s="10"/>
      <c r="BS33" s="10"/>
      <c r="BT33" s="43" t="str">
        <f t="shared" ref="BT33:BX33" si="210">BM33</f>
        <v/>
      </c>
      <c r="BU33" s="10" t="str">
        <f t="shared" si="210"/>
        <v/>
      </c>
      <c r="BV33" s="10" t="str">
        <f t="shared" si="210"/>
        <v/>
      </c>
      <c r="BW33" s="10" t="str">
        <f t="shared" si="210"/>
        <v/>
      </c>
      <c r="BX33" s="10" t="str">
        <f t="shared" si="210"/>
        <v/>
      </c>
      <c r="BY33" s="10"/>
      <c r="BZ33" s="10"/>
      <c r="CA33" s="43" t="str">
        <f t="shared" ref="CA33:CE33" si="211">BT33</f>
        <v/>
      </c>
      <c r="CB33" s="10" t="str">
        <f t="shared" si="211"/>
        <v/>
      </c>
      <c r="CC33" s="10" t="str">
        <f t="shared" si="211"/>
        <v/>
      </c>
      <c r="CD33" s="10" t="str">
        <f t="shared" si="211"/>
        <v/>
      </c>
      <c r="CE33" s="10" t="str">
        <f t="shared" si="211"/>
        <v/>
      </c>
      <c r="CF33" s="10"/>
      <c r="CG33" s="10"/>
      <c r="CH33" s="43" t="str">
        <f t="shared" ref="CH33:CL33" si="212">CA33</f>
        <v/>
      </c>
      <c r="CI33" s="10" t="str">
        <f t="shared" si="212"/>
        <v/>
      </c>
      <c r="CJ33" s="10" t="str">
        <f t="shared" si="212"/>
        <v/>
      </c>
      <c r="CK33" s="10" t="str">
        <f t="shared" si="212"/>
        <v/>
      </c>
      <c r="CL33" s="10" t="str">
        <f t="shared" si="212"/>
        <v/>
      </c>
      <c r="CM33" s="10"/>
      <c r="CN33" s="10"/>
      <c r="CO33" s="43" t="str">
        <f t="shared" ref="CO33:CS33" si="213">CH33</f>
        <v/>
      </c>
      <c r="CP33" s="10" t="str">
        <f t="shared" si="213"/>
        <v/>
      </c>
      <c r="CQ33" s="10" t="str">
        <f t="shared" si="213"/>
        <v/>
      </c>
      <c r="CR33" s="10" t="str">
        <f t="shared" si="213"/>
        <v/>
      </c>
      <c r="CS33" s="10" t="str">
        <f t="shared" si="213"/>
        <v/>
      </c>
      <c r="CT33" s="10"/>
      <c r="CU33" s="10"/>
      <c r="CV33" s="43" t="str">
        <f t="shared" ref="CV33:CZ33" si="214">CO33</f>
        <v/>
      </c>
      <c r="CW33" s="10" t="str">
        <f t="shared" si="214"/>
        <v/>
      </c>
      <c r="CX33" s="10" t="str">
        <f t="shared" si="214"/>
        <v/>
      </c>
      <c r="CY33" s="10" t="str">
        <f t="shared" si="214"/>
        <v/>
      </c>
      <c r="CZ33" s="10" t="str">
        <f t="shared" si="214"/>
        <v/>
      </c>
      <c r="DA33" s="10"/>
      <c r="DB33" s="10"/>
      <c r="DC33" s="43" t="str">
        <f t="shared" ref="DC33:DG33" si="215">CV33</f>
        <v/>
      </c>
      <c r="DD33" s="10" t="str">
        <f t="shared" si="215"/>
        <v/>
      </c>
      <c r="DE33" s="10" t="str">
        <f t="shared" si="215"/>
        <v/>
      </c>
      <c r="DF33" s="10" t="str">
        <f t="shared" si="215"/>
        <v/>
      </c>
      <c r="DG33" s="10" t="str">
        <f t="shared" si="215"/>
        <v/>
      </c>
      <c r="DH33" s="10"/>
      <c r="DI33" s="10"/>
      <c r="DJ33" s="43" t="str">
        <f t="shared" ref="DJ33:DN33" si="216">DC33</f>
        <v/>
      </c>
      <c r="DK33" s="10" t="str">
        <f t="shared" si="216"/>
        <v/>
      </c>
      <c r="DL33" s="10" t="str">
        <f t="shared" si="216"/>
        <v/>
      </c>
      <c r="DM33" s="10" t="str">
        <f t="shared" si="216"/>
        <v/>
      </c>
      <c r="DN33" s="10" t="str">
        <f t="shared" si="216"/>
        <v/>
      </c>
      <c r="DO33" s="10"/>
      <c r="DP33" s="10"/>
      <c r="DQ33" s="43" t="str">
        <f t="shared" ref="DQ33:DU33" si="217">DJ33</f>
        <v/>
      </c>
      <c r="DR33" s="10" t="str">
        <f t="shared" si="217"/>
        <v/>
      </c>
      <c r="DS33" s="10" t="str">
        <f t="shared" si="217"/>
        <v/>
      </c>
      <c r="DT33" s="10" t="str">
        <f t="shared" si="217"/>
        <v/>
      </c>
      <c r="DU33" s="10" t="str">
        <f t="shared" si="217"/>
        <v/>
      </c>
      <c r="DV33" s="10"/>
      <c r="DW33" s="10"/>
      <c r="DX33" s="43" t="str">
        <f t="shared" ref="DX33:EB33" si="218">DQ33</f>
        <v/>
      </c>
      <c r="DY33" s="10" t="str">
        <f t="shared" si="218"/>
        <v/>
      </c>
      <c r="DZ33" s="10" t="str">
        <f t="shared" si="218"/>
        <v/>
      </c>
      <c r="EA33" s="10" t="str">
        <f t="shared" si="218"/>
        <v/>
      </c>
      <c r="EB33" s="10" t="str">
        <f t="shared" si="218"/>
        <v/>
      </c>
      <c r="EC33" s="10"/>
      <c r="ED33" s="10"/>
      <c r="EE33" s="43" t="str">
        <f t="shared" ref="EE33:EI33" si="219">DX33</f>
        <v/>
      </c>
      <c r="EF33" s="10" t="str">
        <f t="shared" si="219"/>
        <v/>
      </c>
      <c r="EG33" s="10" t="str">
        <f t="shared" si="219"/>
        <v/>
      </c>
      <c r="EH33" s="10" t="str">
        <f t="shared" si="219"/>
        <v/>
      </c>
      <c r="EI33" s="10" t="str">
        <f t="shared" si="219"/>
        <v/>
      </c>
      <c r="EJ33" s="10"/>
      <c r="EK33" s="10"/>
      <c r="EL33" s="43" t="str">
        <f t="shared" ref="EL33:EP33" si="220">EE33</f>
        <v/>
      </c>
      <c r="EM33" s="10" t="str">
        <f t="shared" si="220"/>
        <v/>
      </c>
      <c r="EN33" s="10" t="str">
        <f t="shared" si="220"/>
        <v/>
      </c>
      <c r="EO33" s="10" t="str">
        <f t="shared" si="220"/>
        <v/>
      </c>
      <c r="EP33" s="10" t="str">
        <f t="shared" si="220"/>
        <v/>
      </c>
      <c r="EQ33" s="10"/>
      <c r="ER33" s="10"/>
    </row>
    <row r="34">
      <c r="A34" s="45"/>
      <c r="B34" s="46"/>
      <c r="C34" s="47"/>
      <c r="D34" s="47"/>
      <c r="E34" s="47"/>
      <c r="F34" s="47"/>
      <c r="G34" s="47"/>
      <c r="H34" s="47"/>
      <c r="I34" s="46" t="str">
        <f t="shared" ref="I34:M34" si="221">B34</f>
        <v/>
      </c>
      <c r="J34" s="47" t="str">
        <f t="shared" si="221"/>
        <v/>
      </c>
      <c r="K34" s="47" t="str">
        <f t="shared" si="221"/>
        <v/>
      </c>
      <c r="L34" s="47" t="str">
        <f t="shared" si="221"/>
        <v/>
      </c>
      <c r="M34" s="47" t="str">
        <f t="shared" si="221"/>
        <v/>
      </c>
      <c r="N34" s="47"/>
      <c r="O34" s="47"/>
      <c r="P34" s="46" t="str">
        <f t="shared" ref="P34:T34" si="222">I34</f>
        <v/>
      </c>
      <c r="Q34" s="47" t="str">
        <f t="shared" si="222"/>
        <v/>
      </c>
      <c r="R34" s="47" t="str">
        <f t="shared" si="222"/>
        <v/>
      </c>
      <c r="S34" s="47" t="str">
        <f t="shared" si="222"/>
        <v/>
      </c>
      <c r="T34" s="47" t="str">
        <f t="shared" si="222"/>
        <v/>
      </c>
      <c r="U34" s="47"/>
      <c r="V34" s="47"/>
      <c r="W34" s="46" t="str">
        <f t="shared" ref="W34:AA34" si="223">P34</f>
        <v/>
      </c>
      <c r="X34" s="47" t="str">
        <f t="shared" si="223"/>
        <v/>
      </c>
      <c r="Y34" s="47" t="str">
        <f t="shared" si="223"/>
        <v/>
      </c>
      <c r="Z34" s="47" t="str">
        <f t="shared" si="223"/>
        <v/>
      </c>
      <c r="AA34" s="47" t="str">
        <f t="shared" si="223"/>
        <v/>
      </c>
      <c r="AB34" s="47"/>
      <c r="AC34" s="47"/>
      <c r="AD34" s="46" t="str">
        <f t="shared" ref="AD34:AH34" si="224">W34</f>
        <v/>
      </c>
      <c r="AE34" s="47" t="str">
        <f t="shared" si="224"/>
        <v/>
      </c>
      <c r="AF34" s="47" t="str">
        <f t="shared" si="224"/>
        <v/>
      </c>
      <c r="AG34" s="47" t="str">
        <f t="shared" si="224"/>
        <v/>
      </c>
      <c r="AH34" s="47" t="str">
        <f t="shared" si="224"/>
        <v/>
      </c>
      <c r="AI34" s="47"/>
      <c r="AJ34" s="47"/>
      <c r="AK34" s="46" t="str">
        <f t="shared" ref="AK34:AO34" si="225">AD34</f>
        <v/>
      </c>
      <c r="AL34" s="47" t="str">
        <f t="shared" si="225"/>
        <v/>
      </c>
      <c r="AM34" s="47" t="str">
        <f t="shared" si="225"/>
        <v/>
      </c>
      <c r="AN34" s="47" t="str">
        <f t="shared" si="225"/>
        <v/>
      </c>
      <c r="AO34" s="47" t="str">
        <f t="shared" si="225"/>
        <v/>
      </c>
      <c r="AP34" s="47"/>
      <c r="AQ34" s="47"/>
      <c r="AR34" s="46" t="str">
        <f t="shared" ref="AR34:AV34" si="226">AK34</f>
        <v/>
      </c>
      <c r="AS34" s="47" t="str">
        <f t="shared" si="226"/>
        <v/>
      </c>
      <c r="AT34" s="47" t="str">
        <f t="shared" si="226"/>
        <v/>
      </c>
      <c r="AU34" s="47" t="str">
        <f t="shared" si="226"/>
        <v/>
      </c>
      <c r="AV34" s="47" t="str">
        <f t="shared" si="226"/>
        <v/>
      </c>
      <c r="AW34" s="47"/>
      <c r="AX34" s="47"/>
      <c r="AY34" s="46" t="str">
        <f t="shared" ref="AY34:BC34" si="227">AR34</f>
        <v/>
      </c>
      <c r="AZ34" s="47" t="str">
        <f t="shared" si="227"/>
        <v/>
      </c>
      <c r="BA34" s="47" t="str">
        <f t="shared" si="227"/>
        <v/>
      </c>
      <c r="BB34" s="47" t="str">
        <f t="shared" si="227"/>
        <v/>
      </c>
      <c r="BC34" s="47" t="str">
        <f t="shared" si="227"/>
        <v/>
      </c>
      <c r="BD34" s="47"/>
      <c r="BE34" s="47"/>
      <c r="BF34" s="46" t="str">
        <f t="shared" ref="BF34:BJ34" si="228">AY34</f>
        <v/>
      </c>
      <c r="BG34" s="47" t="str">
        <f t="shared" si="228"/>
        <v/>
      </c>
      <c r="BH34" s="47" t="str">
        <f t="shared" si="228"/>
        <v/>
      </c>
      <c r="BI34" s="47" t="str">
        <f t="shared" si="228"/>
        <v/>
      </c>
      <c r="BJ34" s="47" t="str">
        <f t="shared" si="228"/>
        <v/>
      </c>
      <c r="BK34" s="47"/>
      <c r="BL34" s="47"/>
      <c r="BM34" s="46" t="str">
        <f t="shared" ref="BM34:BQ34" si="229">BF34</f>
        <v/>
      </c>
      <c r="BN34" s="47" t="str">
        <f t="shared" si="229"/>
        <v/>
      </c>
      <c r="BO34" s="47" t="str">
        <f t="shared" si="229"/>
        <v/>
      </c>
      <c r="BP34" s="47" t="str">
        <f t="shared" si="229"/>
        <v/>
      </c>
      <c r="BQ34" s="47" t="str">
        <f t="shared" si="229"/>
        <v/>
      </c>
      <c r="BR34" s="47"/>
      <c r="BS34" s="47"/>
      <c r="BT34" s="46" t="str">
        <f t="shared" ref="BT34:BX34" si="230">BM34</f>
        <v/>
      </c>
      <c r="BU34" s="47" t="str">
        <f t="shared" si="230"/>
        <v/>
      </c>
      <c r="BV34" s="47" t="str">
        <f t="shared" si="230"/>
        <v/>
      </c>
      <c r="BW34" s="47" t="str">
        <f t="shared" si="230"/>
        <v/>
      </c>
      <c r="BX34" s="47" t="str">
        <f t="shared" si="230"/>
        <v/>
      </c>
      <c r="BY34" s="47"/>
      <c r="BZ34" s="47"/>
      <c r="CA34" s="46" t="str">
        <f t="shared" ref="CA34:CE34" si="231">BT34</f>
        <v/>
      </c>
      <c r="CB34" s="47" t="str">
        <f t="shared" si="231"/>
        <v/>
      </c>
      <c r="CC34" s="47" t="str">
        <f t="shared" si="231"/>
        <v/>
      </c>
      <c r="CD34" s="47" t="str">
        <f t="shared" si="231"/>
        <v/>
      </c>
      <c r="CE34" s="47" t="str">
        <f t="shared" si="231"/>
        <v/>
      </c>
      <c r="CF34" s="47"/>
      <c r="CG34" s="47"/>
      <c r="CH34" s="46" t="str">
        <f t="shared" ref="CH34:CL34" si="232">CA34</f>
        <v/>
      </c>
      <c r="CI34" s="47" t="str">
        <f t="shared" si="232"/>
        <v/>
      </c>
      <c r="CJ34" s="47" t="str">
        <f t="shared" si="232"/>
        <v/>
      </c>
      <c r="CK34" s="47" t="str">
        <f t="shared" si="232"/>
        <v/>
      </c>
      <c r="CL34" s="47" t="str">
        <f t="shared" si="232"/>
        <v/>
      </c>
      <c r="CM34" s="47"/>
      <c r="CN34" s="47"/>
      <c r="CO34" s="46" t="str">
        <f t="shared" ref="CO34:CS34" si="233">CH34</f>
        <v/>
      </c>
      <c r="CP34" s="47" t="str">
        <f t="shared" si="233"/>
        <v/>
      </c>
      <c r="CQ34" s="47" t="str">
        <f t="shared" si="233"/>
        <v/>
      </c>
      <c r="CR34" s="47" t="str">
        <f t="shared" si="233"/>
        <v/>
      </c>
      <c r="CS34" s="47" t="str">
        <f t="shared" si="233"/>
        <v/>
      </c>
      <c r="CT34" s="47"/>
      <c r="CU34" s="47"/>
      <c r="CV34" s="46" t="str">
        <f t="shared" ref="CV34:CZ34" si="234">CO34</f>
        <v/>
      </c>
      <c r="CW34" s="47" t="str">
        <f t="shared" si="234"/>
        <v/>
      </c>
      <c r="CX34" s="47" t="str">
        <f t="shared" si="234"/>
        <v/>
      </c>
      <c r="CY34" s="47" t="str">
        <f t="shared" si="234"/>
        <v/>
      </c>
      <c r="CZ34" s="47" t="str">
        <f t="shared" si="234"/>
        <v/>
      </c>
      <c r="DA34" s="47"/>
      <c r="DB34" s="47"/>
      <c r="DC34" s="46" t="str">
        <f t="shared" ref="DC34:DG34" si="235">CV34</f>
        <v/>
      </c>
      <c r="DD34" s="47" t="str">
        <f t="shared" si="235"/>
        <v/>
      </c>
      <c r="DE34" s="47" t="str">
        <f t="shared" si="235"/>
        <v/>
      </c>
      <c r="DF34" s="47" t="str">
        <f t="shared" si="235"/>
        <v/>
      </c>
      <c r="DG34" s="47" t="str">
        <f t="shared" si="235"/>
        <v/>
      </c>
      <c r="DH34" s="47"/>
      <c r="DI34" s="47"/>
      <c r="DJ34" s="46" t="str">
        <f t="shared" ref="DJ34:DN34" si="236">DC34</f>
        <v/>
      </c>
      <c r="DK34" s="47" t="str">
        <f t="shared" si="236"/>
        <v/>
      </c>
      <c r="DL34" s="47" t="str">
        <f t="shared" si="236"/>
        <v/>
      </c>
      <c r="DM34" s="47" t="str">
        <f t="shared" si="236"/>
        <v/>
      </c>
      <c r="DN34" s="47" t="str">
        <f t="shared" si="236"/>
        <v/>
      </c>
      <c r="DO34" s="47"/>
      <c r="DP34" s="47"/>
      <c r="DQ34" s="46" t="str">
        <f t="shared" ref="DQ34:DU34" si="237">DJ34</f>
        <v/>
      </c>
      <c r="DR34" s="47" t="str">
        <f t="shared" si="237"/>
        <v/>
      </c>
      <c r="DS34" s="47" t="str">
        <f t="shared" si="237"/>
        <v/>
      </c>
      <c r="DT34" s="47" t="str">
        <f t="shared" si="237"/>
        <v/>
      </c>
      <c r="DU34" s="47" t="str">
        <f t="shared" si="237"/>
        <v/>
      </c>
      <c r="DV34" s="47"/>
      <c r="DW34" s="47"/>
      <c r="DX34" s="46" t="str">
        <f t="shared" ref="DX34:EB34" si="238">DQ34</f>
        <v/>
      </c>
      <c r="DY34" s="47" t="str">
        <f t="shared" si="238"/>
        <v/>
      </c>
      <c r="DZ34" s="47" t="str">
        <f t="shared" si="238"/>
        <v/>
      </c>
      <c r="EA34" s="47" t="str">
        <f t="shared" si="238"/>
        <v/>
      </c>
      <c r="EB34" s="47" t="str">
        <f t="shared" si="238"/>
        <v/>
      </c>
      <c r="EC34" s="47"/>
      <c r="ED34" s="47"/>
      <c r="EE34" s="46" t="str">
        <f t="shared" ref="EE34:EI34" si="239">DX34</f>
        <v/>
      </c>
      <c r="EF34" s="47" t="str">
        <f t="shared" si="239"/>
        <v/>
      </c>
      <c r="EG34" s="47" t="str">
        <f t="shared" si="239"/>
        <v/>
      </c>
      <c r="EH34" s="47" t="str">
        <f t="shared" si="239"/>
        <v/>
      </c>
      <c r="EI34" s="47" t="str">
        <f t="shared" si="239"/>
        <v/>
      </c>
      <c r="EJ34" s="47"/>
      <c r="EK34" s="47"/>
      <c r="EL34" s="46" t="str">
        <f t="shared" ref="EL34:EP34" si="240">EE34</f>
        <v/>
      </c>
      <c r="EM34" s="47" t="str">
        <f t="shared" si="240"/>
        <v/>
      </c>
      <c r="EN34" s="47" t="str">
        <f t="shared" si="240"/>
        <v/>
      </c>
      <c r="EO34" s="47" t="str">
        <f t="shared" si="240"/>
        <v/>
      </c>
      <c r="EP34" s="47" t="str">
        <f t="shared" si="240"/>
        <v/>
      </c>
      <c r="EQ34" s="47"/>
      <c r="ER34" s="47"/>
    </row>
    <row r="35">
      <c r="A35" s="3"/>
      <c r="B35" s="42"/>
      <c r="C35" s="3"/>
      <c r="D35" s="3"/>
      <c r="E35" s="3"/>
      <c r="F35" s="3"/>
      <c r="G35" s="3"/>
      <c r="H35" s="3"/>
      <c r="I35" s="42"/>
      <c r="J35" s="3"/>
      <c r="K35" s="3"/>
      <c r="L35" s="3"/>
      <c r="M35" s="3"/>
      <c r="N35" s="3"/>
      <c r="O35" s="3"/>
      <c r="P35" s="42"/>
      <c r="Q35" s="3"/>
      <c r="R35" s="3"/>
      <c r="S35" s="3"/>
      <c r="T35" s="3"/>
      <c r="U35" s="3"/>
      <c r="V35" s="3"/>
      <c r="W35" s="42"/>
      <c r="X35" s="3"/>
      <c r="Y35" s="3"/>
      <c r="Z35" s="3"/>
      <c r="AA35" s="3"/>
      <c r="AB35" s="3"/>
      <c r="AC35" s="3"/>
      <c r="AD35" s="42"/>
      <c r="AE35" s="3"/>
      <c r="AF35" s="3"/>
      <c r="AG35" s="3"/>
      <c r="AH35" s="3"/>
      <c r="AI35" s="3"/>
      <c r="AJ35" s="3"/>
      <c r="AK35" s="42"/>
      <c r="AL35" s="3"/>
      <c r="AM35" s="3"/>
      <c r="AN35" s="3"/>
      <c r="AO35" s="3"/>
      <c r="AP35" s="3"/>
      <c r="AQ35" s="3"/>
      <c r="AR35" s="42"/>
      <c r="AS35" s="3"/>
      <c r="AT35" s="3"/>
      <c r="AU35" s="3"/>
      <c r="AV35" s="3"/>
      <c r="AW35" s="3"/>
      <c r="AX35" s="3"/>
      <c r="AY35" s="42"/>
      <c r="AZ35" s="3"/>
      <c r="BA35" s="3"/>
      <c r="BB35" s="3"/>
      <c r="BC35" s="3"/>
      <c r="BD35" s="3"/>
      <c r="BE35" s="3"/>
      <c r="BF35" s="42"/>
      <c r="BG35" s="3"/>
      <c r="BH35" s="3"/>
      <c r="BI35" s="3"/>
      <c r="BJ35" s="3"/>
      <c r="BK35" s="3"/>
      <c r="BL35" s="3"/>
      <c r="BM35" s="42"/>
      <c r="BN35" s="3"/>
      <c r="BO35" s="3"/>
      <c r="BP35" s="3"/>
      <c r="BQ35" s="3"/>
      <c r="BR35" s="3"/>
      <c r="BS35" s="3"/>
      <c r="BT35" s="42"/>
      <c r="BU35" s="3"/>
      <c r="BV35" s="3"/>
      <c r="BW35" s="3"/>
      <c r="BX35" s="3"/>
      <c r="BY35" s="3"/>
      <c r="BZ35" s="3"/>
      <c r="CA35" s="42"/>
      <c r="CB35" s="3"/>
      <c r="CC35" s="3"/>
      <c r="CD35" s="3"/>
      <c r="CE35" s="3"/>
      <c r="CF35" s="3"/>
      <c r="CG35" s="3"/>
      <c r="CH35" s="42"/>
      <c r="CI35" s="3"/>
      <c r="CJ35" s="3"/>
      <c r="CK35" s="3"/>
      <c r="CL35" s="3"/>
      <c r="CM35" s="3"/>
      <c r="CN35" s="3"/>
      <c r="CO35" s="42"/>
      <c r="CP35" s="3"/>
      <c r="CQ35" s="3"/>
      <c r="CR35" s="3"/>
      <c r="CS35" s="3"/>
      <c r="CT35" s="3"/>
      <c r="CU35" s="3"/>
      <c r="CV35" s="42"/>
      <c r="CW35" s="3"/>
      <c r="CX35" s="3"/>
      <c r="CY35" s="3"/>
      <c r="CZ35" s="3"/>
      <c r="DA35" s="3"/>
      <c r="DB35" s="3"/>
      <c r="DC35" s="42"/>
      <c r="DD35" s="3"/>
      <c r="DE35" s="3"/>
      <c r="DF35" s="3"/>
      <c r="DG35" s="3"/>
      <c r="DH35" s="3"/>
      <c r="DI35" s="3"/>
      <c r="DJ35" s="42"/>
      <c r="DK35" s="3"/>
      <c r="DL35" s="3"/>
      <c r="DM35" s="3"/>
      <c r="DN35" s="3"/>
      <c r="DO35" s="3"/>
      <c r="DP35" s="3"/>
      <c r="DQ35" s="42"/>
      <c r="DR35" s="3"/>
      <c r="DS35" s="3"/>
      <c r="DT35" s="3"/>
      <c r="DU35" s="3"/>
      <c r="DV35" s="3"/>
      <c r="DW35" s="3"/>
      <c r="DX35" s="42"/>
      <c r="DY35" s="3"/>
      <c r="DZ35" s="3"/>
      <c r="EA35" s="3"/>
      <c r="EB35" s="3"/>
      <c r="EC35" s="3"/>
      <c r="ED35" s="3"/>
      <c r="EE35" s="42"/>
      <c r="EF35" s="3"/>
      <c r="EG35" s="3"/>
      <c r="EH35" s="3"/>
      <c r="EI35" s="3"/>
      <c r="EJ35" s="3"/>
      <c r="EK35" s="3"/>
      <c r="EL35" s="42"/>
      <c r="EM35" s="3"/>
      <c r="EN35" s="3"/>
      <c r="EO35" s="3"/>
      <c r="EP35" s="3"/>
      <c r="EQ35" s="3"/>
      <c r="ER35" s="3"/>
    </row>
    <row r="36">
      <c r="A36" s="32" t="s">
        <v>82</v>
      </c>
      <c r="B36" s="33"/>
      <c r="C36" s="34"/>
      <c r="D36" s="34"/>
      <c r="E36" s="34"/>
      <c r="F36" s="34"/>
      <c r="G36" s="34"/>
      <c r="H36" s="34"/>
      <c r="I36" s="33"/>
      <c r="J36" s="34"/>
      <c r="K36" s="34"/>
      <c r="L36" s="34"/>
      <c r="M36" s="34"/>
      <c r="N36" s="34"/>
      <c r="O36" s="34"/>
      <c r="P36" s="33"/>
      <c r="Q36" s="34"/>
      <c r="R36" s="34"/>
      <c r="S36" s="34"/>
      <c r="T36" s="34"/>
      <c r="U36" s="34"/>
      <c r="V36" s="34"/>
      <c r="W36" s="33"/>
      <c r="X36" s="34"/>
      <c r="Y36" s="34"/>
      <c r="Z36" s="34"/>
      <c r="AA36" s="34"/>
      <c r="AB36" s="34"/>
      <c r="AC36" s="34"/>
      <c r="AD36" s="33"/>
      <c r="AE36" s="34"/>
      <c r="AF36" s="34"/>
      <c r="AG36" s="34"/>
      <c r="AH36" s="34"/>
      <c r="AI36" s="34"/>
      <c r="AJ36" s="34"/>
      <c r="AK36" s="33"/>
      <c r="AL36" s="34"/>
      <c r="AM36" s="34"/>
      <c r="AN36" s="34"/>
      <c r="AO36" s="34"/>
      <c r="AP36" s="34"/>
      <c r="AQ36" s="34"/>
      <c r="AR36" s="33"/>
      <c r="AS36" s="34"/>
      <c r="AT36" s="34"/>
      <c r="AU36" s="34"/>
      <c r="AV36" s="34"/>
      <c r="AW36" s="34"/>
      <c r="AX36" s="34"/>
      <c r="AY36" s="33"/>
      <c r="AZ36" s="34"/>
      <c r="BA36" s="34"/>
      <c r="BB36" s="34"/>
      <c r="BC36" s="34"/>
      <c r="BD36" s="34"/>
      <c r="BE36" s="34"/>
      <c r="BF36" s="33"/>
      <c r="BG36" s="34"/>
      <c r="BH36" s="34"/>
      <c r="BI36" s="34"/>
      <c r="BJ36" s="34"/>
      <c r="BK36" s="34"/>
      <c r="BL36" s="34"/>
      <c r="BM36" s="33"/>
      <c r="BN36" s="34"/>
      <c r="BO36" s="34"/>
      <c r="BP36" s="34"/>
      <c r="BQ36" s="34"/>
      <c r="BR36" s="34"/>
      <c r="BS36" s="34"/>
      <c r="BT36" s="33"/>
      <c r="BU36" s="34"/>
      <c r="BV36" s="34"/>
      <c r="BW36" s="34"/>
      <c r="BX36" s="34"/>
      <c r="BY36" s="34"/>
      <c r="BZ36" s="34"/>
      <c r="CA36" s="33"/>
      <c r="CB36" s="34"/>
      <c r="CC36" s="34"/>
      <c r="CD36" s="34"/>
      <c r="CE36" s="34"/>
      <c r="CF36" s="34"/>
      <c r="CG36" s="34"/>
      <c r="CH36" s="33"/>
      <c r="CI36" s="34"/>
      <c r="CJ36" s="34"/>
      <c r="CK36" s="34"/>
      <c r="CL36" s="34"/>
      <c r="CM36" s="34"/>
      <c r="CN36" s="34"/>
      <c r="CO36" s="33"/>
      <c r="CP36" s="34"/>
      <c r="CQ36" s="34"/>
      <c r="CR36" s="34"/>
      <c r="CS36" s="34"/>
      <c r="CT36" s="34"/>
      <c r="CU36" s="34"/>
      <c r="CV36" s="33"/>
      <c r="CW36" s="34"/>
      <c r="CX36" s="34"/>
      <c r="CY36" s="34"/>
      <c r="CZ36" s="34"/>
      <c r="DA36" s="34"/>
      <c r="DB36" s="34"/>
      <c r="DC36" s="33"/>
      <c r="DD36" s="34"/>
      <c r="DE36" s="34"/>
      <c r="DF36" s="34"/>
      <c r="DG36" s="34"/>
      <c r="DH36" s="34"/>
      <c r="DI36" s="34"/>
      <c r="DJ36" s="33"/>
      <c r="DK36" s="34"/>
      <c r="DL36" s="34"/>
      <c r="DM36" s="34"/>
      <c r="DN36" s="34"/>
      <c r="DO36" s="34"/>
      <c r="DP36" s="34"/>
      <c r="DQ36" s="33"/>
      <c r="DR36" s="34"/>
      <c r="DS36" s="34"/>
      <c r="DT36" s="34"/>
      <c r="DU36" s="34"/>
      <c r="DV36" s="34"/>
      <c r="DW36" s="34"/>
      <c r="DX36" s="33"/>
      <c r="DY36" s="34"/>
      <c r="DZ36" s="34"/>
      <c r="EA36" s="34"/>
      <c r="EB36" s="34"/>
      <c r="EC36" s="34"/>
      <c r="ED36" s="34"/>
      <c r="EE36" s="35" t="s">
        <v>77</v>
      </c>
      <c r="EF36" s="36"/>
      <c r="EG36" s="36"/>
      <c r="EH36" s="36"/>
      <c r="EI36" s="36"/>
      <c r="EJ36" s="36"/>
      <c r="EK36" s="36"/>
      <c r="EL36" s="33"/>
      <c r="EM36" s="34"/>
      <c r="EN36" s="34"/>
      <c r="EO36" s="34"/>
      <c r="EP36" s="34"/>
      <c r="EQ36" s="34"/>
      <c r="ER36" s="34"/>
    </row>
    <row r="37" hidden="1">
      <c r="A37" s="37" t="str">
        <f>CONCATENATE(A38," TM")</f>
        <v>OHP TM</v>
      </c>
      <c r="B37" s="38">
        <f>if(D37="",'Quick Setup'!D8,D37/'Quick Setup'!E8)</f>
        <v>200</v>
      </c>
      <c r="C37" s="39" t="s">
        <v>75</v>
      </c>
      <c r="D37" s="40"/>
      <c r="E37" s="41"/>
      <c r="F37" s="41"/>
      <c r="G37" s="41"/>
      <c r="H37" s="41"/>
      <c r="I37" s="38">
        <f>if(K37="", if(F38&lt;&gt;"", if((F38-D38)&lt;-1,B37*(1+Setup!F6),if((F38-D38)&lt;0,B37*(1+Setup!G6),if((F38-D38)=0,B37*(1+Setup!H6),if((F38-D38)=1,B37*(1+Setup!I6),if((F38-D38)=2,B37*(1+Setup!J6),if((F38-D38)=3,B37*(1+Setup!K6),if((F38-D38)=4,B37*(1+Setup!L6),if((F38-D38)&gt;4,B37*(1+Setup!M6),B37)))))))),B37),K37/'Quick Setup'!$E8)</f>
        <v>200</v>
      </c>
      <c r="J37" s="39" t="s">
        <v>75</v>
      </c>
      <c r="K37" s="40"/>
      <c r="L37" s="41"/>
      <c r="M37" s="41"/>
      <c r="N37" s="41"/>
      <c r="O37" s="41"/>
      <c r="P37" s="38">
        <f>if(R37="", if(M38&lt;&gt;"", if((M38-K38)&lt;-1,I37*(1+Setup!R6),if((M38-K38)&lt;0,I37*(1+Setup!S6),if((M38-K38)=0,I37*(1+Setup!T6),if((M38-K38)=1,I37*(1+Setup!U6),if((M38-K38)=2,I37*(1+Setup!V6),if((M38-K38)=3,I37*(1+Setup!W6),if((M38-K38)=4,I37*(1+Setup!X6),if((M38-K38)&gt;4,I37*(1+Setup!Y6),I37)))))))),I37),R37/'Quick Setup'!$E8)</f>
        <v>200</v>
      </c>
      <c r="Q37" s="39" t="s">
        <v>75</v>
      </c>
      <c r="R37" s="40"/>
      <c r="S37" s="41"/>
      <c r="T37" s="41"/>
      <c r="U37" s="41"/>
      <c r="V37" s="41"/>
      <c r="W37" s="38">
        <f>if(Y37="", if(T38&lt;&gt;"", if((T38-R38)&lt;-1,P37*(1+Setup!AD6),if((T38-R38)&lt;0,P37*(1+Setup!AE6),if((T38-R38)=0,P37*(1+Setup!AF6),if((T38-R38)=1,P37*(1+Setup!AG6),if((T38-R38)=2,P37*(1+Setup!AH6),if((T38-R38)=3,P37*(1+Setup!AI6),if((T38-R38)=4,P37*(1+Setup!AJ6),if((T38-R38)&gt;4,P37*(1+Setup!AK6),P37)))))))),P37),Y37/'Quick Setup'!$E8)</f>
        <v>200</v>
      </c>
      <c r="X37" s="39" t="s">
        <v>75</v>
      </c>
      <c r="Y37" s="40"/>
      <c r="Z37" s="41"/>
      <c r="AA37" s="41"/>
      <c r="AB37" s="41"/>
      <c r="AC37" s="41"/>
      <c r="AD37" s="38">
        <f>if(AF37="", if(AA38&lt;&gt;"", if((AA38-Y38)&lt;-1,W37*(1+Setup!AP6),if((AA38-Y38)&lt;0,W37*(1+Setup!AQ6),if((AA38-Y38)=0,W37*(1+Setup!AR6),if((AA38-Y38)=1,W37*(1+Setup!AS6),if((AA38-Y38)=2,W37*(1+Setup!AT6),if((AA38-Y38)=3,W37*(1+Setup!AU6),if((AA38-Y38)=4,W37*(1+Setup!AV6),if((AA38-Y38)&gt;4,W37*(1+Setup!AW6),W37)))))))),W37),AF37/'Quick Setup'!$E8)</f>
        <v>200</v>
      </c>
      <c r="AE37" s="39" t="s">
        <v>75</v>
      </c>
      <c r="AF37" s="40"/>
      <c r="AG37" s="41"/>
      <c r="AH37" s="41"/>
      <c r="AI37" s="41"/>
      <c r="AJ37" s="41"/>
      <c r="AK37" s="38">
        <f>if(AM37="", if(AH38&lt;&gt;"", if((AH38-AF38)&lt;-1,AD37*(1+Setup!BB6),if((AH38-AF38)&lt;0,AD37*(1+Setup!BC6),if((AH38-AF38)=0,AD37*(1+Setup!BD6),if((AH38-AF38)=1,AD37*(1+Setup!BE6),if((AH38-AF38)=2,AD37*(1+Setup!BF6),if((AH38-AF38)=3,AD37*(1+Setup!BG6),if((AH38-AF38)=4,AD37*(1+Setup!BH6),if((AH38-AF38)&gt;4,AD37*(1+Setup!BI6),AD37)))))))),AD37),AM37/'Quick Setup'!$E8)</f>
        <v>200</v>
      </c>
      <c r="AL37" s="39" t="s">
        <v>75</v>
      </c>
      <c r="AM37" s="40"/>
      <c r="AN37" s="41"/>
      <c r="AO37" s="41"/>
      <c r="AP37" s="41"/>
      <c r="AQ37" s="41"/>
      <c r="AR37" s="38">
        <f>if(AT37="", if(AO38&lt;&gt;"", if((AO38-AM38)&lt;-1,AK37*(1+Setup!BN6),if((AO38-AM38)&lt;0,AK37*(1+Setup!BO6),if((AO38-AM38)=0,AK37*(1+Setup!BP6),if((AO38-AM38)=1,AK37*(1+Setup!BQ6),if((AO38-AM38)=2,AK37*(1+Setup!BR6),if((AO38-AM38)=3,AK37*(1+Setup!BS6),if((AO38-AM38)=4,AK37*(1+Setup!BT6),if((AO38-AM38)&gt;4,AK37*(1+Setup!BU6),AK37)))))))),AK37),AT37/'Quick Setup'!$E8)</f>
        <v>200</v>
      </c>
      <c r="AS37" s="39" t="s">
        <v>75</v>
      </c>
      <c r="AT37" s="40"/>
      <c r="AU37" s="41"/>
      <c r="AV37" s="41"/>
      <c r="AW37" s="41"/>
      <c r="AX37" s="41"/>
      <c r="AY37" s="38">
        <f>if(BA37="",AR37,BA37/'Quick Setup'!$E8)</f>
        <v>200</v>
      </c>
      <c r="AZ37" s="39" t="s">
        <v>75</v>
      </c>
      <c r="BA37" s="40"/>
      <c r="BB37" s="41"/>
      <c r="BC37" s="41"/>
      <c r="BD37" s="41"/>
      <c r="BE37" s="41"/>
      <c r="BF37" s="38">
        <f>if(BH37="", if(BC38&lt;&gt;"", if((BC38-BA38)&lt;-1,AY37*(1+Setup!CL6),if((BC38-BA38)&lt;0,AY37*(1+Setup!CM6),if((BC38-BA38)=0,AY37*(1+Setup!CN6),if((BC38-BA38)=1,AY37*(1+Setup!CO6),if((BC38-BA38)=2,AY37*(1+Setup!CP6),if((BC38-BA38)=3,AY37*(1+Setup!CQ6),if((BC38-BA38)=4,AY37*(1+Setup!CR6),if((BC38-BA38)&gt;4,AY37*(1+Setup!CS6),AY37)))))))),AY37),BH37/'Quick Setup'!$E8)</f>
        <v>200</v>
      </c>
      <c r="BG37" s="39" t="s">
        <v>75</v>
      </c>
      <c r="BH37" s="40"/>
      <c r="BI37" s="41"/>
      <c r="BJ37" s="41"/>
      <c r="BK37" s="41"/>
      <c r="BL37" s="41"/>
      <c r="BM37" s="38">
        <f>if(BO37="", if(BJ38&lt;&gt;"", if((BJ38-BH38)&lt;-1,BF37*(1+Setup!CX6),if((BJ38-BH38)&lt;0,BF37*(1+Setup!CY6),if((BJ38-BH38)=0,BF37*(1+Setup!CZ6),if((BJ38-BH38)=1,BF37*(1+Setup!DA6),if((BJ38-BH38)=2,BF37*(1+Setup!DB6),if((BJ38-BH38)=3,BF37*(1+Setup!DC6),if((BJ38-BH38)=4,BF37*(1+Setup!DD6),if((BJ38-BH38)&gt;4,BF37*(1+Setup!DE6),BF37)))))))),BF37),BO37/'Quick Setup'!$E8)</f>
        <v>200</v>
      </c>
      <c r="BN37" s="39" t="s">
        <v>75</v>
      </c>
      <c r="BO37" s="40"/>
      <c r="BP37" s="41"/>
      <c r="BQ37" s="41"/>
      <c r="BR37" s="41"/>
      <c r="BS37" s="41"/>
      <c r="BT37" s="38">
        <f>if(BV37="", if(BQ38&lt;&gt;"", if((BQ38-BO38)&lt;-1,BM37*(1+Setup!DJ6),if((BQ38-BO38)&lt;0,BM37*(1+Setup!DK6),if((BQ38-BO38)=0,BM37*(1+Setup!DL6),if((BQ38-BO38)=1,BM37*(1+Setup!DM6),if((BQ38-BO38)=2,BM37*(1+Setup!DN6),if((BQ38-BO38)=3,BM37*(1+Setup!DO6),if((BQ38-BO38)=4,BM37*(1+Setup!DP6),if((BQ38-BO38)&gt;4,BM37*(1+Setup!DQ6),BM37)))))))),BM37),BV37/'Quick Setup'!$E8)</f>
        <v>200</v>
      </c>
      <c r="BU37" s="39" t="s">
        <v>75</v>
      </c>
      <c r="BV37" s="40"/>
      <c r="BW37" s="41"/>
      <c r="BX37" s="41"/>
      <c r="BY37" s="41"/>
      <c r="BZ37" s="41"/>
      <c r="CA37" s="38">
        <f>if(CC37="", if(BX38&lt;&gt;"", if((BX38-BV38)&lt;-1,BT37*(1+Setup!DV6),if((BX38-BV38)&lt;0,BT37*(1+Setup!DW6),if((BX38-BV38)=0,BT37*(1+Setup!DX6),if((BX38-BV38)=1,BT37*(1+Setup!DY6),if((BX38-BV38)=2,BT37*(1+Setup!DZ6),if((BX38-BV38)=3,BT37*(1+Setup!EA6),if((BX38-BV38)=4,BT37*(1+Setup!EB6),if((BX38-BV38)&gt;4,BT37*(1+Setup!EC6),BT37)))))))),BT37),CC37/'Quick Setup'!$E8)</f>
        <v>200</v>
      </c>
      <c r="CB37" s="39" t="s">
        <v>75</v>
      </c>
      <c r="CC37" s="40"/>
      <c r="CD37" s="41"/>
      <c r="CE37" s="41"/>
      <c r="CF37" s="41"/>
      <c r="CG37" s="41"/>
      <c r="CH37" s="38">
        <f>if(CJ37="", if(CE38&lt;&gt;"", if((CE38-CC38)&lt;-1,CA37*(1+Setup!EH6),if((CE38-CC38)&lt;0,CA37*(1+Setup!EI6),if((CE38-CC38)=0,CA37*(1+Setup!EJ6),if((CE38-CC38)=1,CA37*(1+Setup!EK6),if((CE38-CC38)=2,CA37*(1+Setup!EL6),if((CE38-CC38)=3,CA37*(1+Setup!EM6),if((CE38-CC38)=4,CA37*(1+Setup!EN6),if((CE38-CC38)&gt;4,CA37*(1+Setup!EO6),CA37)))))))),CA37),CJ37/'Quick Setup'!$E8)</f>
        <v>200</v>
      </c>
      <c r="CI37" s="39" t="s">
        <v>75</v>
      </c>
      <c r="CJ37" s="40"/>
      <c r="CK37" s="41"/>
      <c r="CL37" s="41"/>
      <c r="CM37" s="41"/>
      <c r="CN37" s="41"/>
      <c r="CO37" s="38">
        <f>if(CQ37="", if(CL38&lt;&gt;"", if((CL38-CJ38)&lt;-1,CH37*(1+Setup!ET6),if((CL38-CJ38)&lt;0,CH37*(1+Setup!EU6),if((CL38-CJ38)=0,CH37*(1+Setup!EV6),if((CL38-CJ38)=1,CH37*(1+Setup!EW6),if((CL38-CJ38)=2,CH37*(1+Setup!EX6),if((CL38-CJ38)=3,CH37*(1+Setup!EY6),if((CL38-CJ38)=4,CH37*(1+Setup!EZ6),if((CL38-CJ38)&gt;4,CH37*(1+Setup!FA6),CH37)))))))),CH37),CQ37/'Quick Setup'!$E8)</f>
        <v>200</v>
      </c>
      <c r="CP37" s="39" t="s">
        <v>75</v>
      </c>
      <c r="CQ37" s="40"/>
      <c r="CR37" s="41"/>
      <c r="CS37" s="41"/>
      <c r="CT37" s="41"/>
      <c r="CU37" s="41"/>
      <c r="CV37" s="38">
        <f>if(CX37="",CO37,CX37/'Quick Setup'!$E8)</f>
        <v>200</v>
      </c>
      <c r="CW37" s="39" t="s">
        <v>75</v>
      </c>
      <c r="CX37" s="40"/>
      <c r="CY37" s="41"/>
      <c r="CZ37" s="41"/>
      <c r="DA37" s="41"/>
      <c r="DB37" s="41"/>
      <c r="DC37" s="38">
        <f>if(DE37="", if(CZ38&lt;&gt;"", if((CZ38-CX38)&lt;-1,CV37*(1+Setup!FR6),if((CZ38-CX38)&lt;0,CV37*(1+Setup!FS6),if((CZ38-CX38)=0,CV37*(1+Setup!FT6),if((CZ38-CX38)=1,CV37*(1+Setup!FU6),if((CZ38-CX38)=2,CV37*(1+Setup!FV6),if((CZ38-CX38)=3,CV37*(1+Setup!FW6),if((CZ38-CX38)=4,CV37*(1+Setup!FX6),if((CZ38-CX38)&gt;4,CV37*(1+Setup!FY6),CV37)))))))),CV37),DE37/'Quick Setup'!$E8)</f>
        <v>200</v>
      </c>
      <c r="DD37" s="39" t="s">
        <v>75</v>
      </c>
      <c r="DE37" s="40"/>
      <c r="DF37" s="41"/>
      <c r="DG37" s="41"/>
      <c r="DH37" s="41"/>
      <c r="DI37" s="41"/>
      <c r="DJ37" s="38">
        <f>if(DL37="", if(DG38&lt;&gt;"", if((DG38-DE38)&lt;-1,DC37*(1+Setup!GD6),if((DG38-DE38)&lt;0,DC37*(1+Setup!GE6),if((DG38-DE38)=0,DC37*(1+Setup!GF6),if((DG38-DE38)=1,DC37*(1+Setup!GG6),if((DG38-DE38)=2,DC37*(1+Setup!GH6),if((DG38-DE38)=3,DC37*(1+Setup!GI6),if((DG38-DE38)=4,DC37*(1+Setup!GJ6),if((DG38-DE38)&gt;4,DC37*(1+Setup!GK6),DC37)))))))),DC37),DL37/'Quick Setup'!$E8)</f>
        <v>200</v>
      </c>
      <c r="DK37" s="39" t="s">
        <v>75</v>
      </c>
      <c r="DL37" s="40"/>
      <c r="DM37" s="41"/>
      <c r="DN37" s="41"/>
      <c r="DO37" s="41"/>
      <c r="DP37" s="41"/>
      <c r="DQ37" s="38">
        <f>if(DS37="", if(DN38&lt;&gt;"", if((DN38-DL38)&lt;-1,DJ37*(1+Setup!GP6),if((DN38-DL38)&lt;0,DJ37*(1+Setup!GQ6),if((DN38-DL38)=0,DJ37*(1+Setup!GR6),if((DN38-DL38)=1,DJ37*(1+Setup!GS6),if((DN38-DL38)=2,DJ37*(1+Setup!GT6),if((DN38-DL38)=3,DJ37*(1+Setup!GU6),if((DN38-DL38)=4,DJ37*(1+Setup!GV6),if((DN38-DL38)&gt;4,DJ37*(1+Setup!GW6),DJ37)))))))),DJ37),DS37/'Quick Setup'!$E8)</f>
        <v>200</v>
      </c>
      <c r="DR37" s="39" t="s">
        <v>75</v>
      </c>
      <c r="DS37" s="40"/>
      <c r="DT37" s="41"/>
      <c r="DU37" s="41"/>
      <c r="DV37" s="41"/>
      <c r="DW37" s="41"/>
      <c r="DX37" s="38">
        <f>if(DZ37="", if(DU38&lt;&gt;"", if((DU38-DS38)&lt;-1,DQ37*(1+Setup!HB6),if((DU38-DS38)&lt;0,DQ37*(1+Setup!HC6),if((DU38-DS38)=0,DQ37*(1+Setup!HD6),if((DU38-DS38)=1,DQ37*(1+Setup!HE6),if((DU38-DS38)=2,DQ37*(1+Setup!HF6),if((DU38-DS38)=3,DQ37*(1+Setup!HG6),if((DU38-DS38)=4,DQ37*(1+Setup!HH6),if((DU38-DS38)&gt;4,DQ37*(1+Setup!HI6),DQ37)))))))),DQ37),DZ37/'Quick Setup'!$E8)</f>
        <v>200</v>
      </c>
      <c r="DY37" s="39" t="s">
        <v>75</v>
      </c>
      <c r="DZ37" s="40"/>
      <c r="EA37" s="41"/>
      <c r="EB37" s="41"/>
      <c r="EC37" s="41"/>
      <c r="ED37" s="41"/>
      <c r="EE37" s="38">
        <f>if(EG37="", if(EB38&lt;&gt;"", if((EB38-DZ38)&lt;-1,DX37*(1+Setup!HN6),if((EB38-DZ38)&lt;0,DX37*(1+Setup!HO6),if((EB38-DZ38)=0,DX37*(1+Setup!HP6),if((EB38-DZ38)=1,DX37*(1+Setup!HQ6),if((EB38-DZ38)=2,DX37*(1+Setup!HR6),if((EB38-DZ38)=3,DX37*(1+Setup!HS6),if((EB38-DZ38)=4,DX37*(1+Setup!HT6),if((EB38-DZ38)&gt;4,DX37*(1+Setup!HU6),DX37)))))))),DX37),EG37/'Quick Setup'!$E8)</f>
        <v>200</v>
      </c>
      <c r="EF37" s="39" t="s">
        <v>75</v>
      </c>
      <c r="EG37" s="40"/>
      <c r="EH37" s="41"/>
      <c r="EI37" s="41"/>
      <c r="EJ37" s="41"/>
      <c r="EK37" s="41"/>
      <c r="EL37" s="38">
        <f>if(EN37="", if(EI38&lt;&gt;"", if((EI38-EG38)&lt;-1,EE37*(1+Setup!HZ6),if((EI38-EG38)&lt;0,EE37*(1+Setup!IA6),if((EI38-EG38)=0,EE37*(1+Setup!IB6),if((EI38-EG38)=1,EE37*(1+Setup!IC6),if((EI38-EG38)=2,EE37*(1+Setup!ID6),if((EI38-EG38)=3,EE37*(1+Setup!IE6),if((EI38-EG38)=4,EE37*(1+Setup!IF6),if((EI38-EG38)&gt;4,EE37*(1+Setup!IG6),EE37)))))))),EE37),EN37/'Quick Setup'!$E8)</f>
        <v>200</v>
      </c>
      <c r="EM37" s="39" t="s">
        <v>75</v>
      </c>
      <c r="EN37" s="40"/>
      <c r="EO37" s="41"/>
      <c r="EP37" s="41"/>
      <c r="EQ37" s="41"/>
      <c r="ER37" s="41"/>
    </row>
    <row r="38">
      <c r="A38" s="1" t="str">
        <f>Setup!A6</f>
        <v>OHP</v>
      </c>
      <c r="B38" s="42">
        <f>mround(B37*Setup!B6,'Quick Setup'!$A$2)</f>
        <v>140</v>
      </c>
      <c r="C38" s="3">
        <f>Setup!C6</f>
        <v>5</v>
      </c>
      <c r="D38" s="3">
        <f>Setup!D6</f>
        <v>10</v>
      </c>
      <c r="E38" s="3">
        <f>Setup!E6</f>
        <v>5</v>
      </c>
      <c r="F38" s="10"/>
      <c r="G38" s="10"/>
      <c r="H38" s="10"/>
      <c r="I38" s="42">
        <f>mround(I37*Setup!N6,'Quick Setup'!$A$2)</f>
        <v>150</v>
      </c>
      <c r="J38" s="3">
        <f>Setup!O6</f>
        <v>4</v>
      </c>
      <c r="K38" s="3">
        <f>Setup!P6</f>
        <v>8</v>
      </c>
      <c r="L38" s="3">
        <f>Setup!Q6</f>
        <v>5</v>
      </c>
      <c r="M38" s="10"/>
      <c r="N38" s="10"/>
      <c r="O38" s="10"/>
      <c r="P38" s="42">
        <f>mround(P37*Setup!Z6,'Quick Setup'!$A$2)</f>
        <v>160</v>
      </c>
      <c r="Q38" s="3">
        <f>Setup!AA6</f>
        <v>3</v>
      </c>
      <c r="R38" s="3">
        <f>Setup!AB6</f>
        <v>6</v>
      </c>
      <c r="S38" s="3">
        <f>Setup!AC6</f>
        <v>5</v>
      </c>
      <c r="T38" s="10"/>
      <c r="U38" s="10"/>
      <c r="V38" s="10"/>
      <c r="W38" s="42">
        <f>mround(W37*Setup!AL6,'Quick Setup'!$A$2)</f>
        <v>145</v>
      </c>
      <c r="X38" s="3">
        <f>Setup!AM6</f>
        <v>5</v>
      </c>
      <c r="Y38" s="3">
        <f>Setup!AN6</f>
        <v>9</v>
      </c>
      <c r="Z38" s="3">
        <f>Setup!AO6</f>
        <v>5</v>
      </c>
      <c r="AA38" s="10"/>
      <c r="AB38" s="10"/>
      <c r="AC38" s="10"/>
      <c r="AD38" s="42">
        <f>mround(AD37*Setup!AX6,'Quick Setup'!$A$2)</f>
        <v>155</v>
      </c>
      <c r="AE38" s="3">
        <f>Setup!AY6</f>
        <v>4</v>
      </c>
      <c r="AF38" s="3">
        <f>Setup!AZ6</f>
        <v>7</v>
      </c>
      <c r="AG38" s="3">
        <f>Setup!BA6</f>
        <v>5</v>
      </c>
      <c r="AH38" s="10"/>
      <c r="AI38" s="10"/>
      <c r="AJ38" s="10"/>
      <c r="AK38" s="42">
        <f>mround(AK37*Setup!BJ6,'Quick Setup'!$A$2)</f>
        <v>165</v>
      </c>
      <c r="AL38" s="3">
        <f>Setup!BK6</f>
        <v>3</v>
      </c>
      <c r="AM38" s="3">
        <f>Setup!BL6</f>
        <v>5</v>
      </c>
      <c r="AN38" s="3">
        <f>Setup!BM6</f>
        <v>5</v>
      </c>
      <c r="AO38" s="10"/>
      <c r="AP38" s="10"/>
      <c r="AQ38" s="10"/>
      <c r="AR38" s="42">
        <f>mround(AR37*Setup!BV6,'Quick Setup'!$A$2)</f>
        <v>120</v>
      </c>
      <c r="AS38" s="1">
        <v>5.0</v>
      </c>
      <c r="AT38" s="1" t="s">
        <v>78</v>
      </c>
      <c r="AU38" s="3">
        <f>Setup!BY6</f>
        <v>5</v>
      </c>
      <c r="AV38" s="10"/>
      <c r="AW38" s="10"/>
      <c r="AX38" s="10"/>
      <c r="AY38" s="42">
        <f>mround(AY37*Setup!CH6,'Quick Setup'!$A$2)</f>
        <v>150</v>
      </c>
      <c r="AZ38" s="3">
        <f>Setup!CI6</f>
        <v>4</v>
      </c>
      <c r="BA38" s="3">
        <f>Setup!CJ6</f>
        <v>8</v>
      </c>
      <c r="BB38" s="3">
        <f>Setup!CK6</f>
        <v>5</v>
      </c>
      <c r="BC38" s="10"/>
      <c r="BD38" s="10"/>
      <c r="BE38" s="10"/>
      <c r="BF38" s="42">
        <f>mround(BF37*Setup!CT6,'Quick Setup'!$A$2)</f>
        <v>160</v>
      </c>
      <c r="BG38" s="3">
        <f>Setup!CU6</f>
        <v>3</v>
      </c>
      <c r="BH38" s="3">
        <f>Setup!CV6</f>
        <v>6</v>
      </c>
      <c r="BI38" s="3">
        <f>Setup!CW6</f>
        <v>5</v>
      </c>
      <c r="BJ38" s="10"/>
      <c r="BK38" s="10"/>
      <c r="BL38" s="10"/>
      <c r="BM38" s="42">
        <f>mround(BM37*Setup!DF6,'Quick Setup'!$A$2)</f>
        <v>170</v>
      </c>
      <c r="BN38" s="3">
        <f>Setup!DG6</f>
        <v>2</v>
      </c>
      <c r="BO38" s="3">
        <f>Setup!DH6</f>
        <v>4</v>
      </c>
      <c r="BP38" s="3">
        <f>Setup!DI6</f>
        <v>5</v>
      </c>
      <c r="BQ38" s="10"/>
      <c r="BR38" s="10"/>
      <c r="BS38" s="10"/>
      <c r="BT38" s="42">
        <f>mround(BT37*Setup!DR6,'Quick Setup'!$A$2)</f>
        <v>155</v>
      </c>
      <c r="BU38" s="3">
        <f>Setup!DS6</f>
        <v>4</v>
      </c>
      <c r="BV38" s="3">
        <f>Setup!DT6</f>
        <v>7</v>
      </c>
      <c r="BW38" s="3">
        <f>Setup!DU6</f>
        <v>5</v>
      </c>
      <c r="BX38" s="10"/>
      <c r="BY38" s="10"/>
      <c r="BZ38" s="10"/>
      <c r="CA38" s="42">
        <f>mround(CA37*Setup!ED6,'Quick Setup'!$A$2)</f>
        <v>165</v>
      </c>
      <c r="CB38" s="3">
        <f>Setup!EE6</f>
        <v>3</v>
      </c>
      <c r="CC38" s="3">
        <f>Setup!EF6</f>
        <v>5</v>
      </c>
      <c r="CD38" s="3">
        <f>Setup!EG6</f>
        <v>5</v>
      </c>
      <c r="CE38" s="10"/>
      <c r="CF38" s="10"/>
      <c r="CG38" s="10"/>
      <c r="CH38" s="42">
        <f>mround(CH37*Setup!EP6,'Quick Setup'!$A$2)</f>
        <v>175</v>
      </c>
      <c r="CI38" s="3">
        <f>Setup!EQ6</f>
        <v>2</v>
      </c>
      <c r="CJ38" s="3">
        <f>Setup!ER6</f>
        <v>3</v>
      </c>
      <c r="CK38" s="3">
        <f>Setup!ES6</f>
        <v>5</v>
      </c>
      <c r="CL38" s="10"/>
      <c r="CM38" s="10"/>
      <c r="CN38" s="10"/>
      <c r="CO38" s="42">
        <f>mround(CO37*Setup!FB6,'Quick Setup'!$A$2)</f>
        <v>120</v>
      </c>
      <c r="CP38" s="1">
        <v>5.0</v>
      </c>
      <c r="CQ38" s="1" t="s">
        <v>78</v>
      </c>
      <c r="CR38" s="3">
        <f>Setup!FE6</f>
        <v>5</v>
      </c>
      <c r="CS38" s="10"/>
      <c r="CT38" s="10"/>
      <c r="CU38" s="10"/>
      <c r="CV38" s="42">
        <f>mround(CV37*Setup!FN6,'Quick Setup'!$A$2)</f>
        <v>160</v>
      </c>
      <c r="CW38" s="3">
        <f>Setup!FO6</f>
        <v>3</v>
      </c>
      <c r="CX38" s="3">
        <f>Setup!FP6</f>
        <v>6</v>
      </c>
      <c r="CY38" s="3">
        <f>Setup!FQ6</f>
        <v>5</v>
      </c>
      <c r="CZ38" s="10"/>
      <c r="DA38" s="10"/>
      <c r="DB38" s="10"/>
      <c r="DC38" s="42">
        <f>mround(DC37*Setup!FZ6,'Quick Setup'!$A$2)</f>
        <v>170</v>
      </c>
      <c r="DD38" s="3">
        <f>Setup!GA6</f>
        <v>2</v>
      </c>
      <c r="DE38" s="3">
        <f>Setup!GB6</f>
        <v>4</v>
      </c>
      <c r="DF38" s="3">
        <f>Setup!GC6</f>
        <v>5</v>
      </c>
      <c r="DG38" s="10"/>
      <c r="DH38" s="10"/>
      <c r="DI38" s="10"/>
      <c r="DJ38" s="42">
        <f>mround(DJ37*Setup!GL6,'Quick Setup'!$A$2)</f>
        <v>180</v>
      </c>
      <c r="DK38" s="3">
        <f>Setup!GM6</f>
        <v>1</v>
      </c>
      <c r="DL38" s="3">
        <f>Setup!GN6</f>
        <v>2</v>
      </c>
      <c r="DM38" s="3">
        <f>Setup!GO6</f>
        <v>5</v>
      </c>
      <c r="DN38" s="10"/>
      <c r="DO38" s="10"/>
      <c r="DP38" s="10"/>
      <c r="DQ38" s="42">
        <f>mround(DQ37*Setup!GX6,'Quick Setup'!$A$2)</f>
        <v>170</v>
      </c>
      <c r="DR38" s="3">
        <f>Setup!GY6</f>
        <v>2</v>
      </c>
      <c r="DS38" s="3">
        <f>Setup!GZ6</f>
        <v>4</v>
      </c>
      <c r="DT38" s="3">
        <f>Setup!HA6</f>
        <v>5</v>
      </c>
      <c r="DU38" s="10"/>
      <c r="DV38" s="10"/>
      <c r="DW38" s="10"/>
      <c r="DX38" s="42">
        <f>mround(DX37*Setup!HJ6,'Quick Setup'!$A$2)</f>
        <v>180</v>
      </c>
      <c r="DY38" s="3">
        <f>Setup!HK6</f>
        <v>1</v>
      </c>
      <c r="DZ38" s="3">
        <f>Setup!HL6</f>
        <v>2</v>
      </c>
      <c r="EA38" s="3">
        <f>Setup!HM6</f>
        <v>5</v>
      </c>
      <c r="EB38" s="10"/>
      <c r="EC38" s="10"/>
      <c r="ED38" s="10"/>
      <c r="EE38" s="42">
        <f>mround(EE37*Setup!HV6,'Quick Setup'!$A$2)</f>
        <v>190</v>
      </c>
      <c r="EF38" s="3">
        <f>Setup!HW6</f>
        <v>1</v>
      </c>
      <c r="EG38" s="3">
        <f>Setup!HX6</f>
        <v>1</v>
      </c>
      <c r="EH38" s="3">
        <f>Setup!HY6</f>
        <v>5</v>
      </c>
      <c r="EI38" s="10"/>
      <c r="EJ38" s="10"/>
      <c r="EK38" s="10"/>
      <c r="EL38" s="42">
        <f>mround(EL37*Setup!IH6,'Quick Setup'!$A$2)</f>
        <v>120</v>
      </c>
      <c r="EM38" s="1">
        <v>5.0</v>
      </c>
      <c r="EN38" s="1" t="s">
        <v>78</v>
      </c>
      <c r="EO38" s="3">
        <f>Setup!IK6</f>
        <v>5</v>
      </c>
      <c r="EP38" s="10"/>
      <c r="EQ38" s="10"/>
      <c r="ER38" s="10"/>
    </row>
    <row r="39" hidden="1">
      <c r="A39" s="37" t="str">
        <f>CONCATENATE(A40," TM")</f>
        <v>Close Grip Bench TM</v>
      </c>
      <c r="B39" s="38">
        <f>if(D39="",'Quick Setup'!D13,D39/'Quick Setup'!E13)</f>
        <v>310</v>
      </c>
      <c r="C39" s="39" t="s">
        <v>75</v>
      </c>
      <c r="D39" s="40"/>
      <c r="E39" s="41"/>
      <c r="F39" s="41"/>
      <c r="G39" s="41"/>
      <c r="H39" s="41"/>
      <c r="I39" s="38">
        <f>if(K39="", if(F40&lt;&gt;"", if((F40-D40)&lt;-1,B39*(1+Setup!F11),if((F40-D40)&lt;0,B39*(1+Setup!G11),if((F40-D40)=0,B39*(1+Setup!H11),if((F40-D40)=1,B39*(1+Setup!I11),if((F40-D40)=2,B39*(1+Setup!J11),if((F40-D40)=3,B39*(1+Setup!K11),if((F40-D40)=4,B39*(1+Setup!L11),if((F40-D40)&gt;4,B39*(1+Setup!M11),B39)))))))),B39),K39/'Quick Setup'!$E13)</f>
        <v>310</v>
      </c>
      <c r="J39" s="39" t="s">
        <v>75</v>
      </c>
      <c r="K39" s="40"/>
      <c r="L39" s="41"/>
      <c r="M39" s="41"/>
      <c r="N39" s="41"/>
      <c r="O39" s="41"/>
      <c r="P39" s="38">
        <f>if(R39="", if(M40&lt;&gt;"", if((M40-K40)&lt;-1,I39*(1+Setup!R11),if((M40-K40)&lt;0,I39*(1+Setup!S11),if((M40-K40)=0,I39*(1+Setup!T11),if((M40-K40)=1,I39*(1+Setup!U11),if((M40-K40)=2,I39*(1+Setup!V11),if((M40-K40)=3,I39*(1+Setup!W11),if((M40-K40)=4,I39*(1+Setup!X11),if((M40-K40)&gt;4,I39*(1+Setup!Y11),I39)))))))),I39),R39/'Quick Setup'!$E13)</f>
        <v>310</v>
      </c>
      <c r="Q39" s="39" t="s">
        <v>75</v>
      </c>
      <c r="R39" s="40"/>
      <c r="S39" s="41"/>
      <c r="T39" s="41"/>
      <c r="U39" s="41"/>
      <c r="V39" s="41"/>
      <c r="W39" s="38">
        <f>if(Y39="", if(T40&lt;&gt;"", if((T40-R40)&lt;-1,P39*(1+Setup!AD11),if((T40-R40)&lt;0,P39*(1+Setup!AE11),if((T40-R40)=0,P39*(1+Setup!AF11),if((T40-R40)=1,P39*(1+Setup!AG11),if((T40-R40)=2,P39*(1+Setup!AH11),if((T40-R40)=3,P39*(1+Setup!AI11),if((T40-R40)=4,P39*(1+Setup!AJ11),if((T40-R40)&gt;4,P39*(1+Setup!AK11),P39)))))))),P39),Y39/'Quick Setup'!$E13)</f>
        <v>310</v>
      </c>
      <c r="X39" s="39" t="s">
        <v>75</v>
      </c>
      <c r="Y39" s="40"/>
      <c r="Z39" s="41"/>
      <c r="AA39" s="41"/>
      <c r="AB39" s="41"/>
      <c r="AC39" s="41"/>
      <c r="AD39" s="38">
        <f>if(AF39="", if(AA40&lt;&gt;"", if((AA40-Y40)&lt;-1,W39*(1+Setup!AP11),if((AA40-Y40)&lt;0,W39*(1+Setup!AQ11),if((AA40-Y40)=0,W39*(1+Setup!AR11),if((AA40-Y40)=1,W39*(1+Setup!AS11),if((AA40-Y40)=2,W39*(1+Setup!AT11),if((AA40-Y40)=3,W39*(1+Setup!AU11),if((AA40-Y40)=4,W39*(1+Setup!AV11),if((AA40-Y40)&gt;4,W39*(1+Setup!AW11),W39)))))))),W39),AF39/'Quick Setup'!$E13)</f>
        <v>310</v>
      </c>
      <c r="AE39" s="39" t="s">
        <v>75</v>
      </c>
      <c r="AF39" s="40"/>
      <c r="AG39" s="41"/>
      <c r="AH39" s="41"/>
      <c r="AI39" s="41"/>
      <c r="AJ39" s="41"/>
      <c r="AK39" s="38">
        <f>if(AM39="", if(AH40&lt;&gt;"", if((AH40-AF40)&lt;-1,AD39*(1+Setup!BB11),if((AH40-AF40)&lt;0,AD39*(1+Setup!BC11),if((AH40-AF40)=0,AD39*(1+Setup!BD11),if((AH40-AF40)=1,AD39*(1+Setup!BE11),if((AH40-AF40)=2,AD39*(1+Setup!BF11),if((AH40-AF40)=3,AD39*(1+Setup!BG11),if((AH40-AF40)=4,AD39*(1+Setup!BH11),if((AH40-AF40)&gt;4,AD39*(1+Setup!BI11),AD39)))))))),AD39),AM39/'Quick Setup'!$E13)</f>
        <v>310</v>
      </c>
      <c r="AL39" s="39" t="s">
        <v>75</v>
      </c>
      <c r="AM39" s="40"/>
      <c r="AN39" s="41"/>
      <c r="AO39" s="41"/>
      <c r="AP39" s="41"/>
      <c r="AQ39" s="41"/>
      <c r="AR39" s="38">
        <f>if(AT39="", if(AO40&lt;&gt;"", if((AO40-AM40)&lt;-1,AK39*(1+Setup!BN11),if((AO40-AM40)&lt;0,AK39*(1+Setup!BO11),if((AO40-AM40)=0,AK39*(1+Setup!BP11),if((AO40-AM40)=1,AK39*(1+Setup!BQ11),if((AO40-AM40)=2,AK39*(1+Setup!BR11),if((AO40-AM40)=3,AK39*(1+Setup!BS11),if((AO40-AM40)=4,AK39*(1+Setup!BT11),if((AO40-AM40)&gt;4,AK39*(1+Setup!BU11),AK39)))))))),AK39),AT39/'Quick Setup'!$E13)</f>
        <v>310</v>
      </c>
      <c r="AS39" s="39" t="s">
        <v>75</v>
      </c>
      <c r="AT39" s="40"/>
      <c r="AU39" s="41"/>
      <c r="AV39" s="41"/>
      <c r="AW39" s="41"/>
      <c r="AX39" s="41"/>
      <c r="AY39" s="38">
        <f>if(BA39="",AR39,BA39/'Quick Setup'!$E13)</f>
        <v>310</v>
      </c>
      <c r="AZ39" s="39" t="s">
        <v>75</v>
      </c>
      <c r="BA39" s="40"/>
      <c r="BB39" s="41"/>
      <c r="BC39" s="41"/>
      <c r="BD39" s="41"/>
      <c r="BE39" s="41"/>
      <c r="BF39" s="38">
        <f>if(BH39="", if(BC40&lt;&gt;"", if((BC40-BA40)&lt;-1,AY39*(1+Setup!CL11),if((BC40-BA40)&lt;0,AY39*(1+Setup!CM11),if((BC40-BA40)=0,AY39*(1+Setup!CN11),if((BC40-BA40)=1,AY39*(1+Setup!CO11),if((BC40-BA40)=2,AY39*(1+Setup!CP11),if((BC40-BA40)=3,AY39*(1+Setup!CQ11),if((BC40-BA40)=4,AY39*(1+Setup!CR11),if((BC40-BA40)&gt;4,AY39*(1+Setup!CS11),AY39)))))))),AY39),BH39/'Quick Setup'!$E13)</f>
        <v>310</v>
      </c>
      <c r="BG39" s="39" t="s">
        <v>75</v>
      </c>
      <c r="BH39" s="40"/>
      <c r="BI39" s="41"/>
      <c r="BJ39" s="41"/>
      <c r="BK39" s="41"/>
      <c r="BL39" s="41"/>
      <c r="BM39" s="38">
        <f>if(BO39="", if(BJ40&lt;&gt;"", if((BJ40-BH40)&lt;-1,BF39*(1+Setup!CX11),if((BJ40-BH40)&lt;0,BF39*(1+Setup!CY11),if((BJ40-BH40)=0,BF39*(1+Setup!CZ11),if((BJ40-BH40)=1,BF39*(1+Setup!DA11),if((BJ40-BH40)=2,BF39*(1+Setup!DB11),if((BJ40-BH40)=3,BF39*(1+Setup!DC11),if((BJ40-BH40)=4,BF39*(1+Setup!DD11),if((BJ40-BH40)&gt;4,BF39*(1+Setup!DE11),BF39)))))))),BF39),BO39/'Quick Setup'!$E13)</f>
        <v>310</v>
      </c>
      <c r="BN39" s="39" t="s">
        <v>75</v>
      </c>
      <c r="BO39" s="40"/>
      <c r="BP39" s="41"/>
      <c r="BQ39" s="41"/>
      <c r="BR39" s="41"/>
      <c r="BS39" s="41"/>
      <c r="BT39" s="38">
        <f>if(BV39="", if(BQ40&lt;&gt;"", if((BQ40-BO40)&lt;-1,BM39*(1+Setup!DJ11),if((BQ40-BO40)&lt;0,BM39*(1+Setup!DK11),if((BQ40-BO40)=0,BM39*(1+Setup!DL11),if((BQ40-BO40)=1,BM39*(1+Setup!DM11),if((BQ40-BO40)=2,BM39*(1+Setup!DN11),if((BQ40-BO40)=3,BM39*(1+Setup!DO11),if((BQ40-BO40)=4,BM39*(1+Setup!DP11),if((BQ40-BO40)&gt;4,BM39*(1+Setup!DQ11),BM39)))))))),BM39),BV39/'Quick Setup'!$E13)</f>
        <v>310</v>
      </c>
      <c r="BU39" s="39" t="s">
        <v>75</v>
      </c>
      <c r="BV39" s="40"/>
      <c r="BW39" s="41"/>
      <c r="BX39" s="41"/>
      <c r="BY39" s="41"/>
      <c r="BZ39" s="41"/>
      <c r="CA39" s="38">
        <f>if(CC39="", if(BX40&lt;&gt;"", if((BX40-BV40)&lt;-1,BT39*(1+Setup!DV11),if((BX40-BV40)&lt;0,BT39*(1+Setup!DW11),if((BX40-BV40)=0,BT39*(1+Setup!DX11),if((BX40-BV40)=1,BT39*(1+Setup!DY11),if((BX40-BV40)=2,BT39*(1+Setup!DZ11),if((BX40-BV40)=3,BT39*(1+Setup!EA11),if((BX40-BV40)=4,BT39*(1+Setup!EB11),if((BX40-BV40)&gt;4,BT39*(1+Setup!EC11),BT39)))))))),BT39),CC39/'Quick Setup'!$E13)</f>
        <v>310</v>
      </c>
      <c r="CB39" s="39" t="s">
        <v>75</v>
      </c>
      <c r="CC39" s="40"/>
      <c r="CD39" s="41"/>
      <c r="CE39" s="41"/>
      <c r="CF39" s="41"/>
      <c r="CG39" s="41"/>
      <c r="CH39" s="38">
        <f>if(CJ39="", if(CE40&lt;&gt;"", if((CE40-CC40)&lt;-1,CA39*(1+Setup!EH11),if((CE40-CC40)&lt;0,CA39*(1+Setup!EI11),if((CE40-CC40)=0,CA39*(1+Setup!EJ11),if((CE40-CC40)=1,CA39*(1+Setup!EK11),if((CE40-CC40)=2,CA39*(1+Setup!EL11),if((CE40-CC40)=3,CA39*(1+Setup!EM11),if((CE40-CC40)=4,CA39*(1+Setup!EN11),if((CE40-CC40)&gt;4,CA39*(1+Setup!EO11),CA39)))))))),CA39),CJ39/'Quick Setup'!$E13)</f>
        <v>310</v>
      </c>
      <c r="CI39" s="39" t="s">
        <v>75</v>
      </c>
      <c r="CJ39" s="40"/>
      <c r="CK39" s="41"/>
      <c r="CL39" s="41"/>
      <c r="CM39" s="41"/>
      <c r="CN39" s="41"/>
      <c r="CO39" s="38">
        <f>if(CQ39="", if(CL40&lt;&gt;"", if((CL40-CJ40)&lt;-1,CH39*(1+Setup!ET11),if((CL40-CJ40)&lt;0,CH39*(1+Setup!EU11),if((CL40-CJ40)=0,CH39*(1+Setup!EV11),if((CL40-CJ40)=1,CH39*(1+Setup!EW11),if((CL40-CJ40)=2,CH39*(1+Setup!EX11),if((CL40-CJ40)=3,CH39*(1+Setup!EY11),if((CL40-CJ40)=4,CH39*(1+Setup!EZ11),if((CL40-CJ40)&gt;4,CH39*(1+Setup!FA11),CH39)))))))),CH39),CQ39/'Quick Setup'!$E13)</f>
        <v>310</v>
      </c>
      <c r="CP39" s="39" t="s">
        <v>75</v>
      </c>
      <c r="CQ39" s="40"/>
      <c r="CR39" s="41"/>
      <c r="CS39" s="41"/>
      <c r="CT39" s="41"/>
      <c r="CU39" s="41"/>
      <c r="CV39" s="38">
        <f>if(CX39="",CO39,CX39/'Quick Setup'!$E13)</f>
        <v>310</v>
      </c>
      <c r="CW39" s="39" t="s">
        <v>75</v>
      </c>
      <c r="CX39" s="40"/>
      <c r="CY39" s="41"/>
      <c r="CZ39" s="41"/>
      <c r="DA39" s="41"/>
      <c r="DB39" s="41"/>
      <c r="DC39" s="38">
        <f>if(DE39="", if(CZ40&lt;&gt;"", if((CZ40-CX40)&lt;-1,CV39*(1+Setup!FR11),if((CZ40-CX40)&lt;0,CV39*(1+Setup!FS11),if((CZ40-CX40)=0,CV39*(1+Setup!FT11),if((CZ40-CX40)=1,CV39*(1+Setup!FU11),if((CZ40-CX40)=2,CV39*(1+Setup!FV11),if((CZ40-CX40)=3,CV39*(1+Setup!FW11),if((CZ40-CX40)=4,CV39*(1+Setup!FX11),if((CZ40-CX40)&gt;4,CV39*(1+Setup!FY11),CV39)))))))),CV39),DE39/'Quick Setup'!$E13)</f>
        <v>310</v>
      </c>
      <c r="DD39" s="39" t="s">
        <v>75</v>
      </c>
      <c r="DE39" s="40"/>
      <c r="DF39" s="41"/>
      <c r="DG39" s="41"/>
      <c r="DH39" s="41"/>
      <c r="DI39" s="41"/>
      <c r="DJ39" s="38">
        <f>if(DL39="", if(DG40&lt;&gt;"", if((DG40-DE40)&lt;-1,DC39*(1+Setup!GD11),if((DG40-DE40)&lt;0,DC39*(1+Setup!GE11),if((DG40-DE40)=0,DC39*(1+Setup!GF11),if((DG40-DE40)=1,DC39*(1+Setup!GG11),if((DG40-DE40)=2,DC39*(1+Setup!GH11),if((DG40-DE40)=3,DC39*(1+Setup!GI11),if((DG40-DE40)=4,DC39*(1+Setup!GJ11),if((DG40-DE40)&gt;4,DC39*(1+Setup!GK11),DC39)))))))),DC39),DL39/'Quick Setup'!$E13)</f>
        <v>310</v>
      </c>
      <c r="DK39" s="39" t="s">
        <v>75</v>
      </c>
      <c r="DL39" s="40"/>
      <c r="DM39" s="41"/>
      <c r="DN39" s="41"/>
      <c r="DO39" s="41"/>
      <c r="DP39" s="41"/>
      <c r="DQ39" s="38">
        <f>if(DS39="", if(DN40&lt;&gt;"", if((DN40-DL40)&lt;-1,DJ39*(1+Setup!GP11),if((DN40-DL40)&lt;0,DJ39*(1+Setup!GQ11),if((DN40-DL40)=0,DJ39*(1+Setup!GR11),if((DN40-DL40)=1,DJ39*(1+Setup!GS11),if((DN40-DL40)=2,DJ39*(1+Setup!GT11),if((DN40-DL40)=3,DJ39*(1+Setup!GU11),if((DN40-DL40)=4,DJ39*(1+Setup!GV11),if((DN40-DL40)&gt;4,DJ39*(1+Setup!GW11),DJ39)))))))),DJ39),DS39/'Quick Setup'!$E13)</f>
        <v>310</v>
      </c>
      <c r="DR39" s="39" t="s">
        <v>75</v>
      </c>
      <c r="DS39" s="40"/>
      <c r="DT39" s="41"/>
      <c r="DU39" s="41"/>
      <c r="DV39" s="41"/>
      <c r="DW39" s="41"/>
      <c r="DX39" s="38">
        <f>if(DZ39="", if(DU40&lt;&gt;"", if((DU40-DS40)&lt;-1,DQ39*(1+Setup!HB11),if((DU40-DS40)&lt;0,DQ39*(1+Setup!HC11),if((DU40-DS40)=0,DQ39*(1+Setup!HD11),if((DU40-DS40)=1,DQ39*(1+Setup!HE11),if((DU40-DS40)=2,DQ39*(1+Setup!HF11),if((DU40-DS40)=3,DQ39*(1+Setup!HG11),if((DU40-DS40)=4,DQ39*(1+Setup!HH11),if((DU40-DS40)&gt;4,DQ39*(1+Setup!HI11),DQ39)))))))),DQ39),DZ39/'Quick Setup'!$E13)</f>
        <v>310</v>
      </c>
      <c r="DY39" s="39" t="s">
        <v>75</v>
      </c>
      <c r="DZ39" s="40"/>
      <c r="EA39" s="41"/>
      <c r="EB39" s="41"/>
      <c r="EC39" s="41"/>
      <c r="ED39" s="41"/>
      <c r="EE39" s="38">
        <f>if(EG39="", if(EB40&lt;&gt;"", if((EB40-DZ40)&lt;-1,DX39*(1+Setup!HN11),if((EB40-DZ40)&lt;0,DX39*(1+Setup!HO11),if((EB40-DZ40)=0,DX39*(1+Setup!HP11),if((EB40-DZ40)=1,DX39*(1+Setup!HQ11),if((EB40-DZ40)=2,DX39*(1+Setup!HR11),if((EB40-DZ40)=3,DX39*(1+Setup!HS11),if((EB40-DZ40)=4,DX39*(1+Setup!HT11),if((EB40-DZ40)&gt;4,DX39*(1+Setup!HU11),DX39)))))))),DX39),EG39/'Quick Setup'!$E13)</f>
        <v>310</v>
      </c>
      <c r="EF39" s="39" t="s">
        <v>75</v>
      </c>
      <c r="EG39" s="40"/>
      <c r="EH39" s="41"/>
      <c r="EI39" s="41"/>
      <c r="EJ39" s="41"/>
      <c r="EK39" s="41"/>
      <c r="EL39" s="38">
        <f>if(EN39="", if(EI40&lt;&gt;"", if((EI40-EG40)&lt;-1,EE39*(1+Setup!HZ11),if((EI40-EG40)&lt;0,EE39*(1+Setup!IA11),if((EI40-EG40)=0,EE39*(1+Setup!IB11),if((EI40-EG40)=1,EE39*(1+Setup!IC11),if((EI40-EG40)=2,EE39*(1+Setup!ID11),if((EI40-EG40)=3,EE39*(1+Setup!IE11),if((EI40-EG40)=4,EE39*(1+Setup!IF11),if((EI40-EG40)&gt;4,EE39*(1+Setup!IG11),EE39)))))))),EE39),EN39/'Quick Setup'!$E13)</f>
        <v>310</v>
      </c>
      <c r="EM39" s="39" t="s">
        <v>75</v>
      </c>
      <c r="EN39" s="40"/>
      <c r="EO39" s="41"/>
      <c r="EP39" s="41"/>
      <c r="EQ39" s="41"/>
      <c r="ER39" s="41"/>
    </row>
    <row r="40">
      <c r="A40" s="1" t="str">
        <f>Setup!A11</f>
        <v>Close Grip Bench</v>
      </c>
      <c r="B40" s="42">
        <f>mround(B39*Setup!B11,'Quick Setup'!$A$2)</f>
        <v>185</v>
      </c>
      <c r="C40" s="3">
        <f>Setup!C11</f>
        <v>7</v>
      </c>
      <c r="D40" s="3">
        <f>Setup!D11</f>
        <v>14</v>
      </c>
      <c r="E40" s="3">
        <f>Setup!E11</f>
        <v>5</v>
      </c>
      <c r="F40" s="10"/>
      <c r="G40" s="10"/>
      <c r="H40" s="10"/>
      <c r="I40" s="42">
        <f>mround(I39*Setup!N11,'Quick Setup'!$A$2)</f>
        <v>202.5</v>
      </c>
      <c r="J40" s="3">
        <f>Setup!O11</f>
        <v>6</v>
      </c>
      <c r="K40" s="3">
        <f>Setup!P11</f>
        <v>12</v>
      </c>
      <c r="L40" s="3">
        <f>Setup!Q11</f>
        <v>5</v>
      </c>
      <c r="M40" s="10"/>
      <c r="N40" s="10"/>
      <c r="O40" s="10"/>
      <c r="P40" s="42">
        <f>mround(P39*Setup!Z11,'Quick Setup'!$A$2)</f>
        <v>217.5</v>
      </c>
      <c r="Q40" s="3">
        <f>Setup!AA11</f>
        <v>5</v>
      </c>
      <c r="R40" s="3">
        <f>Setup!AB11</f>
        <v>10</v>
      </c>
      <c r="S40" s="3">
        <f>Setup!AC11</f>
        <v>5</v>
      </c>
      <c r="T40" s="10"/>
      <c r="U40" s="10"/>
      <c r="V40" s="10"/>
      <c r="W40" s="42">
        <f>mround(W39*Setup!AL11,'Quick Setup'!$A$2)</f>
        <v>195</v>
      </c>
      <c r="X40" s="3">
        <f>Setup!AM11</f>
        <v>7</v>
      </c>
      <c r="Y40" s="3">
        <f>Setup!AN11</f>
        <v>13</v>
      </c>
      <c r="Z40" s="3">
        <f>Setup!AO11</f>
        <v>5</v>
      </c>
      <c r="AA40" s="10"/>
      <c r="AB40" s="10"/>
      <c r="AC40" s="10"/>
      <c r="AD40" s="42">
        <f>mround(AD39*Setup!AX11,'Quick Setup'!$A$2)</f>
        <v>210</v>
      </c>
      <c r="AE40" s="3">
        <f>Setup!AY11</f>
        <v>6</v>
      </c>
      <c r="AF40" s="3">
        <f>Setup!AZ11</f>
        <v>11</v>
      </c>
      <c r="AG40" s="3">
        <f>Setup!BA11</f>
        <v>5</v>
      </c>
      <c r="AH40" s="10"/>
      <c r="AI40" s="10"/>
      <c r="AJ40" s="10"/>
      <c r="AK40" s="42">
        <f>mround(AK39*Setup!BJ11,'Quick Setup'!$A$2)</f>
        <v>225</v>
      </c>
      <c r="AL40" s="3">
        <f>Setup!BK11</f>
        <v>5</v>
      </c>
      <c r="AM40" s="3">
        <f>Setup!BL11</f>
        <v>9</v>
      </c>
      <c r="AN40" s="3">
        <f>Setup!BM11</f>
        <v>5</v>
      </c>
      <c r="AO40" s="10"/>
      <c r="AP40" s="10"/>
      <c r="AQ40" s="10"/>
      <c r="AR40" s="42">
        <f>mround(AR39*Setup!BV11,'Quick Setup'!$A$2)</f>
        <v>155</v>
      </c>
      <c r="AS40" s="1">
        <v>5.0</v>
      </c>
      <c r="AT40" s="1" t="s">
        <v>78</v>
      </c>
      <c r="AU40" s="3">
        <f>Setup!BY11</f>
        <v>5</v>
      </c>
      <c r="AV40" s="10"/>
      <c r="AW40" s="10"/>
      <c r="AX40" s="10"/>
      <c r="AY40" s="42">
        <f>mround(AY39*Setup!CH11,'Quick Setup'!$A$2)</f>
        <v>202.5</v>
      </c>
      <c r="AZ40" s="3">
        <f>Setup!CI11</f>
        <v>6</v>
      </c>
      <c r="BA40" s="3">
        <f>Setup!CJ11</f>
        <v>12</v>
      </c>
      <c r="BB40" s="3">
        <f>Setup!CK11</f>
        <v>5</v>
      </c>
      <c r="BC40" s="10"/>
      <c r="BD40" s="10"/>
      <c r="BE40" s="10"/>
      <c r="BF40" s="42">
        <f>mround(BF39*Setup!CT11,'Quick Setup'!$A$2)</f>
        <v>217.5</v>
      </c>
      <c r="BG40" s="3">
        <f>Setup!CU11</f>
        <v>5</v>
      </c>
      <c r="BH40" s="3">
        <f>Setup!CV11</f>
        <v>10</v>
      </c>
      <c r="BI40" s="3">
        <f>Setup!CW11</f>
        <v>5</v>
      </c>
      <c r="BJ40" s="10"/>
      <c r="BK40" s="10"/>
      <c r="BL40" s="10"/>
      <c r="BM40" s="42">
        <f>mround(BM39*Setup!DF11,'Quick Setup'!$A$2)</f>
        <v>232.5</v>
      </c>
      <c r="BN40" s="3">
        <f>Setup!DG11</f>
        <v>4</v>
      </c>
      <c r="BO40" s="3">
        <f>Setup!DH11</f>
        <v>8</v>
      </c>
      <c r="BP40" s="3">
        <f>Setup!DI11</f>
        <v>5</v>
      </c>
      <c r="BQ40" s="10"/>
      <c r="BR40" s="10"/>
      <c r="BS40" s="10"/>
      <c r="BT40" s="42">
        <f>mround(BT39*Setup!DR11,'Quick Setup'!$A$2)</f>
        <v>210</v>
      </c>
      <c r="BU40" s="3">
        <f>Setup!DS11</f>
        <v>6</v>
      </c>
      <c r="BV40" s="3">
        <f>Setup!DT11</f>
        <v>11</v>
      </c>
      <c r="BW40" s="3">
        <f>Setup!DU11</f>
        <v>5</v>
      </c>
      <c r="BX40" s="10"/>
      <c r="BY40" s="10"/>
      <c r="BZ40" s="10"/>
      <c r="CA40" s="42">
        <f>mround(CA39*Setup!ED11,'Quick Setup'!$A$2)</f>
        <v>225</v>
      </c>
      <c r="CB40" s="3">
        <f>Setup!EE11</f>
        <v>5</v>
      </c>
      <c r="CC40" s="3">
        <f>Setup!EF11</f>
        <v>9</v>
      </c>
      <c r="CD40" s="3">
        <f>Setup!EG11</f>
        <v>5</v>
      </c>
      <c r="CE40" s="10"/>
      <c r="CF40" s="10"/>
      <c r="CG40" s="10"/>
      <c r="CH40" s="42">
        <f>mround(CH39*Setup!EP11,'Quick Setup'!$A$2)</f>
        <v>240</v>
      </c>
      <c r="CI40" s="3">
        <f>Setup!EQ11</f>
        <v>4</v>
      </c>
      <c r="CJ40" s="3">
        <f>Setup!ER11</f>
        <v>7</v>
      </c>
      <c r="CK40" s="3">
        <f>Setup!ES11</f>
        <v>5</v>
      </c>
      <c r="CL40" s="10"/>
      <c r="CM40" s="10"/>
      <c r="CN40" s="10"/>
      <c r="CO40" s="42">
        <f>mround(CO39*Setup!FB11,'Quick Setup'!$A$2)</f>
        <v>155</v>
      </c>
      <c r="CP40" s="1">
        <v>5.0</v>
      </c>
      <c r="CQ40" s="1" t="s">
        <v>78</v>
      </c>
      <c r="CR40" s="3">
        <f>Setup!FE11</f>
        <v>5</v>
      </c>
      <c r="CS40" s="10"/>
      <c r="CT40" s="10"/>
      <c r="CU40" s="10"/>
      <c r="CV40" s="42">
        <f>mround(CV39*Setup!FN11,'Quick Setup'!$A$2)</f>
        <v>217.5</v>
      </c>
      <c r="CW40" s="3">
        <f>Setup!FO11</f>
        <v>5</v>
      </c>
      <c r="CX40" s="3">
        <f>Setup!FP11</f>
        <v>10</v>
      </c>
      <c r="CY40" s="3">
        <f>Setup!FQ11</f>
        <v>5</v>
      </c>
      <c r="CZ40" s="10"/>
      <c r="DA40" s="10"/>
      <c r="DB40" s="10"/>
      <c r="DC40" s="42">
        <f>mround(DC39*Setup!FZ11,'Quick Setup'!$A$2)</f>
        <v>232.5</v>
      </c>
      <c r="DD40" s="3">
        <f>Setup!GA11</f>
        <v>4</v>
      </c>
      <c r="DE40" s="3">
        <f>Setup!GB11</f>
        <v>8</v>
      </c>
      <c r="DF40" s="3">
        <f>Setup!GC11</f>
        <v>5</v>
      </c>
      <c r="DG40" s="10"/>
      <c r="DH40" s="10"/>
      <c r="DI40" s="10"/>
      <c r="DJ40" s="42">
        <f>mround(DJ39*Setup!GL11,'Quick Setup'!$A$2)</f>
        <v>247.5</v>
      </c>
      <c r="DK40" s="3">
        <f>Setup!GM11</f>
        <v>3</v>
      </c>
      <c r="DL40" s="3">
        <f>Setup!GN11</f>
        <v>6</v>
      </c>
      <c r="DM40" s="3">
        <f>Setup!GO11</f>
        <v>5</v>
      </c>
      <c r="DN40" s="10"/>
      <c r="DO40" s="10"/>
      <c r="DP40" s="10"/>
      <c r="DQ40" s="42">
        <f>mround(DQ39*Setup!GX11,'Quick Setup'!$A$2)</f>
        <v>232.5</v>
      </c>
      <c r="DR40" s="3">
        <f>Setup!GY11</f>
        <v>4</v>
      </c>
      <c r="DS40" s="3">
        <f>Setup!GZ11</f>
        <v>8</v>
      </c>
      <c r="DT40" s="3">
        <f>Setup!HA11</f>
        <v>5</v>
      </c>
      <c r="DU40" s="10"/>
      <c r="DV40" s="10"/>
      <c r="DW40" s="10"/>
      <c r="DX40" s="42">
        <f>mround(DX39*Setup!HJ11,'Quick Setup'!$A$2)</f>
        <v>247.5</v>
      </c>
      <c r="DY40" s="3">
        <f>Setup!HK11</f>
        <v>3</v>
      </c>
      <c r="DZ40" s="3">
        <f>Setup!HL11</f>
        <v>6</v>
      </c>
      <c r="EA40" s="3">
        <f>Setup!HM11</f>
        <v>5</v>
      </c>
      <c r="EB40" s="10"/>
      <c r="EC40" s="10"/>
      <c r="ED40" s="10"/>
      <c r="EE40" s="42">
        <f>mround(EE39*Setup!HV11,'Quick Setup'!$A$2)</f>
        <v>262.5</v>
      </c>
      <c r="EF40" s="3">
        <f>Setup!HW11</f>
        <v>2</v>
      </c>
      <c r="EG40" s="3">
        <f>Setup!HX11</f>
        <v>4</v>
      </c>
      <c r="EH40" s="3">
        <f>Setup!HY11</f>
        <v>5</v>
      </c>
      <c r="EI40" s="10"/>
      <c r="EJ40" s="10"/>
      <c r="EK40" s="10"/>
      <c r="EL40" s="42">
        <f>mround(EL39*Setup!IH11,'Quick Setup'!$A$2)</f>
        <v>155</v>
      </c>
      <c r="EM40" s="1">
        <v>5.0</v>
      </c>
      <c r="EN40" s="1" t="s">
        <v>78</v>
      </c>
      <c r="EO40" s="3">
        <f>Setup!IK11</f>
        <v>5</v>
      </c>
      <c r="EP40" s="10"/>
      <c r="EQ40" s="10"/>
      <c r="ER40" s="10"/>
    </row>
    <row r="41">
      <c r="A41" s="5"/>
      <c r="B41" s="43"/>
      <c r="C41" s="10"/>
      <c r="D41" s="10"/>
      <c r="E41" s="10"/>
      <c r="F41" s="10"/>
      <c r="G41" s="10"/>
      <c r="H41" s="10"/>
      <c r="I41" s="43" t="str">
        <f t="shared" ref="I41:M41" si="241">B41</f>
        <v/>
      </c>
      <c r="J41" s="10" t="str">
        <f t="shared" si="241"/>
        <v/>
      </c>
      <c r="K41" s="10" t="str">
        <f t="shared" si="241"/>
        <v/>
      </c>
      <c r="L41" s="10" t="str">
        <f t="shared" si="241"/>
        <v/>
      </c>
      <c r="M41" s="10" t="str">
        <f t="shared" si="241"/>
        <v/>
      </c>
      <c r="N41" s="10"/>
      <c r="O41" s="10"/>
      <c r="P41" s="43" t="str">
        <f t="shared" ref="P41:T41" si="242">I41</f>
        <v/>
      </c>
      <c r="Q41" s="10" t="str">
        <f t="shared" si="242"/>
        <v/>
      </c>
      <c r="R41" s="10" t="str">
        <f t="shared" si="242"/>
        <v/>
      </c>
      <c r="S41" s="10" t="str">
        <f t="shared" si="242"/>
        <v/>
      </c>
      <c r="T41" s="10" t="str">
        <f t="shared" si="242"/>
        <v/>
      </c>
      <c r="U41" s="10"/>
      <c r="V41" s="10"/>
      <c r="W41" s="43" t="str">
        <f t="shared" ref="W41:AA41" si="243">P41</f>
        <v/>
      </c>
      <c r="X41" s="10" t="str">
        <f t="shared" si="243"/>
        <v/>
      </c>
      <c r="Y41" s="10" t="str">
        <f t="shared" si="243"/>
        <v/>
      </c>
      <c r="Z41" s="10" t="str">
        <f t="shared" si="243"/>
        <v/>
      </c>
      <c r="AA41" s="10" t="str">
        <f t="shared" si="243"/>
        <v/>
      </c>
      <c r="AB41" s="10"/>
      <c r="AC41" s="10"/>
      <c r="AD41" s="43" t="str">
        <f t="shared" ref="AD41:AH41" si="244">W41</f>
        <v/>
      </c>
      <c r="AE41" s="10" t="str">
        <f t="shared" si="244"/>
        <v/>
      </c>
      <c r="AF41" s="10" t="str">
        <f t="shared" si="244"/>
        <v/>
      </c>
      <c r="AG41" s="10" t="str">
        <f t="shared" si="244"/>
        <v/>
      </c>
      <c r="AH41" s="10" t="str">
        <f t="shared" si="244"/>
        <v/>
      </c>
      <c r="AI41" s="10"/>
      <c r="AJ41" s="10"/>
      <c r="AK41" s="43" t="str">
        <f t="shared" ref="AK41:AO41" si="245">AD41</f>
        <v/>
      </c>
      <c r="AL41" s="10" t="str">
        <f t="shared" si="245"/>
        <v/>
      </c>
      <c r="AM41" s="10" t="str">
        <f t="shared" si="245"/>
        <v/>
      </c>
      <c r="AN41" s="10" t="str">
        <f t="shared" si="245"/>
        <v/>
      </c>
      <c r="AO41" s="10" t="str">
        <f t="shared" si="245"/>
        <v/>
      </c>
      <c r="AP41" s="10"/>
      <c r="AQ41" s="10"/>
      <c r="AR41" s="43" t="str">
        <f t="shared" ref="AR41:AV41" si="246">AK41</f>
        <v/>
      </c>
      <c r="AS41" s="10" t="str">
        <f t="shared" si="246"/>
        <v/>
      </c>
      <c r="AT41" s="10" t="str">
        <f t="shared" si="246"/>
        <v/>
      </c>
      <c r="AU41" s="10" t="str">
        <f t="shared" si="246"/>
        <v/>
      </c>
      <c r="AV41" s="10" t="str">
        <f t="shared" si="246"/>
        <v/>
      </c>
      <c r="AW41" s="10"/>
      <c r="AX41" s="10"/>
      <c r="AY41" s="43" t="str">
        <f t="shared" ref="AY41:BC41" si="247">AR41</f>
        <v/>
      </c>
      <c r="AZ41" s="10" t="str">
        <f t="shared" si="247"/>
        <v/>
      </c>
      <c r="BA41" s="10" t="str">
        <f t="shared" si="247"/>
        <v/>
      </c>
      <c r="BB41" s="10" t="str">
        <f t="shared" si="247"/>
        <v/>
      </c>
      <c r="BC41" s="10" t="str">
        <f t="shared" si="247"/>
        <v/>
      </c>
      <c r="BD41" s="10"/>
      <c r="BE41" s="10"/>
      <c r="BF41" s="43" t="str">
        <f t="shared" ref="BF41:BJ41" si="248">AY41</f>
        <v/>
      </c>
      <c r="BG41" s="10" t="str">
        <f t="shared" si="248"/>
        <v/>
      </c>
      <c r="BH41" s="10" t="str">
        <f t="shared" si="248"/>
        <v/>
      </c>
      <c r="BI41" s="10" t="str">
        <f t="shared" si="248"/>
        <v/>
      </c>
      <c r="BJ41" s="10" t="str">
        <f t="shared" si="248"/>
        <v/>
      </c>
      <c r="BK41" s="10"/>
      <c r="BL41" s="10"/>
      <c r="BM41" s="43" t="str">
        <f t="shared" ref="BM41:BQ41" si="249">BF41</f>
        <v/>
      </c>
      <c r="BN41" s="10" t="str">
        <f t="shared" si="249"/>
        <v/>
      </c>
      <c r="BO41" s="10" t="str">
        <f t="shared" si="249"/>
        <v/>
      </c>
      <c r="BP41" s="10" t="str">
        <f t="shared" si="249"/>
        <v/>
      </c>
      <c r="BQ41" s="10" t="str">
        <f t="shared" si="249"/>
        <v/>
      </c>
      <c r="BR41" s="10"/>
      <c r="BS41" s="10"/>
      <c r="BT41" s="43" t="str">
        <f t="shared" ref="BT41:BX41" si="250">BM41</f>
        <v/>
      </c>
      <c r="BU41" s="10" t="str">
        <f t="shared" si="250"/>
        <v/>
      </c>
      <c r="BV41" s="10" t="str">
        <f t="shared" si="250"/>
        <v/>
      </c>
      <c r="BW41" s="10" t="str">
        <f t="shared" si="250"/>
        <v/>
      </c>
      <c r="BX41" s="10" t="str">
        <f t="shared" si="250"/>
        <v/>
      </c>
      <c r="BY41" s="10"/>
      <c r="BZ41" s="10"/>
      <c r="CA41" s="43" t="str">
        <f t="shared" ref="CA41:CE41" si="251">BT41</f>
        <v/>
      </c>
      <c r="CB41" s="10" t="str">
        <f t="shared" si="251"/>
        <v/>
      </c>
      <c r="CC41" s="10" t="str">
        <f t="shared" si="251"/>
        <v/>
      </c>
      <c r="CD41" s="10" t="str">
        <f t="shared" si="251"/>
        <v/>
      </c>
      <c r="CE41" s="10" t="str">
        <f t="shared" si="251"/>
        <v/>
      </c>
      <c r="CF41" s="10"/>
      <c r="CG41" s="10"/>
      <c r="CH41" s="43" t="str">
        <f t="shared" ref="CH41:CL41" si="252">CA41</f>
        <v/>
      </c>
      <c r="CI41" s="10" t="str">
        <f t="shared" si="252"/>
        <v/>
      </c>
      <c r="CJ41" s="10" t="str">
        <f t="shared" si="252"/>
        <v/>
      </c>
      <c r="CK41" s="10" t="str">
        <f t="shared" si="252"/>
        <v/>
      </c>
      <c r="CL41" s="10" t="str">
        <f t="shared" si="252"/>
        <v/>
      </c>
      <c r="CM41" s="10"/>
      <c r="CN41" s="10"/>
      <c r="CO41" s="43" t="str">
        <f t="shared" ref="CO41:CS41" si="253">CH41</f>
        <v/>
      </c>
      <c r="CP41" s="10" t="str">
        <f t="shared" si="253"/>
        <v/>
      </c>
      <c r="CQ41" s="10" t="str">
        <f t="shared" si="253"/>
        <v/>
      </c>
      <c r="CR41" s="10" t="str">
        <f t="shared" si="253"/>
        <v/>
      </c>
      <c r="CS41" s="10" t="str">
        <f t="shared" si="253"/>
        <v/>
      </c>
      <c r="CT41" s="10"/>
      <c r="CU41" s="10"/>
      <c r="CV41" s="43" t="str">
        <f t="shared" ref="CV41:CZ41" si="254">CO41</f>
        <v/>
      </c>
      <c r="CW41" s="10" t="str">
        <f t="shared" si="254"/>
        <v/>
      </c>
      <c r="CX41" s="10" t="str">
        <f t="shared" si="254"/>
        <v/>
      </c>
      <c r="CY41" s="10" t="str">
        <f t="shared" si="254"/>
        <v/>
      </c>
      <c r="CZ41" s="10" t="str">
        <f t="shared" si="254"/>
        <v/>
      </c>
      <c r="DA41" s="10"/>
      <c r="DB41" s="10"/>
      <c r="DC41" s="43" t="str">
        <f t="shared" ref="DC41:DG41" si="255">CV41</f>
        <v/>
      </c>
      <c r="DD41" s="10" t="str">
        <f t="shared" si="255"/>
        <v/>
      </c>
      <c r="DE41" s="10" t="str">
        <f t="shared" si="255"/>
        <v/>
      </c>
      <c r="DF41" s="10" t="str">
        <f t="shared" si="255"/>
        <v/>
      </c>
      <c r="DG41" s="10" t="str">
        <f t="shared" si="255"/>
        <v/>
      </c>
      <c r="DH41" s="10"/>
      <c r="DI41" s="10"/>
      <c r="DJ41" s="43" t="str">
        <f t="shared" ref="DJ41:DN41" si="256">DC41</f>
        <v/>
      </c>
      <c r="DK41" s="10" t="str">
        <f t="shared" si="256"/>
        <v/>
      </c>
      <c r="DL41" s="10" t="str">
        <f t="shared" si="256"/>
        <v/>
      </c>
      <c r="DM41" s="10" t="str">
        <f t="shared" si="256"/>
        <v/>
      </c>
      <c r="DN41" s="10" t="str">
        <f t="shared" si="256"/>
        <v/>
      </c>
      <c r="DO41" s="10"/>
      <c r="DP41" s="10"/>
      <c r="DQ41" s="43" t="str">
        <f t="shared" ref="DQ41:DU41" si="257">DJ41</f>
        <v/>
      </c>
      <c r="DR41" s="10" t="str">
        <f t="shared" si="257"/>
        <v/>
      </c>
      <c r="DS41" s="10" t="str">
        <f t="shared" si="257"/>
        <v/>
      </c>
      <c r="DT41" s="10" t="str">
        <f t="shared" si="257"/>
        <v/>
      </c>
      <c r="DU41" s="10" t="str">
        <f t="shared" si="257"/>
        <v/>
      </c>
      <c r="DV41" s="10"/>
      <c r="DW41" s="10"/>
      <c r="DX41" s="43" t="str">
        <f t="shared" ref="DX41:EB41" si="258">DQ41</f>
        <v/>
      </c>
      <c r="DY41" s="10" t="str">
        <f t="shared" si="258"/>
        <v/>
      </c>
      <c r="DZ41" s="10" t="str">
        <f t="shared" si="258"/>
        <v/>
      </c>
      <c r="EA41" s="10" t="str">
        <f t="shared" si="258"/>
        <v/>
      </c>
      <c r="EB41" s="10" t="str">
        <f t="shared" si="258"/>
        <v/>
      </c>
      <c r="EC41" s="10"/>
      <c r="ED41" s="10"/>
      <c r="EE41" s="43" t="str">
        <f t="shared" ref="EE41:EI41" si="259">DX41</f>
        <v/>
      </c>
      <c r="EF41" s="10" t="str">
        <f t="shared" si="259"/>
        <v/>
      </c>
      <c r="EG41" s="10" t="str">
        <f t="shared" si="259"/>
        <v/>
      </c>
      <c r="EH41" s="10" t="str">
        <f t="shared" si="259"/>
        <v/>
      </c>
      <c r="EI41" s="10" t="str">
        <f t="shared" si="259"/>
        <v/>
      </c>
      <c r="EJ41" s="10"/>
      <c r="EK41" s="10"/>
      <c r="EL41" s="43" t="str">
        <f t="shared" ref="EL41:EP41" si="260">EE41</f>
        <v/>
      </c>
      <c r="EM41" s="10" t="str">
        <f t="shared" si="260"/>
        <v/>
      </c>
      <c r="EN41" s="10" t="str">
        <f t="shared" si="260"/>
        <v/>
      </c>
      <c r="EO41" s="10" t="str">
        <f t="shared" si="260"/>
        <v/>
      </c>
      <c r="EP41" s="10" t="str">
        <f t="shared" si="260"/>
        <v/>
      </c>
      <c r="EQ41" s="10"/>
      <c r="ER41" s="10"/>
    </row>
    <row r="42">
      <c r="A42" s="1" t="s">
        <v>79</v>
      </c>
      <c r="B42" s="42"/>
      <c r="C42" s="3"/>
      <c r="D42" s="3"/>
      <c r="E42" s="3"/>
      <c r="F42" s="3"/>
      <c r="G42" s="3"/>
      <c r="H42" s="3"/>
      <c r="I42" s="42"/>
      <c r="J42" s="3"/>
      <c r="K42" s="3"/>
      <c r="L42" s="3"/>
      <c r="M42" s="3"/>
      <c r="N42" s="3"/>
      <c r="O42" s="3"/>
      <c r="P42" s="42"/>
      <c r="Q42" s="3"/>
      <c r="R42" s="3"/>
      <c r="S42" s="3"/>
      <c r="T42" s="3"/>
      <c r="U42" s="3"/>
      <c r="V42" s="3"/>
      <c r="W42" s="42"/>
      <c r="X42" s="3"/>
      <c r="Y42" s="3"/>
      <c r="Z42" s="3"/>
      <c r="AA42" s="3"/>
      <c r="AB42" s="3"/>
      <c r="AC42" s="3"/>
      <c r="AD42" s="42"/>
      <c r="AE42" s="3"/>
      <c r="AF42" s="3"/>
      <c r="AG42" s="3"/>
      <c r="AH42" s="3"/>
      <c r="AI42" s="3"/>
      <c r="AJ42" s="3"/>
      <c r="AK42" s="42"/>
      <c r="AL42" s="3"/>
      <c r="AM42" s="3"/>
      <c r="AN42" s="3"/>
      <c r="AO42" s="3"/>
      <c r="AP42" s="3"/>
      <c r="AQ42" s="3"/>
      <c r="AR42" s="42"/>
      <c r="AS42" s="3"/>
      <c r="AT42" s="3"/>
      <c r="AU42" s="3"/>
      <c r="AV42" s="3"/>
      <c r="AW42" s="3"/>
      <c r="AX42" s="3"/>
      <c r="AY42" s="42"/>
      <c r="AZ42" s="3"/>
      <c r="BA42" s="3"/>
      <c r="BB42" s="3"/>
      <c r="BC42" s="3"/>
      <c r="BD42" s="3"/>
      <c r="BE42" s="3"/>
      <c r="BF42" s="42"/>
      <c r="BG42" s="3"/>
      <c r="BH42" s="3"/>
      <c r="BI42" s="3"/>
      <c r="BJ42" s="3"/>
      <c r="BK42" s="3"/>
      <c r="BL42" s="3"/>
      <c r="BM42" s="42"/>
      <c r="BN42" s="3"/>
      <c r="BO42" s="3"/>
      <c r="BP42" s="3"/>
      <c r="BQ42" s="3"/>
      <c r="BR42" s="3"/>
      <c r="BS42" s="3"/>
      <c r="BT42" s="42"/>
      <c r="BU42" s="3"/>
      <c r="BV42" s="3"/>
      <c r="BW42" s="3"/>
      <c r="BX42" s="3"/>
      <c r="BY42" s="3"/>
      <c r="BZ42" s="3"/>
      <c r="CA42" s="42"/>
      <c r="CB42" s="3"/>
      <c r="CC42" s="3"/>
      <c r="CD42" s="3"/>
      <c r="CE42" s="3"/>
      <c r="CF42" s="3"/>
      <c r="CG42" s="3"/>
      <c r="CH42" s="42"/>
      <c r="CI42" s="3"/>
      <c r="CJ42" s="3"/>
      <c r="CK42" s="3"/>
      <c r="CL42" s="3"/>
      <c r="CM42" s="3"/>
      <c r="CN42" s="3"/>
      <c r="CO42" s="42"/>
      <c r="CP42" s="3"/>
      <c r="CQ42" s="3"/>
      <c r="CR42" s="3"/>
      <c r="CS42" s="3"/>
      <c r="CT42" s="3"/>
      <c r="CU42" s="3"/>
      <c r="CV42" s="42"/>
      <c r="CW42" s="3"/>
      <c r="CX42" s="3"/>
      <c r="CY42" s="3"/>
      <c r="CZ42" s="3"/>
      <c r="DA42" s="3"/>
      <c r="DB42" s="3"/>
      <c r="DC42" s="42"/>
      <c r="DD42" s="3"/>
      <c r="DE42" s="3"/>
      <c r="DF42" s="3"/>
      <c r="DG42" s="3"/>
      <c r="DH42" s="3"/>
      <c r="DI42" s="3"/>
      <c r="DJ42" s="42"/>
      <c r="DK42" s="3"/>
      <c r="DL42" s="3"/>
      <c r="DM42" s="3"/>
      <c r="DN42" s="3"/>
      <c r="DO42" s="3"/>
      <c r="DP42" s="3"/>
      <c r="DQ42" s="42"/>
      <c r="DR42" s="3"/>
      <c r="DS42" s="3"/>
      <c r="DT42" s="3"/>
      <c r="DU42" s="3"/>
      <c r="DV42" s="3"/>
      <c r="DW42" s="3"/>
      <c r="DX42" s="42"/>
      <c r="DY42" s="3"/>
      <c r="DZ42" s="3"/>
      <c r="EA42" s="3"/>
      <c r="EB42" s="3"/>
      <c r="EC42" s="3"/>
      <c r="ED42" s="3"/>
      <c r="EE42" s="42"/>
      <c r="EF42" s="3"/>
      <c r="EG42" s="3"/>
      <c r="EH42" s="3"/>
      <c r="EI42" s="3"/>
      <c r="EJ42" s="3"/>
      <c r="EK42" s="3"/>
      <c r="EL42" s="42"/>
      <c r="EM42" s="3"/>
      <c r="EN42" s="3"/>
      <c r="EO42" s="3"/>
      <c r="EP42" s="3"/>
      <c r="EQ42" s="3"/>
      <c r="ER42" s="3"/>
    </row>
    <row r="43">
      <c r="A43" s="44"/>
      <c r="B43" s="43"/>
      <c r="C43" s="10"/>
      <c r="D43" s="10"/>
      <c r="E43" s="10"/>
      <c r="F43" s="10"/>
      <c r="G43" s="10"/>
      <c r="H43" s="10"/>
      <c r="I43" s="43" t="str">
        <f t="shared" ref="I43:M43" si="261">B43</f>
        <v/>
      </c>
      <c r="J43" s="10" t="str">
        <f t="shared" si="261"/>
        <v/>
      </c>
      <c r="K43" s="10" t="str">
        <f t="shared" si="261"/>
        <v/>
      </c>
      <c r="L43" s="10" t="str">
        <f t="shared" si="261"/>
        <v/>
      </c>
      <c r="M43" s="10" t="str">
        <f t="shared" si="261"/>
        <v/>
      </c>
      <c r="N43" s="10"/>
      <c r="O43" s="10"/>
      <c r="P43" s="43" t="str">
        <f t="shared" ref="P43:T43" si="262">I43</f>
        <v/>
      </c>
      <c r="Q43" s="10" t="str">
        <f t="shared" si="262"/>
        <v/>
      </c>
      <c r="R43" s="10" t="str">
        <f t="shared" si="262"/>
        <v/>
      </c>
      <c r="S43" s="10" t="str">
        <f t="shared" si="262"/>
        <v/>
      </c>
      <c r="T43" s="10" t="str">
        <f t="shared" si="262"/>
        <v/>
      </c>
      <c r="U43" s="10"/>
      <c r="V43" s="10"/>
      <c r="W43" s="43" t="str">
        <f t="shared" ref="W43:AA43" si="263">P43</f>
        <v/>
      </c>
      <c r="X43" s="10" t="str">
        <f t="shared" si="263"/>
        <v/>
      </c>
      <c r="Y43" s="10" t="str">
        <f t="shared" si="263"/>
        <v/>
      </c>
      <c r="Z43" s="10" t="str">
        <f t="shared" si="263"/>
        <v/>
      </c>
      <c r="AA43" s="10" t="str">
        <f t="shared" si="263"/>
        <v/>
      </c>
      <c r="AB43" s="10"/>
      <c r="AC43" s="10"/>
      <c r="AD43" s="43" t="str">
        <f t="shared" ref="AD43:AH43" si="264">W43</f>
        <v/>
      </c>
      <c r="AE43" s="10" t="str">
        <f t="shared" si="264"/>
        <v/>
      </c>
      <c r="AF43" s="10" t="str">
        <f t="shared" si="264"/>
        <v/>
      </c>
      <c r="AG43" s="10" t="str">
        <f t="shared" si="264"/>
        <v/>
      </c>
      <c r="AH43" s="10" t="str">
        <f t="shared" si="264"/>
        <v/>
      </c>
      <c r="AI43" s="10"/>
      <c r="AJ43" s="10"/>
      <c r="AK43" s="43" t="str">
        <f t="shared" ref="AK43:AO43" si="265">AD43</f>
        <v/>
      </c>
      <c r="AL43" s="10" t="str">
        <f t="shared" si="265"/>
        <v/>
      </c>
      <c r="AM43" s="10" t="str">
        <f t="shared" si="265"/>
        <v/>
      </c>
      <c r="AN43" s="10" t="str">
        <f t="shared" si="265"/>
        <v/>
      </c>
      <c r="AO43" s="10" t="str">
        <f t="shared" si="265"/>
        <v/>
      </c>
      <c r="AP43" s="10"/>
      <c r="AQ43" s="10"/>
      <c r="AR43" s="43" t="str">
        <f t="shared" ref="AR43:AV43" si="266">AK43</f>
        <v/>
      </c>
      <c r="AS43" s="10" t="str">
        <f t="shared" si="266"/>
        <v/>
      </c>
      <c r="AT43" s="10" t="str">
        <f t="shared" si="266"/>
        <v/>
      </c>
      <c r="AU43" s="10" t="str">
        <f t="shared" si="266"/>
        <v/>
      </c>
      <c r="AV43" s="10" t="str">
        <f t="shared" si="266"/>
        <v/>
      </c>
      <c r="AW43" s="10"/>
      <c r="AX43" s="10"/>
      <c r="AY43" s="43" t="str">
        <f t="shared" ref="AY43:BC43" si="267">AR43</f>
        <v/>
      </c>
      <c r="AZ43" s="10" t="str">
        <f t="shared" si="267"/>
        <v/>
      </c>
      <c r="BA43" s="10" t="str">
        <f t="shared" si="267"/>
        <v/>
      </c>
      <c r="BB43" s="10" t="str">
        <f t="shared" si="267"/>
        <v/>
      </c>
      <c r="BC43" s="10" t="str">
        <f t="shared" si="267"/>
        <v/>
      </c>
      <c r="BD43" s="10"/>
      <c r="BE43" s="10"/>
      <c r="BF43" s="43" t="str">
        <f t="shared" ref="BF43:BJ43" si="268">AY43</f>
        <v/>
      </c>
      <c r="BG43" s="10" t="str">
        <f t="shared" si="268"/>
        <v/>
      </c>
      <c r="BH43" s="10" t="str">
        <f t="shared" si="268"/>
        <v/>
      </c>
      <c r="BI43" s="10" t="str">
        <f t="shared" si="268"/>
        <v/>
      </c>
      <c r="BJ43" s="10" t="str">
        <f t="shared" si="268"/>
        <v/>
      </c>
      <c r="BK43" s="10"/>
      <c r="BL43" s="10"/>
      <c r="BM43" s="43" t="str">
        <f t="shared" ref="BM43:BQ43" si="269">BF43</f>
        <v/>
      </c>
      <c r="BN43" s="10" t="str">
        <f t="shared" si="269"/>
        <v/>
      </c>
      <c r="BO43" s="10" t="str">
        <f t="shared" si="269"/>
        <v/>
      </c>
      <c r="BP43" s="10" t="str">
        <f t="shared" si="269"/>
        <v/>
      </c>
      <c r="BQ43" s="10" t="str">
        <f t="shared" si="269"/>
        <v/>
      </c>
      <c r="BR43" s="10"/>
      <c r="BS43" s="10"/>
      <c r="BT43" s="43" t="str">
        <f t="shared" ref="BT43:BX43" si="270">BM43</f>
        <v/>
      </c>
      <c r="BU43" s="10" t="str">
        <f t="shared" si="270"/>
        <v/>
      </c>
      <c r="BV43" s="10" t="str">
        <f t="shared" si="270"/>
        <v/>
      </c>
      <c r="BW43" s="10" t="str">
        <f t="shared" si="270"/>
        <v/>
      </c>
      <c r="BX43" s="10" t="str">
        <f t="shared" si="270"/>
        <v/>
      </c>
      <c r="BY43" s="10"/>
      <c r="BZ43" s="10"/>
      <c r="CA43" s="43" t="str">
        <f t="shared" ref="CA43:CE43" si="271">BT43</f>
        <v/>
      </c>
      <c r="CB43" s="10" t="str">
        <f t="shared" si="271"/>
        <v/>
      </c>
      <c r="CC43" s="10" t="str">
        <f t="shared" si="271"/>
        <v/>
      </c>
      <c r="CD43" s="10" t="str">
        <f t="shared" si="271"/>
        <v/>
      </c>
      <c r="CE43" s="10" t="str">
        <f t="shared" si="271"/>
        <v/>
      </c>
      <c r="CF43" s="10"/>
      <c r="CG43" s="10"/>
      <c r="CH43" s="43" t="str">
        <f t="shared" ref="CH43:CL43" si="272">CA43</f>
        <v/>
      </c>
      <c r="CI43" s="10" t="str">
        <f t="shared" si="272"/>
        <v/>
      </c>
      <c r="CJ43" s="10" t="str">
        <f t="shared" si="272"/>
        <v/>
      </c>
      <c r="CK43" s="10" t="str">
        <f t="shared" si="272"/>
        <v/>
      </c>
      <c r="CL43" s="10" t="str">
        <f t="shared" si="272"/>
        <v/>
      </c>
      <c r="CM43" s="10"/>
      <c r="CN43" s="10"/>
      <c r="CO43" s="43" t="str">
        <f t="shared" ref="CO43:CS43" si="273">CH43</f>
        <v/>
      </c>
      <c r="CP43" s="10" t="str">
        <f t="shared" si="273"/>
        <v/>
      </c>
      <c r="CQ43" s="10" t="str">
        <f t="shared" si="273"/>
        <v/>
      </c>
      <c r="CR43" s="10" t="str">
        <f t="shared" si="273"/>
        <v/>
      </c>
      <c r="CS43" s="10" t="str">
        <f t="shared" si="273"/>
        <v/>
      </c>
      <c r="CT43" s="10"/>
      <c r="CU43" s="10"/>
      <c r="CV43" s="43" t="str">
        <f t="shared" ref="CV43:CZ43" si="274">CO43</f>
        <v/>
      </c>
      <c r="CW43" s="10" t="str">
        <f t="shared" si="274"/>
        <v/>
      </c>
      <c r="CX43" s="10" t="str">
        <f t="shared" si="274"/>
        <v/>
      </c>
      <c r="CY43" s="10" t="str">
        <f t="shared" si="274"/>
        <v/>
      </c>
      <c r="CZ43" s="10" t="str">
        <f t="shared" si="274"/>
        <v/>
      </c>
      <c r="DA43" s="10"/>
      <c r="DB43" s="10"/>
      <c r="DC43" s="43" t="str">
        <f t="shared" ref="DC43:DG43" si="275">CV43</f>
        <v/>
      </c>
      <c r="DD43" s="10" t="str">
        <f t="shared" si="275"/>
        <v/>
      </c>
      <c r="DE43" s="10" t="str">
        <f t="shared" si="275"/>
        <v/>
      </c>
      <c r="DF43" s="10" t="str">
        <f t="shared" si="275"/>
        <v/>
      </c>
      <c r="DG43" s="10" t="str">
        <f t="shared" si="275"/>
        <v/>
      </c>
      <c r="DH43" s="10"/>
      <c r="DI43" s="10"/>
      <c r="DJ43" s="43" t="str">
        <f t="shared" ref="DJ43:DN43" si="276">DC43</f>
        <v/>
      </c>
      <c r="DK43" s="10" t="str">
        <f t="shared" si="276"/>
        <v/>
      </c>
      <c r="DL43" s="10" t="str">
        <f t="shared" si="276"/>
        <v/>
      </c>
      <c r="DM43" s="10" t="str">
        <f t="shared" si="276"/>
        <v/>
      </c>
      <c r="DN43" s="10" t="str">
        <f t="shared" si="276"/>
        <v/>
      </c>
      <c r="DO43" s="10"/>
      <c r="DP43" s="10"/>
      <c r="DQ43" s="43" t="str">
        <f t="shared" ref="DQ43:DU43" si="277">DJ43</f>
        <v/>
      </c>
      <c r="DR43" s="10" t="str">
        <f t="shared" si="277"/>
        <v/>
      </c>
      <c r="DS43" s="10" t="str">
        <f t="shared" si="277"/>
        <v/>
      </c>
      <c r="DT43" s="10" t="str">
        <f t="shared" si="277"/>
        <v/>
      </c>
      <c r="DU43" s="10" t="str">
        <f t="shared" si="277"/>
        <v/>
      </c>
      <c r="DV43" s="10"/>
      <c r="DW43" s="10"/>
      <c r="DX43" s="43" t="str">
        <f t="shared" ref="DX43:EB43" si="278">DQ43</f>
        <v/>
      </c>
      <c r="DY43" s="10" t="str">
        <f t="shared" si="278"/>
        <v/>
      </c>
      <c r="DZ43" s="10" t="str">
        <f t="shared" si="278"/>
        <v/>
      </c>
      <c r="EA43" s="10" t="str">
        <f t="shared" si="278"/>
        <v/>
      </c>
      <c r="EB43" s="10" t="str">
        <f t="shared" si="278"/>
        <v/>
      </c>
      <c r="EC43" s="10"/>
      <c r="ED43" s="10"/>
      <c r="EE43" s="43" t="str">
        <f t="shared" ref="EE43:EI43" si="279">DX43</f>
        <v/>
      </c>
      <c r="EF43" s="10" t="str">
        <f t="shared" si="279"/>
        <v/>
      </c>
      <c r="EG43" s="10" t="str">
        <f t="shared" si="279"/>
        <v/>
      </c>
      <c r="EH43" s="10" t="str">
        <f t="shared" si="279"/>
        <v/>
      </c>
      <c r="EI43" s="10" t="str">
        <f t="shared" si="279"/>
        <v/>
      </c>
      <c r="EJ43" s="10"/>
      <c r="EK43" s="10"/>
      <c r="EL43" s="43" t="str">
        <f t="shared" ref="EL43:EP43" si="280">EE43</f>
        <v/>
      </c>
      <c r="EM43" s="10" t="str">
        <f t="shared" si="280"/>
        <v/>
      </c>
      <c r="EN43" s="10" t="str">
        <f t="shared" si="280"/>
        <v/>
      </c>
      <c r="EO43" s="10" t="str">
        <f t="shared" si="280"/>
        <v/>
      </c>
      <c r="EP43" s="10" t="str">
        <f t="shared" si="280"/>
        <v/>
      </c>
      <c r="EQ43" s="10"/>
      <c r="ER43" s="10"/>
    </row>
    <row r="44">
      <c r="A44" s="44"/>
      <c r="B44" s="43"/>
      <c r="C44" s="10"/>
      <c r="D44" s="10"/>
      <c r="E44" s="10"/>
      <c r="F44" s="10"/>
      <c r="G44" s="10"/>
      <c r="H44" s="10"/>
      <c r="I44" s="43" t="str">
        <f t="shared" ref="I44:M44" si="281">B44</f>
        <v/>
      </c>
      <c r="J44" s="10" t="str">
        <f t="shared" si="281"/>
        <v/>
      </c>
      <c r="K44" s="10" t="str">
        <f t="shared" si="281"/>
        <v/>
      </c>
      <c r="L44" s="10" t="str">
        <f t="shared" si="281"/>
        <v/>
      </c>
      <c r="M44" s="10" t="str">
        <f t="shared" si="281"/>
        <v/>
      </c>
      <c r="N44" s="10"/>
      <c r="O44" s="10"/>
      <c r="P44" s="43" t="str">
        <f t="shared" ref="P44:T44" si="282">I44</f>
        <v/>
      </c>
      <c r="Q44" s="10" t="str">
        <f t="shared" si="282"/>
        <v/>
      </c>
      <c r="R44" s="10" t="str">
        <f t="shared" si="282"/>
        <v/>
      </c>
      <c r="S44" s="10" t="str">
        <f t="shared" si="282"/>
        <v/>
      </c>
      <c r="T44" s="10" t="str">
        <f t="shared" si="282"/>
        <v/>
      </c>
      <c r="U44" s="10"/>
      <c r="V44" s="10"/>
      <c r="W44" s="43" t="str">
        <f t="shared" ref="W44:AA44" si="283">P44</f>
        <v/>
      </c>
      <c r="X44" s="10" t="str">
        <f t="shared" si="283"/>
        <v/>
      </c>
      <c r="Y44" s="10" t="str">
        <f t="shared" si="283"/>
        <v/>
      </c>
      <c r="Z44" s="10" t="str">
        <f t="shared" si="283"/>
        <v/>
      </c>
      <c r="AA44" s="10" t="str">
        <f t="shared" si="283"/>
        <v/>
      </c>
      <c r="AB44" s="10"/>
      <c r="AC44" s="10"/>
      <c r="AD44" s="43" t="str">
        <f t="shared" ref="AD44:AH44" si="284">W44</f>
        <v/>
      </c>
      <c r="AE44" s="10" t="str">
        <f t="shared" si="284"/>
        <v/>
      </c>
      <c r="AF44" s="10" t="str">
        <f t="shared" si="284"/>
        <v/>
      </c>
      <c r="AG44" s="10" t="str">
        <f t="shared" si="284"/>
        <v/>
      </c>
      <c r="AH44" s="10" t="str">
        <f t="shared" si="284"/>
        <v/>
      </c>
      <c r="AI44" s="10"/>
      <c r="AJ44" s="10"/>
      <c r="AK44" s="43" t="str">
        <f t="shared" ref="AK44:AO44" si="285">AD44</f>
        <v/>
      </c>
      <c r="AL44" s="10" t="str">
        <f t="shared" si="285"/>
        <v/>
      </c>
      <c r="AM44" s="10" t="str">
        <f t="shared" si="285"/>
        <v/>
      </c>
      <c r="AN44" s="10" t="str">
        <f t="shared" si="285"/>
        <v/>
      </c>
      <c r="AO44" s="10" t="str">
        <f t="shared" si="285"/>
        <v/>
      </c>
      <c r="AP44" s="10"/>
      <c r="AQ44" s="10"/>
      <c r="AR44" s="43" t="str">
        <f t="shared" ref="AR44:AV44" si="286">AK44</f>
        <v/>
      </c>
      <c r="AS44" s="10" t="str">
        <f t="shared" si="286"/>
        <v/>
      </c>
      <c r="AT44" s="10" t="str">
        <f t="shared" si="286"/>
        <v/>
      </c>
      <c r="AU44" s="10" t="str">
        <f t="shared" si="286"/>
        <v/>
      </c>
      <c r="AV44" s="10" t="str">
        <f t="shared" si="286"/>
        <v/>
      </c>
      <c r="AW44" s="10"/>
      <c r="AX44" s="10"/>
      <c r="AY44" s="43" t="str">
        <f t="shared" ref="AY44:BC44" si="287">AR44</f>
        <v/>
      </c>
      <c r="AZ44" s="10" t="str">
        <f t="shared" si="287"/>
        <v/>
      </c>
      <c r="BA44" s="10" t="str">
        <f t="shared" si="287"/>
        <v/>
      </c>
      <c r="BB44" s="10" t="str">
        <f t="shared" si="287"/>
        <v/>
      </c>
      <c r="BC44" s="10" t="str">
        <f t="shared" si="287"/>
        <v/>
      </c>
      <c r="BD44" s="10"/>
      <c r="BE44" s="10"/>
      <c r="BF44" s="43" t="str">
        <f t="shared" ref="BF44:BJ44" si="288">AY44</f>
        <v/>
      </c>
      <c r="BG44" s="10" t="str">
        <f t="shared" si="288"/>
        <v/>
      </c>
      <c r="BH44" s="10" t="str">
        <f t="shared" si="288"/>
        <v/>
      </c>
      <c r="BI44" s="10" t="str">
        <f t="shared" si="288"/>
        <v/>
      </c>
      <c r="BJ44" s="10" t="str">
        <f t="shared" si="288"/>
        <v/>
      </c>
      <c r="BK44" s="10"/>
      <c r="BL44" s="10"/>
      <c r="BM44" s="43" t="str">
        <f t="shared" ref="BM44:BQ44" si="289">BF44</f>
        <v/>
      </c>
      <c r="BN44" s="10" t="str">
        <f t="shared" si="289"/>
        <v/>
      </c>
      <c r="BO44" s="10" t="str">
        <f t="shared" si="289"/>
        <v/>
      </c>
      <c r="BP44" s="10" t="str">
        <f t="shared" si="289"/>
        <v/>
      </c>
      <c r="BQ44" s="10" t="str">
        <f t="shared" si="289"/>
        <v/>
      </c>
      <c r="BR44" s="10"/>
      <c r="BS44" s="10"/>
      <c r="BT44" s="43" t="str">
        <f t="shared" ref="BT44:BX44" si="290">BM44</f>
        <v/>
      </c>
      <c r="BU44" s="10" t="str">
        <f t="shared" si="290"/>
        <v/>
      </c>
      <c r="BV44" s="10" t="str">
        <f t="shared" si="290"/>
        <v/>
      </c>
      <c r="BW44" s="10" t="str">
        <f t="shared" si="290"/>
        <v/>
      </c>
      <c r="BX44" s="10" t="str">
        <f t="shared" si="290"/>
        <v/>
      </c>
      <c r="BY44" s="10"/>
      <c r="BZ44" s="10"/>
      <c r="CA44" s="43" t="str">
        <f t="shared" ref="CA44:CE44" si="291">BT44</f>
        <v/>
      </c>
      <c r="CB44" s="10" t="str">
        <f t="shared" si="291"/>
        <v/>
      </c>
      <c r="CC44" s="10" t="str">
        <f t="shared" si="291"/>
        <v/>
      </c>
      <c r="CD44" s="10" t="str">
        <f t="shared" si="291"/>
        <v/>
      </c>
      <c r="CE44" s="10" t="str">
        <f t="shared" si="291"/>
        <v/>
      </c>
      <c r="CF44" s="10"/>
      <c r="CG44" s="10"/>
      <c r="CH44" s="43" t="str">
        <f t="shared" ref="CH44:CL44" si="292">CA44</f>
        <v/>
      </c>
      <c r="CI44" s="10" t="str">
        <f t="shared" si="292"/>
        <v/>
      </c>
      <c r="CJ44" s="10" t="str">
        <f t="shared" si="292"/>
        <v/>
      </c>
      <c r="CK44" s="10" t="str">
        <f t="shared" si="292"/>
        <v/>
      </c>
      <c r="CL44" s="10" t="str">
        <f t="shared" si="292"/>
        <v/>
      </c>
      <c r="CM44" s="10"/>
      <c r="CN44" s="10"/>
      <c r="CO44" s="43" t="str">
        <f t="shared" ref="CO44:CS44" si="293">CH44</f>
        <v/>
      </c>
      <c r="CP44" s="10" t="str">
        <f t="shared" si="293"/>
        <v/>
      </c>
      <c r="CQ44" s="10" t="str">
        <f t="shared" si="293"/>
        <v/>
      </c>
      <c r="CR44" s="10" t="str">
        <f t="shared" si="293"/>
        <v/>
      </c>
      <c r="CS44" s="10" t="str">
        <f t="shared" si="293"/>
        <v/>
      </c>
      <c r="CT44" s="10"/>
      <c r="CU44" s="10"/>
      <c r="CV44" s="43" t="str">
        <f t="shared" ref="CV44:CZ44" si="294">CO44</f>
        <v/>
      </c>
      <c r="CW44" s="10" t="str">
        <f t="shared" si="294"/>
        <v/>
      </c>
      <c r="CX44" s="10" t="str">
        <f t="shared" si="294"/>
        <v/>
      </c>
      <c r="CY44" s="10" t="str">
        <f t="shared" si="294"/>
        <v/>
      </c>
      <c r="CZ44" s="10" t="str">
        <f t="shared" si="294"/>
        <v/>
      </c>
      <c r="DA44" s="10"/>
      <c r="DB44" s="10"/>
      <c r="DC44" s="43" t="str">
        <f t="shared" ref="DC44:DG44" si="295">CV44</f>
        <v/>
      </c>
      <c r="DD44" s="10" t="str">
        <f t="shared" si="295"/>
        <v/>
      </c>
      <c r="DE44" s="10" t="str">
        <f t="shared" si="295"/>
        <v/>
      </c>
      <c r="DF44" s="10" t="str">
        <f t="shared" si="295"/>
        <v/>
      </c>
      <c r="DG44" s="10" t="str">
        <f t="shared" si="295"/>
        <v/>
      </c>
      <c r="DH44" s="10"/>
      <c r="DI44" s="10"/>
      <c r="DJ44" s="43" t="str">
        <f t="shared" ref="DJ44:DN44" si="296">DC44</f>
        <v/>
      </c>
      <c r="DK44" s="10" t="str">
        <f t="shared" si="296"/>
        <v/>
      </c>
      <c r="DL44" s="10" t="str">
        <f t="shared" si="296"/>
        <v/>
      </c>
      <c r="DM44" s="10" t="str">
        <f t="shared" si="296"/>
        <v/>
      </c>
      <c r="DN44" s="10" t="str">
        <f t="shared" si="296"/>
        <v/>
      </c>
      <c r="DO44" s="10"/>
      <c r="DP44" s="10"/>
      <c r="DQ44" s="43" t="str">
        <f t="shared" ref="DQ44:DU44" si="297">DJ44</f>
        <v/>
      </c>
      <c r="DR44" s="10" t="str">
        <f t="shared" si="297"/>
        <v/>
      </c>
      <c r="DS44" s="10" t="str">
        <f t="shared" si="297"/>
        <v/>
      </c>
      <c r="DT44" s="10" t="str">
        <f t="shared" si="297"/>
        <v/>
      </c>
      <c r="DU44" s="10" t="str">
        <f t="shared" si="297"/>
        <v/>
      </c>
      <c r="DV44" s="10"/>
      <c r="DW44" s="10"/>
      <c r="DX44" s="43" t="str">
        <f t="shared" ref="DX44:EB44" si="298">DQ44</f>
        <v/>
      </c>
      <c r="DY44" s="10" t="str">
        <f t="shared" si="298"/>
        <v/>
      </c>
      <c r="DZ44" s="10" t="str">
        <f t="shared" si="298"/>
        <v/>
      </c>
      <c r="EA44" s="10" t="str">
        <f t="shared" si="298"/>
        <v/>
      </c>
      <c r="EB44" s="10" t="str">
        <f t="shared" si="298"/>
        <v/>
      </c>
      <c r="EC44" s="10"/>
      <c r="ED44" s="10"/>
      <c r="EE44" s="43" t="str">
        <f t="shared" ref="EE44:EI44" si="299">DX44</f>
        <v/>
      </c>
      <c r="EF44" s="10" t="str">
        <f t="shared" si="299"/>
        <v/>
      </c>
      <c r="EG44" s="10" t="str">
        <f t="shared" si="299"/>
        <v/>
      </c>
      <c r="EH44" s="10" t="str">
        <f t="shared" si="299"/>
        <v/>
      </c>
      <c r="EI44" s="10" t="str">
        <f t="shared" si="299"/>
        <v/>
      </c>
      <c r="EJ44" s="10"/>
      <c r="EK44" s="10"/>
      <c r="EL44" s="43" t="str">
        <f t="shared" ref="EL44:EP44" si="300">EE44</f>
        <v/>
      </c>
      <c r="EM44" s="10" t="str">
        <f t="shared" si="300"/>
        <v/>
      </c>
      <c r="EN44" s="10" t="str">
        <f t="shared" si="300"/>
        <v/>
      </c>
      <c r="EO44" s="10" t="str">
        <f t="shared" si="300"/>
        <v/>
      </c>
      <c r="EP44" s="10" t="str">
        <f t="shared" si="300"/>
        <v/>
      </c>
      <c r="EQ44" s="10"/>
      <c r="ER44" s="10"/>
    </row>
    <row r="45">
      <c r="A45" s="45"/>
      <c r="B45" s="46"/>
      <c r="C45" s="47"/>
      <c r="D45" s="47"/>
      <c r="E45" s="47"/>
      <c r="F45" s="47"/>
      <c r="G45" s="47"/>
      <c r="H45" s="47"/>
      <c r="I45" s="46" t="str">
        <f t="shared" ref="I45:M45" si="301">B45</f>
        <v/>
      </c>
      <c r="J45" s="47" t="str">
        <f t="shared" si="301"/>
        <v/>
      </c>
      <c r="K45" s="47" t="str">
        <f t="shared" si="301"/>
        <v/>
      </c>
      <c r="L45" s="47" t="str">
        <f t="shared" si="301"/>
        <v/>
      </c>
      <c r="M45" s="47" t="str">
        <f t="shared" si="301"/>
        <v/>
      </c>
      <c r="N45" s="47"/>
      <c r="O45" s="47"/>
      <c r="P45" s="46" t="str">
        <f t="shared" ref="P45:T45" si="302">I45</f>
        <v/>
      </c>
      <c r="Q45" s="47" t="str">
        <f t="shared" si="302"/>
        <v/>
      </c>
      <c r="R45" s="47" t="str">
        <f t="shared" si="302"/>
        <v/>
      </c>
      <c r="S45" s="47" t="str">
        <f t="shared" si="302"/>
        <v/>
      </c>
      <c r="T45" s="47" t="str">
        <f t="shared" si="302"/>
        <v/>
      </c>
      <c r="U45" s="47"/>
      <c r="V45" s="47"/>
      <c r="W45" s="46" t="str">
        <f t="shared" ref="W45:AA45" si="303">P45</f>
        <v/>
      </c>
      <c r="X45" s="47" t="str">
        <f t="shared" si="303"/>
        <v/>
      </c>
      <c r="Y45" s="47" t="str">
        <f t="shared" si="303"/>
        <v/>
      </c>
      <c r="Z45" s="47" t="str">
        <f t="shared" si="303"/>
        <v/>
      </c>
      <c r="AA45" s="47" t="str">
        <f t="shared" si="303"/>
        <v/>
      </c>
      <c r="AB45" s="47"/>
      <c r="AC45" s="47"/>
      <c r="AD45" s="46" t="str">
        <f t="shared" ref="AD45:AH45" si="304">W45</f>
        <v/>
      </c>
      <c r="AE45" s="47" t="str">
        <f t="shared" si="304"/>
        <v/>
      </c>
      <c r="AF45" s="47" t="str">
        <f t="shared" si="304"/>
        <v/>
      </c>
      <c r="AG45" s="47" t="str">
        <f t="shared" si="304"/>
        <v/>
      </c>
      <c r="AH45" s="47" t="str">
        <f t="shared" si="304"/>
        <v/>
      </c>
      <c r="AI45" s="47"/>
      <c r="AJ45" s="47"/>
      <c r="AK45" s="46" t="str">
        <f t="shared" ref="AK45:AO45" si="305">AD45</f>
        <v/>
      </c>
      <c r="AL45" s="47" t="str">
        <f t="shared" si="305"/>
        <v/>
      </c>
      <c r="AM45" s="47" t="str">
        <f t="shared" si="305"/>
        <v/>
      </c>
      <c r="AN45" s="47" t="str">
        <f t="shared" si="305"/>
        <v/>
      </c>
      <c r="AO45" s="47" t="str">
        <f t="shared" si="305"/>
        <v/>
      </c>
      <c r="AP45" s="47"/>
      <c r="AQ45" s="47"/>
      <c r="AR45" s="46" t="str">
        <f t="shared" ref="AR45:AV45" si="306">AK45</f>
        <v/>
      </c>
      <c r="AS45" s="47" t="str">
        <f t="shared" si="306"/>
        <v/>
      </c>
      <c r="AT45" s="47" t="str">
        <f t="shared" si="306"/>
        <v/>
      </c>
      <c r="AU45" s="47" t="str">
        <f t="shared" si="306"/>
        <v/>
      </c>
      <c r="AV45" s="47" t="str">
        <f t="shared" si="306"/>
        <v/>
      </c>
      <c r="AW45" s="47"/>
      <c r="AX45" s="47"/>
      <c r="AY45" s="46" t="str">
        <f t="shared" ref="AY45:BC45" si="307">AR45</f>
        <v/>
      </c>
      <c r="AZ45" s="47" t="str">
        <f t="shared" si="307"/>
        <v/>
      </c>
      <c r="BA45" s="47" t="str">
        <f t="shared" si="307"/>
        <v/>
      </c>
      <c r="BB45" s="47" t="str">
        <f t="shared" si="307"/>
        <v/>
      </c>
      <c r="BC45" s="47" t="str">
        <f t="shared" si="307"/>
        <v/>
      </c>
      <c r="BD45" s="47"/>
      <c r="BE45" s="47"/>
      <c r="BF45" s="46" t="str">
        <f t="shared" ref="BF45:BJ45" si="308">AY45</f>
        <v/>
      </c>
      <c r="BG45" s="47" t="str">
        <f t="shared" si="308"/>
        <v/>
      </c>
      <c r="BH45" s="47" t="str">
        <f t="shared" si="308"/>
        <v/>
      </c>
      <c r="BI45" s="47" t="str">
        <f t="shared" si="308"/>
        <v/>
      </c>
      <c r="BJ45" s="47" t="str">
        <f t="shared" si="308"/>
        <v/>
      </c>
      <c r="BK45" s="47"/>
      <c r="BL45" s="47"/>
      <c r="BM45" s="46" t="str">
        <f t="shared" ref="BM45:BQ45" si="309">BF45</f>
        <v/>
      </c>
      <c r="BN45" s="47" t="str">
        <f t="shared" si="309"/>
        <v/>
      </c>
      <c r="BO45" s="47" t="str">
        <f t="shared" si="309"/>
        <v/>
      </c>
      <c r="BP45" s="47" t="str">
        <f t="shared" si="309"/>
        <v/>
      </c>
      <c r="BQ45" s="47" t="str">
        <f t="shared" si="309"/>
        <v/>
      </c>
      <c r="BR45" s="47"/>
      <c r="BS45" s="47"/>
      <c r="BT45" s="46" t="str">
        <f t="shared" ref="BT45:BX45" si="310">BM45</f>
        <v/>
      </c>
      <c r="BU45" s="47" t="str">
        <f t="shared" si="310"/>
        <v/>
      </c>
      <c r="BV45" s="47" t="str">
        <f t="shared" si="310"/>
        <v/>
      </c>
      <c r="BW45" s="47" t="str">
        <f t="shared" si="310"/>
        <v/>
      </c>
      <c r="BX45" s="47" t="str">
        <f t="shared" si="310"/>
        <v/>
      </c>
      <c r="BY45" s="47"/>
      <c r="BZ45" s="47"/>
      <c r="CA45" s="46" t="str">
        <f t="shared" ref="CA45:CE45" si="311">BT45</f>
        <v/>
      </c>
      <c r="CB45" s="47" t="str">
        <f t="shared" si="311"/>
        <v/>
      </c>
      <c r="CC45" s="47" t="str">
        <f t="shared" si="311"/>
        <v/>
      </c>
      <c r="CD45" s="47" t="str">
        <f t="shared" si="311"/>
        <v/>
      </c>
      <c r="CE45" s="47" t="str">
        <f t="shared" si="311"/>
        <v/>
      </c>
      <c r="CF45" s="47"/>
      <c r="CG45" s="47"/>
      <c r="CH45" s="46" t="str">
        <f t="shared" ref="CH45:CL45" si="312">CA45</f>
        <v/>
      </c>
      <c r="CI45" s="47" t="str">
        <f t="shared" si="312"/>
        <v/>
      </c>
      <c r="CJ45" s="47" t="str">
        <f t="shared" si="312"/>
        <v/>
      </c>
      <c r="CK45" s="47" t="str">
        <f t="shared" si="312"/>
        <v/>
      </c>
      <c r="CL45" s="47" t="str">
        <f t="shared" si="312"/>
        <v/>
      </c>
      <c r="CM45" s="47"/>
      <c r="CN45" s="47"/>
      <c r="CO45" s="46" t="str">
        <f t="shared" ref="CO45:CS45" si="313">CH45</f>
        <v/>
      </c>
      <c r="CP45" s="47" t="str">
        <f t="shared" si="313"/>
        <v/>
      </c>
      <c r="CQ45" s="47" t="str">
        <f t="shared" si="313"/>
        <v/>
      </c>
      <c r="CR45" s="47" t="str">
        <f t="shared" si="313"/>
        <v/>
      </c>
      <c r="CS45" s="47" t="str">
        <f t="shared" si="313"/>
        <v/>
      </c>
      <c r="CT45" s="47"/>
      <c r="CU45" s="47"/>
      <c r="CV45" s="46" t="str">
        <f t="shared" ref="CV45:CZ45" si="314">CO45</f>
        <v/>
      </c>
      <c r="CW45" s="47" t="str">
        <f t="shared" si="314"/>
        <v/>
      </c>
      <c r="CX45" s="47" t="str">
        <f t="shared" si="314"/>
        <v/>
      </c>
      <c r="CY45" s="47" t="str">
        <f t="shared" si="314"/>
        <v/>
      </c>
      <c r="CZ45" s="47" t="str">
        <f t="shared" si="314"/>
        <v/>
      </c>
      <c r="DA45" s="47"/>
      <c r="DB45" s="47"/>
      <c r="DC45" s="46" t="str">
        <f t="shared" ref="DC45:DG45" si="315">CV45</f>
        <v/>
      </c>
      <c r="DD45" s="47" t="str">
        <f t="shared" si="315"/>
        <v/>
      </c>
      <c r="DE45" s="47" t="str">
        <f t="shared" si="315"/>
        <v/>
      </c>
      <c r="DF45" s="47" t="str">
        <f t="shared" si="315"/>
        <v/>
      </c>
      <c r="DG45" s="47" t="str">
        <f t="shared" si="315"/>
        <v/>
      </c>
      <c r="DH45" s="47"/>
      <c r="DI45" s="47"/>
      <c r="DJ45" s="46" t="str">
        <f t="shared" ref="DJ45:DN45" si="316">DC45</f>
        <v/>
      </c>
      <c r="DK45" s="47" t="str">
        <f t="shared" si="316"/>
        <v/>
      </c>
      <c r="DL45" s="47" t="str">
        <f t="shared" si="316"/>
        <v/>
      </c>
      <c r="DM45" s="47" t="str">
        <f t="shared" si="316"/>
        <v/>
      </c>
      <c r="DN45" s="47" t="str">
        <f t="shared" si="316"/>
        <v/>
      </c>
      <c r="DO45" s="47"/>
      <c r="DP45" s="47"/>
      <c r="DQ45" s="46" t="str">
        <f t="shared" ref="DQ45:DU45" si="317">DJ45</f>
        <v/>
      </c>
      <c r="DR45" s="47" t="str">
        <f t="shared" si="317"/>
        <v/>
      </c>
      <c r="DS45" s="47" t="str">
        <f t="shared" si="317"/>
        <v/>
      </c>
      <c r="DT45" s="47" t="str">
        <f t="shared" si="317"/>
        <v/>
      </c>
      <c r="DU45" s="47" t="str">
        <f t="shared" si="317"/>
        <v/>
      </c>
      <c r="DV45" s="47"/>
      <c r="DW45" s="47"/>
      <c r="DX45" s="46" t="str">
        <f t="shared" ref="DX45:EB45" si="318">DQ45</f>
        <v/>
      </c>
      <c r="DY45" s="47" t="str">
        <f t="shared" si="318"/>
        <v/>
      </c>
      <c r="DZ45" s="47" t="str">
        <f t="shared" si="318"/>
        <v/>
      </c>
      <c r="EA45" s="47" t="str">
        <f t="shared" si="318"/>
        <v/>
      </c>
      <c r="EB45" s="47" t="str">
        <f t="shared" si="318"/>
        <v/>
      </c>
      <c r="EC45" s="47"/>
      <c r="ED45" s="47"/>
      <c r="EE45" s="46" t="str">
        <f t="shared" ref="EE45:EI45" si="319">DX45</f>
        <v/>
      </c>
      <c r="EF45" s="47" t="str">
        <f t="shared" si="319"/>
        <v/>
      </c>
      <c r="EG45" s="47" t="str">
        <f t="shared" si="319"/>
        <v/>
      </c>
      <c r="EH45" s="47" t="str">
        <f t="shared" si="319"/>
        <v/>
      </c>
      <c r="EI45" s="47" t="str">
        <f t="shared" si="319"/>
        <v/>
      </c>
      <c r="EJ45" s="47"/>
      <c r="EK45" s="47"/>
      <c r="EL45" s="46" t="str">
        <f t="shared" ref="EL45:EP45" si="320">EE45</f>
        <v/>
      </c>
      <c r="EM45" s="47" t="str">
        <f t="shared" si="320"/>
        <v/>
      </c>
      <c r="EN45" s="47" t="str">
        <f t="shared" si="320"/>
        <v/>
      </c>
      <c r="EO45" s="47" t="str">
        <f t="shared" si="320"/>
        <v/>
      </c>
      <c r="EP45" s="47" t="str">
        <f t="shared" si="320"/>
        <v/>
      </c>
      <c r="EQ45" s="47"/>
      <c r="ER45" s="47"/>
    </row>
    <row r="46">
      <c r="A46" s="3"/>
      <c r="B46" s="42"/>
      <c r="C46" s="3"/>
      <c r="D46" s="3"/>
      <c r="E46" s="3"/>
      <c r="F46" s="3"/>
      <c r="G46" s="3"/>
      <c r="H46" s="3"/>
      <c r="I46" s="42"/>
      <c r="J46" s="3"/>
      <c r="K46" s="3"/>
      <c r="L46" s="3"/>
      <c r="M46" s="3"/>
      <c r="N46" s="3"/>
      <c r="O46" s="3"/>
      <c r="P46" s="42"/>
      <c r="Q46" s="3"/>
      <c r="R46" s="3"/>
      <c r="S46" s="3"/>
      <c r="T46" s="3"/>
      <c r="U46" s="3"/>
      <c r="V46" s="3"/>
      <c r="W46" s="42"/>
      <c r="X46" s="3"/>
      <c r="Y46" s="3"/>
      <c r="Z46" s="3"/>
      <c r="AA46" s="3"/>
      <c r="AB46" s="3"/>
      <c r="AC46" s="3"/>
      <c r="AD46" s="42"/>
      <c r="AE46" s="3"/>
      <c r="AF46" s="3"/>
      <c r="AG46" s="3"/>
      <c r="AH46" s="3"/>
      <c r="AI46" s="3"/>
      <c r="AJ46" s="3"/>
      <c r="AK46" s="42"/>
      <c r="AL46" s="3"/>
      <c r="AM46" s="3"/>
      <c r="AN46" s="3"/>
      <c r="AO46" s="3"/>
      <c r="AP46" s="3"/>
      <c r="AQ46" s="3"/>
      <c r="AR46" s="42"/>
      <c r="AS46" s="3"/>
      <c r="AT46" s="3"/>
      <c r="AU46" s="3"/>
      <c r="AV46" s="3"/>
      <c r="AW46" s="3"/>
      <c r="AX46" s="3"/>
      <c r="AY46" s="42"/>
      <c r="AZ46" s="3"/>
      <c r="BA46" s="3"/>
      <c r="BB46" s="3"/>
      <c r="BC46" s="3"/>
      <c r="BD46" s="3"/>
      <c r="BE46" s="3"/>
      <c r="BF46" s="42"/>
      <c r="BG46" s="3"/>
      <c r="BH46" s="3"/>
      <c r="BI46" s="3"/>
      <c r="BJ46" s="3"/>
      <c r="BK46" s="3"/>
      <c r="BL46" s="3"/>
      <c r="BM46" s="42"/>
      <c r="BN46" s="3"/>
      <c r="BO46" s="3"/>
      <c r="BP46" s="3"/>
      <c r="BQ46" s="3"/>
      <c r="BR46" s="3"/>
      <c r="BS46" s="3"/>
      <c r="BT46" s="42"/>
      <c r="BU46" s="3"/>
      <c r="BV46" s="3"/>
      <c r="BW46" s="3"/>
      <c r="BX46" s="3"/>
      <c r="BY46" s="3"/>
      <c r="BZ46" s="3"/>
      <c r="CA46" s="42"/>
      <c r="CB46" s="3"/>
      <c r="CC46" s="3"/>
      <c r="CD46" s="3"/>
      <c r="CE46" s="3"/>
      <c r="CF46" s="3"/>
      <c r="CG46" s="3"/>
      <c r="CH46" s="42"/>
      <c r="CI46" s="3"/>
      <c r="CJ46" s="3"/>
      <c r="CK46" s="3"/>
      <c r="CL46" s="3"/>
      <c r="CM46" s="3"/>
      <c r="CN46" s="3"/>
      <c r="CO46" s="42"/>
      <c r="CP46" s="3"/>
      <c r="CQ46" s="3"/>
      <c r="CR46" s="3"/>
      <c r="CS46" s="3"/>
      <c r="CT46" s="3"/>
      <c r="CU46" s="3"/>
      <c r="CV46" s="42"/>
      <c r="CW46" s="3"/>
      <c r="CX46" s="3"/>
      <c r="CY46" s="3"/>
      <c r="CZ46" s="3"/>
      <c r="DA46" s="3"/>
      <c r="DB46" s="3"/>
      <c r="DC46" s="42"/>
      <c r="DD46" s="3"/>
      <c r="DE46" s="3"/>
      <c r="DF46" s="3"/>
      <c r="DG46" s="3"/>
      <c r="DH46" s="3"/>
      <c r="DI46" s="3"/>
      <c r="DJ46" s="42"/>
      <c r="DK46" s="3"/>
      <c r="DL46" s="3"/>
      <c r="DM46" s="3"/>
      <c r="DN46" s="3"/>
      <c r="DO46" s="3"/>
      <c r="DP46" s="3"/>
      <c r="DQ46" s="42"/>
      <c r="DR46" s="3"/>
      <c r="DS46" s="3"/>
      <c r="DT46" s="3"/>
      <c r="DU46" s="3"/>
      <c r="DV46" s="3"/>
      <c r="DW46" s="3"/>
      <c r="DX46" s="42"/>
      <c r="DY46" s="3"/>
      <c r="DZ46" s="3"/>
      <c r="EA46" s="3"/>
      <c r="EB46" s="3"/>
      <c r="EC46" s="3"/>
      <c r="ED46" s="3"/>
      <c r="EE46" s="42"/>
      <c r="EF46" s="3"/>
      <c r="EG46" s="3"/>
      <c r="EH46" s="3"/>
      <c r="EI46" s="3"/>
      <c r="EJ46" s="3"/>
      <c r="EK46" s="3"/>
      <c r="EL46" s="42"/>
      <c r="EM46" s="3"/>
      <c r="EN46" s="3"/>
      <c r="EO46" s="3"/>
      <c r="EP46" s="3"/>
      <c r="EQ46" s="3"/>
      <c r="ER46" s="3"/>
    </row>
    <row r="47">
      <c r="A47" s="32" t="s">
        <v>83</v>
      </c>
      <c r="B47" s="33"/>
      <c r="C47" s="34"/>
      <c r="D47" s="34"/>
      <c r="E47" s="34"/>
      <c r="F47" s="34"/>
      <c r="G47" s="34"/>
      <c r="H47" s="34"/>
      <c r="I47" s="33"/>
      <c r="J47" s="34"/>
      <c r="K47" s="34"/>
      <c r="L47" s="34"/>
      <c r="M47" s="34"/>
      <c r="N47" s="34"/>
      <c r="O47" s="34"/>
      <c r="P47" s="33"/>
      <c r="Q47" s="34"/>
      <c r="R47" s="34"/>
      <c r="S47" s="34"/>
      <c r="T47" s="34"/>
      <c r="U47" s="34"/>
      <c r="V47" s="34"/>
      <c r="W47" s="33"/>
      <c r="X47" s="34"/>
      <c r="Y47" s="34"/>
      <c r="Z47" s="34"/>
      <c r="AA47" s="34"/>
      <c r="AB47" s="34"/>
      <c r="AC47" s="34"/>
      <c r="AD47" s="33"/>
      <c r="AE47" s="34"/>
      <c r="AF47" s="34"/>
      <c r="AG47" s="34"/>
      <c r="AH47" s="34"/>
      <c r="AI47" s="34"/>
      <c r="AJ47" s="34"/>
      <c r="AK47" s="33"/>
      <c r="AL47" s="34"/>
      <c r="AM47" s="34"/>
      <c r="AN47" s="34"/>
      <c r="AO47" s="34"/>
      <c r="AP47" s="34"/>
      <c r="AQ47" s="34"/>
      <c r="AR47" s="33"/>
      <c r="AS47" s="34"/>
      <c r="AT47" s="34"/>
      <c r="AU47" s="34"/>
      <c r="AV47" s="34"/>
      <c r="AW47" s="34"/>
      <c r="AX47" s="34"/>
      <c r="AY47" s="33"/>
      <c r="AZ47" s="34"/>
      <c r="BA47" s="34"/>
      <c r="BB47" s="34"/>
      <c r="BC47" s="34"/>
      <c r="BD47" s="34"/>
      <c r="BE47" s="34"/>
      <c r="BF47" s="33"/>
      <c r="BG47" s="34"/>
      <c r="BH47" s="34"/>
      <c r="BI47" s="34"/>
      <c r="BJ47" s="34"/>
      <c r="BK47" s="34"/>
      <c r="BL47" s="34"/>
      <c r="BM47" s="33"/>
      <c r="BN47" s="34"/>
      <c r="BO47" s="34"/>
      <c r="BP47" s="34"/>
      <c r="BQ47" s="34"/>
      <c r="BR47" s="34"/>
      <c r="BS47" s="34"/>
      <c r="BT47" s="33"/>
      <c r="BU47" s="34"/>
      <c r="BV47" s="34"/>
      <c r="BW47" s="34"/>
      <c r="BX47" s="34"/>
      <c r="BY47" s="34"/>
      <c r="BZ47" s="34"/>
      <c r="CA47" s="33"/>
      <c r="CB47" s="34"/>
      <c r="CC47" s="34"/>
      <c r="CD47" s="34"/>
      <c r="CE47" s="34"/>
      <c r="CF47" s="34"/>
      <c r="CG47" s="34"/>
      <c r="CH47" s="33"/>
      <c r="CI47" s="34"/>
      <c r="CJ47" s="34"/>
      <c r="CK47" s="34"/>
      <c r="CL47" s="34"/>
      <c r="CM47" s="34"/>
      <c r="CN47" s="34"/>
      <c r="CO47" s="33"/>
      <c r="CP47" s="34"/>
      <c r="CQ47" s="34"/>
      <c r="CR47" s="34"/>
      <c r="CS47" s="34"/>
      <c r="CT47" s="34"/>
      <c r="CU47" s="34"/>
      <c r="CV47" s="33"/>
      <c r="CW47" s="34"/>
      <c r="CX47" s="34"/>
      <c r="CY47" s="34"/>
      <c r="CZ47" s="34"/>
      <c r="DA47" s="34"/>
      <c r="DB47" s="34"/>
      <c r="DC47" s="33"/>
      <c r="DD47" s="34"/>
      <c r="DE47" s="34"/>
      <c r="DF47" s="34"/>
      <c r="DG47" s="34"/>
      <c r="DH47" s="34"/>
      <c r="DI47" s="34"/>
      <c r="DJ47" s="33"/>
      <c r="DK47" s="34"/>
      <c r="DL47" s="34"/>
      <c r="DM47" s="34"/>
      <c r="DN47" s="34"/>
      <c r="DO47" s="34"/>
      <c r="DP47" s="34"/>
      <c r="DQ47" s="33"/>
      <c r="DR47" s="34"/>
      <c r="DS47" s="34"/>
      <c r="DT47" s="34"/>
      <c r="DU47" s="34"/>
      <c r="DV47" s="34"/>
      <c r="DW47" s="34"/>
      <c r="DX47" s="33"/>
      <c r="DY47" s="34"/>
      <c r="DZ47" s="34"/>
      <c r="EA47" s="34"/>
      <c r="EB47" s="34"/>
      <c r="EC47" s="34"/>
      <c r="ED47" s="34"/>
      <c r="EE47" s="35" t="s">
        <v>77</v>
      </c>
      <c r="EF47" s="36"/>
      <c r="EG47" s="36"/>
      <c r="EH47" s="36"/>
      <c r="EI47" s="36"/>
      <c r="EJ47" s="36"/>
      <c r="EK47" s="36"/>
      <c r="EL47" s="33"/>
      <c r="EM47" s="34"/>
      <c r="EN47" s="34"/>
      <c r="EO47" s="34"/>
      <c r="EP47" s="34"/>
      <c r="EQ47" s="34"/>
      <c r="ER47" s="34"/>
    </row>
    <row r="48" hidden="1">
      <c r="A48" s="37" t="str">
        <f>CONCATENATE(A49," TM")</f>
        <v>Front Squat TM</v>
      </c>
      <c r="B48" s="38">
        <f>if(D48="",'Quick Setup'!D11,D48/'Quick Setup'!E11)</f>
        <v>420</v>
      </c>
      <c r="C48" s="39" t="s">
        <v>75</v>
      </c>
      <c r="D48" s="40"/>
      <c r="E48" s="41"/>
      <c r="F48" s="41"/>
      <c r="G48" s="41"/>
      <c r="H48" s="41"/>
      <c r="I48" s="38">
        <f>if(K48="", if(F49&lt;&gt;"", if((F49-D49)&lt;-1,B48*(1+Setup!F9),if((F49-D49)&lt;0,B48*(1+Setup!G9),if((F49-D49)=0,B48*(1+Setup!H9),if((F49-D49)=1,B48*(1+Setup!I9),if((F49-D49)=2,B48*(1+Setup!J9),if((F49-D49)=3,B48*(1+Setup!K9),if((F49-D49)=4,B48*(1+Setup!L9),if((F49-D49)&gt;4,B48*(1+Setup!M9),B48)))))))),B48),K48/'Quick Setup'!$E11)</f>
        <v>420</v>
      </c>
      <c r="J48" s="39" t="s">
        <v>75</v>
      </c>
      <c r="K48" s="40"/>
      <c r="L48" s="41"/>
      <c r="M48" s="41"/>
      <c r="N48" s="41"/>
      <c r="O48" s="41"/>
      <c r="P48" s="38">
        <f>if(R48="", if(M49&lt;&gt;"", if((M49-K49)&lt;-1,I48*(1+Setup!R9),if((M49-K49)&lt;0,I48*(1+Setup!S9),if((M49-K49)=0,I48*(1+Setup!T9),if((M49-K49)=1,I48*(1+Setup!U9),if((M49-K49)=2,I48*(1+Setup!V9),if((M49-K49)=3,I48*(1+Setup!W9),if((M49-K49)=4,I48*(1+Setup!X9),if((M49-K49)&gt;4,I48*(1+Setup!Y9),I48)))))))),I48),R48/'Quick Setup'!$E11)</f>
        <v>420</v>
      </c>
      <c r="Q48" s="39" t="s">
        <v>75</v>
      </c>
      <c r="R48" s="40"/>
      <c r="S48" s="41"/>
      <c r="T48" s="41"/>
      <c r="U48" s="41"/>
      <c r="V48" s="41"/>
      <c r="W48" s="38">
        <f>if(Y48="", if(T49&lt;&gt;"", if((T49-R49)&lt;-1,P48*(1+Setup!AD9),if((T49-R49)&lt;0,P48*(1+Setup!AE9),if((T49-R49)=0,P48*(1+Setup!AF9),if((T49-R49)=1,P48*(1+Setup!AG9),if((T49-R49)=2,P48*(1+Setup!AH9),if((T49-R49)=3,P48*(1+Setup!AI9),if((T49-R49)=4,P48*(1+Setup!AJ9),if((T49-R49)&gt;4,P48*(1+Setup!AK9),P48)))))))),P48),Y48/'Quick Setup'!$E11)</f>
        <v>420</v>
      </c>
      <c r="X48" s="39" t="s">
        <v>75</v>
      </c>
      <c r="Y48" s="40"/>
      <c r="Z48" s="41"/>
      <c r="AA48" s="41"/>
      <c r="AB48" s="41"/>
      <c r="AC48" s="41"/>
      <c r="AD48" s="38">
        <f>if(AF48="", if(AA49&lt;&gt;"", if((AA49-Y49)&lt;-1,W48*(1+Setup!AP9),if((AA49-Y49)&lt;0,W48*(1+Setup!AQ9),if((AA49-Y49)=0,W48*(1+Setup!AR9),if((AA49-Y49)=1,W48*(1+Setup!AS9),if((AA49-Y49)=2,W48*(1+Setup!AT9),if((AA49-Y49)=3,W48*(1+Setup!AU9),if((AA49-Y49)=4,W48*(1+Setup!AV9),if((AA49-Y49)&gt;4,W48*(1+Setup!AW9),W48)))))))),W48),AF48/'Quick Setup'!$E11)</f>
        <v>420</v>
      </c>
      <c r="AE48" s="39" t="s">
        <v>75</v>
      </c>
      <c r="AF48" s="40"/>
      <c r="AG48" s="41"/>
      <c r="AH48" s="41"/>
      <c r="AI48" s="41"/>
      <c r="AJ48" s="41"/>
      <c r="AK48" s="38">
        <f>if(AM48="", if(AH49&lt;&gt;"", if((AH49-AF49)&lt;-1,AD48*(1+Setup!BB9),if((AH49-AF49)&lt;0,AD48*(1+Setup!BC9),if((AH49-AF49)=0,AD48*(1+Setup!BD9),if((AH49-AF49)=1,AD48*(1+Setup!BE9),if((AH49-AF49)=2,AD48*(1+Setup!BF9),if((AH49-AF49)=3,AD48*(1+Setup!BG9),if((AH49-AF49)=4,AD48*(1+Setup!BH9),if((AH49-AF49)&gt;4,AD48*(1+Setup!BI9),AD48)))))))),AD48),AM48/'Quick Setup'!$E11)</f>
        <v>420</v>
      </c>
      <c r="AL48" s="39" t="s">
        <v>75</v>
      </c>
      <c r="AM48" s="40"/>
      <c r="AN48" s="41"/>
      <c r="AO48" s="41"/>
      <c r="AP48" s="41"/>
      <c r="AQ48" s="41"/>
      <c r="AR48" s="38">
        <f>if(AT48="", if(AO49&lt;&gt;"", if((AO49-AM49)&lt;-1,AK48*(1+Setup!BN9),if((AO49-AM49)&lt;0,AK48*(1+Setup!BO9),if((AO49-AM49)=0,AK48*(1+Setup!BP9),if((AO49-AM49)=1,AK48*(1+Setup!BQ9),if((AO49-AM49)=2,AK48*(1+Setup!BR9),if((AO49-AM49)=3,AK48*(1+Setup!BS9),if((AO49-AM49)=4,AK48*(1+Setup!BT9),if((AO49-AM49)&gt;4,AK48*(1+Setup!BU9),AK48)))))))),AK48),AT48/'Quick Setup'!$E11)</f>
        <v>420</v>
      </c>
      <c r="AS48" s="39" t="s">
        <v>75</v>
      </c>
      <c r="AT48" s="40"/>
      <c r="AU48" s="41"/>
      <c r="AV48" s="41"/>
      <c r="AW48" s="41"/>
      <c r="AX48" s="41"/>
      <c r="AY48" s="38">
        <f>if(BA48="",AR48,BA48/'Quick Setup'!$E11)</f>
        <v>420</v>
      </c>
      <c r="AZ48" s="39" t="s">
        <v>75</v>
      </c>
      <c r="BA48" s="40"/>
      <c r="BB48" s="41"/>
      <c r="BC48" s="41"/>
      <c r="BD48" s="41"/>
      <c r="BE48" s="41"/>
      <c r="BF48" s="38">
        <f>if(BH48="", if(BC49&lt;&gt;"", if((BC49-BA49)&lt;-1,AY48*(1+Setup!CL9),if((BC49-BA49)&lt;0,AY48*(1+Setup!CM9),if((BC49-BA49)=0,AY48*(1+Setup!CN9),if((BC49-BA49)=1,AY48*(1+Setup!CO9),if((BC49-BA49)=2,AY48*(1+Setup!CP9),if((BC49-BA49)=3,AY48*(1+Setup!CQ9),if((BC49-BA49)=4,AY48*(1+Setup!CR9),if((BC49-BA49)&gt;4,AY48*(1+Setup!CS9),AY48)))))))),AY48),BH48/'Quick Setup'!$E11)</f>
        <v>420</v>
      </c>
      <c r="BG48" s="39" t="s">
        <v>75</v>
      </c>
      <c r="BH48" s="40"/>
      <c r="BI48" s="41"/>
      <c r="BJ48" s="41"/>
      <c r="BK48" s="41"/>
      <c r="BL48" s="41"/>
      <c r="BM48" s="38">
        <f>if(BO48="", if(BJ49&lt;&gt;"", if((BJ49-BH49)&lt;-1,BF48*(1+Setup!CX9),if((BJ49-BH49)&lt;0,BF48*(1+Setup!CY9),if((BJ49-BH49)=0,BF48*(1+Setup!CZ9),if((BJ49-BH49)=1,BF48*(1+Setup!DA9),if((BJ49-BH49)=2,BF48*(1+Setup!DB9),if((BJ49-BH49)=3,BF48*(1+Setup!DC9),if((BJ49-BH49)=4,BF48*(1+Setup!DD9),if((BJ49-BH49)&gt;4,BF48*(1+Setup!DE9),BF48)))))))),BF48),BO48/'Quick Setup'!$E11)</f>
        <v>420</v>
      </c>
      <c r="BN48" s="39" t="s">
        <v>75</v>
      </c>
      <c r="BO48" s="40"/>
      <c r="BP48" s="41"/>
      <c r="BQ48" s="41"/>
      <c r="BR48" s="41"/>
      <c r="BS48" s="41"/>
      <c r="BT48" s="38">
        <f>if(BV48="", if(BQ49&lt;&gt;"", if((BQ49-BO49)&lt;-1,BM48*(1+Setup!DJ9),if((BQ49-BO49)&lt;0,BM48*(1+Setup!DK9),if((BQ49-BO49)=0,BM48*(1+Setup!DL9),if((BQ49-BO49)=1,BM48*(1+Setup!DM9),if((BQ49-BO49)=2,BM48*(1+Setup!DN9),if((BQ49-BO49)=3,BM48*(1+Setup!DO9),if((BQ49-BO49)=4,BM48*(1+Setup!DP9),if((BQ49-BO49)&gt;4,BM48*(1+Setup!DQ9),BM48)))))))),BM48),BV48/'Quick Setup'!$E11)</f>
        <v>420</v>
      </c>
      <c r="BU48" s="39" t="s">
        <v>75</v>
      </c>
      <c r="BV48" s="40"/>
      <c r="BW48" s="41"/>
      <c r="BX48" s="41"/>
      <c r="BY48" s="41"/>
      <c r="BZ48" s="41"/>
      <c r="CA48" s="38">
        <f>if(CC48="", if(BX49&lt;&gt;"", if((BX49-BV49)&lt;-1,BT48*(1+Setup!DV9),if((BX49-BV49)&lt;0,BT48*(1+Setup!DW9),if((BX49-BV49)=0,BT48*(1+Setup!DX9),if((BX49-BV49)=1,BT48*(1+Setup!DY9),if((BX49-BV49)=2,BT48*(1+Setup!DZ9),if((BX49-BV49)=3,BT48*(1+Setup!EA9),if((BX49-BV49)=4,BT48*(1+Setup!EB9),if((BX49-BV49)&gt;4,BT48*(1+Setup!EC9),BT48)))))))),BT48),CC48/'Quick Setup'!$E11)</f>
        <v>420</v>
      </c>
      <c r="CB48" s="39" t="s">
        <v>75</v>
      </c>
      <c r="CC48" s="40"/>
      <c r="CD48" s="41"/>
      <c r="CE48" s="41"/>
      <c r="CF48" s="41"/>
      <c r="CG48" s="41"/>
      <c r="CH48" s="38">
        <f>if(CJ48="", if(CE49&lt;&gt;"", if((CE49-CC49)&lt;-1,CA48*(1+Setup!EH9),if((CE49-CC49)&lt;0,CA48*(1+Setup!EI9),if((CE49-CC49)=0,CA48*(1+Setup!EJ9),if((CE49-CC49)=1,CA48*(1+Setup!EK9),if((CE49-CC49)=2,CA48*(1+Setup!EL9),if((CE49-CC49)=3,CA48*(1+Setup!EM9),if((CE49-CC49)=4,CA48*(1+Setup!EN9),if((CE49-CC49)&gt;4,CA48*(1+Setup!EO9),CA48)))))))),CA48),CJ48/'Quick Setup'!$E11)</f>
        <v>420</v>
      </c>
      <c r="CI48" s="39" t="s">
        <v>75</v>
      </c>
      <c r="CJ48" s="40"/>
      <c r="CK48" s="41"/>
      <c r="CL48" s="41"/>
      <c r="CM48" s="41"/>
      <c r="CN48" s="41"/>
      <c r="CO48" s="38">
        <f>if(CQ48="", if(CL49&lt;&gt;"", if((CL49-CJ49)&lt;-1,CH48*(1+Setup!ET9),if((CL49-CJ49)&lt;0,CH48*(1+Setup!EU9),if((CL49-CJ49)=0,CH48*(1+Setup!EV9),if((CL49-CJ49)=1,CH48*(1+Setup!EW9),if((CL49-CJ49)=2,CH48*(1+Setup!EX9),if((CL49-CJ49)=3,CH48*(1+Setup!EY9),if((CL49-CJ49)=4,CH48*(1+Setup!EZ9),if((CL49-CJ49)&gt;4,CH48*(1+Setup!FA9),CH48)))))))),CH48),CQ48/'Quick Setup'!$E11)</f>
        <v>420</v>
      </c>
      <c r="CP48" s="39" t="s">
        <v>75</v>
      </c>
      <c r="CQ48" s="40"/>
      <c r="CR48" s="41"/>
      <c r="CS48" s="41"/>
      <c r="CT48" s="41"/>
      <c r="CU48" s="41"/>
      <c r="CV48" s="38">
        <f>if(CX48="",CO48,CX48/'Quick Setup'!$E11)</f>
        <v>420</v>
      </c>
      <c r="CW48" s="39" t="s">
        <v>75</v>
      </c>
      <c r="CX48" s="40"/>
      <c r="CY48" s="41"/>
      <c r="CZ48" s="41"/>
      <c r="DA48" s="41"/>
      <c r="DB48" s="41"/>
      <c r="DC48" s="38">
        <f>if(DE48="", if(CZ49&lt;&gt;"", if((CZ49-CX49)&lt;-1,CV48*(1+Setup!FR9),if((CZ49-CX49)&lt;0,CV48*(1+Setup!FS9),if((CZ49-CX49)=0,CV48*(1+Setup!FT9),if((CZ49-CX49)=1,CV48*(1+Setup!FU9),if((CZ49-CX49)=2,CV48*(1+Setup!FV9),if((CZ49-CX49)=3,CV48*(1+Setup!FW9),if((CZ49-CX49)=4,CV48*(1+Setup!FX9),if((CZ49-CX49)&gt;4,CV48*(1+Setup!FY9),CV48)))))))),CV48),DE48/'Quick Setup'!$E11)</f>
        <v>420</v>
      </c>
      <c r="DD48" s="39" t="s">
        <v>75</v>
      </c>
      <c r="DE48" s="40"/>
      <c r="DF48" s="41"/>
      <c r="DG48" s="41"/>
      <c r="DH48" s="41"/>
      <c r="DI48" s="41"/>
      <c r="DJ48" s="38">
        <f>if(DL48="", if(DG49&lt;&gt;"", if((DG49-DE49)&lt;-1,DC48*(1+Setup!GD9),if((DG49-DE49)&lt;0,DC48*(1+Setup!GE9),if((DG49-DE49)=0,DC48*(1+Setup!GF9),if((DG49-DE49)=1,DC48*(1+Setup!GG9),if((DG49-DE49)=2,DC48*(1+Setup!GH9),if((DG49-DE49)=3,DC48*(1+Setup!GI9),if((DG49-DE49)=4,DC48*(1+Setup!GJ9),if((DG49-DE49)&gt;4,DC48*(1+Setup!GK9),DC48)))))))),DC48),DL48/'Quick Setup'!$E11)</f>
        <v>420</v>
      </c>
      <c r="DK48" s="39" t="s">
        <v>75</v>
      </c>
      <c r="DL48" s="40"/>
      <c r="DM48" s="41"/>
      <c r="DN48" s="41"/>
      <c r="DO48" s="41"/>
      <c r="DP48" s="41"/>
      <c r="DQ48" s="38">
        <f>if(DS48="", if(DN49&lt;&gt;"", if((DN49-DL49)&lt;-1,DJ48*(1+Setup!GP9),if((DN49-DL49)&lt;0,DJ48*(1+Setup!GQ9),if((DN49-DL49)=0,DJ48*(1+Setup!GR9),if((DN49-DL49)=1,DJ48*(1+Setup!GS9),if((DN49-DL49)=2,DJ48*(1+Setup!GT9),if((DN49-DL49)=3,DJ48*(1+Setup!GU9),if((DN49-DL49)=4,DJ48*(1+Setup!GV9),if((DN49-DL49)&gt;4,DJ48*(1+Setup!GW9),DJ48)))))))),DJ48),DS48/'Quick Setup'!$E11)</f>
        <v>420</v>
      </c>
      <c r="DR48" s="39" t="s">
        <v>75</v>
      </c>
      <c r="DS48" s="40"/>
      <c r="DT48" s="41"/>
      <c r="DU48" s="41"/>
      <c r="DV48" s="41"/>
      <c r="DW48" s="41"/>
      <c r="DX48" s="38">
        <f>if(DZ48="", if(DU49&lt;&gt;"", if((DU49-DS49)&lt;-1,DQ48*(1+Setup!HB9),if((DU49-DS49)&lt;0,DQ48*(1+Setup!HC9),if((DU49-DS49)=0,DQ48*(1+Setup!HD9),if((DU49-DS49)=1,DQ48*(1+Setup!HE9),if((DU49-DS49)=2,DQ48*(1+Setup!HF9),if((DU49-DS49)=3,DQ48*(1+Setup!HG9),if((DU49-DS49)=4,DQ48*(1+Setup!HH9),if((DU49-DS49)&gt;4,DQ48*(1+Setup!HI9),DQ48)))))))),DQ48),DZ48/'Quick Setup'!$E11)</f>
        <v>420</v>
      </c>
      <c r="DY48" s="39" t="s">
        <v>75</v>
      </c>
      <c r="DZ48" s="40"/>
      <c r="EA48" s="41"/>
      <c r="EB48" s="41"/>
      <c r="EC48" s="41"/>
      <c r="ED48" s="41"/>
      <c r="EE48" s="38">
        <f>if(EG48="", if(EB49&lt;&gt;"", if((EB49-DZ49)&lt;-1,DX48*(1+Setup!HN9),if((EB49-DZ49)&lt;0,DX48*(1+Setup!HO9),if((EB49-DZ49)=0,DX48*(1+Setup!HP9),if((EB49-DZ49)=1,DX48*(1+Setup!HQ9),if((EB49-DZ49)=2,DX48*(1+Setup!HR9),if((EB49-DZ49)=3,DX48*(1+Setup!HS9),if((EB49-DZ49)=4,DX48*(1+Setup!HT9),if((EB49-DZ49)&gt;4,DX48*(1+Setup!HU9),DX48)))))))),DX48),EG48/'Quick Setup'!$E11)</f>
        <v>420</v>
      </c>
      <c r="EF48" s="39" t="s">
        <v>75</v>
      </c>
      <c r="EG48" s="40"/>
      <c r="EH48" s="41"/>
      <c r="EI48" s="41"/>
      <c r="EJ48" s="41"/>
      <c r="EK48" s="41"/>
      <c r="EL48" s="38">
        <f>if(EN48="", if(EI49&lt;&gt;"", if((EI49-EG49)&lt;-1,EE48*(1+Setup!HZ9),if((EI49-EG49)&lt;0,EE48*(1+Setup!IA9),if((EI49-EG49)=0,EE48*(1+Setup!IB9),if((EI49-EG49)=1,EE48*(1+Setup!IC9),if((EI49-EG49)=2,EE48*(1+Setup!ID9),if((EI49-EG49)=3,EE48*(1+Setup!IE9),if((EI49-EG49)=4,EE48*(1+Setup!IF9),if((EI49-EG49)&gt;4,EE48*(1+Setup!IG9),EE48)))))))),EE48),EN48/'Quick Setup'!$E11)</f>
        <v>420</v>
      </c>
      <c r="EM48" s="39" t="s">
        <v>75</v>
      </c>
      <c r="EN48" s="40"/>
      <c r="EO48" s="41"/>
      <c r="EP48" s="41"/>
      <c r="EQ48" s="41"/>
      <c r="ER48" s="41"/>
    </row>
    <row r="49">
      <c r="A49" s="1" t="str">
        <f>Setup!A9</f>
        <v>Front Squat</v>
      </c>
      <c r="B49" s="42">
        <f>mround(B48*Setup!B9,'Quick Setup'!$A$2)</f>
        <v>252.5</v>
      </c>
      <c r="C49" s="3">
        <f>Setup!C9</f>
        <v>7</v>
      </c>
      <c r="D49" s="3">
        <f>Setup!D9</f>
        <v>14</v>
      </c>
      <c r="E49" s="3">
        <f>Setup!E9</f>
        <v>5</v>
      </c>
      <c r="F49" s="10"/>
      <c r="G49" s="10"/>
      <c r="H49" s="10"/>
      <c r="I49" s="42">
        <f>mround(I48*Setup!N9,'Quick Setup'!$A$2)</f>
        <v>272.5</v>
      </c>
      <c r="J49" s="3">
        <f>Setup!O9</f>
        <v>6</v>
      </c>
      <c r="K49" s="3">
        <f>Setup!P9</f>
        <v>12</v>
      </c>
      <c r="L49" s="3">
        <f>Setup!Q9</f>
        <v>5</v>
      </c>
      <c r="M49" s="10"/>
      <c r="N49" s="10"/>
      <c r="O49" s="10"/>
      <c r="P49" s="42">
        <f>mround(P48*Setup!Z9,'Quick Setup'!$A$2)</f>
        <v>295</v>
      </c>
      <c r="Q49" s="3">
        <f>Setup!AA9</f>
        <v>5</v>
      </c>
      <c r="R49" s="3">
        <f>Setup!AB9</f>
        <v>10</v>
      </c>
      <c r="S49" s="3">
        <f>Setup!AC9</f>
        <v>5</v>
      </c>
      <c r="T49" s="10"/>
      <c r="U49" s="10"/>
      <c r="V49" s="10"/>
      <c r="W49" s="42">
        <f>mround(W48*Setup!AL9,'Quick Setup'!$A$2)</f>
        <v>262.5</v>
      </c>
      <c r="X49" s="3">
        <f>Setup!AM9</f>
        <v>7</v>
      </c>
      <c r="Y49" s="3">
        <f>Setup!AN9</f>
        <v>13</v>
      </c>
      <c r="Z49" s="3">
        <f>Setup!AO9</f>
        <v>5</v>
      </c>
      <c r="AA49" s="10"/>
      <c r="AB49" s="10"/>
      <c r="AC49" s="10"/>
      <c r="AD49" s="42">
        <f>mround(AD48*Setup!AX9,'Quick Setup'!$A$2)</f>
        <v>282.5</v>
      </c>
      <c r="AE49" s="3">
        <f>Setup!AY9</f>
        <v>6</v>
      </c>
      <c r="AF49" s="3">
        <f>Setup!AZ9</f>
        <v>11</v>
      </c>
      <c r="AG49" s="3">
        <f>Setup!BA9</f>
        <v>5</v>
      </c>
      <c r="AH49" s="10"/>
      <c r="AI49" s="10"/>
      <c r="AJ49" s="10"/>
      <c r="AK49" s="42">
        <f>mround(AK48*Setup!BJ9,'Quick Setup'!$A$2)</f>
        <v>305</v>
      </c>
      <c r="AL49" s="3">
        <f>Setup!BK9</f>
        <v>5</v>
      </c>
      <c r="AM49" s="3">
        <f>Setup!BL9</f>
        <v>9</v>
      </c>
      <c r="AN49" s="3">
        <f>Setup!BM9</f>
        <v>5</v>
      </c>
      <c r="AO49" s="10"/>
      <c r="AP49" s="10"/>
      <c r="AQ49" s="10"/>
      <c r="AR49" s="42">
        <f>mround(AR48*Setup!BV9,'Quick Setup'!$A$2)</f>
        <v>210</v>
      </c>
      <c r="AS49" s="1">
        <v>5.0</v>
      </c>
      <c r="AT49" s="1" t="s">
        <v>78</v>
      </c>
      <c r="AU49" s="3">
        <f>Setup!BY9</f>
        <v>5</v>
      </c>
      <c r="AV49" s="10"/>
      <c r="AW49" s="10"/>
      <c r="AX49" s="10"/>
      <c r="AY49" s="42">
        <f>mround(AY48*Setup!CH9,'Quick Setup'!$A$2)</f>
        <v>272.5</v>
      </c>
      <c r="AZ49" s="3">
        <f>Setup!CI9</f>
        <v>6</v>
      </c>
      <c r="BA49" s="3">
        <f>Setup!CJ9</f>
        <v>12</v>
      </c>
      <c r="BB49" s="3">
        <f>Setup!CK9</f>
        <v>5</v>
      </c>
      <c r="BC49" s="10"/>
      <c r="BD49" s="10"/>
      <c r="BE49" s="10"/>
      <c r="BF49" s="42">
        <f>mround(BF48*Setup!CT9,'Quick Setup'!$A$2)</f>
        <v>295</v>
      </c>
      <c r="BG49" s="3">
        <f>Setup!CU9</f>
        <v>5</v>
      </c>
      <c r="BH49" s="3">
        <f>Setup!CV9</f>
        <v>10</v>
      </c>
      <c r="BI49" s="3">
        <f>Setup!CW9</f>
        <v>5</v>
      </c>
      <c r="BJ49" s="10"/>
      <c r="BK49" s="10"/>
      <c r="BL49" s="10"/>
      <c r="BM49" s="42">
        <f>mround(BM48*Setup!DF9,'Quick Setup'!$A$2)</f>
        <v>315</v>
      </c>
      <c r="BN49" s="3">
        <f>Setup!DG9</f>
        <v>4</v>
      </c>
      <c r="BO49" s="3">
        <f>Setup!DH9</f>
        <v>8</v>
      </c>
      <c r="BP49" s="3">
        <f>Setup!DI9</f>
        <v>5</v>
      </c>
      <c r="BQ49" s="10"/>
      <c r="BR49" s="10"/>
      <c r="BS49" s="10"/>
      <c r="BT49" s="42">
        <f>mround(BT48*Setup!DR9,'Quick Setup'!$A$2)</f>
        <v>282.5</v>
      </c>
      <c r="BU49" s="3">
        <f>Setup!DS9</f>
        <v>6</v>
      </c>
      <c r="BV49" s="3">
        <f>Setup!DT9</f>
        <v>11</v>
      </c>
      <c r="BW49" s="3">
        <f>Setup!DU9</f>
        <v>5</v>
      </c>
      <c r="BX49" s="10"/>
      <c r="BY49" s="10"/>
      <c r="BZ49" s="10"/>
      <c r="CA49" s="42">
        <f>mround(CA48*Setup!ED9,'Quick Setup'!$A$2)</f>
        <v>305</v>
      </c>
      <c r="CB49" s="3">
        <f>Setup!EE9</f>
        <v>5</v>
      </c>
      <c r="CC49" s="3">
        <f>Setup!EF9</f>
        <v>9</v>
      </c>
      <c r="CD49" s="3">
        <f>Setup!EG9</f>
        <v>5</v>
      </c>
      <c r="CE49" s="10"/>
      <c r="CF49" s="10"/>
      <c r="CG49" s="10"/>
      <c r="CH49" s="42">
        <f>mround(CH48*Setup!EP9,'Quick Setup'!$A$2)</f>
        <v>325</v>
      </c>
      <c r="CI49" s="3">
        <f>Setup!EQ9</f>
        <v>4</v>
      </c>
      <c r="CJ49" s="3">
        <f>Setup!ER9</f>
        <v>7</v>
      </c>
      <c r="CK49" s="3">
        <f>Setup!ES9</f>
        <v>5</v>
      </c>
      <c r="CL49" s="10"/>
      <c r="CM49" s="10"/>
      <c r="CN49" s="10"/>
      <c r="CO49" s="42">
        <f>mround(CO48*Setup!FB9,'Quick Setup'!$A$2)</f>
        <v>210</v>
      </c>
      <c r="CP49" s="1">
        <v>5.0</v>
      </c>
      <c r="CQ49" s="1" t="s">
        <v>78</v>
      </c>
      <c r="CR49" s="3">
        <f>Setup!FE9</f>
        <v>5</v>
      </c>
      <c r="CS49" s="10"/>
      <c r="CT49" s="10"/>
      <c r="CU49" s="10"/>
      <c r="CV49" s="42">
        <f>mround(CV48*Setup!FN9,'Quick Setup'!$A$2)</f>
        <v>295</v>
      </c>
      <c r="CW49" s="3">
        <f>Setup!FO9</f>
        <v>5</v>
      </c>
      <c r="CX49" s="3">
        <f>Setup!FP9</f>
        <v>10</v>
      </c>
      <c r="CY49" s="3">
        <f>Setup!FQ9</f>
        <v>5</v>
      </c>
      <c r="CZ49" s="10"/>
      <c r="DA49" s="10"/>
      <c r="DB49" s="10"/>
      <c r="DC49" s="42">
        <f>mround(DC48*Setup!FZ9,'Quick Setup'!$A$2)</f>
        <v>315</v>
      </c>
      <c r="DD49" s="3">
        <f>Setup!GA9</f>
        <v>4</v>
      </c>
      <c r="DE49" s="3">
        <f>Setup!GB9</f>
        <v>8</v>
      </c>
      <c r="DF49" s="3">
        <f>Setup!GC9</f>
        <v>5</v>
      </c>
      <c r="DG49" s="10"/>
      <c r="DH49" s="10"/>
      <c r="DI49" s="10"/>
      <c r="DJ49" s="42">
        <f>mround(DJ48*Setup!GL9,'Quick Setup'!$A$2)</f>
        <v>335</v>
      </c>
      <c r="DK49" s="3">
        <f>Setup!GM9</f>
        <v>3</v>
      </c>
      <c r="DL49" s="3">
        <f>Setup!GN9</f>
        <v>6</v>
      </c>
      <c r="DM49" s="3">
        <f>Setup!GO9</f>
        <v>5</v>
      </c>
      <c r="DN49" s="10"/>
      <c r="DO49" s="10"/>
      <c r="DP49" s="10"/>
      <c r="DQ49" s="42">
        <f>mround(DQ48*Setup!GX9,'Quick Setup'!$A$2)</f>
        <v>315</v>
      </c>
      <c r="DR49" s="3">
        <f>Setup!GY9</f>
        <v>4</v>
      </c>
      <c r="DS49" s="3">
        <f>Setup!GZ9</f>
        <v>8</v>
      </c>
      <c r="DT49" s="3">
        <f>Setup!HA9</f>
        <v>5</v>
      </c>
      <c r="DU49" s="10"/>
      <c r="DV49" s="10"/>
      <c r="DW49" s="10"/>
      <c r="DX49" s="42">
        <f>mround(DX48*Setup!HJ9,'Quick Setup'!$A$2)</f>
        <v>335</v>
      </c>
      <c r="DY49" s="3">
        <f>Setup!HK9</f>
        <v>3</v>
      </c>
      <c r="DZ49" s="3">
        <f>Setup!HL9</f>
        <v>6</v>
      </c>
      <c r="EA49" s="3">
        <f>Setup!HM9</f>
        <v>5</v>
      </c>
      <c r="EB49" s="10"/>
      <c r="EC49" s="10"/>
      <c r="ED49" s="10"/>
      <c r="EE49" s="42">
        <f>mround(EE48*Setup!HV9,'Quick Setup'!$A$2)</f>
        <v>357.5</v>
      </c>
      <c r="EF49" s="3">
        <f>Setup!HW9</f>
        <v>2</v>
      </c>
      <c r="EG49" s="3">
        <f>Setup!HX9</f>
        <v>4</v>
      </c>
      <c r="EH49" s="3">
        <f>Setup!HY9</f>
        <v>5</v>
      </c>
      <c r="EI49" s="10"/>
      <c r="EJ49" s="10"/>
      <c r="EK49" s="10"/>
      <c r="EL49" s="42">
        <f>mround(EL48*Setup!IH9,'Quick Setup'!$A$2)</f>
        <v>210</v>
      </c>
      <c r="EM49" s="1">
        <v>5.0</v>
      </c>
      <c r="EN49" s="1" t="s">
        <v>78</v>
      </c>
      <c r="EO49" s="3">
        <f>Setup!IK9</f>
        <v>5</v>
      </c>
      <c r="EP49" s="10"/>
      <c r="EQ49" s="10"/>
      <c r="ER49" s="10"/>
    </row>
    <row r="50" hidden="1">
      <c r="A50" s="37" t="str">
        <f>CONCATENATE(A51," TM")</f>
        <v>Incline Press TM</v>
      </c>
      <c r="B50" s="38">
        <f>if(D50="",'Quick Setup'!D14,D50/'Quick Setup'!E14)</f>
        <v>280</v>
      </c>
      <c r="C50" s="39" t="s">
        <v>75</v>
      </c>
      <c r="D50" s="40"/>
      <c r="E50" s="41"/>
      <c r="F50" s="41"/>
      <c r="G50" s="41"/>
      <c r="H50" s="41"/>
      <c r="I50" s="38">
        <f>if(K50="", if(F51&lt;&gt;"", if((F51-D51)&lt;-1,B50*(1+Setup!F12),if((F51-D51)&lt;0,B50*(1+Setup!G12),if((F51-D51)=0,B50*(1+Setup!H12),if((F51-D51)=1,B50*(1+Setup!I12),if((F51-D51)=2,B50*(1+Setup!J12),if((F51-D51)=3,B50*(1+Setup!K12),if((F51-D51)=4,B50*(1+Setup!L12),if((F51-D51)&gt;4,B50*(1+Setup!M12),B50)))))))),B50),K50/'Quick Setup'!$E14)</f>
        <v>280</v>
      </c>
      <c r="J50" s="39" t="s">
        <v>75</v>
      </c>
      <c r="K50" s="40"/>
      <c r="L50" s="41"/>
      <c r="M50" s="41"/>
      <c r="N50" s="41"/>
      <c r="O50" s="41"/>
      <c r="P50" s="38">
        <f>if(R50="", if(M51&lt;&gt;"", if((M51-K51)&lt;-1,I50*(1+Setup!R12),if((M51-K51)&lt;0,I50*(1+Setup!S12),if((M51-K51)=0,I50*(1+Setup!T12),if((M51-K51)=1,I50*(1+Setup!U12),if((M51-K51)=2,I50*(1+Setup!V12),if((M51-K51)=3,I50*(1+Setup!W12),if((M51-K51)=4,I50*(1+Setup!X12),if((M51-K51)&gt;4,I50*(1+Setup!Y12),I50)))))))),I50),R50/'Quick Setup'!$E14)</f>
        <v>280</v>
      </c>
      <c r="Q50" s="39" t="s">
        <v>75</v>
      </c>
      <c r="R50" s="40"/>
      <c r="S50" s="41"/>
      <c r="T50" s="41"/>
      <c r="U50" s="41"/>
      <c r="V50" s="41"/>
      <c r="W50" s="38">
        <f>if(Y50="", if(T51&lt;&gt;"", if((T51-R51)&lt;-1,P50*(1+Setup!AD12),if((T51-R51)&lt;0,P50*(1+Setup!AE12),if((T51-R51)=0,P50*(1+Setup!AF12),if((T51-R51)=1,P50*(1+Setup!AG12),if((T51-R51)=2,P50*(1+Setup!AH12),if((T51-R51)=3,P50*(1+Setup!AI12),if((T51-R51)=4,P50*(1+Setup!AJ12),if((T51-R51)&gt;4,P50*(1+Setup!AK12),P50)))))))),P50),Y50/'Quick Setup'!$E14)</f>
        <v>280</v>
      </c>
      <c r="X50" s="39" t="s">
        <v>75</v>
      </c>
      <c r="Y50" s="40"/>
      <c r="Z50" s="41"/>
      <c r="AA50" s="41"/>
      <c r="AB50" s="41"/>
      <c r="AC50" s="41"/>
      <c r="AD50" s="38">
        <f>if(AF50="", if(AA51&lt;&gt;"", if((AA51-Y51)&lt;-1,W50*(1+Setup!AP12),if((AA51-Y51)&lt;0,W50*(1+Setup!AQ12),if((AA51-Y51)=0,W50*(1+Setup!AR12),if((AA51-Y51)=1,W50*(1+Setup!AS12),if((AA51-Y51)=2,W50*(1+Setup!AT12),if((AA51-Y51)=3,W50*(1+Setup!AU12),if((AA51-Y51)=4,W50*(1+Setup!AV12),if((AA51-Y51)&gt;4,W50*(1+Setup!AW12),W50)))))))),W50),AF50/'Quick Setup'!$E14)</f>
        <v>280</v>
      </c>
      <c r="AE50" s="39" t="s">
        <v>75</v>
      </c>
      <c r="AF50" s="40"/>
      <c r="AG50" s="41"/>
      <c r="AH50" s="41"/>
      <c r="AI50" s="41"/>
      <c r="AJ50" s="41"/>
      <c r="AK50" s="38">
        <f>if(AM50="", if(AH51&lt;&gt;"", if((AH51-AF51)&lt;-1,AD50*(1+Setup!BB12),if((AH51-AF51)&lt;0,AD50*(1+Setup!BC12),if((AH51-AF51)=0,AD50*(1+Setup!BD12),if((AH51-AF51)=1,AD50*(1+Setup!BE12),if((AH51-AF51)=2,AD50*(1+Setup!BF12),if((AH51-AF51)=3,AD50*(1+Setup!BG12),if((AH51-AF51)=4,AD50*(1+Setup!BH12),if((AH51-AF51)&gt;4,AD50*(1+Setup!BI12),AD50)))))))),AD50),AM50/'Quick Setup'!$E14)</f>
        <v>280</v>
      </c>
      <c r="AL50" s="39" t="s">
        <v>75</v>
      </c>
      <c r="AM50" s="40"/>
      <c r="AN50" s="41"/>
      <c r="AO50" s="41"/>
      <c r="AP50" s="41"/>
      <c r="AQ50" s="41"/>
      <c r="AR50" s="38">
        <f>if(AT50="", if(AO51&lt;&gt;"", if((AO51-AM51)&lt;-1,AK50*(1+Setup!BN12),if((AO51-AM51)&lt;0,AK50*(1+Setup!BO12),if((AO51-AM51)=0,AK50*(1+Setup!BP12),if((AO51-AM51)=1,AK50*(1+Setup!BQ12),if((AO51-AM51)=2,AK50*(1+Setup!BR12),if((AO51-AM51)=3,AK50*(1+Setup!BS12),if((AO51-AM51)=4,AK50*(1+Setup!BT12),if((AO51-AM51)&gt;4,AK50*(1+Setup!BU12),AK50)))))))),AK50),AT50/'Quick Setup'!$E14)</f>
        <v>280</v>
      </c>
      <c r="AS50" s="39" t="s">
        <v>75</v>
      </c>
      <c r="AT50" s="40"/>
      <c r="AU50" s="41"/>
      <c r="AV50" s="41"/>
      <c r="AW50" s="41"/>
      <c r="AX50" s="41"/>
      <c r="AY50" s="38">
        <f>if(BA50="",AR50,BA50/'Quick Setup'!$E14)</f>
        <v>280</v>
      </c>
      <c r="AZ50" s="39" t="s">
        <v>75</v>
      </c>
      <c r="BA50" s="40"/>
      <c r="BB50" s="41"/>
      <c r="BC50" s="41"/>
      <c r="BD50" s="41"/>
      <c r="BE50" s="41"/>
      <c r="BF50" s="38">
        <f>if(BH50="", if(BC51&lt;&gt;"", if((BC51-BA51)&lt;-1,AY50*(1+Setup!CL12),if((BC51-BA51)&lt;0,AY50*(1+Setup!CM12),if((BC51-BA51)=0,AY50*(1+Setup!CN12),if((BC51-BA51)=1,AY50*(1+Setup!CO12),if((BC51-BA51)=2,AY50*(1+Setup!CP12),if((BC51-BA51)=3,AY50*(1+Setup!CQ12),if((BC51-BA51)=4,AY50*(1+Setup!CR12),if((BC51-BA51)&gt;4,AY50*(1+Setup!CS12),AY50)))))))),AY50),BH50/'Quick Setup'!$E14)</f>
        <v>280</v>
      </c>
      <c r="BG50" s="39" t="s">
        <v>75</v>
      </c>
      <c r="BH50" s="40"/>
      <c r="BI50" s="41"/>
      <c r="BJ50" s="41"/>
      <c r="BK50" s="41"/>
      <c r="BL50" s="41"/>
      <c r="BM50" s="38">
        <f>if(BO50="", if(BJ51&lt;&gt;"", if((BJ51-BH51)&lt;-1,BF50*(1+Setup!CX12),if((BJ51-BH51)&lt;0,BF50*(1+Setup!CY12),if((BJ51-BH51)=0,BF50*(1+Setup!CZ12),if((BJ51-BH51)=1,BF50*(1+Setup!DA12),if((BJ51-BH51)=2,BF50*(1+Setup!DB12),if((BJ51-BH51)=3,BF50*(1+Setup!DC12),if((BJ51-BH51)=4,BF50*(1+Setup!DD12),if((BJ51-BH51)&gt;4,BF50*(1+Setup!DE12),BF50)))))))),BF50),BO50/'Quick Setup'!$E14)</f>
        <v>280</v>
      </c>
      <c r="BN50" s="39" t="s">
        <v>75</v>
      </c>
      <c r="BO50" s="40"/>
      <c r="BP50" s="41"/>
      <c r="BQ50" s="41"/>
      <c r="BR50" s="41"/>
      <c r="BS50" s="41"/>
      <c r="BT50" s="38">
        <f>if(BV50="", if(BQ51&lt;&gt;"", if((BQ51-BO51)&lt;-1,BM50*(1+Setup!DJ12),if((BQ51-BO51)&lt;0,BM50*(1+Setup!DK12),if((BQ51-BO51)=0,BM50*(1+Setup!DL12),if((BQ51-BO51)=1,BM50*(1+Setup!DM12),if((BQ51-BO51)=2,BM50*(1+Setup!DN12),if((BQ51-BO51)=3,BM50*(1+Setup!DO12),if((BQ51-BO51)=4,BM50*(1+Setup!DP12),if((BQ51-BO51)&gt;4,BM50*(1+Setup!DQ12),BM50)))))))),BM50),BV50/'Quick Setup'!$E14)</f>
        <v>280</v>
      </c>
      <c r="BU50" s="39" t="s">
        <v>75</v>
      </c>
      <c r="BV50" s="40"/>
      <c r="BW50" s="41"/>
      <c r="BX50" s="41"/>
      <c r="BY50" s="41"/>
      <c r="BZ50" s="41"/>
      <c r="CA50" s="38">
        <f>if(CC50="", if(BX51&lt;&gt;"", if((BX51-BV51)&lt;-1,BT50*(1+Setup!DV12),if((BX51-BV51)&lt;0,BT50*(1+Setup!DW12),if((BX51-BV51)=0,BT50*(1+Setup!DX12),if((BX51-BV51)=1,BT50*(1+Setup!DY12),if((BX51-BV51)=2,BT50*(1+Setup!DZ12),if((BX51-BV51)=3,BT50*(1+Setup!EA12),if((BX51-BV51)=4,BT50*(1+Setup!EB12),if((BX51-BV51)&gt;4,BT50*(1+Setup!EC12),BT50)))))))),BT50),CC50/'Quick Setup'!$E14)</f>
        <v>280</v>
      </c>
      <c r="CB50" s="39" t="s">
        <v>75</v>
      </c>
      <c r="CC50" s="40"/>
      <c r="CD50" s="41"/>
      <c r="CE50" s="41"/>
      <c r="CF50" s="41"/>
      <c r="CG50" s="41"/>
      <c r="CH50" s="38">
        <f>if(CJ50="", if(CE51&lt;&gt;"", if((CE51-CC51)&lt;-1,CA50*(1+Setup!EH12),if((CE51-CC51)&lt;0,CA50*(1+Setup!EI12),if((CE51-CC51)=0,CA50*(1+Setup!EJ12),if((CE51-CC51)=1,CA50*(1+Setup!EK12),if((CE51-CC51)=2,CA50*(1+Setup!EL12),if((CE51-CC51)=3,CA50*(1+Setup!EM12),if((CE51-CC51)=4,CA50*(1+Setup!EN12),if((CE51-CC51)&gt;4,CA50*(1+Setup!EO12),CA50)))))))),CA50),CJ50/'Quick Setup'!$E14)</f>
        <v>280</v>
      </c>
      <c r="CI50" s="39" t="s">
        <v>75</v>
      </c>
      <c r="CJ50" s="40"/>
      <c r="CK50" s="41"/>
      <c r="CL50" s="41"/>
      <c r="CM50" s="41"/>
      <c r="CN50" s="41"/>
      <c r="CO50" s="38">
        <f>if(CQ50="", if(CL51&lt;&gt;"", if((CL51-CJ51)&lt;-1,CH50*(1+Setup!ET12),if((CL51-CJ51)&lt;0,CH50*(1+Setup!EU12),if((CL51-CJ51)=0,CH50*(1+Setup!EV12),if((CL51-CJ51)=1,CH50*(1+Setup!EW12),if((CL51-CJ51)=2,CH50*(1+Setup!EX12),if((CL51-CJ51)=3,CH50*(1+Setup!EY12),if((CL51-CJ51)=4,CH50*(1+Setup!EZ12),if((CL51-CJ51)&gt;4,CH50*(1+Setup!FA12),CH50)))))))),CH50),CQ50/'Quick Setup'!$E14)</f>
        <v>280</v>
      </c>
      <c r="CP50" s="39" t="s">
        <v>75</v>
      </c>
      <c r="CQ50" s="40"/>
      <c r="CR50" s="41"/>
      <c r="CS50" s="41"/>
      <c r="CT50" s="41"/>
      <c r="CU50" s="41"/>
      <c r="CV50" s="38">
        <f>if(CX50="",CO50,CX50/'Quick Setup'!$E14)</f>
        <v>280</v>
      </c>
      <c r="CW50" s="39" t="s">
        <v>75</v>
      </c>
      <c r="CX50" s="40"/>
      <c r="CY50" s="41"/>
      <c r="CZ50" s="41"/>
      <c r="DA50" s="41"/>
      <c r="DB50" s="41"/>
      <c r="DC50" s="38">
        <f>if(DE50="", if(CZ51&lt;&gt;"", if((CZ51-CX51)&lt;-1,CV50*(1+Setup!FR12),if((CZ51-CX51)&lt;0,CV50*(1+Setup!FS12),if((CZ51-CX51)=0,CV50*(1+Setup!FT12),if((CZ51-CX51)=1,CV50*(1+Setup!FU12),if((CZ51-CX51)=2,CV50*(1+Setup!FV12),if((CZ51-CX51)=3,CV50*(1+Setup!FW12),if((CZ51-CX51)=4,CV50*(1+Setup!FX12),if((CZ51-CX51)&gt;4,CV50*(1+Setup!FY12),CV50)))))))),CV50),DE50/'Quick Setup'!$E14)</f>
        <v>280</v>
      </c>
      <c r="DD50" s="39" t="s">
        <v>75</v>
      </c>
      <c r="DE50" s="40"/>
      <c r="DF50" s="41"/>
      <c r="DG50" s="41"/>
      <c r="DH50" s="41"/>
      <c r="DI50" s="41"/>
      <c r="DJ50" s="38">
        <f>if(DL50="", if(DG51&lt;&gt;"", if((DG51-DE51)&lt;-1,DC50*(1+Setup!GD12),if((DG51-DE51)&lt;0,DC50*(1+Setup!GE12),if((DG51-DE51)=0,DC50*(1+Setup!GF12),if((DG51-DE51)=1,DC50*(1+Setup!GG12),if((DG51-DE51)=2,DC50*(1+Setup!GH12),if((DG51-DE51)=3,DC50*(1+Setup!GI12),if((DG51-DE51)=4,DC50*(1+Setup!GJ12),if((DG51-DE51)&gt;4,DC50*(1+Setup!GK12),DC50)))))))),DC50),DL50/'Quick Setup'!$E14)</f>
        <v>280</v>
      </c>
      <c r="DK50" s="39" t="s">
        <v>75</v>
      </c>
      <c r="DL50" s="40"/>
      <c r="DM50" s="41"/>
      <c r="DN50" s="41"/>
      <c r="DO50" s="41"/>
      <c r="DP50" s="41"/>
      <c r="DQ50" s="38">
        <f>if(DS50="", if(DN51&lt;&gt;"", if((DN51-DL51)&lt;-1,DJ50*(1+Setup!GP12),if((DN51-DL51)&lt;0,DJ50*(1+Setup!GQ12),if((DN51-DL51)=0,DJ50*(1+Setup!GR12),if((DN51-DL51)=1,DJ50*(1+Setup!GS12),if((DN51-DL51)=2,DJ50*(1+Setup!GT12),if((DN51-DL51)=3,DJ50*(1+Setup!GU12),if((DN51-DL51)=4,DJ50*(1+Setup!GV12),if((DN51-DL51)&gt;4,DJ50*(1+Setup!GW12),DJ50)))))))),DJ50),DS50/'Quick Setup'!$E14)</f>
        <v>280</v>
      </c>
      <c r="DR50" s="39" t="s">
        <v>75</v>
      </c>
      <c r="DS50" s="40"/>
      <c r="DT50" s="41"/>
      <c r="DU50" s="41"/>
      <c r="DV50" s="41"/>
      <c r="DW50" s="41"/>
      <c r="DX50" s="38">
        <f>if(DZ50="", if(DU51&lt;&gt;"", if((DU51-DS51)&lt;-1,DQ50*(1+Setup!HB12),if((DU51-DS51)&lt;0,DQ50*(1+Setup!HC12),if((DU51-DS51)=0,DQ50*(1+Setup!HD12),if((DU51-DS51)=1,DQ50*(1+Setup!HE12),if((DU51-DS51)=2,DQ50*(1+Setup!HF12),if((DU51-DS51)=3,DQ50*(1+Setup!HG12),if((DU51-DS51)=4,DQ50*(1+Setup!HH12),if((DU51-DS51)&gt;4,DQ50*(1+Setup!HI12),DQ50)))))))),DQ50),DZ50/'Quick Setup'!$E14)</f>
        <v>280</v>
      </c>
      <c r="DY50" s="39" t="s">
        <v>75</v>
      </c>
      <c r="DZ50" s="40"/>
      <c r="EA50" s="41"/>
      <c r="EB50" s="41"/>
      <c r="EC50" s="41"/>
      <c r="ED50" s="41"/>
      <c r="EE50" s="38">
        <f>if(EG50="", if(EB51&lt;&gt;"", if((EB51-DZ51)&lt;-1,DX50*(1+Setup!HN12),if((EB51-DZ51)&lt;0,DX50*(1+Setup!HO12),if((EB51-DZ51)=0,DX50*(1+Setup!HP12),if((EB51-DZ51)=1,DX50*(1+Setup!HQ12),if((EB51-DZ51)=2,DX50*(1+Setup!HR12),if((EB51-DZ51)=3,DX50*(1+Setup!HS12),if((EB51-DZ51)=4,DX50*(1+Setup!HT12),if((EB51-DZ51)&gt;4,DX50*(1+Setup!HU12),DX50)))))))),DX50),EG50/'Quick Setup'!$E14)</f>
        <v>280</v>
      </c>
      <c r="EF50" s="39" t="s">
        <v>75</v>
      </c>
      <c r="EG50" s="40"/>
      <c r="EH50" s="41"/>
      <c r="EI50" s="41"/>
      <c r="EJ50" s="41"/>
      <c r="EK50" s="41"/>
      <c r="EL50" s="38">
        <f>if(EN50="", if(EI51&lt;&gt;"", if((EI51-EG51)&lt;-1,EE50*(1+Setup!HZ12),if((EI51-EG51)&lt;0,EE50*(1+Setup!IA12),if((EI51-EG51)=0,EE50*(1+Setup!IB12),if((EI51-EG51)=1,EE50*(1+Setup!IC12),if((EI51-EG51)=2,EE50*(1+Setup!ID12),if((EI51-EG51)=3,EE50*(1+Setup!IE12),if((EI51-EG51)=4,EE50*(1+Setup!IF12),if((EI51-EG51)&gt;4,EE50*(1+Setup!IG12),EE50)))))))),EE50),EN50/'Quick Setup'!$E14)</f>
        <v>280</v>
      </c>
      <c r="EM50" s="39" t="s">
        <v>75</v>
      </c>
      <c r="EN50" s="40"/>
      <c r="EO50" s="41"/>
      <c r="EP50" s="41"/>
      <c r="EQ50" s="41"/>
      <c r="ER50" s="41"/>
    </row>
    <row r="51">
      <c r="A51" s="1" t="str">
        <f>Setup!A12</f>
        <v>Incline Press</v>
      </c>
      <c r="B51" s="42">
        <f>mround(B50*Setup!B12,'Quick Setup'!$A$2)</f>
        <v>167.5</v>
      </c>
      <c r="C51" s="3">
        <f>Setup!C12</f>
        <v>7</v>
      </c>
      <c r="D51" s="3">
        <f>Setup!D12</f>
        <v>14</v>
      </c>
      <c r="E51" s="3">
        <f>Setup!E12</f>
        <v>5</v>
      </c>
      <c r="F51" s="10"/>
      <c r="G51" s="10"/>
      <c r="H51" s="10"/>
      <c r="I51" s="42">
        <f>mround(I50*Setup!N12,'Quick Setup'!$A$2)</f>
        <v>182.5</v>
      </c>
      <c r="J51" s="3">
        <f>Setup!O12</f>
        <v>6</v>
      </c>
      <c r="K51" s="3">
        <f>Setup!P12</f>
        <v>12</v>
      </c>
      <c r="L51" s="3">
        <f>Setup!Q12</f>
        <v>5</v>
      </c>
      <c r="M51" s="10"/>
      <c r="N51" s="10"/>
      <c r="O51" s="10"/>
      <c r="P51" s="42">
        <f>mround(P50*Setup!Z12,'Quick Setup'!$A$2)</f>
        <v>195</v>
      </c>
      <c r="Q51" s="3">
        <f>Setup!AA12</f>
        <v>5</v>
      </c>
      <c r="R51" s="3">
        <f>Setup!AB12</f>
        <v>10</v>
      </c>
      <c r="S51" s="3">
        <f>Setup!AC12</f>
        <v>5</v>
      </c>
      <c r="T51" s="10"/>
      <c r="U51" s="10"/>
      <c r="V51" s="10"/>
      <c r="W51" s="42">
        <f>mround(W50*Setup!AL12,'Quick Setup'!$A$2)</f>
        <v>175</v>
      </c>
      <c r="X51" s="3">
        <f>Setup!AM12</f>
        <v>7</v>
      </c>
      <c r="Y51" s="3">
        <f>Setup!AN12</f>
        <v>13</v>
      </c>
      <c r="Z51" s="3">
        <f>Setup!AO12</f>
        <v>5</v>
      </c>
      <c r="AA51" s="10"/>
      <c r="AB51" s="10"/>
      <c r="AC51" s="10"/>
      <c r="AD51" s="42">
        <f>mround(AD50*Setup!AX12,'Quick Setup'!$A$2)</f>
        <v>190</v>
      </c>
      <c r="AE51" s="3">
        <f>Setup!AY12</f>
        <v>6</v>
      </c>
      <c r="AF51" s="3">
        <f>Setup!AZ12</f>
        <v>11</v>
      </c>
      <c r="AG51" s="3">
        <f>Setup!BA12</f>
        <v>5</v>
      </c>
      <c r="AH51" s="10"/>
      <c r="AI51" s="10"/>
      <c r="AJ51" s="10"/>
      <c r="AK51" s="42">
        <f>mround(AK50*Setup!BJ12,'Quick Setup'!$A$2)</f>
        <v>202.5</v>
      </c>
      <c r="AL51" s="3">
        <f>Setup!BK12</f>
        <v>5</v>
      </c>
      <c r="AM51" s="3">
        <f>Setup!BL12</f>
        <v>9</v>
      </c>
      <c r="AN51" s="3">
        <f>Setup!BM12</f>
        <v>5</v>
      </c>
      <c r="AO51" s="10"/>
      <c r="AP51" s="10"/>
      <c r="AQ51" s="10"/>
      <c r="AR51" s="42">
        <f>mround(AR50*Setup!BV12,'Quick Setup'!$A$2)</f>
        <v>140</v>
      </c>
      <c r="AS51" s="1">
        <v>5.0</v>
      </c>
      <c r="AT51" s="1" t="s">
        <v>78</v>
      </c>
      <c r="AU51" s="3">
        <f>Setup!BY12</f>
        <v>5</v>
      </c>
      <c r="AV51" s="10"/>
      <c r="AW51" s="10"/>
      <c r="AX51" s="10"/>
      <c r="AY51" s="42">
        <f>mround(AY50*Setup!CH12,'Quick Setup'!$A$2)</f>
        <v>182.5</v>
      </c>
      <c r="AZ51" s="3">
        <f>Setup!CI12</f>
        <v>6</v>
      </c>
      <c r="BA51" s="3">
        <f>Setup!CJ12</f>
        <v>12</v>
      </c>
      <c r="BB51" s="3">
        <f>Setup!CK12</f>
        <v>5</v>
      </c>
      <c r="BC51" s="10"/>
      <c r="BD51" s="10"/>
      <c r="BE51" s="10"/>
      <c r="BF51" s="42">
        <f>mround(BF50*Setup!CT12,'Quick Setup'!$A$2)</f>
        <v>195</v>
      </c>
      <c r="BG51" s="3">
        <f>Setup!CU12</f>
        <v>5</v>
      </c>
      <c r="BH51" s="3">
        <f>Setup!CV12</f>
        <v>10</v>
      </c>
      <c r="BI51" s="3">
        <f>Setup!CW12</f>
        <v>5</v>
      </c>
      <c r="BJ51" s="10"/>
      <c r="BK51" s="10"/>
      <c r="BL51" s="10"/>
      <c r="BM51" s="42">
        <f>mround(BM50*Setup!DF12,'Quick Setup'!$A$2)</f>
        <v>210</v>
      </c>
      <c r="BN51" s="3">
        <f>Setup!DG12</f>
        <v>4</v>
      </c>
      <c r="BO51" s="3">
        <f>Setup!DH12</f>
        <v>8</v>
      </c>
      <c r="BP51" s="3">
        <f>Setup!DI12</f>
        <v>5</v>
      </c>
      <c r="BQ51" s="10"/>
      <c r="BR51" s="10"/>
      <c r="BS51" s="10"/>
      <c r="BT51" s="42">
        <f>mround(BT50*Setup!DR12,'Quick Setup'!$A$2)</f>
        <v>190</v>
      </c>
      <c r="BU51" s="3">
        <f>Setup!DS12</f>
        <v>6</v>
      </c>
      <c r="BV51" s="3">
        <f>Setup!DT12</f>
        <v>11</v>
      </c>
      <c r="BW51" s="3">
        <f>Setup!DU12</f>
        <v>5</v>
      </c>
      <c r="BX51" s="10"/>
      <c r="BY51" s="10"/>
      <c r="BZ51" s="10"/>
      <c r="CA51" s="42">
        <f>mround(CA50*Setup!ED12,'Quick Setup'!$A$2)</f>
        <v>202.5</v>
      </c>
      <c r="CB51" s="3">
        <f>Setup!EE12</f>
        <v>5</v>
      </c>
      <c r="CC51" s="3">
        <f>Setup!EF12</f>
        <v>9</v>
      </c>
      <c r="CD51" s="3">
        <f>Setup!EG12</f>
        <v>5</v>
      </c>
      <c r="CE51" s="10"/>
      <c r="CF51" s="10"/>
      <c r="CG51" s="10"/>
      <c r="CH51" s="42">
        <f>mround(CH50*Setup!EP12,'Quick Setup'!$A$2)</f>
        <v>217.5</v>
      </c>
      <c r="CI51" s="3">
        <f>Setup!EQ12</f>
        <v>4</v>
      </c>
      <c r="CJ51" s="3">
        <f>Setup!ER12</f>
        <v>7</v>
      </c>
      <c r="CK51" s="3">
        <f>Setup!ES12</f>
        <v>5</v>
      </c>
      <c r="CL51" s="10"/>
      <c r="CM51" s="10"/>
      <c r="CN51" s="10"/>
      <c r="CO51" s="42">
        <f>mround(CO50*Setup!FB12,'Quick Setup'!$A$2)</f>
        <v>140</v>
      </c>
      <c r="CP51" s="1">
        <v>5.0</v>
      </c>
      <c r="CQ51" s="1" t="s">
        <v>78</v>
      </c>
      <c r="CR51" s="3">
        <f>Setup!FE12</f>
        <v>5</v>
      </c>
      <c r="CS51" s="10"/>
      <c r="CT51" s="10"/>
      <c r="CU51" s="10"/>
      <c r="CV51" s="42">
        <f>mround(CV50*Setup!FN12,'Quick Setup'!$A$2)</f>
        <v>195</v>
      </c>
      <c r="CW51" s="3">
        <f>Setup!FO12</f>
        <v>5</v>
      </c>
      <c r="CX51" s="3">
        <f>Setup!FP12</f>
        <v>10</v>
      </c>
      <c r="CY51" s="3">
        <f>Setup!FQ12</f>
        <v>5</v>
      </c>
      <c r="CZ51" s="10"/>
      <c r="DA51" s="10"/>
      <c r="DB51" s="10"/>
      <c r="DC51" s="42">
        <f>mround(DC50*Setup!FZ12,'Quick Setup'!$A$2)</f>
        <v>210</v>
      </c>
      <c r="DD51" s="3">
        <f>Setup!GA12</f>
        <v>4</v>
      </c>
      <c r="DE51" s="3">
        <f>Setup!GB12</f>
        <v>8</v>
      </c>
      <c r="DF51" s="3">
        <f>Setup!GC12</f>
        <v>5</v>
      </c>
      <c r="DG51" s="10"/>
      <c r="DH51" s="10"/>
      <c r="DI51" s="10"/>
      <c r="DJ51" s="42">
        <f>mround(DJ50*Setup!GL12,'Quick Setup'!$A$2)</f>
        <v>225</v>
      </c>
      <c r="DK51" s="3">
        <f>Setup!GM12</f>
        <v>3</v>
      </c>
      <c r="DL51" s="3">
        <f>Setup!GN12</f>
        <v>6</v>
      </c>
      <c r="DM51" s="3">
        <f>Setup!GO12</f>
        <v>5</v>
      </c>
      <c r="DN51" s="10"/>
      <c r="DO51" s="10"/>
      <c r="DP51" s="10"/>
      <c r="DQ51" s="42">
        <f>mround(DQ50*Setup!GX12,'Quick Setup'!$A$2)</f>
        <v>210</v>
      </c>
      <c r="DR51" s="3">
        <f>Setup!GY12</f>
        <v>4</v>
      </c>
      <c r="DS51" s="3">
        <f>Setup!GZ12</f>
        <v>8</v>
      </c>
      <c r="DT51" s="3">
        <f>Setup!HA12</f>
        <v>5</v>
      </c>
      <c r="DU51" s="10"/>
      <c r="DV51" s="10"/>
      <c r="DW51" s="10"/>
      <c r="DX51" s="42">
        <f>mround(DX50*Setup!HJ12,'Quick Setup'!$A$2)</f>
        <v>225</v>
      </c>
      <c r="DY51" s="3">
        <f>Setup!HK12</f>
        <v>3</v>
      </c>
      <c r="DZ51" s="3">
        <f>Setup!HL12</f>
        <v>6</v>
      </c>
      <c r="EA51" s="3">
        <f>Setup!HM12</f>
        <v>5</v>
      </c>
      <c r="EB51" s="10"/>
      <c r="EC51" s="10"/>
      <c r="ED51" s="10"/>
      <c r="EE51" s="42">
        <f>mround(EE50*Setup!HV12,'Quick Setup'!$A$2)</f>
        <v>237.5</v>
      </c>
      <c r="EF51" s="3">
        <f>Setup!HW12</f>
        <v>2</v>
      </c>
      <c r="EG51" s="3">
        <f>Setup!HX12</f>
        <v>4</v>
      </c>
      <c r="EH51" s="3">
        <f>Setup!HY12</f>
        <v>5</v>
      </c>
      <c r="EI51" s="10"/>
      <c r="EJ51" s="10"/>
      <c r="EK51" s="10"/>
      <c r="EL51" s="42">
        <f>mround(EL50*Setup!IH12,'Quick Setup'!$A$2)</f>
        <v>140</v>
      </c>
      <c r="EM51" s="1">
        <v>5.0</v>
      </c>
      <c r="EN51" s="1" t="s">
        <v>78</v>
      </c>
      <c r="EO51" s="3">
        <f>Setup!IK12</f>
        <v>5</v>
      </c>
      <c r="EP51" s="10"/>
      <c r="EQ51" s="10"/>
      <c r="ER51" s="10"/>
    </row>
    <row r="52">
      <c r="A52" s="5"/>
      <c r="B52" s="43"/>
      <c r="C52" s="10"/>
      <c r="D52" s="10"/>
      <c r="E52" s="10"/>
      <c r="F52" s="10"/>
      <c r="G52" s="10"/>
      <c r="H52" s="10"/>
      <c r="I52" s="43" t="str">
        <f t="shared" ref="I52:M52" si="321">B52</f>
        <v/>
      </c>
      <c r="J52" s="10" t="str">
        <f t="shared" si="321"/>
        <v/>
      </c>
      <c r="K52" s="10" t="str">
        <f t="shared" si="321"/>
        <v/>
      </c>
      <c r="L52" s="10" t="str">
        <f t="shared" si="321"/>
        <v/>
      </c>
      <c r="M52" s="10" t="str">
        <f t="shared" si="321"/>
        <v/>
      </c>
      <c r="N52" s="10"/>
      <c r="O52" s="10"/>
      <c r="P52" s="43" t="str">
        <f t="shared" ref="P52:T52" si="322">I52</f>
        <v/>
      </c>
      <c r="Q52" s="10" t="str">
        <f t="shared" si="322"/>
        <v/>
      </c>
      <c r="R52" s="10" t="str">
        <f t="shared" si="322"/>
        <v/>
      </c>
      <c r="S52" s="10" t="str">
        <f t="shared" si="322"/>
        <v/>
      </c>
      <c r="T52" s="10" t="str">
        <f t="shared" si="322"/>
        <v/>
      </c>
      <c r="U52" s="10"/>
      <c r="V52" s="10"/>
      <c r="W52" s="43" t="str">
        <f t="shared" ref="W52:AA52" si="323">P52</f>
        <v/>
      </c>
      <c r="X52" s="10" t="str">
        <f t="shared" si="323"/>
        <v/>
      </c>
      <c r="Y52" s="10" t="str">
        <f t="shared" si="323"/>
        <v/>
      </c>
      <c r="Z52" s="10" t="str">
        <f t="shared" si="323"/>
        <v/>
      </c>
      <c r="AA52" s="10" t="str">
        <f t="shared" si="323"/>
        <v/>
      </c>
      <c r="AB52" s="10"/>
      <c r="AC52" s="10"/>
      <c r="AD52" s="43" t="str">
        <f t="shared" ref="AD52:AH52" si="324">W52</f>
        <v/>
      </c>
      <c r="AE52" s="10" t="str">
        <f t="shared" si="324"/>
        <v/>
      </c>
      <c r="AF52" s="10" t="str">
        <f t="shared" si="324"/>
        <v/>
      </c>
      <c r="AG52" s="10" t="str">
        <f t="shared" si="324"/>
        <v/>
      </c>
      <c r="AH52" s="10" t="str">
        <f t="shared" si="324"/>
        <v/>
      </c>
      <c r="AI52" s="10"/>
      <c r="AJ52" s="10"/>
      <c r="AK52" s="43" t="str">
        <f t="shared" ref="AK52:AO52" si="325">AD52</f>
        <v/>
      </c>
      <c r="AL52" s="10" t="str">
        <f t="shared" si="325"/>
        <v/>
      </c>
      <c r="AM52" s="10" t="str">
        <f t="shared" si="325"/>
        <v/>
      </c>
      <c r="AN52" s="10" t="str">
        <f t="shared" si="325"/>
        <v/>
      </c>
      <c r="AO52" s="10" t="str">
        <f t="shared" si="325"/>
        <v/>
      </c>
      <c r="AP52" s="10"/>
      <c r="AQ52" s="10"/>
      <c r="AR52" s="43" t="str">
        <f t="shared" ref="AR52:AV52" si="326">AK52</f>
        <v/>
      </c>
      <c r="AS52" s="10" t="str">
        <f t="shared" si="326"/>
        <v/>
      </c>
      <c r="AT52" s="10" t="str">
        <f t="shared" si="326"/>
        <v/>
      </c>
      <c r="AU52" s="10" t="str">
        <f t="shared" si="326"/>
        <v/>
      </c>
      <c r="AV52" s="10" t="str">
        <f t="shared" si="326"/>
        <v/>
      </c>
      <c r="AW52" s="10"/>
      <c r="AX52" s="10"/>
      <c r="AY52" s="43" t="str">
        <f t="shared" ref="AY52:BC52" si="327">AR52</f>
        <v/>
      </c>
      <c r="AZ52" s="10" t="str">
        <f t="shared" si="327"/>
        <v/>
      </c>
      <c r="BA52" s="10" t="str">
        <f t="shared" si="327"/>
        <v/>
      </c>
      <c r="BB52" s="10" t="str">
        <f t="shared" si="327"/>
        <v/>
      </c>
      <c r="BC52" s="10" t="str">
        <f t="shared" si="327"/>
        <v/>
      </c>
      <c r="BD52" s="10"/>
      <c r="BE52" s="10"/>
      <c r="BF52" s="43" t="str">
        <f t="shared" ref="BF52:BJ52" si="328">AY52</f>
        <v/>
      </c>
      <c r="BG52" s="10" t="str">
        <f t="shared" si="328"/>
        <v/>
      </c>
      <c r="BH52" s="10" t="str">
        <f t="shared" si="328"/>
        <v/>
      </c>
      <c r="BI52" s="10" t="str">
        <f t="shared" si="328"/>
        <v/>
      </c>
      <c r="BJ52" s="10" t="str">
        <f t="shared" si="328"/>
        <v/>
      </c>
      <c r="BK52" s="10"/>
      <c r="BL52" s="10"/>
      <c r="BM52" s="43" t="str">
        <f t="shared" ref="BM52:BQ52" si="329">BF52</f>
        <v/>
      </c>
      <c r="BN52" s="10" t="str">
        <f t="shared" si="329"/>
        <v/>
      </c>
      <c r="BO52" s="10" t="str">
        <f t="shared" si="329"/>
        <v/>
      </c>
      <c r="BP52" s="10" t="str">
        <f t="shared" si="329"/>
        <v/>
      </c>
      <c r="BQ52" s="10" t="str">
        <f t="shared" si="329"/>
        <v/>
      </c>
      <c r="BR52" s="10"/>
      <c r="BS52" s="10"/>
      <c r="BT52" s="43" t="str">
        <f t="shared" ref="BT52:BX52" si="330">BM52</f>
        <v/>
      </c>
      <c r="BU52" s="10" t="str">
        <f t="shared" si="330"/>
        <v/>
      </c>
      <c r="BV52" s="10" t="str">
        <f t="shared" si="330"/>
        <v/>
      </c>
      <c r="BW52" s="10" t="str">
        <f t="shared" si="330"/>
        <v/>
      </c>
      <c r="BX52" s="10" t="str">
        <f t="shared" si="330"/>
        <v/>
      </c>
      <c r="BY52" s="10"/>
      <c r="BZ52" s="10"/>
      <c r="CA52" s="43" t="str">
        <f t="shared" ref="CA52:CE52" si="331">BT52</f>
        <v/>
      </c>
      <c r="CB52" s="10" t="str">
        <f t="shared" si="331"/>
        <v/>
      </c>
      <c r="CC52" s="10" t="str">
        <f t="shared" si="331"/>
        <v/>
      </c>
      <c r="CD52" s="10" t="str">
        <f t="shared" si="331"/>
        <v/>
      </c>
      <c r="CE52" s="10" t="str">
        <f t="shared" si="331"/>
        <v/>
      </c>
      <c r="CF52" s="10"/>
      <c r="CG52" s="10"/>
      <c r="CH52" s="43" t="str">
        <f t="shared" ref="CH52:CL52" si="332">CA52</f>
        <v/>
      </c>
      <c r="CI52" s="10" t="str">
        <f t="shared" si="332"/>
        <v/>
      </c>
      <c r="CJ52" s="10" t="str">
        <f t="shared" si="332"/>
        <v/>
      </c>
      <c r="CK52" s="10" t="str">
        <f t="shared" si="332"/>
        <v/>
      </c>
      <c r="CL52" s="10" t="str">
        <f t="shared" si="332"/>
        <v/>
      </c>
      <c r="CM52" s="10"/>
      <c r="CN52" s="10"/>
      <c r="CO52" s="43" t="str">
        <f t="shared" ref="CO52:CS52" si="333">CH52</f>
        <v/>
      </c>
      <c r="CP52" s="10" t="str">
        <f t="shared" si="333"/>
        <v/>
      </c>
      <c r="CQ52" s="10" t="str">
        <f t="shared" si="333"/>
        <v/>
      </c>
      <c r="CR52" s="10" t="str">
        <f t="shared" si="333"/>
        <v/>
      </c>
      <c r="CS52" s="10" t="str">
        <f t="shared" si="333"/>
        <v/>
      </c>
      <c r="CT52" s="10"/>
      <c r="CU52" s="10"/>
      <c r="CV52" s="43" t="str">
        <f t="shared" ref="CV52:CZ52" si="334">CO52</f>
        <v/>
      </c>
      <c r="CW52" s="10" t="str">
        <f t="shared" si="334"/>
        <v/>
      </c>
      <c r="CX52" s="10" t="str">
        <f t="shared" si="334"/>
        <v/>
      </c>
      <c r="CY52" s="10" t="str">
        <f t="shared" si="334"/>
        <v/>
      </c>
      <c r="CZ52" s="10" t="str">
        <f t="shared" si="334"/>
        <v/>
      </c>
      <c r="DA52" s="10"/>
      <c r="DB52" s="10"/>
      <c r="DC52" s="43" t="str">
        <f t="shared" ref="DC52:DG52" si="335">CV52</f>
        <v/>
      </c>
      <c r="DD52" s="10" t="str">
        <f t="shared" si="335"/>
        <v/>
      </c>
      <c r="DE52" s="10" t="str">
        <f t="shared" si="335"/>
        <v/>
      </c>
      <c r="DF52" s="10" t="str">
        <f t="shared" si="335"/>
        <v/>
      </c>
      <c r="DG52" s="10" t="str">
        <f t="shared" si="335"/>
        <v/>
      </c>
      <c r="DH52" s="10"/>
      <c r="DI52" s="10"/>
      <c r="DJ52" s="43" t="str">
        <f t="shared" ref="DJ52:DN52" si="336">DC52</f>
        <v/>
      </c>
      <c r="DK52" s="10" t="str">
        <f t="shared" si="336"/>
        <v/>
      </c>
      <c r="DL52" s="10" t="str">
        <f t="shared" si="336"/>
        <v/>
      </c>
      <c r="DM52" s="10" t="str">
        <f t="shared" si="336"/>
        <v/>
      </c>
      <c r="DN52" s="10" t="str">
        <f t="shared" si="336"/>
        <v/>
      </c>
      <c r="DO52" s="10"/>
      <c r="DP52" s="10"/>
      <c r="DQ52" s="43" t="str">
        <f t="shared" ref="DQ52:DU52" si="337">DJ52</f>
        <v/>
      </c>
      <c r="DR52" s="10" t="str">
        <f t="shared" si="337"/>
        <v/>
      </c>
      <c r="DS52" s="10" t="str">
        <f t="shared" si="337"/>
        <v/>
      </c>
      <c r="DT52" s="10" t="str">
        <f t="shared" si="337"/>
        <v/>
      </c>
      <c r="DU52" s="10" t="str">
        <f t="shared" si="337"/>
        <v/>
      </c>
      <c r="DV52" s="10"/>
      <c r="DW52" s="10"/>
      <c r="DX52" s="43" t="str">
        <f t="shared" ref="DX52:EB52" si="338">DQ52</f>
        <v/>
      </c>
      <c r="DY52" s="10" t="str">
        <f t="shared" si="338"/>
        <v/>
      </c>
      <c r="DZ52" s="10" t="str">
        <f t="shared" si="338"/>
        <v/>
      </c>
      <c r="EA52" s="10" t="str">
        <f t="shared" si="338"/>
        <v/>
      </c>
      <c r="EB52" s="10" t="str">
        <f t="shared" si="338"/>
        <v/>
      </c>
      <c r="EC52" s="10"/>
      <c r="ED52" s="10"/>
      <c r="EE52" s="43" t="str">
        <f t="shared" ref="EE52:EI52" si="339">DX52</f>
        <v/>
      </c>
      <c r="EF52" s="10" t="str">
        <f t="shared" si="339"/>
        <v/>
      </c>
      <c r="EG52" s="10" t="str">
        <f t="shared" si="339"/>
        <v/>
      </c>
      <c r="EH52" s="10" t="str">
        <f t="shared" si="339"/>
        <v/>
      </c>
      <c r="EI52" s="10" t="str">
        <f t="shared" si="339"/>
        <v/>
      </c>
      <c r="EJ52" s="10"/>
      <c r="EK52" s="10"/>
      <c r="EL52" s="43" t="str">
        <f t="shared" ref="EL52:EP52" si="340">EE52</f>
        <v/>
      </c>
      <c r="EM52" s="10" t="str">
        <f t="shared" si="340"/>
        <v/>
      </c>
      <c r="EN52" s="10" t="str">
        <f t="shared" si="340"/>
        <v/>
      </c>
      <c r="EO52" s="10" t="str">
        <f t="shared" si="340"/>
        <v/>
      </c>
      <c r="EP52" s="10" t="str">
        <f t="shared" si="340"/>
        <v/>
      </c>
      <c r="EQ52" s="10"/>
      <c r="ER52" s="10"/>
    </row>
    <row r="53">
      <c r="A53" s="1" t="s">
        <v>79</v>
      </c>
      <c r="B53" s="42"/>
      <c r="C53" s="3"/>
      <c r="D53" s="3"/>
      <c r="E53" s="3"/>
      <c r="F53" s="3"/>
      <c r="G53" s="3"/>
      <c r="H53" s="3"/>
      <c r="I53" s="42"/>
      <c r="J53" s="3"/>
      <c r="K53" s="3"/>
      <c r="L53" s="3"/>
      <c r="M53" s="3"/>
      <c r="N53" s="3"/>
      <c r="O53" s="3"/>
      <c r="P53" s="42"/>
      <c r="Q53" s="3"/>
      <c r="R53" s="3"/>
      <c r="S53" s="3"/>
      <c r="T53" s="3"/>
      <c r="U53" s="3"/>
      <c r="V53" s="3"/>
      <c r="W53" s="42"/>
      <c r="X53" s="3"/>
      <c r="Y53" s="3"/>
      <c r="Z53" s="3"/>
      <c r="AA53" s="3"/>
      <c r="AB53" s="3"/>
      <c r="AC53" s="3"/>
      <c r="AD53" s="42"/>
      <c r="AE53" s="3"/>
      <c r="AF53" s="3"/>
      <c r="AG53" s="3"/>
      <c r="AH53" s="3"/>
      <c r="AI53" s="3"/>
      <c r="AJ53" s="3"/>
      <c r="AK53" s="42"/>
      <c r="AL53" s="3"/>
      <c r="AM53" s="3"/>
      <c r="AN53" s="3"/>
      <c r="AO53" s="3"/>
      <c r="AP53" s="3"/>
      <c r="AQ53" s="3"/>
      <c r="AR53" s="42"/>
      <c r="AS53" s="3"/>
      <c r="AT53" s="3"/>
      <c r="AU53" s="3"/>
      <c r="AV53" s="3"/>
      <c r="AW53" s="3"/>
      <c r="AX53" s="3"/>
      <c r="AY53" s="42"/>
      <c r="AZ53" s="3"/>
      <c r="BA53" s="3"/>
      <c r="BB53" s="3"/>
      <c r="BC53" s="3"/>
      <c r="BD53" s="3"/>
      <c r="BE53" s="3"/>
      <c r="BF53" s="42"/>
      <c r="BG53" s="3"/>
      <c r="BH53" s="3"/>
      <c r="BI53" s="3"/>
      <c r="BJ53" s="3"/>
      <c r="BK53" s="3"/>
      <c r="BL53" s="3"/>
      <c r="BM53" s="42"/>
      <c r="BN53" s="3"/>
      <c r="BO53" s="3"/>
      <c r="BP53" s="3"/>
      <c r="BQ53" s="3"/>
      <c r="BR53" s="3"/>
      <c r="BS53" s="3"/>
      <c r="BT53" s="42"/>
      <c r="BU53" s="3"/>
      <c r="BV53" s="3"/>
      <c r="BW53" s="3"/>
      <c r="BX53" s="3"/>
      <c r="BY53" s="3"/>
      <c r="BZ53" s="3"/>
      <c r="CA53" s="42"/>
      <c r="CB53" s="3"/>
      <c r="CC53" s="3"/>
      <c r="CD53" s="3"/>
      <c r="CE53" s="3"/>
      <c r="CF53" s="3"/>
      <c r="CG53" s="3"/>
      <c r="CH53" s="42"/>
      <c r="CI53" s="3"/>
      <c r="CJ53" s="3"/>
      <c r="CK53" s="3"/>
      <c r="CL53" s="3"/>
      <c r="CM53" s="3"/>
      <c r="CN53" s="3"/>
      <c r="CO53" s="42"/>
      <c r="CP53" s="3"/>
      <c r="CQ53" s="3"/>
      <c r="CR53" s="3"/>
      <c r="CS53" s="3"/>
      <c r="CT53" s="3"/>
      <c r="CU53" s="3"/>
      <c r="CV53" s="42"/>
      <c r="CW53" s="3"/>
      <c r="CX53" s="3"/>
      <c r="CY53" s="3"/>
      <c r="CZ53" s="3"/>
      <c r="DA53" s="3"/>
      <c r="DB53" s="3"/>
      <c r="DC53" s="42"/>
      <c r="DD53" s="3"/>
      <c r="DE53" s="3"/>
      <c r="DF53" s="3"/>
      <c r="DG53" s="3"/>
      <c r="DH53" s="3"/>
      <c r="DI53" s="3"/>
      <c r="DJ53" s="42"/>
      <c r="DK53" s="3"/>
      <c r="DL53" s="3"/>
      <c r="DM53" s="3"/>
      <c r="DN53" s="3"/>
      <c r="DO53" s="3"/>
      <c r="DP53" s="3"/>
      <c r="DQ53" s="42"/>
      <c r="DR53" s="3"/>
      <c r="DS53" s="3"/>
      <c r="DT53" s="3"/>
      <c r="DU53" s="3"/>
      <c r="DV53" s="3"/>
      <c r="DW53" s="3"/>
      <c r="DX53" s="42"/>
      <c r="DY53" s="3"/>
      <c r="DZ53" s="3"/>
      <c r="EA53" s="3"/>
      <c r="EB53" s="3"/>
      <c r="EC53" s="3"/>
      <c r="ED53" s="3"/>
      <c r="EE53" s="42"/>
      <c r="EF53" s="3"/>
      <c r="EG53" s="3"/>
      <c r="EH53" s="3"/>
      <c r="EI53" s="3"/>
      <c r="EJ53" s="3"/>
      <c r="EK53" s="3"/>
      <c r="EL53" s="42"/>
      <c r="EM53" s="3"/>
      <c r="EN53" s="3"/>
      <c r="EO53" s="3"/>
      <c r="EP53" s="3"/>
      <c r="EQ53" s="3"/>
      <c r="ER53" s="3"/>
    </row>
    <row r="54">
      <c r="A54" s="44"/>
      <c r="B54" s="43"/>
      <c r="C54" s="10"/>
      <c r="D54" s="10"/>
      <c r="E54" s="10"/>
      <c r="F54" s="10"/>
      <c r="G54" s="10"/>
      <c r="H54" s="10"/>
      <c r="I54" s="43" t="str">
        <f t="shared" ref="I54:M54" si="341">B54</f>
        <v/>
      </c>
      <c r="J54" s="10" t="str">
        <f t="shared" si="341"/>
        <v/>
      </c>
      <c r="K54" s="10" t="str">
        <f t="shared" si="341"/>
        <v/>
      </c>
      <c r="L54" s="10" t="str">
        <f t="shared" si="341"/>
        <v/>
      </c>
      <c r="M54" s="10" t="str">
        <f t="shared" si="341"/>
        <v/>
      </c>
      <c r="N54" s="10"/>
      <c r="O54" s="10"/>
      <c r="P54" s="43" t="str">
        <f t="shared" ref="P54:T54" si="342">I54</f>
        <v/>
      </c>
      <c r="Q54" s="10" t="str">
        <f t="shared" si="342"/>
        <v/>
      </c>
      <c r="R54" s="10" t="str">
        <f t="shared" si="342"/>
        <v/>
      </c>
      <c r="S54" s="10" t="str">
        <f t="shared" si="342"/>
        <v/>
      </c>
      <c r="T54" s="10" t="str">
        <f t="shared" si="342"/>
        <v/>
      </c>
      <c r="U54" s="10"/>
      <c r="V54" s="10"/>
      <c r="W54" s="43" t="str">
        <f t="shared" ref="W54:AA54" si="343">P54</f>
        <v/>
      </c>
      <c r="X54" s="10" t="str">
        <f t="shared" si="343"/>
        <v/>
      </c>
      <c r="Y54" s="10" t="str">
        <f t="shared" si="343"/>
        <v/>
      </c>
      <c r="Z54" s="10" t="str">
        <f t="shared" si="343"/>
        <v/>
      </c>
      <c r="AA54" s="10" t="str">
        <f t="shared" si="343"/>
        <v/>
      </c>
      <c r="AB54" s="10"/>
      <c r="AC54" s="10"/>
      <c r="AD54" s="43" t="str">
        <f t="shared" ref="AD54:AH54" si="344">W54</f>
        <v/>
      </c>
      <c r="AE54" s="10" t="str">
        <f t="shared" si="344"/>
        <v/>
      </c>
      <c r="AF54" s="10" t="str">
        <f t="shared" si="344"/>
        <v/>
      </c>
      <c r="AG54" s="10" t="str">
        <f t="shared" si="344"/>
        <v/>
      </c>
      <c r="AH54" s="10" t="str">
        <f t="shared" si="344"/>
        <v/>
      </c>
      <c r="AI54" s="10"/>
      <c r="AJ54" s="10"/>
      <c r="AK54" s="43" t="str">
        <f t="shared" ref="AK54:AO54" si="345">AD54</f>
        <v/>
      </c>
      <c r="AL54" s="10" t="str">
        <f t="shared" si="345"/>
        <v/>
      </c>
      <c r="AM54" s="10" t="str">
        <f t="shared" si="345"/>
        <v/>
      </c>
      <c r="AN54" s="10" t="str">
        <f t="shared" si="345"/>
        <v/>
      </c>
      <c r="AO54" s="10" t="str">
        <f t="shared" si="345"/>
        <v/>
      </c>
      <c r="AP54" s="10"/>
      <c r="AQ54" s="10"/>
      <c r="AR54" s="43" t="str">
        <f t="shared" ref="AR54:AV54" si="346">AK54</f>
        <v/>
      </c>
      <c r="AS54" s="10" t="str">
        <f t="shared" si="346"/>
        <v/>
      </c>
      <c r="AT54" s="10" t="str">
        <f t="shared" si="346"/>
        <v/>
      </c>
      <c r="AU54" s="10" t="str">
        <f t="shared" si="346"/>
        <v/>
      </c>
      <c r="AV54" s="10" t="str">
        <f t="shared" si="346"/>
        <v/>
      </c>
      <c r="AW54" s="10"/>
      <c r="AX54" s="10"/>
      <c r="AY54" s="43" t="str">
        <f t="shared" ref="AY54:BC54" si="347">AR54</f>
        <v/>
      </c>
      <c r="AZ54" s="10" t="str">
        <f t="shared" si="347"/>
        <v/>
      </c>
      <c r="BA54" s="10" t="str">
        <f t="shared" si="347"/>
        <v/>
      </c>
      <c r="BB54" s="10" t="str">
        <f t="shared" si="347"/>
        <v/>
      </c>
      <c r="BC54" s="10" t="str">
        <f t="shared" si="347"/>
        <v/>
      </c>
      <c r="BD54" s="10"/>
      <c r="BE54" s="10"/>
      <c r="BF54" s="43" t="str">
        <f t="shared" ref="BF54:BJ54" si="348">AY54</f>
        <v/>
      </c>
      <c r="BG54" s="10" t="str">
        <f t="shared" si="348"/>
        <v/>
      </c>
      <c r="BH54" s="10" t="str">
        <f t="shared" si="348"/>
        <v/>
      </c>
      <c r="BI54" s="10" t="str">
        <f t="shared" si="348"/>
        <v/>
      </c>
      <c r="BJ54" s="10" t="str">
        <f t="shared" si="348"/>
        <v/>
      </c>
      <c r="BK54" s="10"/>
      <c r="BL54" s="10"/>
      <c r="BM54" s="43" t="str">
        <f t="shared" ref="BM54:BQ54" si="349">BF54</f>
        <v/>
      </c>
      <c r="BN54" s="10" t="str">
        <f t="shared" si="349"/>
        <v/>
      </c>
      <c r="BO54" s="10" t="str">
        <f t="shared" si="349"/>
        <v/>
      </c>
      <c r="BP54" s="10" t="str">
        <f t="shared" si="349"/>
        <v/>
      </c>
      <c r="BQ54" s="10" t="str">
        <f t="shared" si="349"/>
        <v/>
      </c>
      <c r="BR54" s="10"/>
      <c r="BS54" s="10"/>
      <c r="BT54" s="43" t="str">
        <f t="shared" ref="BT54:BX54" si="350">BM54</f>
        <v/>
      </c>
      <c r="BU54" s="10" t="str">
        <f t="shared" si="350"/>
        <v/>
      </c>
      <c r="BV54" s="10" t="str">
        <f t="shared" si="350"/>
        <v/>
      </c>
      <c r="BW54" s="10" t="str">
        <f t="shared" si="350"/>
        <v/>
      </c>
      <c r="BX54" s="10" t="str">
        <f t="shared" si="350"/>
        <v/>
      </c>
      <c r="BY54" s="10"/>
      <c r="BZ54" s="10"/>
      <c r="CA54" s="43" t="str">
        <f t="shared" ref="CA54:CE54" si="351">BT54</f>
        <v/>
      </c>
      <c r="CB54" s="10" t="str">
        <f t="shared" si="351"/>
        <v/>
      </c>
      <c r="CC54" s="10" t="str">
        <f t="shared" si="351"/>
        <v/>
      </c>
      <c r="CD54" s="10" t="str">
        <f t="shared" si="351"/>
        <v/>
      </c>
      <c r="CE54" s="10" t="str">
        <f t="shared" si="351"/>
        <v/>
      </c>
      <c r="CF54" s="10"/>
      <c r="CG54" s="10"/>
      <c r="CH54" s="43" t="str">
        <f t="shared" ref="CH54:CL54" si="352">CA54</f>
        <v/>
      </c>
      <c r="CI54" s="10" t="str">
        <f t="shared" si="352"/>
        <v/>
      </c>
      <c r="CJ54" s="10" t="str">
        <f t="shared" si="352"/>
        <v/>
      </c>
      <c r="CK54" s="10" t="str">
        <f t="shared" si="352"/>
        <v/>
      </c>
      <c r="CL54" s="10" t="str">
        <f t="shared" si="352"/>
        <v/>
      </c>
      <c r="CM54" s="10"/>
      <c r="CN54" s="10"/>
      <c r="CO54" s="43" t="str">
        <f t="shared" ref="CO54:CS54" si="353">CH54</f>
        <v/>
      </c>
      <c r="CP54" s="10" t="str">
        <f t="shared" si="353"/>
        <v/>
      </c>
      <c r="CQ54" s="10" t="str">
        <f t="shared" si="353"/>
        <v/>
      </c>
      <c r="CR54" s="10" t="str">
        <f t="shared" si="353"/>
        <v/>
      </c>
      <c r="CS54" s="10" t="str">
        <f t="shared" si="353"/>
        <v/>
      </c>
      <c r="CT54" s="10"/>
      <c r="CU54" s="10"/>
      <c r="CV54" s="43" t="str">
        <f t="shared" ref="CV54:CZ54" si="354">CO54</f>
        <v/>
      </c>
      <c r="CW54" s="10" t="str">
        <f t="shared" si="354"/>
        <v/>
      </c>
      <c r="CX54" s="10" t="str">
        <f t="shared" si="354"/>
        <v/>
      </c>
      <c r="CY54" s="10" t="str">
        <f t="shared" si="354"/>
        <v/>
      </c>
      <c r="CZ54" s="10" t="str">
        <f t="shared" si="354"/>
        <v/>
      </c>
      <c r="DA54" s="10"/>
      <c r="DB54" s="10"/>
      <c r="DC54" s="43" t="str">
        <f t="shared" ref="DC54:DG54" si="355">CV54</f>
        <v/>
      </c>
      <c r="DD54" s="10" t="str">
        <f t="shared" si="355"/>
        <v/>
      </c>
      <c r="DE54" s="10" t="str">
        <f t="shared" si="355"/>
        <v/>
      </c>
      <c r="DF54" s="10" t="str">
        <f t="shared" si="355"/>
        <v/>
      </c>
      <c r="DG54" s="10" t="str">
        <f t="shared" si="355"/>
        <v/>
      </c>
      <c r="DH54" s="10"/>
      <c r="DI54" s="10"/>
      <c r="DJ54" s="43" t="str">
        <f t="shared" ref="DJ54:DN54" si="356">DC54</f>
        <v/>
      </c>
      <c r="DK54" s="10" t="str">
        <f t="shared" si="356"/>
        <v/>
      </c>
      <c r="DL54" s="10" t="str">
        <f t="shared" si="356"/>
        <v/>
      </c>
      <c r="DM54" s="10" t="str">
        <f t="shared" si="356"/>
        <v/>
      </c>
      <c r="DN54" s="10" t="str">
        <f t="shared" si="356"/>
        <v/>
      </c>
      <c r="DO54" s="10"/>
      <c r="DP54" s="10"/>
      <c r="DQ54" s="43" t="str">
        <f t="shared" ref="DQ54:DU54" si="357">DJ54</f>
        <v/>
      </c>
      <c r="DR54" s="10" t="str">
        <f t="shared" si="357"/>
        <v/>
      </c>
      <c r="DS54" s="10" t="str">
        <f t="shared" si="357"/>
        <v/>
      </c>
      <c r="DT54" s="10" t="str">
        <f t="shared" si="357"/>
        <v/>
      </c>
      <c r="DU54" s="10" t="str">
        <f t="shared" si="357"/>
        <v/>
      </c>
      <c r="DV54" s="10"/>
      <c r="DW54" s="10"/>
      <c r="DX54" s="43" t="str">
        <f t="shared" ref="DX54:EB54" si="358">DQ54</f>
        <v/>
      </c>
      <c r="DY54" s="10" t="str">
        <f t="shared" si="358"/>
        <v/>
      </c>
      <c r="DZ54" s="10" t="str">
        <f t="shared" si="358"/>
        <v/>
      </c>
      <c r="EA54" s="10" t="str">
        <f t="shared" si="358"/>
        <v/>
      </c>
      <c r="EB54" s="10" t="str">
        <f t="shared" si="358"/>
        <v/>
      </c>
      <c r="EC54" s="10"/>
      <c r="ED54" s="10"/>
      <c r="EE54" s="43" t="str">
        <f t="shared" ref="EE54:EI54" si="359">DX54</f>
        <v/>
      </c>
      <c r="EF54" s="10" t="str">
        <f t="shared" si="359"/>
        <v/>
      </c>
      <c r="EG54" s="10" t="str">
        <f t="shared" si="359"/>
        <v/>
      </c>
      <c r="EH54" s="10" t="str">
        <f t="shared" si="359"/>
        <v/>
      </c>
      <c r="EI54" s="10" t="str">
        <f t="shared" si="359"/>
        <v/>
      </c>
      <c r="EJ54" s="10"/>
      <c r="EK54" s="10"/>
      <c r="EL54" s="43" t="str">
        <f t="shared" ref="EL54:EP54" si="360">EE54</f>
        <v/>
      </c>
      <c r="EM54" s="10" t="str">
        <f t="shared" si="360"/>
        <v/>
      </c>
      <c r="EN54" s="10" t="str">
        <f t="shared" si="360"/>
        <v/>
      </c>
      <c r="EO54" s="10" t="str">
        <f t="shared" si="360"/>
        <v/>
      </c>
      <c r="EP54" s="10" t="str">
        <f t="shared" si="360"/>
        <v/>
      </c>
      <c r="EQ54" s="10"/>
      <c r="ER54" s="10"/>
    </row>
    <row r="55">
      <c r="A55" s="44"/>
      <c r="B55" s="43"/>
      <c r="C55" s="10"/>
      <c r="D55" s="10"/>
      <c r="E55" s="10"/>
      <c r="F55" s="10"/>
      <c r="G55" s="10"/>
      <c r="H55" s="10"/>
      <c r="I55" s="43" t="str">
        <f t="shared" ref="I55:M55" si="361">B55</f>
        <v/>
      </c>
      <c r="J55" s="10" t="str">
        <f t="shared" si="361"/>
        <v/>
      </c>
      <c r="K55" s="10" t="str">
        <f t="shared" si="361"/>
        <v/>
      </c>
      <c r="L55" s="10" t="str">
        <f t="shared" si="361"/>
        <v/>
      </c>
      <c r="M55" s="10" t="str">
        <f t="shared" si="361"/>
        <v/>
      </c>
      <c r="N55" s="10"/>
      <c r="O55" s="10"/>
      <c r="P55" s="43" t="str">
        <f t="shared" ref="P55:T55" si="362">I55</f>
        <v/>
      </c>
      <c r="Q55" s="10" t="str">
        <f t="shared" si="362"/>
        <v/>
      </c>
      <c r="R55" s="10" t="str">
        <f t="shared" si="362"/>
        <v/>
      </c>
      <c r="S55" s="10" t="str">
        <f t="shared" si="362"/>
        <v/>
      </c>
      <c r="T55" s="10" t="str">
        <f t="shared" si="362"/>
        <v/>
      </c>
      <c r="U55" s="10"/>
      <c r="V55" s="10"/>
      <c r="W55" s="43" t="str">
        <f t="shared" ref="W55:AA55" si="363">P55</f>
        <v/>
      </c>
      <c r="X55" s="10" t="str">
        <f t="shared" si="363"/>
        <v/>
      </c>
      <c r="Y55" s="10" t="str">
        <f t="shared" si="363"/>
        <v/>
      </c>
      <c r="Z55" s="10" t="str">
        <f t="shared" si="363"/>
        <v/>
      </c>
      <c r="AA55" s="10" t="str">
        <f t="shared" si="363"/>
        <v/>
      </c>
      <c r="AB55" s="10"/>
      <c r="AC55" s="10"/>
      <c r="AD55" s="43" t="str">
        <f t="shared" ref="AD55:AH55" si="364">W55</f>
        <v/>
      </c>
      <c r="AE55" s="10" t="str">
        <f t="shared" si="364"/>
        <v/>
      </c>
      <c r="AF55" s="10" t="str">
        <f t="shared" si="364"/>
        <v/>
      </c>
      <c r="AG55" s="10" t="str">
        <f t="shared" si="364"/>
        <v/>
      </c>
      <c r="AH55" s="10" t="str">
        <f t="shared" si="364"/>
        <v/>
      </c>
      <c r="AI55" s="10"/>
      <c r="AJ55" s="10"/>
      <c r="AK55" s="43" t="str">
        <f t="shared" ref="AK55:AO55" si="365">AD55</f>
        <v/>
      </c>
      <c r="AL55" s="10" t="str">
        <f t="shared" si="365"/>
        <v/>
      </c>
      <c r="AM55" s="10" t="str">
        <f t="shared" si="365"/>
        <v/>
      </c>
      <c r="AN55" s="10" t="str">
        <f t="shared" si="365"/>
        <v/>
      </c>
      <c r="AO55" s="10" t="str">
        <f t="shared" si="365"/>
        <v/>
      </c>
      <c r="AP55" s="10"/>
      <c r="AQ55" s="10"/>
      <c r="AR55" s="43" t="str">
        <f t="shared" ref="AR55:AV55" si="366">AK55</f>
        <v/>
      </c>
      <c r="AS55" s="10" t="str">
        <f t="shared" si="366"/>
        <v/>
      </c>
      <c r="AT55" s="10" t="str">
        <f t="shared" si="366"/>
        <v/>
      </c>
      <c r="AU55" s="10" t="str">
        <f t="shared" si="366"/>
        <v/>
      </c>
      <c r="AV55" s="10" t="str">
        <f t="shared" si="366"/>
        <v/>
      </c>
      <c r="AW55" s="10"/>
      <c r="AX55" s="10"/>
      <c r="AY55" s="43" t="str">
        <f t="shared" ref="AY55:BC55" si="367">AR55</f>
        <v/>
      </c>
      <c r="AZ55" s="10" t="str">
        <f t="shared" si="367"/>
        <v/>
      </c>
      <c r="BA55" s="10" t="str">
        <f t="shared" si="367"/>
        <v/>
      </c>
      <c r="BB55" s="10" t="str">
        <f t="shared" si="367"/>
        <v/>
      </c>
      <c r="BC55" s="10" t="str">
        <f t="shared" si="367"/>
        <v/>
      </c>
      <c r="BD55" s="10"/>
      <c r="BE55" s="10"/>
      <c r="BF55" s="43" t="str">
        <f t="shared" ref="BF55:BJ55" si="368">AY55</f>
        <v/>
      </c>
      <c r="BG55" s="10" t="str">
        <f t="shared" si="368"/>
        <v/>
      </c>
      <c r="BH55" s="10" t="str">
        <f t="shared" si="368"/>
        <v/>
      </c>
      <c r="BI55" s="10" t="str">
        <f t="shared" si="368"/>
        <v/>
      </c>
      <c r="BJ55" s="10" t="str">
        <f t="shared" si="368"/>
        <v/>
      </c>
      <c r="BK55" s="10"/>
      <c r="BL55" s="10"/>
      <c r="BM55" s="43" t="str">
        <f t="shared" ref="BM55:BQ55" si="369">BF55</f>
        <v/>
      </c>
      <c r="BN55" s="10" t="str">
        <f t="shared" si="369"/>
        <v/>
      </c>
      <c r="BO55" s="10" t="str">
        <f t="shared" si="369"/>
        <v/>
      </c>
      <c r="BP55" s="10" t="str">
        <f t="shared" si="369"/>
        <v/>
      </c>
      <c r="BQ55" s="10" t="str">
        <f t="shared" si="369"/>
        <v/>
      </c>
      <c r="BR55" s="10"/>
      <c r="BS55" s="10"/>
      <c r="BT55" s="43" t="str">
        <f t="shared" ref="BT55:BX55" si="370">BM55</f>
        <v/>
      </c>
      <c r="BU55" s="10" t="str">
        <f t="shared" si="370"/>
        <v/>
      </c>
      <c r="BV55" s="10" t="str">
        <f t="shared" si="370"/>
        <v/>
      </c>
      <c r="BW55" s="10" t="str">
        <f t="shared" si="370"/>
        <v/>
      </c>
      <c r="BX55" s="10" t="str">
        <f t="shared" si="370"/>
        <v/>
      </c>
      <c r="BY55" s="10"/>
      <c r="BZ55" s="10"/>
      <c r="CA55" s="43" t="str">
        <f t="shared" ref="CA55:CE55" si="371">BT55</f>
        <v/>
      </c>
      <c r="CB55" s="10" t="str">
        <f t="shared" si="371"/>
        <v/>
      </c>
      <c r="CC55" s="10" t="str">
        <f t="shared" si="371"/>
        <v/>
      </c>
      <c r="CD55" s="10" t="str">
        <f t="shared" si="371"/>
        <v/>
      </c>
      <c r="CE55" s="10" t="str">
        <f t="shared" si="371"/>
        <v/>
      </c>
      <c r="CF55" s="10"/>
      <c r="CG55" s="10"/>
      <c r="CH55" s="43" t="str">
        <f t="shared" ref="CH55:CL55" si="372">CA55</f>
        <v/>
      </c>
      <c r="CI55" s="10" t="str">
        <f t="shared" si="372"/>
        <v/>
      </c>
      <c r="CJ55" s="10" t="str">
        <f t="shared" si="372"/>
        <v/>
      </c>
      <c r="CK55" s="10" t="str">
        <f t="shared" si="372"/>
        <v/>
      </c>
      <c r="CL55" s="10" t="str">
        <f t="shared" si="372"/>
        <v/>
      </c>
      <c r="CM55" s="10"/>
      <c r="CN55" s="10"/>
      <c r="CO55" s="43" t="str">
        <f t="shared" ref="CO55:CS55" si="373">CH55</f>
        <v/>
      </c>
      <c r="CP55" s="10" t="str">
        <f t="shared" si="373"/>
        <v/>
      </c>
      <c r="CQ55" s="10" t="str">
        <f t="shared" si="373"/>
        <v/>
      </c>
      <c r="CR55" s="10" t="str">
        <f t="shared" si="373"/>
        <v/>
      </c>
      <c r="CS55" s="10" t="str">
        <f t="shared" si="373"/>
        <v/>
      </c>
      <c r="CT55" s="10"/>
      <c r="CU55" s="10"/>
      <c r="CV55" s="43" t="str">
        <f t="shared" ref="CV55:CZ55" si="374">CO55</f>
        <v/>
      </c>
      <c r="CW55" s="10" t="str">
        <f t="shared" si="374"/>
        <v/>
      </c>
      <c r="CX55" s="10" t="str">
        <f t="shared" si="374"/>
        <v/>
      </c>
      <c r="CY55" s="10" t="str">
        <f t="shared" si="374"/>
        <v/>
      </c>
      <c r="CZ55" s="10" t="str">
        <f t="shared" si="374"/>
        <v/>
      </c>
      <c r="DA55" s="10"/>
      <c r="DB55" s="10"/>
      <c r="DC55" s="43" t="str">
        <f t="shared" ref="DC55:DG55" si="375">CV55</f>
        <v/>
      </c>
      <c r="DD55" s="10" t="str">
        <f t="shared" si="375"/>
        <v/>
      </c>
      <c r="DE55" s="10" t="str">
        <f t="shared" si="375"/>
        <v/>
      </c>
      <c r="DF55" s="10" t="str">
        <f t="shared" si="375"/>
        <v/>
      </c>
      <c r="DG55" s="10" t="str">
        <f t="shared" si="375"/>
        <v/>
      </c>
      <c r="DH55" s="10"/>
      <c r="DI55" s="10"/>
      <c r="DJ55" s="43" t="str">
        <f t="shared" ref="DJ55:DN55" si="376">DC55</f>
        <v/>
      </c>
      <c r="DK55" s="10" t="str">
        <f t="shared" si="376"/>
        <v/>
      </c>
      <c r="DL55" s="10" t="str">
        <f t="shared" si="376"/>
        <v/>
      </c>
      <c r="DM55" s="10" t="str">
        <f t="shared" si="376"/>
        <v/>
      </c>
      <c r="DN55" s="10" t="str">
        <f t="shared" si="376"/>
        <v/>
      </c>
      <c r="DO55" s="10"/>
      <c r="DP55" s="10"/>
      <c r="DQ55" s="43" t="str">
        <f t="shared" ref="DQ55:DU55" si="377">DJ55</f>
        <v/>
      </c>
      <c r="DR55" s="10" t="str">
        <f t="shared" si="377"/>
        <v/>
      </c>
      <c r="DS55" s="10" t="str">
        <f t="shared" si="377"/>
        <v/>
      </c>
      <c r="DT55" s="10" t="str">
        <f t="shared" si="377"/>
        <v/>
      </c>
      <c r="DU55" s="10" t="str">
        <f t="shared" si="377"/>
        <v/>
      </c>
      <c r="DV55" s="10"/>
      <c r="DW55" s="10"/>
      <c r="DX55" s="43" t="str">
        <f t="shared" ref="DX55:EB55" si="378">DQ55</f>
        <v/>
      </c>
      <c r="DY55" s="10" t="str">
        <f t="shared" si="378"/>
        <v/>
      </c>
      <c r="DZ55" s="10" t="str">
        <f t="shared" si="378"/>
        <v/>
      </c>
      <c r="EA55" s="10" t="str">
        <f t="shared" si="378"/>
        <v/>
      </c>
      <c r="EB55" s="10" t="str">
        <f t="shared" si="378"/>
        <v/>
      </c>
      <c r="EC55" s="10"/>
      <c r="ED55" s="10"/>
      <c r="EE55" s="43" t="str">
        <f t="shared" ref="EE55:EI55" si="379">DX55</f>
        <v/>
      </c>
      <c r="EF55" s="10" t="str">
        <f t="shared" si="379"/>
        <v/>
      </c>
      <c r="EG55" s="10" t="str">
        <f t="shared" si="379"/>
        <v/>
      </c>
      <c r="EH55" s="10" t="str">
        <f t="shared" si="379"/>
        <v/>
      </c>
      <c r="EI55" s="10" t="str">
        <f t="shared" si="379"/>
        <v/>
      </c>
      <c r="EJ55" s="10"/>
      <c r="EK55" s="10"/>
      <c r="EL55" s="43" t="str">
        <f t="shared" ref="EL55:EP55" si="380">EE55</f>
        <v/>
      </c>
      <c r="EM55" s="10" t="str">
        <f t="shared" si="380"/>
        <v/>
      </c>
      <c r="EN55" s="10" t="str">
        <f t="shared" si="380"/>
        <v/>
      </c>
      <c r="EO55" s="10" t="str">
        <f t="shared" si="380"/>
        <v/>
      </c>
      <c r="EP55" s="10" t="str">
        <f t="shared" si="380"/>
        <v/>
      </c>
      <c r="EQ55" s="10"/>
      <c r="ER55" s="10"/>
    </row>
    <row r="56">
      <c r="A56" s="45"/>
      <c r="B56" s="46"/>
      <c r="C56" s="47"/>
      <c r="D56" s="47"/>
      <c r="E56" s="47"/>
      <c r="F56" s="47"/>
      <c r="G56" s="47"/>
      <c r="H56" s="47"/>
      <c r="I56" s="46" t="str">
        <f t="shared" ref="I56:M56" si="381">B56</f>
        <v/>
      </c>
      <c r="J56" s="47" t="str">
        <f t="shared" si="381"/>
        <v/>
      </c>
      <c r="K56" s="47" t="str">
        <f t="shared" si="381"/>
        <v/>
      </c>
      <c r="L56" s="47" t="str">
        <f t="shared" si="381"/>
        <v/>
      </c>
      <c r="M56" s="47" t="str">
        <f t="shared" si="381"/>
        <v/>
      </c>
      <c r="N56" s="47"/>
      <c r="O56" s="47"/>
      <c r="P56" s="46" t="str">
        <f t="shared" ref="P56:T56" si="382">I56</f>
        <v/>
      </c>
      <c r="Q56" s="47" t="str">
        <f t="shared" si="382"/>
        <v/>
      </c>
      <c r="R56" s="47" t="str">
        <f t="shared" si="382"/>
        <v/>
      </c>
      <c r="S56" s="47" t="str">
        <f t="shared" si="382"/>
        <v/>
      </c>
      <c r="T56" s="47" t="str">
        <f t="shared" si="382"/>
        <v/>
      </c>
      <c r="U56" s="47"/>
      <c r="V56" s="47"/>
      <c r="W56" s="46" t="str">
        <f t="shared" ref="W56:AA56" si="383">P56</f>
        <v/>
      </c>
      <c r="X56" s="47" t="str">
        <f t="shared" si="383"/>
        <v/>
      </c>
      <c r="Y56" s="47" t="str">
        <f t="shared" si="383"/>
        <v/>
      </c>
      <c r="Z56" s="47" t="str">
        <f t="shared" si="383"/>
        <v/>
      </c>
      <c r="AA56" s="47" t="str">
        <f t="shared" si="383"/>
        <v/>
      </c>
      <c r="AB56" s="47"/>
      <c r="AC56" s="47"/>
      <c r="AD56" s="46" t="str">
        <f t="shared" ref="AD56:AH56" si="384">W56</f>
        <v/>
      </c>
      <c r="AE56" s="47" t="str">
        <f t="shared" si="384"/>
        <v/>
      </c>
      <c r="AF56" s="47" t="str">
        <f t="shared" si="384"/>
        <v/>
      </c>
      <c r="AG56" s="47" t="str">
        <f t="shared" si="384"/>
        <v/>
      </c>
      <c r="AH56" s="47" t="str">
        <f t="shared" si="384"/>
        <v/>
      </c>
      <c r="AI56" s="47"/>
      <c r="AJ56" s="47"/>
      <c r="AK56" s="46" t="str">
        <f t="shared" ref="AK56:AO56" si="385">AD56</f>
        <v/>
      </c>
      <c r="AL56" s="47" t="str">
        <f t="shared" si="385"/>
        <v/>
      </c>
      <c r="AM56" s="47" t="str">
        <f t="shared" si="385"/>
        <v/>
      </c>
      <c r="AN56" s="47" t="str">
        <f t="shared" si="385"/>
        <v/>
      </c>
      <c r="AO56" s="47" t="str">
        <f t="shared" si="385"/>
        <v/>
      </c>
      <c r="AP56" s="47"/>
      <c r="AQ56" s="47"/>
      <c r="AR56" s="46" t="str">
        <f t="shared" ref="AR56:AV56" si="386">AK56</f>
        <v/>
      </c>
      <c r="AS56" s="47" t="str">
        <f t="shared" si="386"/>
        <v/>
      </c>
      <c r="AT56" s="47" t="str">
        <f t="shared" si="386"/>
        <v/>
      </c>
      <c r="AU56" s="47" t="str">
        <f t="shared" si="386"/>
        <v/>
      </c>
      <c r="AV56" s="47" t="str">
        <f t="shared" si="386"/>
        <v/>
      </c>
      <c r="AW56" s="47"/>
      <c r="AX56" s="47"/>
      <c r="AY56" s="46" t="str">
        <f t="shared" ref="AY56:BC56" si="387">AR56</f>
        <v/>
      </c>
      <c r="AZ56" s="47" t="str">
        <f t="shared" si="387"/>
        <v/>
      </c>
      <c r="BA56" s="47" t="str">
        <f t="shared" si="387"/>
        <v/>
      </c>
      <c r="BB56" s="47" t="str">
        <f t="shared" si="387"/>
        <v/>
      </c>
      <c r="BC56" s="47" t="str">
        <f t="shared" si="387"/>
        <v/>
      </c>
      <c r="BD56" s="47"/>
      <c r="BE56" s="47"/>
      <c r="BF56" s="46" t="str">
        <f t="shared" ref="BF56:BJ56" si="388">AY56</f>
        <v/>
      </c>
      <c r="BG56" s="47" t="str">
        <f t="shared" si="388"/>
        <v/>
      </c>
      <c r="BH56" s="47" t="str">
        <f t="shared" si="388"/>
        <v/>
      </c>
      <c r="BI56" s="47" t="str">
        <f t="shared" si="388"/>
        <v/>
      </c>
      <c r="BJ56" s="47" t="str">
        <f t="shared" si="388"/>
        <v/>
      </c>
      <c r="BK56" s="47"/>
      <c r="BL56" s="47"/>
      <c r="BM56" s="46" t="str">
        <f t="shared" ref="BM56:BQ56" si="389">BF56</f>
        <v/>
      </c>
      <c r="BN56" s="47" t="str">
        <f t="shared" si="389"/>
        <v/>
      </c>
      <c r="BO56" s="47" t="str">
        <f t="shared" si="389"/>
        <v/>
      </c>
      <c r="BP56" s="47" t="str">
        <f t="shared" si="389"/>
        <v/>
      </c>
      <c r="BQ56" s="47" t="str">
        <f t="shared" si="389"/>
        <v/>
      </c>
      <c r="BR56" s="47"/>
      <c r="BS56" s="47"/>
      <c r="BT56" s="46" t="str">
        <f t="shared" ref="BT56:BX56" si="390">BM56</f>
        <v/>
      </c>
      <c r="BU56" s="47" t="str">
        <f t="shared" si="390"/>
        <v/>
      </c>
      <c r="BV56" s="47" t="str">
        <f t="shared" si="390"/>
        <v/>
      </c>
      <c r="BW56" s="47" t="str">
        <f t="shared" si="390"/>
        <v/>
      </c>
      <c r="BX56" s="47" t="str">
        <f t="shared" si="390"/>
        <v/>
      </c>
      <c r="BY56" s="47"/>
      <c r="BZ56" s="47"/>
      <c r="CA56" s="46" t="str">
        <f t="shared" ref="CA56:CE56" si="391">BT56</f>
        <v/>
      </c>
      <c r="CB56" s="47" t="str">
        <f t="shared" si="391"/>
        <v/>
      </c>
      <c r="CC56" s="47" t="str">
        <f t="shared" si="391"/>
        <v/>
      </c>
      <c r="CD56" s="47" t="str">
        <f t="shared" si="391"/>
        <v/>
      </c>
      <c r="CE56" s="47" t="str">
        <f t="shared" si="391"/>
        <v/>
      </c>
      <c r="CF56" s="47"/>
      <c r="CG56" s="47"/>
      <c r="CH56" s="46" t="str">
        <f t="shared" ref="CH56:CL56" si="392">CA56</f>
        <v/>
      </c>
      <c r="CI56" s="47" t="str">
        <f t="shared" si="392"/>
        <v/>
      </c>
      <c r="CJ56" s="47" t="str">
        <f t="shared" si="392"/>
        <v/>
      </c>
      <c r="CK56" s="47" t="str">
        <f t="shared" si="392"/>
        <v/>
      </c>
      <c r="CL56" s="47" t="str">
        <f t="shared" si="392"/>
        <v/>
      </c>
      <c r="CM56" s="47"/>
      <c r="CN56" s="47"/>
      <c r="CO56" s="46" t="str">
        <f t="shared" ref="CO56:CS56" si="393">CH56</f>
        <v/>
      </c>
      <c r="CP56" s="47" t="str">
        <f t="shared" si="393"/>
        <v/>
      </c>
      <c r="CQ56" s="47" t="str">
        <f t="shared" si="393"/>
        <v/>
      </c>
      <c r="CR56" s="47" t="str">
        <f t="shared" si="393"/>
        <v/>
      </c>
      <c r="CS56" s="47" t="str">
        <f t="shared" si="393"/>
        <v/>
      </c>
      <c r="CT56" s="47"/>
      <c r="CU56" s="47"/>
      <c r="CV56" s="46" t="str">
        <f t="shared" ref="CV56:CZ56" si="394">CO56</f>
        <v/>
      </c>
      <c r="CW56" s="47" t="str">
        <f t="shared" si="394"/>
        <v/>
      </c>
      <c r="CX56" s="47" t="str">
        <f t="shared" si="394"/>
        <v/>
      </c>
      <c r="CY56" s="47" t="str">
        <f t="shared" si="394"/>
        <v/>
      </c>
      <c r="CZ56" s="47" t="str">
        <f t="shared" si="394"/>
        <v/>
      </c>
      <c r="DA56" s="47"/>
      <c r="DB56" s="47"/>
      <c r="DC56" s="46" t="str">
        <f t="shared" ref="DC56:DG56" si="395">CV56</f>
        <v/>
      </c>
      <c r="DD56" s="47" t="str">
        <f t="shared" si="395"/>
        <v/>
      </c>
      <c r="DE56" s="47" t="str">
        <f t="shared" si="395"/>
        <v/>
      </c>
      <c r="DF56" s="47" t="str">
        <f t="shared" si="395"/>
        <v/>
      </c>
      <c r="DG56" s="47" t="str">
        <f t="shared" si="395"/>
        <v/>
      </c>
      <c r="DH56" s="47"/>
      <c r="DI56" s="47"/>
      <c r="DJ56" s="46" t="str">
        <f t="shared" ref="DJ56:DN56" si="396">DC56</f>
        <v/>
      </c>
      <c r="DK56" s="47" t="str">
        <f t="shared" si="396"/>
        <v/>
      </c>
      <c r="DL56" s="47" t="str">
        <f t="shared" si="396"/>
        <v/>
      </c>
      <c r="DM56" s="47" t="str">
        <f t="shared" si="396"/>
        <v/>
      </c>
      <c r="DN56" s="47" t="str">
        <f t="shared" si="396"/>
        <v/>
      </c>
      <c r="DO56" s="47"/>
      <c r="DP56" s="47"/>
      <c r="DQ56" s="46" t="str">
        <f t="shared" ref="DQ56:DU56" si="397">DJ56</f>
        <v/>
      </c>
      <c r="DR56" s="47" t="str">
        <f t="shared" si="397"/>
        <v/>
      </c>
      <c r="DS56" s="47" t="str">
        <f t="shared" si="397"/>
        <v/>
      </c>
      <c r="DT56" s="47" t="str">
        <f t="shared" si="397"/>
        <v/>
      </c>
      <c r="DU56" s="47" t="str">
        <f t="shared" si="397"/>
        <v/>
      </c>
      <c r="DV56" s="47"/>
      <c r="DW56" s="47"/>
      <c r="DX56" s="46" t="str">
        <f t="shared" ref="DX56:EB56" si="398">DQ56</f>
        <v/>
      </c>
      <c r="DY56" s="47" t="str">
        <f t="shared" si="398"/>
        <v/>
      </c>
      <c r="DZ56" s="47" t="str">
        <f t="shared" si="398"/>
        <v/>
      </c>
      <c r="EA56" s="47" t="str">
        <f t="shared" si="398"/>
        <v/>
      </c>
      <c r="EB56" s="47" t="str">
        <f t="shared" si="398"/>
        <v/>
      </c>
      <c r="EC56" s="47"/>
      <c r="ED56" s="47"/>
      <c r="EE56" s="46" t="str">
        <f t="shared" ref="EE56:EI56" si="399">DX56</f>
        <v/>
      </c>
      <c r="EF56" s="47" t="str">
        <f t="shared" si="399"/>
        <v/>
      </c>
      <c r="EG56" s="47" t="str">
        <f t="shared" si="399"/>
        <v/>
      </c>
      <c r="EH56" s="47" t="str">
        <f t="shared" si="399"/>
        <v/>
      </c>
      <c r="EI56" s="47" t="str">
        <f t="shared" si="399"/>
        <v/>
      </c>
      <c r="EJ56" s="47"/>
      <c r="EK56" s="47"/>
      <c r="EL56" s="46" t="str">
        <f t="shared" ref="EL56:EP56" si="400">EE56</f>
        <v/>
      </c>
      <c r="EM56" s="47" t="str">
        <f t="shared" si="400"/>
        <v/>
      </c>
      <c r="EN56" s="47" t="str">
        <f t="shared" si="400"/>
        <v/>
      </c>
      <c r="EO56" s="47" t="str">
        <f t="shared" si="400"/>
        <v/>
      </c>
      <c r="EP56" s="47" t="str">
        <f t="shared" si="400"/>
        <v/>
      </c>
      <c r="EQ56" s="47"/>
      <c r="ER56" s="47"/>
    </row>
  </sheetData>
  <mergeCells count="26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4:EK14"/>
    <mergeCell ref="EE25:EK25"/>
    <mergeCell ref="EE36:EK36"/>
    <mergeCell ref="EE47:EK47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8 A19 A30 A41 A52">
      <formula1>'Quick Setup'!$B$19:$D$26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29" t="s">
        <v>49</v>
      </c>
      <c r="I1" s="29" t="s">
        <v>50</v>
      </c>
      <c r="P1" s="29" t="s">
        <v>51</v>
      </c>
      <c r="W1" s="29" t="s">
        <v>52</v>
      </c>
      <c r="AD1" s="29" t="s">
        <v>53</v>
      </c>
      <c r="AK1" s="29" t="s">
        <v>54</v>
      </c>
      <c r="AR1" s="30" t="s">
        <v>55</v>
      </c>
      <c r="AY1" s="30" t="s">
        <v>56</v>
      </c>
      <c r="BF1" s="30" t="s">
        <v>57</v>
      </c>
      <c r="BM1" s="30" t="s">
        <v>58</v>
      </c>
      <c r="BT1" s="30" t="s">
        <v>59</v>
      </c>
      <c r="CA1" s="30" t="s">
        <v>60</v>
      </c>
      <c r="CH1" s="30" t="s">
        <v>61</v>
      </c>
      <c r="CO1" s="30" t="s">
        <v>62</v>
      </c>
      <c r="CV1" s="29" t="s">
        <v>63</v>
      </c>
      <c r="DC1" s="29" t="s">
        <v>64</v>
      </c>
      <c r="DJ1" s="29" t="s">
        <v>65</v>
      </c>
      <c r="DQ1" s="29" t="s">
        <v>66</v>
      </c>
      <c r="DX1" s="29" t="s">
        <v>67</v>
      </c>
      <c r="EE1" s="29" t="s">
        <v>68</v>
      </c>
      <c r="EL1" s="29" t="s">
        <v>69</v>
      </c>
    </row>
    <row r="2">
      <c r="A2" s="3"/>
      <c r="B2" s="31" t="s">
        <v>70</v>
      </c>
      <c r="C2" s="1" t="s">
        <v>47</v>
      </c>
      <c r="D2" s="1" t="s">
        <v>48</v>
      </c>
      <c r="E2" s="1" t="s">
        <v>71</v>
      </c>
      <c r="F2" s="1" t="s">
        <v>72</v>
      </c>
      <c r="G2" s="1" t="s">
        <v>73</v>
      </c>
      <c r="H2" s="1" t="s">
        <v>74</v>
      </c>
      <c r="I2" s="31" t="s">
        <v>70</v>
      </c>
      <c r="J2" s="1" t="s">
        <v>47</v>
      </c>
      <c r="K2" s="1" t="s">
        <v>48</v>
      </c>
      <c r="L2" s="1" t="s">
        <v>71</v>
      </c>
      <c r="M2" s="1" t="s">
        <v>72</v>
      </c>
      <c r="N2" s="1" t="s">
        <v>73</v>
      </c>
      <c r="O2" s="1" t="s">
        <v>74</v>
      </c>
      <c r="P2" s="31" t="s">
        <v>70</v>
      </c>
      <c r="Q2" s="1" t="s">
        <v>47</v>
      </c>
      <c r="R2" s="1" t="s">
        <v>48</v>
      </c>
      <c r="S2" s="1" t="s">
        <v>71</v>
      </c>
      <c r="T2" s="1" t="s">
        <v>72</v>
      </c>
      <c r="U2" s="1" t="s">
        <v>73</v>
      </c>
      <c r="V2" s="1" t="s">
        <v>74</v>
      </c>
      <c r="W2" s="31" t="s">
        <v>70</v>
      </c>
      <c r="X2" s="1" t="s">
        <v>47</v>
      </c>
      <c r="Y2" s="1" t="s">
        <v>48</v>
      </c>
      <c r="Z2" s="1" t="s">
        <v>71</v>
      </c>
      <c r="AA2" s="1" t="s">
        <v>72</v>
      </c>
      <c r="AB2" s="1" t="s">
        <v>73</v>
      </c>
      <c r="AC2" s="1" t="s">
        <v>74</v>
      </c>
      <c r="AD2" s="31" t="s">
        <v>70</v>
      </c>
      <c r="AE2" s="1" t="s">
        <v>47</v>
      </c>
      <c r="AF2" s="1" t="s">
        <v>48</v>
      </c>
      <c r="AG2" s="1" t="s">
        <v>71</v>
      </c>
      <c r="AH2" s="1" t="s">
        <v>72</v>
      </c>
      <c r="AI2" s="1" t="s">
        <v>73</v>
      </c>
      <c r="AJ2" s="1" t="s">
        <v>74</v>
      </c>
      <c r="AK2" s="31" t="s">
        <v>70</v>
      </c>
      <c r="AL2" s="1" t="s">
        <v>47</v>
      </c>
      <c r="AM2" s="1" t="s">
        <v>48</v>
      </c>
      <c r="AN2" s="1" t="s">
        <v>71</v>
      </c>
      <c r="AO2" s="1" t="s">
        <v>72</v>
      </c>
      <c r="AP2" s="1" t="s">
        <v>73</v>
      </c>
      <c r="AQ2" s="1" t="s">
        <v>74</v>
      </c>
      <c r="AR2" s="31" t="s">
        <v>70</v>
      </c>
      <c r="AS2" s="1" t="s">
        <v>47</v>
      </c>
      <c r="AT2" s="1" t="s">
        <v>48</v>
      </c>
      <c r="AU2" s="1" t="s">
        <v>71</v>
      </c>
      <c r="AV2" s="1" t="s">
        <v>72</v>
      </c>
      <c r="AW2" s="1" t="s">
        <v>73</v>
      </c>
      <c r="AX2" s="1" t="s">
        <v>74</v>
      </c>
      <c r="AY2" s="31" t="s">
        <v>70</v>
      </c>
      <c r="AZ2" s="1" t="s">
        <v>47</v>
      </c>
      <c r="BA2" s="1" t="s">
        <v>48</v>
      </c>
      <c r="BB2" s="1" t="s">
        <v>71</v>
      </c>
      <c r="BC2" s="1" t="s">
        <v>72</v>
      </c>
      <c r="BD2" s="1" t="s">
        <v>73</v>
      </c>
      <c r="BE2" s="1" t="s">
        <v>74</v>
      </c>
      <c r="BF2" s="31" t="s">
        <v>70</v>
      </c>
      <c r="BG2" s="1" t="s">
        <v>47</v>
      </c>
      <c r="BH2" s="1" t="s">
        <v>48</v>
      </c>
      <c r="BI2" s="1" t="s">
        <v>71</v>
      </c>
      <c r="BJ2" s="1" t="s">
        <v>72</v>
      </c>
      <c r="BK2" s="1" t="s">
        <v>73</v>
      </c>
      <c r="BL2" s="1" t="s">
        <v>74</v>
      </c>
      <c r="BM2" s="31" t="s">
        <v>70</v>
      </c>
      <c r="BN2" s="1" t="s">
        <v>47</v>
      </c>
      <c r="BO2" s="1" t="s">
        <v>48</v>
      </c>
      <c r="BP2" s="1" t="s">
        <v>71</v>
      </c>
      <c r="BQ2" s="1" t="s">
        <v>72</v>
      </c>
      <c r="BR2" s="1" t="s">
        <v>73</v>
      </c>
      <c r="BS2" s="1" t="s">
        <v>74</v>
      </c>
      <c r="BT2" s="31" t="s">
        <v>70</v>
      </c>
      <c r="BU2" s="1" t="s">
        <v>47</v>
      </c>
      <c r="BV2" s="1" t="s">
        <v>48</v>
      </c>
      <c r="BW2" s="1" t="s">
        <v>71</v>
      </c>
      <c r="BX2" s="1" t="s">
        <v>72</v>
      </c>
      <c r="BY2" s="1" t="s">
        <v>73</v>
      </c>
      <c r="BZ2" s="1" t="s">
        <v>74</v>
      </c>
      <c r="CA2" s="31" t="s">
        <v>70</v>
      </c>
      <c r="CB2" s="1" t="s">
        <v>47</v>
      </c>
      <c r="CC2" s="1" t="s">
        <v>48</v>
      </c>
      <c r="CD2" s="1" t="s">
        <v>71</v>
      </c>
      <c r="CE2" s="1" t="s">
        <v>72</v>
      </c>
      <c r="CF2" s="1" t="s">
        <v>73</v>
      </c>
      <c r="CG2" s="1" t="s">
        <v>74</v>
      </c>
      <c r="CH2" s="31" t="s">
        <v>70</v>
      </c>
      <c r="CI2" s="1" t="s">
        <v>47</v>
      </c>
      <c r="CJ2" s="1" t="s">
        <v>48</v>
      </c>
      <c r="CK2" s="1" t="s">
        <v>71</v>
      </c>
      <c r="CL2" s="1" t="s">
        <v>72</v>
      </c>
      <c r="CM2" s="1" t="s">
        <v>73</v>
      </c>
      <c r="CN2" s="1" t="s">
        <v>74</v>
      </c>
      <c r="CO2" s="31" t="s">
        <v>70</v>
      </c>
      <c r="CP2" s="1" t="s">
        <v>47</v>
      </c>
      <c r="CQ2" s="1" t="s">
        <v>48</v>
      </c>
      <c r="CR2" s="1" t="s">
        <v>71</v>
      </c>
      <c r="CS2" s="1" t="s">
        <v>72</v>
      </c>
      <c r="CT2" s="1" t="s">
        <v>73</v>
      </c>
      <c r="CU2" s="1" t="s">
        <v>74</v>
      </c>
      <c r="CV2" s="31" t="s">
        <v>70</v>
      </c>
      <c r="CW2" s="1" t="s">
        <v>47</v>
      </c>
      <c r="CX2" s="1" t="s">
        <v>48</v>
      </c>
      <c r="CY2" s="1" t="s">
        <v>71</v>
      </c>
      <c r="CZ2" s="1" t="s">
        <v>72</v>
      </c>
      <c r="DA2" s="1" t="s">
        <v>73</v>
      </c>
      <c r="DB2" s="1" t="s">
        <v>74</v>
      </c>
      <c r="DC2" s="31" t="s">
        <v>70</v>
      </c>
      <c r="DD2" s="1" t="s">
        <v>47</v>
      </c>
      <c r="DE2" s="1" t="s">
        <v>48</v>
      </c>
      <c r="DF2" s="1" t="s">
        <v>71</v>
      </c>
      <c r="DG2" s="1" t="s">
        <v>72</v>
      </c>
      <c r="DH2" s="1" t="s">
        <v>73</v>
      </c>
      <c r="DI2" s="1" t="s">
        <v>74</v>
      </c>
      <c r="DJ2" s="31" t="s">
        <v>70</v>
      </c>
      <c r="DK2" s="1" t="s">
        <v>47</v>
      </c>
      <c r="DL2" s="1" t="s">
        <v>48</v>
      </c>
      <c r="DM2" s="1" t="s">
        <v>71</v>
      </c>
      <c r="DN2" s="1" t="s">
        <v>72</v>
      </c>
      <c r="DO2" s="1" t="s">
        <v>73</v>
      </c>
      <c r="DP2" s="1" t="s">
        <v>74</v>
      </c>
      <c r="DQ2" s="31" t="s">
        <v>70</v>
      </c>
      <c r="DR2" s="1" t="s">
        <v>47</v>
      </c>
      <c r="DS2" s="1" t="s">
        <v>48</v>
      </c>
      <c r="DT2" s="1" t="s">
        <v>71</v>
      </c>
      <c r="DU2" s="1" t="s">
        <v>72</v>
      </c>
      <c r="DV2" s="1" t="s">
        <v>73</v>
      </c>
      <c r="DW2" s="1" t="s">
        <v>74</v>
      </c>
      <c r="DX2" s="31" t="s">
        <v>70</v>
      </c>
      <c r="DY2" s="1" t="s">
        <v>47</v>
      </c>
      <c r="DZ2" s="1" t="s">
        <v>48</v>
      </c>
      <c r="EA2" s="1" t="s">
        <v>71</v>
      </c>
      <c r="EB2" s="1" t="s">
        <v>72</v>
      </c>
      <c r="EC2" s="1" t="s">
        <v>73</v>
      </c>
      <c r="ED2" s="1" t="s">
        <v>74</v>
      </c>
      <c r="EE2" s="31" t="s">
        <v>70</v>
      </c>
      <c r="EF2" s="1" t="s">
        <v>47</v>
      </c>
      <c r="EG2" s="1" t="s">
        <v>48</v>
      </c>
      <c r="EH2" s="1" t="s">
        <v>71</v>
      </c>
      <c r="EI2" s="1" t="s">
        <v>72</v>
      </c>
      <c r="EJ2" s="1" t="s">
        <v>73</v>
      </c>
      <c r="EK2" s="1" t="s">
        <v>74</v>
      </c>
      <c r="EL2" s="31" t="s">
        <v>70</v>
      </c>
      <c r="EM2" s="1" t="s">
        <v>47</v>
      </c>
      <c r="EN2" s="1" t="s">
        <v>48</v>
      </c>
      <c r="EO2" s="1" t="s">
        <v>71</v>
      </c>
      <c r="EP2" s="1" t="s">
        <v>72</v>
      </c>
      <c r="EQ2" s="1" t="s">
        <v>73</v>
      </c>
      <c r="ER2" s="1" t="s">
        <v>74</v>
      </c>
    </row>
    <row r="3">
      <c r="A3" s="32" t="s">
        <v>76</v>
      </c>
      <c r="B3" s="33"/>
      <c r="C3" s="34"/>
      <c r="D3" s="34"/>
      <c r="E3" s="34"/>
      <c r="F3" s="34"/>
      <c r="G3" s="34"/>
      <c r="H3" s="34"/>
      <c r="I3" s="33"/>
      <c r="J3" s="34"/>
      <c r="K3" s="34"/>
      <c r="L3" s="34"/>
      <c r="M3" s="34"/>
      <c r="N3" s="34"/>
      <c r="O3" s="34"/>
      <c r="P3" s="33"/>
      <c r="Q3" s="34"/>
      <c r="R3" s="34"/>
      <c r="S3" s="34"/>
      <c r="T3" s="34"/>
      <c r="U3" s="34"/>
      <c r="V3" s="34"/>
      <c r="W3" s="33"/>
      <c r="X3" s="34"/>
      <c r="Y3" s="34"/>
      <c r="Z3" s="34"/>
      <c r="AA3" s="34"/>
      <c r="AB3" s="34"/>
      <c r="AC3" s="34"/>
      <c r="AD3" s="33"/>
      <c r="AE3" s="34"/>
      <c r="AF3" s="34"/>
      <c r="AG3" s="34"/>
      <c r="AH3" s="34"/>
      <c r="AI3" s="34"/>
      <c r="AJ3" s="34"/>
      <c r="AK3" s="33"/>
      <c r="AL3" s="34"/>
      <c r="AM3" s="34"/>
      <c r="AN3" s="34"/>
      <c r="AO3" s="34"/>
      <c r="AP3" s="34"/>
      <c r="AQ3" s="34"/>
      <c r="AR3" s="33"/>
      <c r="AS3" s="34"/>
      <c r="AT3" s="34"/>
      <c r="AU3" s="34"/>
      <c r="AV3" s="34"/>
      <c r="AW3" s="34"/>
      <c r="AX3" s="34"/>
      <c r="AY3" s="33"/>
      <c r="AZ3" s="34"/>
      <c r="BA3" s="34"/>
      <c r="BB3" s="34"/>
      <c r="BC3" s="34"/>
      <c r="BD3" s="34"/>
      <c r="BE3" s="34"/>
      <c r="BF3" s="33"/>
      <c r="BG3" s="34"/>
      <c r="BH3" s="34"/>
      <c r="BI3" s="34"/>
      <c r="BJ3" s="34"/>
      <c r="BK3" s="34"/>
      <c r="BL3" s="34"/>
      <c r="BM3" s="33"/>
      <c r="BN3" s="34"/>
      <c r="BO3" s="34"/>
      <c r="BP3" s="34"/>
      <c r="BQ3" s="34"/>
      <c r="BR3" s="34"/>
      <c r="BS3" s="34"/>
      <c r="BT3" s="33"/>
      <c r="BU3" s="34"/>
      <c r="BV3" s="34"/>
      <c r="BW3" s="34"/>
      <c r="BX3" s="34"/>
      <c r="BY3" s="34"/>
      <c r="BZ3" s="34"/>
      <c r="CA3" s="33"/>
      <c r="CB3" s="34"/>
      <c r="CC3" s="34"/>
      <c r="CD3" s="34"/>
      <c r="CE3" s="34"/>
      <c r="CF3" s="34"/>
      <c r="CG3" s="34"/>
      <c r="CH3" s="33"/>
      <c r="CI3" s="34"/>
      <c r="CJ3" s="34"/>
      <c r="CK3" s="34"/>
      <c r="CL3" s="34"/>
      <c r="CM3" s="34"/>
      <c r="CN3" s="34"/>
      <c r="CO3" s="33"/>
      <c r="CP3" s="34"/>
      <c r="CQ3" s="34"/>
      <c r="CR3" s="34"/>
      <c r="CS3" s="34"/>
      <c r="CT3" s="34"/>
      <c r="CU3" s="34"/>
      <c r="CV3" s="33"/>
      <c r="CW3" s="34"/>
      <c r="CX3" s="34"/>
      <c r="CY3" s="34"/>
      <c r="CZ3" s="34"/>
      <c r="DA3" s="34"/>
      <c r="DB3" s="34"/>
      <c r="DC3" s="33"/>
      <c r="DD3" s="34"/>
      <c r="DE3" s="34"/>
      <c r="DF3" s="34"/>
      <c r="DG3" s="34"/>
      <c r="DH3" s="34"/>
      <c r="DI3" s="34"/>
      <c r="DJ3" s="33"/>
      <c r="DK3" s="34"/>
      <c r="DL3" s="34"/>
      <c r="DM3" s="34"/>
      <c r="DN3" s="34"/>
      <c r="DO3" s="34"/>
      <c r="DP3" s="34"/>
      <c r="DQ3" s="33"/>
      <c r="DR3" s="34"/>
      <c r="DS3" s="34"/>
      <c r="DT3" s="34"/>
      <c r="DU3" s="34"/>
      <c r="DV3" s="34"/>
      <c r="DW3" s="34"/>
      <c r="DX3" s="33"/>
      <c r="DY3" s="34"/>
      <c r="DZ3" s="34"/>
      <c r="EA3" s="34"/>
      <c r="EB3" s="34"/>
      <c r="EC3" s="34"/>
      <c r="ED3" s="34"/>
      <c r="EE3" s="35" t="s">
        <v>77</v>
      </c>
      <c r="EF3" s="36"/>
      <c r="EG3" s="36"/>
      <c r="EH3" s="36"/>
      <c r="EI3" s="36"/>
      <c r="EJ3" s="36"/>
      <c r="EK3" s="36"/>
      <c r="EL3" s="33"/>
      <c r="EM3" s="34"/>
      <c r="EN3" s="34"/>
      <c r="EO3" s="34"/>
      <c r="EP3" s="34"/>
      <c r="EQ3" s="34"/>
      <c r="ER3" s="34"/>
    </row>
    <row r="4" hidden="1">
      <c r="A4" s="37" t="str">
        <f>CONCATENATE(A5," TM")</f>
        <v>Squat TM</v>
      </c>
      <c r="B4" s="38">
        <f>if(D4="",'Quick Setup'!D5,D4/'Quick Setup'!E5)</f>
        <v>490</v>
      </c>
      <c r="C4" s="39" t="s">
        <v>75</v>
      </c>
      <c r="D4" s="40"/>
      <c r="E4" s="41"/>
      <c r="F4" s="41"/>
      <c r="G4" s="41"/>
      <c r="H4" s="41"/>
      <c r="I4" s="38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490</v>
      </c>
      <c r="J4" s="39" t="s">
        <v>75</v>
      </c>
      <c r="K4" s="40"/>
      <c r="L4" s="41"/>
      <c r="M4" s="41"/>
      <c r="N4" s="41"/>
      <c r="O4" s="41"/>
      <c r="P4" s="38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490</v>
      </c>
      <c r="Q4" s="39" t="s">
        <v>75</v>
      </c>
      <c r="R4" s="40"/>
      <c r="S4" s="41"/>
      <c r="T4" s="41"/>
      <c r="U4" s="41"/>
      <c r="V4" s="41"/>
      <c r="W4" s="38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490</v>
      </c>
      <c r="X4" s="39" t="s">
        <v>75</v>
      </c>
      <c r="Y4" s="40"/>
      <c r="Z4" s="41"/>
      <c r="AA4" s="41"/>
      <c r="AB4" s="41"/>
      <c r="AC4" s="41"/>
      <c r="AD4" s="38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490</v>
      </c>
      <c r="AE4" s="39" t="s">
        <v>75</v>
      </c>
      <c r="AF4" s="40"/>
      <c r="AG4" s="41"/>
      <c r="AH4" s="41"/>
      <c r="AI4" s="41"/>
      <c r="AJ4" s="41"/>
      <c r="AK4" s="38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490</v>
      </c>
      <c r="AL4" s="39" t="s">
        <v>75</v>
      </c>
      <c r="AM4" s="40"/>
      <c r="AN4" s="41"/>
      <c r="AO4" s="41"/>
      <c r="AP4" s="41"/>
      <c r="AQ4" s="41"/>
      <c r="AR4" s="38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490</v>
      </c>
      <c r="AS4" s="39" t="s">
        <v>75</v>
      </c>
      <c r="AT4" s="40"/>
      <c r="AU4" s="41"/>
      <c r="AV4" s="41"/>
      <c r="AW4" s="41"/>
      <c r="AX4" s="41"/>
      <c r="AY4" s="38">
        <f>if(BA4="",AR4,BA4/'Quick Setup'!$E5)</f>
        <v>490</v>
      </c>
      <c r="AZ4" s="39" t="s">
        <v>75</v>
      </c>
      <c r="BA4" s="40"/>
      <c r="BB4" s="41"/>
      <c r="BC4" s="41"/>
      <c r="BD4" s="41"/>
      <c r="BE4" s="41"/>
      <c r="BF4" s="38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490</v>
      </c>
      <c r="BG4" s="39" t="s">
        <v>75</v>
      </c>
      <c r="BH4" s="40"/>
      <c r="BI4" s="41"/>
      <c r="BJ4" s="41"/>
      <c r="BK4" s="41"/>
      <c r="BL4" s="41"/>
      <c r="BM4" s="38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490</v>
      </c>
      <c r="BN4" s="39" t="s">
        <v>75</v>
      </c>
      <c r="BO4" s="40"/>
      <c r="BP4" s="41"/>
      <c r="BQ4" s="41"/>
      <c r="BR4" s="41"/>
      <c r="BS4" s="41"/>
      <c r="BT4" s="38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490</v>
      </c>
      <c r="BU4" s="39" t="s">
        <v>75</v>
      </c>
      <c r="BV4" s="40"/>
      <c r="BW4" s="41"/>
      <c r="BX4" s="41"/>
      <c r="BY4" s="41"/>
      <c r="BZ4" s="41"/>
      <c r="CA4" s="38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490</v>
      </c>
      <c r="CB4" s="39" t="s">
        <v>75</v>
      </c>
      <c r="CC4" s="40"/>
      <c r="CD4" s="41"/>
      <c r="CE4" s="41"/>
      <c r="CF4" s="41"/>
      <c r="CG4" s="41"/>
      <c r="CH4" s="38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490</v>
      </c>
      <c r="CI4" s="39" t="s">
        <v>75</v>
      </c>
      <c r="CJ4" s="40"/>
      <c r="CK4" s="41"/>
      <c r="CL4" s="41"/>
      <c r="CM4" s="41"/>
      <c r="CN4" s="41"/>
      <c r="CO4" s="38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490</v>
      </c>
      <c r="CP4" s="39" t="s">
        <v>75</v>
      </c>
      <c r="CQ4" s="40"/>
      <c r="CR4" s="41"/>
      <c r="CS4" s="41"/>
      <c r="CT4" s="41"/>
      <c r="CU4" s="41"/>
      <c r="CV4" s="38">
        <f>if(CX4="",CO4,CX4/'Quick Setup'!$E5)</f>
        <v>490</v>
      </c>
      <c r="CW4" s="39" t="s">
        <v>75</v>
      </c>
      <c r="CX4" s="40"/>
      <c r="CY4" s="41"/>
      <c r="CZ4" s="41"/>
      <c r="DA4" s="41"/>
      <c r="DB4" s="41"/>
      <c r="DC4" s="38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490</v>
      </c>
      <c r="DD4" s="39" t="s">
        <v>75</v>
      </c>
      <c r="DE4" s="40"/>
      <c r="DF4" s="41"/>
      <c r="DG4" s="41"/>
      <c r="DH4" s="41"/>
      <c r="DI4" s="41"/>
      <c r="DJ4" s="38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490</v>
      </c>
      <c r="DK4" s="39" t="s">
        <v>75</v>
      </c>
      <c r="DL4" s="40"/>
      <c r="DM4" s="41"/>
      <c r="DN4" s="41"/>
      <c r="DO4" s="41"/>
      <c r="DP4" s="41"/>
      <c r="DQ4" s="38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490</v>
      </c>
      <c r="DR4" s="39" t="s">
        <v>75</v>
      </c>
      <c r="DS4" s="40"/>
      <c r="DT4" s="41"/>
      <c r="DU4" s="41"/>
      <c r="DV4" s="41"/>
      <c r="DW4" s="41"/>
      <c r="DX4" s="38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490</v>
      </c>
      <c r="DY4" s="39" t="s">
        <v>75</v>
      </c>
      <c r="DZ4" s="40"/>
      <c r="EA4" s="41"/>
      <c r="EB4" s="41"/>
      <c r="EC4" s="41"/>
      <c r="ED4" s="41"/>
      <c r="EE4" s="38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490</v>
      </c>
      <c r="EF4" s="39" t="s">
        <v>75</v>
      </c>
      <c r="EG4" s="40"/>
      <c r="EH4" s="41"/>
      <c r="EI4" s="41"/>
      <c r="EJ4" s="41"/>
      <c r="EK4" s="41"/>
      <c r="EL4" s="38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490</v>
      </c>
      <c r="EM4" s="39" t="s">
        <v>75</v>
      </c>
      <c r="EN4" s="40"/>
      <c r="EO4" s="41"/>
      <c r="EP4" s="41"/>
      <c r="EQ4" s="41"/>
      <c r="ER4" s="41"/>
    </row>
    <row r="5">
      <c r="A5" s="1" t="str">
        <f>Setup!A3</f>
        <v>Squat</v>
      </c>
      <c r="B5" s="42">
        <f>mround(B4*Setup!B3,'Quick Setup'!$A$2)</f>
        <v>342.5</v>
      </c>
      <c r="C5" s="3">
        <f>Setup!C3</f>
        <v>5</v>
      </c>
      <c r="D5" s="3">
        <f>Setup!D3</f>
        <v>10</v>
      </c>
      <c r="E5" s="3">
        <f>Setup!E3</f>
        <v>5</v>
      </c>
      <c r="F5" s="10"/>
      <c r="G5" s="10"/>
      <c r="H5" s="10"/>
      <c r="I5" s="42">
        <f>mround(I4*Setup!N3,'Quick Setup'!$A$2)</f>
        <v>367.5</v>
      </c>
      <c r="J5" s="3">
        <f>Setup!O3</f>
        <v>4</v>
      </c>
      <c r="K5" s="3">
        <f>Setup!P3</f>
        <v>8</v>
      </c>
      <c r="L5" s="3">
        <f>Setup!Q3</f>
        <v>5</v>
      </c>
      <c r="M5" s="10"/>
      <c r="N5" s="10"/>
      <c r="O5" s="10"/>
      <c r="P5" s="42">
        <f>mround(P4*Setup!Z3,'Quick Setup'!$A$2)</f>
        <v>392.5</v>
      </c>
      <c r="Q5" s="3">
        <f>Setup!AA3</f>
        <v>3</v>
      </c>
      <c r="R5" s="3">
        <f>Setup!AB3</f>
        <v>6</v>
      </c>
      <c r="S5" s="3">
        <f>Setup!AC3</f>
        <v>5</v>
      </c>
      <c r="T5" s="10"/>
      <c r="U5" s="10"/>
      <c r="V5" s="10"/>
      <c r="W5" s="42">
        <f>mround(W4*Setup!AL3,'Quick Setup'!$A$2)</f>
        <v>355</v>
      </c>
      <c r="X5" s="3">
        <f>Setup!AM3</f>
        <v>5</v>
      </c>
      <c r="Y5" s="3">
        <f>Setup!AN3</f>
        <v>9</v>
      </c>
      <c r="Z5" s="3">
        <f>Setup!AO3</f>
        <v>5</v>
      </c>
      <c r="AA5" s="10"/>
      <c r="AB5" s="10"/>
      <c r="AC5" s="10"/>
      <c r="AD5" s="42">
        <f>mround(AD4*Setup!AX3,'Quick Setup'!$A$2)</f>
        <v>380</v>
      </c>
      <c r="AE5" s="3">
        <f>Setup!AY3</f>
        <v>4</v>
      </c>
      <c r="AF5" s="3">
        <f>Setup!AZ3</f>
        <v>7</v>
      </c>
      <c r="AG5" s="3">
        <f>Setup!BA3</f>
        <v>5</v>
      </c>
      <c r="AH5" s="10"/>
      <c r="AI5" s="10"/>
      <c r="AJ5" s="10"/>
      <c r="AK5" s="42">
        <f>mround(AK4*Setup!BJ3,'Quick Setup'!$A$2)</f>
        <v>405</v>
      </c>
      <c r="AL5" s="3">
        <f>Setup!BK3</f>
        <v>3</v>
      </c>
      <c r="AM5" s="3">
        <f>Setup!BL3</f>
        <v>5</v>
      </c>
      <c r="AN5" s="3">
        <f>Setup!BM3</f>
        <v>5</v>
      </c>
      <c r="AO5" s="10"/>
      <c r="AP5" s="10"/>
      <c r="AQ5" s="10"/>
      <c r="AR5" s="42">
        <f>mround(AR4*Setup!BV3,'Quick Setup'!$A$2)</f>
        <v>295</v>
      </c>
      <c r="AS5" s="1">
        <v>5.0</v>
      </c>
      <c r="AT5" s="1" t="s">
        <v>78</v>
      </c>
      <c r="AU5" s="3">
        <f>Setup!BY3</f>
        <v>5</v>
      </c>
      <c r="AV5" s="10"/>
      <c r="AW5" s="10"/>
      <c r="AX5" s="10"/>
      <c r="AY5" s="42">
        <f>mround(AY4*Setup!CH3,'Quick Setup'!$A$2)</f>
        <v>367.5</v>
      </c>
      <c r="AZ5" s="3">
        <f>Setup!CI3</f>
        <v>4</v>
      </c>
      <c r="BA5" s="3">
        <f>Setup!CJ3</f>
        <v>8</v>
      </c>
      <c r="BB5" s="3">
        <f>Setup!CK3</f>
        <v>5</v>
      </c>
      <c r="BC5" s="10"/>
      <c r="BD5" s="10"/>
      <c r="BE5" s="10"/>
      <c r="BF5" s="42">
        <f>mround(BF4*Setup!CT3,'Quick Setup'!$A$2)</f>
        <v>392.5</v>
      </c>
      <c r="BG5" s="3">
        <f>Setup!CU3</f>
        <v>3</v>
      </c>
      <c r="BH5" s="3">
        <f>Setup!CV3</f>
        <v>6</v>
      </c>
      <c r="BI5" s="3">
        <f>Setup!CW3</f>
        <v>5</v>
      </c>
      <c r="BJ5" s="10"/>
      <c r="BK5" s="10"/>
      <c r="BL5" s="10"/>
      <c r="BM5" s="42">
        <f>mround(BM4*Setup!DF3,'Quick Setup'!$A$2)</f>
        <v>417.5</v>
      </c>
      <c r="BN5" s="3">
        <f>Setup!DG3</f>
        <v>2</v>
      </c>
      <c r="BO5" s="3">
        <f>Setup!DH3</f>
        <v>4</v>
      </c>
      <c r="BP5" s="3">
        <f>Setup!DI3</f>
        <v>5</v>
      </c>
      <c r="BQ5" s="10"/>
      <c r="BR5" s="10"/>
      <c r="BS5" s="10"/>
      <c r="BT5" s="42">
        <f>mround(BT4*Setup!DR3,'Quick Setup'!$A$2)</f>
        <v>380</v>
      </c>
      <c r="BU5" s="3">
        <f>Setup!DS3</f>
        <v>4</v>
      </c>
      <c r="BV5" s="3">
        <f>Setup!DT3</f>
        <v>7</v>
      </c>
      <c r="BW5" s="3">
        <f>Setup!DU3</f>
        <v>5</v>
      </c>
      <c r="BX5" s="10"/>
      <c r="BY5" s="10"/>
      <c r="BZ5" s="10"/>
      <c r="CA5" s="42">
        <f>mround(CA4*Setup!ED3,'Quick Setup'!$A$2)</f>
        <v>405</v>
      </c>
      <c r="CB5" s="3">
        <f>Setup!EE3</f>
        <v>3</v>
      </c>
      <c r="CC5" s="3">
        <f>Setup!EF3</f>
        <v>5</v>
      </c>
      <c r="CD5" s="3">
        <f>Setup!EG3</f>
        <v>5</v>
      </c>
      <c r="CE5" s="10"/>
      <c r="CF5" s="10"/>
      <c r="CG5" s="10"/>
      <c r="CH5" s="42">
        <f>mround(CH4*Setup!EP3,'Quick Setup'!$A$2)</f>
        <v>430</v>
      </c>
      <c r="CI5" s="3">
        <f>Setup!EQ3</f>
        <v>2</v>
      </c>
      <c r="CJ5" s="3">
        <f>Setup!ER3</f>
        <v>3</v>
      </c>
      <c r="CK5" s="3">
        <f>Setup!ES3</f>
        <v>5</v>
      </c>
      <c r="CL5" s="10"/>
      <c r="CM5" s="10"/>
      <c r="CN5" s="10"/>
      <c r="CO5" s="42">
        <f>mround(CO4*Setup!FB3,'Quick Setup'!$A$2)</f>
        <v>295</v>
      </c>
      <c r="CP5" s="1">
        <v>5.0</v>
      </c>
      <c r="CQ5" s="1" t="s">
        <v>78</v>
      </c>
      <c r="CR5" s="3">
        <f>Setup!FE3</f>
        <v>5</v>
      </c>
      <c r="CS5" s="10"/>
      <c r="CT5" s="10"/>
      <c r="CU5" s="10"/>
      <c r="CV5" s="42">
        <f>mround(CV4*Setup!FN3,'Quick Setup'!$A$2)</f>
        <v>392.5</v>
      </c>
      <c r="CW5" s="3">
        <f>Setup!FO3</f>
        <v>3</v>
      </c>
      <c r="CX5" s="3">
        <f>Setup!FP3</f>
        <v>6</v>
      </c>
      <c r="CY5" s="3">
        <f>Setup!FQ3</f>
        <v>5</v>
      </c>
      <c r="CZ5" s="10"/>
      <c r="DA5" s="10"/>
      <c r="DB5" s="10"/>
      <c r="DC5" s="42">
        <f>mround(DC4*Setup!FZ3,'Quick Setup'!$A$2)</f>
        <v>417.5</v>
      </c>
      <c r="DD5" s="3">
        <f>Setup!GA3</f>
        <v>2</v>
      </c>
      <c r="DE5" s="3">
        <f>Setup!GB3</f>
        <v>4</v>
      </c>
      <c r="DF5" s="3">
        <f>Setup!GC3</f>
        <v>5</v>
      </c>
      <c r="DG5" s="10"/>
      <c r="DH5" s="10"/>
      <c r="DI5" s="10"/>
      <c r="DJ5" s="42">
        <f>mround(DJ4*Setup!GL3,'Quick Setup'!$A$2)</f>
        <v>440</v>
      </c>
      <c r="DK5" s="3">
        <f>Setup!GM3</f>
        <v>1</v>
      </c>
      <c r="DL5" s="3">
        <f>Setup!GN3</f>
        <v>2</v>
      </c>
      <c r="DM5" s="3">
        <f>Setup!GO3</f>
        <v>5</v>
      </c>
      <c r="DN5" s="10"/>
      <c r="DO5" s="10"/>
      <c r="DP5" s="10"/>
      <c r="DQ5" s="42">
        <f>mround(DQ4*Setup!GX3,'Quick Setup'!$A$2)</f>
        <v>417.5</v>
      </c>
      <c r="DR5" s="3">
        <f>Setup!GY3</f>
        <v>2</v>
      </c>
      <c r="DS5" s="3">
        <f>Setup!GZ3</f>
        <v>4</v>
      </c>
      <c r="DT5" s="3">
        <f>Setup!HA3</f>
        <v>5</v>
      </c>
      <c r="DU5" s="10"/>
      <c r="DV5" s="10"/>
      <c r="DW5" s="10"/>
      <c r="DX5" s="42">
        <f>mround(DX4*Setup!HJ3,'Quick Setup'!$A$2)</f>
        <v>440</v>
      </c>
      <c r="DY5" s="3">
        <f>Setup!HK3</f>
        <v>1</v>
      </c>
      <c r="DZ5" s="3">
        <f>Setup!HL3</f>
        <v>2</v>
      </c>
      <c r="EA5" s="3">
        <f>Setup!HM3</f>
        <v>5</v>
      </c>
      <c r="EB5" s="10"/>
      <c r="EC5" s="10"/>
      <c r="ED5" s="10"/>
      <c r="EE5" s="42">
        <f>mround(EE4*Setup!HV3,'Quick Setup'!$A$2)</f>
        <v>465</v>
      </c>
      <c r="EF5" s="3">
        <f>Setup!HW3</f>
        <v>1</v>
      </c>
      <c r="EG5" s="3">
        <f>Setup!HX3</f>
        <v>1</v>
      </c>
      <c r="EH5" s="3">
        <f>Setup!HY3</f>
        <v>5</v>
      </c>
      <c r="EI5" s="10"/>
      <c r="EJ5" s="10"/>
      <c r="EK5" s="10"/>
      <c r="EL5" s="42">
        <f>mround(EL4*Setup!IH3,'Quick Setup'!$A$2)</f>
        <v>295</v>
      </c>
      <c r="EM5" s="1">
        <v>5.0</v>
      </c>
      <c r="EN5" s="1" t="s">
        <v>78</v>
      </c>
      <c r="EO5" s="3">
        <f>Setup!IK3</f>
        <v>5</v>
      </c>
      <c r="EP5" s="10"/>
      <c r="EQ5" s="10"/>
      <c r="ER5" s="10"/>
    </row>
    <row r="6" hidden="1">
      <c r="A6" s="37" t="str">
        <f>CONCATENATE(A7," TM")</f>
        <v>Paused Squat TM</v>
      </c>
      <c r="B6" s="38">
        <f>if(D6="",'Quick Setup'!D12,D6/'Quick Setup'!E12)</f>
        <v>460</v>
      </c>
      <c r="C6" s="39" t="s">
        <v>75</v>
      </c>
      <c r="D6" s="40"/>
      <c r="E6" s="41"/>
      <c r="F6" s="41"/>
      <c r="G6" s="41"/>
      <c r="H6" s="41"/>
      <c r="I6" s="38">
        <f>if(K6="", if(F7&lt;&gt;"", if((F7-D7)&lt;-1,B6*(1+Setup!F10),if((F7-D7)&lt;0,B6*(1+Setup!G10),if((F7-D7)=0,B6*(1+Setup!H10),if((F7-D7)=1,B6*(1+Setup!I10),if((F7-D7)=2,B6*(1+Setup!J10),if((F7-D7)=3,B6*(1+Setup!K10),if((F7-D7)=4,B6*(1+Setup!L10),if((F7-D7)&gt;4,B6*(1+Setup!M10),B6)))))))),B6),K6/'Quick Setup'!$E12)</f>
        <v>460</v>
      </c>
      <c r="J6" s="39" t="s">
        <v>75</v>
      </c>
      <c r="K6" s="40"/>
      <c r="L6" s="41"/>
      <c r="M6" s="41"/>
      <c r="N6" s="41"/>
      <c r="O6" s="41"/>
      <c r="P6" s="38">
        <f>if(R6="", if(M7&lt;&gt;"", if((M7-K7)&lt;-1,I6*(1+Setup!R10),if((M7-K7)&lt;0,I6*(1+Setup!S10),if((M7-K7)=0,I6*(1+Setup!T10),if((M7-K7)=1,I6*(1+Setup!U10),if((M7-K7)=2,I6*(1+Setup!V10),if((M7-K7)=3,I6*(1+Setup!W10),if((M7-K7)=4,I6*(1+Setup!X10),if((M7-K7)&gt;4,I6*(1+Setup!Y10),I6)))))))),I6),R6/'Quick Setup'!$E12)</f>
        <v>460</v>
      </c>
      <c r="Q6" s="39" t="s">
        <v>75</v>
      </c>
      <c r="R6" s="40"/>
      <c r="S6" s="41"/>
      <c r="T6" s="41"/>
      <c r="U6" s="41"/>
      <c r="V6" s="41"/>
      <c r="W6" s="38">
        <f>if(Y6="", if(T7&lt;&gt;"", if((T7-R7)&lt;-1,P6*(1+Setup!AD10),if((T7-R7)&lt;0,P6*(1+Setup!AE10),if((T7-R7)=0,P6*(1+Setup!AF10),if((T7-R7)=1,P6*(1+Setup!AG10),if((T7-R7)=2,P6*(1+Setup!AH10),if((T7-R7)=3,P6*(1+Setup!AI10),if((T7-R7)=4,P6*(1+Setup!AJ10),if((T7-R7)&gt;4,P6*(1+Setup!AK10),P6)))))))),P6),Y6/'Quick Setup'!$E12)</f>
        <v>460</v>
      </c>
      <c r="X6" s="39" t="s">
        <v>75</v>
      </c>
      <c r="Y6" s="40"/>
      <c r="Z6" s="41"/>
      <c r="AA6" s="41"/>
      <c r="AB6" s="41"/>
      <c r="AC6" s="41"/>
      <c r="AD6" s="38">
        <f>if(AF6="", if(AA7&lt;&gt;"", if((AA7-Y7)&lt;-1,W6*(1+Setup!AP10),if((AA7-Y7)&lt;0,W6*(1+Setup!AQ10),if((AA7-Y7)=0,W6*(1+Setup!AR10),if((AA7-Y7)=1,W6*(1+Setup!AS10),if((AA7-Y7)=2,W6*(1+Setup!AT10),if((AA7-Y7)=3,W6*(1+Setup!AU10),if((AA7-Y7)=4,W6*(1+Setup!AV10),if((AA7-Y7)&gt;4,W6*(1+Setup!AW10),W6)))))))),W6),AF6/'Quick Setup'!$E12)</f>
        <v>460</v>
      </c>
      <c r="AE6" s="39" t="s">
        <v>75</v>
      </c>
      <c r="AF6" s="40"/>
      <c r="AG6" s="41"/>
      <c r="AH6" s="41"/>
      <c r="AI6" s="41"/>
      <c r="AJ6" s="41"/>
      <c r="AK6" s="38">
        <f>if(AM6="", if(AH7&lt;&gt;"", if((AH7-AF7)&lt;-1,AD6*(1+Setup!BB10),if((AH7-AF7)&lt;0,AD6*(1+Setup!BC10),if((AH7-AF7)=0,AD6*(1+Setup!BD10),if((AH7-AF7)=1,AD6*(1+Setup!BE10),if((AH7-AF7)=2,AD6*(1+Setup!BF10),if((AH7-AF7)=3,AD6*(1+Setup!BG10),if((AH7-AF7)=4,AD6*(1+Setup!BH10),if((AH7-AF7)&gt;4,AD6*(1+Setup!BI10),AD6)))))))),AD6),AM6/'Quick Setup'!$E12)</f>
        <v>460</v>
      </c>
      <c r="AL6" s="39" t="s">
        <v>75</v>
      </c>
      <c r="AM6" s="40"/>
      <c r="AN6" s="41"/>
      <c r="AO6" s="41"/>
      <c r="AP6" s="41"/>
      <c r="AQ6" s="41"/>
      <c r="AR6" s="38">
        <f>if(AT6="", if(AO7&lt;&gt;"", if((AO7-AM7)&lt;-1,AK6*(1+Setup!BN10),if((AO7-AM7)&lt;0,AK6*(1+Setup!BO10),if((AO7-AM7)=0,AK6*(1+Setup!BP10),if((AO7-AM7)=1,AK6*(1+Setup!BQ10),if((AO7-AM7)=2,AK6*(1+Setup!BR10),if((AO7-AM7)=3,AK6*(1+Setup!BS10),if((AO7-AM7)=4,AK6*(1+Setup!BT10),if((AO7-AM7)&gt;4,AK6*(1+Setup!BU10),AK6)))))))),AK6),AT6/'Quick Setup'!$E12)</f>
        <v>460</v>
      </c>
      <c r="AS6" s="39" t="s">
        <v>75</v>
      </c>
      <c r="AT6" s="40"/>
      <c r="AU6" s="41"/>
      <c r="AV6" s="41"/>
      <c r="AW6" s="41"/>
      <c r="AX6" s="41"/>
      <c r="AY6" s="38">
        <f>if(BA6="",AR6,BA6/'Quick Setup'!$E12)</f>
        <v>460</v>
      </c>
      <c r="AZ6" s="39" t="s">
        <v>75</v>
      </c>
      <c r="BA6" s="40"/>
      <c r="BB6" s="41"/>
      <c r="BC6" s="41"/>
      <c r="BD6" s="41"/>
      <c r="BE6" s="41"/>
      <c r="BF6" s="38">
        <f>if(BH6="", if(BC7&lt;&gt;"", if((BC7-BA7)&lt;-1,AY6*(1+Setup!CL10),if((BC7-BA7)&lt;0,AY6*(1+Setup!CM10),if((BC7-BA7)=0,AY6*(1+Setup!CN10),if((BC7-BA7)=1,AY6*(1+Setup!CO10),if((BC7-BA7)=2,AY6*(1+Setup!CP10),if((BC7-BA7)=3,AY6*(1+Setup!CQ10),if((BC7-BA7)=4,AY6*(1+Setup!CR10),if((BC7-BA7)&gt;4,AY6*(1+Setup!CS10),AY6)))))))),AY6),BH6/'Quick Setup'!$E12)</f>
        <v>460</v>
      </c>
      <c r="BG6" s="39" t="s">
        <v>75</v>
      </c>
      <c r="BH6" s="40"/>
      <c r="BI6" s="41"/>
      <c r="BJ6" s="41"/>
      <c r="BK6" s="41"/>
      <c r="BL6" s="41"/>
      <c r="BM6" s="38">
        <f>if(BO6="", if(BJ7&lt;&gt;"", if((BJ7-BH7)&lt;-1,BF6*(1+Setup!CX10),if((BJ7-BH7)&lt;0,BF6*(1+Setup!CY10),if((BJ7-BH7)=0,BF6*(1+Setup!CZ10),if((BJ7-BH7)=1,BF6*(1+Setup!DA10),if((BJ7-BH7)=2,BF6*(1+Setup!DB10),if((BJ7-BH7)=3,BF6*(1+Setup!DC10),if((BJ7-BH7)=4,BF6*(1+Setup!DD10),if((BJ7-BH7)&gt;4,BF6*(1+Setup!DE10),BF6)))))))),BF6),BO6/'Quick Setup'!$E12)</f>
        <v>460</v>
      </c>
      <c r="BN6" s="39" t="s">
        <v>75</v>
      </c>
      <c r="BO6" s="40"/>
      <c r="BP6" s="41"/>
      <c r="BQ6" s="41"/>
      <c r="BR6" s="41"/>
      <c r="BS6" s="41"/>
      <c r="BT6" s="38">
        <f>if(BV6="", if(BQ7&lt;&gt;"", if((BQ7-BO7)&lt;-1,BM6*(1+Setup!DJ10),if((BQ7-BO7)&lt;0,BM6*(1+Setup!DK10),if((BQ7-BO7)=0,BM6*(1+Setup!DL10),if((BQ7-BO7)=1,BM6*(1+Setup!DM10),if((BQ7-BO7)=2,BM6*(1+Setup!DN10),if((BQ7-BO7)=3,BM6*(1+Setup!DO10),if((BQ7-BO7)=4,BM6*(1+Setup!DP10),if((BQ7-BO7)&gt;4,BM6*(1+Setup!DQ10),BM6)))))))),BM6),BV6/'Quick Setup'!$E12)</f>
        <v>460</v>
      </c>
      <c r="BU6" s="39" t="s">
        <v>75</v>
      </c>
      <c r="BV6" s="40"/>
      <c r="BW6" s="41"/>
      <c r="BX6" s="41"/>
      <c r="BY6" s="41"/>
      <c r="BZ6" s="41"/>
      <c r="CA6" s="38">
        <f>if(CC6="", if(BX7&lt;&gt;"", if((BX7-BV7)&lt;-1,BT6*(1+Setup!DV10),if((BX7-BV7)&lt;0,BT6*(1+Setup!DW10),if((BX7-BV7)=0,BT6*(1+Setup!DX10),if((BX7-BV7)=1,BT6*(1+Setup!DY10),if((BX7-BV7)=2,BT6*(1+Setup!DZ10),if((BX7-BV7)=3,BT6*(1+Setup!EA10),if((BX7-BV7)=4,BT6*(1+Setup!EB10),if((BX7-BV7)&gt;4,BT6*(1+Setup!EC10),BT6)))))))),BT6),CC6/'Quick Setup'!$E12)</f>
        <v>460</v>
      </c>
      <c r="CB6" s="39" t="s">
        <v>75</v>
      </c>
      <c r="CC6" s="40"/>
      <c r="CD6" s="41"/>
      <c r="CE6" s="41"/>
      <c r="CF6" s="41"/>
      <c r="CG6" s="41"/>
      <c r="CH6" s="38">
        <f>if(CJ6="", if(CE7&lt;&gt;"", if((CE7-CC7)&lt;-1,CA6*(1+Setup!EH10),if((CE7-CC7)&lt;0,CA6*(1+Setup!EI10),if((CE7-CC7)=0,CA6*(1+Setup!EJ10),if((CE7-CC7)=1,CA6*(1+Setup!EK10),if((CE7-CC7)=2,CA6*(1+Setup!EL10),if((CE7-CC7)=3,CA6*(1+Setup!EM10),if((CE7-CC7)=4,CA6*(1+Setup!EN10),if((CE7-CC7)&gt;4,CA6*(1+Setup!EO10),CA6)))))))),CA6),CJ6/'Quick Setup'!$E12)</f>
        <v>460</v>
      </c>
      <c r="CI6" s="39" t="s">
        <v>75</v>
      </c>
      <c r="CJ6" s="40"/>
      <c r="CK6" s="41"/>
      <c r="CL6" s="41"/>
      <c r="CM6" s="41"/>
      <c r="CN6" s="41"/>
      <c r="CO6" s="38">
        <f>if(CQ6="", if(CL7&lt;&gt;"", if((CL7-CJ7)&lt;-1,CH6*(1+Setup!ET10),if((CL7-CJ7)&lt;0,CH6*(1+Setup!EU10),if((CL7-CJ7)=0,CH6*(1+Setup!EV10),if((CL7-CJ7)=1,CH6*(1+Setup!EW10),if((CL7-CJ7)=2,CH6*(1+Setup!EX10),if((CL7-CJ7)=3,CH6*(1+Setup!EY10),if((CL7-CJ7)=4,CH6*(1+Setup!EZ10),if((CL7-CJ7)&gt;4,CH6*(1+Setup!FA10),CH6)))))))),CH6),CQ6/'Quick Setup'!$E12)</f>
        <v>460</v>
      </c>
      <c r="CP6" s="39" t="s">
        <v>75</v>
      </c>
      <c r="CQ6" s="40"/>
      <c r="CR6" s="41"/>
      <c r="CS6" s="41"/>
      <c r="CT6" s="41"/>
      <c r="CU6" s="41"/>
      <c r="CV6" s="38">
        <f>if(CX6="",CO6,CX6/'Quick Setup'!$E12)</f>
        <v>460</v>
      </c>
      <c r="CW6" s="39" t="s">
        <v>75</v>
      </c>
      <c r="CX6" s="40"/>
      <c r="CY6" s="41"/>
      <c r="CZ6" s="41"/>
      <c r="DA6" s="41"/>
      <c r="DB6" s="41"/>
      <c r="DC6" s="38">
        <f>if(DE6="", if(CZ7&lt;&gt;"", if((CZ7-CX7)&lt;-1,CV6*(1+Setup!FR10),if((CZ7-CX7)&lt;0,CV6*(1+Setup!FS10),if((CZ7-CX7)=0,CV6*(1+Setup!FT10),if((CZ7-CX7)=1,CV6*(1+Setup!FU10),if((CZ7-CX7)=2,CV6*(1+Setup!FV10),if((CZ7-CX7)=3,CV6*(1+Setup!FW10),if((CZ7-CX7)=4,CV6*(1+Setup!FX10),if((CZ7-CX7)&gt;4,CV6*(1+Setup!FY10),CV6)))))))),CV6),DE6/'Quick Setup'!$E12)</f>
        <v>460</v>
      </c>
      <c r="DD6" s="39" t="s">
        <v>75</v>
      </c>
      <c r="DE6" s="40"/>
      <c r="DF6" s="41"/>
      <c r="DG6" s="41"/>
      <c r="DH6" s="41"/>
      <c r="DI6" s="41"/>
      <c r="DJ6" s="38">
        <f>if(DL6="", if(DG7&lt;&gt;"", if((DG7-DE7)&lt;-1,DC6*(1+Setup!GD10),if((DG7-DE7)&lt;0,DC6*(1+Setup!GE10),if((DG7-DE7)=0,DC6*(1+Setup!GF10),if((DG7-DE7)=1,DC6*(1+Setup!GG10),if((DG7-DE7)=2,DC6*(1+Setup!GH10),if((DG7-DE7)=3,DC6*(1+Setup!GI10),if((DG7-DE7)=4,DC6*(1+Setup!GJ10),if((DG7-DE7)&gt;4,DC6*(1+Setup!GK10),DC6)))))))),DC6),DL6/'Quick Setup'!$E12)</f>
        <v>460</v>
      </c>
      <c r="DK6" s="39" t="s">
        <v>75</v>
      </c>
      <c r="DL6" s="40"/>
      <c r="DM6" s="41"/>
      <c r="DN6" s="41"/>
      <c r="DO6" s="41"/>
      <c r="DP6" s="41"/>
      <c r="DQ6" s="38">
        <f>if(DS6="", if(DN7&lt;&gt;"", if((DN7-DL7)&lt;-1,DJ6*(1+Setup!GP10),if((DN7-DL7)&lt;0,DJ6*(1+Setup!GQ10),if((DN7-DL7)=0,DJ6*(1+Setup!GR10),if((DN7-DL7)=1,DJ6*(1+Setup!GS10),if((DN7-DL7)=2,DJ6*(1+Setup!GT10),if((DN7-DL7)=3,DJ6*(1+Setup!GU10),if((DN7-DL7)=4,DJ6*(1+Setup!GV10),if((DN7-DL7)&gt;4,DJ6*(1+Setup!GW10),DJ6)))))))),DJ6),DS6/'Quick Setup'!$E12)</f>
        <v>460</v>
      </c>
      <c r="DR6" s="39" t="s">
        <v>75</v>
      </c>
      <c r="DS6" s="40"/>
      <c r="DT6" s="41"/>
      <c r="DU6" s="41"/>
      <c r="DV6" s="41"/>
      <c r="DW6" s="41"/>
      <c r="DX6" s="38">
        <f>if(DZ6="", if(DU7&lt;&gt;"", if((DU7-DS7)&lt;-1,DQ6*(1+Setup!HB10),if((DU7-DS7)&lt;0,DQ6*(1+Setup!HC10),if((DU7-DS7)=0,DQ6*(1+Setup!HD10),if((DU7-DS7)=1,DQ6*(1+Setup!HE10),if((DU7-DS7)=2,DQ6*(1+Setup!HF10),if((DU7-DS7)=3,DQ6*(1+Setup!HG10),if((DU7-DS7)=4,DQ6*(1+Setup!HH10),if((DU7-DS7)&gt;4,DQ6*(1+Setup!HI10),DQ6)))))))),DQ6),DZ6/'Quick Setup'!$E12)</f>
        <v>460</v>
      </c>
      <c r="DY6" s="39" t="s">
        <v>75</v>
      </c>
      <c r="DZ6" s="40"/>
      <c r="EA6" s="41"/>
      <c r="EB6" s="41"/>
      <c r="EC6" s="41"/>
      <c r="ED6" s="41"/>
      <c r="EE6" s="38">
        <f>if(EG6="", if(EB7&lt;&gt;"", if((EB7-DZ7)&lt;-1,DX6*(1+Setup!HN10),if((EB7-DZ7)&lt;0,DX6*(1+Setup!HO10),if((EB7-DZ7)=0,DX6*(1+Setup!HP10),if((EB7-DZ7)=1,DX6*(1+Setup!HQ10),if((EB7-DZ7)=2,DX6*(1+Setup!HR10),if((EB7-DZ7)=3,DX6*(1+Setup!HS10),if((EB7-DZ7)=4,DX6*(1+Setup!HT10),if((EB7-DZ7)&gt;4,DX6*(1+Setup!HU10),DX6)))))))),DX6),EG6/'Quick Setup'!$E12)</f>
        <v>460</v>
      </c>
      <c r="EF6" s="39" t="s">
        <v>75</v>
      </c>
      <c r="EG6" s="40"/>
      <c r="EH6" s="41"/>
      <c r="EI6" s="41"/>
      <c r="EJ6" s="41"/>
      <c r="EK6" s="41"/>
      <c r="EL6" s="38">
        <f>if(EN6="", if(EI7&lt;&gt;"", if((EI7-EG7)&lt;-1,EE6*(1+Setup!HZ10),if((EI7-EG7)&lt;0,EE6*(1+Setup!IA10),if((EI7-EG7)=0,EE6*(1+Setup!IB10),if((EI7-EG7)=1,EE6*(1+Setup!IC10),if((EI7-EG7)=2,EE6*(1+Setup!ID10),if((EI7-EG7)=3,EE6*(1+Setup!IE10),if((EI7-EG7)=4,EE6*(1+Setup!IF10),if((EI7-EG7)&gt;4,EE6*(1+Setup!IG10),EE6)))))))),EE6),EN6/'Quick Setup'!$E12)</f>
        <v>460</v>
      </c>
      <c r="EM6" s="39" t="s">
        <v>75</v>
      </c>
      <c r="EN6" s="40"/>
      <c r="EO6" s="41"/>
      <c r="EP6" s="41"/>
      <c r="EQ6" s="41"/>
      <c r="ER6" s="41"/>
    </row>
    <row r="7">
      <c r="A7" s="1" t="str">
        <f>Setup!A10</f>
        <v>Paused Squat</v>
      </c>
      <c r="B7" s="42">
        <f>mround(B6*Setup!B10,'Quick Setup'!$A$2)</f>
        <v>275</v>
      </c>
      <c r="C7" s="3">
        <f>Setup!C10</f>
        <v>7</v>
      </c>
      <c r="D7" s="3">
        <f>Setup!D10</f>
        <v>14</v>
      </c>
      <c r="E7" s="3">
        <f>Setup!E10</f>
        <v>5</v>
      </c>
      <c r="F7" s="10"/>
      <c r="G7" s="10"/>
      <c r="H7" s="10"/>
      <c r="I7" s="42">
        <f>mround(I6*Setup!N10,'Quick Setup'!$A$2)</f>
        <v>300</v>
      </c>
      <c r="J7" s="3">
        <f>Setup!O10</f>
        <v>6</v>
      </c>
      <c r="K7" s="3">
        <f>Setup!P10</f>
        <v>12</v>
      </c>
      <c r="L7" s="3">
        <f>Setup!Q10</f>
        <v>5</v>
      </c>
      <c r="M7" s="10"/>
      <c r="N7" s="10"/>
      <c r="O7" s="10"/>
      <c r="P7" s="42">
        <f>mround(P6*Setup!Z10,'Quick Setup'!$A$2)</f>
        <v>322.5</v>
      </c>
      <c r="Q7" s="3">
        <f>Setup!AA10</f>
        <v>5</v>
      </c>
      <c r="R7" s="3">
        <f>Setup!AB10</f>
        <v>10</v>
      </c>
      <c r="S7" s="3">
        <f>Setup!AC10</f>
        <v>5</v>
      </c>
      <c r="T7" s="10"/>
      <c r="U7" s="10"/>
      <c r="V7" s="10"/>
      <c r="W7" s="42">
        <f>mround(W6*Setup!AL10,'Quick Setup'!$A$2)</f>
        <v>287.5</v>
      </c>
      <c r="X7" s="3">
        <f>Setup!AM10</f>
        <v>7</v>
      </c>
      <c r="Y7" s="3">
        <f>Setup!AN10</f>
        <v>13</v>
      </c>
      <c r="Z7" s="3">
        <f>Setup!AO10</f>
        <v>5</v>
      </c>
      <c r="AA7" s="10"/>
      <c r="AB7" s="10"/>
      <c r="AC7" s="10"/>
      <c r="AD7" s="42">
        <f>mround(AD6*Setup!AX10,'Quick Setup'!$A$2)</f>
        <v>310</v>
      </c>
      <c r="AE7" s="3">
        <f>Setup!AY10</f>
        <v>6</v>
      </c>
      <c r="AF7" s="3">
        <f>Setup!AZ10</f>
        <v>11</v>
      </c>
      <c r="AG7" s="3">
        <f>Setup!BA10</f>
        <v>5</v>
      </c>
      <c r="AH7" s="10"/>
      <c r="AI7" s="10"/>
      <c r="AJ7" s="10"/>
      <c r="AK7" s="42">
        <f>mround(AK6*Setup!BJ10,'Quick Setup'!$A$2)</f>
        <v>332.5</v>
      </c>
      <c r="AL7" s="3">
        <f>Setup!BK10</f>
        <v>5</v>
      </c>
      <c r="AM7" s="3">
        <f>Setup!BL10</f>
        <v>9</v>
      </c>
      <c r="AN7" s="3">
        <f>Setup!BM10</f>
        <v>5</v>
      </c>
      <c r="AO7" s="10"/>
      <c r="AP7" s="10"/>
      <c r="AQ7" s="10"/>
      <c r="AR7" s="42">
        <f>mround(AR6*Setup!BV10,'Quick Setup'!$A$2)</f>
        <v>230</v>
      </c>
      <c r="AS7" s="1">
        <v>5.0</v>
      </c>
      <c r="AT7" s="1" t="s">
        <v>78</v>
      </c>
      <c r="AU7" s="3">
        <f>Setup!BY10</f>
        <v>5</v>
      </c>
      <c r="AV7" s="10"/>
      <c r="AW7" s="10"/>
      <c r="AX7" s="10"/>
      <c r="AY7" s="42">
        <f>mround(AY6*Setup!CH10,'Quick Setup'!$A$2)</f>
        <v>300</v>
      </c>
      <c r="AZ7" s="3">
        <f>Setup!CI10</f>
        <v>6</v>
      </c>
      <c r="BA7" s="3">
        <f>Setup!CJ10</f>
        <v>12</v>
      </c>
      <c r="BB7" s="3">
        <f>Setup!CK10</f>
        <v>5</v>
      </c>
      <c r="BC7" s="10"/>
      <c r="BD7" s="10"/>
      <c r="BE7" s="10"/>
      <c r="BF7" s="42">
        <f>mround(BF6*Setup!CT10,'Quick Setup'!$A$2)</f>
        <v>322.5</v>
      </c>
      <c r="BG7" s="3">
        <f>Setup!CU10</f>
        <v>5</v>
      </c>
      <c r="BH7" s="3">
        <f>Setup!CV10</f>
        <v>10</v>
      </c>
      <c r="BI7" s="3">
        <f>Setup!CW10</f>
        <v>5</v>
      </c>
      <c r="BJ7" s="10"/>
      <c r="BK7" s="10"/>
      <c r="BL7" s="10"/>
      <c r="BM7" s="42">
        <f>mround(BM6*Setup!DF10,'Quick Setup'!$A$2)</f>
        <v>345</v>
      </c>
      <c r="BN7" s="3">
        <f>Setup!DG10</f>
        <v>4</v>
      </c>
      <c r="BO7" s="3">
        <f>Setup!DH10</f>
        <v>8</v>
      </c>
      <c r="BP7" s="3">
        <f>Setup!DI10</f>
        <v>5</v>
      </c>
      <c r="BQ7" s="10"/>
      <c r="BR7" s="10"/>
      <c r="BS7" s="10"/>
      <c r="BT7" s="42">
        <f>mround(BT6*Setup!DR10,'Quick Setup'!$A$2)</f>
        <v>310</v>
      </c>
      <c r="BU7" s="3">
        <f>Setup!DS10</f>
        <v>6</v>
      </c>
      <c r="BV7" s="3">
        <f>Setup!DT10</f>
        <v>11</v>
      </c>
      <c r="BW7" s="3">
        <f>Setup!DU10</f>
        <v>5</v>
      </c>
      <c r="BX7" s="10"/>
      <c r="BY7" s="10"/>
      <c r="BZ7" s="10"/>
      <c r="CA7" s="42">
        <f>mround(CA6*Setup!ED10,'Quick Setup'!$A$2)</f>
        <v>332.5</v>
      </c>
      <c r="CB7" s="3">
        <f>Setup!EE10</f>
        <v>5</v>
      </c>
      <c r="CC7" s="3">
        <f>Setup!EF10</f>
        <v>9</v>
      </c>
      <c r="CD7" s="3">
        <f>Setup!EG10</f>
        <v>5</v>
      </c>
      <c r="CE7" s="10"/>
      <c r="CF7" s="10"/>
      <c r="CG7" s="10"/>
      <c r="CH7" s="42">
        <f>mround(CH6*Setup!EP10,'Quick Setup'!$A$2)</f>
        <v>357.5</v>
      </c>
      <c r="CI7" s="3">
        <f>Setup!EQ10</f>
        <v>4</v>
      </c>
      <c r="CJ7" s="3">
        <f>Setup!ER10</f>
        <v>7</v>
      </c>
      <c r="CK7" s="3">
        <f>Setup!ES10</f>
        <v>5</v>
      </c>
      <c r="CL7" s="10"/>
      <c r="CM7" s="10"/>
      <c r="CN7" s="10"/>
      <c r="CO7" s="42">
        <f>mround(CO6*Setup!FB10,'Quick Setup'!$A$2)</f>
        <v>230</v>
      </c>
      <c r="CP7" s="1">
        <v>5.0</v>
      </c>
      <c r="CQ7" s="1" t="s">
        <v>78</v>
      </c>
      <c r="CR7" s="3">
        <f>Setup!FE10</f>
        <v>5</v>
      </c>
      <c r="CS7" s="10"/>
      <c r="CT7" s="10"/>
      <c r="CU7" s="10"/>
      <c r="CV7" s="42">
        <f>mround(CV6*Setup!FN10,'Quick Setup'!$A$2)</f>
        <v>322.5</v>
      </c>
      <c r="CW7" s="3">
        <f>Setup!FO10</f>
        <v>5</v>
      </c>
      <c r="CX7" s="3">
        <f>Setup!FP10</f>
        <v>10</v>
      </c>
      <c r="CY7" s="3">
        <f>Setup!FQ10</f>
        <v>5</v>
      </c>
      <c r="CZ7" s="10"/>
      <c r="DA7" s="10"/>
      <c r="DB7" s="10"/>
      <c r="DC7" s="42">
        <f>mround(DC6*Setup!FZ10,'Quick Setup'!$A$2)</f>
        <v>345</v>
      </c>
      <c r="DD7" s="3">
        <f>Setup!GA10</f>
        <v>4</v>
      </c>
      <c r="DE7" s="3">
        <f>Setup!GB10</f>
        <v>8</v>
      </c>
      <c r="DF7" s="3">
        <f>Setup!GC10</f>
        <v>5</v>
      </c>
      <c r="DG7" s="10"/>
      <c r="DH7" s="10"/>
      <c r="DI7" s="10"/>
      <c r="DJ7" s="42">
        <f>mround(DJ6*Setup!GL10,'Quick Setup'!$A$2)</f>
        <v>367.5</v>
      </c>
      <c r="DK7" s="3">
        <f>Setup!GM10</f>
        <v>3</v>
      </c>
      <c r="DL7" s="3">
        <f>Setup!GN10</f>
        <v>6</v>
      </c>
      <c r="DM7" s="3">
        <f>Setup!GO10</f>
        <v>5</v>
      </c>
      <c r="DN7" s="10"/>
      <c r="DO7" s="10"/>
      <c r="DP7" s="10"/>
      <c r="DQ7" s="42">
        <f>mround(DQ6*Setup!GX10,'Quick Setup'!$A$2)</f>
        <v>345</v>
      </c>
      <c r="DR7" s="3">
        <f>Setup!GY10</f>
        <v>4</v>
      </c>
      <c r="DS7" s="3">
        <f>Setup!GZ10</f>
        <v>8</v>
      </c>
      <c r="DT7" s="3">
        <f>Setup!HA10</f>
        <v>5</v>
      </c>
      <c r="DU7" s="10"/>
      <c r="DV7" s="10"/>
      <c r="DW7" s="10"/>
      <c r="DX7" s="42">
        <f>mround(DX6*Setup!HJ10,'Quick Setup'!$A$2)</f>
        <v>367.5</v>
      </c>
      <c r="DY7" s="3">
        <f>Setup!HK10</f>
        <v>3</v>
      </c>
      <c r="DZ7" s="3">
        <f>Setup!HL10</f>
        <v>6</v>
      </c>
      <c r="EA7" s="3">
        <f>Setup!HM10</f>
        <v>5</v>
      </c>
      <c r="EB7" s="10"/>
      <c r="EC7" s="10"/>
      <c r="ED7" s="10"/>
      <c r="EE7" s="42">
        <f>mround(EE6*Setup!HV10,'Quick Setup'!$A$2)</f>
        <v>390</v>
      </c>
      <c r="EF7" s="3">
        <f>Setup!HW10</f>
        <v>2</v>
      </c>
      <c r="EG7" s="3">
        <f>Setup!HX10</f>
        <v>4</v>
      </c>
      <c r="EH7" s="3">
        <f>Setup!HY10</f>
        <v>5</v>
      </c>
      <c r="EI7" s="10"/>
      <c r="EJ7" s="10"/>
      <c r="EK7" s="10"/>
      <c r="EL7" s="42">
        <f>mround(EL6*Setup!IH10,'Quick Setup'!$A$2)</f>
        <v>230</v>
      </c>
      <c r="EM7" s="1">
        <v>5.0</v>
      </c>
      <c r="EN7" s="1" t="s">
        <v>78</v>
      </c>
      <c r="EO7" s="3">
        <f>Setup!IK10</f>
        <v>5</v>
      </c>
      <c r="EP7" s="10"/>
      <c r="EQ7" s="10"/>
      <c r="ER7" s="10"/>
    </row>
    <row r="8">
      <c r="A8" s="5"/>
      <c r="B8" s="43"/>
      <c r="C8" s="10"/>
      <c r="D8" s="10"/>
      <c r="E8" s="10"/>
      <c r="F8" s="10"/>
      <c r="G8" s="10"/>
      <c r="H8" s="10"/>
      <c r="I8" s="43" t="str">
        <f t="shared" ref="I8:M8" si="1">B8</f>
        <v/>
      </c>
      <c r="J8" s="10" t="str">
        <f t="shared" si="1"/>
        <v/>
      </c>
      <c r="K8" s="10" t="str">
        <f t="shared" si="1"/>
        <v/>
      </c>
      <c r="L8" s="10" t="str">
        <f t="shared" si="1"/>
        <v/>
      </c>
      <c r="M8" s="10" t="str">
        <f t="shared" si="1"/>
        <v/>
      </c>
      <c r="N8" s="10"/>
      <c r="O8" s="10"/>
      <c r="P8" s="43" t="str">
        <f t="shared" ref="P8:T8" si="2">I8</f>
        <v/>
      </c>
      <c r="Q8" s="10" t="str">
        <f t="shared" si="2"/>
        <v/>
      </c>
      <c r="R8" s="10" t="str">
        <f t="shared" si="2"/>
        <v/>
      </c>
      <c r="S8" s="10" t="str">
        <f t="shared" si="2"/>
        <v/>
      </c>
      <c r="T8" s="10" t="str">
        <f t="shared" si="2"/>
        <v/>
      </c>
      <c r="U8" s="10"/>
      <c r="V8" s="10"/>
      <c r="W8" s="43" t="str">
        <f t="shared" ref="W8:AA8" si="3">P8</f>
        <v/>
      </c>
      <c r="X8" s="10" t="str">
        <f t="shared" si="3"/>
        <v/>
      </c>
      <c r="Y8" s="10" t="str">
        <f t="shared" si="3"/>
        <v/>
      </c>
      <c r="Z8" s="10" t="str">
        <f t="shared" si="3"/>
        <v/>
      </c>
      <c r="AA8" s="10" t="str">
        <f t="shared" si="3"/>
        <v/>
      </c>
      <c r="AB8" s="10"/>
      <c r="AC8" s="10"/>
      <c r="AD8" s="43" t="str">
        <f t="shared" ref="AD8:AH8" si="4">W8</f>
        <v/>
      </c>
      <c r="AE8" s="10" t="str">
        <f t="shared" si="4"/>
        <v/>
      </c>
      <c r="AF8" s="10" t="str">
        <f t="shared" si="4"/>
        <v/>
      </c>
      <c r="AG8" s="10" t="str">
        <f t="shared" si="4"/>
        <v/>
      </c>
      <c r="AH8" s="10" t="str">
        <f t="shared" si="4"/>
        <v/>
      </c>
      <c r="AI8" s="10"/>
      <c r="AJ8" s="10"/>
      <c r="AK8" s="43" t="str">
        <f t="shared" ref="AK8:AO8" si="5">AD8</f>
        <v/>
      </c>
      <c r="AL8" s="10" t="str">
        <f t="shared" si="5"/>
        <v/>
      </c>
      <c r="AM8" s="10" t="str">
        <f t="shared" si="5"/>
        <v/>
      </c>
      <c r="AN8" s="10" t="str">
        <f t="shared" si="5"/>
        <v/>
      </c>
      <c r="AO8" s="10" t="str">
        <f t="shared" si="5"/>
        <v/>
      </c>
      <c r="AP8" s="10"/>
      <c r="AQ8" s="10"/>
      <c r="AR8" s="43" t="str">
        <f t="shared" ref="AR8:AV8" si="6">AK8</f>
        <v/>
      </c>
      <c r="AS8" s="10" t="str">
        <f t="shared" si="6"/>
        <v/>
      </c>
      <c r="AT8" s="10" t="str">
        <f t="shared" si="6"/>
        <v/>
      </c>
      <c r="AU8" s="10" t="str">
        <f t="shared" si="6"/>
        <v/>
      </c>
      <c r="AV8" s="10" t="str">
        <f t="shared" si="6"/>
        <v/>
      </c>
      <c r="AW8" s="10"/>
      <c r="AX8" s="10"/>
      <c r="AY8" s="43" t="str">
        <f t="shared" ref="AY8:BC8" si="7">AR8</f>
        <v/>
      </c>
      <c r="AZ8" s="10" t="str">
        <f t="shared" si="7"/>
        <v/>
      </c>
      <c r="BA8" s="10" t="str">
        <f t="shared" si="7"/>
        <v/>
      </c>
      <c r="BB8" s="10" t="str">
        <f t="shared" si="7"/>
        <v/>
      </c>
      <c r="BC8" s="10" t="str">
        <f t="shared" si="7"/>
        <v/>
      </c>
      <c r="BD8" s="10"/>
      <c r="BE8" s="10"/>
      <c r="BF8" s="43" t="str">
        <f t="shared" ref="BF8:BJ8" si="8">AY8</f>
        <v/>
      </c>
      <c r="BG8" s="10" t="str">
        <f t="shared" si="8"/>
        <v/>
      </c>
      <c r="BH8" s="10" t="str">
        <f t="shared" si="8"/>
        <v/>
      </c>
      <c r="BI8" s="10" t="str">
        <f t="shared" si="8"/>
        <v/>
      </c>
      <c r="BJ8" s="10" t="str">
        <f t="shared" si="8"/>
        <v/>
      </c>
      <c r="BK8" s="10"/>
      <c r="BL8" s="10"/>
      <c r="BM8" s="43" t="str">
        <f t="shared" ref="BM8:BQ8" si="9">BF8</f>
        <v/>
      </c>
      <c r="BN8" s="10" t="str">
        <f t="shared" si="9"/>
        <v/>
      </c>
      <c r="BO8" s="10" t="str">
        <f t="shared" si="9"/>
        <v/>
      </c>
      <c r="BP8" s="10" t="str">
        <f t="shared" si="9"/>
        <v/>
      </c>
      <c r="BQ8" s="10" t="str">
        <f t="shared" si="9"/>
        <v/>
      </c>
      <c r="BR8" s="10"/>
      <c r="BS8" s="10"/>
      <c r="BT8" s="43" t="str">
        <f t="shared" ref="BT8:BX8" si="10">BM8</f>
        <v/>
      </c>
      <c r="BU8" s="10" t="str">
        <f t="shared" si="10"/>
        <v/>
      </c>
      <c r="BV8" s="10" t="str">
        <f t="shared" si="10"/>
        <v/>
      </c>
      <c r="BW8" s="10" t="str">
        <f t="shared" si="10"/>
        <v/>
      </c>
      <c r="BX8" s="10" t="str">
        <f t="shared" si="10"/>
        <v/>
      </c>
      <c r="BY8" s="10"/>
      <c r="BZ8" s="10"/>
      <c r="CA8" s="43" t="str">
        <f t="shared" ref="CA8:CE8" si="11">BT8</f>
        <v/>
      </c>
      <c r="CB8" s="10" t="str">
        <f t="shared" si="11"/>
        <v/>
      </c>
      <c r="CC8" s="10" t="str">
        <f t="shared" si="11"/>
        <v/>
      </c>
      <c r="CD8" s="10" t="str">
        <f t="shared" si="11"/>
        <v/>
      </c>
      <c r="CE8" s="10" t="str">
        <f t="shared" si="11"/>
        <v/>
      </c>
      <c r="CF8" s="10"/>
      <c r="CG8" s="10"/>
      <c r="CH8" s="43" t="str">
        <f t="shared" ref="CH8:CL8" si="12">CA8</f>
        <v/>
      </c>
      <c r="CI8" s="10" t="str">
        <f t="shared" si="12"/>
        <v/>
      </c>
      <c r="CJ8" s="10" t="str">
        <f t="shared" si="12"/>
        <v/>
      </c>
      <c r="CK8" s="10" t="str">
        <f t="shared" si="12"/>
        <v/>
      </c>
      <c r="CL8" s="10" t="str">
        <f t="shared" si="12"/>
        <v/>
      </c>
      <c r="CM8" s="10"/>
      <c r="CN8" s="10"/>
      <c r="CO8" s="43" t="str">
        <f t="shared" ref="CO8:CS8" si="13">CH8</f>
        <v/>
      </c>
      <c r="CP8" s="10" t="str">
        <f t="shared" si="13"/>
        <v/>
      </c>
      <c r="CQ8" s="10" t="str">
        <f t="shared" si="13"/>
        <v/>
      </c>
      <c r="CR8" s="10" t="str">
        <f t="shared" si="13"/>
        <v/>
      </c>
      <c r="CS8" s="10" t="str">
        <f t="shared" si="13"/>
        <v/>
      </c>
      <c r="CT8" s="10"/>
      <c r="CU8" s="10"/>
      <c r="CV8" s="43" t="str">
        <f t="shared" ref="CV8:CZ8" si="14">CO8</f>
        <v/>
      </c>
      <c r="CW8" s="10" t="str">
        <f t="shared" si="14"/>
        <v/>
      </c>
      <c r="CX8" s="10" t="str">
        <f t="shared" si="14"/>
        <v/>
      </c>
      <c r="CY8" s="10" t="str">
        <f t="shared" si="14"/>
        <v/>
      </c>
      <c r="CZ8" s="10" t="str">
        <f t="shared" si="14"/>
        <v/>
      </c>
      <c r="DA8" s="10"/>
      <c r="DB8" s="10"/>
      <c r="DC8" s="43" t="str">
        <f t="shared" ref="DC8:DG8" si="15">CV8</f>
        <v/>
      </c>
      <c r="DD8" s="10" t="str">
        <f t="shared" si="15"/>
        <v/>
      </c>
      <c r="DE8" s="10" t="str">
        <f t="shared" si="15"/>
        <v/>
      </c>
      <c r="DF8" s="10" t="str">
        <f t="shared" si="15"/>
        <v/>
      </c>
      <c r="DG8" s="10" t="str">
        <f t="shared" si="15"/>
        <v/>
      </c>
      <c r="DH8" s="10"/>
      <c r="DI8" s="10"/>
      <c r="DJ8" s="43" t="str">
        <f t="shared" ref="DJ8:DN8" si="16">DC8</f>
        <v/>
      </c>
      <c r="DK8" s="10" t="str">
        <f t="shared" si="16"/>
        <v/>
      </c>
      <c r="DL8" s="10" t="str">
        <f t="shared" si="16"/>
        <v/>
      </c>
      <c r="DM8" s="10" t="str">
        <f t="shared" si="16"/>
        <v/>
      </c>
      <c r="DN8" s="10" t="str">
        <f t="shared" si="16"/>
        <v/>
      </c>
      <c r="DO8" s="10"/>
      <c r="DP8" s="10"/>
      <c r="DQ8" s="43" t="str">
        <f t="shared" ref="DQ8:DU8" si="17">DJ8</f>
        <v/>
      </c>
      <c r="DR8" s="10" t="str">
        <f t="shared" si="17"/>
        <v/>
      </c>
      <c r="DS8" s="10" t="str">
        <f t="shared" si="17"/>
        <v/>
      </c>
      <c r="DT8" s="10" t="str">
        <f t="shared" si="17"/>
        <v/>
      </c>
      <c r="DU8" s="10" t="str">
        <f t="shared" si="17"/>
        <v/>
      </c>
      <c r="DV8" s="10"/>
      <c r="DW8" s="10"/>
      <c r="DX8" s="43" t="str">
        <f t="shared" ref="DX8:EB8" si="18">DQ8</f>
        <v/>
      </c>
      <c r="DY8" s="10" t="str">
        <f t="shared" si="18"/>
        <v/>
      </c>
      <c r="DZ8" s="10" t="str">
        <f t="shared" si="18"/>
        <v/>
      </c>
      <c r="EA8" s="10" t="str">
        <f t="shared" si="18"/>
        <v/>
      </c>
      <c r="EB8" s="10" t="str">
        <f t="shared" si="18"/>
        <v/>
      </c>
      <c r="EC8" s="10"/>
      <c r="ED8" s="10"/>
      <c r="EE8" s="43" t="str">
        <f t="shared" ref="EE8:EI8" si="19">DX8</f>
        <v/>
      </c>
      <c r="EF8" s="10" t="str">
        <f t="shared" si="19"/>
        <v/>
      </c>
      <c r="EG8" s="10" t="str">
        <f t="shared" si="19"/>
        <v/>
      </c>
      <c r="EH8" s="10" t="str">
        <f t="shared" si="19"/>
        <v/>
      </c>
      <c r="EI8" s="10" t="str">
        <f t="shared" si="19"/>
        <v/>
      </c>
      <c r="EJ8" s="10"/>
      <c r="EK8" s="10"/>
      <c r="EL8" s="43" t="str">
        <f t="shared" ref="EL8:EP8" si="20">EE8</f>
        <v/>
      </c>
      <c r="EM8" s="10" t="str">
        <f t="shared" si="20"/>
        <v/>
      </c>
      <c r="EN8" s="10" t="str">
        <f t="shared" si="20"/>
        <v/>
      </c>
      <c r="EO8" s="10" t="str">
        <f t="shared" si="20"/>
        <v/>
      </c>
      <c r="EP8" s="10" t="str">
        <f t="shared" si="20"/>
        <v/>
      </c>
      <c r="EQ8" s="10"/>
      <c r="ER8" s="10"/>
    </row>
    <row r="9">
      <c r="A9" s="1" t="s">
        <v>79</v>
      </c>
      <c r="B9" s="42"/>
      <c r="C9" s="3"/>
      <c r="D9" s="3"/>
      <c r="E9" s="3"/>
      <c r="F9" s="3"/>
      <c r="G9" s="3"/>
      <c r="H9" s="3"/>
      <c r="I9" s="42"/>
      <c r="J9" s="3"/>
      <c r="K9" s="3"/>
      <c r="L9" s="3"/>
      <c r="M9" s="3"/>
      <c r="N9" s="3"/>
      <c r="O9" s="3"/>
      <c r="P9" s="42"/>
      <c r="Q9" s="3"/>
      <c r="R9" s="3"/>
      <c r="S9" s="3"/>
      <c r="T9" s="3"/>
      <c r="U9" s="3"/>
      <c r="V9" s="3"/>
      <c r="W9" s="42"/>
      <c r="X9" s="3"/>
      <c r="Y9" s="3"/>
      <c r="Z9" s="3"/>
      <c r="AA9" s="3"/>
      <c r="AB9" s="3"/>
      <c r="AC9" s="3"/>
      <c r="AD9" s="42"/>
      <c r="AE9" s="3"/>
      <c r="AF9" s="3"/>
      <c r="AG9" s="3"/>
      <c r="AH9" s="3"/>
      <c r="AI9" s="3"/>
      <c r="AJ9" s="3"/>
      <c r="AK9" s="42"/>
      <c r="AL9" s="3"/>
      <c r="AM9" s="3"/>
      <c r="AN9" s="3"/>
      <c r="AO9" s="3"/>
      <c r="AP9" s="3"/>
      <c r="AQ9" s="3"/>
      <c r="AR9" s="42"/>
      <c r="AS9" s="3"/>
      <c r="AT9" s="3"/>
      <c r="AU9" s="3"/>
      <c r="AV9" s="3"/>
      <c r="AW9" s="3"/>
      <c r="AX9" s="3"/>
      <c r="AY9" s="42"/>
      <c r="AZ9" s="3"/>
      <c r="BA9" s="3"/>
      <c r="BB9" s="3"/>
      <c r="BC9" s="3"/>
      <c r="BD9" s="3"/>
      <c r="BE9" s="3"/>
      <c r="BF9" s="42"/>
      <c r="BG9" s="3"/>
      <c r="BH9" s="3"/>
      <c r="BI9" s="3"/>
      <c r="BJ9" s="3"/>
      <c r="BK9" s="3"/>
      <c r="BL9" s="3"/>
      <c r="BM9" s="42"/>
      <c r="BN9" s="3"/>
      <c r="BO9" s="3"/>
      <c r="BP9" s="3"/>
      <c r="BQ9" s="3"/>
      <c r="BR9" s="3"/>
      <c r="BS9" s="3"/>
      <c r="BT9" s="42"/>
      <c r="BU9" s="3"/>
      <c r="BV9" s="3"/>
      <c r="BW9" s="3"/>
      <c r="BX9" s="3"/>
      <c r="BY9" s="3"/>
      <c r="BZ9" s="3"/>
      <c r="CA9" s="42"/>
      <c r="CB9" s="3"/>
      <c r="CC9" s="3"/>
      <c r="CD9" s="3"/>
      <c r="CE9" s="3"/>
      <c r="CF9" s="3"/>
      <c r="CG9" s="3"/>
      <c r="CH9" s="42"/>
      <c r="CI9" s="3"/>
      <c r="CJ9" s="3"/>
      <c r="CK9" s="3"/>
      <c r="CL9" s="3"/>
      <c r="CM9" s="3"/>
      <c r="CN9" s="3"/>
      <c r="CO9" s="42"/>
      <c r="CP9" s="3"/>
      <c r="CQ9" s="3"/>
      <c r="CR9" s="3"/>
      <c r="CS9" s="3"/>
      <c r="CT9" s="3"/>
      <c r="CU9" s="3"/>
      <c r="CV9" s="42"/>
      <c r="CW9" s="3"/>
      <c r="CX9" s="3"/>
      <c r="CY9" s="3"/>
      <c r="CZ9" s="3"/>
      <c r="DA9" s="3"/>
      <c r="DB9" s="3"/>
      <c r="DC9" s="42"/>
      <c r="DD9" s="3"/>
      <c r="DE9" s="3"/>
      <c r="DF9" s="3"/>
      <c r="DG9" s="3"/>
      <c r="DH9" s="3"/>
      <c r="DI9" s="3"/>
      <c r="DJ9" s="42"/>
      <c r="DK9" s="3"/>
      <c r="DL9" s="3"/>
      <c r="DM9" s="3"/>
      <c r="DN9" s="3"/>
      <c r="DO9" s="3"/>
      <c r="DP9" s="3"/>
      <c r="DQ9" s="42"/>
      <c r="DR9" s="3"/>
      <c r="DS9" s="3"/>
      <c r="DT9" s="3"/>
      <c r="DU9" s="3"/>
      <c r="DV9" s="3"/>
      <c r="DW9" s="3"/>
      <c r="DX9" s="42"/>
      <c r="DY9" s="3"/>
      <c r="DZ9" s="3"/>
      <c r="EA9" s="3"/>
      <c r="EB9" s="3"/>
      <c r="EC9" s="3"/>
      <c r="ED9" s="3"/>
      <c r="EE9" s="42"/>
      <c r="EF9" s="3"/>
      <c r="EG9" s="3"/>
      <c r="EH9" s="3"/>
      <c r="EI9" s="3"/>
      <c r="EJ9" s="3"/>
      <c r="EK9" s="3"/>
      <c r="EL9" s="42"/>
      <c r="EM9" s="3"/>
      <c r="EN9" s="3"/>
      <c r="EO9" s="3"/>
      <c r="EP9" s="3"/>
      <c r="EQ9" s="3"/>
      <c r="ER9" s="3"/>
    </row>
    <row r="10">
      <c r="A10" s="44"/>
      <c r="B10" s="43"/>
      <c r="C10" s="10"/>
      <c r="D10" s="10"/>
      <c r="E10" s="10"/>
      <c r="F10" s="10"/>
      <c r="G10" s="10"/>
      <c r="H10" s="10"/>
      <c r="I10" s="43" t="str">
        <f t="shared" ref="I10:M10" si="21">B10</f>
        <v/>
      </c>
      <c r="J10" s="10" t="str">
        <f t="shared" si="21"/>
        <v/>
      </c>
      <c r="K10" s="10" t="str">
        <f t="shared" si="21"/>
        <v/>
      </c>
      <c r="L10" s="10" t="str">
        <f t="shared" si="21"/>
        <v/>
      </c>
      <c r="M10" s="10" t="str">
        <f t="shared" si="21"/>
        <v/>
      </c>
      <c r="N10" s="10"/>
      <c r="O10" s="10"/>
      <c r="P10" s="43" t="str">
        <f t="shared" ref="P10:T10" si="22">I10</f>
        <v/>
      </c>
      <c r="Q10" s="10" t="str">
        <f t="shared" si="22"/>
        <v/>
      </c>
      <c r="R10" s="10" t="str">
        <f t="shared" si="22"/>
        <v/>
      </c>
      <c r="S10" s="10" t="str">
        <f t="shared" si="22"/>
        <v/>
      </c>
      <c r="T10" s="10" t="str">
        <f t="shared" si="22"/>
        <v/>
      </c>
      <c r="U10" s="10"/>
      <c r="V10" s="10"/>
      <c r="W10" s="43" t="str">
        <f t="shared" ref="W10:AA10" si="23">P10</f>
        <v/>
      </c>
      <c r="X10" s="10" t="str">
        <f t="shared" si="23"/>
        <v/>
      </c>
      <c r="Y10" s="10" t="str">
        <f t="shared" si="23"/>
        <v/>
      </c>
      <c r="Z10" s="10" t="str">
        <f t="shared" si="23"/>
        <v/>
      </c>
      <c r="AA10" s="10" t="str">
        <f t="shared" si="23"/>
        <v/>
      </c>
      <c r="AB10" s="10"/>
      <c r="AC10" s="10"/>
      <c r="AD10" s="43" t="str">
        <f t="shared" ref="AD10:AH10" si="24">W10</f>
        <v/>
      </c>
      <c r="AE10" s="10" t="str">
        <f t="shared" si="24"/>
        <v/>
      </c>
      <c r="AF10" s="10" t="str">
        <f t="shared" si="24"/>
        <v/>
      </c>
      <c r="AG10" s="10" t="str">
        <f t="shared" si="24"/>
        <v/>
      </c>
      <c r="AH10" s="10" t="str">
        <f t="shared" si="24"/>
        <v/>
      </c>
      <c r="AI10" s="10"/>
      <c r="AJ10" s="10"/>
      <c r="AK10" s="43" t="str">
        <f t="shared" ref="AK10:AO10" si="25">AD10</f>
        <v/>
      </c>
      <c r="AL10" s="10" t="str">
        <f t="shared" si="25"/>
        <v/>
      </c>
      <c r="AM10" s="10" t="str">
        <f t="shared" si="25"/>
        <v/>
      </c>
      <c r="AN10" s="10" t="str">
        <f t="shared" si="25"/>
        <v/>
      </c>
      <c r="AO10" s="10" t="str">
        <f t="shared" si="25"/>
        <v/>
      </c>
      <c r="AP10" s="10"/>
      <c r="AQ10" s="10"/>
      <c r="AR10" s="43" t="str">
        <f t="shared" ref="AR10:AV10" si="26">AK10</f>
        <v/>
      </c>
      <c r="AS10" s="10" t="str">
        <f t="shared" si="26"/>
        <v/>
      </c>
      <c r="AT10" s="10" t="str">
        <f t="shared" si="26"/>
        <v/>
      </c>
      <c r="AU10" s="10" t="str">
        <f t="shared" si="26"/>
        <v/>
      </c>
      <c r="AV10" s="10" t="str">
        <f t="shared" si="26"/>
        <v/>
      </c>
      <c r="AW10" s="10"/>
      <c r="AX10" s="10"/>
      <c r="AY10" s="43" t="str">
        <f t="shared" ref="AY10:BC10" si="27">AR10</f>
        <v/>
      </c>
      <c r="AZ10" s="10" t="str">
        <f t="shared" si="27"/>
        <v/>
      </c>
      <c r="BA10" s="10" t="str">
        <f t="shared" si="27"/>
        <v/>
      </c>
      <c r="BB10" s="10" t="str">
        <f t="shared" si="27"/>
        <v/>
      </c>
      <c r="BC10" s="10" t="str">
        <f t="shared" si="27"/>
        <v/>
      </c>
      <c r="BD10" s="10"/>
      <c r="BE10" s="10"/>
      <c r="BF10" s="43" t="str">
        <f t="shared" ref="BF10:BJ10" si="28">AY10</f>
        <v/>
      </c>
      <c r="BG10" s="10" t="str">
        <f t="shared" si="28"/>
        <v/>
      </c>
      <c r="BH10" s="10" t="str">
        <f t="shared" si="28"/>
        <v/>
      </c>
      <c r="BI10" s="10" t="str">
        <f t="shared" si="28"/>
        <v/>
      </c>
      <c r="BJ10" s="10" t="str">
        <f t="shared" si="28"/>
        <v/>
      </c>
      <c r="BK10" s="10"/>
      <c r="BL10" s="10"/>
      <c r="BM10" s="43" t="str">
        <f t="shared" ref="BM10:BQ10" si="29">BF10</f>
        <v/>
      </c>
      <c r="BN10" s="10" t="str">
        <f t="shared" si="29"/>
        <v/>
      </c>
      <c r="BO10" s="10" t="str">
        <f t="shared" si="29"/>
        <v/>
      </c>
      <c r="BP10" s="10" t="str">
        <f t="shared" si="29"/>
        <v/>
      </c>
      <c r="BQ10" s="10" t="str">
        <f t="shared" si="29"/>
        <v/>
      </c>
      <c r="BR10" s="10"/>
      <c r="BS10" s="10"/>
      <c r="BT10" s="43" t="str">
        <f t="shared" ref="BT10:BX10" si="30">BM10</f>
        <v/>
      </c>
      <c r="BU10" s="10" t="str">
        <f t="shared" si="30"/>
        <v/>
      </c>
      <c r="BV10" s="10" t="str">
        <f t="shared" si="30"/>
        <v/>
      </c>
      <c r="BW10" s="10" t="str">
        <f t="shared" si="30"/>
        <v/>
      </c>
      <c r="BX10" s="10" t="str">
        <f t="shared" si="30"/>
        <v/>
      </c>
      <c r="BY10" s="10"/>
      <c r="BZ10" s="10"/>
      <c r="CA10" s="43" t="str">
        <f t="shared" ref="CA10:CE10" si="31">BT10</f>
        <v/>
      </c>
      <c r="CB10" s="10" t="str">
        <f t="shared" si="31"/>
        <v/>
      </c>
      <c r="CC10" s="10" t="str">
        <f t="shared" si="31"/>
        <v/>
      </c>
      <c r="CD10" s="10" t="str">
        <f t="shared" si="31"/>
        <v/>
      </c>
      <c r="CE10" s="10" t="str">
        <f t="shared" si="31"/>
        <v/>
      </c>
      <c r="CF10" s="10"/>
      <c r="CG10" s="10"/>
      <c r="CH10" s="43" t="str">
        <f t="shared" ref="CH10:CL10" si="32">CA10</f>
        <v/>
      </c>
      <c r="CI10" s="10" t="str">
        <f t="shared" si="32"/>
        <v/>
      </c>
      <c r="CJ10" s="10" t="str">
        <f t="shared" si="32"/>
        <v/>
      </c>
      <c r="CK10" s="10" t="str">
        <f t="shared" si="32"/>
        <v/>
      </c>
      <c r="CL10" s="10" t="str">
        <f t="shared" si="32"/>
        <v/>
      </c>
      <c r="CM10" s="10"/>
      <c r="CN10" s="10"/>
      <c r="CO10" s="43" t="str">
        <f t="shared" ref="CO10:CS10" si="33">CH10</f>
        <v/>
      </c>
      <c r="CP10" s="10" t="str">
        <f t="shared" si="33"/>
        <v/>
      </c>
      <c r="CQ10" s="10" t="str">
        <f t="shared" si="33"/>
        <v/>
      </c>
      <c r="CR10" s="10" t="str">
        <f t="shared" si="33"/>
        <v/>
      </c>
      <c r="CS10" s="10" t="str">
        <f t="shared" si="33"/>
        <v/>
      </c>
      <c r="CT10" s="10"/>
      <c r="CU10" s="10"/>
      <c r="CV10" s="43" t="str">
        <f t="shared" ref="CV10:CZ10" si="34">CO10</f>
        <v/>
      </c>
      <c r="CW10" s="10" t="str">
        <f t="shared" si="34"/>
        <v/>
      </c>
      <c r="CX10" s="10" t="str">
        <f t="shared" si="34"/>
        <v/>
      </c>
      <c r="CY10" s="10" t="str">
        <f t="shared" si="34"/>
        <v/>
      </c>
      <c r="CZ10" s="10" t="str">
        <f t="shared" si="34"/>
        <v/>
      </c>
      <c r="DA10" s="10"/>
      <c r="DB10" s="10"/>
      <c r="DC10" s="43" t="str">
        <f t="shared" ref="DC10:DG10" si="35">CV10</f>
        <v/>
      </c>
      <c r="DD10" s="10" t="str">
        <f t="shared" si="35"/>
        <v/>
      </c>
      <c r="DE10" s="10" t="str">
        <f t="shared" si="35"/>
        <v/>
      </c>
      <c r="DF10" s="10" t="str">
        <f t="shared" si="35"/>
        <v/>
      </c>
      <c r="DG10" s="10" t="str">
        <f t="shared" si="35"/>
        <v/>
      </c>
      <c r="DH10" s="10"/>
      <c r="DI10" s="10"/>
      <c r="DJ10" s="43" t="str">
        <f t="shared" ref="DJ10:DN10" si="36">DC10</f>
        <v/>
      </c>
      <c r="DK10" s="10" t="str">
        <f t="shared" si="36"/>
        <v/>
      </c>
      <c r="DL10" s="10" t="str">
        <f t="shared" si="36"/>
        <v/>
      </c>
      <c r="DM10" s="10" t="str">
        <f t="shared" si="36"/>
        <v/>
      </c>
      <c r="DN10" s="10" t="str">
        <f t="shared" si="36"/>
        <v/>
      </c>
      <c r="DO10" s="10"/>
      <c r="DP10" s="10"/>
      <c r="DQ10" s="43" t="str">
        <f t="shared" ref="DQ10:DU10" si="37">DJ10</f>
        <v/>
      </c>
      <c r="DR10" s="10" t="str">
        <f t="shared" si="37"/>
        <v/>
      </c>
      <c r="DS10" s="10" t="str">
        <f t="shared" si="37"/>
        <v/>
      </c>
      <c r="DT10" s="10" t="str">
        <f t="shared" si="37"/>
        <v/>
      </c>
      <c r="DU10" s="10" t="str">
        <f t="shared" si="37"/>
        <v/>
      </c>
      <c r="DV10" s="10"/>
      <c r="DW10" s="10"/>
      <c r="DX10" s="43" t="str">
        <f t="shared" ref="DX10:EB10" si="38">DQ10</f>
        <v/>
      </c>
      <c r="DY10" s="10" t="str">
        <f t="shared" si="38"/>
        <v/>
      </c>
      <c r="DZ10" s="10" t="str">
        <f t="shared" si="38"/>
        <v/>
      </c>
      <c r="EA10" s="10" t="str">
        <f t="shared" si="38"/>
        <v/>
      </c>
      <c r="EB10" s="10" t="str">
        <f t="shared" si="38"/>
        <v/>
      </c>
      <c r="EC10" s="10"/>
      <c r="ED10" s="10"/>
      <c r="EE10" s="43" t="str">
        <f t="shared" ref="EE10:EI10" si="39">DX10</f>
        <v/>
      </c>
      <c r="EF10" s="10" t="str">
        <f t="shared" si="39"/>
        <v/>
      </c>
      <c r="EG10" s="10" t="str">
        <f t="shared" si="39"/>
        <v/>
      </c>
      <c r="EH10" s="10" t="str">
        <f t="shared" si="39"/>
        <v/>
      </c>
      <c r="EI10" s="10" t="str">
        <f t="shared" si="39"/>
        <v/>
      </c>
      <c r="EJ10" s="10"/>
      <c r="EK10" s="10"/>
      <c r="EL10" s="43" t="str">
        <f t="shared" ref="EL10:EP10" si="40">EE10</f>
        <v/>
      </c>
      <c r="EM10" s="10" t="str">
        <f t="shared" si="40"/>
        <v/>
      </c>
      <c r="EN10" s="10" t="str">
        <f t="shared" si="40"/>
        <v/>
      </c>
      <c r="EO10" s="10" t="str">
        <f t="shared" si="40"/>
        <v/>
      </c>
      <c r="EP10" s="10" t="str">
        <f t="shared" si="40"/>
        <v/>
      </c>
      <c r="EQ10" s="10"/>
      <c r="ER10" s="10"/>
    </row>
    <row r="11">
      <c r="A11" s="44"/>
      <c r="B11" s="43"/>
      <c r="C11" s="10"/>
      <c r="D11" s="10"/>
      <c r="E11" s="10"/>
      <c r="F11" s="10"/>
      <c r="G11" s="10"/>
      <c r="H11" s="10"/>
      <c r="I11" s="43" t="str">
        <f t="shared" ref="I11:M11" si="41">B11</f>
        <v/>
      </c>
      <c r="J11" s="10" t="str">
        <f t="shared" si="41"/>
        <v/>
      </c>
      <c r="K11" s="10" t="str">
        <f t="shared" si="41"/>
        <v/>
      </c>
      <c r="L11" s="10" t="str">
        <f t="shared" si="41"/>
        <v/>
      </c>
      <c r="M11" s="10" t="str">
        <f t="shared" si="41"/>
        <v/>
      </c>
      <c r="N11" s="10"/>
      <c r="O11" s="10"/>
      <c r="P11" s="43" t="str">
        <f t="shared" ref="P11:T11" si="42">I11</f>
        <v/>
      </c>
      <c r="Q11" s="10" t="str">
        <f t="shared" si="42"/>
        <v/>
      </c>
      <c r="R11" s="10" t="str">
        <f t="shared" si="42"/>
        <v/>
      </c>
      <c r="S11" s="10" t="str">
        <f t="shared" si="42"/>
        <v/>
      </c>
      <c r="T11" s="10" t="str">
        <f t="shared" si="42"/>
        <v/>
      </c>
      <c r="U11" s="10"/>
      <c r="V11" s="10"/>
      <c r="W11" s="43" t="str">
        <f t="shared" ref="W11:AA11" si="43">P11</f>
        <v/>
      </c>
      <c r="X11" s="10" t="str">
        <f t="shared" si="43"/>
        <v/>
      </c>
      <c r="Y11" s="10" t="str">
        <f t="shared" si="43"/>
        <v/>
      </c>
      <c r="Z11" s="10" t="str">
        <f t="shared" si="43"/>
        <v/>
      </c>
      <c r="AA11" s="10" t="str">
        <f t="shared" si="43"/>
        <v/>
      </c>
      <c r="AB11" s="10"/>
      <c r="AC11" s="10"/>
      <c r="AD11" s="43" t="str">
        <f t="shared" ref="AD11:AH11" si="44">W11</f>
        <v/>
      </c>
      <c r="AE11" s="10" t="str">
        <f t="shared" si="44"/>
        <v/>
      </c>
      <c r="AF11" s="10" t="str">
        <f t="shared" si="44"/>
        <v/>
      </c>
      <c r="AG11" s="10" t="str">
        <f t="shared" si="44"/>
        <v/>
      </c>
      <c r="AH11" s="10" t="str">
        <f t="shared" si="44"/>
        <v/>
      </c>
      <c r="AI11" s="10"/>
      <c r="AJ11" s="10"/>
      <c r="AK11" s="43" t="str">
        <f t="shared" ref="AK11:AO11" si="45">AD11</f>
        <v/>
      </c>
      <c r="AL11" s="10" t="str">
        <f t="shared" si="45"/>
        <v/>
      </c>
      <c r="AM11" s="10" t="str">
        <f t="shared" si="45"/>
        <v/>
      </c>
      <c r="AN11" s="10" t="str">
        <f t="shared" si="45"/>
        <v/>
      </c>
      <c r="AO11" s="10" t="str">
        <f t="shared" si="45"/>
        <v/>
      </c>
      <c r="AP11" s="10"/>
      <c r="AQ11" s="10"/>
      <c r="AR11" s="43" t="str">
        <f t="shared" ref="AR11:AV11" si="46">AK11</f>
        <v/>
      </c>
      <c r="AS11" s="10" t="str">
        <f t="shared" si="46"/>
        <v/>
      </c>
      <c r="AT11" s="10" t="str">
        <f t="shared" si="46"/>
        <v/>
      </c>
      <c r="AU11" s="10" t="str">
        <f t="shared" si="46"/>
        <v/>
      </c>
      <c r="AV11" s="10" t="str">
        <f t="shared" si="46"/>
        <v/>
      </c>
      <c r="AW11" s="10"/>
      <c r="AX11" s="10"/>
      <c r="AY11" s="43" t="str">
        <f t="shared" ref="AY11:BC11" si="47">AR11</f>
        <v/>
      </c>
      <c r="AZ11" s="10" t="str">
        <f t="shared" si="47"/>
        <v/>
      </c>
      <c r="BA11" s="10" t="str">
        <f t="shared" si="47"/>
        <v/>
      </c>
      <c r="BB11" s="10" t="str">
        <f t="shared" si="47"/>
        <v/>
      </c>
      <c r="BC11" s="10" t="str">
        <f t="shared" si="47"/>
        <v/>
      </c>
      <c r="BD11" s="10"/>
      <c r="BE11" s="10"/>
      <c r="BF11" s="43" t="str">
        <f t="shared" ref="BF11:BJ11" si="48">AY11</f>
        <v/>
      </c>
      <c r="BG11" s="10" t="str">
        <f t="shared" si="48"/>
        <v/>
      </c>
      <c r="BH11" s="10" t="str">
        <f t="shared" si="48"/>
        <v/>
      </c>
      <c r="BI11" s="10" t="str">
        <f t="shared" si="48"/>
        <v/>
      </c>
      <c r="BJ11" s="10" t="str">
        <f t="shared" si="48"/>
        <v/>
      </c>
      <c r="BK11" s="10"/>
      <c r="BL11" s="10"/>
      <c r="BM11" s="43" t="str">
        <f t="shared" ref="BM11:BQ11" si="49">BF11</f>
        <v/>
      </c>
      <c r="BN11" s="10" t="str">
        <f t="shared" si="49"/>
        <v/>
      </c>
      <c r="BO11" s="10" t="str">
        <f t="shared" si="49"/>
        <v/>
      </c>
      <c r="BP11" s="10" t="str">
        <f t="shared" si="49"/>
        <v/>
      </c>
      <c r="BQ11" s="10" t="str">
        <f t="shared" si="49"/>
        <v/>
      </c>
      <c r="BR11" s="10"/>
      <c r="BS11" s="10"/>
      <c r="BT11" s="43" t="str">
        <f t="shared" ref="BT11:BX11" si="50">BM11</f>
        <v/>
      </c>
      <c r="BU11" s="10" t="str">
        <f t="shared" si="50"/>
        <v/>
      </c>
      <c r="BV11" s="10" t="str">
        <f t="shared" si="50"/>
        <v/>
      </c>
      <c r="BW11" s="10" t="str">
        <f t="shared" si="50"/>
        <v/>
      </c>
      <c r="BX11" s="10" t="str">
        <f t="shared" si="50"/>
        <v/>
      </c>
      <c r="BY11" s="10"/>
      <c r="BZ11" s="10"/>
      <c r="CA11" s="43" t="str">
        <f t="shared" ref="CA11:CE11" si="51">BT11</f>
        <v/>
      </c>
      <c r="CB11" s="10" t="str">
        <f t="shared" si="51"/>
        <v/>
      </c>
      <c r="CC11" s="10" t="str">
        <f t="shared" si="51"/>
        <v/>
      </c>
      <c r="CD11" s="10" t="str">
        <f t="shared" si="51"/>
        <v/>
      </c>
      <c r="CE11" s="10" t="str">
        <f t="shared" si="51"/>
        <v/>
      </c>
      <c r="CF11" s="10"/>
      <c r="CG11" s="10"/>
      <c r="CH11" s="43" t="str">
        <f t="shared" ref="CH11:CL11" si="52">CA11</f>
        <v/>
      </c>
      <c r="CI11" s="10" t="str">
        <f t="shared" si="52"/>
        <v/>
      </c>
      <c r="CJ11" s="10" t="str">
        <f t="shared" si="52"/>
        <v/>
      </c>
      <c r="CK11" s="10" t="str">
        <f t="shared" si="52"/>
        <v/>
      </c>
      <c r="CL11" s="10" t="str">
        <f t="shared" si="52"/>
        <v/>
      </c>
      <c r="CM11" s="10"/>
      <c r="CN11" s="10"/>
      <c r="CO11" s="43" t="str">
        <f t="shared" ref="CO11:CS11" si="53">CH11</f>
        <v/>
      </c>
      <c r="CP11" s="10" t="str">
        <f t="shared" si="53"/>
        <v/>
      </c>
      <c r="CQ11" s="10" t="str">
        <f t="shared" si="53"/>
        <v/>
      </c>
      <c r="CR11" s="10" t="str">
        <f t="shared" si="53"/>
        <v/>
      </c>
      <c r="CS11" s="10" t="str">
        <f t="shared" si="53"/>
        <v/>
      </c>
      <c r="CT11" s="10"/>
      <c r="CU11" s="10"/>
      <c r="CV11" s="43" t="str">
        <f t="shared" ref="CV11:CZ11" si="54">CO11</f>
        <v/>
      </c>
      <c r="CW11" s="10" t="str">
        <f t="shared" si="54"/>
        <v/>
      </c>
      <c r="CX11" s="10" t="str">
        <f t="shared" si="54"/>
        <v/>
      </c>
      <c r="CY11" s="10" t="str">
        <f t="shared" si="54"/>
        <v/>
      </c>
      <c r="CZ11" s="10" t="str">
        <f t="shared" si="54"/>
        <v/>
      </c>
      <c r="DA11" s="10"/>
      <c r="DB11" s="10"/>
      <c r="DC11" s="43" t="str">
        <f t="shared" ref="DC11:DG11" si="55">CV11</f>
        <v/>
      </c>
      <c r="DD11" s="10" t="str">
        <f t="shared" si="55"/>
        <v/>
      </c>
      <c r="DE11" s="10" t="str">
        <f t="shared" si="55"/>
        <v/>
      </c>
      <c r="DF11" s="10" t="str">
        <f t="shared" si="55"/>
        <v/>
      </c>
      <c r="DG11" s="10" t="str">
        <f t="shared" si="55"/>
        <v/>
      </c>
      <c r="DH11" s="10"/>
      <c r="DI11" s="10"/>
      <c r="DJ11" s="43" t="str">
        <f t="shared" ref="DJ11:DN11" si="56">DC11</f>
        <v/>
      </c>
      <c r="DK11" s="10" t="str">
        <f t="shared" si="56"/>
        <v/>
      </c>
      <c r="DL11" s="10" t="str">
        <f t="shared" si="56"/>
        <v/>
      </c>
      <c r="DM11" s="10" t="str">
        <f t="shared" si="56"/>
        <v/>
      </c>
      <c r="DN11" s="10" t="str">
        <f t="shared" si="56"/>
        <v/>
      </c>
      <c r="DO11" s="10"/>
      <c r="DP11" s="10"/>
      <c r="DQ11" s="43" t="str">
        <f t="shared" ref="DQ11:DU11" si="57">DJ11</f>
        <v/>
      </c>
      <c r="DR11" s="10" t="str">
        <f t="shared" si="57"/>
        <v/>
      </c>
      <c r="DS11" s="10" t="str">
        <f t="shared" si="57"/>
        <v/>
      </c>
      <c r="DT11" s="10" t="str">
        <f t="shared" si="57"/>
        <v/>
      </c>
      <c r="DU11" s="10" t="str">
        <f t="shared" si="57"/>
        <v/>
      </c>
      <c r="DV11" s="10"/>
      <c r="DW11" s="10"/>
      <c r="DX11" s="43" t="str">
        <f t="shared" ref="DX11:EB11" si="58">DQ11</f>
        <v/>
      </c>
      <c r="DY11" s="10" t="str">
        <f t="shared" si="58"/>
        <v/>
      </c>
      <c r="DZ11" s="10" t="str">
        <f t="shared" si="58"/>
        <v/>
      </c>
      <c r="EA11" s="10" t="str">
        <f t="shared" si="58"/>
        <v/>
      </c>
      <c r="EB11" s="10" t="str">
        <f t="shared" si="58"/>
        <v/>
      </c>
      <c r="EC11" s="10"/>
      <c r="ED11" s="10"/>
      <c r="EE11" s="43" t="str">
        <f t="shared" ref="EE11:EI11" si="59">DX11</f>
        <v/>
      </c>
      <c r="EF11" s="10" t="str">
        <f t="shared" si="59"/>
        <v/>
      </c>
      <c r="EG11" s="10" t="str">
        <f t="shared" si="59"/>
        <v/>
      </c>
      <c r="EH11" s="10" t="str">
        <f t="shared" si="59"/>
        <v/>
      </c>
      <c r="EI11" s="10" t="str">
        <f t="shared" si="59"/>
        <v/>
      </c>
      <c r="EJ11" s="10"/>
      <c r="EK11" s="10"/>
      <c r="EL11" s="43" t="str">
        <f t="shared" ref="EL11:EP11" si="60">EE11</f>
        <v/>
      </c>
      <c r="EM11" s="10" t="str">
        <f t="shared" si="60"/>
        <v/>
      </c>
      <c r="EN11" s="10" t="str">
        <f t="shared" si="60"/>
        <v/>
      </c>
      <c r="EO11" s="10" t="str">
        <f t="shared" si="60"/>
        <v/>
      </c>
      <c r="EP11" s="10" t="str">
        <f t="shared" si="60"/>
        <v/>
      </c>
      <c r="EQ11" s="10"/>
      <c r="ER11" s="10"/>
    </row>
    <row r="12">
      <c r="A12" s="45"/>
      <c r="B12" s="46"/>
      <c r="C12" s="47"/>
      <c r="D12" s="47"/>
      <c r="E12" s="47"/>
      <c r="F12" s="47"/>
      <c r="G12" s="47"/>
      <c r="H12" s="47"/>
      <c r="I12" s="46" t="str">
        <f t="shared" ref="I12:M12" si="61">B12</f>
        <v/>
      </c>
      <c r="J12" s="47" t="str">
        <f t="shared" si="61"/>
        <v/>
      </c>
      <c r="K12" s="47" t="str">
        <f t="shared" si="61"/>
        <v/>
      </c>
      <c r="L12" s="47" t="str">
        <f t="shared" si="61"/>
        <v/>
      </c>
      <c r="M12" s="47" t="str">
        <f t="shared" si="61"/>
        <v/>
      </c>
      <c r="N12" s="47"/>
      <c r="O12" s="47"/>
      <c r="P12" s="46" t="str">
        <f t="shared" ref="P12:T12" si="62">I12</f>
        <v/>
      </c>
      <c r="Q12" s="47" t="str">
        <f t="shared" si="62"/>
        <v/>
      </c>
      <c r="R12" s="47" t="str">
        <f t="shared" si="62"/>
        <v/>
      </c>
      <c r="S12" s="47" t="str">
        <f t="shared" si="62"/>
        <v/>
      </c>
      <c r="T12" s="47" t="str">
        <f t="shared" si="62"/>
        <v/>
      </c>
      <c r="U12" s="47"/>
      <c r="V12" s="47"/>
      <c r="W12" s="46" t="str">
        <f t="shared" ref="W12:AA12" si="63">P12</f>
        <v/>
      </c>
      <c r="X12" s="47" t="str">
        <f t="shared" si="63"/>
        <v/>
      </c>
      <c r="Y12" s="47" t="str">
        <f t="shared" si="63"/>
        <v/>
      </c>
      <c r="Z12" s="47" t="str">
        <f t="shared" si="63"/>
        <v/>
      </c>
      <c r="AA12" s="47" t="str">
        <f t="shared" si="63"/>
        <v/>
      </c>
      <c r="AB12" s="47"/>
      <c r="AC12" s="47"/>
      <c r="AD12" s="46" t="str">
        <f t="shared" ref="AD12:AH12" si="64">W12</f>
        <v/>
      </c>
      <c r="AE12" s="47" t="str">
        <f t="shared" si="64"/>
        <v/>
      </c>
      <c r="AF12" s="47" t="str">
        <f t="shared" si="64"/>
        <v/>
      </c>
      <c r="AG12" s="47" t="str">
        <f t="shared" si="64"/>
        <v/>
      </c>
      <c r="AH12" s="47" t="str">
        <f t="shared" si="64"/>
        <v/>
      </c>
      <c r="AI12" s="47"/>
      <c r="AJ12" s="47"/>
      <c r="AK12" s="46" t="str">
        <f t="shared" ref="AK12:AO12" si="65">AD12</f>
        <v/>
      </c>
      <c r="AL12" s="47" t="str">
        <f t="shared" si="65"/>
        <v/>
      </c>
      <c r="AM12" s="47" t="str">
        <f t="shared" si="65"/>
        <v/>
      </c>
      <c r="AN12" s="47" t="str">
        <f t="shared" si="65"/>
        <v/>
      </c>
      <c r="AO12" s="47" t="str">
        <f t="shared" si="65"/>
        <v/>
      </c>
      <c r="AP12" s="47"/>
      <c r="AQ12" s="47"/>
      <c r="AR12" s="46" t="str">
        <f t="shared" ref="AR12:AV12" si="66">AK12</f>
        <v/>
      </c>
      <c r="AS12" s="47" t="str">
        <f t="shared" si="66"/>
        <v/>
      </c>
      <c r="AT12" s="47" t="str">
        <f t="shared" si="66"/>
        <v/>
      </c>
      <c r="AU12" s="47" t="str">
        <f t="shared" si="66"/>
        <v/>
      </c>
      <c r="AV12" s="47" t="str">
        <f t="shared" si="66"/>
        <v/>
      </c>
      <c r="AW12" s="47"/>
      <c r="AX12" s="47"/>
      <c r="AY12" s="46" t="str">
        <f t="shared" ref="AY12:BC12" si="67">AR12</f>
        <v/>
      </c>
      <c r="AZ12" s="47" t="str">
        <f t="shared" si="67"/>
        <v/>
      </c>
      <c r="BA12" s="47" t="str">
        <f t="shared" si="67"/>
        <v/>
      </c>
      <c r="BB12" s="47" t="str">
        <f t="shared" si="67"/>
        <v/>
      </c>
      <c r="BC12" s="47" t="str">
        <f t="shared" si="67"/>
        <v/>
      </c>
      <c r="BD12" s="47"/>
      <c r="BE12" s="47"/>
      <c r="BF12" s="46" t="str">
        <f t="shared" ref="BF12:BJ12" si="68">AY12</f>
        <v/>
      </c>
      <c r="BG12" s="47" t="str">
        <f t="shared" si="68"/>
        <v/>
      </c>
      <c r="BH12" s="47" t="str">
        <f t="shared" si="68"/>
        <v/>
      </c>
      <c r="BI12" s="47" t="str">
        <f t="shared" si="68"/>
        <v/>
      </c>
      <c r="BJ12" s="47" t="str">
        <f t="shared" si="68"/>
        <v/>
      </c>
      <c r="BK12" s="47"/>
      <c r="BL12" s="47"/>
      <c r="BM12" s="46" t="str">
        <f t="shared" ref="BM12:BQ12" si="69">BF12</f>
        <v/>
      </c>
      <c r="BN12" s="47" t="str">
        <f t="shared" si="69"/>
        <v/>
      </c>
      <c r="BO12" s="47" t="str">
        <f t="shared" si="69"/>
        <v/>
      </c>
      <c r="BP12" s="47" t="str">
        <f t="shared" si="69"/>
        <v/>
      </c>
      <c r="BQ12" s="47" t="str">
        <f t="shared" si="69"/>
        <v/>
      </c>
      <c r="BR12" s="47"/>
      <c r="BS12" s="47"/>
      <c r="BT12" s="46" t="str">
        <f t="shared" ref="BT12:BX12" si="70">BM12</f>
        <v/>
      </c>
      <c r="BU12" s="47" t="str">
        <f t="shared" si="70"/>
        <v/>
      </c>
      <c r="BV12" s="47" t="str">
        <f t="shared" si="70"/>
        <v/>
      </c>
      <c r="BW12" s="47" t="str">
        <f t="shared" si="70"/>
        <v/>
      </c>
      <c r="BX12" s="47" t="str">
        <f t="shared" si="70"/>
        <v/>
      </c>
      <c r="BY12" s="47"/>
      <c r="BZ12" s="47"/>
      <c r="CA12" s="46" t="str">
        <f t="shared" ref="CA12:CE12" si="71">BT12</f>
        <v/>
      </c>
      <c r="CB12" s="47" t="str">
        <f t="shared" si="71"/>
        <v/>
      </c>
      <c r="CC12" s="47" t="str">
        <f t="shared" si="71"/>
        <v/>
      </c>
      <c r="CD12" s="47" t="str">
        <f t="shared" si="71"/>
        <v/>
      </c>
      <c r="CE12" s="47" t="str">
        <f t="shared" si="71"/>
        <v/>
      </c>
      <c r="CF12" s="47"/>
      <c r="CG12" s="47"/>
      <c r="CH12" s="46" t="str">
        <f t="shared" ref="CH12:CL12" si="72">CA12</f>
        <v/>
      </c>
      <c r="CI12" s="47" t="str">
        <f t="shared" si="72"/>
        <v/>
      </c>
      <c r="CJ12" s="47" t="str">
        <f t="shared" si="72"/>
        <v/>
      </c>
      <c r="CK12" s="47" t="str">
        <f t="shared" si="72"/>
        <v/>
      </c>
      <c r="CL12" s="47" t="str">
        <f t="shared" si="72"/>
        <v/>
      </c>
      <c r="CM12" s="47"/>
      <c r="CN12" s="47"/>
      <c r="CO12" s="46" t="str">
        <f t="shared" ref="CO12:CS12" si="73">CH12</f>
        <v/>
      </c>
      <c r="CP12" s="47" t="str">
        <f t="shared" si="73"/>
        <v/>
      </c>
      <c r="CQ12" s="47" t="str">
        <f t="shared" si="73"/>
        <v/>
      </c>
      <c r="CR12" s="47" t="str">
        <f t="shared" si="73"/>
        <v/>
      </c>
      <c r="CS12" s="47" t="str">
        <f t="shared" si="73"/>
        <v/>
      </c>
      <c r="CT12" s="47"/>
      <c r="CU12" s="47"/>
      <c r="CV12" s="46" t="str">
        <f t="shared" ref="CV12:CZ12" si="74">CO12</f>
        <v/>
      </c>
      <c r="CW12" s="47" t="str">
        <f t="shared" si="74"/>
        <v/>
      </c>
      <c r="CX12" s="47" t="str">
        <f t="shared" si="74"/>
        <v/>
      </c>
      <c r="CY12" s="47" t="str">
        <f t="shared" si="74"/>
        <v/>
      </c>
      <c r="CZ12" s="47" t="str">
        <f t="shared" si="74"/>
        <v/>
      </c>
      <c r="DA12" s="47"/>
      <c r="DB12" s="47"/>
      <c r="DC12" s="46" t="str">
        <f t="shared" ref="DC12:DG12" si="75">CV12</f>
        <v/>
      </c>
      <c r="DD12" s="47" t="str">
        <f t="shared" si="75"/>
        <v/>
      </c>
      <c r="DE12" s="47" t="str">
        <f t="shared" si="75"/>
        <v/>
      </c>
      <c r="DF12" s="47" t="str">
        <f t="shared" si="75"/>
        <v/>
      </c>
      <c r="DG12" s="47" t="str">
        <f t="shared" si="75"/>
        <v/>
      </c>
      <c r="DH12" s="47"/>
      <c r="DI12" s="47"/>
      <c r="DJ12" s="46" t="str">
        <f t="shared" ref="DJ12:DN12" si="76">DC12</f>
        <v/>
      </c>
      <c r="DK12" s="47" t="str">
        <f t="shared" si="76"/>
        <v/>
      </c>
      <c r="DL12" s="47" t="str">
        <f t="shared" si="76"/>
        <v/>
      </c>
      <c r="DM12" s="47" t="str">
        <f t="shared" si="76"/>
        <v/>
      </c>
      <c r="DN12" s="47" t="str">
        <f t="shared" si="76"/>
        <v/>
      </c>
      <c r="DO12" s="47"/>
      <c r="DP12" s="47"/>
      <c r="DQ12" s="46" t="str">
        <f t="shared" ref="DQ12:DU12" si="77">DJ12</f>
        <v/>
      </c>
      <c r="DR12" s="47" t="str">
        <f t="shared" si="77"/>
        <v/>
      </c>
      <c r="DS12" s="47" t="str">
        <f t="shared" si="77"/>
        <v/>
      </c>
      <c r="DT12" s="47" t="str">
        <f t="shared" si="77"/>
        <v/>
      </c>
      <c r="DU12" s="47" t="str">
        <f t="shared" si="77"/>
        <v/>
      </c>
      <c r="DV12" s="47"/>
      <c r="DW12" s="47"/>
      <c r="DX12" s="46" t="str">
        <f t="shared" ref="DX12:EB12" si="78">DQ12</f>
        <v/>
      </c>
      <c r="DY12" s="47" t="str">
        <f t="shared" si="78"/>
        <v/>
      </c>
      <c r="DZ12" s="47" t="str">
        <f t="shared" si="78"/>
        <v/>
      </c>
      <c r="EA12" s="47" t="str">
        <f t="shared" si="78"/>
        <v/>
      </c>
      <c r="EB12" s="47" t="str">
        <f t="shared" si="78"/>
        <v/>
      </c>
      <c r="EC12" s="47"/>
      <c r="ED12" s="47"/>
      <c r="EE12" s="46" t="str">
        <f t="shared" ref="EE12:EI12" si="79">DX12</f>
        <v/>
      </c>
      <c r="EF12" s="47" t="str">
        <f t="shared" si="79"/>
        <v/>
      </c>
      <c r="EG12" s="47" t="str">
        <f t="shared" si="79"/>
        <v/>
      </c>
      <c r="EH12" s="47" t="str">
        <f t="shared" si="79"/>
        <v/>
      </c>
      <c r="EI12" s="47" t="str">
        <f t="shared" si="79"/>
        <v/>
      </c>
      <c r="EJ12" s="47"/>
      <c r="EK12" s="47"/>
      <c r="EL12" s="46" t="str">
        <f t="shared" ref="EL12:EP12" si="80">EE12</f>
        <v/>
      </c>
      <c r="EM12" s="47" t="str">
        <f t="shared" si="80"/>
        <v/>
      </c>
      <c r="EN12" s="47" t="str">
        <f t="shared" si="80"/>
        <v/>
      </c>
      <c r="EO12" s="47" t="str">
        <f t="shared" si="80"/>
        <v/>
      </c>
      <c r="EP12" s="47" t="str">
        <f t="shared" si="80"/>
        <v/>
      </c>
      <c r="EQ12" s="47"/>
      <c r="ER12" s="47"/>
    </row>
    <row r="13">
      <c r="A13" s="3"/>
      <c r="B13" s="42"/>
      <c r="C13" s="3"/>
      <c r="D13" s="3"/>
      <c r="E13" s="3"/>
      <c r="F13" s="3"/>
      <c r="G13" s="3"/>
      <c r="H13" s="3"/>
      <c r="I13" s="42"/>
      <c r="J13" s="3"/>
      <c r="K13" s="3"/>
      <c r="L13" s="3"/>
      <c r="M13" s="3"/>
      <c r="N13" s="3"/>
      <c r="O13" s="3"/>
      <c r="P13" s="42"/>
      <c r="Q13" s="3"/>
      <c r="R13" s="3"/>
      <c r="S13" s="3"/>
      <c r="T13" s="3"/>
      <c r="U13" s="3"/>
      <c r="V13" s="3"/>
      <c r="W13" s="42"/>
      <c r="X13" s="3"/>
      <c r="Y13" s="3"/>
      <c r="Z13" s="3"/>
      <c r="AA13" s="3"/>
      <c r="AB13" s="3"/>
      <c r="AC13" s="3"/>
      <c r="AD13" s="42"/>
      <c r="AE13" s="3"/>
      <c r="AF13" s="3"/>
      <c r="AG13" s="3"/>
      <c r="AH13" s="3"/>
      <c r="AI13" s="3"/>
      <c r="AJ13" s="3"/>
      <c r="AK13" s="42"/>
      <c r="AL13" s="3"/>
      <c r="AM13" s="3"/>
      <c r="AN13" s="3"/>
      <c r="AO13" s="3"/>
      <c r="AP13" s="3"/>
      <c r="AQ13" s="3"/>
      <c r="AR13" s="42"/>
      <c r="AS13" s="3"/>
      <c r="AT13" s="3"/>
      <c r="AU13" s="3"/>
      <c r="AV13" s="3"/>
      <c r="AW13" s="3"/>
      <c r="AX13" s="3"/>
      <c r="AY13" s="42"/>
      <c r="AZ13" s="3"/>
      <c r="BA13" s="3"/>
      <c r="BB13" s="3"/>
      <c r="BC13" s="3"/>
      <c r="BD13" s="3"/>
      <c r="BE13" s="3"/>
      <c r="BF13" s="42"/>
      <c r="BG13" s="3"/>
      <c r="BH13" s="3"/>
      <c r="BI13" s="3"/>
      <c r="BJ13" s="3"/>
      <c r="BK13" s="3"/>
      <c r="BL13" s="3"/>
      <c r="BM13" s="42"/>
      <c r="BN13" s="3"/>
      <c r="BO13" s="3"/>
      <c r="BP13" s="3"/>
      <c r="BQ13" s="3"/>
      <c r="BR13" s="3"/>
      <c r="BS13" s="3"/>
      <c r="BT13" s="42"/>
      <c r="BU13" s="3"/>
      <c r="BV13" s="3"/>
      <c r="BW13" s="3"/>
      <c r="BX13" s="3"/>
      <c r="BY13" s="3"/>
      <c r="BZ13" s="3"/>
      <c r="CA13" s="42"/>
      <c r="CB13" s="3"/>
      <c r="CC13" s="3"/>
      <c r="CD13" s="3"/>
      <c r="CE13" s="3"/>
      <c r="CF13" s="3"/>
      <c r="CG13" s="3"/>
      <c r="CH13" s="42"/>
      <c r="CI13" s="3"/>
      <c r="CJ13" s="3"/>
      <c r="CK13" s="3"/>
      <c r="CL13" s="3"/>
      <c r="CM13" s="3"/>
      <c r="CN13" s="3"/>
      <c r="CO13" s="42"/>
      <c r="CP13" s="3"/>
      <c r="CQ13" s="3"/>
      <c r="CR13" s="3"/>
      <c r="CS13" s="3"/>
      <c r="CT13" s="3"/>
      <c r="CU13" s="3"/>
      <c r="CV13" s="42"/>
      <c r="CW13" s="3"/>
      <c r="CX13" s="3"/>
      <c r="CY13" s="3"/>
      <c r="CZ13" s="3"/>
      <c r="DA13" s="3"/>
      <c r="DB13" s="3"/>
      <c r="DC13" s="42"/>
      <c r="DD13" s="3"/>
      <c r="DE13" s="3"/>
      <c r="DF13" s="3"/>
      <c r="DG13" s="3"/>
      <c r="DH13" s="3"/>
      <c r="DI13" s="3"/>
      <c r="DJ13" s="42"/>
      <c r="DK13" s="3"/>
      <c r="DL13" s="3"/>
      <c r="DM13" s="3"/>
      <c r="DN13" s="3"/>
      <c r="DO13" s="3"/>
      <c r="DP13" s="3"/>
      <c r="DQ13" s="42"/>
      <c r="DR13" s="3"/>
      <c r="DS13" s="3"/>
      <c r="DT13" s="3"/>
      <c r="DU13" s="3"/>
      <c r="DV13" s="3"/>
      <c r="DW13" s="3"/>
      <c r="DX13" s="42"/>
      <c r="DY13" s="3"/>
      <c r="DZ13" s="3"/>
      <c r="EA13" s="3"/>
      <c r="EB13" s="3"/>
      <c r="EC13" s="3"/>
      <c r="ED13" s="3"/>
      <c r="EE13" s="42"/>
      <c r="EF13" s="3"/>
      <c r="EG13" s="3"/>
      <c r="EH13" s="3"/>
      <c r="EI13" s="3"/>
      <c r="EJ13" s="3"/>
      <c r="EK13" s="3"/>
      <c r="EL13" s="42"/>
      <c r="EM13" s="3"/>
      <c r="EN13" s="3"/>
      <c r="EO13" s="3"/>
      <c r="EP13" s="3"/>
      <c r="EQ13" s="3"/>
      <c r="ER13" s="3"/>
    </row>
    <row r="14">
      <c r="A14" s="32" t="s">
        <v>80</v>
      </c>
      <c r="B14" s="33"/>
      <c r="C14" s="34"/>
      <c r="D14" s="34"/>
      <c r="E14" s="34"/>
      <c r="F14" s="34"/>
      <c r="G14" s="34"/>
      <c r="H14" s="34"/>
      <c r="I14" s="33"/>
      <c r="J14" s="34"/>
      <c r="K14" s="34"/>
      <c r="L14" s="34"/>
      <c r="M14" s="34"/>
      <c r="N14" s="34"/>
      <c r="O14" s="34"/>
      <c r="P14" s="33"/>
      <c r="Q14" s="34"/>
      <c r="R14" s="34"/>
      <c r="S14" s="34"/>
      <c r="T14" s="34"/>
      <c r="U14" s="34"/>
      <c r="V14" s="34"/>
      <c r="W14" s="33"/>
      <c r="X14" s="34"/>
      <c r="Y14" s="34"/>
      <c r="Z14" s="34"/>
      <c r="AA14" s="34"/>
      <c r="AB14" s="34"/>
      <c r="AC14" s="34"/>
      <c r="AD14" s="33"/>
      <c r="AE14" s="34"/>
      <c r="AF14" s="34"/>
      <c r="AG14" s="34"/>
      <c r="AH14" s="34"/>
      <c r="AI14" s="34"/>
      <c r="AJ14" s="34"/>
      <c r="AK14" s="33"/>
      <c r="AL14" s="34"/>
      <c r="AM14" s="34"/>
      <c r="AN14" s="34"/>
      <c r="AO14" s="34"/>
      <c r="AP14" s="34"/>
      <c r="AQ14" s="34"/>
      <c r="AR14" s="33"/>
      <c r="AS14" s="34"/>
      <c r="AT14" s="34"/>
      <c r="AU14" s="34"/>
      <c r="AV14" s="34"/>
      <c r="AW14" s="34"/>
      <c r="AX14" s="34"/>
      <c r="AY14" s="33"/>
      <c r="AZ14" s="34"/>
      <c r="BA14" s="34"/>
      <c r="BB14" s="34"/>
      <c r="BC14" s="34"/>
      <c r="BD14" s="34"/>
      <c r="BE14" s="34"/>
      <c r="BF14" s="33"/>
      <c r="BG14" s="34"/>
      <c r="BH14" s="34"/>
      <c r="BI14" s="34"/>
      <c r="BJ14" s="34"/>
      <c r="BK14" s="34"/>
      <c r="BL14" s="34"/>
      <c r="BM14" s="33"/>
      <c r="BN14" s="34"/>
      <c r="BO14" s="34"/>
      <c r="BP14" s="34"/>
      <c r="BQ14" s="34"/>
      <c r="BR14" s="34"/>
      <c r="BS14" s="34"/>
      <c r="BT14" s="33"/>
      <c r="BU14" s="34"/>
      <c r="BV14" s="34"/>
      <c r="BW14" s="34"/>
      <c r="BX14" s="34"/>
      <c r="BY14" s="34"/>
      <c r="BZ14" s="34"/>
      <c r="CA14" s="33"/>
      <c r="CB14" s="34"/>
      <c r="CC14" s="34"/>
      <c r="CD14" s="34"/>
      <c r="CE14" s="34"/>
      <c r="CF14" s="34"/>
      <c r="CG14" s="34"/>
      <c r="CH14" s="33"/>
      <c r="CI14" s="34"/>
      <c r="CJ14" s="34"/>
      <c r="CK14" s="34"/>
      <c r="CL14" s="34"/>
      <c r="CM14" s="34"/>
      <c r="CN14" s="34"/>
      <c r="CO14" s="33"/>
      <c r="CP14" s="34"/>
      <c r="CQ14" s="34"/>
      <c r="CR14" s="34"/>
      <c r="CS14" s="34"/>
      <c r="CT14" s="34"/>
      <c r="CU14" s="34"/>
      <c r="CV14" s="33"/>
      <c r="CW14" s="34"/>
      <c r="CX14" s="34"/>
      <c r="CY14" s="34"/>
      <c r="CZ14" s="34"/>
      <c r="DA14" s="34"/>
      <c r="DB14" s="34"/>
      <c r="DC14" s="33"/>
      <c r="DD14" s="34"/>
      <c r="DE14" s="34"/>
      <c r="DF14" s="34"/>
      <c r="DG14" s="34"/>
      <c r="DH14" s="34"/>
      <c r="DI14" s="34"/>
      <c r="DJ14" s="33"/>
      <c r="DK14" s="34"/>
      <c r="DL14" s="34"/>
      <c r="DM14" s="34"/>
      <c r="DN14" s="34"/>
      <c r="DO14" s="34"/>
      <c r="DP14" s="34"/>
      <c r="DQ14" s="33"/>
      <c r="DR14" s="34"/>
      <c r="DS14" s="34"/>
      <c r="DT14" s="34"/>
      <c r="DU14" s="34"/>
      <c r="DV14" s="34"/>
      <c r="DW14" s="34"/>
      <c r="DX14" s="33"/>
      <c r="DY14" s="34"/>
      <c r="DZ14" s="34"/>
      <c r="EA14" s="34"/>
      <c r="EB14" s="34"/>
      <c r="EC14" s="34"/>
      <c r="ED14" s="34"/>
      <c r="EE14" s="35" t="s">
        <v>77</v>
      </c>
      <c r="EF14" s="36"/>
      <c r="EG14" s="36"/>
      <c r="EH14" s="36"/>
      <c r="EI14" s="36"/>
      <c r="EJ14" s="36"/>
      <c r="EK14" s="36"/>
      <c r="EL14" s="33"/>
      <c r="EM14" s="34"/>
      <c r="EN14" s="34"/>
      <c r="EO14" s="34"/>
      <c r="EP14" s="34"/>
      <c r="EQ14" s="34"/>
      <c r="ER14" s="34"/>
    </row>
    <row r="15" hidden="1">
      <c r="A15" s="37" t="str">
        <f>CONCATENATE(A16," TM")</f>
        <v>Bench Press TM</v>
      </c>
      <c r="B15" s="38">
        <f>if(D15="",'Quick Setup'!D6,D15/'Quick Setup'!E6)</f>
        <v>325</v>
      </c>
      <c r="C15" s="39" t="s">
        <v>75</v>
      </c>
      <c r="D15" s="40"/>
      <c r="E15" s="41"/>
      <c r="F15" s="41"/>
      <c r="G15" s="41"/>
      <c r="H15" s="41"/>
      <c r="I15" s="38">
        <f>if(K15="", if(F16&lt;&gt;"", if((F16-D16)&lt;-1,B15*(1+Setup!F4),if((F16-D16)&lt;0,B15*(1+Setup!G4),if((F16-D16)=0,B15*(1+Setup!H4),if((F16-D16)=1,B15*(1+Setup!I4),if((F16-D16)=2,B15*(1+Setup!J4),if((F16-D16)=3,B15*(1+Setup!K4),if((F16-D16)=4,B15*(1+Setup!L4),if((F16-D16)&gt;4,B15*(1+Setup!M4),B15)))))))),B15),K15/'Quick Setup'!$E6)</f>
        <v>325</v>
      </c>
      <c r="J15" s="39" t="s">
        <v>75</v>
      </c>
      <c r="K15" s="40"/>
      <c r="L15" s="41"/>
      <c r="M15" s="41"/>
      <c r="N15" s="41"/>
      <c r="O15" s="41"/>
      <c r="P15" s="38">
        <f>if(R15="", if(M16&lt;&gt;"", if((M16-K16)&lt;-1,I15*(1+Setup!R4),if((M16-K16)&lt;0,I15*(1+Setup!S4),if((M16-K16)=0,I15*(1+Setup!T4),if((M16-K16)=1,I15*(1+Setup!U4),if((M16-K16)=2,I15*(1+Setup!V4),if((M16-K16)=3,I15*(1+Setup!W4),if((M16-K16)=4,I15*(1+Setup!X4),if((M16-K16)&gt;4,I15*(1+Setup!Y4),I15)))))))),I15),R15/'Quick Setup'!$E6)</f>
        <v>325</v>
      </c>
      <c r="Q15" s="39" t="s">
        <v>75</v>
      </c>
      <c r="R15" s="40"/>
      <c r="S15" s="41"/>
      <c r="T15" s="41"/>
      <c r="U15" s="41"/>
      <c r="V15" s="41"/>
      <c r="W15" s="38">
        <f>if(Y15="", if(T16&lt;&gt;"", if((T16-R16)&lt;-1,P15*(1+Setup!AD4),if((T16-R16)&lt;0,P15*(1+Setup!AE4),if((T16-R16)=0,P15*(1+Setup!AF4),if((T16-R16)=1,P15*(1+Setup!AG4),if((T16-R16)=2,P15*(1+Setup!AH4),if((T16-R16)=3,P15*(1+Setup!AI4),if((T16-R16)=4,P15*(1+Setup!AJ4),if((T16-R16)&gt;4,P15*(1+Setup!AK4),P15)))))))),P15),Y15/'Quick Setup'!$E6)</f>
        <v>325</v>
      </c>
      <c r="X15" s="39" t="s">
        <v>75</v>
      </c>
      <c r="Y15" s="40"/>
      <c r="Z15" s="41"/>
      <c r="AA15" s="41"/>
      <c r="AB15" s="41"/>
      <c r="AC15" s="41"/>
      <c r="AD15" s="38">
        <f>if(AF15="", if(AA16&lt;&gt;"", if((AA16-Y16)&lt;-1,W15*(1+Setup!AP4),if((AA16-Y16)&lt;0,W15*(1+Setup!AQ4),if((AA16-Y16)=0,W15*(1+Setup!AR4),if((AA16-Y16)=1,W15*(1+Setup!AS4),if((AA16-Y16)=2,W15*(1+Setup!AT4),if((AA16-Y16)=3,W15*(1+Setup!AU4),if((AA16-Y16)=4,W15*(1+Setup!AV4),if((AA16-Y16)&gt;4,W15*(1+Setup!AW4),W15)))))))),W15),AF15/'Quick Setup'!$E6)</f>
        <v>325</v>
      </c>
      <c r="AE15" s="39" t="s">
        <v>75</v>
      </c>
      <c r="AF15" s="40"/>
      <c r="AG15" s="41"/>
      <c r="AH15" s="41"/>
      <c r="AI15" s="41"/>
      <c r="AJ15" s="41"/>
      <c r="AK15" s="38">
        <f>if(AM15="", if(AH16&lt;&gt;"", if((AH16-AF16)&lt;-1,AD15*(1+Setup!BB4),if((AH16-AF16)&lt;0,AD15*(1+Setup!BC4),if((AH16-AF16)=0,AD15*(1+Setup!BD4),if((AH16-AF16)=1,AD15*(1+Setup!BE4),if((AH16-AF16)=2,AD15*(1+Setup!BF4),if((AH16-AF16)=3,AD15*(1+Setup!BG4),if((AH16-AF16)=4,AD15*(1+Setup!BH4),if((AH16-AF16)&gt;4,AD15*(1+Setup!BI4),AD15)))))))),AD15),AM15/'Quick Setup'!$E6)</f>
        <v>325</v>
      </c>
      <c r="AL15" s="39" t="s">
        <v>75</v>
      </c>
      <c r="AM15" s="40"/>
      <c r="AN15" s="41"/>
      <c r="AO15" s="41"/>
      <c r="AP15" s="41"/>
      <c r="AQ15" s="41"/>
      <c r="AR15" s="38">
        <f>if(AT15="", if(AO16&lt;&gt;"", if((AO16-AM16)&lt;-1,AK15*(1+Setup!BN4),if((AO16-AM16)&lt;0,AK15*(1+Setup!BO4),if((AO16-AM16)=0,AK15*(1+Setup!BP4),if((AO16-AM16)=1,AK15*(1+Setup!BQ4),if((AO16-AM16)=2,AK15*(1+Setup!BR4),if((AO16-AM16)=3,AK15*(1+Setup!BS4),if((AO16-AM16)=4,AK15*(1+Setup!BT4),if((AO16-AM16)&gt;4,AK15*(1+Setup!BU4),AK15)))))))),AK15),AT15/'Quick Setup'!$E6)</f>
        <v>325</v>
      </c>
      <c r="AS15" s="39" t="s">
        <v>75</v>
      </c>
      <c r="AT15" s="40"/>
      <c r="AU15" s="41"/>
      <c r="AV15" s="41"/>
      <c r="AW15" s="41"/>
      <c r="AX15" s="41"/>
      <c r="AY15" s="38">
        <f>if(BA15="",AR15,BA15/'Quick Setup'!$E6)</f>
        <v>325</v>
      </c>
      <c r="AZ15" s="39" t="s">
        <v>75</v>
      </c>
      <c r="BA15" s="40"/>
      <c r="BB15" s="41"/>
      <c r="BC15" s="41"/>
      <c r="BD15" s="41"/>
      <c r="BE15" s="41"/>
      <c r="BF15" s="38">
        <f>if(BH15="", if(BC16&lt;&gt;"", if((BC16-BA16)&lt;-1,AY15*(1+Setup!CL4),if((BC16-BA16)&lt;0,AY15*(1+Setup!CM4),if((BC16-BA16)=0,AY15*(1+Setup!CN4),if((BC16-BA16)=1,AY15*(1+Setup!CO4),if((BC16-BA16)=2,AY15*(1+Setup!CP4),if((BC16-BA16)=3,AY15*(1+Setup!CQ4),if((BC16-BA16)=4,AY15*(1+Setup!CR4),if((BC16-BA16)&gt;4,AY15*(1+Setup!CS4),AY15)))))))),AY15),BH15/'Quick Setup'!$E6)</f>
        <v>325</v>
      </c>
      <c r="BG15" s="39" t="s">
        <v>75</v>
      </c>
      <c r="BH15" s="40"/>
      <c r="BI15" s="41"/>
      <c r="BJ15" s="41"/>
      <c r="BK15" s="41"/>
      <c r="BL15" s="41"/>
      <c r="BM15" s="38">
        <f>if(BO15="", if(BJ16&lt;&gt;"", if((BJ16-BH16)&lt;-1,BF15*(1+Setup!CX4),if((BJ16-BH16)&lt;0,BF15*(1+Setup!CY4),if((BJ16-BH16)=0,BF15*(1+Setup!CZ4),if((BJ16-BH16)=1,BF15*(1+Setup!DA4),if((BJ16-BH16)=2,BF15*(1+Setup!DB4),if((BJ16-BH16)=3,BF15*(1+Setup!DC4),if((BJ16-BH16)=4,BF15*(1+Setup!DD4),if((BJ16-BH16)&gt;4,BF15*(1+Setup!DE4),BF15)))))))),BF15),BO15/'Quick Setup'!$E6)</f>
        <v>325</v>
      </c>
      <c r="BN15" s="39" t="s">
        <v>75</v>
      </c>
      <c r="BO15" s="40"/>
      <c r="BP15" s="41"/>
      <c r="BQ15" s="41"/>
      <c r="BR15" s="41"/>
      <c r="BS15" s="41"/>
      <c r="BT15" s="38">
        <f>if(BV15="", if(BQ16&lt;&gt;"", if((BQ16-BO16)&lt;-1,BM15*(1+Setup!DJ4),if((BQ16-BO16)&lt;0,BM15*(1+Setup!DK4),if((BQ16-BO16)=0,BM15*(1+Setup!DL4),if((BQ16-BO16)=1,BM15*(1+Setup!DM4),if((BQ16-BO16)=2,BM15*(1+Setup!DN4),if((BQ16-BO16)=3,BM15*(1+Setup!DO4),if((BQ16-BO16)=4,BM15*(1+Setup!DP4),if((BQ16-BO16)&gt;4,BM15*(1+Setup!DQ4),BM15)))))))),BM15),BV15/'Quick Setup'!$E6)</f>
        <v>325</v>
      </c>
      <c r="BU15" s="39" t="s">
        <v>75</v>
      </c>
      <c r="BV15" s="40"/>
      <c r="BW15" s="41"/>
      <c r="BX15" s="41"/>
      <c r="BY15" s="41"/>
      <c r="BZ15" s="41"/>
      <c r="CA15" s="38">
        <f>if(CC15="", if(BX16&lt;&gt;"", if((BX16-BV16)&lt;-1,BT15*(1+Setup!DV4),if((BX16-BV16)&lt;0,BT15*(1+Setup!DW4),if((BX16-BV16)=0,BT15*(1+Setup!DX4),if((BX16-BV16)=1,BT15*(1+Setup!DY4),if((BX16-BV16)=2,BT15*(1+Setup!DZ4),if((BX16-BV16)=3,BT15*(1+Setup!EA4),if((BX16-BV16)=4,BT15*(1+Setup!EB4),if((BX16-BV16)&gt;4,BT15*(1+Setup!EC4),BT15)))))))),BT15),CC15/'Quick Setup'!$E6)</f>
        <v>325</v>
      </c>
      <c r="CB15" s="39" t="s">
        <v>75</v>
      </c>
      <c r="CC15" s="40"/>
      <c r="CD15" s="41"/>
      <c r="CE15" s="41"/>
      <c r="CF15" s="41"/>
      <c r="CG15" s="41"/>
      <c r="CH15" s="38">
        <f>if(CJ15="", if(CE16&lt;&gt;"", if((CE16-CC16)&lt;-1,CA15*(1+Setup!EH4),if((CE16-CC16)&lt;0,CA15*(1+Setup!EI4),if((CE16-CC16)=0,CA15*(1+Setup!EJ4),if((CE16-CC16)=1,CA15*(1+Setup!EK4),if((CE16-CC16)=2,CA15*(1+Setup!EL4),if((CE16-CC16)=3,CA15*(1+Setup!EM4),if((CE16-CC16)=4,CA15*(1+Setup!EN4),if((CE16-CC16)&gt;4,CA15*(1+Setup!EO4),CA15)))))))),CA15),CJ15/'Quick Setup'!$E6)</f>
        <v>325</v>
      </c>
      <c r="CI15" s="39" t="s">
        <v>75</v>
      </c>
      <c r="CJ15" s="40"/>
      <c r="CK15" s="41"/>
      <c r="CL15" s="41"/>
      <c r="CM15" s="41"/>
      <c r="CN15" s="41"/>
      <c r="CO15" s="38">
        <f>if(CQ15="", if(CL16&lt;&gt;"", if((CL16-CJ16)&lt;-1,CH15*(1+Setup!ET4),if((CL16-CJ16)&lt;0,CH15*(1+Setup!EU4),if((CL16-CJ16)=0,CH15*(1+Setup!EV4),if((CL16-CJ16)=1,CH15*(1+Setup!EW4),if((CL16-CJ16)=2,CH15*(1+Setup!EX4),if((CL16-CJ16)=3,CH15*(1+Setup!EY4),if((CL16-CJ16)=4,CH15*(1+Setup!EZ4),if((CL16-CJ16)&gt;4,CH15*(1+Setup!FA4),CH15)))))))),CH15),CQ15/'Quick Setup'!$E6)</f>
        <v>325</v>
      </c>
      <c r="CP15" s="39" t="s">
        <v>75</v>
      </c>
      <c r="CQ15" s="40"/>
      <c r="CR15" s="41"/>
      <c r="CS15" s="41"/>
      <c r="CT15" s="41"/>
      <c r="CU15" s="41"/>
      <c r="CV15" s="38">
        <f>if(CX15="",CO15,CX15/'Quick Setup'!$E6)</f>
        <v>325</v>
      </c>
      <c r="CW15" s="39" t="s">
        <v>75</v>
      </c>
      <c r="CX15" s="40"/>
      <c r="CY15" s="41"/>
      <c r="CZ15" s="41"/>
      <c r="DA15" s="41"/>
      <c r="DB15" s="41"/>
      <c r="DC15" s="38">
        <f>if(DE15="", if(CZ16&lt;&gt;"", if((CZ16-CX16)&lt;-1,CV15*(1+Setup!FR4),if((CZ16-CX16)&lt;0,CV15*(1+Setup!FS4),if((CZ16-CX16)=0,CV15*(1+Setup!FT4),if((CZ16-CX16)=1,CV15*(1+Setup!FU4),if((CZ16-CX16)=2,CV15*(1+Setup!FV4),if((CZ16-CX16)=3,CV15*(1+Setup!FW4),if((CZ16-CX16)=4,CV15*(1+Setup!FX4),if((CZ16-CX16)&gt;4,CV15*(1+Setup!FY4),CV15)))))))),CV15),DE15/'Quick Setup'!$E6)</f>
        <v>325</v>
      </c>
      <c r="DD15" s="39" t="s">
        <v>75</v>
      </c>
      <c r="DE15" s="40"/>
      <c r="DF15" s="41"/>
      <c r="DG15" s="41"/>
      <c r="DH15" s="41"/>
      <c r="DI15" s="41"/>
      <c r="DJ15" s="38">
        <f>if(DL15="", if(DG16&lt;&gt;"", if((DG16-DE16)&lt;-1,DC15*(1+Setup!GD4),if((DG16-DE16)&lt;0,DC15*(1+Setup!GE4),if((DG16-DE16)=0,DC15*(1+Setup!GF4),if((DG16-DE16)=1,DC15*(1+Setup!GG4),if((DG16-DE16)=2,DC15*(1+Setup!GH4),if((DG16-DE16)=3,DC15*(1+Setup!GI4),if((DG16-DE16)=4,DC15*(1+Setup!GJ4),if((DG16-DE16)&gt;4,DC15*(1+Setup!GK4),DC15)))))))),DC15),DL15/'Quick Setup'!$E6)</f>
        <v>325</v>
      </c>
      <c r="DK15" s="39" t="s">
        <v>75</v>
      </c>
      <c r="DL15" s="40"/>
      <c r="DM15" s="41"/>
      <c r="DN15" s="41"/>
      <c r="DO15" s="41"/>
      <c r="DP15" s="41"/>
      <c r="DQ15" s="38">
        <f>if(DS15="", if(DN16&lt;&gt;"", if((DN16-DL16)&lt;-1,DJ15*(1+Setup!GP4),if((DN16-DL16)&lt;0,DJ15*(1+Setup!GQ4),if((DN16-DL16)=0,DJ15*(1+Setup!GR4),if((DN16-DL16)=1,DJ15*(1+Setup!GS4),if((DN16-DL16)=2,DJ15*(1+Setup!GT4),if((DN16-DL16)=3,DJ15*(1+Setup!GU4),if((DN16-DL16)=4,DJ15*(1+Setup!GV4),if((DN16-DL16)&gt;4,DJ15*(1+Setup!GW4),DJ15)))))))),DJ15),DS15/'Quick Setup'!$E6)</f>
        <v>325</v>
      </c>
      <c r="DR15" s="39" t="s">
        <v>75</v>
      </c>
      <c r="DS15" s="40"/>
      <c r="DT15" s="41"/>
      <c r="DU15" s="41"/>
      <c r="DV15" s="41"/>
      <c r="DW15" s="41"/>
      <c r="DX15" s="38">
        <f>if(DZ15="", if(DU16&lt;&gt;"", if((DU16-DS16)&lt;-1,DQ15*(1+Setup!HB4),if((DU16-DS16)&lt;0,DQ15*(1+Setup!HC4),if((DU16-DS16)=0,DQ15*(1+Setup!HD4),if((DU16-DS16)=1,DQ15*(1+Setup!HE4),if((DU16-DS16)=2,DQ15*(1+Setup!HF4),if((DU16-DS16)=3,DQ15*(1+Setup!HG4),if((DU16-DS16)=4,DQ15*(1+Setup!HH4),if((DU16-DS16)&gt;4,DQ15*(1+Setup!HI4),DQ15)))))))),DQ15),DZ15/'Quick Setup'!$E6)</f>
        <v>325</v>
      </c>
      <c r="DY15" s="39" t="s">
        <v>75</v>
      </c>
      <c r="DZ15" s="40"/>
      <c r="EA15" s="41"/>
      <c r="EB15" s="41"/>
      <c r="EC15" s="41"/>
      <c r="ED15" s="41"/>
      <c r="EE15" s="38">
        <f>if(EG15="", if(EB16&lt;&gt;"", if((EB16-DZ16)&lt;-1,DX15*(1+Setup!HN4),if((EB16-DZ16)&lt;0,DX15*(1+Setup!HO4),if((EB16-DZ16)=0,DX15*(1+Setup!HP4),if((EB16-DZ16)=1,DX15*(1+Setup!HQ4),if((EB16-DZ16)=2,DX15*(1+Setup!HR4),if((EB16-DZ16)=3,DX15*(1+Setup!HS4),if((EB16-DZ16)=4,DX15*(1+Setup!HT4),if((EB16-DZ16)&gt;4,DX15*(1+Setup!HU4),DX15)))))))),DX15),EG15/'Quick Setup'!$E6)</f>
        <v>325</v>
      </c>
      <c r="EF15" s="39" t="s">
        <v>75</v>
      </c>
      <c r="EG15" s="40"/>
      <c r="EH15" s="41"/>
      <c r="EI15" s="41"/>
      <c r="EJ15" s="41"/>
      <c r="EK15" s="41"/>
      <c r="EL15" s="38">
        <f>if(EN15="", if(EI16&lt;&gt;"", if((EI16-EG16)&lt;-1,EE15*(1+Setup!HZ4),if((EI16-EG16)&lt;0,EE15*(1+Setup!IA4),if((EI16-EG16)=0,EE15*(1+Setup!IB4),if((EI16-EG16)=1,EE15*(1+Setup!IC4),if((EI16-EG16)=2,EE15*(1+Setup!ID4),if((EI16-EG16)=3,EE15*(1+Setup!IE4),if((EI16-EG16)=4,EE15*(1+Setup!IF4),if((EI16-EG16)&gt;4,EE15*(1+Setup!IG4),EE15)))))))),EE15),EN15/'Quick Setup'!$E6)</f>
        <v>325</v>
      </c>
      <c r="EM15" s="39" t="s">
        <v>75</v>
      </c>
      <c r="EN15" s="40"/>
      <c r="EO15" s="41"/>
      <c r="EP15" s="41"/>
      <c r="EQ15" s="41"/>
      <c r="ER15" s="41"/>
    </row>
    <row r="16">
      <c r="A16" s="1" t="str">
        <f>Setup!A4</f>
        <v>Bench Press</v>
      </c>
      <c r="B16" s="42">
        <f>mround(B15*Setup!B4,'Quick Setup'!$A$2)</f>
        <v>227.5</v>
      </c>
      <c r="C16" s="3">
        <f>Setup!C4</f>
        <v>5</v>
      </c>
      <c r="D16" s="3">
        <f>Setup!D4</f>
        <v>10</v>
      </c>
      <c r="E16" s="3">
        <f>Setup!E4</f>
        <v>5</v>
      </c>
      <c r="F16" s="10"/>
      <c r="G16" s="10"/>
      <c r="H16" s="10"/>
      <c r="I16" s="42">
        <f>mround(I15*Setup!N4,'Quick Setup'!$A$2)</f>
        <v>245</v>
      </c>
      <c r="J16" s="3">
        <f>Setup!O4</f>
        <v>4</v>
      </c>
      <c r="K16" s="3">
        <f>Setup!P4</f>
        <v>8</v>
      </c>
      <c r="L16" s="3">
        <f>Setup!Q4</f>
        <v>5</v>
      </c>
      <c r="M16" s="10"/>
      <c r="N16" s="10"/>
      <c r="O16" s="10"/>
      <c r="P16" s="42">
        <f>mround(P15*Setup!Z4,'Quick Setup'!$A$2)</f>
        <v>260</v>
      </c>
      <c r="Q16" s="3">
        <f>Setup!AA4</f>
        <v>3</v>
      </c>
      <c r="R16" s="3">
        <f>Setup!AB4</f>
        <v>6</v>
      </c>
      <c r="S16" s="3">
        <f>Setup!AC4</f>
        <v>5</v>
      </c>
      <c r="T16" s="10"/>
      <c r="U16" s="10"/>
      <c r="V16" s="10"/>
      <c r="W16" s="42">
        <f>mround(W15*Setup!AL4,'Quick Setup'!$A$2)</f>
        <v>235</v>
      </c>
      <c r="X16" s="3">
        <f>Setup!AM4</f>
        <v>5</v>
      </c>
      <c r="Y16" s="3">
        <f>Setup!AN4</f>
        <v>9</v>
      </c>
      <c r="Z16" s="3">
        <f>Setup!AO4</f>
        <v>5</v>
      </c>
      <c r="AA16" s="10"/>
      <c r="AB16" s="10"/>
      <c r="AC16" s="10"/>
      <c r="AD16" s="42">
        <f>mround(AD15*Setup!AX4,'Quick Setup'!$A$2)</f>
        <v>252.5</v>
      </c>
      <c r="AE16" s="3">
        <f>Setup!AY4</f>
        <v>4</v>
      </c>
      <c r="AF16" s="3">
        <f>Setup!AZ4</f>
        <v>7</v>
      </c>
      <c r="AG16" s="3">
        <f>Setup!BA4</f>
        <v>5</v>
      </c>
      <c r="AH16" s="10"/>
      <c r="AI16" s="10"/>
      <c r="AJ16" s="10"/>
      <c r="AK16" s="42">
        <f>mround(AK15*Setup!BJ4,'Quick Setup'!$A$2)</f>
        <v>267.5</v>
      </c>
      <c r="AL16" s="3">
        <f>Setup!BK4</f>
        <v>3</v>
      </c>
      <c r="AM16" s="3">
        <f>Setup!BL4</f>
        <v>5</v>
      </c>
      <c r="AN16" s="3">
        <f>Setup!BM4</f>
        <v>5</v>
      </c>
      <c r="AO16" s="10"/>
      <c r="AP16" s="10"/>
      <c r="AQ16" s="10"/>
      <c r="AR16" s="42">
        <f>mround(AR15*Setup!BV4,'Quick Setup'!$A$2)</f>
        <v>195</v>
      </c>
      <c r="AS16" s="1">
        <v>5.0</v>
      </c>
      <c r="AT16" s="1" t="s">
        <v>78</v>
      </c>
      <c r="AU16" s="3">
        <f>Setup!BY4</f>
        <v>5</v>
      </c>
      <c r="AV16" s="10"/>
      <c r="AW16" s="10"/>
      <c r="AX16" s="10"/>
      <c r="AY16" s="42">
        <f>mround(AY15*Setup!CH4,'Quick Setup'!$A$2)</f>
        <v>245</v>
      </c>
      <c r="AZ16" s="3">
        <f>Setup!CI4</f>
        <v>4</v>
      </c>
      <c r="BA16" s="3">
        <f>Setup!CJ4</f>
        <v>8</v>
      </c>
      <c r="BB16" s="3">
        <f>Setup!CK4</f>
        <v>5</v>
      </c>
      <c r="BC16" s="10"/>
      <c r="BD16" s="10"/>
      <c r="BE16" s="10"/>
      <c r="BF16" s="42">
        <f>mround(BF15*Setup!CT4,'Quick Setup'!$A$2)</f>
        <v>260</v>
      </c>
      <c r="BG16" s="3">
        <f>Setup!CU4</f>
        <v>3</v>
      </c>
      <c r="BH16" s="3">
        <f>Setup!CV4</f>
        <v>6</v>
      </c>
      <c r="BI16" s="3">
        <f>Setup!CW4</f>
        <v>5</v>
      </c>
      <c r="BJ16" s="10"/>
      <c r="BK16" s="10"/>
      <c r="BL16" s="10"/>
      <c r="BM16" s="42">
        <f>mround(BM15*Setup!DF4,'Quick Setup'!$A$2)</f>
        <v>277.5</v>
      </c>
      <c r="BN16" s="3">
        <f>Setup!DG4</f>
        <v>2</v>
      </c>
      <c r="BO16" s="3">
        <f>Setup!DH4</f>
        <v>4</v>
      </c>
      <c r="BP16" s="3">
        <f>Setup!DI4</f>
        <v>5</v>
      </c>
      <c r="BQ16" s="10"/>
      <c r="BR16" s="10"/>
      <c r="BS16" s="10"/>
      <c r="BT16" s="42">
        <f>mround(BT15*Setup!DR4,'Quick Setup'!$A$2)</f>
        <v>252.5</v>
      </c>
      <c r="BU16" s="3">
        <f>Setup!DS4</f>
        <v>4</v>
      </c>
      <c r="BV16" s="3">
        <f>Setup!DT4</f>
        <v>7</v>
      </c>
      <c r="BW16" s="3">
        <f>Setup!DU4</f>
        <v>5</v>
      </c>
      <c r="BX16" s="10"/>
      <c r="BY16" s="10"/>
      <c r="BZ16" s="10"/>
      <c r="CA16" s="42">
        <f>mround(CA15*Setup!ED4,'Quick Setup'!$A$2)</f>
        <v>267.5</v>
      </c>
      <c r="CB16" s="3">
        <f>Setup!EE4</f>
        <v>3</v>
      </c>
      <c r="CC16" s="3">
        <f>Setup!EF4</f>
        <v>5</v>
      </c>
      <c r="CD16" s="3">
        <f>Setup!EG4</f>
        <v>5</v>
      </c>
      <c r="CE16" s="10"/>
      <c r="CF16" s="10"/>
      <c r="CG16" s="10"/>
      <c r="CH16" s="42">
        <f>mround(CH15*Setup!EP4,'Quick Setup'!$A$2)</f>
        <v>285</v>
      </c>
      <c r="CI16" s="3">
        <f>Setup!EQ4</f>
        <v>2</v>
      </c>
      <c r="CJ16" s="3">
        <f>Setup!ER4</f>
        <v>3</v>
      </c>
      <c r="CK16" s="3">
        <f>Setup!ES4</f>
        <v>5</v>
      </c>
      <c r="CL16" s="10"/>
      <c r="CM16" s="10"/>
      <c r="CN16" s="10"/>
      <c r="CO16" s="42">
        <f>mround(CO15*Setup!FB4,'Quick Setup'!$A$2)</f>
        <v>195</v>
      </c>
      <c r="CP16" s="1">
        <v>5.0</v>
      </c>
      <c r="CQ16" s="1" t="s">
        <v>78</v>
      </c>
      <c r="CR16" s="3">
        <f>Setup!FE4</f>
        <v>5</v>
      </c>
      <c r="CS16" s="10"/>
      <c r="CT16" s="10"/>
      <c r="CU16" s="10"/>
      <c r="CV16" s="42">
        <f>mround(CV15*Setup!FN4,'Quick Setup'!$A$2)</f>
        <v>260</v>
      </c>
      <c r="CW16" s="3">
        <f>Setup!FO4</f>
        <v>3</v>
      </c>
      <c r="CX16" s="3">
        <f>Setup!FP4</f>
        <v>6</v>
      </c>
      <c r="CY16" s="3">
        <f>Setup!FQ4</f>
        <v>5</v>
      </c>
      <c r="CZ16" s="10"/>
      <c r="DA16" s="10"/>
      <c r="DB16" s="10"/>
      <c r="DC16" s="42">
        <f>mround(DC15*Setup!FZ4,'Quick Setup'!$A$2)</f>
        <v>277.5</v>
      </c>
      <c r="DD16" s="3">
        <f>Setup!GA4</f>
        <v>2</v>
      </c>
      <c r="DE16" s="3">
        <f>Setup!GB4</f>
        <v>4</v>
      </c>
      <c r="DF16" s="3">
        <f>Setup!GC4</f>
        <v>5</v>
      </c>
      <c r="DG16" s="10"/>
      <c r="DH16" s="10"/>
      <c r="DI16" s="10"/>
      <c r="DJ16" s="42">
        <f>mround(DJ15*Setup!GL4,'Quick Setup'!$A$2)</f>
        <v>292.5</v>
      </c>
      <c r="DK16" s="3">
        <f>Setup!GM4</f>
        <v>1</v>
      </c>
      <c r="DL16" s="3">
        <f>Setup!GN4</f>
        <v>2</v>
      </c>
      <c r="DM16" s="3">
        <f>Setup!GO4</f>
        <v>5</v>
      </c>
      <c r="DN16" s="10"/>
      <c r="DO16" s="10"/>
      <c r="DP16" s="10"/>
      <c r="DQ16" s="42">
        <f>mround(DQ15*Setup!GX4,'Quick Setup'!$A$2)</f>
        <v>277.5</v>
      </c>
      <c r="DR16" s="3">
        <f>Setup!GY4</f>
        <v>2</v>
      </c>
      <c r="DS16" s="3">
        <f>Setup!GZ4</f>
        <v>4</v>
      </c>
      <c r="DT16" s="3">
        <f>Setup!HA4</f>
        <v>5</v>
      </c>
      <c r="DU16" s="10"/>
      <c r="DV16" s="10"/>
      <c r="DW16" s="10"/>
      <c r="DX16" s="42">
        <f>mround(DX15*Setup!HJ4,'Quick Setup'!$A$2)</f>
        <v>292.5</v>
      </c>
      <c r="DY16" s="3">
        <f>Setup!HK4</f>
        <v>1</v>
      </c>
      <c r="DZ16" s="3">
        <f>Setup!HL4</f>
        <v>2</v>
      </c>
      <c r="EA16" s="3">
        <f>Setup!HM4</f>
        <v>5</v>
      </c>
      <c r="EB16" s="10"/>
      <c r="EC16" s="10"/>
      <c r="ED16" s="10"/>
      <c r="EE16" s="42">
        <f>mround(EE15*Setup!HV4,'Quick Setup'!$A$2)</f>
        <v>310</v>
      </c>
      <c r="EF16" s="3">
        <f>Setup!HW4</f>
        <v>1</v>
      </c>
      <c r="EG16" s="3">
        <f>Setup!HX4</f>
        <v>1</v>
      </c>
      <c r="EH16" s="3">
        <f>Setup!HY4</f>
        <v>5</v>
      </c>
      <c r="EI16" s="10"/>
      <c r="EJ16" s="10"/>
      <c r="EK16" s="10"/>
      <c r="EL16" s="42">
        <f>mround(EL15*Setup!IH4,'Quick Setup'!$A$2)</f>
        <v>195</v>
      </c>
      <c r="EM16" s="1">
        <v>5.0</v>
      </c>
      <c r="EN16" s="1" t="s">
        <v>78</v>
      </c>
      <c r="EO16" s="3">
        <f>Setup!IK4</f>
        <v>5</v>
      </c>
      <c r="EP16" s="10"/>
      <c r="EQ16" s="10"/>
      <c r="ER16" s="10"/>
    </row>
    <row r="17" hidden="1">
      <c r="A17" s="37" t="str">
        <f>CONCATENATE(A18," TM")</f>
        <v>Close Grip Bench TM</v>
      </c>
      <c r="B17" s="38">
        <f>if(D17="",'Quick Setup'!D13,D17/'Quick Setup'!E13)</f>
        <v>310</v>
      </c>
      <c r="C17" s="39" t="s">
        <v>75</v>
      </c>
      <c r="D17" s="40"/>
      <c r="E17" s="41"/>
      <c r="F17" s="41"/>
      <c r="G17" s="41"/>
      <c r="H17" s="41"/>
      <c r="I17" s="38">
        <f>if(K17="", if(F18&lt;&gt;"", if((F18-D18)&lt;-1,B17*(1+Setup!F11),if((F18-D18)&lt;0,B17*(1+Setup!G11),if((F18-D18)=0,B17*(1+Setup!H11),if((F18-D18)=1,B17*(1+Setup!I11),if((F18-D18)=2,B17*(1+Setup!J11),if((F18-D18)=3,B17*(1+Setup!K11),if((F18-D18)=4,B17*(1+Setup!L11),if((F18-D18)&gt;4,B17*(1+Setup!M11),B17)))))))),B17),K17/'Quick Setup'!$E13)</f>
        <v>310</v>
      </c>
      <c r="J17" s="39" t="s">
        <v>75</v>
      </c>
      <c r="K17" s="40"/>
      <c r="L17" s="41"/>
      <c r="M17" s="41"/>
      <c r="N17" s="41"/>
      <c r="O17" s="41"/>
      <c r="P17" s="38">
        <f>if(R17="", if(M18&lt;&gt;"", if((M18-K18)&lt;-1,I17*(1+Setup!R11),if((M18-K18)&lt;0,I17*(1+Setup!S11),if((M18-K18)=0,I17*(1+Setup!T11),if((M18-K18)=1,I17*(1+Setup!U11),if((M18-K18)=2,I17*(1+Setup!V11),if((M18-K18)=3,I17*(1+Setup!W11),if((M18-K18)=4,I17*(1+Setup!X11),if((M18-K18)&gt;4,I17*(1+Setup!Y11),I17)))))))),I17),R17/'Quick Setup'!$E13)</f>
        <v>310</v>
      </c>
      <c r="Q17" s="39" t="s">
        <v>75</v>
      </c>
      <c r="R17" s="40"/>
      <c r="S17" s="41"/>
      <c r="T17" s="41"/>
      <c r="U17" s="41"/>
      <c r="V17" s="41"/>
      <c r="W17" s="38">
        <f>if(Y17="", if(T18&lt;&gt;"", if((T18-R18)&lt;-1,P17*(1+Setup!AD11),if((T18-R18)&lt;0,P17*(1+Setup!AE11),if((T18-R18)=0,P17*(1+Setup!AF11),if((T18-R18)=1,P17*(1+Setup!AG11),if((T18-R18)=2,P17*(1+Setup!AH11),if((T18-R18)=3,P17*(1+Setup!AI11),if((T18-R18)=4,P17*(1+Setup!AJ11),if((T18-R18)&gt;4,P17*(1+Setup!AK11),P17)))))))),P17),Y17/'Quick Setup'!$E13)</f>
        <v>310</v>
      </c>
      <c r="X17" s="39" t="s">
        <v>75</v>
      </c>
      <c r="Y17" s="40"/>
      <c r="Z17" s="41"/>
      <c r="AA17" s="41"/>
      <c r="AB17" s="41"/>
      <c r="AC17" s="41"/>
      <c r="AD17" s="38">
        <f>if(AF17="", if(AA18&lt;&gt;"", if((AA18-Y18)&lt;-1,W17*(1+Setup!AP11),if((AA18-Y18)&lt;0,W17*(1+Setup!AQ11),if((AA18-Y18)=0,W17*(1+Setup!AR11),if((AA18-Y18)=1,W17*(1+Setup!AS11),if((AA18-Y18)=2,W17*(1+Setup!AT11),if((AA18-Y18)=3,W17*(1+Setup!AU11),if((AA18-Y18)=4,W17*(1+Setup!AV11),if((AA18-Y18)&gt;4,W17*(1+Setup!AW11),W17)))))))),W17),AF17/'Quick Setup'!$E13)</f>
        <v>310</v>
      </c>
      <c r="AE17" s="39" t="s">
        <v>75</v>
      </c>
      <c r="AF17" s="40"/>
      <c r="AG17" s="41"/>
      <c r="AH17" s="41"/>
      <c r="AI17" s="41"/>
      <c r="AJ17" s="41"/>
      <c r="AK17" s="38">
        <f>if(AM17="", if(AH18&lt;&gt;"", if((AH18-AF18)&lt;-1,AD17*(1+Setup!BB11),if((AH18-AF18)&lt;0,AD17*(1+Setup!BC11),if((AH18-AF18)=0,AD17*(1+Setup!BD11),if((AH18-AF18)=1,AD17*(1+Setup!BE11),if((AH18-AF18)=2,AD17*(1+Setup!BF11),if((AH18-AF18)=3,AD17*(1+Setup!BG11),if((AH18-AF18)=4,AD17*(1+Setup!BH11),if((AH18-AF18)&gt;4,AD17*(1+Setup!BI11),AD17)))))))),AD17),AM17/'Quick Setup'!$E13)</f>
        <v>310</v>
      </c>
      <c r="AL17" s="39" t="s">
        <v>75</v>
      </c>
      <c r="AM17" s="40"/>
      <c r="AN17" s="41"/>
      <c r="AO17" s="41"/>
      <c r="AP17" s="41"/>
      <c r="AQ17" s="41"/>
      <c r="AR17" s="38">
        <f>if(AT17="", if(AO18&lt;&gt;"", if((AO18-AM18)&lt;-1,AK17*(1+Setup!BN11),if((AO18-AM18)&lt;0,AK17*(1+Setup!BO11),if((AO18-AM18)=0,AK17*(1+Setup!BP11),if((AO18-AM18)=1,AK17*(1+Setup!BQ11),if((AO18-AM18)=2,AK17*(1+Setup!BR11),if((AO18-AM18)=3,AK17*(1+Setup!BS11),if((AO18-AM18)=4,AK17*(1+Setup!BT11),if((AO18-AM18)&gt;4,AK17*(1+Setup!BU11),AK17)))))))),AK17),AT17/'Quick Setup'!$E13)</f>
        <v>310</v>
      </c>
      <c r="AS17" s="39" t="s">
        <v>75</v>
      </c>
      <c r="AT17" s="40"/>
      <c r="AU17" s="41"/>
      <c r="AV17" s="41"/>
      <c r="AW17" s="41"/>
      <c r="AX17" s="41"/>
      <c r="AY17" s="38">
        <f>if(BA17="",AR17,BA17/'Quick Setup'!$E13)</f>
        <v>310</v>
      </c>
      <c r="AZ17" s="39" t="s">
        <v>75</v>
      </c>
      <c r="BA17" s="40"/>
      <c r="BB17" s="41"/>
      <c r="BC17" s="41"/>
      <c r="BD17" s="41"/>
      <c r="BE17" s="41"/>
      <c r="BF17" s="38">
        <f>if(BH17="", if(BC18&lt;&gt;"", if((BC18-BA18)&lt;-1,AY17*(1+Setup!CL11),if((BC18-BA18)&lt;0,AY17*(1+Setup!CM11),if((BC18-BA18)=0,AY17*(1+Setup!CN11),if((BC18-BA18)=1,AY17*(1+Setup!CO11),if((BC18-BA18)=2,AY17*(1+Setup!CP11),if((BC18-BA18)=3,AY17*(1+Setup!CQ11),if((BC18-BA18)=4,AY17*(1+Setup!CR11),if((BC18-BA18)&gt;4,AY17*(1+Setup!CS11),AY17)))))))),AY17),BH17/'Quick Setup'!$E13)</f>
        <v>310</v>
      </c>
      <c r="BG17" s="39" t="s">
        <v>75</v>
      </c>
      <c r="BH17" s="40"/>
      <c r="BI17" s="41"/>
      <c r="BJ17" s="41"/>
      <c r="BK17" s="41"/>
      <c r="BL17" s="41"/>
      <c r="BM17" s="38">
        <f>if(BO17="", if(BJ18&lt;&gt;"", if((BJ18-BH18)&lt;-1,BF17*(1+Setup!CX11),if((BJ18-BH18)&lt;0,BF17*(1+Setup!CY11),if((BJ18-BH18)=0,BF17*(1+Setup!CZ11),if((BJ18-BH18)=1,BF17*(1+Setup!DA11),if((BJ18-BH18)=2,BF17*(1+Setup!DB11),if((BJ18-BH18)=3,BF17*(1+Setup!DC11),if((BJ18-BH18)=4,BF17*(1+Setup!DD11),if((BJ18-BH18)&gt;4,BF17*(1+Setup!DE11),BF17)))))))),BF17),BO17/'Quick Setup'!$E13)</f>
        <v>310</v>
      </c>
      <c r="BN17" s="39" t="s">
        <v>75</v>
      </c>
      <c r="BO17" s="40"/>
      <c r="BP17" s="41"/>
      <c r="BQ17" s="41"/>
      <c r="BR17" s="41"/>
      <c r="BS17" s="41"/>
      <c r="BT17" s="38">
        <f>if(BV17="", if(BQ18&lt;&gt;"", if((BQ18-BO18)&lt;-1,BM17*(1+Setup!DJ11),if((BQ18-BO18)&lt;0,BM17*(1+Setup!DK11),if((BQ18-BO18)=0,BM17*(1+Setup!DL11),if((BQ18-BO18)=1,BM17*(1+Setup!DM11),if((BQ18-BO18)=2,BM17*(1+Setup!DN11),if((BQ18-BO18)=3,BM17*(1+Setup!DO11),if((BQ18-BO18)=4,BM17*(1+Setup!DP11),if((BQ18-BO18)&gt;4,BM17*(1+Setup!DQ11),BM17)))))))),BM17),BV17/'Quick Setup'!$E13)</f>
        <v>310</v>
      </c>
      <c r="BU17" s="39" t="s">
        <v>75</v>
      </c>
      <c r="BV17" s="40"/>
      <c r="BW17" s="41"/>
      <c r="BX17" s="41"/>
      <c r="BY17" s="41"/>
      <c r="BZ17" s="41"/>
      <c r="CA17" s="38">
        <f>if(CC17="", if(BX18&lt;&gt;"", if((BX18-BV18)&lt;-1,BT17*(1+Setup!DV11),if((BX18-BV18)&lt;0,BT17*(1+Setup!DW11),if((BX18-BV18)=0,BT17*(1+Setup!DX11),if((BX18-BV18)=1,BT17*(1+Setup!DY11),if((BX18-BV18)=2,BT17*(1+Setup!DZ11),if((BX18-BV18)=3,BT17*(1+Setup!EA11),if((BX18-BV18)=4,BT17*(1+Setup!EB11),if((BX18-BV18)&gt;4,BT17*(1+Setup!EC11),BT17)))))))),BT17),CC17/'Quick Setup'!$E13)</f>
        <v>310</v>
      </c>
      <c r="CB17" s="39" t="s">
        <v>75</v>
      </c>
      <c r="CC17" s="40"/>
      <c r="CD17" s="41"/>
      <c r="CE17" s="41"/>
      <c r="CF17" s="41"/>
      <c r="CG17" s="41"/>
      <c r="CH17" s="38">
        <f>if(CJ17="", if(CE18&lt;&gt;"", if((CE18-CC18)&lt;-1,CA17*(1+Setup!EH11),if((CE18-CC18)&lt;0,CA17*(1+Setup!EI11),if((CE18-CC18)=0,CA17*(1+Setup!EJ11),if((CE18-CC18)=1,CA17*(1+Setup!EK11),if((CE18-CC18)=2,CA17*(1+Setup!EL11),if((CE18-CC18)=3,CA17*(1+Setup!EM11),if((CE18-CC18)=4,CA17*(1+Setup!EN11),if((CE18-CC18)&gt;4,CA17*(1+Setup!EO11),CA17)))))))),CA17),CJ17/'Quick Setup'!$E13)</f>
        <v>310</v>
      </c>
      <c r="CI17" s="39" t="s">
        <v>75</v>
      </c>
      <c r="CJ17" s="40"/>
      <c r="CK17" s="41"/>
      <c r="CL17" s="41"/>
      <c r="CM17" s="41"/>
      <c r="CN17" s="41"/>
      <c r="CO17" s="38">
        <f>if(CQ17="", if(CL18&lt;&gt;"", if((CL18-CJ18)&lt;-1,CH17*(1+Setup!ET11),if((CL18-CJ18)&lt;0,CH17*(1+Setup!EU11),if((CL18-CJ18)=0,CH17*(1+Setup!EV11),if((CL18-CJ18)=1,CH17*(1+Setup!EW11),if((CL18-CJ18)=2,CH17*(1+Setup!EX11),if((CL18-CJ18)=3,CH17*(1+Setup!EY11),if((CL18-CJ18)=4,CH17*(1+Setup!EZ11),if((CL18-CJ18)&gt;4,CH17*(1+Setup!FA11),CH17)))))))),CH17),CQ17/'Quick Setup'!$E13)</f>
        <v>310</v>
      </c>
      <c r="CP17" s="39" t="s">
        <v>75</v>
      </c>
      <c r="CQ17" s="40"/>
      <c r="CR17" s="41"/>
      <c r="CS17" s="41"/>
      <c r="CT17" s="41"/>
      <c r="CU17" s="41"/>
      <c r="CV17" s="38">
        <f>if(CX17="",CO17,CX17/'Quick Setup'!$E13)</f>
        <v>310</v>
      </c>
      <c r="CW17" s="39" t="s">
        <v>75</v>
      </c>
      <c r="CX17" s="40"/>
      <c r="CY17" s="41"/>
      <c r="CZ17" s="41"/>
      <c r="DA17" s="41"/>
      <c r="DB17" s="41"/>
      <c r="DC17" s="38">
        <f>if(DE17="", if(CZ18&lt;&gt;"", if((CZ18-CX18)&lt;-1,CV17*(1+Setup!FR11),if((CZ18-CX18)&lt;0,CV17*(1+Setup!FS11),if((CZ18-CX18)=0,CV17*(1+Setup!FT11),if((CZ18-CX18)=1,CV17*(1+Setup!FU11),if((CZ18-CX18)=2,CV17*(1+Setup!FV11),if((CZ18-CX18)=3,CV17*(1+Setup!FW11),if((CZ18-CX18)=4,CV17*(1+Setup!FX11),if((CZ18-CX18)&gt;4,CV17*(1+Setup!FY11),CV17)))))))),CV17),DE17/'Quick Setup'!$E13)</f>
        <v>310</v>
      </c>
      <c r="DD17" s="39" t="s">
        <v>75</v>
      </c>
      <c r="DE17" s="40"/>
      <c r="DF17" s="41"/>
      <c r="DG17" s="41"/>
      <c r="DH17" s="41"/>
      <c r="DI17" s="41"/>
      <c r="DJ17" s="38">
        <f>if(DL17="", if(DG18&lt;&gt;"", if((DG18-DE18)&lt;-1,DC17*(1+Setup!GD11),if((DG18-DE18)&lt;0,DC17*(1+Setup!GE11),if((DG18-DE18)=0,DC17*(1+Setup!GF11),if((DG18-DE18)=1,DC17*(1+Setup!GG11),if((DG18-DE18)=2,DC17*(1+Setup!GH11),if((DG18-DE18)=3,DC17*(1+Setup!GI11),if((DG18-DE18)=4,DC17*(1+Setup!GJ11),if((DG18-DE18)&gt;4,DC17*(1+Setup!GK11),DC17)))))))),DC17),DL17/'Quick Setup'!$E13)</f>
        <v>310</v>
      </c>
      <c r="DK17" s="39" t="s">
        <v>75</v>
      </c>
      <c r="DL17" s="40"/>
      <c r="DM17" s="41"/>
      <c r="DN17" s="41"/>
      <c r="DO17" s="41"/>
      <c r="DP17" s="41"/>
      <c r="DQ17" s="38">
        <f>if(DS17="", if(DN18&lt;&gt;"", if((DN18-DL18)&lt;-1,DJ17*(1+Setup!GP11),if((DN18-DL18)&lt;0,DJ17*(1+Setup!GQ11),if((DN18-DL18)=0,DJ17*(1+Setup!GR11),if((DN18-DL18)=1,DJ17*(1+Setup!GS11),if((DN18-DL18)=2,DJ17*(1+Setup!GT11),if((DN18-DL18)=3,DJ17*(1+Setup!GU11),if((DN18-DL18)=4,DJ17*(1+Setup!GV11),if((DN18-DL18)&gt;4,DJ17*(1+Setup!GW11),DJ17)))))))),DJ17),DS17/'Quick Setup'!$E13)</f>
        <v>310</v>
      </c>
      <c r="DR17" s="39" t="s">
        <v>75</v>
      </c>
      <c r="DS17" s="40"/>
      <c r="DT17" s="41"/>
      <c r="DU17" s="41"/>
      <c r="DV17" s="41"/>
      <c r="DW17" s="41"/>
      <c r="DX17" s="38">
        <f>if(DZ17="", if(DU18&lt;&gt;"", if((DU18-DS18)&lt;-1,DQ17*(1+Setup!HB11),if((DU18-DS18)&lt;0,DQ17*(1+Setup!HC11),if((DU18-DS18)=0,DQ17*(1+Setup!HD11),if((DU18-DS18)=1,DQ17*(1+Setup!HE11),if((DU18-DS18)=2,DQ17*(1+Setup!HF11),if((DU18-DS18)=3,DQ17*(1+Setup!HG11),if((DU18-DS18)=4,DQ17*(1+Setup!HH11),if((DU18-DS18)&gt;4,DQ17*(1+Setup!HI11),DQ17)))))))),DQ17),DZ17/'Quick Setup'!$E13)</f>
        <v>310</v>
      </c>
      <c r="DY17" s="39" t="s">
        <v>75</v>
      </c>
      <c r="DZ17" s="40"/>
      <c r="EA17" s="41"/>
      <c r="EB17" s="41"/>
      <c r="EC17" s="41"/>
      <c r="ED17" s="41"/>
      <c r="EE17" s="38">
        <f>if(EG17="", if(EB18&lt;&gt;"", if((EB18-DZ18)&lt;-1,DX17*(1+Setup!HN11),if((EB18-DZ18)&lt;0,DX17*(1+Setup!HO11),if((EB18-DZ18)=0,DX17*(1+Setup!HP11),if((EB18-DZ18)=1,DX17*(1+Setup!HQ11),if((EB18-DZ18)=2,DX17*(1+Setup!HR11),if((EB18-DZ18)=3,DX17*(1+Setup!HS11),if((EB18-DZ18)=4,DX17*(1+Setup!HT11),if((EB18-DZ18)&gt;4,DX17*(1+Setup!HU11),DX17)))))))),DX17),EG17/'Quick Setup'!$E13)</f>
        <v>310</v>
      </c>
      <c r="EF17" s="39" t="s">
        <v>75</v>
      </c>
      <c r="EG17" s="40"/>
      <c r="EH17" s="41"/>
      <c r="EI17" s="41"/>
      <c r="EJ17" s="41"/>
      <c r="EK17" s="41"/>
      <c r="EL17" s="38">
        <f>if(EN17="", if(EI18&lt;&gt;"", if((EI18-EG18)&lt;-1,EE17*(1+Setup!HZ11),if((EI18-EG18)&lt;0,EE17*(1+Setup!IA11),if((EI18-EG18)=0,EE17*(1+Setup!IB11),if((EI18-EG18)=1,EE17*(1+Setup!IC11),if((EI18-EG18)=2,EE17*(1+Setup!ID11),if((EI18-EG18)=3,EE17*(1+Setup!IE11),if((EI18-EG18)=4,EE17*(1+Setup!IF11),if((EI18-EG18)&gt;4,EE17*(1+Setup!IG11),EE17)))))))),EE17),EN17/'Quick Setup'!$E13)</f>
        <v>310</v>
      </c>
      <c r="EM17" s="39" t="s">
        <v>75</v>
      </c>
      <c r="EN17" s="40"/>
      <c r="EO17" s="41"/>
      <c r="EP17" s="41"/>
      <c r="EQ17" s="41"/>
      <c r="ER17" s="41"/>
    </row>
    <row r="18">
      <c r="A18" s="1" t="str">
        <f>Setup!A11</f>
        <v>Close Grip Bench</v>
      </c>
      <c r="B18" s="42">
        <f>mround(B17*Setup!B11,'Quick Setup'!$A$2)</f>
        <v>185</v>
      </c>
      <c r="C18" s="3">
        <f>Setup!C11</f>
        <v>7</v>
      </c>
      <c r="D18" s="3">
        <f>Setup!D11</f>
        <v>14</v>
      </c>
      <c r="E18" s="3">
        <f>Setup!E11</f>
        <v>5</v>
      </c>
      <c r="F18" s="10"/>
      <c r="G18" s="10"/>
      <c r="H18" s="10"/>
      <c r="I18" s="42">
        <f>mround(I17*Setup!N11,'Quick Setup'!$A$2)</f>
        <v>202.5</v>
      </c>
      <c r="J18" s="3">
        <f>Setup!O11</f>
        <v>6</v>
      </c>
      <c r="K18" s="3">
        <f>Setup!P11</f>
        <v>12</v>
      </c>
      <c r="L18" s="3">
        <f>Setup!Q11</f>
        <v>5</v>
      </c>
      <c r="M18" s="10"/>
      <c r="N18" s="10"/>
      <c r="O18" s="10"/>
      <c r="P18" s="42">
        <f>mround(P17*Setup!Z11,'Quick Setup'!$A$2)</f>
        <v>217.5</v>
      </c>
      <c r="Q18" s="3">
        <f>Setup!AA11</f>
        <v>5</v>
      </c>
      <c r="R18" s="3">
        <f>Setup!AB11</f>
        <v>10</v>
      </c>
      <c r="S18" s="3">
        <f>Setup!AC11</f>
        <v>5</v>
      </c>
      <c r="T18" s="10"/>
      <c r="U18" s="10"/>
      <c r="V18" s="10"/>
      <c r="W18" s="42">
        <f>mround(W17*Setup!AL11,'Quick Setup'!$A$2)</f>
        <v>195</v>
      </c>
      <c r="X18" s="3">
        <f>Setup!AM11</f>
        <v>7</v>
      </c>
      <c r="Y18" s="3">
        <f>Setup!AN11</f>
        <v>13</v>
      </c>
      <c r="Z18" s="3">
        <f>Setup!AO11</f>
        <v>5</v>
      </c>
      <c r="AA18" s="10"/>
      <c r="AB18" s="10"/>
      <c r="AC18" s="10"/>
      <c r="AD18" s="42">
        <f>mround(AD17*Setup!AX11,'Quick Setup'!$A$2)</f>
        <v>210</v>
      </c>
      <c r="AE18" s="3">
        <f>Setup!AY11</f>
        <v>6</v>
      </c>
      <c r="AF18" s="3">
        <f>Setup!AZ11</f>
        <v>11</v>
      </c>
      <c r="AG18" s="3">
        <f>Setup!BA11</f>
        <v>5</v>
      </c>
      <c r="AH18" s="10"/>
      <c r="AI18" s="10"/>
      <c r="AJ18" s="10"/>
      <c r="AK18" s="42">
        <f>mround(AK17*Setup!BJ11,'Quick Setup'!$A$2)</f>
        <v>225</v>
      </c>
      <c r="AL18" s="3">
        <f>Setup!BK11</f>
        <v>5</v>
      </c>
      <c r="AM18" s="3">
        <f>Setup!BL11</f>
        <v>9</v>
      </c>
      <c r="AN18" s="3">
        <f>Setup!BM11</f>
        <v>5</v>
      </c>
      <c r="AO18" s="10"/>
      <c r="AP18" s="10"/>
      <c r="AQ18" s="10"/>
      <c r="AR18" s="42">
        <f>mround(AR17*Setup!BV11,'Quick Setup'!$A$2)</f>
        <v>155</v>
      </c>
      <c r="AS18" s="1">
        <v>5.0</v>
      </c>
      <c r="AT18" s="1" t="s">
        <v>78</v>
      </c>
      <c r="AU18" s="3">
        <f>Setup!BY11</f>
        <v>5</v>
      </c>
      <c r="AV18" s="10"/>
      <c r="AW18" s="10"/>
      <c r="AX18" s="10"/>
      <c r="AY18" s="42">
        <f>mround(AY17*Setup!CH11,'Quick Setup'!$A$2)</f>
        <v>202.5</v>
      </c>
      <c r="AZ18" s="3">
        <f>Setup!CI11</f>
        <v>6</v>
      </c>
      <c r="BA18" s="3">
        <f>Setup!CJ11</f>
        <v>12</v>
      </c>
      <c r="BB18" s="3">
        <f>Setup!CK11</f>
        <v>5</v>
      </c>
      <c r="BC18" s="10"/>
      <c r="BD18" s="10"/>
      <c r="BE18" s="10"/>
      <c r="BF18" s="42">
        <f>mround(BF17*Setup!CT11,'Quick Setup'!$A$2)</f>
        <v>217.5</v>
      </c>
      <c r="BG18" s="3">
        <f>Setup!CU11</f>
        <v>5</v>
      </c>
      <c r="BH18" s="3">
        <f>Setup!CV11</f>
        <v>10</v>
      </c>
      <c r="BI18" s="3">
        <f>Setup!CW11</f>
        <v>5</v>
      </c>
      <c r="BJ18" s="10"/>
      <c r="BK18" s="10"/>
      <c r="BL18" s="10"/>
      <c r="BM18" s="42">
        <f>mround(BM17*Setup!DF11,'Quick Setup'!$A$2)</f>
        <v>232.5</v>
      </c>
      <c r="BN18" s="3">
        <f>Setup!DG11</f>
        <v>4</v>
      </c>
      <c r="BO18" s="3">
        <f>Setup!DH11</f>
        <v>8</v>
      </c>
      <c r="BP18" s="3">
        <f>Setup!DI11</f>
        <v>5</v>
      </c>
      <c r="BQ18" s="10"/>
      <c r="BR18" s="10"/>
      <c r="BS18" s="10"/>
      <c r="BT18" s="42">
        <f>mround(BT17*Setup!DR11,'Quick Setup'!$A$2)</f>
        <v>210</v>
      </c>
      <c r="BU18" s="3">
        <f>Setup!DS11</f>
        <v>6</v>
      </c>
      <c r="BV18" s="3">
        <f>Setup!DT11</f>
        <v>11</v>
      </c>
      <c r="BW18" s="3">
        <f>Setup!DU11</f>
        <v>5</v>
      </c>
      <c r="BX18" s="10"/>
      <c r="BY18" s="10"/>
      <c r="BZ18" s="10"/>
      <c r="CA18" s="42">
        <f>mround(CA17*Setup!ED11,'Quick Setup'!$A$2)</f>
        <v>225</v>
      </c>
      <c r="CB18" s="3">
        <f>Setup!EE11</f>
        <v>5</v>
      </c>
      <c r="CC18" s="3">
        <f>Setup!EF11</f>
        <v>9</v>
      </c>
      <c r="CD18" s="3">
        <f>Setup!EG11</f>
        <v>5</v>
      </c>
      <c r="CE18" s="10"/>
      <c r="CF18" s="10"/>
      <c r="CG18" s="10"/>
      <c r="CH18" s="42">
        <f>mround(CH17*Setup!EP11,'Quick Setup'!$A$2)</f>
        <v>240</v>
      </c>
      <c r="CI18" s="3">
        <f>Setup!EQ11</f>
        <v>4</v>
      </c>
      <c r="CJ18" s="3">
        <f>Setup!ER11</f>
        <v>7</v>
      </c>
      <c r="CK18" s="3">
        <f>Setup!ES11</f>
        <v>5</v>
      </c>
      <c r="CL18" s="10"/>
      <c r="CM18" s="10"/>
      <c r="CN18" s="10"/>
      <c r="CO18" s="42">
        <f>mround(CO17*Setup!FB11,'Quick Setup'!$A$2)</f>
        <v>155</v>
      </c>
      <c r="CP18" s="1">
        <v>5.0</v>
      </c>
      <c r="CQ18" s="1" t="s">
        <v>78</v>
      </c>
      <c r="CR18" s="3">
        <f>Setup!FE11</f>
        <v>5</v>
      </c>
      <c r="CS18" s="10"/>
      <c r="CT18" s="10"/>
      <c r="CU18" s="10"/>
      <c r="CV18" s="42">
        <f>mround(CV17*Setup!FN11,'Quick Setup'!$A$2)</f>
        <v>217.5</v>
      </c>
      <c r="CW18" s="3">
        <f>Setup!FO11</f>
        <v>5</v>
      </c>
      <c r="CX18" s="3">
        <f>Setup!FP11</f>
        <v>10</v>
      </c>
      <c r="CY18" s="3">
        <f>Setup!FQ11</f>
        <v>5</v>
      </c>
      <c r="CZ18" s="10"/>
      <c r="DA18" s="10"/>
      <c r="DB18" s="10"/>
      <c r="DC18" s="42">
        <f>mround(DC17*Setup!FZ11,'Quick Setup'!$A$2)</f>
        <v>232.5</v>
      </c>
      <c r="DD18" s="3">
        <f>Setup!GA11</f>
        <v>4</v>
      </c>
      <c r="DE18" s="3">
        <f>Setup!GB11</f>
        <v>8</v>
      </c>
      <c r="DF18" s="3">
        <f>Setup!GC11</f>
        <v>5</v>
      </c>
      <c r="DG18" s="10"/>
      <c r="DH18" s="10"/>
      <c r="DI18" s="10"/>
      <c r="DJ18" s="42">
        <f>mround(DJ17*Setup!GL11,'Quick Setup'!$A$2)</f>
        <v>247.5</v>
      </c>
      <c r="DK18" s="3">
        <f>Setup!GM11</f>
        <v>3</v>
      </c>
      <c r="DL18" s="3">
        <f>Setup!GN11</f>
        <v>6</v>
      </c>
      <c r="DM18" s="3">
        <f>Setup!GO11</f>
        <v>5</v>
      </c>
      <c r="DN18" s="10"/>
      <c r="DO18" s="10"/>
      <c r="DP18" s="10"/>
      <c r="DQ18" s="42">
        <f>mround(DQ17*Setup!GX11,'Quick Setup'!$A$2)</f>
        <v>232.5</v>
      </c>
      <c r="DR18" s="3">
        <f>Setup!GY11</f>
        <v>4</v>
      </c>
      <c r="DS18" s="3">
        <f>Setup!GZ11</f>
        <v>8</v>
      </c>
      <c r="DT18" s="3">
        <f>Setup!HA11</f>
        <v>5</v>
      </c>
      <c r="DU18" s="10"/>
      <c r="DV18" s="10"/>
      <c r="DW18" s="10"/>
      <c r="DX18" s="42">
        <f>mround(DX17*Setup!HJ11,'Quick Setup'!$A$2)</f>
        <v>247.5</v>
      </c>
      <c r="DY18" s="3">
        <f>Setup!HK11</f>
        <v>3</v>
      </c>
      <c r="DZ18" s="3">
        <f>Setup!HL11</f>
        <v>6</v>
      </c>
      <c r="EA18" s="3">
        <f>Setup!HM11</f>
        <v>5</v>
      </c>
      <c r="EB18" s="10"/>
      <c r="EC18" s="10"/>
      <c r="ED18" s="10"/>
      <c r="EE18" s="42">
        <f>mround(EE17*Setup!HV11,'Quick Setup'!$A$2)</f>
        <v>262.5</v>
      </c>
      <c r="EF18" s="3">
        <f>Setup!HW11</f>
        <v>2</v>
      </c>
      <c r="EG18" s="3">
        <f>Setup!HX11</f>
        <v>4</v>
      </c>
      <c r="EH18" s="3">
        <f>Setup!HY11</f>
        <v>5</v>
      </c>
      <c r="EI18" s="10"/>
      <c r="EJ18" s="10"/>
      <c r="EK18" s="10"/>
      <c r="EL18" s="42">
        <f>mround(EL17*Setup!IH11,'Quick Setup'!$A$2)</f>
        <v>155</v>
      </c>
      <c r="EM18" s="1">
        <v>5.0</v>
      </c>
      <c r="EN18" s="1" t="s">
        <v>78</v>
      </c>
      <c r="EO18" s="3">
        <f>Setup!IK11</f>
        <v>5</v>
      </c>
      <c r="EP18" s="10"/>
      <c r="EQ18" s="10"/>
      <c r="ER18" s="10"/>
    </row>
    <row r="19">
      <c r="A19" s="5"/>
      <c r="B19" s="43"/>
      <c r="C19" s="10"/>
      <c r="D19" s="10"/>
      <c r="E19" s="10"/>
      <c r="F19" s="10"/>
      <c r="G19" s="10"/>
      <c r="H19" s="10"/>
      <c r="I19" s="43" t="str">
        <f t="shared" ref="I19:M19" si="81">B19</f>
        <v/>
      </c>
      <c r="J19" s="10" t="str">
        <f t="shared" si="81"/>
        <v/>
      </c>
      <c r="K19" s="10" t="str">
        <f t="shared" si="81"/>
        <v/>
      </c>
      <c r="L19" s="10" t="str">
        <f t="shared" si="81"/>
        <v/>
      </c>
      <c r="M19" s="10" t="str">
        <f t="shared" si="81"/>
        <v/>
      </c>
      <c r="N19" s="10"/>
      <c r="O19" s="10"/>
      <c r="P19" s="43" t="str">
        <f t="shared" ref="P19:T19" si="82">I19</f>
        <v/>
      </c>
      <c r="Q19" s="10" t="str">
        <f t="shared" si="82"/>
        <v/>
      </c>
      <c r="R19" s="10" t="str">
        <f t="shared" si="82"/>
        <v/>
      </c>
      <c r="S19" s="10" t="str">
        <f t="shared" si="82"/>
        <v/>
      </c>
      <c r="T19" s="10" t="str">
        <f t="shared" si="82"/>
        <v/>
      </c>
      <c r="U19" s="10"/>
      <c r="V19" s="10"/>
      <c r="W19" s="43" t="str">
        <f t="shared" ref="W19:AA19" si="83">P19</f>
        <v/>
      </c>
      <c r="X19" s="10" t="str">
        <f t="shared" si="83"/>
        <v/>
      </c>
      <c r="Y19" s="10" t="str">
        <f t="shared" si="83"/>
        <v/>
      </c>
      <c r="Z19" s="10" t="str">
        <f t="shared" si="83"/>
        <v/>
      </c>
      <c r="AA19" s="10" t="str">
        <f t="shared" si="83"/>
        <v/>
      </c>
      <c r="AB19" s="10"/>
      <c r="AC19" s="10"/>
      <c r="AD19" s="43" t="str">
        <f t="shared" ref="AD19:AH19" si="84">W19</f>
        <v/>
      </c>
      <c r="AE19" s="10" t="str">
        <f t="shared" si="84"/>
        <v/>
      </c>
      <c r="AF19" s="10" t="str">
        <f t="shared" si="84"/>
        <v/>
      </c>
      <c r="AG19" s="10" t="str">
        <f t="shared" si="84"/>
        <v/>
      </c>
      <c r="AH19" s="10" t="str">
        <f t="shared" si="84"/>
        <v/>
      </c>
      <c r="AI19" s="10"/>
      <c r="AJ19" s="10"/>
      <c r="AK19" s="43" t="str">
        <f t="shared" ref="AK19:AO19" si="85">AD19</f>
        <v/>
      </c>
      <c r="AL19" s="10" t="str">
        <f t="shared" si="85"/>
        <v/>
      </c>
      <c r="AM19" s="10" t="str">
        <f t="shared" si="85"/>
        <v/>
      </c>
      <c r="AN19" s="10" t="str">
        <f t="shared" si="85"/>
        <v/>
      </c>
      <c r="AO19" s="10" t="str">
        <f t="shared" si="85"/>
        <v/>
      </c>
      <c r="AP19" s="10"/>
      <c r="AQ19" s="10"/>
      <c r="AR19" s="43" t="str">
        <f t="shared" ref="AR19:AV19" si="86">AK19</f>
        <v/>
      </c>
      <c r="AS19" s="10" t="str">
        <f t="shared" si="86"/>
        <v/>
      </c>
      <c r="AT19" s="10" t="str">
        <f t="shared" si="86"/>
        <v/>
      </c>
      <c r="AU19" s="10" t="str">
        <f t="shared" si="86"/>
        <v/>
      </c>
      <c r="AV19" s="10" t="str">
        <f t="shared" si="86"/>
        <v/>
      </c>
      <c r="AW19" s="10"/>
      <c r="AX19" s="10"/>
      <c r="AY19" s="43" t="str">
        <f t="shared" ref="AY19:BC19" si="87">AR19</f>
        <v/>
      </c>
      <c r="AZ19" s="10" t="str">
        <f t="shared" si="87"/>
        <v/>
      </c>
      <c r="BA19" s="10" t="str">
        <f t="shared" si="87"/>
        <v/>
      </c>
      <c r="BB19" s="10" t="str">
        <f t="shared" si="87"/>
        <v/>
      </c>
      <c r="BC19" s="10" t="str">
        <f t="shared" si="87"/>
        <v/>
      </c>
      <c r="BD19" s="10"/>
      <c r="BE19" s="10"/>
      <c r="BF19" s="43" t="str">
        <f t="shared" ref="BF19:BJ19" si="88">AY19</f>
        <v/>
      </c>
      <c r="BG19" s="10" t="str">
        <f t="shared" si="88"/>
        <v/>
      </c>
      <c r="BH19" s="10" t="str">
        <f t="shared" si="88"/>
        <v/>
      </c>
      <c r="BI19" s="10" t="str">
        <f t="shared" si="88"/>
        <v/>
      </c>
      <c r="BJ19" s="10" t="str">
        <f t="shared" si="88"/>
        <v/>
      </c>
      <c r="BK19" s="10"/>
      <c r="BL19" s="10"/>
      <c r="BM19" s="43" t="str">
        <f t="shared" ref="BM19:BQ19" si="89">BF19</f>
        <v/>
      </c>
      <c r="BN19" s="10" t="str">
        <f t="shared" si="89"/>
        <v/>
      </c>
      <c r="BO19" s="10" t="str">
        <f t="shared" si="89"/>
        <v/>
      </c>
      <c r="BP19" s="10" t="str">
        <f t="shared" si="89"/>
        <v/>
      </c>
      <c r="BQ19" s="10" t="str">
        <f t="shared" si="89"/>
        <v/>
      </c>
      <c r="BR19" s="10"/>
      <c r="BS19" s="10"/>
      <c r="BT19" s="43" t="str">
        <f t="shared" ref="BT19:BX19" si="90">BM19</f>
        <v/>
      </c>
      <c r="BU19" s="10" t="str">
        <f t="shared" si="90"/>
        <v/>
      </c>
      <c r="BV19" s="10" t="str">
        <f t="shared" si="90"/>
        <v/>
      </c>
      <c r="BW19" s="10" t="str">
        <f t="shared" si="90"/>
        <v/>
      </c>
      <c r="BX19" s="10" t="str">
        <f t="shared" si="90"/>
        <v/>
      </c>
      <c r="BY19" s="10"/>
      <c r="BZ19" s="10"/>
      <c r="CA19" s="43" t="str">
        <f t="shared" ref="CA19:CE19" si="91">BT19</f>
        <v/>
      </c>
      <c r="CB19" s="10" t="str">
        <f t="shared" si="91"/>
        <v/>
      </c>
      <c r="CC19" s="10" t="str">
        <f t="shared" si="91"/>
        <v/>
      </c>
      <c r="CD19" s="10" t="str">
        <f t="shared" si="91"/>
        <v/>
      </c>
      <c r="CE19" s="10" t="str">
        <f t="shared" si="91"/>
        <v/>
      </c>
      <c r="CF19" s="10"/>
      <c r="CG19" s="10"/>
      <c r="CH19" s="43" t="str">
        <f t="shared" ref="CH19:CL19" si="92">CA19</f>
        <v/>
      </c>
      <c r="CI19" s="10" t="str">
        <f t="shared" si="92"/>
        <v/>
      </c>
      <c r="CJ19" s="10" t="str">
        <f t="shared" si="92"/>
        <v/>
      </c>
      <c r="CK19" s="10" t="str">
        <f t="shared" si="92"/>
        <v/>
      </c>
      <c r="CL19" s="10" t="str">
        <f t="shared" si="92"/>
        <v/>
      </c>
      <c r="CM19" s="10"/>
      <c r="CN19" s="10"/>
      <c r="CO19" s="43" t="str">
        <f t="shared" ref="CO19:CS19" si="93">CH19</f>
        <v/>
      </c>
      <c r="CP19" s="10" t="str">
        <f t="shared" si="93"/>
        <v/>
      </c>
      <c r="CQ19" s="10" t="str">
        <f t="shared" si="93"/>
        <v/>
      </c>
      <c r="CR19" s="10" t="str">
        <f t="shared" si="93"/>
        <v/>
      </c>
      <c r="CS19" s="10" t="str">
        <f t="shared" si="93"/>
        <v/>
      </c>
      <c r="CT19" s="10"/>
      <c r="CU19" s="10"/>
      <c r="CV19" s="43" t="str">
        <f t="shared" ref="CV19:CZ19" si="94">CO19</f>
        <v/>
      </c>
      <c r="CW19" s="10" t="str">
        <f t="shared" si="94"/>
        <v/>
      </c>
      <c r="CX19" s="10" t="str">
        <f t="shared" si="94"/>
        <v/>
      </c>
      <c r="CY19" s="10" t="str">
        <f t="shared" si="94"/>
        <v/>
      </c>
      <c r="CZ19" s="10" t="str">
        <f t="shared" si="94"/>
        <v/>
      </c>
      <c r="DA19" s="10"/>
      <c r="DB19" s="10"/>
      <c r="DC19" s="43" t="str">
        <f t="shared" ref="DC19:DG19" si="95">CV19</f>
        <v/>
      </c>
      <c r="DD19" s="10" t="str">
        <f t="shared" si="95"/>
        <v/>
      </c>
      <c r="DE19" s="10" t="str">
        <f t="shared" si="95"/>
        <v/>
      </c>
      <c r="DF19" s="10" t="str">
        <f t="shared" si="95"/>
        <v/>
      </c>
      <c r="DG19" s="10" t="str">
        <f t="shared" si="95"/>
        <v/>
      </c>
      <c r="DH19" s="10"/>
      <c r="DI19" s="10"/>
      <c r="DJ19" s="43" t="str">
        <f t="shared" ref="DJ19:DN19" si="96">DC19</f>
        <v/>
      </c>
      <c r="DK19" s="10" t="str">
        <f t="shared" si="96"/>
        <v/>
      </c>
      <c r="DL19" s="10" t="str">
        <f t="shared" si="96"/>
        <v/>
      </c>
      <c r="DM19" s="10" t="str">
        <f t="shared" si="96"/>
        <v/>
      </c>
      <c r="DN19" s="10" t="str">
        <f t="shared" si="96"/>
        <v/>
      </c>
      <c r="DO19" s="10"/>
      <c r="DP19" s="10"/>
      <c r="DQ19" s="43" t="str">
        <f t="shared" ref="DQ19:DU19" si="97">DJ19</f>
        <v/>
      </c>
      <c r="DR19" s="10" t="str">
        <f t="shared" si="97"/>
        <v/>
      </c>
      <c r="DS19" s="10" t="str">
        <f t="shared" si="97"/>
        <v/>
      </c>
      <c r="DT19" s="10" t="str">
        <f t="shared" si="97"/>
        <v/>
      </c>
      <c r="DU19" s="10" t="str">
        <f t="shared" si="97"/>
        <v/>
      </c>
      <c r="DV19" s="10"/>
      <c r="DW19" s="10"/>
      <c r="DX19" s="43" t="str">
        <f t="shared" ref="DX19:EB19" si="98">DQ19</f>
        <v/>
      </c>
      <c r="DY19" s="10" t="str">
        <f t="shared" si="98"/>
        <v/>
      </c>
      <c r="DZ19" s="10" t="str">
        <f t="shared" si="98"/>
        <v/>
      </c>
      <c r="EA19" s="10" t="str">
        <f t="shared" si="98"/>
        <v/>
      </c>
      <c r="EB19" s="10" t="str">
        <f t="shared" si="98"/>
        <v/>
      </c>
      <c r="EC19" s="10"/>
      <c r="ED19" s="10"/>
      <c r="EE19" s="43" t="str">
        <f t="shared" ref="EE19:EI19" si="99">DX19</f>
        <v/>
      </c>
      <c r="EF19" s="10" t="str">
        <f t="shared" si="99"/>
        <v/>
      </c>
      <c r="EG19" s="10" t="str">
        <f t="shared" si="99"/>
        <v/>
      </c>
      <c r="EH19" s="10" t="str">
        <f t="shared" si="99"/>
        <v/>
      </c>
      <c r="EI19" s="10" t="str">
        <f t="shared" si="99"/>
        <v/>
      </c>
      <c r="EJ19" s="10"/>
      <c r="EK19" s="10"/>
      <c r="EL19" s="43" t="str">
        <f t="shared" ref="EL19:EP19" si="100">EE19</f>
        <v/>
      </c>
      <c r="EM19" s="10" t="str">
        <f t="shared" si="100"/>
        <v/>
      </c>
      <c r="EN19" s="10" t="str">
        <f t="shared" si="100"/>
        <v/>
      </c>
      <c r="EO19" s="10" t="str">
        <f t="shared" si="100"/>
        <v/>
      </c>
      <c r="EP19" s="10" t="str">
        <f t="shared" si="100"/>
        <v/>
      </c>
      <c r="EQ19" s="10"/>
      <c r="ER19" s="10"/>
    </row>
    <row r="20">
      <c r="A20" s="1" t="s">
        <v>79</v>
      </c>
      <c r="B20" s="42"/>
      <c r="C20" s="3"/>
      <c r="D20" s="3"/>
      <c r="E20" s="3"/>
      <c r="F20" s="3"/>
      <c r="G20" s="3"/>
      <c r="H20" s="3"/>
      <c r="I20" s="42"/>
      <c r="J20" s="3"/>
      <c r="K20" s="3"/>
      <c r="L20" s="3"/>
      <c r="M20" s="3"/>
      <c r="N20" s="3"/>
      <c r="O20" s="3"/>
      <c r="P20" s="42"/>
      <c r="Q20" s="3"/>
      <c r="R20" s="3"/>
      <c r="S20" s="3"/>
      <c r="T20" s="3"/>
      <c r="U20" s="3"/>
      <c r="V20" s="3"/>
      <c r="W20" s="42"/>
      <c r="X20" s="3"/>
      <c r="Y20" s="3"/>
      <c r="Z20" s="3"/>
      <c r="AA20" s="3"/>
      <c r="AB20" s="3"/>
      <c r="AC20" s="3"/>
      <c r="AD20" s="42"/>
      <c r="AE20" s="3"/>
      <c r="AF20" s="3"/>
      <c r="AG20" s="3"/>
      <c r="AH20" s="3"/>
      <c r="AI20" s="3"/>
      <c r="AJ20" s="3"/>
      <c r="AK20" s="42"/>
      <c r="AL20" s="3"/>
      <c r="AM20" s="3"/>
      <c r="AN20" s="3"/>
      <c r="AO20" s="3"/>
      <c r="AP20" s="3"/>
      <c r="AQ20" s="3"/>
      <c r="AR20" s="42"/>
      <c r="AS20" s="3"/>
      <c r="AT20" s="3"/>
      <c r="AU20" s="3"/>
      <c r="AV20" s="3"/>
      <c r="AW20" s="3"/>
      <c r="AX20" s="3"/>
      <c r="AY20" s="42"/>
      <c r="AZ20" s="3"/>
      <c r="BA20" s="3"/>
      <c r="BB20" s="3"/>
      <c r="BC20" s="3"/>
      <c r="BD20" s="3"/>
      <c r="BE20" s="3"/>
      <c r="BF20" s="42"/>
      <c r="BG20" s="3"/>
      <c r="BH20" s="3"/>
      <c r="BI20" s="3"/>
      <c r="BJ20" s="3"/>
      <c r="BK20" s="3"/>
      <c r="BL20" s="3"/>
      <c r="BM20" s="42"/>
      <c r="BN20" s="3"/>
      <c r="BO20" s="3"/>
      <c r="BP20" s="3"/>
      <c r="BQ20" s="3"/>
      <c r="BR20" s="3"/>
      <c r="BS20" s="3"/>
      <c r="BT20" s="42"/>
      <c r="BU20" s="3"/>
      <c r="BV20" s="3"/>
      <c r="BW20" s="3"/>
      <c r="BX20" s="3"/>
      <c r="BY20" s="3"/>
      <c r="BZ20" s="3"/>
      <c r="CA20" s="42"/>
      <c r="CB20" s="3"/>
      <c r="CC20" s="3"/>
      <c r="CD20" s="3"/>
      <c r="CE20" s="3"/>
      <c r="CF20" s="3"/>
      <c r="CG20" s="3"/>
      <c r="CH20" s="42"/>
      <c r="CI20" s="3"/>
      <c r="CJ20" s="3"/>
      <c r="CK20" s="3"/>
      <c r="CL20" s="3"/>
      <c r="CM20" s="3"/>
      <c r="CN20" s="3"/>
      <c r="CO20" s="42"/>
      <c r="CP20" s="3"/>
      <c r="CQ20" s="3"/>
      <c r="CR20" s="3"/>
      <c r="CS20" s="3"/>
      <c r="CT20" s="3"/>
      <c r="CU20" s="3"/>
      <c r="CV20" s="42"/>
      <c r="CW20" s="3"/>
      <c r="CX20" s="3"/>
      <c r="CY20" s="3"/>
      <c r="CZ20" s="3"/>
      <c r="DA20" s="3"/>
      <c r="DB20" s="3"/>
      <c r="DC20" s="42"/>
      <c r="DD20" s="3"/>
      <c r="DE20" s="3"/>
      <c r="DF20" s="3"/>
      <c r="DG20" s="3"/>
      <c r="DH20" s="3"/>
      <c r="DI20" s="3"/>
      <c r="DJ20" s="42"/>
      <c r="DK20" s="3"/>
      <c r="DL20" s="3"/>
      <c r="DM20" s="3"/>
      <c r="DN20" s="3"/>
      <c r="DO20" s="3"/>
      <c r="DP20" s="3"/>
      <c r="DQ20" s="42"/>
      <c r="DR20" s="3"/>
      <c r="DS20" s="3"/>
      <c r="DT20" s="3"/>
      <c r="DU20" s="3"/>
      <c r="DV20" s="3"/>
      <c r="DW20" s="3"/>
      <c r="DX20" s="42"/>
      <c r="DY20" s="3"/>
      <c r="DZ20" s="3"/>
      <c r="EA20" s="3"/>
      <c r="EB20" s="3"/>
      <c r="EC20" s="3"/>
      <c r="ED20" s="3"/>
      <c r="EE20" s="42"/>
      <c r="EF20" s="3"/>
      <c r="EG20" s="3"/>
      <c r="EH20" s="3"/>
      <c r="EI20" s="3"/>
      <c r="EJ20" s="3"/>
      <c r="EK20" s="3"/>
      <c r="EL20" s="42"/>
      <c r="EM20" s="3"/>
      <c r="EN20" s="3"/>
      <c r="EO20" s="3"/>
      <c r="EP20" s="3"/>
      <c r="EQ20" s="3"/>
      <c r="ER20" s="3"/>
    </row>
    <row r="21">
      <c r="A21" s="44"/>
      <c r="B21" s="43"/>
      <c r="C21" s="10"/>
      <c r="D21" s="10"/>
      <c r="E21" s="10"/>
      <c r="F21" s="10"/>
      <c r="G21" s="10"/>
      <c r="H21" s="10"/>
      <c r="I21" s="43" t="str">
        <f t="shared" ref="I21:M21" si="101">B21</f>
        <v/>
      </c>
      <c r="J21" s="10" t="str">
        <f t="shared" si="101"/>
        <v/>
      </c>
      <c r="K21" s="10" t="str">
        <f t="shared" si="101"/>
        <v/>
      </c>
      <c r="L21" s="10" t="str">
        <f t="shared" si="101"/>
        <v/>
      </c>
      <c r="M21" s="10" t="str">
        <f t="shared" si="101"/>
        <v/>
      </c>
      <c r="N21" s="10"/>
      <c r="O21" s="10"/>
      <c r="P21" s="43" t="str">
        <f t="shared" ref="P21:T21" si="102">I21</f>
        <v/>
      </c>
      <c r="Q21" s="10" t="str">
        <f t="shared" si="102"/>
        <v/>
      </c>
      <c r="R21" s="10" t="str">
        <f t="shared" si="102"/>
        <v/>
      </c>
      <c r="S21" s="10" t="str">
        <f t="shared" si="102"/>
        <v/>
      </c>
      <c r="T21" s="10" t="str">
        <f t="shared" si="102"/>
        <v/>
      </c>
      <c r="U21" s="10"/>
      <c r="V21" s="10"/>
      <c r="W21" s="43" t="str">
        <f t="shared" ref="W21:AA21" si="103">P21</f>
        <v/>
      </c>
      <c r="X21" s="10" t="str">
        <f t="shared" si="103"/>
        <v/>
      </c>
      <c r="Y21" s="10" t="str">
        <f t="shared" si="103"/>
        <v/>
      </c>
      <c r="Z21" s="10" t="str">
        <f t="shared" si="103"/>
        <v/>
      </c>
      <c r="AA21" s="10" t="str">
        <f t="shared" si="103"/>
        <v/>
      </c>
      <c r="AB21" s="10"/>
      <c r="AC21" s="10"/>
      <c r="AD21" s="43" t="str">
        <f t="shared" ref="AD21:AH21" si="104">W21</f>
        <v/>
      </c>
      <c r="AE21" s="10" t="str">
        <f t="shared" si="104"/>
        <v/>
      </c>
      <c r="AF21" s="10" t="str">
        <f t="shared" si="104"/>
        <v/>
      </c>
      <c r="AG21" s="10" t="str">
        <f t="shared" si="104"/>
        <v/>
      </c>
      <c r="AH21" s="10" t="str">
        <f t="shared" si="104"/>
        <v/>
      </c>
      <c r="AI21" s="10"/>
      <c r="AJ21" s="10"/>
      <c r="AK21" s="43" t="str">
        <f t="shared" ref="AK21:AO21" si="105">AD21</f>
        <v/>
      </c>
      <c r="AL21" s="10" t="str">
        <f t="shared" si="105"/>
        <v/>
      </c>
      <c r="AM21" s="10" t="str">
        <f t="shared" si="105"/>
        <v/>
      </c>
      <c r="AN21" s="10" t="str">
        <f t="shared" si="105"/>
        <v/>
      </c>
      <c r="AO21" s="10" t="str">
        <f t="shared" si="105"/>
        <v/>
      </c>
      <c r="AP21" s="10"/>
      <c r="AQ21" s="10"/>
      <c r="AR21" s="43" t="str">
        <f t="shared" ref="AR21:AV21" si="106">AK21</f>
        <v/>
      </c>
      <c r="AS21" s="10" t="str">
        <f t="shared" si="106"/>
        <v/>
      </c>
      <c r="AT21" s="10" t="str">
        <f t="shared" si="106"/>
        <v/>
      </c>
      <c r="AU21" s="10" t="str">
        <f t="shared" si="106"/>
        <v/>
      </c>
      <c r="AV21" s="10" t="str">
        <f t="shared" si="106"/>
        <v/>
      </c>
      <c r="AW21" s="10"/>
      <c r="AX21" s="10"/>
      <c r="AY21" s="43" t="str">
        <f t="shared" ref="AY21:BC21" si="107">AR21</f>
        <v/>
      </c>
      <c r="AZ21" s="10" t="str">
        <f t="shared" si="107"/>
        <v/>
      </c>
      <c r="BA21" s="10" t="str">
        <f t="shared" si="107"/>
        <v/>
      </c>
      <c r="BB21" s="10" t="str">
        <f t="shared" si="107"/>
        <v/>
      </c>
      <c r="BC21" s="10" t="str">
        <f t="shared" si="107"/>
        <v/>
      </c>
      <c r="BD21" s="10"/>
      <c r="BE21" s="10"/>
      <c r="BF21" s="43" t="str">
        <f t="shared" ref="BF21:BJ21" si="108">AY21</f>
        <v/>
      </c>
      <c r="BG21" s="10" t="str">
        <f t="shared" si="108"/>
        <v/>
      </c>
      <c r="BH21" s="10" t="str">
        <f t="shared" si="108"/>
        <v/>
      </c>
      <c r="BI21" s="10" t="str">
        <f t="shared" si="108"/>
        <v/>
      </c>
      <c r="BJ21" s="10" t="str">
        <f t="shared" si="108"/>
        <v/>
      </c>
      <c r="BK21" s="10"/>
      <c r="BL21" s="10"/>
      <c r="BM21" s="43" t="str">
        <f t="shared" ref="BM21:BQ21" si="109">BF21</f>
        <v/>
      </c>
      <c r="BN21" s="10" t="str">
        <f t="shared" si="109"/>
        <v/>
      </c>
      <c r="BO21" s="10" t="str">
        <f t="shared" si="109"/>
        <v/>
      </c>
      <c r="BP21" s="10" t="str">
        <f t="shared" si="109"/>
        <v/>
      </c>
      <c r="BQ21" s="10" t="str">
        <f t="shared" si="109"/>
        <v/>
      </c>
      <c r="BR21" s="10"/>
      <c r="BS21" s="10"/>
      <c r="BT21" s="43" t="str">
        <f t="shared" ref="BT21:BX21" si="110">BM21</f>
        <v/>
      </c>
      <c r="BU21" s="10" t="str">
        <f t="shared" si="110"/>
        <v/>
      </c>
      <c r="BV21" s="10" t="str">
        <f t="shared" si="110"/>
        <v/>
      </c>
      <c r="BW21" s="10" t="str">
        <f t="shared" si="110"/>
        <v/>
      </c>
      <c r="BX21" s="10" t="str">
        <f t="shared" si="110"/>
        <v/>
      </c>
      <c r="BY21" s="10"/>
      <c r="BZ21" s="10"/>
      <c r="CA21" s="43" t="str">
        <f t="shared" ref="CA21:CE21" si="111">BT21</f>
        <v/>
      </c>
      <c r="CB21" s="10" t="str">
        <f t="shared" si="111"/>
        <v/>
      </c>
      <c r="CC21" s="10" t="str">
        <f t="shared" si="111"/>
        <v/>
      </c>
      <c r="CD21" s="10" t="str">
        <f t="shared" si="111"/>
        <v/>
      </c>
      <c r="CE21" s="10" t="str">
        <f t="shared" si="111"/>
        <v/>
      </c>
      <c r="CF21" s="10"/>
      <c r="CG21" s="10"/>
      <c r="CH21" s="43" t="str">
        <f t="shared" ref="CH21:CL21" si="112">CA21</f>
        <v/>
      </c>
      <c r="CI21" s="10" t="str">
        <f t="shared" si="112"/>
        <v/>
      </c>
      <c r="CJ21" s="10" t="str">
        <f t="shared" si="112"/>
        <v/>
      </c>
      <c r="CK21" s="10" t="str">
        <f t="shared" si="112"/>
        <v/>
      </c>
      <c r="CL21" s="10" t="str">
        <f t="shared" si="112"/>
        <v/>
      </c>
      <c r="CM21" s="10"/>
      <c r="CN21" s="10"/>
      <c r="CO21" s="43" t="str">
        <f t="shared" ref="CO21:CS21" si="113">CH21</f>
        <v/>
      </c>
      <c r="CP21" s="10" t="str">
        <f t="shared" si="113"/>
        <v/>
      </c>
      <c r="CQ21" s="10" t="str">
        <f t="shared" si="113"/>
        <v/>
      </c>
      <c r="CR21" s="10" t="str">
        <f t="shared" si="113"/>
        <v/>
      </c>
      <c r="CS21" s="10" t="str">
        <f t="shared" si="113"/>
        <v/>
      </c>
      <c r="CT21" s="10"/>
      <c r="CU21" s="10"/>
      <c r="CV21" s="43" t="str">
        <f t="shared" ref="CV21:CZ21" si="114">CO21</f>
        <v/>
      </c>
      <c r="CW21" s="10" t="str">
        <f t="shared" si="114"/>
        <v/>
      </c>
      <c r="CX21" s="10" t="str">
        <f t="shared" si="114"/>
        <v/>
      </c>
      <c r="CY21" s="10" t="str">
        <f t="shared" si="114"/>
        <v/>
      </c>
      <c r="CZ21" s="10" t="str">
        <f t="shared" si="114"/>
        <v/>
      </c>
      <c r="DA21" s="10"/>
      <c r="DB21" s="10"/>
      <c r="DC21" s="43" t="str">
        <f t="shared" ref="DC21:DG21" si="115">CV21</f>
        <v/>
      </c>
      <c r="DD21" s="10" t="str">
        <f t="shared" si="115"/>
        <v/>
      </c>
      <c r="DE21" s="10" t="str">
        <f t="shared" si="115"/>
        <v/>
      </c>
      <c r="DF21" s="10" t="str">
        <f t="shared" si="115"/>
        <v/>
      </c>
      <c r="DG21" s="10" t="str">
        <f t="shared" si="115"/>
        <v/>
      </c>
      <c r="DH21" s="10"/>
      <c r="DI21" s="10"/>
      <c r="DJ21" s="43" t="str">
        <f t="shared" ref="DJ21:DN21" si="116">DC21</f>
        <v/>
      </c>
      <c r="DK21" s="10" t="str">
        <f t="shared" si="116"/>
        <v/>
      </c>
      <c r="DL21" s="10" t="str">
        <f t="shared" si="116"/>
        <v/>
      </c>
      <c r="DM21" s="10" t="str">
        <f t="shared" si="116"/>
        <v/>
      </c>
      <c r="DN21" s="10" t="str">
        <f t="shared" si="116"/>
        <v/>
      </c>
      <c r="DO21" s="10"/>
      <c r="DP21" s="10"/>
      <c r="DQ21" s="43" t="str">
        <f t="shared" ref="DQ21:DU21" si="117">DJ21</f>
        <v/>
      </c>
      <c r="DR21" s="10" t="str">
        <f t="shared" si="117"/>
        <v/>
      </c>
      <c r="DS21" s="10" t="str">
        <f t="shared" si="117"/>
        <v/>
      </c>
      <c r="DT21" s="10" t="str">
        <f t="shared" si="117"/>
        <v/>
      </c>
      <c r="DU21" s="10" t="str">
        <f t="shared" si="117"/>
        <v/>
      </c>
      <c r="DV21" s="10"/>
      <c r="DW21" s="10"/>
      <c r="DX21" s="43" t="str">
        <f t="shared" ref="DX21:EB21" si="118">DQ21</f>
        <v/>
      </c>
      <c r="DY21" s="10" t="str">
        <f t="shared" si="118"/>
        <v/>
      </c>
      <c r="DZ21" s="10" t="str">
        <f t="shared" si="118"/>
        <v/>
      </c>
      <c r="EA21" s="10" t="str">
        <f t="shared" si="118"/>
        <v/>
      </c>
      <c r="EB21" s="10" t="str">
        <f t="shared" si="118"/>
        <v/>
      </c>
      <c r="EC21" s="10"/>
      <c r="ED21" s="10"/>
      <c r="EE21" s="43" t="str">
        <f t="shared" ref="EE21:EI21" si="119">DX21</f>
        <v/>
      </c>
      <c r="EF21" s="10" t="str">
        <f t="shared" si="119"/>
        <v/>
      </c>
      <c r="EG21" s="10" t="str">
        <f t="shared" si="119"/>
        <v/>
      </c>
      <c r="EH21" s="10" t="str">
        <f t="shared" si="119"/>
        <v/>
      </c>
      <c r="EI21" s="10" t="str">
        <f t="shared" si="119"/>
        <v/>
      </c>
      <c r="EJ21" s="10"/>
      <c r="EK21" s="10"/>
      <c r="EL21" s="43" t="str">
        <f t="shared" ref="EL21:EP21" si="120">EE21</f>
        <v/>
      </c>
      <c r="EM21" s="10" t="str">
        <f t="shared" si="120"/>
        <v/>
      </c>
      <c r="EN21" s="10" t="str">
        <f t="shared" si="120"/>
        <v/>
      </c>
      <c r="EO21" s="10" t="str">
        <f t="shared" si="120"/>
        <v/>
      </c>
      <c r="EP21" s="10" t="str">
        <f t="shared" si="120"/>
        <v/>
      </c>
      <c r="EQ21" s="10"/>
      <c r="ER21" s="10"/>
    </row>
    <row r="22">
      <c r="A22" s="44"/>
      <c r="B22" s="43"/>
      <c r="C22" s="10"/>
      <c r="D22" s="10"/>
      <c r="E22" s="10"/>
      <c r="F22" s="10"/>
      <c r="G22" s="10"/>
      <c r="H22" s="10"/>
      <c r="I22" s="43" t="str">
        <f t="shared" ref="I22:M22" si="121">B22</f>
        <v/>
      </c>
      <c r="J22" s="10" t="str">
        <f t="shared" si="121"/>
        <v/>
      </c>
      <c r="K22" s="10" t="str">
        <f t="shared" si="121"/>
        <v/>
      </c>
      <c r="L22" s="10" t="str">
        <f t="shared" si="121"/>
        <v/>
      </c>
      <c r="M22" s="10" t="str">
        <f t="shared" si="121"/>
        <v/>
      </c>
      <c r="N22" s="10"/>
      <c r="O22" s="10"/>
      <c r="P22" s="43" t="str">
        <f t="shared" ref="P22:T22" si="122">I22</f>
        <v/>
      </c>
      <c r="Q22" s="10" t="str">
        <f t="shared" si="122"/>
        <v/>
      </c>
      <c r="R22" s="10" t="str">
        <f t="shared" si="122"/>
        <v/>
      </c>
      <c r="S22" s="10" t="str">
        <f t="shared" si="122"/>
        <v/>
      </c>
      <c r="T22" s="10" t="str">
        <f t="shared" si="122"/>
        <v/>
      </c>
      <c r="U22" s="10"/>
      <c r="V22" s="10"/>
      <c r="W22" s="43" t="str">
        <f t="shared" ref="W22:AA22" si="123">P22</f>
        <v/>
      </c>
      <c r="X22" s="10" t="str">
        <f t="shared" si="123"/>
        <v/>
      </c>
      <c r="Y22" s="10" t="str">
        <f t="shared" si="123"/>
        <v/>
      </c>
      <c r="Z22" s="10" t="str">
        <f t="shared" si="123"/>
        <v/>
      </c>
      <c r="AA22" s="10" t="str">
        <f t="shared" si="123"/>
        <v/>
      </c>
      <c r="AB22" s="10"/>
      <c r="AC22" s="10"/>
      <c r="AD22" s="43" t="str">
        <f t="shared" ref="AD22:AH22" si="124">W22</f>
        <v/>
      </c>
      <c r="AE22" s="10" t="str">
        <f t="shared" si="124"/>
        <v/>
      </c>
      <c r="AF22" s="10" t="str">
        <f t="shared" si="124"/>
        <v/>
      </c>
      <c r="AG22" s="10" t="str">
        <f t="shared" si="124"/>
        <v/>
      </c>
      <c r="AH22" s="10" t="str">
        <f t="shared" si="124"/>
        <v/>
      </c>
      <c r="AI22" s="10"/>
      <c r="AJ22" s="10"/>
      <c r="AK22" s="43" t="str">
        <f t="shared" ref="AK22:AO22" si="125">AD22</f>
        <v/>
      </c>
      <c r="AL22" s="10" t="str">
        <f t="shared" si="125"/>
        <v/>
      </c>
      <c r="AM22" s="10" t="str">
        <f t="shared" si="125"/>
        <v/>
      </c>
      <c r="AN22" s="10" t="str">
        <f t="shared" si="125"/>
        <v/>
      </c>
      <c r="AO22" s="10" t="str">
        <f t="shared" si="125"/>
        <v/>
      </c>
      <c r="AP22" s="10"/>
      <c r="AQ22" s="10"/>
      <c r="AR22" s="43" t="str">
        <f t="shared" ref="AR22:AV22" si="126">AK22</f>
        <v/>
      </c>
      <c r="AS22" s="10" t="str">
        <f t="shared" si="126"/>
        <v/>
      </c>
      <c r="AT22" s="10" t="str">
        <f t="shared" si="126"/>
        <v/>
      </c>
      <c r="AU22" s="10" t="str">
        <f t="shared" si="126"/>
        <v/>
      </c>
      <c r="AV22" s="10" t="str">
        <f t="shared" si="126"/>
        <v/>
      </c>
      <c r="AW22" s="10"/>
      <c r="AX22" s="10"/>
      <c r="AY22" s="43" t="str">
        <f t="shared" ref="AY22:BC22" si="127">AR22</f>
        <v/>
      </c>
      <c r="AZ22" s="10" t="str">
        <f t="shared" si="127"/>
        <v/>
      </c>
      <c r="BA22" s="10" t="str">
        <f t="shared" si="127"/>
        <v/>
      </c>
      <c r="BB22" s="10" t="str">
        <f t="shared" si="127"/>
        <v/>
      </c>
      <c r="BC22" s="10" t="str">
        <f t="shared" si="127"/>
        <v/>
      </c>
      <c r="BD22" s="10"/>
      <c r="BE22" s="10"/>
      <c r="BF22" s="43" t="str">
        <f t="shared" ref="BF22:BJ22" si="128">AY22</f>
        <v/>
      </c>
      <c r="BG22" s="10" t="str">
        <f t="shared" si="128"/>
        <v/>
      </c>
      <c r="BH22" s="10" t="str">
        <f t="shared" si="128"/>
        <v/>
      </c>
      <c r="BI22" s="10" t="str">
        <f t="shared" si="128"/>
        <v/>
      </c>
      <c r="BJ22" s="10" t="str">
        <f t="shared" si="128"/>
        <v/>
      </c>
      <c r="BK22" s="10"/>
      <c r="BL22" s="10"/>
      <c r="BM22" s="43" t="str">
        <f t="shared" ref="BM22:BQ22" si="129">BF22</f>
        <v/>
      </c>
      <c r="BN22" s="10" t="str">
        <f t="shared" si="129"/>
        <v/>
      </c>
      <c r="BO22" s="10" t="str">
        <f t="shared" si="129"/>
        <v/>
      </c>
      <c r="BP22" s="10" t="str">
        <f t="shared" si="129"/>
        <v/>
      </c>
      <c r="BQ22" s="10" t="str">
        <f t="shared" si="129"/>
        <v/>
      </c>
      <c r="BR22" s="10"/>
      <c r="BS22" s="10"/>
      <c r="BT22" s="43" t="str">
        <f t="shared" ref="BT22:BX22" si="130">BM22</f>
        <v/>
      </c>
      <c r="BU22" s="10" t="str">
        <f t="shared" si="130"/>
        <v/>
      </c>
      <c r="BV22" s="10" t="str">
        <f t="shared" si="130"/>
        <v/>
      </c>
      <c r="BW22" s="10" t="str">
        <f t="shared" si="130"/>
        <v/>
      </c>
      <c r="BX22" s="10" t="str">
        <f t="shared" si="130"/>
        <v/>
      </c>
      <c r="BY22" s="10"/>
      <c r="BZ22" s="10"/>
      <c r="CA22" s="43" t="str">
        <f t="shared" ref="CA22:CE22" si="131">BT22</f>
        <v/>
      </c>
      <c r="CB22" s="10" t="str">
        <f t="shared" si="131"/>
        <v/>
      </c>
      <c r="CC22" s="10" t="str">
        <f t="shared" si="131"/>
        <v/>
      </c>
      <c r="CD22" s="10" t="str">
        <f t="shared" si="131"/>
        <v/>
      </c>
      <c r="CE22" s="10" t="str">
        <f t="shared" si="131"/>
        <v/>
      </c>
      <c r="CF22" s="10"/>
      <c r="CG22" s="10"/>
      <c r="CH22" s="43" t="str">
        <f t="shared" ref="CH22:CL22" si="132">CA22</f>
        <v/>
      </c>
      <c r="CI22" s="10" t="str">
        <f t="shared" si="132"/>
        <v/>
      </c>
      <c r="CJ22" s="10" t="str">
        <f t="shared" si="132"/>
        <v/>
      </c>
      <c r="CK22" s="10" t="str">
        <f t="shared" si="132"/>
        <v/>
      </c>
      <c r="CL22" s="10" t="str">
        <f t="shared" si="132"/>
        <v/>
      </c>
      <c r="CM22" s="10"/>
      <c r="CN22" s="10"/>
      <c r="CO22" s="43" t="str">
        <f t="shared" ref="CO22:CS22" si="133">CH22</f>
        <v/>
      </c>
      <c r="CP22" s="10" t="str">
        <f t="shared" si="133"/>
        <v/>
      </c>
      <c r="CQ22" s="10" t="str">
        <f t="shared" si="133"/>
        <v/>
      </c>
      <c r="CR22" s="10" t="str">
        <f t="shared" si="133"/>
        <v/>
      </c>
      <c r="CS22" s="10" t="str">
        <f t="shared" si="133"/>
        <v/>
      </c>
      <c r="CT22" s="10"/>
      <c r="CU22" s="10"/>
      <c r="CV22" s="43" t="str">
        <f t="shared" ref="CV22:CZ22" si="134">CO22</f>
        <v/>
      </c>
      <c r="CW22" s="10" t="str">
        <f t="shared" si="134"/>
        <v/>
      </c>
      <c r="CX22" s="10" t="str">
        <f t="shared" si="134"/>
        <v/>
      </c>
      <c r="CY22" s="10" t="str">
        <f t="shared" si="134"/>
        <v/>
      </c>
      <c r="CZ22" s="10" t="str">
        <f t="shared" si="134"/>
        <v/>
      </c>
      <c r="DA22" s="10"/>
      <c r="DB22" s="10"/>
      <c r="DC22" s="43" t="str">
        <f t="shared" ref="DC22:DG22" si="135">CV22</f>
        <v/>
      </c>
      <c r="DD22" s="10" t="str">
        <f t="shared" si="135"/>
        <v/>
      </c>
      <c r="DE22" s="10" t="str">
        <f t="shared" si="135"/>
        <v/>
      </c>
      <c r="DF22" s="10" t="str">
        <f t="shared" si="135"/>
        <v/>
      </c>
      <c r="DG22" s="10" t="str">
        <f t="shared" si="135"/>
        <v/>
      </c>
      <c r="DH22" s="10"/>
      <c r="DI22" s="10"/>
      <c r="DJ22" s="43" t="str">
        <f t="shared" ref="DJ22:DN22" si="136">DC22</f>
        <v/>
      </c>
      <c r="DK22" s="10" t="str">
        <f t="shared" si="136"/>
        <v/>
      </c>
      <c r="DL22" s="10" t="str">
        <f t="shared" si="136"/>
        <v/>
      </c>
      <c r="DM22" s="10" t="str">
        <f t="shared" si="136"/>
        <v/>
      </c>
      <c r="DN22" s="10" t="str">
        <f t="shared" si="136"/>
        <v/>
      </c>
      <c r="DO22" s="10"/>
      <c r="DP22" s="10"/>
      <c r="DQ22" s="43" t="str">
        <f t="shared" ref="DQ22:DU22" si="137">DJ22</f>
        <v/>
      </c>
      <c r="DR22" s="10" t="str">
        <f t="shared" si="137"/>
        <v/>
      </c>
      <c r="DS22" s="10" t="str">
        <f t="shared" si="137"/>
        <v/>
      </c>
      <c r="DT22" s="10" t="str">
        <f t="shared" si="137"/>
        <v/>
      </c>
      <c r="DU22" s="10" t="str">
        <f t="shared" si="137"/>
        <v/>
      </c>
      <c r="DV22" s="10"/>
      <c r="DW22" s="10"/>
      <c r="DX22" s="43" t="str">
        <f t="shared" ref="DX22:EB22" si="138">DQ22</f>
        <v/>
      </c>
      <c r="DY22" s="10" t="str">
        <f t="shared" si="138"/>
        <v/>
      </c>
      <c r="DZ22" s="10" t="str">
        <f t="shared" si="138"/>
        <v/>
      </c>
      <c r="EA22" s="10" t="str">
        <f t="shared" si="138"/>
        <v/>
      </c>
      <c r="EB22" s="10" t="str">
        <f t="shared" si="138"/>
        <v/>
      </c>
      <c r="EC22" s="10"/>
      <c r="ED22" s="10"/>
      <c r="EE22" s="43" t="str">
        <f t="shared" ref="EE22:EI22" si="139">DX22</f>
        <v/>
      </c>
      <c r="EF22" s="10" t="str">
        <f t="shared" si="139"/>
        <v/>
      </c>
      <c r="EG22" s="10" t="str">
        <f t="shared" si="139"/>
        <v/>
      </c>
      <c r="EH22" s="10" t="str">
        <f t="shared" si="139"/>
        <v/>
      </c>
      <c r="EI22" s="10" t="str">
        <f t="shared" si="139"/>
        <v/>
      </c>
      <c r="EJ22" s="10"/>
      <c r="EK22" s="10"/>
      <c r="EL22" s="43" t="str">
        <f t="shared" ref="EL22:EP22" si="140">EE22</f>
        <v/>
      </c>
      <c r="EM22" s="10" t="str">
        <f t="shared" si="140"/>
        <v/>
      </c>
      <c r="EN22" s="10" t="str">
        <f t="shared" si="140"/>
        <v/>
      </c>
      <c r="EO22" s="10" t="str">
        <f t="shared" si="140"/>
        <v/>
      </c>
      <c r="EP22" s="10" t="str">
        <f t="shared" si="140"/>
        <v/>
      </c>
      <c r="EQ22" s="10"/>
      <c r="ER22" s="10"/>
    </row>
    <row r="23">
      <c r="A23" s="45"/>
      <c r="B23" s="46"/>
      <c r="C23" s="47"/>
      <c r="D23" s="47"/>
      <c r="E23" s="47"/>
      <c r="F23" s="47"/>
      <c r="G23" s="47"/>
      <c r="H23" s="47"/>
      <c r="I23" s="46" t="str">
        <f t="shared" ref="I23:M23" si="141">B23</f>
        <v/>
      </c>
      <c r="J23" s="47" t="str">
        <f t="shared" si="141"/>
        <v/>
      </c>
      <c r="K23" s="47" t="str">
        <f t="shared" si="141"/>
        <v/>
      </c>
      <c r="L23" s="47" t="str">
        <f t="shared" si="141"/>
        <v/>
      </c>
      <c r="M23" s="47" t="str">
        <f t="shared" si="141"/>
        <v/>
      </c>
      <c r="N23" s="47"/>
      <c r="O23" s="47"/>
      <c r="P23" s="46" t="str">
        <f t="shared" ref="P23:T23" si="142">I23</f>
        <v/>
      </c>
      <c r="Q23" s="47" t="str">
        <f t="shared" si="142"/>
        <v/>
      </c>
      <c r="R23" s="47" t="str">
        <f t="shared" si="142"/>
        <v/>
      </c>
      <c r="S23" s="47" t="str">
        <f t="shared" si="142"/>
        <v/>
      </c>
      <c r="T23" s="47" t="str">
        <f t="shared" si="142"/>
        <v/>
      </c>
      <c r="U23" s="47"/>
      <c r="V23" s="47"/>
      <c r="W23" s="46" t="str">
        <f t="shared" ref="W23:AA23" si="143">P23</f>
        <v/>
      </c>
      <c r="X23" s="47" t="str">
        <f t="shared" si="143"/>
        <v/>
      </c>
      <c r="Y23" s="47" t="str">
        <f t="shared" si="143"/>
        <v/>
      </c>
      <c r="Z23" s="47" t="str">
        <f t="shared" si="143"/>
        <v/>
      </c>
      <c r="AA23" s="47" t="str">
        <f t="shared" si="143"/>
        <v/>
      </c>
      <c r="AB23" s="47"/>
      <c r="AC23" s="47"/>
      <c r="AD23" s="46" t="str">
        <f t="shared" ref="AD23:AH23" si="144">W23</f>
        <v/>
      </c>
      <c r="AE23" s="47" t="str">
        <f t="shared" si="144"/>
        <v/>
      </c>
      <c r="AF23" s="47" t="str">
        <f t="shared" si="144"/>
        <v/>
      </c>
      <c r="AG23" s="47" t="str">
        <f t="shared" si="144"/>
        <v/>
      </c>
      <c r="AH23" s="47" t="str">
        <f t="shared" si="144"/>
        <v/>
      </c>
      <c r="AI23" s="47"/>
      <c r="AJ23" s="47"/>
      <c r="AK23" s="46" t="str">
        <f t="shared" ref="AK23:AO23" si="145">AD23</f>
        <v/>
      </c>
      <c r="AL23" s="47" t="str">
        <f t="shared" si="145"/>
        <v/>
      </c>
      <c r="AM23" s="47" t="str">
        <f t="shared" si="145"/>
        <v/>
      </c>
      <c r="AN23" s="47" t="str">
        <f t="shared" si="145"/>
        <v/>
      </c>
      <c r="AO23" s="47" t="str">
        <f t="shared" si="145"/>
        <v/>
      </c>
      <c r="AP23" s="47"/>
      <c r="AQ23" s="47"/>
      <c r="AR23" s="46" t="str">
        <f t="shared" ref="AR23:AV23" si="146">AK23</f>
        <v/>
      </c>
      <c r="AS23" s="47" t="str">
        <f t="shared" si="146"/>
        <v/>
      </c>
      <c r="AT23" s="47" t="str">
        <f t="shared" si="146"/>
        <v/>
      </c>
      <c r="AU23" s="47" t="str">
        <f t="shared" si="146"/>
        <v/>
      </c>
      <c r="AV23" s="47" t="str">
        <f t="shared" si="146"/>
        <v/>
      </c>
      <c r="AW23" s="47"/>
      <c r="AX23" s="47"/>
      <c r="AY23" s="46" t="str">
        <f t="shared" ref="AY23:BC23" si="147">AR23</f>
        <v/>
      </c>
      <c r="AZ23" s="47" t="str">
        <f t="shared" si="147"/>
        <v/>
      </c>
      <c r="BA23" s="47" t="str">
        <f t="shared" si="147"/>
        <v/>
      </c>
      <c r="BB23" s="47" t="str">
        <f t="shared" si="147"/>
        <v/>
      </c>
      <c r="BC23" s="47" t="str">
        <f t="shared" si="147"/>
        <v/>
      </c>
      <c r="BD23" s="47"/>
      <c r="BE23" s="47"/>
      <c r="BF23" s="46" t="str">
        <f t="shared" ref="BF23:BJ23" si="148">AY23</f>
        <v/>
      </c>
      <c r="BG23" s="47" t="str">
        <f t="shared" si="148"/>
        <v/>
      </c>
      <c r="BH23" s="47" t="str">
        <f t="shared" si="148"/>
        <v/>
      </c>
      <c r="BI23" s="47" t="str">
        <f t="shared" si="148"/>
        <v/>
      </c>
      <c r="BJ23" s="47" t="str">
        <f t="shared" si="148"/>
        <v/>
      </c>
      <c r="BK23" s="47"/>
      <c r="BL23" s="47"/>
      <c r="BM23" s="46" t="str">
        <f t="shared" ref="BM23:BQ23" si="149">BF23</f>
        <v/>
      </c>
      <c r="BN23" s="47" t="str">
        <f t="shared" si="149"/>
        <v/>
      </c>
      <c r="BO23" s="47" t="str">
        <f t="shared" si="149"/>
        <v/>
      </c>
      <c r="BP23" s="47" t="str">
        <f t="shared" si="149"/>
        <v/>
      </c>
      <c r="BQ23" s="47" t="str">
        <f t="shared" si="149"/>
        <v/>
      </c>
      <c r="BR23" s="47"/>
      <c r="BS23" s="47"/>
      <c r="BT23" s="46" t="str">
        <f t="shared" ref="BT23:BX23" si="150">BM23</f>
        <v/>
      </c>
      <c r="BU23" s="47" t="str">
        <f t="shared" si="150"/>
        <v/>
      </c>
      <c r="BV23" s="47" t="str">
        <f t="shared" si="150"/>
        <v/>
      </c>
      <c r="BW23" s="47" t="str">
        <f t="shared" si="150"/>
        <v/>
      </c>
      <c r="BX23" s="47" t="str">
        <f t="shared" si="150"/>
        <v/>
      </c>
      <c r="BY23" s="47"/>
      <c r="BZ23" s="47"/>
      <c r="CA23" s="46" t="str">
        <f t="shared" ref="CA23:CE23" si="151">BT23</f>
        <v/>
      </c>
      <c r="CB23" s="47" t="str">
        <f t="shared" si="151"/>
        <v/>
      </c>
      <c r="CC23" s="47" t="str">
        <f t="shared" si="151"/>
        <v/>
      </c>
      <c r="CD23" s="47" t="str">
        <f t="shared" si="151"/>
        <v/>
      </c>
      <c r="CE23" s="47" t="str">
        <f t="shared" si="151"/>
        <v/>
      </c>
      <c r="CF23" s="47"/>
      <c r="CG23" s="47"/>
      <c r="CH23" s="46" t="str">
        <f t="shared" ref="CH23:CL23" si="152">CA23</f>
        <v/>
      </c>
      <c r="CI23" s="47" t="str">
        <f t="shared" si="152"/>
        <v/>
      </c>
      <c r="CJ23" s="47" t="str">
        <f t="shared" si="152"/>
        <v/>
      </c>
      <c r="CK23" s="47" t="str">
        <f t="shared" si="152"/>
        <v/>
      </c>
      <c r="CL23" s="47" t="str">
        <f t="shared" si="152"/>
        <v/>
      </c>
      <c r="CM23" s="47"/>
      <c r="CN23" s="47"/>
      <c r="CO23" s="46" t="str">
        <f t="shared" ref="CO23:CS23" si="153">CH23</f>
        <v/>
      </c>
      <c r="CP23" s="47" t="str">
        <f t="shared" si="153"/>
        <v/>
      </c>
      <c r="CQ23" s="47" t="str">
        <f t="shared" si="153"/>
        <v/>
      </c>
      <c r="CR23" s="47" t="str">
        <f t="shared" si="153"/>
        <v/>
      </c>
      <c r="CS23" s="47" t="str">
        <f t="shared" si="153"/>
        <v/>
      </c>
      <c r="CT23" s="47"/>
      <c r="CU23" s="47"/>
      <c r="CV23" s="46" t="str">
        <f t="shared" ref="CV23:CZ23" si="154">CO23</f>
        <v/>
      </c>
      <c r="CW23" s="47" t="str">
        <f t="shared" si="154"/>
        <v/>
      </c>
      <c r="CX23" s="47" t="str">
        <f t="shared" si="154"/>
        <v/>
      </c>
      <c r="CY23" s="47" t="str">
        <f t="shared" si="154"/>
        <v/>
      </c>
      <c r="CZ23" s="47" t="str">
        <f t="shared" si="154"/>
        <v/>
      </c>
      <c r="DA23" s="47"/>
      <c r="DB23" s="47"/>
      <c r="DC23" s="46" t="str">
        <f t="shared" ref="DC23:DG23" si="155">CV23</f>
        <v/>
      </c>
      <c r="DD23" s="47" t="str">
        <f t="shared" si="155"/>
        <v/>
      </c>
      <c r="DE23" s="47" t="str">
        <f t="shared" si="155"/>
        <v/>
      </c>
      <c r="DF23" s="47" t="str">
        <f t="shared" si="155"/>
        <v/>
      </c>
      <c r="DG23" s="47" t="str">
        <f t="shared" si="155"/>
        <v/>
      </c>
      <c r="DH23" s="47"/>
      <c r="DI23" s="47"/>
      <c r="DJ23" s="46" t="str">
        <f t="shared" ref="DJ23:DN23" si="156">DC23</f>
        <v/>
      </c>
      <c r="DK23" s="47" t="str">
        <f t="shared" si="156"/>
        <v/>
      </c>
      <c r="DL23" s="47" t="str">
        <f t="shared" si="156"/>
        <v/>
      </c>
      <c r="DM23" s="47" t="str">
        <f t="shared" si="156"/>
        <v/>
      </c>
      <c r="DN23" s="47" t="str">
        <f t="shared" si="156"/>
        <v/>
      </c>
      <c r="DO23" s="47"/>
      <c r="DP23" s="47"/>
      <c r="DQ23" s="46" t="str">
        <f t="shared" ref="DQ23:DU23" si="157">DJ23</f>
        <v/>
      </c>
      <c r="DR23" s="47" t="str">
        <f t="shared" si="157"/>
        <v/>
      </c>
      <c r="DS23" s="47" t="str">
        <f t="shared" si="157"/>
        <v/>
      </c>
      <c r="DT23" s="47" t="str">
        <f t="shared" si="157"/>
        <v/>
      </c>
      <c r="DU23" s="47" t="str">
        <f t="shared" si="157"/>
        <v/>
      </c>
      <c r="DV23" s="47"/>
      <c r="DW23" s="47"/>
      <c r="DX23" s="46" t="str">
        <f t="shared" ref="DX23:EB23" si="158">DQ23</f>
        <v/>
      </c>
      <c r="DY23" s="47" t="str">
        <f t="shared" si="158"/>
        <v/>
      </c>
      <c r="DZ23" s="47" t="str">
        <f t="shared" si="158"/>
        <v/>
      </c>
      <c r="EA23" s="47" t="str">
        <f t="shared" si="158"/>
        <v/>
      </c>
      <c r="EB23" s="47" t="str">
        <f t="shared" si="158"/>
        <v/>
      </c>
      <c r="EC23" s="47"/>
      <c r="ED23" s="47"/>
      <c r="EE23" s="46" t="str">
        <f t="shared" ref="EE23:EI23" si="159">DX23</f>
        <v/>
      </c>
      <c r="EF23" s="47" t="str">
        <f t="shared" si="159"/>
        <v/>
      </c>
      <c r="EG23" s="47" t="str">
        <f t="shared" si="159"/>
        <v/>
      </c>
      <c r="EH23" s="47" t="str">
        <f t="shared" si="159"/>
        <v/>
      </c>
      <c r="EI23" s="47" t="str">
        <f t="shared" si="159"/>
        <v/>
      </c>
      <c r="EJ23" s="47"/>
      <c r="EK23" s="47"/>
      <c r="EL23" s="46" t="str">
        <f t="shared" ref="EL23:EP23" si="160">EE23</f>
        <v/>
      </c>
      <c r="EM23" s="47" t="str">
        <f t="shared" si="160"/>
        <v/>
      </c>
      <c r="EN23" s="47" t="str">
        <f t="shared" si="160"/>
        <v/>
      </c>
      <c r="EO23" s="47" t="str">
        <f t="shared" si="160"/>
        <v/>
      </c>
      <c r="EP23" s="47" t="str">
        <f t="shared" si="160"/>
        <v/>
      </c>
      <c r="EQ23" s="47"/>
      <c r="ER23" s="47"/>
    </row>
    <row r="24">
      <c r="A24" s="3"/>
      <c r="B24" s="42"/>
      <c r="C24" s="3"/>
      <c r="D24" s="3"/>
      <c r="E24" s="3"/>
      <c r="F24" s="3"/>
      <c r="G24" s="3"/>
      <c r="H24" s="3"/>
      <c r="I24" s="42"/>
      <c r="J24" s="3"/>
      <c r="K24" s="3"/>
      <c r="L24" s="3"/>
      <c r="M24" s="3"/>
      <c r="N24" s="3"/>
      <c r="O24" s="3"/>
      <c r="P24" s="42"/>
      <c r="Q24" s="3"/>
      <c r="R24" s="3"/>
      <c r="S24" s="3"/>
      <c r="T24" s="3"/>
      <c r="U24" s="3"/>
      <c r="V24" s="3"/>
      <c r="W24" s="42"/>
      <c r="X24" s="3"/>
      <c r="Y24" s="3"/>
      <c r="Z24" s="3"/>
      <c r="AA24" s="3"/>
      <c r="AB24" s="3"/>
      <c r="AC24" s="3"/>
      <c r="AD24" s="42"/>
      <c r="AE24" s="3"/>
      <c r="AF24" s="3"/>
      <c r="AG24" s="3"/>
      <c r="AH24" s="3"/>
      <c r="AI24" s="3"/>
      <c r="AJ24" s="3"/>
      <c r="AK24" s="42"/>
      <c r="AL24" s="3"/>
      <c r="AM24" s="3"/>
      <c r="AN24" s="3"/>
      <c r="AO24" s="3"/>
      <c r="AP24" s="3"/>
      <c r="AQ24" s="3"/>
      <c r="AR24" s="42"/>
      <c r="AS24" s="3"/>
      <c r="AT24" s="3"/>
      <c r="AU24" s="3"/>
      <c r="AV24" s="3"/>
      <c r="AW24" s="3"/>
      <c r="AX24" s="3"/>
      <c r="AY24" s="42"/>
      <c r="AZ24" s="3"/>
      <c r="BA24" s="3"/>
      <c r="BB24" s="3"/>
      <c r="BC24" s="3"/>
      <c r="BD24" s="3"/>
      <c r="BE24" s="3"/>
      <c r="BF24" s="42"/>
      <c r="BG24" s="3"/>
      <c r="BH24" s="3"/>
      <c r="BI24" s="3"/>
      <c r="BJ24" s="3"/>
      <c r="BK24" s="3"/>
      <c r="BL24" s="3"/>
      <c r="BM24" s="42"/>
      <c r="BN24" s="3"/>
      <c r="BO24" s="3"/>
      <c r="BP24" s="3"/>
      <c r="BQ24" s="3"/>
      <c r="BR24" s="3"/>
      <c r="BS24" s="3"/>
      <c r="BT24" s="42"/>
      <c r="BU24" s="3"/>
      <c r="BV24" s="3"/>
      <c r="BW24" s="3"/>
      <c r="BX24" s="3"/>
      <c r="BY24" s="3"/>
      <c r="BZ24" s="3"/>
      <c r="CA24" s="42"/>
      <c r="CB24" s="3"/>
      <c r="CC24" s="3"/>
      <c r="CD24" s="3"/>
      <c r="CE24" s="3"/>
      <c r="CF24" s="3"/>
      <c r="CG24" s="3"/>
      <c r="CH24" s="42"/>
      <c r="CI24" s="3"/>
      <c r="CJ24" s="3"/>
      <c r="CK24" s="3"/>
      <c r="CL24" s="3"/>
      <c r="CM24" s="3"/>
      <c r="CN24" s="3"/>
      <c r="CO24" s="42"/>
      <c r="CP24" s="3"/>
      <c r="CQ24" s="3"/>
      <c r="CR24" s="3"/>
      <c r="CS24" s="3"/>
      <c r="CT24" s="3"/>
      <c r="CU24" s="3"/>
      <c r="CV24" s="42"/>
      <c r="CW24" s="3"/>
      <c r="CX24" s="3"/>
      <c r="CY24" s="3"/>
      <c r="CZ24" s="3"/>
      <c r="DA24" s="3"/>
      <c r="DB24" s="3"/>
      <c r="DC24" s="42"/>
      <c r="DD24" s="3"/>
      <c r="DE24" s="3"/>
      <c r="DF24" s="3"/>
      <c r="DG24" s="3"/>
      <c r="DH24" s="3"/>
      <c r="DI24" s="3"/>
      <c r="DJ24" s="42"/>
      <c r="DK24" s="3"/>
      <c r="DL24" s="3"/>
      <c r="DM24" s="3"/>
      <c r="DN24" s="3"/>
      <c r="DO24" s="3"/>
      <c r="DP24" s="3"/>
      <c r="DQ24" s="42"/>
      <c r="DR24" s="3"/>
      <c r="DS24" s="3"/>
      <c r="DT24" s="3"/>
      <c r="DU24" s="3"/>
      <c r="DV24" s="3"/>
      <c r="DW24" s="3"/>
      <c r="DX24" s="42"/>
      <c r="DY24" s="3"/>
      <c r="DZ24" s="3"/>
      <c r="EA24" s="3"/>
      <c r="EB24" s="3"/>
      <c r="EC24" s="3"/>
      <c r="ED24" s="3"/>
      <c r="EE24" s="42"/>
      <c r="EF24" s="3"/>
      <c r="EG24" s="3"/>
      <c r="EH24" s="3"/>
      <c r="EI24" s="3"/>
      <c r="EJ24" s="3"/>
      <c r="EK24" s="3"/>
      <c r="EL24" s="42"/>
      <c r="EM24" s="3"/>
      <c r="EN24" s="3"/>
      <c r="EO24" s="3"/>
      <c r="EP24" s="3"/>
      <c r="EQ24" s="3"/>
      <c r="ER24" s="3"/>
    </row>
    <row r="25">
      <c r="A25" s="32" t="s">
        <v>81</v>
      </c>
      <c r="B25" s="33"/>
      <c r="C25" s="34"/>
      <c r="D25" s="34"/>
      <c r="E25" s="34"/>
      <c r="F25" s="34"/>
      <c r="G25" s="34"/>
      <c r="H25" s="34"/>
      <c r="I25" s="33"/>
      <c r="J25" s="34"/>
      <c r="K25" s="34"/>
      <c r="L25" s="34"/>
      <c r="M25" s="34"/>
      <c r="N25" s="34"/>
      <c r="O25" s="34"/>
      <c r="P25" s="33"/>
      <c r="Q25" s="34"/>
      <c r="R25" s="34"/>
      <c r="S25" s="34"/>
      <c r="T25" s="34"/>
      <c r="U25" s="34"/>
      <c r="V25" s="34"/>
      <c r="W25" s="33"/>
      <c r="X25" s="34"/>
      <c r="Y25" s="34"/>
      <c r="Z25" s="34"/>
      <c r="AA25" s="34"/>
      <c r="AB25" s="34"/>
      <c r="AC25" s="34"/>
      <c r="AD25" s="33"/>
      <c r="AE25" s="34"/>
      <c r="AF25" s="34"/>
      <c r="AG25" s="34"/>
      <c r="AH25" s="34"/>
      <c r="AI25" s="34"/>
      <c r="AJ25" s="34"/>
      <c r="AK25" s="33"/>
      <c r="AL25" s="34"/>
      <c r="AM25" s="34"/>
      <c r="AN25" s="34"/>
      <c r="AO25" s="34"/>
      <c r="AP25" s="34"/>
      <c r="AQ25" s="34"/>
      <c r="AR25" s="33"/>
      <c r="AS25" s="34"/>
      <c r="AT25" s="34"/>
      <c r="AU25" s="34"/>
      <c r="AV25" s="34"/>
      <c r="AW25" s="34"/>
      <c r="AX25" s="34"/>
      <c r="AY25" s="33"/>
      <c r="AZ25" s="34"/>
      <c r="BA25" s="34"/>
      <c r="BB25" s="34"/>
      <c r="BC25" s="34"/>
      <c r="BD25" s="34"/>
      <c r="BE25" s="34"/>
      <c r="BF25" s="33"/>
      <c r="BG25" s="34"/>
      <c r="BH25" s="34"/>
      <c r="BI25" s="34"/>
      <c r="BJ25" s="34"/>
      <c r="BK25" s="34"/>
      <c r="BL25" s="34"/>
      <c r="BM25" s="33"/>
      <c r="BN25" s="34"/>
      <c r="BO25" s="34"/>
      <c r="BP25" s="34"/>
      <c r="BQ25" s="34"/>
      <c r="BR25" s="34"/>
      <c r="BS25" s="34"/>
      <c r="BT25" s="33"/>
      <c r="BU25" s="34"/>
      <c r="BV25" s="34"/>
      <c r="BW25" s="34"/>
      <c r="BX25" s="34"/>
      <c r="BY25" s="34"/>
      <c r="BZ25" s="34"/>
      <c r="CA25" s="33"/>
      <c r="CB25" s="34"/>
      <c r="CC25" s="34"/>
      <c r="CD25" s="34"/>
      <c r="CE25" s="34"/>
      <c r="CF25" s="34"/>
      <c r="CG25" s="34"/>
      <c r="CH25" s="33"/>
      <c r="CI25" s="34"/>
      <c r="CJ25" s="34"/>
      <c r="CK25" s="34"/>
      <c r="CL25" s="34"/>
      <c r="CM25" s="34"/>
      <c r="CN25" s="34"/>
      <c r="CO25" s="33"/>
      <c r="CP25" s="34"/>
      <c r="CQ25" s="34"/>
      <c r="CR25" s="34"/>
      <c r="CS25" s="34"/>
      <c r="CT25" s="34"/>
      <c r="CU25" s="34"/>
      <c r="CV25" s="33"/>
      <c r="CW25" s="34"/>
      <c r="CX25" s="34"/>
      <c r="CY25" s="34"/>
      <c r="CZ25" s="34"/>
      <c r="DA25" s="34"/>
      <c r="DB25" s="34"/>
      <c r="DC25" s="33"/>
      <c r="DD25" s="34"/>
      <c r="DE25" s="34"/>
      <c r="DF25" s="34"/>
      <c r="DG25" s="34"/>
      <c r="DH25" s="34"/>
      <c r="DI25" s="34"/>
      <c r="DJ25" s="33"/>
      <c r="DK25" s="34"/>
      <c r="DL25" s="34"/>
      <c r="DM25" s="34"/>
      <c r="DN25" s="34"/>
      <c r="DO25" s="34"/>
      <c r="DP25" s="34"/>
      <c r="DQ25" s="33"/>
      <c r="DR25" s="34"/>
      <c r="DS25" s="34"/>
      <c r="DT25" s="34"/>
      <c r="DU25" s="34"/>
      <c r="DV25" s="34"/>
      <c r="DW25" s="34"/>
      <c r="DX25" s="33"/>
      <c r="DY25" s="34"/>
      <c r="DZ25" s="34"/>
      <c r="EA25" s="34"/>
      <c r="EB25" s="34"/>
      <c r="EC25" s="34"/>
      <c r="ED25" s="34"/>
      <c r="EE25" s="35" t="s">
        <v>77</v>
      </c>
      <c r="EF25" s="36"/>
      <c r="EG25" s="36"/>
      <c r="EH25" s="36"/>
      <c r="EI25" s="36"/>
      <c r="EJ25" s="36"/>
      <c r="EK25" s="36"/>
      <c r="EL25" s="33"/>
      <c r="EM25" s="34"/>
      <c r="EN25" s="34"/>
      <c r="EO25" s="34"/>
      <c r="EP25" s="34"/>
      <c r="EQ25" s="34"/>
      <c r="ER25" s="34"/>
    </row>
    <row r="26" hidden="1">
      <c r="A26" s="37" t="str">
        <f>CONCATENATE(A27," TM")</f>
        <v>Deadlift TM</v>
      </c>
      <c r="B26" s="38">
        <f>if(D26="",'Quick Setup'!D7,D26/'Quick Setup'!E7)</f>
        <v>525</v>
      </c>
      <c r="C26" s="39" t="s">
        <v>75</v>
      </c>
      <c r="D26" s="40"/>
      <c r="E26" s="41"/>
      <c r="F26" s="41"/>
      <c r="G26" s="41"/>
      <c r="H26" s="41"/>
      <c r="I26" s="38">
        <f>if(K26="", if(F27&lt;&gt;"", if((F27-D27)&lt;-1,B26*(1+Setup!F5),if((F27-D27)&lt;0,B26*(1+Setup!G5),if((F27-D27)=0,B26*(1+Setup!H5),if((F27-D27)=1,B26*(1+Setup!I5),if((F27-D27)=2,B26*(1+Setup!J5),if((F27-D27)=3,B26*(1+Setup!K5),if((F27-D27)=4,B26*(1+Setup!L5),if((F27-D27)&gt;4,B26*(1+Setup!M5),B26)))))))),B26),K26/'Quick Setup'!$E7)</f>
        <v>525</v>
      </c>
      <c r="J26" s="39" t="s">
        <v>75</v>
      </c>
      <c r="K26" s="40"/>
      <c r="L26" s="41"/>
      <c r="M26" s="41"/>
      <c r="N26" s="41"/>
      <c r="O26" s="41"/>
      <c r="P26" s="38">
        <f>if(R26="", if(M27&lt;&gt;"", if((M27-K27)&lt;-1,I26*(1+Setup!R5),if((M27-K27)&lt;0,I26*(1+Setup!S5),if((M27-K27)=0,I26*(1+Setup!T5),if((M27-K27)=1,I26*(1+Setup!U5),if((M27-K27)=2,I26*(1+Setup!V5),if((M27-K27)=3,I26*(1+Setup!W5),if((M27-K27)=4,I26*(1+Setup!X5),if((M27-K27)&gt;4,I26*(1+Setup!Y5),I26)))))))),I26),R26/'Quick Setup'!$E7)</f>
        <v>525</v>
      </c>
      <c r="Q26" s="39" t="s">
        <v>75</v>
      </c>
      <c r="R26" s="40"/>
      <c r="S26" s="41"/>
      <c r="T26" s="41"/>
      <c r="U26" s="41"/>
      <c r="V26" s="41"/>
      <c r="W26" s="38">
        <f>if(Y26="", if(T27&lt;&gt;"", if((T27-R27)&lt;-1,P26*(1+Setup!AD5),if((T27-R27)&lt;0,P26*(1+Setup!AE5),if((T27-R27)=0,P26*(1+Setup!AF5),if((T27-R27)=1,P26*(1+Setup!AG5),if((T27-R27)=2,P26*(1+Setup!AH5),if((T27-R27)=3,P26*(1+Setup!AI5),if((T27-R27)=4,P26*(1+Setup!AJ5),if((T27-R27)&gt;4,P26*(1+Setup!AK5),P26)))))))),P26),Y26/'Quick Setup'!$E7)</f>
        <v>525</v>
      </c>
      <c r="X26" s="39" t="s">
        <v>75</v>
      </c>
      <c r="Y26" s="40"/>
      <c r="Z26" s="41"/>
      <c r="AA26" s="41"/>
      <c r="AB26" s="41"/>
      <c r="AC26" s="41"/>
      <c r="AD26" s="38">
        <f>if(AF26="", if(AA27&lt;&gt;"", if((AA27-Y27)&lt;-1,W26*(1+Setup!AP5),if((AA27-Y27)&lt;0,W26*(1+Setup!AQ5),if((AA27-Y27)=0,W26*(1+Setup!AR5),if((AA27-Y27)=1,W26*(1+Setup!AS5),if((AA27-Y27)=2,W26*(1+Setup!AT5),if((AA27-Y27)=3,W26*(1+Setup!AU5),if((AA27-Y27)=4,W26*(1+Setup!AV5),if((AA27-Y27)&gt;4,W26*(1+Setup!AW5),W26)))))))),W26),AF26/'Quick Setup'!$E7)</f>
        <v>525</v>
      </c>
      <c r="AE26" s="39" t="s">
        <v>75</v>
      </c>
      <c r="AF26" s="40"/>
      <c r="AG26" s="41"/>
      <c r="AH26" s="41"/>
      <c r="AI26" s="41"/>
      <c r="AJ26" s="41"/>
      <c r="AK26" s="38">
        <f>if(AM26="", if(AH27&lt;&gt;"", if((AH27-AF27)&lt;-1,AD26*(1+Setup!BB5),if((AH27-AF27)&lt;0,AD26*(1+Setup!BC5),if((AH27-AF27)=0,AD26*(1+Setup!BD5),if((AH27-AF27)=1,AD26*(1+Setup!BE5),if((AH27-AF27)=2,AD26*(1+Setup!BF5),if((AH27-AF27)=3,AD26*(1+Setup!BG5),if((AH27-AF27)=4,AD26*(1+Setup!BH5),if((AH27-AF27)&gt;4,AD26*(1+Setup!BI5),AD26)))))))),AD26),AM26/'Quick Setup'!$E7)</f>
        <v>525</v>
      </c>
      <c r="AL26" s="39" t="s">
        <v>75</v>
      </c>
      <c r="AM26" s="40"/>
      <c r="AN26" s="41"/>
      <c r="AO26" s="41"/>
      <c r="AP26" s="41"/>
      <c r="AQ26" s="41"/>
      <c r="AR26" s="38">
        <f>if(AT26="", if(AO27&lt;&gt;"", if((AO27-AM27)&lt;-1,AK26*(1+Setup!BN5),if((AO27-AM27)&lt;0,AK26*(1+Setup!BO5),if((AO27-AM27)=0,AK26*(1+Setup!BP5),if((AO27-AM27)=1,AK26*(1+Setup!BQ5),if((AO27-AM27)=2,AK26*(1+Setup!BR5),if((AO27-AM27)=3,AK26*(1+Setup!BS5),if((AO27-AM27)=4,AK26*(1+Setup!BT5),if((AO27-AM27)&gt;4,AK26*(1+Setup!BU5),AK26)))))))),AK26),AT26/'Quick Setup'!$E7)</f>
        <v>525</v>
      </c>
      <c r="AS26" s="39" t="s">
        <v>75</v>
      </c>
      <c r="AT26" s="40"/>
      <c r="AU26" s="41"/>
      <c r="AV26" s="41"/>
      <c r="AW26" s="41"/>
      <c r="AX26" s="41"/>
      <c r="AY26" s="38">
        <f>if(BA26="",AR26,BA26/'Quick Setup'!$E7)</f>
        <v>525</v>
      </c>
      <c r="AZ26" s="39" t="s">
        <v>75</v>
      </c>
      <c r="BA26" s="40"/>
      <c r="BB26" s="41"/>
      <c r="BC26" s="41"/>
      <c r="BD26" s="41"/>
      <c r="BE26" s="41"/>
      <c r="BF26" s="38">
        <f>if(BH26="", if(BC27&lt;&gt;"", if((BC27-BA27)&lt;-1,AY26*(1+Setup!CL5),if((BC27-BA27)&lt;0,AY26*(1+Setup!CM5),if((BC27-BA27)=0,AY26*(1+Setup!CN5),if((BC27-BA27)=1,AY26*(1+Setup!CO5),if((BC27-BA27)=2,AY26*(1+Setup!CP5),if((BC27-BA27)=3,AY26*(1+Setup!CQ5),if((BC27-BA27)=4,AY26*(1+Setup!CR5),if((BC27-BA27)&gt;4,AY26*(1+Setup!CS5),AY26)))))))),AY26),BH26/'Quick Setup'!$E7)</f>
        <v>525</v>
      </c>
      <c r="BG26" s="39" t="s">
        <v>75</v>
      </c>
      <c r="BH26" s="40"/>
      <c r="BI26" s="41"/>
      <c r="BJ26" s="41"/>
      <c r="BK26" s="41"/>
      <c r="BL26" s="41"/>
      <c r="BM26" s="38">
        <f>if(BO26="", if(BJ27&lt;&gt;"", if((BJ27-BH27)&lt;-1,BF26*(1+Setup!CX5),if((BJ27-BH27)&lt;0,BF26*(1+Setup!CY5),if((BJ27-BH27)=0,BF26*(1+Setup!CZ5),if((BJ27-BH27)=1,BF26*(1+Setup!DA5),if((BJ27-BH27)=2,BF26*(1+Setup!DB5),if((BJ27-BH27)=3,BF26*(1+Setup!DC5),if((BJ27-BH27)=4,BF26*(1+Setup!DD5),if((BJ27-BH27)&gt;4,BF26*(1+Setup!DE5),BF26)))))))),BF26),BO26/'Quick Setup'!$E7)</f>
        <v>525</v>
      </c>
      <c r="BN26" s="39" t="s">
        <v>75</v>
      </c>
      <c r="BO26" s="40"/>
      <c r="BP26" s="41"/>
      <c r="BQ26" s="41"/>
      <c r="BR26" s="41"/>
      <c r="BS26" s="41"/>
      <c r="BT26" s="38">
        <f>if(BV26="", if(BQ27&lt;&gt;"", if((BQ27-BO27)&lt;-1,BM26*(1+Setup!DJ5),if((BQ27-BO27)&lt;0,BM26*(1+Setup!DK5),if((BQ27-BO27)=0,BM26*(1+Setup!DL5),if((BQ27-BO27)=1,BM26*(1+Setup!DM5),if((BQ27-BO27)=2,BM26*(1+Setup!DN5),if((BQ27-BO27)=3,BM26*(1+Setup!DO5),if((BQ27-BO27)=4,BM26*(1+Setup!DP5),if((BQ27-BO27)&gt;4,BM26*(1+Setup!DQ5),BM26)))))))),BM26),BV26/'Quick Setup'!$E7)</f>
        <v>525</v>
      </c>
      <c r="BU26" s="39" t="s">
        <v>75</v>
      </c>
      <c r="BV26" s="40"/>
      <c r="BW26" s="41"/>
      <c r="BX26" s="41"/>
      <c r="BY26" s="41"/>
      <c r="BZ26" s="41"/>
      <c r="CA26" s="38">
        <f>if(CC26="", if(BX27&lt;&gt;"", if((BX27-BV27)&lt;-1,BT26*(1+Setup!DV5),if((BX27-BV27)&lt;0,BT26*(1+Setup!DW5),if((BX27-BV27)=0,BT26*(1+Setup!DX5),if((BX27-BV27)=1,BT26*(1+Setup!DY5),if((BX27-BV27)=2,BT26*(1+Setup!DZ5),if((BX27-BV27)=3,BT26*(1+Setup!EA5),if((BX27-BV27)=4,BT26*(1+Setup!EB5),if((BX27-BV27)&gt;4,BT26*(1+Setup!EC5),BT26)))))))),BT26),CC26/'Quick Setup'!$E7)</f>
        <v>525</v>
      </c>
      <c r="CB26" s="39" t="s">
        <v>75</v>
      </c>
      <c r="CC26" s="40"/>
      <c r="CD26" s="41"/>
      <c r="CE26" s="41"/>
      <c r="CF26" s="41"/>
      <c r="CG26" s="41"/>
      <c r="CH26" s="38">
        <f>if(CJ26="", if(CE27&lt;&gt;"", if((CE27-CC27)&lt;-1,CA26*(1+Setup!EH5),if((CE27-CC27)&lt;0,CA26*(1+Setup!EI5),if((CE27-CC27)=0,CA26*(1+Setup!EJ5),if((CE27-CC27)=1,CA26*(1+Setup!EK5),if((CE27-CC27)=2,CA26*(1+Setup!EL5),if((CE27-CC27)=3,CA26*(1+Setup!EM5),if((CE27-CC27)=4,CA26*(1+Setup!EN5),if((CE27-CC27)&gt;4,CA26*(1+Setup!EO5),CA26)))))))),CA26),CJ26/'Quick Setup'!$E7)</f>
        <v>525</v>
      </c>
      <c r="CI26" s="39" t="s">
        <v>75</v>
      </c>
      <c r="CJ26" s="40"/>
      <c r="CK26" s="41"/>
      <c r="CL26" s="41"/>
      <c r="CM26" s="41"/>
      <c r="CN26" s="41"/>
      <c r="CO26" s="38">
        <f>if(CQ26="", if(CL27&lt;&gt;"", if((CL27-CJ27)&lt;-1,CH26*(1+Setup!ET5),if((CL27-CJ27)&lt;0,CH26*(1+Setup!EU5),if((CL27-CJ27)=0,CH26*(1+Setup!EV5),if((CL27-CJ27)=1,CH26*(1+Setup!EW5),if((CL27-CJ27)=2,CH26*(1+Setup!EX5),if((CL27-CJ27)=3,CH26*(1+Setup!EY5),if((CL27-CJ27)=4,CH26*(1+Setup!EZ5),if((CL27-CJ27)&gt;4,CH26*(1+Setup!FA5),CH26)))))))),CH26),CQ26/'Quick Setup'!$E7)</f>
        <v>525</v>
      </c>
      <c r="CP26" s="39" t="s">
        <v>75</v>
      </c>
      <c r="CQ26" s="40"/>
      <c r="CR26" s="41"/>
      <c r="CS26" s="41"/>
      <c r="CT26" s="41"/>
      <c r="CU26" s="41"/>
      <c r="CV26" s="38">
        <f>if(CX26="",CO26,CX26/'Quick Setup'!$E7)</f>
        <v>525</v>
      </c>
      <c r="CW26" s="39" t="s">
        <v>75</v>
      </c>
      <c r="CX26" s="40"/>
      <c r="CY26" s="41"/>
      <c r="CZ26" s="41"/>
      <c r="DA26" s="41"/>
      <c r="DB26" s="41"/>
      <c r="DC26" s="38">
        <f>if(DE26="", if(CZ27&lt;&gt;"", if((CZ27-CX27)&lt;-1,CV26*(1+Setup!FR5),if((CZ27-CX27)&lt;0,CV26*(1+Setup!FS5),if((CZ27-CX27)=0,CV26*(1+Setup!FT5),if((CZ27-CX27)=1,CV26*(1+Setup!FU5),if((CZ27-CX27)=2,CV26*(1+Setup!FV5),if((CZ27-CX27)=3,CV26*(1+Setup!FW5),if((CZ27-CX27)=4,CV26*(1+Setup!FX5),if((CZ27-CX27)&gt;4,CV26*(1+Setup!FY5),CV26)))))))),CV26),DE26/'Quick Setup'!$E7)</f>
        <v>525</v>
      </c>
      <c r="DD26" s="39" t="s">
        <v>75</v>
      </c>
      <c r="DE26" s="40"/>
      <c r="DF26" s="41"/>
      <c r="DG26" s="41"/>
      <c r="DH26" s="41"/>
      <c r="DI26" s="41"/>
      <c r="DJ26" s="38">
        <f>if(DL26="", if(DG27&lt;&gt;"", if((DG27-DE27)&lt;-1,DC26*(1+Setup!GD5),if((DG27-DE27)&lt;0,DC26*(1+Setup!GE5),if((DG27-DE27)=0,DC26*(1+Setup!GF5),if((DG27-DE27)=1,DC26*(1+Setup!GG5),if((DG27-DE27)=2,DC26*(1+Setup!GH5),if((DG27-DE27)=3,DC26*(1+Setup!GI5),if((DG27-DE27)=4,DC26*(1+Setup!GJ5),if((DG27-DE27)&gt;4,DC26*(1+Setup!GK5),DC26)))))))),DC26),DL26/'Quick Setup'!$E7)</f>
        <v>525</v>
      </c>
      <c r="DK26" s="39" t="s">
        <v>75</v>
      </c>
      <c r="DL26" s="40"/>
      <c r="DM26" s="41"/>
      <c r="DN26" s="41"/>
      <c r="DO26" s="41"/>
      <c r="DP26" s="41"/>
      <c r="DQ26" s="38">
        <f>if(DS26="", if(DN27&lt;&gt;"", if((DN27-DL27)&lt;-1,DJ26*(1+Setup!GP5),if((DN27-DL27)&lt;0,DJ26*(1+Setup!GQ5),if((DN27-DL27)=0,DJ26*(1+Setup!GR5),if((DN27-DL27)=1,DJ26*(1+Setup!GS5),if((DN27-DL27)=2,DJ26*(1+Setup!GT5),if((DN27-DL27)=3,DJ26*(1+Setup!GU5),if((DN27-DL27)=4,DJ26*(1+Setup!GV5),if((DN27-DL27)&gt;4,DJ26*(1+Setup!GW5),DJ26)))))))),DJ26),DS26/'Quick Setup'!$E7)</f>
        <v>525</v>
      </c>
      <c r="DR26" s="39" t="s">
        <v>75</v>
      </c>
      <c r="DS26" s="40"/>
      <c r="DT26" s="41"/>
      <c r="DU26" s="41"/>
      <c r="DV26" s="41"/>
      <c r="DW26" s="41"/>
      <c r="DX26" s="38">
        <f>if(DZ26="", if(DU27&lt;&gt;"", if((DU27-DS27)&lt;-1,DQ26*(1+Setup!HB5),if((DU27-DS27)&lt;0,DQ26*(1+Setup!HC5),if((DU27-DS27)=0,DQ26*(1+Setup!HD5),if((DU27-DS27)=1,DQ26*(1+Setup!HE5),if((DU27-DS27)=2,DQ26*(1+Setup!HF5),if((DU27-DS27)=3,DQ26*(1+Setup!HG5),if((DU27-DS27)=4,DQ26*(1+Setup!HH5),if((DU27-DS27)&gt;4,DQ26*(1+Setup!HI5),DQ26)))))))),DQ26),DZ26/'Quick Setup'!$E7)</f>
        <v>525</v>
      </c>
      <c r="DY26" s="39" t="s">
        <v>75</v>
      </c>
      <c r="DZ26" s="40"/>
      <c r="EA26" s="41"/>
      <c r="EB26" s="41"/>
      <c r="EC26" s="41"/>
      <c r="ED26" s="41"/>
      <c r="EE26" s="38">
        <f>if(EG26="", if(EB27&lt;&gt;"", if((EB27-DZ27)&lt;-1,DX26*(1+Setup!HN5),if((EB27-DZ27)&lt;0,DX26*(1+Setup!HO5),if((EB27-DZ27)=0,DX26*(1+Setup!HP5),if((EB27-DZ27)=1,DX26*(1+Setup!HQ5),if((EB27-DZ27)=2,DX26*(1+Setup!HR5),if((EB27-DZ27)=3,DX26*(1+Setup!HS5),if((EB27-DZ27)=4,DX26*(1+Setup!HT5),if((EB27-DZ27)&gt;4,DX26*(1+Setup!HU5),DX26)))))))),DX26),EG26/'Quick Setup'!$E7)</f>
        <v>525</v>
      </c>
      <c r="EF26" s="39" t="s">
        <v>75</v>
      </c>
      <c r="EG26" s="40"/>
      <c r="EH26" s="41"/>
      <c r="EI26" s="41"/>
      <c r="EJ26" s="41"/>
      <c r="EK26" s="41"/>
      <c r="EL26" s="38">
        <f>if(EN26="", if(EI27&lt;&gt;"", if((EI27-EG27)&lt;-1,EE26*(1+Setup!HZ5),if((EI27-EG27)&lt;0,EE26*(1+Setup!IA5),if((EI27-EG27)=0,EE26*(1+Setup!IB5),if((EI27-EG27)=1,EE26*(1+Setup!IC5),if((EI27-EG27)=2,EE26*(1+Setup!ID5),if((EI27-EG27)=3,EE26*(1+Setup!IE5),if((EI27-EG27)=4,EE26*(1+Setup!IF5),if((EI27-EG27)&gt;4,EE26*(1+Setup!IG5),EE26)))))))),EE26),EN26/'Quick Setup'!$E7)</f>
        <v>525</v>
      </c>
      <c r="EM26" s="39" t="s">
        <v>75</v>
      </c>
      <c r="EN26" s="40"/>
      <c r="EO26" s="41"/>
      <c r="EP26" s="41"/>
      <c r="EQ26" s="41"/>
      <c r="ER26" s="41"/>
    </row>
    <row r="27">
      <c r="A27" s="1" t="str">
        <f>Setup!A5</f>
        <v>Deadlift</v>
      </c>
      <c r="B27" s="42">
        <f>mround(B26*Setup!B5,'Quick Setup'!$A$2)</f>
        <v>367.5</v>
      </c>
      <c r="C27" s="3">
        <f>Setup!C5</f>
        <v>5</v>
      </c>
      <c r="D27" s="3">
        <f>Setup!D5</f>
        <v>10</v>
      </c>
      <c r="E27" s="3">
        <f>Setup!E5</f>
        <v>5</v>
      </c>
      <c r="F27" s="10"/>
      <c r="G27" s="10"/>
      <c r="H27" s="10"/>
      <c r="I27" s="42">
        <f>mround(I26*Setup!N5,'Quick Setup'!$A$2)</f>
        <v>395</v>
      </c>
      <c r="J27" s="3">
        <f>Setup!O5</f>
        <v>4</v>
      </c>
      <c r="K27" s="3">
        <f>Setup!P5</f>
        <v>8</v>
      </c>
      <c r="L27" s="3">
        <f>Setup!Q5</f>
        <v>5</v>
      </c>
      <c r="M27" s="10"/>
      <c r="N27" s="10"/>
      <c r="O27" s="10"/>
      <c r="P27" s="42">
        <f>mround(P26*Setup!Z5,'Quick Setup'!$A$2)</f>
        <v>420</v>
      </c>
      <c r="Q27" s="3">
        <f>Setup!AA5</f>
        <v>3</v>
      </c>
      <c r="R27" s="3">
        <f>Setup!AB5</f>
        <v>6</v>
      </c>
      <c r="S27" s="3">
        <f>Setup!AC5</f>
        <v>5</v>
      </c>
      <c r="T27" s="10"/>
      <c r="U27" s="10"/>
      <c r="V27" s="10"/>
      <c r="W27" s="42">
        <f>mround(W26*Setup!AL5,'Quick Setup'!$A$2)</f>
        <v>380</v>
      </c>
      <c r="X27" s="3">
        <f>Setup!AM5</f>
        <v>5</v>
      </c>
      <c r="Y27" s="3">
        <f>Setup!AN5</f>
        <v>9</v>
      </c>
      <c r="Z27" s="3">
        <f>Setup!AO5</f>
        <v>5</v>
      </c>
      <c r="AA27" s="10"/>
      <c r="AB27" s="10"/>
      <c r="AC27" s="10"/>
      <c r="AD27" s="42">
        <f>mround(AD26*Setup!AX5,'Quick Setup'!$A$2)</f>
        <v>407.5</v>
      </c>
      <c r="AE27" s="3">
        <f>Setup!AY5</f>
        <v>4</v>
      </c>
      <c r="AF27" s="3">
        <f>Setup!AZ5</f>
        <v>7</v>
      </c>
      <c r="AG27" s="3">
        <f>Setup!BA5</f>
        <v>5</v>
      </c>
      <c r="AH27" s="10"/>
      <c r="AI27" s="10"/>
      <c r="AJ27" s="10"/>
      <c r="AK27" s="42">
        <f>mround(AK26*Setup!BJ5,'Quick Setup'!$A$2)</f>
        <v>432.5</v>
      </c>
      <c r="AL27" s="3">
        <f>Setup!BK5</f>
        <v>3</v>
      </c>
      <c r="AM27" s="3">
        <f>Setup!BL5</f>
        <v>5</v>
      </c>
      <c r="AN27" s="3">
        <f>Setup!BM5</f>
        <v>5</v>
      </c>
      <c r="AO27" s="10"/>
      <c r="AP27" s="10"/>
      <c r="AQ27" s="10"/>
      <c r="AR27" s="42">
        <f>mround(AR26*Setup!BV5,'Quick Setup'!$A$2)</f>
        <v>315</v>
      </c>
      <c r="AS27" s="1">
        <v>5.0</v>
      </c>
      <c r="AT27" s="1" t="s">
        <v>78</v>
      </c>
      <c r="AU27" s="3">
        <f>Setup!BY5</f>
        <v>5</v>
      </c>
      <c r="AV27" s="10"/>
      <c r="AW27" s="10"/>
      <c r="AX27" s="10"/>
      <c r="AY27" s="42">
        <f>mround(AY26*Setup!CH5,'Quick Setup'!$A$2)</f>
        <v>395</v>
      </c>
      <c r="AZ27" s="3">
        <f>Setup!CI5</f>
        <v>4</v>
      </c>
      <c r="BA27" s="3">
        <f>Setup!CJ5</f>
        <v>8</v>
      </c>
      <c r="BB27" s="3">
        <f>Setup!CK5</f>
        <v>5</v>
      </c>
      <c r="BC27" s="10"/>
      <c r="BD27" s="10"/>
      <c r="BE27" s="10"/>
      <c r="BF27" s="42">
        <f>mround(BF26*Setup!CT5,'Quick Setup'!$A$2)</f>
        <v>420</v>
      </c>
      <c r="BG27" s="3">
        <f>Setup!CU5</f>
        <v>3</v>
      </c>
      <c r="BH27" s="3">
        <f>Setup!CV5</f>
        <v>6</v>
      </c>
      <c r="BI27" s="3">
        <f>Setup!CW5</f>
        <v>5</v>
      </c>
      <c r="BJ27" s="10"/>
      <c r="BK27" s="10"/>
      <c r="BL27" s="10"/>
      <c r="BM27" s="42">
        <f>mround(BM26*Setup!DF5,'Quick Setup'!$A$2)</f>
        <v>447.5</v>
      </c>
      <c r="BN27" s="3">
        <f>Setup!DG5</f>
        <v>2</v>
      </c>
      <c r="BO27" s="3">
        <f>Setup!DH5</f>
        <v>4</v>
      </c>
      <c r="BP27" s="3">
        <f>Setup!DI5</f>
        <v>5</v>
      </c>
      <c r="BQ27" s="10"/>
      <c r="BR27" s="10"/>
      <c r="BS27" s="10"/>
      <c r="BT27" s="42">
        <f>mround(BT26*Setup!DR5,'Quick Setup'!$A$2)</f>
        <v>407.5</v>
      </c>
      <c r="BU27" s="3">
        <f>Setup!DS5</f>
        <v>4</v>
      </c>
      <c r="BV27" s="3">
        <f>Setup!DT5</f>
        <v>7</v>
      </c>
      <c r="BW27" s="3">
        <f>Setup!DU5</f>
        <v>5</v>
      </c>
      <c r="BX27" s="10"/>
      <c r="BY27" s="10"/>
      <c r="BZ27" s="10"/>
      <c r="CA27" s="42">
        <f>mround(CA26*Setup!ED5,'Quick Setup'!$A$2)</f>
        <v>432.5</v>
      </c>
      <c r="CB27" s="3">
        <f>Setup!EE5</f>
        <v>3</v>
      </c>
      <c r="CC27" s="3">
        <f>Setup!EF5</f>
        <v>5</v>
      </c>
      <c r="CD27" s="3">
        <f>Setup!EG5</f>
        <v>5</v>
      </c>
      <c r="CE27" s="10"/>
      <c r="CF27" s="10"/>
      <c r="CG27" s="10"/>
      <c r="CH27" s="42">
        <f>mround(CH26*Setup!EP5,'Quick Setup'!$A$2)</f>
        <v>460</v>
      </c>
      <c r="CI27" s="3">
        <f>Setup!EQ5</f>
        <v>2</v>
      </c>
      <c r="CJ27" s="3">
        <f>Setup!ER5</f>
        <v>3</v>
      </c>
      <c r="CK27" s="3">
        <f>Setup!ES5</f>
        <v>5</v>
      </c>
      <c r="CL27" s="10"/>
      <c r="CM27" s="10"/>
      <c r="CN27" s="10"/>
      <c r="CO27" s="42">
        <f>mround(CO26*Setup!FB5,'Quick Setup'!$A$2)</f>
        <v>315</v>
      </c>
      <c r="CP27" s="1">
        <v>5.0</v>
      </c>
      <c r="CQ27" s="1" t="s">
        <v>78</v>
      </c>
      <c r="CR27" s="3">
        <f>Setup!FE5</f>
        <v>5</v>
      </c>
      <c r="CS27" s="10"/>
      <c r="CT27" s="10"/>
      <c r="CU27" s="10"/>
      <c r="CV27" s="42">
        <f>mround(CV26*Setup!FN5,'Quick Setup'!$A$2)</f>
        <v>420</v>
      </c>
      <c r="CW27" s="3">
        <f>Setup!FO5</f>
        <v>3</v>
      </c>
      <c r="CX27" s="3">
        <f>Setup!FP5</f>
        <v>6</v>
      </c>
      <c r="CY27" s="3">
        <f>Setup!FQ5</f>
        <v>5</v>
      </c>
      <c r="CZ27" s="10"/>
      <c r="DA27" s="10"/>
      <c r="DB27" s="10"/>
      <c r="DC27" s="42">
        <f>mround(DC26*Setup!FZ5,'Quick Setup'!$A$2)</f>
        <v>447.5</v>
      </c>
      <c r="DD27" s="3">
        <f>Setup!GA5</f>
        <v>2</v>
      </c>
      <c r="DE27" s="3">
        <f>Setup!GB5</f>
        <v>4</v>
      </c>
      <c r="DF27" s="3">
        <f>Setup!GC5</f>
        <v>5</v>
      </c>
      <c r="DG27" s="10"/>
      <c r="DH27" s="10"/>
      <c r="DI27" s="10"/>
      <c r="DJ27" s="42">
        <f>mround(DJ26*Setup!GL5,'Quick Setup'!$A$2)</f>
        <v>472.5</v>
      </c>
      <c r="DK27" s="3">
        <f>Setup!GM5</f>
        <v>1</v>
      </c>
      <c r="DL27" s="3">
        <f>Setup!GN5</f>
        <v>2</v>
      </c>
      <c r="DM27" s="3">
        <f>Setup!GO5</f>
        <v>5</v>
      </c>
      <c r="DN27" s="10"/>
      <c r="DO27" s="10"/>
      <c r="DP27" s="10"/>
      <c r="DQ27" s="42">
        <f>mround(DQ26*Setup!GX5,'Quick Setup'!$A$2)</f>
        <v>447.5</v>
      </c>
      <c r="DR27" s="3">
        <f>Setup!GY5</f>
        <v>2</v>
      </c>
      <c r="DS27" s="3">
        <f>Setup!GZ5</f>
        <v>4</v>
      </c>
      <c r="DT27" s="3">
        <f>Setup!HA5</f>
        <v>5</v>
      </c>
      <c r="DU27" s="10"/>
      <c r="DV27" s="10"/>
      <c r="DW27" s="10"/>
      <c r="DX27" s="42">
        <f>mround(DX26*Setup!HJ5,'Quick Setup'!$A$2)</f>
        <v>472.5</v>
      </c>
      <c r="DY27" s="3">
        <f>Setup!HK5</f>
        <v>1</v>
      </c>
      <c r="DZ27" s="3">
        <f>Setup!HL5</f>
        <v>2</v>
      </c>
      <c r="EA27" s="3">
        <f>Setup!HM5</f>
        <v>5</v>
      </c>
      <c r="EB27" s="10"/>
      <c r="EC27" s="10"/>
      <c r="ED27" s="10"/>
      <c r="EE27" s="42">
        <f>mround(EE26*Setup!HV5,'Quick Setup'!$A$2)</f>
        <v>500</v>
      </c>
      <c r="EF27" s="3">
        <f>Setup!HW5</f>
        <v>1</v>
      </c>
      <c r="EG27" s="3">
        <f>Setup!HX5</f>
        <v>1</v>
      </c>
      <c r="EH27" s="3">
        <f>Setup!HY5</f>
        <v>5</v>
      </c>
      <c r="EI27" s="10"/>
      <c r="EJ27" s="10"/>
      <c r="EK27" s="10"/>
      <c r="EL27" s="42">
        <f>mround(EL26*Setup!IH5,'Quick Setup'!$A$2)</f>
        <v>315</v>
      </c>
      <c r="EM27" s="1">
        <v>5.0</v>
      </c>
      <c r="EN27" s="1" t="s">
        <v>78</v>
      </c>
      <c r="EO27" s="3">
        <f>Setup!IK5</f>
        <v>5</v>
      </c>
      <c r="EP27" s="10"/>
      <c r="EQ27" s="10"/>
      <c r="ER27" s="10"/>
    </row>
    <row r="28">
      <c r="A28" s="5"/>
      <c r="B28" s="43"/>
      <c r="C28" s="10"/>
      <c r="D28" s="10"/>
      <c r="E28" s="10"/>
      <c r="F28" s="10"/>
      <c r="G28" s="10"/>
      <c r="H28" s="10"/>
      <c r="I28" s="43" t="str">
        <f t="shared" ref="I28:M28" si="161">B28</f>
        <v/>
      </c>
      <c r="J28" s="10" t="str">
        <f t="shared" si="161"/>
        <v/>
      </c>
      <c r="K28" s="10" t="str">
        <f t="shared" si="161"/>
        <v/>
      </c>
      <c r="L28" s="10" t="str">
        <f t="shared" si="161"/>
        <v/>
      </c>
      <c r="M28" s="10" t="str">
        <f t="shared" si="161"/>
        <v/>
      </c>
      <c r="N28" s="10"/>
      <c r="O28" s="10"/>
      <c r="P28" s="43" t="str">
        <f t="shared" ref="P28:T28" si="162">I28</f>
        <v/>
      </c>
      <c r="Q28" s="10" t="str">
        <f t="shared" si="162"/>
        <v/>
      </c>
      <c r="R28" s="10" t="str">
        <f t="shared" si="162"/>
        <v/>
      </c>
      <c r="S28" s="10" t="str">
        <f t="shared" si="162"/>
        <v/>
      </c>
      <c r="T28" s="10" t="str">
        <f t="shared" si="162"/>
        <v/>
      </c>
      <c r="U28" s="10"/>
      <c r="V28" s="10"/>
      <c r="W28" s="43" t="str">
        <f t="shared" ref="W28:AA28" si="163">P28</f>
        <v/>
      </c>
      <c r="X28" s="10" t="str">
        <f t="shared" si="163"/>
        <v/>
      </c>
      <c r="Y28" s="10" t="str">
        <f t="shared" si="163"/>
        <v/>
      </c>
      <c r="Z28" s="10" t="str">
        <f t="shared" si="163"/>
        <v/>
      </c>
      <c r="AA28" s="10" t="str">
        <f t="shared" si="163"/>
        <v/>
      </c>
      <c r="AB28" s="10"/>
      <c r="AC28" s="10"/>
      <c r="AD28" s="43" t="str">
        <f t="shared" ref="AD28:AH28" si="164">W28</f>
        <v/>
      </c>
      <c r="AE28" s="10" t="str">
        <f t="shared" si="164"/>
        <v/>
      </c>
      <c r="AF28" s="10" t="str">
        <f t="shared" si="164"/>
        <v/>
      </c>
      <c r="AG28" s="10" t="str">
        <f t="shared" si="164"/>
        <v/>
      </c>
      <c r="AH28" s="10" t="str">
        <f t="shared" si="164"/>
        <v/>
      </c>
      <c r="AI28" s="10"/>
      <c r="AJ28" s="10"/>
      <c r="AK28" s="43" t="str">
        <f t="shared" ref="AK28:AO28" si="165">AD28</f>
        <v/>
      </c>
      <c r="AL28" s="10" t="str">
        <f t="shared" si="165"/>
        <v/>
      </c>
      <c r="AM28" s="10" t="str">
        <f t="shared" si="165"/>
        <v/>
      </c>
      <c r="AN28" s="10" t="str">
        <f t="shared" si="165"/>
        <v/>
      </c>
      <c r="AO28" s="10" t="str">
        <f t="shared" si="165"/>
        <v/>
      </c>
      <c r="AP28" s="10"/>
      <c r="AQ28" s="10"/>
      <c r="AR28" s="43" t="str">
        <f t="shared" ref="AR28:AV28" si="166">AK28</f>
        <v/>
      </c>
      <c r="AS28" s="10" t="str">
        <f t="shared" si="166"/>
        <v/>
      </c>
      <c r="AT28" s="10" t="str">
        <f t="shared" si="166"/>
        <v/>
      </c>
      <c r="AU28" s="10" t="str">
        <f t="shared" si="166"/>
        <v/>
      </c>
      <c r="AV28" s="10" t="str">
        <f t="shared" si="166"/>
        <v/>
      </c>
      <c r="AW28" s="10"/>
      <c r="AX28" s="10"/>
      <c r="AY28" s="43" t="str">
        <f t="shared" ref="AY28:BC28" si="167">AR28</f>
        <v/>
      </c>
      <c r="AZ28" s="10" t="str">
        <f t="shared" si="167"/>
        <v/>
      </c>
      <c r="BA28" s="10" t="str">
        <f t="shared" si="167"/>
        <v/>
      </c>
      <c r="BB28" s="10" t="str">
        <f t="shared" si="167"/>
        <v/>
      </c>
      <c r="BC28" s="10" t="str">
        <f t="shared" si="167"/>
        <v/>
      </c>
      <c r="BD28" s="10"/>
      <c r="BE28" s="10"/>
      <c r="BF28" s="43" t="str">
        <f t="shared" ref="BF28:BJ28" si="168">AY28</f>
        <v/>
      </c>
      <c r="BG28" s="10" t="str">
        <f t="shared" si="168"/>
        <v/>
      </c>
      <c r="BH28" s="10" t="str">
        <f t="shared" si="168"/>
        <v/>
      </c>
      <c r="BI28" s="10" t="str">
        <f t="shared" si="168"/>
        <v/>
      </c>
      <c r="BJ28" s="10" t="str">
        <f t="shared" si="168"/>
        <v/>
      </c>
      <c r="BK28" s="10"/>
      <c r="BL28" s="10"/>
      <c r="BM28" s="43" t="str">
        <f t="shared" ref="BM28:BQ28" si="169">BF28</f>
        <v/>
      </c>
      <c r="BN28" s="10" t="str">
        <f t="shared" si="169"/>
        <v/>
      </c>
      <c r="BO28" s="10" t="str">
        <f t="shared" si="169"/>
        <v/>
      </c>
      <c r="BP28" s="10" t="str">
        <f t="shared" si="169"/>
        <v/>
      </c>
      <c r="BQ28" s="10" t="str">
        <f t="shared" si="169"/>
        <v/>
      </c>
      <c r="BR28" s="10"/>
      <c r="BS28" s="10"/>
      <c r="BT28" s="43" t="str">
        <f t="shared" ref="BT28:BX28" si="170">BM28</f>
        <v/>
      </c>
      <c r="BU28" s="10" t="str">
        <f t="shared" si="170"/>
        <v/>
      </c>
      <c r="BV28" s="10" t="str">
        <f t="shared" si="170"/>
        <v/>
      </c>
      <c r="BW28" s="10" t="str">
        <f t="shared" si="170"/>
        <v/>
      </c>
      <c r="BX28" s="10" t="str">
        <f t="shared" si="170"/>
        <v/>
      </c>
      <c r="BY28" s="10"/>
      <c r="BZ28" s="10"/>
      <c r="CA28" s="43" t="str">
        <f t="shared" ref="CA28:CE28" si="171">BT28</f>
        <v/>
      </c>
      <c r="CB28" s="10" t="str">
        <f t="shared" si="171"/>
        <v/>
      </c>
      <c r="CC28" s="10" t="str">
        <f t="shared" si="171"/>
        <v/>
      </c>
      <c r="CD28" s="10" t="str">
        <f t="shared" si="171"/>
        <v/>
      </c>
      <c r="CE28" s="10" t="str">
        <f t="shared" si="171"/>
        <v/>
      </c>
      <c r="CF28" s="10"/>
      <c r="CG28" s="10"/>
      <c r="CH28" s="43" t="str">
        <f t="shared" ref="CH28:CL28" si="172">CA28</f>
        <v/>
      </c>
      <c r="CI28" s="10" t="str">
        <f t="shared" si="172"/>
        <v/>
      </c>
      <c r="CJ28" s="10" t="str">
        <f t="shared" si="172"/>
        <v/>
      </c>
      <c r="CK28" s="10" t="str">
        <f t="shared" si="172"/>
        <v/>
      </c>
      <c r="CL28" s="10" t="str">
        <f t="shared" si="172"/>
        <v/>
      </c>
      <c r="CM28" s="10"/>
      <c r="CN28" s="10"/>
      <c r="CO28" s="43" t="str">
        <f t="shared" ref="CO28:CS28" si="173">CH28</f>
        <v/>
      </c>
      <c r="CP28" s="10" t="str">
        <f t="shared" si="173"/>
        <v/>
      </c>
      <c r="CQ28" s="10" t="str">
        <f t="shared" si="173"/>
        <v/>
      </c>
      <c r="CR28" s="10" t="str">
        <f t="shared" si="173"/>
        <v/>
      </c>
      <c r="CS28" s="10" t="str">
        <f t="shared" si="173"/>
        <v/>
      </c>
      <c r="CT28" s="10"/>
      <c r="CU28" s="10"/>
      <c r="CV28" s="43" t="str">
        <f t="shared" ref="CV28:CZ28" si="174">CO28</f>
        <v/>
      </c>
      <c r="CW28" s="10" t="str">
        <f t="shared" si="174"/>
        <v/>
      </c>
      <c r="CX28" s="10" t="str">
        <f t="shared" si="174"/>
        <v/>
      </c>
      <c r="CY28" s="10" t="str">
        <f t="shared" si="174"/>
        <v/>
      </c>
      <c r="CZ28" s="10" t="str">
        <f t="shared" si="174"/>
        <v/>
      </c>
      <c r="DA28" s="10"/>
      <c r="DB28" s="10"/>
      <c r="DC28" s="43" t="str">
        <f t="shared" ref="DC28:DG28" si="175">CV28</f>
        <v/>
      </c>
      <c r="DD28" s="10" t="str">
        <f t="shared" si="175"/>
        <v/>
      </c>
      <c r="DE28" s="10" t="str">
        <f t="shared" si="175"/>
        <v/>
      </c>
      <c r="DF28" s="10" t="str">
        <f t="shared" si="175"/>
        <v/>
      </c>
      <c r="DG28" s="10" t="str">
        <f t="shared" si="175"/>
        <v/>
      </c>
      <c r="DH28" s="10"/>
      <c r="DI28" s="10"/>
      <c r="DJ28" s="43" t="str">
        <f t="shared" ref="DJ28:DN28" si="176">DC28</f>
        <v/>
      </c>
      <c r="DK28" s="10" t="str">
        <f t="shared" si="176"/>
        <v/>
      </c>
      <c r="DL28" s="10" t="str">
        <f t="shared" si="176"/>
        <v/>
      </c>
      <c r="DM28" s="10" t="str">
        <f t="shared" si="176"/>
        <v/>
      </c>
      <c r="DN28" s="10" t="str">
        <f t="shared" si="176"/>
        <v/>
      </c>
      <c r="DO28" s="10"/>
      <c r="DP28" s="10"/>
      <c r="DQ28" s="43" t="str">
        <f t="shared" ref="DQ28:DU28" si="177">DJ28</f>
        <v/>
      </c>
      <c r="DR28" s="10" t="str">
        <f t="shared" si="177"/>
        <v/>
      </c>
      <c r="DS28" s="10" t="str">
        <f t="shared" si="177"/>
        <v/>
      </c>
      <c r="DT28" s="10" t="str">
        <f t="shared" si="177"/>
        <v/>
      </c>
      <c r="DU28" s="10" t="str">
        <f t="shared" si="177"/>
        <v/>
      </c>
      <c r="DV28" s="10"/>
      <c r="DW28" s="10"/>
      <c r="DX28" s="43" t="str">
        <f t="shared" ref="DX28:EB28" si="178">DQ28</f>
        <v/>
      </c>
      <c r="DY28" s="10" t="str">
        <f t="shared" si="178"/>
        <v/>
      </c>
      <c r="DZ28" s="10" t="str">
        <f t="shared" si="178"/>
        <v/>
      </c>
      <c r="EA28" s="10" t="str">
        <f t="shared" si="178"/>
        <v/>
      </c>
      <c r="EB28" s="10" t="str">
        <f t="shared" si="178"/>
        <v/>
      </c>
      <c r="EC28" s="10"/>
      <c r="ED28" s="10"/>
      <c r="EE28" s="43" t="str">
        <f t="shared" ref="EE28:EI28" si="179">DX28</f>
        <v/>
      </c>
      <c r="EF28" s="10" t="str">
        <f t="shared" si="179"/>
        <v/>
      </c>
      <c r="EG28" s="10" t="str">
        <f t="shared" si="179"/>
        <v/>
      </c>
      <c r="EH28" s="10" t="str">
        <f t="shared" si="179"/>
        <v/>
      </c>
      <c r="EI28" s="10" t="str">
        <f t="shared" si="179"/>
        <v/>
      </c>
      <c r="EJ28" s="10"/>
      <c r="EK28" s="10"/>
      <c r="EL28" s="43" t="str">
        <f t="shared" ref="EL28:EP28" si="180">EE28</f>
        <v/>
      </c>
      <c r="EM28" s="10" t="str">
        <f t="shared" si="180"/>
        <v/>
      </c>
      <c r="EN28" s="10" t="str">
        <f t="shared" si="180"/>
        <v/>
      </c>
      <c r="EO28" s="10" t="str">
        <f t="shared" si="180"/>
        <v/>
      </c>
      <c r="EP28" s="10" t="str">
        <f t="shared" si="180"/>
        <v/>
      </c>
      <c r="EQ28" s="10"/>
      <c r="ER28" s="10"/>
    </row>
    <row r="29">
      <c r="A29" s="1" t="s">
        <v>79</v>
      </c>
      <c r="B29" s="42"/>
      <c r="C29" s="3"/>
      <c r="D29" s="3"/>
      <c r="E29" s="3"/>
      <c r="F29" s="3"/>
      <c r="G29" s="3"/>
      <c r="H29" s="3"/>
      <c r="I29" s="42"/>
      <c r="J29" s="3"/>
      <c r="K29" s="3"/>
      <c r="L29" s="3"/>
      <c r="M29" s="3"/>
      <c r="N29" s="3"/>
      <c r="O29" s="3"/>
      <c r="P29" s="42"/>
      <c r="Q29" s="3"/>
      <c r="R29" s="3"/>
      <c r="S29" s="3"/>
      <c r="T29" s="3"/>
      <c r="U29" s="3"/>
      <c r="V29" s="3"/>
      <c r="W29" s="42"/>
      <c r="X29" s="3"/>
      <c r="Y29" s="3"/>
      <c r="Z29" s="3"/>
      <c r="AA29" s="3"/>
      <c r="AB29" s="3"/>
      <c r="AC29" s="3"/>
      <c r="AD29" s="42"/>
      <c r="AE29" s="3"/>
      <c r="AF29" s="3"/>
      <c r="AG29" s="3"/>
      <c r="AH29" s="3"/>
      <c r="AI29" s="3"/>
      <c r="AJ29" s="3"/>
      <c r="AK29" s="42"/>
      <c r="AL29" s="3"/>
      <c r="AM29" s="3"/>
      <c r="AN29" s="3"/>
      <c r="AO29" s="3"/>
      <c r="AP29" s="3"/>
      <c r="AQ29" s="3"/>
      <c r="AR29" s="42"/>
      <c r="AS29" s="3"/>
      <c r="AT29" s="3"/>
      <c r="AU29" s="3"/>
      <c r="AV29" s="3"/>
      <c r="AW29" s="3"/>
      <c r="AX29" s="3"/>
      <c r="AY29" s="42"/>
      <c r="AZ29" s="3"/>
      <c r="BA29" s="3"/>
      <c r="BB29" s="3"/>
      <c r="BC29" s="3"/>
      <c r="BD29" s="3"/>
      <c r="BE29" s="3"/>
      <c r="BF29" s="42"/>
      <c r="BG29" s="3"/>
      <c r="BH29" s="3"/>
      <c r="BI29" s="3"/>
      <c r="BJ29" s="3"/>
      <c r="BK29" s="3"/>
      <c r="BL29" s="3"/>
      <c r="BM29" s="42"/>
      <c r="BN29" s="3"/>
      <c r="BO29" s="3"/>
      <c r="BP29" s="3"/>
      <c r="BQ29" s="3"/>
      <c r="BR29" s="3"/>
      <c r="BS29" s="3"/>
      <c r="BT29" s="42"/>
      <c r="BU29" s="3"/>
      <c r="BV29" s="3"/>
      <c r="BW29" s="3"/>
      <c r="BX29" s="3"/>
      <c r="BY29" s="3"/>
      <c r="BZ29" s="3"/>
      <c r="CA29" s="42"/>
      <c r="CB29" s="3"/>
      <c r="CC29" s="3"/>
      <c r="CD29" s="3"/>
      <c r="CE29" s="3"/>
      <c r="CF29" s="3"/>
      <c r="CG29" s="3"/>
      <c r="CH29" s="42"/>
      <c r="CI29" s="3"/>
      <c r="CJ29" s="3"/>
      <c r="CK29" s="3"/>
      <c r="CL29" s="3"/>
      <c r="CM29" s="3"/>
      <c r="CN29" s="3"/>
      <c r="CO29" s="42"/>
      <c r="CP29" s="3"/>
      <c r="CQ29" s="3"/>
      <c r="CR29" s="3"/>
      <c r="CS29" s="3"/>
      <c r="CT29" s="3"/>
      <c r="CU29" s="3"/>
      <c r="CV29" s="42"/>
      <c r="CW29" s="3"/>
      <c r="CX29" s="3"/>
      <c r="CY29" s="3"/>
      <c r="CZ29" s="3"/>
      <c r="DA29" s="3"/>
      <c r="DB29" s="3"/>
      <c r="DC29" s="42"/>
      <c r="DD29" s="3"/>
      <c r="DE29" s="3"/>
      <c r="DF29" s="3"/>
      <c r="DG29" s="3"/>
      <c r="DH29" s="3"/>
      <c r="DI29" s="3"/>
      <c r="DJ29" s="42"/>
      <c r="DK29" s="3"/>
      <c r="DL29" s="3"/>
      <c r="DM29" s="3"/>
      <c r="DN29" s="3"/>
      <c r="DO29" s="3"/>
      <c r="DP29" s="3"/>
      <c r="DQ29" s="42"/>
      <c r="DR29" s="3"/>
      <c r="DS29" s="3"/>
      <c r="DT29" s="3"/>
      <c r="DU29" s="3"/>
      <c r="DV29" s="3"/>
      <c r="DW29" s="3"/>
      <c r="DX29" s="42"/>
      <c r="DY29" s="3"/>
      <c r="DZ29" s="3"/>
      <c r="EA29" s="3"/>
      <c r="EB29" s="3"/>
      <c r="EC29" s="3"/>
      <c r="ED29" s="3"/>
      <c r="EE29" s="42"/>
      <c r="EF29" s="3"/>
      <c r="EG29" s="3"/>
      <c r="EH29" s="3"/>
      <c r="EI29" s="3"/>
      <c r="EJ29" s="3"/>
      <c r="EK29" s="3"/>
      <c r="EL29" s="42"/>
      <c r="EM29" s="3"/>
      <c r="EN29" s="3"/>
      <c r="EO29" s="3"/>
      <c r="EP29" s="3"/>
      <c r="EQ29" s="3"/>
      <c r="ER29" s="3"/>
    </row>
    <row r="30">
      <c r="A30" s="44"/>
      <c r="B30" s="43"/>
      <c r="C30" s="10"/>
      <c r="D30" s="10"/>
      <c r="E30" s="10"/>
      <c r="F30" s="10"/>
      <c r="G30" s="10"/>
      <c r="H30" s="10"/>
      <c r="I30" s="43" t="str">
        <f t="shared" ref="I30:M30" si="181">B30</f>
        <v/>
      </c>
      <c r="J30" s="10" t="str">
        <f t="shared" si="181"/>
        <v/>
      </c>
      <c r="K30" s="10" t="str">
        <f t="shared" si="181"/>
        <v/>
      </c>
      <c r="L30" s="10" t="str">
        <f t="shared" si="181"/>
        <v/>
      </c>
      <c r="M30" s="10" t="str">
        <f t="shared" si="181"/>
        <v/>
      </c>
      <c r="N30" s="10"/>
      <c r="O30" s="10"/>
      <c r="P30" s="43" t="str">
        <f t="shared" ref="P30:T30" si="182">I30</f>
        <v/>
      </c>
      <c r="Q30" s="10" t="str">
        <f t="shared" si="182"/>
        <v/>
      </c>
      <c r="R30" s="10" t="str">
        <f t="shared" si="182"/>
        <v/>
      </c>
      <c r="S30" s="10" t="str">
        <f t="shared" si="182"/>
        <v/>
      </c>
      <c r="T30" s="10" t="str">
        <f t="shared" si="182"/>
        <v/>
      </c>
      <c r="U30" s="10"/>
      <c r="V30" s="10"/>
      <c r="W30" s="43" t="str">
        <f t="shared" ref="W30:AA30" si="183">P30</f>
        <v/>
      </c>
      <c r="X30" s="10" t="str">
        <f t="shared" si="183"/>
        <v/>
      </c>
      <c r="Y30" s="10" t="str">
        <f t="shared" si="183"/>
        <v/>
      </c>
      <c r="Z30" s="10" t="str">
        <f t="shared" si="183"/>
        <v/>
      </c>
      <c r="AA30" s="10" t="str">
        <f t="shared" si="183"/>
        <v/>
      </c>
      <c r="AB30" s="10"/>
      <c r="AC30" s="10"/>
      <c r="AD30" s="43" t="str">
        <f t="shared" ref="AD30:AH30" si="184">W30</f>
        <v/>
      </c>
      <c r="AE30" s="10" t="str">
        <f t="shared" si="184"/>
        <v/>
      </c>
      <c r="AF30" s="10" t="str">
        <f t="shared" si="184"/>
        <v/>
      </c>
      <c r="AG30" s="10" t="str">
        <f t="shared" si="184"/>
        <v/>
      </c>
      <c r="AH30" s="10" t="str">
        <f t="shared" si="184"/>
        <v/>
      </c>
      <c r="AI30" s="10"/>
      <c r="AJ30" s="10"/>
      <c r="AK30" s="43" t="str">
        <f t="shared" ref="AK30:AO30" si="185">AD30</f>
        <v/>
      </c>
      <c r="AL30" s="10" t="str">
        <f t="shared" si="185"/>
        <v/>
      </c>
      <c r="AM30" s="10" t="str">
        <f t="shared" si="185"/>
        <v/>
      </c>
      <c r="AN30" s="10" t="str">
        <f t="shared" si="185"/>
        <v/>
      </c>
      <c r="AO30" s="10" t="str">
        <f t="shared" si="185"/>
        <v/>
      </c>
      <c r="AP30" s="10"/>
      <c r="AQ30" s="10"/>
      <c r="AR30" s="43" t="str">
        <f t="shared" ref="AR30:AV30" si="186">AK30</f>
        <v/>
      </c>
      <c r="AS30" s="10" t="str">
        <f t="shared" si="186"/>
        <v/>
      </c>
      <c r="AT30" s="10" t="str">
        <f t="shared" si="186"/>
        <v/>
      </c>
      <c r="AU30" s="10" t="str">
        <f t="shared" si="186"/>
        <v/>
      </c>
      <c r="AV30" s="10" t="str">
        <f t="shared" si="186"/>
        <v/>
      </c>
      <c r="AW30" s="10"/>
      <c r="AX30" s="10"/>
      <c r="AY30" s="43" t="str">
        <f t="shared" ref="AY30:BC30" si="187">AR30</f>
        <v/>
      </c>
      <c r="AZ30" s="10" t="str">
        <f t="shared" si="187"/>
        <v/>
      </c>
      <c r="BA30" s="10" t="str">
        <f t="shared" si="187"/>
        <v/>
      </c>
      <c r="BB30" s="10" t="str">
        <f t="shared" si="187"/>
        <v/>
      </c>
      <c r="BC30" s="10" t="str">
        <f t="shared" si="187"/>
        <v/>
      </c>
      <c r="BD30" s="10"/>
      <c r="BE30" s="10"/>
      <c r="BF30" s="43" t="str">
        <f t="shared" ref="BF30:BJ30" si="188">AY30</f>
        <v/>
      </c>
      <c r="BG30" s="10" t="str">
        <f t="shared" si="188"/>
        <v/>
      </c>
      <c r="BH30" s="10" t="str">
        <f t="shared" si="188"/>
        <v/>
      </c>
      <c r="BI30" s="10" t="str">
        <f t="shared" si="188"/>
        <v/>
      </c>
      <c r="BJ30" s="10" t="str">
        <f t="shared" si="188"/>
        <v/>
      </c>
      <c r="BK30" s="10"/>
      <c r="BL30" s="10"/>
      <c r="BM30" s="43" t="str">
        <f t="shared" ref="BM30:BQ30" si="189">BF30</f>
        <v/>
      </c>
      <c r="BN30" s="10" t="str">
        <f t="shared" si="189"/>
        <v/>
      </c>
      <c r="BO30" s="10" t="str">
        <f t="shared" si="189"/>
        <v/>
      </c>
      <c r="BP30" s="10" t="str">
        <f t="shared" si="189"/>
        <v/>
      </c>
      <c r="BQ30" s="10" t="str">
        <f t="shared" si="189"/>
        <v/>
      </c>
      <c r="BR30" s="10"/>
      <c r="BS30" s="10"/>
      <c r="BT30" s="43" t="str">
        <f t="shared" ref="BT30:BX30" si="190">BM30</f>
        <v/>
      </c>
      <c r="BU30" s="10" t="str">
        <f t="shared" si="190"/>
        <v/>
      </c>
      <c r="BV30" s="10" t="str">
        <f t="shared" si="190"/>
        <v/>
      </c>
      <c r="BW30" s="10" t="str">
        <f t="shared" si="190"/>
        <v/>
      </c>
      <c r="BX30" s="10" t="str">
        <f t="shared" si="190"/>
        <v/>
      </c>
      <c r="BY30" s="10"/>
      <c r="BZ30" s="10"/>
      <c r="CA30" s="43" t="str">
        <f t="shared" ref="CA30:CE30" si="191">BT30</f>
        <v/>
      </c>
      <c r="CB30" s="10" t="str">
        <f t="shared" si="191"/>
        <v/>
      </c>
      <c r="CC30" s="10" t="str">
        <f t="shared" si="191"/>
        <v/>
      </c>
      <c r="CD30" s="10" t="str">
        <f t="shared" si="191"/>
        <v/>
      </c>
      <c r="CE30" s="10" t="str">
        <f t="shared" si="191"/>
        <v/>
      </c>
      <c r="CF30" s="10"/>
      <c r="CG30" s="10"/>
      <c r="CH30" s="43" t="str">
        <f t="shared" ref="CH30:CL30" si="192">CA30</f>
        <v/>
      </c>
      <c r="CI30" s="10" t="str">
        <f t="shared" si="192"/>
        <v/>
      </c>
      <c r="CJ30" s="10" t="str">
        <f t="shared" si="192"/>
        <v/>
      </c>
      <c r="CK30" s="10" t="str">
        <f t="shared" si="192"/>
        <v/>
      </c>
      <c r="CL30" s="10" t="str">
        <f t="shared" si="192"/>
        <v/>
      </c>
      <c r="CM30" s="10"/>
      <c r="CN30" s="10"/>
      <c r="CO30" s="43" t="str">
        <f t="shared" ref="CO30:CS30" si="193">CH30</f>
        <v/>
      </c>
      <c r="CP30" s="10" t="str">
        <f t="shared" si="193"/>
        <v/>
      </c>
      <c r="CQ30" s="10" t="str">
        <f t="shared" si="193"/>
        <v/>
      </c>
      <c r="CR30" s="10" t="str">
        <f t="shared" si="193"/>
        <v/>
      </c>
      <c r="CS30" s="10" t="str">
        <f t="shared" si="193"/>
        <v/>
      </c>
      <c r="CT30" s="10"/>
      <c r="CU30" s="10"/>
      <c r="CV30" s="43" t="str">
        <f t="shared" ref="CV30:CZ30" si="194">CO30</f>
        <v/>
      </c>
      <c r="CW30" s="10" t="str">
        <f t="shared" si="194"/>
        <v/>
      </c>
      <c r="CX30" s="10" t="str">
        <f t="shared" si="194"/>
        <v/>
      </c>
      <c r="CY30" s="10" t="str">
        <f t="shared" si="194"/>
        <v/>
      </c>
      <c r="CZ30" s="10" t="str">
        <f t="shared" si="194"/>
        <v/>
      </c>
      <c r="DA30" s="10"/>
      <c r="DB30" s="10"/>
      <c r="DC30" s="43" t="str">
        <f t="shared" ref="DC30:DG30" si="195">CV30</f>
        <v/>
      </c>
      <c r="DD30" s="10" t="str">
        <f t="shared" si="195"/>
        <v/>
      </c>
      <c r="DE30" s="10" t="str">
        <f t="shared" si="195"/>
        <v/>
      </c>
      <c r="DF30" s="10" t="str">
        <f t="shared" si="195"/>
        <v/>
      </c>
      <c r="DG30" s="10" t="str">
        <f t="shared" si="195"/>
        <v/>
      </c>
      <c r="DH30" s="10"/>
      <c r="DI30" s="10"/>
      <c r="DJ30" s="43" t="str">
        <f t="shared" ref="DJ30:DN30" si="196">DC30</f>
        <v/>
      </c>
      <c r="DK30" s="10" t="str">
        <f t="shared" si="196"/>
        <v/>
      </c>
      <c r="DL30" s="10" t="str">
        <f t="shared" si="196"/>
        <v/>
      </c>
      <c r="DM30" s="10" t="str">
        <f t="shared" si="196"/>
        <v/>
      </c>
      <c r="DN30" s="10" t="str">
        <f t="shared" si="196"/>
        <v/>
      </c>
      <c r="DO30" s="10"/>
      <c r="DP30" s="10"/>
      <c r="DQ30" s="43" t="str">
        <f t="shared" ref="DQ30:DU30" si="197">DJ30</f>
        <v/>
      </c>
      <c r="DR30" s="10" t="str">
        <f t="shared" si="197"/>
        <v/>
      </c>
      <c r="DS30" s="10" t="str">
        <f t="shared" si="197"/>
        <v/>
      </c>
      <c r="DT30" s="10" t="str">
        <f t="shared" si="197"/>
        <v/>
      </c>
      <c r="DU30" s="10" t="str">
        <f t="shared" si="197"/>
        <v/>
      </c>
      <c r="DV30" s="10"/>
      <c r="DW30" s="10"/>
      <c r="DX30" s="43" t="str">
        <f t="shared" ref="DX30:EB30" si="198">DQ30</f>
        <v/>
      </c>
      <c r="DY30" s="10" t="str">
        <f t="shared" si="198"/>
        <v/>
      </c>
      <c r="DZ30" s="10" t="str">
        <f t="shared" si="198"/>
        <v/>
      </c>
      <c r="EA30" s="10" t="str">
        <f t="shared" si="198"/>
        <v/>
      </c>
      <c r="EB30" s="10" t="str">
        <f t="shared" si="198"/>
        <v/>
      </c>
      <c r="EC30" s="10"/>
      <c r="ED30" s="10"/>
      <c r="EE30" s="43" t="str">
        <f t="shared" ref="EE30:EI30" si="199">DX30</f>
        <v/>
      </c>
      <c r="EF30" s="10" t="str">
        <f t="shared" si="199"/>
        <v/>
      </c>
      <c r="EG30" s="10" t="str">
        <f t="shared" si="199"/>
        <v/>
      </c>
      <c r="EH30" s="10" t="str">
        <f t="shared" si="199"/>
        <v/>
      </c>
      <c r="EI30" s="10" t="str">
        <f t="shared" si="199"/>
        <v/>
      </c>
      <c r="EJ30" s="10"/>
      <c r="EK30" s="10"/>
      <c r="EL30" s="43" t="str">
        <f t="shared" ref="EL30:EP30" si="200">EE30</f>
        <v/>
      </c>
      <c r="EM30" s="10" t="str">
        <f t="shared" si="200"/>
        <v/>
      </c>
      <c r="EN30" s="10" t="str">
        <f t="shared" si="200"/>
        <v/>
      </c>
      <c r="EO30" s="10" t="str">
        <f t="shared" si="200"/>
        <v/>
      </c>
      <c r="EP30" s="10" t="str">
        <f t="shared" si="200"/>
        <v/>
      </c>
      <c r="EQ30" s="10"/>
      <c r="ER30" s="10"/>
    </row>
    <row r="31">
      <c r="A31" s="44"/>
      <c r="B31" s="43"/>
      <c r="C31" s="10"/>
      <c r="D31" s="10"/>
      <c r="E31" s="10"/>
      <c r="F31" s="10"/>
      <c r="G31" s="10"/>
      <c r="H31" s="10"/>
      <c r="I31" s="43" t="str">
        <f t="shared" ref="I31:M31" si="201">B31</f>
        <v/>
      </c>
      <c r="J31" s="10" t="str">
        <f t="shared" si="201"/>
        <v/>
      </c>
      <c r="K31" s="10" t="str">
        <f t="shared" si="201"/>
        <v/>
      </c>
      <c r="L31" s="10" t="str">
        <f t="shared" si="201"/>
        <v/>
      </c>
      <c r="M31" s="10" t="str">
        <f t="shared" si="201"/>
        <v/>
      </c>
      <c r="N31" s="10"/>
      <c r="O31" s="10"/>
      <c r="P31" s="43" t="str">
        <f t="shared" ref="P31:T31" si="202">I31</f>
        <v/>
      </c>
      <c r="Q31" s="10" t="str">
        <f t="shared" si="202"/>
        <v/>
      </c>
      <c r="R31" s="10" t="str">
        <f t="shared" si="202"/>
        <v/>
      </c>
      <c r="S31" s="10" t="str">
        <f t="shared" si="202"/>
        <v/>
      </c>
      <c r="T31" s="10" t="str">
        <f t="shared" si="202"/>
        <v/>
      </c>
      <c r="U31" s="10"/>
      <c r="V31" s="10"/>
      <c r="W31" s="43" t="str">
        <f t="shared" ref="W31:AA31" si="203">P31</f>
        <v/>
      </c>
      <c r="X31" s="10" t="str">
        <f t="shared" si="203"/>
        <v/>
      </c>
      <c r="Y31" s="10" t="str">
        <f t="shared" si="203"/>
        <v/>
      </c>
      <c r="Z31" s="10" t="str">
        <f t="shared" si="203"/>
        <v/>
      </c>
      <c r="AA31" s="10" t="str">
        <f t="shared" si="203"/>
        <v/>
      </c>
      <c r="AB31" s="10"/>
      <c r="AC31" s="10"/>
      <c r="AD31" s="43" t="str">
        <f t="shared" ref="AD31:AH31" si="204">W31</f>
        <v/>
      </c>
      <c r="AE31" s="10" t="str">
        <f t="shared" si="204"/>
        <v/>
      </c>
      <c r="AF31" s="10" t="str">
        <f t="shared" si="204"/>
        <v/>
      </c>
      <c r="AG31" s="10" t="str">
        <f t="shared" si="204"/>
        <v/>
      </c>
      <c r="AH31" s="10" t="str">
        <f t="shared" si="204"/>
        <v/>
      </c>
      <c r="AI31" s="10"/>
      <c r="AJ31" s="10"/>
      <c r="AK31" s="43" t="str">
        <f t="shared" ref="AK31:AO31" si="205">AD31</f>
        <v/>
      </c>
      <c r="AL31" s="10" t="str">
        <f t="shared" si="205"/>
        <v/>
      </c>
      <c r="AM31" s="10" t="str">
        <f t="shared" si="205"/>
        <v/>
      </c>
      <c r="AN31" s="10" t="str">
        <f t="shared" si="205"/>
        <v/>
      </c>
      <c r="AO31" s="10" t="str">
        <f t="shared" si="205"/>
        <v/>
      </c>
      <c r="AP31" s="10"/>
      <c r="AQ31" s="10"/>
      <c r="AR31" s="43" t="str">
        <f t="shared" ref="AR31:AV31" si="206">AK31</f>
        <v/>
      </c>
      <c r="AS31" s="10" t="str">
        <f t="shared" si="206"/>
        <v/>
      </c>
      <c r="AT31" s="10" t="str">
        <f t="shared" si="206"/>
        <v/>
      </c>
      <c r="AU31" s="10" t="str">
        <f t="shared" si="206"/>
        <v/>
      </c>
      <c r="AV31" s="10" t="str">
        <f t="shared" si="206"/>
        <v/>
      </c>
      <c r="AW31" s="10"/>
      <c r="AX31" s="10"/>
      <c r="AY31" s="43" t="str">
        <f t="shared" ref="AY31:BC31" si="207">AR31</f>
        <v/>
      </c>
      <c r="AZ31" s="10" t="str">
        <f t="shared" si="207"/>
        <v/>
      </c>
      <c r="BA31" s="10" t="str">
        <f t="shared" si="207"/>
        <v/>
      </c>
      <c r="BB31" s="10" t="str">
        <f t="shared" si="207"/>
        <v/>
      </c>
      <c r="BC31" s="10" t="str">
        <f t="shared" si="207"/>
        <v/>
      </c>
      <c r="BD31" s="10"/>
      <c r="BE31" s="10"/>
      <c r="BF31" s="43" t="str">
        <f t="shared" ref="BF31:BJ31" si="208">AY31</f>
        <v/>
      </c>
      <c r="BG31" s="10" t="str">
        <f t="shared" si="208"/>
        <v/>
      </c>
      <c r="BH31" s="10" t="str">
        <f t="shared" si="208"/>
        <v/>
      </c>
      <c r="BI31" s="10" t="str">
        <f t="shared" si="208"/>
        <v/>
      </c>
      <c r="BJ31" s="10" t="str">
        <f t="shared" si="208"/>
        <v/>
      </c>
      <c r="BK31" s="10"/>
      <c r="BL31" s="10"/>
      <c r="BM31" s="43" t="str">
        <f t="shared" ref="BM31:BQ31" si="209">BF31</f>
        <v/>
      </c>
      <c r="BN31" s="10" t="str">
        <f t="shared" si="209"/>
        <v/>
      </c>
      <c r="BO31" s="10" t="str">
        <f t="shared" si="209"/>
        <v/>
      </c>
      <c r="BP31" s="10" t="str">
        <f t="shared" si="209"/>
        <v/>
      </c>
      <c r="BQ31" s="10" t="str">
        <f t="shared" si="209"/>
        <v/>
      </c>
      <c r="BR31" s="10"/>
      <c r="BS31" s="10"/>
      <c r="BT31" s="43" t="str">
        <f t="shared" ref="BT31:BX31" si="210">BM31</f>
        <v/>
      </c>
      <c r="BU31" s="10" t="str">
        <f t="shared" si="210"/>
        <v/>
      </c>
      <c r="BV31" s="10" t="str">
        <f t="shared" si="210"/>
        <v/>
      </c>
      <c r="BW31" s="10" t="str">
        <f t="shared" si="210"/>
        <v/>
      </c>
      <c r="BX31" s="10" t="str">
        <f t="shared" si="210"/>
        <v/>
      </c>
      <c r="BY31" s="10"/>
      <c r="BZ31" s="10"/>
      <c r="CA31" s="43" t="str">
        <f t="shared" ref="CA31:CE31" si="211">BT31</f>
        <v/>
      </c>
      <c r="CB31" s="10" t="str">
        <f t="shared" si="211"/>
        <v/>
      </c>
      <c r="CC31" s="10" t="str">
        <f t="shared" si="211"/>
        <v/>
      </c>
      <c r="CD31" s="10" t="str">
        <f t="shared" si="211"/>
        <v/>
      </c>
      <c r="CE31" s="10" t="str">
        <f t="shared" si="211"/>
        <v/>
      </c>
      <c r="CF31" s="10"/>
      <c r="CG31" s="10"/>
      <c r="CH31" s="43" t="str">
        <f t="shared" ref="CH31:CL31" si="212">CA31</f>
        <v/>
      </c>
      <c r="CI31" s="10" t="str">
        <f t="shared" si="212"/>
        <v/>
      </c>
      <c r="CJ31" s="10" t="str">
        <f t="shared" si="212"/>
        <v/>
      </c>
      <c r="CK31" s="10" t="str">
        <f t="shared" si="212"/>
        <v/>
      </c>
      <c r="CL31" s="10" t="str">
        <f t="shared" si="212"/>
        <v/>
      </c>
      <c r="CM31" s="10"/>
      <c r="CN31" s="10"/>
      <c r="CO31" s="43" t="str">
        <f t="shared" ref="CO31:CS31" si="213">CH31</f>
        <v/>
      </c>
      <c r="CP31" s="10" t="str">
        <f t="shared" si="213"/>
        <v/>
      </c>
      <c r="CQ31" s="10" t="str">
        <f t="shared" si="213"/>
        <v/>
      </c>
      <c r="CR31" s="10" t="str">
        <f t="shared" si="213"/>
        <v/>
      </c>
      <c r="CS31" s="10" t="str">
        <f t="shared" si="213"/>
        <v/>
      </c>
      <c r="CT31" s="10"/>
      <c r="CU31" s="10"/>
      <c r="CV31" s="43" t="str">
        <f t="shared" ref="CV31:CZ31" si="214">CO31</f>
        <v/>
      </c>
      <c r="CW31" s="10" t="str">
        <f t="shared" si="214"/>
        <v/>
      </c>
      <c r="CX31" s="10" t="str">
        <f t="shared" si="214"/>
        <v/>
      </c>
      <c r="CY31" s="10" t="str">
        <f t="shared" si="214"/>
        <v/>
      </c>
      <c r="CZ31" s="10" t="str">
        <f t="shared" si="214"/>
        <v/>
      </c>
      <c r="DA31" s="10"/>
      <c r="DB31" s="10"/>
      <c r="DC31" s="43" t="str">
        <f t="shared" ref="DC31:DG31" si="215">CV31</f>
        <v/>
      </c>
      <c r="DD31" s="10" t="str">
        <f t="shared" si="215"/>
        <v/>
      </c>
      <c r="DE31" s="10" t="str">
        <f t="shared" si="215"/>
        <v/>
      </c>
      <c r="DF31" s="10" t="str">
        <f t="shared" si="215"/>
        <v/>
      </c>
      <c r="DG31" s="10" t="str">
        <f t="shared" si="215"/>
        <v/>
      </c>
      <c r="DH31" s="10"/>
      <c r="DI31" s="10"/>
      <c r="DJ31" s="43" t="str">
        <f t="shared" ref="DJ31:DN31" si="216">DC31</f>
        <v/>
      </c>
      <c r="DK31" s="10" t="str">
        <f t="shared" si="216"/>
        <v/>
      </c>
      <c r="DL31" s="10" t="str">
        <f t="shared" si="216"/>
        <v/>
      </c>
      <c r="DM31" s="10" t="str">
        <f t="shared" si="216"/>
        <v/>
      </c>
      <c r="DN31" s="10" t="str">
        <f t="shared" si="216"/>
        <v/>
      </c>
      <c r="DO31" s="10"/>
      <c r="DP31" s="10"/>
      <c r="DQ31" s="43" t="str">
        <f t="shared" ref="DQ31:DU31" si="217">DJ31</f>
        <v/>
      </c>
      <c r="DR31" s="10" t="str">
        <f t="shared" si="217"/>
        <v/>
      </c>
      <c r="DS31" s="10" t="str">
        <f t="shared" si="217"/>
        <v/>
      </c>
      <c r="DT31" s="10" t="str">
        <f t="shared" si="217"/>
        <v/>
      </c>
      <c r="DU31" s="10" t="str">
        <f t="shared" si="217"/>
        <v/>
      </c>
      <c r="DV31" s="10"/>
      <c r="DW31" s="10"/>
      <c r="DX31" s="43" t="str">
        <f t="shared" ref="DX31:EB31" si="218">DQ31</f>
        <v/>
      </c>
      <c r="DY31" s="10" t="str">
        <f t="shared" si="218"/>
        <v/>
      </c>
      <c r="DZ31" s="10" t="str">
        <f t="shared" si="218"/>
        <v/>
      </c>
      <c r="EA31" s="10" t="str">
        <f t="shared" si="218"/>
        <v/>
      </c>
      <c r="EB31" s="10" t="str">
        <f t="shared" si="218"/>
        <v/>
      </c>
      <c r="EC31" s="10"/>
      <c r="ED31" s="10"/>
      <c r="EE31" s="43" t="str">
        <f t="shared" ref="EE31:EI31" si="219">DX31</f>
        <v/>
      </c>
      <c r="EF31" s="10" t="str">
        <f t="shared" si="219"/>
        <v/>
      </c>
      <c r="EG31" s="10" t="str">
        <f t="shared" si="219"/>
        <v/>
      </c>
      <c r="EH31" s="10" t="str">
        <f t="shared" si="219"/>
        <v/>
      </c>
      <c r="EI31" s="10" t="str">
        <f t="shared" si="219"/>
        <v/>
      </c>
      <c r="EJ31" s="10"/>
      <c r="EK31" s="10"/>
      <c r="EL31" s="43" t="str">
        <f t="shared" ref="EL31:EP31" si="220">EE31</f>
        <v/>
      </c>
      <c r="EM31" s="10" t="str">
        <f t="shared" si="220"/>
        <v/>
      </c>
      <c r="EN31" s="10" t="str">
        <f t="shared" si="220"/>
        <v/>
      </c>
      <c r="EO31" s="10" t="str">
        <f t="shared" si="220"/>
        <v/>
      </c>
      <c r="EP31" s="10" t="str">
        <f t="shared" si="220"/>
        <v/>
      </c>
      <c r="EQ31" s="10"/>
      <c r="ER31" s="10"/>
    </row>
    <row r="32">
      <c r="A32" s="45"/>
      <c r="B32" s="46"/>
      <c r="C32" s="47"/>
      <c r="D32" s="47"/>
      <c r="E32" s="47"/>
      <c r="F32" s="47"/>
      <c r="G32" s="47"/>
      <c r="H32" s="47"/>
      <c r="I32" s="46" t="str">
        <f t="shared" ref="I32:M32" si="221">B32</f>
        <v/>
      </c>
      <c r="J32" s="47" t="str">
        <f t="shared" si="221"/>
        <v/>
      </c>
      <c r="K32" s="47" t="str">
        <f t="shared" si="221"/>
        <v/>
      </c>
      <c r="L32" s="47" t="str">
        <f t="shared" si="221"/>
        <v/>
      </c>
      <c r="M32" s="47" t="str">
        <f t="shared" si="221"/>
        <v/>
      </c>
      <c r="N32" s="47"/>
      <c r="O32" s="47"/>
      <c r="P32" s="46" t="str">
        <f t="shared" ref="P32:T32" si="222">I32</f>
        <v/>
      </c>
      <c r="Q32" s="47" t="str">
        <f t="shared" si="222"/>
        <v/>
      </c>
      <c r="R32" s="47" t="str">
        <f t="shared" si="222"/>
        <v/>
      </c>
      <c r="S32" s="47" t="str">
        <f t="shared" si="222"/>
        <v/>
      </c>
      <c r="T32" s="47" t="str">
        <f t="shared" si="222"/>
        <v/>
      </c>
      <c r="U32" s="47"/>
      <c r="V32" s="47"/>
      <c r="W32" s="46" t="str">
        <f t="shared" ref="W32:AA32" si="223">P32</f>
        <v/>
      </c>
      <c r="X32" s="47" t="str">
        <f t="shared" si="223"/>
        <v/>
      </c>
      <c r="Y32" s="47" t="str">
        <f t="shared" si="223"/>
        <v/>
      </c>
      <c r="Z32" s="47" t="str">
        <f t="shared" si="223"/>
        <v/>
      </c>
      <c r="AA32" s="47" t="str">
        <f t="shared" si="223"/>
        <v/>
      </c>
      <c r="AB32" s="47"/>
      <c r="AC32" s="47"/>
      <c r="AD32" s="46" t="str">
        <f t="shared" ref="AD32:AH32" si="224">W32</f>
        <v/>
      </c>
      <c r="AE32" s="47" t="str">
        <f t="shared" si="224"/>
        <v/>
      </c>
      <c r="AF32" s="47" t="str">
        <f t="shared" si="224"/>
        <v/>
      </c>
      <c r="AG32" s="47" t="str">
        <f t="shared" si="224"/>
        <v/>
      </c>
      <c r="AH32" s="47" t="str">
        <f t="shared" si="224"/>
        <v/>
      </c>
      <c r="AI32" s="47"/>
      <c r="AJ32" s="47"/>
      <c r="AK32" s="46" t="str">
        <f t="shared" ref="AK32:AO32" si="225">AD32</f>
        <v/>
      </c>
      <c r="AL32" s="47" t="str">
        <f t="shared" si="225"/>
        <v/>
      </c>
      <c r="AM32" s="47" t="str">
        <f t="shared" si="225"/>
        <v/>
      </c>
      <c r="AN32" s="47" t="str">
        <f t="shared" si="225"/>
        <v/>
      </c>
      <c r="AO32" s="47" t="str">
        <f t="shared" si="225"/>
        <v/>
      </c>
      <c r="AP32" s="47"/>
      <c r="AQ32" s="47"/>
      <c r="AR32" s="46" t="str">
        <f t="shared" ref="AR32:AV32" si="226">AK32</f>
        <v/>
      </c>
      <c r="AS32" s="47" t="str">
        <f t="shared" si="226"/>
        <v/>
      </c>
      <c r="AT32" s="47" t="str">
        <f t="shared" si="226"/>
        <v/>
      </c>
      <c r="AU32" s="47" t="str">
        <f t="shared" si="226"/>
        <v/>
      </c>
      <c r="AV32" s="47" t="str">
        <f t="shared" si="226"/>
        <v/>
      </c>
      <c r="AW32" s="47"/>
      <c r="AX32" s="47"/>
      <c r="AY32" s="46" t="str">
        <f t="shared" ref="AY32:BC32" si="227">AR32</f>
        <v/>
      </c>
      <c r="AZ32" s="47" t="str">
        <f t="shared" si="227"/>
        <v/>
      </c>
      <c r="BA32" s="47" t="str">
        <f t="shared" si="227"/>
        <v/>
      </c>
      <c r="BB32" s="47" t="str">
        <f t="shared" si="227"/>
        <v/>
      </c>
      <c r="BC32" s="47" t="str">
        <f t="shared" si="227"/>
        <v/>
      </c>
      <c r="BD32" s="47"/>
      <c r="BE32" s="47"/>
      <c r="BF32" s="46" t="str">
        <f t="shared" ref="BF32:BJ32" si="228">AY32</f>
        <v/>
      </c>
      <c r="BG32" s="47" t="str">
        <f t="shared" si="228"/>
        <v/>
      </c>
      <c r="BH32" s="47" t="str">
        <f t="shared" si="228"/>
        <v/>
      </c>
      <c r="BI32" s="47" t="str">
        <f t="shared" si="228"/>
        <v/>
      </c>
      <c r="BJ32" s="47" t="str">
        <f t="shared" si="228"/>
        <v/>
      </c>
      <c r="BK32" s="47"/>
      <c r="BL32" s="47"/>
      <c r="BM32" s="46" t="str">
        <f t="shared" ref="BM32:BQ32" si="229">BF32</f>
        <v/>
      </c>
      <c r="BN32" s="47" t="str">
        <f t="shared" si="229"/>
        <v/>
      </c>
      <c r="BO32" s="47" t="str">
        <f t="shared" si="229"/>
        <v/>
      </c>
      <c r="BP32" s="47" t="str">
        <f t="shared" si="229"/>
        <v/>
      </c>
      <c r="BQ32" s="47" t="str">
        <f t="shared" si="229"/>
        <v/>
      </c>
      <c r="BR32" s="47"/>
      <c r="BS32" s="47"/>
      <c r="BT32" s="46" t="str">
        <f t="shared" ref="BT32:BX32" si="230">BM32</f>
        <v/>
      </c>
      <c r="BU32" s="47" t="str">
        <f t="shared" si="230"/>
        <v/>
      </c>
      <c r="BV32" s="47" t="str">
        <f t="shared" si="230"/>
        <v/>
      </c>
      <c r="BW32" s="47" t="str">
        <f t="shared" si="230"/>
        <v/>
      </c>
      <c r="BX32" s="47" t="str">
        <f t="shared" si="230"/>
        <v/>
      </c>
      <c r="BY32" s="47"/>
      <c r="BZ32" s="47"/>
      <c r="CA32" s="46" t="str">
        <f t="shared" ref="CA32:CE32" si="231">BT32</f>
        <v/>
      </c>
      <c r="CB32" s="47" t="str">
        <f t="shared" si="231"/>
        <v/>
      </c>
      <c r="CC32" s="47" t="str">
        <f t="shared" si="231"/>
        <v/>
      </c>
      <c r="CD32" s="47" t="str">
        <f t="shared" si="231"/>
        <v/>
      </c>
      <c r="CE32" s="47" t="str">
        <f t="shared" si="231"/>
        <v/>
      </c>
      <c r="CF32" s="47"/>
      <c r="CG32" s="47"/>
      <c r="CH32" s="46" t="str">
        <f t="shared" ref="CH32:CL32" si="232">CA32</f>
        <v/>
      </c>
      <c r="CI32" s="47" t="str">
        <f t="shared" si="232"/>
        <v/>
      </c>
      <c r="CJ32" s="47" t="str">
        <f t="shared" si="232"/>
        <v/>
      </c>
      <c r="CK32" s="47" t="str">
        <f t="shared" si="232"/>
        <v/>
      </c>
      <c r="CL32" s="47" t="str">
        <f t="shared" si="232"/>
        <v/>
      </c>
      <c r="CM32" s="47"/>
      <c r="CN32" s="47"/>
      <c r="CO32" s="46" t="str">
        <f t="shared" ref="CO32:CS32" si="233">CH32</f>
        <v/>
      </c>
      <c r="CP32" s="47" t="str">
        <f t="shared" si="233"/>
        <v/>
      </c>
      <c r="CQ32" s="47" t="str">
        <f t="shared" si="233"/>
        <v/>
      </c>
      <c r="CR32" s="47" t="str">
        <f t="shared" si="233"/>
        <v/>
      </c>
      <c r="CS32" s="47" t="str">
        <f t="shared" si="233"/>
        <v/>
      </c>
      <c r="CT32" s="47"/>
      <c r="CU32" s="47"/>
      <c r="CV32" s="46" t="str">
        <f t="shared" ref="CV32:CZ32" si="234">CO32</f>
        <v/>
      </c>
      <c r="CW32" s="47" t="str">
        <f t="shared" si="234"/>
        <v/>
      </c>
      <c r="CX32" s="47" t="str">
        <f t="shared" si="234"/>
        <v/>
      </c>
      <c r="CY32" s="47" t="str">
        <f t="shared" si="234"/>
        <v/>
      </c>
      <c r="CZ32" s="47" t="str">
        <f t="shared" si="234"/>
        <v/>
      </c>
      <c r="DA32" s="47"/>
      <c r="DB32" s="47"/>
      <c r="DC32" s="46" t="str">
        <f t="shared" ref="DC32:DG32" si="235">CV32</f>
        <v/>
      </c>
      <c r="DD32" s="47" t="str">
        <f t="shared" si="235"/>
        <v/>
      </c>
      <c r="DE32" s="47" t="str">
        <f t="shared" si="235"/>
        <v/>
      </c>
      <c r="DF32" s="47" t="str">
        <f t="shared" si="235"/>
        <v/>
      </c>
      <c r="DG32" s="47" t="str">
        <f t="shared" si="235"/>
        <v/>
      </c>
      <c r="DH32" s="47"/>
      <c r="DI32" s="47"/>
      <c r="DJ32" s="46" t="str">
        <f t="shared" ref="DJ32:DN32" si="236">DC32</f>
        <v/>
      </c>
      <c r="DK32" s="47" t="str">
        <f t="shared" si="236"/>
        <v/>
      </c>
      <c r="DL32" s="47" t="str">
        <f t="shared" si="236"/>
        <v/>
      </c>
      <c r="DM32" s="47" t="str">
        <f t="shared" si="236"/>
        <v/>
      </c>
      <c r="DN32" s="47" t="str">
        <f t="shared" si="236"/>
        <v/>
      </c>
      <c r="DO32" s="47"/>
      <c r="DP32" s="47"/>
      <c r="DQ32" s="46" t="str">
        <f t="shared" ref="DQ32:DU32" si="237">DJ32</f>
        <v/>
      </c>
      <c r="DR32" s="47" t="str">
        <f t="shared" si="237"/>
        <v/>
      </c>
      <c r="DS32" s="47" t="str">
        <f t="shared" si="237"/>
        <v/>
      </c>
      <c r="DT32" s="47" t="str">
        <f t="shared" si="237"/>
        <v/>
      </c>
      <c r="DU32" s="47" t="str">
        <f t="shared" si="237"/>
        <v/>
      </c>
      <c r="DV32" s="47"/>
      <c r="DW32" s="47"/>
      <c r="DX32" s="46" t="str">
        <f t="shared" ref="DX32:EB32" si="238">DQ32</f>
        <v/>
      </c>
      <c r="DY32" s="47" t="str">
        <f t="shared" si="238"/>
        <v/>
      </c>
      <c r="DZ32" s="47" t="str">
        <f t="shared" si="238"/>
        <v/>
      </c>
      <c r="EA32" s="47" t="str">
        <f t="shared" si="238"/>
        <v/>
      </c>
      <c r="EB32" s="47" t="str">
        <f t="shared" si="238"/>
        <v/>
      </c>
      <c r="EC32" s="47"/>
      <c r="ED32" s="47"/>
      <c r="EE32" s="46" t="str">
        <f t="shared" ref="EE32:EI32" si="239">DX32</f>
        <v/>
      </c>
      <c r="EF32" s="47" t="str">
        <f t="shared" si="239"/>
        <v/>
      </c>
      <c r="EG32" s="47" t="str">
        <f t="shared" si="239"/>
        <v/>
      </c>
      <c r="EH32" s="47" t="str">
        <f t="shared" si="239"/>
        <v/>
      </c>
      <c r="EI32" s="47" t="str">
        <f t="shared" si="239"/>
        <v/>
      </c>
      <c r="EJ32" s="47"/>
      <c r="EK32" s="47"/>
      <c r="EL32" s="46" t="str">
        <f t="shared" ref="EL32:EP32" si="240">EE32</f>
        <v/>
      </c>
      <c r="EM32" s="47" t="str">
        <f t="shared" si="240"/>
        <v/>
      </c>
      <c r="EN32" s="47" t="str">
        <f t="shared" si="240"/>
        <v/>
      </c>
      <c r="EO32" s="47" t="str">
        <f t="shared" si="240"/>
        <v/>
      </c>
      <c r="EP32" s="47" t="str">
        <f t="shared" si="240"/>
        <v/>
      </c>
      <c r="EQ32" s="47"/>
      <c r="ER32" s="47"/>
    </row>
    <row r="33">
      <c r="A33" s="3"/>
      <c r="B33" s="42"/>
      <c r="C33" s="3"/>
      <c r="D33" s="3"/>
      <c r="E33" s="3"/>
      <c r="F33" s="3"/>
      <c r="G33" s="3"/>
      <c r="H33" s="3"/>
      <c r="I33" s="42"/>
      <c r="J33" s="3"/>
      <c r="K33" s="3"/>
      <c r="L33" s="3"/>
      <c r="M33" s="3"/>
      <c r="N33" s="3"/>
      <c r="O33" s="3"/>
      <c r="P33" s="42"/>
      <c r="Q33" s="3"/>
      <c r="R33" s="3"/>
      <c r="S33" s="3"/>
      <c r="T33" s="3"/>
      <c r="U33" s="3"/>
      <c r="V33" s="3"/>
      <c r="W33" s="42"/>
      <c r="X33" s="3"/>
      <c r="Y33" s="3"/>
      <c r="Z33" s="3"/>
      <c r="AA33" s="3"/>
      <c r="AB33" s="3"/>
      <c r="AC33" s="3"/>
      <c r="AD33" s="42"/>
      <c r="AE33" s="3"/>
      <c r="AF33" s="3"/>
      <c r="AG33" s="3"/>
      <c r="AH33" s="3"/>
      <c r="AI33" s="3"/>
      <c r="AJ33" s="3"/>
      <c r="AK33" s="42"/>
      <c r="AL33" s="3"/>
      <c r="AM33" s="3"/>
      <c r="AN33" s="3"/>
      <c r="AO33" s="3"/>
      <c r="AP33" s="3"/>
      <c r="AQ33" s="3"/>
      <c r="AR33" s="42"/>
      <c r="AS33" s="3"/>
      <c r="AT33" s="3"/>
      <c r="AU33" s="3"/>
      <c r="AV33" s="3"/>
      <c r="AW33" s="3"/>
      <c r="AX33" s="3"/>
      <c r="AY33" s="42"/>
      <c r="AZ33" s="3"/>
      <c r="BA33" s="3"/>
      <c r="BB33" s="3"/>
      <c r="BC33" s="3"/>
      <c r="BD33" s="3"/>
      <c r="BE33" s="3"/>
      <c r="BF33" s="42"/>
      <c r="BG33" s="3"/>
      <c r="BH33" s="3"/>
      <c r="BI33" s="3"/>
      <c r="BJ33" s="3"/>
      <c r="BK33" s="3"/>
      <c r="BL33" s="3"/>
      <c r="BM33" s="42"/>
      <c r="BN33" s="3"/>
      <c r="BO33" s="3"/>
      <c r="BP33" s="3"/>
      <c r="BQ33" s="3"/>
      <c r="BR33" s="3"/>
      <c r="BS33" s="3"/>
      <c r="BT33" s="42"/>
      <c r="BU33" s="3"/>
      <c r="BV33" s="3"/>
      <c r="BW33" s="3"/>
      <c r="BX33" s="3"/>
      <c r="BY33" s="3"/>
      <c r="BZ33" s="3"/>
      <c r="CA33" s="42"/>
      <c r="CB33" s="3"/>
      <c r="CC33" s="3"/>
      <c r="CD33" s="3"/>
      <c r="CE33" s="3"/>
      <c r="CF33" s="3"/>
      <c r="CG33" s="3"/>
      <c r="CH33" s="42"/>
      <c r="CI33" s="3"/>
      <c r="CJ33" s="3"/>
      <c r="CK33" s="3"/>
      <c r="CL33" s="3"/>
      <c r="CM33" s="3"/>
      <c r="CN33" s="3"/>
      <c r="CO33" s="42"/>
      <c r="CP33" s="3"/>
      <c r="CQ33" s="3"/>
      <c r="CR33" s="3"/>
      <c r="CS33" s="3"/>
      <c r="CT33" s="3"/>
      <c r="CU33" s="3"/>
      <c r="CV33" s="42"/>
      <c r="CW33" s="3"/>
      <c r="CX33" s="3"/>
      <c r="CY33" s="3"/>
      <c r="CZ33" s="3"/>
      <c r="DA33" s="3"/>
      <c r="DB33" s="3"/>
      <c r="DC33" s="42"/>
      <c r="DD33" s="3"/>
      <c r="DE33" s="3"/>
      <c r="DF33" s="3"/>
      <c r="DG33" s="3"/>
      <c r="DH33" s="3"/>
      <c r="DI33" s="3"/>
      <c r="DJ33" s="42"/>
      <c r="DK33" s="3"/>
      <c r="DL33" s="3"/>
      <c r="DM33" s="3"/>
      <c r="DN33" s="3"/>
      <c r="DO33" s="3"/>
      <c r="DP33" s="3"/>
      <c r="DQ33" s="42"/>
      <c r="DR33" s="3"/>
      <c r="DS33" s="3"/>
      <c r="DT33" s="3"/>
      <c r="DU33" s="3"/>
      <c r="DV33" s="3"/>
      <c r="DW33" s="3"/>
      <c r="DX33" s="42"/>
      <c r="DY33" s="3"/>
      <c r="DZ33" s="3"/>
      <c r="EA33" s="3"/>
      <c r="EB33" s="3"/>
      <c r="EC33" s="3"/>
      <c r="ED33" s="3"/>
      <c r="EE33" s="42"/>
      <c r="EF33" s="3"/>
      <c r="EG33" s="3"/>
      <c r="EH33" s="3"/>
      <c r="EI33" s="3"/>
      <c r="EJ33" s="3"/>
      <c r="EK33" s="3"/>
      <c r="EL33" s="42"/>
      <c r="EM33" s="3"/>
      <c r="EN33" s="3"/>
      <c r="EO33" s="3"/>
      <c r="EP33" s="3"/>
      <c r="EQ33" s="3"/>
      <c r="ER33" s="3"/>
    </row>
    <row r="34">
      <c r="A34" s="32" t="s">
        <v>82</v>
      </c>
      <c r="B34" s="33"/>
      <c r="C34" s="34"/>
      <c r="D34" s="34"/>
      <c r="E34" s="34"/>
      <c r="F34" s="34"/>
      <c r="G34" s="34"/>
      <c r="H34" s="34"/>
      <c r="I34" s="33"/>
      <c r="J34" s="34"/>
      <c r="K34" s="34"/>
      <c r="L34" s="34"/>
      <c r="M34" s="34"/>
      <c r="N34" s="34"/>
      <c r="O34" s="34"/>
      <c r="P34" s="33"/>
      <c r="Q34" s="34"/>
      <c r="R34" s="34"/>
      <c r="S34" s="34"/>
      <c r="T34" s="34"/>
      <c r="U34" s="34"/>
      <c r="V34" s="34"/>
      <c r="W34" s="33"/>
      <c r="X34" s="34"/>
      <c r="Y34" s="34"/>
      <c r="Z34" s="34"/>
      <c r="AA34" s="34"/>
      <c r="AB34" s="34"/>
      <c r="AC34" s="34"/>
      <c r="AD34" s="33"/>
      <c r="AE34" s="34"/>
      <c r="AF34" s="34"/>
      <c r="AG34" s="34"/>
      <c r="AH34" s="34"/>
      <c r="AI34" s="34"/>
      <c r="AJ34" s="34"/>
      <c r="AK34" s="33"/>
      <c r="AL34" s="34"/>
      <c r="AM34" s="34"/>
      <c r="AN34" s="34"/>
      <c r="AO34" s="34"/>
      <c r="AP34" s="34"/>
      <c r="AQ34" s="34"/>
      <c r="AR34" s="33"/>
      <c r="AS34" s="34"/>
      <c r="AT34" s="34"/>
      <c r="AU34" s="34"/>
      <c r="AV34" s="34"/>
      <c r="AW34" s="34"/>
      <c r="AX34" s="34"/>
      <c r="AY34" s="33"/>
      <c r="AZ34" s="34"/>
      <c r="BA34" s="34"/>
      <c r="BB34" s="34"/>
      <c r="BC34" s="34"/>
      <c r="BD34" s="34"/>
      <c r="BE34" s="34"/>
      <c r="BF34" s="33"/>
      <c r="BG34" s="34"/>
      <c r="BH34" s="34"/>
      <c r="BI34" s="34"/>
      <c r="BJ34" s="34"/>
      <c r="BK34" s="34"/>
      <c r="BL34" s="34"/>
      <c r="BM34" s="33"/>
      <c r="BN34" s="34"/>
      <c r="BO34" s="34"/>
      <c r="BP34" s="34"/>
      <c r="BQ34" s="34"/>
      <c r="BR34" s="34"/>
      <c r="BS34" s="34"/>
      <c r="BT34" s="33"/>
      <c r="BU34" s="34"/>
      <c r="BV34" s="34"/>
      <c r="BW34" s="34"/>
      <c r="BX34" s="34"/>
      <c r="BY34" s="34"/>
      <c r="BZ34" s="34"/>
      <c r="CA34" s="33"/>
      <c r="CB34" s="34"/>
      <c r="CC34" s="34"/>
      <c r="CD34" s="34"/>
      <c r="CE34" s="34"/>
      <c r="CF34" s="34"/>
      <c r="CG34" s="34"/>
      <c r="CH34" s="33"/>
      <c r="CI34" s="34"/>
      <c r="CJ34" s="34"/>
      <c r="CK34" s="34"/>
      <c r="CL34" s="34"/>
      <c r="CM34" s="34"/>
      <c r="CN34" s="34"/>
      <c r="CO34" s="33"/>
      <c r="CP34" s="34"/>
      <c r="CQ34" s="34"/>
      <c r="CR34" s="34"/>
      <c r="CS34" s="34"/>
      <c r="CT34" s="34"/>
      <c r="CU34" s="34"/>
      <c r="CV34" s="33"/>
      <c r="CW34" s="34"/>
      <c r="CX34" s="34"/>
      <c r="CY34" s="34"/>
      <c r="CZ34" s="34"/>
      <c r="DA34" s="34"/>
      <c r="DB34" s="34"/>
      <c r="DC34" s="33"/>
      <c r="DD34" s="34"/>
      <c r="DE34" s="34"/>
      <c r="DF34" s="34"/>
      <c r="DG34" s="34"/>
      <c r="DH34" s="34"/>
      <c r="DI34" s="34"/>
      <c r="DJ34" s="33"/>
      <c r="DK34" s="34"/>
      <c r="DL34" s="34"/>
      <c r="DM34" s="34"/>
      <c r="DN34" s="34"/>
      <c r="DO34" s="34"/>
      <c r="DP34" s="34"/>
      <c r="DQ34" s="33"/>
      <c r="DR34" s="34"/>
      <c r="DS34" s="34"/>
      <c r="DT34" s="34"/>
      <c r="DU34" s="34"/>
      <c r="DV34" s="34"/>
      <c r="DW34" s="34"/>
      <c r="DX34" s="33"/>
      <c r="DY34" s="34"/>
      <c r="DZ34" s="34"/>
      <c r="EA34" s="34"/>
      <c r="EB34" s="34"/>
      <c r="EC34" s="34"/>
      <c r="ED34" s="34"/>
      <c r="EE34" s="35" t="s">
        <v>77</v>
      </c>
      <c r="EF34" s="36"/>
      <c r="EG34" s="36"/>
      <c r="EH34" s="36"/>
      <c r="EI34" s="36"/>
      <c r="EJ34" s="36"/>
      <c r="EK34" s="36"/>
      <c r="EL34" s="33"/>
      <c r="EM34" s="34"/>
      <c r="EN34" s="34"/>
      <c r="EO34" s="34"/>
      <c r="EP34" s="34"/>
      <c r="EQ34" s="34"/>
      <c r="ER34" s="34"/>
    </row>
    <row r="35" hidden="1">
      <c r="A35" s="37" t="str">
        <f>CONCATENATE(A36," TM")</f>
        <v>OHP TM</v>
      </c>
      <c r="B35" s="38">
        <f>if(D35="",'Quick Setup'!D8,D35/'Quick Setup'!E8)</f>
        <v>200</v>
      </c>
      <c r="C35" s="39" t="s">
        <v>75</v>
      </c>
      <c r="D35" s="40"/>
      <c r="E35" s="41"/>
      <c r="F35" s="41"/>
      <c r="G35" s="41"/>
      <c r="H35" s="41"/>
      <c r="I35" s="38">
        <f>if(K35="", if(F36&lt;&gt;"", if((F36-D36)&lt;-1,B35*(1+Setup!F6),if((F36-D36)&lt;0,B35*(1+Setup!G6),if((F36-D36)=0,B35*(1+Setup!H6),if((F36-D36)=1,B35*(1+Setup!I6),if((F36-D36)=2,B35*(1+Setup!J6),if((F36-D36)=3,B35*(1+Setup!K6),if((F36-D36)=4,B35*(1+Setup!L6),if((F36-D36)&gt;4,B35*(1+Setup!M6),B35)))))))),B35),K35/'Quick Setup'!$E8)</f>
        <v>200</v>
      </c>
      <c r="J35" s="39" t="s">
        <v>75</v>
      </c>
      <c r="K35" s="40"/>
      <c r="L35" s="41"/>
      <c r="M35" s="41"/>
      <c r="N35" s="41"/>
      <c r="O35" s="41"/>
      <c r="P35" s="38">
        <f>if(R35="", if(M36&lt;&gt;"", if((M36-K36)&lt;-1,I35*(1+Setup!R6),if((M36-K36)&lt;0,I35*(1+Setup!S6),if((M36-K36)=0,I35*(1+Setup!T6),if((M36-K36)=1,I35*(1+Setup!U6),if((M36-K36)=2,I35*(1+Setup!V6),if((M36-K36)=3,I35*(1+Setup!W6),if((M36-K36)=4,I35*(1+Setup!X6),if((M36-K36)&gt;4,I35*(1+Setup!Y6),I35)))))))),I35),R35/'Quick Setup'!$E8)</f>
        <v>200</v>
      </c>
      <c r="Q35" s="39" t="s">
        <v>75</v>
      </c>
      <c r="R35" s="40"/>
      <c r="S35" s="41"/>
      <c r="T35" s="41"/>
      <c r="U35" s="41"/>
      <c r="V35" s="41"/>
      <c r="W35" s="38">
        <f>if(Y35="", if(T36&lt;&gt;"", if((T36-R36)&lt;-1,P35*(1+Setup!AD6),if((T36-R36)&lt;0,P35*(1+Setup!AE6),if((T36-R36)=0,P35*(1+Setup!AF6),if((T36-R36)=1,P35*(1+Setup!AG6),if((T36-R36)=2,P35*(1+Setup!AH6),if((T36-R36)=3,P35*(1+Setup!AI6),if((T36-R36)=4,P35*(1+Setup!AJ6),if((T36-R36)&gt;4,P35*(1+Setup!AK6),P35)))))))),P35),Y35/'Quick Setup'!$E8)</f>
        <v>200</v>
      </c>
      <c r="X35" s="39" t="s">
        <v>75</v>
      </c>
      <c r="Y35" s="40"/>
      <c r="Z35" s="41"/>
      <c r="AA35" s="41"/>
      <c r="AB35" s="41"/>
      <c r="AC35" s="41"/>
      <c r="AD35" s="38">
        <f>if(AF35="", if(AA36&lt;&gt;"", if((AA36-Y36)&lt;-1,W35*(1+Setup!AP6),if((AA36-Y36)&lt;0,W35*(1+Setup!AQ6),if((AA36-Y36)=0,W35*(1+Setup!AR6),if((AA36-Y36)=1,W35*(1+Setup!AS6),if((AA36-Y36)=2,W35*(1+Setup!AT6),if((AA36-Y36)=3,W35*(1+Setup!AU6),if((AA36-Y36)=4,W35*(1+Setup!AV6),if((AA36-Y36)&gt;4,W35*(1+Setup!AW6),W35)))))))),W35),AF35/'Quick Setup'!$E8)</f>
        <v>200</v>
      </c>
      <c r="AE35" s="39" t="s">
        <v>75</v>
      </c>
      <c r="AF35" s="40"/>
      <c r="AG35" s="41"/>
      <c r="AH35" s="41"/>
      <c r="AI35" s="41"/>
      <c r="AJ35" s="41"/>
      <c r="AK35" s="38">
        <f>if(AM35="", if(AH36&lt;&gt;"", if((AH36-AF36)&lt;-1,AD35*(1+Setup!BB6),if((AH36-AF36)&lt;0,AD35*(1+Setup!BC6),if((AH36-AF36)=0,AD35*(1+Setup!BD6),if((AH36-AF36)=1,AD35*(1+Setup!BE6),if((AH36-AF36)=2,AD35*(1+Setup!BF6),if((AH36-AF36)=3,AD35*(1+Setup!BG6),if((AH36-AF36)=4,AD35*(1+Setup!BH6),if((AH36-AF36)&gt;4,AD35*(1+Setup!BI6),AD35)))))))),AD35),AM35/'Quick Setup'!$E8)</f>
        <v>200</v>
      </c>
      <c r="AL35" s="39" t="s">
        <v>75</v>
      </c>
      <c r="AM35" s="40"/>
      <c r="AN35" s="41"/>
      <c r="AO35" s="41"/>
      <c r="AP35" s="41"/>
      <c r="AQ35" s="41"/>
      <c r="AR35" s="38">
        <f>if(AT35="", if(AO36&lt;&gt;"", if((AO36-AM36)&lt;-1,AK35*(1+Setup!BN6),if((AO36-AM36)&lt;0,AK35*(1+Setup!BO6),if((AO36-AM36)=0,AK35*(1+Setup!BP6),if((AO36-AM36)=1,AK35*(1+Setup!BQ6),if((AO36-AM36)=2,AK35*(1+Setup!BR6),if((AO36-AM36)=3,AK35*(1+Setup!BS6),if((AO36-AM36)=4,AK35*(1+Setup!BT6),if((AO36-AM36)&gt;4,AK35*(1+Setup!BU6),AK35)))))))),AK35),AT35/'Quick Setup'!$E8)</f>
        <v>200</v>
      </c>
      <c r="AS35" s="39" t="s">
        <v>75</v>
      </c>
      <c r="AT35" s="40"/>
      <c r="AU35" s="41"/>
      <c r="AV35" s="41"/>
      <c r="AW35" s="41"/>
      <c r="AX35" s="41"/>
      <c r="AY35" s="38">
        <f>if(BA35="",AR35,BA35/'Quick Setup'!$E8)</f>
        <v>200</v>
      </c>
      <c r="AZ35" s="39" t="s">
        <v>75</v>
      </c>
      <c r="BA35" s="40"/>
      <c r="BB35" s="41"/>
      <c r="BC35" s="41"/>
      <c r="BD35" s="41"/>
      <c r="BE35" s="41"/>
      <c r="BF35" s="38">
        <f>if(BH35="", if(BC36&lt;&gt;"", if((BC36-BA36)&lt;-1,AY35*(1+Setup!CL6),if((BC36-BA36)&lt;0,AY35*(1+Setup!CM6),if((BC36-BA36)=0,AY35*(1+Setup!CN6),if((BC36-BA36)=1,AY35*(1+Setup!CO6),if((BC36-BA36)=2,AY35*(1+Setup!CP6),if((BC36-BA36)=3,AY35*(1+Setup!CQ6),if((BC36-BA36)=4,AY35*(1+Setup!CR6),if((BC36-BA36)&gt;4,AY35*(1+Setup!CS6),AY35)))))))),AY35),BH35/'Quick Setup'!$E8)</f>
        <v>200</v>
      </c>
      <c r="BG35" s="39" t="s">
        <v>75</v>
      </c>
      <c r="BH35" s="40"/>
      <c r="BI35" s="41"/>
      <c r="BJ35" s="41"/>
      <c r="BK35" s="41"/>
      <c r="BL35" s="41"/>
      <c r="BM35" s="38">
        <f>if(BO35="", if(BJ36&lt;&gt;"", if((BJ36-BH36)&lt;-1,BF35*(1+Setup!CX6),if((BJ36-BH36)&lt;0,BF35*(1+Setup!CY6),if((BJ36-BH36)=0,BF35*(1+Setup!CZ6),if((BJ36-BH36)=1,BF35*(1+Setup!DA6),if((BJ36-BH36)=2,BF35*(1+Setup!DB6),if((BJ36-BH36)=3,BF35*(1+Setup!DC6),if((BJ36-BH36)=4,BF35*(1+Setup!DD6),if((BJ36-BH36)&gt;4,BF35*(1+Setup!DE6),BF35)))))))),BF35),BO35/'Quick Setup'!$E8)</f>
        <v>200</v>
      </c>
      <c r="BN35" s="39" t="s">
        <v>75</v>
      </c>
      <c r="BO35" s="40"/>
      <c r="BP35" s="41"/>
      <c r="BQ35" s="41"/>
      <c r="BR35" s="41"/>
      <c r="BS35" s="41"/>
      <c r="BT35" s="38">
        <f>if(BV35="", if(BQ36&lt;&gt;"", if((BQ36-BO36)&lt;-1,BM35*(1+Setup!DJ6),if((BQ36-BO36)&lt;0,BM35*(1+Setup!DK6),if((BQ36-BO36)=0,BM35*(1+Setup!DL6),if((BQ36-BO36)=1,BM35*(1+Setup!DM6),if((BQ36-BO36)=2,BM35*(1+Setup!DN6),if((BQ36-BO36)=3,BM35*(1+Setup!DO6),if((BQ36-BO36)=4,BM35*(1+Setup!DP6),if((BQ36-BO36)&gt;4,BM35*(1+Setup!DQ6),BM35)))))))),BM35),BV35/'Quick Setup'!$E8)</f>
        <v>200</v>
      </c>
      <c r="BU35" s="39" t="s">
        <v>75</v>
      </c>
      <c r="BV35" s="40"/>
      <c r="BW35" s="41"/>
      <c r="BX35" s="41"/>
      <c r="BY35" s="41"/>
      <c r="BZ35" s="41"/>
      <c r="CA35" s="38">
        <f>if(CC35="", if(BX36&lt;&gt;"", if((BX36-BV36)&lt;-1,BT35*(1+Setup!DV6),if((BX36-BV36)&lt;0,BT35*(1+Setup!DW6),if((BX36-BV36)=0,BT35*(1+Setup!DX6),if((BX36-BV36)=1,BT35*(1+Setup!DY6),if((BX36-BV36)=2,BT35*(1+Setup!DZ6),if((BX36-BV36)=3,BT35*(1+Setup!EA6),if((BX36-BV36)=4,BT35*(1+Setup!EB6),if((BX36-BV36)&gt;4,BT35*(1+Setup!EC6),BT35)))))))),BT35),CC35/'Quick Setup'!$E8)</f>
        <v>200</v>
      </c>
      <c r="CB35" s="39" t="s">
        <v>75</v>
      </c>
      <c r="CC35" s="40"/>
      <c r="CD35" s="41"/>
      <c r="CE35" s="41"/>
      <c r="CF35" s="41"/>
      <c r="CG35" s="41"/>
      <c r="CH35" s="38">
        <f>if(CJ35="", if(CE36&lt;&gt;"", if((CE36-CC36)&lt;-1,CA35*(1+Setup!EH6),if((CE36-CC36)&lt;0,CA35*(1+Setup!EI6),if((CE36-CC36)=0,CA35*(1+Setup!EJ6),if((CE36-CC36)=1,CA35*(1+Setup!EK6),if((CE36-CC36)=2,CA35*(1+Setup!EL6),if((CE36-CC36)=3,CA35*(1+Setup!EM6),if((CE36-CC36)=4,CA35*(1+Setup!EN6),if((CE36-CC36)&gt;4,CA35*(1+Setup!EO6),CA35)))))))),CA35),CJ35/'Quick Setup'!$E8)</f>
        <v>200</v>
      </c>
      <c r="CI35" s="39" t="s">
        <v>75</v>
      </c>
      <c r="CJ35" s="40"/>
      <c r="CK35" s="41"/>
      <c r="CL35" s="41"/>
      <c r="CM35" s="41"/>
      <c r="CN35" s="41"/>
      <c r="CO35" s="38">
        <f>if(CQ35="", if(CL36&lt;&gt;"", if((CL36-CJ36)&lt;-1,CH35*(1+Setup!ET6),if((CL36-CJ36)&lt;0,CH35*(1+Setup!EU6),if((CL36-CJ36)=0,CH35*(1+Setup!EV6),if((CL36-CJ36)=1,CH35*(1+Setup!EW6),if((CL36-CJ36)=2,CH35*(1+Setup!EX6),if((CL36-CJ36)=3,CH35*(1+Setup!EY6),if((CL36-CJ36)=4,CH35*(1+Setup!EZ6),if((CL36-CJ36)&gt;4,CH35*(1+Setup!FA6),CH35)))))))),CH35),CQ35/'Quick Setup'!$E8)</f>
        <v>200</v>
      </c>
      <c r="CP35" s="39" t="s">
        <v>75</v>
      </c>
      <c r="CQ35" s="40"/>
      <c r="CR35" s="41"/>
      <c r="CS35" s="41"/>
      <c r="CT35" s="41"/>
      <c r="CU35" s="41"/>
      <c r="CV35" s="38">
        <f>if(CX35="",CO35,CX35/'Quick Setup'!$E8)</f>
        <v>200</v>
      </c>
      <c r="CW35" s="39" t="s">
        <v>75</v>
      </c>
      <c r="CX35" s="40"/>
      <c r="CY35" s="41"/>
      <c r="CZ35" s="41"/>
      <c r="DA35" s="41"/>
      <c r="DB35" s="41"/>
      <c r="DC35" s="38">
        <f>if(DE35="", if(CZ36&lt;&gt;"", if((CZ36-CX36)&lt;-1,CV35*(1+Setup!FR6),if((CZ36-CX36)&lt;0,CV35*(1+Setup!FS6),if((CZ36-CX36)=0,CV35*(1+Setup!FT6),if((CZ36-CX36)=1,CV35*(1+Setup!FU6),if((CZ36-CX36)=2,CV35*(1+Setup!FV6),if((CZ36-CX36)=3,CV35*(1+Setup!FW6),if((CZ36-CX36)=4,CV35*(1+Setup!FX6),if((CZ36-CX36)&gt;4,CV35*(1+Setup!FY6),CV35)))))))),CV35),DE35/'Quick Setup'!$E8)</f>
        <v>200</v>
      </c>
      <c r="DD35" s="39" t="s">
        <v>75</v>
      </c>
      <c r="DE35" s="40"/>
      <c r="DF35" s="41"/>
      <c r="DG35" s="41"/>
      <c r="DH35" s="41"/>
      <c r="DI35" s="41"/>
      <c r="DJ35" s="38">
        <f>if(DL35="", if(DG36&lt;&gt;"", if((DG36-DE36)&lt;-1,DC35*(1+Setup!GD6),if((DG36-DE36)&lt;0,DC35*(1+Setup!GE6),if((DG36-DE36)=0,DC35*(1+Setup!GF6),if((DG36-DE36)=1,DC35*(1+Setup!GG6),if((DG36-DE36)=2,DC35*(1+Setup!GH6),if((DG36-DE36)=3,DC35*(1+Setup!GI6),if((DG36-DE36)=4,DC35*(1+Setup!GJ6),if((DG36-DE36)&gt;4,DC35*(1+Setup!GK6),DC35)))))))),DC35),DL35/'Quick Setup'!$E8)</f>
        <v>200</v>
      </c>
      <c r="DK35" s="39" t="s">
        <v>75</v>
      </c>
      <c r="DL35" s="40"/>
      <c r="DM35" s="41"/>
      <c r="DN35" s="41"/>
      <c r="DO35" s="41"/>
      <c r="DP35" s="41"/>
      <c r="DQ35" s="38">
        <f>if(DS35="", if(DN36&lt;&gt;"", if((DN36-DL36)&lt;-1,DJ35*(1+Setup!GP6),if((DN36-DL36)&lt;0,DJ35*(1+Setup!GQ6),if((DN36-DL36)=0,DJ35*(1+Setup!GR6),if((DN36-DL36)=1,DJ35*(1+Setup!GS6),if((DN36-DL36)=2,DJ35*(1+Setup!GT6),if((DN36-DL36)=3,DJ35*(1+Setup!GU6),if((DN36-DL36)=4,DJ35*(1+Setup!GV6),if((DN36-DL36)&gt;4,DJ35*(1+Setup!GW6),DJ35)))))))),DJ35),DS35/'Quick Setup'!$E8)</f>
        <v>200</v>
      </c>
      <c r="DR35" s="39" t="s">
        <v>75</v>
      </c>
      <c r="DS35" s="40"/>
      <c r="DT35" s="41"/>
      <c r="DU35" s="41"/>
      <c r="DV35" s="41"/>
      <c r="DW35" s="41"/>
      <c r="DX35" s="38">
        <f>if(DZ35="", if(DU36&lt;&gt;"", if((DU36-DS36)&lt;-1,DQ35*(1+Setup!HB6),if((DU36-DS36)&lt;0,DQ35*(1+Setup!HC6),if((DU36-DS36)=0,DQ35*(1+Setup!HD6),if((DU36-DS36)=1,DQ35*(1+Setup!HE6),if((DU36-DS36)=2,DQ35*(1+Setup!HF6),if((DU36-DS36)=3,DQ35*(1+Setup!HG6),if((DU36-DS36)=4,DQ35*(1+Setup!HH6),if((DU36-DS36)&gt;4,DQ35*(1+Setup!HI6),DQ35)))))))),DQ35),DZ35/'Quick Setup'!$E8)</f>
        <v>200</v>
      </c>
      <c r="DY35" s="39" t="s">
        <v>75</v>
      </c>
      <c r="DZ35" s="40"/>
      <c r="EA35" s="41"/>
      <c r="EB35" s="41"/>
      <c r="EC35" s="41"/>
      <c r="ED35" s="41"/>
      <c r="EE35" s="38">
        <f>if(EG35="", if(EB36&lt;&gt;"", if((EB36-DZ36)&lt;-1,DX35*(1+Setup!HN6),if((EB36-DZ36)&lt;0,DX35*(1+Setup!HO6),if((EB36-DZ36)=0,DX35*(1+Setup!HP6),if((EB36-DZ36)=1,DX35*(1+Setup!HQ6),if((EB36-DZ36)=2,DX35*(1+Setup!HR6),if((EB36-DZ36)=3,DX35*(1+Setup!HS6),if((EB36-DZ36)=4,DX35*(1+Setup!HT6),if((EB36-DZ36)&gt;4,DX35*(1+Setup!HU6),DX35)))))))),DX35),EG35/'Quick Setup'!$E8)</f>
        <v>200</v>
      </c>
      <c r="EF35" s="39" t="s">
        <v>75</v>
      </c>
      <c r="EG35" s="40"/>
      <c r="EH35" s="41"/>
      <c r="EI35" s="41"/>
      <c r="EJ35" s="41"/>
      <c r="EK35" s="41"/>
      <c r="EL35" s="38">
        <f>if(EN35="", if(EI36&lt;&gt;"", if((EI36-EG36)&lt;-1,EE35*(1+Setup!HZ6),if((EI36-EG36)&lt;0,EE35*(1+Setup!IA6),if((EI36-EG36)=0,EE35*(1+Setup!IB6),if((EI36-EG36)=1,EE35*(1+Setup!IC6),if((EI36-EG36)=2,EE35*(1+Setup!ID6),if((EI36-EG36)=3,EE35*(1+Setup!IE6),if((EI36-EG36)=4,EE35*(1+Setup!IF6),if((EI36-EG36)&gt;4,EE35*(1+Setup!IG6),EE35)))))))),EE35),EN35/'Quick Setup'!$E8)</f>
        <v>200</v>
      </c>
      <c r="EM35" s="39" t="s">
        <v>75</v>
      </c>
      <c r="EN35" s="40"/>
      <c r="EO35" s="41"/>
      <c r="EP35" s="41"/>
      <c r="EQ35" s="41"/>
      <c r="ER35" s="41"/>
    </row>
    <row r="36">
      <c r="A36" s="1" t="str">
        <f>Setup!A6</f>
        <v>OHP</v>
      </c>
      <c r="B36" s="42">
        <f>mround(B35*Setup!B6,'Quick Setup'!$A$2)</f>
        <v>140</v>
      </c>
      <c r="C36" s="3">
        <f>Setup!C6</f>
        <v>5</v>
      </c>
      <c r="D36" s="3">
        <f>Setup!D6</f>
        <v>10</v>
      </c>
      <c r="E36" s="3">
        <f>Setup!E6</f>
        <v>5</v>
      </c>
      <c r="F36" s="10"/>
      <c r="G36" s="10"/>
      <c r="H36" s="10"/>
      <c r="I36" s="42">
        <f>mround(I35*Setup!N6,'Quick Setup'!$A$2)</f>
        <v>150</v>
      </c>
      <c r="J36" s="3">
        <f>Setup!O6</f>
        <v>4</v>
      </c>
      <c r="K36" s="3">
        <f>Setup!P6</f>
        <v>8</v>
      </c>
      <c r="L36" s="3">
        <f>Setup!Q6</f>
        <v>5</v>
      </c>
      <c r="M36" s="10"/>
      <c r="N36" s="10"/>
      <c r="O36" s="10"/>
      <c r="P36" s="42">
        <f>mround(P35*Setup!Z6,'Quick Setup'!$A$2)</f>
        <v>160</v>
      </c>
      <c r="Q36" s="3">
        <f>Setup!AA6</f>
        <v>3</v>
      </c>
      <c r="R36" s="3">
        <f>Setup!AB6</f>
        <v>6</v>
      </c>
      <c r="S36" s="3">
        <f>Setup!AC6</f>
        <v>5</v>
      </c>
      <c r="T36" s="10"/>
      <c r="U36" s="10"/>
      <c r="V36" s="10"/>
      <c r="W36" s="42">
        <f>mround(W35*Setup!AL6,'Quick Setup'!$A$2)</f>
        <v>145</v>
      </c>
      <c r="X36" s="3">
        <f>Setup!AM6</f>
        <v>5</v>
      </c>
      <c r="Y36" s="3">
        <f>Setup!AN6</f>
        <v>9</v>
      </c>
      <c r="Z36" s="3">
        <f>Setup!AO6</f>
        <v>5</v>
      </c>
      <c r="AA36" s="10"/>
      <c r="AB36" s="10"/>
      <c r="AC36" s="10"/>
      <c r="AD36" s="42">
        <f>mround(AD35*Setup!AX6,'Quick Setup'!$A$2)</f>
        <v>155</v>
      </c>
      <c r="AE36" s="3">
        <f>Setup!AY6</f>
        <v>4</v>
      </c>
      <c r="AF36" s="3">
        <f>Setup!AZ6</f>
        <v>7</v>
      </c>
      <c r="AG36" s="3">
        <f>Setup!BA6</f>
        <v>5</v>
      </c>
      <c r="AH36" s="10"/>
      <c r="AI36" s="10"/>
      <c r="AJ36" s="10"/>
      <c r="AK36" s="42">
        <f>mround(AK35*Setup!BJ6,'Quick Setup'!$A$2)</f>
        <v>165</v>
      </c>
      <c r="AL36" s="3">
        <f>Setup!BK6</f>
        <v>3</v>
      </c>
      <c r="AM36" s="3">
        <f>Setup!BL6</f>
        <v>5</v>
      </c>
      <c r="AN36" s="3">
        <f>Setup!BM6</f>
        <v>5</v>
      </c>
      <c r="AO36" s="10"/>
      <c r="AP36" s="10"/>
      <c r="AQ36" s="10"/>
      <c r="AR36" s="42">
        <f>mround(AR35*Setup!BV6,'Quick Setup'!$A$2)</f>
        <v>120</v>
      </c>
      <c r="AS36" s="1">
        <v>5.0</v>
      </c>
      <c r="AT36" s="1" t="s">
        <v>78</v>
      </c>
      <c r="AU36" s="3">
        <f>Setup!BY6</f>
        <v>5</v>
      </c>
      <c r="AV36" s="10"/>
      <c r="AW36" s="10"/>
      <c r="AX36" s="10"/>
      <c r="AY36" s="42">
        <f>mround(AY35*Setup!CH6,'Quick Setup'!$A$2)</f>
        <v>150</v>
      </c>
      <c r="AZ36" s="3">
        <f>Setup!CI6</f>
        <v>4</v>
      </c>
      <c r="BA36" s="3">
        <f>Setup!CJ6</f>
        <v>8</v>
      </c>
      <c r="BB36" s="3">
        <f>Setup!CK6</f>
        <v>5</v>
      </c>
      <c r="BC36" s="10"/>
      <c r="BD36" s="10"/>
      <c r="BE36" s="10"/>
      <c r="BF36" s="42">
        <f>mround(BF35*Setup!CT6,'Quick Setup'!$A$2)</f>
        <v>160</v>
      </c>
      <c r="BG36" s="3">
        <f>Setup!CU6</f>
        <v>3</v>
      </c>
      <c r="BH36" s="3">
        <f>Setup!CV6</f>
        <v>6</v>
      </c>
      <c r="BI36" s="3">
        <f>Setup!CW6</f>
        <v>5</v>
      </c>
      <c r="BJ36" s="10"/>
      <c r="BK36" s="10"/>
      <c r="BL36" s="10"/>
      <c r="BM36" s="42">
        <f>mround(BM35*Setup!DF6,'Quick Setup'!$A$2)</f>
        <v>170</v>
      </c>
      <c r="BN36" s="3">
        <f>Setup!DG6</f>
        <v>2</v>
      </c>
      <c r="BO36" s="3">
        <f>Setup!DH6</f>
        <v>4</v>
      </c>
      <c r="BP36" s="3">
        <f>Setup!DI6</f>
        <v>5</v>
      </c>
      <c r="BQ36" s="10"/>
      <c r="BR36" s="10"/>
      <c r="BS36" s="10"/>
      <c r="BT36" s="42">
        <f>mround(BT35*Setup!DR6,'Quick Setup'!$A$2)</f>
        <v>155</v>
      </c>
      <c r="BU36" s="3">
        <f>Setup!DS6</f>
        <v>4</v>
      </c>
      <c r="BV36" s="3">
        <f>Setup!DT6</f>
        <v>7</v>
      </c>
      <c r="BW36" s="3">
        <f>Setup!DU6</f>
        <v>5</v>
      </c>
      <c r="BX36" s="10"/>
      <c r="BY36" s="10"/>
      <c r="BZ36" s="10"/>
      <c r="CA36" s="42">
        <f>mround(CA35*Setup!ED6,'Quick Setup'!$A$2)</f>
        <v>165</v>
      </c>
      <c r="CB36" s="3">
        <f>Setup!EE6</f>
        <v>3</v>
      </c>
      <c r="CC36" s="3">
        <f>Setup!EF6</f>
        <v>5</v>
      </c>
      <c r="CD36" s="3">
        <f>Setup!EG6</f>
        <v>5</v>
      </c>
      <c r="CE36" s="10"/>
      <c r="CF36" s="10"/>
      <c r="CG36" s="10"/>
      <c r="CH36" s="42">
        <f>mround(CH35*Setup!EP6,'Quick Setup'!$A$2)</f>
        <v>175</v>
      </c>
      <c r="CI36" s="3">
        <f>Setup!EQ6</f>
        <v>2</v>
      </c>
      <c r="CJ36" s="3">
        <f>Setup!ER6</f>
        <v>3</v>
      </c>
      <c r="CK36" s="3">
        <f>Setup!ES6</f>
        <v>5</v>
      </c>
      <c r="CL36" s="10"/>
      <c r="CM36" s="10"/>
      <c r="CN36" s="10"/>
      <c r="CO36" s="42">
        <f>mround(CO35*Setup!FB6,'Quick Setup'!$A$2)</f>
        <v>120</v>
      </c>
      <c r="CP36" s="1">
        <v>5.0</v>
      </c>
      <c r="CQ36" s="1" t="s">
        <v>78</v>
      </c>
      <c r="CR36" s="3">
        <f>Setup!FE6</f>
        <v>5</v>
      </c>
      <c r="CS36" s="10"/>
      <c r="CT36" s="10"/>
      <c r="CU36" s="10"/>
      <c r="CV36" s="42">
        <f>mround(CV35*Setup!FN6,'Quick Setup'!$A$2)</f>
        <v>160</v>
      </c>
      <c r="CW36" s="3">
        <f>Setup!FO6</f>
        <v>3</v>
      </c>
      <c r="CX36" s="3">
        <f>Setup!FP6</f>
        <v>6</v>
      </c>
      <c r="CY36" s="3">
        <f>Setup!FQ6</f>
        <v>5</v>
      </c>
      <c r="CZ36" s="10"/>
      <c r="DA36" s="10"/>
      <c r="DB36" s="10"/>
      <c r="DC36" s="42">
        <f>mround(DC35*Setup!FZ6,'Quick Setup'!$A$2)</f>
        <v>170</v>
      </c>
      <c r="DD36" s="3">
        <f>Setup!GA6</f>
        <v>2</v>
      </c>
      <c r="DE36" s="3">
        <f>Setup!GB6</f>
        <v>4</v>
      </c>
      <c r="DF36" s="3">
        <f>Setup!GC6</f>
        <v>5</v>
      </c>
      <c r="DG36" s="10"/>
      <c r="DH36" s="10"/>
      <c r="DI36" s="10"/>
      <c r="DJ36" s="42">
        <f>mround(DJ35*Setup!GL6,'Quick Setup'!$A$2)</f>
        <v>180</v>
      </c>
      <c r="DK36" s="3">
        <f>Setup!GM6</f>
        <v>1</v>
      </c>
      <c r="DL36" s="3">
        <f>Setup!GN6</f>
        <v>2</v>
      </c>
      <c r="DM36" s="3">
        <f>Setup!GO6</f>
        <v>5</v>
      </c>
      <c r="DN36" s="10"/>
      <c r="DO36" s="10"/>
      <c r="DP36" s="10"/>
      <c r="DQ36" s="42">
        <f>mround(DQ35*Setup!GX6,'Quick Setup'!$A$2)</f>
        <v>170</v>
      </c>
      <c r="DR36" s="3">
        <f>Setup!GY6</f>
        <v>2</v>
      </c>
      <c r="DS36" s="3">
        <f>Setup!GZ6</f>
        <v>4</v>
      </c>
      <c r="DT36" s="3">
        <f>Setup!HA6</f>
        <v>5</v>
      </c>
      <c r="DU36" s="10"/>
      <c r="DV36" s="10"/>
      <c r="DW36" s="10"/>
      <c r="DX36" s="42">
        <f>mround(DX35*Setup!HJ6,'Quick Setup'!$A$2)</f>
        <v>180</v>
      </c>
      <c r="DY36" s="3">
        <f>Setup!HK6</f>
        <v>1</v>
      </c>
      <c r="DZ36" s="3">
        <f>Setup!HL6</f>
        <v>2</v>
      </c>
      <c r="EA36" s="3">
        <f>Setup!HM6</f>
        <v>5</v>
      </c>
      <c r="EB36" s="10"/>
      <c r="EC36" s="10"/>
      <c r="ED36" s="10"/>
      <c r="EE36" s="42">
        <f>mround(EE35*Setup!HV6,'Quick Setup'!$A$2)</f>
        <v>190</v>
      </c>
      <c r="EF36" s="3">
        <f>Setup!HW6</f>
        <v>1</v>
      </c>
      <c r="EG36" s="3">
        <f>Setup!HX6</f>
        <v>1</v>
      </c>
      <c r="EH36" s="3">
        <f>Setup!HY6</f>
        <v>5</v>
      </c>
      <c r="EI36" s="10"/>
      <c r="EJ36" s="10"/>
      <c r="EK36" s="10"/>
      <c r="EL36" s="42">
        <f>mround(EL35*Setup!IH6,'Quick Setup'!$A$2)</f>
        <v>120</v>
      </c>
      <c r="EM36" s="1">
        <v>5.0</v>
      </c>
      <c r="EN36" s="1" t="s">
        <v>78</v>
      </c>
      <c r="EO36" s="3">
        <f>Setup!IK6</f>
        <v>5</v>
      </c>
      <c r="EP36" s="10"/>
      <c r="EQ36" s="10"/>
      <c r="ER36" s="10"/>
    </row>
    <row r="37">
      <c r="A37" s="5"/>
      <c r="B37" s="43"/>
      <c r="C37" s="10"/>
      <c r="D37" s="10"/>
      <c r="E37" s="10"/>
      <c r="F37" s="10"/>
      <c r="G37" s="10"/>
      <c r="H37" s="10"/>
      <c r="I37" s="43" t="str">
        <f t="shared" ref="I37:M37" si="241">B37</f>
        <v/>
      </c>
      <c r="J37" s="10" t="str">
        <f t="shared" si="241"/>
        <v/>
      </c>
      <c r="K37" s="10" t="str">
        <f t="shared" si="241"/>
        <v/>
      </c>
      <c r="L37" s="10" t="str">
        <f t="shared" si="241"/>
        <v/>
      </c>
      <c r="M37" s="10" t="str">
        <f t="shared" si="241"/>
        <v/>
      </c>
      <c r="N37" s="10"/>
      <c r="O37" s="10"/>
      <c r="P37" s="43" t="str">
        <f t="shared" ref="P37:T37" si="242">I37</f>
        <v/>
      </c>
      <c r="Q37" s="10" t="str">
        <f t="shared" si="242"/>
        <v/>
      </c>
      <c r="R37" s="10" t="str">
        <f t="shared" si="242"/>
        <v/>
      </c>
      <c r="S37" s="10" t="str">
        <f t="shared" si="242"/>
        <v/>
      </c>
      <c r="T37" s="10" t="str">
        <f t="shared" si="242"/>
        <v/>
      </c>
      <c r="U37" s="10"/>
      <c r="V37" s="10"/>
      <c r="W37" s="43" t="str">
        <f t="shared" ref="W37:AA37" si="243">P37</f>
        <v/>
      </c>
      <c r="X37" s="10" t="str">
        <f t="shared" si="243"/>
        <v/>
      </c>
      <c r="Y37" s="10" t="str">
        <f t="shared" si="243"/>
        <v/>
      </c>
      <c r="Z37" s="10" t="str">
        <f t="shared" si="243"/>
        <v/>
      </c>
      <c r="AA37" s="10" t="str">
        <f t="shared" si="243"/>
        <v/>
      </c>
      <c r="AB37" s="10"/>
      <c r="AC37" s="10"/>
      <c r="AD37" s="43" t="str">
        <f t="shared" ref="AD37:AH37" si="244">W37</f>
        <v/>
      </c>
      <c r="AE37" s="10" t="str">
        <f t="shared" si="244"/>
        <v/>
      </c>
      <c r="AF37" s="10" t="str">
        <f t="shared" si="244"/>
        <v/>
      </c>
      <c r="AG37" s="10" t="str">
        <f t="shared" si="244"/>
        <v/>
      </c>
      <c r="AH37" s="10" t="str">
        <f t="shared" si="244"/>
        <v/>
      </c>
      <c r="AI37" s="10"/>
      <c r="AJ37" s="10"/>
      <c r="AK37" s="43" t="str">
        <f t="shared" ref="AK37:AO37" si="245">AD37</f>
        <v/>
      </c>
      <c r="AL37" s="10" t="str">
        <f t="shared" si="245"/>
        <v/>
      </c>
      <c r="AM37" s="10" t="str">
        <f t="shared" si="245"/>
        <v/>
      </c>
      <c r="AN37" s="10" t="str">
        <f t="shared" si="245"/>
        <v/>
      </c>
      <c r="AO37" s="10" t="str">
        <f t="shared" si="245"/>
        <v/>
      </c>
      <c r="AP37" s="10"/>
      <c r="AQ37" s="10"/>
      <c r="AR37" s="43" t="str">
        <f t="shared" ref="AR37:AV37" si="246">AK37</f>
        <v/>
      </c>
      <c r="AS37" s="10" t="str">
        <f t="shared" si="246"/>
        <v/>
      </c>
      <c r="AT37" s="10" t="str">
        <f t="shared" si="246"/>
        <v/>
      </c>
      <c r="AU37" s="10" t="str">
        <f t="shared" si="246"/>
        <v/>
      </c>
      <c r="AV37" s="10" t="str">
        <f t="shared" si="246"/>
        <v/>
      </c>
      <c r="AW37" s="10"/>
      <c r="AX37" s="10"/>
      <c r="AY37" s="43" t="str">
        <f t="shared" ref="AY37:BC37" si="247">AR37</f>
        <v/>
      </c>
      <c r="AZ37" s="10" t="str">
        <f t="shared" si="247"/>
        <v/>
      </c>
      <c r="BA37" s="10" t="str">
        <f t="shared" si="247"/>
        <v/>
      </c>
      <c r="BB37" s="10" t="str">
        <f t="shared" si="247"/>
        <v/>
      </c>
      <c r="BC37" s="10" t="str">
        <f t="shared" si="247"/>
        <v/>
      </c>
      <c r="BD37" s="10"/>
      <c r="BE37" s="10"/>
      <c r="BF37" s="43" t="str">
        <f t="shared" ref="BF37:BJ37" si="248">AY37</f>
        <v/>
      </c>
      <c r="BG37" s="10" t="str">
        <f t="shared" si="248"/>
        <v/>
      </c>
      <c r="BH37" s="10" t="str">
        <f t="shared" si="248"/>
        <v/>
      </c>
      <c r="BI37" s="10" t="str">
        <f t="shared" si="248"/>
        <v/>
      </c>
      <c r="BJ37" s="10" t="str">
        <f t="shared" si="248"/>
        <v/>
      </c>
      <c r="BK37" s="10"/>
      <c r="BL37" s="10"/>
      <c r="BM37" s="43" t="str">
        <f t="shared" ref="BM37:BQ37" si="249">BF37</f>
        <v/>
      </c>
      <c r="BN37" s="10" t="str">
        <f t="shared" si="249"/>
        <v/>
      </c>
      <c r="BO37" s="10" t="str">
        <f t="shared" si="249"/>
        <v/>
      </c>
      <c r="BP37" s="10" t="str">
        <f t="shared" si="249"/>
        <v/>
      </c>
      <c r="BQ37" s="10" t="str">
        <f t="shared" si="249"/>
        <v/>
      </c>
      <c r="BR37" s="10"/>
      <c r="BS37" s="10"/>
      <c r="BT37" s="43" t="str">
        <f t="shared" ref="BT37:BX37" si="250">BM37</f>
        <v/>
      </c>
      <c r="BU37" s="10" t="str">
        <f t="shared" si="250"/>
        <v/>
      </c>
      <c r="BV37" s="10" t="str">
        <f t="shared" si="250"/>
        <v/>
      </c>
      <c r="BW37" s="10" t="str">
        <f t="shared" si="250"/>
        <v/>
      </c>
      <c r="BX37" s="10" t="str">
        <f t="shared" si="250"/>
        <v/>
      </c>
      <c r="BY37" s="10"/>
      <c r="BZ37" s="10"/>
      <c r="CA37" s="43" t="str">
        <f t="shared" ref="CA37:CE37" si="251">BT37</f>
        <v/>
      </c>
      <c r="CB37" s="10" t="str">
        <f t="shared" si="251"/>
        <v/>
      </c>
      <c r="CC37" s="10" t="str">
        <f t="shared" si="251"/>
        <v/>
      </c>
      <c r="CD37" s="10" t="str">
        <f t="shared" si="251"/>
        <v/>
      </c>
      <c r="CE37" s="10" t="str">
        <f t="shared" si="251"/>
        <v/>
      </c>
      <c r="CF37" s="10"/>
      <c r="CG37" s="10"/>
      <c r="CH37" s="43" t="str">
        <f t="shared" ref="CH37:CL37" si="252">CA37</f>
        <v/>
      </c>
      <c r="CI37" s="10" t="str">
        <f t="shared" si="252"/>
        <v/>
      </c>
      <c r="CJ37" s="10" t="str">
        <f t="shared" si="252"/>
        <v/>
      </c>
      <c r="CK37" s="10" t="str">
        <f t="shared" si="252"/>
        <v/>
      </c>
      <c r="CL37" s="10" t="str">
        <f t="shared" si="252"/>
        <v/>
      </c>
      <c r="CM37" s="10"/>
      <c r="CN37" s="10"/>
      <c r="CO37" s="43" t="str">
        <f t="shared" ref="CO37:CS37" si="253">CH37</f>
        <v/>
      </c>
      <c r="CP37" s="10" t="str">
        <f t="shared" si="253"/>
        <v/>
      </c>
      <c r="CQ37" s="10" t="str">
        <f t="shared" si="253"/>
        <v/>
      </c>
      <c r="CR37" s="10" t="str">
        <f t="shared" si="253"/>
        <v/>
      </c>
      <c r="CS37" s="10" t="str">
        <f t="shared" si="253"/>
        <v/>
      </c>
      <c r="CT37" s="10"/>
      <c r="CU37" s="10"/>
      <c r="CV37" s="43" t="str">
        <f t="shared" ref="CV37:CZ37" si="254">CO37</f>
        <v/>
      </c>
      <c r="CW37" s="10" t="str">
        <f t="shared" si="254"/>
        <v/>
      </c>
      <c r="CX37" s="10" t="str">
        <f t="shared" si="254"/>
        <v/>
      </c>
      <c r="CY37" s="10" t="str">
        <f t="shared" si="254"/>
        <v/>
      </c>
      <c r="CZ37" s="10" t="str">
        <f t="shared" si="254"/>
        <v/>
      </c>
      <c r="DA37" s="10"/>
      <c r="DB37" s="10"/>
      <c r="DC37" s="43" t="str">
        <f t="shared" ref="DC37:DG37" si="255">CV37</f>
        <v/>
      </c>
      <c r="DD37" s="10" t="str">
        <f t="shared" si="255"/>
        <v/>
      </c>
      <c r="DE37" s="10" t="str">
        <f t="shared" si="255"/>
        <v/>
      </c>
      <c r="DF37" s="10" t="str">
        <f t="shared" si="255"/>
        <v/>
      </c>
      <c r="DG37" s="10" t="str">
        <f t="shared" si="255"/>
        <v/>
      </c>
      <c r="DH37" s="10"/>
      <c r="DI37" s="10"/>
      <c r="DJ37" s="43" t="str">
        <f t="shared" ref="DJ37:DN37" si="256">DC37</f>
        <v/>
      </c>
      <c r="DK37" s="10" t="str">
        <f t="shared" si="256"/>
        <v/>
      </c>
      <c r="DL37" s="10" t="str">
        <f t="shared" si="256"/>
        <v/>
      </c>
      <c r="DM37" s="10" t="str">
        <f t="shared" si="256"/>
        <v/>
      </c>
      <c r="DN37" s="10" t="str">
        <f t="shared" si="256"/>
        <v/>
      </c>
      <c r="DO37" s="10"/>
      <c r="DP37" s="10"/>
      <c r="DQ37" s="43" t="str">
        <f t="shared" ref="DQ37:DU37" si="257">DJ37</f>
        <v/>
      </c>
      <c r="DR37" s="10" t="str">
        <f t="shared" si="257"/>
        <v/>
      </c>
      <c r="DS37" s="10" t="str">
        <f t="shared" si="257"/>
        <v/>
      </c>
      <c r="DT37" s="10" t="str">
        <f t="shared" si="257"/>
        <v/>
      </c>
      <c r="DU37" s="10" t="str">
        <f t="shared" si="257"/>
        <v/>
      </c>
      <c r="DV37" s="10"/>
      <c r="DW37" s="10"/>
      <c r="DX37" s="43" t="str">
        <f t="shared" ref="DX37:EB37" si="258">DQ37</f>
        <v/>
      </c>
      <c r="DY37" s="10" t="str">
        <f t="shared" si="258"/>
        <v/>
      </c>
      <c r="DZ37" s="10" t="str">
        <f t="shared" si="258"/>
        <v/>
      </c>
      <c r="EA37" s="10" t="str">
        <f t="shared" si="258"/>
        <v/>
      </c>
      <c r="EB37" s="10" t="str">
        <f t="shared" si="258"/>
        <v/>
      </c>
      <c r="EC37" s="10"/>
      <c r="ED37" s="10"/>
      <c r="EE37" s="43" t="str">
        <f t="shared" ref="EE37:EI37" si="259">DX37</f>
        <v/>
      </c>
      <c r="EF37" s="10" t="str">
        <f t="shared" si="259"/>
        <v/>
      </c>
      <c r="EG37" s="10" t="str">
        <f t="shared" si="259"/>
        <v/>
      </c>
      <c r="EH37" s="10" t="str">
        <f t="shared" si="259"/>
        <v/>
      </c>
      <c r="EI37" s="10" t="str">
        <f t="shared" si="259"/>
        <v/>
      </c>
      <c r="EJ37" s="10"/>
      <c r="EK37" s="10"/>
      <c r="EL37" s="43" t="str">
        <f t="shared" ref="EL37:EP37" si="260">EE37</f>
        <v/>
      </c>
      <c r="EM37" s="10" t="str">
        <f t="shared" si="260"/>
        <v/>
      </c>
      <c r="EN37" s="10" t="str">
        <f t="shared" si="260"/>
        <v/>
      </c>
      <c r="EO37" s="10" t="str">
        <f t="shared" si="260"/>
        <v/>
      </c>
      <c r="EP37" s="10" t="str">
        <f t="shared" si="260"/>
        <v/>
      </c>
      <c r="EQ37" s="10"/>
      <c r="ER37" s="10"/>
    </row>
    <row r="38">
      <c r="A38" s="1" t="s">
        <v>79</v>
      </c>
      <c r="B38" s="42"/>
      <c r="C38" s="3"/>
      <c r="D38" s="3"/>
      <c r="E38" s="3"/>
      <c r="F38" s="3"/>
      <c r="G38" s="3"/>
      <c r="H38" s="3"/>
      <c r="I38" s="42"/>
      <c r="J38" s="3"/>
      <c r="K38" s="3"/>
      <c r="L38" s="3"/>
      <c r="M38" s="3"/>
      <c r="N38" s="3"/>
      <c r="O38" s="3"/>
      <c r="P38" s="42"/>
      <c r="Q38" s="3"/>
      <c r="R38" s="3"/>
      <c r="S38" s="3"/>
      <c r="T38" s="3"/>
      <c r="U38" s="3"/>
      <c r="V38" s="3"/>
      <c r="W38" s="42"/>
      <c r="X38" s="3"/>
      <c r="Y38" s="3"/>
      <c r="Z38" s="3"/>
      <c r="AA38" s="3"/>
      <c r="AB38" s="3"/>
      <c r="AC38" s="3"/>
      <c r="AD38" s="42"/>
      <c r="AE38" s="3"/>
      <c r="AF38" s="3"/>
      <c r="AG38" s="3"/>
      <c r="AH38" s="3"/>
      <c r="AI38" s="3"/>
      <c r="AJ38" s="3"/>
      <c r="AK38" s="42"/>
      <c r="AL38" s="3"/>
      <c r="AM38" s="3"/>
      <c r="AN38" s="3"/>
      <c r="AO38" s="3"/>
      <c r="AP38" s="3"/>
      <c r="AQ38" s="3"/>
      <c r="AR38" s="42"/>
      <c r="AS38" s="3"/>
      <c r="AT38" s="3"/>
      <c r="AU38" s="3"/>
      <c r="AV38" s="3"/>
      <c r="AW38" s="3"/>
      <c r="AX38" s="3"/>
      <c r="AY38" s="42"/>
      <c r="AZ38" s="3"/>
      <c r="BA38" s="3"/>
      <c r="BB38" s="3"/>
      <c r="BC38" s="3"/>
      <c r="BD38" s="3"/>
      <c r="BE38" s="3"/>
      <c r="BF38" s="42"/>
      <c r="BG38" s="3"/>
      <c r="BH38" s="3"/>
      <c r="BI38" s="3"/>
      <c r="BJ38" s="3"/>
      <c r="BK38" s="3"/>
      <c r="BL38" s="3"/>
      <c r="BM38" s="42"/>
      <c r="BN38" s="3"/>
      <c r="BO38" s="3"/>
      <c r="BP38" s="3"/>
      <c r="BQ38" s="3"/>
      <c r="BR38" s="3"/>
      <c r="BS38" s="3"/>
      <c r="BT38" s="42"/>
      <c r="BU38" s="3"/>
      <c r="BV38" s="3"/>
      <c r="BW38" s="3"/>
      <c r="BX38" s="3"/>
      <c r="BY38" s="3"/>
      <c r="BZ38" s="3"/>
      <c r="CA38" s="42"/>
      <c r="CB38" s="3"/>
      <c r="CC38" s="3"/>
      <c r="CD38" s="3"/>
      <c r="CE38" s="3"/>
      <c r="CF38" s="3"/>
      <c r="CG38" s="3"/>
      <c r="CH38" s="42"/>
      <c r="CI38" s="3"/>
      <c r="CJ38" s="3"/>
      <c r="CK38" s="3"/>
      <c r="CL38" s="3"/>
      <c r="CM38" s="3"/>
      <c r="CN38" s="3"/>
      <c r="CO38" s="42"/>
      <c r="CP38" s="3"/>
      <c r="CQ38" s="3"/>
      <c r="CR38" s="3"/>
      <c r="CS38" s="3"/>
      <c r="CT38" s="3"/>
      <c r="CU38" s="3"/>
      <c r="CV38" s="42"/>
      <c r="CW38" s="3"/>
      <c r="CX38" s="3"/>
      <c r="CY38" s="3"/>
      <c r="CZ38" s="3"/>
      <c r="DA38" s="3"/>
      <c r="DB38" s="3"/>
      <c r="DC38" s="42"/>
      <c r="DD38" s="3"/>
      <c r="DE38" s="3"/>
      <c r="DF38" s="3"/>
      <c r="DG38" s="3"/>
      <c r="DH38" s="3"/>
      <c r="DI38" s="3"/>
      <c r="DJ38" s="42"/>
      <c r="DK38" s="3"/>
      <c r="DL38" s="3"/>
      <c r="DM38" s="3"/>
      <c r="DN38" s="3"/>
      <c r="DO38" s="3"/>
      <c r="DP38" s="3"/>
      <c r="DQ38" s="42"/>
      <c r="DR38" s="3"/>
      <c r="DS38" s="3"/>
      <c r="DT38" s="3"/>
      <c r="DU38" s="3"/>
      <c r="DV38" s="3"/>
      <c r="DW38" s="3"/>
      <c r="DX38" s="42"/>
      <c r="DY38" s="3"/>
      <c r="DZ38" s="3"/>
      <c r="EA38" s="3"/>
      <c r="EB38" s="3"/>
      <c r="EC38" s="3"/>
      <c r="ED38" s="3"/>
      <c r="EE38" s="42"/>
      <c r="EF38" s="3"/>
      <c r="EG38" s="3"/>
      <c r="EH38" s="3"/>
      <c r="EI38" s="3"/>
      <c r="EJ38" s="3"/>
      <c r="EK38" s="3"/>
      <c r="EL38" s="42"/>
      <c r="EM38" s="3"/>
      <c r="EN38" s="3"/>
      <c r="EO38" s="3"/>
      <c r="EP38" s="3"/>
      <c r="EQ38" s="3"/>
      <c r="ER38" s="3"/>
    </row>
    <row r="39">
      <c r="A39" s="44"/>
      <c r="B39" s="43"/>
      <c r="C39" s="10"/>
      <c r="D39" s="10"/>
      <c r="E39" s="10"/>
      <c r="F39" s="10"/>
      <c r="G39" s="10"/>
      <c r="H39" s="10"/>
      <c r="I39" s="43" t="str">
        <f t="shared" ref="I39:M39" si="261">B39</f>
        <v/>
      </c>
      <c r="J39" s="10" t="str">
        <f t="shared" si="261"/>
        <v/>
      </c>
      <c r="K39" s="10" t="str">
        <f t="shared" si="261"/>
        <v/>
      </c>
      <c r="L39" s="10" t="str">
        <f t="shared" si="261"/>
        <v/>
      </c>
      <c r="M39" s="10" t="str">
        <f t="shared" si="261"/>
        <v/>
      </c>
      <c r="N39" s="10"/>
      <c r="O39" s="10"/>
      <c r="P39" s="43" t="str">
        <f t="shared" ref="P39:T39" si="262">I39</f>
        <v/>
      </c>
      <c r="Q39" s="10" t="str">
        <f t="shared" si="262"/>
        <v/>
      </c>
      <c r="R39" s="10" t="str">
        <f t="shared" si="262"/>
        <v/>
      </c>
      <c r="S39" s="10" t="str">
        <f t="shared" si="262"/>
        <v/>
      </c>
      <c r="T39" s="10" t="str">
        <f t="shared" si="262"/>
        <v/>
      </c>
      <c r="U39" s="10"/>
      <c r="V39" s="10"/>
      <c r="W39" s="43" t="str">
        <f t="shared" ref="W39:AA39" si="263">P39</f>
        <v/>
      </c>
      <c r="X39" s="10" t="str">
        <f t="shared" si="263"/>
        <v/>
      </c>
      <c r="Y39" s="10" t="str">
        <f t="shared" si="263"/>
        <v/>
      </c>
      <c r="Z39" s="10" t="str">
        <f t="shared" si="263"/>
        <v/>
      </c>
      <c r="AA39" s="10" t="str">
        <f t="shared" si="263"/>
        <v/>
      </c>
      <c r="AB39" s="10"/>
      <c r="AC39" s="10"/>
      <c r="AD39" s="43" t="str">
        <f t="shared" ref="AD39:AH39" si="264">W39</f>
        <v/>
      </c>
      <c r="AE39" s="10" t="str">
        <f t="shared" si="264"/>
        <v/>
      </c>
      <c r="AF39" s="10" t="str">
        <f t="shared" si="264"/>
        <v/>
      </c>
      <c r="AG39" s="10" t="str">
        <f t="shared" si="264"/>
        <v/>
      </c>
      <c r="AH39" s="10" t="str">
        <f t="shared" si="264"/>
        <v/>
      </c>
      <c r="AI39" s="10"/>
      <c r="AJ39" s="10"/>
      <c r="AK39" s="43" t="str">
        <f t="shared" ref="AK39:AO39" si="265">AD39</f>
        <v/>
      </c>
      <c r="AL39" s="10" t="str">
        <f t="shared" si="265"/>
        <v/>
      </c>
      <c r="AM39" s="10" t="str">
        <f t="shared" si="265"/>
        <v/>
      </c>
      <c r="AN39" s="10" t="str">
        <f t="shared" si="265"/>
        <v/>
      </c>
      <c r="AO39" s="10" t="str">
        <f t="shared" si="265"/>
        <v/>
      </c>
      <c r="AP39" s="10"/>
      <c r="AQ39" s="10"/>
      <c r="AR39" s="43" t="str">
        <f t="shared" ref="AR39:AV39" si="266">AK39</f>
        <v/>
      </c>
      <c r="AS39" s="10" t="str">
        <f t="shared" si="266"/>
        <v/>
      </c>
      <c r="AT39" s="10" t="str">
        <f t="shared" si="266"/>
        <v/>
      </c>
      <c r="AU39" s="10" t="str">
        <f t="shared" si="266"/>
        <v/>
      </c>
      <c r="AV39" s="10" t="str">
        <f t="shared" si="266"/>
        <v/>
      </c>
      <c r="AW39" s="10"/>
      <c r="AX39" s="10"/>
      <c r="AY39" s="43" t="str">
        <f t="shared" ref="AY39:BC39" si="267">AR39</f>
        <v/>
      </c>
      <c r="AZ39" s="10" t="str">
        <f t="shared" si="267"/>
        <v/>
      </c>
      <c r="BA39" s="10" t="str">
        <f t="shared" si="267"/>
        <v/>
      </c>
      <c r="BB39" s="10" t="str">
        <f t="shared" si="267"/>
        <v/>
      </c>
      <c r="BC39" s="10" t="str">
        <f t="shared" si="267"/>
        <v/>
      </c>
      <c r="BD39" s="10"/>
      <c r="BE39" s="10"/>
      <c r="BF39" s="43" t="str">
        <f t="shared" ref="BF39:BJ39" si="268">AY39</f>
        <v/>
      </c>
      <c r="BG39" s="10" t="str">
        <f t="shared" si="268"/>
        <v/>
      </c>
      <c r="BH39" s="10" t="str">
        <f t="shared" si="268"/>
        <v/>
      </c>
      <c r="BI39" s="10" t="str">
        <f t="shared" si="268"/>
        <v/>
      </c>
      <c r="BJ39" s="10" t="str">
        <f t="shared" si="268"/>
        <v/>
      </c>
      <c r="BK39" s="10"/>
      <c r="BL39" s="10"/>
      <c r="BM39" s="43" t="str">
        <f t="shared" ref="BM39:BQ39" si="269">BF39</f>
        <v/>
      </c>
      <c r="BN39" s="10" t="str">
        <f t="shared" si="269"/>
        <v/>
      </c>
      <c r="BO39" s="10" t="str">
        <f t="shared" si="269"/>
        <v/>
      </c>
      <c r="BP39" s="10" t="str">
        <f t="shared" si="269"/>
        <v/>
      </c>
      <c r="BQ39" s="10" t="str">
        <f t="shared" si="269"/>
        <v/>
      </c>
      <c r="BR39" s="10"/>
      <c r="BS39" s="10"/>
      <c r="BT39" s="43" t="str">
        <f t="shared" ref="BT39:BX39" si="270">BM39</f>
        <v/>
      </c>
      <c r="BU39" s="10" t="str">
        <f t="shared" si="270"/>
        <v/>
      </c>
      <c r="BV39" s="10" t="str">
        <f t="shared" si="270"/>
        <v/>
      </c>
      <c r="BW39" s="10" t="str">
        <f t="shared" si="270"/>
        <v/>
      </c>
      <c r="BX39" s="10" t="str">
        <f t="shared" si="270"/>
        <v/>
      </c>
      <c r="BY39" s="10"/>
      <c r="BZ39" s="10"/>
      <c r="CA39" s="43" t="str">
        <f t="shared" ref="CA39:CE39" si="271">BT39</f>
        <v/>
      </c>
      <c r="CB39" s="10" t="str">
        <f t="shared" si="271"/>
        <v/>
      </c>
      <c r="CC39" s="10" t="str">
        <f t="shared" si="271"/>
        <v/>
      </c>
      <c r="CD39" s="10" t="str">
        <f t="shared" si="271"/>
        <v/>
      </c>
      <c r="CE39" s="10" t="str">
        <f t="shared" si="271"/>
        <v/>
      </c>
      <c r="CF39" s="10"/>
      <c r="CG39" s="10"/>
      <c r="CH39" s="43" t="str">
        <f t="shared" ref="CH39:CL39" si="272">CA39</f>
        <v/>
      </c>
      <c r="CI39" s="10" t="str">
        <f t="shared" si="272"/>
        <v/>
      </c>
      <c r="CJ39" s="10" t="str">
        <f t="shared" si="272"/>
        <v/>
      </c>
      <c r="CK39" s="10" t="str">
        <f t="shared" si="272"/>
        <v/>
      </c>
      <c r="CL39" s="10" t="str">
        <f t="shared" si="272"/>
        <v/>
      </c>
      <c r="CM39" s="10"/>
      <c r="CN39" s="10"/>
      <c r="CO39" s="43" t="str">
        <f t="shared" ref="CO39:CS39" si="273">CH39</f>
        <v/>
      </c>
      <c r="CP39" s="10" t="str">
        <f t="shared" si="273"/>
        <v/>
      </c>
      <c r="CQ39" s="10" t="str">
        <f t="shared" si="273"/>
        <v/>
      </c>
      <c r="CR39" s="10" t="str">
        <f t="shared" si="273"/>
        <v/>
      </c>
      <c r="CS39" s="10" t="str">
        <f t="shared" si="273"/>
        <v/>
      </c>
      <c r="CT39" s="10"/>
      <c r="CU39" s="10"/>
      <c r="CV39" s="43" t="str">
        <f t="shared" ref="CV39:CZ39" si="274">CO39</f>
        <v/>
      </c>
      <c r="CW39" s="10" t="str">
        <f t="shared" si="274"/>
        <v/>
      </c>
      <c r="CX39" s="10" t="str">
        <f t="shared" si="274"/>
        <v/>
      </c>
      <c r="CY39" s="10" t="str">
        <f t="shared" si="274"/>
        <v/>
      </c>
      <c r="CZ39" s="10" t="str">
        <f t="shared" si="274"/>
        <v/>
      </c>
      <c r="DA39" s="10"/>
      <c r="DB39" s="10"/>
      <c r="DC39" s="43" t="str">
        <f t="shared" ref="DC39:DG39" si="275">CV39</f>
        <v/>
      </c>
      <c r="DD39" s="10" t="str">
        <f t="shared" si="275"/>
        <v/>
      </c>
      <c r="DE39" s="10" t="str">
        <f t="shared" si="275"/>
        <v/>
      </c>
      <c r="DF39" s="10" t="str">
        <f t="shared" si="275"/>
        <v/>
      </c>
      <c r="DG39" s="10" t="str">
        <f t="shared" si="275"/>
        <v/>
      </c>
      <c r="DH39" s="10"/>
      <c r="DI39" s="10"/>
      <c r="DJ39" s="43" t="str">
        <f t="shared" ref="DJ39:DN39" si="276">DC39</f>
        <v/>
      </c>
      <c r="DK39" s="10" t="str">
        <f t="shared" si="276"/>
        <v/>
      </c>
      <c r="DL39" s="10" t="str">
        <f t="shared" si="276"/>
        <v/>
      </c>
      <c r="DM39" s="10" t="str">
        <f t="shared" si="276"/>
        <v/>
      </c>
      <c r="DN39" s="10" t="str">
        <f t="shared" si="276"/>
        <v/>
      </c>
      <c r="DO39" s="10"/>
      <c r="DP39" s="10"/>
      <c r="DQ39" s="43" t="str">
        <f t="shared" ref="DQ39:DU39" si="277">DJ39</f>
        <v/>
      </c>
      <c r="DR39" s="10" t="str">
        <f t="shared" si="277"/>
        <v/>
      </c>
      <c r="DS39" s="10" t="str">
        <f t="shared" si="277"/>
        <v/>
      </c>
      <c r="DT39" s="10" t="str">
        <f t="shared" si="277"/>
        <v/>
      </c>
      <c r="DU39" s="10" t="str">
        <f t="shared" si="277"/>
        <v/>
      </c>
      <c r="DV39" s="10"/>
      <c r="DW39" s="10"/>
      <c r="DX39" s="43" t="str">
        <f t="shared" ref="DX39:EB39" si="278">DQ39</f>
        <v/>
      </c>
      <c r="DY39" s="10" t="str">
        <f t="shared" si="278"/>
        <v/>
      </c>
      <c r="DZ39" s="10" t="str">
        <f t="shared" si="278"/>
        <v/>
      </c>
      <c r="EA39" s="10" t="str">
        <f t="shared" si="278"/>
        <v/>
      </c>
      <c r="EB39" s="10" t="str">
        <f t="shared" si="278"/>
        <v/>
      </c>
      <c r="EC39" s="10"/>
      <c r="ED39" s="10"/>
      <c r="EE39" s="43" t="str">
        <f t="shared" ref="EE39:EI39" si="279">DX39</f>
        <v/>
      </c>
      <c r="EF39" s="10" t="str">
        <f t="shared" si="279"/>
        <v/>
      </c>
      <c r="EG39" s="10" t="str">
        <f t="shared" si="279"/>
        <v/>
      </c>
      <c r="EH39" s="10" t="str">
        <f t="shared" si="279"/>
        <v/>
      </c>
      <c r="EI39" s="10" t="str">
        <f t="shared" si="279"/>
        <v/>
      </c>
      <c r="EJ39" s="10"/>
      <c r="EK39" s="10"/>
      <c r="EL39" s="43" t="str">
        <f t="shared" ref="EL39:EP39" si="280">EE39</f>
        <v/>
      </c>
      <c r="EM39" s="10" t="str">
        <f t="shared" si="280"/>
        <v/>
      </c>
      <c r="EN39" s="10" t="str">
        <f t="shared" si="280"/>
        <v/>
      </c>
      <c r="EO39" s="10" t="str">
        <f t="shared" si="280"/>
        <v/>
      </c>
      <c r="EP39" s="10" t="str">
        <f t="shared" si="280"/>
        <v/>
      </c>
      <c r="EQ39" s="10"/>
      <c r="ER39" s="10"/>
    </row>
    <row r="40">
      <c r="A40" s="44"/>
      <c r="B40" s="43"/>
      <c r="C40" s="10"/>
      <c r="D40" s="10"/>
      <c r="E40" s="10"/>
      <c r="F40" s="10"/>
      <c r="G40" s="10"/>
      <c r="H40" s="10"/>
      <c r="I40" s="43" t="str">
        <f t="shared" ref="I40:M40" si="281">B40</f>
        <v/>
      </c>
      <c r="J40" s="10" t="str">
        <f t="shared" si="281"/>
        <v/>
      </c>
      <c r="K40" s="10" t="str">
        <f t="shared" si="281"/>
        <v/>
      </c>
      <c r="L40" s="10" t="str">
        <f t="shared" si="281"/>
        <v/>
      </c>
      <c r="M40" s="10" t="str">
        <f t="shared" si="281"/>
        <v/>
      </c>
      <c r="N40" s="10"/>
      <c r="O40" s="10"/>
      <c r="P40" s="43" t="str">
        <f t="shared" ref="P40:T40" si="282">I40</f>
        <v/>
      </c>
      <c r="Q40" s="10" t="str">
        <f t="shared" si="282"/>
        <v/>
      </c>
      <c r="R40" s="10" t="str">
        <f t="shared" si="282"/>
        <v/>
      </c>
      <c r="S40" s="10" t="str">
        <f t="shared" si="282"/>
        <v/>
      </c>
      <c r="T40" s="10" t="str">
        <f t="shared" si="282"/>
        <v/>
      </c>
      <c r="U40" s="10"/>
      <c r="V40" s="10"/>
      <c r="W40" s="43" t="str">
        <f t="shared" ref="W40:AA40" si="283">P40</f>
        <v/>
      </c>
      <c r="X40" s="10" t="str">
        <f t="shared" si="283"/>
        <v/>
      </c>
      <c r="Y40" s="10" t="str">
        <f t="shared" si="283"/>
        <v/>
      </c>
      <c r="Z40" s="10" t="str">
        <f t="shared" si="283"/>
        <v/>
      </c>
      <c r="AA40" s="10" t="str">
        <f t="shared" si="283"/>
        <v/>
      </c>
      <c r="AB40" s="10"/>
      <c r="AC40" s="10"/>
      <c r="AD40" s="43" t="str">
        <f t="shared" ref="AD40:AH40" si="284">W40</f>
        <v/>
      </c>
      <c r="AE40" s="10" t="str">
        <f t="shared" si="284"/>
        <v/>
      </c>
      <c r="AF40" s="10" t="str">
        <f t="shared" si="284"/>
        <v/>
      </c>
      <c r="AG40" s="10" t="str">
        <f t="shared" si="284"/>
        <v/>
      </c>
      <c r="AH40" s="10" t="str">
        <f t="shared" si="284"/>
        <v/>
      </c>
      <c r="AI40" s="10"/>
      <c r="AJ40" s="10"/>
      <c r="AK40" s="43" t="str">
        <f t="shared" ref="AK40:AO40" si="285">AD40</f>
        <v/>
      </c>
      <c r="AL40" s="10" t="str">
        <f t="shared" si="285"/>
        <v/>
      </c>
      <c r="AM40" s="10" t="str">
        <f t="shared" si="285"/>
        <v/>
      </c>
      <c r="AN40" s="10" t="str">
        <f t="shared" si="285"/>
        <v/>
      </c>
      <c r="AO40" s="10" t="str">
        <f t="shared" si="285"/>
        <v/>
      </c>
      <c r="AP40" s="10"/>
      <c r="AQ40" s="10"/>
      <c r="AR40" s="43" t="str">
        <f t="shared" ref="AR40:AV40" si="286">AK40</f>
        <v/>
      </c>
      <c r="AS40" s="10" t="str">
        <f t="shared" si="286"/>
        <v/>
      </c>
      <c r="AT40" s="10" t="str">
        <f t="shared" si="286"/>
        <v/>
      </c>
      <c r="AU40" s="10" t="str">
        <f t="shared" si="286"/>
        <v/>
      </c>
      <c r="AV40" s="10" t="str">
        <f t="shared" si="286"/>
        <v/>
      </c>
      <c r="AW40" s="10"/>
      <c r="AX40" s="10"/>
      <c r="AY40" s="43" t="str">
        <f t="shared" ref="AY40:BC40" si="287">AR40</f>
        <v/>
      </c>
      <c r="AZ40" s="10" t="str">
        <f t="shared" si="287"/>
        <v/>
      </c>
      <c r="BA40" s="10" t="str">
        <f t="shared" si="287"/>
        <v/>
      </c>
      <c r="BB40" s="10" t="str">
        <f t="shared" si="287"/>
        <v/>
      </c>
      <c r="BC40" s="10" t="str">
        <f t="shared" si="287"/>
        <v/>
      </c>
      <c r="BD40" s="10"/>
      <c r="BE40" s="10"/>
      <c r="BF40" s="43" t="str">
        <f t="shared" ref="BF40:BJ40" si="288">AY40</f>
        <v/>
      </c>
      <c r="BG40" s="10" t="str">
        <f t="shared" si="288"/>
        <v/>
      </c>
      <c r="BH40" s="10" t="str">
        <f t="shared" si="288"/>
        <v/>
      </c>
      <c r="BI40" s="10" t="str">
        <f t="shared" si="288"/>
        <v/>
      </c>
      <c r="BJ40" s="10" t="str">
        <f t="shared" si="288"/>
        <v/>
      </c>
      <c r="BK40" s="10"/>
      <c r="BL40" s="10"/>
      <c r="BM40" s="43" t="str">
        <f t="shared" ref="BM40:BQ40" si="289">BF40</f>
        <v/>
      </c>
      <c r="BN40" s="10" t="str">
        <f t="shared" si="289"/>
        <v/>
      </c>
      <c r="BO40" s="10" t="str">
        <f t="shared" si="289"/>
        <v/>
      </c>
      <c r="BP40" s="10" t="str">
        <f t="shared" si="289"/>
        <v/>
      </c>
      <c r="BQ40" s="10" t="str">
        <f t="shared" si="289"/>
        <v/>
      </c>
      <c r="BR40" s="10"/>
      <c r="BS40" s="10"/>
      <c r="BT40" s="43" t="str">
        <f t="shared" ref="BT40:BX40" si="290">BM40</f>
        <v/>
      </c>
      <c r="BU40" s="10" t="str">
        <f t="shared" si="290"/>
        <v/>
      </c>
      <c r="BV40" s="10" t="str">
        <f t="shared" si="290"/>
        <v/>
      </c>
      <c r="BW40" s="10" t="str">
        <f t="shared" si="290"/>
        <v/>
      </c>
      <c r="BX40" s="10" t="str">
        <f t="shared" si="290"/>
        <v/>
      </c>
      <c r="BY40" s="10"/>
      <c r="BZ40" s="10"/>
      <c r="CA40" s="43" t="str">
        <f t="shared" ref="CA40:CE40" si="291">BT40</f>
        <v/>
      </c>
      <c r="CB40" s="10" t="str">
        <f t="shared" si="291"/>
        <v/>
      </c>
      <c r="CC40" s="10" t="str">
        <f t="shared" si="291"/>
        <v/>
      </c>
      <c r="CD40" s="10" t="str">
        <f t="shared" si="291"/>
        <v/>
      </c>
      <c r="CE40" s="10" t="str">
        <f t="shared" si="291"/>
        <v/>
      </c>
      <c r="CF40" s="10"/>
      <c r="CG40" s="10"/>
      <c r="CH40" s="43" t="str">
        <f t="shared" ref="CH40:CL40" si="292">CA40</f>
        <v/>
      </c>
      <c r="CI40" s="10" t="str">
        <f t="shared" si="292"/>
        <v/>
      </c>
      <c r="CJ40" s="10" t="str">
        <f t="shared" si="292"/>
        <v/>
      </c>
      <c r="CK40" s="10" t="str">
        <f t="shared" si="292"/>
        <v/>
      </c>
      <c r="CL40" s="10" t="str">
        <f t="shared" si="292"/>
        <v/>
      </c>
      <c r="CM40" s="10"/>
      <c r="CN40" s="10"/>
      <c r="CO40" s="43" t="str">
        <f t="shared" ref="CO40:CS40" si="293">CH40</f>
        <v/>
      </c>
      <c r="CP40" s="10" t="str">
        <f t="shared" si="293"/>
        <v/>
      </c>
      <c r="CQ40" s="10" t="str">
        <f t="shared" si="293"/>
        <v/>
      </c>
      <c r="CR40" s="10" t="str">
        <f t="shared" si="293"/>
        <v/>
      </c>
      <c r="CS40" s="10" t="str">
        <f t="shared" si="293"/>
        <v/>
      </c>
      <c r="CT40" s="10"/>
      <c r="CU40" s="10"/>
      <c r="CV40" s="43" t="str">
        <f t="shared" ref="CV40:CZ40" si="294">CO40</f>
        <v/>
      </c>
      <c r="CW40" s="10" t="str">
        <f t="shared" si="294"/>
        <v/>
      </c>
      <c r="CX40" s="10" t="str">
        <f t="shared" si="294"/>
        <v/>
      </c>
      <c r="CY40" s="10" t="str">
        <f t="shared" si="294"/>
        <v/>
      </c>
      <c r="CZ40" s="10" t="str">
        <f t="shared" si="294"/>
        <v/>
      </c>
      <c r="DA40" s="10"/>
      <c r="DB40" s="10"/>
      <c r="DC40" s="43" t="str">
        <f t="shared" ref="DC40:DG40" si="295">CV40</f>
        <v/>
      </c>
      <c r="DD40" s="10" t="str">
        <f t="shared" si="295"/>
        <v/>
      </c>
      <c r="DE40" s="10" t="str">
        <f t="shared" si="295"/>
        <v/>
      </c>
      <c r="DF40" s="10" t="str">
        <f t="shared" si="295"/>
        <v/>
      </c>
      <c r="DG40" s="10" t="str">
        <f t="shared" si="295"/>
        <v/>
      </c>
      <c r="DH40" s="10"/>
      <c r="DI40" s="10"/>
      <c r="DJ40" s="43" t="str">
        <f t="shared" ref="DJ40:DN40" si="296">DC40</f>
        <v/>
      </c>
      <c r="DK40" s="10" t="str">
        <f t="shared" si="296"/>
        <v/>
      </c>
      <c r="DL40" s="10" t="str">
        <f t="shared" si="296"/>
        <v/>
      </c>
      <c r="DM40" s="10" t="str">
        <f t="shared" si="296"/>
        <v/>
      </c>
      <c r="DN40" s="10" t="str">
        <f t="shared" si="296"/>
        <v/>
      </c>
      <c r="DO40" s="10"/>
      <c r="DP40" s="10"/>
      <c r="DQ40" s="43" t="str">
        <f t="shared" ref="DQ40:DU40" si="297">DJ40</f>
        <v/>
      </c>
      <c r="DR40" s="10" t="str">
        <f t="shared" si="297"/>
        <v/>
      </c>
      <c r="DS40" s="10" t="str">
        <f t="shared" si="297"/>
        <v/>
      </c>
      <c r="DT40" s="10" t="str">
        <f t="shared" si="297"/>
        <v/>
      </c>
      <c r="DU40" s="10" t="str">
        <f t="shared" si="297"/>
        <v/>
      </c>
      <c r="DV40" s="10"/>
      <c r="DW40" s="10"/>
      <c r="DX40" s="43" t="str">
        <f t="shared" ref="DX40:EB40" si="298">DQ40</f>
        <v/>
      </c>
      <c r="DY40" s="10" t="str">
        <f t="shared" si="298"/>
        <v/>
      </c>
      <c r="DZ40" s="10" t="str">
        <f t="shared" si="298"/>
        <v/>
      </c>
      <c r="EA40" s="10" t="str">
        <f t="shared" si="298"/>
        <v/>
      </c>
      <c r="EB40" s="10" t="str">
        <f t="shared" si="298"/>
        <v/>
      </c>
      <c r="EC40" s="10"/>
      <c r="ED40" s="10"/>
      <c r="EE40" s="43" t="str">
        <f t="shared" ref="EE40:EI40" si="299">DX40</f>
        <v/>
      </c>
      <c r="EF40" s="10" t="str">
        <f t="shared" si="299"/>
        <v/>
      </c>
      <c r="EG40" s="10" t="str">
        <f t="shared" si="299"/>
        <v/>
      </c>
      <c r="EH40" s="10" t="str">
        <f t="shared" si="299"/>
        <v/>
      </c>
      <c r="EI40" s="10" t="str">
        <f t="shared" si="299"/>
        <v/>
      </c>
      <c r="EJ40" s="10"/>
      <c r="EK40" s="10"/>
      <c r="EL40" s="43" t="str">
        <f t="shared" ref="EL40:EP40" si="300">EE40</f>
        <v/>
      </c>
      <c r="EM40" s="10" t="str">
        <f t="shared" si="300"/>
        <v/>
      </c>
      <c r="EN40" s="10" t="str">
        <f t="shared" si="300"/>
        <v/>
      </c>
      <c r="EO40" s="10" t="str">
        <f t="shared" si="300"/>
        <v/>
      </c>
      <c r="EP40" s="10" t="str">
        <f t="shared" si="300"/>
        <v/>
      </c>
      <c r="EQ40" s="10"/>
      <c r="ER40" s="10"/>
    </row>
    <row r="41">
      <c r="A41" s="45"/>
      <c r="B41" s="46"/>
      <c r="C41" s="47"/>
      <c r="D41" s="47"/>
      <c r="E41" s="47"/>
      <c r="F41" s="47"/>
      <c r="G41" s="47"/>
      <c r="H41" s="47"/>
      <c r="I41" s="46" t="str">
        <f t="shared" ref="I41:M41" si="301">B41</f>
        <v/>
      </c>
      <c r="J41" s="47" t="str">
        <f t="shared" si="301"/>
        <v/>
      </c>
      <c r="K41" s="47" t="str">
        <f t="shared" si="301"/>
        <v/>
      </c>
      <c r="L41" s="47" t="str">
        <f t="shared" si="301"/>
        <v/>
      </c>
      <c r="M41" s="47" t="str">
        <f t="shared" si="301"/>
        <v/>
      </c>
      <c r="N41" s="47"/>
      <c r="O41" s="47"/>
      <c r="P41" s="46" t="str">
        <f t="shared" ref="P41:T41" si="302">I41</f>
        <v/>
      </c>
      <c r="Q41" s="47" t="str">
        <f t="shared" si="302"/>
        <v/>
      </c>
      <c r="R41" s="47" t="str">
        <f t="shared" si="302"/>
        <v/>
      </c>
      <c r="S41" s="47" t="str">
        <f t="shared" si="302"/>
        <v/>
      </c>
      <c r="T41" s="47" t="str">
        <f t="shared" si="302"/>
        <v/>
      </c>
      <c r="U41" s="47"/>
      <c r="V41" s="47"/>
      <c r="W41" s="46" t="str">
        <f t="shared" ref="W41:AA41" si="303">P41</f>
        <v/>
      </c>
      <c r="X41" s="47" t="str">
        <f t="shared" si="303"/>
        <v/>
      </c>
      <c r="Y41" s="47" t="str">
        <f t="shared" si="303"/>
        <v/>
      </c>
      <c r="Z41" s="47" t="str">
        <f t="shared" si="303"/>
        <v/>
      </c>
      <c r="AA41" s="47" t="str">
        <f t="shared" si="303"/>
        <v/>
      </c>
      <c r="AB41" s="47"/>
      <c r="AC41" s="47"/>
      <c r="AD41" s="46" t="str">
        <f t="shared" ref="AD41:AH41" si="304">W41</f>
        <v/>
      </c>
      <c r="AE41" s="47" t="str">
        <f t="shared" si="304"/>
        <v/>
      </c>
      <c r="AF41" s="47" t="str">
        <f t="shared" si="304"/>
        <v/>
      </c>
      <c r="AG41" s="47" t="str">
        <f t="shared" si="304"/>
        <v/>
      </c>
      <c r="AH41" s="47" t="str">
        <f t="shared" si="304"/>
        <v/>
      </c>
      <c r="AI41" s="47"/>
      <c r="AJ41" s="47"/>
      <c r="AK41" s="46" t="str">
        <f t="shared" ref="AK41:AO41" si="305">AD41</f>
        <v/>
      </c>
      <c r="AL41" s="47" t="str">
        <f t="shared" si="305"/>
        <v/>
      </c>
      <c r="AM41" s="47" t="str">
        <f t="shared" si="305"/>
        <v/>
      </c>
      <c r="AN41" s="47" t="str">
        <f t="shared" si="305"/>
        <v/>
      </c>
      <c r="AO41" s="47" t="str">
        <f t="shared" si="305"/>
        <v/>
      </c>
      <c r="AP41" s="47"/>
      <c r="AQ41" s="47"/>
      <c r="AR41" s="46" t="str">
        <f t="shared" ref="AR41:AV41" si="306">AK41</f>
        <v/>
      </c>
      <c r="AS41" s="47" t="str">
        <f t="shared" si="306"/>
        <v/>
      </c>
      <c r="AT41" s="47" t="str">
        <f t="shared" si="306"/>
        <v/>
      </c>
      <c r="AU41" s="47" t="str">
        <f t="shared" si="306"/>
        <v/>
      </c>
      <c r="AV41" s="47" t="str">
        <f t="shared" si="306"/>
        <v/>
      </c>
      <c r="AW41" s="47"/>
      <c r="AX41" s="47"/>
      <c r="AY41" s="46" t="str">
        <f t="shared" ref="AY41:BC41" si="307">AR41</f>
        <v/>
      </c>
      <c r="AZ41" s="47" t="str">
        <f t="shared" si="307"/>
        <v/>
      </c>
      <c r="BA41" s="47" t="str">
        <f t="shared" si="307"/>
        <v/>
      </c>
      <c r="BB41" s="47" t="str">
        <f t="shared" si="307"/>
        <v/>
      </c>
      <c r="BC41" s="47" t="str">
        <f t="shared" si="307"/>
        <v/>
      </c>
      <c r="BD41" s="47"/>
      <c r="BE41" s="47"/>
      <c r="BF41" s="46" t="str">
        <f t="shared" ref="BF41:BJ41" si="308">AY41</f>
        <v/>
      </c>
      <c r="BG41" s="47" t="str">
        <f t="shared" si="308"/>
        <v/>
      </c>
      <c r="BH41" s="47" t="str">
        <f t="shared" si="308"/>
        <v/>
      </c>
      <c r="BI41" s="47" t="str">
        <f t="shared" si="308"/>
        <v/>
      </c>
      <c r="BJ41" s="47" t="str">
        <f t="shared" si="308"/>
        <v/>
      </c>
      <c r="BK41" s="47"/>
      <c r="BL41" s="47"/>
      <c r="BM41" s="46" t="str">
        <f t="shared" ref="BM41:BQ41" si="309">BF41</f>
        <v/>
      </c>
      <c r="BN41" s="47" t="str">
        <f t="shared" si="309"/>
        <v/>
      </c>
      <c r="BO41" s="47" t="str">
        <f t="shared" si="309"/>
        <v/>
      </c>
      <c r="BP41" s="47" t="str">
        <f t="shared" si="309"/>
        <v/>
      </c>
      <c r="BQ41" s="47" t="str">
        <f t="shared" si="309"/>
        <v/>
      </c>
      <c r="BR41" s="47"/>
      <c r="BS41" s="47"/>
      <c r="BT41" s="46" t="str">
        <f t="shared" ref="BT41:BX41" si="310">BM41</f>
        <v/>
      </c>
      <c r="BU41" s="47" t="str">
        <f t="shared" si="310"/>
        <v/>
      </c>
      <c r="BV41" s="47" t="str">
        <f t="shared" si="310"/>
        <v/>
      </c>
      <c r="BW41" s="47" t="str">
        <f t="shared" si="310"/>
        <v/>
      </c>
      <c r="BX41" s="47" t="str">
        <f t="shared" si="310"/>
        <v/>
      </c>
      <c r="BY41" s="47"/>
      <c r="BZ41" s="47"/>
      <c r="CA41" s="46" t="str">
        <f t="shared" ref="CA41:CE41" si="311">BT41</f>
        <v/>
      </c>
      <c r="CB41" s="47" t="str">
        <f t="shared" si="311"/>
        <v/>
      </c>
      <c r="CC41" s="47" t="str">
        <f t="shared" si="311"/>
        <v/>
      </c>
      <c r="CD41" s="47" t="str">
        <f t="shared" si="311"/>
        <v/>
      </c>
      <c r="CE41" s="47" t="str">
        <f t="shared" si="311"/>
        <v/>
      </c>
      <c r="CF41" s="47"/>
      <c r="CG41" s="47"/>
      <c r="CH41" s="46" t="str">
        <f t="shared" ref="CH41:CL41" si="312">CA41</f>
        <v/>
      </c>
      <c r="CI41" s="47" t="str">
        <f t="shared" si="312"/>
        <v/>
      </c>
      <c r="CJ41" s="47" t="str">
        <f t="shared" si="312"/>
        <v/>
      </c>
      <c r="CK41" s="47" t="str">
        <f t="shared" si="312"/>
        <v/>
      </c>
      <c r="CL41" s="47" t="str">
        <f t="shared" si="312"/>
        <v/>
      </c>
      <c r="CM41" s="47"/>
      <c r="CN41" s="47"/>
      <c r="CO41" s="46" t="str">
        <f t="shared" ref="CO41:CS41" si="313">CH41</f>
        <v/>
      </c>
      <c r="CP41" s="47" t="str">
        <f t="shared" si="313"/>
        <v/>
      </c>
      <c r="CQ41" s="47" t="str">
        <f t="shared" si="313"/>
        <v/>
      </c>
      <c r="CR41" s="47" t="str">
        <f t="shared" si="313"/>
        <v/>
      </c>
      <c r="CS41" s="47" t="str">
        <f t="shared" si="313"/>
        <v/>
      </c>
      <c r="CT41" s="47"/>
      <c r="CU41" s="47"/>
      <c r="CV41" s="46" t="str">
        <f t="shared" ref="CV41:CZ41" si="314">CO41</f>
        <v/>
      </c>
      <c r="CW41" s="47" t="str">
        <f t="shared" si="314"/>
        <v/>
      </c>
      <c r="CX41" s="47" t="str">
        <f t="shared" si="314"/>
        <v/>
      </c>
      <c r="CY41" s="47" t="str">
        <f t="shared" si="314"/>
        <v/>
      </c>
      <c r="CZ41" s="47" t="str">
        <f t="shared" si="314"/>
        <v/>
      </c>
      <c r="DA41" s="47"/>
      <c r="DB41" s="47"/>
      <c r="DC41" s="46" t="str">
        <f t="shared" ref="DC41:DG41" si="315">CV41</f>
        <v/>
      </c>
      <c r="DD41" s="47" t="str">
        <f t="shared" si="315"/>
        <v/>
      </c>
      <c r="DE41" s="47" t="str">
        <f t="shared" si="315"/>
        <v/>
      </c>
      <c r="DF41" s="47" t="str">
        <f t="shared" si="315"/>
        <v/>
      </c>
      <c r="DG41" s="47" t="str">
        <f t="shared" si="315"/>
        <v/>
      </c>
      <c r="DH41" s="47"/>
      <c r="DI41" s="47"/>
      <c r="DJ41" s="46" t="str">
        <f t="shared" ref="DJ41:DN41" si="316">DC41</f>
        <v/>
      </c>
      <c r="DK41" s="47" t="str">
        <f t="shared" si="316"/>
        <v/>
      </c>
      <c r="DL41" s="47" t="str">
        <f t="shared" si="316"/>
        <v/>
      </c>
      <c r="DM41" s="47" t="str">
        <f t="shared" si="316"/>
        <v/>
      </c>
      <c r="DN41" s="47" t="str">
        <f t="shared" si="316"/>
        <v/>
      </c>
      <c r="DO41" s="47"/>
      <c r="DP41" s="47"/>
      <c r="DQ41" s="46" t="str">
        <f t="shared" ref="DQ41:DU41" si="317">DJ41</f>
        <v/>
      </c>
      <c r="DR41" s="47" t="str">
        <f t="shared" si="317"/>
        <v/>
      </c>
      <c r="DS41" s="47" t="str">
        <f t="shared" si="317"/>
        <v/>
      </c>
      <c r="DT41" s="47" t="str">
        <f t="shared" si="317"/>
        <v/>
      </c>
      <c r="DU41" s="47" t="str">
        <f t="shared" si="317"/>
        <v/>
      </c>
      <c r="DV41" s="47"/>
      <c r="DW41" s="47"/>
      <c r="DX41" s="46" t="str">
        <f t="shared" ref="DX41:EB41" si="318">DQ41</f>
        <v/>
      </c>
      <c r="DY41" s="47" t="str">
        <f t="shared" si="318"/>
        <v/>
      </c>
      <c r="DZ41" s="47" t="str">
        <f t="shared" si="318"/>
        <v/>
      </c>
      <c r="EA41" s="47" t="str">
        <f t="shared" si="318"/>
        <v/>
      </c>
      <c r="EB41" s="47" t="str">
        <f t="shared" si="318"/>
        <v/>
      </c>
      <c r="EC41" s="47"/>
      <c r="ED41" s="47"/>
      <c r="EE41" s="46" t="str">
        <f t="shared" ref="EE41:EI41" si="319">DX41</f>
        <v/>
      </c>
      <c r="EF41" s="47" t="str">
        <f t="shared" si="319"/>
        <v/>
      </c>
      <c r="EG41" s="47" t="str">
        <f t="shared" si="319"/>
        <v/>
      </c>
      <c r="EH41" s="47" t="str">
        <f t="shared" si="319"/>
        <v/>
      </c>
      <c r="EI41" s="47" t="str">
        <f t="shared" si="319"/>
        <v/>
      </c>
      <c r="EJ41" s="47"/>
      <c r="EK41" s="47"/>
      <c r="EL41" s="46" t="str">
        <f t="shared" ref="EL41:EP41" si="320">EE41</f>
        <v/>
      </c>
      <c r="EM41" s="47" t="str">
        <f t="shared" si="320"/>
        <v/>
      </c>
      <c r="EN41" s="47" t="str">
        <f t="shared" si="320"/>
        <v/>
      </c>
      <c r="EO41" s="47" t="str">
        <f t="shared" si="320"/>
        <v/>
      </c>
      <c r="EP41" s="47" t="str">
        <f t="shared" si="320"/>
        <v/>
      </c>
      <c r="EQ41" s="47"/>
      <c r="ER41" s="47"/>
    </row>
    <row r="42">
      <c r="A42" s="3"/>
      <c r="B42" s="42"/>
      <c r="C42" s="3"/>
      <c r="D42" s="3"/>
      <c r="E42" s="3"/>
      <c r="F42" s="3"/>
      <c r="G42" s="3"/>
      <c r="H42" s="3"/>
      <c r="I42" s="42"/>
      <c r="J42" s="3"/>
      <c r="K42" s="3"/>
      <c r="L42" s="3"/>
      <c r="M42" s="3"/>
      <c r="N42" s="3"/>
      <c r="O42" s="3"/>
      <c r="P42" s="42"/>
      <c r="Q42" s="3"/>
      <c r="R42" s="3"/>
      <c r="S42" s="3"/>
      <c r="T42" s="3"/>
      <c r="U42" s="3"/>
      <c r="V42" s="3"/>
      <c r="W42" s="42"/>
      <c r="X42" s="3"/>
      <c r="Y42" s="3"/>
      <c r="Z42" s="3"/>
      <c r="AA42" s="3"/>
      <c r="AB42" s="3"/>
      <c r="AC42" s="3"/>
      <c r="AD42" s="42"/>
      <c r="AE42" s="3"/>
      <c r="AF42" s="3"/>
      <c r="AG42" s="3"/>
      <c r="AH42" s="3"/>
      <c r="AI42" s="3"/>
      <c r="AJ42" s="3"/>
      <c r="AK42" s="42"/>
      <c r="AL42" s="3"/>
      <c r="AM42" s="3"/>
      <c r="AN42" s="3"/>
      <c r="AO42" s="3"/>
      <c r="AP42" s="3"/>
      <c r="AQ42" s="3"/>
      <c r="AR42" s="42"/>
      <c r="AS42" s="3"/>
      <c r="AT42" s="3"/>
      <c r="AU42" s="3"/>
      <c r="AV42" s="3"/>
      <c r="AW42" s="3"/>
      <c r="AX42" s="3"/>
      <c r="AY42" s="42"/>
      <c r="AZ42" s="3"/>
      <c r="BA42" s="3"/>
      <c r="BB42" s="3"/>
      <c r="BC42" s="3"/>
      <c r="BD42" s="3"/>
      <c r="BE42" s="3"/>
      <c r="BF42" s="42"/>
      <c r="BG42" s="3"/>
      <c r="BH42" s="3"/>
      <c r="BI42" s="3"/>
      <c r="BJ42" s="3"/>
      <c r="BK42" s="3"/>
      <c r="BL42" s="3"/>
      <c r="BM42" s="42"/>
      <c r="BN42" s="3"/>
      <c r="BO42" s="3"/>
      <c r="BP42" s="3"/>
      <c r="BQ42" s="3"/>
      <c r="BR42" s="3"/>
      <c r="BS42" s="3"/>
      <c r="BT42" s="42"/>
      <c r="BU42" s="3"/>
      <c r="BV42" s="3"/>
      <c r="BW42" s="3"/>
      <c r="BX42" s="3"/>
      <c r="BY42" s="3"/>
      <c r="BZ42" s="3"/>
      <c r="CA42" s="42"/>
      <c r="CB42" s="3"/>
      <c r="CC42" s="3"/>
      <c r="CD42" s="3"/>
      <c r="CE42" s="3"/>
      <c r="CF42" s="3"/>
      <c r="CG42" s="3"/>
      <c r="CH42" s="42"/>
      <c r="CI42" s="3"/>
      <c r="CJ42" s="3"/>
      <c r="CK42" s="3"/>
      <c r="CL42" s="3"/>
      <c r="CM42" s="3"/>
      <c r="CN42" s="3"/>
      <c r="CO42" s="42"/>
      <c r="CP42" s="3"/>
      <c r="CQ42" s="3"/>
      <c r="CR42" s="3"/>
      <c r="CS42" s="3"/>
      <c r="CT42" s="3"/>
      <c r="CU42" s="3"/>
      <c r="CV42" s="42"/>
      <c r="CW42" s="3"/>
      <c r="CX42" s="3"/>
      <c r="CY42" s="3"/>
      <c r="CZ42" s="3"/>
      <c r="DA42" s="3"/>
      <c r="DB42" s="3"/>
      <c r="DC42" s="42"/>
      <c r="DD42" s="3"/>
      <c r="DE42" s="3"/>
      <c r="DF42" s="3"/>
      <c r="DG42" s="3"/>
      <c r="DH42" s="3"/>
      <c r="DI42" s="3"/>
      <c r="DJ42" s="42"/>
      <c r="DK42" s="3"/>
      <c r="DL42" s="3"/>
      <c r="DM42" s="3"/>
      <c r="DN42" s="3"/>
      <c r="DO42" s="3"/>
      <c r="DP42" s="3"/>
      <c r="DQ42" s="42"/>
      <c r="DR42" s="3"/>
      <c r="DS42" s="3"/>
      <c r="DT42" s="3"/>
      <c r="DU42" s="3"/>
      <c r="DV42" s="3"/>
      <c r="DW42" s="3"/>
      <c r="DX42" s="42"/>
      <c r="DY42" s="3"/>
      <c r="DZ42" s="3"/>
      <c r="EA42" s="3"/>
      <c r="EB42" s="3"/>
      <c r="EC42" s="3"/>
      <c r="ED42" s="3"/>
      <c r="EE42" s="42"/>
      <c r="EF42" s="3"/>
      <c r="EG42" s="3"/>
      <c r="EH42" s="3"/>
      <c r="EI42" s="3"/>
      <c r="EJ42" s="3"/>
      <c r="EK42" s="3"/>
      <c r="EL42" s="42"/>
      <c r="EM42" s="3"/>
      <c r="EN42" s="3"/>
      <c r="EO42" s="3"/>
      <c r="EP42" s="3"/>
      <c r="EQ42" s="3"/>
      <c r="ER42" s="3"/>
    </row>
    <row r="43">
      <c r="A43" s="32" t="s">
        <v>83</v>
      </c>
      <c r="B43" s="33"/>
      <c r="C43" s="34"/>
      <c r="D43" s="34"/>
      <c r="E43" s="34"/>
      <c r="F43" s="34"/>
      <c r="G43" s="34"/>
      <c r="H43" s="34"/>
      <c r="I43" s="33"/>
      <c r="J43" s="34"/>
      <c r="K43" s="34"/>
      <c r="L43" s="34"/>
      <c r="M43" s="34"/>
      <c r="N43" s="34"/>
      <c r="O43" s="34"/>
      <c r="P43" s="33"/>
      <c r="Q43" s="34"/>
      <c r="R43" s="34"/>
      <c r="S43" s="34"/>
      <c r="T43" s="34"/>
      <c r="U43" s="34"/>
      <c r="V43" s="34"/>
      <c r="W43" s="33"/>
      <c r="X43" s="34"/>
      <c r="Y43" s="34"/>
      <c r="Z43" s="34"/>
      <c r="AA43" s="34"/>
      <c r="AB43" s="34"/>
      <c r="AC43" s="34"/>
      <c r="AD43" s="33"/>
      <c r="AE43" s="34"/>
      <c r="AF43" s="34"/>
      <c r="AG43" s="34"/>
      <c r="AH43" s="34"/>
      <c r="AI43" s="34"/>
      <c r="AJ43" s="34"/>
      <c r="AK43" s="33"/>
      <c r="AL43" s="34"/>
      <c r="AM43" s="34"/>
      <c r="AN43" s="34"/>
      <c r="AO43" s="34"/>
      <c r="AP43" s="34"/>
      <c r="AQ43" s="34"/>
      <c r="AR43" s="33"/>
      <c r="AS43" s="34"/>
      <c r="AT43" s="34"/>
      <c r="AU43" s="34"/>
      <c r="AV43" s="34"/>
      <c r="AW43" s="34"/>
      <c r="AX43" s="34"/>
      <c r="AY43" s="33"/>
      <c r="AZ43" s="34"/>
      <c r="BA43" s="34"/>
      <c r="BB43" s="34"/>
      <c r="BC43" s="34"/>
      <c r="BD43" s="34"/>
      <c r="BE43" s="34"/>
      <c r="BF43" s="33"/>
      <c r="BG43" s="34"/>
      <c r="BH43" s="34"/>
      <c r="BI43" s="34"/>
      <c r="BJ43" s="34"/>
      <c r="BK43" s="34"/>
      <c r="BL43" s="34"/>
      <c r="BM43" s="33"/>
      <c r="BN43" s="34"/>
      <c r="BO43" s="34"/>
      <c r="BP43" s="34"/>
      <c r="BQ43" s="34"/>
      <c r="BR43" s="34"/>
      <c r="BS43" s="34"/>
      <c r="BT43" s="33"/>
      <c r="BU43" s="34"/>
      <c r="BV43" s="34"/>
      <c r="BW43" s="34"/>
      <c r="BX43" s="34"/>
      <c r="BY43" s="34"/>
      <c r="BZ43" s="34"/>
      <c r="CA43" s="33"/>
      <c r="CB43" s="34"/>
      <c r="CC43" s="34"/>
      <c r="CD43" s="34"/>
      <c r="CE43" s="34"/>
      <c r="CF43" s="34"/>
      <c r="CG43" s="34"/>
      <c r="CH43" s="33"/>
      <c r="CI43" s="34"/>
      <c r="CJ43" s="34"/>
      <c r="CK43" s="34"/>
      <c r="CL43" s="34"/>
      <c r="CM43" s="34"/>
      <c r="CN43" s="34"/>
      <c r="CO43" s="33"/>
      <c r="CP43" s="34"/>
      <c r="CQ43" s="34"/>
      <c r="CR43" s="34"/>
      <c r="CS43" s="34"/>
      <c r="CT43" s="34"/>
      <c r="CU43" s="34"/>
      <c r="CV43" s="33"/>
      <c r="CW43" s="34"/>
      <c r="CX43" s="34"/>
      <c r="CY43" s="34"/>
      <c r="CZ43" s="34"/>
      <c r="DA43" s="34"/>
      <c r="DB43" s="34"/>
      <c r="DC43" s="33"/>
      <c r="DD43" s="34"/>
      <c r="DE43" s="34"/>
      <c r="DF43" s="34"/>
      <c r="DG43" s="34"/>
      <c r="DH43" s="34"/>
      <c r="DI43" s="34"/>
      <c r="DJ43" s="33"/>
      <c r="DK43" s="34"/>
      <c r="DL43" s="34"/>
      <c r="DM43" s="34"/>
      <c r="DN43" s="34"/>
      <c r="DO43" s="34"/>
      <c r="DP43" s="34"/>
      <c r="DQ43" s="33"/>
      <c r="DR43" s="34"/>
      <c r="DS43" s="34"/>
      <c r="DT43" s="34"/>
      <c r="DU43" s="34"/>
      <c r="DV43" s="34"/>
      <c r="DW43" s="34"/>
      <c r="DX43" s="33"/>
      <c r="DY43" s="34"/>
      <c r="DZ43" s="34"/>
      <c r="EA43" s="34"/>
      <c r="EB43" s="34"/>
      <c r="EC43" s="34"/>
      <c r="ED43" s="34"/>
      <c r="EE43" s="35" t="s">
        <v>77</v>
      </c>
      <c r="EF43" s="36"/>
      <c r="EG43" s="36"/>
      <c r="EH43" s="36"/>
      <c r="EI43" s="36"/>
      <c r="EJ43" s="36"/>
      <c r="EK43" s="36"/>
      <c r="EL43" s="33"/>
      <c r="EM43" s="34"/>
      <c r="EN43" s="34"/>
      <c r="EO43" s="34"/>
      <c r="EP43" s="34"/>
      <c r="EQ43" s="34"/>
      <c r="ER43" s="34"/>
    </row>
    <row r="44" hidden="1">
      <c r="A44" s="37" t="str">
        <f>CONCATENATE(A45," TM")</f>
        <v>Front Squat TM</v>
      </c>
      <c r="B44" s="38">
        <f>if(D44="",'Quick Setup'!D11,D44/'Quick Setup'!E11)</f>
        <v>420</v>
      </c>
      <c r="C44" s="39" t="s">
        <v>75</v>
      </c>
      <c r="D44" s="40"/>
      <c r="E44" s="41"/>
      <c r="F44" s="41"/>
      <c r="G44" s="41"/>
      <c r="H44" s="41"/>
      <c r="I44" s="38">
        <f>if(K44="", if(F45&lt;&gt;"", if((F45-D45)&lt;-1,B44*(1+Setup!F9),if((F45-D45)&lt;0,B44*(1+Setup!G9),if((F45-D45)=0,B44*(1+Setup!H9),if((F45-D45)=1,B44*(1+Setup!I9),if((F45-D45)=2,B44*(1+Setup!J9),if((F45-D45)=3,B44*(1+Setup!K9),if((F45-D45)=4,B44*(1+Setup!L9),if((F45-D45)&gt;4,B44*(1+Setup!M9),B44)))))))),B44),K44/'Quick Setup'!$E11)</f>
        <v>420</v>
      </c>
      <c r="J44" s="39" t="s">
        <v>75</v>
      </c>
      <c r="K44" s="40"/>
      <c r="L44" s="41"/>
      <c r="M44" s="41"/>
      <c r="N44" s="41"/>
      <c r="O44" s="41"/>
      <c r="P44" s="38">
        <f>if(R44="", if(M45&lt;&gt;"", if((M45-K45)&lt;-1,I44*(1+Setup!R9),if((M45-K45)&lt;0,I44*(1+Setup!S9),if((M45-K45)=0,I44*(1+Setup!T9),if((M45-K45)=1,I44*(1+Setup!U9),if((M45-K45)=2,I44*(1+Setup!V9),if((M45-K45)=3,I44*(1+Setup!W9),if((M45-K45)=4,I44*(1+Setup!X9),if((M45-K45)&gt;4,I44*(1+Setup!Y9),I44)))))))),I44),R44/'Quick Setup'!$E11)</f>
        <v>420</v>
      </c>
      <c r="Q44" s="39" t="s">
        <v>75</v>
      </c>
      <c r="R44" s="40"/>
      <c r="S44" s="41"/>
      <c r="T44" s="41"/>
      <c r="U44" s="41"/>
      <c r="V44" s="41"/>
      <c r="W44" s="38">
        <f>if(Y44="", if(T45&lt;&gt;"", if((T45-R45)&lt;-1,P44*(1+Setup!AD9),if((T45-R45)&lt;0,P44*(1+Setup!AE9),if((T45-R45)=0,P44*(1+Setup!AF9),if((T45-R45)=1,P44*(1+Setup!AG9),if((T45-R45)=2,P44*(1+Setup!AH9),if((T45-R45)=3,P44*(1+Setup!AI9),if((T45-R45)=4,P44*(1+Setup!AJ9),if((T45-R45)&gt;4,P44*(1+Setup!AK9),P44)))))))),P44),Y44/'Quick Setup'!$E11)</f>
        <v>420</v>
      </c>
      <c r="X44" s="39" t="s">
        <v>75</v>
      </c>
      <c r="Y44" s="40"/>
      <c r="Z44" s="41"/>
      <c r="AA44" s="41"/>
      <c r="AB44" s="41"/>
      <c r="AC44" s="41"/>
      <c r="AD44" s="38">
        <f>if(AF44="", if(AA45&lt;&gt;"", if((AA45-Y45)&lt;-1,W44*(1+Setup!AP9),if((AA45-Y45)&lt;0,W44*(1+Setup!AQ9),if((AA45-Y45)=0,W44*(1+Setup!AR9),if((AA45-Y45)=1,W44*(1+Setup!AS9),if((AA45-Y45)=2,W44*(1+Setup!AT9),if((AA45-Y45)=3,W44*(1+Setup!AU9),if((AA45-Y45)=4,W44*(1+Setup!AV9),if((AA45-Y45)&gt;4,W44*(1+Setup!AW9),W44)))))))),W44),AF44/'Quick Setup'!$E11)</f>
        <v>420</v>
      </c>
      <c r="AE44" s="39" t="s">
        <v>75</v>
      </c>
      <c r="AF44" s="40"/>
      <c r="AG44" s="41"/>
      <c r="AH44" s="41"/>
      <c r="AI44" s="41"/>
      <c r="AJ44" s="41"/>
      <c r="AK44" s="38">
        <f>if(AM44="", if(AH45&lt;&gt;"", if((AH45-AF45)&lt;-1,AD44*(1+Setup!BB9),if((AH45-AF45)&lt;0,AD44*(1+Setup!BC9),if((AH45-AF45)=0,AD44*(1+Setup!BD9),if((AH45-AF45)=1,AD44*(1+Setup!BE9),if((AH45-AF45)=2,AD44*(1+Setup!BF9),if((AH45-AF45)=3,AD44*(1+Setup!BG9),if((AH45-AF45)=4,AD44*(1+Setup!BH9),if((AH45-AF45)&gt;4,AD44*(1+Setup!BI9),AD44)))))))),AD44),AM44/'Quick Setup'!$E11)</f>
        <v>420</v>
      </c>
      <c r="AL44" s="39" t="s">
        <v>75</v>
      </c>
      <c r="AM44" s="40"/>
      <c r="AN44" s="41"/>
      <c r="AO44" s="41"/>
      <c r="AP44" s="41"/>
      <c r="AQ44" s="41"/>
      <c r="AR44" s="38">
        <f>if(AT44="", if(AO45&lt;&gt;"", if((AO45-AM45)&lt;-1,AK44*(1+Setup!BN9),if((AO45-AM45)&lt;0,AK44*(1+Setup!BO9),if((AO45-AM45)=0,AK44*(1+Setup!BP9),if((AO45-AM45)=1,AK44*(1+Setup!BQ9),if((AO45-AM45)=2,AK44*(1+Setup!BR9),if((AO45-AM45)=3,AK44*(1+Setup!BS9),if((AO45-AM45)=4,AK44*(1+Setup!BT9),if((AO45-AM45)&gt;4,AK44*(1+Setup!BU9),AK44)))))))),AK44),AT44/'Quick Setup'!$E11)</f>
        <v>420</v>
      </c>
      <c r="AS44" s="39" t="s">
        <v>75</v>
      </c>
      <c r="AT44" s="40"/>
      <c r="AU44" s="41"/>
      <c r="AV44" s="41"/>
      <c r="AW44" s="41"/>
      <c r="AX44" s="41"/>
      <c r="AY44" s="38">
        <f>if(BA44="",AR44,BA44/'Quick Setup'!$E11)</f>
        <v>420</v>
      </c>
      <c r="AZ44" s="39" t="s">
        <v>75</v>
      </c>
      <c r="BA44" s="40"/>
      <c r="BB44" s="41"/>
      <c r="BC44" s="41"/>
      <c r="BD44" s="41"/>
      <c r="BE44" s="41"/>
      <c r="BF44" s="38">
        <f>if(BH44="", if(BC45&lt;&gt;"", if((BC45-BA45)&lt;-1,AY44*(1+Setup!CL9),if((BC45-BA45)&lt;0,AY44*(1+Setup!CM9),if((BC45-BA45)=0,AY44*(1+Setup!CN9),if((BC45-BA45)=1,AY44*(1+Setup!CO9),if((BC45-BA45)=2,AY44*(1+Setup!CP9),if((BC45-BA45)=3,AY44*(1+Setup!CQ9),if((BC45-BA45)=4,AY44*(1+Setup!CR9),if((BC45-BA45)&gt;4,AY44*(1+Setup!CS9),AY44)))))))),AY44),BH44/'Quick Setup'!$E11)</f>
        <v>420</v>
      </c>
      <c r="BG44" s="39" t="s">
        <v>75</v>
      </c>
      <c r="BH44" s="40"/>
      <c r="BI44" s="41"/>
      <c r="BJ44" s="41"/>
      <c r="BK44" s="41"/>
      <c r="BL44" s="41"/>
      <c r="BM44" s="38">
        <f>if(BO44="", if(BJ45&lt;&gt;"", if((BJ45-BH45)&lt;-1,BF44*(1+Setup!CX9),if((BJ45-BH45)&lt;0,BF44*(1+Setup!CY9),if((BJ45-BH45)=0,BF44*(1+Setup!CZ9),if((BJ45-BH45)=1,BF44*(1+Setup!DA9),if((BJ45-BH45)=2,BF44*(1+Setup!DB9),if((BJ45-BH45)=3,BF44*(1+Setup!DC9),if((BJ45-BH45)=4,BF44*(1+Setup!DD9),if((BJ45-BH45)&gt;4,BF44*(1+Setup!DE9),BF44)))))))),BF44),BO44/'Quick Setup'!$E11)</f>
        <v>420</v>
      </c>
      <c r="BN44" s="39" t="s">
        <v>75</v>
      </c>
      <c r="BO44" s="40"/>
      <c r="BP44" s="41"/>
      <c r="BQ44" s="41"/>
      <c r="BR44" s="41"/>
      <c r="BS44" s="41"/>
      <c r="BT44" s="38">
        <f>if(BV44="", if(BQ45&lt;&gt;"", if((BQ45-BO45)&lt;-1,BM44*(1+Setup!DJ9),if((BQ45-BO45)&lt;0,BM44*(1+Setup!DK9),if((BQ45-BO45)=0,BM44*(1+Setup!DL9),if((BQ45-BO45)=1,BM44*(1+Setup!DM9),if((BQ45-BO45)=2,BM44*(1+Setup!DN9),if((BQ45-BO45)=3,BM44*(1+Setup!DO9),if((BQ45-BO45)=4,BM44*(1+Setup!DP9),if((BQ45-BO45)&gt;4,BM44*(1+Setup!DQ9),BM44)))))))),BM44),BV44/'Quick Setup'!$E11)</f>
        <v>420</v>
      </c>
      <c r="BU44" s="39" t="s">
        <v>75</v>
      </c>
      <c r="BV44" s="40"/>
      <c r="BW44" s="41"/>
      <c r="BX44" s="41"/>
      <c r="BY44" s="41"/>
      <c r="BZ44" s="41"/>
      <c r="CA44" s="38">
        <f>if(CC44="", if(BX45&lt;&gt;"", if((BX45-BV45)&lt;-1,BT44*(1+Setup!DV9),if((BX45-BV45)&lt;0,BT44*(1+Setup!DW9),if((BX45-BV45)=0,BT44*(1+Setup!DX9),if((BX45-BV45)=1,BT44*(1+Setup!DY9),if((BX45-BV45)=2,BT44*(1+Setup!DZ9),if((BX45-BV45)=3,BT44*(1+Setup!EA9),if((BX45-BV45)=4,BT44*(1+Setup!EB9),if((BX45-BV45)&gt;4,BT44*(1+Setup!EC9),BT44)))))))),BT44),CC44/'Quick Setup'!$E11)</f>
        <v>420</v>
      </c>
      <c r="CB44" s="39" t="s">
        <v>75</v>
      </c>
      <c r="CC44" s="40"/>
      <c r="CD44" s="41"/>
      <c r="CE44" s="41"/>
      <c r="CF44" s="41"/>
      <c r="CG44" s="41"/>
      <c r="CH44" s="38">
        <f>if(CJ44="", if(CE45&lt;&gt;"", if((CE45-CC45)&lt;-1,CA44*(1+Setup!EH9),if((CE45-CC45)&lt;0,CA44*(1+Setup!EI9),if((CE45-CC45)=0,CA44*(1+Setup!EJ9),if((CE45-CC45)=1,CA44*(1+Setup!EK9),if((CE45-CC45)=2,CA44*(1+Setup!EL9),if((CE45-CC45)=3,CA44*(1+Setup!EM9),if((CE45-CC45)=4,CA44*(1+Setup!EN9),if((CE45-CC45)&gt;4,CA44*(1+Setup!EO9),CA44)))))))),CA44),CJ44/'Quick Setup'!$E11)</f>
        <v>420</v>
      </c>
      <c r="CI44" s="39" t="s">
        <v>75</v>
      </c>
      <c r="CJ44" s="40"/>
      <c r="CK44" s="41"/>
      <c r="CL44" s="41"/>
      <c r="CM44" s="41"/>
      <c r="CN44" s="41"/>
      <c r="CO44" s="38">
        <f>if(CQ44="", if(CL45&lt;&gt;"", if((CL45-CJ45)&lt;-1,CH44*(1+Setup!ET9),if((CL45-CJ45)&lt;0,CH44*(1+Setup!EU9),if((CL45-CJ45)=0,CH44*(1+Setup!EV9),if((CL45-CJ45)=1,CH44*(1+Setup!EW9),if((CL45-CJ45)=2,CH44*(1+Setup!EX9),if((CL45-CJ45)=3,CH44*(1+Setup!EY9),if((CL45-CJ45)=4,CH44*(1+Setup!EZ9),if((CL45-CJ45)&gt;4,CH44*(1+Setup!FA9),CH44)))))))),CH44),CQ44/'Quick Setup'!$E11)</f>
        <v>420</v>
      </c>
      <c r="CP44" s="39" t="s">
        <v>75</v>
      </c>
      <c r="CQ44" s="40"/>
      <c r="CR44" s="41"/>
      <c r="CS44" s="41"/>
      <c r="CT44" s="41"/>
      <c r="CU44" s="41"/>
      <c r="CV44" s="38">
        <f>if(CX44="",CO44,CX44/'Quick Setup'!$E11)</f>
        <v>420</v>
      </c>
      <c r="CW44" s="39" t="s">
        <v>75</v>
      </c>
      <c r="CX44" s="40"/>
      <c r="CY44" s="41"/>
      <c r="CZ44" s="41"/>
      <c r="DA44" s="41"/>
      <c r="DB44" s="41"/>
      <c r="DC44" s="38">
        <f>if(DE44="", if(CZ45&lt;&gt;"", if((CZ45-CX45)&lt;-1,CV44*(1+Setup!FR9),if((CZ45-CX45)&lt;0,CV44*(1+Setup!FS9),if((CZ45-CX45)=0,CV44*(1+Setup!FT9),if((CZ45-CX45)=1,CV44*(1+Setup!FU9),if((CZ45-CX45)=2,CV44*(1+Setup!FV9),if((CZ45-CX45)=3,CV44*(1+Setup!FW9),if((CZ45-CX45)=4,CV44*(1+Setup!FX9),if((CZ45-CX45)&gt;4,CV44*(1+Setup!FY9),CV44)))))))),CV44),DE44/'Quick Setup'!$E11)</f>
        <v>420</v>
      </c>
      <c r="DD44" s="39" t="s">
        <v>75</v>
      </c>
      <c r="DE44" s="40"/>
      <c r="DF44" s="41"/>
      <c r="DG44" s="41"/>
      <c r="DH44" s="41"/>
      <c r="DI44" s="41"/>
      <c r="DJ44" s="38">
        <f>if(DL44="", if(DG45&lt;&gt;"", if((DG45-DE45)&lt;-1,DC44*(1+Setup!GD9),if((DG45-DE45)&lt;0,DC44*(1+Setup!GE9),if((DG45-DE45)=0,DC44*(1+Setup!GF9),if((DG45-DE45)=1,DC44*(1+Setup!GG9),if((DG45-DE45)=2,DC44*(1+Setup!GH9),if((DG45-DE45)=3,DC44*(1+Setup!GI9),if((DG45-DE45)=4,DC44*(1+Setup!GJ9),if((DG45-DE45)&gt;4,DC44*(1+Setup!GK9),DC44)))))))),DC44),DL44/'Quick Setup'!$E11)</f>
        <v>420</v>
      </c>
      <c r="DK44" s="39" t="s">
        <v>75</v>
      </c>
      <c r="DL44" s="40"/>
      <c r="DM44" s="41"/>
      <c r="DN44" s="41"/>
      <c r="DO44" s="41"/>
      <c r="DP44" s="41"/>
      <c r="DQ44" s="38">
        <f>if(DS44="", if(DN45&lt;&gt;"", if((DN45-DL45)&lt;-1,DJ44*(1+Setup!GP9),if((DN45-DL45)&lt;0,DJ44*(1+Setup!GQ9),if((DN45-DL45)=0,DJ44*(1+Setup!GR9),if((DN45-DL45)=1,DJ44*(1+Setup!GS9),if((DN45-DL45)=2,DJ44*(1+Setup!GT9),if((DN45-DL45)=3,DJ44*(1+Setup!GU9),if((DN45-DL45)=4,DJ44*(1+Setup!GV9),if((DN45-DL45)&gt;4,DJ44*(1+Setup!GW9),DJ44)))))))),DJ44),DS44/'Quick Setup'!$E11)</f>
        <v>420</v>
      </c>
      <c r="DR44" s="39" t="s">
        <v>75</v>
      </c>
      <c r="DS44" s="40"/>
      <c r="DT44" s="41"/>
      <c r="DU44" s="41"/>
      <c r="DV44" s="41"/>
      <c r="DW44" s="41"/>
      <c r="DX44" s="38">
        <f>if(DZ44="", if(DU45&lt;&gt;"", if((DU45-DS45)&lt;-1,DQ44*(1+Setup!HB9),if((DU45-DS45)&lt;0,DQ44*(1+Setup!HC9),if((DU45-DS45)=0,DQ44*(1+Setup!HD9),if((DU45-DS45)=1,DQ44*(1+Setup!HE9),if((DU45-DS45)=2,DQ44*(1+Setup!HF9),if((DU45-DS45)=3,DQ44*(1+Setup!HG9),if((DU45-DS45)=4,DQ44*(1+Setup!HH9),if((DU45-DS45)&gt;4,DQ44*(1+Setup!HI9),DQ44)))))))),DQ44),DZ44/'Quick Setup'!$E11)</f>
        <v>420</v>
      </c>
      <c r="DY44" s="39" t="s">
        <v>75</v>
      </c>
      <c r="DZ44" s="40"/>
      <c r="EA44" s="41"/>
      <c r="EB44" s="41"/>
      <c r="EC44" s="41"/>
      <c r="ED44" s="41"/>
      <c r="EE44" s="38">
        <f>if(EG44="", if(EB45&lt;&gt;"", if((EB45-DZ45)&lt;-1,DX44*(1+Setup!HN9),if((EB45-DZ45)&lt;0,DX44*(1+Setup!HO9),if((EB45-DZ45)=0,DX44*(1+Setup!HP9),if((EB45-DZ45)=1,DX44*(1+Setup!HQ9),if((EB45-DZ45)=2,DX44*(1+Setup!HR9),if((EB45-DZ45)=3,DX44*(1+Setup!HS9),if((EB45-DZ45)=4,DX44*(1+Setup!HT9),if((EB45-DZ45)&gt;4,DX44*(1+Setup!HU9),DX44)))))))),DX44),EG44/'Quick Setup'!$E11)</f>
        <v>420</v>
      </c>
      <c r="EF44" s="39" t="s">
        <v>75</v>
      </c>
      <c r="EG44" s="40"/>
      <c r="EH44" s="41"/>
      <c r="EI44" s="41"/>
      <c r="EJ44" s="41"/>
      <c r="EK44" s="41"/>
      <c r="EL44" s="38">
        <f>if(EN44="", if(EI45&lt;&gt;"", if((EI45-EG45)&lt;-1,EE44*(1+Setup!HZ9),if((EI45-EG45)&lt;0,EE44*(1+Setup!IA9),if((EI45-EG45)=0,EE44*(1+Setup!IB9),if((EI45-EG45)=1,EE44*(1+Setup!IC9),if((EI45-EG45)=2,EE44*(1+Setup!ID9),if((EI45-EG45)=3,EE44*(1+Setup!IE9),if((EI45-EG45)=4,EE44*(1+Setup!IF9),if((EI45-EG45)&gt;4,EE44*(1+Setup!IG9),EE44)))))))),EE44),EN44/'Quick Setup'!$E11)</f>
        <v>420</v>
      </c>
      <c r="EM44" s="39" t="s">
        <v>75</v>
      </c>
      <c r="EN44" s="40"/>
      <c r="EO44" s="41"/>
      <c r="EP44" s="41"/>
      <c r="EQ44" s="41"/>
      <c r="ER44" s="41"/>
    </row>
    <row r="45">
      <c r="A45" s="1" t="str">
        <f>Setup!A9</f>
        <v>Front Squat</v>
      </c>
      <c r="B45" s="42">
        <f>mround(B44*Setup!B9,'Quick Setup'!$A$2)</f>
        <v>252.5</v>
      </c>
      <c r="C45" s="3">
        <f>Setup!C9</f>
        <v>7</v>
      </c>
      <c r="D45" s="3">
        <f>Setup!D9</f>
        <v>14</v>
      </c>
      <c r="E45" s="3">
        <f>Setup!E9</f>
        <v>5</v>
      </c>
      <c r="F45" s="10"/>
      <c r="G45" s="10"/>
      <c r="H45" s="10"/>
      <c r="I45" s="42">
        <f>mround(I44*Setup!N9,'Quick Setup'!$A$2)</f>
        <v>272.5</v>
      </c>
      <c r="J45" s="3">
        <f>Setup!O9</f>
        <v>6</v>
      </c>
      <c r="K45" s="3">
        <f>Setup!P9</f>
        <v>12</v>
      </c>
      <c r="L45" s="3">
        <f>Setup!Q9</f>
        <v>5</v>
      </c>
      <c r="M45" s="10"/>
      <c r="N45" s="10"/>
      <c r="O45" s="10"/>
      <c r="P45" s="42">
        <f>mround(P44*Setup!Z9,'Quick Setup'!$A$2)</f>
        <v>295</v>
      </c>
      <c r="Q45" s="3">
        <f>Setup!AA9</f>
        <v>5</v>
      </c>
      <c r="R45" s="3">
        <f>Setup!AB9</f>
        <v>10</v>
      </c>
      <c r="S45" s="3">
        <f>Setup!AC9</f>
        <v>5</v>
      </c>
      <c r="T45" s="10"/>
      <c r="U45" s="10"/>
      <c r="V45" s="10"/>
      <c r="W45" s="42">
        <f>mround(W44*Setup!AL9,'Quick Setup'!$A$2)</f>
        <v>262.5</v>
      </c>
      <c r="X45" s="3">
        <f>Setup!AM9</f>
        <v>7</v>
      </c>
      <c r="Y45" s="3">
        <f>Setup!AN9</f>
        <v>13</v>
      </c>
      <c r="Z45" s="3">
        <f>Setup!AO9</f>
        <v>5</v>
      </c>
      <c r="AA45" s="10"/>
      <c r="AB45" s="10"/>
      <c r="AC45" s="10"/>
      <c r="AD45" s="42">
        <f>mround(AD44*Setup!AX9,'Quick Setup'!$A$2)</f>
        <v>282.5</v>
      </c>
      <c r="AE45" s="3">
        <f>Setup!AY9</f>
        <v>6</v>
      </c>
      <c r="AF45" s="3">
        <f>Setup!AZ9</f>
        <v>11</v>
      </c>
      <c r="AG45" s="3">
        <f>Setup!BA9</f>
        <v>5</v>
      </c>
      <c r="AH45" s="10"/>
      <c r="AI45" s="10"/>
      <c r="AJ45" s="10"/>
      <c r="AK45" s="42">
        <f>mround(AK44*Setup!BJ9,'Quick Setup'!$A$2)</f>
        <v>305</v>
      </c>
      <c r="AL45" s="3">
        <f>Setup!BK9</f>
        <v>5</v>
      </c>
      <c r="AM45" s="3">
        <f>Setup!BL9</f>
        <v>9</v>
      </c>
      <c r="AN45" s="3">
        <f>Setup!BM9</f>
        <v>5</v>
      </c>
      <c r="AO45" s="10"/>
      <c r="AP45" s="10"/>
      <c r="AQ45" s="10"/>
      <c r="AR45" s="42">
        <f>mround(AR44*Setup!BV9,'Quick Setup'!$A$2)</f>
        <v>210</v>
      </c>
      <c r="AS45" s="1">
        <v>5.0</v>
      </c>
      <c r="AT45" s="1" t="s">
        <v>78</v>
      </c>
      <c r="AU45" s="3">
        <f>Setup!BY9</f>
        <v>5</v>
      </c>
      <c r="AV45" s="10"/>
      <c r="AW45" s="10"/>
      <c r="AX45" s="10"/>
      <c r="AY45" s="42">
        <f>mround(AY44*Setup!CH9,'Quick Setup'!$A$2)</f>
        <v>272.5</v>
      </c>
      <c r="AZ45" s="3">
        <f>Setup!CI9</f>
        <v>6</v>
      </c>
      <c r="BA45" s="3">
        <f>Setup!CJ9</f>
        <v>12</v>
      </c>
      <c r="BB45" s="3">
        <f>Setup!CK9</f>
        <v>5</v>
      </c>
      <c r="BC45" s="10"/>
      <c r="BD45" s="10"/>
      <c r="BE45" s="10"/>
      <c r="BF45" s="42">
        <f>mround(BF44*Setup!CT9,'Quick Setup'!$A$2)</f>
        <v>295</v>
      </c>
      <c r="BG45" s="3">
        <f>Setup!CU9</f>
        <v>5</v>
      </c>
      <c r="BH45" s="3">
        <f>Setup!CV9</f>
        <v>10</v>
      </c>
      <c r="BI45" s="3">
        <f>Setup!CW9</f>
        <v>5</v>
      </c>
      <c r="BJ45" s="10"/>
      <c r="BK45" s="10"/>
      <c r="BL45" s="10"/>
      <c r="BM45" s="42">
        <f>mround(BM44*Setup!DF9,'Quick Setup'!$A$2)</f>
        <v>315</v>
      </c>
      <c r="BN45" s="3">
        <f>Setup!DG9</f>
        <v>4</v>
      </c>
      <c r="BO45" s="3">
        <f>Setup!DH9</f>
        <v>8</v>
      </c>
      <c r="BP45" s="3">
        <f>Setup!DI9</f>
        <v>5</v>
      </c>
      <c r="BQ45" s="10"/>
      <c r="BR45" s="10"/>
      <c r="BS45" s="10"/>
      <c r="BT45" s="42">
        <f>mround(BT44*Setup!DR9,'Quick Setup'!$A$2)</f>
        <v>282.5</v>
      </c>
      <c r="BU45" s="3">
        <f>Setup!DS9</f>
        <v>6</v>
      </c>
      <c r="BV45" s="3">
        <f>Setup!DT9</f>
        <v>11</v>
      </c>
      <c r="BW45" s="3">
        <f>Setup!DU9</f>
        <v>5</v>
      </c>
      <c r="BX45" s="10"/>
      <c r="BY45" s="10"/>
      <c r="BZ45" s="10"/>
      <c r="CA45" s="42">
        <f>mround(CA44*Setup!ED9,'Quick Setup'!$A$2)</f>
        <v>305</v>
      </c>
      <c r="CB45" s="3">
        <f>Setup!EE9</f>
        <v>5</v>
      </c>
      <c r="CC45" s="3">
        <f>Setup!EF9</f>
        <v>9</v>
      </c>
      <c r="CD45" s="3">
        <f>Setup!EG9</f>
        <v>5</v>
      </c>
      <c r="CE45" s="10"/>
      <c r="CF45" s="10"/>
      <c r="CG45" s="10"/>
      <c r="CH45" s="42">
        <f>mround(CH44*Setup!EP9,'Quick Setup'!$A$2)</f>
        <v>325</v>
      </c>
      <c r="CI45" s="3">
        <f>Setup!EQ9</f>
        <v>4</v>
      </c>
      <c r="CJ45" s="3">
        <f>Setup!ER9</f>
        <v>7</v>
      </c>
      <c r="CK45" s="3">
        <f>Setup!ES9</f>
        <v>5</v>
      </c>
      <c r="CL45" s="10"/>
      <c r="CM45" s="10"/>
      <c r="CN45" s="10"/>
      <c r="CO45" s="42">
        <f>mround(CO44*Setup!FB9,'Quick Setup'!$A$2)</f>
        <v>210</v>
      </c>
      <c r="CP45" s="1">
        <v>5.0</v>
      </c>
      <c r="CQ45" s="1" t="s">
        <v>78</v>
      </c>
      <c r="CR45" s="3">
        <f>Setup!FE9</f>
        <v>5</v>
      </c>
      <c r="CS45" s="10"/>
      <c r="CT45" s="10"/>
      <c r="CU45" s="10"/>
      <c r="CV45" s="42">
        <f>mround(CV44*Setup!FN9,'Quick Setup'!$A$2)</f>
        <v>295</v>
      </c>
      <c r="CW45" s="3">
        <f>Setup!FO9</f>
        <v>5</v>
      </c>
      <c r="CX45" s="3">
        <f>Setup!FP9</f>
        <v>10</v>
      </c>
      <c r="CY45" s="3">
        <f>Setup!FQ9</f>
        <v>5</v>
      </c>
      <c r="CZ45" s="10"/>
      <c r="DA45" s="10"/>
      <c r="DB45" s="10"/>
      <c r="DC45" s="42">
        <f>mround(DC44*Setup!FZ9,'Quick Setup'!$A$2)</f>
        <v>315</v>
      </c>
      <c r="DD45" s="3">
        <f>Setup!GA9</f>
        <v>4</v>
      </c>
      <c r="DE45" s="3">
        <f>Setup!GB9</f>
        <v>8</v>
      </c>
      <c r="DF45" s="3">
        <f>Setup!GC9</f>
        <v>5</v>
      </c>
      <c r="DG45" s="10"/>
      <c r="DH45" s="10"/>
      <c r="DI45" s="10"/>
      <c r="DJ45" s="42">
        <f>mround(DJ44*Setup!GL9,'Quick Setup'!$A$2)</f>
        <v>335</v>
      </c>
      <c r="DK45" s="3">
        <f>Setup!GM9</f>
        <v>3</v>
      </c>
      <c r="DL45" s="3">
        <f>Setup!GN9</f>
        <v>6</v>
      </c>
      <c r="DM45" s="3">
        <f>Setup!GO9</f>
        <v>5</v>
      </c>
      <c r="DN45" s="10"/>
      <c r="DO45" s="10"/>
      <c r="DP45" s="10"/>
      <c r="DQ45" s="42">
        <f>mround(DQ44*Setup!GX9,'Quick Setup'!$A$2)</f>
        <v>315</v>
      </c>
      <c r="DR45" s="3">
        <f>Setup!GY9</f>
        <v>4</v>
      </c>
      <c r="DS45" s="3">
        <f>Setup!GZ9</f>
        <v>8</v>
      </c>
      <c r="DT45" s="3">
        <f>Setup!HA9</f>
        <v>5</v>
      </c>
      <c r="DU45" s="10"/>
      <c r="DV45" s="10"/>
      <c r="DW45" s="10"/>
      <c r="DX45" s="42">
        <f>mround(DX44*Setup!HJ9,'Quick Setup'!$A$2)</f>
        <v>335</v>
      </c>
      <c r="DY45" s="3">
        <f>Setup!HK9</f>
        <v>3</v>
      </c>
      <c r="DZ45" s="3">
        <f>Setup!HL9</f>
        <v>6</v>
      </c>
      <c r="EA45" s="3">
        <f>Setup!HM9</f>
        <v>5</v>
      </c>
      <c r="EB45" s="10"/>
      <c r="EC45" s="10"/>
      <c r="ED45" s="10"/>
      <c r="EE45" s="42">
        <f>mround(EE44*Setup!HV9,'Quick Setup'!$A$2)</f>
        <v>357.5</v>
      </c>
      <c r="EF45" s="3">
        <f>Setup!HW9</f>
        <v>2</v>
      </c>
      <c r="EG45" s="3">
        <f>Setup!HX9</f>
        <v>4</v>
      </c>
      <c r="EH45" s="3">
        <f>Setup!HY9</f>
        <v>5</v>
      </c>
      <c r="EI45" s="10"/>
      <c r="EJ45" s="10"/>
      <c r="EK45" s="10"/>
      <c r="EL45" s="42">
        <f>mround(EL44*Setup!IH9,'Quick Setup'!$A$2)</f>
        <v>210</v>
      </c>
      <c r="EM45" s="1">
        <v>5.0</v>
      </c>
      <c r="EN45" s="1" t="s">
        <v>78</v>
      </c>
      <c r="EO45" s="3">
        <f>Setup!IK9</f>
        <v>5</v>
      </c>
      <c r="EP45" s="10"/>
      <c r="EQ45" s="10"/>
      <c r="ER45" s="10"/>
    </row>
    <row r="46" hidden="1">
      <c r="A46" s="37" t="str">
        <f>CONCATENATE(A47," TM")</f>
        <v>Sumo Deadlift TM</v>
      </c>
      <c r="B46" s="38">
        <f>if(D46="",'Quick Setup'!D15,D46/'Quick Setup'!E15)</f>
        <v>500</v>
      </c>
      <c r="C46" s="39" t="s">
        <v>75</v>
      </c>
      <c r="D46" s="40"/>
      <c r="E46" s="41"/>
      <c r="F46" s="41"/>
      <c r="G46" s="41"/>
      <c r="H46" s="41"/>
      <c r="I46" s="38">
        <f>if(K46="", if(F47&lt;&gt;"", if((F47-D47)&lt;-1,B46*(1+Setup!F13),if((F47-D47)&lt;0,B46*(1+Setup!G13),if((F47-D47)=0,B46*(1+Setup!H13),if((F47-D47)=1,B46*(1+Setup!I13),if((F47-D47)=2,B46*(1+Setup!J13),if((F47-D47)=3,B46*(1+Setup!K13),if((F47-D47)=4,B46*(1+Setup!L13),if((F47-D47)&gt;4,B46*(1+Setup!M13),B46)))))))),B46),K46/'Quick Setup'!$E15)</f>
        <v>500</v>
      </c>
      <c r="J46" s="39" t="s">
        <v>75</v>
      </c>
      <c r="K46" s="40"/>
      <c r="L46" s="41"/>
      <c r="M46" s="41"/>
      <c r="N46" s="41"/>
      <c r="O46" s="41"/>
      <c r="P46" s="38">
        <f>if(R46="", if(M47&lt;&gt;"", if((M47-K47)&lt;-1,I46*(1+Setup!R13),if((M47-K47)&lt;0,I46*(1+Setup!S13),if((M47-K47)=0,I46*(1+Setup!T13),if((M47-K47)=1,I46*(1+Setup!U13),if((M47-K47)=2,I46*(1+Setup!V13),if((M47-K47)=3,I46*(1+Setup!W13),if((M47-K47)=4,I46*(1+Setup!X13),if((M47-K47)&gt;4,I46*(1+Setup!Y13),I46)))))))),I46),R46/'Quick Setup'!$E15)</f>
        <v>500</v>
      </c>
      <c r="Q46" s="39" t="s">
        <v>75</v>
      </c>
      <c r="R46" s="40"/>
      <c r="S46" s="41"/>
      <c r="T46" s="41"/>
      <c r="U46" s="41"/>
      <c r="V46" s="41"/>
      <c r="W46" s="38">
        <f>if(Y46="", if(T47&lt;&gt;"", if((T47-R47)&lt;-1,P46*(1+Setup!AD13),if((T47-R47)&lt;0,P46*(1+Setup!AE13),if((T47-R47)=0,P46*(1+Setup!AF13),if((T47-R47)=1,P46*(1+Setup!AG13),if((T47-R47)=2,P46*(1+Setup!AH13),if((T47-R47)=3,P46*(1+Setup!AI13),if((T47-R47)=4,P46*(1+Setup!AJ13),if((T47-R47)&gt;4,P46*(1+Setup!AK13),P46)))))))),P46),Y46/'Quick Setup'!$E15)</f>
        <v>500</v>
      </c>
      <c r="X46" s="39" t="s">
        <v>75</v>
      </c>
      <c r="Y46" s="40"/>
      <c r="Z46" s="41"/>
      <c r="AA46" s="41"/>
      <c r="AB46" s="41"/>
      <c r="AC46" s="41"/>
      <c r="AD46" s="38">
        <f>if(AF46="", if(AA47&lt;&gt;"", if((AA47-Y47)&lt;-1,W46*(1+Setup!AP13),if((AA47-Y47)&lt;0,W46*(1+Setup!AQ13),if((AA47-Y47)=0,W46*(1+Setup!AR13),if((AA47-Y47)=1,W46*(1+Setup!AS13),if((AA47-Y47)=2,W46*(1+Setup!AT13),if((AA47-Y47)=3,W46*(1+Setup!AU13),if((AA47-Y47)=4,W46*(1+Setup!AV13),if((AA47-Y47)&gt;4,W46*(1+Setup!AW13),W46)))))))),W46),AF46/'Quick Setup'!$E15)</f>
        <v>500</v>
      </c>
      <c r="AE46" s="39" t="s">
        <v>75</v>
      </c>
      <c r="AF46" s="40"/>
      <c r="AG46" s="41"/>
      <c r="AH46" s="41"/>
      <c r="AI46" s="41"/>
      <c r="AJ46" s="41"/>
      <c r="AK46" s="38">
        <f>if(AM46="", if(AH47&lt;&gt;"", if((AH47-AF47)&lt;-1,AD46*(1+Setup!BB13),if((AH47-AF47)&lt;0,AD46*(1+Setup!BC13),if((AH47-AF47)=0,AD46*(1+Setup!BD13),if((AH47-AF47)=1,AD46*(1+Setup!BE13),if((AH47-AF47)=2,AD46*(1+Setup!BF13),if((AH47-AF47)=3,AD46*(1+Setup!BG13),if((AH47-AF47)=4,AD46*(1+Setup!BH13),if((AH47-AF47)&gt;4,AD46*(1+Setup!BI13),AD46)))))))),AD46),AM46/'Quick Setup'!$E15)</f>
        <v>500</v>
      </c>
      <c r="AL46" s="39" t="s">
        <v>75</v>
      </c>
      <c r="AM46" s="40"/>
      <c r="AN46" s="41"/>
      <c r="AO46" s="41"/>
      <c r="AP46" s="41"/>
      <c r="AQ46" s="41"/>
      <c r="AR46" s="38">
        <f>if(AT46="", if(AO47&lt;&gt;"", if((AO47-AM47)&lt;-1,AK46*(1+Setup!BN13),if((AO47-AM47)&lt;0,AK46*(1+Setup!BO13),if((AO47-AM47)=0,AK46*(1+Setup!BP13),if((AO47-AM47)=1,AK46*(1+Setup!BQ13),if((AO47-AM47)=2,AK46*(1+Setup!BR13),if((AO47-AM47)=3,AK46*(1+Setup!BS13),if((AO47-AM47)=4,AK46*(1+Setup!BT13),if((AO47-AM47)&gt;4,AK46*(1+Setup!BU13),AK46)))))))),AK46),AT46/'Quick Setup'!$E15)</f>
        <v>500</v>
      </c>
      <c r="AS46" s="39" t="s">
        <v>75</v>
      </c>
      <c r="AT46" s="40"/>
      <c r="AU46" s="41"/>
      <c r="AV46" s="41"/>
      <c r="AW46" s="41"/>
      <c r="AX46" s="41"/>
      <c r="AY46" s="38">
        <f>if(BA46="",AR46,BA46/'Quick Setup'!$E15)</f>
        <v>500</v>
      </c>
      <c r="AZ46" s="39" t="s">
        <v>75</v>
      </c>
      <c r="BA46" s="40"/>
      <c r="BB46" s="41"/>
      <c r="BC46" s="41"/>
      <c r="BD46" s="41"/>
      <c r="BE46" s="41"/>
      <c r="BF46" s="38">
        <f>if(BH46="", if(BC47&lt;&gt;"", if((BC47-BA47)&lt;-1,AY46*(1+Setup!CL13),if((BC47-BA47)&lt;0,AY46*(1+Setup!CM13),if((BC47-BA47)=0,AY46*(1+Setup!CN13),if((BC47-BA47)=1,AY46*(1+Setup!CO13),if((BC47-BA47)=2,AY46*(1+Setup!CP13),if((BC47-BA47)=3,AY46*(1+Setup!CQ13),if((BC47-BA47)=4,AY46*(1+Setup!CR13),if((BC47-BA47)&gt;4,AY46*(1+Setup!CS13),AY46)))))))),AY46),BH46/'Quick Setup'!$E15)</f>
        <v>500</v>
      </c>
      <c r="BG46" s="39" t="s">
        <v>75</v>
      </c>
      <c r="BH46" s="40"/>
      <c r="BI46" s="41"/>
      <c r="BJ46" s="41"/>
      <c r="BK46" s="41"/>
      <c r="BL46" s="41"/>
      <c r="BM46" s="38">
        <f>if(BO46="", if(BJ47&lt;&gt;"", if((BJ47-BH47)&lt;-1,BF46*(1+Setup!CX13),if((BJ47-BH47)&lt;0,BF46*(1+Setup!CY13),if((BJ47-BH47)=0,BF46*(1+Setup!CZ13),if((BJ47-BH47)=1,BF46*(1+Setup!DA13),if((BJ47-BH47)=2,BF46*(1+Setup!DB13),if((BJ47-BH47)=3,BF46*(1+Setup!DC13),if((BJ47-BH47)=4,BF46*(1+Setup!DD13),if((BJ47-BH47)&gt;4,BF46*(1+Setup!DE13),BF46)))))))),BF46),BO46/'Quick Setup'!$E15)</f>
        <v>500</v>
      </c>
      <c r="BN46" s="39" t="s">
        <v>75</v>
      </c>
      <c r="BO46" s="40"/>
      <c r="BP46" s="41"/>
      <c r="BQ46" s="41"/>
      <c r="BR46" s="41"/>
      <c r="BS46" s="41"/>
      <c r="BT46" s="38">
        <f>if(BV46="", if(BQ47&lt;&gt;"", if((BQ47-BO47)&lt;-1,BM46*(1+Setup!DJ13),if((BQ47-BO47)&lt;0,BM46*(1+Setup!DK13),if((BQ47-BO47)=0,BM46*(1+Setup!DL13),if((BQ47-BO47)=1,BM46*(1+Setup!DM13),if((BQ47-BO47)=2,BM46*(1+Setup!DN13),if((BQ47-BO47)=3,BM46*(1+Setup!DO13),if((BQ47-BO47)=4,BM46*(1+Setup!DP13),if((BQ47-BO47)&gt;4,BM46*(1+Setup!DQ13),BM46)))))))),BM46),BV46/'Quick Setup'!$E15)</f>
        <v>500</v>
      </c>
      <c r="BU46" s="39" t="s">
        <v>75</v>
      </c>
      <c r="BV46" s="40"/>
      <c r="BW46" s="41"/>
      <c r="BX46" s="41"/>
      <c r="BY46" s="41"/>
      <c r="BZ46" s="41"/>
      <c r="CA46" s="38">
        <f>if(CC46="", if(BX47&lt;&gt;"", if((BX47-BV47)&lt;-1,BT46*(1+Setup!DV13),if((BX47-BV47)&lt;0,BT46*(1+Setup!DW13),if((BX47-BV47)=0,BT46*(1+Setup!DX13),if((BX47-BV47)=1,BT46*(1+Setup!DY13),if((BX47-BV47)=2,BT46*(1+Setup!DZ13),if((BX47-BV47)=3,BT46*(1+Setup!EA13),if((BX47-BV47)=4,BT46*(1+Setup!EB13),if((BX47-BV47)&gt;4,BT46*(1+Setup!EC13),BT46)))))))),BT46),CC46/'Quick Setup'!$E15)</f>
        <v>500</v>
      </c>
      <c r="CB46" s="39" t="s">
        <v>75</v>
      </c>
      <c r="CC46" s="40"/>
      <c r="CD46" s="41"/>
      <c r="CE46" s="41"/>
      <c r="CF46" s="41"/>
      <c r="CG46" s="41"/>
      <c r="CH46" s="38">
        <f>if(CJ46="", if(CE47&lt;&gt;"", if((CE47-CC47)&lt;-1,CA46*(1+Setup!EH13),if((CE47-CC47)&lt;0,CA46*(1+Setup!EI13),if((CE47-CC47)=0,CA46*(1+Setup!EJ13),if((CE47-CC47)=1,CA46*(1+Setup!EK13),if((CE47-CC47)=2,CA46*(1+Setup!EL13),if((CE47-CC47)=3,CA46*(1+Setup!EM13),if((CE47-CC47)=4,CA46*(1+Setup!EN13),if((CE47-CC47)&gt;4,CA46*(1+Setup!EO13),CA46)))))))),CA46),CJ46/'Quick Setup'!$E15)</f>
        <v>500</v>
      </c>
      <c r="CI46" s="39" t="s">
        <v>75</v>
      </c>
      <c r="CJ46" s="40"/>
      <c r="CK46" s="41"/>
      <c r="CL46" s="41"/>
      <c r="CM46" s="41"/>
      <c r="CN46" s="41"/>
      <c r="CO46" s="38">
        <f>if(CQ46="", if(CL47&lt;&gt;"", if((CL47-CJ47)&lt;-1,CH46*(1+Setup!ET13),if((CL47-CJ47)&lt;0,CH46*(1+Setup!EU13),if((CL47-CJ47)=0,CH46*(1+Setup!EV13),if((CL47-CJ47)=1,CH46*(1+Setup!EW13),if((CL47-CJ47)=2,CH46*(1+Setup!EX13),if((CL47-CJ47)=3,CH46*(1+Setup!EY13),if((CL47-CJ47)=4,CH46*(1+Setup!EZ13),if((CL47-CJ47)&gt;4,CH46*(1+Setup!FA13),CH46)))))))),CH46),CQ46/'Quick Setup'!$E15)</f>
        <v>500</v>
      </c>
      <c r="CP46" s="39" t="s">
        <v>75</v>
      </c>
      <c r="CQ46" s="40"/>
      <c r="CR46" s="41"/>
      <c r="CS46" s="41"/>
      <c r="CT46" s="41"/>
      <c r="CU46" s="41"/>
      <c r="CV46" s="38">
        <f>if(CX46="",CO46,CX46/'Quick Setup'!$E15)</f>
        <v>500</v>
      </c>
      <c r="CW46" s="39" t="s">
        <v>75</v>
      </c>
      <c r="CX46" s="40"/>
      <c r="CY46" s="41"/>
      <c r="CZ46" s="41"/>
      <c r="DA46" s="41"/>
      <c r="DB46" s="41"/>
      <c r="DC46" s="38">
        <f>if(DE46="", if(CZ47&lt;&gt;"", if((CZ47-CX47)&lt;-1,CV46*(1+Setup!FR13),if((CZ47-CX47)&lt;0,CV46*(1+Setup!FS13),if((CZ47-CX47)=0,CV46*(1+Setup!FT13),if((CZ47-CX47)=1,CV46*(1+Setup!FU13),if((CZ47-CX47)=2,CV46*(1+Setup!FV13),if((CZ47-CX47)=3,CV46*(1+Setup!FW13),if((CZ47-CX47)=4,CV46*(1+Setup!FX13),if((CZ47-CX47)&gt;4,CV46*(1+Setup!FY13),CV46)))))))),CV46),DE46/'Quick Setup'!$E15)</f>
        <v>500</v>
      </c>
      <c r="DD46" s="39" t="s">
        <v>75</v>
      </c>
      <c r="DE46" s="40"/>
      <c r="DF46" s="41"/>
      <c r="DG46" s="41"/>
      <c r="DH46" s="41"/>
      <c r="DI46" s="41"/>
      <c r="DJ46" s="38">
        <f>if(DL46="", if(DG47&lt;&gt;"", if((DG47-DE47)&lt;-1,DC46*(1+Setup!GD13),if((DG47-DE47)&lt;0,DC46*(1+Setup!GE13),if((DG47-DE47)=0,DC46*(1+Setup!GF13),if((DG47-DE47)=1,DC46*(1+Setup!GG13),if((DG47-DE47)=2,DC46*(1+Setup!GH13),if((DG47-DE47)=3,DC46*(1+Setup!GI13),if((DG47-DE47)=4,DC46*(1+Setup!GJ13),if((DG47-DE47)&gt;4,DC46*(1+Setup!GK13),DC46)))))))),DC46),DL46/'Quick Setup'!$E15)</f>
        <v>500</v>
      </c>
      <c r="DK46" s="39" t="s">
        <v>75</v>
      </c>
      <c r="DL46" s="40"/>
      <c r="DM46" s="41"/>
      <c r="DN46" s="41"/>
      <c r="DO46" s="41"/>
      <c r="DP46" s="41"/>
      <c r="DQ46" s="38">
        <f>if(DS46="", if(DN47&lt;&gt;"", if((DN47-DL47)&lt;-1,DJ46*(1+Setup!GP13),if((DN47-DL47)&lt;0,DJ46*(1+Setup!GQ13),if((DN47-DL47)=0,DJ46*(1+Setup!GR13),if((DN47-DL47)=1,DJ46*(1+Setup!GS13),if((DN47-DL47)=2,DJ46*(1+Setup!GT13),if((DN47-DL47)=3,DJ46*(1+Setup!GU13),if((DN47-DL47)=4,DJ46*(1+Setup!GV13),if((DN47-DL47)&gt;4,DJ46*(1+Setup!GW13),DJ46)))))))),DJ46),DS46/'Quick Setup'!$E15)</f>
        <v>500</v>
      </c>
      <c r="DR46" s="39" t="s">
        <v>75</v>
      </c>
      <c r="DS46" s="40"/>
      <c r="DT46" s="41"/>
      <c r="DU46" s="41"/>
      <c r="DV46" s="41"/>
      <c r="DW46" s="41"/>
      <c r="DX46" s="38">
        <f>if(DZ46="", if(DU47&lt;&gt;"", if((DU47-DS47)&lt;-1,DQ46*(1+Setup!HB13),if((DU47-DS47)&lt;0,DQ46*(1+Setup!HC13),if((DU47-DS47)=0,DQ46*(1+Setup!HD13),if((DU47-DS47)=1,DQ46*(1+Setup!HE13),if((DU47-DS47)=2,DQ46*(1+Setup!HF13),if((DU47-DS47)=3,DQ46*(1+Setup!HG13),if((DU47-DS47)=4,DQ46*(1+Setup!HH13),if((DU47-DS47)&gt;4,DQ46*(1+Setup!HI13),DQ46)))))))),DQ46),DZ46/'Quick Setup'!$E15)</f>
        <v>500</v>
      </c>
      <c r="DY46" s="39" t="s">
        <v>75</v>
      </c>
      <c r="DZ46" s="40"/>
      <c r="EA46" s="41"/>
      <c r="EB46" s="41"/>
      <c r="EC46" s="41"/>
      <c r="ED46" s="41"/>
      <c r="EE46" s="38">
        <f>if(EG46="", if(EB47&lt;&gt;"", if((EB47-DZ47)&lt;-1,DX46*(1+Setup!HN13),if((EB47-DZ47)&lt;0,DX46*(1+Setup!HO13),if((EB47-DZ47)=0,DX46*(1+Setup!HP13),if((EB47-DZ47)=1,DX46*(1+Setup!HQ13),if((EB47-DZ47)=2,DX46*(1+Setup!HR13),if((EB47-DZ47)=3,DX46*(1+Setup!HS13),if((EB47-DZ47)=4,DX46*(1+Setup!HT13),if((EB47-DZ47)&gt;4,DX46*(1+Setup!HU13),DX46)))))))),DX46),EG46/'Quick Setup'!$E15)</f>
        <v>500</v>
      </c>
      <c r="EF46" s="39" t="s">
        <v>75</v>
      </c>
      <c r="EG46" s="40"/>
      <c r="EH46" s="41"/>
      <c r="EI46" s="41"/>
      <c r="EJ46" s="41"/>
      <c r="EK46" s="41"/>
      <c r="EL46" s="38">
        <f>if(EN46="", if(EI47&lt;&gt;"", if((EI47-EG47)&lt;-1,EE46*(1+Setup!HZ13),if((EI47-EG47)&lt;0,EE46*(1+Setup!IA13),if((EI47-EG47)=0,EE46*(1+Setup!IB13),if((EI47-EG47)=1,EE46*(1+Setup!IC13),if((EI47-EG47)=2,EE46*(1+Setup!ID13),if((EI47-EG47)=3,EE46*(1+Setup!IE13),if((EI47-EG47)=4,EE46*(1+Setup!IF13),if((EI47-EG47)&gt;4,EE46*(1+Setup!IG13),EE46)))))))),EE46),EN46/'Quick Setup'!$E15)</f>
        <v>500</v>
      </c>
      <c r="EM46" s="39" t="s">
        <v>75</v>
      </c>
      <c r="EN46" s="40"/>
      <c r="EO46" s="41"/>
      <c r="EP46" s="41"/>
      <c r="EQ46" s="41"/>
      <c r="ER46" s="41"/>
    </row>
    <row r="47">
      <c r="A47" s="1" t="str">
        <f>Setup!A13</f>
        <v>Sumo Deadlift</v>
      </c>
      <c r="B47" s="42">
        <f>mround(B46*Setup!B13,'Quick Setup'!$A$2)</f>
        <v>300</v>
      </c>
      <c r="C47" s="3">
        <f>Setup!C13</f>
        <v>7</v>
      </c>
      <c r="D47" s="3">
        <f>Setup!D13</f>
        <v>14</v>
      </c>
      <c r="E47" s="3">
        <f>Setup!E13</f>
        <v>5</v>
      </c>
      <c r="F47" s="10"/>
      <c r="G47" s="10"/>
      <c r="H47" s="10"/>
      <c r="I47" s="42">
        <f>mround(I46*Setup!N13,'Quick Setup'!$A$2)</f>
        <v>325</v>
      </c>
      <c r="J47" s="3">
        <f>Setup!O13</f>
        <v>6</v>
      </c>
      <c r="K47" s="3">
        <f>Setup!P13</f>
        <v>12</v>
      </c>
      <c r="L47" s="3">
        <f>Setup!Q13</f>
        <v>5</v>
      </c>
      <c r="M47" s="10"/>
      <c r="N47" s="10"/>
      <c r="O47" s="10"/>
      <c r="P47" s="42">
        <f>mround(P46*Setup!Z13,'Quick Setup'!$A$2)</f>
        <v>350</v>
      </c>
      <c r="Q47" s="3">
        <f>Setup!AA13</f>
        <v>5</v>
      </c>
      <c r="R47" s="3">
        <f>Setup!AB13</f>
        <v>10</v>
      </c>
      <c r="S47" s="3">
        <f>Setup!AC13</f>
        <v>5</v>
      </c>
      <c r="T47" s="10"/>
      <c r="U47" s="10"/>
      <c r="V47" s="10"/>
      <c r="W47" s="42">
        <f>mround(W46*Setup!AL13,'Quick Setup'!$A$2)</f>
        <v>312.5</v>
      </c>
      <c r="X47" s="3">
        <f>Setup!AM13</f>
        <v>7</v>
      </c>
      <c r="Y47" s="3">
        <f>Setup!AN13</f>
        <v>13</v>
      </c>
      <c r="Z47" s="3">
        <f>Setup!AO13</f>
        <v>5</v>
      </c>
      <c r="AA47" s="10"/>
      <c r="AB47" s="10"/>
      <c r="AC47" s="10"/>
      <c r="AD47" s="42">
        <f>mround(AD46*Setup!AX13,'Quick Setup'!$A$2)</f>
        <v>337.5</v>
      </c>
      <c r="AE47" s="3">
        <f>Setup!AY13</f>
        <v>6</v>
      </c>
      <c r="AF47" s="3">
        <f>Setup!AZ13</f>
        <v>11</v>
      </c>
      <c r="AG47" s="3">
        <f>Setup!BA13</f>
        <v>5</v>
      </c>
      <c r="AH47" s="10"/>
      <c r="AI47" s="10"/>
      <c r="AJ47" s="10"/>
      <c r="AK47" s="42">
        <f>mround(AK46*Setup!BJ13,'Quick Setup'!$A$2)</f>
        <v>362.5</v>
      </c>
      <c r="AL47" s="3">
        <f>Setup!BK13</f>
        <v>5</v>
      </c>
      <c r="AM47" s="3">
        <f>Setup!BL13</f>
        <v>9</v>
      </c>
      <c r="AN47" s="3">
        <f>Setup!BM13</f>
        <v>5</v>
      </c>
      <c r="AO47" s="10"/>
      <c r="AP47" s="10"/>
      <c r="AQ47" s="10"/>
      <c r="AR47" s="42">
        <f>mround(AR46*Setup!BV13,'Quick Setup'!$A$2)</f>
        <v>250</v>
      </c>
      <c r="AS47" s="1">
        <v>5.0</v>
      </c>
      <c r="AT47" s="1" t="s">
        <v>78</v>
      </c>
      <c r="AU47" s="3">
        <f>Setup!BY13</f>
        <v>5</v>
      </c>
      <c r="AV47" s="10"/>
      <c r="AW47" s="10"/>
      <c r="AX47" s="10"/>
      <c r="AY47" s="42">
        <f>mround(AY46*Setup!CH13,'Quick Setup'!$A$2)</f>
        <v>325</v>
      </c>
      <c r="AZ47" s="3">
        <f>Setup!CI13</f>
        <v>6</v>
      </c>
      <c r="BA47" s="3">
        <f>Setup!CJ13</f>
        <v>12</v>
      </c>
      <c r="BB47" s="3">
        <f>Setup!CK13</f>
        <v>5</v>
      </c>
      <c r="BC47" s="10"/>
      <c r="BD47" s="10"/>
      <c r="BE47" s="10"/>
      <c r="BF47" s="42">
        <f>mround(BF46*Setup!CT13,'Quick Setup'!$A$2)</f>
        <v>350</v>
      </c>
      <c r="BG47" s="3">
        <f>Setup!CU13</f>
        <v>5</v>
      </c>
      <c r="BH47" s="3">
        <f>Setup!CV13</f>
        <v>10</v>
      </c>
      <c r="BI47" s="3">
        <f>Setup!CW13</f>
        <v>5</v>
      </c>
      <c r="BJ47" s="10"/>
      <c r="BK47" s="10"/>
      <c r="BL47" s="10"/>
      <c r="BM47" s="42">
        <f>mround(BM46*Setup!DF13,'Quick Setup'!$A$2)</f>
        <v>375</v>
      </c>
      <c r="BN47" s="3">
        <f>Setup!DG13</f>
        <v>4</v>
      </c>
      <c r="BO47" s="3">
        <f>Setup!DH13</f>
        <v>8</v>
      </c>
      <c r="BP47" s="3">
        <f>Setup!DI13</f>
        <v>5</v>
      </c>
      <c r="BQ47" s="10"/>
      <c r="BR47" s="10"/>
      <c r="BS47" s="10"/>
      <c r="BT47" s="42">
        <f>mround(BT46*Setup!DR13,'Quick Setup'!$A$2)</f>
        <v>337.5</v>
      </c>
      <c r="BU47" s="3">
        <f>Setup!DS13</f>
        <v>6</v>
      </c>
      <c r="BV47" s="3">
        <f>Setup!DT13</f>
        <v>11</v>
      </c>
      <c r="BW47" s="3">
        <f>Setup!DU13</f>
        <v>5</v>
      </c>
      <c r="BX47" s="10"/>
      <c r="BY47" s="10"/>
      <c r="BZ47" s="10"/>
      <c r="CA47" s="42">
        <f>mround(CA46*Setup!ED13,'Quick Setup'!$A$2)</f>
        <v>362.5</v>
      </c>
      <c r="CB47" s="3">
        <f>Setup!EE13</f>
        <v>5</v>
      </c>
      <c r="CC47" s="3">
        <f>Setup!EF13</f>
        <v>9</v>
      </c>
      <c r="CD47" s="3">
        <f>Setup!EG13</f>
        <v>5</v>
      </c>
      <c r="CE47" s="10"/>
      <c r="CF47" s="10"/>
      <c r="CG47" s="10"/>
      <c r="CH47" s="42">
        <f>mround(CH46*Setup!EP13,'Quick Setup'!$A$2)</f>
        <v>387.5</v>
      </c>
      <c r="CI47" s="3">
        <f>Setup!EQ13</f>
        <v>4</v>
      </c>
      <c r="CJ47" s="3">
        <f>Setup!ER13</f>
        <v>7</v>
      </c>
      <c r="CK47" s="3">
        <f>Setup!ES13</f>
        <v>5</v>
      </c>
      <c r="CL47" s="10"/>
      <c r="CM47" s="10"/>
      <c r="CN47" s="10"/>
      <c r="CO47" s="42">
        <f>mround(CO46*Setup!FB13,'Quick Setup'!$A$2)</f>
        <v>250</v>
      </c>
      <c r="CP47" s="1">
        <v>5.0</v>
      </c>
      <c r="CQ47" s="1" t="s">
        <v>78</v>
      </c>
      <c r="CR47" s="3">
        <f>Setup!FE13</f>
        <v>5</v>
      </c>
      <c r="CS47" s="10"/>
      <c r="CT47" s="10"/>
      <c r="CU47" s="10"/>
      <c r="CV47" s="42">
        <f>mround(CV46*Setup!FN13,'Quick Setup'!$A$2)</f>
        <v>350</v>
      </c>
      <c r="CW47" s="3">
        <f>Setup!FO13</f>
        <v>5</v>
      </c>
      <c r="CX47" s="3">
        <f>Setup!FP13</f>
        <v>10</v>
      </c>
      <c r="CY47" s="3">
        <f>Setup!FQ13</f>
        <v>5</v>
      </c>
      <c r="CZ47" s="10"/>
      <c r="DA47" s="10"/>
      <c r="DB47" s="10"/>
      <c r="DC47" s="42">
        <f>mround(DC46*Setup!FZ13,'Quick Setup'!$A$2)</f>
        <v>375</v>
      </c>
      <c r="DD47" s="3">
        <f>Setup!GA13</f>
        <v>4</v>
      </c>
      <c r="DE47" s="3">
        <f>Setup!GB13</f>
        <v>8</v>
      </c>
      <c r="DF47" s="3">
        <f>Setup!GC13</f>
        <v>5</v>
      </c>
      <c r="DG47" s="10"/>
      <c r="DH47" s="10"/>
      <c r="DI47" s="10"/>
      <c r="DJ47" s="42">
        <f>mround(DJ46*Setup!GL13,'Quick Setup'!$A$2)</f>
        <v>400</v>
      </c>
      <c r="DK47" s="3">
        <f>Setup!GM13</f>
        <v>3</v>
      </c>
      <c r="DL47" s="3">
        <f>Setup!GN13</f>
        <v>6</v>
      </c>
      <c r="DM47" s="3">
        <f>Setup!GO13</f>
        <v>5</v>
      </c>
      <c r="DN47" s="10"/>
      <c r="DO47" s="10"/>
      <c r="DP47" s="10"/>
      <c r="DQ47" s="42">
        <f>mround(DQ46*Setup!GX13,'Quick Setup'!$A$2)</f>
        <v>375</v>
      </c>
      <c r="DR47" s="3">
        <f>Setup!GY13</f>
        <v>4</v>
      </c>
      <c r="DS47" s="3">
        <f>Setup!GZ13</f>
        <v>8</v>
      </c>
      <c r="DT47" s="3">
        <f>Setup!HA13</f>
        <v>5</v>
      </c>
      <c r="DU47" s="10"/>
      <c r="DV47" s="10"/>
      <c r="DW47" s="10"/>
      <c r="DX47" s="42">
        <f>mround(DX46*Setup!HJ13,'Quick Setup'!$A$2)</f>
        <v>400</v>
      </c>
      <c r="DY47" s="3">
        <f>Setup!HK13</f>
        <v>3</v>
      </c>
      <c r="DZ47" s="3">
        <f>Setup!HL13</f>
        <v>6</v>
      </c>
      <c r="EA47" s="3">
        <f>Setup!HM13</f>
        <v>5</v>
      </c>
      <c r="EB47" s="10"/>
      <c r="EC47" s="10"/>
      <c r="ED47" s="10"/>
      <c r="EE47" s="42">
        <f>mround(EE46*Setup!HV13,'Quick Setup'!$A$2)</f>
        <v>425</v>
      </c>
      <c r="EF47" s="3">
        <f>Setup!HW13</f>
        <v>2</v>
      </c>
      <c r="EG47" s="3">
        <f>Setup!HX13</f>
        <v>4</v>
      </c>
      <c r="EH47" s="3">
        <f>Setup!HY13</f>
        <v>5</v>
      </c>
      <c r="EI47" s="10"/>
      <c r="EJ47" s="10"/>
      <c r="EK47" s="10"/>
      <c r="EL47" s="42">
        <f>mround(EL46*Setup!IH13,'Quick Setup'!$A$2)</f>
        <v>250</v>
      </c>
      <c r="EM47" s="1">
        <v>5.0</v>
      </c>
      <c r="EN47" s="1" t="s">
        <v>78</v>
      </c>
      <c r="EO47" s="3">
        <f>Setup!IK13</f>
        <v>5</v>
      </c>
      <c r="EP47" s="10"/>
      <c r="EQ47" s="10"/>
      <c r="ER47" s="10"/>
    </row>
    <row r="48">
      <c r="A48" s="5"/>
      <c r="B48" s="43"/>
      <c r="C48" s="10"/>
      <c r="D48" s="10"/>
      <c r="E48" s="10"/>
      <c r="F48" s="10"/>
      <c r="G48" s="10"/>
      <c r="H48" s="10"/>
      <c r="I48" s="43" t="str">
        <f t="shared" ref="I48:M48" si="321">B48</f>
        <v/>
      </c>
      <c r="J48" s="10" t="str">
        <f t="shared" si="321"/>
        <v/>
      </c>
      <c r="K48" s="10" t="str">
        <f t="shared" si="321"/>
        <v/>
      </c>
      <c r="L48" s="10" t="str">
        <f t="shared" si="321"/>
        <v/>
      </c>
      <c r="M48" s="10" t="str">
        <f t="shared" si="321"/>
        <v/>
      </c>
      <c r="N48" s="10"/>
      <c r="O48" s="10"/>
      <c r="P48" s="43" t="str">
        <f t="shared" ref="P48:T48" si="322">I48</f>
        <v/>
      </c>
      <c r="Q48" s="10" t="str">
        <f t="shared" si="322"/>
        <v/>
      </c>
      <c r="R48" s="10" t="str">
        <f t="shared" si="322"/>
        <v/>
      </c>
      <c r="S48" s="10" t="str">
        <f t="shared" si="322"/>
        <v/>
      </c>
      <c r="T48" s="10" t="str">
        <f t="shared" si="322"/>
        <v/>
      </c>
      <c r="U48" s="10"/>
      <c r="V48" s="10"/>
      <c r="W48" s="43" t="str">
        <f t="shared" ref="W48:AA48" si="323">P48</f>
        <v/>
      </c>
      <c r="X48" s="10" t="str">
        <f t="shared" si="323"/>
        <v/>
      </c>
      <c r="Y48" s="10" t="str">
        <f t="shared" si="323"/>
        <v/>
      </c>
      <c r="Z48" s="10" t="str">
        <f t="shared" si="323"/>
        <v/>
      </c>
      <c r="AA48" s="10" t="str">
        <f t="shared" si="323"/>
        <v/>
      </c>
      <c r="AB48" s="10"/>
      <c r="AC48" s="10"/>
      <c r="AD48" s="43" t="str">
        <f t="shared" ref="AD48:AH48" si="324">W48</f>
        <v/>
      </c>
      <c r="AE48" s="10" t="str">
        <f t="shared" si="324"/>
        <v/>
      </c>
      <c r="AF48" s="10" t="str">
        <f t="shared" si="324"/>
        <v/>
      </c>
      <c r="AG48" s="10" t="str">
        <f t="shared" si="324"/>
        <v/>
      </c>
      <c r="AH48" s="10" t="str">
        <f t="shared" si="324"/>
        <v/>
      </c>
      <c r="AI48" s="10"/>
      <c r="AJ48" s="10"/>
      <c r="AK48" s="43" t="str">
        <f t="shared" ref="AK48:AO48" si="325">AD48</f>
        <v/>
      </c>
      <c r="AL48" s="10" t="str">
        <f t="shared" si="325"/>
        <v/>
      </c>
      <c r="AM48" s="10" t="str">
        <f t="shared" si="325"/>
        <v/>
      </c>
      <c r="AN48" s="10" t="str">
        <f t="shared" si="325"/>
        <v/>
      </c>
      <c r="AO48" s="10" t="str">
        <f t="shared" si="325"/>
        <v/>
      </c>
      <c r="AP48" s="10"/>
      <c r="AQ48" s="10"/>
      <c r="AR48" s="43" t="str">
        <f t="shared" ref="AR48:AV48" si="326">AK48</f>
        <v/>
      </c>
      <c r="AS48" s="10" t="str">
        <f t="shared" si="326"/>
        <v/>
      </c>
      <c r="AT48" s="10" t="str">
        <f t="shared" si="326"/>
        <v/>
      </c>
      <c r="AU48" s="10" t="str">
        <f t="shared" si="326"/>
        <v/>
      </c>
      <c r="AV48" s="10" t="str">
        <f t="shared" si="326"/>
        <v/>
      </c>
      <c r="AW48" s="10"/>
      <c r="AX48" s="10"/>
      <c r="AY48" s="43" t="str">
        <f t="shared" ref="AY48:BC48" si="327">AR48</f>
        <v/>
      </c>
      <c r="AZ48" s="10" t="str">
        <f t="shared" si="327"/>
        <v/>
      </c>
      <c r="BA48" s="10" t="str">
        <f t="shared" si="327"/>
        <v/>
      </c>
      <c r="BB48" s="10" t="str">
        <f t="shared" si="327"/>
        <v/>
      </c>
      <c r="BC48" s="10" t="str">
        <f t="shared" si="327"/>
        <v/>
      </c>
      <c r="BD48" s="10"/>
      <c r="BE48" s="10"/>
      <c r="BF48" s="43" t="str">
        <f t="shared" ref="BF48:BJ48" si="328">AY48</f>
        <v/>
      </c>
      <c r="BG48" s="10" t="str">
        <f t="shared" si="328"/>
        <v/>
      </c>
      <c r="BH48" s="10" t="str">
        <f t="shared" si="328"/>
        <v/>
      </c>
      <c r="BI48" s="10" t="str">
        <f t="shared" si="328"/>
        <v/>
      </c>
      <c r="BJ48" s="10" t="str">
        <f t="shared" si="328"/>
        <v/>
      </c>
      <c r="BK48" s="10"/>
      <c r="BL48" s="10"/>
      <c r="BM48" s="43" t="str">
        <f t="shared" ref="BM48:BQ48" si="329">BF48</f>
        <v/>
      </c>
      <c r="BN48" s="10" t="str">
        <f t="shared" si="329"/>
        <v/>
      </c>
      <c r="BO48" s="10" t="str">
        <f t="shared" si="329"/>
        <v/>
      </c>
      <c r="BP48" s="10" t="str">
        <f t="shared" si="329"/>
        <v/>
      </c>
      <c r="BQ48" s="10" t="str">
        <f t="shared" si="329"/>
        <v/>
      </c>
      <c r="BR48" s="10"/>
      <c r="BS48" s="10"/>
      <c r="BT48" s="43" t="str">
        <f t="shared" ref="BT48:BX48" si="330">BM48</f>
        <v/>
      </c>
      <c r="BU48" s="10" t="str">
        <f t="shared" si="330"/>
        <v/>
      </c>
      <c r="BV48" s="10" t="str">
        <f t="shared" si="330"/>
        <v/>
      </c>
      <c r="BW48" s="10" t="str">
        <f t="shared" si="330"/>
        <v/>
      </c>
      <c r="BX48" s="10" t="str">
        <f t="shared" si="330"/>
        <v/>
      </c>
      <c r="BY48" s="10"/>
      <c r="BZ48" s="10"/>
      <c r="CA48" s="43" t="str">
        <f t="shared" ref="CA48:CE48" si="331">BT48</f>
        <v/>
      </c>
      <c r="CB48" s="10" t="str">
        <f t="shared" si="331"/>
        <v/>
      </c>
      <c r="CC48" s="10" t="str">
        <f t="shared" si="331"/>
        <v/>
      </c>
      <c r="CD48" s="10" t="str">
        <f t="shared" si="331"/>
        <v/>
      </c>
      <c r="CE48" s="10" t="str">
        <f t="shared" si="331"/>
        <v/>
      </c>
      <c r="CF48" s="10"/>
      <c r="CG48" s="10"/>
      <c r="CH48" s="43" t="str">
        <f t="shared" ref="CH48:CL48" si="332">CA48</f>
        <v/>
      </c>
      <c r="CI48" s="10" t="str">
        <f t="shared" si="332"/>
        <v/>
      </c>
      <c r="CJ48" s="10" t="str">
        <f t="shared" si="332"/>
        <v/>
      </c>
      <c r="CK48" s="10" t="str">
        <f t="shared" si="332"/>
        <v/>
      </c>
      <c r="CL48" s="10" t="str">
        <f t="shared" si="332"/>
        <v/>
      </c>
      <c r="CM48" s="10"/>
      <c r="CN48" s="10"/>
      <c r="CO48" s="43" t="str">
        <f t="shared" ref="CO48:CS48" si="333">CH48</f>
        <v/>
      </c>
      <c r="CP48" s="10" t="str">
        <f t="shared" si="333"/>
        <v/>
      </c>
      <c r="CQ48" s="10" t="str">
        <f t="shared" si="333"/>
        <v/>
      </c>
      <c r="CR48" s="10" t="str">
        <f t="shared" si="333"/>
        <v/>
      </c>
      <c r="CS48" s="10" t="str">
        <f t="shared" si="333"/>
        <v/>
      </c>
      <c r="CT48" s="10"/>
      <c r="CU48" s="10"/>
      <c r="CV48" s="43" t="str">
        <f t="shared" ref="CV48:CZ48" si="334">CO48</f>
        <v/>
      </c>
      <c r="CW48" s="10" t="str">
        <f t="shared" si="334"/>
        <v/>
      </c>
      <c r="CX48" s="10" t="str">
        <f t="shared" si="334"/>
        <v/>
      </c>
      <c r="CY48" s="10" t="str">
        <f t="shared" si="334"/>
        <v/>
      </c>
      <c r="CZ48" s="10" t="str">
        <f t="shared" si="334"/>
        <v/>
      </c>
      <c r="DA48" s="10"/>
      <c r="DB48" s="10"/>
      <c r="DC48" s="43" t="str">
        <f t="shared" ref="DC48:DG48" si="335">CV48</f>
        <v/>
      </c>
      <c r="DD48" s="10" t="str">
        <f t="shared" si="335"/>
        <v/>
      </c>
      <c r="DE48" s="10" t="str">
        <f t="shared" si="335"/>
        <v/>
      </c>
      <c r="DF48" s="10" t="str">
        <f t="shared" si="335"/>
        <v/>
      </c>
      <c r="DG48" s="10" t="str">
        <f t="shared" si="335"/>
        <v/>
      </c>
      <c r="DH48" s="10"/>
      <c r="DI48" s="10"/>
      <c r="DJ48" s="43" t="str">
        <f t="shared" ref="DJ48:DN48" si="336">DC48</f>
        <v/>
      </c>
      <c r="DK48" s="10" t="str">
        <f t="shared" si="336"/>
        <v/>
      </c>
      <c r="DL48" s="10" t="str">
        <f t="shared" si="336"/>
        <v/>
      </c>
      <c r="DM48" s="10" t="str">
        <f t="shared" si="336"/>
        <v/>
      </c>
      <c r="DN48" s="10" t="str">
        <f t="shared" si="336"/>
        <v/>
      </c>
      <c r="DO48" s="10"/>
      <c r="DP48" s="10"/>
      <c r="DQ48" s="43" t="str">
        <f t="shared" ref="DQ48:DU48" si="337">DJ48</f>
        <v/>
      </c>
      <c r="DR48" s="10" t="str">
        <f t="shared" si="337"/>
        <v/>
      </c>
      <c r="DS48" s="10" t="str">
        <f t="shared" si="337"/>
        <v/>
      </c>
      <c r="DT48" s="10" t="str">
        <f t="shared" si="337"/>
        <v/>
      </c>
      <c r="DU48" s="10" t="str">
        <f t="shared" si="337"/>
        <v/>
      </c>
      <c r="DV48" s="10"/>
      <c r="DW48" s="10"/>
      <c r="DX48" s="43" t="str">
        <f t="shared" ref="DX48:EB48" si="338">DQ48</f>
        <v/>
      </c>
      <c r="DY48" s="10" t="str">
        <f t="shared" si="338"/>
        <v/>
      </c>
      <c r="DZ48" s="10" t="str">
        <f t="shared" si="338"/>
        <v/>
      </c>
      <c r="EA48" s="10" t="str">
        <f t="shared" si="338"/>
        <v/>
      </c>
      <c r="EB48" s="10" t="str">
        <f t="shared" si="338"/>
        <v/>
      </c>
      <c r="EC48" s="10"/>
      <c r="ED48" s="10"/>
      <c r="EE48" s="43" t="str">
        <f t="shared" ref="EE48:EI48" si="339">DX48</f>
        <v/>
      </c>
      <c r="EF48" s="10" t="str">
        <f t="shared" si="339"/>
        <v/>
      </c>
      <c r="EG48" s="10" t="str">
        <f t="shared" si="339"/>
        <v/>
      </c>
      <c r="EH48" s="10" t="str">
        <f t="shared" si="339"/>
        <v/>
      </c>
      <c r="EI48" s="10" t="str">
        <f t="shared" si="339"/>
        <v/>
      </c>
      <c r="EJ48" s="10"/>
      <c r="EK48" s="10"/>
      <c r="EL48" s="43" t="str">
        <f t="shared" ref="EL48:EP48" si="340">EE48</f>
        <v/>
      </c>
      <c r="EM48" s="10" t="str">
        <f t="shared" si="340"/>
        <v/>
      </c>
      <c r="EN48" s="10" t="str">
        <f t="shared" si="340"/>
        <v/>
      </c>
      <c r="EO48" s="10" t="str">
        <f t="shared" si="340"/>
        <v/>
      </c>
      <c r="EP48" s="10" t="str">
        <f t="shared" si="340"/>
        <v/>
      </c>
      <c r="EQ48" s="10"/>
      <c r="ER48" s="10"/>
    </row>
    <row r="49">
      <c r="A49" s="1" t="s">
        <v>79</v>
      </c>
      <c r="B49" s="42"/>
      <c r="C49" s="3"/>
      <c r="D49" s="3"/>
      <c r="E49" s="3"/>
      <c r="F49" s="3"/>
      <c r="G49" s="3"/>
      <c r="H49" s="3"/>
      <c r="I49" s="42"/>
      <c r="J49" s="3"/>
      <c r="K49" s="3"/>
      <c r="L49" s="3"/>
      <c r="M49" s="3"/>
      <c r="N49" s="3"/>
      <c r="O49" s="3"/>
      <c r="P49" s="42"/>
      <c r="Q49" s="3"/>
      <c r="R49" s="3"/>
      <c r="S49" s="3"/>
      <c r="T49" s="3"/>
      <c r="U49" s="3"/>
      <c r="V49" s="3"/>
      <c r="W49" s="42"/>
      <c r="X49" s="3"/>
      <c r="Y49" s="3"/>
      <c r="Z49" s="3"/>
      <c r="AA49" s="3"/>
      <c r="AB49" s="3"/>
      <c r="AC49" s="3"/>
      <c r="AD49" s="42"/>
      <c r="AE49" s="3"/>
      <c r="AF49" s="3"/>
      <c r="AG49" s="3"/>
      <c r="AH49" s="3"/>
      <c r="AI49" s="3"/>
      <c r="AJ49" s="3"/>
      <c r="AK49" s="42"/>
      <c r="AL49" s="3"/>
      <c r="AM49" s="3"/>
      <c r="AN49" s="3"/>
      <c r="AO49" s="3"/>
      <c r="AP49" s="3"/>
      <c r="AQ49" s="3"/>
      <c r="AR49" s="42"/>
      <c r="AS49" s="3"/>
      <c r="AT49" s="3"/>
      <c r="AU49" s="3"/>
      <c r="AV49" s="3"/>
      <c r="AW49" s="3"/>
      <c r="AX49" s="3"/>
      <c r="AY49" s="42"/>
      <c r="AZ49" s="3"/>
      <c r="BA49" s="3"/>
      <c r="BB49" s="3"/>
      <c r="BC49" s="3"/>
      <c r="BD49" s="3"/>
      <c r="BE49" s="3"/>
      <c r="BF49" s="42"/>
      <c r="BG49" s="3"/>
      <c r="BH49" s="3"/>
      <c r="BI49" s="3"/>
      <c r="BJ49" s="3"/>
      <c r="BK49" s="3"/>
      <c r="BL49" s="3"/>
      <c r="BM49" s="42"/>
      <c r="BN49" s="3"/>
      <c r="BO49" s="3"/>
      <c r="BP49" s="3"/>
      <c r="BQ49" s="3"/>
      <c r="BR49" s="3"/>
      <c r="BS49" s="3"/>
      <c r="BT49" s="42"/>
      <c r="BU49" s="3"/>
      <c r="BV49" s="3"/>
      <c r="BW49" s="3"/>
      <c r="BX49" s="3"/>
      <c r="BY49" s="3"/>
      <c r="BZ49" s="3"/>
      <c r="CA49" s="42"/>
      <c r="CB49" s="3"/>
      <c r="CC49" s="3"/>
      <c r="CD49" s="3"/>
      <c r="CE49" s="3"/>
      <c r="CF49" s="3"/>
      <c r="CG49" s="3"/>
      <c r="CH49" s="42"/>
      <c r="CI49" s="3"/>
      <c r="CJ49" s="3"/>
      <c r="CK49" s="3"/>
      <c r="CL49" s="3"/>
      <c r="CM49" s="3"/>
      <c r="CN49" s="3"/>
      <c r="CO49" s="42"/>
      <c r="CP49" s="3"/>
      <c r="CQ49" s="3"/>
      <c r="CR49" s="3"/>
      <c r="CS49" s="3"/>
      <c r="CT49" s="3"/>
      <c r="CU49" s="3"/>
      <c r="CV49" s="42"/>
      <c r="CW49" s="3"/>
      <c r="CX49" s="3"/>
      <c r="CY49" s="3"/>
      <c r="CZ49" s="3"/>
      <c r="DA49" s="3"/>
      <c r="DB49" s="3"/>
      <c r="DC49" s="42"/>
      <c r="DD49" s="3"/>
      <c r="DE49" s="3"/>
      <c r="DF49" s="3"/>
      <c r="DG49" s="3"/>
      <c r="DH49" s="3"/>
      <c r="DI49" s="3"/>
      <c r="DJ49" s="42"/>
      <c r="DK49" s="3"/>
      <c r="DL49" s="3"/>
      <c r="DM49" s="3"/>
      <c r="DN49" s="3"/>
      <c r="DO49" s="3"/>
      <c r="DP49" s="3"/>
      <c r="DQ49" s="42"/>
      <c r="DR49" s="3"/>
      <c r="DS49" s="3"/>
      <c r="DT49" s="3"/>
      <c r="DU49" s="3"/>
      <c r="DV49" s="3"/>
      <c r="DW49" s="3"/>
      <c r="DX49" s="42"/>
      <c r="DY49" s="3"/>
      <c r="DZ49" s="3"/>
      <c r="EA49" s="3"/>
      <c r="EB49" s="3"/>
      <c r="EC49" s="3"/>
      <c r="ED49" s="3"/>
      <c r="EE49" s="42"/>
      <c r="EF49" s="3"/>
      <c r="EG49" s="3"/>
      <c r="EH49" s="3"/>
      <c r="EI49" s="3"/>
      <c r="EJ49" s="3"/>
      <c r="EK49" s="3"/>
      <c r="EL49" s="42"/>
      <c r="EM49" s="3"/>
      <c r="EN49" s="3"/>
      <c r="EO49" s="3"/>
      <c r="EP49" s="3"/>
      <c r="EQ49" s="3"/>
      <c r="ER49" s="3"/>
    </row>
    <row r="50">
      <c r="A50" s="44"/>
      <c r="B50" s="43"/>
      <c r="C50" s="10"/>
      <c r="D50" s="10"/>
      <c r="E50" s="10"/>
      <c r="F50" s="10"/>
      <c r="G50" s="10"/>
      <c r="H50" s="10"/>
      <c r="I50" s="43" t="str">
        <f t="shared" ref="I50:M50" si="341">B50</f>
        <v/>
      </c>
      <c r="J50" s="10" t="str">
        <f t="shared" si="341"/>
        <v/>
      </c>
      <c r="K50" s="10" t="str">
        <f t="shared" si="341"/>
        <v/>
      </c>
      <c r="L50" s="10" t="str">
        <f t="shared" si="341"/>
        <v/>
      </c>
      <c r="M50" s="10" t="str">
        <f t="shared" si="341"/>
        <v/>
      </c>
      <c r="N50" s="10"/>
      <c r="O50" s="10"/>
      <c r="P50" s="43" t="str">
        <f t="shared" ref="P50:T50" si="342">I50</f>
        <v/>
      </c>
      <c r="Q50" s="10" t="str">
        <f t="shared" si="342"/>
        <v/>
      </c>
      <c r="R50" s="10" t="str">
        <f t="shared" si="342"/>
        <v/>
      </c>
      <c r="S50" s="10" t="str">
        <f t="shared" si="342"/>
        <v/>
      </c>
      <c r="T50" s="10" t="str">
        <f t="shared" si="342"/>
        <v/>
      </c>
      <c r="U50" s="10"/>
      <c r="V50" s="10"/>
      <c r="W50" s="43" t="str">
        <f t="shared" ref="W50:AA50" si="343">P50</f>
        <v/>
      </c>
      <c r="X50" s="10" t="str">
        <f t="shared" si="343"/>
        <v/>
      </c>
      <c r="Y50" s="10" t="str">
        <f t="shared" si="343"/>
        <v/>
      </c>
      <c r="Z50" s="10" t="str">
        <f t="shared" si="343"/>
        <v/>
      </c>
      <c r="AA50" s="10" t="str">
        <f t="shared" si="343"/>
        <v/>
      </c>
      <c r="AB50" s="10"/>
      <c r="AC50" s="10"/>
      <c r="AD50" s="43" t="str">
        <f t="shared" ref="AD50:AH50" si="344">W50</f>
        <v/>
      </c>
      <c r="AE50" s="10" t="str">
        <f t="shared" si="344"/>
        <v/>
      </c>
      <c r="AF50" s="10" t="str">
        <f t="shared" si="344"/>
        <v/>
      </c>
      <c r="AG50" s="10" t="str">
        <f t="shared" si="344"/>
        <v/>
      </c>
      <c r="AH50" s="10" t="str">
        <f t="shared" si="344"/>
        <v/>
      </c>
      <c r="AI50" s="10"/>
      <c r="AJ50" s="10"/>
      <c r="AK50" s="43" t="str">
        <f t="shared" ref="AK50:AO50" si="345">AD50</f>
        <v/>
      </c>
      <c r="AL50" s="10" t="str">
        <f t="shared" si="345"/>
        <v/>
      </c>
      <c r="AM50" s="10" t="str">
        <f t="shared" si="345"/>
        <v/>
      </c>
      <c r="AN50" s="10" t="str">
        <f t="shared" si="345"/>
        <v/>
      </c>
      <c r="AO50" s="10" t="str">
        <f t="shared" si="345"/>
        <v/>
      </c>
      <c r="AP50" s="10"/>
      <c r="AQ50" s="10"/>
      <c r="AR50" s="43" t="str">
        <f t="shared" ref="AR50:AV50" si="346">AK50</f>
        <v/>
      </c>
      <c r="AS50" s="10" t="str">
        <f t="shared" si="346"/>
        <v/>
      </c>
      <c r="AT50" s="10" t="str">
        <f t="shared" si="346"/>
        <v/>
      </c>
      <c r="AU50" s="10" t="str">
        <f t="shared" si="346"/>
        <v/>
      </c>
      <c r="AV50" s="10" t="str">
        <f t="shared" si="346"/>
        <v/>
      </c>
      <c r="AW50" s="10"/>
      <c r="AX50" s="10"/>
      <c r="AY50" s="43" t="str">
        <f t="shared" ref="AY50:BC50" si="347">AR50</f>
        <v/>
      </c>
      <c r="AZ50" s="10" t="str">
        <f t="shared" si="347"/>
        <v/>
      </c>
      <c r="BA50" s="10" t="str">
        <f t="shared" si="347"/>
        <v/>
      </c>
      <c r="BB50" s="10" t="str">
        <f t="shared" si="347"/>
        <v/>
      </c>
      <c r="BC50" s="10" t="str">
        <f t="shared" si="347"/>
        <v/>
      </c>
      <c r="BD50" s="10"/>
      <c r="BE50" s="10"/>
      <c r="BF50" s="43" t="str">
        <f t="shared" ref="BF50:BJ50" si="348">AY50</f>
        <v/>
      </c>
      <c r="BG50" s="10" t="str">
        <f t="shared" si="348"/>
        <v/>
      </c>
      <c r="BH50" s="10" t="str">
        <f t="shared" si="348"/>
        <v/>
      </c>
      <c r="BI50" s="10" t="str">
        <f t="shared" si="348"/>
        <v/>
      </c>
      <c r="BJ50" s="10" t="str">
        <f t="shared" si="348"/>
        <v/>
      </c>
      <c r="BK50" s="10"/>
      <c r="BL50" s="10"/>
      <c r="BM50" s="43" t="str">
        <f t="shared" ref="BM50:BQ50" si="349">BF50</f>
        <v/>
      </c>
      <c r="BN50" s="10" t="str">
        <f t="shared" si="349"/>
        <v/>
      </c>
      <c r="BO50" s="10" t="str">
        <f t="shared" si="349"/>
        <v/>
      </c>
      <c r="BP50" s="10" t="str">
        <f t="shared" si="349"/>
        <v/>
      </c>
      <c r="BQ50" s="10" t="str">
        <f t="shared" si="349"/>
        <v/>
      </c>
      <c r="BR50" s="10"/>
      <c r="BS50" s="10"/>
      <c r="BT50" s="43" t="str">
        <f t="shared" ref="BT50:BX50" si="350">BM50</f>
        <v/>
      </c>
      <c r="BU50" s="10" t="str">
        <f t="shared" si="350"/>
        <v/>
      </c>
      <c r="BV50" s="10" t="str">
        <f t="shared" si="350"/>
        <v/>
      </c>
      <c r="BW50" s="10" t="str">
        <f t="shared" si="350"/>
        <v/>
      </c>
      <c r="BX50" s="10" t="str">
        <f t="shared" si="350"/>
        <v/>
      </c>
      <c r="BY50" s="10"/>
      <c r="BZ50" s="10"/>
      <c r="CA50" s="43" t="str">
        <f t="shared" ref="CA50:CE50" si="351">BT50</f>
        <v/>
      </c>
      <c r="CB50" s="10" t="str">
        <f t="shared" si="351"/>
        <v/>
      </c>
      <c r="CC50" s="10" t="str">
        <f t="shared" si="351"/>
        <v/>
      </c>
      <c r="CD50" s="10" t="str">
        <f t="shared" si="351"/>
        <v/>
      </c>
      <c r="CE50" s="10" t="str">
        <f t="shared" si="351"/>
        <v/>
      </c>
      <c r="CF50" s="10"/>
      <c r="CG50" s="10"/>
      <c r="CH50" s="43" t="str">
        <f t="shared" ref="CH50:CL50" si="352">CA50</f>
        <v/>
      </c>
      <c r="CI50" s="10" t="str">
        <f t="shared" si="352"/>
        <v/>
      </c>
      <c r="CJ50" s="10" t="str">
        <f t="shared" si="352"/>
        <v/>
      </c>
      <c r="CK50" s="10" t="str">
        <f t="shared" si="352"/>
        <v/>
      </c>
      <c r="CL50" s="10" t="str">
        <f t="shared" si="352"/>
        <v/>
      </c>
      <c r="CM50" s="10"/>
      <c r="CN50" s="10"/>
      <c r="CO50" s="43" t="str">
        <f t="shared" ref="CO50:CS50" si="353">CH50</f>
        <v/>
      </c>
      <c r="CP50" s="10" t="str">
        <f t="shared" si="353"/>
        <v/>
      </c>
      <c r="CQ50" s="10" t="str">
        <f t="shared" si="353"/>
        <v/>
      </c>
      <c r="CR50" s="10" t="str">
        <f t="shared" si="353"/>
        <v/>
      </c>
      <c r="CS50" s="10" t="str">
        <f t="shared" si="353"/>
        <v/>
      </c>
      <c r="CT50" s="10"/>
      <c r="CU50" s="10"/>
      <c r="CV50" s="43" t="str">
        <f t="shared" ref="CV50:CZ50" si="354">CO50</f>
        <v/>
      </c>
      <c r="CW50" s="10" t="str">
        <f t="shared" si="354"/>
        <v/>
      </c>
      <c r="CX50" s="10" t="str">
        <f t="shared" si="354"/>
        <v/>
      </c>
      <c r="CY50" s="10" t="str">
        <f t="shared" si="354"/>
        <v/>
      </c>
      <c r="CZ50" s="10" t="str">
        <f t="shared" si="354"/>
        <v/>
      </c>
      <c r="DA50" s="10"/>
      <c r="DB50" s="10"/>
      <c r="DC50" s="43" t="str">
        <f t="shared" ref="DC50:DG50" si="355">CV50</f>
        <v/>
      </c>
      <c r="DD50" s="10" t="str">
        <f t="shared" si="355"/>
        <v/>
      </c>
      <c r="DE50" s="10" t="str">
        <f t="shared" si="355"/>
        <v/>
      </c>
      <c r="DF50" s="10" t="str">
        <f t="shared" si="355"/>
        <v/>
      </c>
      <c r="DG50" s="10" t="str">
        <f t="shared" si="355"/>
        <v/>
      </c>
      <c r="DH50" s="10"/>
      <c r="DI50" s="10"/>
      <c r="DJ50" s="43" t="str">
        <f t="shared" ref="DJ50:DN50" si="356">DC50</f>
        <v/>
      </c>
      <c r="DK50" s="10" t="str">
        <f t="shared" si="356"/>
        <v/>
      </c>
      <c r="DL50" s="10" t="str">
        <f t="shared" si="356"/>
        <v/>
      </c>
      <c r="DM50" s="10" t="str">
        <f t="shared" si="356"/>
        <v/>
      </c>
      <c r="DN50" s="10" t="str">
        <f t="shared" si="356"/>
        <v/>
      </c>
      <c r="DO50" s="10"/>
      <c r="DP50" s="10"/>
      <c r="DQ50" s="43" t="str">
        <f t="shared" ref="DQ50:DU50" si="357">DJ50</f>
        <v/>
      </c>
      <c r="DR50" s="10" t="str">
        <f t="shared" si="357"/>
        <v/>
      </c>
      <c r="DS50" s="10" t="str">
        <f t="shared" si="357"/>
        <v/>
      </c>
      <c r="DT50" s="10" t="str">
        <f t="shared" si="357"/>
        <v/>
      </c>
      <c r="DU50" s="10" t="str">
        <f t="shared" si="357"/>
        <v/>
      </c>
      <c r="DV50" s="10"/>
      <c r="DW50" s="10"/>
      <c r="DX50" s="43" t="str">
        <f t="shared" ref="DX50:EB50" si="358">DQ50</f>
        <v/>
      </c>
      <c r="DY50" s="10" t="str">
        <f t="shared" si="358"/>
        <v/>
      </c>
      <c r="DZ50" s="10" t="str">
        <f t="shared" si="358"/>
        <v/>
      </c>
      <c r="EA50" s="10" t="str">
        <f t="shared" si="358"/>
        <v/>
      </c>
      <c r="EB50" s="10" t="str">
        <f t="shared" si="358"/>
        <v/>
      </c>
      <c r="EC50" s="10"/>
      <c r="ED50" s="10"/>
      <c r="EE50" s="43" t="str">
        <f t="shared" ref="EE50:EI50" si="359">DX50</f>
        <v/>
      </c>
      <c r="EF50" s="10" t="str">
        <f t="shared" si="359"/>
        <v/>
      </c>
      <c r="EG50" s="10" t="str">
        <f t="shared" si="359"/>
        <v/>
      </c>
      <c r="EH50" s="10" t="str">
        <f t="shared" si="359"/>
        <v/>
      </c>
      <c r="EI50" s="10" t="str">
        <f t="shared" si="359"/>
        <v/>
      </c>
      <c r="EJ50" s="10"/>
      <c r="EK50" s="10"/>
      <c r="EL50" s="43" t="str">
        <f t="shared" ref="EL50:EP50" si="360">EE50</f>
        <v/>
      </c>
      <c r="EM50" s="10" t="str">
        <f t="shared" si="360"/>
        <v/>
      </c>
      <c r="EN50" s="10" t="str">
        <f t="shared" si="360"/>
        <v/>
      </c>
      <c r="EO50" s="10" t="str">
        <f t="shared" si="360"/>
        <v/>
      </c>
      <c r="EP50" s="10" t="str">
        <f t="shared" si="360"/>
        <v/>
      </c>
      <c r="EQ50" s="10"/>
      <c r="ER50" s="10"/>
    </row>
    <row r="51">
      <c r="A51" s="44"/>
      <c r="B51" s="43"/>
      <c r="C51" s="10"/>
      <c r="D51" s="10"/>
      <c r="E51" s="10"/>
      <c r="F51" s="10"/>
      <c r="G51" s="10"/>
      <c r="H51" s="10"/>
      <c r="I51" s="43" t="str">
        <f t="shared" ref="I51:M51" si="361">B51</f>
        <v/>
      </c>
      <c r="J51" s="10" t="str">
        <f t="shared" si="361"/>
        <v/>
      </c>
      <c r="K51" s="10" t="str">
        <f t="shared" si="361"/>
        <v/>
      </c>
      <c r="L51" s="10" t="str">
        <f t="shared" si="361"/>
        <v/>
      </c>
      <c r="M51" s="10" t="str">
        <f t="shared" si="361"/>
        <v/>
      </c>
      <c r="N51" s="10"/>
      <c r="O51" s="10"/>
      <c r="P51" s="43" t="str">
        <f t="shared" ref="P51:T51" si="362">I51</f>
        <v/>
      </c>
      <c r="Q51" s="10" t="str">
        <f t="shared" si="362"/>
        <v/>
      </c>
      <c r="R51" s="10" t="str">
        <f t="shared" si="362"/>
        <v/>
      </c>
      <c r="S51" s="10" t="str">
        <f t="shared" si="362"/>
        <v/>
      </c>
      <c r="T51" s="10" t="str">
        <f t="shared" si="362"/>
        <v/>
      </c>
      <c r="U51" s="10"/>
      <c r="V51" s="10"/>
      <c r="W51" s="43" t="str">
        <f t="shared" ref="W51:AA51" si="363">P51</f>
        <v/>
      </c>
      <c r="X51" s="10" t="str">
        <f t="shared" si="363"/>
        <v/>
      </c>
      <c r="Y51" s="10" t="str">
        <f t="shared" si="363"/>
        <v/>
      </c>
      <c r="Z51" s="10" t="str">
        <f t="shared" si="363"/>
        <v/>
      </c>
      <c r="AA51" s="10" t="str">
        <f t="shared" si="363"/>
        <v/>
      </c>
      <c r="AB51" s="10"/>
      <c r="AC51" s="10"/>
      <c r="AD51" s="43" t="str">
        <f t="shared" ref="AD51:AH51" si="364">W51</f>
        <v/>
      </c>
      <c r="AE51" s="10" t="str">
        <f t="shared" si="364"/>
        <v/>
      </c>
      <c r="AF51" s="10" t="str">
        <f t="shared" si="364"/>
        <v/>
      </c>
      <c r="AG51" s="10" t="str">
        <f t="shared" si="364"/>
        <v/>
      </c>
      <c r="AH51" s="10" t="str">
        <f t="shared" si="364"/>
        <v/>
      </c>
      <c r="AI51" s="10"/>
      <c r="AJ51" s="10"/>
      <c r="AK51" s="43" t="str">
        <f t="shared" ref="AK51:AO51" si="365">AD51</f>
        <v/>
      </c>
      <c r="AL51" s="10" t="str">
        <f t="shared" si="365"/>
        <v/>
      </c>
      <c r="AM51" s="10" t="str">
        <f t="shared" si="365"/>
        <v/>
      </c>
      <c r="AN51" s="10" t="str">
        <f t="shared" si="365"/>
        <v/>
      </c>
      <c r="AO51" s="10" t="str">
        <f t="shared" si="365"/>
        <v/>
      </c>
      <c r="AP51" s="10"/>
      <c r="AQ51" s="10"/>
      <c r="AR51" s="43" t="str">
        <f t="shared" ref="AR51:AV51" si="366">AK51</f>
        <v/>
      </c>
      <c r="AS51" s="10" t="str">
        <f t="shared" si="366"/>
        <v/>
      </c>
      <c r="AT51" s="10" t="str">
        <f t="shared" si="366"/>
        <v/>
      </c>
      <c r="AU51" s="10" t="str">
        <f t="shared" si="366"/>
        <v/>
      </c>
      <c r="AV51" s="10" t="str">
        <f t="shared" si="366"/>
        <v/>
      </c>
      <c r="AW51" s="10"/>
      <c r="AX51" s="10"/>
      <c r="AY51" s="43" t="str">
        <f t="shared" ref="AY51:BC51" si="367">AR51</f>
        <v/>
      </c>
      <c r="AZ51" s="10" t="str">
        <f t="shared" si="367"/>
        <v/>
      </c>
      <c r="BA51" s="10" t="str">
        <f t="shared" si="367"/>
        <v/>
      </c>
      <c r="BB51" s="10" t="str">
        <f t="shared" si="367"/>
        <v/>
      </c>
      <c r="BC51" s="10" t="str">
        <f t="shared" si="367"/>
        <v/>
      </c>
      <c r="BD51" s="10"/>
      <c r="BE51" s="10"/>
      <c r="BF51" s="43" t="str">
        <f t="shared" ref="BF51:BJ51" si="368">AY51</f>
        <v/>
      </c>
      <c r="BG51" s="10" t="str">
        <f t="shared" si="368"/>
        <v/>
      </c>
      <c r="BH51" s="10" t="str">
        <f t="shared" si="368"/>
        <v/>
      </c>
      <c r="BI51" s="10" t="str">
        <f t="shared" si="368"/>
        <v/>
      </c>
      <c r="BJ51" s="10" t="str">
        <f t="shared" si="368"/>
        <v/>
      </c>
      <c r="BK51" s="10"/>
      <c r="BL51" s="10"/>
      <c r="BM51" s="43" t="str">
        <f t="shared" ref="BM51:BQ51" si="369">BF51</f>
        <v/>
      </c>
      <c r="BN51" s="10" t="str">
        <f t="shared" si="369"/>
        <v/>
      </c>
      <c r="BO51" s="10" t="str">
        <f t="shared" si="369"/>
        <v/>
      </c>
      <c r="BP51" s="10" t="str">
        <f t="shared" si="369"/>
        <v/>
      </c>
      <c r="BQ51" s="10" t="str">
        <f t="shared" si="369"/>
        <v/>
      </c>
      <c r="BR51" s="10"/>
      <c r="BS51" s="10"/>
      <c r="BT51" s="43" t="str">
        <f t="shared" ref="BT51:BX51" si="370">BM51</f>
        <v/>
      </c>
      <c r="BU51" s="10" t="str">
        <f t="shared" si="370"/>
        <v/>
      </c>
      <c r="BV51" s="10" t="str">
        <f t="shared" si="370"/>
        <v/>
      </c>
      <c r="BW51" s="10" t="str">
        <f t="shared" si="370"/>
        <v/>
      </c>
      <c r="BX51" s="10" t="str">
        <f t="shared" si="370"/>
        <v/>
      </c>
      <c r="BY51" s="10"/>
      <c r="BZ51" s="10"/>
      <c r="CA51" s="43" t="str">
        <f t="shared" ref="CA51:CE51" si="371">BT51</f>
        <v/>
      </c>
      <c r="CB51" s="10" t="str">
        <f t="shared" si="371"/>
        <v/>
      </c>
      <c r="CC51" s="10" t="str">
        <f t="shared" si="371"/>
        <v/>
      </c>
      <c r="CD51" s="10" t="str">
        <f t="shared" si="371"/>
        <v/>
      </c>
      <c r="CE51" s="10" t="str">
        <f t="shared" si="371"/>
        <v/>
      </c>
      <c r="CF51" s="10"/>
      <c r="CG51" s="10"/>
      <c r="CH51" s="43" t="str">
        <f t="shared" ref="CH51:CL51" si="372">CA51</f>
        <v/>
      </c>
      <c r="CI51" s="10" t="str">
        <f t="shared" si="372"/>
        <v/>
      </c>
      <c r="CJ51" s="10" t="str">
        <f t="shared" si="372"/>
        <v/>
      </c>
      <c r="CK51" s="10" t="str">
        <f t="shared" si="372"/>
        <v/>
      </c>
      <c r="CL51" s="10" t="str">
        <f t="shared" si="372"/>
        <v/>
      </c>
      <c r="CM51" s="10"/>
      <c r="CN51" s="10"/>
      <c r="CO51" s="43" t="str">
        <f t="shared" ref="CO51:CS51" si="373">CH51</f>
        <v/>
      </c>
      <c r="CP51" s="10" t="str">
        <f t="shared" si="373"/>
        <v/>
      </c>
      <c r="CQ51" s="10" t="str">
        <f t="shared" si="373"/>
        <v/>
      </c>
      <c r="CR51" s="10" t="str">
        <f t="shared" si="373"/>
        <v/>
      </c>
      <c r="CS51" s="10" t="str">
        <f t="shared" si="373"/>
        <v/>
      </c>
      <c r="CT51" s="10"/>
      <c r="CU51" s="10"/>
      <c r="CV51" s="43" t="str">
        <f t="shared" ref="CV51:CZ51" si="374">CO51</f>
        <v/>
      </c>
      <c r="CW51" s="10" t="str">
        <f t="shared" si="374"/>
        <v/>
      </c>
      <c r="CX51" s="10" t="str">
        <f t="shared" si="374"/>
        <v/>
      </c>
      <c r="CY51" s="10" t="str">
        <f t="shared" si="374"/>
        <v/>
      </c>
      <c r="CZ51" s="10" t="str">
        <f t="shared" si="374"/>
        <v/>
      </c>
      <c r="DA51" s="10"/>
      <c r="DB51" s="10"/>
      <c r="DC51" s="43" t="str">
        <f t="shared" ref="DC51:DG51" si="375">CV51</f>
        <v/>
      </c>
      <c r="DD51" s="10" t="str">
        <f t="shared" si="375"/>
        <v/>
      </c>
      <c r="DE51" s="10" t="str">
        <f t="shared" si="375"/>
        <v/>
      </c>
      <c r="DF51" s="10" t="str">
        <f t="shared" si="375"/>
        <v/>
      </c>
      <c r="DG51" s="10" t="str">
        <f t="shared" si="375"/>
        <v/>
      </c>
      <c r="DH51" s="10"/>
      <c r="DI51" s="10"/>
      <c r="DJ51" s="43" t="str">
        <f t="shared" ref="DJ51:DN51" si="376">DC51</f>
        <v/>
      </c>
      <c r="DK51" s="10" t="str">
        <f t="shared" si="376"/>
        <v/>
      </c>
      <c r="DL51" s="10" t="str">
        <f t="shared" si="376"/>
        <v/>
      </c>
      <c r="DM51" s="10" t="str">
        <f t="shared" si="376"/>
        <v/>
      </c>
      <c r="DN51" s="10" t="str">
        <f t="shared" si="376"/>
        <v/>
      </c>
      <c r="DO51" s="10"/>
      <c r="DP51" s="10"/>
      <c r="DQ51" s="43" t="str">
        <f t="shared" ref="DQ51:DU51" si="377">DJ51</f>
        <v/>
      </c>
      <c r="DR51" s="10" t="str">
        <f t="shared" si="377"/>
        <v/>
      </c>
      <c r="DS51" s="10" t="str">
        <f t="shared" si="377"/>
        <v/>
      </c>
      <c r="DT51" s="10" t="str">
        <f t="shared" si="377"/>
        <v/>
      </c>
      <c r="DU51" s="10" t="str">
        <f t="shared" si="377"/>
        <v/>
      </c>
      <c r="DV51" s="10"/>
      <c r="DW51" s="10"/>
      <c r="DX51" s="43" t="str">
        <f t="shared" ref="DX51:EB51" si="378">DQ51</f>
        <v/>
      </c>
      <c r="DY51" s="10" t="str">
        <f t="shared" si="378"/>
        <v/>
      </c>
      <c r="DZ51" s="10" t="str">
        <f t="shared" si="378"/>
        <v/>
      </c>
      <c r="EA51" s="10" t="str">
        <f t="shared" si="378"/>
        <v/>
      </c>
      <c r="EB51" s="10" t="str">
        <f t="shared" si="378"/>
        <v/>
      </c>
      <c r="EC51" s="10"/>
      <c r="ED51" s="10"/>
      <c r="EE51" s="43" t="str">
        <f t="shared" ref="EE51:EI51" si="379">DX51</f>
        <v/>
      </c>
      <c r="EF51" s="10" t="str">
        <f t="shared" si="379"/>
        <v/>
      </c>
      <c r="EG51" s="10" t="str">
        <f t="shared" si="379"/>
        <v/>
      </c>
      <c r="EH51" s="10" t="str">
        <f t="shared" si="379"/>
        <v/>
      </c>
      <c r="EI51" s="10" t="str">
        <f t="shared" si="379"/>
        <v/>
      </c>
      <c r="EJ51" s="10"/>
      <c r="EK51" s="10"/>
      <c r="EL51" s="43" t="str">
        <f t="shared" ref="EL51:EP51" si="380">EE51</f>
        <v/>
      </c>
      <c r="EM51" s="10" t="str">
        <f t="shared" si="380"/>
        <v/>
      </c>
      <c r="EN51" s="10" t="str">
        <f t="shared" si="380"/>
        <v/>
      </c>
      <c r="EO51" s="10" t="str">
        <f t="shared" si="380"/>
        <v/>
      </c>
      <c r="EP51" s="10" t="str">
        <f t="shared" si="380"/>
        <v/>
      </c>
      <c r="EQ51" s="10"/>
      <c r="ER51" s="10"/>
    </row>
    <row r="52">
      <c r="A52" s="45"/>
      <c r="B52" s="46"/>
      <c r="C52" s="47"/>
      <c r="D52" s="47"/>
      <c r="E52" s="47"/>
      <c r="F52" s="47"/>
      <c r="G52" s="47"/>
      <c r="H52" s="47"/>
      <c r="I52" s="46" t="str">
        <f t="shared" ref="I52:M52" si="381">B52</f>
        <v/>
      </c>
      <c r="J52" s="47" t="str">
        <f t="shared" si="381"/>
        <v/>
      </c>
      <c r="K52" s="47" t="str">
        <f t="shared" si="381"/>
        <v/>
      </c>
      <c r="L52" s="47" t="str">
        <f t="shared" si="381"/>
        <v/>
      </c>
      <c r="M52" s="47" t="str">
        <f t="shared" si="381"/>
        <v/>
      </c>
      <c r="N52" s="47"/>
      <c r="O52" s="47"/>
      <c r="P52" s="46" t="str">
        <f t="shared" ref="P52:T52" si="382">I52</f>
        <v/>
      </c>
      <c r="Q52" s="47" t="str">
        <f t="shared" si="382"/>
        <v/>
      </c>
      <c r="R52" s="47" t="str">
        <f t="shared" si="382"/>
        <v/>
      </c>
      <c r="S52" s="47" t="str">
        <f t="shared" si="382"/>
        <v/>
      </c>
      <c r="T52" s="47" t="str">
        <f t="shared" si="382"/>
        <v/>
      </c>
      <c r="U52" s="47"/>
      <c r="V52" s="47"/>
      <c r="W52" s="46" t="str">
        <f t="shared" ref="W52:AA52" si="383">P52</f>
        <v/>
      </c>
      <c r="X52" s="47" t="str">
        <f t="shared" si="383"/>
        <v/>
      </c>
      <c r="Y52" s="47" t="str">
        <f t="shared" si="383"/>
        <v/>
      </c>
      <c r="Z52" s="47" t="str">
        <f t="shared" si="383"/>
        <v/>
      </c>
      <c r="AA52" s="47" t="str">
        <f t="shared" si="383"/>
        <v/>
      </c>
      <c r="AB52" s="47"/>
      <c r="AC52" s="47"/>
      <c r="AD52" s="46" t="str">
        <f t="shared" ref="AD52:AH52" si="384">W52</f>
        <v/>
      </c>
      <c r="AE52" s="47" t="str">
        <f t="shared" si="384"/>
        <v/>
      </c>
      <c r="AF52" s="47" t="str">
        <f t="shared" si="384"/>
        <v/>
      </c>
      <c r="AG52" s="47" t="str">
        <f t="shared" si="384"/>
        <v/>
      </c>
      <c r="AH52" s="47" t="str">
        <f t="shared" si="384"/>
        <v/>
      </c>
      <c r="AI52" s="47"/>
      <c r="AJ52" s="47"/>
      <c r="AK52" s="46" t="str">
        <f t="shared" ref="AK52:AO52" si="385">AD52</f>
        <v/>
      </c>
      <c r="AL52" s="47" t="str">
        <f t="shared" si="385"/>
        <v/>
      </c>
      <c r="AM52" s="47" t="str">
        <f t="shared" si="385"/>
        <v/>
      </c>
      <c r="AN52" s="47" t="str">
        <f t="shared" si="385"/>
        <v/>
      </c>
      <c r="AO52" s="47" t="str">
        <f t="shared" si="385"/>
        <v/>
      </c>
      <c r="AP52" s="47"/>
      <c r="AQ52" s="47"/>
      <c r="AR52" s="46" t="str">
        <f t="shared" ref="AR52:AV52" si="386">AK52</f>
        <v/>
      </c>
      <c r="AS52" s="47" t="str">
        <f t="shared" si="386"/>
        <v/>
      </c>
      <c r="AT52" s="47" t="str">
        <f t="shared" si="386"/>
        <v/>
      </c>
      <c r="AU52" s="47" t="str">
        <f t="shared" si="386"/>
        <v/>
      </c>
      <c r="AV52" s="47" t="str">
        <f t="shared" si="386"/>
        <v/>
      </c>
      <c r="AW52" s="47"/>
      <c r="AX52" s="47"/>
      <c r="AY52" s="46" t="str">
        <f t="shared" ref="AY52:BC52" si="387">AR52</f>
        <v/>
      </c>
      <c r="AZ52" s="47" t="str">
        <f t="shared" si="387"/>
        <v/>
      </c>
      <c r="BA52" s="47" t="str">
        <f t="shared" si="387"/>
        <v/>
      </c>
      <c r="BB52" s="47" t="str">
        <f t="shared" si="387"/>
        <v/>
      </c>
      <c r="BC52" s="47" t="str">
        <f t="shared" si="387"/>
        <v/>
      </c>
      <c r="BD52" s="47"/>
      <c r="BE52" s="47"/>
      <c r="BF52" s="46" t="str">
        <f t="shared" ref="BF52:BJ52" si="388">AY52</f>
        <v/>
      </c>
      <c r="BG52" s="47" t="str">
        <f t="shared" si="388"/>
        <v/>
      </c>
      <c r="BH52" s="47" t="str">
        <f t="shared" si="388"/>
        <v/>
      </c>
      <c r="BI52" s="47" t="str">
        <f t="shared" si="388"/>
        <v/>
      </c>
      <c r="BJ52" s="47" t="str">
        <f t="shared" si="388"/>
        <v/>
      </c>
      <c r="BK52" s="47"/>
      <c r="BL52" s="47"/>
      <c r="BM52" s="46" t="str">
        <f t="shared" ref="BM52:BQ52" si="389">BF52</f>
        <v/>
      </c>
      <c r="BN52" s="47" t="str">
        <f t="shared" si="389"/>
        <v/>
      </c>
      <c r="BO52" s="47" t="str">
        <f t="shared" si="389"/>
        <v/>
      </c>
      <c r="BP52" s="47" t="str">
        <f t="shared" si="389"/>
        <v/>
      </c>
      <c r="BQ52" s="47" t="str">
        <f t="shared" si="389"/>
        <v/>
      </c>
      <c r="BR52" s="47"/>
      <c r="BS52" s="47"/>
      <c r="BT52" s="46" t="str">
        <f t="shared" ref="BT52:BX52" si="390">BM52</f>
        <v/>
      </c>
      <c r="BU52" s="47" t="str">
        <f t="shared" si="390"/>
        <v/>
      </c>
      <c r="BV52" s="47" t="str">
        <f t="shared" si="390"/>
        <v/>
      </c>
      <c r="BW52" s="47" t="str">
        <f t="shared" si="390"/>
        <v/>
      </c>
      <c r="BX52" s="47" t="str">
        <f t="shared" si="390"/>
        <v/>
      </c>
      <c r="BY52" s="47"/>
      <c r="BZ52" s="47"/>
      <c r="CA52" s="46" t="str">
        <f t="shared" ref="CA52:CE52" si="391">BT52</f>
        <v/>
      </c>
      <c r="CB52" s="47" t="str">
        <f t="shared" si="391"/>
        <v/>
      </c>
      <c r="CC52" s="47" t="str">
        <f t="shared" si="391"/>
        <v/>
      </c>
      <c r="CD52" s="47" t="str">
        <f t="shared" si="391"/>
        <v/>
      </c>
      <c r="CE52" s="47" t="str">
        <f t="shared" si="391"/>
        <v/>
      </c>
      <c r="CF52" s="47"/>
      <c r="CG52" s="47"/>
      <c r="CH52" s="46" t="str">
        <f t="shared" ref="CH52:CL52" si="392">CA52</f>
        <v/>
      </c>
      <c r="CI52" s="47" t="str">
        <f t="shared" si="392"/>
        <v/>
      </c>
      <c r="CJ52" s="47" t="str">
        <f t="shared" si="392"/>
        <v/>
      </c>
      <c r="CK52" s="47" t="str">
        <f t="shared" si="392"/>
        <v/>
      </c>
      <c r="CL52" s="47" t="str">
        <f t="shared" si="392"/>
        <v/>
      </c>
      <c r="CM52" s="47"/>
      <c r="CN52" s="47"/>
      <c r="CO52" s="46" t="str">
        <f t="shared" ref="CO52:CS52" si="393">CH52</f>
        <v/>
      </c>
      <c r="CP52" s="47" t="str">
        <f t="shared" si="393"/>
        <v/>
      </c>
      <c r="CQ52" s="47" t="str">
        <f t="shared" si="393"/>
        <v/>
      </c>
      <c r="CR52" s="47" t="str">
        <f t="shared" si="393"/>
        <v/>
      </c>
      <c r="CS52" s="47" t="str">
        <f t="shared" si="393"/>
        <v/>
      </c>
      <c r="CT52" s="47"/>
      <c r="CU52" s="47"/>
      <c r="CV52" s="46" t="str">
        <f t="shared" ref="CV52:CZ52" si="394">CO52</f>
        <v/>
      </c>
      <c r="CW52" s="47" t="str">
        <f t="shared" si="394"/>
        <v/>
      </c>
      <c r="CX52" s="47" t="str">
        <f t="shared" si="394"/>
        <v/>
      </c>
      <c r="CY52" s="47" t="str">
        <f t="shared" si="394"/>
        <v/>
      </c>
      <c r="CZ52" s="47" t="str">
        <f t="shared" si="394"/>
        <v/>
      </c>
      <c r="DA52" s="47"/>
      <c r="DB52" s="47"/>
      <c r="DC52" s="46" t="str">
        <f t="shared" ref="DC52:DG52" si="395">CV52</f>
        <v/>
      </c>
      <c r="DD52" s="47" t="str">
        <f t="shared" si="395"/>
        <v/>
      </c>
      <c r="DE52" s="47" t="str">
        <f t="shared" si="395"/>
        <v/>
      </c>
      <c r="DF52" s="47" t="str">
        <f t="shared" si="395"/>
        <v/>
      </c>
      <c r="DG52" s="47" t="str">
        <f t="shared" si="395"/>
        <v/>
      </c>
      <c r="DH52" s="47"/>
      <c r="DI52" s="47"/>
      <c r="DJ52" s="46" t="str">
        <f t="shared" ref="DJ52:DN52" si="396">DC52</f>
        <v/>
      </c>
      <c r="DK52" s="47" t="str">
        <f t="shared" si="396"/>
        <v/>
      </c>
      <c r="DL52" s="47" t="str">
        <f t="shared" si="396"/>
        <v/>
      </c>
      <c r="DM52" s="47" t="str">
        <f t="shared" si="396"/>
        <v/>
      </c>
      <c r="DN52" s="47" t="str">
        <f t="shared" si="396"/>
        <v/>
      </c>
      <c r="DO52" s="47"/>
      <c r="DP52" s="47"/>
      <c r="DQ52" s="46" t="str">
        <f t="shared" ref="DQ52:DU52" si="397">DJ52</f>
        <v/>
      </c>
      <c r="DR52" s="47" t="str">
        <f t="shared" si="397"/>
        <v/>
      </c>
      <c r="DS52" s="47" t="str">
        <f t="shared" si="397"/>
        <v/>
      </c>
      <c r="DT52" s="47" t="str">
        <f t="shared" si="397"/>
        <v/>
      </c>
      <c r="DU52" s="47" t="str">
        <f t="shared" si="397"/>
        <v/>
      </c>
      <c r="DV52" s="47"/>
      <c r="DW52" s="47"/>
      <c r="DX52" s="46" t="str">
        <f t="shared" ref="DX52:EB52" si="398">DQ52</f>
        <v/>
      </c>
      <c r="DY52" s="47" t="str">
        <f t="shared" si="398"/>
        <v/>
      </c>
      <c r="DZ52" s="47" t="str">
        <f t="shared" si="398"/>
        <v/>
      </c>
      <c r="EA52" s="47" t="str">
        <f t="shared" si="398"/>
        <v/>
      </c>
      <c r="EB52" s="47" t="str">
        <f t="shared" si="398"/>
        <v/>
      </c>
      <c r="EC52" s="47"/>
      <c r="ED52" s="47"/>
      <c r="EE52" s="46" t="str">
        <f t="shared" ref="EE52:EI52" si="399">DX52</f>
        <v/>
      </c>
      <c r="EF52" s="47" t="str">
        <f t="shared" si="399"/>
        <v/>
      </c>
      <c r="EG52" s="47" t="str">
        <f t="shared" si="399"/>
        <v/>
      </c>
      <c r="EH52" s="47" t="str">
        <f t="shared" si="399"/>
        <v/>
      </c>
      <c r="EI52" s="47" t="str">
        <f t="shared" si="399"/>
        <v/>
      </c>
      <c r="EJ52" s="47"/>
      <c r="EK52" s="47"/>
      <c r="EL52" s="46" t="str">
        <f t="shared" ref="EL52:EP52" si="400">EE52</f>
        <v/>
      </c>
      <c r="EM52" s="47" t="str">
        <f t="shared" si="400"/>
        <v/>
      </c>
      <c r="EN52" s="47" t="str">
        <f t="shared" si="400"/>
        <v/>
      </c>
      <c r="EO52" s="47" t="str">
        <f t="shared" si="400"/>
        <v/>
      </c>
      <c r="EP52" s="47" t="str">
        <f t="shared" si="400"/>
        <v/>
      </c>
      <c r="EQ52" s="47"/>
      <c r="ER52" s="47"/>
    </row>
    <row r="53">
      <c r="A53" s="3"/>
      <c r="B53" s="42"/>
      <c r="C53" s="3"/>
      <c r="D53" s="3"/>
      <c r="E53" s="3"/>
      <c r="F53" s="3"/>
      <c r="G53" s="3"/>
      <c r="H53" s="3"/>
      <c r="I53" s="42"/>
      <c r="J53" s="3"/>
      <c r="K53" s="3"/>
      <c r="L53" s="3"/>
      <c r="M53" s="3"/>
      <c r="N53" s="3"/>
      <c r="O53" s="3"/>
      <c r="P53" s="42"/>
      <c r="Q53" s="3"/>
      <c r="R53" s="3"/>
      <c r="S53" s="3"/>
      <c r="T53" s="3"/>
      <c r="U53" s="3"/>
      <c r="V53" s="3"/>
      <c r="W53" s="42"/>
      <c r="X53" s="3"/>
      <c r="Y53" s="3"/>
      <c r="Z53" s="3"/>
      <c r="AA53" s="3"/>
      <c r="AB53" s="3"/>
      <c r="AC53" s="3"/>
      <c r="AD53" s="42"/>
      <c r="AE53" s="3"/>
      <c r="AF53" s="3"/>
      <c r="AG53" s="3"/>
      <c r="AH53" s="3"/>
      <c r="AI53" s="3"/>
      <c r="AJ53" s="3"/>
      <c r="AK53" s="42"/>
      <c r="AL53" s="3"/>
      <c r="AM53" s="3"/>
      <c r="AN53" s="3"/>
      <c r="AO53" s="3"/>
      <c r="AP53" s="3"/>
      <c r="AQ53" s="3"/>
      <c r="AR53" s="42"/>
      <c r="AS53" s="3"/>
      <c r="AT53" s="3"/>
      <c r="AU53" s="3"/>
      <c r="AV53" s="3"/>
      <c r="AW53" s="3"/>
      <c r="AX53" s="3"/>
      <c r="AY53" s="42"/>
      <c r="AZ53" s="3"/>
      <c r="BA53" s="3"/>
      <c r="BB53" s="3"/>
      <c r="BC53" s="3"/>
      <c r="BD53" s="3"/>
      <c r="BE53" s="3"/>
      <c r="BF53" s="42"/>
      <c r="BG53" s="3"/>
      <c r="BH53" s="3"/>
      <c r="BI53" s="3"/>
      <c r="BJ53" s="3"/>
      <c r="BK53" s="3"/>
      <c r="BL53" s="3"/>
      <c r="BM53" s="42"/>
      <c r="BN53" s="3"/>
      <c r="BO53" s="3"/>
      <c r="BP53" s="3"/>
      <c r="BQ53" s="3"/>
      <c r="BR53" s="3"/>
      <c r="BS53" s="3"/>
      <c r="BT53" s="42"/>
      <c r="BU53" s="3"/>
      <c r="BV53" s="3"/>
      <c r="BW53" s="3"/>
      <c r="BX53" s="3"/>
      <c r="BY53" s="3"/>
      <c r="BZ53" s="3"/>
      <c r="CA53" s="42"/>
      <c r="CB53" s="3"/>
      <c r="CC53" s="3"/>
      <c r="CD53" s="3"/>
      <c r="CE53" s="3"/>
      <c r="CF53" s="3"/>
      <c r="CG53" s="3"/>
      <c r="CH53" s="42"/>
      <c r="CI53" s="3"/>
      <c r="CJ53" s="3"/>
      <c r="CK53" s="3"/>
      <c r="CL53" s="3"/>
      <c r="CM53" s="3"/>
      <c r="CN53" s="3"/>
      <c r="CO53" s="42"/>
      <c r="CP53" s="3"/>
      <c r="CQ53" s="3"/>
      <c r="CR53" s="3"/>
      <c r="CS53" s="3"/>
      <c r="CT53" s="3"/>
      <c r="CU53" s="3"/>
      <c r="CV53" s="42"/>
      <c r="CW53" s="3"/>
      <c r="CX53" s="3"/>
      <c r="CY53" s="3"/>
      <c r="CZ53" s="3"/>
      <c r="DA53" s="3"/>
      <c r="DB53" s="3"/>
      <c r="DC53" s="42"/>
      <c r="DD53" s="3"/>
      <c r="DE53" s="3"/>
      <c r="DF53" s="3"/>
      <c r="DG53" s="3"/>
      <c r="DH53" s="3"/>
      <c r="DI53" s="3"/>
      <c r="DJ53" s="42"/>
      <c r="DK53" s="3"/>
      <c r="DL53" s="3"/>
      <c r="DM53" s="3"/>
      <c r="DN53" s="3"/>
      <c r="DO53" s="3"/>
      <c r="DP53" s="3"/>
      <c r="DQ53" s="42"/>
      <c r="DR53" s="3"/>
      <c r="DS53" s="3"/>
      <c r="DT53" s="3"/>
      <c r="DU53" s="3"/>
      <c r="DV53" s="3"/>
      <c r="DW53" s="3"/>
      <c r="DX53" s="42"/>
      <c r="DY53" s="3"/>
      <c r="DZ53" s="3"/>
      <c r="EA53" s="3"/>
      <c r="EB53" s="3"/>
      <c r="EC53" s="3"/>
      <c r="ED53" s="3"/>
      <c r="EE53" s="42"/>
      <c r="EF53" s="3"/>
      <c r="EG53" s="3"/>
      <c r="EH53" s="3"/>
      <c r="EI53" s="3"/>
      <c r="EJ53" s="3"/>
      <c r="EK53" s="3"/>
      <c r="EL53" s="42"/>
      <c r="EM53" s="3"/>
      <c r="EN53" s="3"/>
      <c r="EO53" s="3"/>
      <c r="EP53" s="3"/>
      <c r="EQ53" s="3"/>
      <c r="ER53" s="3"/>
    </row>
    <row r="54">
      <c r="A54" s="32" t="s">
        <v>84</v>
      </c>
      <c r="B54" s="33"/>
      <c r="C54" s="34"/>
      <c r="D54" s="34"/>
      <c r="E54" s="34"/>
      <c r="F54" s="34"/>
      <c r="G54" s="34"/>
      <c r="H54" s="34"/>
      <c r="I54" s="33"/>
      <c r="J54" s="34"/>
      <c r="K54" s="34"/>
      <c r="L54" s="34"/>
      <c r="M54" s="34"/>
      <c r="N54" s="34"/>
      <c r="O54" s="34"/>
      <c r="P54" s="33"/>
      <c r="Q54" s="34"/>
      <c r="R54" s="34"/>
      <c r="S54" s="34"/>
      <c r="T54" s="34"/>
      <c r="U54" s="34"/>
      <c r="V54" s="34"/>
      <c r="W54" s="33"/>
      <c r="X54" s="34"/>
      <c r="Y54" s="34"/>
      <c r="Z54" s="34"/>
      <c r="AA54" s="34"/>
      <c r="AB54" s="34"/>
      <c r="AC54" s="34"/>
      <c r="AD54" s="33"/>
      <c r="AE54" s="34"/>
      <c r="AF54" s="34"/>
      <c r="AG54" s="34"/>
      <c r="AH54" s="34"/>
      <c r="AI54" s="34"/>
      <c r="AJ54" s="34"/>
      <c r="AK54" s="33"/>
      <c r="AL54" s="34"/>
      <c r="AM54" s="34"/>
      <c r="AN54" s="34"/>
      <c r="AO54" s="34"/>
      <c r="AP54" s="34"/>
      <c r="AQ54" s="34"/>
      <c r="AR54" s="33"/>
      <c r="AS54" s="34"/>
      <c r="AT54" s="34"/>
      <c r="AU54" s="34"/>
      <c r="AV54" s="34"/>
      <c r="AW54" s="34"/>
      <c r="AX54" s="34"/>
      <c r="AY54" s="33"/>
      <c r="AZ54" s="34"/>
      <c r="BA54" s="34"/>
      <c r="BB54" s="34"/>
      <c r="BC54" s="34"/>
      <c r="BD54" s="34"/>
      <c r="BE54" s="34"/>
      <c r="BF54" s="33"/>
      <c r="BG54" s="34"/>
      <c r="BH54" s="34"/>
      <c r="BI54" s="34"/>
      <c r="BJ54" s="34"/>
      <c r="BK54" s="34"/>
      <c r="BL54" s="34"/>
      <c r="BM54" s="33"/>
      <c r="BN54" s="34"/>
      <c r="BO54" s="34"/>
      <c r="BP54" s="34"/>
      <c r="BQ54" s="34"/>
      <c r="BR54" s="34"/>
      <c r="BS54" s="34"/>
      <c r="BT54" s="33"/>
      <c r="BU54" s="34"/>
      <c r="BV54" s="34"/>
      <c r="BW54" s="34"/>
      <c r="BX54" s="34"/>
      <c r="BY54" s="34"/>
      <c r="BZ54" s="34"/>
      <c r="CA54" s="33"/>
      <c r="CB54" s="34"/>
      <c r="CC54" s="34"/>
      <c r="CD54" s="34"/>
      <c r="CE54" s="34"/>
      <c r="CF54" s="34"/>
      <c r="CG54" s="34"/>
      <c r="CH54" s="33"/>
      <c r="CI54" s="34"/>
      <c r="CJ54" s="34"/>
      <c r="CK54" s="34"/>
      <c r="CL54" s="34"/>
      <c r="CM54" s="34"/>
      <c r="CN54" s="34"/>
      <c r="CO54" s="33"/>
      <c r="CP54" s="34"/>
      <c r="CQ54" s="34"/>
      <c r="CR54" s="34"/>
      <c r="CS54" s="34"/>
      <c r="CT54" s="34"/>
      <c r="CU54" s="34"/>
      <c r="CV54" s="33"/>
      <c r="CW54" s="34"/>
      <c r="CX54" s="34"/>
      <c r="CY54" s="34"/>
      <c r="CZ54" s="34"/>
      <c r="DA54" s="34"/>
      <c r="DB54" s="34"/>
      <c r="DC54" s="33"/>
      <c r="DD54" s="34"/>
      <c r="DE54" s="34"/>
      <c r="DF54" s="34"/>
      <c r="DG54" s="34"/>
      <c r="DH54" s="34"/>
      <c r="DI54" s="34"/>
      <c r="DJ54" s="33"/>
      <c r="DK54" s="34"/>
      <c r="DL54" s="34"/>
      <c r="DM54" s="34"/>
      <c r="DN54" s="34"/>
      <c r="DO54" s="34"/>
      <c r="DP54" s="34"/>
      <c r="DQ54" s="33"/>
      <c r="DR54" s="34"/>
      <c r="DS54" s="34"/>
      <c r="DT54" s="34"/>
      <c r="DU54" s="34"/>
      <c r="DV54" s="34"/>
      <c r="DW54" s="34"/>
      <c r="DX54" s="33"/>
      <c r="DY54" s="34"/>
      <c r="DZ54" s="34"/>
      <c r="EA54" s="34"/>
      <c r="EB54" s="34"/>
      <c r="EC54" s="34"/>
      <c r="ED54" s="34"/>
      <c r="EE54" s="35" t="s">
        <v>77</v>
      </c>
      <c r="EF54" s="36"/>
      <c r="EG54" s="36"/>
      <c r="EH54" s="36"/>
      <c r="EI54" s="36"/>
      <c r="EJ54" s="36"/>
      <c r="EK54" s="36"/>
      <c r="EL54" s="33"/>
      <c r="EM54" s="34"/>
      <c r="EN54" s="34"/>
      <c r="EO54" s="34"/>
      <c r="EP54" s="34"/>
      <c r="EQ54" s="34"/>
      <c r="ER54" s="34"/>
    </row>
    <row r="55" hidden="1">
      <c r="A55" s="37" t="str">
        <f>CONCATENATE(A56," TM")</f>
        <v>Incline Press TM</v>
      </c>
      <c r="B55" s="38">
        <f>if(D55="",'Quick Setup'!D14,D55/'Quick Setup'!E14)</f>
        <v>280</v>
      </c>
      <c r="C55" s="39" t="s">
        <v>75</v>
      </c>
      <c r="D55" s="40"/>
      <c r="E55" s="41"/>
      <c r="F55" s="41"/>
      <c r="G55" s="41"/>
      <c r="H55" s="41"/>
      <c r="I55" s="38">
        <f>if(K55="", if(F56&lt;&gt;"", if((F56-D56)&lt;-1,B55*(1+Setup!F12),if((F56-D56)&lt;0,B55*(1+Setup!G12),if((F56-D56)=0,B55*(1+Setup!H12),if((F56-D56)=1,B55*(1+Setup!I12),if((F56-D56)=2,B55*(1+Setup!J12),if((F56-D56)=3,B55*(1+Setup!K12),if((F56-D56)=4,B55*(1+Setup!L12),if((F56-D56)&gt;4,B55*(1+Setup!M12),B55)))))))),B55),K55/'Quick Setup'!$E14)</f>
        <v>280</v>
      </c>
      <c r="J55" s="39" t="s">
        <v>75</v>
      </c>
      <c r="K55" s="40"/>
      <c r="L55" s="41"/>
      <c r="M55" s="41"/>
      <c r="N55" s="41"/>
      <c r="O55" s="41"/>
      <c r="P55" s="38">
        <f>if(R55="", if(M56&lt;&gt;"", if((M56-K56)&lt;-1,I55*(1+Setup!R12),if((M56-K56)&lt;0,I55*(1+Setup!S12),if((M56-K56)=0,I55*(1+Setup!T12),if((M56-K56)=1,I55*(1+Setup!U12),if((M56-K56)=2,I55*(1+Setup!V12),if((M56-K56)=3,I55*(1+Setup!W12),if((M56-K56)=4,I55*(1+Setup!X12),if((M56-K56)&gt;4,I55*(1+Setup!Y12),I55)))))))),I55),R55/'Quick Setup'!$E14)</f>
        <v>280</v>
      </c>
      <c r="Q55" s="39" t="s">
        <v>75</v>
      </c>
      <c r="R55" s="40"/>
      <c r="S55" s="41"/>
      <c r="T55" s="41"/>
      <c r="U55" s="41"/>
      <c r="V55" s="41"/>
      <c r="W55" s="38">
        <f>if(Y55="", if(T56&lt;&gt;"", if((T56-R56)&lt;-1,P55*(1+Setup!AD12),if((T56-R56)&lt;0,P55*(1+Setup!AE12),if((T56-R56)=0,P55*(1+Setup!AF12),if((T56-R56)=1,P55*(1+Setup!AG12),if((T56-R56)=2,P55*(1+Setup!AH12),if((T56-R56)=3,P55*(1+Setup!AI12),if((T56-R56)=4,P55*(1+Setup!AJ12),if((T56-R56)&gt;4,P55*(1+Setup!AK12),P55)))))))),P55),Y55/'Quick Setup'!$E14)</f>
        <v>280</v>
      </c>
      <c r="X55" s="39" t="s">
        <v>75</v>
      </c>
      <c r="Y55" s="40"/>
      <c r="Z55" s="41"/>
      <c r="AA55" s="41"/>
      <c r="AB55" s="41"/>
      <c r="AC55" s="41"/>
      <c r="AD55" s="38">
        <f>if(AF55="", if(AA56&lt;&gt;"", if((AA56-Y56)&lt;-1,W55*(1+Setup!AP12),if((AA56-Y56)&lt;0,W55*(1+Setup!AQ12),if((AA56-Y56)=0,W55*(1+Setup!AR12),if((AA56-Y56)=1,W55*(1+Setup!AS12),if((AA56-Y56)=2,W55*(1+Setup!AT12),if((AA56-Y56)=3,W55*(1+Setup!AU12),if((AA56-Y56)=4,W55*(1+Setup!AV12),if((AA56-Y56)&gt;4,W55*(1+Setup!AW12),W55)))))))),W55),AF55/'Quick Setup'!$E14)</f>
        <v>280</v>
      </c>
      <c r="AE55" s="39" t="s">
        <v>75</v>
      </c>
      <c r="AF55" s="40"/>
      <c r="AG55" s="41"/>
      <c r="AH55" s="41"/>
      <c r="AI55" s="41"/>
      <c r="AJ55" s="41"/>
      <c r="AK55" s="38">
        <f>if(AM55="", if(AH56&lt;&gt;"", if((AH56-AF56)&lt;-1,AD55*(1+Setup!BB12),if((AH56-AF56)&lt;0,AD55*(1+Setup!BC12),if((AH56-AF56)=0,AD55*(1+Setup!BD12),if((AH56-AF56)=1,AD55*(1+Setup!BE12),if((AH56-AF56)=2,AD55*(1+Setup!BF12),if((AH56-AF56)=3,AD55*(1+Setup!BG12),if((AH56-AF56)=4,AD55*(1+Setup!BH12),if((AH56-AF56)&gt;4,AD55*(1+Setup!BI12),AD55)))))))),AD55),AM55/'Quick Setup'!$E14)</f>
        <v>280</v>
      </c>
      <c r="AL55" s="39" t="s">
        <v>75</v>
      </c>
      <c r="AM55" s="40"/>
      <c r="AN55" s="41"/>
      <c r="AO55" s="41"/>
      <c r="AP55" s="41"/>
      <c r="AQ55" s="41"/>
      <c r="AR55" s="38">
        <f>if(AT55="", if(AO56&lt;&gt;"", if((AO56-AM56)&lt;-1,AK55*(1+Setup!BN12),if((AO56-AM56)&lt;0,AK55*(1+Setup!BO12),if((AO56-AM56)=0,AK55*(1+Setup!BP12),if((AO56-AM56)=1,AK55*(1+Setup!BQ12),if((AO56-AM56)=2,AK55*(1+Setup!BR12),if((AO56-AM56)=3,AK55*(1+Setup!BS12),if((AO56-AM56)=4,AK55*(1+Setup!BT12),if((AO56-AM56)&gt;4,AK55*(1+Setup!BU12),AK55)))))))),AK55),AT55/'Quick Setup'!$E14)</f>
        <v>280</v>
      </c>
      <c r="AS55" s="39" t="s">
        <v>75</v>
      </c>
      <c r="AT55" s="40"/>
      <c r="AU55" s="41"/>
      <c r="AV55" s="41"/>
      <c r="AW55" s="41"/>
      <c r="AX55" s="41"/>
      <c r="AY55" s="38">
        <f>if(BA55="",AR55,BA55/'Quick Setup'!$E14)</f>
        <v>280</v>
      </c>
      <c r="AZ55" s="39" t="s">
        <v>75</v>
      </c>
      <c r="BA55" s="40"/>
      <c r="BB55" s="41"/>
      <c r="BC55" s="41"/>
      <c r="BD55" s="41"/>
      <c r="BE55" s="41"/>
      <c r="BF55" s="38">
        <f>if(BH55="", if(BC56&lt;&gt;"", if((BC56-BA56)&lt;-1,AY55*(1+Setup!CL12),if((BC56-BA56)&lt;0,AY55*(1+Setup!CM12),if((BC56-BA56)=0,AY55*(1+Setup!CN12),if((BC56-BA56)=1,AY55*(1+Setup!CO12),if((BC56-BA56)=2,AY55*(1+Setup!CP12),if((BC56-BA56)=3,AY55*(1+Setup!CQ12),if((BC56-BA56)=4,AY55*(1+Setup!CR12),if((BC56-BA56)&gt;4,AY55*(1+Setup!CS12),AY55)))))))),AY55),BH55/'Quick Setup'!$E14)</f>
        <v>280</v>
      </c>
      <c r="BG55" s="39" t="s">
        <v>75</v>
      </c>
      <c r="BH55" s="40"/>
      <c r="BI55" s="41"/>
      <c r="BJ55" s="41"/>
      <c r="BK55" s="41"/>
      <c r="BL55" s="41"/>
      <c r="BM55" s="38">
        <f>if(BO55="", if(BJ56&lt;&gt;"", if((BJ56-BH56)&lt;-1,BF55*(1+Setup!CX12),if((BJ56-BH56)&lt;0,BF55*(1+Setup!CY12),if((BJ56-BH56)=0,BF55*(1+Setup!CZ12),if((BJ56-BH56)=1,BF55*(1+Setup!DA12),if((BJ56-BH56)=2,BF55*(1+Setup!DB12),if((BJ56-BH56)=3,BF55*(1+Setup!DC12),if((BJ56-BH56)=4,BF55*(1+Setup!DD12),if((BJ56-BH56)&gt;4,BF55*(1+Setup!DE12),BF55)))))))),BF55),BO55/'Quick Setup'!$E14)</f>
        <v>280</v>
      </c>
      <c r="BN55" s="39" t="s">
        <v>75</v>
      </c>
      <c r="BO55" s="40"/>
      <c r="BP55" s="41"/>
      <c r="BQ55" s="41"/>
      <c r="BR55" s="41"/>
      <c r="BS55" s="41"/>
      <c r="BT55" s="38">
        <f>if(BV55="", if(BQ56&lt;&gt;"", if((BQ56-BO56)&lt;-1,BM55*(1+Setup!DJ12),if((BQ56-BO56)&lt;0,BM55*(1+Setup!DK12),if((BQ56-BO56)=0,BM55*(1+Setup!DL12),if((BQ56-BO56)=1,BM55*(1+Setup!DM12),if((BQ56-BO56)=2,BM55*(1+Setup!DN12),if((BQ56-BO56)=3,BM55*(1+Setup!DO12),if((BQ56-BO56)=4,BM55*(1+Setup!DP12),if((BQ56-BO56)&gt;4,BM55*(1+Setup!DQ12),BM55)))))))),BM55),BV55/'Quick Setup'!$E14)</f>
        <v>280</v>
      </c>
      <c r="BU55" s="39" t="s">
        <v>75</v>
      </c>
      <c r="BV55" s="40"/>
      <c r="BW55" s="41"/>
      <c r="BX55" s="41"/>
      <c r="BY55" s="41"/>
      <c r="BZ55" s="41"/>
      <c r="CA55" s="38">
        <f>if(CC55="", if(BX56&lt;&gt;"", if((BX56-BV56)&lt;-1,BT55*(1+Setup!DV12),if((BX56-BV56)&lt;0,BT55*(1+Setup!DW12),if((BX56-BV56)=0,BT55*(1+Setup!DX12),if((BX56-BV56)=1,BT55*(1+Setup!DY12),if((BX56-BV56)=2,BT55*(1+Setup!DZ12),if((BX56-BV56)=3,BT55*(1+Setup!EA12),if((BX56-BV56)=4,BT55*(1+Setup!EB12),if((BX56-BV56)&gt;4,BT55*(1+Setup!EC12),BT55)))))))),BT55),CC55/'Quick Setup'!$E14)</f>
        <v>280</v>
      </c>
      <c r="CB55" s="39" t="s">
        <v>75</v>
      </c>
      <c r="CC55" s="40"/>
      <c r="CD55" s="41"/>
      <c r="CE55" s="41"/>
      <c r="CF55" s="41"/>
      <c r="CG55" s="41"/>
      <c r="CH55" s="38">
        <f>if(CJ55="", if(CE56&lt;&gt;"", if((CE56-CC56)&lt;-1,CA55*(1+Setup!EH12),if((CE56-CC56)&lt;0,CA55*(1+Setup!EI12),if((CE56-CC56)=0,CA55*(1+Setup!EJ12),if((CE56-CC56)=1,CA55*(1+Setup!EK12),if((CE56-CC56)=2,CA55*(1+Setup!EL12),if((CE56-CC56)=3,CA55*(1+Setup!EM12),if((CE56-CC56)=4,CA55*(1+Setup!EN12),if((CE56-CC56)&gt;4,CA55*(1+Setup!EO12),CA55)))))))),CA55),CJ55/'Quick Setup'!$E14)</f>
        <v>280</v>
      </c>
      <c r="CI55" s="39" t="s">
        <v>75</v>
      </c>
      <c r="CJ55" s="40"/>
      <c r="CK55" s="41"/>
      <c r="CL55" s="41"/>
      <c r="CM55" s="41"/>
      <c r="CN55" s="41"/>
      <c r="CO55" s="38">
        <f>if(CQ55="", if(CL56&lt;&gt;"", if((CL56-CJ56)&lt;-1,CH55*(1+Setup!ET12),if((CL56-CJ56)&lt;0,CH55*(1+Setup!EU12),if((CL56-CJ56)=0,CH55*(1+Setup!EV12),if((CL56-CJ56)=1,CH55*(1+Setup!EW12),if((CL56-CJ56)=2,CH55*(1+Setup!EX12),if((CL56-CJ56)=3,CH55*(1+Setup!EY12),if((CL56-CJ56)=4,CH55*(1+Setup!EZ12),if((CL56-CJ56)&gt;4,CH55*(1+Setup!FA12),CH55)))))))),CH55),CQ55/'Quick Setup'!$E14)</f>
        <v>280</v>
      </c>
      <c r="CP55" s="39" t="s">
        <v>75</v>
      </c>
      <c r="CQ55" s="40"/>
      <c r="CR55" s="41"/>
      <c r="CS55" s="41"/>
      <c r="CT55" s="41"/>
      <c r="CU55" s="41"/>
      <c r="CV55" s="38">
        <f>if(CX55="",CO55,CX55/'Quick Setup'!$E14)</f>
        <v>280</v>
      </c>
      <c r="CW55" s="39" t="s">
        <v>75</v>
      </c>
      <c r="CX55" s="40"/>
      <c r="CY55" s="41"/>
      <c r="CZ55" s="41"/>
      <c r="DA55" s="41"/>
      <c r="DB55" s="41"/>
      <c r="DC55" s="38">
        <f>if(DE55="", if(CZ56&lt;&gt;"", if((CZ56-CX56)&lt;-1,CV55*(1+Setup!FR12),if((CZ56-CX56)&lt;0,CV55*(1+Setup!FS12),if((CZ56-CX56)=0,CV55*(1+Setup!FT12),if((CZ56-CX56)=1,CV55*(1+Setup!FU12),if((CZ56-CX56)=2,CV55*(1+Setup!FV12),if((CZ56-CX56)=3,CV55*(1+Setup!FW12),if((CZ56-CX56)=4,CV55*(1+Setup!FX12),if((CZ56-CX56)&gt;4,CV55*(1+Setup!FY12),CV55)))))))),CV55),DE55/'Quick Setup'!$E14)</f>
        <v>280</v>
      </c>
      <c r="DD55" s="39" t="s">
        <v>75</v>
      </c>
      <c r="DE55" s="40"/>
      <c r="DF55" s="41"/>
      <c r="DG55" s="41"/>
      <c r="DH55" s="41"/>
      <c r="DI55" s="41"/>
      <c r="DJ55" s="38">
        <f>if(DL55="", if(DG56&lt;&gt;"", if((DG56-DE56)&lt;-1,DC55*(1+Setup!GD12),if((DG56-DE56)&lt;0,DC55*(1+Setup!GE12),if((DG56-DE56)=0,DC55*(1+Setup!GF12),if((DG56-DE56)=1,DC55*(1+Setup!GG12),if((DG56-DE56)=2,DC55*(1+Setup!GH12),if((DG56-DE56)=3,DC55*(1+Setup!GI12),if((DG56-DE56)=4,DC55*(1+Setup!GJ12),if((DG56-DE56)&gt;4,DC55*(1+Setup!GK12),DC55)))))))),DC55),DL55/'Quick Setup'!$E14)</f>
        <v>280</v>
      </c>
      <c r="DK55" s="39" t="s">
        <v>75</v>
      </c>
      <c r="DL55" s="40"/>
      <c r="DM55" s="41"/>
      <c r="DN55" s="41"/>
      <c r="DO55" s="41"/>
      <c r="DP55" s="41"/>
      <c r="DQ55" s="38">
        <f>if(DS55="", if(DN56&lt;&gt;"", if((DN56-DL56)&lt;-1,DJ55*(1+Setup!GP12),if((DN56-DL56)&lt;0,DJ55*(1+Setup!GQ12),if((DN56-DL56)=0,DJ55*(1+Setup!GR12),if((DN56-DL56)=1,DJ55*(1+Setup!GS12),if((DN56-DL56)=2,DJ55*(1+Setup!GT12),if((DN56-DL56)=3,DJ55*(1+Setup!GU12),if((DN56-DL56)=4,DJ55*(1+Setup!GV12),if((DN56-DL56)&gt;4,DJ55*(1+Setup!GW12),DJ55)))))))),DJ55),DS55/'Quick Setup'!$E14)</f>
        <v>280</v>
      </c>
      <c r="DR55" s="39" t="s">
        <v>75</v>
      </c>
      <c r="DS55" s="40"/>
      <c r="DT55" s="41"/>
      <c r="DU55" s="41"/>
      <c r="DV55" s="41"/>
      <c r="DW55" s="41"/>
      <c r="DX55" s="38">
        <f>if(DZ55="", if(DU56&lt;&gt;"", if((DU56-DS56)&lt;-1,DQ55*(1+Setup!HB12),if((DU56-DS56)&lt;0,DQ55*(1+Setup!HC12),if((DU56-DS56)=0,DQ55*(1+Setup!HD12),if((DU56-DS56)=1,DQ55*(1+Setup!HE12),if((DU56-DS56)=2,DQ55*(1+Setup!HF12),if((DU56-DS56)=3,DQ55*(1+Setup!HG12),if((DU56-DS56)=4,DQ55*(1+Setup!HH12),if((DU56-DS56)&gt;4,DQ55*(1+Setup!HI12),DQ55)))))))),DQ55),DZ55/'Quick Setup'!$E14)</f>
        <v>280</v>
      </c>
      <c r="DY55" s="39" t="s">
        <v>75</v>
      </c>
      <c r="DZ55" s="40"/>
      <c r="EA55" s="41"/>
      <c r="EB55" s="41"/>
      <c r="EC55" s="41"/>
      <c r="ED55" s="41"/>
      <c r="EE55" s="38">
        <f>if(EG55="", if(EB56&lt;&gt;"", if((EB56-DZ56)&lt;-1,DX55*(1+Setup!HN12),if((EB56-DZ56)&lt;0,DX55*(1+Setup!HO12),if((EB56-DZ56)=0,DX55*(1+Setup!HP12),if((EB56-DZ56)=1,DX55*(1+Setup!HQ12),if((EB56-DZ56)=2,DX55*(1+Setup!HR12),if((EB56-DZ56)=3,DX55*(1+Setup!HS12),if((EB56-DZ56)=4,DX55*(1+Setup!HT12),if((EB56-DZ56)&gt;4,DX55*(1+Setup!HU12),DX55)))))))),DX55),EG55/'Quick Setup'!$E14)</f>
        <v>280</v>
      </c>
      <c r="EF55" s="39" t="s">
        <v>75</v>
      </c>
      <c r="EG55" s="40"/>
      <c r="EH55" s="41"/>
      <c r="EI55" s="41"/>
      <c r="EJ55" s="41"/>
      <c r="EK55" s="41"/>
      <c r="EL55" s="38">
        <f>if(EN55="", if(EI56&lt;&gt;"", if((EI56-EG56)&lt;-1,EE55*(1+Setup!HZ12),if((EI56-EG56)&lt;0,EE55*(1+Setup!IA12),if((EI56-EG56)=0,EE55*(1+Setup!IB12),if((EI56-EG56)=1,EE55*(1+Setup!IC12),if((EI56-EG56)=2,EE55*(1+Setup!ID12),if((EI56-EG56)=3,EE55*(1+Setup!IE12),if((EI56-EG56)=4,EE55*(1+Setup!IF12),if((EI56-EG56)&gt;4,EE55*(1+Setup!IG12),EE55)))))))),EE55),EN55/'Quick Setup'!$E14)</f>
        <v>280</v>
      </c>
      <c r="EM55" s="39" t="s">
        <v>75</v>
      </c>
      <c r="EN55" s="40"/>
      <c r="EO55" s="41"/>
      <c r="EP55" s="41"/>
      <c r="EQ55" s="41"/>
      <c r="ER55" s="41"/>
    </row>
    <row r="56">
      <c r="A56" s="1" t="str">
        <f>Setup!A12</f>
        <v>Incline Press</v>
      </c>
      <c r="B56" s="42">
        <f>mround(B55*Setup!B12,'Quick Setup'!$A$2)</f>
        <v>167.5</v>
      </c>
      <c r="C56" s="3">
        <f>Setup!C12</f>
        <v>7</v>
      </c>
      <c r="D56" s="3">
        <f>Setup!D12</f>
        <v>14</v>
      </c>
      <c r="E56" s="3">
        <f>Setup!E12</f>
        <v>5</v>
      </c>
      <c r="F56" s="10"/>
      <c r="G56" s="10"/>
      <c r="H56" s="10"/>
      <c r="I56" s="42">
        <f>mround(I55*Setup!N12,'Quick Setup'!$A$2)</f>
        <v>182.5</v>
      </c>
      <c r="J56" s="3">
        <f>Setup!O12</f>
        <v>6</v>
      </c>
      <c r="K56" s="3">
        <f>Setup!P12</f>
        <v>12</v>
      </c>
      <c r="L56" s="3">
        <f>Setup!Q12</f>
        <v>5</v>
      </c>
      <c r="M56" s="10"/>
      <c r="N56" s="10"/>
      <c r="O56" s="10"/>
      <c r="P56" s="42">
        <f>mround(P55*Setup!Z12,'Quick Setup'!$A$2)</f>
        <v>195</v>
      </c>
      <c r="Q56" s="3">
        <f>Setup!AA12</f>
        <v>5</v>
      </c>
      <c r="R56" s="3">
        <f>Setup!AB12</f>
        <v>10</v>
      </c>
      <c r="S56" s="3">
        <f>Setup!AC12</f>
        <v>5</v>
      </c>
      <c r="T56" s="10"/>
      <c r="U56" s="10"/>
      <c r="V56" s="10"/>
      <c r="W56" s="42">
        <f>mround(W55*Setup!AL12,'Quick Setup'!$A$2)</f>
        <v>175</v>
      </c>
      <c r="X56" s="3">
        <f>Setup!AM12</f>
        <v>7</v>
      </c>
      <c r="Y56" s="3">
        <f>Setup!AN12</f>
        <v>13</v>
      </c>
      <c r="Z56" s="3">
        <f>Setup!AO12</f>
        <v>5</v>
      </c>
      <c r="AA56" s="10"/>
      <c r="AB56" s="10"/>
      <c r="AC56" s="10"/>
      <c r="AD56" s="42">
        <f>mround(AD55*Setup!AX12,'Quick Setup'!$A$2)</f>
        <v>190</v>
      </c>
      <c r="AE56" s="3">
        <f>Setup!AY12</f>
        <v>6</v>
      </c>
      <c r="AF56" s="3">
        <f>Setup!AZ12</f>
        <v>11</v>
      </c>
      <c r="AG56" s="3">
        <f>Setup!BA12</f>
        <v>5</v>
      </c>
      <c r="AH56" s="10"/>
      <c r="AI56" s="10"/>
      <c r="AJ56" s="10"/>
      <c r="AK56" s="42">
        <f>mround(AK55*Setup!BJ12,'Quick Setup'!$A$2)</f>
        <v>202.5</v>
      </c>
      <c r="AL56" s="3">
        <f>Setup!BK12</f>
        <v>5</v>
      </c>
      <c r="AM56" s="3">
        <f>Setup!BL12</f>
        <v>9</v>
      </c>
      <c r="AN56" s="3">
        <f>Setup!BM12</f>
        <v>5</v>
      </c>
      <c r="AO56" s="10"/>
      <c r="AP56" s="10"/>
      <c r="AQ56" s="10"/>
      <c r="AR56" s="42">
        <f>mround(AR55*Setup!BV12,'Quick Setup'!$A$2)</f>
        <v>140</v>
      </c>
      <c r="AS56" s="1">
        <v>5.0</v>
      </c>
      <c r="AT56" s="1" t="s">
        <v>78</v>
      </c>
      <c r="AU56" s="3">
        <f>Setup!BY12</f>
        <v>5</v>
      </c>
      <c r="AV56" s="10"/>
      <c r="AW56" s="10"/>
      <c r="AX56" s="10"/>
      <c r="AY56" s="42">
        <f>mround(AY55*Setup!CH12,'Quick Setup'!$A$2)</f>
        <v>182.5</v>
      </c>
      <c r="AZ56" s="3">
        <f>Setup!CI12</f>
        <v>6</v>
      </c>
      <c r="BA56" s="3">
        <f>Setup!CJ12</f>
        <v>12</v>
      </c>
      <c r="BB56" s="3">
        <f>Setup!CK12</f>
        <v>5</v>
      </c>
      <c r="BC56" s="10"/>
      <c r="BD56" s="10"/>
      <c r="BE56" s="10"/>
      <c r="BF56" s="42">
        <f>mround(BF55*Setup!CT12,'Quick Setup'!$A$2)</f>
        <v>195</v>
      </c>
      <c r="BG56" s="3">
        <f>Setup!CU12</f>
        <v>5</v>
      </c>
      <c r="BH56" s="3">
        <f>Setup!CV12</f>
        <v>10</v>
      </c>
      <c r="BI56" s="3">
        <f>Setup!CW12</f>
        <v>5</v>
      </c>
      <c r="BJ56" s="10"/>
      <c r="BK56" s="10"/>
      <c r="BL56" s="10"/>
      <c r="BM56" s="42">
        <f>mround(BM55*Setup!DF12,'Quick Setup'!$A$2)</f>
        <v>210</v>
      </c>
      <c r="BN56" s="3">
        <f>Setup!DG12</f>
        <v>4</v>
      </c>
      <c r="BO56" s="3">
        <f>Setup!DH12</f>
        <v>8</v>
      </c>
      <c r="BP56" s="3">
        <f>Setup!DI12</f>
        <v>5</v>
      </c>
      <c r="BQ56" s="10"/>
      <c r="BR56" s="10"/>
      <c r="BS56" s="10"/>
      <c r="BT56" s="42">
        <f>mround(BT55*Setup!DR12,'Quick Setup'!$A$2)</f>
        <v>190</v>
      </c>
      <c r="BU56" s="3">
        <f>Setup!DS12</f>
        <v>6</v>
      </c>
      <c r="BV56" s="3">
        <f>Setup!DT12</f>
        <v>11</v>
      </c>
      <c r="BW56" s="3">
        <f>Setup!DU12</f>
        <v>5</v>
      </c>
      <c r="BX56" s="10"/>
      <c r="BY56" s="10"/>
      <c r="BZ56" s="10"/>
      <c r="CA56" s="42">
        <f>mround(CA55*Setup!ED12,'Quick Setup'!$A$2)</f>
        <v>202.5</v>
      </c>
      <c r="CB56" s="3">
        <f>Setup!EE12</f>
        <v>5</v>
      </c>
      <c r="CC56" s="3">
        <f>Setup!EF12</f>
        <v>9</v>
      </c>
      <c r="CD56" s="3">
        <f>Setup!EG12</f>
        <v>5</v>
      </c>
      <c r="CE56" s="10"/>
      <c r="CF56" s="10"/>
      <c r="CG56" s="10"/>
      <c r="CH56" s="42">
        <f>mround(CH55*Setup!EP12,'Quick Setup'!$A$2)</f>
        <v>217.5</v>
      </c>
      <c r="CI56" s="3">
        <f>Setup!EQ12</f>
        <v>4</v>
      </c>
      <c r="CJ56" s="3">
        <f>Setup!ER12</f>
        <v>7</v>
      </c>
      <c r="CK56" s="3">
        <f>Setup!ES12</f>
        <v>5</v>
      </c>
      <c r="CL56" s="10"/>
      <c r="CM56" s="10"/>
      <c r="CN56" s="10"/>
      <c r="CO56" s="42">
        <f>mround(CO55*Setup!FB12,'Quick Setup'!$A$2)</f>
        <v>140</v>
      </c>
      <c r="CP56" s="1">
        <v>5.0</v>
      </c>
      <c r="CQ56" s="1" t="s">
        <v>78</v>
      </c>
      <c r="CR56" s="3">
        <f>Setup!FE12</f>
        <v>5</v>
      </c>
      <c r="CS56" s="10"/>
      <c r="CT56" s="10"/>
      <c r="CU56" s="10"/>
      <c r="CV56" s="42">
        <f>mround(CV55*Setup!FN12,'Quick Setup'!$A$2)</f>
        <v>195</v>
      </c>
      <c r="CW56" s="3">
        <f>Setup!FO12</f>
        <v>5</v>
      </c>
      <c r="CX56" s="3">
        <f>Setup!FP12</f>
        <v>10</v>
      </c>
      <c r="CY56" s="3">
        <f>Setup!FQ12</f>
        <v>5</v>
      </c>
      <c r="CZ56" s="10"/>
      <c r="DA56" s="10"/>
      <c r="DB56" s="10"/>
      <c r="DC56" s="42">
        <f>mround(DC55*Setup!FZ12,'Quick Setup'!$A$2)</f>
        <v>210</v>
      </c>
      <c r="DD56" s="3">
        <f>Setup!GA12</f>
        <v>4</v>
      </c>
      <c r="DE56" s="3">
        <f>Setup!GB12</f>
        <v>8</v>
      </c>
      <c r="DF56" s="3">
        <f>Setup!GC12</f>
        <v>5</v>
      </c>
      <c r="DG56" s="10"/>
      <c r="DH56" s="10"/>
      <c r="DI56" s="10"/>
      <c r="DJ56" s="42">
        <f>mround(DJ55*Setup!GL12,'Quick Setup'!$A$2)</f>
        <v>225</v>
      </c>
      <c r="DK56" s="3">
        <f>Setup!GM12</f>
        <v>3</v>
      </c>
      <c r="DL56" s="3">
        <f>Setup!GN12</f>
        <v>6</v>
      </c>
      <c r="DM56" s="3">
        <f>Setup!GO12</f>
        <v>5</v>
      </c>
      <c r="DN56" s="10"/>
      <c r="DO56" s="10"/>
      <c r="DP56" s="10"/>
      <c r="DQ56" s="42">
        <f>mround(DQ55*Setup!GX12,'Quick Setup'!$A$2)</f>
        <v>210</v>
      </c>
      <c r="DR56" s="3">
        <f>Setup!GY12</f>
        <v>4</v>
      </c>
      <c r="DS56" s="3">
        <f>Setup!GZ12</f>
        <v>8</v>
      </c>
      <c r="DT56" s="3">
        <f>Setup!HA12</f>
        <v>5</v>
      </c>
      <c r="DU56" s="10"/>
      <c r="DV56" s="10"/>
      <c r="DW56" s="10"/>
      <c r="DX56" s="42">
        <f>mround(DX55*Setup!HJ12,'Quick Setup'!$A$2)</f>
        <v>225</v>
      </c>
      <c r="DY56" s="3">
        <f>Setup!HK12</f>
        <v>3</v>
      </c>
      <c r="DZ56" s="3">
        <f>Setup!HL12</f>
        <v>6</v>
      </c>
      <c r="EA56" s="3">
        <f>Setup!HM12</f>
        <v>5</v>
      </c>
      <c r="EB56" s="10"/>
      <c r="EC56" s="10"/>
      <c r="ED56" s="10"/>
      <c r="EE56" s="42">
        <f>mround(EE55*Setup!HV12,'Quick Setup'!$A$2)</f>
        <v>237.5</v>
      </c>
      <c r="EF56" s="3">
        <f>Setup!HW12</f>
        <v>2</v>
      </c>
      <c r="EG56" s="3">
        <f>Setup!HX12</f>
        <v>4</v>
      </c>
      <c r="EH56" s="3">
        <f>Setup!HY12</f>
        <v>5</v>
      </c>
      <c r="EI56" s="10"/>
      <c r="EJ56" s="10"/>
      <c r="EK56" s="10"/>
      <c r="EL56" s="42">
        <f>mround(EL55*Setup!IH12,'Quick Setup'!$A$2)</f>
        <v>140</v>
      </c>
      <c r="EM56" s="1">
        <v>5.0</v>
      </c>
      <c r="EN56" s="1" t="s">
        <v>78</v>
      </c>
      <c r="EO56" s="3">
        <f>Setup!IK12</f>
        <v>5</v>
      </c>
      <c r="EP56" s="10"/>
      <c r="EQ56" s="10"/>
      <c r="ER56" s="10"/>
    </row>
    <row r="57" hidden="1">
      <c r="A57" s="37" t="str">
        <f>CONCATENATE(A58," TM")</f>
        <v>Push Press TM</v>
      </c>
      <c r="B57" s="38">
        <f>if(D57="",'Quick Setup'!D16,D57/'Quick Setup'!E16)</f>
        <v>245</v>
      </c>
      <c r="C57" s="39" t="s">
        <v>75</v>
      </c>
      <c r="D57" s="40"/>
      <c r="E57" s="41"/>
      <c r="F57" s="41"/>
      <c r="G57" s="41"/>
      <c r="H57" s="41"/>
      <c r="I57" s="38">
        <f>if(K57="", if(F58&lt;&gt;"", if((F58-D58)&lt;-1,B57*(1+Setup!F14),if((F58-D58)&lt;0,B57*(1+Setup!G14),if((F58-D58)=0,B57*(1+Setup!H14),if((F58-D58)=1,B57*(1+Setup!I14),if((F58-D58)=2,B57*(1+Setup!J14),if((F58-D58)=3,B57*(1+Setup!K14),if((F58-D58)=4,B57*(1+Setup!L14),if((F58-D58)&gt;4,B57*(1+Setup!M14),B57)))))))),B57),K57/'Quick Setup'!$E16)</f>
        <v>245</v>
      </c>
      <c r="J57" s="39" t="s">
        <v>75</v>
      </c>
      <c r="K57" s="40"/>
      <c r="L57" s="41"/>
      <c r="M57" s="41"/>
      <c r="N57" s="41"/>
      <c r="O57" s="41"/>
      <c r="P57" s="38">
        <f>if(R57="", if(M58&lt;&gt;"", if((M58-K58)&lt;-1,I57*(1+Setup!R14),if((M58-K58)&lt;0,I57*(1+Setup!S14),if((M58-K58)=0,I57*(1+Setup!T14),if((M58-K58)=1,I57*(1+Setup!U14),if((M58-K58)=2,I57*(1+Setup!V14),if((M58-K58)=3,I57*(1+Setup!W14),if((M58-K58)=4,I57*(1+Setup!X14),if((M58-K58)&gt;4,I57*(1+Setup!Y14),I57)))))))),I57),R57/'Quick Setup'!$E16)</f>
        <v>245</v>
      </c>
      <c r="Q57" s="39" t="s">
        <v>75</v>
      </c>
      <c r="R57" s="40"/>
      <c r="S57" s="41"/>
      <c r="T57" s="41"/>
      <c r="U57" s="41"/>
      <c r="V57" s="41"/>
      <c r="W57" s="38">
        <f>if(Y57="", if(T58&lt;&gt;"", if((T58-R58)&lt;-1,P57*(1+Setup!AD14),if((T58-R58)&lt;0,P57*(1+Setup!AE14),if((T58-R58)=0,P57*(1+Setup!AF14),if((T58-R58)=1,P57*(1+Setup!AG14),if((T58-R58)=2,P57*(1+Setup!AH14),if((T58-R58)=3,P57*(1+Setup!AI14),if((T58-R58)=4,P57*(1+Setup!AJ14),if((T58-R58)&gt;4,P57*(1+Setup!AK14),P57)))))))),P57),Y57/'Quick Setup'!$E16)</f>
        <v>245</v>
      </c>
      <c r="X57" s="39" t="s">
        <v>75</v>
      </c>
      <c r="Y57" s="40"/>
      <c r="Z57" s="41"/>
      <c r="AA57" s="41"/>
      <c r="AB57" s="41"/>
      <c r="AC57" s="41"/>
      <c r="AD57" s="38">
        <f>if(AF57="", if(AA58&lt;&gt;"", if((AA58-Y58)&lt;-1,W57*(1+Setup!AP14),if((AA58-Y58)&lt;0,W57*(1+Setup!AQ14),if((AA58-Y58)=0,W57*(1+Setup!AR14),if((AA58-Y58)=1,W57*(1+Setup!AS14),if((AA58-Y58)=2,W57*(1+Setup!AT14),if((AA58-Y58)=3,W57*(1+Setup!AU14),if((AA58-Y58)=4,W57*(1+Setup!AV14),if((AA58-Y58)&gt;4,W57*(1+Setup!AW14),W57)))))))),W57),AF57/'Quick Setup'!$E16)</f>
        <v>245</v>
      </c>
      <c r="AE57" s="39" t="s">
        <v>75</v>
      </c>
      <c r="AF57" s="40"/>
      <c r="AG57" s="41"/>
      <c r="AH57" s="41"/>
      <c r="AI57" s="41"/>
      <c r="AJ57" s="41"/>
      <c r="AK57" s="38">
        <f>if(AM57="", if(AH58&lt;&gt;"", if((AH58-AF58)&lt;-1,AD57*(1+Setup!BB14),if((AH58-AF58)&lt;0,AD57*(1+Setup!BC14),if((AH58-AF58)=0,AD57*(1+Setup!BD14),if((AH58-AF58)=1,AD57*(1+Setup!BE14),if((AH58-AF58)=2,AD57*(1+Setup!BF14),if((AH58-AF58)=3,AD57*(1+Setup!BG14),if((AH58-AF58)=4,AD57*(1+Setup!BH14),if((AH58-AF58)&gt;4,AD57*(1+Setup!BI14),AD57)))))))),AD57),AM57/'Quick Setup'!$E16)</f>
        <v>245</v>
      </c>
      <c r="AL57" s="39" t="s">
        <v>75</v>
      </c>
      <c r="AM57" s="40"/>
      <c r="AN57" s="41"/>
      <c r="AO57" s="41"/>
      <c r="AP57" s="41"/>
      <c r="AQ57" s="41"/>
      <c r="AR57" s="38">
        <f>if(AT57="", if(AO58&lt;&gt;"", if((AO58-AM58)&lt;-1,AK57*(1+Setup!BN14),if((AO58-AM58)&lt;0,AK57*(1+Setup!BO14),if((AO58-AM58)=0,AK57*(1+Setup!BP14),if((AO58-AM58)=1,AK57*(1+Setup!BQ14),if((AO58-AM58)=2,AK57*(1+Setup!BR14),if((AO58-AM58)=3,AK57*(1+Setup!BS14),if((AO58-AM58)=4,AK57*(1+Setup!BT14),if((AO58-AM58)&gt;4,AK57*(1+Setup!BU14),AK57)))))))),AK57),AT57/'Quick Setup'!$E16)</f>
        <v>245</v>
      </c>
      <c r="AS57" s="39" t="s">
        <v>75</v>
      </c>
      <c r="AT57" s="40"/>
      <c r="AU57" s="41"/>
      <c r="AV57" s="41"/>
      <c r="AW57" s="41"/>
      <c r="AX57" s="41"/>
      <c r="AY57" s="38">
        <f>if(BA57="",AR57,BA57/'Quick Setup'!$E16)</f>
        <v>245</v>
      </c>
      <c r="AZ57" s="39" t="s">
        <v>75</v>
      </c>
      <c r="BA57" s="40"/>
      <c r="BB57" s="41"/>
      <c r="BC57" s="41"/>
      <c r="BD57" s="41"/>
      <c r="BE57" s="41"/>
      <c r="BF57" s="38">
        <f>if(BH57="", if(BC58&lt;&gt;"", if((BC58-BA58)&lt;-1,AY57*(1+Setup!CL14),if((BC58-BA58)&lt;0,AY57*(1+Setup!CM14),if((BC58-BA58)=0,AY57*(1+Setup!CN14),if((BC58-BA58)=1,AY57*(1+Setup!CO14),if((BC58-BA58)=2,AY57*(1+Setup!CP14),if((BC58-BA58)=3,AY57*(1+Setup!CQ14),if((BC58-BA58)=4,AY57*(1+Setup!CR14),if((BC58-BA58)&gt;4,AY57*(1+Setup!CS14),AY57)))))))),AY57),BH57/'Quick Setup'!$E16)</f>
        <v>245</v>
      </c>
      <c r="BG57" s="39" t="s">
        <v>75</v>
      </c>
      <c r="BH57" s="40"/>
      <c r="BI57" s="41"/>
      <c r="BJ57" s="41"/>
      <c r="BK57" s="41"/>
      <c r="BL57" s="41"/>
      <c r="BM57" s="38">
        <f>if(BO57="", if(BJ58&lt;&gt;"", if((BJ58-BH58)&lt;-1,BF57*(1+Setup!CX14),if((BJ58-BH58)&lt;0,BF57*(1+Setup!CY14),if((BJ58-BH58)=0,BF57*(1+Setup!CZ14),if((BJ58-BH58)=1,BF57*(1+Setup!DA14),if((BJ58-BH58)=2,BF57*(1+Setup!DB14),if((BJ58-BH58)=3,BF57*(1+Setup!DC14),if((BJ58-BH58)=4,BF57*(1+Setup!DD14),if((BJ58-BH58)&gt;4,BF57*(1+Setup!DE14),BF57)))))))),BF57),BO57/'Quick Setup'!$E16)</f>
        <v>245</v>
      </c>
      <c r="BN57" s="39" t="s">
        <v>75</v>
      </c>
      <c r="BO57" s="40"/>
      <c r="BP57" s="41"/>
      <c r="BQ57" s="41"/>
      <c r="BR57" s="41"/>
      <c r="BS57" s="41"/>
      <c r="BT57" s="38">
        <f>if(BV57="", if(BQ58&lt;&gt;"", if((BQ58-BO58)&lt;-1,BM57*(1+Setup!DJ14),if((BQ58-BO58)&lt;0,BM57*(1+Setup!DK14),if((BQ58-BO58)=0,BM57*(1+Setup!DL14),if((BQ58-BO58)=1,BM57*(1+Setup!DM14),if((BQ58-BO58)=2,BM57*(1+Setup!DN14),if((BQ58-BO58)=3,BM57*(1+Setup!DO14),if((BQ58-BO58)=4,BM57*(1+Setup!DP14),if((BQ58-BO58)&gt;4,BM57*(1+Setup!DQ14),BM57)))))))),BM57),BV57/'Quick Setup'!$E16)</f>
        <v>245</v>
      </c>
      <c r="BU57" s="39" t="s">
        <v>75</v>
      </c>
      <c r="BV57" s="40"/>
      <c r="BW57" s="41"/>
      <c r="BX57" s="41"/>
      <c r="BY57" s="41"/>
      <c r="BZ57" s="41"/>
      <c r="CA57" s="38">
        <f>if(CC57="", if(BX58&lt;&gt;"", if((BX58-BV58)&lt;-1,BT57*(1+Setup!DV14),if((BX58-BV58)&lt;0,BT57*(1+Setup!DW14),if((BX58-BV58)=0,BT57*(1+Setup!DX14),if((BX58-BV58)=1,BT57*(1+Setup!DY14),if((BX58-BV58)=2,BT57*(1+Setup!DZ14),if((BX58-BV58)=3,BT57*(1+Setup!EA14),if((BX58-BV58)=4,BT57*(1+Setup!EB14),if((BX58-BV58)&gt;4,BT57*(1+Setup!EC14),BT57)))))))),BT57),CC57/'Quick Setup'!$E16)</f>
        <v>245</v>
      </c>
      <c r="CB57" s="39" t="s">
        <v>75</v>
      </c>
      <c r="CC57" s="40"/>
      <c r="CD57" s="41"/>
      <c r="CE57" s="41"/>
      <c r="CF57" s="41"/>
      <c r="CG57" s="41"/>
      <c r="CH57" s="38">
        <f>if(CJ57="", if(CE58&lt;&gt;"", if((CE58-CC58)&lt;-1,CA57*(1+Setup!EH14),if((CE58-CC58)&lt;0,CA57*(1+Setup!EI14),if((CE58-CC58)=0,CA57*(1+Setup!EJ14),if((CE58-CC58)=1,CA57*(1+Setup!EK14),if((CE58-CC58)=2,CA57*(1+Setup!EL14),if((CE58-CC58)=3,CA57*(1+Setup!EM14),if((CE58-CC58)=4,CA57*(1+Setup!EN14),if((CE58-CC58)&gt;4,CA57*(1+Setup!EO14),CA57)))))))),CA57),CJ57/'Quick Setup'!$E16)</f>
        <v>245</v>
      </c>
      <c r="CI57" s="39" t="s">
        <v>75</v>
      </c>
      <c r="CJ57" s="40"/>
      <c r="CK57" s="41"/>
      <c r="CL57" s="41"/>
      <c r="CM57" s="41"/>
      <c r="CN57" s="41"/>
      <c r="CO57" s="38">
        <f>if(CQ57="", if(CL58&lt;&gt;"", if((CL58-CJ58)&lt;-1,CH57*(1+Setup!ET14),if((CL58-CJ58)&lt;0,CH57*(1+Setup!EU14),if((CL58-CJ58)=0,CH57*(1+Setup!EV14),if((CL58-CJ58)=1,CH57*(1+Setup!EW14),if((CL58-CJ58)=2,CH57*(1+Setup!EX14),if((CL58-CJ58)=3,CH57*(1+Setup!EY14),if((CL58-CJ58)=4,CH57*(1+Setup!EZ14),if((CL58-CJ58)&gt;4,CH57*(1+Setup!FA14),CH57)))))))),CH57),CQ57/'Quick Setup'!$E16)</f>
        <v>245</v>
      </c>
      <c r="CP57" s="39" t="s">
        <v>75</v>
      </c>
      <c r="CQ57" s="40"/>
      <c r="CR57" s="41"/>
      <c r="CS57" s="41"/>
      <c r="CT57" s="41"/>
      <c r="CU57" s="41"/>
      <c r="CV57" s="38">
        <f>if(CX57="",CO57,CX57/'Quick Setup'!$E16)</f>
        <v>245</v>
      </c>
      <c r="CW57" s="39" t="s">
        <v>75</v>
      </c>
      <c r="CX57" s="40"/>
      <c r="CY57" s="41"/>
      <c r="CZ57" s="41"/>
      <c r="DA57" s="41"/>
      <c r="DB57" s="41"/>
      <c r="DC57" s="38">
        <f>if(DE57="", if(CZ58&lt;&gt;"", if((CZ58-CX58)&lt;-1,CV57*(1+Setup!FR14),if((CZ58-CX58)&lt;0,CV57*(1+Setup!FS14),if((CZ58-CX58)=0,CV57*(1+Setup!FT14),if((CZ58-CX58)=1,CV57*(1+Setup!FU14),if((CZ58-CX58)=2,CV57*(1+Setup!FV14),if((CZ58-CX58)=3,CV57*(1+Setup!FW14),if((CZ58-CX58)=4,CV57*(1+Setup!FX14),if((CZ58-CX58)&gt;4,CV57*(1+Setup!FY14),CV57)))))))),CV57),DE57/'Quick Setup'!$E16)</f>
        <v>245</v>
      </c>
      <c r="DD57" s="39" t="s">
        <v>75</v>
      </c>
      <c r="DE57" s="40"/>
      <c r="DF57" s="41"/>
      <c r="DG57" s="41"/>
      <c r="DH57" s="41"/>
      <c r="DI57" s="41"/>
      <c r="DJ57" s="38">
        <f>if(DL57="", if(DG58&lt;&gt;"", if((DG58-DE58)&lt;-1,DC57*(1+Setup!GD14),if((DG58-DE58)&lt;0,DC57*(1+Setup!GE14),if((DG58-DE58)=0,DC57*(1+Setup!GF14),if((DG58-DE58)=1,DC57*(1+Setup!GG14),if((DG58-DE58)=2,DC57*(1+Setup!GH14),if((DG58-DE58)=3,DC57*(1+Setup!GI14),if((DG58-DE58)=4,DC57*(1+Setup!GJ14),if((DG58-DE58)&gt;4,DC57*(1+Setup!GK14),DC57)))))))),DC57),DL57/'Quick Setup'!$E16)</f>
        <v>245</v>
      </c>
      <c r="DK57" s="39" t="s">
        <v>75</v>
      </c>
      <c r="DL57" s="40"/>
      <c r="DM57" s="41"/>
      <c r="DN57" s="41"/>
      <c r="DO57" s="41"/>
      <c r="DP57" s="41"/>
      <c r="DQ57" s="38">
        <f>if(DS57="", if(DN58&lt;&gt;"", if((DN58-DL58)&lt;-1,DJ57*(1+Setup!GP14),if((DN58-DL58)&lt;0,DJ57*(1+Setup!GQ14),if((DN58-DL58)=0,DJ57*(1+Setup!GR14),if((DN58-DL58)=1,DJ57*(1+Setup!GS14),if((DN58-DL58)=2,DJ57*(1+Setup!GT14),if((DN58-DL58)=3,DJ57*(1+Setup!GU14),if((DN58-DL58)=4,DJ57*(1+Setup!GV14),if((DN58-DL58)&gt;4,DJ57*(1+Setup!GW14),DJ57)))))))),DJ57),DS57/'Quick Setup'!$E16)</f>
        <v>245</v>
      </c>
      <c r="DR57" s="39" t="s">
        <v>75</v>
      </c>
      <c r="DS57" s="40"/>
      <c r="DT57" s="41"/>
      <c r="DU57" s="41"/>
      <c r="DV57" s="41"/>
      <c r="DW57" s="41"/>
      <c r="DX57" s="38">
        <f>if(DZ57="", if(DU58&lt;&gt;"", if((DU58-DS58)&lt;-1,DQ57*(1+Setup!HB14),if((DU58-DS58)&lt;0,DQ57*(1+Setup!HC14),if((DU58-DS58)=0,DQ57*(1+Setup!HD14),if((DU58-DS58)=1,DQ57*(1+Setup!HE14),if((DU58-DS58)=2,DQ57*(1+Setup!HF14),if((DU58-DS58)=3,DQ57*(1+Setup!HG14),if((DU58-DS58)=4,DQ57*(1+Setup!HH14),if((DU58-DS58)&gt;4,DQ57*(1+Setup!HI14),DQ57)))))))),DQ57),DZ57/'Quick Setup'!$E16)</f>
        <v>245</v>
      </c>
      <c r="DY57" s="39" t="s">
        <v>75</v>
      </c>
      <c r="DZ57" s="40"/>
      <c r="EA57" s="41"/>
      <c r="EB57" s="41"/>
      <c r="EC57" s="41"/>
      <c r="ED57" s="41"/>
      <c r="EE57" s="38">
        <f>if(EG57="", if(EB58&lt;&gt;"", if((EB58-DZ58)&lt;-1,DX57*(1+Setup!HN14),if((EB58-DZ58)&lt;0,DX57*(1+Setup!HO14),if((EB58-DZ58)=0,DX57*(1+Setup!HP14),if((EB58-DZ58)=1,DX57*(1+Setup!HQ14),if((EB58-DZ58)=2,DX57*(1+Setup!HR14),if((EB58-DZ58)=3,DX57*(1+Setup!HS14),if((EB58-DZ58)=4,DX57*(1+Setup!HT14),if((EB58-DZ58)&gt;4,DX57*(1+Setup!HU14),DX57)))))))),DX57),EG57/'Quick Setup'!$E16)</f>
        <v>245</v>
      </c>
      <c r="EF57" s="39" t="s">
        <v>75</v>
      </c>
      <c r="EG57" s="40"/>
      <c r="EH57" s="41"/>
      <c r="EI57" s="41"/>
      <c r="EJ57" s="41"/>
      <c r="EK57" s="41"/>
      <c r="EL57" s="38">
        <f>if(EN57="", if(EI58&lt;&gt;"", if((EI58-EG58)&lt;-1,EE57*(1+Setup!HZ14),if((EI58-EG58)&lt;0,EE57*(1+Setup!IA14),if((EI58-EG58)=0,EE57*(1+Setup!IB14),if((EI58-EG58)=1,EE57*(1+Setup!IC14),if((EI58-EG58)=2,EE57*(1+Setup!ID14),if((EI58-EG58)=3,EE57*(1+Setup!IE14),if((EI58-EG58)=4,EE57*(1+Setup!IF14),if((EI58-EG58)&gt;4,EE57*(1+Setup!IG14),EE57)))))))),EE57),EN57/'Quick Setup'!$E16)</f>
        <v>245</v>
      </c>
      <c r="EM57" s="39" t="s">
        <v>75</v>
      </c>
      <c r="EN57" s="40"/>
      <c r="EO57" s="41"/>
      <c r="EP57" s="41"/>
      <c r="EQ57" s="41"/>
      <c r="ER57" s="41"/>
    </row>
    <row r="58">
      <c r="A58" s="1" t="str">
        <f>Setup!A14</f>
        <v>Push Press</v>
      </c>
      <c r="B58" s="42">
        <f>mround(B57*Setup!B14,'Quick Setup'!$A$2)</f>
        <v>147.5</v>
      </c>
      <c r="C58" s="3">
        <f>Setup!C14</f>
        <v>7</v>
      </c>
      <c r="D58" s="3">
        <f>Setup!D14</f>
        <v>14</v>
      </c>
      <c r="E58" s="3">
        <f>Setup!E14</f>
        <v>5</v>
      </c>
      <c r="F58" s="10"/>
      <c r="G58" s="10"/>
      <c r="H58" s="10"/>
      <c r="I58" s="42">
        <f>mround(I57*Setup!N14,'Quick Setup'!$A$2)</f>
        <v>160</v>
      </c>
      <c r="J58" s="3">
        <f>Setup!O14</f>
        <v>6</v>
      </c>
      <c r="K58" s="3">
        <f>Setup!P14</f>
        <v>12</v>
      </c>
      <c r="L58" s="3">
        <f>Setup!Q14</f>
        <v>5</v>
      </c>
      <c r="M58" s="10"/>
      <c r="N58" s="10"/>
      <c r="O58" s="10"/>
      <c r="P58" s="42">
        <f>mround(P57*Setup!Z14,'Quick Setup'!$A$2)</f>
        <v>172.5</v>
      </c>
      <c r="Q58" s="3">
        <f>Setup!AA14</f>
        <v>5</v>
      </c>
      <c r="R58" s="3">
        <f>Setup!AB14</f>
        <v>10</v>
      </c>
      <c r="S58" s="3">
        <f>Setup!AC14</f>
        <v>5</v>
      </c>
      <c r="T58" s="10"/>
      <c r="U58" s="10"/>
      <c r="V58" s="10"/>
      <c r="W58" s="42">
        <f>mround(W57*Setup!AL14,'Quick Setup'!$A$2)</f>
        <v>152.5</v>
      </c>
      <c r="X58" s="3">
        <f>Setup!AM14</f>
        <v>7</v>
      </c>
      <c r="Y58" s="3">
        <f>Setup!AN14</f>
        <v>13</v>
      </c>
      <c r="Z58" s="3">
        <f>Setup!AO14</f>
        <v>5</v>
      </c>
      <c r="AA58" s="10"/>
      <c r="AB58" s="10"/>
      <c r="AC58" s="10"/>
      <c r="AD58" s="42">
        <f>mround(AD57*Setup!AX14,'Quick Setup'!$A$2)</f>
        <v>165</v>
      </c>
      <c r="AE58" s="3">
        <f>Setup!AY14</f>
        <v>6</v>
      </c>
      <c r="AF58" s="3">
        <f>Setup!AZ14</f>
        <v>11</v>
      </c>
      <c r="AG58" s="3">
        <f>Setup!BA14</f>
        <v>5</v>
      </c>
      <c r="AH58" s="10"/>
      <c r="AI58" s="10"/>
      <c r="AJ58" s="10"/>
      <c r="AK58" s="42">
        <f>mround(AK57*Setup!BJ14,'Quick Setup'!$A$2)</f>
        <v>177.5</v>
      </c>
      <c r="AL58" s="3">
        <f>Setup!BK14</f>
        <v>5</v>
      </c>
      <c r="AM58" s="3">
        <f>Setup!BL14</f>
        <v>9</v>
      </c>
      <c r="AN58" s="3">
        <f>Setup!BM14</f>
        <v>5</v>
      </c>
      <c r="AO58" s="10"/>
      <c r="AP58" s="10"/>
      <c r="AQ58" s="10"/>
      <c r="AR58" s="42">
        <f>mround(AR57*Setup!BV14,'Quick Setup'!$A$2)</f>
        <v>122.5</v>
      </c>
      <c r="AS58" s="1">
        <v>5.0</v>
      </c>
      <c r="AT58" s="1" t="s">
        <v>78</v>
      </c>
      <c r="AU58" s="3">
        <f>Setup!BY14</f>
        <v>5</v>
      </c>
      <c r="AV58" s="10"/>
      <c r="AW58" s="10"/>
      <c r="AX58" s="10"/>
      <c r="AY58" s="42">
        <f>mround(AY57*Setup!CH14,'Quick Setup'!$A$2)</f>
        <v>160</v>
      </c>
      <c r="AZ58" s="3">
        <f>Setup!CI14</f>
        <v>6</v>
      </c>
      <c r="BA58" s="3">
        <f>Setup!CJ14</f>
        <v>12</v>
      </c>
      <c r="BB58" s="3">
        <f>Setup!CK14</f>
        <v>5</v>
      </c>
      <c r="BC58" s="10"/>
      <c r="BD58" s="10"/>
      <c r="BE58" s="10"/>
      <c r="BF58" s="42">
        <f>mround(BF57*Setup!CT14,'Quick Setup'!$A$2)</f>
        <v>172.5</v>
      </c>
      <c r="BG58" s="3">
        <f>Setup!CU14</f>
        <v>5</v>
      </c>
      <c r="BH58" s="3">
        <f>Setup!CV14</f>
        <v>10</v>
      </c>
      <c r="BI58" s="3">
        <f>Setup!CW14</f>
        <v>5</v>
      </c>
      <c r="BJ58" s="10"/>
      <c r="BK58" s="10"/>
      <c r="BL58" s="10"/>
      <c r="BM58" s="42">
        <f>mround(BM57*Setup!DF14,'Quick Setup'!$A$2)</f>
        <v>185</v>
      </c>
      <c r="BN58" s="3">
        <f>Setup!DG14</f>
        <v>4</v>
      </c>
      <c r="BO58" s="3">
        <f>Setup!DH14</f>
        <v>8</v>
      </c>
      <c r="BP58" s="3">
        <f>Setup!DI14</f>
        <v>5</v>
      </c>
      <c r="BQ58" s="10"/>
      <c r="BR58" s="10"/>
      <c r="BS58" s="10"/>
      <c r="BT58" s="42">
        <f>mround(BT57*Setup!DR14,'Quick Setup'!$A$2)</f>
        <v>165</v>
      </c>
      <c r="BU58" s="3">
        <f>Setup!DS14</f>
        <v>6</v>
      </c>
      <c r="BV58" s="3">
        <f>Setup!DT14</f>
        <v>11</v>
      </c>
      <c r="BW58" s="3">
        <f>Setup!DU14</f>
        <v>5</v>
      </c>
      <c r="BX58" s="10"/>
      <c r="BY58" s="10"/>
      <c r="BZ58" s="10"/>
      <c r="CA58" s="42">
        <f>mround(CA57*Setup!ED14,'Quick Setup'!$A$2)</f>
        <v>177.5</v>
      </c>
      <c r="CB58" s="3">
        <f>Setup!EE14</f>
        <v>5</v>
      </c>
      <c r="CC58" s="3">
        <f>Setup!EF14</f>
        <v>9</v>
      </c>
      <c r="CD58" s="3">
        <f>Setup!EG14</f>
        <v>5</v>
      </c>
      <c r="CE58" s="10"/>
      <c r="CF58" s="10"/>
      <c r="CG58" s="10"/>
      <c r="CH58" s="42">
        <f>mround(CH57*Setup!EP14,'Quick Setup'!$A$2)</f>
        <v>190</v>
      </c>
      <c r="CI58" s="3">
        <f>Setup!EQ14</f>
        <v>4</v>
      </c>
      <c r="CJ58" s="3">
        <f>Setup!ER14</f>
        <v>7</v>
      </c>
      <c r="CK58" s="3">
        <f>Setup!ES14</f>
        <v>5</v>
      </c>
      <c r="CL58" s="10"/>
      <c r="CM58" s="10"/>
      <c r="CN58" s="10"/>
      <c r="CO58" s="42">
        <f>mround(CO57*Setup!FB14,'Quick Setup'!$A$2)</f>
        <v>122.5</v>
      </c>
      <c r="CP58" s="1">
        <v>5.0</v>
      </c>
      <c r="CQ58" s="1" t="s">
        <v>78</v>
      </c>
      <c r="CR58" s="3">
        <f>Setup!FE14</f>
        <v>5</v>
      </c>
      <c r="CS58" s="10"/>
      <c r="CT58" s="10"/>
      <c r="CU58" s="10"/>
      <c r="CV58" s="42">
        <f>mround(CV57*Setup!FN14,'Quick Setup'!$A$2)</f>
        <v>172.5</v>
      </c>
      <c r="CW58" s="3">
        <f>Setup!FO14</f>
        <v>5</v>
      </c>
      <c r="CX58" s="3">
        <f>Setup!FP14</f>
        <v>10</v>
      </c>
      <c r="CY58" s="3">
        <f>Setup!FQ14</f>
        <v>5</v>
      </c>
      <c r="CZ58" s="10"/>
      <c r="DA58" s="10"/>
      <c r="DB58" s="10"/>
      <c r="DC58" s="42">
        <f>mround(DC57*Setup!FZ14,'Quick Setup'!$A$2)</f>
        <v>185</v>
      </c>
      <c r="DD58" s="3">
        <f>Setup!GA14</f>
        <v>4</v>
      </c>
      <c r="DE58" s="3">
        <f>Setup!GB14</f>
        <v>8</v>
      </c>
      <c r="DF58" s="3">
        <f>Setup!GC14</f>
        <v>5</v>
      </c>
      <c r="DG58" s="10"/>
      <c r="DH58" s="10"/>
      <c r="DI58" s="10"/>
      <c r="DJ58" s="42">
        <f>mround(DJ57*Setup!GL14,'Quick Setup'!$A$2)</f>
        <v>195</v>
      </c>
      <c r="DK58" s="3">
        <f>Setup!GM14</f>
        <v>3</v>
      </c>
      <c r="DL58" s="3">
        <f>Setup!GN14</f>
        <v>6</v>
      </c>
      <c r="DM58" s="3">
        <f>Setup!GO14</f>
        <v>5</v>
      </c>
      <c r="DN58" s="10"/>
      <c r="DO58" s="10"/>
      <c r="DP58" s="10"/>
      <c r="DQ58" s="42">
        <f>mround(DQ57*Setup!GX14,'Quick Setup'!$A$2)</f>
        <v>185</v>
      </c>
      <c r="DR58" s="3">
        <f>Setup!GY14</f>
        <v>4</v>
      </c>
      <c r="DS58" s="3">
        <f>Setup!GZ14</f>
        <v>8</v>
      </c>
      <c r="DT58" s="3">
        <f>Setup!HA14</f>
        <v>5</v>
      </c>
      <c r="DU58" s="10"/>
      <c r="DV58" s="10"/>
      <c r="DW58" s="10"/>
      <c r="DX58" s="42">
        <f>mround(DX57*Setup!HJ14,'Quick Setup'!$A$2)</f>
        <v>195</v>
      </c>
      <c r="DY58" s="3">
        <f>Setup!HK14</f>
        <v>3</v>
      </c>
      <c r="DZ58" s="3">
        <f>Setup!HL14</f>
        <v>6</v>
      </c>
      <c r="EA58" s="3">
        <f>Setup!HM14</f>
        <v>5</v>
      </c>
      <c r="EB58" s="10"/>
      <c r="EC58" s="10"/>
      <c r="ED58" s="10"/>
      <c r="EE58" s="42">
        <f>mround(EE57*Setup!HV14,'Quick Setup'!$A$2)</f>
        <v>207.5</v>
      </c>
      <c r="EF58" s="3">
        <f>Setup!HW14</f>
        <v>2</v>
      </c>
      <c r="EG58" s="3">
        <f>Setup!HX14</f>
        <v>4</v>
      </c>
      <c r="EH58" s="3">
        <f>Setup!HY14</f>
        <v>5</v>
      </c>
      <c r="EI58" s="10"/>
      <c r="EJ58" s="10"/>
      <c r="EK58" s="10"/>
      <c r="EL58" s="42">
        <f>mround(EL57*Setup!IH14,'Quick Setup'!$A$2)</f>
        <v>122.5</v>
      </c>
      <c r="EM58" s="1">
        <v>5.0</v>
      </c>
      <c r="EN58" s="1" t="s">
        <v>78</v>
      </c>
      <c r="EO58" s="3">
        <f>Setup!IK14</f>
        <v>5</v>
      </c>
      <c r="EP58" s="10"/>
      <c r="EQ58" s="10"/>
      <c r="ER58" s="10"/>
    </row>
    <row r="59">
      <c r="A59" s="5"/>
      <c r="B59" s="43"/>
      <c r="C59" s="10"/>
      <c r="D59" s="10"/>
      <c r="E59" s="10"/>
      <c r="F59" s="10"/>
      <c r="G59" s="10"/>
      <c r="H59" s="10"/>
      <c r="I59" s="43" t="str">
        <f t="shared" ref="I59:M59" si="401">B59</f>
        <v/>
      </c>
      <c r="J59" s="10" t="str">
        <f t="shared" si="401"/>
        <v/>
      </c>
      <c r="K59" s="10" t="str">
        <f t="shared" si="401"/>
        <v/>
      </c>
      <c r="L59" s="10" t="str">
        <f t="shared" si="401"/>
        <v/>
      </c>
      <c r="M59" s="10" t="str">
        <f t="shared" si="401"/>
        <v/>
      </c>
      <c r="N59" s="10"/>
      <c r="O59" s="10"/>
      <c r="P59" s="43" t="str">
        <f t="shared" ref="P59:T59" si="402">I59</f>
        <v/>
      </c>
      <c r="Q59" s="10" t="str">
        <f t="shared" si="402"/>
        <v/>
      </c>
      <c r="R59" s="10" t="str">
        <f t="shared" si="402"/>
        <v/>
      </c>
      <c r="S59" s="10" t="str">
        <f t="shared" si="402"/>
        <v/>
      </c>
      <c r="T59" s="10" t="str">
        <f t="shared" si="402"/>
        <v/>
      </c>
      <c r="U59" s="10"/>
      <c r="V59" s="10"/>
      <c r="W59" s="43" t="str">
        <f t="shared" ref="W59:AA59" si="403">P59</f>
        <v/>
      </c>
      <c r="X59" s="10" t="str">
        <f t="shared" si="403"/>
        <v/>
      </c>
      <c r="Y59" s="10" t="str">
        <f t="shared" si="403"/>
        <v/>
      </c>
      <c r="Z59" s="10" t="str">
        <f t="shared" si="403"/>
        <v/>
      </c>
      <c r="AA59" s="10" t="str">
        <f t="shared" si="403"/>
        <v/>
      </c>
      <c r="AB59" s="10"/>
      <c r="AC59" s="10"/>
      <c r="AD59" s="43" t="str">
        <f t="shared" ref="AD59:AH59" si="404">W59</f>
        <v/>
      </c>
      <c r="AE59" s="10" t="str">
        <f t="shared" si="404"/>
        <v/>
      </c>
      <c r="AF59" s="10" t="str">
        <f t="shared" si="404"/>
        <v/>
      </c>
      <c r="AG59" s="10" t="str">
        <f t="shared" si="404"/>
        <v/>
      </c>
      <c r="AH59" s="10" t="str">
        <f t="shared" si="404"/>
        <v/>
      </c>
      <c r="AI59" s="10"/>
      <c r="AJ59" s="10"/>
      <c r="AK59" s="43" t="str">
        <f t="shared" ref="AK59:AO59" si="405">AD59</f>
        <v/>
      </c>
      <c r="AL59" s="10" t="str">
        <f t="shared" si="405"/>
        <v/>
      </c>
      <c r="AM59" s="10" t="str">
        <f t="shared" si="405"/>
        <v/>
      </c>
      <c r="AN59" s="10" t="str">
        <f t="shared" si="405"/>
        <v/>
      </c>
      <c r="AO59" s="10" t="str">
        <f t="shared" si="405"/>
        <v/>
      </c>
      <c r="AP59" s="10"/>
      <c r="AQ59" s="10"/>
      <c r="AR59" s="43" t="str">
        <f t="shared" ref="AR59:AV59" si="406">AK59</f>
        <v/>
      </c>
      <c r="AS59" s="10" t="str">
        <f t="shared" si="406"/>
        <v/>
      </c>
      <c r="AT59" s="10" t="str">
        <f t="shared" si="406"/>
        <v/>
      </c>
      <c r="AU59" s="10" t="str">
        <f t="shared" si="406"/>
        <v/>
      </c>
      <c r="AV59" s="10" t="str">
        <f t="shared" si="406"/>
        <v/>
      </c>
      <c r="AW59" s="10"/>
      <c r="AX59" s="10"/>
      <c r="AY59" s="43" t="str">
        <f t="shared" ref="AY59:BC59" si="407">AR59</f>
        <v/>
      </c>
      <c r="AZ59" s="10" t="str">
        <f t="shared" si="407"/>
        <v/>
      </c>
      <c r="BA59" s="10" t="str">
        <f t="shared" si="407"/>
        <v/>
      </c>
      <c r="BB59" s="10" t="str">
        <f t="shared" si="407"/>
        <v/>
      </c>
      <c r="BC59" s="10" t="str">
        <f t="shared" si="407"/>
        <v/>
      </c>
      <c r="BD59" s="10"/>
      <c r="BE59" s="10"/>
      <c r="BF59" s="43" t="str">
        <f t="shared" ref="BF59:BJ59" si="408">AY59</f>
        <v/>
      </c>
      <c r="BG59" s="10" t="str">
        <f t="shared" si="408"/>
        <v/>
      </c>
      <c r="BH59" s="10" t="str">
        <f t="shared" si="408"/>
        <v/>
      </c>
      <c r="BI59" s="10" t="str">
        <f t="shared" si="408"/>
        <v/>
      </c>
      <c r="BJ59" s="10" t="str">
        <f t="shared" si="408"/>
        <v/>
      </c>
      <c r="BK59" s="10"/>
      <c r="BL59" s="10"/>
      <c r="BM59" s="43" t="str">
        <f t="shared" ref="BM59:BQ59" si="409">BF59</f>
        <v/>
      </c>
      <c r="BN59" s="10" t="str">
        <f t="shared" si="409"/>
        <v/>
      </c>
      <c r="BO59" s="10" t="str">
        <f t="shared" si="409"/>
        <v/>
      </c>
      <c r="BP59" s="10" t="str">
        <f t="shared" si="409"/>
        <v/>
      </c>
      <c r="BQ59" s="10" t="str">
        <f t="shared" si="409"/>
        <v/>
      </c>
      <c r="BR59" s="10"/>
      <c r="BS59" s="10"/>
      <c r="BT59" s="43" t="str">
        <f t="shared" ref="BT59:BX59" si="410">BM59</f>
        <v/>
      </c>
      <c r="BU59" s="10" t="str">
        <f t="shared" si="410"/>
        <v/>
      </c>
      <c r="BV59" s="10" t="str">
        <f t="shared" si="410"/>
        <v/>
      </c>
      <c r="BW59" s="10" t="str">
        <f t="shared" si="410"/>
        <v/>
      </c>
      <c r="BX59" s="10" t="str">
        <f t="shared" si="410"/>
        <v/>
      </c>
      <c r="BY59" s="10"/>
      <c r="BZ59" s="10"/>
      <c r="CA59" s="43" t="str">
        <f t="shared" ref="CA59:CE59" si="411">BT59</f>
        <v/>
      </c>
      <c r="CB59" s="10" t="str">
        <f t="shared" si="411"/>
        <v/>
      </c>
      <c r="CC59" s="10" t="str">
        <f t="shared" si="411"/>
        <v/>
      </c>
      <c r="CD59" s="10" t="str">
        <f t="shared" si="411"/>
        <v/>
      </c>
      <c r="CE59" s="10" t="str">
        <f t="shared" si="411"/>
        <v/>
      </c>
      <c r="CF59" s="10"/>
      <c r="CG59" s="10"/>
      <c r="CH59" s="43" t="str">
        <f t="shared" ref="CH59:CL59" si="412">CA59</f>
        <v/>
      </c>
      <c r="CI59" s="10" t="str">
        <f t="shared" si="412"/>
        <v/>
      </c>
      <c r="CJ59" s="10" t="str">
        <f t="shared" si="412"/>
        <v/>
      </c>
      <c r="CK59" s="10" t="str">
        <f t="shared" si="412"/>
        <v/>
      </c>
      <c r="CL59" s="10" t="str">
        <f t="shared" si="412"/>
        <v/>
      </c>
      <c r="CM59" s="10"/>
      <c r="CN59" s="10"/>
      <c r="CO59" s="43" t="str">
        <f t="shared" ref="CO59:CS59" si="413">CH59</f>
        <v/>
      </c>
      <c r="CP59" s="10" t="str">
        <f t="shared" si="413"/>
        <v/>
      </c>
      <c r="CQ59" s="10" t="str">
        <f t="shared" si="413"/>
        <v/>
      </c>
      <c r="CR59" s="10" t="str">
        <f t="shared" si="413"/>
        <v/>
      </c>
      <c r="CS59" s="10" t="str">
        <f t="shared" si="413"/>
        <v/>
      </c>
      <c r="CT59" s="10"/>
      <c r="CU59" s="10"/>
      <c r="CV59" s="43" t="str">
        <f t="shared" ref="CV59:CZ59" si="414">CO59</f>
        <v/>
      </c>
      <c r="CW59" s="10" t="str">
        <f t="shared" si="414"/>
        <v/>
      </c>
      <c r="CX59" s="10" t="str">
        <f t="shared" si="414"/>
        <v/>
      </c>
      <c r="CY59" s="10" t="str">
        <f t="shared" si="414"/>
        <v/>
      </c>
      <c r="CZ59" s="10" t="str">
        <f t="shared" si="414"/>
        <v/>
      </c>
      <c r="DA59" s="10"/>
      <c r="DB59" s="10"/>
      <c r="DC59" s="43" t="str">
        <f t="shared" ref="DC59:DG59" si="415">CV59</f>
        <v/>
      </c>
      <c r="DD59" s="10" t="str">
        <f t="shared" si="415"/>
        <v/>
      </c>
      <c r="DE59" s="10" t="str">
        <f t="shared" si="415"/>
        <v/>
      </c>
      <c r="DF59" s="10" t="str">
        <f t="shared" si="415"/>
        <v/>
      </c>
      <c r="DG59" s="10" t="str">
        <f t="shared" si="415"/>
        <v/>
      </c>
      <c r="DH59" s="10"/>
      <c r="DI59" s="10"/>
      <c r="DJ59" s="43" t="str">
        <f t="shared" ref="DJ59:DN59" si="416">DC59</f>
        <v/>
      </c>
      <c r="DK59" s="10" t="str">
        <f t="shared" si="416"/>
        <v/>
      </c>
      <c r="DL59" s="10" t="str">
        <f t="shared" si="416"/>
        <v/>
      </c>
      <c r="DM59" s="10" t="str">
        <f t="shared" si="416"/>
        <v/>
      </c>
      <c r="DN59" s="10" t="str">
        <f t="shared" si="416"/>
        <v/>
      </c>
      <c r="DO59" s="10"/>
      <c r="DP59" s="10"/>
      <c r="DQ59" s="43" t="str">
        <f t="shared" ref="DQ59:DU59" si="417">DJ59</f>
        <v/>
      </c>
      <c r="DR59" s="10" t="str">
        <f t="shared" si="417"/>
        <v/>
      </c>
      <c r="DS59" s="10" t="str">
        <f t="shared" si="417"/>
        <v/>
      </c>
      <c r="DT59" s="10" t="str">
        <f t="shared" si="417"/>
        <v/>
      </c>
      <c r="DU59" s="10" t="str">
        <f t="shared" si="417"/>
        <v/>
      </c>
      <c r="DV59" s="10"/>
      <c r="DW59" s="10"/>
      <c r="DX59" s="43" t="str">
        <f t="shared" ref="DX59:EB59" si="418">DQ59</f>
        <v/>
      </c>
      <c r="DY59" s="10" t="str">
        <f t="shared" si="418"/>
        <v/>
      </c>
      <c r="DZ59" s="10" t="str">
        <f t="shared" si="418"/>
        <v/>
      </c>
      <c r="EA59" s="10" t="str">
        <f t="shared" si="418"/>
        <v/>
      </c>
      <c r="EB59" s="10" t="str">
        <f t="shared" si="418"/>
        <v/>
      </c>
      <c r="EC59" s="10"/>
      <c r="ED59" s="10"/>
      <c r="EE59" s="43" t="str">
        <f t="shared" ref="EE59:EI59" si="419">DX59</f>
        <v/>
      </c>
      <c r="EF59" s="10" t="str">
        <f t="shared" si="419"/>
        <v/>
      </c>
      <c r="EG59" s="10" t="str">
        <f t="shared" si="419"/>
        <v/>
      </c>
      <c r="EH59" s="10" t="str">
        <f t="shared" si="419"/>
        <v/>
      </c>
      <c r="EI59" s="10" t="str">
        <f t="shared" si="419"/>
        <v/>
      </c>
      <c r="EJ59" s="10"/>
      <c r="EK59" s="10"/>
      <c r="EL59" s="43" t="str">
        <f t="shared" ref="EL59:EP59" si="420">EE59</f>
        <v/>
      </c>
      <c r="EM59" s="10" t="str">
        <f t="shared" si="420"/>
        <v/>
      </c>
      <c r="EN59" s="10" t="str">
        <f t="shared" si="420"/>
        <v/>
      </c>
      <c r="EO59" s="10" t="str">
        <f t="shared" si="420"/>
        <v/>
      </c>
      <c r="EP59" s="10" t="str">
        <f t="shared" si="420"/>
        <v/>
      </c>
      <c r="EQ59" s="10"/>
      <c r="ER59" s="10"/>
    </row>
    <row r="60">
      <c r="A60" s="1" t="s">
        <v>79</v>
      </c>
      <c r="B60" s="42"/>
      <c r="C60" s="3"/>
      <c r="D60" s="3"/>
      <c r="E60" s="3"/>
      <c r="F60" s="3"/>
      <c r="G60" s="3"/>
      <c r="H60" s="3"/>
      <c r="I60" s="42"/>
      <c r="J60" s="3"/>
      <c r="K60" s="3"/>
      <c r="L60" s="3"/>
      <c r="M60" s="3"/>
      <c r="N60" s="3"/>
      <c r="O60" s="3"/>
      <c r="P60" s="42"/>
      <c r="Q60" s="3"/>
      <c r="R60" s="3"/>
      <c r="S60" s="3"/>
      <c r="T60" s="3"/>
      <c r="U60" s="3"/>
      <c r="V60" s="3"/>
      <c r="W60" s="42"/>
      <c r="X60" s="3"/>
      <c r="Y60" s="3"/>
      <c r="Z60" s="3"/>
      <c r="AA60" s="3"/>
      <c r="AB60" s="3"/>
      <c r="AC60" s="3"/>
      <c r="AD60" s="42"/>
      <c r="AE60" s="3"/>
      <c r="AF60" s="3"/>
      <c r="AG60" s="3"/>
      <c r="AH60" s="3"/>
      <c r="AI60" s="3"/>
      <c r="AJ60" s="3"/>
      <c r="AK60" s="42"/>
      <c r="AL60" s="3"/>
      <c r="AM60" s="3"/>
      <c r="AN60" s="3"/>
      <c r="AO60" s="3"/>
      <c r="AP60" s="3"/>
      <c r="AQ60" s="3"/>
      <c r="AR60" s="42"/>
      <c r="AS60" s="3"/>
      <c r="AT60" s="3"/>
      <c r="AU60" s="3"/>
      <c r="AV60" s="3"/>
      <c r="AW60" s="3"/>
      <c r="AX60" s="3"/>
      <c r="AY60" s="42"/>
      <c r="AZ60" s="3"/>
      <c r="BA60" s="3"/>
      <c r="BB60" s="3"/>
      <c r="BC60" s="3"/>
      <c r="BD60" s="3"/>
      <c r="BE60" s="3"/>
      <c r="BF60" s="42"/>
      <c r="BG60" s="3"/>
      <c r="BH60" s="3"/>
      <c r="BI60" s="3"/>
      <c r="BJ60" s="3"/>
      <c r="BK60" s="3"/>
      <c r="BL60" s="3"/>
      <c r="BM60" s="42"/>
      <c r="BN60" s="3"/>
      <c r="BO60" s="3"/>
      <c r="BP60" s="3"/>
      <c r="BQ60" s="3"/>
      <c r="BR60" s="3"/>
      <c r="BS60" s="3"/>
      <c r="BT60" s="42"/>
      <c r="BU60" s="3"/>
      <c r="BV60" s="3"/>
      <c r="BW60" s="3"/>
      <c r="BX60" s="3"/>
      <c r="BY60" s="3"/>
      <c r="BZ60" s="3"/>
      <c r="CA60" s="42"/>
      <c r="CB60" s="3"/>
      <c r="CC60" s="3"/>
      <c r="CD60" s="3"/>
      <c r="CE60" s="3"/>
      <c r="CF60" s="3"/>
      <c r="CG60" s="3"/>
      <c r="CH60" s="42"/>
      <c r="CI60" s="3"/>
      <c r="CJ60" s="3"/>
      <c r="CK60" s="3"/>
      <c r="CL60" s="3"/>
      <c r="CM60" s="3"/>
      <c r="CN60" s="3"/>
      <c r="CO60" s="42"/>
      <c r="CP60" s="3"/>
      <c r="CQ60" s="3"/>
      <c r="CR60" s="3"/>
      <c r="CS60" s="3"/>
      <c r="CT60" s="3"/>
      <c r="CU60" s="3"/>
      <c r="CV60" s="42"/>
      <c r="CW60" s="3"/>
      <c r="CX60" s="3"/>
      <c r="CY60" s="3"/>
      <c r="CZ60" s="3"/>
      <c r="DA60" s="3"/>
      <c r="DB60" s="3"/>
      <c r="DC60" s="42"/>
      <c r="DD60" s="3"/>
      <c r="DE60" s="3"/>
      <c r="DF60" s="3"/>
      <c r="DG60" s="3"/>
      <c r="DH60" s="3"/>
      <c r="DI60" s="3"/>
      <c r="DJ60" s="42"/>
      <c r="DK60" s="3"/>
      <c r="DL60" s="3"/>
      <c r="DM60" s="3"/>
      <c r="DN60" s="3"/>
      <c r="DO60" s="3"/>
      <c r="DP60" s="3"/>
      <c r="DQ60" s="42"/>
      <c r="DR60" s="3"/>
      <c r="DS60" s="3"/>
      <c r="DT60" s="3"/>
      <c r="DU60" s="3"/>
      <c r="DV60" s="3"/>
      <c r="DW60" s="3"/>
      <c r="DX60" s="42"/>
      <c r="DY60" s="3"/>
      <c r="DZ60" s="3"/>
      <c r="EA60" s="3"/>
      <c r="EB60" s="3"/>
      <c r="EC60" s="3"/>
      <c r="ED60" s="3"/>
      <c r="EE60" s="42"/>
      <c r="EF60" s="3"/>
      <c r="EG60" s="3"/>
      <c r="EH60" s="3"/>
      <c r="EI60" s="3"/>
      <c r="EJ60" s="3"/>
      <c r="EK60" s="3"/>
      <c r="EL60" s="42"/>
      <c r="EM60" s="3"/>
      <c r="EN60" s="3"/>
      <c r="EO60" s="3"/>
      <c r="EP60" s="3"/>
      <c r="EQ60" s="3"/>
      <c r="ER60" s="3"/>
    </row>
    <row r="61">
      <c r="A61" s="44"/>
      <c r="B61" s="43"/>
      <c r="C61" s="10"/>
      <c r="D61" s="10"/>
      <c r="E61" s="10"/>
      <c r="F61" s="10"/>
      <c r="G61" s="10"/>
      <c r="H61" s="10"/>
      <c r="I61" s="43" t="str">
        <f t="shared" ref="I61:M61" si="421">B61</f>
        <v/>
      </c>
      <c r="J61" s="10" t="str">
        <f t="shared" si="421"/>
        <v/>
      </c>
      <c r="K61" s="10" t="str">
        <f t="shared" si="421"/>
        <v/>
      </c>
      <c r="L61" s="10" t="str">
        <f t="shared" si="421"/>
        <v/>
      </c>
      <c r="M61" s="10" t="str">
        <f t="shared" si="421"/>
        <v/>
      </c>
      <c r="N61" s="10"/>
      <c r="O61" s="10"/>
      <c r="P61" s="43" t="str">
        <f t="shared" ref="P61:T61" si="422">I61</f>
        <v/>
      </c>
      <c r="Q61" s="10" t="str">
        <f t="shared" si="422"/>
        <v/>
      </c>
      <c r="R61" s="10" t="str">
        <f t="shared" si="422"/>
        <v/>
      </c>
      <c r="S61" s="10" t="str">
        <f t="shared" si="422"/>
        <v/>
      </c>
      <c r="T61" s="10" t="str">
        <f t="shared" si="422"/>
        <v/>
      </c>
      <c r="U61" s="10"/>
      <c r="V61" s="10"/>
      <c r="W61" s="43" t="str">
        <f t="shared" ref="W61:AA61" si="423">P61</f>
        <v/>
      </c>
      <c r="X61" s="10" t="str">
        <f t="shared" si="423"/>
        <v/>
      </c>
      <c r="Y61" s="10" t="str">
        <f t="shared" si="423"/>
        <v/>
      </c>
      <c r="Z61" s="10" t="str">
        <f t="shared" si="423"/>
        <v/>
      </c>
      <c r="AA61" s="10" t="str">
        <f t="shared" si="423"/>
        <v/>
      </c>
      <c r="AB61" s="10"/>
      <c r="AC61" s="10"/>
      <c r="AD61" s="43" t="str">
        <f t="shared" ref="AD61:AH61" si="424">W61</f>
        <v/>
      </c>
      <c r="AE61" s="10" t="str">
        <f t="shared" si="424"/>
        <v/>
      </c>
      <c r="AF61" s="10" t="str">
        <f t="shared" si="424"/>
        <v/>
      </c>
      <c r="AG61" s="10" t="str">
        <f t="shared" si="424"/>
        <v/>
      </c>
      <c r="AH61" s="10" t="str">
        <f t="shared" si="424"/>
        <v/>
      </c>
      <c r="AI61" s="10"/>
      <c r="AJ61" s="10"/>
      <c r="AK61" s="43" t="str">
        <f t="shared" ref="AK61:AO61" si="425">AD61</f>
        <v/>
      </c>
      <c r="AL61" s="10" t="str">
        <f t="shared" si="425"/>
        <v/>
      </c>
      <c r="AM61" s="10" t="str">
        <f t="shared" si="425"/>
        <v/>
      </c>
      <c r="AN61" s="10" t="str">
        <f t="shared" si="425"/>
        <v/>
      </c>
      <c r="AO61" s="10" t="str">
        <f t="shared" si="425"/>
        <v/>
      </c>
      <c r="AP61" s="10"/>
      <c r="AQ61" s="10"/>
      <c r="AR61" s="43" t="str">
        <f t="shared" ref="AR61:AV61" si="426">AK61</f>
        <v/>
      </c>
      <c r="AS61" s="10" t="str">
        <f t="shared" si="426"/>
        <v/>
      </c>
      <c r="AT61" s="10" t="str">
        <f t="shared" si="426"/>
        <v/>
      </c>
      <c r="AU61" s="10" t="str">
        <f t="shared" si="426"/>
        <v/>
      </c>
      <c r="AV61" s="10" t="str">
        <f t="shared" si="426"/>
        <v/>
      </c>
      <c r="AW61" s="10"/>
      <c r="AX61" s="10"/>
      <c r="AY61" s="43" t="str">
        <f t="shared" ref="AY61:BC61" si="427">AR61</f>
        <v/>
      </c>
      <c r="AZ61" s="10" t="str">
        <f t="shared" si="427"/>
        <v/>
      </c>
      <c r="BA61" s="10" t="str">
        <f t="shared" si="427"/>
        <v/>
      </c>
      <c r="BB61" s="10" t="str">
        <f t="shared" si="427"/>
        <v/>
      </c>
      <c r="BC61" s="10" t="str">
        <f t="shared" si="427"/>
        <v/>
      </c>
      <c r="BD61" s="10"/>
      <c r="BE61" s="10"/>
      <c r="BF61" s="43" t="str">
        <f t="shared" ref="BF61:BJ61" si="428">AY61</f>
        <v/>
      </c>
      <c r="BG61" s="10" t="str">
        <f t="shared" si="428"/>
        <v/>
      </c>
      <c r="BH61" s="10" t="str">
        <f t="shared" si="428"/>
        <v/>
      </c>
      <c r="BI61" s="10" t="str">
        <f t="shared" si="428"/>
        <v/>
      </c>
      <c r="BJ61" s="10" t="str">
        <f t="shared" si="428"/>
        <v/>
      </c>
      <c r="BK61" s="10"/>
      <c r="BL61" s="10"/>
      <c r="BM61" s="43" t="str">
        <f t="shared" ref="BM61:BQ61" si="429">BF61</f>
        <v/>
      </c>
      <c r="BN61" s="10" t="str">
        <f t="shared" si="429"/>
        <v/>
      </c>
      <c r="BO61" s="10" t="str">
        <f t="shared" si="429"/>
        <v/>
      </c>
      <c r="BP61" s="10" t="str">
        <f t="shared" si="429"/>
        <v/>
      </c>
      <c r="BQ61" s="10" t="str">
        <f t="shared" si="429"/>
        <v/>
      </c>
      <c r="BR61" s="10"/>
      <c r="BS61" s="10"/>
      <c r="BT61" s="43" t="str">
        <f t="shared" ref="BT61:BX61" si="430">BM61</f>
        <v/>
      </c>
      <c r="BU61" s="10" t="str">
        <f t="shared" si="430"/>
        <v/>
      </c>
      <c r="BV61" s="10" t="str">
        <f t="shared" si="430"/>
        <v/>
      </c>
      <c r="BW61" s="10" t="str">
        <f t="shared" si="430"/>
        <v/>
      </c>
      <c r="BX61" s="10" t="str">
        <f t="shared" si="430"/>
        <v/>
      </c>
      <c r="BY61" s="10"/>
      <c r="BZ61" s="10"/>
      <c r="CA61" s="43" t="str">
        <f t="shared" ref="CA61:CE61" si="431">BT61</f>
        <v/>
      </c>
      <c r="CB61" s="10" t="str">
        <f t="shared" si="431"/>
        <v/>
      </c>
      <c r="CC61" s="10" t="str">
        <f t="shared" si="431"/>
        <v/>
      </c>
      <c r="CD61" s="10" t="str">
        <f t="shared" si="431"/>
        <v/>
      </c>
      <c r="CE61" s="10" t="str">
        <f t="shared" si="431"/>
        <v/>
      </c>
      <c r="CF61" s="10"/>
      <c r="CG61" s="10"/>
      <c r="CH61" s="43" t="str">
        <f t="shared" ref="CH61:CL61" si="432">CA61</f>
        <v/>
      </c>
      <c r="CI61" s="10" t="str">
        <f t="shared" si="432"/>
        <v/>
      </c>
      <c r="CJ61" s="10" t="str">
        <f t="shared" si="432"/>
        <v/>
      </c>
      <c r="CK61" s="10" t="str">
        <f t="shared" si="432"/>
        <v/>
      </c>
      <c r="CL61" s="10" t="str">
        <f t="shared" si="432"/>
        <v/>
      </c>
      <c r="CM61" s="10"/>
      <c r="CN61" s="10"/>
      <c r="CO61" s="43" t="str">
        <f t="shared" ref="CO61:CS61" si="433">CH61</f>
        <v/>
      </c>
      <c r="CP61" s="10" t="str">
        <f t="shared" si="433"/>
        <v/>
      </c>
      <c r="CQ61" s="10" t="str">
        <f t="shared" si="433"/>
        <v/>
      </c>
      <c r="CR61" s="10" t="str">
        <f t="shared" si="433"/>
        <v/>
      </c>
      <c r="CS61" s="10" t="str">
        <f t="shared" si="433"/>
        <v/>
      </c>
      <c r="CT61" s="10"/>
      <c r="CU61" s="10"/>
      <c r="CV61" s="43" t="str">
        <f t="shared" ref="CV61:CZ61" si="434">CO61</f>
        <v/>
      </c>
      <c r="CW61" s="10" t="str">
        <f t="shared" si="434"/>
        <v/>
      </c>
      <c r="CX61" s="10" t="str">
        <f t="shared" si="434"/>
        <v/>
      </c>
      <c r="CY61" s="10" t="str">
        <f t="shared" si="434"/>
        <v/>
      </c>
      <c r="CZ61" s="10" t="str">
        <f t="shared" si="434"/>
        <v/>
      </c>
      <c r="DA61" s="10"/>
      <c r="DB61" s="10"/>
      <c r="DC61" s="43" t="str">
        <f t="shared" ref="DC61:DG61" si="435">CV61</f>
        <v/>
      </c>
      <c r="DD61" s="10" t="str">
        <f t="shared" si="435"/>
        <v/>
      </c>
      <c r="DE61" s="10" t="str">
        <f t="shared" si="435"/>
        <v/>
      </c>
      <c r="DF61" s="10" t="str">
        <f t="shared" si="435"/>
        <v/>
      </c>
      <c r="DG61" s="10" t="str">
        <f t="shared" si="435"/>
        <v/>
      </c>
      <c r="DH61" s="10"/>
      <c r="DI61" s="10"/>
      <c r="DJ61" s="43" t="str">
        <f t="shared" ref="DJ61:DN61" si="436">DC61</f>
        <v/>
      </c>
      <c r="DK61" s="10" t="str">
        <f t="shared" si="436"/>
        <v/>
      </c>
      <c r="DL61" s="10" t="str">
        <f t="shared" si="436"/>
        <v/>
      </c>
      <c r="DM61" s="10" t="str">
        <f t="shared" si="436"/>
        <v/>
      </c>
      <c r="DN61" s="10" t="str">
        <f t="shared" si="436"/>
        <v/>
      </c>
      <c r="DO61" s="10"/>
      <c r="DP61" s="10"/>
      <c r="DQ61" s="43" t="str">
        <f t="shared" ref="DQ61:DU61" si="437">DJ61</f>
        <v/>
      </c>
      <c r="DR61" s="10" t="str">
        <f t="shared" si="437"/>
        <v/>
      </c>
      <c r="DS61" s="10" t="str">
        <f t="shared" si="437"/>
        <v/>
      </c>
      <c r="DT61" s="10" t="str">
        <f t="shared" si="437"/>
        <v/>
      </c>
      <c r="DU61" s="10" t="str">
        <f t="shared" si="437"/>
        <v/>
      </c>
      <c r="DV61" s="10"/>
      <c r="DW61" s="10"/>
      <c r="DX61" s="43" t="str">
        <f t="shared" ref="DX61:EB61" si="438">DQ61</f>
        <v/>
      </c>
      <c r="DY61" s="10" t="str">
        <f t="shared" si="438"/>
        <v/>
      </c>
      <c r="DZ61" s="10" t="str">
        <f t="shared" si="438"/>
        <v/>
      </c>
      <c r="EA61" s="10" t="str">
        <f t="shared" si="438"/>
        <v/>
      </c>
      <c r="EB61" s="10" t="str">
        <f t="shared" si="438"/>
        <v/>
      </c>
      <c r="EC61" s="10"/>
      <c r="ED61" s="10"/>
      <c r="EE61" s="43" t="str">
        <f t="shared" ref="EE61:EI61" si="439">DX61</f>
        <v/>
      </c>
      <c r="EF61" s="10" t="str">
        <f t="shared" si="439"/>
        <v/>
      </c>
      <c r="EG61" s="10" t="str">
        <f t="shared" si="439"/>
        <v/>
      </c>
      <c r="EH61" s="10" t="str">
        <f t="shared" si="439"/>
        <v/>
      </c>
      <c r="EI61" s="10" t="str">
        <f t="shared" si="439"/>
        <v/>
      </c>
      <c r="EJ61" s="10"/>
      <c r="EK61" s="10"/>
      <c r="EL61" s="43" t="str">
        <f t="shared" ref="EL61:EP61" si="440">EE61</f>
        <v/>
      </c>
      <c r="EM61" s="10" t="str">
        <f t="shared" si="440"/>
        <v/>
      </c>
      <c r="EN61" s="10" t="str">
        <f t="shared" si="440"/>
        <v/>
      </c>
      <c r="EO61" s="10" t="str">
        <f t="shared" si="440"/>
        <v/>
      </c>
      <c r="EP61" s="10" t="str">
        <f t="shared" si="440"/>
        <v/>
      </c>
      <c r="EQ61" s="10"/>
      <c r="ER61" s="10"/>
    </row>
    <row r="62">
      <c r="A62" s="44"/>
      <c r="B62" s="43"/>
      <c r="C62" s="10"/>
      <c r="D62" s="10"/>
      <c r="E62" s="10"/>
      <c r="F62" s="10"/>
      <c r="G62" s="10"/>
      <c r="H62" s="10"/>
      <c r="I62" s="43" t="str">
        <f t="shared" ref="I62:M62" si="441">B62</f>
        <v/>
      </c>
      <c r="J62" s="10" t="str">
        <f t="shared" si="441"/>
        <v/>
      </c>
      <c r="K62" s="10" t="str">
        <f t="shared" si="441"/>
        <v/>
      </c>
      <c r="L62" s="10" t="str">
        <f t="shared" si="441"/>
        <v/>
      </c>
      <c r="M62" s="10" t="str">
        <f t="shared" si="441"/>
        <v/>
      </c>
      <c r="N62" s="10"/>
      <c r="O62" s="10"/>
      <c r="P62" s="43" t="str">
        <f t="shared" ref="P62:T62" si="442">I62</f>
        <v/>
      </c>
      <c r="Q62" s="10" t="str">
        <f t="shared" si="442"/>
        <v/>
      </c>
      <c r="R62" s="10" t="str">
        <f t="shared" si="442"/>
        <v/>
      </c>
      <c r="S62" s="10" t="str">
        <f t="shared" si="442"/>
        <v/>
      </c>
      <c r="T62" s="10" t="str">
        <f t="shared" si="442"/>
        <v/>
      </c>
      <c r="U62" s="10"/>
      <c r="V62" s="10"/>
      <c r="W62" s="43" t="str">
        <f t="shared" ref="W62:AA62" si="443">P62</f>
        <v/>
      </c>
      <c r="X62" s="10" t="str">
        <f t="shared" si="443"/>
        <v/>
      </c>
      <c r="Y62" s="10" t="str">
        <f t="shared" si="443"/>
        <v/>
      </c>
      <c r="Z62" s="10" t="str">
        <f t="shared" si="443"/>
        <v/>
      </c>
      <c r="AA62" s="10" t="str">
        <f t="shared" si="443"/>
        <v/>
      </c>
      <c r="AB62" s="10"/>
      <c r="AC62" s="10"/>
      <c r="AD62" s="43" t="str">
        <f t="shared" ref="AD62:AH62" si="444">W62</f>
        <v/>
      </c>
      <c r="AE62" s="10" t="str">
        <f t="shared" si="444"/>
        <v/>
      </c>
      <c r="AF62" s="10" t="str">
        <f t="shared" si="444"/>
        <v/>
      </c>
      <c r="AG62" s="10" t="str">
        <f t="shared" si="444"/>
        <v/>
      </c>
      <c r="AH62" s="10" t="str">
        <f t="shared" si="444"/>
        <v/>
      </c>
      <c r="AI62" s="10"/>
      <c r="AJ62" s="10"/>
      <c r="AK62" s="43" t="str">
        <f t="shared" ref="AK62:AO62" si="445">AD62</f>
        <v/>
      </c>
      <c r="AL62" s="10" t="str">
        <f t="shared" si="445"/>
        <v/>
      </c>
      <c r="AM62" s="10" t="str">
        <f t="shared" si="445"/>
        <v/>
      </c>
      <c r="AN62" s="10" t="str">
        <f t="shared" si="445"/>
        <v/>
      </c>
      <c r="AO62" s="10" t="str">
        <f t="shared" si="445"/>
        <v/>
      </c>
      <c r="AP62" s="10"/>
      <c r="AQ62" s="10"/>
      <c r="AR62" s="43" t="str">
        <f t="shared" ref="AR62:AV62" si="446">AK62</f>
        <v/>
      </c>
      <c r="AS62" s="10" t="str">
        <f t="shared" si="446"/>
        <v/>
      </c>
      <c r="AT62" s="10" t="str">
        <f t="shared" si="446"/>
        <v/>
      </c>
      <c r="AU62" s="10" t="str">
        <f t="shared" si="446"/>
        <v/>
      </c>
      <c r="AV62" s="10" t="str">
        <f t="shared" si="446"/>
        <v/>
      </c>
      <c r="AW62" s="10"/>
      <c r="AX62" s="10"/>
      <c r="AY62" s="43" t="str">
        <f t="shared" ref="AY62:BC62" si="447">AR62</f>
        <v/>
      </c>
      <c r="AZ62" s="10" t="str">
        <f t="shared" si="447"/>
        <v/>
      </c>
      <c r="BA62" s="10" t="str">
        <f t="shared" si="447"/>
        <v/>
      </c>
      <c r="BB62" s="10" t="str">
        <f t="shared" si="447"/>
        <v/>
      </c>
      <c r="BC62" s="10" t="str">
        <f t="shared" si="447"/>
        <v/>
      </c>
      <c r="BD62" s="10"/>
      <c r="BE62" s="10"/>
      <c r="BF62" s="43" t="str">
        <f t="shared" ref="BF62:BJ62" si="448">AY62</f>
        <v/>
      </c>
      <c r="BG62" s="10" t="str">
        <f t="shared" si="448"/>
        <v/>
      </c>
      <c r="BH62" s="10" t="str">
        <f t="shared" si="448"/>
        <v/>
      </c>
      <c r="BI62" s="10" t="str">
        <f t="shared" si="448"/>
        <v/>
      </c>
      <c r="BJ62" s="10" t="str">
        <f t="shared" si="448"/>
        <v/>
      </c>
      <c r="BK62" s="10"/>
      <c r="BL62" s="10"/>
      <c r="BM62" s="43" t="str">
        <f t="shared" ref="BM62:BQ62" si="449">BF62</f>
        <v/>
      </c>
      <c r="BN62" s="10" t="str">
        <f t="shared" si="449"/>
        <v/>
      </c>
      <c r="BO62" s="10" t="str">
        <f t="shared" si="449"/>
        <v/>
      </c>
      <c r="BP62" s="10" t="str">
        <f t="shared" si="449"/>
        <v/>
      </c>
      <c r="BQ62" s="10" t="str">
        <f t="shared" si="449"/>
        <v/>
      </c>
      <c r="BR62" s="10"/>
      <c r="BS62" s="10"/>
      <c r="BT62" s="43" t="str">
        <f t="shared" ref="BT62:BX62" si="450">BM62</f>
        <v/>
      </c>
      <c r="BU62" s="10" t="str">
        <f t="shared" si="450"/>
        <v/>
      </c>
      <c r="BV62" s="10" t="str">
        <f t="shared" si="450"/>
        <v/>
      </c>
      <c r="BW62" s="10" t="str">
        <f t="shared" si="450"/>
        <v/>
      </c>
      <c r="BX62" s="10" t="str">
        <f t="shared" si="450"/>
        <v/>
      </c>
      <c r="BY62" s="10"/>
      <c r="BZ62" s="10"/>
      <c r="CA62" s="43" t="str">
        <f t="shared" ref="CA62:CE62" si="451">BT62</f>
        <v/>
      </c>
      <c r="CB62" s="10" t="str">
        <f t="shared" si="451"/>
        <v/>
      </c>
      <c r="CC62" s="10" t="str">
        <f t="shared" si="451"/>
        <v/>
      </c>
      <c r="CD62" s="10" t="str">
        <f t="shared" si="451"/>
        <v/>
      </c>
      <c r="CE62" s="10" t="str">
        <f t="shared" si="451"/>
        <v/>
      </c>
      <c r="CF62" s="10"/>
      <c r="CG62" s="10"/>
      <c r="CH62" s="43" t="str">
        <f t="shared" ref="CH62:CL62" si="452">CA62</f>
        <v/>
      </c>
      <c r="CI62" s="10" t="str">
        <f t="shared" si="452"/>
        <v/>
      </c>
      <c r="CJ62" s="10" t="str">
        <f t="shared" si="452"/>
        <v/>
      </c>
      <c r="CK62" s="10" t="str">
        <f t="shared" si="452"/>
        <v/>
      </c>
      <c r="CL62" s="10" t="str">
        <f t="shared" si="452"/>
        <v/>
      </c>
      <c r="CM62" s="10"/>
      <c r="CN62" s="10"/>
      <c r="CO62" s="43" t="str">
        <f t="shared" ref="CO62:CS62" si="453">CH62</f>
        <v/>
      </c>
      <c r="CP62" s="10" t="str">
        <f t="shared" si="453"/>
        <v/>
      </c>
      <c r="CQ62" s="10" t="str">
        <f t="shared" si="453"/>
        <v/>
      </c>
      <c r="CR62" s="10" t="str">
        <f t="shared" si="453"/>
        <v/>
      </c>
      <c r="CS62" s="10" t="str">
        <f t="shared" si="453"/>
        <v/>
      </c>
      <c r="CT62" s="10"/>
      <c r="CU62" s="10"/>
      <c r="CV62" s="43" t="str">
        <f t="shared" ref="CV62:CZ62" si="454">CO62</f>
        <v/>
      </c>
      <c r="CW62" s="10" t="str">
        <f t="shared" si="454"/>
        <v/>
      </c>
      <c r="CX62" s="10" t="str">
        <f t="shared" si="454"/>
        <v/>
      </c>
      <c r="CY62" s="10" t="str">
        <f t="shared" si="454"/>
        <v/>
      </c>
      <c r="CZ62" s="10" t="str">
        <f t="shared" si="454"/>
        <v/>
      </c>
      <c r="DA62" s="10"/>
      <c r="DB62" s="10"/>
      <c r="DC62" s="43" t="str">
        <f t="shared" ref="DC62:DG62" si="455">CV62</f>
        <v/>
      </c>
      <c r="DD62" s="10" t="str">
        <f t="shared" si="455"/>
        <v/>
      </c>
      <c r="DE62" s="10" t="str">
        <f t="shared" si="455"/>
        <v/>
      </c>
      <c r="DF62" s="10" t="str">
        <f t="shared" si="455"/>
        <v/>
      </c>
      <c r="DG62" s="10" t="str">
        <f t="shared" si="455"/>
        <v/>
      </c>
      <c r="DH62" s="10"/>
      <c r="DI62" s="10"/>
      <c r="DJ62" s="43" t="str">
        <f t="shared" ref="DJ62:DN62" si="456">DC62</f>
        <v/>
      </c>
      <c r="DK62" s="10" t="str">
        <f t="shared" si="456"/>
        <v/>
      </c>
      <c r="DL62" s="10" t="str">
        <f t="shared" si="456"/>
        <v/>
      </c>
      <c r="DM62" s="10" t="str">
        <f t="shared" si="456"/>
        <v/>
      </c>
      <c r="DN62" s="10" t="str">
        <f t="shared" si="456"/>
        <v/>
      </c>
      <c r="DO62" s="10"/>
      <c r="DP62" s="10"/>
      <c r="DQ62" s="43" t="str">
        <f t="shared" ref="DQ62:DU62" si="457">DJ62</f>
        <v/>
      </c>
      <c r="DR62" s="10" t="str">
        <f t="shared" si="457"/>
        <v/>
      </c>
      <c r="DS62" s="10" t="str">
        <f t="shared" si="457"/>
        <v/>
      </c>
      <c r="DT62" s="10" t="str">
        <f t="shared" si="457"/>
        <v/>
      </c>
      <c r="DU62" s="10" t="str">
        <f t="shared" si="457"/>
        <v/>
      </c>
      <c r="DV62" s="10"/>
      <c r="DW62" s="10"/>
      <c r="DX62" s="43" t="str">
        <f t="shared" ref="DX62:EB62" si="458">DQ62</f>
        <v/>
      </c>
      <c r="DY62" s="10" t="str">
        <f t="shared" si="458"/>
        <v/>
      </c>
      <c r="DZ62" s="10" t="str">
        <f t="shared" si="458"/>
        <v/>
      </c>
      <c r="EA62" s="10" t="str">
        <f t="shared" si="458"/>
        <v/>
      </c>
      <c r="EB62" s="10" t="str">
        <f t="shared" si="458"/>
        <v/>
      </c>
      <c r="EC62" s="10"/>
      <c r="ED62" s="10"/>
      <c r="EE62" s="43" t="str">
        <f t="shared" ref="EE62:EI62" si="459">DX62</f>
        <v/>
      </c>
      <c r="EF62" s="10" t="str">
        <f t="shared" si="459"/>
        <v/>
      </c>
      <c r="EG62" s="10" t="str">
        <f t="shared" si="459"/>
        <v/>
      </c>
      <c r="EH62" s="10" t="str">
        <f t="shared" si="459"/>
        <v/>
      </c>
      <c r="EI62" s="10" t="str">
        <f t="shared" si="459"/>
        <v/>
      </c>
      <c r="EJ62" s="10"/>
      <c r="EK62" s="10"/>
      <c r="EL62" s="43" t="str">
        <f t="shared" ref="EL62:EP62" si="460">EE62</f>
        <v/>
      </c>
      <c r="EM62" s="10" t="str">
        <f t="shared" si="460"/>
        <v/>
      </c>
      <c r="EN62" s="10" t="str">
        <f t="shared" si="460"/>
        <v/>
      </c>
      <c r="EO62" s="10" t="str">
        <f t="shared" si="460"/>
        <v/>
      </c>
      <c r="EP62" s="10" t="str">
        <f t="shared" si="460"/>
        <v/>
      </c>
      <c r="EQ62" s="10"/>
      <c r="ER62" s="10"/>
    </row>
    <row r="63">
      <c r="A63" s="45"/>
      <c r="B63" s="46"/>
      <c r="C63" s="47"/>
      <c r="D63" s="47"/>
      <c r="E63" s="47"/>
      <c r="F63" s="47"/>
      <c r="G63" s="47"/>
      <c r="H63" s="47"/>
      <c r="I63" s="46" t="str">
        <f t="shared" ref="I63:M63" si="461">B63</f>
        <v/>
      </c>
      <c r="J63" s="47" t="str">
        <f t="shared" si="461"/>
        <v/>
      </c>
      <c r="K63" s="47" t="str">
        <f t="shared" si="461"/>
        <v/>
      </c>
      <c r="L63" s="47" t="str">
        <f t="shared" si="461"/>
        <v/>
      </c>
      <c r="M63" s="47" t="str">
        <f t="shared" si="461"/>
        <v/>
      </c>
      <c r="N63" s="47"/>
      <c r="O63" s="47"/>
      <c r="P63" s="46" t="str">
        <f t="shared" ref="P63:T63" si="462">I63</f>
        <v/>
      </c>
      <c r="Q63" s="47" t="str">
        <f t="shared" si="462"/>
        <v/>
      </c>
      <c r="R63" s="47" t="str">
        <f t="shared" si="462"/>
        <v/>
      </c>
      <c r="S63" s="47" t="str">
        <f t="shared" si="462"/>
        <v/>
      </c>
      <c r="T63" s="47" t="str">
        <f t="shared" si="462"/>
        <v/>
      </c>
      <c r="U63" s="47"/>
      <c r="V63" s="47"/>
      <c r="W63" s="46" t="str">
        <f t="shared" ref="W63:AA63" si="463">P63</f>
        <v/>
      </c>
      <c r="X63" s="47" t="str">
        <f t="shared" si="463"/>
        <v/>
      </c>
      <c r="Y63" s="47" t="str">
        <f t="shared" si="463"/>
        <v/>
      </c>
      <c r="Z63" s="47" t="str">
        <f t="shared" si="463"/>
        <v/>
      </c>
      <c r="AA63" s="47" t="str">
        <f t="shared" si="463"/>
        <v/>
      </c>
      <c r="AB63" s="47"/>
      <c r="AC63" s="47"/>
      <c r="AD63" s="46" t="str">
        <f t="shared" ref="AD63:AH63" si="464">W63</f>
        <v/>
      </c>
      <c r="AE63" s="47" t="str">
        <f t="shared" si="464"/>
        <v/>
      </c>
      <c r="AF63" s="47" t="str">
        <f t="shared" si="464"/>
        <v/>
      </c>
      <c r="AG63" s="47" t="str">
        <f t="shared" si="464"/>
        <v/>
      </c>
      <c r="AH63" s="47" t="str">
        <f t="shared" si="464"/>
        <v/>
      </c>
      <c r="AI63" s="47"/>
      <c r="AJ63" s="47"/>
      <c r="AK63" s="46" t="str">
        <f t="shared" ref="AK63:AO63" si="465">AD63</f>
        <v/>
      </c>
      <c r="AL63" s="47" t="str">
        <f t="shared" si="465"/>
        <v/>
      </c>
      <c r="AM63" s="47" t="str">
        <f t="shared" si="465"/>
        <v/>
      </c>
      <c r="AN63" s="47" t="str">
        <f t="shared" si="465"/>
        <v/>
      </c>
      <c r="AO63" s="47" t="str">
        <f t="shared" si="465"/>
        <v/>
      </c>
      <c r="AP63" s="47"/>
      <c r="AQ63" s="47"/>
      <c r="AR63" s="46" t="str">
        <f t="shared" ref="AR63:AV63" si="466">AK63</f>
        <v/>
      </c>
      <c r="AS63" s="47" t="str">
        <f t="shared" si="466"/>
        <v/>
      </c>
      <c r="AT63" s="47" t="str">
        <f t="shared" si="466"/>
        <v/>
      </c>
      <c r="AU63" s="47" t="str">
        <f t="shared" si="466"/>
        <v/>
      </c>
      <c r="AV63" s="47" t="str">
        <f t="shared" si="466"/>
        <v/>
      </c>
      <c r="AW63" s="47"/>
      <c r="AX63" s="47"/>
      <c r="AY63" s="46" t="str">
        <f t="shared" ref="AY63:BC63" si="467">AR63</f>
        <v/>
      </c>
      <c r="AZ63" s="47" t="str">
        <f t="shared" si="467"/>
        <v/>
      </c>
      <c r="BA63" s="47" t="str">
        <f t="shared" si="467"/>
        <v/>
      </c>
      <c r="BB63" s="47" t="str">
        <f t="shared" si="467"/>
        <v/>
      </c>
      <c r="BC63" s="47" t="str">
        <f t="shared" si="467"/>
        <v/>
      </c>
      <c r="BD63" s="47"/>
      <c r="BE63" s="47"/>
      <c r="BF63" s="46" t="str">
        <f t="shared" ref="BF63:BJ63" si="468">AY63</f>
        <v/>
      </c>
      <c r="BG63" s="47" t="str">
        <f t="shared" si="468"/>
        <v/>
      </c>
      <c r="BH63" s="47" t="str">
        <f t="shared" si="468"/>
        <v/>
      </c>
      <c r="BI63" s="47" t="str">
        <f t="shared" si="468"/>
        <v/>
      </c>
      <c r="BJ63" s="47" t="str">
        <f t="shared" si="468"/>
        <v/>
      </c>
      <c r="BK63" s="47"/>
      <c r="BL63" s="47"/>
      <c r="BM63" s="46" t="str">
        <f t="shared" ref="BM63:BQ63" si="469">BF63</f>
        <v/>
      </c>
      <c r="BN63" s="47" t="str">
        <f t="shared" si="469"/>
        <v/>
      </c>
      <c r="BO63" s="47" t="str">
        <f t="shared" si="469"/>
        <v/>
      </c>
      <c r="BP63" s="47" t="str">
        <f t="shared" si="469"/>
        <v/>
      </c>
      <c r="BQ63" s="47" t="str">
        <f t="shared" si="469"/>
        <v/>
      </c>
      <c r="BR63" s="47"/>
      <c r="BS63" s="47"/>
      <c r="BT63" s="46" t="str">
        <f t="shared" ref="BT63:BX63" si="470">BM63</f>
        <v/>
      </c>
      <c r="BU63" s="47" t="str">
        <f t="shared" si="470"/>
        <v/>
      </c>
      <c r="BV63" s="47" t="str">
        <f t="shared" si="470"/>
        <v/>
      </c>
      <c r="BW63" s="47" t="str">
        <f t="shared" si="470"/>
        <v/>
      </c>
      <c r="BX63" s="47" t="str">
        <f t="shared" si="470"/>
        <v/>
      </c>
      <c r="BY63" s="47"/>
      <c r="BZ63" s="47"/>
      <c r="CA63" s="46" t="str">
        <f t="shared" ref="CA63:CE63" si="471">BT63</f>
        <v/>
      </c>
      <c r="CB63" s="47" t="str">
        <f t="shared" si="471"/>
        <v/>
      </c>
      <c r="CC63" s="47" t="str">
        <f t="shared" si="471"/>
        <v/>
      </c>
      <c r="CD63" s="47" t="str">
        <f t="shared" si="471"/>
        <v/>
      </c>
      <c r="CE63" s="47" t="str">
        <f t="shared" si="471"/>
        <v/>
      </c>
      <c r="CF63" s="47"/>
      <c r="CG63" s="47"/>
      <c r="CH63" s="46" t="str">
        <f t="shared" ref="CH63:CL63" si="472">CA63</f>
        <v/>
      </c>
      <c r="CI63" s="47" t="str">
        <f t="shared" si="472"/>
        <v/>
      </c>
      <c r="CJ63" s="47" t="str">
        <f t="shared" si="472"/>
        <v/>
      </c>
      <c r="CK63" s="47" t="str">
        <f t="shared" si="472"/>
        <v/>
      </c>
      <c r="CL63" s="47" t="str">
        <f t="shared" si="472"/>
        <v/>
      </c>
      <c r="CM63" s="47"/>
      <c r="CN63" s="47"/>
      <c r="CO63" s="46" t="str">
        <f t="shared" ref="CO63:CS63" si="473">CH63</f>
        <v/>
      </c>
      <c r="CP63" s="47" t="str">
        <f t="shared" si="473"/>
        <v/>
      </c>
      <c r="CQ63" s="47" t="str">
        <f t="shared" si="473"/>
        <v/>
      </c>
      <c r="CR63" s="47" t="str">
        <f t="shared" si="473"/>
        <v/>
      </c>
      <c r="CS63" s="47" t="str">
        <f t="shared" si="473"/>
        <v/>
      </c>
      <c r="CT63" s="47"/>
      <c r="CU63" s="47"/>
      <c r="CV63" s="46" t="str">
        <f t="shared" ref="CV63:CZ63" si="474">CO63</f>
        <v/>
      </c>
      <c r="CW63" s="47" t="str">
        <f t="shared" si="474"/>
        <v/>
      </c>
      <c r="CX63" s="47" t="str">
        <f t="shared" si="474"/>
        <v/>
      </c>
      <c r="CY63" s="47" t="str">
        <f t="shared" si="474"/>
        <v/>
      </c>
      <c r="CZ63" s="47" t="str">
        <f t="shared" si="474"/>
        <v/>
      </c>
      <c r="DA63" s="47"/>
      <c r="DB63" s="47"/>
      <c r="DC63" s="46" t="str">
        <f t="shared" ref="DC63:DG63" si="475">CV63</f>
        <v/>
      </c>
      <c r="DD63" s="47" t="str">
        <f t="shared" si="475"/>
        <v/>
      </c>
      <c r="DE63" s="47" t="str">
        <f t="shared" si="475"/>
        <v/>
      </c>
      <c r="DF63" s="47" t="str">
        <f t="shared" si="475"/>
        <v/>
      </c>
      <c r="DG63" s="47" t="str">
        <f t="shared" si="475"/>
        <v/>
      </c>
      <c r="DH63" s="47"/>
      <c r="DI63" s="47"/>
      <c r="DJ63" s="46" t="str">
        <f t="shared" ref="DJ63:DN63" si="476">DC63</f>
        <v/>
      </c>
      <c r="DK63" s="47" t="str">
        <f t="shared" si="476"/>
        <v/>
      </c>
      <c r="DL63" s="47" t="str">
        <f t="shared" si="476"/>
        <v/>
      </c>
      <c r="DM63" s="47" t="str">
        <f t="shared" si="476"/>
        <v/>
      </c>
      <c r="DN63" s="47" t="str">
        <f t="shared" si="476"/>
        <v/>
      </c>
      <c r="DO63" s="47"/>
      <c r="DP63" s="47"/>
      <c r="DQ63" s="46" t="str">
        <f t="shared" ref="DQ63:DU63" si="477">DJ63</f>
        <v/>
      </c>
      <c r="DR63" s="47" t="str">
        <f t="shared" si="477"/>
        <v/>
      </c>
      <c r="DS63" s="47" t="str">
        <f t="shared" si="477"/>
        <v/>
      </c>
      <c r="DT63" s="47" t="str">
        <f t="shared" si="477"/>
        <v/>
      </c>
      <c r="DU63" s="47" t="str">
        <f t="shared" si="477"/>
        <v/>
      </c>
      <c r="DV63" s="47"/>
      <c r="DW63" s="47"/>
      <c r="DX63" s="46" t="str">
        <f t="shared" ref="DX63:EB63" si="478">DQ63</f>
        <v/>
      </c>
      <c r="DY63" s="47" t="str">
        <f t="shared" si="478"/>
        <v/>
      </c>
      <c r="DZ63" s="47" t="str">
        <f t="shared" si="478"/>
        <v/>
      </c>
      <c r="EA63" s="47" t="str">
        <f t="shared" si="478"/>
        <v/>
      </c>
      <c r="EB63" s="47" t="str">
        <f t="shared" si="478"/>
        <v/>
      </c>
      <c r="EC63" s="47"/>
      <c r="ED63" s="47"/>
      <c r="EE63" s="46" t="str">
        <f t="shared" ref="EE63:EI63" si="479">DX63</f>
        <v/>
      </c>
      <c r="EF63" s="47" t="str">
        <f t="shared" si="479"/>
        <v/>
      </c>
      <c r="EG63" s="47" t="str">
        <f t="shared" si="479"/>
        <v/>
      </c>
      <c r="EH63" s="47" t="str">
        <f t="shared" si="479"/>
        <v/>
      </c>
      <c r="EI63" s="47" t="str">
        <f t="shared" si="479"/>
        <v/>
      </c>
      <c r="EJ63" s="47"/>
      <c r="EK63" s="47"/>
      <c r="EL63" s="46" t="str">
        <f t="shared" ref="EL63:EP63" si="480">EE63</f>
        <v/>
      </c>
      <c r="EM63" s="47" t="str">
        <f t="shared" si="480"/>
        <v/>
      </c>
      <c r="EN63" s="47" t="str">
        <f t="shared" si="480"/>
        <v/>
      </c>
      <c r="EO63" s="47" t="str">
        <f t="shared" si="480"/>
        <v/>
      </c>
      <c r="EP63" s="47" t="str">
        <f t="shared" si="480"/>
        <v/>
      </c>
      <c r="EQ63" s="47"/>
      <c r="ER63" s="47"/>
    </row>
  </sheetData>
  <mergeCells count="27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4:EK14"/>
    <mergeCell ref="EE25:EK25"/>
    <mergeCell ref="EE34:EK34"/>
    <mergeCell ref="EE43:EK43"/>
    <mergeCell ref="EE54:EK54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8 A19 A28 A37 A48 A59">
      <formula1>'Quick Setup'!$B$19:$D$26</formula1>
    </dataValidation>
  </dataValidations>
  <drawing r:id="rId1"/>
</worksheet>
</file>