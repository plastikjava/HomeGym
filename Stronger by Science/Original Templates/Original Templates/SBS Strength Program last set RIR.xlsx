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2x" sheetId="4" r:id="rId7"/>
    <sheet state="visible" name="3x" sheetId="5" r:id="rId8"/>
    <sheet state="visible" name="4x" sheetId="6" r:id="rId9"/>
    <sheet state="visible" name="5x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<sst xmlns="http://schemas.openxmlformats.org/spreadsheetml/2006/main" count="3109" uniqueCount="87">
  <si>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</si>
  <si>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</si>
  <si>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</si>
  <si>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</si>
  <si>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</si>
  <si>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RIR target</t>
  </si>
  <si>
    <t>Squat</t>
  </si>
  <si>
    <t>Sets</t>
  </si>
  <si>
    <t>2+ fewer sets completed</t>
  </si>
  <si>
    <t>1 fewer set completed or last set below RIR target</t>
  </si>
  <si>
    <t>Set target completed; last at RIR target</t>
  </si>
  <si>
    <t>1 above RIR target</t>
  </si>
  <si>
    <t>2 above RIR target</t>
  </si>
  <si>
    <t>3 above RIR target</t>
  </si>
  <si>
    <t>4 above RIR target</t>
  </si>
  <si>
    <t>5 above RIR target</t>
  </si>
  <si>
    <t>Bench Press</t>
  </si>
  <si>
    <t>Primary stance</t>
  </si>
  <si>
    <t>Deadlift</t>
  </si>
  <si>
    <t>OHP</t>
  </si>
  <si>
    <t>Variations: Note - if you don't know your max, you can estimate it.  When in doubt, estimate low to start with</t>
  </si>
  <si>
    <t>Squat auxiliary 1</t>
  </si>
  <si>
    <t>Front Squat</t>
  </si>
  <si>
    <t>Squat auxiliary 2</t>
  </si>
  <si>
    <t>Paused Squat</t>
  </si>
  <si>
    <t>Bench auxiliary 1</t>
  </si>
  <si>
    <t>Close Grip Bench</t>
  </si>
  <si>
    <t>Bench auxiliary 2</t>
  </si>
  <si>
    <t>Incline Press</t>
  </si>
  <si>
    <t>Deadlift auxiliary</t>
  </si>
  <si>
    <t>Sumo Deadlift</t>
  </si>
  <si>
    <t>OHP auxiliary</t>
  </si>
  <si>
    <t>Push Press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</si>
  <si>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</si>
  <si>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</si>
  <si>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</si>
  <si>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</si>
  <si>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</si>
  <si>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</si>
  <si>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</si>
  <si>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</si>
  <si>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</si>
  <si>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Rep target</t>
  </si>
  <si>
    <t>Last set RIR target</t>
  </si>
  <si>
    <t>Intensity</t>
  </si>
  <si>
    <t>Week</t>
  </si>
  <si>
    <t>Lift</t>
  </si>
  <si>
    <t>Reps per set</t>
  </si>
  <si>
    <t>Last set RIR</t>
  </si>
  <si>
    <t>1 fewer set completed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</si>
  <si>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</si>
  <si>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</si>
  <si>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</si>
  <si>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</si>
  <si>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</si>
  <si>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</si>
  <si>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</si>
  <si>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</si>
  <si>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</si>
  <si>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</si>
  <si>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</si>
  <si>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</si>
  <si>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</si>
  <si>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</si>
  <si>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</si>
  <si>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</si>
  <si>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</si>
  <si>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</si>
  <si>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</si>
  <si>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</si>
  <si>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</si>
  <si>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</si>
  <si>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</si>
  <si>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Sets completed</t>
  </si>
  <si>
    <t>RIR on last set</t>
  </si>
  <si>
    <t>Video</t>
  </si>
  <si>
    <t>Notes</t>
  </si>
  <si>
    <t>single @8</t>
  </si>
  <si>
    <t>Day 1</t>
  </si>
  <si>
    <t>See highlighted text in instructions document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</si>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</sst>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b/>
      <sz val="18.0"/>
    </font>
    <font>
      <sz val="10.0"/>
      <color rgb="FF000000"/>
    </font>
    <font>
      <name val="Arial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5" numFmtId="0" xfId="0" applyAlignment="1" applyFont="1">
      <alignment horizontal="right" vertical="bottom"/>
    </xf>
    <xf borderId="0" fillId="2" fontId="5" numFmtId="10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6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5" fillId="0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8" fillId="2" fontId="7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0" fillId="2" fontId="1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75"/>
    <col customWidth="1" min="3" max="3" width="15.5"/>
    <col customWidth="1" min="4" max="4" width="8.13"/>
    <col customWidth="1" min="5" max="5" width="8.88"/>
    <col customWidth="1" min="6" max="6" width="8.13"/>
    <col customWidth="1" min="7" max="7" width="13.75"/>
    <col customWidth="1" min="8" max="8" width="8.13"/>
    <col customWidth="1" min="9" max="9" width="19.63"/>
    <col customWidth="1" min="10" max="10" width="37.0"/>
    <col customWidth="1" min="11" max="11" width="29.38"/>
    <col customWidth="1" min="12" max="16" width="14.25"/>
    <col customWidth="1" min="17" max="23" width="8.1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>
        <v>2.5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1" t="s">
        <v>2</v>
      </c>
      <c r="D4" s="1" t="s">
        <v>3</v>
      </c>
      <c r="E4" s="4" t="s">
        <v>4</v>
      </c>
      <c r="F4" s="2"/>
      <c r="G4" s="2"/>
      <c r="H4" s="2"/>
      <c r="I4" s="1" t="s">
        <v>5</v>
      </c>
      <c r="Q4" s="2"/>
      <c r="R4" s="2"/>
      <c r="S4" s="2"/>
      <c r="T4" s="2"/>
      <c r="U4" s="2"/>
      <c r="V4" s="2"/>
      <c r="W4" s="2"/>
    </row>
    <row r="5">
      <c r="A5" s="2"/>
      <c r="B5" s="2"/>
      <c r="C5" s="5" t="s">
        <v>6</v>
      </c>
      <c r="D5" s="5">
        <v>490.0</v>
      </c>
      <c r="E5" s="6">
        <v>0.9</v>
      </c>
      <c r="F5" s="2"/>
      <c r="G5" s="2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2"/>
      <c r="R5" s="2"/>
      <c r="S5" s="2"/>
      <c r="T5" s="2"/>
      <c r="U5" s="2"/>
      <c r="V5" s="2"/>
      <c r="W5" s="2"/>
    </row>
    <row r="6">
      <c r="A6" s="2"/>
      <c r="B6" s="2"/>
      <c r="C6" s="5" t="s">
        <v>16</v>
      </c>
      <c r="D6" s="5">
        <v>325.0</v>
      </c>
      <c r="E6" s="6">
        <v>0.9</v>
      </c>
      <c r="F6" s="2"/>
      <c r="G6" s="2" t="str">
        <f t="shared" ref="G6:G9" si="1">C5</f>
        <v>Squat</v>
      </c>
      <c r="H6" s="5">
        <v>5.0</v>
      </c>
      <c r="I6" s="7">
        <v>-0.05</v>
      </c>
      <c r="J6" s="7">
        <v>-0.02</v>
      </c>
      <c r="K6" s="7">
        <v>0.0</v>
      </c>
      <c r="L6" s="7">
        <v>0.005</v>
      </c>
      <c r="M6" s="7">
        <v>0.01</v>
      </c>
      <c r="N6" s="7">
        <v>0.015</v>
      </c>
      <c r="O6" s="7">
        <v>0.02</v>
      </c>
      <c r="P6" s="7">
        <v>0.03</v>
      </c>
      <c r="Q6" s="2"/>
      <c r="R6" s="2"/>
      <c r="S6" s="2"/>
      <c r="T6" s="2"/>
      <c r="U6" s="2"/>
      <c r="V6" s="2"/>
      <c r="W6" s="2"/>
    </row>
    <row r="7">
      <c r="A7" s="2"/>
      <c r="B7" s="1" t="s">
        <v>17</v>
      </c>
      <c r="C7" s="5" t="s">
        <v>18</v>
      </c>
      <c r="D7" s="5">
        <v>525.0</v>
      </c>
      <c r="E7" s="6">
        <v>0.9</v>
      </c>
      <c r="F7" s="2"/>
      <c r="G7" s="2" t="str">
        <f t="shared" si="1"/>
        <v>Bench Press</v>
      </c>
      <c r="H7" s="5">
        <v>5.0</v>
      </c>
      <c r="I7" s="7">
        <v>-0.05</v>
      </c>
      <c r="J7" s="7">
        <v>-0.02</v>
      </c>
      <c r="K7" s="7">
        <v>0.0</v>
      </c>
      <c r="L7" s="7">
        <v>0.005</v>
      </c>
      <c r="M7" s="7">
        <v>0.01</v>
      </c>
      <c r="N7" s="7">
        <v>0.015</v>
      </c>
      <c r="O7" s="7">
        <v>0.02</v>
      </c>
      <c r="P7" s="7">
        <v>0.03</v>
      </c>
      <c r="Q7" s="2"/>
      <c r="R7" s="2"/>
      <c r="S7" s="2"/>
      <c r="T7" s="2"/>
      <c r="U7" s="2"/>
      <c r="V7" s="2"/>
      <c r="W7" s="2"/>
    </row>
    <row r="8">
      <c r="A8" s="2"/>
      <c r="B8" s="2"/>
      <c r="C8" s="5" t="s">
        <v>19</v>
      </c>
      <c r="D8" s="5">
        <v>200.0</v>
      </c>
      <c r="E8" s="6">
        <v>0.9</v>
      </c>
      <c r="F8" s="2"/>
      <c r="G8" s="2" t="str">
        <f t="shared" si="1"/>
        <v>Deadlift</v>
      </c>
      <c r="H8" s="5">
        <v>5.0</v>
      </c>
      <c r="I8" s="7">
        <v>-0.05</v>
      </c>
      <c r="J8" s="7">
        <v>-0.02</v>
      </c>
      <c r="K8" s="7">
        <v>0.0</v>
      </c>
      <c r="L8" s="7">
        <v>0.005</v>
      </c>
      <c r="M8" s="7">
        <v>0.01</v>
      </c>
      <c r="N8" s="7">
        <v>0.015</v>
      </c>
      <c r="O8" s="7">
        <v>0.02</v>
      </c>
      <c r="P8" s="7">
        <v>0.03</v>
      </c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2"/>
      <c r="F9" s="2"/>
      <c r="G9" s="2" t="str">
        <f t="shared" si="1"/>
        <v>OHP</v>
      </c>
      <c r="H9" s="5">
        <v>5.0</v>
      </c>
      <c r="I9" s="7">
        <v>-0.05</v>
      </c>
      <c r="J9" s="7">
        <v>-0.02</v>
      </c>
      <c r="K9" s="7">
        <v>0.0</v>
      </c>
      <c r="L9" s="7">
        <v>0.005</v>
      </c>
      <c r="M9" s="7">
        <v>0.01</v>
      </c>
      <c r="N9" s="7">
        <v>0.015</v>
      </c>
      <c r="O9" s="7">
        <v>0.02</v>
      </c>
      <c r="P9" s="7">
        <v>0.03</v>
      </c>
      <c r="Q9" s="2"/>
      <c r="R9" s="2"/>
      <c r="S9" s="2"/>
      <c r="T9" s="2"/>
      <c r="U9" s="2"/>
      <c r="V9" s="2"/>
      <c r="W9" s="2"/>
    </row>
    <row r="10">
      <c r="A10" s="2"/>
      <c r="B10" s="2"/>
      <c r="C10" s="4" t="s">
        <v>20</v>
      </c>
      <c r="D10" s="1" t="s">
        <v>3</v>
      </c>
      <c r="E10" s="2"/>
      <c r="F10" s="2"/>
      <c r="G10" s="2" t="str">
        <f t="shared" ref="G10:G15" si="2">C11</f>
        <v>Front Squat</v>
      </c>
      <c r="H10" s="5">
        <v>5.0</v>
      </c>
      <c r="I10" s="7">
        <v>-0.05</v>
      </c>
      <c r="J10" s="7">
        <v>-0.02</v>
      </c>
      <c r="K10" s="7">
        <v>0.0</v>
      </c>
      <c r="L10" s="7">
        <v>0.005</v>
      </c>
      <c r="M10" s="7">
        <v>0.01</v>
      </c>
      <c r="N10" s="7">
        <v>0.015</v>
      </c>
      <c r="O10" s="7">
        <v>0.02</v>
      </c>
      <c r="P10" s="7">
        <v>0.03</v>
      </c>
      <c r="Q10" s="2"/>
      <c r="R10" s="2"/>
      <c r="S10" s="2"/>
      <c r="T10" s="2"/>
      <c r="U10" s="2"/>
      <c r="V10" s="2"/>
      <c r="W10" s="2"/>
    </row>
    <row r="11">
      <c r="A11" s="2"/>
      <c r="B11" s="1" t="s">
        <v>21</v>
      </c>
      <c r="C11" s="5" t="s">
        <v>22</v>
      </c>
      <c r="D11" s="5">
        <v>420.0</v>
      </c>
      <c r="E11" s="6">
        <v>0.9</v>
      </c>
      <c r="F11" s="2"/>
      <c r="G11" s="2" t="str">
        <f t="shared" si="2"/>
        <v>Paused Squat</v>
      </c>
      <c r="H11" s="5">
        <v>5.0</v>
      </c>
      <c r="I11" s="7">
        <v>-0.05</v>
      </c>
      <c r="J11" s="7">
        <v>-0.02</v>
      </c>
      <c r="K11" s="7">
        <v>0.0</v>
      </c>
      <c r="L11" s="7">
        <v>0.005</v>
      </c>
      <c r="M11" s="7">
        <v>0.01</v>
      </c>
      <c r="N11" s="7">
        <v>0.015</v>
      </c>
      <c r="O11" s="7">
        <v>0.02</v>
      </c>
      <c r="P11" s="7">
        <v>0.03</v>
      </c>
      <c r="Q11" s="2"/>
      <c r="R11" s="2"/>
      <c r="S11" s="2"/>
      <c r="T11" s="2"/>
      <c r="U11" s="2"/>
      <c r="V11" s="2"/>
      <c r="W11" s="2"/>
    </row>
    <row r="12">
      <c r="A12" s="2"/>
      <c r="B12" s="1" t="s">
        <v>23</v>
      </c>
      <c r="C12" s="5" t="s">
        <v>24</v>
      </c>
      <c r="D12" s="5">
        <v>460.0</v>
      </c>
      <c r="E12" s="6">
        <v>0.9</v>
      </c>
      <c r="F12" s="2"/>
      <c r="G12" s="2" t="str">
        <f t="shared" si="2"/>
        <v>Close Grip Bench</v>
      </c>
      <c r="H12" s="5">
        <v>5.0</v>
      </c>
      <c r="I12" s="7">
        <v>-0.05</v>
      </c>
      <c r="J12" s="7">
        <v>-0.02</v>
      </c>
      <c r="K12" s="7">
        <v>0.0</v>
      </c>
      <c r="L12" s="7">
        <v>0.005</v>
      </c>
      <c r="M12" s="7">
        <v>0.01</v>
      </c>
      <c r="N12" s="7">
        <v>0.015</v>
      </c>
      <c r="O12" s="7">
        <v>0.02</v>
      </c>
      <c r="P12" s="7">
        <v>0.03</v>
      </c>
      <c r="Q12" s="2"/>
      <c r="R12" s="2"/>
      <c r="S12" s="2"/>
      <c r="T12" s="2"/>
      <c r="U12" s="2"/>
      <c r="V12" s="2"/>
      <c r="W12" s="2"/>
    </row>
    <row r="13">
      <c r="A13" s="2"/>
      <c r="B13" s="1" t="s">
        <v>25</v>
      </c>
      <c r="C13" s="5" t="s">
        <v>26</v>
      </c>
      <c r="D13" s="5">
        <v>310.0</v>
      </c>
      <c r="E13" s="6">
        <v>0.9</v>
      </c>
      <c r="F13" s="2"/>
      <c r="G13" s="2" t="str">
        <f t="shared" si="2"/>
        <v>Incline Press</v>
      </c>
      <c r="H13" s="5">
        <v>5.0</v>
      </c>
      <c r="I13" s="7">
        <v>-0.05</v>
      </c>
      <c r="J13" s="7">
        <v>-0.02</v>
      </c>
      <c r="K13" s="7">
        <v>0.0</v>
      </c>
      <c r="L13" s="7">
        <v>0.005</v>
      </c>
      <c r="M13" s="7">
        <v>0.01</v>
      </c>
      <c r="N13" s="7">
        <v>0.015</v>
      </c>
      <c r="O13" s="7">
        <v>0.02</v>
      </c>
      <c r="P13" s="7">
        <v>0.03</v>
      </c>
      <c r="Q13" s="2"/>
      <c r="R13" s="2"/>
      <c r="S13" s="2"/>
      <c r="T13" s="2"/>
      <c r="U13" s="2"/>
      <c r="V13" s="2"/>
      <c r="W13" s="2"/>
    </row>
    <row r="14">
      <c r="A14" s="2"/>
      <c r="B14" s="1" t="s">
        <v>27</v>
      </c>
      <c r="C14" s="5" t="s">
        <v>28</v>
      </c>
      <c r="D14" s="5">
        <v>280.0</v>
      </c>
      <c r="E14" s="6">
        <v>0.9</v>
      </c>
      <c r="F14" s="2"/>
      <c r="G14" s="2" t="str">
        <f t="shared" si="2"/>
        <v>Sumo Deadlift</v>
      </c>
      <c r="H14" s="5">
        <v>5.0</v>
      </c>
      <c r="I14" s="7">
        <v>-0.05</v>
      </c>
      <c r="J14" s="7">
        <v>-0.02</v>
      </c>
      <c r="K14" s="7">
        <v>0.0</v>
      </c>
      <c r="L14" s="7">
        <v>0.005</v>
      </c>
      <c r="M14" s="7">
        <v>0.01</v>
      </c>
      <c r="N14" s="7">
        <v>0.015</v>
      </c>
      <c r="O14" s="7">
        <v>0.02</v>
      </c>
      <c r="P14" s="7">
        <v>0.03</v>
      </c>
      <c r="Q14" s="2"/>
      <c r="R14" s="2"/>
      <c r="S14" s="2"/>
      <c r="T14" s="2"/>
      <c r="U14" s="2"/>
      <c r="V14" s="2"/>
      <c r="W14" s="2"/>
    </row>
    <row r="15">
      <c r="A15" s="2"/>
      <c r="B15" s="1" t="s">
        <v>29</v>
      </c>
      <c r="C15" s="5" t="s">
        <v>30</v>
      </c>
      <c r="D15" s="5">
        <v>500.0</v>
      </c>
      <c r="E15" s="6">
        <v>0.9</v>
      </c>
      <c r="F15" s="2"/>
      <c r="G15" s="2" t="str">
        <f t="shared" si="2"/>
        <v>Push Press</v>
      </c>
      <c r="H15" s="5">
        <v>5.0</v>
      </c>
      <c r="I15" s="7">
        <v>-0.05</v>
      </c>
      <c r="J15" s="7">
        <v>-0.02</v>
      </c>
      <c r="K15" s="7">
        <v>0.0</v>
      </c>
      <c r="L15" s="7">
        <v>0.005</v>
      </c>
      <c r="M15" s="7">
        <v>0.01</v>
      </c>
      <c r="N15" s="7">
        <v>0.015</v>
      </c>
      <c r="O15" s="7">
        <v>0.02</v>
      </c>
      <c r="P15" s="7">
        <v>0.03</v>
      </c>
      <c r="Q15" s="2"/>
      <c r="R15" s="2"/>
      <c r="S15" s="2"/>
      <c r="T15" s="2"/>
      <c r="U15" s="2"/>
      <c r="V15" s="2"/>
      <c r="W15" s="2"/>
    </row>
    <row r="16">
      <c r="A16" s="2"/>
      <c r="B16" s="1" t="s">
        <v>31</v>
      </c>
      <c r="C16" s="5" t="s">
        <v>32</v>
      </c>
      <c r="D16" s="5">
        <v>245.0</v>
      </c>
      <c r="E16" s="6">
        <v>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1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5" t="s">
        <v>34</v>
      </c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5" t="s">
        <v>35</v>
      </c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5" t="s">
        <v>36</v>
      </c>
      <c r="C21" s="8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5" t="s">
        <v>37</v>
      </c>
      <c r="C22" s="8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5" t="s">
        <v>38</v>
      </c>
      <c r="C23" s="8"/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5" t="s">
        <v>39</v>
      </c>
      <c r="C24" s="8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5" t="s">
        <v>40</v>
      </c>
      <c r="C25" s="8"/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5" t="s">
        <v>41</v>
      </c>
      <c r="C26" s="8"/>
      <c r="D26" s="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9"/>
      <c r="C30" s="9" t="s">
        <v>42</v>
      </c>
    </row>
    <row r="31">
      <c r="A31" s="2"/>
      <c r="B31" s="2"/>
      <c r="C31" s="10">
        <v>0.5</v>
      </c>
      <c r="D31" s="10">
        <v>0.525</v>
      </c>
      <c r="E31" s="10">
        <v>0.55</v>
      </c>
      <c r="F31" s="10">
        <v>0.5750000000000001</v>
      </c>
      <c r="G31" s="10">
        <v>0.6000000000000001</v>
      </c>
      <c r="H31" s="10">
        <v>0.6250000000000001</v>
      </c>
      <c r="I31" s="10">
        <v>0.6500000000000001</v>
      </c>
      <c r="J31" s="10">
        <v>0.6750000000000002</v>
      </c>
      <c r="K31" s="10">
        <v>0.7000000000000002</v>
      </c>
      <c r="L31" s="10">
        <v>0.7250000000000002</v>
      </c>
      <c r="M31" s="10">
        <v>0.7500000000000002</v>
      </c>
      <c r="N31" s="10">
        <v>0.7750000000000002</v>
      </c>
      <c r="O31" s="10">
        <v>0.8000000000000003</v>
      </c>
      <c r="P31" s="10">
        <v>0.8250000000000003</v>
      </c>
      <c r="Q31" s="10">
        <v>0.8500000000000003</v>
      </c>
      <c r="R31" s="10">
        <v>0.8750000000000003</v>
      </c>
      <c r="S31" s="10">
        <v>0.9000000000000004</v>
      </c>
      <c r="T31" s="10">
        <v>0.9250000000000004</v>
      </c>
      <c r="U31" s="10">
        <v>0.9500000000000004</v>
      </c>
      <c r="V31" s="10">
        <v>0.9750000000000004</v>
      </c>
      <c r="W31" s="10">
        <v>1.0000000000000004</v>
      </c>
    </row>
    <row r="32">
      <c r="A32" s="2"/>
      <c r="B32" s="11" t="str">
        <f>'Quick Setup'!C5</f>
        <v>Squat</v>
      </c>
      <c r="C32" s="12">
        <v>8.0</v>
      </c>
      <c r="D32" s="12">
        <v>8.0</v>
      </c>
      <c r="E32" s="12">
        <v>8.0</v>
      </c>
      <c r="F32" s="12">
        <v>8.0</v>
      </c>
      <c r="G32" s="12">
        <v>7.0</v>
      </c>
      <c r="H32" s="12">
        <v>7.0</v>
      </c>
      <c r="I32" s="12">
        <v>6.0</v>
      </c>
      <c r="J32" s="12">
        <v>6.0</v>
      </c>
      <c r="K32" s="12">
        <v>5.0</v>
      </c>
      <c r="L32" s="12">
        <v>5.0</v>
      </c>
      <c r="M32" s="12">
        <v>4.0</v>
      </c>
      <c r="N32" s="12">
        <v>4.0</v>
      </c>
      <c r="O32" s="12">
        <v>3.0</v>
      </c>
      <c r="P32" s="12">
        <v>3.0</v>
      </c>
      <c r="Q32" s="12">
        <v>2.0</v>
      </c>
      <c r="R32" s="12">
        <v>2.0</v>
      </c>
      <c r="S32" s="12">
        <v>1.0</v>
      </c>
      <c r="T32" s="12">
        <v>1.0</v>
      </c>
      <c r="U32" s="12">
        <v>1.0</v>
      </c>
      <c r="V32" s="12">
        <v>1.0</v>
      </c>
      <c r="W32" s="12">
        <v>1.0</v>
      </c>
    </row>
    <row r="33">
      <c r="A33" s="2"/>
      <c r="B33" s="11" t="str">
        <f>'Quick Setup'!C6</f>
        <v>Bench Press</v>
      </c>
      <c r="C33" s="12">
        <v>8.0</v>
      </c>
      <c r="D33" s="12">
        <v>8.0</v>
      </c>
      <c r="E33" s="12">
        <v>8.0</v>
      </c>
      <c r="F33" s="12">
        <v>8.0</v>
      </c>
      <c r="G33" s="12">
        <v>7.0</v>
      </c>
      <c r="H33" s="12">
        <v>7.0</v>
      </c>
      <c r="I33" s="12">
        <v>6.0</v>
      </c>
      <c r="J33" s="12">
        <v>6.0</v>
      </c>
      <c r="K33" s="12">
        <v>5.0</v>
      </c>
      <c r="L33" s="12">
        <v>5.0</v>
      </c>
      <c r="M33" s="12">
        <v>4.0</v>
      </c>
      <c r="N33" s="12">
        <v>4.0</v>
      </c>
      <c r="O33" s="12">
        <v>3.0</v>
      </c>
      <c r="P33" s="12">
        <v>3.0</v>
      </c>
      <c r="Q33" s="12">
        <v>2.0</v>
      </c>
      <c r="R33" s="12">
        <v>2.0</v>
      </c>
      <c r="S33" s="12">
        <v>1.0</v>
      </c>
      <c r="T33" s="12">
        <v>1.0</v>
      </c>
      <c r="U33" s="12">
        <v>1.0</v>
      </c>
      <c r="V33" s="12">
        <v>1.0</v>
      </c>
      <c r="W33" s="12">
        <v>1.0</v>
      </c>
    </row>
    <row r="34">
      <c r="A34" s="2"/>
      <c r="B34" s="11" t="str">
        <f>'Quick Setup'!C7</f>
        <v>Deadlift</v>
      </c>
      <c r="C34" s="12">
        <v>8.0</v>
      </c>
      <c r="D34" s="12">
        <v>8.0</v>
      </c>
      <c r="E34" s="12">
        <v>8.0</v>
      </c>
      <c r="F34" s="12">
        <v>8.0</v>
      </c>
      <c r="G34" s="12">
        <v>7.0</v>
      </c>
      <c r="H34" s="12">
        <v>7.0</v>
      </c>
      <c r="I34" s="12">
        <v>6.0</v>
      </c>
      <c r="J34" s="12">
        <v>6.0</v>
      </c>
      <c r="K34" s="12">
        <v>5.0</v>
      </c>
      <c r="L34" s="12">
        <v>5.0</v>
      </c>
      <c r="M34" s="12">
        <v>4.0</v>
      </c>
      <c r="N34" s="12">
        <v>4.0</v>
      </c>
      <c r="O34" s="12">
        <v>3.0</v>
      </c>
      <c r="P34" s="12">
        <v>3.0</v>
      </c>
      <c r="Q34" s="12">
        <v>2.0</v>
      </c>
      <c r="R34" s="12">
        <v>2.0</v>
      </c>
      <c r="S34" s="12">
        <v>1.0</v>
      </c>
      <c r="T34" s="12">
        <v>1.0</v>
      </c>
      <c r="U34" s="12">
        <v>1.0</v>
      </c>
      <c r="V34" s="12">
        <v>1.0</v>
      </c>
      <c r="W34" s="12">
        <v>1.0</v>
      </c>
    </row>
    <row r="35">
      <c r="A35" s="2"/>
      <c r="B35" s="11" t="str">
        <f>'Quick Setup'!C8</f>
        <v>OHP</v>
      </c>
      <c r="C35" s="12">
        <v>8.0</v>
      </c>
      <c r="D35" s="12">
        <v>8.0</v>
      </c>
      <c r="E35" s="12">
        <v>8.0</v>
      </c>
      <c r="F35" s="12">
        <v>8.0</v>
      </c>
      <c r="G35" s="12">
        <v>7.0</v>
      </c>
      <c r="H35" s="12">
        <v>7.0</v>
      </c>
      <c r="I35" s="12">
        <v>6.0</v>
      </c>
      <c r="J35" s="12">
        <v>6.0</v>
      </c>
      <c r="K35" s="12">
        <v>5.0</v>
      </c>
      <c r="L35" s="12">
        <v>5.0</v>
      </c>
      <c r="M35" s="12">
        <v>4.0</v>
      </c>
      <c r="N35" s="12">
        <v>4.0</v>
      </c>
      <c r="O35" s="12">
        <v>3.0</v>
      </c>
      <c r="P35" s="12">
        <v>3.0</v>
      </c>
      <c r="Q35" s="12">
        <v>2.0</v>
      </c>
      <c r="R35" s="12">
        <v>2.0</v>
      </c>
      <c r="S35" s="12">
        <v>1.0</v>
      </c>
      <c r="T35" s="12">
        <v>1.0</v>
      </c>
      <c r="U35" s="12">
        <v>1.0</v>
      </c>
      <c r="V35" s="12">
        <v>1.0</v>
      </c>
      <c r="W35" s="12">
        <v>1.0</v>
      </c>
    </row>
    <row r="36">
      <c r="A36" s="2"/>
      <c r="B36" s="11" t="str">
        <f>'Quick Setup'!C11</f>
        <v>Front Squat</v>
      </c>
      <c r="C36" s="12">
        <v>8.0</v>
      </c>
      <c r="D36" s="12">
        <v>8.0</v>
      </c>
      <c r="E36" s="12">
        <v>8.0</v>
      </c>
      <c r="F36" s="12">
        <v>8.0</v>
      </c>
      <c r="G36" s="12">
        <v>7.0</v>
      </c>
      <c r="H36" s="12">
        <v>7.0</v>
      </c>
      <c r="I36" s="12">
        <v>6.0</v>
      </c>
      <c r="J36" s="12">
        <v>6.0</v>
      </c>
      <c r="K36" s="12">
        <v>5.0</v>
      </c>
      <c r="L36" s="12">
        <v>5.0</v>
      </c>
      <c r="M36" s="12">
        <v>4.0</v>
      </c>
      <c r="N36" s="12">
        <v>4.0</v>
      </c>
      <c r="O36" s="12">
        <v>3.0</v>
      </c>
      <c r="P36" s="12">
        <v>3.0</v>
      </c>
      <c r="Q36" s="12">
        <v>2.0</v>
      </c>
      <c r="R36" s="12">
        <v>2.0</v>
      </c>
      <c r="S36" s="12">
        <v>1.0</v>
      </c>
      <c r="T36" s="12">
        <v>1.0</v>
      </c>
      <c r="U36" s="12">
        <v>1.0</v>
      </c>
      <c r="V36" s="12">
        <v>1.0</v>
      </c>
      <c r="W36" s="12">
        <v>1.0</v>
      </c>
    </row>
    <row r="37">
      <c r="A37" s="2"/>
      <c r="B37" s="11" t="str">
        <f>'Quick Setup'!C12</f>
        <v>Paused Squat</v>
      </c>
      <c r="C37" s="12">
        <v>8.0</v>
      </c>
      <c r="D37" s="12">
        <v>8.0</v>
      </c>
      <c r="E37" s="12">
        <v>8.0</v>
      </c>
      <c r="F37" s="12">
        <v>8.0</v>
      </c>
      <c r="G37" s="12">
        <v>7.0</v>
      </c>
      <c r="H37" s="12">
        <v>7.0</v>
      </c>
      <c r="I37" s="12">
        <v>6.0</v>
      </c>
      <c r="J37" s="12">
        <v>6.0</v>
      </c>
      <c r="K37" s="12">
        <v>5.0</v>
      </c>
      <c r="L37" s="12">
        <v>5.0</v>
      </c>
      <c r="M37" s="12">
        <v>4.0</v>
      </c>
      <c r="N37" s="12">
        <v>4.0</v>
      </c>
      <c r="O37" s="12">
        <v>3.0</v>
      </c>
      <c r="P37" s="12">
        <v>3.0</v>
      </c>
      <c r="Q37" s="12">
        <v>2.0</v>
      </c>
      <c r="R37" s="12">
        <v>2.0</v>
      </c>
      <c r="S37" s="12">
        <v>1.0</v>
      </c>
      <c r="T37" s="12">
        <v>1.0</v>
      </c>
      <c r="U37" s="12">
        <v>1.0</v>
      </c>
      <c r="V37" s="12">
        <v>1.0</v>
      </c>
      <c r="W37" s="12">
        <v>1.0</v>
      </c>
    </row>
    <row r="38">
      <c r="A38" s="2"/>
      <c r="B38" s="11" t="str">
        <f>'Quick Setup'!C13</f>
        <v>Close Grip Bench</v>
      </c>
      <c r="C38" s="12">
        <v>8.0</v>
      </c>
      <c r="D38" s="12">
        <v>8.0</v>
      </c>
      <c r="E38" s="12">
        <v>8.0</v>
      </c>
      <c r="F38" s="12">
        <v>8.0</v>
      </c>
      <c r="G38" s="12">
        <v>7.0</v>
      </c>
      <c r="H38" s="12">
        <v>7.0</v>
      </c>
      <c r="I38" s="12">
        <v>6.0</v>
      </c>
      <c r="J38" s="12">
        <v>6.0</v>
      </c>
      <c r="K38" s="12">
        <v>5.0</v>
      </c>
      <c r="L38" s="12">
        <v>5.0</v>
      </c>
      <c r="M38" s="12">
        <v>4.0</v>
      </c>
      <c r="N38" s="12">
        <v>4.0</v>
      </c>
      <c r="O38" s="12">
        <v>3.0</v>
      </c>
      <c r="P38" s="12">
        <v>3.0</v>
      </c>
      <c r="Q38" s="12">
        <v>2.0</v>
      </c>
      <c r="R38" s="12">
        <v>2.0</v>
      </c>
      <c r="S38" s="12">
        <v>1.0</v>
      </c>
      <c r="T38" s="12">
        <v>1.0</v>
      </c>
      <c r="U38" s="12">
        <v>1.0</v>
      </c>
      <c r="V38" s="12">
        <v>1.0</v>
      </c>
      <c r="W38" s="12">
        <v>1.0</v>
      </c>
    </row>
    <row r="39">
      <c r="A39" s="2"/>
      <c r="B39" s="11" t="str">
        <f>'Quick Setup'!C14</f>
        <v>Incline Press</v>
      </c>
      <c r="C39" s="12">
        <v>8.0</v>
      </c>
      <c r="D39" s="12">
        <v>8.0</v>
      </c>
      <c r="E39" s="12">
        <v>8.0</v>
      </c>
      <c r="F39" s="12">
        <v>8.0</v>
      </c>
      <c r="G39" s="12">
        <v>7.0</v>
      </c>
      <c r="H39" s="12">
        <v>7.0</v>
      </c>
      <c r="I39" s="12">
        <v>6.0</v>
      </c>
      <c r="J39" s="12">
        <v>6.0</v>
      </c>
      <c r="K39" s="12">
        <v>5.0</v>
      </c>
      <c r="L39" s="12">
        <v>5.0</v>
      </c>
      <c r="M39" s="12">
        <v>4.0</v>
      </c>
      <c r="N39" s="12">
        <v>4.0</v>
      </c>
      <c r="O39" s="12">
        <v>3.0</v>
      </c>
      <c r="P39" s="12">
        <v>3.0</v>
      </c>
      <c r="Q39" s="12">
        <v>2.0</v>
      </c>
      <c r="R39" s="12">
        <v>2.0</v>
      </c>
      <c r="S39" s="12">
        <v>1.0</v>
      </c>
      <c r="T39" s="12">
        <v>1.0</v>
      </c>
      <c r="U39" s="12">
        <v>1.0</v>
      </c>
      <c r="V39" s="12">
        <v>1.0</v>
      </c>
      <c r="W39" s="12">
        <v>1.0</v>
      </c>
    </row>
    <row r="40">
      <c r="A40" s="2"/>
      <c r="B40" s="11" t="str">
        <f>'Quick Setup'!C15</f>
        <v>Sumo Deadlift</v>
      </c>
      <c r="C40" s="12">
        <v>8.0</v>
      </c>
      <c r="D40" s="12">
        <v>8.0</v>
      </c>
      <c r="E40" s="12">
        <v>8.0</v>
      </c>
      <c r="F40" s="12">
        <v>8.0</v>
      </c>
      <c r="G40" s="12">
        <v>7.0</v>
      </c>
      <c r="H40" s="12">
        <v>7.0</v>
      </c>
      <c r="I40" s="12">
        <v>6.0</v>
      </c>
      <c r="J40" s="12">
        <v>6.0</v>
      </c>
      <c r="K40" s="12">
        <v>5.0</v>
      </c>
      <c r="L40" s="12">
        <v>5.0</v>
      </c>
      <c r="M40" s="12">
        <v>4.0</v>
      </c>
      <c r="N40" s="12">
        <v>4.0</v>
      </c>
      <c r="O40" s="12">
        <v>3.0</v>
      </c>
      <c r="P40" s="12">
        <v>3.0</v>
      </c>
      <c r="Q40" s="12">
        <v>2.0</v>
      </c>
      <c r="R40" s="12">
        <v>2.0</v>
      </c>
      <c r="S40" s="12">
        <v>1.0</v>
      </c>
      <c r="T40" s="12">
        <v>1.0</v>
      </c>
      <c r="U40" s="12">
        <v>1.0</v>
      </c>
      <c r="V40" s="12">
        <v>1.0</v>
      </c>
      <c r="W40" s="12">
        <v>1.0</v>
      </c>
    </row>
    <row r="41">
      <c r="A41" s="2"/>
      <c r="B41" s="11" t="str">
        <f>'Quick Setup'!C16</f>
        <v>Push Press</v>
      </c>
      <c r="C41" s="12">
        <v>8.0</v>
      </c>
      <c r="D41" s="12">
        <v>8.0</v>
      </c>
      <c r="E41" s="12">
        <v>8.0</v>
      </c>
      <c r="F41" s="12">
        <v>8.0</v>
      </c>
      <c r="G41" s="12">
        <v>7.0</v>
      </c>
      <c r="H41" s="12">
        <v>7.0</v>
      </c>
      <c r="I41" s="12">
        <v>6.0</v>
      </c>
      <c r="J41" s="12">
        <v>6.0</v>
      </c>
      <c r="K41" s="12">
        <v>5.0</v>
      </c>
      <c r="L41" s="12">
        <v>5.0</v>
      </c>
      <c r="M41" s="12">
        <v>4.0</v>
      </c>
      <c r="N41" s="12">
        <v>4.0</v>
      </c>
      <c r="O41" s="12">
        <v>3.0</v>
      </c>
      <c r="P41" s="12">
        <v>3.0</v>
      </c>
      <c r="Q41" s="12">
        <v>2.0</v>
      </c>
      <c r="R41" s="12">
        <v>2.0</v>
      </c>
      <c r="S41" s="12">
        <v>1.0</v>
      </c>
      <c r="T41" s="12">
        <v>1.0</v>
      </c>
      <c r="U41" s="12">
        <v>1.0</v>
      </c>
      <c r="V41" s="12">
        <v>1.0</v>
      </c>
      <c r="W41" s="12">
        <v>1.0</v>
      </c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9"/>
      <c r="B44" s="9"/>
      <c r="C44" s="9" t="s">
        <v>43</v>
      </c>
    </row>
    <row r="45">
      <c r="A45" s="10"/>
      <c r="B45" s="2"/>
      <c r="C45" s="10">
        <v>0.5</v>
      </c>
      <c r="D45" s="10">
        <v>0.525</v>
      </c>
      <c r="E45" s="10">
        <v>0.55</v>
      </c>
      <c r="F45" s="10">
        <v>0.5750000000000001</v>
      </c>
      <c r="G45" s="10">
        <v>0.6000000000000001</v>
      </c>
      <c r="H45" s="10">
        <v>0.6250000000000001</v>
      </c>
      <c r="I45" s="10">
        <v>0.6500000000000001</v>
      </c>
      <c r="J45" s="10">
        <v>0.6750000000000002</v>
      </c>
      <c r="K45" s="10">
        <v>0.7000000000000002</v>
      </c>
      <c r="L45" s="10">
        <v>0.7250000000000002</v>
      </c>
      <c r="M45" s="10">
        <v>0.7500000000000002</v>
      </c>
      <c r="N45" s="10">
        <v>0.7750000000000002</v>
      </c>
      <c r="O45" s="10">
        <v>0.8000000000000003</v>
      </c>
      <c r="P45" s="10">
        <v>0.8250000000000003</v>
      </c>
      <c r="Q45" s="10">
        <v>0.8500000000000003</v>
      </c>
      <c r="R45" s="10">
        <v>0.8750000000000003</v>
      </c>
      <c r="S45" s="10">
        <v>0.9000000000000004</v>
      </c>
      <c r="T45" s="10">
        <v>0.9250000000000004</v>
      </c>
      <c r="U45" s="10">
        <v>0.9500000000000004</v>
      </c>
      <c r="V45" s="10">
        <v>0.9750000000000004</v>
      </c>
      <c r="W45" s="10">
        <v>1.0000000000000004</v>
      </c>
    </row>
    <row r="46">
      <c r="A46" s="2"/>
      <c r="B46" s="1" t="str">
        <f>'Quick Setup'!C5</f>
        <v>Squat</v>
      </c>
      <c r="C46" s="5">
        <v>3.0</v>
      </c>
      <c r="D46" s="5">
        <v>3.0</v>
      </c>
      <c r="E46" s="5">
        <v>3.0</v>
      </c>
      <c r="F46" s="5">
        <v>3.0</v>
      </c>
      <c r="G46" s="5">
        <v>3.0</v>
      </c>
      <c r="H46" s="5">
        <v>3.0</v>
      </c>
      <c r="I46" s="5">
        <v>3.0</v>
      </c>
      <c r="J46" s="5">
        <v>3.0</v>
      </c>
      <c r="K46" s="5">
        <v>3.0</v>
      </c>
      <c r="L46" s="5">
        <v>3.0</v>
      </c>
      <c r="M46" s="5">
        <v>2.0</v>
      </c>
      <c r="N46" s="5">
        <v>2.0</v>
      </c>
      <c r="O46" s="5">
        <v>2.0</v>
      </c>
      <c r="P46" s="5">
        <v>2.0</v>
      </c>
      <c r="Q46" s="5">
        <v>1.0</v>
      </c>
      <c r="R46" s="5">
        <v>1.0</v>
      </c>
      <c r="S46" s="5">
        <v>1.0</v>
      </c>
      <c r="T46" s="5">
        <v>1.0</v>
      </c>
      <c r="U46" s="5">
        <v>1.0</v>
      </c>
      <c r="V46" s="5">
        <v>0.0</v>
      </c>
      <c r="W46" s="5">
        <v>0.0</v>
      </c>
    </row>
    <row r="47">
      <c r="A47" s="2"/>
      <c r="B47" s="1" t="str">
        <f>'Quick Setup'!C6</f>
        <v>Bench Press</v>
      </c>
      <c r="C47" s="5">
        <v>3.0</v>
      </c>
      <c r="D47" s="5">
        <v>3.0</v>
      </c>
      <c r="E47" s="5">
        <v>3.0</v>
      </c>
      <c r="F47" s="5">
        <v>3.0</v>
      </c>
      <c r="G47" s="5">
        <v>3.0</v>
      </c>
      <c r="H47" s="5">
        <v>3.0</v>
      </c>
      <c r="I47" s="5">
        <v>3.0</v>
      </c>
      <c r="J47" s="5">
        <v>3.0</v>
      </c>
      <c r="K47" s="5">
        <v>3.0</v>
      </c>
      <c r="L47" s="5">
        <v>3.0</v>
      </c>
      <c r="M47" s="5">
        <v>2.0</v>
      </c>
      <c r="N47" s="5">
        <v>2.0</v>
      </c>
      <c r="O47" s="5">
        <v>2.0</v>
      </c>
      <c r="P47" s="5">
        <v>2.0</v>
      </c>
      <c r="Q47" s="5">
        <v>1.0</v>
      </c>
      <c r="R47" s="5">
        <v>1.0</v>
      </c>
      <c r="S47" s="5">
        <v>1.0</v>
      </c>
      <c r="T47" s="5">
        <v>1.0</v>
      </c>
      <c r="U47" s="5">
        <v>1.0</v>
      </c>
      <c r="V47" s="5">
        <v>0.0</v>
      </c>
      <c r="W47" s="5">
        <v>0.0</v>
      </c>
    </row>
    <row r="48">
      <c r="A48" s="2"/>
      <c r="B48" s="1" t="str">
        <f>'Quick Setup'!C7</f>
        <v>Deadlift</v>
      </c>
      <c r="C48" s="5">
        <v>3.0</v>
      </c>
      <c r="D48" s="5">
        <v>3.0</v>
      </c>
      <c r="E48" s="5">
        <v>3.0</v>
      </c>
      <c r="F48" s="5">
        <v>3.0</v>
      </c>
      <c r="G48" s="5">
        <v>3.0</v>
      </c>
      <c r="H48" s="5">
        <v>3.0</v>
      </c>
      <c r="I48" s="5">
        <v>3.0</v>
      </c>
      <c r="J48" s="5">
        <v>3.0</v>
      </c>
      <c r="K48" s="5">
        <v>3.0</v>
      </c>
      <c r="L48" s="5">
        <v>3.0</v>
      </c>
      <c r="M48" s="5">
        <v>2.0</v>
      </c>
      <c r="N48" s="5">
        <v>2.0</v>
      </c>
      <c r="O48" s="5">
        <v>2.0</v>
      </c>
      <c r="P48" s="5">
        <v>2.0</v>
      </c>
      <c r="Q48" s="5">
        <v>1.0</v>
      </c>
      <c r="R48" s="5">
        <v>1.0</v>
      </c>
      <c r="S48" s="5">
        <v>1.0</v>
      </c>
      <c r="T48" s="5">
        <v>1.0</v>
      </c>
      <c r="U48" s="5">
        <v>1.0</v>
      </c>
      <c r="V48" s="5">
        <v>0.0</v>
      </c>
      <c r="W48" s="5">
        <v>0.0</v>
      </c>
    </row>
    <row r="49">
      <c r="A49" s="2"/>
      <c r="B49" s="1" t="str">
        <f>'Quick Setup'!C8</f>
        <v>OHP</v>
      </c>
      <c r="C49" s="5">
        <v>3.0</v>
      </c>
      <c r="D49" s="5">
        <v>3.0</v>
      </c>
      <c r="E49" s="5">
        <v>3.0</v>
      </c>
      <c r="F49" s="5">
        <v>3.0</v>
      </c>
      <c r="G49" s="5">
        <v>3.0</v>
      </c>
      <c r="H49" s="5">
        <v>3.0</v>
      </c>
      <c r="I49" s="5">
        <v>3.0</v>
      </c>
      <c r="J49" s="5">
        <v>3.0</v>
      </c>
      <c r="K49" s="5">
        <v>3.0</v>
      </c>
      <c r="L49" s="5">
        <v>3.0</v>
      </c>
      <c r="M49" s="5">
        <v>2.0</v>
      </c>
      <c r="N49" s="5">
        <v>2.0</v>
      </c>
      <c r="O49" s="5">
        <v>2.0</v>
      </c>
      <c r="P49" s="5">
        <v>2.0</v>
      </c>
      <c r="Q49" s="5">
        <v>1.0</v>
      </c>
      <c r="R49" s="5">
        <v>1.0</v>
      </c>
      <c r="S49" s="5">
        <v>1.0</v>
      </c>
      <c r="T49" s="5">
        <v>1.0</v>
      </c>
      <c r="U49" s="5">
        <v>1.0</v>
      </c>
      <c r="V49" s="5">
        <v>0.0</v>
      </c>
      <c r="W49" s="5">
        <v>0.0</v>
      </c>
    </row>
    <row r="50">
      <c r="A50" s="2"/>
      <c r="B50" s="2" t="str">
        <f>'Quick Setup'!C11</f>
        <v>Front Squat</v>
      </c>
      <c r="C50" s="5">
        <v>3.0</v>
      </c>
      <c r="D50" s="5">
        <v>3.0</v>
      </c>
      <c r="E50" s="5">
        <v>3.0</v>
      </c>
      <c r="F50" s="5">
        <v>3.0</v>
      </c>
      <c r="G50" s="5">
        <v>3.0</v>
      </c>
      <c r="H50" s="5">
        <v>3.0</v>
      </c>
      <c r="I50" s="5">
        <v>3.0</v>
      </c>
      <c r="J50" s="5">
        <v>3.0</v>
      </c>
      <c r="K50" s="5">
        <v>3.0</v>
      </c>
      <c r="L50" s="5">
        <v>3.0</v>
      </c>
      <c r="M50" s="5">
        <v>2.0</v>
      </c>
      <c r="N50" s="5">
        <v>2.0</v>
      </c>
      <c r="O50" s="5">
        <v>2.0</v>
      </c>
      <c r="P50" s="5">
        <v>2.0</v>
      </c>
      <c r="Q50" s="5">
        <v>1.0</v>
      </c>
      <c r="R50" s="5">
        <v>1.0</v>
      </c>
      <c r="S50" s="5">
        <v>1.0</v>
      </c>
      <c r="T50" s="5">
        <v>1.0</v>
      </c>
      <c r="U50" s="5">
        <v>1.0</v>
      </c>
      <c r="V50" s="5">
        <v>0.0</v>
      </c>
      <c r="W50" s="5">
        <v>0.0</v>
      </c>
    </row>
    <row r="51">
      <c r="A51" s="2"/>
      <c r="B51" s="2" t="str">
        <f>'Quick Setup'!C12</f>
        <v>Paused Squat</v>
      </c>
      <c r="C51" s="5">
        <v>3.0</v>
      </c>
      <c r="D51" s="5">
        <v>3.0</v>
      </c>
      <c r="E51" s="5">
        <v>3.0</v>
      </c>
      <c r="F51" s="5">
        <v>3.0</v>
      </c>
      <c r="G51" s="5">
        <v>3.0</v>
      </c>
      <c r="H51" s="5">
        <v>3.0</v>
      </c>
      <c r="I51" s="5">
        <v>3.0</v>
      </c>
      <c r="J51" s="5">
        <v>3.0</v>
      </c>
      <c r="K51" s="5">
        <v>3.0</v>
      </c>
      <c r="L51" s="5">
        <v>3.0</v>
      </c>
      <c r="M51" s="5">
        <v>2.0</v>
      </c>
      <c r="N51" s="5">
        <v>2.0</v>
      </c>
      <c r="O51" s="5">
        <v>2.0</v>
      </c>
      <c r="P51" s="5">
        <v>2.0</v>
      </c>
      <c r="Q51" s="5">
        <v>1.0</v>
      </c>
      <c r="R51" s="5">
        <v>1.0</v>
      </c>
      <c r="S51" s="5">
        <v>1.0</v>
      </c>
      <c r="T51" s="5">
        <v>1.0</v>
      </c>
      <c r="U51" s="5">
        <v>1.0</v>
      </c>
      <c r="V51" s="5">
        <v>0.0</v>
      </c>
      <c r="W51" s="5">
        <v>0.0</v>
      </c>
    </row>
    <row r="52">
      <c r="A52" s="2"/>
      <c r="B52" s="2" t="str">
        <f>'Quick Setup'!C13</f>
        <v>Close Grip Bench</v>
      </c>
      <c r="C52" s="5">
        <v>3.0</v>
      </c>
      <c r="D52" s="5">
        <v>3.0</v>
      </c>
      <c r="E52" s="5">
        <v>3.0</v>
      </c>
      <c r="F52" s="5">
        <v>3.0</v>
      </c>
      <c r="G52" s="5">
        <v>3.0</v>
      </c>
      <c r="H52" s="5">
        <v>3.0</v>
      </c>
      <c r="I52" s="5">
        <v>3.0</v>
      </c>
      <c r="J52" s="5">
        <v>3.0</v>
      </c>
      <c r="K52" s="5">
        <v>3.0</v>
      </c>
      <c r="L52" s="5">
        <v>3.0</v>
      </c>
      <c r="M52" s="5">
        <v>2.0</v>
      </c>
      <c r="N52" s="5">
        <v>2.0</v>
      </c>
      <c r="O52" s="5">
        <v>2.0</v>
      </c>
      <c r="P52" s="5">
        <v>2.0</v>
      </c>
      <c r="Q52" s="5">
        <v>1.0</v>
      </c>
      <c r="R52" s="5">
        <v>1.0</v>
      </c>
      <c r="S52" s="5">
        <v>1.0</v>
      </c>
      <c r="T52" s="5">
        <v>1.0</v>
      </c>
      <c r="U52" s="5">
        <v>1.0</v>
      </c>
      <c r="V52" s="5">
        <v>0.0</v>
      </c>
      <c r="W52" s="5">
        <v>0.0</v>
      </c>
    </row>
    <row r="53">
      <c r="A53" s="2"/>
      <c r="B53" s="2" t="str">
        <f>'Quick Setup'!C14</f>
        <v>Incline Press</v>
      </c>
      <c r="C53" s="5">
        <v>3.0</v>
      </c>
      <c r="D53" s="5">
        <v>3.0</v>
      </c>
      <c r="E53" s="5">
        <v>3.0</v>
      </c>
      <c r="F53" s="5">
        <v>3.0</v>
      </c>
      <c r="G53" s="5">
        <v>3.0</v>
      </c>
      <c r="H53" s="5">
        <v>3.0</v>
      </c>
      <c r="I53" s="5">
        <v>3.0</v>
      </c>
      <c r="J53" s="5">
        <v>3.0</v>
      </c>
      <c r="K53" s="5">
        <v>3.0</v>
      </c>
      <c r="L53" s="5">
        <v>3.0</v>
      </c>
      <c r="M53" s="5">
        <v>2.0</v>
      </c>
      <c r="N53" s="5">
        <v>2.0</v>
      </c>
      <c r="O53" s="5">
        <v>2.0</v>
      </c>
      <c r="P53" s="5">
        <v>2.0</v>
      </c>
      <c r="Q53" s="5">
        <v>1.0</v>
      </c>
      <c r="R53" s="5">
        <v>1.0</v>
      </c>
      <c r="S53" s="5">
        <v>1.0</v>
      </c>
      <c r="T53" s="5">
        <v>1.0</v>
      </c>
      <c r="U53" s="5">
        <v>1.0</v>
      </c>
      <c r="V53" s="5">
        <v>0.0</v>
      </c>
      <c r="W53" s="5">
        <v>0.0</v>
      </c>
    </row>
    <row r="54">
      <c r="A54" s="2"/>
      <c r="B54" s="2" t="str">
        <f>'Quick Setup'!C15</f>
        <v>Sumo Deadlift</v>
      </c>
      <c r="C54" s="5">
        <v>3.0</v>
      </c>
      <c r="D54" s="5">
        <v>3.0</v>
      </c>
      <c r="E54" s="5">
        <v>3.0</v>
      </c>
      <c r="F54" s="5">
        <v>3.0</v>
      </c>
      <c r="G54" s="5">
        <v>3.0</v>
      </c>
      <c r="H54" s="5">
        <v>3.0</v>
      </c>
      <c r="I54" s="5">
        <v>3.0</v>
      </c>
      <c r="J54" s="5">
        <v>3.0</v>
      </c>
      <c r="K54" s="5">
        <v>3.0</v>
      </c>
      <c r="L54" s="5">
        <v>3.0</v>
      </c>
      <c r="M54" s="5">
        <v>2.0</v>
      </c>
      <c r="N54" s="5">
        <v>2.0</v>
      </c>
      <c r="O54" s="5">
        <v>2.0</v>
      </c>
      <c r="P54" s="5">
        <v>2.0</v>
      </c>
      <c r="Q54" s="5">
        <v>1.0</v>
      </c>
      <c r="R54" s="5">
        <v>1.0</v>
      </c>
      <c r="S54" s="5">
        <v>1.0</v>
      </c>
      <c r="T54" s="5">
        <v>1.0</v>
      </c>
      <c r="U54" s="5">
        <v>1.0</v>
      </c>
      <c r="V54" s="5">
        <v>0.0</v>
      </c>
      <c r="W54" s="5">
        <v>0.0</v>
      </c>
    </row>
    <row r="55">
      <c r="A55" s="2"/>
      <c r="B55" s="2" t="str">
        <f>'Quick Setup'!C16</f>
        <v>Push Press</v>
      </c>
      <c r="C55" s="5">
        <v>3.0</v>
      </c>
      <c r="D55" s="5">
        <v>3.0</v>
      </c>
      <c r="E55" s="5">
        <v>3.0</v>
      </c>
      <c r="F55" s="5">
        <v>3.0</v>
      </c>
      <c r="G55" s="5">
        <v>3.0</v>
      </c>
      <c r="H55" s="5">
        <v>3.0</v>
      </c>
      <c r="I55" s="5">
        <v>3.0</v>
      </c>
      <c r="J55" s="5">
        <v>3.0</v>
      </c>
      <c r="K55" s="5">
        <v>3.0</v>
      </c>
      <c r="L55" s="5">
        <v>3.0</v>
      </c>
      <c r="M55" s="5">
        <v>2.0</v>
      </c>
      <c r="N55" s="5">
        <v>2.0</v>
      </c>
      <c r="O55" s="5">
        <v>2.0</v>
      </c>
      <c r="P55" s="5">
        <v>2.0</v>
      </c>
      <c r="Q55" s="5">
        <v>1.0</v>
      </c>
      <c r="R55" s="5">
        <v>1.0</v>
      </c>
      <c r="S55" s="5">
        <v>1.0</v>
      </c>
      <c r="T55" s="5">
        <v>1.0</v>
      </c>
      <c r="U55" s="5">
        <v>1.0</v>
      </c>
      <c r="V55" s="5">
        <v>0.0</v>
      </c>
      <c r="W55" s="5">
        <v>0.0</v>
      </c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9" t="s">
        <v>44</v>
      </c>
    </row>
    <row r="59">
      <c r="A59" s="2"/>
      <c r="B59" s="10" t="s">
        <v>45</v>
      </c>
      <c r="C59" s="1">
        <v>1.0</v>
      </c>
      <c r="D59" s="1">
        <f t="shared" ref="D59:W59" si="3">C59+1</f>
        <v>2</v>
      </c>
      <c r="E59" s="1">
        <f t="shared" si="3"/>
        <v>3</v>
      </c>
      <c r="F59" s="1">
        <f t="shared" si="3"/>
        <v>4</v>
      </c>
      <c r="G59" s="1">
        <f t="shared" si="3"/>
        <v>5</v>
      </c>
      <c r="H59" s="1">
        <f t="shared" si="3"/>
        <v>6</v>
      </c>
      <c r="I59" s="1">
        <f t="shared" si="3"/>
        <v>7</v>
      </c>
      <c r="J59" s="1">
        <f t="shared" si="3"/>
        <v>8</v>
      </c>
      <c r="K59" s="1">
        <f t="shared" si="3"/>
        <v>9</v>
      </c>
      <c r="L59" s="1">
        <f t="shared" si="3"/>
        <v>10</v>
      </c>
      <c r="M59" s="1">
        <f t="shared" si="3"/>
        <v>11</v>
      </c>
      <c r="N59" s="1">
        <f t="shared" si="3"/>
        <v>12</v>
      </c>
      <c r="O59" s="1">
        <f t="shared" si="3"/>
        <v>13</v>
      </c>
      <c r="P59" s="1">
        <f t="shared" si="3"/>
        <v>14</v>
      </c>
      <c r="Q59" s="1">
        <f t="shared" si="3"/>
        <v>15</v>
      </c>
      <c r="R59" s="1">
        <f t="shared" si="3"/>
        <v>16</v>
      </c>
      <c r="S59" s="1">
        <f t="shared" si="3"/>
        <v>17</v>
      </c>
      <c r="T59" s="1">
        <f t="shared" si="3"/>
        <v>18</v>
      </c>
      <c r="U59" s="1">
        <f t="shared" si="3"/>
        <v>19</v>
      </c>
      <c r="V59" s="1">
        <f t="shared" si="3"/>
        <v>20</v>
      </c>
      <c r="W59" s="1">
        <f t="shared" si="3"/>
        <v>21</v>
      </c>
    </row>
    <row r="60">
      <c r="A60" s="2"/>
      <c r="B60" s="13" t="str">
        <f>'Quick Setup'!C5</f>
        <v>Squat</v>
      </c>
      <c r="C60" s="14">
        <v>0.7</v>
      </c>
      <c r="D60" s="14">
        <v>0.75</v>
      </c>
      <c r="E60" s="14">
        <v>0.8</v>
      </c>
      <c r="F60" s="14">
        <v>0.725</v>
      </c>
      <c r="G60" s="14">
        <v>0.775</v>
      </c>
      <c r="H60" s="14">
        <v>0.825</v>
      </c>
      <c r="I60" s="14">
        <v>0.6</v>
      </c>
      <c r="J60" s="14">
        <v>0.75</v>
      </c>
      <c r="K60" s="14">
        <v>0.8</v>
      </c>
      <c r="L60" s="14">
        <v>0.85</v>
      </c>
      <c r="M60" s="14">
        <v>0.775</v>
      </c>
      <c r="N60" s="14">
        <v>0.825</v>
      </c>
      <c r="O60" s="14">
        <v>0.875</v>
      </c>
      <c r="P60" s="14">
        <v>0.6</v>
      </c>
      <c r="Q60" s="14">
        <v>0.8</v>
      </c>
      <c r="R60" s="14">
        <v>0.85</v>
      </c>
      <c r="S60" s="14">
        <v>0.9</v>
      </c>
      <c r="T60" s="14">
        <v>0.85</v>
      </c>
      <c r="U60" s="14">
        <v>0.9</v>
      </c>
      <c r="V60" s="14">
        <v>0.95</v>
      </c>
      <c r="W60" s="14">
        <v>0.6</v>
      </c>
    </row>
    <row r="61">
      <c r="A61" s="2"/>
      <c r="B61" s="13" t="str">
        <f>'Quick Setup'!C6</f>
        <v>Bench Press</v>
      </c>
      <c r="C61" s="14">
        <v>0.7</v>
      </c>
      <c r="D61" s="14">
        <v>0.75</v>
      </c>
      <c r="E61" s="14">
        <v>0.8</v>
      </c>
      <c r="F61" s="14">
        <v>0.725</v>
      </c>
      <c r="G61" s="14">
        <v>0.775</v>
      </c>
      <c r="H61" s="14">
        <v>0.825</v>
      </c>
      <c r="I61" s="14">
        <v>0.6</v>
      </c>
      <c r="J61" s="14">
        <v>0.75</v>
      </c>
      <c r="K61" s="14">
        <v>0.8</v>
      </c>
      <c r="L61" s="14">
        <v>0.85</v>
      </c>
      <c r="M61" s="14">
        <v>0.775</v>
      </c>
      <c r="N61" s="14">
        <v>0.825</v>
      </c>
      <c r="O61" s="14">
        <v>0.875</v>
      </c>
      <c r="P61" s="14">
        <v>0.6</v>
      </c>
      <c r="Q61" s="14">
        <v>0.8</v>
      </c>
      <c r="R61" s="14">
        <v>0.85</v>
      </c>
      <c r="S61" s="14">
        <v>0.9</v>
      </c>
      <c r="T61" s="14">
        <v>0.85</v>
      </c>
      <c r="U61" s="14">
        <v>0.9</v>
      </c>
      <c r="V61" s="14">
        <v>0.95</v>
      </c>
      <c r="W61" s="14">
        <v>0.6</v>
      </c>
    </row>
    <row r="62">
      <c r="A62" s="2"/>
      <c r="B62" s="13" t="str">
        <f>'Quick Setup'!C7</f>
        <v>Deadlift</v>
      </c>
      <c r="C62" s="14">
        <v>0.7</v>
      </c>
      <c r="D62" s="14">
        <v>0.75</v>
      </c>
      <c r="E62" s="14">
        <v>0.8</v>
      </c>
      <c r="F62" s="14">
        <v>0.725</v>
      </c>
      <c r="G62" s="14">
        <v>0.775</v>
      </c>
      <c r="H62" s="14">
        <v>0.825</v>
      </c>
      <c r="I62" s="14">
        <v>0.6</v>
      </c>
      <c r="J62" s="14">
        <v>0.75</v>
      </c>
      <c r="K62" s="14">
        <v>0.8</v>
      </c>
      <c r="L62" s="14">
        <v>0.85</v>
      </c>
      <c r="M62" s="14">
        <v>0.775</v>
      </c>
      <c r="N62" s="14">
        <v>0.825</v>
      </c>
      <c r="O62" s="14">
        <v>0.875</v>
      </c>
      <c r="P62" s="14">
        <v>0.6</v>
      </c>
      <c r="Q62" s="14">
        <v>0.8</v>
      </c>
      <c r="R62" s="14">
        <v>0.85</v>
      </c>
      <c r="S62" s="14">
        <v>0.9</v>
      </c>
      <c r="T62" s="14">
        <v>0.85</v>
      </c>
      <c r="U62" s="14">
        <v>0.9</v>
      </c>
      <c r="V62" s="14">
        <v>0.95</v>
      </c>
      <c r="W62" s="14">
        <v>0.6</v>
      </c>
    </row>
    <row r="63">
      <c r="A63" s="2"/>
      <c r="B63" s="13" t="str">
        <f>'Quick Setup'!C8</f>
        <v>OHP</v>
      </c>
      <c r="C63" s="14">
        <v>0.7</v>
      </c>
      <c r="D63" s="14">
        <v>0.75</v>
      </c>
      <c r="E63" s="14">
        <v>0.8</v>
      </c>
      <c r="F63" s="14">
        <v>0.725</v>
      </c>
      <c r="G63" s="14">
        <v>0.775</v>
      </c>
      <c r="H63" s="14">
        <v>0.825</v>
      </c>
      <c r="I63" s="14">
        <v>0.6</v>
      </c>
      <c r="J63" s="14">
        <v>0.75</v>
      </c>
      <c r="K63" s="14">
        <v>0.8</v>
      </c>
      <c r="L63" s="14">
        <v>0.85</v>
      </c>
      <c r="M63" s="14">
        <v>0.775</v>
      </c>
      <c r="N63" s="14">
        <v>0.825</v>
      </c>
      <c r="O63" s="14">
        <v>0.875</v>
      </c>
      <c r="P63" s="14">
        <v>0.6</v>
      </c>
      <c r="Q63" s="14">
        <v>0.8</v>
      </c>
      <c r="R63" s="14">
        <v>0.85</v>
      </c>
      <c r="S63" s="14">
        <v>0.9</v>
      </c>
      <c r="T63" s="14">
        <v>0.85</v>
      </c>
      <c r="U63" s="14">
        <v>0.9</v>
      </c>
      <c r="V63" s="14">
        <v>0.95</v>
      </c>
      <c r="W63" s="14">
        <v>0.6</v>
      </c>
    </row>
    <row r="64">
      <c r="A64" s="2"/>
      <c r="B64" s="13" t="str">
        <f>'Quick Setup'!C11</f>
        <v>Front Squat</v>
      </c>
      <c r="C64" s="14">
        <v>0.6</v>
      </c>
      <c r="D64" s="14">
        <v>0.65</v>
      </c>
      <c r="E64" s="14">
        <v>0.7000000000000001</v>
      </c>
      <c r="F64" s="14">
        <v>0.625</v>
      </c>
      <c r="G64" s="14">
        <v>0.675</v>
      </c>
      <c r="H64" s="14">
        <v>0.725</v>
      </c>
      <c r="I64" s="14">
        <v>0.5</v>
      </c>
      <c r="J64" s="14">
        <v>0.65</v>
      </c>
      <c r="K64" s="14">
        <v>0.7000000000000001</v>
      </c>
      <c r="L64" s="14">
        <v>0.75</v>
      </c>
      <c r="M64" s="14">
        <v>0.675</v>
      </c>
      <c r="N64" s="14">
        <v>0.725</v>
      </c>
      <c r="O64" s="14">
        <v>0.775</v>
      </c>
      <c r="P64" s="14">
        <v>0.5</v>
      </c>
      <c r="Q64" s="14">
        <v>0.7000000000000001</v>
      </c>
      <c r="R64" s="14">
        <v>0.75</v>
      </c>
      <c r="S64" s="14">
        <v>0.8</v>
      </c>
      <c r="T64" s="14">
        <v>0.75</v>
      </c>
      <c r="U64" s="14">
        <v>0.8</v>
      </c>
      <c r="V64" s="14">
        <v>0.85</v>
      </c>
      <c r="W64" s="14">
        <v>0.5</v>
      </c>
    </row>
    <row r="65">
      <c r="A65" s="2"/>
      <c r="B65" s="13" t="str">
        <f>'Quick Setup'!C12</f>
        <v>Paused Squat</v>
      </c>
      <c r="C65" s="14">
        <v>0.6</v>
      </c>
      <c r="D65" s="14">
        <v>0.65</v>
      </c>
      <c r="E65" s="14">
        <v>0.7000000000000001</v>
      </c>
      <c r="F65" s="14">
        <v>0.625</v>
      </c>
      <c r="G65" s="14">
        <v>0.675</v>
      </c>
      <c r="H65" s="14">
        <v>0.725</v>
      </c>
      <c r="I65" s="14">
        <v>0.5</v>
      </c>
      <c r="J65" s="14">
        <v>0.65</v>
      </c>
      <c r="K65" s="14">
        <v>0.7000000000000001</v>
      </c>
      <c r="L65" s="14">
        <v>0.75</v>
      </c>
      <c r="M65" s="14">
        <v>0.675</v>
      </c>
      <c r="N65" s="14">
        <v>0.725</v>
      </c>
      <c r="O65" s="14">
        <v>0.775</v>
      </c>
      <c r="P65" s="14">
        <v>0.5</v>
      </c>
      <c r="Q65" s="14">
        <v>0.7000000000000001</v>
      </c>
      <c r="R65" s="14">
        <v>0.75</v>
      </c>
      <c r="S65" s="14">
        <v>0.8</v>
      </c>
      <c r="T65" s="14">
        <v>0.75</v>
      </c>
      <c r="U65" s="14">
        <v>0.8</v>
      </c>
      <c r="V65" s="14">
        <v>0.85</v>
      </c>
      <c r="W65" s="14">
        <v>0.5</v>
      </c>
    </row>
    <row r="66">
      <c r="A66" s="2"/>
      <c r="B66" s="13" t="str">
        <f>'Quick Setup'!C13</f>
        <v>Close Grip Bench</v>
      </c>
      <c r="C66" s="14">
        <v>0.6</v>
      </c>
      <c r="D66" s="14">
        <v>0.65</v>
      </c>
      <c r="E66" s="14">
        <v>0.7000000000000001</v>
      </c>
      <c r="F66" s="14">
        <v>0.625</v>
      </c>
      <c r="G66" s="14">
        <v>0.675</v>
      </c>
      <c r="H66" s="14">
        <v>0.725</v>
      </c>
      <c r="I66" s="14">
        <v>0.5</v>
      </c>
      <c r="J66" s="14">
        <v>0.65</v>
      </c>
      <c r="K66" s="14">
        <v>0.7000000000000001</v>
      </c>
      <c r="L66" s="14">
        <v>0.75</v>
      </c>
      <c r="M66" s="14">
        <v>0.675</v>
      </c>
      <c r="N66" s="14">
        <v>0.725</v>
      </c>
      <c r="O66" s="14">
        <v>0.775</v>
      </c>
      <c r="P66" s="14">
        <v>0.5</v>
      </c>
      <c r="Q66" s="14">
        <v>0.7000000000000001</v>
      </c>
      <c r="R66" s="14">
        <v>0.75</v>
      </c>
      <c r="S66" s="14">
        <v>0.8</v>
      </c>
      <c r="T66" s="14">
        <v>0.75</v>
      </c>
      <c r="U66" s="14">
        <v>0.8</v>
      </c>
      <c r="V66" s="14">
        <v>0.85</v>
      </c>
      <c r="W66" s="14">
        <v>0.5</v>
      </c>
    </row>
    <row r="67">
      <c r="A67" s="2"/>
      <c r="B67" s="13" t="str">
        <f>'Quick Setup'!C14</f>
        <v>Incline Press</v>
      </c>
      <c r="C67" s="14">
        <v>0.6</v>
      </c>
      <c r="D67" s="14">
        <v>0.65</v>
      </c>
      <c r="E67" s="14">
        <v>0.7000000000000001</v>
      </c>
      <c r="F67" s="14">
        <v>0.625</v>
      </c>
      <c r="G67" s="14">
        <v>0.675</v>
      </c>
      <c r="H67" s="14">
        <v>0.725</v>
      </c>
      <c r="I67" s="14">
        <v>0.5</v>
      </c>
      <c r="J67" s="14">
        <v>0.65</v>
      </c>
      <c r="K67" s="14">
        <v>0.7000000000000001</v>
      </c>
      <c r="L67" s="14">
        <v>0.75</v>
      </c>
      <c r="M67" s="14">
        <v>0.675</v>
      </c>
      <c r="N67" s="14">
        <v>0.725</v>
      </c>
      <c r="O67" s="14">
        <v>0.775</v>
      </c>
      <c r="P67" s="14">
        <v>0.5</v>
      </c>
      <c r="Q67" s="14">
        <v>0.7000000000000001</v>
      </c>
      <c r="R67" s="14">
        <v>0.75</v>
      </c>
      <c r="S67" s="14">
        <v>0.8</v>
      </c>
      <c r="T67" s="14">
        <v>0.75</v>
      </c>
      <c r="U67" s="14">
        <v>0.8</v>
      </c>
      <c r="V67" s="14">
        <v>0.85</v>
      </c>
      <c r="W67" s="14">
        <v>0.5</v>
      </c>
    </row>
    <row r="68">
      <c r="A68" s="2"/>
      <c r="B68" s="13" t="str">
        <f>'Quick Setup'!C15</f>
        <v>Sumo Deadlift</v>
      </c>
      <c r="C68" s="14">
        <v>0.6</v>
      </c>
      <c r="D68" s="14">
        <v>0.65</v>
      </c>
      <c r="E68" s="14">
        <v>0.7000000000000001</v>
      </c>
      <c r="F68" s="14">
        <v>0.625</v>
      </c>
      <c r="G68" s="14">
        <v>0.675</v>
      </c>
      <c r="H68" s="14">
        <v>0.725</v>
      </c>
      <c r="I68" s="14">
        <v>0.5</v>
      </c>
      <c r="J68" s="14">
        <v>0.65</v>
      </c>
      <c r="K68" s="14">
        <v>0.7000000000000001</v>
      </c>
      <c r="L68" s="14">
        <v>0.75</v>
      </c>
      <c r="M68" s="14">
        <v>0.675</v>
      </c>
      <c r="N68" s="14">
        <v>0.725</v>
      </c>
      <c r="O68" s="14">
        <v>0.775</v>
      </c>
      <c r="P68" s="14">
        <v>0.5</v>
      </c>
      <c r="Q68" s="14">
        <v>0.7000000000000001</v>
      </c>
      <c r="R68" s="14">
        <v>0.75</v>
      </c>
      <c r="S68" s="14">
        <v>0.8</v>
      </c>
      <c r="T68" s="14">
        <v>0.75</v>
      </c>
      <c r="U68" s="14">
        <v>0.8</v>
      </c>
      <c r="V68" s="14">
        <v>0.85</v>
      </c>
      <c r="W68" s="14">
        <v>0.5</v>
      </c>
    </row>
    <row r="69">
      <c r="A69" s="2"/>
      <c r="B69" s="13" t="str">
        <f>'Quick Setup'!C16</f>
        <v>Push Press</v>
      </c>
      <c r="C69" s="14">
        <v>0.6</v>
      </c>
      <c r="D69" s="14">
        <v>0.65</v>
      </c>
      <c r="E69" s="14">
        <v>0.7000000000000001</v>
      </c>
      <c r="F69" s="14">
        <v>0.625</v>
      </c>
      <c r="G69" s="14">
        <v>0.675</v>
      </c>
      <c r="H69" s="14">
        <v>0.725</v>
      </c>
      <c r="I69" s="14">
        <v>0.5</v>
      </c>
      <c r="J69" s="14">
        <v>0.65</v>
      </c>
      <c r="K69" s="14">
        <v>0.7000000000000001</v>
      </c>
      <c r="L69" s="14">
        <v>0.75</v>
      </c>
      <c r="M69" s="14">
        <v>0.675</v>
      </c>
      <c r="N69" s="14">
        <v>0.725</v>
      </c>
      <c r="O69" s="14">
        <v>0.775</v>
      </c>
      <c r="P69" s="14">
        <v>0.5</v>
      </c>
      <c r="Q69" s="14">
        <v>0.7000000000000001</v>
      </c>
      <c r="R69" s="14">
        <v>0.75</v>
      </c>
      <c r="S69" s="14">
        <v>0.8</v>
      </c>
      <c r="T69" s="14">
        <v>0.75</v>
      </c>
      <c r="U69" s="14">
        <v>0.8</v>
      </c>
      <c r="V69" s="14">
        <v>0.85</v>
      </c>
      <c r="W69" s="14">
        <v>0.5</v>
      </c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</sheetData>
  <mergeCells count="4">
    <mergeCell ref="I4:P4"/>
    <mergeCell ref="C30:W30"/>
    <mergeCell ref="C44:W44"/>
    <mergeCell ref="C58:W58"/>
  </mergeCells>
  <dataValidations>
    <dataValidation type="list" allowBlank="1" sqref="A2">
      <formula1>"1,2,2.5,5"</formula1>
    </dataValidation>
    <dataValidation type="list" allowBlank="1" sqref="I6:P15">
      <formula1>"-0.25%,-0.50%,-0.75%,-1.00%,-1.25%,-1.50%,-1.75%,-2.00%,-2.5%,-3.00%,-4.00%,-5.00%,0.00%,0.25%,0.50%,0.75%,1.00%,1.25%,1.50%,1.75%,2.00%,2.50%,3.00%,4.00%,5.00%"</formula1>
    </dataValidation>
    <dataValidation type="list" allowBlank="1" sqref="C16">
      <formula1>"Push Press,Behind The Neck OHP,Seated OHP,Incline Press,DB OHP"</formula1>
    </dataValidation>
    <dataValidation type="list" allowBlank="1" sqref="T46:W55">
      <formula1>"0,1,2,3,4,5,6,7,8,9,10,11,12,13,14,15,16,17,18,19,20"</formula1>
    </dataValidation>
    <dataValidation type="list" allowBlank="1" sqref="C60:W69">
      <formula1>"50.0%,52.5%,55.0%,57.5%,60.0%,62.5%,65.0%,67.5%,70.0%,72.5%,75.0%,77.5%,80.0%,82.5%,85.0%,87.5%,90.0%,92.5%,95.0%,97.5%,100.0%"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2:W41 C46:S55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5" t="s">
        <v>45</v>
      </c>
      <c r="B1" s="16">
        <v>1.0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6">
        <f>B1+1</f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  <c r="Z1" s="16">
        <f>N1+1</f>
        <v>3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8"/>
      <c r="AL1" s="16">
        <f>Z1+1</f>
        <v>4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8"/>
      <c r="AX1" s="16">
        <f>AL1+1</f>
        <v>5</v>
      </c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8"/>
      <c r="BJ1" s="16">
        <f>AX1+1</f>
        <v>6</v>
      </c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8"/>
      <c r="BV1" s="16">
        <f>BJ1+1</f>
        <v>7</v>
      </c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8"/>
      <c r="CH1" s="16">
        <f>BV1+1</f>
        <v>8</v>
      </c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8"/>
      <c r="CT1" s="16">
        <f>CH1+1</f>
        <v>9</v>
      </c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8"/>
      <c r="DF1" s="16">
        <f>CT1+1</f>
        <v>10</v>
      </c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8"/>
      <c r="DR1" s="16">
        <f>DF1+1</f>
        <v>11</v>
      </c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8"/>
      <c r="ED1" s="16">
        <f>DR1+1</f>
        <v>12</v>
      </c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8"/>
      <c r="EP1" s="16">
        <f>ED1+1</f>
        <v>13</v>
      </c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8"/>
      <c r="FB1" s="16">
        <f>EP1+1</f>
        <v>14</v>
      </c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8"/>
      <c r="FN1" s="16">
        <f>FB1+1</f>
        <v>15</v>
      </c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8"/>
      <c r="FZ1" s="16">
        <f>FN1+1</f>
        <v>16</v>
      </c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8"/>
      <c r="GL1" s="16">
        <f>FZ1+1</f>
        <v>17</v>
      </c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8"/>
      <c r="GX1" s="16">
        <f>GL1+1</f>
        <v>18</v>
      </c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8"/>
      <c r="HJ1" s="16">
        <f>GX1+1</f>
        <v>19</v>
      </c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8"/>
      <c r="HV1" s="16">
        <f>HJ1+1</f>
        <v>20</v>
      </c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8"/>
      <c r="IH1" s="16">
        <f>HV1+1</f>
        <v>21</v>
      </c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8"/>
    </row>
    <row r="2">
      <c r="A2" s="19" t="s">
        <v>46</v>
      </c>
      <c r="B2" s="19" t="s">
        <v>44</v>
      </c>
      <c r="C2" s="19" t="s">
        <v>47</v>
      </c>
      <c r="D2" s="19" t="s">
        <v>48</v>
      </c>
      <c r="E2" s="19" t="s">
        <v>7</v>
      </c>
      <c r="F2" s="19" t="s">
        <v>8</v>
      </c>
      <c r="G2" s="19" t="s">
        <v>49</v>
      </c>
      <c r="H2" s="19" t="s">
        <v>10</v>
      </c>
      <c r="I2" s="19" t="s">
        <v>11</v>
      </c>
      <c r="J2" s="19" t="s">
        <v>12</v>
      </c>
      <c r="K2" s="19" t="s">
        <v>13</v>
      </c>
      <c r="L2" s="19" t="s">
        <v>14</v>
      </c>
      <c r="M2" s="19" t="s">
        <v>15</v>
      </c>
      <c r="N2" s="19" t="s">
        <v>44</v>
      </c>
      <c r="O2" s="19" t="s">
        <v>47</v>
      </c>
      <c r="P2" s="19" t="s">
        <v>48</v>
      </c>
      <c r="Q2" s="19" t="s">
        <v>7</v>
      </c>
      <c r="R2" s="19" t="s">
        <v>8</v>
      </c>
      <c r="S2" s="19" t="s">
        <v>49</v>
      </c>
      <c r="T2" s="19" t="s">
        <v>10</v>
      </c>
      <c r="U2" s="19" t="s">
        <v>11</v>
      </c>
      <c r="V2" s="19" t="s">
        <v>12</v>
      </c>
      <c r="W2" s="19" t="s">
        <v>13</v>
      </c>
      <c r="X2" s="19" t="s">
        <v>14</v>
      </c>
      <c r="Y2" s="19" t="s">
        <v>15</v>
      </c>
      <c r="Z2" s="19" t="s">
        <v>44</v>
      </c>
      <c r="AA2" s="19" t="s">
        <v>47</v>
      </c>
      <c r="AB2" s="19" t="s">
        <v>48</v>
      </c>
      <c r="AC2" s="19" t="s">
        <v>7</v>
      </c>
      <c r="AD2" s="19" t="s">
        <v>8</v>
      </c>
      <c r="AE2" s="19" t="s">
        <v>49</v>
      </c>
      <c r="AF2" s="19" t="s">
        <v>10</v>
      </c>
      <c r="AG2" s="19" t="s">
        <v>11</v>
      </c>
      <c r="AH2" s="19" t="s">
        <v>12</v>
      </c>
      <c r="AI2" s="19" t="s">
        <v>13</v>
      </c>
      <c r="AJ2" s="19" t="s">
        <v>14</v>
      </c>
      <c r="AK2" s="19" t="s">
        <v>15</v>
      </c>
      <c r="AL2" s="19" t="s">
        <v>44</v>
      </c>
      <c r="AM2" s="19" t="s">
        <v>47</v>
      </c>
      <c r="AN2" s="19" t="s">
        <v>48</v>
      </c>
      <c r="AO2" s="19" t="s">
        <v>7</v>
      </c>
      <c r="AP2" s="19" t="s">
        <v>8</v>
      </c>
      <c r="AQ2" s="19" t="s">
        <v>49</v>
      </c>
      <c r="AR2" s="19" t="s">
        <v>10</v>
      </c>
      <c r="AS2" s="19" t="s">
        <v>11</v>
      </c>
      <c r="AT2" s="19" t="s">
        <v>12</v>
      </c>
      <c r="AU2" s="19" t="s">
        <v>13</v>
      </c>
      <c r="AV2" s="19" t="s">
        <v>14</v>
      </c>
      <c r="AW2" s="19" t="s">
        <v>15</v>
      </c>
      <c r="AX2" s="19" t="s">
        <v>44</v>
      </c>
      <c r="AY2" s="19" t="s">
        <v>47</v>
      </c>
      <c r="AZ2" s="19" t="s">
        <v>48</v>
      </c>
      <c r="BA2" s="19" t="s">
        <v>7</v>
      </c>
      <c r="BB2" s="19" t="s">
        <v>8</v>
      </c>
      <c r="BC2" s="19" t="s">
        <v>49</v>
      </c>
      <c r="BD2" s="19" t="s">
        <v>10</v>
      </c>
      <c r="BE2" s="19" t="s">
        <v>11</v>
      </c>
      <c r="BF2" s="19" t="s">
        <v>12</v>
      </c>
      <c r="BG2" s="19" t="s">
        <v>13</v>
      </c>
      <c r="BH2" s="19" t="s">
        <v>14</v>
      </c>
      <c r="BI2" s="19" t="s">
        <v>15</v>
      </c>
      <c r="BJ2" s="19" t="s">
        <v>44</v>
      </c>
      <c r="BK2" s="19" t="s">
        <v>47</v>
      </c>
      <c r="BL2" s="19" t="s">
        <v>48</v>
      </c>
      <c r="BM2" s="19" t="s">
        <v>7</v>
      </c>
      <c r="BN2" s="19" t="s">
        <v>8</v>
      </c>
      <c r="BO2" s="19" t="s">
        <v>49</v>
      </c>
      <c r="BP2" s="19" t="s">
        <v>10</v>
      </c>
      <c r="BQ2" s="19" t="s">
        <v>11</v>
      </c>
      <c r="BR2" s="19" t="s">
        <v>12</v>
      </c>
      <c r="BS2" s="19" t="s">
        <v>13</v>
      </c>
      <c r="BT2" s="19" t="s">
        <v>14</v>
      </c>
      <c r="BU2" s="19" t="s">
        <v>15</v>
      </c>
      <c r="BV2" s="19" t="s">
        <v>44</v>
      </c>
      <c r="BW2" s="19" t="s">
        <v>47</v>
      </c>
      <c r="BX2" s="19" t="s">
        <v>48</v>
      </c>
      <c r="BY2" s="19" t="s">
        <v>7</v>
      </c>
      <c r="BZ2" s="19" t="s">
        <v>8</v>
      </c>
      <c r="CA2" s="19" t="s">
        <v>49</v>
      </c>
      <c r="CB2" s="19" t="s">
        <v>10</v>
      </c>
      <c r="CC2" s="19" t="s">
        <v>11</v>
      </c>
      <c r="CD2" s="19" t="s">
        <v>12</v>
      </c>
      <c r="CE2" s="19" t="s">
        <v>13</v>
      </c>
      <c r="CF2" s="19" t="s">
        <v>14</v>
      </c>
      <c r="CG2" s="19" t="s">
        <v>15</v>
      </c>
      <c r="CH2" s="19" t="s">
        <v>44</v>
      </c>
      <c r="CI2" s="19" t="s">
        <v>47</v>
      </c>
      <c r="CJ2" s="19" t="s">
        <v>48</v>
      </c>
      <c r="CK2" s="19" t="s">
        <v>7</v>
      </c>
      <c r="CL2" s="19" t="s">
        <v>8</v>
      </c>
      <c r="CM2" s="19" t="s">
        <v>49</v>
      </c>
      <c r="CN2" s="19" t="s">
        <v>10</v>
      </c>
      <c r="CO2" s="19" t="s">
        <v>11</v>
      </c>
      <c r="CP2" s="19" t="s">
        <v>12</v>
      </c>
      <c r="CQ2" s="19" t="s">
        <v>13</v>
      </c>
      <c r="CR2" s="19" t="s">
        <v>14</v>
      </c>
      <c r="CS2" s="19" t="s">
        <v>15</v>
      </c>
      <c r="CT2" s="19" t="s">
        <v>44</v>
      </c>
      <c r="CU2" s="19" t="s">
        <v>47</v>
      </c>
      <c r="CV2" s="19" t="s">
        <v>48</v>
      </c>
      <c r="CW2" s="19" t="s">
        <v>7</v>
      </c>
      <c r="CX2" s="19" t="s">
        <v>8</v>
      </c>
      <c r="CY2" s="19" t="s">
        <v>49</v>
      </c>
      <c r="CZ2" s="19" t="s">
        <v>10</v>
      </c>
      <c r="DA2" s="19" t="s">
        <v>11</v>
      </c>
      <c r="DB2" s="19" t="s">
        <v>12</v>
      </c>
      <c r="DC2" s="19" t="s">
        <v>13</v>
      </c>
      <c r="DD2" s="19" t="s">
        <v>14</v>
      </c>
      <c r="DE2" s="19" t="s">
        <v>15</v>
      </c>
      <c r="DF2" s="19" t="s">
        <v>44</v>
      </c>
      <c r="DG2" s="19" t="s">
        <v>47</v>
      </c>
      <c r="DH2" s="19" t="s">
        <v>48</v>
      </c>
      <c r="DI2" s="19" t="s">
        <v>7</v>
      </c>
      <c r="DJ2" s="19" t="s">
        <v>8</v>
      </c>
      <c r="DK2" s="19" t="s">
        <v>49</v>
      </c>
      <c r="DL2" s="19" t="s">
        <v>10</v>
      </c>
      <c r="DM2" s="19" t="s">
        <v>11</v>
      </c>
      <c r="DN2" s="19" t="s">
        <v>12</v>
      </c>
      <c r="DO2" s="19" t="s">
        <v>13</v>
      </c>
      <c r="DP2" s="19" t="s">
        <v>14</v>
      </c>
      <c r="DQ2" s="19" t="s">
        <v>15</v>
      </c>
      <c r="DR2" s="19" t="s">
        <v>44</v>
      </c>
      <c r="DS2" s="19" t="s">
        <v>47</v>
      </c>
      <c r="DT2" s="19" t="s">
        <v>48</v>
      </c>
      <c r="DU2" s="19" t="s">
        <v>7</v>
      </c>
      <c r="DV2" s="19" t="s">
        <v>8</v>
      </c>
      <c r="DW2" s="19" t="s">
        <v>49</v>
      </c>
      <c r="DX2" s="19" t="s">
        <v>10</v>
      </c>
      <c r="DY2" s="19" t="s">
        <v>11</v>
      </c>
      <c r="DZ2" s="19" t="s">
        <v>12</v>
      </c>
      <c r="EA2" s="19" t="s">
        <v>13</v>
      </c>
      <c r="EB2" s="19" t="s">
        <v>14</v>
      </c>
      <c r="EC2" s="19" t="s">
        <v>15</v>
      </c>
      <c r="ED2" s="19" t="s">
        <v>44</v>
      </c>
      <c r="EE2" s="19" t="s">
        <v>47</v>
      </c>
      <c r="EF2" s="19" t="s">
        <v>48</v>
      </c>
      <c r="EG2" s="19" t="s">
        <v>7</v>
      </c>
      <c r="EH2" s="19" t="s">
        <v>8</v>
      </c>
      <c r="EI2" s="19" t="s">
        <v>49</v>
      </c>
      <c r="EJ2" s="19" t="s">
        <v>10</v>
      </c>
      <c r="EK2" s="19" t="s">
        <v>11</v>
      </c>
      <c r="EL2" s="19" t="s">
        <v>12</v>
      </c>
      <c r="EM2" s="19" t="s">
        <v>13</v>
      </c>
      <c r="EN2" s="19" t="s">
        <v>14</v>
      </c>
      <c r="EO2" s="19" t="s">
        <v>15</v>
      </c>
      <c r="EP2" s="19" t="s">
        <v>44</v>
      </c>
      <c r="EQ2" s="19" t="s">
        <v>47</v>
      </c>
      <c r="ER2" s="19" t="s">
        <v>48</v>
      </c>
      <c r="ES2" s="19" t="s">
        <v>7</v>
      </c>
      <c r="ET2" s="19" t="s">
        <v>8</v>
      </c>
      <c r="EU2" s="19" t="s">
        <v>49</v>
      </c>
      <c r="EV2" s="19" t="s">
        <v>10</v>
      </c>
      <c r="EW2" s="19" t="s">
        <v>11</v>
      </c>
      <c r="EX2" s="19" t="s">
        <v>12</v>
      </c>
      <c r="EY2" s="19" t="s">
        <v>13</v>
      </c>
      <c r="EZ2" s="19" t="s">
        <v>14</v>
      </c>
      <c r="FA2" s="19" t="s">
        <v>15</v>
      </c>
      <c r="FB2" s="19" t="s">
        <v>44</v>
      </c>
      <c r="FC2" s="19" t="s">
        <v>47</v>
      </c>
      <c r="FD2" s="19" t="s">
        <v>48</v>
      </c>
      <c r="FE2" s="19" t="s">
        <v>7</v>
      </c>
      <c r="FF2" s="19" t="s">
        <v>8</v>
      </c>
      <c r="FG2" s="19" t="s">
        <v>49</v>
      </c>
      <c r="FH2" s="19" t="s">
        <v>10</v>
      </c>
      <c r="FI2" s="19" t="s">
        <v>11</v>
      </c>
      <c r="FJ2" s="19" t="s">
        <v>12</v>
      </c>
      <c r="FK2" s="19" t="s">
        <v>13</v>
      </c>
      <c r="FL2" s="19" t="s">
        <v>14</v>
      </c>
      <c r="FM2" s="19" t="s">
        <v>15</v>
      </c>
      <c r="FN2" s="19" t="s">
        <v>44</v>
      </c>
      <c r="FO2" s="19" t="s">
        <v>47</v>
      </c>
      <c r="FP2" s="19" t="s">
        <v>48</v>
      </c>
      <c r="FQ2" s="19" t="s">
        <v>7</v>
      </c>
      <c r="FR2" s="19" t="s">
        <v>8</v>
      </c>
      <c r="FS2" s="19" t="s">
        <v>49</v>
      </c>
      <c r="FT2" s="19" t="s">
        <v>10</v>
      </c>
      <c r="FU2" s="19" t="s">
        <v>11</v>
      </c>
      <c r="FV2" s="19" t="s">
        <v>12</v>
      </c>
      <c r="FW2" s="19" t="s">
        <v>13</v>
      </c>
      <c r="FX2" s="19" t="s">
        <v>14</v>
      </c>
      <c r="FY2" s="19" t="s">
        <v>15</v>
      </c>
      <c r="FZ2" s="19" t="s">
        <v>44</v>
      </c>
      <c r="GA2" s="19" t="s">
        <v>47</v>
      </c>
      <c r="GB2" s="19" t="s">
        <v>48</v>
      </c>
      <c r="GC2" s="19" t="s">
        <v>7</v>
      </c>
      <c r="GD2" s="19" t="s">
        <v>8</v>
      </c>
      <c r="GE2" s="19" t="s">
        <v>49</v>
      </c>
      <c r="GF2" s="19" t="s">
        <v>10</v>
      </c>
      <c r="GG2" s="19" t="s">
        <v>11</v>
      </c>
      <c r="GH2" s="19" t="s">
        <v>12</v>
      </c>
      <c r="GI2" s="19" t="s">
        <v>13</v>
      </c>
      <c r="GJ2" s="19" t="s">
        <v>14</v>
      </c>
      <c r="GK2" s="19" t="s">
        <v>15</v>
      </c>
      <c r="GL2" s="19" t="s">
        <v>44</v>
      </c>
      <c r="GM2" s="19" t="s">
        <v>47</v>
      </c>
      <c r="GN2" s="19" t="s">
        <v>48</v>
      </c>
      <c r="GO2" s="19" t="s">
        <v>7</v>
      </c>
      <c r="GP2" s="19" t="s">
        <v>8</v>
      </c>
      <c r="GQ2" s="19" t="s">
        <v>49</v>
      </c>
      <c r="GR2" s="19" t="s">
        <v>10</v>
      </c>
      <c r="GS2" s="19" t="s">
        <v>11</v>
      </c>
      <c r="GT2" s="19" t="s">
        <v>12</v>
      </c>
      <c r="GU2" s="19" t="s">
        <v>13</v>
      </c>
      <c r="GV2" s="19" t="s">
        <v>14</v>
      </c>
      <c r="GW2" s="19" t="s">
        <v>15</v>
      </c>
      <c r="GX2" s="19" t="s">
        <v>44</v>
      </c>
      <c r="GY2" s="19" t="s">
        <v>47</v>
      </c>
      <c r="GZ2" s="19" t="s">
        <v>48</v>
      </c>
      <c r="HA2" s="19" t="s">
        <v>7</v>
      </c>
      <c r="HB2" s="19" t="s">
        <v>8</v>
      </c>
      <c r="HC2" s="19" t="s">
        <v>49</v>
      </c>
      <c r="HD2" s="19" t="s">
        <v>10</v>
      </c>
      <c r="HE2" s="19" t="s">
        <v>11</v>
      </c>
      <c r="HF2" s="19" t="s">
        <v>12</v>
      </c>
      <c r="HG2" s="19" t="s">
        <v>13</v>
      </c>
      <c r="HH2" s="19" t="s">
        <v>14</v>
      </c>
      <c r="HI2" s="19" t="s">
        <v>15</v>
      </c>
      <c r="HJ2" s="19" t="s">
        <v>44</v>
      </c>
      <c r="HK2" s="19" t="s">
        <v>47</v>
      </c>
      <c r="HL2" s="19" t="s">
        <v>48</v>
      </c>
      <c r="HM2" s="19" t="s">
        <v>7</v>
      </c>
      <c r="HN2" s="19" t="s">
        <v>8</v>
      </c>
      <c r="HO2" s="19" t="s">
        <v>49</v>
      </c>
      <c r="HP2" s="19" t="s">
        <v>10</v>
      </c>
      <c r="HQ2" s="19" t="s">
        <v>11</v>
      </c>
      <c r="HR2" s="19" t="s">
        <v>12</v>
      </c>
      <c r="HS2" s="19" t="s">
        <v>13</v>
      </c>
      <c r="HT2" s="19" t="s">
        <v>14</v>
      </c>
      <c r="HU2" s="19" t="s">
        <v>15</v>
      </c>
      <c r="HV2" s="19" t="s">
        <v>44</v>
      </c>
      <c r="HW2" s="19" t="s">
        <v>47</v>
      </c>
      <c r="HX2" s="19" t="s">
        <v>48</v>
      </c>
      <c r="HY2" s="19" t="s">
        <v>7</v>
      </c>
      <c r="HZ2" s="19" t="s">
        <v>8</v>
      </c>
      <c r="IA2" s="19" t="s">
        <v>49</v>
      </c>
      <c r="IB2" s="19" t="s">
        <v>10</v>
      </c>
      <c r="IC2" s="19" t="s">
        <v>11</v>
      </c>
      <c r="ID2" s="19" t="s">
        <v>12</v>
      </c>
      <c r="IE2" s="19" t="s">
        <v>13</v>
      </c>
      <c r="IF2" s="19" t="s">
        <v>14</v>
      </c>
      <c r="IG2" s="19" t="s">
        <v>15</v>
      </c>
      <c r="IH2" s="19" t="s">
        <v>44</v>
      </c>
      <c r="II2" s="19" t="s">
        <v>47</v>
      </c>
      <c r="IJ2" s="19" t="s">
        <v>48</v>
      </c>
      <c r="IK2" s="19" t="s">
        <v>7</v>
      </c>
      <c r="IL2" s="19" t="s">
        <v>8</v>
      </c>
      <c r="IM2" s="19" t="s">
        <v>49</v>
      </c>
      <c r="IN2" s="19" t="s">
        <v>10</v>
      </c>
      <c r="IO2" s="19" t="s">
        <v>11</v>
      </c>
      <c r="IP2" s="19" t="s">
        <v>12</v>
      </c>
      <c r="IQ2" s="19" t="s">
        <v>13</v>
      </c>
      <c r="IR2" s="19" t="s">
        <v>14</v>
      </c>
      <c r="IS2" s="19" t="s">
        <v>15</v>
      </c>
    </row>
    <row r="3">
      <c r="A3" t="str">
        <f>'Quick Setup'!C5</f>
        <v>Squat</v>
      </c>
      <c r="B3" s="20">
        <f>'Quick Setup'!C60</f>
        <v>0.7</v>
      </c>
      <c r="C3" s="21">
        <f>if(B3='Quick Setup'!$C$31,'Quick Setup'!$C32,if(B3='Quick Setup'!$D$31,'Quick Setup'!$D32,if(B3='Quick Setup'!$E$31,'Quick Setup'!$E32,if(B3='Quick Setup'!$F$31,'Quick Setup'!$F32,if(B3='Quick Setup'!$G$31,'Quick Setup'!$G32,if(B3='Quick Setup'!$H$31,'Quick Setup'!$H32,if(B3='Quick Setup'!$I$31,'Quick Setup'!$I32,if(B3='Quick Setup'!$J$31,'Quick Setup'!$J32,if(B3='Quick Setup'!$K$31,'Quick Setup'!$K32,if(B3='Quick Setup'!$L$31,'Quick Setup'!$L32,if(B3='Quick Setup'!$M$31,'Quick Setup'!$M32,if(B3='Quick Setup'!$N$31,'Quick Setup'!$N32,if(B3='Quick Setup'!$O$31,'Quick Setup'!$O32,if(B3='Quick Setup'!$P$31,'Quick Setup'!$P32,if(B3='Quick Setup'!$Q$31,'Quick Setup'!$Q32,if(B3='Quick Setup'!$R$31,'Quick Setup'!$R32,if(B3='Quick Setup'!$S$31,'Quick Setup'!$S32,if(B3='Quick Setup'!$T$31,'Quick Setup'!$T32,if(B3='Quick Setup'!$U$31,'Quick Setup'!$U32,if(B3='Quick Setup'!$V$31,'Quick Setup'!$V32,'Quick Setup'!$W32))))))))))))))))))))</f>
        <v>5</v>
      </c>
      <c r="D3" s="21">
        <f>if(B3='Quick Setup'!$C$45,'Quick Setup'!$C46,if(B3='Quick Setup'!$D$45,'Quick Setup'!$D46,if(B3='Quick Setup'!$E$45,'Quick Setup'!$E46,if(B3='Quick Setup'!$F$45,'Quick Setup'!$F46,if(B3='Quick Setup'!$G$45,'Quick Setup'!$G46,if(B3='Quick Setup'!$H$45,'Quick Setup'!$H46,if(B3='Quick Setup'!$I$45,'Quick Setup'!$I46,if(B3='Quick Setup'!$J$45,'Quick Setup'!$J46,if(B3='Quick Setup'!$K$45,'Quick Setup'!$K46,if(B3='Quick Setup'!$L$45,'Quick Setup'!$L46,if(B3='Quick Setup'!$M$45,'Quick Setup'!$M46,if(B3='Quick Setup'!$N$45,'Quick Setup'!$N46,if(B3='Quick Setup'!$O$45,'Quick Setup'!$O46,if(B3='Quick Setup'!$P$45,'Quick Setup'!$P46,if(B3='Quick Setup'!$Q$45,'Quick Setup'!$Q46,if(B3='Quick Setup'!$R$45,'Quick Setup'!$R46,if(B3='Quick Setup'!$S$45,'Quick Setup'!$S46,if(B3='Quick Setup'!$T$45,'Quick Setup'!$T46,if(B3='Quick Setup'!$U$45,'Quick Setup'!$U46,if(B3='Quick Setup'!$V$45,'Quick Setup'!$V46,'Quick Setup'!$W46))))))))))))))))))))</f>
        <v>3</v>
      </c>
      <c r="E3" s="21">
        <f>'Quick Setup'!H6</f>
        <v>5</v>
      </c>
      <c r="F3" s="22">
        <f>'Quick Setup'!I6</f>
        <v>-0.05</v>
      </c>
      <c r="G3" s="22">
        <f>'Quick Setup'!J6</f>
        <v>-0.02</v>
      </c>
      <c r="H3" s="22">
        <f>'Quick Setup'!K6</f>
        <v>0</v>
      </c>
      <c r="I3" s="22">
        <f>'Quick Setup'!L6</f>
        <v>0.005</v>
      </c>
      <c r="J3" s="22">
        <f>'Quick Setup'!M6</f>
        <v>0.01</v>
      </c>
      <c r="K3" s="22">
        <f>'Quick Setup'!N6</f>
        <v>0.015</v>
      </c>
      <c r="L3" s="22">
        <f>'Quick Setup'!O6</f>
        <v>0.02</v>
      </c>
      <c r="M3" s="22">
        <f>'Quick Setup'!P6</f>
        <v>0.03</v>
      </c>
      <c r="N3" s="20">
        <f>'Quick Setup'!D60</f>
        <v>0.75</v>
      </c>
      <c r="O3" s="21">
        <f>if(N3='Quick Setup'!$C$31,'Quick Setup'!$C32,if(N3='Quick Setup'!$D$31,'Quick Setup'!$D32,if(N3='Quick Setup'!$E$31,'Quick Setup'!$E32,if(N3='Quick Setup'!$F$31,'Quick Setup'!$F32,if(N3='Quick Setup'!$G$31,'Quick Setup'!$G32,if(N3='Quick Setup'!$H$31,'Quick Setup'!$H32,if(N3='Quick Setup'!$I$31,'Quick Setup'!$I32,if(N3='Quick Setup'!$J$31,'Quick Setup'!$J32,if(N3='Quick Setup'!$K$31,'Quick Setup'!$K32,if(N3='Quick Setup'!$L$31,'Quick Setup'!$L32,if(N3='Quick Setup'!$M$31,'Quick Setup'!$M32,if(N3='Quick Setup'!$N$31,'Quick Setup'!$N32,if(N3='Quick Setup'!$O$31,'Quick Setup'!$O32,if(N3='Quick Setup'!$P$31,'Quick Setup'!$P32,if(N3='Quick Setup'!$Q$31,'Quick Setup'!$Q32,if(N3='Quick Setup'!$R$31,'Quick Setup'!$R32,if(N3='Quick Setup'!$S$31,'Quick Setup'!$S32,if(N3='Quick Setup'!$T$31,'Quick Setup'!$T32,if(N3='Quick Setup'!$U$31,'Quick Setup'!$U32,if(N3='Quick Setup'!$V$31,'Quick Setup'!$V32,'Quick Setup'!$W32))))))))))))))))))))</f>
        <v>4</v>
      </c>
      <c r="P3" s="21">
        <f>if(N3='Quick Setup'!$C$45,'Quick Setup'!$C46,if(N3='Quick Setup'!$D$45,'Quick Setup'!$D46,if(N3='Quick Setup'!$E$45,'Quick Setup'!$E46,if(N3='Quick Setup'!$F$45,'Quick Setup'!$F46,if(N3='Quick Setup'!$G$45,'Quick Setup'!$G46,if(N3='Quick Setup'!$H$45,'Quick Setup'!$H46,if(N3='Quick Setup'!$I$45,'Quick Setup'!$I46,if(N3='Quick Setup'!$J$45,'Quick Setup'!$J46,if(N3='Quick Setup'!$K$45,'Quick Setup'!$K46,if(N3='Quick Setup'!$L$45,'Quick Setup'!$L46,if(N3='Quick Setup'!$M$45,'Quick Setup'!$M46,if(N3='Quick Setup'!$N$45,'Quick Setup'!$N46,if(N3='Quick Setup'!$O$45,'Quick Setup'!$O46,if(N3='Quick Setup'!$P$45,'Quick Setup'!$P46,if(N3='Quick Setup'!$Q$45,'Quick Setup'!$Q46,if(N3='Quick Setup'!$R$45,'Quick Setup'!$R46,if(N3='Quick Setup'!$S$45,'Quick Setup'!$S46,if(N3='Quick Setup'!$T$45,'Quick Setup'!$T46,if(N3='Quick Setup'!$U$45,'Quick Setup'!$U46,if(N3='Quick Setup'!$V$45,'Quick Setup'!$V46,'Quick Setup'!$W46))))))))))))))))))))</f>
        <v>2</v>
      </c>
      <c r="Q3" s="21">
        <f t="shared" ref="Q3:Y3" si="1">E3</f>
        <v>5</v>
      </c>
      <c r="R3" s="22">
        <f t="shared" si="1"/>
        <v>-0.05</v>
      </c>
      <c r="S3" s="22">
        <f t="shared" si="1"/>
        <v>-0.02</v>
      </c>
      <c r="T3" s="22">
        <f t="shared" si="1"/>
        <v>0</v>
      </c>
      <c r="U3" s="22">
        <f t="shared" si="1"/>
        <v>0.005</v>
      </c>
      <c r="V3" s="22">
        <f t="shared" si="1"/>
        <v>0.01</v>
      </c>
      <c r="W3" s="22">
        <f t="shared" si="1"/>
        <v>0.015</v>
      </c>
      <c r="X3" s="22">
        <f t="shared" si="1"/>
        <v>0.02</v>
      </c>
      <c r="Y3" s="22">
        <f t="shared" si="1"/>
        <v>0.03</v>
      </c>
      <c r="Z3" s="20">
        <f>'Quick Setup'!E60</f>
        <v>0.8</v>
      </c>
      <c r="AA3" s="21">
        <f>if(Z3='Quick Setup'!$C$31,'Quick Setup'!$C32,if(Z3='Quick Setup'!$D$31,'Quick Setup'!$D32,if(Z3='Quick Setup'!$E$31,'Quick Setup'!$E32,if(Z3='Quick Setup'!$F$31,'Quick Setup'!$F32,if(Z3='Quick Setup'!$G$31,'Quick Setup'!$G32,if(Z3='Quick Setup'!$H$31,'Quick Setup'!$H32,if(Z3='Quick Setup'!$I$31,'Quick Setup'!$I32,if(Z3='Quick Setup'!$J$31,'Quick Setup'!$J32,if(Z3='Quick Setup'!$K$31,'Quick Setup'!$K32,if(Z3='Quick Setup'!$L$31,'Quick Setup'!$L32,if(Z3='Quick Setup'!$M$31,'Quick Setup'!$M32,if(Z3='Quick Setup'!$N$31,'Quick Setup'!$N32,if(Z3='Quick Setup'!$O$31,'Quick Setup'!$O32,if(Z3='Quick Setup'!$P$31,'Quick Setup'!$P32,if(Z3='Quick Setup'!$Q$31,'Quick Setup'!$Q32,if(Z3='Quick Setup'!$R$31,'Quick Setup'!$R32,if(Z3='Quick Setup'!$S$31,'Quick Setup'!$S32,if(Z3='Quick Setup'!$T$31,'Quick Setup'!$T32,if(Z3='Quick Setup'!$U$31,'Quick Setup'!$U32,if(Z3='Quick Setup'!$V$31,'Quick Setup'!$V32,'Quick Setup'!$W32))))))))))))))))))))</f>
        <v>3</v>
      </c>
      <c r="AB3" s="21">
        <f>if(Z3='Quick Setup'!$C$45,'Quick Setup'!$C46,if(Z3='Quick Setup'!$D$45,'Quick Setup'!$D46,if(Z3='Quick Setup'!$E$45,'Quick Setup'!$E46,if(Z3='Quick Setup'!$F$45,'Quick Setup'!$F46,if(Z3='Quick Setup'!$G$45,'Quick Setup'!$G46,if(Z3='Quick Setup'!$H$45,'Quick Setup'!$H46,if(Z3='Quick Setup'!$I$45,'Quick Setup'!$I46,if(Z3='Quick Setup'!$J$45,'Quick Setup'!$J46,if(Z3='Quick Setup'!$K$45,'Quick Setup'!$K46,if(Z3='Quick Setup'!$L$45,'Quick Setup'!$L46,if(Z3='Quick Setup'!$M$45,'Quick Setup'!$M46,if(Z3='Quick Setup'!$N$45,'Quick Setup'!$N46,if(Z3='Quick Setup'!$O$45,'Quick Setup'!$O46,if(Z3='Quick Setup'!$P$45,'Quick Setup'!$P46,if(Z3='Quick Setup'!$Q$45,'Quick Setup'!$Q46,if(Z3='Quick Setup'!$R$45,'Quick Setup'!$R46,if(Z3='Quick Setup'!$S$45,'Quick Setup'!$S46,if(Z3='Quick Setup'!$T$45,'Quick Setup'!$T46,if(Z3='Quick Setup'!$U$45,'Quick Setup'!$U46,if(Z3='Quick Setup'!$V$45,'Quick Setup'!$V46,'Quick Setup'!$W46))))))))))))))))))))</f>
        <v>2</v>
      </c>
      <c r="AC3" s="21">
        <f t="shared" ref="AC3:AK3" si="2">Q3</f>
        <v>5</v>
      </c>
      <c r="AD3" s="22">
        <f t="shared" si="2"/>
        <v>-0.05</v>
      </c>
      <c r="AE3" s="22">
        <f t="shared" si="2"/>
        <v>-0.02</v>
      </c>
      <c r="AF3" s="22">
        <f t="shared" si="2"/>
        <v>0</v>
      </c>
      <c r="AG3" s="22">
        <f t="shared" si="2"/>
        <v>0.005</v>
      </c>
      <c r="AH3" s="22">
        <f t="shared" si="2"/>
        <v>0.01</v>
      </c>
      <c r="AI3" s="22">
        <f t="shared" si="2"/>
        <v>0.015</v>
      </c>
      <c r="AJ3" s="22">
        <f t="shared" si="2"/>
        <v>0.02</v>
      </c>
      <c r="AK3" s="22">
        <f t="shared" si="2"/>
        <v>0.03</v>
      </c>
      <c r="AL3" s="20">
        <f>'Quick Setup'!F60</f>
        <v>0.725</v>
      </c>
      <c r="AM3" s="21">
        <f>if(AL3='Quick Setup'!$C$31,'Quick Setup'!$C32,if(AL3='Quick Setup'!$D$31,'Quick Setup'!$D32,if(AL3='Quick Setup'!$E$31,'Quick Setup'!$E32,if(AL3='Quick Setup'!$F$31,'Quick Setup'!$F32,if(AL3='Quick Setup'!$G$31,'Quick Setup'!$G32,if(AL3='Quick Setup'!$H$31,'Quick Setup'!$H32,if(AL3='Quick Setup'!$I$31,'Quick Setup'!$I32,if(AL3='Quick Setup'!$J$31,'Quick Setup'!$J32,if(AL3='Quick Setup'!$K$31,'Quick Setup'!$K32,if(AL3='Quick Setup'!$L$31,'Quick Setup'!$L32,if(AL3='Quick Setup'!$M$31,'Quick Setup'!$M32,if(AL3='Quick Setup'!$N$31,'Quick Setup'!$N32,if(AL3='Quick Setup'!$O$31,'Quick Setup'!$O32,if(AL3='Quick Setup'!$P$31,'Quick Setup'!$P32,if(AL3='Quick Setup'!$Q$31,'Quick Setup'!$Q32,if(AL3='Quick Setup'!$R$31,'Quick Setup'!$R32,if(AL3='Quick Setup'!$S$31,'Quick Setup'!$S32,if(AL3='Quick Setup'!$T$31,'Quick Setup'!$T32,if(AL3='Quick Setup'!$U$31,'Quick Setup'!$U32,if(AL3='Quick Setup'!$V$31,'Quick Setup'!$V32,'Quick Setup'!$W32))))))))))))))))))))</f>
        <v>5</v>
      </c>
      <c r="AN3" s="21">
        <f>if(AL3='Quick Setup'!$C$45,'Quick Setup'!$C46,if(AL3='Quick Setup'!$D$45,'Quick Setup'!$D46,if(AL3='Quick Setup'!$E$45,'Quick Setup'!$E46,if(AL3='Quick Setup'!$F$45,'Quick Setup'!$F46,if(AL3='Quick Setup'!$G$45,'Quick Setup'!$G46,if(AL3='Quick Setup'!$H$45,'Quick Setup'!$H46,if(AL3='Quick Setup'!$I$45,'Quick Setup'!$I46,if(AL3='Quick Setup'!$J$45,'Quick Setup'!$J46,if(AL3='Quick Setup'!$K$45,'Quick Setup'!$K46,if(AL3='Quick Setup'!$L$45,'Quick Setup'!$L46,if(AL3='Quick Setup'!$M$45,'Quick Setup'!$M46,if(AL3='Quick Setup'!$N$45,'Quick Setup'!$N46,if(AL3='Quick Setup'!$O$45,'Quick Setup'!$O46,if(AL3='Quick Setup'!$P$45,'Quick Setup'!$P46,if(AL3='Quick Setup'!$Q$45,'Quick Setup'!$Q46,if(AL3='Quick Setup'!$R$45,'Quick Setup'!$R46,if(AL3='Quick Setup'!$S$45,'Quick Setup'!$S46,if(AL3='Quick Setup'!$T$45,'Quick Setup'!$T46,if(AL3='Quick Setup'!$U$45,'Quick Setup'!$U46,if(AL3='Quick Setup'!$V$45,'Quick Setup'!$V46,'Quick Setup'!$W46))))))))))))))))))))</f>
        <v>3</v>
      </c>
      <c r="AO3" s="21">
        <f t="shared" ref="AO3:AW3" si="3">AC3</f>
        <v>5</v>
      </c>
      <c r="AP3" s="22">
        <f t="shared" si="3"/>
        <v>-0.05</v>
      </c>
      <c r="AQ3" s="22">
        <f t="shared" si="3"/>
        <v>-0.02</v>
      </c>
      <c r="AR3" s="22">
        <f t="shared" si="3"/>
        <v>0</v>
      </c>
      <c r="AS3" s="22">
        <f t="shared" si="3"/>
        <v>0.005</v>
      </c>
      <c r="AT3" s="22">
        <f t="shared" si="3"/>
        <v>0.01</v>
      </c>
      <c r="AU3" s="22">
        <f t="shared" si="3"/>
        <v>0.015</v>
      </c>
      <c r="AV3" s="22">
        <f t="shared" si="3"/>
        <v>0.02</v>
      </c>
      <c r="AW3" s="22">
        <f t="shared" si="3"/>
        <v>0.03</v>
      </c>
      <c r="AX3" s="20">
        <f>'Quick Setup'!G60</f>
        <v>0.775</v>
      </c>
      <c r="AY3" s="21">
        <f>if(AX3='Quick Setup'!$C$31,'Quick Setup'!$C32,if(AX3='Quick Setup'!$D$31,'Quick Setup'!$D32,if(AX3='Quick Setup'!$E$31,'Quick Setup'!$E32,if(AX3='Quick Setup'!$F$31,'Quick Setup'!$F32,if(AX3='Quick Setup'!$G$31,'Quick Setup'!$G32,if(AX3='Quick Setup'!$H$31,'Quick Setup'!$H32,if(AX3='Quick Setup'!$I$31,'Quick Setup'!$I32,if(AX3='Quick Setup'!$J$31,'Quick Setup'!$J32,if(AX3='Quick Setup'!$K$31,'Quick Setup'!$K32,if(AX3='Quick Setup'!$L$31,'Quick Setup'!$L32,if(AX3='Quick Setup'!$M$31,'Quick Setup'!$M32,if(AX3='Quick Setup'!$N$31,'Quick Setup'!$N32,if(AX3='Quick Setup'!$O$31,'Quick Setup'!$O32,if(AX3='Quick Setup'!$P$31,'Quick Setup'!$P32,if(AX3='Quick Setup'!$Q$31,'Quick Setup'!$Q32,if(AX3='Quick Setup'!$R$31,'Quick Setup'!$R32,if(AX3='Quick Setup'!$S$31,'Quick Setup'!$S32,if(AX3='Quick Setup'!$T$31,'Quick Setup'!$T32,if(AX3='Quick Setup'!$U$31,'Quick Setup'!$U32,if(AX3='Quick Setup'!$V$31,'Quick Setup'!$V32,'Quick Setup'!$W32))))))))))))))))))))</f>
        <v>4</v>
      </c>
      <c r="AZ3" s="21">
        <f>if(AX3='Quick Setup'!$C$45,'Quick Setup'!$C46,if(AX3='Quick Setup'!$D$45,'Quick Setup'!$D46,if(AX3='Quick Setup'!$E$45,'Quick Setup'!$E46,if(AX3='Quick Setup'!$F$45,'Quick Setup'!$F46,if(AX3='Quick Setup'!$G$45,'Quick Setup'!$G46,if(AX3='Quick Setup'!$H$45,'Quick Setup'!$H46,if(AX3='Quick Setup'!$I$45,'Quick Setup'!$I46,if(AX3='Quick Setup'!$J$45,'Quick Setup'!$J46,if(AX3='Quick Setup'!$K$45,'Quick Setup'!$K46,if(AX3='Quick Setup'!$L$45,'Quick Setup'!$L46,if(AX3='Quick Setup'!$M$45,'Quick Setup'!$M46,if(AX3='Quick Setup'!$N$45,'Quick Setup'!$N46,if(AX3='Quick Setup'!$O$45,'Quick Setup'!$O46,if(AX3='Quick Setup'!$P$45,'Quick Setup'!$P46,if(AX3='Quick Setup'!$Q$45,'Quick Setup'!$Q46,if(AX3='Quick Setup'!$R$45,'Quick Setup'!$R46,if(AX3='Quick Setup'!$S$45,'Quick Setup'!$S46,if(AX3='Quick Setup'!$T$45,'Quick Setup'!$T46,if(AX3='Quick Setup'!$U$45,'Quick Setup'!$U46,if(AX3='Quick Setup'!$V$45,'Quick Setup'!$V46,'Quick Setup'!$W46))))))))))))))))))))</f>
        <v>2</v>
      </c>
      <c r="BA3" s="21">
        <f t="shared" ref="BA3:BI3" si="4">AO3</f>
        <v>5</v>
      </c>
      <c r="BB3" s="22">
        <f t="shared" si="4"/>
        <v>-0.05</v>
      </c>
      <c r="BC3" s="22">
        <f t="shared" si="4"/>
        <v>-0.02</v>
      </c>
      <c r="BD3" s="22">
        <f t="shared" si="4"/>
        <v>0</v>
      </c>
      <c r="BE3" s="22">
        <f t="shared" si="4"/>
        <v>0.005</v>
      </c>
      <c r="BF3" s="22">
        <f t="shared" si="4"/>
        <v>0.01</v>
      </c>
      <c r="BG3" s="22">
        <f t="shared" si="4"/>
        <v>0.015</v>
      </c>
      <c r="BH3" s="22">
        <f t="shared" si="4"/>
        <v>0.02</v>
      </c>
      <c r="BI3" s="22">
        <f t="shared" si="4"/>
        <v>0.03</v>
      </c>
      <c r="BJ3" s="20">
        <f>'Quick Setup'!H60</f>
        <v>0.825</v>
      </c>
      <c r="BK3" s="21">
        <f>if(BJ3='Quick Setup'!$C$31,'Quick Setup'!$C32,if(BJ3='Quick Setup'!$D$31,'Quick Setup'!$D32,if(BJ3='Quick Setup'!$E$31,'Quick Setup'!$E32,if(BJ3='Quick Setup'!$F$31,'Quick Setup'!$F32,if(BJ3='Quick Setup'!$G$31,'Quick Setup'!$G32,if(BJ3='Quick Setup'!$H$31,'Quick Setup'!$H32,if(BJ3='Quick Setup'!$I$31,'Quick Setup'!$I32,if(BJ3='Quick Setup'!$J$31,'Quick Setup'!$J32,if(BJ3='Quick Setup'!$K$31,'Quick Setup'!$K32,if(BJ3='Quick Setup'!$L$31,'Quick Setup'!$L32,if(BJ3='Quick Setup'!$M$31,'Quick Setup'!$M32,if(BJ3='Quick Setup'!$N$31,'Quick Setup'!$N32,if(BJ3='Quick Setup'!$O$31,'Quick Setup'!$O32,if(BJ3='Quick Setup'!$P$31,'Quick Setup'!$P32,if(BJ3='Quick Setup'!$Q$31,'Quick Setup'!$Q32,if(BJ3='Quick Setup'!$R$31,'Quick Setup'!$R32,if(BJ3='Quick Setup'!$S$31,'Quick Setup'!$S32,if(BJ3='Quick Setup'!$T$31,'Quick Setup'!$T32,if(BJ3='Quick Setup'!$U$31,'Quick Setup'!$U32,if(BJ3='Quick Setup'!$V$31,'Quick Setup'!$V32,'Quick Setup'!$W32))))))))))))))))))))</f>
        <v>3</v>
      </c>
      <c r="BL3" s="21">
        <f>if(BJ3='Quick Setup'!$C$45,'Quick Setup'!$C46,if(BJ3='Quick Setup'!$D$45,'Quick Setup'!$D46,if(BJ3='Quick Setup'!$E$45,'Quick Setup'!$E46,if(BJ3='Quick Setup'!$F$45,'Quick Setup'!$F46,if(BJ3='Quick Setup'!$G$45,'Quick Setup'!$G46,if(BJ3='Quick Setup'!$H$45,'Quick Setup'!$H46,if(BJ3='Quick Setup'!$I$45,'Quick Setup'!$I46,if(BJ3='Quick Setup'!$J$45,'Quick Setup'!$J46,if(BJ3='Quick Setup'!$K$45,'Quick Setup'!$K46,if(BJ3='Quick Setup'!$L$45,'Quick Setup'!$L46,if(BJ3='Quick Setup'!$M$45,'Quick Setup'!$M46,if(BJ3='Quick Setup'!$N$45,'Quick Setup'!$N46,if(BJ3='Quick Setup'!$O$45,'Quick Setup'!$O46,if(BJ3='Quick Setup'!$P$45,'Quick Setup'!$P46,if(BJ3='Quick Setup'!$Q$45,'Quick Setup'!$Q46,if(BJ3='Quick Setup'!$R$45,'Quick Setup'!$R46,if(BJ3='Quick Setup'!$S$45,'Quick Setup'!$S46,if(BJ3='Quick Setup'!$T$45,'Quick Setup'!$T46,if(BJ3='Quick Setup'!$U$45,'Quick Setup'!$U46,if(BJ3='Quick Setup'!$V$45,'Quick Setup'!$V46,'Quick Setup'!$W46))))))))))))))))))))</f>
        <v>2</v>
      </c>
      <c r="BM3" s="23">
        <f t="shared" ref="BM3:BU3" si="5">BA3</f>
        <v>5</v>
      </c>
      <c r="BN3" s="24">
        <f t="shared" si="5"/>
        <v>-0.05</v>
      </c>
      <c r="BO3" s="24">
        <f t="shared" si="5"/>
        <v>-0.02</v>
      </c>
      <c r="BP3" s="24">
        <f t="shared" si="5"/>
        <v>0</v>
      </c>
      <c r="BQ3" s="24">
        <f t="shared" si="5"/>
        <v>0.005</v>
      </c>
      <c r="BR3" s="24">
        <f t="shared" si="5"/>
        <v>0.01</v>
      </c>
      <c r="BS3" s="24">
        <f t="shared" si="5"/>
        <v>0.015</v>
      </c>
      <c r="BT3" s="24">
        <f t="shared" si="5"/>
        <v>0.02</v>
      </c>
      <c r="BU3" s="24">
        <f t="shared" si="5"/>
        <v>0.03</v>
      </c>
      <c r="BV3" s="20">
        <f>'Quick Setup'!I60</f>
        <v>0.6</v>
      </c>
      <c r="BW3" s="21">
        <f>if(BV3='Quick Setup'!$C$31,'Quick Setup'!$C32,if(BV3='Quick Setup'!$D$31,'Quick Setup'!$D32,if(BV3='Quick Setup'!$E$31,'Quick Setup'!$E32,if(BV3='Quick Setup'!$F$31,'Quick Setup'!$F32,if(BV3='Quick Setup'!$G$31,'Quick Setup'!$G32,if(BV3='Quick Setup'!$H$31,'Quick Setup'!$H32,if(BV3='Quick Setup'!$I$31,'Quick Setup'!$I32,if(BV3='Quick Setup'!$J$31,'Quick Setup'!$J32,if(BV3='Quick Setup'!$K$31,'Quick Setup'!$K32,if(BV3='Quick Setup'!$L$31,'Quick Setup'!$L32,if(BV3='Quick Setup'!$M$31,'Quick Setup'!$M32,if(BV3='Quick Setup'!$N$31,'Quick Setup'!$N32,if(BV3='Quick Setup'!$O$31,'Quick Setup'!$O32,if(BV3='Quick Setup'!$P$31,'Quick Setup'!$P32,if(BV3='Quick Setup'!$Q$31,'Quick Setup'!$Q32,if(BV3='Quick Setup'!$R$31,'Quick Setup'!$R32,if(BV3='Quick Setup'!$S$31,'Quick Setup'!$S32,if(BV3='Quick Setup'!$T$31,'Quick Setup'!$T32,if(BV3='Quick Setup'!$U$31,'Quick Setup'!$U32,if(BV3='Quick Setup'!$V$31,'Quick Setup'!$V32,'Quick Setup'!$W32))))))))))))))))))))</f>
        <v>7</v>
      </c>
      <c r="BX3" s="21">
        <f>if(BV3='Quick Setup'!$C$45,'Quick Setup'!$C46,if(BV3='Quick Setup'!$D$45,'Quick Setup'!$D46,if(BV3='Quick Setup'!$E$45,'Quick Setup'!$E46,if(BV3='Quick Setup'!$F$45,'Quick Setup'!$F46,if(BV3='Quick Setup'!$G$45,'Quick Setup'!$G46,if(BV3='Quick Setup'!$H$45,'Quick Setup'!$H46,if(BV3='Quick Setup'!$I$45,'Quick Setup'!$I46,if(BV3='Quick Setup'!$J$45,'Quick Setup'!$J46,if(BV3='Quick Setup'!$K$45,'Quick Setup'!$K46,if(BV3='Quick Setup'!$L$45,'Quick Setup'!$L46,if(BV3='Quick Setup'!$M$45,'Quick Setup'!$M46,if(BV3='Quick Setup'!$N$45,'Quick Setup'!$N46,if(BV3='Quick Setup'!$O$45,'Quick Setup'!$O46,if(BV3='Quick Setup'!$P$45,'Quick Setup'!$P46,if(BV3='Quick Setup'!$Q$45,'Quick Setup'!$Q46,if(BV3='Quick Setup'!$R$45,'Quick Setup'!$R46,if(BV3='Quick Setup'!$S$45,'Quick Setup'!$S46,if(BV3='Quick Setup'!$T$45,'Quick Setup'!$T46,if(BV3='Quick Setup'!$U$45,'Quick Setup'!$U46,if(BV3='Quick Setup'!$V$45,'Quick Setup'!$V46,'Quick Setup'!$W46))))))))))))))))))))</f>
        <v>3</v>
      </c>
      <c r="BY3" s="23">
        <f t="shared" ref="BY3:CG3" si="6">BM3</f>
        <v>5</v>
      </c>
      <c r="BZ3" s="24">
        <f t="shared" si="6"/>
        <v>-0.05</v>
      </c>
      <c r="CA3" s="24">
        <f t="shared" si="6"/>
        <v>-0.02</v>
      </c>
      <c r="CB3" s="24">
        <f t="shared" si="6"/>
        <v>0</v>
      </c>
      <c r="CC3" s="24">
        <f t="shared" si="6"/>
        <v>0.005</v>
      </c>
      <c r="CD3" s="24">
        <f t="shared" si="6"/>
        <v>0.01</v>
      </c>
      <c r="CE3" s="24">
        <f t="shared" si="6"/>
        <v>0.015</v>
      </c>
      <c r="CF3" s="24">
        <f t="shared" si="6"/>
        <v>0.02</v>
      </c>
      <c r="CG3" s="24">
        <f t="shared" si="6"/>
        <v>0.03</v>
      </c>
      <c r="CH3" s="20">
        <f>'Quick Setup'!J60</f>
        <v>0.75</v>
      </c>
      <c r="CI3" s="21">
        <f>if(CH3='Quick Setup'!$C$31,'Quick Setup'!$C32,if(CH3='Quick Setup'!$D$31,'Quick Setup'!$D32,if(CH3='Quick Setup'!$E$31,'Quick Setup'!$E32,if(CH3='Quick Setup'!$F$31,'Quick Setup'!$F32,if(CH3='Quick Setup'!$G$31,'Quick Setup'!$G32,if(CH3='Quick Setup'!$H$31,'Quick Setup'!$H32,if(CH3='Quick Setup'!$I$31,'Quick Setup'!$I32,if(CH3='Quick Setup'!$J$31,'Quick Setup'!$J32,if(CH3='Quick Setup'!$K$31,'Quick Setup'!$K32,if(CH3='Quick Setup'!$L$31,'Quick Setup'!$L32,if(CH3='Quick Setup'!$M$31,'Quick Setup'!$M32,if(CH3='Quick Setup'!$N$31,'Quick Setup'!$N32,if(CH3='Quick Setup'!$O$31,'Quick Setup'!$O32,if(CH3='Quick Setup'!$P$31,'Quick Setup'!$P32,if(CH3='Quick Setup'!$Q$31,'Quick Setup'!$Q32,if(CH3='Quick Setup'!$R$31,'Quick Setup'!$R32,if(CH3='Quick Setup'!$S$31,'Quick Setup'!$S32,if(CH3='Quick Setup'!$T$31,'Quick Setup'!$T32,if(CH3='Quick Setup'!$U$31,'Quick Setup'!$U32,if(CH3='Quick Setup'!$V$31,'Quick Setup'!$V32,'Quick Setup'!$W32))))))))))))))))))))</f>
        <v>4</v>
      </c>
      <c r="CJ3" s="21">
        <f>if(CH3='Quick Setup'!$C$45,'Quick Setup'!$C46,if(CH3='Quick Setup'!$D$45,'Quick Setup'!$D46,if(CH3='Quick Setup'!$E$45,'Quick Setup'!$E46,if(CH3='Quick Setup'!$F$45,'Quick Setup'!$F46,if(CH3='Quick Setup'!$G$45,'Quick Setup'!$G46,if(CH3='Quick Setup'!$H$45,'Quick Setup'!$H46,if(CH3='Quick Setup'!$I$45,'Quick Setup'!$I46,if(CH3='Quick Setup'!$J$45,'Quick Setup'!$J46,if(CH3='Quick Setup'!$K$45,'Quick Setup'!$K46,if(CH3='Quick Setup'!$L$45,'Quick Setup'!$L46,if(CH3='Quick Setup'!$M$45,'Quick Setup'!$M46,if(CH3='Quick Setup'!$N$45,'Quick Setup'!$N46,if(CH3='Quick Setup'!$O$45,'Quick Setup'!$O46,if(CH3='Quick Setup'!$P$45,'Quick Setup'!$P46,if(CH3='Quick Setup'!$Q$45,'Quick Setup'!$Q46,if(CH3='Quick Setup'!$R$45,'Quick Setup'!$R46,if(CH3='Quick Setup'!$S$45,'Quick Setup'!$S46,if(CH3='Quick Setup'!$T$45,'Quick Setup'!$T46,if(CH3='Quick Setup'!$U$45,'Quick Setup'!$U46,if(CH3='Quick Setup'!$V$45,'Quick Setup'!$V46,'Quick Setup'!$W46))))))))))))))))))))</f>
        <v>2</v>
      </c>
      <c r="CK3" s="23">
        <f t="shared" ref="CK3:CS3" si="7">BY3</f>
        <v>5</v>
      </c>
      <c r="CL3" s="24">
        <f t="shared" si="7"/>
        <v>-0.05</v>
      </c>
      <c r="CM3" s="24">
        <f t="shared" si="7"/>
        <v>-0.02</v>
      </c>
      <c r="CN3" s="24">
        <f t="shared" si="7"/>
        <v>0</v>
      </c>
      <c r="CO3" s="24">
        <f t="shared" si="7"/>
        <v>0.005</v>
      </c>
      <c r="CP3" s="24">
        <f t="shared" si="7"/>
        <v>0.01</v>
      </c>
      <c r="CQ3" s="24">
        <f t="shared" si="7"/>
        <v>0.015</v>
      </c>
      <c r="CR3" s="24">
        <f t="shared" si="7"/>
        <v>0.02</v>
      </c>
      <c r="CS3" s="24">
        <f t="shared" si="7"/>
        <v>0.03</v>
      </c>
      <c r="CT3" s="20">
        <f>'Quick Setup'!K60</f>
        <v>0.8</v>
      </c>
      <c r="CU3" s="21">
        <f>if(CT3='Quick Setup'!$C$31,'Quick Setup'!$C32,if(CT3='Quick Setup'!$D$31,'Quick Setup'!$D32,if(CT3='Quick Setup'!$E$31,'Quick Setup'!$E32,if(CT3='Quick Setup'!$F$31,'Quick Setup'!$F32,if(CT3='Quick Setup'!$G$31,'Quick Setup'!$G32,if(CT3='Quick Setup'!$H$31,'Quick Setup'!$H32,if(CT3='Quick Setup'!$I$31,'Quick Setup'!$I32,if(CT3='Quick Setup'!$J$31,'Quick Setup'!$J32,if(CT3='Quick Setup'!$K$31,'Quick Setup'!$K32,if(CT3='Quick Setup'!$L$31,'Quick Setup'!$L32,if(CT3='Quick Setup'!$M$31,'Quick Setup'!$M32,if(CT3='Quick Setup'!$N$31,'Quick Setup'!$N32,if(CT3='Quick Setup'!$O$31,'Quick Setup'!$O32,if(CT3='Quick Setup'!$P$31,'Quick Setup'!$P32,if(CT3='Quick Setup'!$Q$31,'Quick Setup'!$Q32,if(CT3='Quick Setup'!$R$31,'Quick Setup'!$R32,if(CT3='Quick Setup'!$S$31,'Quick Setup'!$S32,if(CT3='Quick Setup'!$T$31,'Quick Setup'!$T32,if(CT3='Quick Setup'!$U$31,'Quick Setup'!$U32,if(CT3='Quick Setup'!$V$31,'Quick Setup'!$V32,'Quick Setup'!$W32))))))))))))))))))))</f>
        <v>3</v>
      </c>
      <c r="CV3" s="21">
        <f>if(CT3='Quick Setup'!$C$45,'Quick Setup'!$C46,if(CT3='Quick Setup'!$D$45,'Quick Setup'!$D46,if(CT3='Quick Setup'!$E$45,'Quick Setup'!$E46,if(CT3='Quick Setup'!$F$45,'Quick Setup'!$F46,if(CT3='Quick Setup'!$G$45,'Quick Setup'!$G46,if(CT3='Quick Setup'!$H$45,'Quick Setup'!$H46,if(CT3='Quick Setup'!$I$45,'Quick Setup'!$I46,if(CT3='Quick Setup'!$J$45,'Quick Setup'!$J46,if(CT3='Quick Setup'!$K$45,'Quick Setup'!$K46,if(CT3='Quick Setup'!$L$45,'Quick Setup'!$L46,if(CT3='Quick Setup'!$M$45,'Quick Setup'!$M46,if(CT3='Quick Setup'!$N$45,'Quick Setup'!$N46,if(CT3='Quick Setup'!$O$45,'Quick Setup'!$O46,if(CT3='Quick Setup'!$P$45,'Quick Setup'!$P46,if(CT3='Quick Setup'!$Q$45,'Quick Setup'!$Q46,if(CT3='Quick Setup'!$R$45,'Quick Setup'!$R46,if(CT3='Quick Setup'!$S$45,'Quick Setup'!$S46,if(CT3='Quick Setup'!$T$45,'Quick Setup'!$T46,if(CT3='Quick Setup'!$U$45,'Quick Setup'!$U46,if(CT3='Quick Setup'!$V$45,'Quick Setup'!$V46,'Quick Setup'!$W46))))))))))))))))))))</f>
        <v>2</v>
      </c>
      <c r="CW3" s="23">
        <f t="shared" ref="CW3:DE3" si="8">CK3</f>
        <v>5</v>
      </c>
      <c r="CX3" s="24">
        <f t="shared" si="8"/>
        <v>-0.05</v>
      </c>
      <c r="CY3" s="24">
        <f t="shared" si="8"/>
        <v>-0.02</v>
      </c>
      <c r="CZ3" s="24">
        <f t="shared" si="8"/>
        <v>0</v>
      </c>
      <c r="DA3" s="24">
        <f t="shared" si="8"/>
        <v>0.005</v>
      </c>
      <c r="DB3" s="24">
        <f t="shared" si="8"/>
        <v>0.01</v>
      </c>
      <c r="DC3" s="24">
        <f t="shared" si="8"/>
        <v>0.015</v>
      </c>
      <c r="DD3" s="24">
        <f t="shared" si="8"/>
        <v>0.02</v>
      </c>
      <c r="DE3" s="24">
        <f t="shared" si="8"/>
        <v>0.03</v>
      </c>
      <c r="DF3" s="20">
        <f>'Quick Setup'!L60</f>
        <v>0.85</v>
      </c>
      <c r="DG3" s="21">
        <f>if(DF3='Quick Setup'!$C$31,'Quick Setup'!$C32,if(DF3='Quick Setup'!$D$31,'Quick Setup'!$D32,if(DF3='Quick Setup'!$E$31,'Quick Setup'!$E32,if(DF3='Quick Setup'!$F$31,'Quick Setup'!$F32,if(DF3='Quick Setup'!$G$31,'Quick Setup'!$G32,if(DF3='Quick Setup'!$H$31,'Quick Setup'!$H32,if(DF3='Quick Setup'!$I$31,'Quick Setup'!$I32,if(DF3='Quick Setup'!$J$31,'Quick Setup'!$J32,if(DF3='Quick Setup'!$K$31,'Quick Setup'!$K32,if(DF3='Quick Setup'!$L$31,'Quick Setup'!$L32,if(DF3='Quick Setup'!$M$31,'Quick Setup'!$M32,if(DF3='Quick Setup'!$N$31,'Quick Setup'!$N32,if(DF3='Quick Setup'!$O$31,'Quick Setup'!$O32,if(DF3='Quick Setup'!$P$31,'Quick Setup'!$P32,if(DF3='Quick Setup'!$Q$31,'Quick Setup'!$Q32,if(DF3='Quick Setup'!$R$31,'Quick Setup'!$R32,if(DF3='Quick Setup'!$S$31,'Quick Setup'!$S32,if(DF3='Quick Setup'!$T$31,'Quick Setup'!$T32,if(DF3='Quick Setup'!$U$31,'Quick Setup'!$U32,if(DF3='Quick Setup'!$V$31,'Quick Setup'!$V32,'Quick Setup'!$W32))))))))))))))))))))</f>
        <v>2</v>
      </c>
      <c r="DH3" s="21">
        <f>if(DF3='Quick Setup'!$C$45,'Quick Setup'!$C46,if(DF3='Quick Setup'!$D$45,'Quick Setup'!$D46,if(DF3='Quick Setup'!$E$45,'Quick Setup'!$E46,if(DF3='Quick Setup'!$F$45,'Quick Setup'!$F46,if(DF3='Quick Setup'!$G$45,'Quick Setup'!$G46,if(DF3='Quick Setup'!$H$45,'Quick Setup'!$H46,if(DF3='Quick Setup'!$I$45,'Quick Setup'!$I46,if(DF3='Quick Setup'!$J$45,'Quick Setup'!$J46,if(DF3='Quick Setup'!$K$45,'Quick Setup'!$K46,if(DF3='Quick Setup'!$L$45,'Quick Setup'!$L46,if(DF3='Quick Setup'!$M$45,'Quick Setup'!$M46,if(DF3='Quick Setup'!$N$45,'Quick Setup'!$N46,if(DF3='Quick Setup'!$O$45,'Quick Setup'!$O46,if(DF3='Quick Setup'!$P$45,'Quick Setup'!$P46,if(DF3='Quick Setup'!$Q$45,'Quick Setup'!$Q46,if(DF3='Quick Setup'!$R$45,'Quick Setup'!$R46,if(DF3='Quick Setup'!$S$45,'Quick Setup'!$S46,if(DF3='Quick Setup'!$T$45,'Quick Setup'!$T46,if(DF3='Quick Setup'!$U$45,'Quick Setup'!$U46,if(DF3='Quick Setup'!$V$45,'Quick Setup'!$V46,'Quick Setup'!$W46))))))))))))))))))))</f>
        <v>1</v>
      </c>
      <c r="DI3" s="23">
        <f t="shared" ref="DI3:DQ3" si="9">CW3</f>
        <v>5</v>
      </c>
      <c r="DJ3" s="24">
        <f t="shared" si="9"/>
        <v>-0.05</v>
      </c>
      <c r="DK3" s="24">
        <f t="shared" si="9"/>
        <v>-0.02</v>
      </c>
      <c r="DL3" s="24">
        <f t="shared" si="9"/>
        <v>0</v>
      </c>
      <c r="DM3" s="24">
        <f t="shared" si="9"/>
        <v>0.005</v>
      </c>
      <c r="DN3" s="24">
        <f t="shared" si="9"/>
        <v>0.01</v>
      </c>
      <c r="DO3" s="24">
        <f t="shared" si="9"/>
        <v>0.015</v>
      </c>
      <c r="DP3" s="24">
        <f t="shared" si="9"/>
        <v>0.02</v>
      </c>
      <c r="DQ3" s="24">
        <f t="shared" si="9"/>
        <v>0.03</v>
      </c>
      <c r="DR3" s="20">
        <f>'Quick Setup'!M60</f>
        <v>0.775</v>
      </c>
      <c r="DS3" s="21">
        <f>if(DR3='Quick Setup'!$C$31,'Quick Setup'!$C32,if(DR3='Quick Setup'!$D$31,'Quick Setup'!$D32,if(DR3='Quick Setup'!$E$31,'Quick Setup'!$E32,if(DR3='Quick Setup'!$F$31,'Quick Setup'!$F32,if(DR3='Quick Setup'!$G$31,'Quick Setup'!$G32,if(DR3='Quick Setup'!$H$31,'Quick Setup'!$H32,if(DR3='Quick Setup'!$I$31,'Quick Setup'!$I32,if(DR3='Quick Setup'!$J$31,'Quick Setup'!$J32,if(DR3='Quick Setup'!$K$31,'Quick Setup'!$K32,if(DR3='Quick Setup'!$L$31,'Quick Setup'!$L32,if(DR3='Quick Setup'!$M$31,'Quick Setup'!$M32,if(DR3='Quick Setup'!$N$31,'Quick Setup'!$N32,if(DR3='Quick Setup'!$O$31,'Quick Setup'!$O32,if(DR3='Quick Setup'!$P$31,'Quick Setup'!$P32,if(DR3='Quick Setup'!$Q$31,'Quick Setup'!$Q32,if(DR3='Quick Setup'!$R$31,'Quick Setup'!$R32,if(DR3='Quick Setup'!$S$31,'Quick Setup'!$S32,if(DR3='Quick Setup'!$T$31,'Quick Setup'!$T32,if(DR3='Quick Setup'!$U$31,'Quick Setup'!$U32,if(DR3='Quick Setup'!$V$31,'Quick Setup'!$V32,'Quick Setup'!$W32))))))))))))))))))))</f>
        <v>4</v>
      </c>
      <c r="DT3" s="21">
        <f>if(DR3='Quick Setup'!$C$45,'Quick Setup'!$C46,if(DR3='Quick Setup'!$D$45,'Quick Setup'!$D46,if(DR3='Quick Setup'!$E$45,'Quick Setup'!$E46,if(DR3='Quick Setup'!$F$45,'Quick Setup'!$F46,if(DR3='Quick Setup'!$G$45,'Quick Setup'!$G46,if(DR3='Quick Setup'!$H$45,'Quick Setup'!$H46,if(DR3='Quick Setup'!$I$45,'Quick Setup'!$I46,if(DR3='Quick Setup'!$J$45,'Quick Setup'!$J46,if(DR3='Quick Setup'!$K$45,'Quick Setup'!$K46,if(DR3='Quick Setup'!$L$45,'Quick Setup'!$L46,if(DR3='Quick Setup'!$M$45,'Quick Setup'!$M46,if(DR3='Quick Setup'!$N$45,'Quick Setup'!$N46,if(DR3='Quick Setup'!$O$45,'Quick Setup'!$O46,if(DR3='Quick Setup'!$P$45,'Quick Setup'!$P46,if(DR3='Quick Setup'!$Q$45,'Quick Setup'!$Q46,if(DR3='Quick Setup'!$R$45,'Quick Setup'!$R46,if(DR3='Quick Setup'!$S$45,'Quick Setup'!$S46,if(DR3='Quick Setup'!$T$45,'Quick Setup'!$T46,if(DR3='Quick Setup'!$U$45,'Quick Setup'!$U46,if(DR3='Quick Setup'!$V$45,'Quick Setup'!$V46,'Quick Setup'!$W46))))))))))))))))))))</f>
        <v>2</v>
      </c>
      <c r="DU3" s="23">
        <f t="shared" ref="DU3:EC3" si="10">DI3</f>
        <v>5</v>
      </c>
      <c r="DV3" s="24">
        <f t="shared" si="10"/>
        <v>-0.05</v>
      </c>
      <c r="DW3" s="24">
        <f t="shared" si="10"/>
        <v>-0.02</v>
      </c>
      <c r="DX3" s="24">
        <f t="shared" si="10"/>
        <v>0</v>
      </c>
      <c r="DY3" s="24">
        <f t="shared" si="10"/>
        <v>0.005</v>
      </c>
      <c r="DZ3" s="24">
        <f t="shared" si="10"/>
        <v>0.01</v>
      </c>
      <c r="EA3" s="24">
        <f t="shared" si="10"/>
        <v>0.015</v>
      </c>
      <c r="EB3" s="24">
        <f t="shared" si="10"/>
        <v>0.02</v>
      </c>
      <c r="EC3" s="24">
        <f t="shared" si="10"/>
        <v>0.03</v>
      </c>
      <c r="ED3" s="20">
        <f>'Quick Setup'!N60</f>
        <v>0.825</v>
      </c>
      <c r="EE3" s="21">
        <f>if(ED3='Quick Setup'!$C$31,'Quick Setup'!$C32,if(ED3='Quick Setup'!$D$31,'Quick Setup'!$D32,if(ED3='Quick Setup'!$E$31,'Quick Setup'!$E32,if(ED3='Quick Setup'!$F$31,'Quick Setup'!$F32,if(ED3='Quick Setup'!$G$31,'Quick Setup'!$G32,if(ED3='Quick Setup'!$H$31,'Quick Setup'!$H32,if(ED3='Quick Setup'!$I$31,'Quick Setup'!$I32,if(ED3='Quick Setup'!$J$31,'Quick Setup'!$J32,if(ED3='Quick Setup'!$K$31,'Quick Setup'!$K32,if(ED3='Quick Setup'!$L$31,'Quick Setup'!$L32,if(ED3='Quick Setup'!$M$31,'Quick Setup'!$M32,if(ED3='Quick Setup'!$N$31,'Quick Setup'!$N32,if(ED3='Quick Setup'!$O$31,'Quick Setup'!$O32,if(ED3='Quick Setup'!$P$31,'Quick Setup'!$P32,if(ED3='Quick Setup'!$Q$31,'Quick Setup'!$Q32,if(ED3='Quick Setup'!$R$31,'Quick Setup'!$R32,if(ED3='Quick Setup'!$S$31,'Quick Setup'!$S32,if(ED3='Quick Setup'!$T$31,'Quick Setup'!$T32,if(ED3='Quick Setup'!$U$31,'Quick Setup'!$U32,if(ED3='Quick Setup'!$V$31,'Quick Setup'!$V32,'Quick Setup'!$W32))))))))))))))))))))</f>
        <v>3</v>
      </c>
      <c r="EF3" s="21">
        <f>if(ED3='Quick Setup'!$C$45,'Quick Setup'!$C46,if(ED3='Quick Setup'!$D$45,'Quick Setup'!$D46,if(ED3='Quick Setup'!$E$45,'Quick Setup'!$E46,if(ED3='Quick Setup'!$F$45,'Quick Setup'!$F46,if(ED3='Quick Setup'!$G$45,'Quick Setup'!$G46,if(ED3='Quick Setup'!$H$45,'Quick Setup'!$H46,if(ED3='Quick Setup'!$I$45,'Quick Setup'!$I46,if(ED3='Quick Setup'!$J$45,'Quick Setup'!$J46,if(ED3='Quick Setup'!$K$45,'Quick Setup'!$K46,if(ED3='Quick Setup'!$L$45,'Quick Setup'!$L46,if(ED3='Quick Setup'!$M$45,'Quick Setup'!$M46,if(ED3='Quick Setup'!$N$45,'Quick Setup'!$N46,if(ED3='Quick Setup'!$O$45,'Quick Setup'!$O46,if(ED3='Quick Setup'!$P$45,'Quick Setup'!$P46,if(ED3='Quick Setup'!$Q$45,'Quick Setup'!$Q46,if(ED3='Quick Setup'!$R$45,'Quick Setup'!$R46,if(ED3='Quick Setup'!$S$45,'Quick Setup'!$S46,if(ED3='Quick Setup'!$T$45,'Quick Setup'!$T46,if(ED3='Quick Setup'!$U$45,'Quick Setup'!$U46,if(ED3='Quick Setup'!$V$45,'Quick Setup'!$V46,'Quick Setup'!$W46))))))))))))))))))))</f>
        <v>2</v>
      </c>
      <c r="EG3" s="23">
        <f t="shared" ref="EG3:EO3" si="11">DU3</f>
        <v>5</v>
      </c>
      <c r="EH3" s="24">
        <f t="shared" si="11"/>
        <v>-0.05</v>
      </c>
      <c r="EI3" s="24">
        <f t="shared" si="11"/>
        <v>-0.02</v>
      </c>
      <c r="EJ3" s="24">
        <f t="shared" si="11"/>
        <v>0</v>
      </c>
      <c r="EK3" s="24">
        <f t="shared" si="11"/>
        <v>0.005</v>
      </c>
      <c r="EL3" s="24">
        <f t="shared" si="11"/>
        <v>0.01</v>
      </c>
      <c r="EM3" s="24">
        <f t="shared" si="11"/>
        <v>0.015</v>
      </c>
      <c r="EN3" s="24">
        <f t="shared" si="11"/>
        <v>0.02</v>
      </c>
      <c r="EO3" s="24">
        <f t="shared" si="11"/>
        <v>0.03</v>
      </c>
      <c r="EP3" s="20">
        <f>'Quick Setup'!O60</f>
        <v>0.875</v>
      </c>
      <c r="EQ3" s="21">
        <f>if(EP3='Quick Setup'!$C$31,'Quick Setup'!$C32,if(EP3='Quick Setup'!$D$31,'Quick Setup'!$D32,if(EP3='Quick Setup'!$E$31,'Quick Setup'!$E32,if(EP3='Quick Setup'!$F$31,'Quick Setup'!$F32,if(EP3='Quick Setup'!$G$31,'Quick Setup'!$G32,if(EP3='Quick Setup'!$H$31,'Quick Setup'!$H32,if(EP3='Quick Setup'!$I$31,'Quick Setup'!$I32,if(EP3='Quick Setup'!$J$31,'Quick Setup'!$J32,if(EP3='Quick Setup'!$K$31,'Quick Setup'!$K32,if(EP3='Quick Setup'!$L$31,'Quick Setup'!$L32,if(EP3='Quick Setup'!$M$31,'Quick Setup'!$M32,if(EP3='Quick Setup'!$N$31,'Quick Setup'!$N32,if(EP3='Quick Setup'!$O$31,'Quick Setup'!$O32,if(EP3='Quick Setup'!$P$31,'Quick Setup'!$P32,if(EP3='Quick Setup'!$Q$31,'Quick Setup'!$Q32,if(EP3='Quick Setup'!$R$31,'Quick Setup'!$R32,if(EP3='Quick Setup'!$S$31,'Quick Setup'!$S32,if(EP3='Quick Setup'!$T$31,'Quick Setup'!$T32,if(EP3='Quick Setup'!$U$31,'Quick Setup'!$U32,if(EP3='Quick Setup'!$V$31,'Quick Setup'!$V32,'Quick Setup'!$W32))))))))))))))))))))</f>
        <v>2</v>
      </c>
      <c r="ER3" s="21">
        <f>if(EP3='Quick Setup'!$C$45,'Quick Setup'!$C46,if(EP3='Quick Setup'!$D$45,'Quick Setup'!$D46,if(EP3='Quick Setup'!$E$45,'Quick Setup'!$E46,if(EP3='Quick Setup'!$F$45,'Quick Setup'!$F46,if(EP3='Quick Setup'!$G$45,'Quick Setup'!$G46,if(EP3='Quick Setup'!$H$45,'Quick Setup'!$H46,if(EP3='Quick Setup'!$I$45,'Quick Setup'!$I46,if(EP3='Quick Setup'!$J$45,'Quick Setup'!$J46,if(EP3='Quick Setup'!$K$45,'Quick Setup'!$K46,if(EP3='Quick Setup'!$L$45,'Quick Setup'!$L46,if(EP3='Quick Setup'!$M$45,'Quick Setup'!$M46,if(EP3='Quick Setup'!$N$45,'Quick Setup'!$N46,if(EP3='Quick Setup'!$O$45,'Quick Setup'!$O46,if(EP3='Quick Setup'!$P$45,'Quick Setup'!$P46,if(EP3='Quick Setup'!$Q$45,'Quick Setup'!$Q46,if(EP3='Quick Setup'!$R$45,'Quick Setup'!$R46,if(EP3='Quick Setup'!$S$45,'Quick Setup'!$S46,if(EP3='Quick Setup'!$T$45,'Quick Setup'!$T46,if(EP3='Quick Setup'!$U$45,'Quick Setup'!$U46,if(EP3='Quick Setup'!$V$45,'Quick Setup'!$V46,'Quick Setup'!$W46))))))))))))))))))))</f>
        <v>1</v>
      </c>
      <c r="ES3" s="23">
        <f t="shared" ref="ES3:FA3" si="12">EG3</f>
        <v>5</v>
      </c>
      <c r="ET3" s="24">
        <f t="shared" si="12"/>
        <v>-0.05</v>
      </c>
      <c r="EU3" s="24">
        <f t="shared" si="12"/>
        <v>-0.02</v>
      </c>
      <c r="EV3" s="24">
        <f t="shared" si="12"/>
        <v>0</v>
      </c>
      <c r="EW3" s="24">
        <f t="shared" si="12"/>
        <v>0.005</v>
      </c>
      <c r="EX3" s="24">
        <f t="shared" si="12"/>
        <v>0.01</v>
      </c>
      <c r="EY3" s="24">
        <f t="shared" si="12"/>
        <v>0.015</v>
      </c>
      <c r="EZ3" s="24">
        <f t="shared" si="12"/>
        <v>0.02</v>
      </c>
      <c r="FA3" s="24">
        <f t="shared" si="12"/>
        <v>0.03</v>
      </c>
      <c r="FB3" s="20">
        <f>'Quick Setup'!P60</f>
        <v>0.6</v>
      </c>
      <c r="FC3" s="21">
        <f>if(FB3='Quick Setup'!$C$31,'Quick Setup'!$C32,if(FB3='Quick Setup'!$D$31,'Quick Setup'!$D32,if(FB3='Quick Setup'!$E$31,'Quick Setup'!$E32,if(FB3='Quick Setup'!$F$31,'Quick Setup'!$F32,if(FB3='Quick Setup'!$G$31,'Quick Setup'!$G32,if(FB3='Quick Setup'!$H$31,'Quick Setup'!$H32,if(FB3='Quick Setup'!$I$31,'Quick Setup'!$I32,if(FB3='Quick Setup'!$J$31,'Quick Setup'!$J32,if(FB3='Quick Setup'!$K$31,'Quick Setup'!$K32,if(FB3='Quick Setup'!$L$31,'Quick Setup'!$L32,if(FB3='Quick Setup'!$M$31,'Quick Setup'!$M32,if(FB3='Quick Setup'!$N$31,'Quick Setup'!$N32,if(FB3='Quick Setup'!$O$31,'Quick Setup'!$O32,if(FB3='Quick Setup'!$P$31,'Quick Setup'!$P32,if(FB3='Quick Setup'!$Q$31,'Quick Setup'!$Q32,if(FB3='Quick Setup'!$R$31,'Quick Setup'!$R32,if(FB3='Quick Setup'!$S$31,'Quick Setup'!$S32,if(FB3='Quick Setup'!$T$31,'Quick Setup'!$T32,if(FB3='Quick Setup'!$U$31,'Quick Setup'!$U32,if(FB3='Quick Setup'!$V$31,'Quick Setup'!$V32,'Quick Setup'!$W32))))))))))))))))))))</f>
        <v>7</v>
      </c>
      <c r="FD3" s="21">
        <f>if(FB3='Quick Setup'!$C$45,'Quick Setup'!$C46,if(FB3='Quick Setup'!$D$45,'Quick Setup'!$D46,if(FB3='Quick Setup'!$E$45,'Quick Setup'!$E46,if(FB3='Quick Setup'!$F$45,'Quick Setup'!$F46,if(FB3='Quick Setup'!$G$45,'Quick Setup'!$G46,if(FB3='Quick Setup'!$H$45,'Quick Setup'!$H46,if(FB3='Quick Setup'!$I$45,'Quick Setup'!$I46,if(FB3='Quick Setup'!$J$45,'Quick Setup'!$J46,if(FB3='Quick Setup'!$K$45,'Quick Setup'!$K46,if(FB3='Quick Setup'!$L$45,'Quick Setup'!$L46,if(FB3='Quick Setup'!$M$45,'Quick Setup'!$M46,if(FB3='Quick Setup'!$N$45,'Quick Setup'!$N46,if(FB3='Quick Setup'!$O$45,'Quick Setup'!$O46,if(FB3='Quick Setup'!$P$45,'Quick Setup'!$P46,if(FB3='Quick Setup'!$Q$45,'Quick Setup'!$Q46,if(FB3='Quick Setup'!$R$45,'Quick Setup'!$R46,if(FB3='Quick Setup'!$S$45,'Quick Setup'!$S46,if(FB3='Quick Setup'!$T$45,'Quick Setup'!$T46,if(FB3='Quick Setup'!$U$45,'Quick Setup'!$U46,if(FB3='Quick Setup'!$V$45,'Quick Setup'!$V46,'Quick Setup'!$W46))))))))))))))))))))</f>
        <v>3</v>
      </c>
      <c r="FE3" s="23">
        <f t="shared" ref="FE3:FM3" si="13">ES3</f>
        <v>5</v>
      </c>
      <c r="FF3" s="24">
        <f t="shared" si="13"/>
        <v>-0.05</v>
      </c>
      <c r="FG3" s="24">
        <f t="shared" si="13"/>
        <v>-0.02</v>
      </c>
      <c r="FH3" s="24">
        <f t="shared" si="13"/>
        <v>0</v>
      </c>
      <c r="FI3" s="24">
        <f t="shared" si="13"/>
        <v>0.005</v>
      </c>
      <c r="FJ3" s="24">
        <f t="shared" si="13"/>
        <v>0.01</v>
      </c>
      <c r="FK3" s="24">
        <f t="shared" si="13"/>
        <v>0.015</v>
      </c>
      <c r="FL3" s="24">
        <f t="shared" si="13"/>
        <v>0.02</v>
      </c>
      <c r="FM3" s="24">
        <f t="shared" si="13"/>
        <v>0.03</v>
      </c>
      <c r="FN3" s="20">
        <f>'Quick Setup'!Q60</f>
        <v>0.8</v>
      </c>
      <c r="FO3" s="21">
        <f>if(FN3='Quick Setup'!$C$31,'Quick Setup'!$C32,if(FN3='Quick Setup'!$D$31,'Quick Setup'!$D32,if(FN3='Quick Setup'!$E$31,'Quick Setup'!$E32,if(FN3='Quick Setup'!$F$31,'Quick Setup'!$F32,if(FN3='Quick Setup'!$G$31,'Quick Setup'!$G32,if(FN3='Quick Setup'!$H$31,'Quick Setup'!$H32,if(FN3='Quick Setup'!$I$31,'Quick Setup'!$I32,if(FN3='Quick Setup'!$J$31,'Quick Setup'!$J32,if(FN3='Quick Setup'!$K$31,'Quick Setup'!$K32,if(FN3='Quick Setup'!$L$31,'Quick Setup'!$L32,if(FN3='Quick Setup'!$M$31,'Quick Setup'!$M32,if(FN3='Quick Setup'!$N$31,'Quick Setup'!$N32,if(FN3='Quick Setup'!$O$31,'Quick Setup'!$O32,if(FN3='Quick Setup'!$P$31,'Quick Setup'!$P32,if(FN3='Quick Setup'!$Q$31,'Quick Setup'!$Q32,if(FN3='Quick Setup'!$R$31,'Quick Setup'!$R32,if(FN3='Quick Setup'!$S$31,'Quick Setup'!$S32,if(FN3='Quick Setup'!$T$31,'Quick Setup'!$T32,if(FN3='Quick Setup'!$U$31,'Quick Setup'!$U32,if(FN3='Quick Setup'!$V$31,'Quick Setup'!$V32,'Quick Setup'!$W32))))))))))))))))))))</f>
        <v>3</v>
      </c>
      <c r="FP3" s="21">
        <f>if(FN3='Quick Setup'!$C$45,'Quick Setup'!$C46,if(FN3='Quick Setup'!$D$45,'Quick Setup'!$D46,if(FN3='Quick Setup'!$E$45,'Quick Setup'!$E46,if(FN3='Quick Setup'!$F$45,'Quick Setup'!$F46,if(FN3='Quick Setup'!$G$45,'Quick Setup'!$G46,if(FN3='Quick Setup'!$H$45,'Quick Setup'!$H46,if(FN3='Quick Setup'!$I$45,'Quick Setup'!$I46,if(FN3='Quick Setup'!$J$45,'Quick Setup'!$J46,if(FN3='Quick Setup'!$K$45,'Quick Setup'!$K46,if(FN3='Quick Setup'!$L$45,'Quick Setup'!$L46,if(FN3='Quick Setup'!$M$45,'Quick Setup'!$M46,if(FN3='Quick Setup'!$N$45,'Quick Setup'!$N46,if(FN3='Quick Setup'!$O$45,'Quick Setup'!$O46,if(FN3='Quick Setup'!$P$45,'Quick Setup'!$P46,if(FN3='Quick Setup'!$Q$45,'Quick Setup'!$Q46,if(FN3='Quick Setup'!$R$45,'Quick Setup'!$R46,if(FN3='Quick Setup'!$S$45,'Quick Setup'!$S46,if(FN3='Quick Setup'!$T$45,'Quick Setup'!$T46,if(FN3='Quick Setup'!$U$45,'Quick Setup'!$U46,if(FN3='Quick Setup'!$V$45,'Quick Setup'!$V46,'Quick Setup'!$W46))))))))))))))))))))</f>
        <v>2</v>
      </c>
      <c r="FQ3" s="23">
        <f t="shared" ref="FQ3:FY3" si="14">FE3</f>
        <v>5</v>
      </c>
      <c r="FR3" s="24">
        <f t="shared" si="14"/>
        <v>-0.05</v>
      </c>
      <c r="FS3" s="24">
        <f t="shared" si="14"/>
        <v>-0.02</v>
      </c>
      <c r="FT3" s="24">
        <f t="shared" si="14"/>
        <v>0</v>
      </c>
      <c r="FU3" s="24">
        <f t="shared" si="14"/>
        <v>0.005</v>
      </c>
      <c r="FV3" s="24">
        <f t="shared" si="14"/>
        <v>0.01</v>
      </c>
      <c r="FW3" s="24">
        <f t="shared" si="14"/>
        <v>0.015</v>
      </c>
      <c r="FX3" s="24">
        <f t="shared" si="14"/>
        <v>0.02</v>
      </c>
      <c r="FY3" s="24">
        <f t="shared" si="14"/>
        <v>0.03</v>
      </c>
      <c r="FZ3" s="20">
        <f>'Quick Setup'!R60</f>
        <v>0.85</v>
      </c>
      <c r="GA3" s="21">
        <f>if(FZ3='Quick Setup'!$C$31,'Quick Setup'!$C32,if(FZ3='Quick Setup'!$D$31,'Quick Setup'!$D32,if(FZ3='Quick Setup'!$E$31,'Quick Setup'!$E32,if(FZ3='Quick Setup'!$F$31,'Quick Setup'!$F32,if(FZ3='Quick Setup'!$G$31,'Quick Setup'!$G32,if(FZ3='Quick Setup'!$H$31,'Quick Setup'!$H32,if(FZ3='Quick Setup'!$I$31,'Quick Setup'!$I32,if(FZ3='Quick Setup'!$J$31,'Quick Setup'!$J32,if(FZ3='Quick Setup'!$K$31,'Quick Setup'!$K32,if(FZ3='Quick Setup'!$L$31,'Quick Setup'!$L32,if(FZ3='Quick Setup'!$M$31,'Quick Setup'!$M32,if(FZ3='Quick Setup'!$N$31,'Quick Setup'!$N32,if(FZ3='Quick Setup'!$O$31,'Quick Setup'!$O32,if(FZ3='Quick Setup'!$P$31,'Quick Setup'!$P32,if(FZ3='Quick Setup'!$Q$31,'Quick Setup'!$Q32,if(FZ3='Quick Setup'!$R$31,'Quick Setup'!$R32,if(FZ3='Quick Setup'!$S$31,'Quick Setup'!$S32,if(FZ3='Quick Setup'!$T$31,'Quick Setup'!$T32,if(FZ3='Quick Setup'!$U$31,'Quick Setup'!$U32,if(FZ3='Quick Setup'!$V$31,'Quick Setup'!$V32,'Quick Setup'!$W32))))))))))))))))))))</f>
        <v>2</v>
      </c>
      <c r="GB3" s="21">
        <f>if(FZ3='Quick Setup'!$C$45,'Quick Setup'!$C46,if(FZ3='Quick Setup'!$D$45,'Quick Setup'!$D46,if(FZ3='Quick Setup'!$E$45,'Quick Setup'!$E46,if(FZ3='Quick Setup'!$F$45,'Quick Setup'!$F46,if(FZ3='Quick Setup'!$G$45,'Quick Setup'!$G46,if(FZ3='Quick Setup'!$H$45,'Quick Setup'!$H46,if(FZ3='Quick Setup'!$I$45,'Quick Setup'!$I46,if(FZ3='Quick Setup'!$J$45,'Quick Setup'!$J46,if(FZ3='Quick Setup'!$K$45,'Quick Setup'!$K46,if(FZ3='Quick Setup'!$L$45,'Quick Setup'!$L46,if(FZ3='Quick Setup'!$M$45,'Quick Setup'!$M46,if(FZ3='Quick Setup'!$N$45,'Quick Setup'!$N46,if(FZ3='Quick Setup'!$O$45,'Quick Setup'!$O46,if(FZ3='Quick Setup'!$P$45,'Quick Setup'!$P46,if(FZ3='Quick Setup'!$Q$45,'Quick Setup'!$Q46,if(FZ3='Quick Setup'!$R$45,'Quick Setup'!$R46,if(FZ3='Quick Setup'!$S$45,'Quick Setup'!$S46,if(FZ3='Quick Setup'!$T$45,'Quick Setup'!$T46,if(FZ3='Quick Setup'!$U$45,'Quick Setup'!$U46,if(FZ3='Quick Setup'!$V$45,'Quick Setup'!$V46,'Quick Setup'!$W46))))))))))))))))))))</f>
        <v>1</v>
      </c>
      <c r="GC3" s="23">
        <f t="shared" ref="GC3:GK3" si="15">FQ3</f>
        <v>5</v>
      </c>
      <c r="GD3" s="24">
        <f t="shared" si="15"/>
        <v>-0.05</v>
      </c>
      <c r="GE3" s="24">
        <f t="shared" si="15"/>
        <v>-0.02</v>
      </c>
      <c r="GF3" s="24">
        <f t="shared" si="15"/>
        <v>0</v>
      </c>
      <c r="GG3" s="24">
        <f t="shared" si="15"/>
        <v>0.005</v>
      </c>
      <c r="GH3" s="24">
        <f t="shared" si="15"/>
        <v>0.01</v>
      </c>
      <c r="GI3" s="24">
        <f t="shared" si="15"/>
        <v>0.015</v>
      </c>
      <c r="GJ3" s="24">
        <f t="shared" si="15"/>
        <v>0.02</v>
      </c>
      <c r="GK3" s="24">
        <f t="shared" si="15"/>
        <v>0.03</v>
      </c>
      <c r="GL3" s="20">
        <f>'Quick Setup'!S60</f>
        <v>0.9</v>
      </c>
      <c r="GM3" s="21">
        <f>if(GL3='Quick Setup'!$C$31,'Quick Setup'!$C32,if(GL3='Quick Setup'!$D$31,'Quick Setup'!$D32,if(GL3='Quick Setup'!$E$31,'Quick Setup'!$E32,if(GL3='Quick Setup'!$F$31,'Quick Setup'!$F32,if(GL3='Quick Setup'!$G$31,'Quick Setup'!$G32,if(GL3='Quick Setup'!$H$31,'Quick Setup'!$H32,if(GL3='Quick Setup'!$I$31,'Quick Setup'!$I32,if(GL3='Quick Setup'!$J$31,'Quick Setup'!$J32,if(GL3='Quick Setup'!$K$31,'Quick Setup'!$K32,if(GL3='Quick Setup'!$L$31,'Quick Setup'!$L32,if(GL3='Quick Setup'!$M$31,'Quick Setup'!$M32,if(GL3='Quick Setup'!$N$31,'Quick Setup'!$N32,if(GL3='Quick Setup'!$O$31,'Quick Setup'!$O32,if(GL3='Quick Setup'!$P$31,'Quick Setup'!$P32,if(GL3='Quick Setup'!$Q$31,'Quick Setup'!$Q32,if(GL3='Quick Setup'!$R$31,'Quick Setup'!$R32,if(GL3='Quick Setup'!$S$31,'Quick Setup'!$S32,if(GL3='Quick Setup'!$T$31,'Quick Setup'!$T32,if(GL3='Quick Setup'!$U$31,'Quick Setup'!$U32,if(GL3='Quick Setup'!$V$31,'Quick Setup'!$V32,'Quick Setup'!$W32))))))))))))))))))))</f>
        <v>1</v>
      </c>
      <c r="GN3" s="21">
        <f>if(GL3='Quick Setup'!$C$45,'Quick Setup'!$C46,if(GL3='Quick Setup'!$D$45,'Quick Setup'!$D46,if(GL3='Quick Setup'!$E$45,'Quick Setup'!$E46,if(GL3='Quick Setup'!$F$45,'Quick Setup'!$F46,if(GL3='Quick Setup'!$G$45,'Quick Setup'!$G46,if(GL3='Quick Setup'!$H$45,'Quick Setup'!$H46,if(GL3='Quick Setup'!$I$45,'Quick Setup'!$I46,if(GL3='Quick Setup'!$J$45,'Quick Setup'!$J46,if(GL3='Quick Setup'!$K$45,'Quick Setup'!$K46,if(GL3='Quick Setup'!$L$45,'Quick Setup'!$L46,if(GL3='Quick Setup'!$M$45,'Quick Setup'!$M46,if(GL3='Quick Setup'!$N$45,'Quick Setup'!$N46,if(GL3='Quick Setup'!$O$45,'Quick Setup'!$O46,if(GL3='Quick Setup'!$P$45,'Quick Setup'!$P46,if(GL3='Quick Setup'!$Q$45,'Quick Setup'!$Q46,if(GL3='Quick Setup'!$R$45,'Quick Setup'!$R46,if(GL3='Quick Setup'!$S$45,'Quick Setup'!$S46,if(GL3='Quick Setup'!$T$45,'Quick Setup'!$T46,if(GL3='Quick Setup'!$U$45,'Quick Setup'!$U46,if(GL3='Quick Setup'!$V$45,'Quick Setup'!$V46,'Quick Setup'!$W46))))))))))))))))))))</f>
        <v>1</v>
      </c>
      <c r="GO3" s="23">
        <f t="shared" ref="GO3:GW3" si="16">GC3</f>
        <v>5</v>
      </c>
      <c r="GP3" s="24">
        <f t="shared" si="16"/>
        <v>-0.05</v>
      </c>
      <c r="GQ3" s="24">
        <f t="shared" si="16"/>
        <v>-0.02</v>
      </c>
      <c r="GR3" s="24">
        <f t="shared" si="16"/>
        <v>0</v>
      </c>
      <c r="GS3" s="24">
        <f t="shared" si="16"/>
        <v>0.005</v>
      </c>
      <c r="GT3" s="24">
        <f t="shared" si="16"/>
        <v>0.01</v>
      </c>
      <c r="GU3" s="24">
        <f t="shared" si="16"/>
        <v>0.015</v>
      </c>
      <c r="GV3" s="24">
        <f t="shared" si="16"/>
        <v>0.02</v>
      </c>
      <c r="GW3" s="24">
        <f t="shared" si="16"/>
        <v>0.03</v>
      </c>
      <c r="GX3" s="20">
        <f>'Quick Setup'!T60</f>
        <v>0.85</v>
      </c>
      <c r="GY3" s="21">
        <f>if(GX3='Quick Setup'!$C$31,'Quick Setup'!$C32,if(GX3='Quick Setup'!$D$31,'Quick Setup'!$D32,if(GX3='Quick Setup'!$E$31,'Quick Setup'!$E32,if(GX3='Quick Setup'!$F$31,'Quick Setup'!$F32,if(GX3='Quick Setup'!$G$31,'Quick Setup'!$G32,if(GX3='Quick Setup'!$H$31,'Quick Setup'!$H32,if(GX3='Quick Setup'!$I$31,'Quick Setup'!$I32,if(GX3='Quick Setup'!$J$31,'Quick Setup'!$J32,if(GX3='Quick Setup'!$K$31,'Quick Setup'!$K32,if(GX3='Quick Setup'!$L$31,'Quick Setup'!$L32,if(GX3='Quick Setup'!$M$31,'Quick Setup'!$M32,if(GX3='Quick Setup'!$N$31,'Quick Setup'!$N32,if(GX3='Quick Setup'!$O$31,'Quick Setup'!$O32,if(GX3='Quick Setup'!$P$31,'Quick Setup'!$P32,if(GX3='Quick Setup'!$Q$31,'Quick Setup'!$Q32,if(GX3='Quick Setup'!$R$31,'Quick Setup'!$R32,if(GX3='Quick Setup'!$S$31,'Quick Setup'!$S32,if(GX3='Quick Setup'!$T$31,'Quick Setup'!$T32,if(GX3='Quick Setup'!$U$31,'Quick Setup'!$U32,if(GX3='Quick Setup'!$V$31,'Quick Setup'!$V32,'Quick Setup'!$W32))))))))))))))))))))</f>
        <v>2</v>
      </c>
      <c r="GZ3" s="21">
        <f>if(GX3='Quick Setup'!$C$45,'Quick Setup'!$C46,if(GX3='Quick Setup'!$D$45,'Quick Setup'!$D46,if(GX3='Quick Setup'!$E$45,'Quick Setup'!$E46,if(GX3='Quick Setup'!$F$45,'Quick Setup'!$F46,if(GX3='Quick Setup'!$G$45,'Quick Setup'!$G46,if(GX3='Quick Setup'!$H$45,'Quick Setup'!$H46,if(GX3='Quick Setup'!$I$45,'Quick Setup'!$I46,if(GX3='Quick Setup'!$J$45,'Quick Setup'!$J46,if(GX3='Quick Setup'!$K$45,'Quick Setup'!$K46,if(GX3='Quick Setup'!$L$45,'Quick Setup'!$L46,if(GX3='Quick Setup'!$M$45,'Quick Setup'!$M46,if(GX3='Quick Setup'!$N$45,'Quick Setup'!$N46,if(GX3='Quick Setup'!$O$45,'Quick Setup'!$O46,if(GX3='Quick Setup'!$P$45,'Quick Setup'!$P46,if(GX3='Quick Setup'!$Q$45,'Quick Setup'!$Q46,if(GX3='Quick Setup'!$R$45,'Quick Setup'!$R46,if(GX3='Quick Setup'!$S$45,'Quick Setup'!$S46,if(GX3='Quick Setup'!$T$45,'Quick Setup'!$T46,if(GX3='Quick Setup'!$U$45,'Quick Setup'!$U46,if(GX3='Quick Setup'!$V$45,'Quick Setup'!$V46,'Quick Setup'!$W46))))))))))))))))))))</f>
        <v>1</v>
      </c>
      <c r="HA3" s="23">
        <f t="shared" ref="HA3:HI3" si="17">GO3</f>
        <v>5</v>
      </c>
      <c r="HB3" s="24">
        <f t="shared" si="17"/>
        <v>-0.05</v>
      </c>
      <c r="HC3" s="24">
        <f t="shared" si="17"/>
        <v>-0.02</v>
      </c>
      <c r="HD3" s="24">
        <f t="shared" si="17"/>
        <v>0</v>
      </c>
      <c r="HE3" s="24">
        <f t="shared" si="17"/>
        <v>0.005</v>
      </c>
      <c r="HF3" s="24">
        <f t="shared" si="17"/>
        <v>0.01</v>
      </c>
      <c r="HG3" s="24">
        <f t="shared" si="17"/>
        <v>0.015</v>
      </c>
      <c r="HH3" s="24">
        <f t="shared" si="17"/>
        <v>0.02</v>
      </c>
      <c r="HI3" s="24">
        <f t="shared" si="17"/>
        <v>0.03</v>
      </c>
      <c r="HJ3" s="20">
        <f>'Quick Setup'!U60</f>
        <v>0.9</v>
      </c>
      <c r="HK3" s="21">
        <f>if(HJ3='Quick Setup'!$C$31,'Quick Setup'!$C32,if(HJ3='Quick Setup'!$D$31,'Quick Setup'!$D32,if(HJ3='Quick Setup'!$E$31,'Quick Setup'!$E32,if(HJ3='Quick Setup'!$F$31,'Quick Setup'!$F32,if(HJ3='Quick Setup'!$G$31,'Quick Setup'!$G32,if(HJ3='Quick Setup'!$H$31,'Quick Setup'!$H32,if(HJ3='Quick Setup'!$I$31,'Quick Setup'!$I32,if(HJ3='Quick Setup'!$J$31,'Quick Setup'!$J32,if(HJ3='Quick Setup'!$K$31,'Quick Setup'!$K32,if(HJ3='Quick Setup'!$L$31,'Quick Setup'!$L32,if(HJ3='Quick Setup'!$M$31,'Quick Setup'!$M32,if(HJ3='Quick Setup'!$N$31,'Quick Setup'!$N32,if(HJ3='Quick Setup'!$O$31,'Quick Setup'!$O32,if(HJ3='Quick Setup'!$P$31,'Quick Setup'!$P32,if(HJ3='Quick Setup'!$Q$31,'Quick Setup'!$Q32,if(HJ3='Quick Setup'!$R$31,'Quick Setup'!$R32,if(HJ3='Quick Setup'!$S$31,'Quick Setup'!$S32,if(HJ3='Quick Setup'!$T$31,'Quick Setup'!$T32,if(HJ3='Quick Setup'!$U$31,'Quick Setup'!$U32,if(HJ3='Quick Setup'!$V$31,'Quick Setup'!$V32,'Quick Setup'!$W32))))))))))))))))))))</f>
        <v>1</v>
      </c>
      <c r="HL3" s="21">
        <f>if(HJ3='Quick Setup'!$C$45,'Quick Setup'!$C46,if(HJ3='Quick Setup'!$D$45,'Quick Setup'!$D46,if(HJ3='Quick Setup'!$E$45,'Quick Setup'!$E46,if(HJ3='Quick Setup'!$F$45,'Quick Setup'!$F46,if(HJ3='Quick Setup'!$G$45,'Quick Setup'!$G46,if(HJ3='Quick Setup'!$H$45,'Quick Setup'!$H46,if(HJ3='Quick Setup'!$I$45,'Quick Setup'!$I46,if(HJ3='Quick Setup'!$J$45,'Quick Setup'!$J46,if(HJ3='Quick Setup'!$K$45,'Quick Setup'!$K46,if(HJ3='Quick Setup'!$L$45,'Quick Setup'!$L46,if(HJ3='Quick Setup'!$M$45,'Quick Setup'!$M46,if(HJ3='Quick Setup'!$N$45,'Quick Setup'!$N46,if(HJ3='Quick Setup'!$O$45,'Quick Setup'!$O46,if(HJ3='Quick Setup'!$P$45,'Quick Setup'!$P46,if(HJ3='Quick Setup'!$Q$45,'Quick Setup'!$Q46,if(HJ3='Quick Setup'!$R$45,'Quick Setup'!$R46,if(HJ3='Quick Setup'!$S$45,'Quick Setup'!$S46,if(HJ3='Quick Setup'!$T$45,'Quick Setup'!$T46,if(HJ3='Quick Setup'!$U$45,'Quick Setup'!$U46,if(HJ3='Quick Setup'!$V$45,'Quick Setup'!$V46,'Quick Setup'!$W46))))))))))))))))))))</f>
        <v>1</v>
      </c>
      <c r="HM3" s="23">
        <f t="shared" ref="HM3:HU3" si="18">HA3</f>
        <v>5</v>
      </c>
      <c r="HN3" s="24">
        <f t="shared" si="18"/>
        <v>-0.05</v>
      </c>
      <c r="HO3" s="24">
        <f t="shared" si="18"/>
        <v>-0.02</v>
      </c>
      <c r="HP3" s="24">
        <f t="shared" si="18"/>
        <v>0</v>
      </c>
      <c r="HQ3" s="24">
        <f t="shared" si="18"/>
        <v>0.005</v>
      </c>
      <c r="HR3" s="24">
        <f t="shared" si="18"/>
        <v>0.01</v>
      </c>
      <c r="HS3" s="24">
        <f t="shared" si="18"/>
        <v>0.015</v>
      </c>
      <c r="HT3" s="24">
        <f t="shared" si="18"/>
        <v>0.02</v>
      </c>
      <c r="HU3" s="24">
        <f t="shared" si="18"/>
        <v>0.03</v>
      </c>
      <c r="HV3" s="20">
        <f>'Quick Setup'!V60</f>
        <v>0.95</v>
      </c>
      <c r="HW3" s="21">
        <f>if(HV3='Quick Setup'!$C$31,'Quick Setup'!$C32,if(HV3='Quick Setup'!$D$31,'Quick Setup'!$D32,if(HV3='Quick Setup'!$E$31,'Quick Setup'!$E32,if(HV3='Quick Setup'!$F$31,'Quick Setup'!$F32,if(HV3='Quick Setup'!$G$31,'Quick Setup'!$G32,if(HV3='Quick Setup'!$H$31,'Quick Setup'!$H32,if(HV3='Quick Setup'!$I$31,'Quick Setup'!$I32,if(HV3='Quick Setup'!$J$31,'Quick Setup'!$J32,if(HV3='Quick Setup'!$K$31,'Quick Setup'!$K32,if(HV3='Quick Setup'!$L$31,'Quick Setup'!$L32,if(HV3='Quick Setup'!$M$31,'Quick Setup'!$M32,if(HV3='Quick Setup'!$N$31,'Quick Setup'!$N32,if(HV3='Quick Setup'!$O$31,'Quick Setup'!$O32,if(HV3='Quick Setup'!$P$31,'Quick Setup'!$P32,if(HV3='Quick Setup'!$Q$31,'Quick Setup'!$Q32,if(HV3='Quick Setup'!$R$31,'Quick Setup'!$R32,if(HV3='Quick Setup'!$S$31,'Quick Setup'!$S32,if(HV3='Quick Setup'!$T$31,'Quick Setup'!$T32,if(HV3='Quick Setup'!$U$31,'Quick Setup'!$U32,if(HV3='Quick Setup'!$V$31,'Quick Setup'!$V32,'Quick Setup'!$W32))))))))))))))))))))</f>
        <v>1</v>
      </c>
      <c r="HX3" s="21">
        <f>if(HV3='Quick Setup'!$C$45,'Quick Setup'!$C46,if(HV3='Quick Setup'!$D$45,'Quick Setup'!$D46,if(HV3='Quick Setup'!$E$45,'Quick Setup'!$E46,if(HV3='Quick Setup'!$F$45,'Quick Setup'!$F46,if(HV3='Quick Setup'!$G$45,'Quick Setup'!$G46,if(HV3='Quick Setup'!$H$45,'Quick Setup'!$H46,if(HV3='Quick Setup'!$I$45,'Quick Setup'!$I46,if(HV3='Quick Setup'!$J$45,'Quick Setup'!$J46,if(HV3='Quick Setup'!$K$45,'Quick Setup'!$K46,if(HV3='Quick Setup'!$L$45,'Quick Setup'!$L46,if(HV3='Quick Setup'!$M$45,'Quick Setup'!$M46,if(HV3='Quick Setup'!$N$45,'Quick Setup'!$N46,if(HV3='Quick Setup'!$O$45,'Quick Setup'!$O46,if(HV3='Quick Setup'!$P$45,'Quick Setup'!$P46,if(HV3='Quick Setup'!$Q$45,'Quick Setup'!$Q46,if(HV3='Quick Setup'!$R$45,'Quick Setup'!$R46,if(HV3='Quick Setup'!$S$45,'Quick Setup'!$S46,if(HV3='Quick Setup'!$T$45,'Quick Setup'!$T46,if(HV3='Quick Setup'!$U$45,'Quick Setup'!$U46,if(HV3='Quick Setup'!$V$45,'Quick Setup'!$V46,'Quick Setup'!$W46))))))))))))))))))))</f>
        <v>1</v>
      </c>
      <c r="HY3" s="23">
        <f t="shared" ref="HY3:IG3" si="19">HM3</f>
        <v>5</v>
      </c>
      <c r="HZ3" s="24">
        <f t="shared" si="19"/>
        <v>-0.05</v>
      </c>
      <c r="IA3" s="24">
        <f t="shared" si="19"/>
        <v>-0.02</v>
      </c>
      <c r="IB3" s="24">
        <f t="shared" si="19"/>
        <v>0</v>
      </c>
      <c r="IC3" s="24">
        <f t="shared" si="19"/>
        <v>0.005</v>
      </c>
      <c r="ID3" s="24">
        <f t="shared" si="19"/>
        <v>0.01</v>
      </c>
      <c r="IE3" s="24">
        <f t="shared" si="19"/>
        <v>0.015</v>
      </c>
      <c r="IF3" s="24">
        <f t="shared" si="19"/>
        <v>0.02</v>
      </c>
      <c r="IG3" s="24">
        <f t="shared" si="19"/>
        <v>0.03</v>
      </c>
      <c r="IH3" s="20">
        <f>'Quick Setup'!W60</f>
        <v>0.6</v>
      </c>
      <c r="II3" s="21">
        <f>if(IH3='Quick Setup'!$C$31,'Quick Setup'!$C32,if(IH3='Quick Setup'!$D$31,'Quick Setup'!$D32,if(IH3='Quick Setup'!$E$31,'Quick Setup'!$E32,if(IH3='Quick Setup'!$F$31,'Quick Setup'!$F32,if(IH3='Quick Setup'!$G$31,'Quick Setup'!$G32,if(IH3='Quick Setup'!$H$31,'Quick Setup'!$H32,if(IH3='Quick Setup'!$I$31,'Quick Setup'!$I32,if(IH3='Quick Setup'!$J$31,'Quick Setup'!$J32,if(IH3='Quick Setup'!$K$31,'Quick Setup'!$K32,if(IH3='Quick Setup'!$L$31,'Quick Setup'!$L32,if(IH3='Quick Setup'!$M$31,'Quick Setup'!$M32,if(IH3='Quick Setup'!$N$31,'Quick Setup'!$N32,if(IH3='Quick Setup'!$O$31,'Quick Setup'!$O32,if(IH3='Quick Setup'!$P$31,'Quick Setup'!$P32,if(IH3='Quick Setup'!$Q$31,'Quick Setup'!$Q32,if(IH3='Quick Setup'!$R$31,'Quick Setup'!$R32,if(IH3='Quick Setup'!$S$31,'Quick Setup'!$S32,if(IH3='Quick Setup'!$T$31,'Quick Setup'!$T32,if(IH3='Quick Setup'!$U$31,'Quick Setup'!$U32,if(IH3='Quick Setup'!$V$31,'Quick Setup'!$V32,'Quick Setup'!$W32))))))))))))))))))))</f>
        <v>7</v>
      </c>
      <c r="IJ3" s="21">
        <f>if(IH3='Quick Setup'!$C$45,'Quick Setup'!$C46,if(IH3='Quick Setup'!$D$45,'Quick Setup'!$D46,if(IH3='Quick Setup'!$E$45,'Quick Setup'!$E46,if(IH3='Quick Setup'!$F$45,'Quick Setup'!$F46,if(IH3='Quick Setup'!$G$45,'Quick Setup'!$G46,if(IH3='Quick Setup'!$H$45,'Quick Setup'!$H46,if(IH3='Quick Setup'!$I$45,'Quick Setup'!$I46,if(IH3='Quick Setup'!$J$45,'Quick Setup'!$J46,if(IH3='Quick Setup'!$K$45,'Quick Setup'!$K46,if(IH3='Quick Setup'!$L$45,'Quick Setup'!$L46,if(IH3='Quick Setup'!$M$45,'Quick Setup'!$M46,if(IH3='Quick Setup'!$N$45,'Quick Setup'!$N46,if(IH3='Quick Setup'!$O$45,'Quick Setup'!$O46,if(IH3='Quick Setup'!$P$45,'Quick Setup'!$P46,if(IH3='Quick Setup'!$Q$45,'Quick Setup'!$Q46,if(IH3='Quick Setup'!$R$45,'Quick Setup'!$R46,if(IH3='Quick Setup'!$S$45,'Quick Setup'!$S46,if(IH3='Quick Setup'!$T$45,'Quick Setup'!$T46,if(IH3='Quick Setup'!$U$45,'Quick Setup'!$U46,if(IH3='Quick Setup'!$V$45,'Quick Setup'!$V46,'Quick Setup'!$W46))))))))))))))))))))</f>
        <v>3</v>
      </c>
      <c r="IK3" s="23">
        <f t="shared" ref="IK3:IS3" si="20">HY3</f>
        <v>5</v>
      </c>
      <c r="IL3" s="24">
        <f t="shared" si="20"/>
        <v>-0.05</v>
      </c>
      <c r="IM3" s="24">
        <f t="shared" si="20"/>
        <v>-0.02</v>
      </c>
      <c r="IN3" s="24">
        <f t="shared" si="20"/>
        <v>0</v>
      </c>
      <c r="IO3" s="24">
        <f t="shared" si="20"/>
        <v>0.005</v>
      </c>
      <c r="IP3" s="24">
        <f t="shared" si="20"/>
        <v>0.01</v>
      </c>
      <c r="IQ3" s="24">
        <f t="shared" si="20"/>
        <v>0.015</v>
      </c>
      <c r="IR3" s="24">
        <f t="shared" si="20"/>
        <v>0.02</v>
      </c>
      <c r="IS3" s="24">
        <f t="shared" si="20"/>
        <v>0.03</v>
      </c>
    </row>
    <row r="4">
      <c r="A4" t="str">
        <f>'Quick Setup'!C6</f>
        <v>Bench Press</v>
      </c>
      <c r="B4" s="20">
        <f>'Quick Setup'!C61</f>
        <v>0.7</v>
      </c>
      <c r="C4" s="21">
        <f>if(B4='Quick Setup'!$C$31,'Quick Setup'!$C33,if(B4='Quick Setup'!$D$31,'Quick Setup'!$D33,if(B4='Quick Setup'!$E$31,'Quick Setup'!$E33,if(B4='Quick Setup'!$F$31,'Quick Setup'!$F33,if(B4='Quick Setup'!$G$31,'Quick Setup'!$G33,if(B4='Quick Setup'!$H$31,'Quick Setup'!$H33,if(B4='Quick Setup'!$I$31,'Quick Setup'!$I33,if(B4='Quick Setup'!$J$31,'Quick Setup'!$J33,if(B4='Quick Setup'!$K$31,'Quick Setup'!$K33,if(B4='Quick Setup'!$L$31,'Quick Setup'!$L33,if(B4='Quick Setup'!$M$31,'Quick Setup'!$M33,if(B4='Quick Setup'!$N$31,'Quick Setup'!$N33,if(B4='Quick Setup'!$O$31,'Quick Setup'!$O33,if(B4='Quick Setup'!$P$31,'Quick Setup'!$P33,if(B4='Quick Setup'!$Q$31,'Quick Setup'!$Q33,if(B4='Quick Setup'!$R$31,'Quick Setup'!$R33,if(B4='Quick Setup'!$S$31,'Quick Setup'!$S33,if(B4='Quick Setup'!$T$31,'Quick Setup'!$T33,if(B4='Quick Setup'!$U$31,'Quick Setup'!$U33,if(B4='Quick Setup'!$V$31,'Quick Setup'!$V33,'Quick Setup'!$W33))))))))))))))))))))</f>
        <v>5</v>
      </c>
      <c r="D4" s="21">
        <f>if(B4='Quick Setup'!$C$45,'Quick Setup'!$C47,if(B4='Quick Setup'!$D$45,'Quick Setup'!$D47,if(B4='Quick Setup'!$E$45,'Quick Setup'!$E47,if(B4='Quick Setup'!$F$45,'Quick Setup'!$F47,if(B4='Quick Setup'!$G$45,'Quick Setup'!$G47,if(B4='Quick Setup'!$H$45,'Quick Setup'!$H47,if(B4='Quick Setup'!$I$45,'Quick Setup'!$I47,if(B4='Quick Setup'!$J$45,'Quick Setup'!$J47,if(B4='Quick Setup'!$K$45,'Quick Setup'!$K47,if(B4='Quick Setup'!$L$45,'Quick Setup'!$L47,if(B4='Quick Setup'!$M$45,'Quick Setup'!$M47,if(B4='Quick Setup'!$N$45,'Quick Setup'!$N47,if(B4='Quick Setup'!$O$45,'Quick Setup'!$O47,if(B4='Quick Setup'!$P$45,'Quick Setup'!$P47,if(B4='Quick Setup'!$Q$45,'Quick Setup'!$Q47,if(B4='Quick Setup'!$R$45,'Quick Setup'!$R47,if(B4='Quick Setup'!$S$45,'Quick Setup'!$S47,if(B4='Quick Setup'!$T$45,'Quick Setup'!$T47,if(B4='Quick Setup'!$U$45,'Quick Setup'!$U47,if(B4='Quick Setup'!$V$45,'Quick Setup'!$V47,'Quick Setup'!$W47))))))))))))))))))))</f>
        <v>3</v>
      </c>
      <c r="E4" s="21">
        <f>'Quick Setup'!H7</f>
        <v>5</v>
      </c>
      <c r="F4" s="22">
        <f>'Quick Setup'!I7</f>
        <v>-0.05</v>
      </c>
      <c r="G4" s="22">
        <f>'Quick Setup'!J7</f>
        <v>-0.02</v>
      </c>
      <c r="H4" s="22">
        <f>'Quick Setup'!K7</f>
        <v>0</v>
      </c>
      <c r="I4" s="22">
        <f>'Quick Setup'!L7</f>
        <v>0.005</v>
      </c>
      <c r="J4" s="22">
        <f>'Quick Setup'!M7</f>
        <v>0.01</v>
      </c>
      <c r="K4" s="22">
        <f>'Quick Setup'!N7</f>
        <v>0.015</v>
      </c>
      <c r="L4" s="22">
        <f>'Quick Setup'!O7</f>
        <v>0.02</v>
      </c>
      <c r="M4" s="22">
        <f>'Quick Setup'!P7</f>
        <v>0.03</v>
      </c>
      <c r="N4" s="20">
        <f>'Quick Setup'!D61</f>
        <v>0.75</v>
      </c>
      <c r="O4" s="21">
        <f>if(N4='Quick Setup'!$C$31,'Quick Setup'!$C33,if(N4='Quick Setup'!$D$31,'Quick Setup'!$D33,if(N4='Quick Setup'!$E$31,'Quick Setup'!$E33,if(N4='Quick Setup'!$F$31,'Quick Setup'!$F33,if(N4='Quick Setup'!$G$31,'Quick Setup'!$G33,if(N4='Quick Setup'!$H$31,'Quick Setup'!$H33,if(N4='Quick Setup'!$I$31,'Quick Setup'!$I33,if(N4='Quick Setup'!$J$31,'Quick Setup'!$J33,if(N4='Quick Setup'!$K$31,'Quick Setup'!$K33,if(N4='Quick Setup'!$L$31,'Quick Setup'!$L33,if(N4='Quick Setup'!$M$31,'Quick Setup'!$M33,if(N4='Quick Setup'!$N$31,'Quick Setup'!$N33,if(N4='Quick Setup'!$O$31,'Quick Setup'!$O33,if(N4='Quick Setup'!$P$31,'Quick Setup'!$P33,if(N4='Quick Setup'!$Q$31,'Quick Setup'!$Q33,if(N4='Quick Setup'!$R$31,'Quick Setup'!$R33,if(N4='Quick Setup'!$S$31,'Quick Setup'!$S33,if(N4='Quick Setup'!$T$31,'Quick Setup'!$T33,if(N4='Quick Setup'!$U$31,'Quick Setup'!$U33,if(N4='Quick Setup'!$V$31,'Quick Setup'!$V33,'Quick Setup'!$W33))))))))))))))))))))</f>
        <v>4</v>
      </c>
      <c r="P4" s="21">
        <f>if(N4='Quick Setup'!$C$45,'Quick Setup'!$C47,if(N4='Quick Setup'!$D$45,'Quick Setup'!$D47,if(N4='Quick Setup'!$E$45,'Quick Setup'!$E47,if(N4='Quick Setup'!$F$45,'Quick Setup'!$F47,if(N4='Quick Setup'!$G$45,'Quick Setup'!$G47,if(N4='Quick Setup'!$H$45,'Quick Setup'!$H47,if(N4='Quick Setup'!$I$45,'Quick Setup'!$I47,if(N4='Quick Setup'!$J$45,'Quick Setup'!$J47,if(N4='Quick Setup'!$K$45,'Quick Setup'!$K47,if(N4='Quick Setup'!$L$45,'Quick Setup'!$L47,if(N4='Quick Setup'!$M$45,'Quick Setup'!$M47,if(N4='Quick Setup'!$N$45,'Quick Setup'!$N47,if(N4='Quick Setup'!$O$45,'Quick Setup'!$O47,if(N4='Quick Setup'!$P$45,'Quick Setup'!$P47,if(N4='Quick Setup'!$Q$45,'Quick Setup'!$Q47,if(N4='Quick Setup'!$R$45,'Quick Setup'!$R47,if(N4='Quick Setup'!$S$45,'Quick Setup'!$S47,if(N4='Quick Setup'!$T$45,'Quick Setup'!$T47,if(N4='Quick Setup'!$U$45,'Quick Setup'!$U47,if(N4='Quick Setup'!$V$45,'Quick Setup'!$V47,'Quick Setup'!$W47))))))))))))))))))))</f>
        <v>2</v>
      </c>
      <c r="Q4" s="21">
        <f t="shared" ref="Q4:Y4" si="21">E4</f>
        <v>5</v>
      </c>
      <c r="R4" s="22">
        <f t="shared" si="21"/>
        <v>-0.05</v>
      </c>
      <c r="S4" s="22">
        <f t="shared" si="21"/>
        <v>-0.02</v>
      </c>
      <c r="T4" s="22">
        <f t="shared" si="21"/>
        <v>0</v>
      </c>
      <c r="U4" s="22">
        <f t="shared" si="21"/>
        <v>0.005</v>
      </c>
      <c r="V4" s="22">
        <f t="shared" si="21"/>
        <v>0.01</v>
      </c>
      <c r="W4" s="22">
        <f t="shared" si="21"/>
        <v>0.015</v>
      </c>
      <c r="X4" s="22">
        <f t="shared" si="21"/>
        <v>0.02</v>
      </c>
      <c r="Y4" s="22">
        <f t="shared" si="21"/>
        <v>0.03</v>
      </c>
      <c r="Z4" s="20">
        <f>'Quick Setup'!E61</f>
        <v>0.8</v>
      </c>
      <c r="AA4" s="21">
        <f>if(Z4='Quick Setup'!$C$31,'Quick Setup'!$C33,if(Z4='Quick Setup'!$D$31,'Quick Setup'!$D33,if(Z4='Quick Setup'!$E$31,'Quick Setup'!$E33,if(Z4='Quick Setup'!$F$31,'Quick Setup'!$F33,if(Z4='Quick Setup'!$G$31,'Quick Setup'!$G33,if(Z4='Quick Setup'!$H$31,'Quick Setup'!$H33,if(Z4='Quick Setup'!$I$31,'Quick Setup'!$I33,if(Z4='Quick Setup'!$J$31,'Quick Setup'!$J33,if(Z4='Quick Setup'!$K$31,'Quick Setup'!$K33,if(Z4='Quick Setup'!$L$31,'Quick Setup'!$L33,if(Z4='Quick Setup'!$M$31,'Quick Setup'!$M33,if(Z4='Quick Setup'!$N$31,'Quick Setup'!$N33,if(Z4='Quick Setup'!$O$31,'Quick Setup'!$O33,if(Z4='Quick Setup'!$P$31,'Quick Setup'!$P33,if(Z4='Quick Setup'!$Q$31,'Quick Setup'!$Q33,if(Z4='Quick Setup'!$R$31,'Quick Setup'!$R33,if(Z4='Quick Setup'!$S$31,'Quick Setup'!$S33,if(Z4='Quick Setup'!$T$31,'Quick Setup'!$T33,if(Z4='Quick Setup'!$U$31,'Quick Setup'!$U33,if(Z4='Quick Setup'!$V$31,'Quick Setup'!$V33,'Quick Setup'!$W33))))))))))))))))))))</f>
        <v>3</v>
      </c>
      <c r="AB4" s="21">
        <f>if(Z4='Quick Setup'!$C$45,'Quick Setup'!$C47,if(Z4='Quick Setup'!$D$45,'Quick Setup'!$D47,if(Z4='Quick Setup'!$E$45,'Quick Setup'!$E47,if(Z4='Quick Setup'!$F$45,'Quick Setup'!$F47,if(Z4='Quick Setup'!$G$45,'Quick Setup'!$G47,if(Z4='Quick Setup'!$H$45,'Quick Setup'!$H47,if(Z4='Quick Setup'!$I$45,'Quick Setup'!$I47,if(Z4='Quick Setup'!$J$45,'Quick Setup'!$J47,if(Z4='Quick Setup'!$K$45,'Quick Setup'!$K47,if(Z4='Quick Setup'!$L$45,'Quick Setup'!$L47,if(Z4='Quick Setup'!$M$45,'Quick Setup'!$M47,if(Z4='Quick Setup'!$N$45,'Quick Setup'!$N47,if(Z4='Quick Setup'!$O$45,'Quick Setup'!$O47,if(Z4='Quick Setup'!$P$45,'Quick Setup'!$P47,if(Z4='Quick Setup'!$Q$45,'Quick Setup'!$Q47,if(Z4='Quick Setup'!$R$45,'Quick Setup'!$R47,if(Z4='Quick Setup'!$S$45,'Quick Setup'!$S47,if(Z4='Quick Setup'!$T$45,'Quick Setup'!$T47,if(Z4='Quick Setup'!$U$45,'Quick Setup'!$U47,if(Z4='Quick Setup'!$V$45,'Quick Setup'!$V47,'Quick Setup'!$W47))))))))))))))))))))</f>
        <v>2</v>
      </c>
      <c r="AC4" s="21">
        <f t="shared" ref="AC4:AK4" si="22">Q4</f>
        <v>5</v>
      </c>
      <c r="AD4" s="22">
        <f t="shared" si="22"/>
        <v>-0.05</v>
      </c>
      <c r="AE4" s="22">
        <f t="shared" si="22"/>
        <v>-0.02</v>
      </c>
      <c r="AF4" s="22">
        <f t="shared" si="22"/>
        <v>0</v>
      </c>
      <c r="AG4" s="22">
        <f t="shared" si="22"/>
        <v>0.005</v>
      </c>
      <c r="AH4" s="22">
        <f t="shared" si="22"/>
        <v>0.01</v>
      </c>
      <c r="AI4" s="22">
        <f t="shared" si="22"/>
        <v>0.015</v>
      </c>
      <c r="AJ4" s="22">
        <f t="shared" si="22"/>
        <v>0.02</v>
      </c>
      <c r="AK4" s="22">
        <f t="shared" si="22"/>
        <v>0.03</v>
      </c>
      <c r="AL4" s="20">
        <f>'Quick Setup'!F61</f>
        <v>0.725</v>
      </c>
      <c r="AM4" s="21">
        <f>if(AL4='Quick Setup'!$C$31,'Quick Setup'!$C33,if(AL4='Quick Setup'!$D$31,'Quick Setup'!$D33,if(AL4='Quick Setup'!$E$31,'Quick Setup'!$E33,if(AL4='Quick Setup'!$F$31,'Quick Setup'!$F33,if(AL4='Quick Setup'!$G$31,'Quick Setup'!$G33,if(AL4='Quick Setup'!$H$31,'Quick Setup'!$H33,if(AL4='Quick Setup'!$I$31,'Quick Setup'!$I33,if(AL4='Quick Setup'!$J$31,'Quick Setup'!$J33,if(AL4='Quick Setup'!$K$31,'Quick Setup'!$K33,if(AL4='Quick Setup'!$L$31,'Quick Setup'!$L33,if(AL4='Quick Setup'!$M$31,'Quick Setup'!$M33,if(AL4='Quick Setup'!$N$31,'Quick Setup'!$N33,if(AL4='Quick Setup'!$O$31,'Quick Setup'!$O33,if(AL4='Quick Setup'!$P$31,'Quick Setup'!$P33,if(AL4='Quick Setup'!$Q$31,'Quick Setup'!$Q33,if(AL4='Quick Setup'!$R$31,'Quick Setup'!$R33,if(AL4='Quick Setup'!$S$31,'Quick Setup'!$S33,if(AL4='Quick Setup'!$T$31,'Quick Setup'!$T33,if(AL4='Quick Setup'!$U$31,'Quick Setup'!$U33,if(AL4='Quick Setup'!$V$31,'Quick Setup'!$V33,'Quick Setup'!$W33))))))))))))))))))))</f>
        <v>5</v>
      </c>
      <c r="AN4" s="21">
        <f>if(AL4='Quick Setup'!$C$45,'Quick Setup'!$C47,if(AL4='Quick Setup'!$D$45,'Quick Setup'!$D47,if(AL4='Quick Setup'!$E$45,'Quick Setup'!$E47,if(AL4='Quick Setup'!$F$45,'Quick Setup'!$F47,if(AL4='Quick Setup'!$G$45,'Quick Setup'!$G47,if(AL4='Quick Setup'!$H$45,'Quick Setup'!$H47,if(AL4='Quick Setup'!$I$45,'Quick Setup'!$I47,if(AL4='Quick Setup'!$J$45,'Quick Setup'!$J47,if(AL4='Quick Setup'!$K$45,'Quick Setup'!$K47,if(AL4='Quick Setup'!$L$45,'Quick Setup'!$L47,if(AL4='Quick Setup'!$M$45,'Quick Setup'!$M47,if(AL4='Quick Setup'!$N$45,'Quick Setup'!$N47,if(AL4='Quick Setup'!$O$45,'Quick Setup'!$O47,if(AL4='Quick Setup'!$P$45,'Quick Setup'!$P47,if(AL4='Quick Setup'!$Q$45,'Quick Setup'!$Q47,if(AL4='Quick Setup'!$R$45,'Quick Setup'!$R47,if(AL4='Quick Setup'!$S$45,'Quick Setup'!$S47,if(AL4='Quick Setup'!$T$45,'Quick Setup'!$T47,if(AL4='Quick Setup'!$U$45,'Quick Setup'!$U47,if(AL4='Quick Setup'!$V$45,'Quick Setup'!$V47,'Quick Setup'!$W47))))))))))))))))))))</f>
        <v>3</v>
      </c>
      <c r="AO4" s="21">
        <f t="shared" ref="AO4:AW4" si="23">AC4</f>
        <v>5</v>
      </c>
      <c r="AP4" s="22">
        <f t="shared" si="23"/>
        <v>-0.05</v>
      </c>
      <c r="AQ4" s="22">
        <f t="shared" si="23"/>
        <v>-0.02</v>
      </c>
      <c r="AR4" s="22">
        <f t="shared" si="23"/>
        <v>0</v>
      </c>
      <c r="AS4" s="22">
        <f t="shared" si="23"/>
        <v>0.005</v>
      </c>
      <c r="AT4" s="22">
        <f t="shared" si="23"/>
        <v>0.01</v>
      </c>
      <c r="AU4" s="22">
        <f t="shared" si="23"/>
        <v>0.015</v>
      </c>
      <c r="AV4" s="22">
        <f t="shared" si="23"/>
        <v>0.02</v>
      </c>
      <c r="AW4" s="22">
        <f t="shared" si="23"/>
        <v>0.03</v>
      </c>
      <c r="AX4" s="20">
        <f>'Quick Setup'!G61</f>
        <v>0.775</v>
      </c>
      <c r="AY4" s="21">
        <f>if(AX4='Quick Setup'!$C$31,'Quick Setup'!$C33,if(AX4='Quick Setup'!$D$31,'Quick Setup'!$D33,if(AX4='Quick Setup'!$E$31,'Quick Setup'!$E33,if(AX4='Quick Setup'!$F$31,'Quick Setup'!$F33,if(AX4='Quick Setup'!$G$31,'Quick Setup'!$G33,if(AX4='Quick Setup'!$H$31,'Quick Setup'!$H33,if(AX4='Quick Setup'!$I$31,'Quick Setup'!$I33,if(AX4='Quick Setup'!$J$31,'Quick Setup'!$J33,if(AX4='Quick Setup'!$K$31,'Quick Setup'!$K33,if(AX4='Quick Setup'!$L$31,'Quick Setup'!$L33,if(AX4='Quick Setup'!$M$31,'Quick Setup'!$M33,if(AX4='Quick Setup'!$N$31,'Quick Setup'!$N33,if(AX4='Quick Setup'!$O$31,'Quick Setup'!$O33,if(AX4='Quick Setup'!$P$31,'Quick Setup'!$P33,if(AX4='Quick Setup'!$Q$31,'Quick Setup'!$Q33,if(AX4='Quick Setup'!$R$31,'Quick Setup'!$R33,if(AX4='Quick Setup'!$S$31,'Quick Setup'!$S33,if(AX4='Quick Setup'!$T$31,'Quick Setup'!$T33,if(AX4='Quick Setup'!$U$31,'Quick Setup'!$U33,if(AX4='Quick Setup'!$V$31,'Quick Setup'!$V33,'Quick Setup'!$W33))))))))))))))))))))</f>
        <v>4</v>
      </c>
      <c r="AZ4" s="21">
        <f>if(AX4='Quick Setup'!$C$45,'Quick Setup'!$C47,if(AX4='Quick Setup'!$D$45,'Quick Setup'!$D47,if(AX4='Quick Setup'!$E$45,'Quick Setup'!$E47,if(AX4='Quick Setup'!$F$45,'Quick Setup'!$F47,if(AX4='Quick Setup'!$G$45,'Quick Setup'!$G47,if(AX4='Quick Setup'!$H$45,'Quick Setup'!$H47,if(AX4='Quick Setup'!$I$45,'Quick Setup'!$I47,if(AX4='Quick Setup'!$J$45,'Quick Setup'!$J47,if(AX4='Quick Setup'!$K$45,'Quick Setup'!$K47,if(AX4='Quick Setup'!$L$45,'Quick Setup'!$L47,if(AX4='Quick Setup'!$M$45,'Quick Setup'!$M47,if(AX4='Quick Setup'!$N$45,'Quick Setup'!$N47,if(AX4='Quick Setup'!$O$45,'Quick Setup'!$O47,if(AX4='Quick Setup'!$P$45,'Quick Setup'!$P47,if(AX4='Quick Setup'!$Q$45,'Quick Setup'!$Q47,if(AX4='Quick Setup'!$R$45,'Quick Setup'!$R47,if(AX4='Quick Setup'!$S$45,'Quick Setup'!$S47,if(AX4='Quick Setup'!$T$45,'Quick Setup'!$T47,if(AX4='Quick Setup'!$U$45,'Quick Setup'!$U47,if(AX4='Quick Setup'!$V$45,'Quick Setup'!$V47,'Quick Setup'!$W47))))))))))))))))))))</f>
        <v>2</v>
      </c>
      <c r="BA4" s="21">
        <f t="shared" ref="BA4:BI4" si="24">AO4</f>
        <v>5</v>
      </c>
      <c r="BB4" s="22">
        <f t="shared" si="24"/>
        <v>-0.05</v>
      </c>
      <c r="BC4" s="22">
        <f t="shared" si="24"/>
        <v>-0.02</v>
      </c>
      <c r="BD4" s="22">
        <f t="shared" si="24"/>
        <v>0</v>
      </c>
      <c r="BE4" s="22">
        <f t="shared" si="24"/>
        <v>0.005</v>
      </c>
      <c r="BF4" s="22">
        <f t="shared" si="24"/>
        <v>0.01</v>
      </c>
      <c r="BG4" s="22">
        <f t="shared" si="24"/>
        <v>0.015</v>
      </c>
      <c r="BH4" s="22">
        <f t="shared" si="24"/>
        <v>0.02</v>
      </c>
      <c r="BI4" s="22">
        <f t="shared" si="24"/>
        <v>0.03</v>
      </c>
      <c r="BJ4" s="20">
        <f>'Quick Setup'!H61</f>
        <v>0.825</v>
      </c>
      <c r="BK4" s="21">
        <f>if(BJ4='Quick Setup'!$C$31,'Quick Setup'!$C33,if(BJ4='Quick Setup'!$D$31,'Quick Setup'!$D33,if(BJ4='Quick Setup'!$E$31,'Quick Setup'!$E33,if(BJ4='Quick Setup'!$F$31,'Quick Setup'!$F33,if(BJ4='Quick Setup'!$G$31,'Quick Setup'!$G33,if(BJ4='Quick Setup'!$H$31,'Quick Setup'!$H33,if(BJ4='Quick Setup'!$I$31,'Quick Setup'!$I33,if(BJ4='Quick Setup'!$J$31,'Quick Setup'!$J33,if(BJ4='Quick Setup'!$K$31,'Quick Setup'!$K33,if(BJ4='Quick Setup'!$L$31,'Quick Setup'!$L33,if(BJ4='Quick Setup'!$M$31,'Quick Setup'!$M33,if(BJ4='Quick Setup'!$N$31,'Quick Setup'!$N33,if(BJ4='Quick Setup'!$O$31,'Quick Setup'!$O33,if(BJ4='Quick Setup'!$P$31,'Quick Setup'!$P33,if(BJ4='Quick Setup'!$Q$31,'Quick Setup'!$Q33,if(BJ4='Quick Setup'!$R$31,'Quick Setup'!$R33,if(BJ4='Quick Setup'!$S$31,'Quick Setup'!$S33,if(BJ4='Quick Setup'!$T$31,'Quick Setup'!$T33,if(BJ4='Quick Setup'!$U$31,'Quick Setup'!$U33,if(BJ4='Quick Setup'!$V$31,'Quick Setup'!$V33,'Quick Setup'!$W33))))))))))))))))))))</f>
        <v>3</v>
      </c>
      <c r="BL4" s="21">
        <f>if(BJ4='Quick Setup'!$C$45,'Quick Setup'!$C47,if(BJ4='Quick Setup'!$D$45,'Quick Setup'!$D47,if(BJ4='Quick Setup'!$E$45,'Quick Setup'!$E47,if(BJ4='Quick Setup'!$F$45,'Quick Setup'!$F47,if(BJ4='Quick Setup'!$G$45,'Quick Setup'!$G47,if(BJ4='Quick Setup'!$H$45,'Quick Setup'!$H47,if(BJ4='Quick Setup'!$I$45,'Quick Setup'!$I47,if(BJ4='Quick Setup'!$J$45,'Quick Setup'!$J47,if(BJ4='Quick Setup'!$K$45,'Quick Setup'!$K47,if(BJ4='Quick Setup'!$L$45,'Quick Setup'!$L47,if(BJ4='Quick Setup'!$M$45,'Quick Setup'!$M47,if(BJ4='Quick Setup'!$N$45,'Quick Setup'!$N47,if(BJ4='Quick Setup'!$O$45,'Quick Setup'!$O47,if(BJ4='Quick Setup'!$P$45,'Quick Setup'!$P47,if(BJ4='Quick Setup'!$Q$45,'Quick Setup'!$Q47,if(BJ4='Quick Setup'!$R$45,'Quick Setup'!$R47,if(BJ4='Quick Setup'!$S$45,'Quick Setup'!$S47,if(BJ4='Quick Setup'!$T$45,'Quick Setup'!$T47,if(BJ4='Quick Setup'!$U$45,'Quick Setup'!$U47,if(BJ4='Quick Setup'!$V$45,'Quick Setup'!$V47,'Quick Setup'!$W47))))))))))))))))))))</f>
        <v>2</v>
      </c>
      <c r="BM4" s="23">
        <f t="shared" ref="BM4:BU4" si="25">BA4</f>
        <v>5</v>
      </c>
      <c r="BN4" s="24">
        <f t="shared" si="25"/>
        <v>-0.05</v>
      </c>
      <c r="BO4" s="24">
        <f t="shared" si="25"/>
        <v>-0.02</v>
      </c>
      <c r="BP4" s="24">
        <f t="shared" si="25"/>
        <v>0</v>
      </c>
      <c r="BQ4" s="24">
        <f t="shared" si="25"/>
        <v>0.005</v>
      </c>
      <c r="BR4" s="24">
        <f t="shared" si="25"/>
        <v>0.01</v>
      </c>
      <c r="BS4" s="24">
        <f t="shared" si="25"/>
        <v>0.015</v>
      </c>
      <c r="BT4" s="24">
        <f t="shared" si="25"/>
        <v>0.02</v>
      </c>
      <c r="BU4" s="24">
        <f t="shared" si="25"/>
        <v>0.03</v>
      </c>
      <c r="BV4" s="20">
        <f>'Quick Setup'!I61</f>
        <v>0.6</v>
      </c>
      <c r="BW4" s="21">
        <f>if(BV4='Quick Setup'!$C$31,'Quick Setup'!$C33,if(BV4='Quick Setup'!$D$31,'Quick Setup'!$D33,if(BV4='Quick Setup'!$E$31,'Quick Setup'!$E33,if(BV4='Quick Setup'!$F$31,'Quick Setup'!$F33,if(BV4='Quick Setup'!$G$31,'Quick Setup'!$G33,if(BV4='Quick Setup'!$H$31,'Quick Setup'!$H33,if(BV4='Quick Setup'!$I$31,'Quick Setup'!$I33,if(BV4='Quick Setup'!$J$31,'Quick Setup'!$J33,if(BV4='Quick Setup'!$K$31,'Quick Setup'!$K33,if(BV4='Quick Setup'!$L$31,'Quick Setup'!$L33,if(BV4='Quick Setup'!$M$31,'Quick Setup'!$M33,if(BV4='Quick Setup'!$N$31,'Quick Setup'!$N33,if(BV4='Quick Setup'!$O$31,'Quick Setup'!$O33,if(BV4='Quick Setup'!$P$31,'Quick Setup'!$P33,if(BV4='Quick Setup'!$Q$31,'Quick Setup'!$Q33,if(BV4='Quick Setup'!$R$31,'Quick Setup'!$R33,if(BV4='Quick Setup'!$S$31,'Quick Setup'!$S33,if(BV4='Quick Setup'!$T$31,'Quick Setup'!$T33,if(BV4='Quick Setup'!$U$31,'Quick Setup'!$U33,if(BV4='Quick Setup'!$V$31,'Quick Setup'!$V33,'Quick Setup'!$W33))))))))))))))))))))</f>
        <v>7</v>
      </c>
      <c r="BX4" s="21">
        <f>if(BV4='Quick Setup'!$C$45,'Quick Setup'!$C47,if(BV4='Quick Setup'!$D$45,'Quick Setup'!$D47,if(BV4='Quick Setup'!$E$45,'Quick Setup'!$E47,if(BV4='Quick Setup'!$F$45,'Quick Setup'!$F47,if(BV4='Quick Setup'!$G$45,'Quick Setup'!$G47,if(BV4='Quick Setup'!$H$45,'Quick Setup'!$H47,if(BV4='Quick Setup'!$I$45,'Quick Setup'!$I47,if(BV4='Quick Setup'!$J$45,'Quick Setup'!$J47,if(BV4='Quick Setup'!$K$45,'Quick Setup'!$K47,if(BV4='Quick Setup'!$L$45,'Quick Setup'!$L47,if(BV4='Quick Setup'!$M$45,'Quick Setup'!$M47,if(BV4='Quick Setup'!$N$45,'Quick Setup'!$N47,if(BV4='Quick Setup'!$O$45,'Quick Setup'!$O47,if(BV4='Quick Setup'!$P$45,'Quick Setup'!$P47,if(BV4='Quick Setup'!$Q$45,'Quick Setup'!$Q47,if(BV4='Quick Setup'!$R$45,'Quick Setup'!$R47,if(BV4='Quick Setup'!$S$45,'Quick Setup'!$S47,if(BV4='Quick Setup'!$T$45,'Quick Setup'!$T47,if(BV4='Quick Setup'!$U$45,'Quick Setup'!$U47,if(BV4='Quick Setup'!$V$45,'Quick Setup'!$V47,'Quick Setup'!$W47))))))))))))))))))))</f>
        <v>3</v>
      </c>
      <c r="BY4" s="23">
        <f t="shared" ref="BY4:CG4" si="26">BM4</f>
        <v>5</v>
      </c>
      <c r="BZ4" s="24">
        <f t="shared" si="26"/>
        <v>-0.05</v>
      </c>
      <c r="CA4" s="24">
        <f t="shared" si="26"/>
        <v>-0.02</v>
      </c>
      <c r="CB4" s="24">
        <f t="shared" si="26"/>
        <v>0</v>
      </c>
      <c r="CC4" s="24">
        <f t="shared" si="26"/>
        <v>0.005</v>
      </c>
      <c r="CD4" s="24">
        <f t="shared" si="26"/>
        <v>0.01</v>
      </c>
      <c r="CE4" s="24">
        <f t="shared" si="26"/>
        <v>0.015</v>
      </c>
      <c r="CF4" s="24">
        <f t="shared" si="26"/>
        <v>0.02</v>
      </c>
      <c r="CG4" s="24">
        <f t="shared" si="26"/>
        <v>0.03</v>
      </c>
      <c r="CH4" s="20">
        <f>'Quick Setup'!J61</f>
        <v>0.75</v>
      </c>
      <c r="CI4" s="21">
        <f>if(CH4='Quick Setup'!$C$31,'Quick Setup'!$C33,if(CH4='Quick Setup'!$D$31,'Quick Setup'!$D33,if(CH4='Quick Setup'!$E$31,'Quick Setup'!$E33,if(CH4='Quick Setup'!$F$31,'Quick Setup'!$F33,if(CH4='Quick Setup'!$G$31,'Quick Setup'!$G33,if(CH4='Quick Setup'!$H$31,'Quick Setup'!$H33,if(CH4='Quick Setup'!$I$31,'Quick Setup'!$I33,if(CH4='Quick Setup'!$J$31,'Quick Setup'!$J33,if(CH4='Quick Setup'!$K$31,'Quick Setup'!$K33,if(CH4='Quick Setup'!$L$31,'Quick Setup'!$L33,if(CH4='Quick Setup'!$M$31,'Quick Setup'!$M33,if(CH4='Quick Setup'!$N$31,'Quick Setup'!$N33,if(CH4='Quick Setup'!$O$31,'Quick Setup'!$O33,if(CH4='Quick Setup'!$P$31,'Quick Setup'!$P33,if(CH4='Quick Setup'!$Q$31,'Quick Setup'!$Q33,if(CH4='Quick Setup'!$R$31,'Quick Setup'!$R33,if(CH4='Quick Setup'!$S$31,'Quick Setup'!$S33,if(CH4='Quick Setup'!$T$31,'Quick Setup'!$T33,if(CH4='Quick Setup'!$U$31,'Quick Setup'!$U33,if(CH4='Quick Setup'!$V$31,'Quick Setup'!$V33,'Quick Setup'!$W33))))))))))))))))))))</f>
        <v>4</v>
      </c>
      <c r="CJ4" s="21">
        <f>if(CH4='Quick Setup'!$C$45,'Quick Setup'!$C47,if(CH4='Quick Setup'!$D$45,'Quick Setup'!$D47,if(CH4='Quick Setup'!$E$45,'Quick Setup'!$E47,if(CH4='Quick Setup'!$F$45,'Quick Setup'!$F47,if(CH4='Quick Setup'!$G$45,'Quick Setup'!$G47,if(CH4='Quick Setup'!$H$45,'Quick Setup'!$H47,if(CH4='Quick Setup'!$I$45,'Quick Setup'!$I47,if(CH4='Quick Setup'!$J$45,'Quick Setup'!$J47,if(CH4='Quick Setup'!$K$45,'Quick Setup'!$K47,if(CH4='Quick Setup'!$L$45,'Quick Setup'!$L47,if(CH4='Quick Setup'!$M$45,'Quick Setup'!$M47,if(CH4='Quick Setup'!$N$45,'Quick Setup'!$N47,if(CH4='Quick Setup'!$O$45,'Quick Setup'!$O47,if(CH4='Quick Setup'!$P$45,'Quick Setup'!$P47,if(CH4='Quick Setup'!$Q$45,'Quick Setup'!$Q47,if(CH4='Quick Setup'!$R$45,'Quick Setup'!$R47,if(CH4='Quick Setup'!$S$45,'Quick Setup'!$S47,if(CH4='Quick Setup'!$T$45,'Quick Setup'!$T47,if(CH4='Quick Setup'!$U$45,'Quick Setup'!$U47,if(CH4='Quick Setup'!$V$45,'Quick Setup'!$V47,'Quick Setup'!$W47))))))))))))))))))))</f>
        <v>2</v>
      </c>
      <c r="CK4" s="23">
        <f t="shared" ref="CK4:CS4" si="27">BY4</f>
        <v>5</v>
      </c>
      <c r="CL4" s="24">
        <f t="shared" si="27"/>
        <v>-0.05</v>
      </c>
      <c r="CM4" s="24">
        <f t="shared" si="27"/>
        <v>-0.02</v>
      </c>
      <c r="CN4" s="24">
        <f t="shared" si="27"/>
        <v>0</v>
      </c>
      <c r="CO4" s="24">
        <f t="shared" si="27"/>
        <v>0.005</v>
      </c>
      <c r="CP4" s="24">
        <f t="shared" si="27"/>
        <v>0.01</v>
      </c>
      <c r="CQ4" s="24">
        <f t="shared" si="27"/>
        <v>0.015</v>
      </c>
      <c r="CR4" s="24">
        <f t="shared" si="27"/>
        <v>0.02</v>
      </c>
      <c r="CS4" s="24">
        <f t="shared" si="27"/>
        <v>0.03</v>
      </c>
      <c r="CT4" s="20">
        <f>'Quick Setup'!K61</f>
        <v>0.8</v>
      </c>
      <c r="CU4" s="21">
        <f>if(CT4='Quick Setup'!$C$31,'Quick Setup'!$C33,if(CT4='Quick Setup'!$D$31,'Quick Setup'!$D33,if(CT4='Quick Setup'!$E$31,'Quick Setup'!$E33,if(CT4='Quick Setup'!$F$31,'Quick Setup'!$F33,if(CT4='Quick Setup'!$G$31,'Quick Setup'!$G33,if(CT4='Quick Setup'!$H$31,'Quick Setup'!$H33,if(CT4='Quick Setup'!$I$31,'Quick Setup'!$I33,if(CT4='Quick Setup'!$J$31,'Quick Setup'!$J33,if(CT4='Quick Setup'!$K$31,'Quick Setup'!$K33,if(CT4='Quick Setup'!$L$31,'Quick Setup'!$L33,if(CT4='Quick Setup'!$M$31,'Quick Setup'!$M33,if(CT4='Quick Setup'!$N$31,'Quick Setup'!$N33,if(CT4='Quick Setup'!$O$31,'Quick Setup'!$O33,if(CT4='Quick Setup'!$P$31,'Quick Setup'!$P33,if(CT4='Quick Setup'!$Q$31,'Quick Setup'!$Q33,if(CT4='Quick Setup'!$R$31,'Quick Setup'!$R33,if(CT4='Quick Setup'!$S$31,'Quick Setup'!$S33,if(CT4='Quick Setup'!$T$31,'Quick Setup'!$T33,if(CT4='Quick Setup'!$U$31,'Quick Setup'!$U33,if(CT4='Quick Setup'!$V$31,'Quick Setup'!$V33,'Quick Setup'!$W33))))))))))))))))))))</f>
        <v>3</v>
      </c>
      <c r="CV4" s="21">
        <f>if(CT4='Quick Setup'!$C$45,'Quick Setup'!$C47,if(CT4='Quick Setup'!$D$45,'Quick Setup'!$D47,if(CT4='Quick Setup'!$E$45,'Quick Setup'!$E47,if(CT4='Quick Setup'!$F$45,'Quick Setup'!$F47,if(CT4='Quick Setup'!$G$45,'Quick Setup'!$G47,if(CT4='Quick Setup'!$H$45,'Quick Setup'!$H47,if(CT4='Quick Setup'!$I$45,'Quick Setup'!$I47,if(CT4='Quick Setup'!$J$45,'Quick Setup'!$J47,if(CT4='Quick Setup'!$K$45,'Quick Setup'!$K47,if(CT4='Quick Setup'!$L$45,'Quick Setup'!$L47,if(CT4='Quick Setup'!$M$45,'Quick Setup'!$M47,if(CT4='Quick Setup'!$N$45,'Quick Setup'!$N47,if(CT4='Quick Setup'!$O$45,'Quick Setup'!$O47,if(CT4='Quick Setup'!$P$45,'Quick Setup'!$P47,if(CT4='Quick Setup'!$Q$45,'Quick Setup'!$Q47,if(CT4='Quick Setup'!$R$45,'Quick Setup'!$R47,if(CT4='Quick Setup'!$S$45,'Quick Setup'!$S47,if(CT4='Quick Setup'!$T$45,'Quick Setup'!$T47,if(CT4='Quick Setup'!$U$45,'Quick Setup'!$U47,if(CT4='Quick Setup'!$V$45,'Quick Setup'!$V47,'Quick Setup'!$W47))))))))))))))))))))</f>
        <v>2</v>
      </c>
      <c r="CW4" s="23">
        <f t="shared" ref="CW4:DE4" si="28">CK4</f>
        <v>5</v>
      </c>
      <c r="CX4" s="24">
        <f t="shared" si="28"/>
        <v>-0.05</v>
      </c>
      <c r="CY4" s="24">
        <f t="shared" si="28"/>
        <v>-0.02</v>
      </c>
      <c r="CZ4" s="24">
        <f t="shared" si="28"/>
        <v>0</v>
      </c>
      <c r="DA4" s="24">
        <f t="shared" si="28"/>
        <v>0.005</v>
      </c>
      <c r="DB4" s="24">
        <f t="shared" si="28"/>
        <v>0.01</v>
      </c>
      <c r="DC4" s="24">
        <f t="shared" si="28"/>
        <v>0.015</v>
      </c>
      <c r="DD4" s="24">
        <f t="shared" si="28"/>
        <v>0.02</v>
      </c>
      <c r="DE4" s="24">
        <f t="shared" si="28"/>
        <v>0.03</v>
      </c>
      <c r="DF4" s="20">
        <f>'Quick Setup'!L61</f>
        <v>0.85</v>
      </c>
      <c r="DG4" s="21">
        <f>if(DF4='Quick Setup'!$C$31,'Quick Setup'!$C33,if(DF4='Quick Setup'!$D$31,'Quick Setup'!$D33,if(DF4='Quick Setup'!$E$31,'Quick Setup'!$E33,if(DF4='Quick Setup'!$F$31,'Quick Setup'!$F33,if(DF4='Quick Setup'!$G$31,'Quick Setup'!$G33,if(DF4='Quick Setup'!$H$31,'Quick Setup'!$H33,if(DF4='Quick Setup'!$I$31,'Quick Setup'!$I33,if(DF4='Quick Setup'!$J$31,'Quick Setup'!$J33,if(DF4='Quick Setup'!$K$31,'Quick Setup'!$K33,if(DF4='Quick Setup'!$L$31,'Quick Setup'!$L33,if(DF4='Quick Setup'!$M$31,'Quick Setup'!$M33,if(DF4='Quick Setup'!$N$31,'Quick Setup'!$N33,if(DF4='Quick Setup'!$O$31,'Quick Setup'!$O33,if(DF4='Quick Setup'!$P$31,'Quick Setup'!$P33,if(DF4='Quick Setup'!$Q$31,'Quick Setup'!$Q33,if(DF4='Quick Setup'!$R$31,'Quick Setup'!$R33,if(DF4='Quick Setup'!$S$31,'Quick Setup'!$S33,if(DF4='Quick Setup'!$T$31,'Quick Setup'!$T33,if(DF4='Quick Setup'!$U$31,'Quick Setup'!$U33,if(DF4='Quick Setup'!$V$31,'Quick Setup'!$V33,'Quick Setup'!$W33))))))))))))))))))))</f>
        <v>2</v>
      </c>
      <c r="DH4" s="21">
        <f>if(DF4='Quick Setup'!$C$45,'Quick Setup'!$C47,if(DF4='Quick Setup'!$D$45,'Quick Setup'!$D47,if(DF4='Quick Setup'!$E$45,'Quick Setup'!$E47,if(DF4='Quick Setup'!$F$45,'Quick Setup'!$F47,if(DF4='Quick Setup'!$G$45,'Quick Setup'!$G47,if(DF4='Quick Setup'!$H$45,'Quick Setup'!$H47,if(DF4='Quick Setup'!$I$45,'Quick Setup'!$I47,if(DF4='Quick Setup'!$J$45,'Quick Setup'!$J47,if(DF4='Quick Setup'!$K$45,'Quick Setup'!$K47,if(DF4='Quick Setup'!$L$45,'Quick Setup'!$L47,if(DF4='Quick Setup'!$M$45,'Quick Setup'!$M47,if(DF4='Quick Setup'!$N$45,'Quick Setup'!$N47,if(DF4='Quick Setup'!$O$45,'Quick Setup'!$O47,if(DF4='Quick Setup'!$P$45,'Quick Setup'!$P47,if(DF4='Quick Setup'!$Q$45,'Quick Setup'!$Q47,if(DF4='Quick Setup'!$R$45,'Quick Setup'!$R47,if(DF4='Quick Setup'!$S$45,'Quick Setup'!$S47,if(DF4='Quick Setup'!$T$45,'Quick Setup'!$T47,if(DF4='Quick Setup'!$U$45,'Quick Setup'!$U47,if(DF4='Quick Setup'!$V$45,'Quick Setup'!$V47,'Quick Setup'!$W47))))))))))))))))))))</f>
        <v>1</v>
      </c>
      <c r="DI4" s="23">
        <f t="shared" ref="DI4:DQ4" si="29">CW4</f>
        <v>5</v>
      </c>
      <c r="DJ4" s="24">
        <f t="shared" si="29"/>
        <v>-0.05</v>
      </c>
      <c r="DK4" s="24">
        <f t="shared" si="29"/>
        <v>-0.02</v>
      </c>
      <c r="DL4" s="24">
        <f t="shared" si="29"/>
        <v>0</v>
      </c>
      <c r="DM4" s="24">
        <f t="shared" si="29"/>
        <v>0.005</v>
      </c>
      <c r="DN4" s="24">
        <f t="shared" si="29"/>
        <v>0.01</v>
      </c>
      <c r="DO4" s="24">
        <f t="shared" si="29"/>
        <v>0.015</v>
      </c>
      <c r="DP4" s="24">
        <f t="shared" si="29"/>
        <v>0.02</v>
      </c>
      <c r="DQ4" s="24">
        <f t="shared" si="29"/>
        <v>0.03</v>
      </c>
      <c r="DR4" s="20">
        <f>'Quick Setup'!M61</f>
        <v>0.775</v>
      </c>
      <c r="DS4" s="21">
        <f>if(DR4='Quick Setup'!$C$31,'Quick Setup'!$C33,if(DR4='Quick Setup'!$D$31,'Quick Setup'!$D33,if(DR4='Quick Setup'!$E$31,'Quick Setup'!$E33,if(DR4='Quick Setup'!$F$31,'Quick Setup'!$F33,if(DR4='Quick Setup'!$G$31,'Quick Setup'!$G33,if(DR4='Quick Setup'!$H$31,'Quick Setup'!$H33,if(DR4='Quick Setup'!$I$31,'Quick Setup'!$I33,if(DR4='Quick Setup'!$J$31,'Quick Setup'!$J33,if(DR4='Quick Setup'!$K$31,'Quick Setup'!$K33,if(DR4='Quick Setup'!$L$31,'Quick Setup'!$L33,if(DR4='Quick Setup'!$M$31,'Quick Setup'!$M33,if(DR4='Quick Setup'!$N$31,'Quick Setup'!$N33,if(DR4='Quick Setup'!$O$31,'Quick Setup'!$O33,if(DR4='Quick Setup'!$P$31,'Quick Setup'!$P33,if(DR4='Quick Setup'!$Q$31,'Quick Setup'!$Q33,if(DR4='Quick Setup'!$R$31,'Quick Setup'!$R33,if(DR4='Quick Setup'!$S$31,'Quick Setup'!$S33,if(DR4='Quick Setup'!$T$31,'Quick Setup'!$T33,if(DR4='Quick Setup'!$U$31,'Quick Setup'!$U33,if(DR4='Quick Setup'!$V$31,'Quick Setup'!$V33,'Quick Setup'!$W33))))))))))))))))))))</f>
        <v>4</v>
      </c>
      <c r="DT4" s="21">
        <f>if(DR4='Quick Setup'!$C$45,'Quick Setup'!$C47,if(DR4='Quick Setup'!$D$45,'Quick Setup'!$D47,if(DR4='Quick Setup'!$E$45,'Quick Setup'!$E47,if(DR4='Quick Setup'!$F$45,'Quick Setup'!$F47,if(DR4='Quick Setup'!$G$45,'Quick Setup'!$G47,if(DR4='Quick Setup'!$H$45,'Quick Setup'!$H47,if(DR4='Quick Setup'!$I$45,'Quick Setup'!$I47,if(DR4='Quick Setup'!$J$45,'Quick Setup'!$J47,if(DR4='Quick Setup'!$K$45,'Quick Setup'!$K47,if(DR4='Quick Setup'!$L$45,'Quick Setup'!$L47,if(DR4='Quick Setup'!$M$45,'Quick Setup'!$M47,if(DR4='Quick Setup'!$N$45,'Quick Setup'!$N47,if(DR4='Quick Setup'!$O$45,'Quick Setup'!$O47,if(DR4='Quick Setup'!$P$45,'Quick Setup'!$P47,if(DR4='Quick Setup'!$Q$45,'Quick Setup'!$Q47,if(DR4='Quick Setup'!$R$45,'Quick Setup'!$R47,if(DR4='Quick Setup'!$S$45,'Quick Setup'!$S47,if(DR4='Quick Setup'!$T$45,'Quick Setup'!$T47,if(DR4='Quick Setup'!$U$45,'Quick Setup'!$U47,if(DR4='Quick Setup'!$V$45,'Quick Setup'!$V47,'Quick Setup'!$W47))))))))))))))))))))</f>
        <v>2</v>
      </c>
      <c r="DU4" s="23">
        <f t="shared" ref="DU4:EC4" si="30">DI4</f>
        <v>5</v>
      </c>
      <c r="DV4" s="24">
        <f t="shared" si="30"/>
        <v>-0.05</v>
      </c>
      <c r="DW4" s="24">
        <f t="shared" si="30"/>
        <v>-0.02</v>
      </c>
      <c r="DX4" s="24">
        <f t="shared" si="30"/>
        <v>0</v>
      </c>
      <c r="DY4" s="24">
        <f t="shared" si="30"/>
        <v>0.005</v>
      </c>
      <c r="DZ4" s="24">
        <f t="shared" si="30"/>
        <v>0.01</v>
      </c>
      <c r="EA4" s="24">
        <f t="shared" si="30"/>
        <v>0.015</v>
      </c>
      <c r="EB4" s="24">
        <f t="shared" si="30"/>
        <v>0.02</v>
      </c>
      <c r="EC4" s="24">
        <f t="shared" si="30"/>
        <v>0.03</v>
      </c>
      <c r="ED4" s="20">
        <f>'Quick Setup'!N61</f>
        <v>0.825</v>
      </c>
      <c r="EE4" s="21">
        <f>if(ED4='Quick Setup'!$C$31,'Quick Setup'!$C33,if(ED4='Quick Setup'!$D$31,'Quick Setup'!$D33,if(ED4='Quick Setup'!$E$31,'Quick Setup'!$E33,if(ED4='Quick Setup'!$F$31,'Quick Setup'!$F33,if(ED4='Quick Setup'!$G$31,'Quick Setup'!$G33,if(ED4='Quick Setup'!$H$31,'Quick Setup'!$H33,if(ED4='Quick Setup'!$I$31,'Quick Setup'!$I33,if(ED4='Quick Setup'!$J$31,'Quick Setup'!$J33,if(ED4='Quick Setup'!$K$31,'Quick Setup'!$K33,if(ED4='Quick Setup'!$L$31,'Quick Setup'!$L33,if(ED4='Quick Setup'!$M$31,'Quick Setup'!$M33,if(ED4='Quick Setup'!$N$31,'Quick Setup'!$N33,if(ED4='Quick Setup'!$O$31,'Quick Setup'!$O33,if(ED4='Quick Setup'!$P$31,'Quick Setup'!$P33,if(ED4='Quick Setup'!$Q$31,'Quick Setup'!$Q33,if(ED4='Quick Setup'!$R$31,'Quick Setup'!$R33,if(ED4='Quick Setup'!$S$31,'Quick Setup'!$S33,if(ED4='Quick Setup'!$T$31,'Quick Setup'!$T33,if(ED4='Quick Setup'!$U$31,'Quick Setup'!$U33,if(ED4='Quick Setup'!$V$31,'Quick Setup'!$V33,'Quick Setup'!$W33))))))))))))))))))))</f>
        <v>3</v>
      </c>
      <c r="EF4" s="21">
        <f>if(ED4='Quick Setup'!$C$45,'Quick Setup'!$C47,if(ED4='Quick Setup'!$D$45,'Quick Setup'!$D47,if(ED4='Quick Setup'!$E$45,'Quick Setup'!$E47,if(ED4='Quick Setup'!$F$45,'Quick Setup'!$F47,if(ED4='Quick Setup'!$G$45,'Quick Setup'!$G47,if(ED4='Quick Setup'!$H$45,'Quick Setup'!$H47,if(ED4='Quick Setup'!$I$45,'Quick Setup'!$I47,if(ED4='Quick Setup'!$J$45,'Quick Setup'!$J47,if(ED4='Quick Setup'!$K$45,'Quick Setup'!$K47,if(ED4='Quick Setup'!$L$45,'Quick Setup'!$L47,if(ED4='Quick Setup'!$M$45,'Quick Setup'!$M47,if(ED4='Quick Setup'!$N$45,'Quick Setup'!$N47,if(ED4='Quick Setup'!$O$45,'Quick Setup'!$O47,if(ED4='Quick Setup'!$P$45,'Quick Setup'!$P47,if(ED4='Quick Setup'!$Q$45,'Quick Setup'!$Q47,if(ED4='Quick Setup'!$R$45,'Quick Setup'!$R47,if(ED4='Quick Setup'!$S$45,'Quick Setup'!$S47,if(ED4='Quick Setup'!$T$45,'Quick Setup'!$T47,if(ED4='Quick Setup'!$U$45,'Quick Setup'!$U47,if(ED4='Quick Setup'!$V$45,'Quick Setup'!$V47,'Quick Setup'!$W47))))))))))))))))))))</f>
        <v>2</v>
      </c>
      <c r="EG4" s="23">
        <f t="shared" ref="EG4:EO4" si="31">DU4</f>
        <v>5</v>
      </c>
      <c r="EH4" s="24">
        <f t="shared" si="31"/>
        <v>-0.05</v>
      </c>
      <c r="EI4" s="24">
        <f t="shared" si="31"/>
        <v>-0.02</v>
      </c>
      <c r="EJ4" s="24">
        <f t="shared" si="31"/>
        <v>0</v>
      </c>
      <c r="EK4" s="24">
        <f t="shared" si="31"/>
        <v>0.005</v>
      </c>
      <c r="EL4" s="24">
        <f t="shared" si="31"/>
        <v>0.01</v>
      </c>
      <c r="EM4" s="24">
        <f t="shared" si="31"/>
        <v>0.015</v>
      </c>
      <c r="EN4" s="24">
        <f t="shared" si="31"/>
        <v>0.02</v>
      </c>
      <c r="EO4" s="24">
        <f t="shared" si="31"/>
        <v>0.03</v>
      </c>
      <c r="EP4" s="20">
        <f>'Quick Setup'!O61</f>
        <v>0.875</v>
      </c>
      <c r="EQ4" s="21">
        <f>if(EP4='Quick Setup'!$C$31,'Quick Setup'!$C33,if(EP4='Quick Setup'!$D$31,'Quick Setup'!$D33,if(EP4='Quick Setup'!$E$31,'Quick Setup'!$E33,if(EP4='Quick Setup'!$F$31,'Quick Setup'!$F33,if(EP4='Quick Setup'!$G$31,'Quick Setup'!$G33,if(EP4='Quick Setup'!$H$31,'Quick Setup'!$H33,if(EP4='Quick Setup'!$I$31,'Quick Setup'!$I33,if(EP4='Quick Setup'!$J$31,'Quick Setup'!$J33,if(EP4='Quick Setup'!$K$31,'Quick Setup'!$K33,if(EP4='Quick Setup'!$L$31,'Quick Setup'!$L33,if(EP4='Quick Setup'!$M$31,'Quick Setup'!$M33,if(EP4='Quick Setup'!$N$31,'Quick Setup'!$N33,if(EP4='Quick Setup'!$O$31,'Quick Setup'!$O33,if(EP4='Quick Setup'!$P$31,'Quick Setup'!$P33,if(EP4='Quick Setup'!$Q$31,'Quick Setup'!$Q33,if(EP4='Quick Setup'!$R$31,'Quick Setup'!$R33,if(EP4='Quick Setup'!$S$31,'Quick Setup'!$S33,if(EP4='Quick Setup'!$T$31,'Quick Setup'!$T33,if(EP4='Quick Setup'!$U$31,'Quick Setup'!$U33,if(EP4='Quick Setup'!$V$31,'Quick Setup'!$V33,'Quick Setup'!$W33))))))))))))))))))))</f>
        <v>2</v>
      </c>
      <c r="ER4" s="21">
        <f>if(EP4='Quick Setup'!$C$45,'Quick Setup'!$C47,if(EP4='Quick Setup'!$D$45,'Quick Setup'!$D47,if(EP4='Quick Setup'!$E$45,'Quick Setup'!$E47,if(EP4='Quick Setup'!$F$45,'Quick Setup'!$F47,if(EP4='Quick Setup'!$G$45,'Quick Setup'!$G47,if(EP4='Quick Setup'!$H$45,'Quick Setup'!$H47,if(EP4='Quick Setup'!$I$45,'Quick Setup'!$I47,if(EP4='Quick Setup'!$J$45,'Quick Setup'!$J47,if(EP4='Quick Setup'!$K$45,'Quick Setup'!$K47,if(EP4='Quick Setup'!$L$45,'Quick Setup'!$L47,if(EP4='Quick Setup'!$M$45,'Quick Setup'!$M47,if(EP4='Quick Setup'!$N$45,'Quick Setup'!$N47,if(EP4='Quick Setup'!$O$45,'Quick Setup'!$O47,if(EP4='Quick Setup'!$P$45,'Quick Setup'!$P47,if(EP4='Quick Setup'!$Q$45,'Quick Setup'!$Q47,if(EP4='Quick Setup'!$R$45,'Quick Setup'!$R47,if(EP4='Quick Setup'!$S$45,'Quick Setup'!$S47,if(EP4='Quick Setup'!$T$45,'Quick Setup'!$T47,if(EP4='Quick Setup'!$U$45,'Quick Setup'!$U47,if(EP4='Quick Setup'!$V$45,'Quick Setup'!$V47,'Quick Setup'!$W47))))))))))))))))))))</f>
        <v>1</v>
      </c>
      <c r="ES4" s="23">
        <f t="shared" ref="ES4:FA4" si="32">EG4</f>
        <v>5</v>
      </c>
      <c r="ET4" s="24">
        <f t="shared" si="32"/>
        <v>-0.05</v>
      </c>
      <c r="EU4" s="24">
        <f t="shared" si="32"/>
        <v>-0.02</v>
      </c>
      <c r="EV4" s="24">
        <f t="shared" si="32"/>
        <v>0</v>
      </c>
      <c r="EW4" s="24">
        <f t="shared" si="32"/>
        <v>0.005</v>
      </c>
      <c r="EX4" s="24">
        <f t="shared" si="32"/>
        <v>0.01</v>
      </c>
      <c r="EY4" s="24">
        <f t="shared" si="32"/>
        <v>0.015</v>
      </c>
      <c r="EZ4" s="24">
        <f t="shared" si="32"/>
        <v>0.02</v>
      </c>
      <c r="FA4" s="24">
        <f t="shared" si="32"/>
        <v>0.03</v>
      </c>
      <c r="FB4" s="20">
        <f>'Quick Setup'!P61</f>
        <v>0.6</v>
      </c>
      <c r="FC4" s="21">
        <f>if(FB4='Quick Setup'!$C$31,'Quick Setup'!$C33,if(FB4='Quick Setup'!$D$31,'Quick Setup'!$D33,if(FB4='Quick Setup'!$E$31,'Quick Setup'!$E33,if(FB4='Quick Setup'!$F$31,'Quick Setup'!$F33,if(FB4='Quick Setup'!$G$31,'Quick Setup'!$G33,if(FB4='Quick Setup'!$H$31,'Quick Setup'!$H33,if(FB4='Quick Setup'!$I$31,'Quick Setup'!$I33,if(FB4='Quick Setup'!$J$31,'Quick Setup'!$J33,if(FB4='Quick Setup'!$K$31,'Quick Setup'!$K33,if(FB4='Quick Setup'!$L$31,'Quick Setup'!$L33,if(FB4='Quick Setup'!$M$31,'Quick Setup'!$M33,if(FB4='Quick Setup'!$N$31,'Quick Setup'!$N33,if(FB4='Quick Setup'!$O$31,'Quick Setup'!$O33,if(FB4='Quick Setup'!$P$31,'Quick Setup'!$P33,if(FB4='Quick Setup'!$Q$31,'Quick Setup'!$Q33,if(FB4='Quick Setup'!$R$31,'Quick Setup'!$R33,if(FB4='Quick Setup'!$S$31,'Quick Setup'!$S33,if(FB4='Quick Setup'!$T$31,'Quick Setup'!$T33,if(FB4='Quick Setup'!$U$31,'Quick Setup'!$U33,if(FB4='Quick Setup'!$V$31,'Quick Setup'!$V33,'Quick Setup'!$W33))))))))))))))))))))</f>
        <v>7</v>
      </c>
      <c r="FD4" s="21">
        <f>if(FB4='Quick Setup'!$C$45,'Quick Setup'!$C47,if(FB4='Quick Setup'!$D$45,'Quick Setup'!$D47,if(FB4='Quick Setup'!$E$45,'Quick Setup'!$E47,if(FB4='Quick Setup'!$F$45,'Quick Setup'!$F47,if(FB4='Quick Setup'!$G$45,'Quick Setup'!$G47,if(FB4='Quick Setup'!$H$45,'Quick Setup'!$H47,if(FB4='Quick Setup'!$I$45,'Quick Setup'!$I47,if(FB4='Quick Setup'!$J$45,'Quick Setup'!$J47,if(FB4='Quick Setup'!$K$45,'Quick Setup'!$K47,if(FB4='Quick Setup'!$L$45,'Quick Setup'!$L47,if(FB4='Quick Setup'!$M$45,'Quick Setup'!$M47,if(FB4='Quick Setup'!$N$45,'Quick Setup'!$N47,if(FB4='Quick Setup'!$O$45,'Quick Setup'!$O47,if(FB4='Quick Setup'!$P$45,'Quick Setup'!$P47,if(FB4='Quick Setup'!$Q$45,'Quick Setup'!$Q47,if(FB4='Quick Setup'!$R$45,'Quick Setup'!$R47,if(FB4='Quick Setup'!$S$45,'Quick Setup'!$S47,if(FB4='Quick Setup'!$T$45,'Quick Setup'!$T47,if(FB4='Quick Setup'!$U$45,'Quick Setup'!$U47,if(FB4='Quick Setup'!$V$45,'Quick Setup'!$V47,'Quick Setup'!$W47))))))))))))))))))))</f>
        <v>3</v>
      </c>
      <c r="FE4" s="23">
        <f t="shared" ref="FE4:FM4" si="33">ES4</f>
        <v>5</v>
      </c>
      <c r="FF4" s="24">
        <f t="shared" si="33"/>
        <v>-0.05</v>
      </c>
      <c r="FG4" s="24">
        <f t="shared" si="33"/>
        <v>-0.02</v>
      </c>
      <c r="FH4" s="24">
        <f t="shared" si="33"/>
        <v>0</v>
      </c>
      <c r="FI4" s="24">
        <f t="shared" si="33"/>
        <v>0.005</v>
      </c>
      <c r="FJ4" s="24">
        <f t="shared" si="33"/>
        <v>0.01</v>
      </c>
      <c r="FK4" s="24">
        <f t="shared" si="33"/>
        <v>0.015</v>
      </c>
      <c r="FL4" s="24">
        <f t="shared" si="33"/>
        <v>0.02</v>
      </c>
      <c r="FM4" s="24">
        <f t="shared" si="33"/>
        <v>0.03</v>
      </c>
      <c r="FN4" s="20">
        <f>'Quick Setup'!Q61</f>
        <v>0.8</v>
      </c>
      <c r="FO4" s="21">
        <f>if(FN4='Quick Setup'!$C$31,'Quick Setup'!$C33,if(FN4='Quick Setup'!$D$31,'Quick Setup'!$D33,if(FN4='Quick Setup'!$E$31,'Quick Setup'!$E33,if(FN4='Quick Setup'!$F$31,'Quick Setup'!$F33,if(FN4='Quick Setup'!$G$31,'Quick Setup'!$G33,if(FN4='Quick Setup'!$H$31,'Quick Setup'!$H33,if(FN4='Quick Setup'!$I$31,'Quick Setup'!$I33,if(FN4='Quick Setup'!$J$31,'Quick Setup'!$J33,if(FN4='Quick Setup'!$K$31,'Quick Setup'!$K33,if(FN4='Quick Setup'!$L$31,'Quick Setup'!$L33,if(FN4='Quick Setup'!$M$31,'Quick Setup'!$M33,if(FN4='Quick Setup'!$N$31,'Quick Setup'!$N33,if(FN4='Quick Setup'!$O$31,'Quick Setup'!$O33,if(FN4='Quick Setup'!$P$31,'Quick Setup'!$P33,if(FN4='Quick Setup'!$Q$31,'Quick Setup'!$Q33,if(FN4='Quick Setup'!$R$31,'Quick Setup'!$R33,if(FN4='Quick Setup'!$S$31,'Quick Setup'!$S33,if(FN4='Quick Setup'!$T$31,'Quick Setup'!$T33,if(FN4='Quick Setup'!$U$31,'Quick Setup'!$U33,if(FN4='Quick Setup'!$V$31,'Quick Setup'!$V33,'Quick Setup'!$W33))))))))))))))))))))</f>
        <v>3</v>
      </c>
      <c r="FP4" s="21">
        <f>if(FN4='Quick Setup'!$C$45,'Quick Setup'!$C47,if(FN4='Quick Setup'!$D$45,'Quick Setup'!$D47,if(FN4='Quick Setup'!$E$45,'Quick Setup'!$E47,if(FN4='Quick Setup'!$F$45,'Quick Setup'!$F47,if(FN4='Quick Setup'!$G$45,'Quick Setup'!$G47,if(FN4='Quick Setup'!$H$45,'Quick Setup'!$H47,if(FN4='Quick Setup'!$I$45,'Quick Setup'!$I47,if(FN4='Quick Setup'!$J$45,'Quick Setup'!$J47,if(FN4='Quick Setup'!$K$45,'Quick Setup'!$K47,if(FN4='Quick Setup'!$L$45,'Quick Setup'!$L47,if(FN4='Quick Setup'!$M$45,'Quick Setup'!$M47,if(FN4='Quick Setup'!$N$45,'Quick Setup'!$N47,if(FN4='Quick Setup'!$O$45,'Quick Setup'!$O47,if(FN4='Quick Setup'!$P$45,'Quick Setup'!$P47,if(FN4='Quick Setup'!$Q$45,'Quick Setup'!$Q47,if(FN4='Quick Setup'!$R$45,'Quick Setup'!$R47,if(FN4='Quick Setup'!$S$45,'Quick Setup'!$S47,if(FN4='Quick Setup'!$T$45,'Quick Setup'!$T47,if(FN4='Quick Setup'!$U$45,'Quick Setup'!$U47,if(FN4='Quick Setup'!$V$45,'Quick Setup'!$V47,'Quick Setup'!$W47))))))))))))))))))))</f>
        <v>2</v>
      </c>
      <c r="FQ4" s="23">
        <f t="shared" ref="FQ4:FY4" si="34">FE4</f>
        <v>5</v>
      </c>
      <c r="FR4" s="24">
        <f t="shared" si="34"/>
        <v>-0.05</v>
      </c>
      <c r="FS4" s="24">
        <f t="shared" si="34"/>
        <v>-0.02</v>
      </c>
      <c r="FT4" s="24">
        <f t="shared" si="34"/>
        <v>0</v>
      </c>
      <c r="FU4" s="24">
        <f t="shared" si="34"/>
        <v>0.005</v>
      </c>
      <c r="FV4" s="24">
        <f t="shared" si="34"/>
        <v>0.01</v>
      </c>
      <c r="FW4" s="24">
        <f t="shared" si="34"/>
        <v>0.015</v>
      </c>
      <c r="FX4" s="24">
        <f t="shared" si="34"/>
        <v>0.02</v>
      </c>
      <c r="FY4" s="24">
        <f t="shared" si="34"/>
        <v>0.03</v>
      </c>
      <c r="FZ4" s="20">
        <f>'Quick Setup'!R61</f>
        <v>0.85</v>
      </c>
      <c r="GA4" s="21">
        <f>if(FZ4='Quick Setup'!$C$31,'Quick Setup'!$C33,if(FZ4='Quick Setup'!$D$31,'Quick Setup'!$D33,if(FZ4='Quick Setup'!$E$31,'Quick Setup'!$E33,if(FZ4='Quick Setup'!$F$31,'Quick Setup'!$F33,if(FZ4='Quick Setup'!$G$31,'Quick Setup'!$G33,if(FZ4='Quick Setup'!$H$31,'Quick Setup'!$H33,if(FZ4='Quick Setup'!$I$31,'Quick Setup'!$I33,if(FZ4='Quick Setup'!$J$31,'Quick Setup'!$J33,if(FZ4='Quick Setup'!$K$31,'Quick Setup'!$K33,if(FZ4='Quick Setup'!$L$31,'Quick Setup'!$L33,if(FZ4='Quick Setup'!$M$31,'Quick Setup'!$M33,if(FZ4='Quick Setup'!$N$31,'Quick Setup'!$N33,if(FZ4='Quick Setup'!$O$31,'Quick Setup'!$O33,if(FZ4='Quick Setup'!$P$31,'Quick Setup'!$P33,if(FZ4='Quick Setup'!$Q$31,'Quick Setup'!$Q33,if(FZ4='Quick Setup'!$R$31,'Quick Setup'!$R33,if(FZ4='Quick Setup'!$S$31,'Quick Setup'!$S33,if(FZ4='Quick Setup'!$T$31,'Quick Setup'!$T33,if(FZ4='Quick Setup'!$U$31,'Quick Setup'!$U33,if(FZ4='Quick Setup'!$V$31,'Quick Setup'!$V33,'Quick Setup'!$W33))))))))))))))))))))</f>
        <v>2</v>
      </c>
      <c r="GB4" s="21">
        <f>if(FZ4='Quick Setup'!$C$45,'Quick Setup'!$C47,if(FZ4='Quick Setup'!$D$45,'Quick Setup'!$D47,if(FZ4='Quick Setup'!$E$45,'Quick Setup'!$E47,if(FZ4='Quick Setup'!$F$45,'Quick Setup'!$F47,if(FZ4='Quick Setup'!$G$45,'Quick Setup'!$G47,if(FZ4='Quick Setup'!$H$45,'Quick Setup'!$H47,if(FZ4='Quick Setup'!$I$45,'Quick Setup'!$I47,if(FZ4='Quick Setup'!$J$45,'Quick Setup'!$J47,if(FZ4='Quick Setup'!$K$45,'Quick Setup'!$K47,if(FZ4='Quick Setup'!$L$45,'Quick Setup'!$L47,if(FZ4='Quick Setup'!$M$45,'Quick Setup'!$M47,if(FZ4='Quick Setup'!$N$45,'Quick Setup'!$N47,if(FZ4='Quick Setup'!$O$45,'Quick Setup'!$O47,if(FZ4='Quick Setup'!$P$45,'Quick Setup'!$P47,if(FZ4='Quick Setup'!$Q$45,'Quick Setup'!$Q47,if(FZ4='Quick Setup'!$R$45,'Quick Setup'!$R47,if(FZ4='Quick Setup'!$S$45,'Quick Setup'!$S47,if(FZ4='Quick Setup'!$T$45,'Quick Setup'!$T47,if(FZ4='Quick Setup'!$U$45,'Quick Setup'!$U47,if(FZ4='Quick Setup'!$V$45,'Quick Setup'!$V47,'Quick Setup'!$W47))))))))))))))))))))</f>
        <v>1</v>
      </c>
      <c r="GC4" s="23">
        <f t="shared" ref="GC4:GK4" si="35">FQ4</f>
        <v>5</v>
      </c>
      <c r="GD4" s="24">
        <f t="shared" si="35"/>
        <v>-0.05</v>
      </c>
      <c r="GE4" s="24">
        <f t="shared" si="35"/>
        <v>-0.02</v>
      </c>
      <c r="GF4" s="24">
        <f t="shared" si="35"/>
        <v>0</v>
      </c>
      <c r="GG4" s="24">
        <f t="shared" si="35"/>
        <v>0.005</v>
      </c>
      <c r="GH4" s="24">
        <f t="shared" si="35"/>
        <v>0.01</v>
      </c>
      <c r="GI4" s="24">
        <f t="shared" si="35"/>
        <v>0.015</v>
      </c>
      <c r="GJ4" s="24">
        <f t="shared" si="35"/>
        <v>0.02</v>
      </c>
      <c r="GK4" s="24">
        <f t="shared" si="35"/>
        <v>0.03</v>
      </c>
      <c r="GL4" s="20">
        <f>'Quick Setup'!S61</f>
        <v>0.9</v>
      </c>
      <c r="GM4" s="21">
        <f>if(GL4='Quick Setup'!$C$31,'Quick Setup'!$C33,if(GL4='Quick Setup'!$D$31,'Quick Setup'!$D33,if(GL4='Quick Setup'!$E$31,'Quick Setup'!$E33,if(GL4='Quick Setup'!$F$31,'Quick Setup'!$F33,if(GL4='Quick Setup'!$G$31,'Quick Setup'!$G33,if(GL4='Quick Setup'!$H$31,'Quick Setup'!$H33,if(GL4='Quick Setup'!$I$31,'Quick Setup'!$I33,if(GL4='Quick Setup'!$J$31,'Quick Setup'!$J33,if(GL4='Quick Setup'!$K$31,'Quick Setup'!$K33,if(GL4='Quick Setup'!$L$31,'Quick Setup'!$L33,if(GL4='Quick Setup'!$M$31,'Quick Setup'!$M33,if(GL4='Quick Setup'!$N$31,'Quick Setup'!$N33,if(GL4='Quick Setup'!$O$31,'Quick Setup'!$O33,if(GL4='Quick Setup'!$P$31,'Quick Setup'!$P33,if(GL4='Quick Setup'!$Q$31,'Quick Setup'!$Q33,if(GL4='Quick Setup'!$R$31,'Quick Setup'!$R33,if(GL4='Quick Setup'!$S$31,'Quick Setup'!$S33,if(GL4='Quick Setup'!$T$31,'Quick Setup'!$T33,if(GL4='Quick Setup'!$U$31,'Quick Setup'!$U33,if(GL4='Quick Setup'!$V$31,'Quick Setup'!$V33,'Quick Setup'!$W33))))))))))))))))))))</f>
        <v>1</v>
      </c>
      <c r="GN4" s="21">
        <f>if(GL4='Quick Setup'!$C$45,'Quick Setup'!$C47,if(GL4='Quick Setup'!$D$45,'Quick Setup'!$D47,if(GL4='Quick Setup'!$E$45,'Quick Setup'!$E47,if(GL4='Quick Setup'!$F$45,'Quick Setup'!$F47,if(GL4='Quick Setup'!$G$45,'Quick Setup'!$G47,if(GL4='Quick Setup'!$H$45,'Quick Setup'!$H47,if(GL4='Quick Setup'!$I$45,'Quick Setup'!$I47,if(GL4='Quick Setup'!$J$45,'Quick Setup'!$J47,if(GL4='Quick Setup'!$K$45,'Quick Setup'!$K47,if(GL4='Quick Setup'!$L$45,'Quick Setup'!$L47,if(GL4='Quick Setup'!$M$45,'Quick Setup'!$M47,if(GL4='Quick Setup'!$N$45,'Quick Setup'!$N47,if(GL4='Quick Setup'!$O$45,'Quick Setup'!$O47,if(GL4='Quick Setup'!$P$45,'Quick Setup'!$P47,if(GL4='Quick Setup'!$Q$45,'Quick Setup'!$Q47,if(GL4='Quick Setup'!$R$45,'Quick Setup'!$R47,if(GL4='Quick Setup'!$S$45,'Quick Setup'!$S47,if(GL4='Quick Setup'!$T$45,'Quick Setup'!$T47,if(GL4='Quick Setup'!$U$45,'Quick Setup'!$U47,if(GL4='Quick Setup'!$V$45,'Quick Setup'!$V47,'Quick Setup'!$W47))))))))))))))))))))</f>
        <v>1</v>
      </c>
      <c r="GO4" s="23">
        <f t="shared" ref="GO4:GW4" si="36">GC4</f>
        <v>5</v>
      </c>
      <c r="GP4" s="24">
        <f t="shared" si="36"/>
        <v>-0.05</v>
      </c>
      <c r="GQ4" s="24">
        <f t="shared" si="36"/>
        <v>-0.02</v>
      </c>
      <c r="GR4" s="24">
        <f t="shared" si="36"/>
        <v>0</v>
      </c>
      <c r="GS4" s="24">
        <f t="shared" si="36"/>
        <v>0.005</v>
      </c>
      <c r="GT4" s="24">
        <f t="shared" si="36"/>
        <v>0.01</v>
      </c>
      <c r="GU4" s="24">
        <f t="shared" si="36"/>
        <v>0.015</v>
      </c>
      <c r="GV4" s="24">
        <f t="shared" si="36"/>
        <v>0.02</v>
      </c>
      <c r="GW4" s="24">
        <f t="shared" si="36"/>
        <v>0.03</v>
      </c>
      <c r="GX4" s="20">
        <f>'Quick Setup'!T61</f>
        <v>0.85</v>
      </c>
      <c r="GY4" s="21">
        <f>if(GX4='Quick Setup'!$C$31,'Quick Setup'!$C33,if(GX4='Quick Setup'!$D$31,'Quick Setup'!$D33,if(GX4='Quick Setup'!$E$31,'Quick Setup'!$E33,if(GX4='Quick Setup'!$F$31,'Quick Setup'!$F33,if(GX4='Quick Setup'!$G$31,'Quick Setup'!$G33,if(GX4='Quick Setup'!$H$31,'Quick Setup'!$H33,if(GX4='Quick Setup'!$I$31,'Quick Setup'!$I33,if(GX4='Quick Setup'!$J$31,'Quick Setup'!$J33,if(GX4='Quick Setup'!$K$31,'Quick Setup'!$K33,if(GX4='Quick Setup'!$L$31,'Quick Setup'!$L33,if(GX4='Quick Setup'!$M$31,'Quick Setup'!$M33,if(GX4='Quick Setup'!$N$31,'Quick Setup'!$N33,if(GX4='Quick Setup'!$O$31,'Quick Setup'!$O33,if(GX4='Quick Setup'!$P$31,'Quick Setup'!$P33,if(GX4='Quick Setup'!$Q$31,'Quick Setup'!$Q33,if(GX4='Quick Setup'!$R$31,'Quick Setup'!$R33,if(GX4='Quick Setup'!$S$31,'Quick Setup'!$S33,if(GX4='Quick Setup'!$T$31,'Quick Setup'!$T33,if(GX4='Quick Setup'!$U$31,'Quick Setup'!$U33,if(GX4='Quick Setup'!$V$31,'Quick Setup'!$V33,'Quick Setup'!$W33))))))))))))))))))))</f>
        <v>2</v>
      </c>
      <c r="GZ4" s="21">
        <f>if(GX4='Quick Setup'!$C$45,'Quick Setup'!$C47,if(GX4='Quick Setup'!$D$45,'Quick Setup'!$D47,if(GX4='Quick Setup'!$E$45,'Quick Setup'!$E47,if(GX4='Quick Setup'!$F$45,'Quick Setup'!$F47,if(GX4='Quick Setup'!$G$45,'Quick Setup'!$G47,if(GX4='Quick Setup'!$H$45,'Quick Setup'!$H47,if(GX4='Quick Setup'!$I$45,'Quick Setup'!$I47,if(GX4='Quick Setup'!$J$45,'Quick Setup'!$J47,if(GX4='Quick Setup'!$K$45,'Quick Setup'!$K47,if(GX4='Quick Setup'!$L$45,'Quick Setup'!$L47,if(GX4='Quick Setup'!$M$45,'Quick Setup'!$M47,if(GX4='Quick Setup'!$N$45,'Quick Setup'!$N47,if(GX4='Quick Setup'!$O$45,'Quick Setup'!$O47,if(GX4='Quick Setup'!$P$45,'Quick Setup'!$P47,if(GX4='Quick Setup'!$Q$45,'Quick Setup'!$Q47,if(GX4='Quick Setup'!$R$45,'Quick Setup'!$R47,if(GX4='Quick Setup'!$S$45,'Quick Setup'!$S47,if(GX4='Quick Setup'!$T$45,'Quick Setup'!$T47,if(GX4='Quick Setup'!$U$45,'Quick Setup'!$U47,if(GX4='Quick Setup'!$V$45,'Quick Setup'!$V47,'Quick Setup'!$W47))))))))))))))))))))</f>
        <v>1</v>
      </c>
      <c r="HA4" s="23">
        <f t="shared" ref="HA4:HI4" si="37">GO4</f>
        <v>5</v>
      </c>
      <c r="HB4" s="24">
        <f t="shared" si="37"/>
        <v>-0.05</v>
      </c>
      <c r="HC4" s="24">
        <f t="shared" si="37"/>
        <v>-0.02</v>
      </c>
      <c r="HD4" s="24">
        <f t="shared" si="37"/>
        <v>0</v>
      </c>
      <c r="HE4" s="24">
        <f t="shared" si="37"/>
        <v>0.005</v>
      </c>
      <c r="HF4" s="24">
        <f t="shared" si="37"/>
        <v>0.01</v>
      </c>
      <c r="HG4" s="24">
        <f t="shared" si="37"/>
        <v>0.015</v>
      </c>
      <c r="HH4" s="24">
        <f t="shared" si="37"/>
        <v>0.02</v>
      </c>
      <c r="HI4" s="24">
        <f t="shared" si="37"/>
        <v>0.03</v>
      </c>
      <c r="HJ4" s="20">
        <f>'Quick Setup'!U61</f>
        <v>0.9</v>
      </c>
      <c r="HK4" s="21">
        <f>if(HJ4='Quick Setup'!$C$31,'Quick Setup'!$C33,if(HJ4='Quick Setup'!$D$31,'Quick Setup'!$D33,if(HJ4='Quick Setup'!$E$31,'Quick Setup'!$E33,if(HJ4='Quick Setup'!$F$31,'Quick Setup'!$F33,if(HJ4='Quick Setup'!$G$31,'Quick Setup'!$G33,if(HJ4='Quick Setup'!$H$31,'Quick Setup'!$H33,if(HJ4='Quick Setup'!$I$31,'Quick Setup'!$I33,if(HJ4='Quick Setup'!$J$31,'Quick Setup'!$J33,if(HJ4='Quick Setup'!$K$31,'Quick Setup'!$K33,if(HJ4='Quick Setup'!$L$31,'Quick Setup'!$L33,if(HJ4='Quick Setup'!$M$31,'Quick Setup'!$M33,if(HJ4='Quick Setup'!$N$31,'Quick Setup'!$N33,if(HJ4='Quick Setup'!$O$31,'Quick Setup'!$O33,if(HJ4='Quick Setup'!$P$31,'Quick Setup'!$P33,if(HJ4='Quick Setup'!$Q$31,'Quick Setup'!$Q33,if(HJ4='Quick Setup'!$R$31,'Quick Setup'!$R33,if(HJ4='Quick Setup'!$S$31,'Quick Setup'!$S33,if(HJ4='Quick Setup'!$T$31,'Quick Setup'!$T33,if(HJ4='Quick Setup'!$U$31,'Quick Setup'!$U33,if(HJ4='Quick Setup'!$V$31,'Quick Setup'!$V33,'Quick Setup'!$W33))))))))))))))))))))</f>
        <v>1</v>
      </c>
      <c r="HL4" s="21">
        <f>if(HJ4='Quick Setup'!$C$45,'Quick Setup'!$C47,if(HJ4='Quick Setup'!$D$45,'Quick Setup'!$D47,if(HJ4='Quick Setup'!$E$45,'Quick Setup'!$E47,if(HJ4='Quick Setup'!$F$45,'Quick Setup'!$F47,if(HJ4='Quick Setup'!$G$45,'Quick Setup'!$G47,if(HJ4='Quick Setup'!$H$45,'Quick Setup'!$H47,if(HJ4='Quick Setup'!$I$45,'Quick Setup'!$I47,if(HJ4='Quick Setup'!$J$45,'Quick Setup'!$J47,if(HJ4='Quick Setup'!$K$45,'Quick Setup'!$K47,if(HJ4='Quick Setup'!$L$45,'Quick Setup'!$L47,if(HJ4='Quick Setup'!$M$45,'Quick Setup'!$M47,if(HJ4='Quick Setup'!$N$45,'Quick Setup'!$N47,if(HJ4='Quick Setup'!$O$45,'Quick Setup'!$O47,if(HJ4='Quick Setup'!$P$45,'Quick Setup'!$P47,if(HJ4='Quick Setup'!$Q$45,'Quick Setup'!$Q47,if(HJ4='Quick Setup'!$R$45,'Quick Setup'!$R47,if(HJ4='Quick Setup'!$S$45,'Quick Setup'!$S47,if(HJ4='Quick Setup'!$T$45,'Quick Setup'!$T47,if(HJ4='Quick Setup'!$U$45,'Quick Setup'!$U47,if(HJ4='Quick Setup'!$V$45,'Quick Setup'!$V47,'Quick Setup'!$W47))))))))))))))))))))</f>
        <v>1</v>
      </c>
      <c r="HM4" s="23">
        <f t="shared" ref="HM4:HU4" si="38">HA4</f>
        <v>5</v>
      </c>
      <c r="HN4" s="24">
        <f t="shared" si="38"/>
        <v>-0.05</v>
      </c>
      <c r="HO4" s="24">
        <f t="shared" si="38"/>
        <v>-0.02</v>
      </c>
      <c r="HP4" s="24">
        <f t="shared" si="38"/>
        <v>0</v>
      </c>
      <c r="HQ4" s="24">
        <f t="shared" si="38"/>
        <v>0.005</v>
      </c>
      <c r="HR4" s="24">
        <f t="shared" si="38"/>
        <v>0.01</v>
      </c>
      <c r="HS4" s="24">
        <f t="shared" si="38"/>
        <v>0.015</v>
      </c>
      <c r="HT4" s="24">
        <f t="shared" si="38"/>
        <v>0.02</v>
      </c>
      <c r="HU4" s="24">
        <f t="shared" si="38"/>
        <v>0.03</v>
      </c>
      <c r="HV4" s="20">
        <f>'Quick Setup'!V61</f>
        <v>0.95</v>
      </c>
      <c r="HW4" s="21">
        <f>if(HV4='Quick Setup'!$C$31,'Quick Setup'!$C33,if(HV4='Quick Setup'!$D$31,'Quick Setup'!$D33,if(HV4='Quick Setup'!$E$31,'Quick Setup'!$E33,if(HV4='Quick Setup'!$F$31,'Quick Setup'!$F33,if(HV4='Quick Setup'!$G$31,'Quick Setup'!$G33,if(HV4='Quick Setup'!$H$31,'Quick Setup'!$H33,if(HV4='Quick Setup'!$I$31,'Quick Setup'!$I33,if(HV4='Quick Setup'!$J$31,'Quick Setup'!$J33,if(HV4='Quick Setup'!$K$31,'Quick Setup'!$K33,if(HV4='Quick Setup'!$L$31,'Quick Setup'!$L33,if(HV4='Quick Setup'!$M$31,'Quick Setup'!$M33,if(HV4='Quick Setup'!$N$31,'Quick Setup'!$N33,if(HV4='Quick Setup'!$O$31,'Quick Setup'!$O33,if(HV4='Quick Setup'!$P$31,'Quick Setup'!$P33,if(HV4='Quick Setup'!$Q$31,'Quick Setup'!$Q33,if(HV4='Quick Setup'!$R$31,'Quick Setup'!$R33,if(HV4='Quick Setup'!$S$31,'Quick Setup'!$S33,if(HV4='Quick Setup'!$T$31,'Quick Setup'!$T33,if(HV4='Quick Setup'!$U$31,'Quick Setup'!$U33,if(HV4='Quick Setup'!$V$31,'Quick Setup'!$V33,'Quick Setup'!$W33))))))))))))))))))))</f>
        <v>1</v>
      </c>
      <c r="HX4" s="21">
        <f>if(HV4='Quick Setup'!$C$45,'Quick Setup'!$C47,if(HV4='Quick Setup'!$D$45,'Quick Setup'!$D47,if(HV4='Quick Setup'!$E$45,'Quick Setup'!$E47,if(HV4='Quick Setup'!$F$45,'Quick Setup'!$F47,if(HV4='Quick Setup'!$G$45,'Quick Setup'!$G47,if(HV4='Quick Setup'!$H$45,'Quick Setup'!$H47,if(HV4='Quick Setup'!$I$45,'Quick Setup'!$I47,if(HV4='Quick Setup'!$J$45,'Quick Setup'!$J47,if(HV4='Quick Setup'!$K$45,'Quick Setup'!$K47,if(HV4='Quick Setup'!$L$45,'Quick Setup'!$L47,if(HV4='Quick Setup'!$M$45,'Quick Setup'!$M47,if(HV4='Quick Setup'!$N$45,'Quick Setup'!$N47,if(HV4='Quick Setup'!$O$45,'Quick Setup'!$O47,if(HV4='Quick Setup'!$P$45,'Quick Setup'!$P47,if(HV4='Quick Setup'!$Q$45,'Quick Setup'!$Q47,if(HV4='Quick Setup'!$R$45,'Quick Setup'!$R47,if(HV4='Quick Setup'!$S$45,'Quick Setup'!$S47,if(HV4='Quick Setup'!$T$45,'Quick Setup'!$T47,if(HV4='Quick Setup'!$U$45,'Quick Setup'!$U47,if(HV4='Quick Setup'!$V$45,'Quick Setup'!$V47,'Quick Setup'!$W47))))))))))))))))))))</f>
        <v>1</v>
      </c>
      <c r="HY4" s="23">
        <f t="shared" ref="HY4:IG4" si="39">HM4</f>
        <v>5</v>
      </c>
      <c r="HZ4" s="24">
        <f t="shared" si="39"/>
        <v>-0.05</v>
      </c>
      <c r="IA4" s="24">
        <f t="shared" si="39"/>
        <v>-0.02</v>
      </c>
      <c r="IB4" s="24">
        <f t="shared" si="39"/>
        <v>0</v>
      </c>
      <c r="IC4" s="24">
        <f t="shared" si="39"/>
        <v>0.005</v>
      </c>
      <c r="ID4" s="24">
        <f t="shared" si="39"/>
        <v>0.01</v>
      </c>
      <c r="IE4" s="24">
        <f t="shared" si="39"/>
        <v>0.015</v>
      </c>
      <c r="IF4" s="24">
        <f t="shared" si="39"/>
        <v>0.02</v>
      </c>
      <c r="IG4" s="24">
        <f t="shared" si="39"/>
        <v>0.03</v>
      </c>
      <c r="IH4" s="20">
        <f>'Quick Setup'!W61</f>
        <v>0.6</v>
      </c>
      <c r="II4" s="21">
        <f>if(IH4='Quick Setup'!$C$31,'Quick Setup'!$C33,if(IH4='Quick Setup'!$D$31,'Quick Setup'!$D33,if(IH4='Quick Setup'!$E$31,'Quick Setup'!$E33,if(IH4='Quick Setup'!$F$31,'Quick Setup'!$F33,if(IH4='Quick Setup'!$G$31,'Quick Setup'!$G33,if(IH4='Quick Setup'!$H$31,'Quick Setup'!$H33,if(IH4='Quick Setup'!$I$31,'Quick Setup'!$I33,if(IH4='Quick Setup'!$J$31,'Quick Setup'!$J33,if(IH4='Quick Setup'!$K$31,'Quick Setup'!$K33,if(IH4='Quick Setup'!$L$31,'Quick Setup'!$L33,if(IH4='Quick Setup'!$M$31,'Quick Setup'!$M33,if(IH4='Quick Setup'!$N$31,'Quick Setup'!$N33,if(IH4='Quick Setup'!$O$31,'Quick Setup'!$O33,if(IH4='Quick Setup'!$P$31,'Quick Setup'!$P33,if(IH4='Quick Setup'!$Q$31,'Quick Setup'!$Q33,if(IH4='Quick Setup'!$R$31,'Quick Setup'!$R33,if(IH4='Quick Setup'!$S$31,'Quick Setup'!$S33,if(IH4='Quick Setup'!$T$31,'Quick Setup'!$T33,if(IH4='Quick Setup'!$U$31,'Quick Setup'!$U33,if(IH4='Quick Setup'!$V$31,'Quick Setup'!$V33,'Quick Setup'!$W33))))))))))))))))))))</f>
        <v>7</v>
      </c>
      <c r="IJ4" s="21">
        <f>if(IH4='Quick Setup'!$C$45,'Quick Setup'!$C47,if(IH4='Quick Setup'!$D$45,'Quick Setup'!$D47,if(IH4='Quick Setup'!$E$45,'Quick Setup'!$E47,if(IH4='Quick Setup'!$F$45,'Quick Setup'!$F47,if(IH4='Quick Setup'!$G$45,'Quick Setup'!$G47,if(IH4='Quick Setup'!$H$45,'Quick Setup'!$H47,if(IH4='Quick Setup'!$I$45,'Quick Setup'!$I47,if(IH4='Quick Setup'!$J$45,'Quick Setup'!$J47,if(IH4='Quick Setup'!$K$45,'Quick Setup'!$K47,if(IH4='Quick Setup'!$L$45,'Quick Setup'!$L47,if(IH4='Quick Setup'!$M$45,'Quick Setup'!$M47,if(IH4='Quick Setup'!$N$45,'Quick Setup'!$N47,if(IH4='Quick Setup'!$O$45,'Quick Setup'!$O47,if(IH4='Quick Setup'!$P$45,'Quick Setup'!$P47,if(IH4='Quick Setup'!$Q$45,'Quick Setup'!$Q47,if(IH4='Quick Setup'!$R$45,'Quick Setup'!$R47,if(IH4='Quick Setup'!$S$45,'Quick Setup'!$S47,if(IH4='Quick Setup'!$T$45,'Quick Setup'!$T47,if(IH4='Quick Setup'!$U$45,'Quick Setup'!$U47,if(IH4='Quick Setup'!$V$45,'Quick Setup'!$V47,'Quick Setup'!$W47))))))))))))))))))))</f>
        <v>3</v>
      </c>
      <c r="IK4" s="23">
        <f t="shared" ref="IK4:IS4" si="40">HY4</f>
        <v>5</v>
      </c>
      <c r="IL4" s="24">
        <f t="shared" si="40"/>
        <v>-0.05</v>
      </c>
      <c r="IM4" s="24">
        <f t="shared" si="40"/>
        <v>-0.02</v>
      </c>
      <c r="IN4" s="24">
        <f t="shared" si="40"/>
        <v>0</v>
      </c>
      <c r="IO4" s="24">
        <f t="shared" si="40"/>
        <v>0.005</v>
      </c>
      <c r="IP4" s="24">
        <f t="shared" si="40"/>
        <v>0.01</v>
      </c>
      <c r="IQ4" s="24">
        <f t="shared" si="40"/>
        <v>0.015</v>
      </c>
      <c r="IR4" s="24">
        <f t="shared" si="40"/>
        <v>0.02</v>
      </c>
      <c r="IS4" s="24">
        <f t="shared" si="40"/>
        <v>0.03</v>
      </c>
    </row>
    <row r="5">
      <c r="A5" t="str">
        <f>'Quick Setup'!C7</f>
        <v>Deadlift</v>
      </c>
      <c r="B5" s="20">
        <f>'Quick Setup'!C62</f>
        <v>0.7</v>
      </c>
      <c r="C5" s="21">
        <f>if(B5='Quick Setup'!$C$31,'Quick Setup'!$C34,if(B5='Quick Setup'!$D$31,'Quick Setup'!$D34,if(B5='Quick Setup'!$E$31,'Quick Setup'!$E34,if(B5='Quick Setup'!$F$31,'Quick Setup'!$F34,if(B5='Quick Setup'!$G$31,'Quick Setup'!$G34,if(B5='Quick Setup'!$H$31,'Quick Setup'!$H34,if(B5='Quick Setup'!$I$31,'Quick Setup'!$I34,if(B5='Quick Setup'!$J$31,'Quick Setup'!$J34,if(B5='Quick Setup'!$K$31,'Quick Setup'!$K34,if(B5='Quick Setup'!$L$31,'Quick Setup'!$L34,if(B5='Quick Setup'!$M$31,'Quick Setup'!$M34,if(B5='Quick Setup'!$N$31,'Quick Setup'!$N34,if(B5='Quick Setup'!$O$31,'Quick Setup'!$O34,if(B5='Quick Setup'!$P$31,'Quick Setup'!$P34,if(B5='Quick Setup'!$Q$31,'Quick Setup'!$Q34,if(B5='Quick Setup'!$R$31,'Quick Setup'!$R34,if(B5='Quick Setup'!$S$31,'Quick Setup'!$S34,if(B5='Quick Setup'!$T$31,'Quick Setup'!$T34,if(B5='Quick Setup'!$U$31,'Quick Setup'!$U34,if(B5='Quick Setup'!$V$31,'Quick Setup'!$V34,'Quick Setup'!$W34))))))))))))))))))))</f>
        <v>5</v>
      </c>
      <c r="D5" s="21">
        <f>if(B5='Quick Setup'!$C$45,'Quick Setup'!$C48,if(B5='Quick Setup'!$D$45,'Quick Setup'!$D48,if(B5='Quick Setup'!$E$45,'Quick Setup'!$E48,if(B5='Quick Setup'!$F$45,'Quick Setup'!$F48,if(B5='Quick Setup'!$G$45,'Quick Setup'!$G48,if(B5='Quick Setup'!$H$45,'Quick Setup'!$H48,if(B5='Quick Setup'!$I$45,'Quick Setup'!$I48,if(B5='Quick Setup'!$J$45,'Quick Setup'!$J48,if(B5='Quick Setup'!$K$45,'Quick Setup'!$K48,if(B5='Quick Setup'!$L$45,'Quick Setup'!$L48,if(B5='Quick Setup'!$M$45,'Quick Setup'!$M48,if(B5='Quick Setup'!$N$45,'Quick Setup'!$N48,if(B5='Quick Setup'!$O$45,'Quick Setup'!$O48,if(B5='Quick Setup'!$P$45,'Quick Setup'!$P48,if(B5='Quick Setup'!$Q$45,'Quick Setup'!$Q48,if(B5='Quick Setup'!$R$45,'Quick Setup'!$R48,if(B5='Quick Setup'!$S$45,'Quick Setup'!$S48,if(B5='Quick Setup'!$T$45,'Quick Setup'!$T48,if(B5='Quick Setup'!$U$45,'Quick Setup'!$U48,if(B5='Quick Setup'!$V$45,'Quick Setup'!$V48,'Quick Setup'!$W48))))))))))))))))))))</f>
        <v>3</v>
      </c>
      <c r="E5" s="21">
        <f>'Quick Setup'!H8</f>
        <v>5</v>
      </c>
      <c r="F5" s="22">
        <f>'Quick Setup'!I8</f>
        <v>-0.05</v>
      </c>
      <c r="G5" s="22">
        <f>'Quick Setup'!J8</f>
        <v>-0.02</v>
      </c>
      <c r="H5" s="22">
        <f>'Quick Setup'!K8</f>
        <v>0</v>
      </c>
      <c r="I5" s="22">
        <f>'Quick Setup'!L8</f>
        <v>0.005</v>
      </c>
      <c r="J5" s="22">
        <f>'Quick Setup'!M8</f>
        <v>0.01</v>
      </c>
      <c r="K5" s="22">
        <f>'Quick Setup'!N8</f>
        <v>0.015</v>
      </c>
      <c r="L5" s="22">
        <f>'Quick Setup'!O8</f>
        <v>0.02</v>
      </c>
      <c r="M5" s="22">
        <f>'Quick Setup'!P8</f>
        <v>0.03</v>
      </c>
      <c r="N5" s="20">
        <f>'Quick Setup'!D62</f>
        <v>0.75</v>
      </c>
      <c r="O5" s="21">
        <f>if(N5='Quick Setup'!$C$31,'Quick Setup'!$C34,if(N5='Quick Setup'!$D$31,'Quick Setup'!$D34,if(N5='Quick Setup'!$E$31,'Quick Setup'!$E34,if(N5='Quick Setup'!$F$31,'Quick Setup'!$F34,if(N5='Quick Setup'!$G$31,'Quick Setup'!$G34,if(N5='Quick Setup'!$H$31,'Quick Setup'!$H34,if(N5='Quick Setup'!$I$31,'Quick Setup'!$I34,if(N5='Quick Setup'!$J$31,'Quick Setup'!$J34,if(N5='Quick Setup'!$K$31,'Quick Setup'!$K34,if(N5='Quick Setup'!$L$31,'Quick Setup'!$L34,if(N5='Quick Setup'!$M$31,'Quick Setup'!$M34,if(N5='Quick Setup'!$N$31,'Quick Setup'!$N34,if(N5='Quick Setup'!$O$31,'Quick Setup'!$O34,if(N5='Quick Setup'!$P$31,'Quick Setup'!$P34,if(N5='Quick Setup'!$Q$31,'Quick Setup'!$Q34,if(N5='Quick Setup'!$R$31,'Quick Setup'!$R34,if(N5='Quick Setup'!$S$31,'Quick Setup'!$S34,if(N5='Quick Setup'!$T$31,'Quick Setup'!$T34,if(N5='Quick Setup'!$U$31,'Quick Setup'!$U34,if(N5='Quick Setup'!$V$31,'Quick Setup'!$V34,'Quick Setup'!$W34))))))))))))))))))))</f>
        <v>4</v>
      </c>
      <c r="P5" s="21">
        <f>if(N5='Quick Setup'!$C$45,'Quick Setup'!$C48,if(N5='Quick Setup'!$D$45,'Quick Setup'!$D48,if(N5='Quick Setup'!$E$45,'Quick Setup'!$E48,if(N5='Quick Setup'!$F$45,'Quick Setup'!$F48,if(N5='Quick Setup'!$G$45,'Quick Setup'!$G48,if(N5='Quick Setup'!$H$45,'Quick Setup'!$H48,if(N5='Quick Setup'!$I$45,'Quick Setup'!$I48,if(N5='Quick Setup'!$J$45,'Quick Setup'!$J48,if(N5='Quick Setup'!$K$45,'Quick Setup'!$K48,if(N5='Quick Setup'!$L$45,'Quick Setup'!$L48,if(N5='Quick Setup'!$M$45,'Quick Setup'!$M48,if(N5='Quick Setup'!$N$45,'Quick Setup'!$N48,if(N5='Quick Setup'!$O$45,'Quick Setup'!$O48,if(N5='Quick Setup'!$P$45,'Quick Setup'!$P48,if(N5='Quick Setup'!$Q$45,'Quick Setup'!$Q48,if(N5='Quick Setup'!$R$45,'Quick Setup'!$R48,if(N5='Quick Setup'!$S$45,'Quick Setup'!$S48,if(N5='Quick Setup'!$T$45,'Quick Setup'!$T48,if(N5='Quick Setup'!$U$45,'Quick Setup'!$U48,if(N5='Quick Setup'!$V$45,'Quick Setup'!$V48,'Quick Setup'!$W48))))))))))))))))))))</f>
        <v>2</v>
      </c>
      <c r="Q5" s="21">
        <f t="shared" ref="Q5:Y5" si="41">E5</f>
        <v>5</v>
      </c>
      <c r="R5" s="22">
        <f t="shared" si="41"/>
        <v>-0.05</v>
      </c>
      <c r="S5" s="22">
        <f t="shared" si="41"/>
        <v>-0.02</v>
      </c>
      <c r="T5" s="22">
        <f t="shared" si="41"/>
        <v>0</v>
      </c>
      <c r="U5" s="22">
        <f t="shared" si="41"/>
        <v>0.005</v>
      </c>
      <c r="V5" s="22">
        <f t="shared" si="41"/>
        <v>0.01</v>
      </c>
      <c r="W5" s="22">
        <f t="shared" si="41"/>
        <v>0.015</v>
      </c>
      <c r="X5" s="22">
        <f t="shared" si="41"/>
        <v>0.02</v>
      </c>
      <c r="Y5" s="22">
        <f t="shared" si="41"/>
        <v>0.03</v>
      </c>
      <c r="Z5" s="20">
        <f>'Quick Setup'!E62</f>
        <v>0.8</v>
      </c>
      <c r="AA5" s="21">
        <f>if(Z5='Quick Setup'!$C$31,'Quick Setup'!$C34,if(Z5='Quick Setup'!$D$31,'Quick Setup'!$D34,if(Z5='Quick Setup'!$E$31,'Quick Setup'!$E34,if(Z5='Quick Setup'!$F$31,'Quick Setup'!$F34,if(Z5='Quick Setup'!$G$31,'Quick Setup'!$G34,if(Z5='Quick Setup'!$H$31,'Quick Setup'!$H34,if(Z5='Quick Setup'!$I$31,'Quick Setup'!$I34,if(Z5='Quick Setup'!$J$31,'Quick Setup'!$J34,if(Z5='Quick Setup'!$K$31,'Quick Setup'!$K34,if(Z5='Quick Setup'!$L$31,'Quick Setup'!$L34,if(Z5='Quick Setup'!$M$31,'Quick Setup'!$M34,if(Z5='Quick Setup'!$N$31,'Quick Setup'!$N34,if(Z5='Quick Setup'!$O$31,'Quick Setup'!$O34,if(Z5='Quick Setup'!$P$31,'Quick Setup'!$P34,if(Z5='Quick Setup'!$Q$31,'Quick Setup'!$Q34,if(Z5='Quick Setup'!$R$31,'Quick Setup'!$R34,if(Z5='Quick Setup'!$S$31,'Quick Setup'!$S34,if(Z5='Quick Setup'!$T$31,'Quick Setup'!$T34,if(Z5='Quick Setup'!$U$31,'Quick Setup'!$U34,if(Z5='Quick Setup'!$V$31,'Quick Setup'!$V34,'Quick Setup'!$W34))))))))))))))))))))</f>
        <v>3</v>
      </c>
      <c r="AB5" s="21">
        <f>if(Z5='Quick Setup'!$C$45,'Quick Setup'!$C48,if(Z5='Quick Setup'!$D$45,'Quick Setup'!$D48,if(Z5='Quick Setup'!$E$45,'Quick Setup'!$E48,if(Z5='Quick Setup'!$F$45,'Quick Setup'!$F48,if(Z5='Quick Setup'!$G$45,'Quick Setup'!$G48,if(Z5='Quick Setup'!$H$45,'Quick Setup'!$H48,if(Z5='Quick Setup'!$I$45,'Quick Setup'!$I48,if(Z5='Quick Setup'!$J$45,'Quick Setup'!$J48,if(Z5='Quick Setup'!$K$45,'Quick Setup'!$K48,if(Z5='Quick Setup'!$L$45,'Quick Setup'!$L48,if(Z5='Quick Setup'!$M$45,'Quick Setup'!$M48,if(Z5='Quick Setup'!$N$45,'Quick Setup'!$N48,if(Z5='Quick Setup'!$O$45,'Quick Setup'!$O48,if(Z5='Quick Setup'!$P$45,'Quick Setup'!$P48,if(Z5='Quick Setup'!$Q$45,'Quick Setup'!$Q48,if(Z5='Quick Setup'!$R$45,'Quick Setup'!$R48,if(Z5='Quick Setup'!$S$45,'Quick Setup'!$S48,if(Z5='Quick Setup'!$T$45,'Quick Setup'!$T48,if(Z5='Quick Setup'!$U$45,'Quick Setup'!$U48,if(Z5='Quick Setup'!$V$45,'Quick Setup'!$V48,'Quick Setup'!$W48))))))))))))))))))))</f>
        <v>2</v>
      </c>
      <c r="AC5" s="21">
        <f t="shared" ref="AC5:AK5" si="42">Q5</f>
        <v>5</v>
      </c>
      <c r="AD5" s="22">
        <f t="shared" si="42"/>
        <v>-0.05</v>
      </c>
      <c r="AE5" s="22">
        <f t="shared" si="42"/>
        <v>-0.02</v>
      </c>
      <c r="AF5" s="22">
        <f t="shared" si="42"/>
        <v>0</v>
      </c>
      <c r="AG5" s="22">
        <f t="shared" si="42"/>
        <v>0.005</v>
      </c>
      <c r="AH5" s="22">
        <f t="shared" si="42"/>
        <v>0.01</v>
      </c>
      <c r="AI5" s="22">
        <f t="shared" si="42"/>
        <v>0.015</v>
      </c>
      <c r="AJ5" s="22">
        <f t="shared" si="42"/>
        <v>0.02</v>
      </c>
      <c r="AK5" s="22">
        <f t="shared" si="42"/>
        <v>0.03</v>
      </c>
      <c r="AL5" s="20">
        <f>'Quick Setup'!F62</f>
        <v>0.725</v>
      </c>
      <c r="AM5" s="21">
        <f>if(AL5='Quick Setup'!$C$31,'Quick Setup'!$C34,if(AL5='Quick Setup'!$D$31,'Quick Setup'!$D34,if(AL5='Quick Setup'!$E$31,'Quick Setup'!$E34,if(AL5='Quick Setup'!$F$31,'Quick Setup'!$F34,if(AL5='Quick Setup'!$G$31,'Quick Setup'!$G34,if(AL5='Quick Setup'!$H$31,'Quick Setup'!$H34,if(AL5='Quick Setup'!$I$31,'Quick Setup'!$I34,if(AL5='Quick Setup'!$J$31,'Quick Setup'!$J34,if(AL5='Quick Setup'!$K$31,'Quick Setup'!$K34,if(AL5='Quick Setup'!$L$31,'Quick Setup'!$L34,if(AL5='Quick Setup'!$M$31,'Quick Setup'!$M34,if(AL5='Quick Setup'!$N$31,'Quick Setup'!$N34,if(AL5='Quick Setup'!$O$31,'Quick Setup'!$O34,if(AL5='Quick Setup'!$P$31,'Quick Setup'!$P34,if(AL5='Quick Setup'!$Q$31,'Quick Setup'!$Q34,if(AL5='Quick Setup'!$R$31,'Quick Setup'!$R34,if(AL5='Quick Setup'!$S$31,'Quick Setup'!$S34,if(AL5='Quick Setup'!$T$31,'Quick Setup'!$T34,if(AL5='Quick Setup'!$U$31,'Quick Setup'!$U34,if(AL5='Quick Setup'!$V$31,'Quick Setup'!$V34,'Quick Setup'!$W34))))))))))))))))))))</f>
        <v>5</v>
      </c>
      <c r="AN5" s="21">
        <f>if(AL5='Quick Setup'!$C$45,'Quick Setup'!$C48,if(AL5='Quick Setup'!$D$45,'Quick Setup'!$D48,if(AL5='Quick Setup'!$E$45,'Quick Setup'!$E48,if(AL5='Quick Setup'!$F$45,'Quick Setup'!$F48,if(AL5='Quick Setup'!$G$45,'Quick Setup'!$G48,if(AL5='Quick Setup'!$H$45,'Quick Setup'!$H48,if(AL5='Quick Setup'!$I$45,'Quick Setup'!$I48,if(AL5='Quick Setup'!$J$45,'Quick Setup'!$J48,if(AL5='Quick Setup'!$K$45,'Quick Setup'!$K48,if(AL5='Quick Setup'!$L$45,'Quick Setup'!$L48,if(AL5='Quick Setup'!$M$45,'Quick Setup'!$M48,if(AL5='Quick Setup'!$N$45,'Quick Setup'!$N48,if(AL5='Quick Setup'!$O$45,'Quick Setup'!$O48,if(AL5='Quick Setup'!$P$45,'Quick Setup'!$P48,if(AL5='Quick Setup'!$Q$45,'Quick Setup'!$Q48,if(AL5='Quick Setup'!$R$45,'Quick Setup'!$R48,if(AL5='Quick Setup'!$S$45,'Quick Setup'!$S48,if(AL5='Quick Setup'!$T$45,'Quick Setup'!$T48,if(AL5='Quick Setup'!$U$45,'Quick Setup'!$U48,if(AL5='Quick Setup'!$V$45,'Quick Setup'!$V48,'Quick Setup'!$W48))))))))))))))))))))</f>
        <v>3</v>
      </c>
      <c r="AO5" s="21">
        <f t="shared" ref="AO5:AW5" si="43">AC5</f>
        <v>5</v>
      </c>
      <c r="AP5" s="22">
        <f t="shared" si="43"/>
        <v>-0.05</v>
      </c>
      <c r="AQ5" s="22">
        <f t="shared" si="43"/>
        <v>-0.02</v>
      </c>
      <c r="AR5" s="22">
        <f t="shared" si="43"/>
        <v>0</v>
      </c>
      <c r="AS5" s="22">
        <f t="shared" si="43"/>
        <v>0.005</v>
      </c>
      <c r="AT5" s="22">
        <f t="shared" si="43"/>
        <v>0.01</v>
      </c>
      <c r="AU5" s="22">
        <f t="shared" si="43"/>
        <v>0.015</v>
      </c>
      <c r="AV5" s="22">
        <f t="shared" si="43"/>
        <v>0.02</v>
      </c>
      <c r="AW5" s="22">
        <f t="shared" si="43"/>
        <v>0.03</v>
      </c>
      <c r="AX5" s="20">
        <f>'Quick Setup'!G62</f>
        <v>0.775</v>
      </c>
      <c r="AY5" s="21">
        <f>if(AX5='Quick Setup'!$C$31,'Quick Setup'!$C34,if(AX5='Quick Setup'!$D$31,'Quick Setup'!$D34,if(AX5='Quick Setup'!$E$31,'Quick Setup'!$E34,if(AX5='Quick Setup'!$F$31,'Quick Setup'!$F34,if(AX5='Quick Setup'!$G$31,'Quick Setup'!$G34,if(AX5='Quick Setup'!$H$31,'Quick Setup'!$H34,if(AX5='Quick Setup'!$I$31,'Quick Setup'!$I34,if(AX5='Quick Setup'!$J$31,'Quick Setup'!$J34,if(AX5='Quick Setup'!$K$31,'Quick Setup'!$K34,if(AX5='Quick Setup'!$L$31,'Quick Setup'!$L34,if(AX5='Quick Setup'!$M$31,'Quick Setup'!$M34,if(AX5='Quick Setup'!$N$31,'Quick Setup'!$N34,if(AX5='Quick Setup'!$O$31,'Quick Setup'!$O34,if(AX5='Quick Setup'!$P$31,'Quick Setup'!$P34,if(AX5='Quick Setup'!$Q$31,'Quick Setup'!$Q34,if(AX5='Quick Setup'!$R$31,'Quick Setup'!$R34,if(AX5='Quick Setup'!$S$31,'Quick Setup'!$S34,if(AX5='Quick Setup'!$T$31,'Quick Setup'!$T34,if(AX5='Quick Setup'!$U$31,'Quick Setup'!$U34,if(AX5='Quick Setup'!$V$31,'Quick Setup'!$V34,'Quick Setup'!$W34))))))))))))))))))))</f>
        <v>4</v>
      </c>
      <c r="AZ5" s="21">
        <f>if(AX5='Quick Setup'!$C$45,'Quick Setup'!$C48,if(AX5='Quick Setup'!$D$45,'Quick Setup'!$D48,if(AX5='Quick Setup'!$E$45,'Quick Setup'!$E48,if(AX5='Quick Setup'!$F$45,'Quick Setup'!$F48,if(AX5='Quick Setup'!$G$45,'Quick Setup'!$G48,if(AX5='Quick Setup'!$H$45,'Quick Setup'!$H48,if(AX5='Quick Setup'!$I$45,'Quick Setup'!$I48,if(AX5='Quick Setup'!$J$45,'Quick Setup'!$J48,if(AX5='Quick Setup'!$K$45,'Quick Setup'!$K48,if(AX5='Quick Setup'!$L$45,'Quick Setup'!$L48,if(AX5='Quick Setup'!$M$45,'Quick Setup'!$M48,if(AX5='Quick Setup'!$N$45,'Quick Setup'!$N48,if(AX5='Quick Setup'!$O$45,'Quick Setup'!$O48,if(AX5='Quick Setup'!$P$45,'Quick Setup'!$P48,if(AX5='Quick Setup'!$Q$45,'Quick Setup'!$Q48,if(AX5='Quick Setup'!$R$45,'Quick Setup'!$R48,if(AX5='Quick Setup'!$S$45,'Quick Setup'!$S48,if(AX5='Quick Setup'!$T$45,'Quick Setup'!$T48,if(AX5='Quick Setup'!$U$45,'Quick Setup'!$U48,if(AX5='Quick Setup'!$V$45,'Quick Setup'!$V48,'Quick Setup'!$W48))))))))))))))))))))</f>
        <v>2</v>
      </c>
      <c r="BA5" s="21">
        <f t="shared" ref="BA5:BI5" si="44">AO5</f>
        <v>5</v>
      </c>
      <c r="BB5" s="22">
        <f t="shared" si="44"/>
        <v>-0.05</v>
      </c>
      <c r="BC5" s="22">
        <f t="shared" si="44"/>
        <v>-0.02</v>
      </c>
      <c r="BD5" s="22">
        <f t="shared" si="44"/>
        <v>0</v>
      </c>
      <c r="BE5" s="22">
        <f t="shared" si="44"/>
        <v>0.005</v>
      </c>
      <c r="BF5" s="22">
        <f t="shared" si="44"/>
        <v>0.01</v>
      </c>
      <c r="BG5" s="22">
        <f t="shared" si="44"/>
        <v>0.015</v>
      </c>
      <c r="BH5" s="22">
        <f t="shared" si="44"/>
        <v>0.02</v>
      </c>
      <c r="BI5" s="22">
        <f t="shared" si="44"/>
        <v>0.03</v>
      </c>
      <c r="BJ5" s="20">
        <f>'Quick Setup'!H62</f>
        <v>0.825</v>
      </c>
      <c r="BK5" s="21">
        <f>if(BJ5='Quick Setup'!$C$31,'Quick Setup'!$C34,if(BJ5='Quick Setup'!$D$31,'Quick Setup'!$D34,if(BJ5='Quick Setup'!$E$31,'Quick Setup'!$E34,if(BJ5='Quick Setup'!$F$31,'Quick Setup'!$F34,if(BJ5='Quick Setup'!$G$31,'Quick Setup'!$G34,if(BJ5='Quick Setup'!$H$31,'Quick Setup'!$H34,if(BJ5='Quick Setup'!$I$31,'Quick Setup'!$I34,if(BJ5='Quick Setup'!$J$31,'Quick Setup'!$J34,if(BJ5='Quick Setup'!$K$31,'Quick Setup'!$K34,if(BJ5='Quick Setup'!$L$31,'Quick Setup'!$L34,if(BJ5='Quick Setup'!$M$31,'Quick Setup'!$M34,if(BJ5='Quick Setup'!$N$31,'Quick Setup'!$N34,if(BJ5='Quick Setup'!$O$31,'Quick Setup'!$O34,if(BJ5='Quick Setup'!$P$31,'Quick Setup'!$P34,if(BJ5='Quick Setup'!$Q$31,'Quick Setup'!$Q34,if(BJ5='Quick Setup'!$R$31,'Quick Setup'!$R34,if(BJ5='Quick Setup'!$S$31,'Quick Setup'!$S34,if(BJ5='Quick Setup'!$T$31,'Quick Setup'!$T34,if(BJ5='Quick Setup'!$U$31,'Quick Setup'!$U34,if(BJ5='Quick Setup'!$V$31,'Quick Setup'!$V34,'Quick Setup'!$W34))))))))))))))))))))</f>
        <v>3</v>
      </c>
      <c r="BL5" s="21">
        <f>if(BJ5='Quick Setup'!$C$45,'Quick Setup'!$C48,if(BJ5='Quick Setup'!$D$45,'Quick Setup'!$D48,if(BJ5='Quick Setup'!$E$45,'Quick Setup'!$E48,if(BJ5='Quick Setup'!$F$45,'Quick Setup'!$F48,if(BJ5='Quick Setup'!$G$45,'Quick Setup'!$G48,if(BJ5='Quick Setup'!$H$45,'Quick Setup'!$H48,if(BJ5='Quick Setup'!$I$45,'Quick Setup'!$I48,if(BJ5='Quick Setup'!$J$45,'Quick Setup'!$J48,if(BJ5='Quick Setup'!$K$45,'Quick Setup'!$K48,if(BJ5='Quick Setup'!$L$45,'Quick Setup'!$L48,if(BJ5='Quick Setup'!$M$45,'Quick Setup'!$M48,if(BJ5='Quick Setup'!$N$45,'Quick Setup'!$N48,if(BJ5='Quick Setup'!$O$45,'Quick Setup'!$O48,if(BJ5='Quick Setup'!$P$45,'Quick Setup'!$P48,if(BJ5='Quick Setup'!$Q$45,'Quick Setup'!$Q48,if(BJ5='Quick Setup'!$R$45,'Quick Setup'!$R48,if(BJ5='Quick Setup'!$S$45,'Quick Setup'!$S48,if(BJ5='Quick Setup'!$T$45,'Quick Setup'!$T48,if(BJ5='Quick Setup'!$U$45,'Quick Setup'!$U48,if(BJ5='Quick Setup'!$V$45,'Quick Setup'!$V48,'Quick Setup'!$W48))))))))))))))))))))</f>
        <v>2</v>
      </c>
      <c r="BM5" s="23">
        <f t="shared" ref="BM5:BU5" si="45">BA5</f>
        <v>5</v>
      </c>
      <c r="BN5" s="24">
        <f t="shared" si="45"/>
        <v>-0.05</v>
      </c>
      <c r="BO5" s="24">
        <f t="shared" si="45"/>
        <v>-0.02</v>
      </c>
      <c r="BP5" s="24">
        <f t="shared" si="45"/>
        <v>0</v>
      </c>
      <c r="BQ5" s="24">
        <f t="shared" si="45"/>
        <v>0.005</v>
      </c>
      <c r="BR5" s="24">
        <f t="shared" si="45"/>
        <v>0.01</v>
      </c>
      <c r="BS5" s="24">
        <f t="shared" si="45"/>
        <v>0.015</v>
      </c>
      <c r="BT5" s="24">
        <f t="shared" si="45"/>
        <v>0.02</v>
      </c>
      <c r="BU5" s="24">
        <f t="shared" si="45"/>
        <v>0.03</v>
      </c>
      <c r="BV5" s="20">
        <f>'Quick Setup'!I62</f>
        <v>0.6</v>
      </c>
      <c r="BW5" s="21">
        <f>if(BV5='Quick Setup'!$C$31,'Quick Setup'!$C34,if(BV5='Quick Setup'!$D$31,'Quick Setup'!$D34,if(BV5='Quick Setup'!$E$31,'Quick Setup'!$E34,if(BV5='Quick Setup'!$F$31,'Quick Setup'!$F34,if(BV5='Quick Setup'!$G$31,'Quick Setup'!$G34,if(BV5='Quick Setup'!$H$31,'Quick Setup'!$H34,if(BV5='Quick Setup'!$I$31,'Quick Setup'!$I34,if(BV5='Quick Setup'!$J$31,'Quick Setup'!$J34,if(BV5='Quick Setup'!$K$31,'Quick Setup'!$K34,if(BV5='Quick Setup'!$L$31,'Quick Setup'!$L34,if(BV5='Quick Setup'!$M$31,'Quick Setup'!$M34,if(BV5='Quick Setup'!$N$31,'Quick Setup'!$N34,if(BV5='Quick Setup'!$O$31,'Quick Setup'!$O34,if(BV5='Quick Setup'!$P$31,'Quick Setup'!$P34,if(BV5='Quick Setup'!$Q$31,'Quick Setup'!$Q34,if(BV5='Quick Setup'!$R$31,'Quick Setup'!$R34,if(BV5='Quick Setup'!$S$31,'Quick Setup'!$S34,if(BV5='Quick Setup'!$T$31,'Quick Setup'!$T34,if(BV5='Quick Setup'!$U$31,'Quick Setup'!$U34,if(BV5='Quick Setup'!$V$31,'Quick Setup'!$V34,'Quick Setup'!$W34))))))))))))))))))))</f>
        <v>7</v>
      </c>
      <c r="BX5" s="21">
        <f>if(BV5='Quick Setup'!$C$45,'Quick Setup'!$C48,if(BV5='Quick Setup'!$D$45,'Quick Setup'!$D48,if(BV5='Quick Setup'!$E$45,'Quick Setup'!$E48,if(BV5='Quick Setup'!$F$45,'Quick Setup'!$F48,if(BV5='Quick Setup'!$G$45,'Quick Setup'!$G48,if(BV5='Quick Setup'!$H$45,'Quick Setup'!$H48,if(BV5='Quick Setup'!$I$45,'Quick Setup'!$I48,if(BV5='Quick Setup'!$J$45,'Quick Setup'!$J48,if(BV5='Quick Setup'!$K$45,'Quick Setup'!$K48,if(BV5='Quick Setup'!$L$45,'Quick Setup'!$L48,if(BV5='Quick Setup'!$M$45,'Quick Setup'!$M48,if(BV5='Quick Setup'!$N$45,'Quick Setup'!$N48,if(BV5='Quick Setup'!$O$45,'Quick Setup'!$O48,if(BV5='Quick Setup'!$P$45,'Quick Setup'!$P48,if(BV5='Quick Setup'!$Q$45,'Quick Setup'!$Q48,if(BV5='Quick Setup'!$R$45,'Quick Setup'!$R48,if(BV5='Quick Setup'!$S$45,'Quick Setup'!$S48,if(BV5='Quick Setup'!$T$45,'Quick Setup'!$T48,if(BV5='Quick Setup'!$U$45,'Quick Setup'!$U48,if(BV5='Quick Setup'!$V$45,'Quick Setup'!$V48,'Quick Setup'!$W48))))))))))))))))))))</f>
        <v>3</v>
      </c>
      <c r="BY5" s="23">
        <f t="shared" ref="BY5:CG5" si="46">BM5</f>
        <v>5</v>
      </c>
      <c r="BZ5" s="24">
        <f t="shared" si="46"/>
        <v>-0.05</v>
      </c>
      <c r="CA5" s="24">
        <f t="shared" si="46"/>
        <v>-0.02</v>
      </c>
      <c r="CB5" s="24">
        <f t="shared" si="46"/>
        <v>0</v>
      </c>
      <c r="CC5" s="24">
        <f t="shared" si="46"/>
        <v>0.005</v>
      </c>
      <c r="CD5" s="24">
        <f t="shared" si="46"/>
        <v>0.01</v>
      </c>
      <c r="CE5" s="24">
        <f t="shared" si="46"/>
        <v>0.015</v>
      </c>
      <c r="CF5" s="24">
        <f t="shared" si="46"/>
        <v>0.02</v>
      </c>
      <c r="CG5" s="24">
        <f t="shared" si="46"/>
        <v>0.03</v>
      </c>
      <c r="CH5" s="20">
        <f>'Quick Setup'!J62</f>
        <v>0.75</v>
      </c>
      <c r="CI5" s="21">
        <f>if(CH5='Quick Setup'!$C$31,'Quick Setup'!$C34,if(CH5='Quick Setup'!$D$31,'Quick Setup'!$D34,if(CH5='Quick Setup'!$E$31,'Quick Setup'!$E34,if(CH5='Quick Setup'!$F$31,'Quick Setup'!$F34,if(CH5='Quick Setup'!$G$31,'Quick Setup'!$G34,if(CH5='Quick Setup'!$H$31,'Quick Setup'!$H34,if(CH5='Quick Setup'!$I$31,'Quick Setup'!$I34,if(CH5='Quick Setup'!$J$31,'Quick Setup'!$J34,if(CH5='Quick Setup'!$K$31,'Quick Setup'!$K34,if(CH5='Quick Setup'!$L$31,'Quick Setup'!$L34,if(CH5='Quick Setup'!$M$31,'Quick Setup'!$M34,if(CH5='Quick Setup'!$N$31,'Quick Setup'!$N34,if(CH5='Quick Setup'!$O$31,'Quick Setup'!$O34,if(CH5='Quick Setup'!$P$31,'Quick Setup'!$P34,if(CH5='Quick Setup'!$Q$31,'Quick Setup'!$Q34,if(CH5='Quick Setup'!$R$31,'Quick Setup'!$R34,if(CH5='Quick Setup'!$S$31,'Quick Setup'!$S34,if(CH5='Quick Setup'!$T$31,'Quick Setup'!$T34,if(CH5='Quick Setup'!$U$31,'Quick Setup'!$U34,if(CH5='Quick Setup'!$V$31,'Quick Setup'!$V34,'Quick Setup'!$W34))))))))))))))))))))</f>
        <v>4</v>
      </c>
      <c r="CJ5" s="21">
        <f>if(CH5='Quick Setup'!$C$45,'Quick Setup'!$C48,if(CH5='Quick Setup'!$D$45,'Quick Setup'!$D48,if(CH5='Quick Setup'!$E$45,'Quick Setup'!$E48,if(CH5='Quick Setup'!$F$45,'Quick Setup'!$F48,if(CH5='Quick Setup'!$G$45,'Quick Setup'!$G48,if(CH5='Quick Setup'!$H$45,'Quick Setup'!$H48,if(CH5='Quick Setup'!$I$45,'Quick Setup'!$I48,if(CH5='Quick Setup'!$J$45,'Quick Setup'!$J48,if(CH5='Quick Setup'!$K$45,'Quick Setup'!$K48,if(CH5='Quick Setup'!$L$45,'Quick Setup'!$L48,if(CH5='Quick Setup'!$M$45,'Quick Setup'!$M48,if(CH5='Quick Setup'!$N$45,'Quick Setup'!$N48,if(CH5='Quick Setup'!$O$45,'Quick Setup'!$O48,if(CH5='Quick Setup'!$P$45,'Quick Setup'!$P48,if(CH5='Quick Setup'!$Q$45,'Quick Setup'!$Q48,if(CH5='Quick Setup'!$R$45,'Quick Setup'!$R48,if(CH5='Quick Setup'!$S$45,'Quick Setup'!$S48,if(CH5='Quick Setup'!$T$45,'Quick Setup'!$T48,if(CH5='Quick Setup'!$U$45,'Quick Setup'!$U48,if(CH5='Quick Setup'!$V$45,'Quick Setup'!$V48,'Quick Setup'!$W48))))))))))))))))))))</f>
        <v>2</v>
      </c>
      <c r="CK5" s="23">
        <f t="shared" ref="CK5:CS5" si="47">BY5</f>
        <v>5</v>
      </c>
      <c r="CL5" s="24">
        <f t="shared" si="47"/>
        <v>-0.05</v>
      </c>
      <c r="CM5" s="24">
        <f t="shared" si="47"/>
        <v>-0.02</v>
      </c>
      <c r="CN5" s="24">
        <f t="shared" si="47"/>
        <v>0</v>
      </c>
      <c r="CO5" s="24">
        <f t="shared" si="47"/>
        <v>0.005</v>
      </c>
      <c r="CP5" s="24">
        <f t="shared" si="47"/>
        <v>0.01</v>
      </c>
      <c r="CQ5" s="24">
        <f t="shared" si="47"/>
        <v>0.015</v>
      </c>
      <c r="CR5" s="24">
        <f t="shared" si="47"/>
        <v>0.02</v>
      </c>
      <c r="CS5" s="24">
        <f t="shared" si="47"/>
        <v>0.03</v>
      </c>
      <c r="CT5" s="20">
        <f>'Quick Setup'!K62</f>
        <v>0.8</v>
      </c>
      <c r="CU5" s="21">
        <f>if(CT5='Quick Setup'!$C$31,'Quick Setup'!$C34,if(CT5='Quick Setup'!$D$31,'Quick Setup'!$D34,if(CT5='Quick Setup'!$E$31,'Quick Setup'!$E34,if(CT5='Quick Setup'!$F$31,'Quick Setup'!$F34,if(CT5='Quick Setup'!$G$31,'Quick Setup'!$G34,if(CT5='Quick Setup'!$H$31,'Quick Setup'!$H34,if(CT5='Quick Setup'!$I$31,'Quick Setup'!$I34,if(CT5='Quick Setup'!$J$31,'Quick Setup'!$J34,if(CT5='Quick Setup'!$K$31,'Quick Setup'!$K34,if(CT5='Quick Setup'!$L$31,'Quick Setup'!$L34,if(CT5='Quick Setup'!$M$31,'Quick Setup'!$M34,if(CT5='Quick Setup'!$N$31,'Quick Setup'!$N34,if(CT5='Quick Setup'!$O$31,'Quick Setup'!$O34,if(CT5='Quick Setup'!$P$31,'Quick Setup'!$P34,if(CT5='Quick Setup'!$Q$31,'Quick Setup'!$Q34,if(CT5='Quick Setup'!$R$31,'Quick Setup'!$R34,if(CT5='Quick Setup'!$S$31,'Quick Setup'!$S34,if(CT5='Quick Setup'!$T$31,'Quick Setup'!$T34,if(CT5='Quick Setup'!$U$31,'Quick Setup'!$U34,if(CT5='Quick Setup'!$V$31,'Quick Setup'!$V34,'Quick Setup'!$W34))))))))))))))))))))</f>
        <v>3</v>
      </c>
      <c r="CV5" s="21">
        <f>if(CT5='Quick Setup'!$C$45,'Quick Setup'!$C48,if(CT5='Quick Setup'!$D$45,'Quick Setup'!$D48,if(CT5='Quick Setup'!$E$45,'Quick Setup'!$E48,if(CT5='Quick Setup'!$F$45,'Quick Setup'!$F48,if(CT5='Quick Setup'!$G$45,'Quick Setup'!$G48,if(CT5='Quick Setup'!$H$45,'Quick Setup'!$H48,if(CT5='Quick Setup'!$I$45,'Quick Setup'!$I48,if(CT5='Quick Setup'!$J$45,'Quick Setup'!$J48,if(CT5='Quick Setup'!$K$45,'Quick Setup'!$K48,if(CT5='Quick Setup'!$L$45,'Quick Setup'!$L48,if(CT5='Quick Setup'!$M$45,'Quick Setup'!$M48,if(CT5='Quick Setup'!$N$45,'Quick Setup'!$N48,if(CT5='Quick Setup'!$O$45,'Quick Setup'!$O48,if(CT5='Quick Setup'!$P$45,'Quick Setup'!$P48,if(CT5='Quick Setup'!$Q$45,'Quick Setup'!$Q48,if(CT5='Quick Setup'!$R$45,'Quick Setup'!$R48,if(CT5='Quick Setup'!$S$45,'Quick Setup'!$S48,if(CT5='Quick Setup'!$T$45,'Quick Setup'!$T48,if(CT5='Quick Setup'!$U$45,'Quick Setup'!$U48,if(CT5='Quick Setup'!$V$45,'Quick Setup'!$V48,'Quick Setup'!$W48))))))))))))))))))))</f>
        <v>2</v>
      </c>
      <c r="CW5" s="23">
        <f t="shared" ref="CW5:DE5" si="48">CK5</f>
        <v>5</v>
      </c>
      <c r="CX5" s="24">
        <f t="shared" si="48"/>
        <v>-0.05</v>
      </c>
      <c r="CY5" s="24">
        <f t="shared" si="48"/>
        <v>-0.02</v>
      </c>
      <c r="CZ5" s="24">
        <f t="shared" si="48"/>
        <v>0</v>
      </c>
      <c r="DA5" s="24">
        <f t="shared" si="48"/>
        <v>0.005</v>
      </c>
      <c r="DB5" s="24">
        <f t="shared" si="48"/>
        <v>0.01</v>
      </c>
      <c r="DC5" s="24">
        <f t="shared" si="48"/>
        <v>0.015</v>
      </c>
      <c r="DD5" s="24">
        <f t="shared" si="48"/>
        <v>0.02</v>
      </c>
      <c r="DE5" s="24">
        <f t="shared" si="48"/>
        <v>0.03</v>
      </c>
      <c r="DF5" s="20">
        <f>'Quick Setup'!L62</f>
        <v>0.85</v>
      </c>
      <c r="DG5" s="21">
        <f>if(DF5='Quick Setup'!$C$31,'Quick Setup'!$C34,if(DF5='Quick Setup'!$D$31,'Quick Setup'!$D34,if(DF5='Quick Setup'!$E$31,'Quick Setup'!$E34,if(DF5='Quick Setup'!$F$31,'Quick Setup'!$F34,if(DF5='Quick Setup'!$G$31,'Quick Setup'!$G34,if(DF5='Quick Setup'!$H$31,'Quick Setup'!$H34,if(DF5='Quick Setup'!$I$31,'Quick Setup'!$I34,if(DF5='Quick Setup'!$J$31,'Quick Setup'!$J34,if(DF5='Quick Setup'!$K$31,'Quick Setup'!$K34,if(DF5='Quick Setup'!$L$31,'Quick Setup'!$L34,if(DF5='Quick Setup'!$M$31,'Quick Setup'!$M34,if(DF5='Quick Setup'!$N$31,'Quick Setup'!$N34,if(DF5='Quick Setup'!$O$31,'Quick Setup'!$O34,if(DF5='Quick Setup'!$P$31,'Quick Setup'!$P34,if(DF5='Quick Setup'!$Q$31,'Quick Setup'!$Q34,if(DF5='Quick Setup'!$R$31,'Quick Setup'!$R34,if(DF5='Quick Setup'!$S$31,'Quick Setup'!$S34,if(DF5='Quick Setup'!$T$31,'Quick Setup'!$T34,if(DF5='Quick Setup'!$U$31,'Quick Setup'!$U34,if(DF5='Quick Setup'!$V$31,'Quick Setup'!$V34,'Quick Setup'!$W34))))))))))))))))))))</f>
        <v>2</v>
      </c>
      <c r="DH5" s="21">
        <f>if(DF5='Quick Setup'!$C$45,'Quick Setup'!$C48,if(DF5='Quick Setup'!$D$45,'Quick Setup'!$D48,if(DF5='Quick Setup'!$E$45,'Quick Setup'!$E48,if(DF5='Quick Setup'!$F$45,'Quick Setup'!$F48,if(DF5='Quick Setup'!$G$45,'Quick Setup'!$G48,if(DF5='Quick Setup'!$H$45,'Quick Setup'!$H48,if(DF5='Quick Setup'!$I$45,'Quick Setup'!$I48,if(DF5='Quick Setup'!$J$45,'Quick Setup'!$J48,if(DF5='Quick Setup'!$K$45,'Quick Setup'!$K48,if(DF5='Quick Setup'!$L$45,'Quick Setup'!$L48,if(DF5='Quick Setup'!$M$45,'Quick Setup'!$M48,if(DF5='Quick Setup'!$N$45,'Quick Setup'!$N48,if(DF5='Quick Setup'!$O$45,'Quick Setup'!$O48,if(DF5='Quick Setup'!$P$45,'Quick Setup'!$P48,if(DF5='Quick Setup'!$Q$45,'Quick Setup'!$Q48,if(DF5='Quick Setup'!$R$45,'Quick Setup'!$R48,if(DF5='Quick Setup'!$S$45,'Quick Setup'!$S48,if(DF5='Quick Setup'!$T$45,'Quick Setup'!$T48,if(DF5='Quick Setup'!$U$45,'Quick Setup'!$U48,if(DF5='Quick Setup'!$V$45,'Quick Setup'!$V48,'Quick Setup'!$W48))))))))))))))))))))</f>
        <v>1</v>
      </c>
      <c r="DI5" s="23">
        <f t="shared" ref="DI5:DQ5" si="49">CW5</f>
        <v>5</v>
      </c>
      <c r="DJ5" s="24">
        <f t="shared" si="49"/>
        <v>-0.05</v>
      </c>
      <c r="DK5" s="24">
        <f t="shared" si="49"/>
        <v>-0.02</v>
      </c>
      <c r="DL5" s="24">
        <f t="shared" si="49"/>
        <v>0</v>
      </c>
      <c r="DM5" s="24">
        <f t="shared" si="49"/>
        <v>0.005</v>
      </c>
      <c r="DN5" s="24">
        <f t="shared" si="49"/>
        <v>0.01</v>
      </c>
      <c r="DO5" s="24">
        <f t="shared" si="49"/>
        <v>0.015</v>
      </c>
      <c r="DP5" s="24">
        <f t="shared" si="49"/>
        <v>0.02</v>
      </c>
      <c r="DQ5" s="24">
        <f t="shared" si="49"/>
        <v>0.03</v>
      </c>
      <c r="DR5" s="20">
        <f>'Quick Setup'!M62</f>
        <v>0.775</v>
      </c>
      <c r="DS5" s="21">
        <f>if(DR5='Quick Setup'!$C$31,'Quick Setup'!$C34,if(DR5='Quick Setup'!$D$31,'Quick Setup'!$D34,if(DR5='Quick Setup'!$E$31,'Quick Setup'!$E34,if(DR5='Quick Setup'!$F$31,'Quick Setup'!$F34,if(DR5='Quick Setup'!$G$31,'Quick Setup'!$G34,if(DR5='Quick Setup'!$H$31,'Quick Setup'!$H34,if(DR5='Quick Setup'!$I$31,'Quick Setup'!$I34,if(DR5='Quick Setup'!$J$31,'Quick Setup'!$J34,if(DR5='Quick Setup'!$K$31,'Quick Setup'!$K34,if(DR5='Quick Setup'!$L$31,'Quick Setup'!$L34,if(DR5='Quick Setup'!$M$31,'Quick Setup'!$M34,if(DR5='Quick Setup'!$N$31,'Quick Setup'!$N34,if(DR5='Quick Setup'!$O$31,'Quick Setup'!$O34,if(DR5='Quick Setup'!$P$31,'Quick Setup'!$P34,if(DR5='Quick Setup'!$Q$31,'Quick Setup'!$Q34,if(DR5='Quick Setup'!$R$31,'Quick Setup'!$R34,if(DR5='Quick Setup'!$S$31,'Quick Setup'!$S34,if(DR5='Quick Setup'!$T$31,'Quick Setup'!$T34,if(DR5='Quick Setup'!$U$31,'Quick Setup'!$U34,if(DR5='Quick Setup'!$V$31,'Quick Setup'!$V34,'Quick Setup'!$W34))))))))))))))))))))</f>
        <v>4</v>
      </c>
      <c r="DT5" s="21">
        <f>if(DR5='Quick Setup'!$C$45,'Quick Setup'!$C48,if(DR5='Quick Setup'!$D$45,'Quick Setup'!$D48,if(DR5='Quick Setup'!$E$45,'Quick Setup'!$E48,if(DR5='Quick Setup'!$F$45,'Quick Setup'!$F48,if(DR5='Quick Setup'!$G$45,'Quick Setup'!$G48,if(DR5='Quick Setup'!$H$45,'Quick Setup'!$H48,if(DR5='Quick Setup'!$I$45,'Quick Setup'!$I48,if(DR5='Quick Setup'!$J$45,'Quick Setup'!$J48,if(DR5='Quick Setup'!$K$45,'Quick Setup'!$K48,if(DR5='Quick Setup'!$L$45,'Quick Setup'!$L48,if(DR5='Quick Setup'!$M$45,'Quick Setup'!$M48,if(DR5='Quick Setup'!$N$45,'Quick Setup'!$N48,if(DR5='Quick Setup'!$O$45,'Quick Setup'!$O48,if(DR5='Quick Setup'!$P$45,'Quick Setup'!$P48,if(DR5='Quick Setup'!$Q$45,'Quick Setup'!$Q48,if(DR5='Quick Setup'!$R$45,'Quick Setup'!$R48,if(DR5='Quick Setup'!$S$45,'Quick Setup'!$S48,if(DR5='Quick Setup'!$T$45,'Quick Setup'!$T48,if(DR5='Quick Setup'!$U$45,'Quick Setup'!$U48,if(DR5='Quick Setup'!$V$45,'Quick Setup'!$V48,'Quick Setup'!$W48))))))))))))))))))))</f>
        <v>2</v>
      </c>
      <c r="DU5" s="23">
        <f t="shared" ref="DU5:EC5" si="50">DI5</f>
        <v>5</v>
      </c>
      <c r="DV5" s="24">
        <f t="shared" si="50"/>
        <v>-0.05</v>
      </c>
      <c r="DW5" s="24">
        <f t="shared" si="50"/>
        <v>-0.02</v>
      </c>
      <c r="DX5" s="24">
        <f t="shared" si="50"/>
        <v>0</v>
      </c>
      <c r="DY5" s="24">
        <f t="shared" si="50"/>
        <v>0.005</v>
      </c>
      <c r="DZ5" s="24">
        <f t="shared" si="50"/>
        <v>0.01</v>
      </c>
      <c r="EA5" s="24">
        <f t="shared" si="50"/>
        <v>0.015</v>
      </c>
      <c r="EB5" s="24">
        <f t="shared" si="50"/>
        <v>0.02</v>
      </c>
      <c r="EC5" s="24">
        <f t="shared" si="50"/>
        <v>0.03</v>
      </c>
      <c r="ED5" s="20">
        <f>'Quick Setup'!N62</f>
        <v>0.825</v>
      </c>
      <c r="EE5" s="21">
        <f>if(ED5='Quick Setup'!$C$31,'Quick Setup'!$C34,if(ED5='Quick Setup'!$D$31,'Quick Setup'!$D34,if(ED5='Quick Setup'!$E$31,'Quick Setup'!$E34,if(ED5='Quick Setup'!$F$31,'Quick Setup'!$F34,if(ED5='Quick Setup'!$G$31,'Quick Setup'!$G34,if(ED5='Quick Setup'!$H$31,'Quick Setup'!$H34,if(ED5='Quick Setup'!$I$31,'Quick Setup'!$I34,if(ED5='Quick Setup'!$J$31,'Quick Setup'!$J34,if(ED5='Quick Setup'!$K$31,'Quick Setup'!$K34,if(ED5='Quick Setup'!$L$31,'Quick Setup'!$L34,if(ED5='Quick Setup'!$M$31,'Quick Setup'!$M34,if(ED5='Quick Setup'!$N$31,'Quick Setup'!$N34,if(ED5='Quick Setup'!$O$31,'Quick Setup'!$O34,if(ED5='Quick Setup'!$P$31,'Quick Setup'!$P34,if(ED5='Quick Setup'!$Q$31,'Quick Setup'!$Q34,if(ED5='Quick Setup'!$R$31,'Quick Setup'!$R34,if(ED5='Quick Setup'!$S$31,'Quick Setup'!$S34,if(ED5='Quick Setup'!$T$31,'Quick Setup'!$T34,if(ED5='Quick Setup'!$U$31,'Quick Setup'!$U34,if(ED5='Quick Setup'!$V$31,'Quick Setup'!$V34,'Quick Setup'!$W34))))))))))))))))))))</f>
        <v>3</v>
      </c>
      <c r="EF5" s="21">
        <f>if(ED5='Quick Setup'!$C$45,'Quick Setup'!$C48,if(ED5='Quick Setup'!$D$45,'Quick Setup'!$D48,if(ED5='Quick Setup'!$E$45,'Quick Setup'!$E48,if(ED5='Quick Setup'!$F$45,'Quick Setup'!$F48,if(ED5='Quick Setup'!$G$45,'Quick Setup'!$G48,if(ED5='Quick Setup'!$H$45,'Quick Setup'!$H48,if(ED5='Quick Setup'!$I$45,'Quick Setup'!$I48,if(ED5='Quick Setup'!$J$45,'Quick Setup'!$J48,if(ED5='Quick Setup'!$K$45,'Quick Setup'!$K48,if(ED5='Quick Setup'!$L$45,'Quick Setup'!$L48,if(ED5='Quick Setup'!$M$45,'Quick Setup'!$M48,if(ED5='Quick Setup'!$N$45,'Quick Setup'!$N48,if(ED5='Quick Setup'!$O$45,'Quick Setup'!$O48,if(ED5='Quick Setup'!$P$45,'Quick Setup'!$P48,if(ED5='Quick Setup'!$Q$45,'Quick Setup'!$Q48,if(ED5='Quick Setup'!$R$45,'Quick Setup'!$R48,if(ED5='Quick Setup'!$S$45,'Quick Setup'!$S48,if(ED5='Quick Setup'!$T$45,'Quick Setup'!$T48,if(ED5='Quick Setup'!$U$45,'Quick Setup'!$U48,if(ED5='Quick Setup'!$V$45,'Quick Setup'!$V48,'Quick Setup'!$W48))))))))))))))))))))</f>
        <v>2</v>
      </c>
      <c r="EG5" s="23">
        <f t="shared" ref="EG5:EO5" si="51">DU5</f>
        <v>5</v>
      </c>
      <c r="EH5" s="24">
        <f t="shared" si="51"/>
        <v>-0.05</v>
      </c>
      <c r="EI5" s="24">
        <f t="shared" si="51"/>
        <v>-0.02</v>
      </c>
      <c r="EJ5" s="24">
        <f t="shared" si="51"/>
        <v>0</v>
      </c>
      <c r="EK5" s="24">
        <f t="shared" si="51"/>
        <v>0.005</v>
      </c>
      <c r="EL5" s="24">
        <f t="shared" si="51"/>
        <v>0.01</v>
      </c>
      <c r="EM5" s="24">
        <f t="shared" si="51"/>
        <v>0.015</v>
      </c>
      <c r="EN5" s="24">
        <f t="shared" si="51"/>
        <v>0.02</v>
      </c>
      <c r="EO5" s="24">
        <f t="shared" si="51"/>
        <v>0.03</v>
      </c>
      <c r="EP5" s="20">
        <f>'Quick Setup'!O62</f>
        <v>0.875</v>
      </c>
      <c r="EQ5" s="21">
        <f>if(EP5='Quick Setup'!$C$31,'Quick Setup'!$C34,if(EP5='Quick Setup'!$D$31,'Quick Setup'!$D34,if(EP5='Quick Setup'!$E$31,'Quick Setup'!$E34,if(EP5='Quick Setup'!$F$31,'Quick Setup'!$F34,if(EP5='Quick Setup'!$G$31,'Quick Setup'!$G34,if(EP5='Quick Setup'!$H$31,'Quick Setup'!$H34,if(EP5='Quick Setup'!$I$31,'Quick Setup'!$I34,if(EP5='Quick Setup'!$J$31,'Quick Setup'!$J34,if(EP5='Quick Setup'!$K$31,'Quick Setup'!$K34,if(EP5='Quick Setup'!$L$31,'Quick Setup'!$L34,if(EP5='Quick Setup'!$M$31,'Quick Setup'!$M34,if(EP5='Quick Setup'!$N$31,'Quick Setup'!$N34,if(EP5='Quick Setup'!$O$31,'Quick Setup'!$O34,if(EP5='Quick Setup'!$P$31,'Quick Setup'!$P34,if(EP5='Quick Setup'!$Q$31,'Quick Setup'!$Q34,if(EP5='Quick Setup'!$R$31,'Quick Setup'!$R34,if(EP5='Quick Setup'!$S$31,'Quick Setup'!$S34,if(EP5='Quick Setup'!$T$31,'Quick Setup'!$T34,if(EP5='Quick Setup'!$U$31,'Quick Setup'!$U34,if(EP5='Quick Setup'!$V$31,'Quick Setup'!$V34,'Quick Setup'!$W34))))))))))))))))))))</f>
        <v>2</v>
      </c>
      <c r="ER5" s="21">
        <f>if(EP5='Quick Setup'!$C$45,'Quick Setup'!$C48,if(EP5='Quick Setup'!$D$45,'Quick Setup'!$D48,if(EP5='Quick Setup'!$E$45,'Quick Setup'!$E48,if(EP5='Quick Setup'!$F$45,'Quick Setup'!$F48,if(EP5='Quick Setup'!$G$45,'Quick Setup'!$G48,if(EP5='Quick Setup'!$H$45,'Quick Setup'!$H48,if(EP5='Quick Setup'!$I$45,'Quick Setup'!$I48,if(EP5='Quick Setup'!$J$45,'Quick Setup'!$J48,if(EP5='Quick Setup'!$K$45,'Quick Setup'!$K48,if(EP5='Quick Setup'!$L$45,'Quick Setup'!$L48,if(EP5='Quick Setup'!$M$45,'Quick Setup'!$M48,if(EP5='Quick Setup'!$N$45,'Quick Setup'!$N48,if(EP5='Quick Setup'!$O$45,'Quick Setup'!$O48,if(EP5='Quick Setup'!$P$45,'Quick Setup'!$P48,if(EP5='Quick Setup'!$Q$45,'Quick Setup'!$Q48,if(EP5='Quick Setup'!$R$45,'Quick Setup'!$R48,if(EP5='Quick Setup'!$S$45,'Quick Setup'!$S48,if(EP5='Quick Setup'!$T$45,'Quick Setup'!$T48,if(EP5='Quick Setup'!$U$45,'Quick Setup'!$U48,if(EP5='Quick Setup'!$V$45,'Quick Setup'!$V48,'Quick Setup'!$W48))))))))))))))))))))</f>
        <v>1</v>
      </c>
      <c r="ES5" s="23">
        <f t="shared" ref="ES5:FA5" si="52">EG5</f>
        <v>5</v>
      </c>
      <c r="ET5" s="24">
        <f t="shared" si="52"/>
        <v>-0.05</v>
      </c>
      <c r="EU5" s="24">
        <f t="shared" si="52"/>
        <v>-0.02</v>
      </c>
      <c r="EV5" s="24">
        <f t="shared" si="52"/>
        <v>0</v>
      </c>
      <c r="EW5" s="24">
        <f t="shared" si="52"/>
        <v>0.005</v>
      </c>
      <c r="EX5" s="24">
        <f t="shared" si="52"/>
        <v>0.01</v>
      </c>
      <c r="EY5" s="24">
        <f t="shared" si="52"/>
        <v>0.015</v>
      </c>
      <c r="EZ5" s="24">
        <f t="shared" si="52"/>
        <v>0.02</v>
      </c>
      <c r="FA5" s="24">
        <f t="shared" si="52"/>
        <v>0.03</v>
      </c>
      <c r="FB5" s="20">
        <f>'Quick Setup'!P62</f>
        <v>0.6</v>
      </c>
      <c r="FC5" s="21">
        <f>if(FB5='Quick Setup'!$C$31,'Quick Setup'!$C34,if(FB5='Quick Setup'!$D$31,'Quick Setup'!$D34,if(FB5='Quick Setup'!$E$31,'Quick Setup'!$E34,if(FB5='Quick Setup'!$F$31,'Quick Setup'!$F34,if(FB5='Quick Setup'!$G$31,'Quick Setup'!$G34,if(FB5='Quick Setup'!$H$31,'Quick Setup'!$H34,if(FB5='Quick Setup'!$I$31,'Quick Setup'!$I34,if(FB5='Quick Setup'!$J$31,'Quick Setup'!$J34,if(FB5='Quick Setup'!$K$31,'Quick Setup'!$K34,if(FB5='Quick Setup'!$L$31,'Quick Setup'!$L34,if(FB5='Quick Setup'!$M$31,'Quick Setup'!$M34,if(FB5='Quick Setup'!$N$31,'Quick Setup'!$N34,if(FB5='Quick Setup'!$O$31,'Quick Setup'!$O34,if(FB5='Quick Setup'!$P$31,'Quick Setup'!$P34,if(FB5='Quick Setup'!$Q$31,'Quick Setup'!$Q34,if(FB5='Quick Setup'!$R$31,'Quick Setup'!$R34,if(FB5='Quick Setup'!$S$31,'Quick Setup'!$S34,if(FB5='Quick Setup'!$T$31,'Quick Setup'!$T34,if(FB5='Quick Setup'!$U$31,'Quick Setup'!$U34,if(FB5='Quick Setup'!$V$31,'Quick Setup'!$V34,'Quick Setup'!$W34))))))))))))))))))))</f>
        <v>7</v>
      </c>
      <c r="FD5" s="21">
        <f>if(FB5='Quick Setup'!$C$45,'Quick Setup'!$C48,if(FB5='Quick Setup'!$D$45,'Quick Setup'!$D48,if(FB5='Quick Setup'!$E$45,'Quick Setup'!$E48,if(FB5='Quick Setup'!$F$45,'Quick Setup'!$F48,if(FB5='Quick Setup'!$G$45,'Quick Setup'!$G48,if(FB5='Quick Setup'!$H$45,'Quick Setup'!$H48,if(FB5='Quick Setup'!$I$45,'Quick Setup'!$I48,if(FB5='Quick Setup'!$J$45,'Quick Setup'!$J48,if(FB5='Quick Setup'!$K$45,'Quick Setup'!$K48,if(FB5='Quick Setup'!$L$45,'Quick Setup'!$L48,if(FB5='Quick Setup'!$M$45,'Quick Setup'!$M48,if(FB5='Quick Setup'!$N$45,'Quick Setup'!$N48,if(FB5='Quick Setup'!$O$45,'Quick Setup'!$O48,if(FB5='Quick Setup'!$P$45,'Quick Setup'!$P48,if(FB5='Quick Setup'!$Q$45,'Quick Setup'!$Q48,if(FB5='Quick Setup'!$R$45,'Quick Setup'!$R48,if(FB5='Quick Setup'!$S$45,'Quick Setup'!$S48,if(FB5='Quick Setup'!$T$45,'Quick Setup'!$T48,if(FB5='Quick Setup'!$U$45,'Quick Setup'!$U48,if(FB5='Quick Setup'!$V$45,'Quick Setup'!$V48,'Quick Setup'!$W48))))))))))))))))))))</f>
        <v>3</v>
      </c>
      <c r="FE5" s="23">
        <f t="shared" ref="FE5:FM5" si="53">ES5</f>
        <v>5</v>
      </c>
      <c r="FF5" s="24">
        <f t="shared" si="53"/>
        <v>-0.05</v>
      </c>
      <c r="FG5" s="24">
        <f t="shared" si="53"/>
        <v>-0.02</v>
      </c>
      <c r="FH5" s="24">
        <f t="shared" si="53"/>
        <v>0</v>
      </c>
      <c r="FI5" s="24">
        <f t="shared" si="53"/>
        <v>0.005</v>
      </c>
      <c r="FJ5" s="24">
        <f t="shared" si="53"/>
        <v>0.01</v>
      </c>
      <c r="FK5" s="24">
        <f t="shared" si="53"/>
        <v>0.015</v>
      </c>
      <c r="FL5" s="24">
        <f t="shared" si="53"/>
        <v>0.02</v>
      </c>
      <c r="FM5" s="24">
        <f t="shared" si="53"/>
        <v>0.03</v>
      </c>
      <c r="FN5" s="20">
        <f>'Quick Setup'!Q62</f>
        <v>0.8</v>
      </c>
      <c r="FO5" s="21">
        <f>if(FN5='Quick Setup'!$C$31,'Quick Setup'!$C34,if(FN5='Quick Setup'!$D$31,'Quick Setup'!$D34,if(FN5='Quick Setup'!$E$31,'Quick Setup'!$E34,if(FN5='Quick Setup'!$F$31,'Quick Setup'!$F34,if(FN5='Quick Setup'!$G$31,'Quick Setup'!$G34,if(FN5='Quick Setup'!$H$31,'Quick Setup'!$H34,if(FN5='Quick Setup'!$I$31,'Quick Setup'!$I34,if(FN5='Quick Setup'!$J$31,'Quick Setup'!$J34,if(FN5='Quick Setup'!$K$31,'Quick Setup'!$K34,if(FN5='Quick Setup'!$L$31,'Quick Setup'!$L34,if(FN5='Quick Setup'!$M$31,'Quick Setup'!$M34,if(FN5='Quick Setup'!$N$31,'Quick Setup'!$N34,if(FN5='Quick Setup'!$O$31,'Quick Setup'!$O34,if(FN5='Quick Setup'!$P$31,'Quick Setup'!$P34,if(FN5='Quick Setup'!$Q$31,'Quick Setup'!$Q34,if(FN5='Quick Setup'!$R$31,'Quick Setup'!$R34,if(FN5='Quick Setup'!$S$31,'Quick Setup'!$S34,if(FN5='Quick Setup'!$T$31,'Quick Setup'!$T34,if(FN5='Quick Setup'!$U$31,'Quick Setup'!$U34,if(FN5='Quick Setup'!$V$31,'Quick Setup'!$V34,'Quick Setup'!$W34))))))))))))))))))))</f>
        <v>3</v>
      </c>
      <c r="FP5" s="21">
        <f>if(FN5='Quick Setup'!$C$45,'Quick Setup'!$C48,if(FN5='Quick Setup'!$D$45,'Quick Setup'!$D48,if(FN5='Quick Setup'!$E$45,'Quick Setup'!$E48,if(FN5='Quick Setup'!$F$45,'Quick Setup'!$F48,if(FN5='Quick Setup'!$G$45,'Quick Setup'!$G48,if(FN5='Quick Setup'!$H$45,'Quick Setup'!$H48,if(FN5='Quick Setup'!$I$45,'Quick Setup'!$I48,if(FN5='Quick Setup'!$J$45,'Quick Setup'!$J48,if(FN5='Quick Setup'!$K$45,'Quick Setup'!$K48,if(FN5='Quick Setup'!$L$45,'Quick Setup'!$L48,if(FN5='Quick Setup'!$M$45,'Quick Setup'!$M48,if(FN5='Quick Setup'!$N$45,'Quick Setup'!$N48,if(FN5='Quick Setup'!$O$45,'Quick Setup'!$O48,if(FN5='Quick Setup'!$P$45,'Quick Setup'!$P48,if(FN5='Quick Setup'!$Q$45,'Quick Setup'!$Q48,if(FN5='Quick Setup'!$R$45,'Quick Setup'!$R48,if(FN5='Quick Setup'!$S$45,'Quick Setup'!$S48,if(FN5='Quick Setup'!$T$45,'Quick Setup'!$T48,if(FN5='Quick Setup'!$U$45,'Quick Setup'!$U48,if(FN5='Quick Setup'!$V$45,'Quick Setup'!$V48,'Quick Setup'!$W48))))))))))))))))))))</f>
        <v>2</v>
      </c>
      <c r="FQ5" s="23">
        <f t="shared" ref="FQ5:FY5" si="54">FE5</f>
        <v>5</v>
      </c>
      <c r="FR5" s="24">
        <f t="shared" si="54"/>
        <v>-0.05</v>
      </c>
      <c r="FS5" s="24">
        <f t="shared" si="54"/>
        <v>-0.02</v>
      </c>
      <c r="FT5" s="24">
        <f t="shared" si="54"/>
        <v>0</v>
      </c>
      <c r="FU5" s="24">
        <f t="shared" si="54"/>
        <v>0.005</v>
      </c>
      <c r="FV5" s="24">
        <f t="shared" si="54"/>
        <v>0.01</v>
      </c>
      <c r="FW5" s="24">
        <f t="shared" si="54"/>
        <v>0.015</v>
      </c>
      <c r="FX5" s="24">
        <f t="shared" si="54"/>
        <v>0.02</v>
      </c>
      <c r="FY5" s="24">
        <f t="shared" si="54"/>
        <v>0.03</v>
      </c>
      <c r="FZ5" s="20">
        <f>'Quick Setup'!R62</f>
        <v>0.85</v>
      </c>
      <c r="GA5" s="21">
        <f>if(FZ5='Quick Setup'!$C$31,'Quick Setup'!$C34,if(FZ5='Quick Setup'!$D$31,'Quick Setup'!$D34,if(FZ5='Quick Setup'!$E$31,'Quick Setup'!$E34,if(FZ5='Quick Setup'!$F$31,'Quick Setup'!$F34,if(FZ5='Quick Setup'!$G$31,'Quick Setup'!$G34,if(FZ5='Quick Setup'!$H$31,'Quick Setup'!$H34,if(FZ5='Quick Setup'!$I$31,'Quick Setup'!$I34,if(FZ5='Quick Setup'!$J$31,'Quick Setup'!$J34,if(FZ5='Quick Setup'!$K$31,'Quick Setup'!$K34,if(FZ5='Quick Setup'!$L$31,'Quick Setup'!$L34,if(FZ5='Quick Setup'!$M$31,'Quick Setup'!$M34,if(FZ5='Quick Setup'!$N$31,'Quick Setup'!$N34,if(FZ5='Quick Setup'!$O$31,'Quick Setup'!$O34,if(FZ5='Quick Setup'!$P$31,'Quick Setup'!$P34,if(FZ5='Quick Setup'!$Q$31,'Quick Setup'!$Q34,if(FZ5='Quick Setup'!$R$31,'Quick Setup'!$R34,if(FZ5='Quick Setup'!$S$31,'Quick Setup'!$S34,if(FZ5='Quick Setup'!$T$31,'Quick Setup'!$T34,if(FZ5='Quick Setup'!$U$31,'Quick Setup'!$U34,if(FZ5='Quick Setup'!$V$31,'Quick Setup'!$V34,'Quick Setup'!$W34))))))))))))))))))))</f>
        <v>2</v>
      </c>
      <c r="GB5" s="21">
        <f>if(FZ5='Quick Setup'!$C$45,'Quick Setup'!$C48,if(FZ5='Quick Setup'!$D$45,'Quick Setup'!$D48,if(FZ5='Quick Setup'!$E$45,'Quick Setup'!$E48,if(FZ5='Quick Setup'!$F$45,'Quick Setup'!$F48,if(FZ5='Quick Setup'!$G$45,'Quick Setup'!$G48,if(FZ5='Quick Setup'!$H$45,'Quick Setup'!$H48,if(FZ5='Quick Setup'!$I$45,'Quick Setup'!$I48,if(FZ5='Quick Setup'!$J$45,'Quick Setup'!$J48,if(FZ5='Quick Setup'!$K$45,'Quick Setup'!$K48,if(FZ5='Quick Setup'!$L$45,'Quick Setup'!$L48,if(FZ5='Quick Setup'!$M$45,'Quick Setup'!$M48,if(FZ5='Quick Setup'!$N$45,'Quick Setup'!$N48,if(FZ5='Quick Setup'!$O$45,'Quick Setup'!$O48,if(FZ5='Quick Setup'!$P$45,'Quick Setup'!$P48,if(FZ5='Quick Setup'!$Q$45,'Quick Setup'!$Q48,if(FZ5='Quick Setup'!$R$45,'Quick Setup'!$R48,if(FZ5='Quick Setup'!$S$45,'Quick Setup'!$S48,if(FZ5='Quick Setup'!$T$45,'Quick Setup'!$T48,if(FZ5='Quick Setup'!$U$45,'Quick Setup'!$U48,if(FZ5='Quick Setup'!$V$45,'Quick Setup'!$V48,'Quick Setup'!$W48))))))))))))))))))))</f>
        <v>1</v>
      </c>
      <c r="GC5" s="23">
        <f t="shared" ref="GC5:GK5" si="55">FQ5</f>
        <v>5</v>
      </c>
      <c r="GD5" s="24">
        <f t="shared" si="55"/>
        <v>-0.05</v>
      </c>
      <c r="GE5" s="24">
        <f t="shared" si="55"/>
        <v>-0.02</v>
      </c>
      <c r="GF5" s="24">
        <f t="shared" si="55"/>
        <v>0</v>
      </c>
      <c r="GG5" s="24">
        <f t="shared" si="55"/>
        <v>0.005</v>
      </c>
      <c r="GH5" s="24">
        <f t="shared" si="55"/>
        <v>0.01</v>
      </c>
      <c r="GI5" s="24">
        <f t="shared" si="55"/>
        <v>0.015</v>
      </c>
      <c r="GJ5" s="24">
        <f t="shared" si="55"/>
        <v>0.02</v>
      </c>
      <c r="GK5" s="24">
        <f t="shared" si="55"/>
        <v>0.03</v>
      </c>
      <c r="GL5" s="20">
        <f>'Quick Setup'!S62</f>
        <v>0.9</v>
      </c>
      <c r="GM5" s="21">
        <f>if(GL5='Quick Setup'!$C$31,'Quick Setup'!$C34,if(GL5='Quick Setup'!$D$31,'Quick Setup'!$D34,if(GL5='Quick Setup'!$E$31,'Quick Setup'!$E34,if(GL5='Quick Setup'!$F$31,'Quick Setup'!$F34,if(GL5='Quick Setup'!$G$31,'Quick Setup'!$G34,if(GL5='Quick Setup'!$H$31,'Quick Setup'!$H34,if(GL5='Quick Setup'!$I$31,'Quick Setup'!$I34,if(GL5='Quick Setup'!$J$31,'Quick Setup'!$J34,if(GL5='Quick Setup'!$K$31,'Quick Setup'!$K34,if(GL5='Quick Setup'!$L$31,'Quick Setup'!$L34,if(GL5='Quick Setup'!$M$31,'Quick Setup'!$M34,if(GL5='Quick Setup'!$N$31,'Quick Setup'!$N34,if(GL5='Quick Setup'!$O$31,'Quick Setup'!$O34,if(GL5='Quick Setup'!$P$31,'Quick Setup'!$P34,if(GL5='Quick Setup'!$Q$31,'Quick Setup'!$Q34,if(GL5='Quick Setup'!$R$31,'Quick Setup'!$R34,if(GL5='Quick Setup'!$S$31,'Quick Setup'!$S34,if(GL5='Quick Setup'!$T$31,'Quick Setup'!$T34,if(GL5='Quick Setup'!$U$31,'Quick Setup'!$U34,if(GL5='Quick Setup'!$V$31,'Quick Setup'!$V34,'Quick Setup'!$W34))))))))))))))))))))</f>
        <v>1</v>
      </c>
      <c r="GN5" s="21">
        <f>if(GL5='Quick Setup'!$C$45,'Quick Setup'!$C48,if(GL5='Quick Setup'!$D$45,'Quick Setup'!$D48,if(GL5='Quick Setup'!$E$45,'Quick Setup'!$E48,if(GL5='Quick Setup'!$F$45,'Quick Setup'!$F48,if(GL5='Quick Setup'!$G$45,'Quick Setup'!$G48,if(GL5='Quick Setup'!$H$45,'Quick Setup'!$H48,if(GL5='Quick Setup'!$I$45,'Quick Setup'!$I48,if(GL5='Quick Setup'!$J$45,'Quick Setup'!$J48,if(GL5='Quick Setup'!$K$45,'Quick Setup'!$K48,if(GL5='Quick Setup'!$L$45,'Quick Setup'!$L48,if(GL5='Quick Setup'!$M$45,'Quick Setup'!$M48,if(GL5='Quick Setup'!$N$45,'Quick Setup'!$N48,if(GL5='Quick Setup'!$O$45,'Quick Setup'!$O48,if(GL5='Quick Setup'!$P$45,'Quick Setup'!$P48,if(GL5='Quick Setup'!$Q$45,'Quick Setup'!$Q48,if(GL5='Quick Setup'!$R$45,'Quick Setup'!$R48,if(GL5='Quick Setup'!$S$45,'Quick Setup'!$S48,if(GL5='Quick Setup'!$T$45,'Quick Setup'!$T48,if(GL5='Quick Setup'!$U$45,'Quick Setup'!$U48,if(GL5='Quick Setup'!$V$45,'Quick Setup'!$V48,'Quick Setup'!$W48))))))))))))))))))))</f>
        <v>1</v>
      </c>
      <c r="GO5" s="23">
        <f t="shared" ref="GO5:GW5" si="56">GC5</f>
        <v>5</v>
      </c>
      <c r="GP5" s="24">
        <f t="shared" si="56"/>
        <v>-0.05</v>
      </c>
      <c r="GQ5" s="24">
        <f t="shared" si="56"/>
        <v>-0.02</v>
      </c>
      <c r="GR5" s="24">
        <f t="shared" si="56"/>
        <v>0</v>
      </c>
      <c r="GS5" s="24">
        <f t="shared" si="56"/>
        <v>0.005</v>
      </c>
      <c r="GT5" s="24">
        <f t="shared" si="56"/>
        <v>0.01</v>
      </c>
      <c r="GU5" s="24">
        <f t="shared" si="56"/>
        <v>0.015</v>
      </c>
      <c r="GV5" s="24">
        <f t="shared" si="56"/>
        <v>0.02</v>
      </c>
      <c r="GW5" s="24">
        <f t="shared" si="56"/>
        <v>0.03</v>
      </c>
      <c r="GX5" s="20">
        <f>'Quick Setup'!T62</f>
        <v>0.85</v>
      </c>
      <c r="GY5" s="21">
        <f>if(GX5='Quick Setup'!$C$31,'Quick Setup'!$C34,if(GX5='Quick Setup'!$D$31,'Quick Setup'!$D34,if(GX5='Quick Setup'!$E$31,'Quick Setup'!$E34,if(GX5='Quick Setup'!$F$31,'Quick Setup'!$F34,if(GX5='Quick Setup'!$G$31,'Quick Setup'!$G34,if(GX5='Quick Setup'!$H$31,'Quick Setup'!$H34,if(GX5='Quick Setup'!$I$31,'Quick Setup'!$I34,if(GX5='Quick Setup'!$J$31,'Quick Setup'!$J34,if(GX5='Quick Setup'!$K$31,'Quick Setup'!$K34,if(GX5='Quick Setup'!$L$31,'Quick Setup'!$L34,if(GX5='Quick Setup'!$M$31,'Quick Setup'!$M34,if(GX5='Quick Setup'!$N$31,'Quick Setup'!$N34,if(GX5='Quick Setup'!$O$31,'Quick Setup'!$O34,if(GX5='Quick Setup'!$P$31,'Quick Setup'!$P34,if(GX5='Quick Setup'!$Q$31,'Quick Setup'!$Q34,if(GX5='Quick Setup'!$R$31,'Quick Setup'!$R34,if(GX5='Quick Setup'!$S$31,'Quick Setup'!$S34,if(GX5='Quick Setup'!$T$31,'Quick Setup'!$T34,if(GX5='Quick Setup'!$U$31,'Quick Setup'!$U34,if(GX5='Quick Setup'!$V$31,'Quick Setup'!$V34,'Quick Setup'!$W34))))))))))))))))))))</f>
        <v>2</v>
      </c>
      <c r="GZ5" s="21">
        <f>if(GX5='Quick Setup'!$C$45,'Quick Setup'!$C48,if(GX5='Quick Setup'!$D$45,'Quick Setup'!$D48,if(GX5='Quick Setup'!$E$45,'Quick Setup'!$E48,if(GX5='Quick Setup'!$F$45,'Quick Setup'!$F48,if(GX5='Quick Setup'!$G$45,'Quick Setup'!$G48,if(GX5='Quick Setup'!$H$45,'Quick Setup'!$H48,if(GX5='Quick Setup'!$I$45,'Quick Setup'!$I48,if(GX5='Quick Setup'!$J$45,'Quick Setup'!$J48,if(GX5='Quick Setup'!$K$45,'Quick Setup'!$K48,if(GX5='Quick Setup'!$L$45,'Quick Setup'!$L48,if(GX5='Quick Setup'!$M$45,'Quick Setup'!$M48,if(GX5='Quick Setup'!$N$45,'Quick Setup'!$N48,if(GX5='Quick Setup'!$O$45,'Quick Setup'!$O48,if(GX5='Quick Setup'!$P$45,'Quick Setup'!$P48,if(GX5='Quick Setup'!$Q$45,'Quick Setup'!$Q48,if(GX5='Quick Setup'!$R$45,'Quick Setup'!$R48,if(GX5='Quick Setup'!$S$45,'Quick Setup'!$S48,if(GX5='Quick Setup'!$T$45,'Quick Setup'!$T48,if(GX5='Quick Setup'!$U$45,'Quick Setup'!$U48,if(GX5='Quick Setup'!$V$45,'Quick Setup'!$V48,'Quick Setup'!$W48))))))))))))))))))))</f>
        <v>1</v>
      </c>
      <c r="HA5" s="23">
        <f t="shared" ref="HA5:HI5" si="57">GO5</f>
        <v>5</v>
      </c>
      <c r="HB5" s="24">
        <f t="shared" si="57"/>
        <v>-0.05</v>
      </c>
      <c r="HC5" s="24">
        <f t="shared" si="57"/>
        <v>-0.02</v>
      </c>
      <c r="HD5" s="24">
        <f t="shared" si="57"/>
        <v>0</v>
      </c>
      <c r="HE5" s="24">
        <f t="shared" si="57"/>
        <v>0.005</v>
      </c>
      <c r="HF5" s="24">
        <f t="shared" si="57"/>
        <v>0.01</v>
      </c>
      <c r="HG5" s="24">
        <f t="shared" si="57"/>
        <v>0.015</v>
      </c>
      <c r="HH5" s="24">
        <f t="shared" si="57"/>
        <v>0.02</v>
      </c>
      <c r="HI5" s="24">
        <f t="shared" si="57"/>
        <v>0.03</v>
      </c>
      <c r="HJ5" s="20">
        <f>'Quick Setup'!U62</f>
        <v>0.9</v>
      </c>
      <c r="HK5" s="21">
        <f>if(HJ5='Quick Setup'!$C$31,'Quick Setup'!$C34,if(HJ5='Quick Setup'!$D$31,'Quick Setup'!$D34,if(HJ5='Quick Setup'!$E$31,'Quick Setup'!$E34,if(HJ5='Quick Setup'!$F$31,'Quick Setup'!$F34,if(HJ5='Quick Setup'!$G$31,'Quick Setup'!$G34,if(HJ5='Quick Setup'!$H$31,'Quick Setup'!$H34,if(HJ5='Quick Setup'!$I$31,'Quick Setup'!$I34,if(HJ5='Quick Setup'!$J$31,'Quick Setup'!$J34,if(HJ5='Quick Setup'!$K$31,'Quick Setup'!$K34,if(HJ5='Quick Setup'!$L$31,'Quick Setup'!$L34,if(HJ5='Quick Setup'!$M$31,'Quick Setup'!$M34,if(HJ5='Quick Setup'!$N$31,'Quick Setup'!$N34,if(HJ5='Quick Setup'!$O$31,'Quick Setup'!$O34,if(HJ5='Quick Setup'!$P$31,'Quick Setup'!$P34,if(HJ5='Quick Setup'!$Q$31,'Quick Setup'!$Q34,if(HJ5='Quick Setup'!$R$31,'Quick Setup'!$R34,if(HJ5='Quick Setup'!$S$31,'Quick Setup'!$S34,if(HJ5='Quick Setup'!$T$31,'Quick Setup'!$T34,if(HJ5='Quick Setup'!$U$31,'Quick Setup'!$U34,if(HJ5='Quick Setup'!$V$31,'Quick Setup'!$V34,'Quick Setup'!$W34))))))))))))))))))))</f>
        <v>1</v>
      </c>
      <c r="HL5" s="21">
        <f>if(HJ5='Quick Setup'!$C$45,'Quick Setup'!$C48,if(HJ5='Quick Setup'!$D$45,'Quick Setup'!$D48,if(HJ5='Quick Setup'!$E$45,'Quick Setup'!$E48,if(HJ5='Quick Setup'!$F$45,'Quick Setup'!$F48,if(HJ5='Quick Setup'!$G$45,'Quick Setup'!$G48,if(HJ5='Quick Setup'!$H$45,'Quick Setup'!$H48,if(HJ5='Quick Setup'!$I$45,'Quick Setup'!$I48,if(HJ5='Quick Setup'!$J$45,'Quick Setup'!$J48,if(HJ5='Quick Setup'!$K$45,'Quick Setup'!$K48,if(HJ5='Quick Setup'!$L$45,'Quick Setup'!$L48,if(HJ5='Quick Setup'!$M$45,'Quick Setup'!$M48,if(HJ5='Quick Setup'!$N$45,'Quick Setup'!$N48,if(HJ5='Quick Setup'!$O$45,'Quick Setup'!$O48,if(HJ5='Quick Setup'!$P$45,'Quick Setup'!$P48,if(HJ5='Quick Setup'!$Q$45,'Quick Setup'!$Q48,if(HJ5='Quick Setup'!$R$45,'Quick Setup'!$R48,if(HJ5='Quick Setup'!$S$45,'Quick Setup'!$S48,if(HJ5='Quick Setup'!$T$45,'Quick Setup'!$T48,if(HJ5='Quick Setup'!$U$45,'Quick Setup'!$U48,if(HJ5='Quick Setup'!$V$45,'Quick Setup'!$V48,'Quick Setup'!$W48))))))))))))))))))))</f>
        <v>1</v>
      </c>
      <c r="HM5" s="23">
        <f t="shared" ref="HM5:HU5" si="58">HA5</f>
        <v>5</v>
      </c>
      <c r="HN5" s="24">
        <f t="shared" si="58"/>
        <v>-0.05</v>
      </c>
      <c r="HO5" s="24">
        <f t="shared" si="58"/>
        <v>-0.02</v>
      </c>
      <c r="HP5" s="24">
        <f t="shared" si="58"/>
        <v>0</v>
      </c>
      <c r="HQ5" s="24">
        <f t="shared" si="58"/>
        <v>0.005</v>
      </c>
      <c r="HR5" s="24">
        <f t="shared" si="58"/>
        <v>0.01</v>
      </c>
      <c r="HS5" s="24">
        <f t="shared" si="58"/>
        <v>0.015</v>
      </c>
      <c r="HT5" s="24">
        <f t="shared" si="58"/>
        <v>0.02</v>
      </c>
      <c r="HU5" s="24">
        <f t="shared" si="58"/>
        <v>0.03</v>
      </c>
      <c r="HV5" s="20">
        <f>'Quick Setup'!V62</f>
        <v>0.95</v>
      </c>
      <c r="HW5" s="21">
        <f>if(HV5='Quick Setup'!$C$31,'Quick Setup'!$C34,if(HV5='Quick Setup'!$D$31,'Quick Setup'!$D34,if(HV5='Quick Setup'!$E$31,'Quick Setup'!$E34,if(HV5='Quick Setup'!$F$31,'Quick Setup'!$F34,if(HV5='Quick Setup'!$G$31,'Quick Setup'!$G34,if(HV5='Quick Setup'!$H$31,'Quick Setup'!$H34,if(HV5='Quick Setup'!$I$31,'Quick Setup'!$I34,if(HV5='Quick Setup'!$J$31,'Quick Setup'!$J34,if(HV5='Quick Setup'!$K$31,'Quick Setup'!$K34,if(HV5='Quick Setup'!$L$31,'Quick Setup'!$L34,if(HV5='Quick Setup'!$M$31,'Quick Setup'!$M34,if(HV5='Quick Setup'!$N$31,'Quick Setup'!$N34,if(HV5='Quick Setup'!$O$31,'Quick Setup'!$O34,if(HV5='Quick Setup'!$P$31,'Quick Setup'!$P34,if(HV5='Quick Setup'!$Q$31,'Quick Setup'!$Q34,if(HV5='Quick Setup'!$R$31,'Quick Setup'!$R34,if(HV5='Quick Setup'!$S$31,'Quick Setup'!$S34,if(HV5='Quick Setup'!$T$31,'Quick Setup'!$T34,if(HV5='Quick Setup'!$U$31,'Quick Setup'!$U34,if(HV5='Quick Setup'!$V$31,'Quick Setup'!$V34,'Quick Setup'!$W34))))))))))))))))))))</f>
        <v>1</v>
      </c>
      <c r="HX5" s="21">
        <f>if(HV5='Quick Setup'!$C$45,'Quick Setup'!$C48,if(HV5='Quick Setup'!$D$45,'Quick Setup'!$D48,if(HV5='Quick Setup'!$E$45,'Quick Setup'!$E48,if(HV5='Quick Setup'!$F$45,'Quick Setup'!$F48,if(HV5='Quick Setup'!$G$45,'Quick Setup'!$G48,if(HV5='Quick Setup'!$H$45,'Quick Setup'!$H48,if(HV5='Quick Setup'!$I$45,'Quick Setup'!$I48,if(HV5='Quick Setup'!$J$45,'Quick Setup'!$J48,if(HV5='Quick Setup'!$K$45,'Quick Setup'!$K48,if(HV5='Quick Setup'!$L$45,'Quick Setup'!$L48,if(HV5='Quick Setup'!$M$45,'Quick Setup'!$M48,if(HV5='Quick Setup'!$N$45,'Quick Setup'!$N48,if(HV5='Quick Setup'!$O$45,'Quick Setup'!$O48,if(HV5='Quick Setup'!$P$45,'Quick Setup'!$P48,if(HV5='Quick Setup'!$Q$45,'Quick Setup'!$Q48,if(HV5='Quick Setup'!$R$45,'Quick Setup'!$R48,if(HV5='Quick Setup'!$S$45,'Quick Setup'!$S48,if(HV5='Quick Setup'!$T$45,'Quick Setup'!$T48,if(HV5='Quick Setup'!$U$45,'Quick Setup'!$U48,if(HV5='Quick Setup'!$V$45,'Quick Setup'!$V48,'Quick Setup'!$W48))))))))))))))))))))</f>
        <v>1</v>
      </c>
      <c r="HY5" s="23">
        <f t="shared" ref="HY5:IG5" si="59">HM5</f>
        <v>5</v>
      </c>
      <c r="HZ5" s="24">
        <f t="shared" si="59"/>
        <v>-0.05</v>
      </c>
      <c r="IA5" s="24">
        <f t="shared" si="59"/>
        <v>-0.02</v>
      </c>
      <c r="IB5" s="24">
        <f t="shared" si="59"/>
        <v>0</v>
      </c>
      <c r="IC5" s="24">
        <f t="shared" si="59"/>
        <v>0.005</v>
      </c>
      <c r="ID5" s="24">
        <f t="shared" si="59"/>
        <v>0.01</v>
      </c>
      <c r="IE5" s="24">
        <f t="shared" si="59"/>
        <v>0.015</v>
      </c>
      <c r="IF5" s="24">
        <f t="shared" si="59"/>
        <v>0.02</v>
      </c>
      <c r="IG5" s="24">
        <f t="shared" si="59"/>
        <v>0.03</v>
      </c>
      <c r="IH5" s="20">
        <f>'Quick Setup'!W62</f>
        <v>0.6</v>
      </c>
      <c r="II5" s="21">
        <f>if(IH5='Quick Setup'!$C$31,'Quick Setup'!$C34,if(IH5='Quick Setup'!$D$31,'Quick Setup'!$D34,if(IH5='Quick Setup'!$E$31,'Quick Setup'!$E34,if(IH5='Quick Setup'!$F$31,'Quick Setup'!$F34,if(IH5='Quick Setup'!$G$31,'Quick Setup'!$G34,if(IH5='Quick Setup'!$H$31,'Quick Setup'!$H34,if(IH5='Quick Setup'!$I$31,'Quick Setup'!$I34,if(IH5='Quick Setup'!$J$31,'Quick Setup'!$J34,if(IH5='Quick Setup'!$K$31,'Quick Setup'!$K34,if(IH5='Quick Setup'!$L$31,'Quick Setup'!$L34,if(IH5='Quick Setup'!$M$31,'Quick Setup'!$M34,if(IH5='Quick Setup'!$N$31,'Quick Setup'!$N34,if(IH5='Quick Setup'!$O$31,'Quick Setup'!$O34,if(IH5='Quick Setup'!$P$31,'Quick Setup'!$P34,if(IH5='Quick Setup'!$Q$31,'Quick Setup'!$Q34,if(IH5='Quick Setup'!$R$31,'Quick Setup'!$R34,if(IH5='Quick Setup'!$S$31,'Quick Setup'!$S34,if(IH5='Quick Setup'!$T$31,'Quick Setup'!$T34,if(IH5='Quick Setup'!$U$31,'Quick Setup'!$U34,if(IH5='Quick Setup'!$V$31,'Quick Setup'!$V34,'Quick Setup'!$W34))))))))))))))))))))</f>
        <v>7</v>
      </c>
      <c r="IJ5" s="21">
        <f>if(IH5='Quick Setup'!$C$45,'Quick Setup'!$C48,if(IH5='Quick Setup'!$D$45,'Quick Setup'!$D48,if(IH5='Quick Setup'!$E$45,'Quick Setup'!$E48,if(IH5='Quick Setup'!$F$45,'Quick Setup'!$F48,if(IH5='Quick Setup'!$G$45,'Quick Setup'!$G48,if(IH5='Quick Setup'!$H$45,'Quick Setup'!$H48,if(IH5='Quick Setup'!$I$45,'Quick Setup'!$I48,if(IH5='Quick Setup'!$J$45,'Quick Setup'!$J48,if(IH5='Quick Setup'!$K$45,'Quick Setup'!$K48,if(IH5='Quick Setup'!$L$45,'Quick Setup'!$L48,if(IH5='Quick Setup'!$M$45,'Quick Setup'!$M48,if(IH5='Quick Setup'!$N$45,'Quick Setup'!$N48,if(IH5='Quick Setup'!$O$45,'Quick Setup'!$O48,if(IH5='Quick Setup'!$P$45,'Quick Setup'!$P48,if(IH5='Quick Setup'!$Q$45,'Quick Setup'!$Q48,if(IH5='Quick Setup'!$R$45,'Quick Setup'!$R48,if(IH5='Quick Setup'!$S$45,'Quick Setup'!$S48,if(IH5='Quick Setup'!$T$45,'Quick Setup'!$T48,if(IH5='Quick Setup'!$U$45,'Quick Setup'!$U48,if(IH5='Quick Setup'!$V$45,'Quick Setup'!$V48,'Quick Setup'!$W48))))))))))))))))))))</f>
        <v>3</v>
      </c>
      <c r="IK5" s="23">
        <f t="shared" ref="IK5:IS5" si="60">HY5</f>
        <v>5</v>
      </c>
      <c r="IL5" s="24">
        <f t="shared" si="60"/>
        <v>-0.05</v>
      </c>
      <c r="IM5" s="24">
        <f t="shared" si="60"/>
        <v>-0.02</v>
      </c>
      <c r="IN5" s="24">
        <f t="shared" si="60"/>
        <v>0</v>
      </c>
      <c r="IO5" s="24">
        <f t="shared" si="60"/>
        <v>0.005</v>
      </c>
      <c r="IP5" s="24">
        <f t="shared" si="60"/>
        <v>0.01</v>
      </c>
      <c r="IQ5" s="24">
        <f t="shared" si="60"/>
        <v>0.015</v>
      </c>
      <c r="IR5" s="24">
        <f t="shared" si="60"/>
        <v>0.02</v>
      </c>
      <c r="IS5" s="24">
        <f t="shared" si="60"/>
        <v>0.03</v>
      </c>
    </row>
    <row r="6">
      <c r="A6" t="str">
        <f>'Quick Setup'!C8</f>
        <v>OHP</v>
      </c>
      <c r="B6" s="20">
        <f>'Quick Setup'!C63</f>
        <v>0.7</v>
      </c>
      <c r="C6" s="21">
        <f>if(B6='Quick Setup'!$C$31,'Quick Setup'!$C35,if(B6='Quick Setup'!$D$31,'Quick Setup'!$D35,if(B6='Quick Setup'!$E$31,'Quick Setup'!$E35,if(B6='Quick Setup'!$F$31,'Quick Setup'!$F35,if(B6='Quick Setup'!$G$31,'Quick Setup'!$G35,if(B6='Quick Setup'!$H$31,'Quick Setup'!$H35,if(B6='Quick Setup'!$I$31,'Quick Setup'!$I35,if(B6='Quick Setup'!$J$31,'Quick Setup'!$J35,if(B6='Quick Setup'!$K$31,'Quick Setup'!$K35,if(B6='Quick Setup'!$L$31,'Quick Setup'!$L35,if(B6='Quick Setup'!$M$31,'Quick Setup'!$M35,if(B6='Quick Setup'!$N$31,'Quick Setup'!$N35,if(B6='Quick Setup'!$O$31,'Quick Setup'!$O35,if(B6='Quick Setup'!$P$31,'Quick Setup'!$P35,if(B6='Quick Setup'!$Q$31,'Quick Setup'!$Q35,if(B6='Quick Setup'!$R$31,'Quick Setup'!$R35,if(B6='Quick Setup'!$S$31,'Quick Setup'!$S35,if(B6='Quick Setup'!$T$31,'Quick Setup'!$T35,if(B6='Quick Setup'!$U$31,'Quick Setup'!$U35,if(B6='Quick Setup'!$V$31,'Quick Setup'!$V35,'Quick Setup'!$W35))))))))))))))))))))</f>
        <v>5</v>
      </c>
      <c r="D6" s="21">
        <f>if(B6='Quick Setup'!$C$45,'Quick Setup'!$C49,if(B6='Quick Setup'!$D$45,'Quick Setup'!$D49,if(B6='Quick Setup'!$E$45,'Quick Setup'!$E49,if(B6='Quick Setup'!$F$45,'Quick Setup'!$F49,if(B6='Quick Setup'!$G$45,'Quick Setup'!$G49,if(B6='Quick Setup'!$H$45,'Quick Setup'!$H49,if(B6='Quick Setup'!$I$45,'Quick Setup'!$I49,if(B6='Quick Setup'!$J$45,'Quick Setup'!$J49,if(B6='Quick Setup'!$K$45,'Quick Setup'!$K49,if(B6='Quick Setup'!$L$45,'Quick Setup'!$L49,if(B6='Quick Setup'!$M$45,'Quick Setup'!$M49,if(B6='Quick Setup'!$N$45,'Quick Setup'!$N49,if(B6='Quick Setup'!$O$45,'Quick Setup'!$O49,if(B6='Quick Setup'!$P$45,'Quick Setup'!$P49,if(B6='Quick Setup'!$Q$45,'Quick Setup'!$Q49,if(B6='Quick Setup'!$R$45,'Quick Setup'!$R49,if(B6='Quick Setup'!$S$45,'Quick Setup'!$S49,if(B6='Quick Setup'!$T$45,'Quick Setup'!$T49,if(B6='Quick Setup'!$U$45,'Quick Setup'!$U49,if(B6='Quick Setup'!$V$45,'Quick Setup'!$V49,'Quick Setup'!$W49))))))))))))))))))))</f>
        <v>3</v>
      </c>
      <c r="E6" s="21">
        <f>'Quick Setup'!H9</f>
        <v>5</v>
      </c>
      <c r="F6" s="22">
        <f>'Quick Setup'!I9</f>
        <v>-0.05</v>
      </c>
      <c r="G6" s="22">
        <f>'Quick Setup'!J9</f>
        <v>-0.02</v>
      </c>
      <c r="H6" s="22">
        <f>'Quick Setup'!K9</f>
        <v>0</v>
      </c>
      <c r="I6" s="22">
        <f>'Quick Setup'!L9</f>
        <v>0.005</v>
      </c>
      <c r="J6" s="22">
        <f>'Quick Setup'!M9</f>
        <v>0.01</v>
      </c>
      <c r="K6" s="22">
        <f>'Quick Setup'!N9</f>
        <v>0.015</v>
      </c>
      <c r="L6" s="22">
        <f>'Quick Setup'!O9</f>
        <v>0.02</v>
      </c>
      <c r="M6" s="22">
        <f>'Quick Setup'!P9</f>
        <v>0.03</v>
      </c>
      <c r="N6" s="20">
        <f>'Quick Setup'!D63</f>
        <v>0.75</v>
      </c>
      <c r="O6" s="21">
        <f>if(N6='Quick Setup'!$C$31,'Quick Setup'!$C35,if(N6='Quick Setup'!$D$31,'Quick Setup'!$D35,if(N6='Quick Setup'!$E$31,'Quick Setup'!$E35,if(N6='Quick Setup'!$F$31,'Quick Setup'!$F35,if(N6='Quick Setup'!$G$31,'Quick Setup'!$G35,if(N6='Quick Setup'!$H$31,'Quick Setup'!$H35,if(N6='Quick Setup'!$I$31,'Quick Setup'!$I35,if(N6='Quick Setup'!$J$31,'Quick Setup'!$J35,if(N6='Quick Setup'!$K$31,'Quick Setup'!$K35,if(N6='Quick Setup'!$L$31,'Quick Setup'!$L35,if(N6='Quick Setup'!$M$31,'Quick Setup'!$M35,if(N6='Quick Setup'!$N$31,'Quick Setup'!$N35,if(N6='Quick Setup'!$O$31,'Quick Setup'!$O35,if(N6='Quick Setup'!$P$31,'Quick Setup'!$P35,if(N6='Quick Setup'!$Q$31,'Quick Setup'!$Q35,if(N6='Quick Setup'!$R$31,'Quick Setup'!$R35,if(N6='Quick Setup'!$S$31,'Quick Setup'!$S35,if(N6='Quick Setup'!$T$31,'Quick Setup'!$T35,if(N6='Quick Setup'!$U$31,'Quick Setup'!$U35,if(N6='Quick Setup'!$V$31,'Quick Setup'!$V35,'Quick Setup'!$W35))))))))))))))))))))</f>
        <v>4</v>
      </c>
      <c r="P6" s="21">
        <f>if(N6='Quick Setup'!$C$45,'Quick Setup'!$C49,if(N6='Quick Setup'!$D$45,'Quick Setup'!$D49,if(N6='Quick Setup'!$E$45,'Quick Setup'!$E49,if(N6='Quick Setup'!$F$45,'Quick Setup'!$F49,if(N6='Quick Setup'!$G$45,'Quick Setup'!$G49,if(N6='Quick Setup'!$H$45,'Quick Setup'!$H49,if(N6='Quick Setup'!$I$45,'Quick Setup'!$I49,if(N6='Quick Setup'!$J$45,'Quick Setup'!$J49,if(N6='Quick Setup'!$K$45,'Quick Setup'!$K49,if(N6='Quick Setup'!$L$45,'Quick Setup'!$L49,if(N6='Quick Setup'!$M$45,'Quick Setup'!$M49,if(N6='Quick Setup'!$N$45,'Quick Setup'!$N49,if(N6='Quick Setup'!$O$45,'Quick Setup'!$O49,if(N6='Quick Setup'!$P$45,'Quick Setup'!$P49,if(N6='Quick Setup'!$Q$45,'Quick Setup'!$Q49,if(N6='Quick Setup'!$R$45,'Quick Setup'!$R49,if(N6='Quick Setup'!$S$45,'Quick Setup'!$S49,if(N6='Quick Setup'!$T$45,'Quick Setup'!$T49,if(N6='Quick Setup'!$U$45,'Quick Setup'!$U49,if(N6='Quick Setup'!$V$45,'Quick Setup'!$V49,'Quick Setup'!$W49))))))))))))))))))))</f>
        <v>2</v>
      </c>
      <c r="Q6" s="21">
        <f t="shared" ref="Q6:Y6" si="61">E6</f>
        <v>5</v>
      </c>
      <c r="R6" s="22">
        <f t="shared" si="61"/>
        <v>-0.05</v>
      </c>
      <c r="S6" s="22">
        <f t="shared" si="61"/>
        <v>-0.02</v>
      </c>
      <c r="T6" s="22">
        <f t="shared" si="61"/>
        <v>0</v>
      </c>
      <c r="U6" s="22">
        <f t="shared" si="61"/>
        <v>0.005</v>
      </c>
      <c r="V6" s="22">
        <f t="shared" si="61"/>
        <v>0.01</v>
      </c>
      <c r="W6" s="22">
        <f t="shared" si="61"/>
        <v>0.015</v>
      </c>
      <c r="X6" s="22">
        <f t="shared" si="61"/>
        <v>0.02</v>
      </c>
      <c r="Y6" s="22">
        <f t="shared" si="61"/>
        <v>0.03</v>
      </c>
      <c r="Z6" s="20">
        <f>'Quick Setup'!E63</f>
        <v>0.8</v>
      </c>
      <c r="AA6" s="21">
        <f>if(Z6='Quick Setup'!$C$31,'Quick Setup'!$C35,if(Z6='Quick Setup'!$D$31,'Quick Setup'!$D35,if(Z6='Quick Setup'!$E$31,'Quick Setup'!$E35,if(Z6='Quick Setup'!$F$31,'Quick Setup'!$F35,if(Z6='Quick Setup'!$G$31,'Quick Setup'!$G35,if(Z6='Quick Setup'!$H$31,'Quick Setup'!$H35,if(Z6='Quick Setup'!$I$31,'Quick Setup'!$I35,if(Z6='Quick Setup'!$J$31,'Quick Setup'!$J35,if(Z6='Quick Setup'!$K$31,'Quick Setup'!$K35,if(Z6='Quick Setup'!$L$31,'Quick Setup'!$L35,if(Z6='Quick Setup'!$M$31,'Quick Setup'!$M35,if(Z6='Quick Setup'!$N$31,'Quick Setup'!$N35,if(Z6='Quick Setup'!$O$31,'Quick Setup'!$O35,if(Z6='Quick Setup'!$P$31,'Quick Setup'!$P35,if(Z6='Quick Setup'!$Q$31,'Quick Setup'!$Q35,if(Z6='Quick Setup'!$R$31,'Quick Setup'!$R35,if(Z6='Quick Setup'!$S$31,'Quick Setup'!$S35,if(Z6='Quick Setup'!$T$31,'Quick Setup'!$T35,if(Z6='Quick Setup'!$U$31,'Quick Setup'!$U35,if(Z6='Quick Setup'!$V$31,'Quick Setup'!$V35,'Quick Setup'!$W35))))))))))))))))))))</f>
        <v>3</v>
      </c>
      <c r="AB6" s="21">
        <f>if(Z6='Quick Setup'!$C$45,'Quick Setup'!$C49,if(Z6='Quick Setup'!$D$45,'Quick Setup'!$D49,if(Z6='Quick Setup'!$E$45,'Quick Setup'!$E49,if(Z6='Quick Setup'!$F$45,'Quick Setup'!$F49,if(Z6='Quick Setup'!$G$45,'Quick Setup'!$G49,if(Z6='Quick Setup'!$H$45,'Quick Setup'!$H49,if(Z6='Quick Setup'!$I$45,'Quick Setup'!$I49,if(Z6='Quick Setup'!$J$45,'Quick Setup'!$J49,if(Z6='Quick Setup'!$K$45,'Quick Setup'!$K49,if(Z6='Quick Setup'!$L$45,'Quick Setup'!$L49,if(Z6='Quick Setup'!$M$45,'Quick Setup'!$M49,if(Z6='Quick Setup'!$N$45,'Quick Setup'!$N49,if(Z6='Quick Setup'!$O$45,'Quick Setup'!$O49,if(Z6='Quick Setup'!$P$45,'Quick Setup'!$P49,if(Z6='Quick Setup'!$Q$45,'Quick Setup'!$Q49,if(Z6='Quick Setup'!$R$45,'Quick Setup'!$R49,if(Z6='Quick Setup'!$S$45,'Quick Setup'!$S49,if(Z6='Quick Setup'!$T$45,'Quick Setup'!$T49,if(Z6='Quick Setup'!$U$45,'Quick Setup'!$U49,if(Z6='Quick Setup'!$V$45,'Quick Setup'!$V49,'Quick Setup'!$W49))))))))))))))))))))</f>
        <v>2</v>
      </c>
      <c r="AC6" s="21">
        <f t="shared" ref="AC6:AK6" si="62">Q6</f>
        <v>5</v>
      </c>
      <c r="AD6" s="22">
        <f t="shared" si="62"/>
        <v>-0.05</v>
      </c>
      <c r="AE6" s="22">
        <f t="shared" si="62"/>
        <v>-0.02</v>
      </c>
      <c r="AF6" s="22">
        <f t="shared" si="62"/>
        <v>0</v>
      </c>
      <c r="AG6" s="22">
        <f t="shared" si="62"/>
        <v>0.005</v>
      </c>
      <c r="AH6" s="22">
        <f t="shared" si="62"/>
        <v>0.01</v>
      </c>
      <c r="AI6" s="22">
        <f t="shared" si="62"/>
        <v>0.015</v>
      </c>
      <c r="AJ6" s="22">
        <f t="shared" si="62"/>
        <v>0.02</v>
      </c>
      <c r="AK6" s="22">
        <f t="shared" si="62"/>
        <v>0.03</v>
      </c>
      <c r="AL6" s="20">
        <f>'Quick Setup'!F63</f>
        <v>0.725</v>
      </c>
      <c r="AM6" s="21">
        <f>if(AL6='Quick Setup'!$C$31,'Quick Setup'!$C35,if(AL6='Quick Setup'!$D$31,'Quick Setup'!$D35,if(AL6='Quick Setup'!$E$31,'Quick Setup'!$E35,if(AL6='Quick Setup'!$F$31,'Quick Setup'!$F35,if(AL6='Quick Setup'!$G$31,'Quick Setup'!$G35,if(AL6='Quick Setup'!$H$31,'Quick Setup'!$H35,if(AL6='Quick Setup'!$I$31,'Quick Setup'!$I35,if(AL6='Quick Setup'!$J$31,'Quick Setup'!$J35,if(AL6='Quick Setup'!$K$31,'Quick Setup'!$K35,if(AL6='Quick Setup'!$L$31,'Quick Setup'!$L35,if(AL6='Quick Setup'!$M$31,'Quick Setup'!$M35,if(AL6='Quick Setup'!$N$31,'Quick Setup'!$N35,if(AL6='Quick Setup'!$O$31,'Quick Setup'!$O35,if(AL6='Quick Setup'!$P$31,'Quick Setup'!$P35,if(AL6='Quick Setup'!$Q$31,'Quick Setup'!$Q35,if(AL6='Quick Setup'!$R$31,'Quick Setup'!$R35,if(AL6='Quick Setup'!$S$31,'Quick Setup'!$S35,if(AL6='Quick Setup'!$T$31,'Quick Setup'!$T35,if(AL6='Quick Setup'!$U$31,'Quick Setup'!$U35,if(AL6='Quick Setup'!$V$31,'Quick Setup'!$V35,'Quick Setup'!$W35))))))))))))))))))))</f>
        <v>5</v>
      </c>
      <c r="AN6" s="21">
        <f>if(AL6='Quick Setup'!$C$45,'Quick Setup'!$C49,if(AL6='Quick Setup'!$D$45,'Quick Setup'!$D49,if(AL6='Quick Setup'!$E$45,'Quick Setup'!$E49,if(AL6='Quick Setup'!$F$45,'Quick Setup'!$F49,if(AL6='Quick Setup'!$G$45,'Quick Setup'!$G49,if(AL6='Quick Setup'!$H$45,'Quick Setup'!$H49,if(AL6='Quick Setup'!$I$45,'Quick Setup'!$I49,if(AL6='Quick Setup'!$J$45,'Quick Setup'!$J49,if(AL6='Quick Setup'!$K$45,'Quick Setup'!$K49,if(AL6='Quick Setup'!$L$45,'Quick Setup'!$L49,if(AL6='Quick Setup'!$M$45,'Quick Setup'!$M49,if(AL6='Quick Setup'!$N$45,'Quick Setup'!$N49,if(AL6='Quick Setup'!$O$45,'Quick Setup'!$O49,if(AL6='Quick Setup'!$P$45,'Quick Setup'!$P49,if(AL6='Quick Setup'!$Q$45,'Quick Setup'!$Q49,if(AL6='Quick Setup'!$R$45,'Quick Setup'!$R49,if(AL6='Quick Setup'!$S$45,'Quick Setup'!$S49,if(AL6='Quick Setup'!$T$45,'Quick Setup'!$T49,if(AL6='Quick Setup'!$U$45,'Quick Setup'!$U49,if(AL6='Quick Setup'!$V$45,'Quick Setup'!$V49,'Quick Setup'!$W49))))))))))))))))))))</f>
        <v>3</v>
      </c>
      <c r="AO6" s="21">
        <f t="shared" ref="AO6:AW6" si="63">AC6</f>
        <v>5</v>
      </c>
      <c r="AP6" s="22">
        <f t="shared" si="63"/>
        <v>-0.05</v>
      </c>
      <c r="AQ6" s="22">
        <f t="shared" si="63"/>
        <v>-0.02</v>
      </c>
      <c r="AR6" s="22">
        <f t="shared" si="63"/>
        <v>0</v>
      </c>
      <c r="AS6" s="22">
        <f t="shared" si="63"/>
        <v>0.005</v>
      </c>
      <c r="AT6" s="22">
        <f t="shared" si="63"/>
        <v>0.01</v>
      </c>
      <c r="AU6" s="22">
        <f t="shared" si="63"/>
        <v>0.015</v>
      </c>
      <c r="AV6" s="22">
        <f t="shared" si="63"/>
        <v>0.02</v>
      </c>
      <c r="AW6" s="22">
        <f t="shared" si="63"/>
        <v>0.03</v>
      </c>
      <c r="AX6" s="20">
        <f>'Quick Setup'!G63</f>
        <v>0.775</v>
      </c>
      <c r="AY6" s="21">
        <f>if(AX6='Quick Setup'!$C$31,'Quick Setup'!$C35,if(AX6='Quick Setup'!$D$31,'Quick Setup'!$D35,if(AX6='Quick Setup'!$E$31,'Quick Setup'!$E35,if(AX6='Quick Setup'!$F$31,'Quick Setup'!$F35,if(AX6='Quick Setup'!$G$31,'Quick Setup'!$G35,if(AX6='Quick Setup'!$H$31,'Quick Setup'!$H35,if(AX6='Quick Setup'!$I$31,'Quick Setup'!$I35,if(AX6='Quick Setup'!$J$31,'Quick Setup'!$J35,if(AX6='Quick Setup'!$K$31,'Quick Setup'!$K35,if(AX6='Quick Setup'!$L$31,'Quick Setup'!$L35,if(AX6='Quick Setup'!$M$31,'Quick Setup'!$M35,if(AX6='Quick Setup'!$N$31,'Quick Setup'!$N35,if(AX6='Quick Setup'!$O$31,'Quick Setup'!$O35,if(AX6='Quick Setup'!$P$31,'Quick Setup'!$P35,if(AX6='Quick Setup'!$Q$31,'Quick Setup'!$Q35,if(AX6='Quick Setup'!$R$31,'Quick Setup'!$R35,if(AX6='Quick Setup'!$S$31,'Quick Setup'!$S35,if(AX6='Quick Setup'!$T$31,'Quick Setup'!$T35,if(AX6='Quick Setup'!$U$31,'Quick Setup'!$U35,if(AX6='Quick Setup'!$V$31,'Quick Setup'!$V35,'Quick Setup'!$W35))))))))))))))))))))</f>
        <v>4</v>
      </c>
      <c r="AZ6" s="21">
        <f>if(AX6='Quick Setup'!$C$45,'Quick Setup'!$C49,if(AX6='Quick Setup'!$D$45,'Quick Setup'!$D49,if(AX6='Quick Setup'!$E$45,'Quick Setup'!$E49,if(AX6='Quick Setup'!$F$45,'Quick Setup'!$F49,if(AX6='Quick Setup'!$G$45,'Quick Setup'!$G49,if(AX6='Quick Setup'!$H$45,'Quick Setup'!$H49,if(AX6='Quick Setup'!$I$45,'Quick Setup'!$I49,if(AX6='Quick Setup'!$J$45,'Quick Setup'!$J49,if(AX6='Quick Setup'!$K$45,'Quick Setup'!$K49,if(AX6='Quick Setup'!$L$45,'Quick Setup'!$L49,if(AX6='Quick Setup'!$M$45,'Quick Setup'!$M49,if(AX6='Quick Setup'!$N$45,'Quick Setup'!$N49,if(AX6='Quick Setup'!$O$45,'Quick Setup'!$O49,if(AX6='Quick Setup'!$P$45,'Quick Setup'!$P49,if(AX6='Quick Setup'!$Q$45,'Quick Setup'!$Q49,if(AX6='Quick Setup'!$R$45,'Quick Setup'!$R49,if(AX6='Quick Setup'!$S$45,'Quick Setup'!$S49,if(AX6='Quick Setup'!$T$45,'Quick Setup'!$T49,if(AX6='Quick Setup'!$U$45,'Quick Setup'!$U49,if(AX6='Quick Setup'!$V$45,'Quick Setup'!$V49,'Quick Setup'!$W49))))))))))))))))))))</f>
        <v>2</v>
      </c>
      <c r="BA6" s="21">
        <f t="shared" ref="BA6:BI6" si="64">AO6</f>
        <v>5</v>
      </c>
      <c r="BB6" s="22">
        <f t="shared" si="64"/>
        <v>-0.05</v>
      </c>
      <c r="BC6" s="22">
        <f t="shared" si="64"/>
        <v>-0.02</v>
      </c>
      <c r="BD6" s="22">
        <f t="shared" si="64"/>
        <v>0</v>
      </c>
      <c r="BE6" s="22">
        <f t="shared" si="64"/>
        <v>0.005</v>
      </c>
      <c r="BF6" s="22">
        <f t="shared" si="64"/>
        <v>0.01</v>
      </c>
      <c r="BG6" s="22">
        <f t="shared" si="64"/>
        <v>0.015</v>
      </c>
      <c r="BH6" s="22">
        <f t="shared" si="64"/>
        <v>0.02</v>
      </c>
      <c r="BI6" s="22">
        <f t="shared" si="64"/>
        <v>0.03</v>
      </c>
      <c r="BJ6" s="20">
        <f>'Quick Setup'!H63</f>
        <v>0.825</v>
      </c>
      <c r="BK6" s="21">
        <f>if(BJ6='Quick Setup'!$C$31,'Quick Setup'!$C35,if(BJ6='Quick Setup'!$D$31,'Quick Setup'!$D35,if(BJ6='Quick Setup'!$E$31,'Quick Setup'!$E35,if(BJ6='Quick Setup'!$F$31,'Quick Setup'!$F35,if(BJ6='Quick Setup'!$G$31,'Quick Setup'!$G35,if(BJ6='Quick Setup'!$H$31,'Quick Setup'!$H35,if(BJ6='Quick Setup'!$I$31,'Quick Setup'!$I35,if(BJ6='Quick Setup'!$J$31,'Quick Setup'!$J35,if(BJ6='Quick Setup'!$K$31,'Quick Setup'!$K35,if(BJ6='Quick Setup'!$L$31,'Quick Setup'!$L35,if(BJ6='Quick Setup'!$M$31,'Quick Setup'!$M35,if(BJ6='Quick Setup'!$N$31,'Quick Setup'!$N35,if(BJ6='Quick Setup'!$O$31,'Quick Setup'!$O35,if(BJ6='Quick Setup'!$P$31,'Quick Setup'!$P35,if(BJ6='Quick Setup'!$Q$31,'Quick Setup'!$Q35,if(BJ6='Quick Setup'!$R$31,'Quick Setup'!$R35,if(BJ6='Quick Setup'!$S$31,'Quick Setup'!$S35,if(BJ6='Quick Setup'!$T$31,'Quick Setup'!$T35,if(BJ6='Quick Setup'!$U$31,'Quick Setup'!$U35,if(BJ6='Quick Setup'!$V$31,'Quick Setup'!$V35,'Quick Setup'!$W35))))))))))))))))))))</f>
        <v>3</v>
      </c>
      <c r="BL6" s="21">
        <f>if(BJ6='Quick Setup'!$C$45,'Quick Setup'!$C49,if(BJ6='Quick Setup'!$D$45,'Quick Setup'!$D49,if(BJ6='Quick Setup'!$E$45,'Quick Setup'!$E49,if(BJ6='Quick Setup'!$F$45,'Quick Setup'!$F49,if(BJ6='Quick Setup'!$G$45,'Quick Setup'!$G49,if(BJ6='Quick Setup'!$H$45,'Quick Setup'!$H49,if(BJ6='Quick Setup'!$I$45,'Quick Setup'!$I49,if(BJ6='Quick Setup'!$J$45,'Quick Setup'!$J49,if(BJ6='Quick Setup'!$K$45,'Quick Setup'!$K49,if(BJ6='Quick Setup'!$L$45,'Quick Setup'!$L49,if(BJ6='Quick Setup'!$M$45,'Quick Setup'!$M49,if(BJ6='Quick Setup'!$N$45,'Quick Setup'!$N49,if(BJ6='Quick Setup'!$O$45,'Quick Setup'!$O49,if(BJ6='Quick Setup'!$P$45,'Quick Setup'!$P49,if(BJ6='Quick Setup'!$Q$45,'Quick Setup'!$Q49,if(BJ6='Quick Setup'!$R$45,'Quick Setup'!$R49,if(BJ6='Quick Setup'!$S$45,'Quick Setup'!$S49,if(BJ6='Quick Setup'!$T$45,'Quick Setup'!$T49,if(BJ6='Quick Setup'!$U$45,'Quick Setup'!$U49,if(BJ6='Quick Setup'!$V$45,'Quick Setup'!$V49,'Quick Setup'!$W49))))))))))))))))))))</f>
        <v>2</v>
      </c>
      <c r="BM6" s="23">
        <f t="shared" ref="BM6:BU6" si="65">BA6</f>
        <v>5</v>
      </c>
      <c r="BN6" s="24">
        <f t="shared" si="65"/>
        <v>-0.05</v>
      </c>
      <c r="BO6" s="24">
        <f t="shared" si="65"/>
        <v>-0.02</v>
      </c>
      <c r="BP6" s="24">
        <f t="shared" si="65"/>
        <v>0</v>
      </c>
      <c r="BQ6" s="24">
        <f t="shared" si="65"/>
        <v>0.005</v>
      </c>
      <c r="BR6" s="24">
        <f t="shared" si="65"/>
        <v>0.01</v>
      </c>
      <c r="BS6" s="24">
        <f t="shared" si="65"/>
        <v>0.015</v>
      </c>
      <c r="BT6" s="24">
        <f t="shared" si="65"/>
        <v>0.02</v>
      </c>
      <c r="BU6" s="24">
        <f t="shared" si="65"/>
        <v>0.03</v>
      </c>
      <c r="BV6" s="20">
        <f>'Quick Setup'!I63</f>
        <v>0.6</v>
      </c>
      <c r="BW6" s="21">
        <f>if(BV6='Quick Setup'!$C$31,'Quick Setup'!$C35,if(BV6='Quick Setup'!$D$31,'Quick Setup'!$D35,if(BV6='Quick Setup'!$E$31,'Quick Setup'!$E35,if(BV6='Quick Setup'!$F$31,'Quick Setup'!$F35,if(BV6='Quick Setup'!$G$31,'Quick Setup'!$G35,if(BV6='Quick Setup'!$H$31,'Quick Setup'!$H35,if(BV6='Quick Setup'!$I$31,'Quick Setup'!$I35,if(BV6='Quick Setup'!$J$31,'Quick Setup'!$J35,if(BV6='Quick Setup'!$K$31,'Quick Setup'!$K35,if(BV6='Quick Setup'!$L$31,'Quick Setup'!$L35,if(BV6='Quick Setup'!$M$31,'Quick Setup'!$M35,if(BV6='Quick Setup'!$N$31,'Quick Setup'!$N35,if(BV6='Quick Setup'!$O$31,'Quick Setup'!$O35,if(BV6='Quick Setup'!$P$31,'Quick Setup'!$P35,if(BV6='Quick Setup'!$Q$31,'Quick Setup'!$Q35,if(BV6='Quick Setup'!$R$31,'Quick Setup'!$R35,if(BV6='Quick Setup'!$S$31,'Quick Setup'!$S35,if(BV6='Quick Setup'!$T$31,'Quick Setup'!$T35,if(BV6='Quick Setup'!$U$31,'Quick Setup'!$U35,if(BV6='Quick Setup'!$V$31,'Quick Setup'!$V35,'Quick Setup'!$W35))))))))))))))))))))</f>
        <v>7</v>
      </c>
      <c r="BX6" s="21">
        <f>if(BV6='Quick Setup'!$C$45,'Quick Setup'!$C49,if(BV6='Quick Setup'!$D$45,'Quick Setup'!$D49,if(BV6='Quick Setup'!$E$45,'Quick Setup'!$E49,if(BV6='Quick Setup'!$F$45,'Quick Setup'!$F49,if(BV6='Quick Setup'!$G$45,'Quick Setup'!$G49,if(BV6='Quick Setup'!$H$45,'Quick Setup'!$H49,if(BV6='Quick Setup'!$I$45,'Quick Setup'!$I49,if(BV6='Quick Setup'!$J$45,'Quick Setup'!$J49,if(BV6='Quick Setup'!$K$45,'Quick Setup'!$K49,if(BV6='Quick Setup'!$L$45,'Quick Setup'!$L49,if(BV6='Quick Setup'!$M$45,'Quick Setup'!$M49,if(BV6='Quick Setup'!$N$45,'Quick Setup'!$N49,if(BV6='Quick Setup'!$O$45,'Quick Setup'!$O49,if(BV6='Quick Setup'!$P$45,'Quick Setup'!$P49,if(BV6='Quick Setup'!$Q$45,'Quick Setup'!$Q49,if(BV6='Quick Setup'!$R$45,'Quick Setup'!$R49,if(BV6='Quick Setup'!$S$45,'Quick Setup'!$S49,if(BV6='Quick Setup'!$T$45,'Quick Setup'!$T49,if(BV6='Quick Setup'!$U$45,'Quick Setup'!$U49,if(BV6='Quick Setup'!$V$45,'Quick Setup'!$V49,'Quick Setup'!$W49))))))))))))))))))))</f>
        <v>3</v>
      </c>
      <c r="BY6" s="23">
        <f t="shared" ref="BY6:CG6" si="66">BM6</f>
        <v>5</v>
      </c>
      <c r="BZ6" s="24">
        <f t="shared" si="66"/>
        <v>-0.05</v>
      </c>
      <c r="CA6" s="24">
        <f t="shared" si="66"/>
        <v>-0.02</v>
      </c>
      <c r="CB6" s="24">
        <f t="shared" si="66"/>
        <v>0</v>
      </c>
      <c r="CC6" s="24">
        <f t="shared" si="66"/>
        <v>0.005</v>
      </c>
      <c r="CD6" s="24">
        <f t="shared" si="66"/>
        <v>0.01</v>
      </c>
      <c r="CE6" s="24">
        <f t="shared" si="66"/>
        <v>0.015</v>
      </c>
      <c r="CF6" s="24">
        <f t="shared" si="66"/>
        <v>0.02</v>
      </c>
      <c r="CG6" s="24">
        <f t="shared" si="66"/>
        <v>0.03</v>
      </c>
      <c r="CH6" s="20">
        <f>'Quick Setup'!J63</f>
        <v>0.75</v>
      </c>
      <c r="CI6" s="21">
        <f>if(CH6='Quick Setup'!$C$31,'Quick Setup'!$C35,if(CH6='Quick Setup'!$D$31,'Quick Setup'!$D35,if(CH6='Quick Setup'!$E$31,'Quick Setup'!$E35,if(CH6='Quick Setup'!$F$31,'Quick Setup'!$F35,if(CH6='Quick Setup'!$G$31,'Quick Setup'!$G35,if(CH6='Quick Setup'!$H$31,'Quick Setup'!$H35,if(CH6='Quick Setup'!$I$31,'Quick Setup'!$I35,if(CH6='Quick Setup'!$J$31,'Quick Setup'!$J35,if(CH6='Quick Setup'!$K$31,'Quick Setup'!$K35,if(CH6='Quick Setup'!$L$31,'Quick Setup'!$L35,if(CH6='Quick Setup'!$M$31,'Quick Setup'!$M35,if(CH6='Quick Setup'!$N$31,'Quick Setup'!$N35,if(CH6='Quick Setup'!$O$31,'Quick Setup'!$O35,if(CH6='Quick Setup'!$P$31,'Quick Setup'!$P35,if(CH6='Quick Setup'!$Q$31,'Quick Setup'!$Q35,if(CH6='Quick Setup'!$R$31,'Quick Setup'!$R35,if(CH6='Quick Setup'!$S$31,'Quick Setup'!$S35,if(CH6='Quick Setup'!$T$31,'Quick Setup'!$T35,if(CH6='Quick Setup'!$U$31,'Quick Setup'!$U35,if(CH6='Quick Setup'!$V$31,'Quick Setup'!$V35,'Quick Setup'!$W35))))))))))))))))))))</f>
        <v>4</v>
      </c>
      <c r="CJ6" s="21">
        <f>if(CH6='Quick Setup'!$C$45,'Quick Setup'!$C49,if(CH6='Quick Setup'!$D$45,'Quick Setup'!$D49,if(CH6='Quick Setup'!$E$45,'Quick Setup'!$E49,if(CH6='Quick Setup'!$F$45,'Quick Setup'!$F49,if(CH6='Quick Setup'!$G$45,'Quick Setup'!$G49,if(CH6='Quick Setup'!$H$45,'Quick Setup'!$H49,if(CH6='Quick Setup'!$I$45,'Quick Setup'!$I49,if(CH6='Quick Setup'!$J$45,'Quick Setup'!$J49,if(CH6='Quick Setup'!$K$45,'Quick Setup'!$K49,if(CH6='Quick Setup'!$L$45,'Quick Setup'!$L49,if(CH6='Quick Setup'!$M$45,'Quick Setup'!$M49,if(CH6='Quick Setup'!$N$45,'Quick Setup'!$N49,if(CH6='Quick Setup'!$O$45,'Quick Setup'!$O49,if(CH6='Quick Setup'!$P$45,'Quick Setup'!$P49,if(CH6='Quick Setup'!$Q$45,'Quick Setup'!$Q49,if(CH6='Quick Setup'!$R$45,'Quick Setup'!$R49,if(CH6='Quick Setup'!$S$45,'Quick Setup'!$S49,if(CH6='Quick Setup'!$T$45,'Quick Setup'!$T49,if(CH6='Quick Setup'!$U$45,'Quick Setup'!$U49,if(CH6='Quick Setup'!$V$45,'Quick Setup'!$V49,'Quick Setup'!$W49))))))))))))))))))))</f>
        <v>2</v>
      </c>
      <c r="CK6" s="23">
        <f t="shared" ref="CK6:CS6" si="67">BY6</f>
        <v>5</v>
      </c>
      <c r="CL6" s="24">
        <f t="shared" si="67"/>
        <v>-0.05</v>
      </c>
      <c r="CM6" s="24">
        <f t="shared" si="67"/>
        <v>-0.02</v>
      </c>
      <c r="CN6" s="24">
        <f t="shared" si="67"/>
        <v>0</v>
      </c>
      <c r="CO6" s="24">
        <f t="shared" si="67"/>
        <v>0.005</v>
      </c>
      <c r="CP6" s="24">
        <f t="shared" si="67"/>
        <v>0.01</v>
      </c>
      <c r="CQ6" s="24">
        <f t="shared" si="67"/>
        <v>0.015</v>
      </c>
      <c r="CR6" s="24">
        <f t="shared" si="67"/>
        <v>0.02</v>
      </c>
      <c r="CS6" s="24">
        <f t="shared" si="67"/>
        <v>0.03</v>
      </c>
      <c r="CT6" s="20">
        <f>'Quick Setup'!K63</f>
        <v>0.8</v>
      </c>
      <c r="CU6" s="21">
        <f>if(CT6='Quick Setup'!$C$31,'Quick Setup'!$C35,if(CT6='Quick Setup'!$D$31,'Quick Setup'!$D35,if(CT6='Quick Setup'!$E$31,'Quick Setup'!$E35,if(CT6='Quick Setup'!$F$31,'Quick Setup'!$F35,if(CT6='Quick Setup'!$G$31,'Quick Setup'!$G35,if(CT6='Quick Setup'!$H$31,'Quick Setup'!$H35,if(CT6='Quick Setup'!$I$31,'Quick Setup'!$I35,if(CT6='Quick Setup'!$J$31,'Quick Setup'!$J35,if(CT6='Quick Setup'!$K$31,'Quick Setup'!$K35,if(CT6='Quick Setup'!$L$31,'Quick Setup'!$L35,if(CT6='Quick Setup'!$M$31,'Quick Setup'!$M35,if(CT6='Quick Setup'!$N$31,'Quick Setup'!$N35,if(CT6='Quick Setup'!$O$31,'Quick Setup'!$O35,if(CT6='Quick Setup'!$P$31,'Quick Setup'!$P35,if(CT6='Quick Setup'!$Q$31,'Quick Setup'!$Q35,if(CT6='Quick Setup'!$R$31,'Quick Setup'!$R35,if(CT6='Quick Setup'!$S$31,'Quick Setup'!$S35,if(CT6='Quick Setup'!$T$31,'Quick Setup'!$T35,if(CT6='Quick Setup'!$U$31,'Quick Setup'!$U35,if(CT6='Quick Setup'!$V$31,'Quick Setup'!$V35,'Quick Setup'!$W35))))))))))))))))))))</f>
        <v>3</v>
      </c>
      <c r="CV6" s="21">
        <f>if(CT6='Quick Setup'!$C$45,'Quick Setup'!$C49,if(CT6='Quick Setup'!$D$45,'Quick Setup'!$D49,if(CT6='Quick Setup'!$E$45,'Quick Setup'!$E49,if(CT6='Quick Setup'!$F$45,'Quick Setup'!$F49,if(CT6='Quick Setup'!$G$45,'Quick Setup'!$G49,if(CT6='Quick Setup'!$H$45,'Quick Setup'!$H49,if(CT6='Quick Setup'!$I$45,'Quick Setup'!$I49,if(CT6='Quick Setup'!$J$45,'Quick Setup'!$J49,if(CT6='Quick Setup'!$K$45,'Quick Setup'!$K49,if(CT6='Quick Setup'!$L$45,'Quick Setup'!$L49,if(CT6='Quick Setup'!$M$45,'Quick Setup'!$M49,if(CT6='Quick Setup'!$N$45,'Quick Setup'!$N49,if(CT6='Quick Setup'!$O$45,'Quick Setup'!$O49,if(CT6='Quick Setup'!$P$45,'Quick Setup'!$P49,if(CT6='Quick Setup'!$Q$45,'Quick Setup'!$Q49,if(CT6='Quick Setup'!$R$45,'Quick Setup'!$R49,if(CT6='Quick Setup'!$S$45,'Quick Setup'!$S49,if(CT6='Quick Setup'!$T$45,'Quick Setup'!$T49,if(CT6='Quick Setup'!$U$45,'Quick Setup'!$U49,if(CT6='Quick Setup'!$V$45,'Quick Setup'!$V49,'Quick Setup'!$W49))))))))))))))))))))</f>
        <v>2</v>
      </c>
      <c r="CW6" s="23">
        <f t="shared" ref="CW6:DE6" si="68">CK6</f>
        <v>5</v>
      </c>
      <c r="CX6" s="24">
        <f t="shared" si="68"/>
        <v>-0.05</v>
      </c>
      <c r="CY6" s="24">
        <f t="shared" si="68"/>
        <v>-0.02</v>
      </c>
      <c r="CZ6" s="24">
        <f t="shared" si="68"/>
        <v>0</v>
      </c>
      <c r="DA6" s="24">
        <f t="shared" si="68"/>
        <v>0.005</v>
      </c>
      <c r="DB6" s="24">
        <f t="shared" si="68"/>
        <v>0.01</v>
      </c>
      <c r="DC6" s="24">
        <f t="shared" si="68"/>
        <v>0.015</v>
      </c>
      <c r="DD6" s="24">
        <f t="shared" si="68"/>
        <v>0.02</v>
      </c>
      <c r="DE6" s="24">
        <f t="shared" si="68"/>
        <v>0.03</v>
      </c>
      <c r="DF6" s="20">
        <f>'Quick Setup'!L63</f>
        <v>0.85</v>
      </c>
      <c r="DG6" s="21">
        <f>if(DF6='Quick Setup'!$C$31,'Quick Setup'!$C35,if(DF6='Quick Setup'!$D$31,'Quick Setup'!$D35,if(DF6='Quick Setup'!$E$31,'Quick Setup'!$E35,if(DF6='Quick Setup'!$F$31,'Quick Setup'!$F35,if(DF6='Quick Setup'!$G$31,'Quick Setup'!$G35,if(DF6='Quick Setup'!$H$31,'Quick Setup'!$H35,if(DF6='Quick Setup'!$I$31,'Quick Setup'!$I35,if(DF6='Quick Setup'!$J$31,'Quick Setup'!$J35,if(DF6='Quick Setup'!$K$31,'Quick Setup'!$K35,if(DF6='Quick Setup'!$L$31,'Quick Setup'!$L35,if(DF6='Quick Setup'!$M$31,'Quick Setup'!$M35,if(DF6='Quick Setup'!$N$31,'Quick Setup'!$N35,if(DF6='Quick Setup'!$O$31,'Quick Setup'!$O35,if(DF6='Quick Setup'!$P$31,'Quick Setup'!$P35,if(DF6='Quick Setup'!$Q$31,'Quick Setup'!$Q35,if(DF6='Quick Setup'!$R$31,'Quick Setup'!$R35,if(DF6='Quick Setup'!$S$31,'Quick Setup'!$S35,if(DF6='Quick Setup'!$T$31,'Quick Setup'!$T35,if(DF6='Quick Setup'!$U$31,'Quick Setup'!$U35,if(DF6='Quick Setup'!$V$31,'Quick Setup'!$V35,'Quick Setup'!$W35))))))))))))))))))))</f>
        <v>2</v>
      </c>
      <c r="DH6" s="21">
        <f>if(DF6='Quick Setup'!$C$45,'Quick Setup'!$C49,if(DF6='Quick Setup'!$D$45,'Quick Setup'!$D49,if(DF6='Quick Setup'!$E$45,'Quick Setup'!$E49,if(DF6='Quick Setup'!$F$45,'Quick Setup'!$F49,if(DF6='Quick Setup'!$G$45,'Quick Setup'!$G49,if(DF6='Quick Setup'!$H$45,'Quick Setup'!$H49,if(DF6='Quick Setup'!$I$45,'Quick Setup'!$I49,if(DF6='Quick Setup'!$J$45,'Quick Setup'!$J49,if(DF6='Quick Setup'!$K$45,'Quick Setup'!$K49,if(DF6='Quick Setup'!$L$45,'Quick Setup'!$L49,if(DF6='Quick Setup'!$M$45,'Quick Setup'!$M49,if(DF6='Quick Setup'!$N$45,'Quick Setup'!$N49,if(DF6='Quick Setup'!$O$45,'Quick Setup'!$O49,if(DF6='Quick Setup'!$P$45,'Quick Setup'!$P49,if(DF6='Quick Setup'!$Q$45,'Quick Setup'!$Q49,if(DF6='Quick Setup'!$R$45,'Quick Setup'!$R49,if(DF6='Quick Setup'!$S$45,'Quick Setup'!$S49,if(DF6='Quick Setup'!$T$45,'Quick Setup'!$T49,if(DF6='Quick Setup'!$U$45,'Quick Setup'!$U49,if(DF6='Quick Setup'!$V$45,'Quick Setup'!$V49,'Quick Setup'!$W49))))))))))))))))))))</f>
        <v>1</v>
      </c>
      <c r="DI6" s="23">
        <f t="shared" ref="DI6:DQ6" si="69">CW6</f>
        <v>5</v>
      </c>
      <c r="DJ6" s="24">
        <f t="shared" si="69"/>
        <v>-0.05</v>
      </c>
      <c r="DK6" s="24">
        <f t="shared" si="69"/>
        <v>-0.02</v>
      </c>
      <c r="DL6" s="24">
        <f t="shared" si="69"/>
        <v>0</v>
      </c>
      <c r="DM6" s="24">
        <f t="shared" si="69"/>
        <v>0.005</v>
      </c>
      <c r="DN6" s="24">
        <f t="shared" si="69"/>
        <v>0.01</v>
      </c>
      <c r="DO6" s="24">
        <f t="shared" si="69"/>
        <v>0.015</v>
      </c>
      <c r="DP6" s="24">
        <f t="shared" si="69"/>
        <v>0.02</v>
      </c>
      <c r="DQ6" s="24">
        <f t="shared" si="69"/>
        <v>0.03</v>
      </c>
      <c r="DR6" s="20">
        <f>'Quick Setup'!M63</f>
        <v>0.775</v>
      </c>
      <c r="DS6" s="21">
        <f>if(DR6='Quick Setup'!$C$31,'Quick Setup'!$C35,if(DR6='Quick Setup'!$D$31,'Quick Setup'!$D35,if(DR6='Quick Setup'!$E$31,'Quick Setup'!$E35,if(DR6='Quick Setup'!$F$31,'Quick Setup'!$F35,if(DR6='Quick Setup'!$G$31,'Quick Setup'!$G35,if(DR6='Quick Setup'!$H$31,'Quick Setup'!$H35,if(DR6='Quick Setup'!$I$31,'Quick Setup'!$I35,if(DR6='Quick Setup'!$J$31,'Quick Setup'!$J35,if(DR6='Quick Setup'!$K$31,'Quick Setup'!$K35,if(DR6='Quick Setup'!$L$31,'Quick Setup'!$L35,if(DR6='Quick Setup'!$M$31,'Quick Setup'!$M35,if(DR6='Quick Setup'!$N$31,'Quick Setup'!$N35,if(DR6='Quick Setup'!$O$31,'Quick Setup'!$O35,if(DR6='Quick Setup'!$P$31,'Quick Setup'!$P35,if(DR6='Quick Setup'!$Q$31,'Quick Setup'!$Q35,if(DR6='Quick Setup'!$R$31,'Quick Setup'!$R35,if(DR6='Quick Setup'!$S$31,'Quick Setup'!$S35,if(DR6='Quick Setup'!$T$31,'Quick Setup'!$T35,if(DR6='Quick Setup'!$U$31,'Quick Setup'!$U35,if(DR6='Quick Setup'!$V$31,'Quick Setup'!$V35,'Quick Setup'!$W35))))))))))))))))))))</f>
        <v>4</v>
      </c>
      <c r="DT6" s="21">
        <f>if(DR6='Quick Setup'!$C$45,'Quick Setup'!$C49,if(DR6='Quick Setup'!$D$45,'Quick Setup'!$D49,if(DR6='Quick Setup'!$E$45,'Quick Setup'!$E49,if(DR6='Quick Setup'!$F$45,'Quick Setup'!$F49,if(DR6='Quick Setup'!$G$45,'Quick Setup'!$G49,if(DR6='Quick Setup'!$H$45,'Quick Setup'!$H49,if(DR6='Quick Setup'!$I$45,'Quick Setup'!$I49,if(DR6='Quick Setup'!$J$45,'Quick Setup'!$J49,if(DR6='Quick Setup'!$K$45,'Quick Setup'!$K49,if(DR6='Quick Setup'!$L$45,'Quick Setup'!$L49,if(DR6='Quick Setup'!$M$45,'Quick Setup'!$M49,if(DR6='Quick Setup'!$N$45,'Quick Setup'!$N49,if(DR6='Quick Setup'!$O$45,'Quick Setup'!$O49,if(DR6='Quick Setup'!$P$45,'Quick Setup'!$P49,if(DR6='Quick Setup'!$Q$45,'Quick Setup'!$Q49,if(DR6='Quick Setup'!$R$45,'Quick Setup'!$R49,if(DR6='Quick Setup'!$S$45,'Quick Setup'!$S49,if(DR6='Quick Setup'!$T$45,'Quick Setup'!$T49,if(DR6='Quick Setup'!$U$45,'Quick Setup'!$U49,if(DR6='Quick Setup'!$V$45,'Quick Setup'!$V49,'Quick Setup'!$W49))))))))))))))))))))</f>
        <v>2</v>
      </c>
      <c r="DU6" s="23">
        <f t="shared" ref="DU6:EC6" si="70">DI6</f>
        <v>5</v>
      </c>
      <c r="DV6" s="24">
        <f t="shared" si="70"/>
        <v>-0.05</v>
      </c>
      <c r="DW6" s="24">
        <f t="shared" si="70"/>
        <v>-0.02</v>
      </c>
      <c r="DX6" s="24">
        <f t="shared" si="70"/>
        <v>0</v>
      </c>
      <c r="DY6" s="24">
        <f t="shared" si="70"/>
        <v>0.005</v>
      </c>
      <c r="DZ6" s="24">
        <f t="shared" si="70"/>
        <v>0.01</v>
      </c>
      <c r="EA6" s="24">
        <f t="shared" si="70"/>
        <v>0.015</v>
      </c>
      <c r="EB6" s="24">
        <f t="shared" si="70"/>
        <v>0.02</v>
      </c>
      <c r="EC6" s="24">
        <f t="shared" si="70"/>
        <v>0.03</v>
      </c>
      <c r="ED6" s="20">
        <f>'Quick Setup'!N63</f>
        <v>0.825</v>
      </c>
      <c r="EE6" s="21">
        <f>if(ED6='Quick Setup'!$C$31,'Quick Setup'!$C35,if(ED6='Quick Setup'!$D$31,'Quick Setup'!$D35,if(ED6='Quick Setup'!$E$31,'Quick Setup'!$E35,if(ED6='Quick Setup'!$F$31,'Quick Setup'!$F35,if(ED6='Quick Setup'!$G$31,'Quick Setup'!$G35,if(ED6='Quick Setup'!$H$31,'Quick Setup'!$H35,if(ED6='Quick Setup'!$I$31,'Quick Setup'!$I35,if(ED6='Quick Setup'!$J$31,'Quick Setup'!$J35,if(ED6='Quick Setup'!$K$31,'Quick Setup'!$K35,if(ED6='Quick Setup'!$L$31,'Quick Setup'!$L35,if(ED6='Quick Setup'!$M$31,'Quick Setup'!$M35,if(ED6='Quick Setup'!$N$31,'Quick Setup'!$N35,if(ED6='Quick Setup'!$O$31,'Quick Setup'!$O35,if(ED6='Quick Setup'!$P$31,'Quick Setup'!$P35,if(ED6='Quick Setup'!$Q$31,'Quick Setup'!$Q35,if(ED6='Quick Setup'!$R$31,'Quick Setup'!$R35,if(ED6='Quick Setup'!$S$31,'Quick Setup'!$S35,if(ED6='Quick Setup'!$T$31,'Quick Setup'!$T35,if(ED6='Quick Setup'!$U$31,'Quick Setup'!$U35,if(ED6='Quick Setup'!$V$31,'Quick Setup'!$V35,'Quick Setup'!$W35))))))))))))))))))))</f>
        <v>3</v>
      </c>
      <c r="EF6" s="21">
        <f>if(ED6='Quick Setup'!$C$45,'Quick Setup'!$C49,if(ED6='Quick Setup'!$D$45,'Quick Setup'!$D49,if(ED6='Quick Setup'!$E$45,'Quick Setup'!$E49,if(ED6='Quick Setup'!$F$45,'Quick Setup'!$F49,if(ED6='Quick Setup'!$G$45,'Quick Setup'!$G49,if(ED6='Quick Setup'!$H$45,'Quick Setup'!$H49,if(ED6='Quick Setup'!$I$45,'Quick Setup'!$I49,if(ED6='Quick Setup'!$J$45,'Quick Setup'!$J49,if(ED6='Quick Setup'!$K$45,'Quick Setup'!$K49,if(ED6='Quick Setup'!$L$45,'Quick Setup'!$L49,if(ED6='Quick Setup'!$M$45,'Quick Setup'!$M49,if(ED6='Quick Setup'!$N$45,'Quick Setup'!$N49,if(ED6='Quick Setup'!$O$45,'Quick Setup'!$O49,if(ED6='Quick Setup'!$P$45,'Quick Setup'!$P49,if(ED6='Quick Setup'!$Q$45,'Quick Setup'!$Q49,if(ED6='Quick Setup'!$R$45,'Quick Setup'!$R49,if(ED6='Quick Setup'!$S$45,'Quick Setup'!$S49,if(ED6='Quick Setup'!$T$45,'Quick Setup'!$T49,if(ED6='Quick Setup'!$U$45,'Quick Setup'!$U49,if(ED6='Quick Setup'!$V$45,'Quick Setup'!$V49,'Quick Setup'!$W49))))))))))))))))))))</f>
        <v>2</v>
      </c>
      <c r="EG6" s="23">
        <f t="shared" ref="EG6:EO6" si="71">DU6</f>
        <v>5</v>
      </c>
      <c r="EH6" s="24">
        <f t="shared" si="71"/>
        <v>-0.05</v>
      </c>
      <c r="EI6" s="24">
        <f t="shared" si="71"/>
        <v>-0.02</v>
      </c>
      <c r="EJ6" s="24">
        <f t="shared" si="71"/>
        <v>0</v>
      </c>
      <c r="EK6" s="24">
        <f t="shared" si="71"/>
        <v>0.005</v>
      </c>
      <c r="EL6" s="24">
        <f t="shared" si="71"/>
        <v>0.01</v>
      </c>
      <c r="EM6" s="24">
        <f t="shared" si="71"/>
        <v>0.015</v>
      </c>
      <c r="EN6" s="24">
        <f t="shared" si="71"/>
        <v>0.02</v>
      </c>
      <c r="EO6" s="24">
        <f t="shared" si="71"/>
        <v>0.03</v>
      </c>
      <c r="EP6" s="20">
        <f>'Quick Setup'!O63</f>
        <v>0.875</v>
      </c>
      <c r="EQ6" s="21">
        <f>if(EP6='Quick Setup'!$C$31,'Quick Setup'!$C35,if(EP6='Quick Setup'!$D$31,'Quick Setup'!$D35,if(EP6='Quick Setup'!$E$31,'Quick Setup'!$E35,if(EP6='Quick Setup'!$F$31,'Quick Setup'!$F35,if(EP6='Quick Setup'!$G$31,'Quick Setup'!$G35,if(EP6='Quick Setup'!$H$31,'Quick Setup'!$H35,if(EP6='Quick Setup'!$I$31,'Quick Setup'!$I35,if(EP6='Quick Setup'!$J$31,'Quick Setup'!$J35,if(EP6='Quick Setup'!$K$31,'Quick Setup'!$K35,if(EP6='Quick Setup'!$L$31,'Quick Setup'!$L35,if(EP6='Quick Setup'!$M$31,'Quick Setup'!$M35,if(EP6='Quick Setup'!$N$31,'Quick Setup'!$N35,if(EP6='Quick Setup'!$O$31,'Quick Setup'!$O35,if(EP6='Quick Setup'!$P$31,'Quick Setup'!$P35,if(EP6='Quick Setup'!$Q$31,'Quick Setup'!$Q35,if(EP6='Quick Setup'!$R$31,'Quick Setup'!$R35,if(EP6='Quick Setup'!$S$31,'Quick Setup'!$S35,if(EP6='Quick Setup'!$T$31,'Quick Setup'!$T35,if(EP6='Quick Setup'!$U$31,'Quick Setup'!$U35,if(EP6='Quick Setup'!$V$31,'Quick Setup'!$V35,'Quick Setup'!$W35))))))))))))))))))))</f>
        <v>2</v>
      </c>
      <c r="ER6" s="21">
        <f>if(EP6='Quick Setup'!$C$45,'Quick Setup'!$C49,if(EP6='Quick Setup'!$D$45,'Quick Setup'!$D49,if(EP6='Quick Setup'!$E$45,'Quick Setup'!$E49,if(EP6='Quick Setup'!$F$45,'Quick Setup'!$F49,if(EP6='Quick Setup'!$G$45,'Quick Setup'!$G49,if(EP6='Quick Setup'!$H$45,'Quick Setup'!$H49,if(EP6='Quick Setup'!$I$45,'Quick Setup'!$I49,if(EP6='Quick Setup'!$J$45,'Quick Setup'!$J49,if(EP6='Quick Setup'!$K$45,'Quick Setup'!$K49,if(EP6='Quick Setup'!$L$45,'Quick Setup'!$L49,if(EP6='Quick Setup'!$M$45,'Quick Setup'!$M49,if(EP6='Quick Setup'!$N$45,'Quick Setup'!$N49,if(EP6='Quick Setup'!$O$45,'Quick Setup'!$O49,if(EP6='Quick Setup'!$P$45,'Quick Setup'!$P49,if(EP6='Quick Setup'!$Q$45,'Quick Setup'!$Q49,if(EP6='Quick Setup'!$R$45,'Quick Setup'!$R49,if(EP6='Quick Setup'!$S$45,'Quick Setup'!$S49,if(EP6='Quick Setup'!$T$45,'Quick Setup'!$T49,if(EP6='Quick Setup'!$U$45,'Quick Setup'!$U49,if(EP6='Quick Setup'!$V$45,'Quick Setup'!$V49,'Quick Setup'!$W49))))))))))))))))))))</f>
        <v>1</v>
      </c>
      <c r="ES6" s="23">
        <f t="shared" ref="ES6:FA6" si="72">EG6</f>
        <v>5</v>
      </c>
      <c r="ET6" s="24">
        <f t="shared" si="72"/>
        <v>-0.05</v>
      </c>
      <c r="EU6" s="24">
        <f t="shared" si="72"/>
        <v>-0.02</v>
      </c>
      <c r="EV6" s="24">
        <f t="shared" si="72"/>
        <v>0</v>
      </c>
      <c r="EW6" s="24">
        <f t="shared" si="72"/>
        <v>0.005</v>
      </c>
      <c r="EX6" s="24">
        <f t="shared" si="72"/>
        <v>0.01</v>
      </c>
      <c r="EY6" s="24">
        <f t="shared" si="72"/>
        <v>0.015</v>
      </c>
      <c r="EZ6" s="24">
        <f t="shared" si="72"/>
        <v>0.02</v>
      </c>
      <c r="FA6" s="24">
        <f t="shared" si="72"/>
        <v>0.03</v>
      </c>
      <c r="FB6" s="20">
        <f>'Quick Setup'!P63</f>
        <v>0.6</v>
      </c>
      <c r="FC6" s="21">
        <f>if(FB6='Quick Setup'!$C$31,'Quick Setup'!$C35,if(FB6='Quick Setup'!$D$31,'Quick Setup'!$D35,if(FB6='Quick Setup'!$E$31,'Quick Setup'!$E35,if(FB6='Quick Setup'!$F$31,'Quick Setup'!$F35,if(FB6='Quick Setup'!$G$31,'Quick Setup'!$G35,if(FB6='Quick Setup'!$H$31,'Quick Setup'!$H35,if(FB6='Quick Setup'!$I$31,'Quick Setup'!$I35,if(FB6='Quick Setup'!$J$31,'Quick Setup'!$J35,if(FB6='Quick Setup'!$K$31,'Quick Setup'!$K35,if(FB6='Quick Setup'!$L$31,'Quick Setup'!$L35,if(FB6='Quick Setup'!$M$31,'Quick Setup'!$M35,if(FB6='Quick Setup'!$N$31,'Quick Setup'!$N35,if(FB6='Quick Setup'!$O$31,'Quick Setup'!$O35,if(FB6='Quick Setup'!$P$31,'Quick Setup'!$P35,if(FB6='Quick Setup'!$Q$31,'Quick Setup'!$Q35,if(FB6='Quick Setup'!$R$31,'Quick Setup'!$R35,if(FB6='Quick Setup'!$S$31,'Quick Setup'!$S35,if(FB6='Quick Setup'!$T$31,'Quick Setup'!$T35,if(FB6='Quick Setup'!$U$31,'Quick Setup'!$U35,if(FB6='Quick Setup'!$V$31,'Quick Setup'!$V35,'Quick Setup'!$W35))))))))))))))))))))</f>
        <v>7</v>
      </c>
      <c r="FD6" s="21">
        <f>if(FB6='Quick Setup'!$C$45,'Quick Setup'!$C49,if(FB6='Quick Setup'!$D$45,'Quick Setup'!$D49,if(FB6='Quick Setup'!$E$45,'Quick Setup'!$E49,if(FB6='Quick Setup'!$F$45,'Quick Setup'!$F49,if(FB6='Quick Setup'!$G$45,'Quick Setup'!$G49,if(FB6='Quick Setup'!$H$45,'Quick Setup'!$H49,if(FB6='Quick Setup'!$I$45,'Quick Setup'!$I49,if(FB6='Quick Setup'!$J$45,'Quick Setup'!$J49,if(FB6='Quick Setup'!$K$45,'Quick Setup'!$K49,if(FB6='Quick Setup'!$L$45,'Quick Setup'!$L49,if(FB6='Quick Setup'!$M$45,'Quick Setup'!$M49,if(FB6='Quick Setup'!$N$45,'Quick Setup'!$N49,if(FB6='Quick Setup'!$O$45,'Quick Setup'!$O49,if(FB6='Quick Setup'!$P$45,'Quick Setup'!$P49,if(FB6='Quick Setup'!$Q$45,'Quick Setup'!$Q49,if(FB6='Quick Setup'!$R$45,'Quick Setup'!$R49,if(FB6='Quick Setup'!$S$45,'Quick Setup'!$S49,if(FB6='Quick Setup'!$T$45,'Quick Setup'!$T49,if(FB6='Quick Setup'!$U$45,'Quick Setup'!$U49,if(FB6='Quick Setup'!$V$45,'Quick Setup'!$V49,'Quick Setup'!$W49))))))))))))))))))))</f>
        <v>3</v>
      </c>
      <c r="FE6" s="23">
        <f t="shared" ref="FE6:FM6" si="73">ES6</f>
        <v>5</v>
      </c>
      <c r="FF6" s="24">
        <f t="shared" si="73"/>
        <v>-0.05</v>
      </c>
      <c r="FG6" s="24">
        <f t="shared" si="73"/>
        <v>-0.02</v>
      </c>
      <c r="FH6" s="24">
        <f t="shared" si="73"/>
        <v>0</v>
      </c>
      <c r="FI6" s="24">
        <f t="shared" si="73"/>
        <v>0.005</v>
      </c>
      <c r="FJ6" s="24">
        <f t="shared" si="73"/>
        <v>0.01</v>
      </c>
      <c r="FK6" s="24">
        <f t="shared" si="73"/>
        <v>0.015</v>
      </c>
      <c r="FL6" s="24">
        <f t="shared" si="73"/>
        <v>0.02</v>
      </c>
      <c r="FM6" s="24">
        <f t="shared" si="73"/>
        <v>0.03</v>
      </c>
      <c r="FN6" s="20">
        <f>'Quick Setup'!Q63</f>
        <v>0.8</v>
      </c>
      <c r="FO6" s="21">
        <f>if(FN6='Quick Setup'!$C$31,'Quick Setup'!$C35,if(FN6='Quick Setup'!$D$31,'Quick Setup'!$D35,if(FN6='Quick Setup'!$E$31,'Quick Setup'!$E35,if(FN6='Quick Setup'!$F$31,'Quick Setup'!$F35,if(FN6='Quick Setup'!$G$31,'Quick Setup'!$G35,if(FN6='Quick Setup'!$H$31,'Quick Setup'!$H35,if(FN6='Quick Setup'!$I$31,'Quick Setup'!$I35,if(FN6='Quick Setup'!$J$31,'Quick Setup'!$J35,if(FN6='Quick Setup'!$K$31,'Quick Setup'!$K35,if(FN6='Quick Setup'!$L$31,'Quick Setup'!$L35,if(FN6='Quick Setup'!$M$31,'Quick Setup'!$M35,if(FN6='Quick Setup'!$N$31,'Quick Setup'!$N35,if(FN6='Quick Setup'!$O$31,'Quick Setup'!$O35,if(FN6='Quick Setup'!$P$31,'Quick Setup'!$P35,if(FN6='Quick Setup'!$Q$31,'Quick Setup'!$Q35,if(FN6='Quick Setup'!$R$31,'Quick Setup'!$R35,if(FN6='Quick Setup'!$S$31,'Quick Setup'!$S35,if(FN6='Quick Setup'!$T$31,'Quick Setup'!$T35,if(FN6='Quick Setup'!$U$31,'Quick Setup'!$U35,if(FN6='Quick Setup'!$V$31,'Quick Setup'!$V35,'Quick Setup'!$W35))))))))))))))))))))</f>
        <v>3</v>
      </c>
      <c r="FP6" s="21">
        <f>if(FN6='Quick Setup'!$C$45,'Quick Setup'!$C49,if(FN6='Quick Setup'!$D$45,'Quick Setup'!$D49,if(FN6='Quick Setup'!$E$45,'Quick Setup'!$E49,if(FN6='Quick Setup'!$F$45,'Quick Setup'!$F49,if(FN6='Quick Setup'!$G$45,'Quick Setup'!$G49,if(FN6='Quick Setup'!$H$45,'Quick Setup'!$H49,if(FN6='Quick Setup'!$I$45,'Quick Setup'!$I49,if(FN6='Quick Setup'!$J$45,'Quick Setup'!$J49,if(FN6='Quick Setup'!$K$45,'Quick Setup'!$K49,if(FN6='Quick Setup'!$L$45,'Quick Setup'!$L49,if(FN6='Quick Setup'!$M$45,'Quick Setup'!$M49,if(FN6='Quick Setup'!$N$45,'Quick Setup'!$N49,if(FN6='Quick Setup'!$O$45,'Quick Setup'!$O49,if(FN6='Quick Setup'!$P$45,'Quick Setup'!$P49,if(FN6='Quick Setup'!$Q$45,'Quick Setup'!$Q49,if(FN6='Quick Setup'!$R$45,'Quick Setup'!$R49,if(FN6='Quick Setup'!$S$45,'Quick Setup'!$S49,if(FN6='Quick Setup'!$T$45,'Quick Setup'!$T49,if(FN6='Quick Setup'!$U$45,'Quick Setup'!$U49,if(FN6='Quick Setup'!$V$45,'Quick Setup'!$V49,'Quick Setup'!$W49))))))))))))))))))))</f>
        <v>2</v>
      </c>
      <c r="FQ6" s="23">
        <f t="shared" ref="FQ6:FY6" si="74">FE6</f>
        <v>5</v>
      </c>
      <c r="FR6" s="24">
        <f t="shared" si="74"/>
        <v>-0.05</v>
      </c>
      <c r="FS6" s="24">
        <f t="shared" si="74"/>
        <v>-0.02</v>
      </c>
      <c r="FT6" s="24">
        <f t="shared" si="74"/>
        <v>0</v>
      </c>
      <c r="FU6" s="24">
        <f t="shared" si="74"/>
        <v>0.005</v>
      </c>
      <c r="FV6" s="24">
        <f t="shared" si="74"/>
        <v>0.01</v>
      </c>
      <c r="FW6" s="24">
        <f t="shared" si="74"/>
        <v>0.015</v>
      </c>
      <c r="FX6" s="24">
        <f t="shared" si="74"/>
        <v>0.02</v>
      </c>
      <c r="FY6" s="24">
        <f t="shared" si="74"/>
        <v>0.03</v>
      </c>
      <c r="FZ6" s="20">
        <f>'Quick Setup'!R63</f>
        <v>0.85</v>
      </c>
      <c r="GA6" s="21">
        <f>if(FZ6='Quick Setup'!$C$31,'Quick Setup'!$C35,if(FZ6='Quick Setup'!$D$31,'Quick Setup'!$D35,if(FZ6='Quick Setup'!$E$31,'Quick Setup'!$E35,if(FZ6='Quick Setup'!$F$31,'Quick Setup'!$F35,if(FZ6='Quick Setup'!$G$31,'Quick Setup'!$G35,if(FZ6='Quick Setup'!$H$31,'Quick Setup'!$H35,if(FZ6='Quick Setup'!$I$31,'Quick Setup'!$I35,if(FZ6='Quick Setup'!$J$31,'Quick Setup'!$J35,if(FZ6='Quick Setup'!$K$31,'Quick Setup'!$K35,if(FZ6='Quick Setup'!$L$31,'Quick Setup'!$L35,if(FZ6='Quick Setup'!$M$31,'Quick Setup'!$M35,if(FZ6='Quick Setup'!$N$31,'Quick Setup'!$N35,if(FZ6='Quick Setup'!$O$31,'Quick Setup'!$O35,if(FZ6='Quick Setup'!$P$31,'Quick Setup'!$P35,if(FZ6='Quick Setup'!$Q$31,'Quick Setup'!$Q35,if(FZ6='Quick Setup'!$R$31,'Quick Setup'!$R35,if(FZ6='Quick Setup'!$S$31,'Quick Setup'!$S35,if(FZ6='Quick Setup'!$T$31,'Quick Setup'!$T35,if(FZ6='Quick Setup'!$U$31,'Quick Setup'!$U35,if(FZ6='Quick Setup'!$V$31,'Quick Setup'!$V35,'Quick Setup'!$W35))))))))))))))))))))</f>
        <v>2</v>
      </c>
      <c r="GB6" s="21">
        <f>if(FZ6='Quick Setup'!$C$45,'Quick Setup'!$C49,if(FZ6='Quick Setup'!$D$45,'Quick Setup'!$D49,if(FZ6='Quick Setup'!$E$45,'Quick Setup'!$E49,if(FZ6='Quick Setup'!$F$45,'Quick Setup'!$F49,if(FZ6='Quick Setup'!$G$45,'Quick Setup'!$G49,if(FZ6='Quick Setup'!$H$45,'Quick Setup'!$H49,if(FZ6='Quick Setup'!$I$45,'Quick Setup'!$I49,if(FZ6='Quick Setup'!$J$45,'Quick Setup'!$J49,if(FZ6='Quick Setup'!$K$45,'Quick Setup'!$K49,if(FZ6='Quick Setup'!$L$45,'Quick Setup'!$L49,if(FZ6='Quick Setup'!$M$45,'Quick Setup'!$M49,if(FZ6='Quick Setup'!$N$45,'Quick Setup'!$N49,if(FZ6='Quick Setup'!$O$45,'Quick Setup'!$O49,if(FZ6='Quick Setup'!$P$45,'Quick Setup'!$P49,if(FZ6='Quick Setup'!$Q$45,'Quick Setup'!$Q49,if(FZ6='Quick Setup'!$R$45,'Quick Setup'!$R49,if(FZ6='Quick Setup'!$S$45,'Quick Setup'!$S49,if(FZ6='Quick Setup'!$T$45,'Quick Setup'!$T49,if(FZ6='Quick Setup'!$U$45,'Quick Setup'!$U49,if(FZ6='Quick Setup'!$V$45,'Quick Setup'!$V49,'Quick Setup'!$W49))))))))))))))))))))</f>
        <v>1</v>
      </c>
      <c r="GC6" s="23">
        <f t="shared" ref="GC6:GK6" si="75">FQ6</f>
        <v>5</v>
      </c>
      <c r="GD6" s="24">
        <f t="shared" si="75"/>
        <v>-0.05</v>
      </c>
      <c r="GE6" s="24">
        <f t="shared" si="75"/>
        <v>-0.02</v>
      </c>
      <c r="GF6" s="24">
        <f t="shared" si="75"/>
        <v>0</v>
      </c>
      <c r="GG6" s="24">
        <f t="shared" si="75"/>
        <v>0.005</v>
      </c>
      <c r="GH6" s="24">
        <f t="shared" si="75"/>
        <v>0.01</v>
      </c>
      <c r="GI6" s="24">
        <f t="shared" si="75"/>
        <v>0.015</v>
      </c>
      <c r="GJ6" s="24">
        <f t="shared" si="75"/>
        <v>0.02</v>
      </c>
      <c r="GK6" s="24">
        <f t="shared" si="75"/>
        <v>0.03</v>
      </c>
      <c r="GL6" s="20">
        <f>'Quick Setup'!S63</f>
        <v>0.9</v>
      </c>
      <c r="GM6" s="21">
        <f>if(GL6='Quick Setup'!$C$31,'Quick Setup'!$C35,if(GL6='Quick Setup'!$D$31,'Quick Setup'!$D35,if(GL6='Quick Setup'!$E$31,'Quick Setup'!$E35,if(GL6='Quick Setup'!$F$31,'Quick Setup'!$F35,if(GL6='Quick Setup'!$G$31,'Quick Setup'!$G35,if(GL6='Quick Setup'!$H$31,'Quick Setup'!$H35,if(GL6='Quick Setup'!$I$31,'Quick Setup'!$I35,if(GL6='Quick Setup'!$J$31,'Quick Setup'!$J35,if(GL6='Quick Setup'!$K$31,'Quick Setup'!$K35,if(GL6='Quick Setup'!$L$31,'Quick Setup'!$L35,if(GL6='Quick Setup'!$M$31,'Quick Setup'!$M35,if(GL6='Quick Setup'!$N$31,'Quick Setup'!$N35,if(GL6='Quick Setup'!$O$31,'Quick Setup'!$O35,if(GL6='Quick Setup'!$P$31,'Quick Setup'!$P35,if(GL6='Quick Setup'!$Q$31,'Quick Setup'!$Q35,if(GL6='Quick Setup'!$R$31,'Quick Setup'!$R35,if(GL6='Quick Setup'!$S$31,'Quick Setup'!$S35,if(GL6='Quick Setup'!$T$31,'Quick Setup'!$T35,if(GL6='Quick Setup'!$U$31,'Quick Setup'!$U35,if(GL6='Quick Setup'!$V$31,'Quick Setup'!$V35,'Quick Setup'!$W35))))))))))))))))))))</f>
        <v>1</v>
      </c>
      <c r="GN6" s="21">
        <f>if(GL6='Quick Setup'!$C$45,'Quick Setup'!$C49,if(GL6='Quick Setup'!$D$45,'Quick Setup'!$D49,if(GL6='Quick Setup'!$E$45,'Quick Setup'!$E49,if(GL6='Quick Setup'!$F$45,'Quick Setup'!$F49,if(GL6='Quick Setup'!$G$45,'Quick Setup'!$G49,if(GL6='Quick Setup'!$H$45,'Quick Setup'!$H49,if(GL6='Quick Setup'!$I$45,'Quick Setup'!$I49,if(GL6='Quick Setup'!$J$45,'Quick Setup'!$J49,if(GL6='Quick Setup'!$K$45,'Quick Setup'!$K49,if(GL6='Quick Setup'!$L$45,'Quick Setup'!$L49,if(GL6='Quick Setup'!$M$45,'Quick Setup'!$M49,if(GL6='Quick Setup'!$N$45,'Quick Setup'!$N49,if(GL6='Quick Setup'!$O$45,'Quick Setup'!$O49,if(GL6='Quick Setup'!$P$45,'Quick Setup'!$P49,if(GL6='Quick Setup'!$Q$45,'Quick Setup'!$Q49,if(GL6='Quick Setup'!$R$45,'Quick Setup'!$R49,if(GL6='Quick Setup'!$S$45,'Quick Setup'!$S49,if(GL6='Quick Setup'!$T$45,'Quick Setup'!$T49,if(GL6='Quick Setup'!$U$45,'Quick Setup'!$U49,if(GL6='Quick Setup'!$V$45,'Quick Setup'!$V49,'Quick Setup'!$W49))))))))))))))))))))</f>
        <v>1</v>
      </c>
      <c r="GO6" s="23">
        <f t="shared" ref="GO6:GW6" si="76">GC6</f>
        <v>5</v>
      </c>
      <c r="GP6" s="24">
        <f t="shared" si="76"/>
        <v>-0.05</v>
      </c>
      <c r="GQ6" s="24">
        <f t="shared" si="76"/>
        <v>-0.02</v>
      </c>
      <c r="GR6" s="24">
        <f t="shared" si="76"/>
        <v>0</v>
      </c>
      <c r="GS6" s="24">
        <f t="shared" si="76"/>
        <v>0.005</v>
      </c>
      <c r="GT6" s="24">
        <f t="shared" si="76"/>
        <v>0.01</v>
      </c>
      <c r="GU6" s="24">
        <f t="shared" si="76"/>
        <v>0.015</v>
      </c>
      <c r="GV6" s="24">
        <f t="shared" si="76"/>
        <v>0.02</v>
      </c>
      <c r="GW6" s="24">
        <f t="shared" si="76"/>
        <v>0.03</v>
      </c>
      <c r="GX6" s="20">
        <f>'Quick Setup'!T63</f>
        <v>0.85</v>
      </c>
      <c r="GY6" s="21">
        <f>if(GX6='Quick Setup'!$C$31,'Quick Setup'!$C35,if(GX6='Quick Setup'!$D$31,'Quick Setup'!$D35,if(GX6='Quick Setup'!$E$31,'Quick Setup'!$E35,if(GX6='Quick Setup'!$F$31,'Quick Setup'!$F35,if(GX6='Quick Setup'!$G$31,'Quick Setup'!$G35,if(GX6='Quick Setup'!$H$31,'Quick Setup'!$H35,if(GX6='Quick Setup'!$I$31,'Quick Setup'!$I35,if(GX6='Quick Setup'!$J$31,'Quick Setup'!$J35,if(GX6='Quick Setup'!$K$31,'Quick Setup'!$K35,if(GX6='Quick Setup'!$L$31,'Quick Setup'!$L35,if(GX6='Quick Setup'!$M$31,'Quick Setup'!$M35,if(GX6='Quick Setup'!$N$31,'Quick Setup'!$N35,if(GX6='Quick Setup'!$O$31,'Quick Setup'!$O35,if(GX6='Quick Setup'!$P$31,'Quick Setup'!$P35,if(GX6='Quick Setup'!$Q$31,'Quick Setup'!$Q35,if(GX6='Quick Setup'!$R$31,'Quick Setup'!$R35,if(GX6='Quick Setup'!$S$31,'Quick Setup'!$S35,if(GX6='Quick Setup'!$T$31,'Quick Setup'!$T35,if(GX6='Quick Setup'!$U$31,'Quick Setup'!$U35,if(GX6='Quick Setup'!$V$31,'Quick Setup'!$V35,'Quick Setup'!$W35))))))))))))))))))))</f>
        <v>2</v>
      </c>
      <c r="GZ6" s="21">
        <f>if(GX6='Quick Setup'!$C$45,'Quick Setup'!$C49,if(GX6='Quick Setup'!$D$45,'Quick Setup'!$D49,if(GX6='Quick Setup'!$E$45,'Quick Setup'!$E49,if(GX6='Quick Setup'!$F$45,'Quick Setup'!$F49,if(GX6='Quick Setup'!$G$45,'Quick Setup'!$G49,if(GX6='Quick Setup'!$H$45,'Quick Setup'!$H49,if(GX6='Quick Setup'!$I$45,'Quick Setup'!$I49,if(GX6='Quick Setup'!$J$45,'Quick Setup'!$J49,if(GX6='Quick Setup'!$K$45,'Quick Setup'!$K49,if(GX6='Quick Setup'!$L$45,'Quick Setup'!$L49,if(GX6='Quick Setup'!$M$45,'Quick Setup'!$M49,if(GX6='Quick Setup'!$N$45,'Quick Setup'!$N49,if(GX6='Quick Setup'!$O$45,'Quick Setup'!$O49,if(GX6='Quick Setup'!$P$45,'Quick Setup'!$P49,if(GX6='Quick Setup'!$Q$45,'Quick Setup'!$Q49,if(GX6='Quick Setup'!$R$45,'Quick Setup'!$R49,if(GX6='Quick Setup'!$S$45,'Quick Setup'!$S49,if(GX6='Quick Setup'!$T$45,'Quick Setup'!$T49,if(GX6='Quick Setup'!$U$45,'Quick Setup'!$U49,if(GX6='Quick Setup'!$V$45,'Quick Setup'!$V49,'Quick Setup'!$W49))))))))))))))))))))</f>
        <v>1</v>
      </c>
      <c r="HA6" s="23">
        <f t="shared" ref="HA6:HI6" si="77">GO6</f>
        <v>5</v>
      </c>
      <c r="HB6" s="24">
        <f t="shared" si="77"/>
        <v>-0.05</v>
      </c>
      <c r="HC6" s="24">
        <f t="shared" si="77"/>
        <v>-0.02</v>
      </c>
      <c r="HD6" s="24">
        <f t="shared" si="77"/>
        <v>0</v>
      </c>
      <c r="HE6" s="24">
        <f t="shared" si="77"/>
        <v>0.005</v>
      </c>
      <c r="HF6" s="24">
        <f t="shared" si="77"/>
        <v>0.01</v>
      </c>
      <c r="HG6" s="24">
        <f t="shared" si="77"/>
        <v>0.015</v>
      </c>
      <c r="HH6" s="24">
        <f t="shared" si="77"/>
        <v>0.02</v>
      </c>
      <c r="HI6" s="24">
        <f t="shared" si="77"/>
        <v>0.03</v>
      </c>
      <c r="HJ6" s="20">
        <f>'Quick Setup'!U63</f>
        <v>0.9</v>
      </c>
      <c r="HK6" s="21">
        <f>if(HJ6='Quick Setup'!$C$31,'Quick Setup'!$C35,if(HJ6='Quick Setup'!$D$31,'Quick Setup'!$D35,if(HJ6='Quick Setup'!$E$31,'Quick Setup'!$E35,if(HJ6='Quick Setup'!$F$31,'Quick Setup'!$F35,if(HJ6='Quick Setup'!$G$31,'Quick Setup'!$G35,if(HJ6='Quick Setup'!$H$31,'Quick Setup'!$H35,if(HJ6='Quick Setup'!$I$31,'Quick Setup'!$I35,if(HJ6='Quick Setup'!$J$31,'Quick Setup'!$J35,if(HJ6='Quick Setup'!$K$31,'Quick Setup'!$K35,if(HJ6='Quick Setup'!$L$31,'Quick Setup'!$L35,if(HJ6='Quick Setup'!$M$31,'Quick Setup'!$M35,if(HJ6='Quick Setup'!$N$31,'Quick Setup'!$N35,if(HJ6='Quick Setup'!$O$31,'Quick Setup'!$O35,if(HJ6='Quick Setup'!$P$31,'Quick Setup'!$P35,if(HJ6='Quick Setup'!$Q$31,'Quick Setup'!$Q35,if(HJ6='Quick Setup'!$R$31,'Quick Setup'!$R35,if(HJ6='Quick Setup'!$S$31,'Quick Setup'!$S35,if(HJ6='Quick Setup'!$T$31,'Quick Setup'!$T35,if(HJ6='Quick Setup'!$U$31,'Quick Setup'!$U35,if(HJ6='Quick Setup'!$V$31,'Quick Setup'!$V35,'Quick Setup'!$W35))))))))))))))))))))</f>
        <v>1</v>
      </c>
      <c r="HL6" s="21">
        <f>if(HJ6='Quick Setup'!$C$45,'Quick Setup'!$C49,if(HJ6='Quick Setup'!$D$45,'Quick Setup'!$D49,if(HJ6='Quick Setup'!$E$45,'Quick Setup'!$E49,if(HJ6='Quick Setup'!$F$45,'Quick Setup'!$F49,if(HJ6='Quick Setup'!$G$45,'Quick Setup'!$G49,if(HJ6='Quick Setup'!$H$45,'Quick Setup'!$H49,if(HJ6='Quick Setup'!$I$45,'Quick Setup'!$I49,if(HJ6='Quick Setup'!$J$45,'Quick Setup'!$J49,if(HJ6='Quick Setup'!$K$45,'Quick Setup'!$K49,if(HJ6='Quick Setup'!$L$45,'Quick Setup'!$L49,if(HJ6='Quick Setup'!$M$45,'Quick Setup'!$M49,if(HJ6='Quick Setup'!$N$45,'Quick Setup'!$N49,if(HJ6='Quick Setup'!$O$45,'Quick Setup'!$O49,if(HJ6='Quick Setup'!$P$45,'Quick Setup'!$P49,if(HJ6='Quick Setup'!$Q$45,'Quick Setup'!$Q49,if(HJ6='Quick Setup'!$R$45,'Quick Setup'!$R49,if(HJ6='Quick Setup'!$S$45,'Quick Setup'!$S49,if(HJ6='Quick Setup'!$T$45,'Quick Setup'!$T49,if(HJ6='Quick Setup'!$U$45,'Quick Setup'!$U49,if(HJ6='Quick Setup'!$V$45,'Quick Setup'!$V49,'Quick Setup'!$W49))))))))))))))))))))</f>
        <v>1</v>
      </c>
      <c r="HM6" s="23">
        <f t="shared" ref="HM6:HU6" si="78">HA6</f>
        <v>5</v>
      </c>
      <c r="HN6" s="24">
        <f t="shared" si="78"/>
        <v>-0.05</v>
      </c>
      <c r="HO6" s="24">
        <f t="shared" si="78"/>
        <v>-0.02</v>
      </c>
      <c r="HP6" s="24">
        <f t="shared" si="78"/>
        <v>0</v>
      </c>
      <c r="HQ6" s="24">
        <f t="shared" si="78"/>
        <v>0.005</v>
      </c>
      <c r="HR6" s="24">
        <f t="shared" si="78"/>
        <v>0.01</v>
      </c>
      <c r="HS6" s="24">
        <f t="shared" si="78"/>
        <v>0.015</v>
      </c>
      <c r="HT6" s="24">
        <f t="shared" si="78"/>
        <v>0.02</v>
      </c>
      <c r="HU6" s="24">
        <f t="shared" si="78"/>
        <v>0.03</v>
      </c>
      <c r="HV6" s="20">
        <f>'Quick Setup'!V63</f>
        <v>0.95</v>
      </c>
      <c r="HW6" s="21">
        <f>if(HV6='Quick Setup'!$C$31,'Quick Setup'!$C35,if(HV6='Quick Setup'!$D$31,'Quick Setup'!$D35,if(HV6='Quick Setup'!$E$31,'Quick Setup'!$E35,if(HV6='Quick Setup'!$F$31,'Quick Setup'!$F35,if(HV6='Quick Setup'!$G$31,'Quick Setup'!$G35,if(HV6='Quick Setup'!$H$31,'Quick Setup'!$H35,if(HV6='Quick Setup'!$I$31,'Quick Setup'!$I35,if(HV6='Quick Setup'!$J$31,'Quick Setup'!$J35,if(HV6='Quick Setup'!$K$31,'Quick Setup'!$K35,if(HV6='Quick Setup'!$L$31,'Quick Setup'!$L35,if(HV6='Quick Setup'!$M$31,'Quick Setup'!$M35,if(HV6='Quick Setup'!$N$31,'Quick Setup'!$N35,if(HV6='Quick Setup'!$O$31,'Quick Setup'!$O35,if(HV6='Quick Setup'!$P$31,'Quick Setup'!$P35,if(HV6='Quick Setup'!$Q$31,'Quick Setup'!$Q35,if(HV6='Quick Setup'!$R$31,'Quick Setup'!$R35,if(HV6='Quick Setup'!$S$31,'Quick Setup'!$S35,if(HV6='Quick Setup'!$T$31,'Quick Setup'!$T35,if(HV6='Quick Setup'!$U$31,'Quick Setup'!$U35,if(HV6='Quick Setup'!$V$31,'Quick Setup'!$V35,'Quick Setup'!$W35))))))))))))))))))))</f>
        <v>1</v>
      </c>
      <c r="HX6" s="21">
        <f>if(HV6='Quick Setup'!$C$45,'Quick Setup'!$C49,if(HV6='Quick Setup'!$D$45,'Quick Setup'!$D49,if(HV6='Quick Setup'!$E$45,'Quick Setup'!$E49,if(HV6='Quick Setup'!$F$45,'Quick Setup'!$F49,if(HV6='Quick Setup'!$G$45,'Quick Setup'!$G49,if(HV6='Quick Setup'!$H$45,'Quick Setup'!$H49,if(HV6='Quick Setup'!$I$45,'Quick Setup'!$I49,if(HV6='Quick Setup'!$J$45,'Quick Setup'!$J49,if(HV6='Quick Setup'!$K$45,'Quick Setup'!$K49,if(HV6='Quick Setup'!$L$45,'Quick Setup'!$L49,if(HV6='Quick Setup'!$M$45,'Quick Setup'!$M49,if(HV6='Quick Setup'!$N$45,'Quick Setup'!$N49,if(HV6='Quick Setup'!$O$45,'Quick Setup'!$O49,if(HV6='Quick Setup'!$P$45,'Quick Setup'!$P49,if(HV6='Quick Setup'!$Q$45,'Quick Setup'!$Q49,if(HV6='Quick Setup'!$R$45,'Quick Setup'!$R49,if(HV6='Quick Setup'!$S$45,'Quick Setup'!$S49,if(HV6='Quick Setup'!$T$45,'Quick Setup'!$T49,if(HV6='Quick Setup'!$U$45,'Quick Setup'!$U49,if(HV6='Quick Setup'!$V$45,'Quick Setup'!$V49,'Quick Setup'!$W49))))))))))))))))))))</f>
        <v>1</v>
      </c>
      <c r="HY6" s="23">
        <f t="shared" ref="HY6:IG6" si="79">HM6</f>
        <v>5</v>
      </c>
      <c r="HZ6" s="24">
        <f t="shared" si="79"/>
        <v>-0.05</v>
      </c>
      <c r="IA6" s="24">
        <f t="shared" si="79"/>
        <v>-0.02</v>
      </c>
      <c r="IB6" s="24">
        <f t="shared" si="79"/>
        <v>0</v>
      </c>
      <c r="IC6" s="24">
        <f t="shared" si="79"/>
        <v>0.005</v>
      </c>
      <c r="ID6" s="24">
        <f t="shared" si="79"/>
        <v>0.01</v>
      </c>
      <c r="IE6" s="24">
        <f t="shared" si="79"/>
        <v>0.015</v>
      </c>
      <c r="IF6" s="24">
        <f t="shared" si="79"/>
        <v>0.02</v>
      </c>
      <c r="IG6" s="24">
        <f t="shared" si="79"/>
        <v>0.03</v>
      </c>
      <c r="IH6" s="20">
        <f>'Quick Setup'!W63</f>
        <v>0.6</v>
      </c>
      <c r="II6" s="21">
        <f>if(IH6='Quick Setup'!$C$31,'Quick Setup'!$C35,if(IH6='Quick Setup'!$D$31,'Quick Setup'!$D35,if(IH6='Quick Setup'!$E$31,'Quick Setup'!$E35,if(IH6='Quick Setup'!$F$31,'Quick Setup'!$F35,if(IH6='Quick Setup'!$G$31,'Quick Setup'!$G35,if(IH6='Quick Setup'!$H$31,'Quick Setup'!$H35,if(IH6='Quick Setup'!$I$31,'Quick Setup'!$I35,if(IH6='Quick Setup'!$J$31,'Quick Setup'!$J35,if(IH6='Quick Setup'!$K$31,'Quick Setup'!$K35,if(IH6='Quick Setup'!$L$31,'Quick Setup'!$L35,if(IH6='Quick Setup'!$M$31,'Quick Setup'!$M35,if(IH6='Quick Setup'!$N$31,'Quick Setup'!$N35,if(IH6='Quick Setup'!$O$31,'Quick Setup'!$O35,if(IH6='Quick Setup'!$P$31,'Quick Setup'!$P35,if(IH6='Quick Setup'!$Q$31,'Quick Setup'!$Q35,if(IH6='Quick Setup'!$R$31,'Quick Setup'!$R35,if(IH6='Quick Setup'!$S$31,'Quick Setup'!$S35,if(IH6='Quick Setup'!$T$31,'Quick Setup'!$T35,if(IH6='Quick Setup'!$U$31,'Quick Setup'!$U35,if(IH6='Quick Setup'!$V$31,'Quick Setup'!$V35,'Quick Setup'!$W35))))))))))))))))))))</f>
        <v>7</v>
      </c>
      <c r="IJ6" s="21">
        <f>if(IH6='Quick Setup'!$C$45,'Quick Setup'!$C49,if(IH6='Quick Setup'!$D$45,'Quick Setup'!$D49,if(IH6='Quick Setup'!$E$45,'Quick Setup'!$E49,if(IH6='Quick Setup'!$F$45,'Quick Setup'!$F49,if(IH6='Quick Setup'!$G$45,'Quick Setup'!$G49,if(IH6='Quick Setup'!$H$45,'Quick Setup'!$H49,if(IH6='Quick Setup'!$I$45,'Quick Setup'!$I49,if(IH6='Quick Setup'!$J$45,'Quick Setup'!$J49,if(IH6='Quick Setup'!$K$45,'Quick Setup'!$K49,if(IH6='Quick Setup'!$L$45,'Quick Setup'!$L49,if(IH6='Quick Setup'!$M$45,'Quick Setup'!$M49,if(IH6='Quick Setup'!$N$45,'Quick Setup'!$N49,if(IH6='Quick Setup'!$O$45,'Quick Setup'!$O49,if(IH6='Quick Setup'!$P$45,'Quick Setup'!$P49,if(IH6='Quick Setup'!$Q$45,'Quick Setup'!$Q49,if(IH6='Quick Setup'!$R$45,'Quick Setup'!$R49,if(IH6='Quick Setup'!$S$45,'Quick Setup'!$S49,if(IH6='Quick Setup'!$T$45,'Quick Setup'!$T49,if(IH6='Quick Setup'!$U$45,'Quick Setup'!$U49,if(IH6='Quick Setup'!$V$45,'Quick Setup'!$V49,'Quick Setup'!$W49))))))))))))))))))))</f>
        <v>3</v>
      </c>
      <c r="IK6" s="23">
        <f t="shared" ref="IK6:IS6" si="80">HY6</f>
        <v>5</v>
      </c>
      <c r="IL6" s="24">
        <f t="shared" si="80"/>
        <v>-0.05</v>
      </c>
      <c r="IM6" s="24">
        <f t="shared" si="80"/>
        <v>-0.02</v>
      </c>
      <c r="IN6" s="24">
        <f t="shared" si="80"/>
        <v>0</v>
      </c>
      <c r="IO6" s="24">
        <f t="shared" si="80"/>
        <v>0.005</v>
      </c>
      <c r="IP6" s="24">
        <f t="shared" si="80"/>
        <v>0.01</v>
      </c>
      <c r="IQ6" s="24">
        <f t="shared" si="80"/>
        <v>0.015</v>
      </c>
      <c r="IR6" s="24">
        <f t="shared" si="80"/>
        <v>0.02</v>
      </c>
      <c r="IS6" s="24">
        <f t="shared" si="80"/>
        <v>0.03</v>
      </c>
    </row>
    <row r="7">
      <c r="BM7" s="25"/>
      <c r="BN7" s="25"/>
      <c r="BO7" s="25"/>
      <c r="BP7" s="25"/>
      <c r="BQ7" s="25"/>
      <c r="BR7" s="25"/>
      <c r="BS7" s="25"/>
      <c r="BT7" s="25"/>
      <c r="BU7" s="25"/>
      <c r="BY7" s="25"/>
      <c r="BZ7" s="25"/>
      <c r="CA7" s="25"/>
      <c r="CB7" s="25"/>
      <c r="CC7" s="25"/>
      <c r="CD7" s="25"/>
      <c r="CE7" s="25"/>
      <c r="CF7" s="25"/>
      <c r="CG7" s="25"/>
      <c r="CK7" s="25"/>
      <c r="CL7" s="25"/>
      <c r="CM7" s="25"/>
      <c r="CN7" s="25"/>
      <c r="CO7" s="25"/>
      <c r="CP7" s="25"/>
      <c r="CQ7" s="25"/>
      <c r="CR7" s="25"/>
      <c r="CS7" s="25"/>
      <c r="CW7" s="25"/>
      <c r="CX7" s="25"/>
      <c r="CY7" s="25"/>
      <c r="CZ7" s="25"/>
      <c r="DA7" s="25"/>
      <c r="DB7" s="25"/>
      <c r="DC7" s="25"/>
      <c r="DD7" s="25"/>
      <c r="DE7" s="25"/>
      <c r="DI7" s="25"/>
      <c r="DJ7" s="25"/>
      <c r="DK7" s="25"/>
      <c r="DL7" s="25"/>
      <c r="DM7" s="25"/>
      <c r="DN7" s="25"/>
      <c r="DO7" s="25"/>
      <c r="DP7" s="25"/>
      <c r="DQ7" s="25"/>
      <c r="DU7" s="25"/>
      <c r="DV7" s="25"/>
      <c r="DW7" s="25"/>
      <c r="DX7" s="25"/>
      <c r="DY7" s="25"/>
      <c r="DZ7" s="25"/>
      <c r="EA7" s="25"/>
      <c r="EB7" s="25"/>
      <c r="EC7" s="25"/>
      <c r="EG7" s="25"/>
      <c r="EH7" s="25"/>
      <c r="EI7" s="25"/>
      <c r="EJ7" s="25"/>
      <c r="EK7" s="25"/>
      <c r="EL7" s="25"/>
      <c r="EM7" s="25"/>
      <c r="EN7" s="25"/>
      <c r="EO7" s="25"/>
      <c r="ES7" s="25"/>
      <c r="ET7" s="25"/>
      <c r="EU7" s="25"/>
      <c r="EV7" s="25"/>
      <c r="EW7" s="25"/>
      <c r="EX7" s="25"/>
      <c r="EY7" s="25"/>
      <c r="EZ7" s="25"/>
      <c r="FA7" s="25"/>
      <c r="FE7" s="25"/>
      <c r="FF7" s="25"/>
      <c r="FG7" s="25"/>
      <c r="FH7" s="25"/>
      <c r="FI7" s="25"/>
      <c r="FJ7" s="25"/>
      <c r="FK7" s="25"/>
      <c r="FL7" s="25"/>
      <c r="FM7" s="25"/>
      <c r="FQ7" s="25"/>
      <c r="FR7" s="25"/>
      <c r="FS7" s="25"/>
      <c r="FT7" s="25"/>
      <c r="FU7" s="25"/>
      <c r="FV7" s="25"/>
      <c r="FW7" s="25"/>
      <c r="FX7" s="25"/>
      <c r="FY7" s="25"/>
      <c r="GC7" s="25"/>
      <c r="GD7" s="25"/>
      <c r="GE7" s="25"/>
      <c r="GF7" s="25"/>
      <c r="GG7" s="25"/>
      <c r="GH7" s="25"/>
      <c r="GI7" s="25"/>
      <c r="GJ7" s="25"/>
      <c r="GK7" s="25"/>
      <c r="GO7" s="25"/>
      <c r="GP7" s="25"/>
      <c r="GQ7" s="25"/>
      <c r="GR7" s="25"/>
      <c r="GS7" s="25"/>
      <c r="GT7" s="25"/>
      <c r="GU7" s="25"/>
      <c r="GV7" s="25"/>
      <c r="GW7" s="25"/>
      <c r="HA7" s="25"/>
      <c r="HB7" s="25"/>
      <c r="HC7" s="25"/>
      <c r="HD7" s="25"/>
      <c r="HE7" s="25"/>
      <c r="HF7" s="25"/>
      <c r="HG7" s="25"/>
      <c r="HH7" s="25"/>
      <c r="HI7" s="25"/>
      <c r="HM7" s="25"/>
      <c r="HN7" s="25"/>
      <c r="HO7" s="25"/>
      <c r="HP7" s="25"/>
      <c r="HQ7" s="25"/>
      <c r="HR7" s="25"/>
      <c r="HS7" s="25"/>
      <c r="HT7" s="25"/>
      <c r="HU7" s="25"/>
      <c r="HY7" s="25"/>
      <c r="HZ7" s="25"/>
      <c r="IA7" s="25"/>
      <c r="IB7" s="25"/>
      <c r="IC7" s="25"/>
      <c r="ID7" s="25"/>
      <c r="IE7" s="25"/>
      <c r="IF7" s="25"/>
      <c r="IG7" s="25"/>
      <c r="IK7" s="25"/>
      <c r="IL7" s="25"/>
      <c r="IM7" s="25"/>
      <c r="IN7" s="25"/>
      <c r="IO7" s="25"/>
      <c r="IP7" s="25"/>
      <c r="IQ7" s="25"/>
      <c r="IR7" s="25"/>
      <c r="IS7" s="25"/>
    </row>
    <row r="8">
      <c r="B8" s="19" t="s">
        <v>44</v>
      </c>
      <c r="C8" s="19" t="s">
        <v>47</v>
      </c>
      <c r="D8" s="19" t="s">
        <v>48</v>
      </c>
      <c r="E8" s="19" t="s">
        <v>7</v>
      </c>
      <c r="F8" s="19" t="s">
        <v>8</v>
      </c>
      <c r="G8" s="19" t="s">
        <v>49</v>
      </c>
      <c r="H8" s="19" t="s">
        <v>10</v>
      </c>
      <c r="I8" s="19" t="s">
        <v>11</v>
      </c>
      <c r="J8" s="19" t="s">
        <v>12</v>
      </c>
      <c r="K8" s="19" t="s">
        <v>13</v>
      </c>
      <c r="L8" s="19" t="s">
        <v>14</v>
      </c>
      <c r="M8" s="19" t="s">
        <v>15</v>
      </c>
      <c r="N8" s="19" t="s">
        <v>44</v>
      </c>
      <c r="O8" s="19" t="s">
        <v>47</v>
      </c>
      <c r="P8" s="19" t="s">
        <v>48</v>
      </c>
      <c r="Q8" s="19" t="s">
        <v>7</v>
      </c>
      <c r="R8" s="19" t="s">
        <v>8</v>
      </c>
      <c r="S8" s="19" t="s">
        <v>49</v>
      </c>
      <c r="T8" s="19" t="s">
        <v>10</v>
      </c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44</v>
      </c>
      <c r="AA8" s="19" t="s">
        <v>47</v>
      </c>
      <c r="AB8" s="19" t="s">
        <v>48</v>
      </c>
      <c r="AC8" s="19" t="s">
        <v>7</v>
      </c>
      <c r="AD8" s="19" t="s">
        <v>8</v>
      </c>
      <c r="AE8" s="19" t="s">
        <v>49</v>
      </c>
      <c r="AF8" s="19" t="s">
        <v>10</v>
      </c>
      <c r="AG8" s="19" t="s">
        <v>11</v>
      </c>
      <c r="AH8" s="19" t="s">
        <v>12</v>
      </c>
      <c r="AI8" s="19" t="s">
        <v>13</v>
      </c>
      <c r="AJ8" s="19" t="s">
        <v>14</v>
      </c>
      <c r="AK8" s="19" t="s">
        <v>15</v>
      </c>
      <c r="AL8" s="19" t="s">
        <v>44</v>
      </c>
      <c r="AM8" s="19" t="s">
        <v>47</v>
      </c>
      <c r="AN8" s="19" t="s">
        <v>48</v>
      </c>
      <c r="AO8" s="19" t="s">
        <v>7</v>
      </c>
      <c r="AP8" s="19" t="s">
        <v>8</v>
      </c>
      <c r="AQ8" s="19" t="s">
        <v>49</v>
      </c>
      <c r="AR8" s="19" t="s">
        <v>10</v>
      </c>
      <c r="AS8" s="19" t="s">
        <v>11</v>
      </c>
      <c r="AT8" s="19" t="s">
        <v>12</v>
      </c>
      <c r="AU8" s="19" t="s">
        <v>13</v>
      </c>
      <c r="AV8" s="19" t="s">
        <v>14</v>
      </c>
      <c r="AW8" s="19" t="s">
        <v>15</v>
      </c>
      <c r="AX8" s="19" t="s">
        <v>44</v>
      </c>
      <c r="AY8" s="19" t="s">
        <v>47</v>
      </c>
      <c r="AZ8" s="19" t="s">
        <v>48</v>
      </c>
      <c r="BA8" s="19" t="s">
        <v>7</v>
      </c>
      <c r="BB8" s="19" t="s">
        <v>8</v>
      </c>
      <c r="BC8" s="19" t="s">
        <v>49</v>
      </c>
      <c r="BD8" s="19" t="s">
        <v>10</v>
      </c>
      <c r="BE8" s="19" t="s">
        <v>11</v>
      </c>
      <c r="BF8" s="19" t="s">
        <v>12</v>
      </c>
      <c r="BG8" s="19" t="s">
        <v>13</v>
      </c>
      <c r="BH8" s="19" t="s">
        <v>14</v>
      </c>
      <c r="BI8" s="19" t="s">
        <v>15</v>
      </c>
      <c r="BJ8" s="19" t="s">
        <v>44</v>
      </c>
      <c r="BK8" s="19" t="s">
        <v>47</v>
      </c>
      <c r="BL8" s="19" t="s">
        <v>48</v>
      </c>
      <c r="BM8" s="19" t="s">
        <v>7</v>
      </c>
      <c r="BN8" s="19" t="s">
        <v>8</v>
      </c>
      <c r="BO8" s="19" t="s">
        <v>49</v>
      </c>
      <c r="BP8" s="19" t="s">
        <v>10</v>
      </c>
      <c r="BQ8" s="19" t="s">
        <v>11</v>
      </c>
      <c r="BR8" s="19" t="s">
        <v>12</v>
      </c>
      <c r="BS8" s="19" t="s">
        <v>13</v>
      </c>
      <c r="BT8" s="19" t="s">
        <v>14</v>
      </c>
      <c r="BU8" s="19" t="s">
        <v>15</v>
      </c>
      <c r="BV8" s="19" t="s">
        <v>44</v>
      </c>
      <c r="BW8" s="19" t="s">
        <v>47</v>
      </c>
      <c r="BX8" s="19" t="s">
        <v>48</v>
      </c>
      <c r="BY8" s="19" t="s">
        <v>7</v>
      </c>
      <c r="BZ8" s="19" t="s">
        <v>8</v>
      </c>
      <c r="CA8" s="19" t="s">
        <v>49</v>
      </c>
      <c r="CB8" s="19" t="s">
        <v>10</v>
      </c>
      <c r="CC8" s="19" t="s">
        <v>11</v>
      </c>
      <c r="CD8" s="19" t="s">
        <v>12</v>
      </c>
      <c r="CE8" s="19" t="s">
        <v>13</v>
      </c>
      <c r="CF8" s="19" t="s">
        <v>14</v>
      </c>
      <c r="CG8" s="19" t="s">
        <v>15</v>
      </c>
      <c r="CH8" s="19" t="s">
        <v>44</v>
      </c>
      <c r="CI8" s="19" t="s">
        <v>47</v>
      </c>
      <c r="CJ8" s="19" t="s">
        <v>48</v>
      </c>
      <c r="CK8" s="19" t="s">
        <v>7</v>
      </c>
      <c r="CL8" s="19" t="s">
        <v>8</v>
      </c>
      <c r="CM8" s="19" t="s">
        <v>49</v>
      </c>
      <c r="CN8" s="19" t="s">
        <v>10</v>
      </c>
      <c r="CO8" s="19" t="s">
        <v>11</v>
      </c>
      <c r="CP8" s="19" t="s">
        <v>12</v>
      </c>
      <c r="CQ8" s="19" t="s">
        <v>13</v>
      </c>
      <c r="CR8" s="19" t="s">
        <v>14</v>
      </c>
      <c r="CS8" s="19" t="s">
        <v>15</v>
      </c>
      <c r="CT8" s="19" t="s">
        <v>44</v>
      </c>
      <c r="CU8" s="19" t="s">
        <v>47</v>
      </c>
      <c r="CV8" s="19" t="s">
        <v>48</v>
      </c>
      <c r="CW8" s="19" t="s">
        <v>7</v>
      </c>
      <c r="CX8" s="19" t="s">
        <v>8</v>
      </c>
      <c r="CY8" s="19" t="s">
        <v>49</v>
      </c>
      <c r="CZ8" s="19" t="s">
        <v>10</v>
      </c>
      <c r="DA8" s="19" t="s">
        <v>11</v>
      </c>
      <c r="DB8" s="19" t="s">
        <v>12</v>
      </c>
      <c r="DC8" s="19" t="s">
        <v>13</v>
      </c>
      <c r="DD8" s="19" t="s">
        <v>14</v>
      </c>
      <c r="DE8" s="19" t="s">
        <v>15</v>
      </c>
      <c r="DF8" s="19" t="s">
        <v>44</v>
      </c>
      <c r="DG8" s="19" t="s">
        <v>47</v>
      </c>
      <c r="DH8" s="19" t="s">
        <v>48</v>
      </c>
      <c r="DI8" s="19" t="s">
        <v>7</v>
      </c>
      <c r="DJ8" s="19" t="s">
        <v>8</v>
      </c>
      <c r="DK8" s="19" t="s">
        <v>49</v>
      </c>
      <c r="DL8" s="19" t="s">
        <v>10</v>
      </c>
      <c r="DM8" s="19" t="s">
        <v>11</v>
      </c>
      <c r="DN8" s="19" t="s">
        <v>12</v>
      </c>
      <c r="DO8" s="19" t="s">
        <v>13</v>
      </c>
      <c r="DP8" s="19" t="s">
        <v>14</v>
      </c>
      <c r="DQ8" s="19" t="s">
        <v>15</v>
      </c>
      <c r="DR8" s="19" t="s">
        <v>44</v>
      </c>
      <c r="DS8" s="19" t="s">
        <v>47</v>
      </c>
      <c r="DT8" s="19" t="s">
        <v>48</v>
      </c>
      <c r="DU8" s="19" t="s">
        <v>7</v>
      </c>
      <c r="DV8" s="19" t="s">
        <v>8</v>
      </c>
      <c r="DW8" s="19" t="s">
        <v>49</v>
      </c>
      <c r="DX8" s="19" t="s">
        <v>10</v>
      </c>
      <c r="DY8" s="19" t="s">
        <v>11</v>
      </c>
      <c r="DZ8" s="19" t="s">
        <v>12</v>
      </c>
      <c r="EA8" s="19" t="s">
        <v>13</v>
      </c>
      <c r="EB8" s="19" t="s">
        <v>14</v>
      </c>
      <c r="EC8" s="19" t="s">
        <v>15</v>
      </c>
      <c r="ED8" s="19" t="s">
        <v>44</v>
      </c>
      <c r="EE8" s="19" t="s">
        <v>47</v>
      </c>
      <c r="EF8" s="19" t="s">
        <v>48</v>
      </c>
      <c r="EG8" s="19" t="s">
        <v>7</v>
      </c>
      <c r="EH8" s="19" t="s">
        <v>8</v>
      </c>
      <c r="EI8" s="19" t="s">
        <v>49</v>
      </c>
      <c r="EJ8" s="19" t="s">
        <v>10</v>
      </c>
      <c r="EK8" s="19" t="s">
        <v>11</v>
      </c>
      <c r="EL8" s="19" t="s">
        <v>12</v>
      </c>
      <c r="EM8" s="19" t="s">
        <v>13</v>
      </c>
      <c r="EN8" s="19" t="s">
        <v>14</v>
      </c>
      <c r="EO8" s="19" t="s">
        <v>15</v>
      </c>
      <c r="EP8" s="19" t="s">
        <v>44</v>
      </c>
      <c r="EQ8" s="19" t="s">
        <v>47</v>
      </c>
      <c r="ER8" s="19" t="s">
        <v>48</v>
      </c>
      <c r="ES8" s="19" t="s">
        <v>7</v>
      </c>
      <c r="ET8" s="19" t="s">
        <v>8</v>
      </c>
      <c r="EU8" s="19" t="s">
        <v>49</v>
      </c>
      <c r="EV8" s="19" t="s">
        <v>10</v>
      </c>
      <c r="EW8" s="19" t="s">
        <v>11</v>
      </c>
      <c r="EX8" s="19" t="s">
        <v>12</v>
      </c>
      <c r="EY8" s="19" t="s">
        <v>13</v>
      </c>
      <c r="EZ8" s="19" t="s">
        <v>14</v>
      </c>
      <c r="FA8" s="19" t="s">
        <v>15</v>
      </c>
      <c r="FB8" s="19" t="s">
        <v>44</v>
      </c>
      <c r="FC8" s="19" t="s">
        <v>47</v>
      </c>
      <c r="FD8" s="19" t="s">
        <v>48</v>
      </c>
      <c r="FE8" s="19" t="s">
        <v>7</v>
      </c>
      <c r="FF8" s="19" t="s">
        <v>8</v>
      </c>
      <c r="FG8" s="19" t="s">
        <v>49</v>
      </c>
      <c r="FH8" s="19" t="s">
        <v>10</v>
      </c>
      <c r="FI8" s="19" t="s">
        <v>11</v>
      </c>
      <c r="FJ8" s="19" t="s">
        <v>12</v>
      </c>
      <c r="FK8" s="19" t="s">
        <v>13</v>
      </c>
      <c r="FL8" s="19" t="s">
        <v>14</v>
      </c>
      <c r="FM8" s="19" t="s">
        <v>15</v>
      </c>
      <c r="FN8" s="19" t="s">
        <v>44</v>
      </c>
      <c r="FO8" s="19" t="s">
        <v>47</v>
      </c>
      <c r="FP8" s="19" t="s">
        <v>48</v>
      </c>
      <c r="FQ8" s="19" t="s">
        <v>7</v>
      </c>
      <c r="FR8" s="19" t="s">
        <v>8</v>
      </c>
      <c r="FS8" s="19" t="s">
        <v>49</v>
      </c>
      <c r="FT8" s="19" t="s">
        <v>10</v>
      </c>
      <c r="FU8" s="19" t="s">
        <v>11</v>
      </c>
      <c r="FV8" s="19" t="s">
        <v>12</v>
      </c>
      <c r="FW8" s="19" t="s">
        <v>13</v>
      </c>
      <c r="FX8" s="19" t="s">
        <v>14</v>
      </c>
      <c r="FY8" s="19" t="s">
        <v>15</v>
      </c>
      <c r="FZ8" s="19" t="s">
        <v>44</v>
      </c>
      <c r="GA8" s="19" t="s">
        <v>47</v>
      </c>
      <c r="GB8" s="19" t="s">
        <v>48</v>
      </c>
      <c r="GC8" s="19" t="s">
        <v>7</v>
      </c>
      <c r="GD8" s="19" t="s">
        <v>8</v>
      </c>
      <c r="GE8" s="19" t="s">
        <v>49</v>
      </c>
      <c r="GF8" s="19" t="s">
        <v>10</v>
      </c>
      <c r="GG8" s="19" t="s">
        <v>11</v>
      </c>
      <c r="GH8" s="19" t="s">
        <v>12</v>
      </c>
      <c r="GI8" s="19" t="s">
        <v>13</v>
      </c>
      <c r="GJ8" s="19" t="s">
        <v>14</v>
      </c>
      <c r="GK8" s="19" t="s">
        <v>15</v>
      </c>
      <c r="GL8" s="19" t="s">
        <v>44</v>
      </c>
      <c r="GM8" s="19" t="s">
        <v>47</v>
      </c>
      <c r="GN8" s="19" t="s">
        <v>48</v>
      </c>
      <c r="GO8" s="19" t="s">
        <v>7</v>
      </c>
      <c r="GP8" s="19" t="s">
        <v>8</v>
      </c>
      <c r="GQ8" s="19" t="s">
        <v>49</v>
      </c>
      <c r="GR8" s="19" t="s">
        <v>10</v>
      </c>
      <c r="GS8" s="19" t="s">
        <v>11</v>
      </c>
      <c r="GT8" s="19" t="s">
        <v>12</v>
      </c>
      <c r="GU8" s="19" t="s">
        <v>13</v>
      </c>
      <c r="GV8" s="19" t="s">
        <v>14</v>
      </c>
      <c r="GW8" s="19" t="s">
        <v>15</v>
      </c>
      <c r="GX8" s="19" t="s">
        <v>44</v>
      </c>
      <c r="GY8" s="19" t="s">
        <v>47</v>
      </c>
      <c r="GZ8" s="19" t="s">
        <v>48</v>
      </c>
      <c r="HA8" s="19" t="s">
        <v>7</v>
      </c>
      <c r="HB8" s="19" t="s">
        <v>8</v>
      </c>
      <c r="HC8" s="19" t="s">
        <v>49</v>
      </c>
      <c r="HD8" s="19" t="s">
        <v>10</v>
      </c>
      <c r="HE8" s="19" t="s">
        <v>11</v>
      </c>
      <c r="HF8" s="19" t="s">
        <v>12</v>
      </c>
      <c r="HG8" s="19" t="s">
        <v>13</v>
      </c>
      <c r="HH8" s="19" t="s">
        <v>14</v>
      </c>
      <c r="HI8" s="19" t="s">
        <v>15</v>
      </c>
      <c r="HJ8" s="19" t="s">
        <v>44</v>
      </c>
      <c r="HK8" s="19" t="s">
        <v>47</v>
      </c>
      <c r="HL8" s="19" t="s">
        <v>48</v>
      </c>
      <c r="HM8" s="19" t="s">
        <v>7</v>
      </c>
      <c r="HN8" s="19" t="s">
        <v>8</v>
      </c>
      <c r="HO8" s="19" t="s">
        <v>49</v>
      </c>
      <c r="HP8" s="19" t="s">
        <v>10</v>
      </c>
      <c r="HQ8" s="19" t="s">
        <v>11</v>
      </c>
      <c r="HR8" s="19" t="s">
        <v>12</v>
      </c>
      <c r="HS8" s="19" t="s">
        <v>13</v>
      </c>
      <c r="HT8" s="19" t="s">
        <v>14</v>
      </c>
      <c r="HU8" s="19" t="s">
        <v>15</v>
      </c>
      <c r="HV8" s="19" t="s">
        <v>44</v>
      </c>
      <c r="HW8" s="19" t="s">
        <v>47</v>
      </c>
      <c r="HX8" s="19" t="s">
        <v>48</v>
      </c>
      <c r="HY8" s="19" t="s">
        <v>7</v>
      </c>
      <c r="HZ8" s="19" t="s">
        <v>8</v>
      </c>
      <c r="IA8" s="19" t="s">
        <v>49</v>
      </c>
      <c r="IB8" s="19" t="s">
        <v>10</v>
      </c>
      <c r="IC8" s="19" t="s">
        <v>11</v>
      </c>
      <c r="ID8" s="19" t="s">
        <v>12</v>
      </c>
      <c r="IE8" s="19" t="s">
        <v>13</v>
      </c>
      <c r="IF8" s="19" t="s">
        <v>14</v>
      </c>
      <c r="IG8" s="19" t="s">
        <v>15</v>
      </c>
      <c r="IH8" s="19" t="s">
        <v>44</v>
      </c>
      <c r="II8" s="19" t="s">
        <v>47</v>
      </c>
      <c r="IJ8" s="19" t="s">
        <v>48</v>
      </c>
      <c r="IK8" s="19" t="s">
        <v>7</v>
      </c>
      <c r="IL8" s="19" t="s">
        <v>8</v>
      </c>
      <c r="IM8" s="19" t="s">
        <v>49</v>
      </c>
      <c r="IN8" s="19" t="s">
        <v>10</v>
      </c>
      <c r="IO8" s="19" t="s">
        <v>11</v>
      </c>
      <c r="IP8" s="19" t="s">
        <v>12</v>
      </c>
      <c r="IQ8" s="19" t="s">
        <v>13</v>
      </c>
      <c r="IR8" s="19" t="s">
        <v>14</v>
      </c>
      <c r="IS8" s="19" t="s">
        <v>15</v>
      </c>
    </row>
    <row r="9">
      <c r="A9" t="str">
        <f>'Quick Setup'!C11</f>
        <v>Front Squat</v>
      </c>
      <c r="B9" s="20">
        <f>'Quick Setup'!C64</f>
        <v>0.6</v>
      </c>
      <c r="C9" s="21">
        <f>if(B9='Quick Setup'!$C$31,'Quick Setup'!$C36,if(B9='Quick Setup'!$D$31,'Quick Setup'!$D36,if(B9='Quick Setup'!$E$31,'Quick Setup'!$E36,if(B9='Quick Setup'!$F$31,'Quick Setup'!$F36,if(B9='Quick Setup'!$G$31,'Quick Setup'!$G36,if(B9='Quick Setup'!$H$31,'Quick Setup'!$H36,if(B9='Quick Setup'!$I$31,'Quick Setup'!$I36,if(B9='Quick Setup'!$J$31,'Quick Setup'!$J36,if(B9='Quick Setup'!$K$31,'Quick Setup'!$K36,if(B9='Quick Setup'!$L$31,'Quick Setup'!$L36,if(B9='Quick Setup'!$M$31,'Quick Setup'!$M36,if(B9='Quick Setup'!$N$31,'Quick Setup'!$N36,if(B9='Quick Setup'!$O$31,'Quick Setup'!$O36,if(B9='Quick Setup'!$P$31,'Quick Setup'!$P36,if(B9='Quick Setup'!$Q$31,'Quick Setup'!$Q36,if(B9='Quick Setup'!$R$31,'Quick Setup'!$R36,if(B9='Quick Setup'!$S$31,'Quick Setup'!$S36,if(B9='Quick Setup'!$T$31,'Quick Setup'!$T36,if(B9='Quick Setup'!$U$31,'Quick Setup'!$U36,if(B9='Quick Setup'!$V$31,'Quick Setup'!$V36,'Quick Setup'!$W36))))))))))))))))))))</f>
        <v>7</v>
      </c>
      <c r="D9" s="21">
        <f>if(B9='Quick Setup'!$C$45,'Quick Setup'!$C50,if(B9='Quick Setup'!$D$45,'Quick Setup'!$D50,if(B9='Quick Setup'!$E$45,'Quick Setup'!$E50,if(B9='Quick Setup'!$F$45,'Quick Setup'!$F50,if(B9='Quick Setup'!$G$45,'Quick Setup'!$G50,if(B9='Quick Setup'!$H$45,'Quick Setup'!$H50,if(B9='Quick Setup'!$I$45,'Quick Setup'!$I50,if(B9='Quick Setup'!$J$45,'Quick Setup'!$J50,if(B9='Quick Setup'!$K$45,'Quick Setup'!$K50,if(B9='Quick Setup'!$L$45,'Quick Setup'!$L50,if(B9='Quick Setup'!$M$45,'Quick Setup'!$M50,if(B9='Quick Setup'!$N$45,'Quick Setup'!$N50,if(B9='Quick Setup'!$O$45,'Quick Setup'!$O50,if(B9='Quick Setup'!$P$45,'Quick Setup'!$P50,if(B9='Quick Setup'!$Q$45,'Quick Setup'!$Q50,if(B9='Quick Setup'!$R$45,'Quick Setup'!$R50,if(B9='Quick Setup'!$S$45,'Quick Setup'!$S50,if(B9='Quick Setup'!$T$45,'Quick Setup'!$T50,if(B9='Quick Setup'!$U$45,'Quick Setup'!$U50,if(B9='Quick Setup'!$V$45,'Quick Setup'!$V50,'Quick Setup'!$W50))))))))))))))))))))</f>
        <v>3</v>
      </c>
      <c r="E9" s="21">
        <f>'Quick Setup'!H10</f>
        <v>5</v>
      </c>
      <c r="F9" s="22">
        <f>'Quick Setup'!I10</f>
        <v>-0.05</v>
      </c>
      <c r="G9" s="22">
        <f>'Quick Setup'!J10</f>
        <v>-0.02</v>
      </c>
      <c r="H9" s="22">
        <f>'Quick Setup'!K10</f>
        <v>0</v>
      </c>
      <c r="I9" s="22">
        <f>'Quick Setup'!L10</f>
        <v>0.005</v>
      </c>
      <c r="J9" s="22">
        <f>'Quick Setup'!M10</f>
        <v>0.01</v>
      </c>
      <c r="K9" s="22">
        <f>'Quick Setup'!N10</f>
        <v>0.015</v>
      </c>
      <c r="L9" s="22">
        <f>'Quick Setup'!O10</f>
        <v>0.02</v>
      </c>
      <c r="M9" s="22">
        <f>'Quick Setup'!P10</f>
        <v>0.03</v>
      </c>
      <c r="N9" s="20">
        <f>'Quick Setup'!D64</f>
        <v>0.65</v>
      </c>
      <c r="O9" s="21">
        <f>if(N9='Quick Setup'!$C$31,'Quick Setup'!$C36,if(N9='Quick Setup'!$D$31,'Quick Setup'!$D36,if(N9='Quick Setup'!$E$31,'Quick Setup'!$E36,if(N9='Quick Setup'!$F$31,'Quick Setup'!$F36,if(N9='Quick Setup'!$G$31,'Quick Setup'!$G36,if(N9='Quick Setup'!$H$31,'Quick Setup'!$H36,if(N9='Quick Setup'!$I$31,'Quick Setup'!$I36,if(N9='Quick Setup'!$J$31,'Quick Setup'!$J36,if(N9='Quick Setup'!$K$31,'Quick Setup'!$K36,if(N9='Quick Setup'!$L$31,'Quick Setup'!$L36,if(N9='Quick Setup'!$M$31,'Quick Setup'!$M36,if(N9='Quick Setup'!$N$31,'Quick Setup'!$N36,if(N9='Quick Setup'!$O$31,'Quick Setup'!$O36,if(N9='Quick Setup'!$P$31,'Quick Setup'!$P36,if(N9='Quick Setup'!$Q$31,'Quick Setup'!$Q36,if(N9='Quick Setup'!$R$31,'Quick Setup'!$R36,if(N9='Quick Setup'!$S$31,'Quick Setup'!$S36,if(N9='Quick Setup'!$T$31,'Quick Setup'!$T36,if(N9='Quick Setup'!$U$31,'Quick Setup'!$U36,if(N9='Quick Setup'!$V$31,'Quick Setup'!$V36,'Quick Setup'!$W36))))))))))))))))))))</f>
        <v>6</v>
      </c>
      <c r="P9" s="21">
        <f>if(N9='Quick Setup'!$C$45,'Quick Setup'!$C50,if(N9='Quick Setup'!$D$45,'Quick Setup'!$D50,if(N9='Quick Setup'!$E$45,'Quick Setup'!$E50,if(N9='Quick Setup'!$F$45,'Quick Setup'!$F50,if(N9='Quick Setup'!$G$45,'Quick Setup'!$G50,if(N9='Quick Setup'!$H$45,'Quick Setup'!$H50,if(N9='Quick Setup'!$I$45,'Quick Setup'!$I50,if(N9='Quick Setup'!$J$45,'Quick Setup'!$J50,if(N9='Quick Setup'!$K$45,'Quick Setup'!$K50,if(N9='Quick Setup'!$L$45,'Quick Setup'!$L50,if(N9='Quick Setup'!$M$45,'Quick Setup'!$M50,if(N9='Quick Setup'!$N$45,'Quick Setup'!$N50,if(N9='Quick Setup'!$O$45,'Quick Setup'!$O50,if(N9='Quick Setup'!$P$45,'Quick Setup'!$P50,if(N9='Quick Setup'!$Q$45,'Quick Setup'!$Q50,if(N9='Quick Setup'!$R$45,'Quick Setup'!$R50,if(N9='Quick Setup'!$S$45,'Quick Setup'!$S50,if(N9='Quick Setup'!$T$45,'Quick Setup'!$T50,if(N9='Quick Setup'!$U$45,'Quick Setup'!$U50,if(N9='Quick Setup'!$V$45,'Quick Setup'!$V50,'Quick Setup'!$W50))))))))))))))))))))</f>
        <v>3</v>
      </c>
      <c r="Q9" s="21">
        <f t="shared" ref="Q9:Y9" si="81">E9</f>
        <v>5</v>
      </c>
      <c r="R9" s="22">
        <f t="shared" si="81"/>
        <v>-0.05</v>
      </c>
      <c r="S9" s="22">
        <f t="shared" si="81"/>
        <v>-0.02</v>
      </c>
      <c r="T9" s="22">
        <f t="shared" si="81"/>
        <v>0</v>
      </c>
      <c r="U9" s="22">
        <f t="shared" si="81"/>
        <v>0.005</v>
      </c>
      <c r="V9" s="22">
        <f t="shared" si="81"/>
        <v>0.01</v>
      </c>
      <c r="W9" s="22">
        <f t="shared" si="81"/>
        <v>0.015</v>
      </c>
      <c r="X9" s="22">
        <f t="shared" si="81"/>
        <v>0.02</v>
      </c>
      <c r="Y9" s="22">
        <f t="shared" si="81"/>
        <v>0.03</v>
      </c>
      <c r="Z9" s="20">
        <f>'Quick Setup'!E64</f>
        <v>0.7</v>
      </c>
      <c r="AA9" s="21">
        <f>if(Z9='Quick Setup'!$C$31,'Quick Setup'!$C36,if(Z9='Quick Setup'!$D$31,'Quick Setup'!$D36,if(Z9='Quick Setup'!$E$31,'Quick Setup'!$E36,if(Z9='Quick Setup'!$F$31,'Quick Setup'!$F36,if(Z9='Quick Setup'!$G$31,'Quick Setup'!$G36,if(Z9='Quick Setup'!$H$31,'Quick Setup'!$H36,if(Z9='Quick Setup'!$I$31,'Quick Setup'!$I36,if(Z9='Quick Setup'!$J$31,'Quick Setup'!$J36,if(Z9='Quick Setup'!$K$31,'Quick Setup'!$K36,if(Z9='Quick Setup'!$L$31,'Quick Setup'!$L36,if(Z9='Quick Setup'!$M$31,'Quick Setup'!$M36,if(Z9='Quick Setup'!$N$31,'Quick Setup'!$N36,if(Z9='Quick Setup'!$O$31,'Quick Setup'!$O36,if(Z9='Quick Setup'!$P$31,'Quick Setup'!$P36,if(Z9='Quick Setup'!$Q$31,'Quick Setup'!$Q36,if(Z9='Quick Setup'!$R$31,'Quick Setup'!$R36,if(Z9='Quick Setup'!$S$31,'Quick Setup'!$S36,if(Z9='Quick Setup'!$T$31,'Quick Setup'!$T36,if(Z9='Quick Setup'!$U$31,'Quick Setup'!$U36,if(Z9='Quick Setup'!$V$31,'Quick Setup'!$V36,'Quick Setup'!$W36))))))))))))))))))))</f>
        <v>5</v>
      </c>
      <c r="AB9" s="21">
        <f>if(Z9='Quick Setup'!$C$45,'Quick Setup'!$C50,if(Z9='Quick Setup'!$D$45,'Quick Setup'!$D50,if(Z9='Quick Setup'!$E$45,'Quick Setup'!$E50,if(Z9='Quick Setup'!$F$45,'Quick Setup'!$F50,if(Z9='Quick Setup'!$G$45,'Quick Setup'!$G50,if(Z9='Quick Setup'!$H$45,'Quick Setup'!$H50,if(Z9='Quick Setup'!$I$45,'Quick Setup'!$I50,if(Z9='Quick Setup'!$J$45,'Quick Setup'!$J50,if(Z9='Quick Setup'!$K$45,'Quick Setup'!$K50,if(Z9='Quick Setup'!$L$45,'Quick Setup'!$L50,if(Z9='Quick Setup'!$M$45,'Quick Setup'!$M50,if(Z9='Quick Setup'!$N$45,'Quick Setup'!$N50,if(Z9='Quick Setup'!$O$45,'Quick Setup'!$O50,if(Z9='Quick Setup'!$P$45,'Quick Setup'!$P50,if(Z9='Quick Setup'!$Q$45,'Quick Setup'!$Q50,if(Z9='Quick Setup'!$R$45,'Quick Setup'!$R50,if(Z9='Quick Setup'!$S$45,'Quick Setup'!$S50,if(Z9='Quick Setup'!$T$45,'Quick Setup'!$T50,if(Z9='Quick Setup'!$U$45,'Quick Setup'!$U50,if(Z9='Quick Setup'!$V$45,'Quick Setup'!$V50,'Quick Setup'!$W50))))))))))))))))))))</f>
        <v>3</v>
      </c>
      <c r="AC9" s="21">
        <f t="shared" ref="AC9:AK9" si="82">Q9</f>
        <v>5</v>
      </c>
      <c r="AD9" s="22">
        <f t="shared" si="82"/>
        <v>-0.05</v>
      </c>
      <c r="AE9" s="22">
        <f t="shared" si="82"/>
        <v>-0.02</v>
      </c>
      <c r="AF9" s="22">
        <f t="shared" si="82"/>
        <v>0</v>
      </c>
      <c r="AG9" s="22">
        <f t="shared" si="82"/>
        <v>0.005</v>
      </c>
      <c r="AH9" s="22">
        <f t="shared" si="82"/>
        <v>0.01</v>
      </c>
      <c r="AI9" s="22">
        <f t="shared" si="82"/>
        <v>0.015</v>
      </c>
      <c r="AJ9" s="22">
        <f t="shared" si="82"/>
        <v>0.02</v>
      </c>
      <c r="AK9" s="22">
        <f t="shared" si="82"/>
        <v>0.03</v>
      </c>
      <c r="AL9" s="20">
        <f>'Quick Setup'!F64</f>
        <v>0.625</v>
      </c>
      <c r="AM9" s="21">
        <f>if(AL9='Quick Setup'!$C$31,'Quick Setup'!$C36,if(AL9='Quick Setup'!$D$31,'Quick Setup'!$D36,if(AL9='Quick Setup'!$E$31,'Quick Setup'!$E36,if(AL9='Quick Setup'!$F$31,'Quick Setup'!$F36,if(AL9='Quick Setup'!$G$31,'Quick Setup'!$G36,if(AL9='Quick Setup'!$H$31,'Quick Setup'!$H36,if(AL9='Quick Setup'!$I$31,'Quick Setup'!$I36,if(AL9='Quick Setup'!$J$31,'Quick Setup'!$J36,if(AL9='Quick Setup'!$K$31,'Quick Setup'!$K36,if(AL9='Quick Setup'!$L$31,'Quick Setup'!$L36,if(AL9='Quick Setup'!$M$31,'Quick Setup'!$M36,if(AL9='Quick Setup'!$N$31,'Quick Setup'!$N36,if(AL9='Quick Setup'!$O$31,'Quick Setup'!$O36,if(AL9='Quick Setup'!$P$31,'Quick Setup'!$P36,if(AL9='Quick Setup'!$Q$31,'Quick Setup'!$Q36,if(AL9='Quick Setup'!$R$31,'Quick Setup'!$R36,if(AL9='Quick Setup'!$S$31,'Quick Setup'!$S36,if(AL9='Quick Setup'!$T$31,'Quick Setup'!$T36,if(AL9='Quick Setup'!$U$31,'Quick Setup'!$U36,if(AL9='Quick Setup'!$V$31,'Quick Setup'!$V36,'Quick Setup'!$W36))))))))))))))))))))</f>
        <v>7</v>
      </c>
      <c r="AN9" s="21">
        <f>if(AL9='Quick Setup'!$C$45,'Quick Setup'!$C50,if(AL9='Quick Setup'!$D$45,'Quick Setup'!$D50,if(AL9='Quick Setup'!$E$45,'Quick Setup'!$E50,if(AL9='Quick Setup'!$F$45,'Quick Setup'!$F50,if(AL9='Quick Setup'!$G$45,'Quick Setup'!$G50,if(AL9='Quick Setup'!$H$45,'Quick Setup'!$H50,if(AL9='Quick Setup'!$I$45,'Quick Setup'!$I50,if(AL9='Quick Setup'!$J$45,'Quick Setup'!$J50,if(AL9='Quick Setup'!$K$45,'Quick Setup'!$K50,if(AL9='Quick Setup'!$L$45,'Quick Setup'!$L50,if(AL9='Quick Setup'!$M$45,'Quick Setup'!$M50,if(AL9='Quick Setup'!$N$45,'Quick Setup'!$N50,if(AL9='Quick Setup'!$O$45,'Quick Setup'!$O50,if(AL9='Quick Setup'!$P$45,'Quick Setup'!$P50,if(AL9='Quick Setup'!$Q$45,'Quick Setup'!$Q50,if(AL9='Quick Setup'!$R$45,'Quick Setup'!$R50,if(AL9='Quick Setup'!$S$45,'Quick Setup'!$S50,if(AL9='Quick Setup'!$T$45,'Quick Setup'!$T50,if(AL9='Quick Setup'!$U$45,'Quick Setup'!$U50,if(AL9='Quick Setup'!$V$45,'Quick Setup'!$V50,'Quick Setup'!$W50))))))))))))))))))))</f>
        <v>3</v>
      </c>
      <c r="AO9" s="21">
        <f t="shared" ref="AO9:AW9" si="83">AC9</f>
        <v>5</v>
      </c>
      <c r="AP9" s="22">
        <f t="shared" si="83"/>
        <v>-0.05</v>
      </c>
      <c r="AQ9" s="22">
        <f t="shared" si="83"/>
        <v>-0.02</v>
      </c>
      <c r="AR9" s="22">
        <f t="shared" si="83"/>
        <v>0</v>
      </c>
      <c r="AS9" s="22">
        <f t="shared" si="83"/>
        <v>0.005</v>
      </c>
      <c r="AT9" s="22">
        <f t="shared" si="83"/>
        <v>0.01</v>
      </c>
      <c r="AU9" s="22">
        <f t="shared" si="83"/>
        <v>0.015</v>
      </c>
      <c r="AV9" s="22">
        <f t="shared" si="83"/>
        <v>0.02</v>
      </c>
      <c r="AW9" s="22">
        <f t="shared" si="83"/>
        <v>0.03</v>
      </c>
      <c r="AX9" s="20">
        <f>'Quick Setup'!G64</f>
        <v>0.675</v>
      </c>
      <c r="AY9" s="21">
        <f>if(AX9='Quick Setup'!$C$31,'Quick Setup'!$C36,if(AX9='Quick Setup'!$D$31,'Quick Setup'!$D36,if(AX9='Quick Setup'!$E$31,'Quick Setup'!$E36,if(AX9='Quick Setup'!$F$31,'Quick Setup'!$F36,if(AX9='Quick Setup'!$G$31,'Quick Setup'!$G36,if(AX9='Quick Setup'!$H$31,'Quick Setup'!$H36,if(AX9='Quick Setup'!$I$31,'Quick Setup'!$I36,if(AX9='Quick Setup'!$J$31,'Quick Setup'!$J36,if(AX9='Quick Setup'!$K$31,'Quick Setup'!$K36,if(AX9='Quick Setup'!$L$31,'Quick Setup'!$L36,if(AX9='Quick Setup'!$M$31,'Quick Setup'!$M36,if(AX9='Quick Setup'!$N$31,'Quick Setup'!$N36,if(AX9='Quick Setup'!$O$31,'Quick Setup'!$O36,if(AX9='Quick Setup'!$P$31,'Quick Setup'!$P36,if(AX9='Quick Setup'!$Q$31,'Quick Setup'!$Q36,if(AX9='Quick Setup'!$R$31,'Quick Setup'!$R36,if(AX9='Quick Setup'!$S$31,'Quick Setup'!$S36,if(AX9='Quick Setup'!$T$31,'Quick Setup'!$T36,if(AX9='Quick Setup'!$U$31,'Quick Setup'!$U36,if(AX9='Quick Setup'!$V$31,'Quick Setup'!$V36,'Quick Setup'!$W36))))))))))))))))))))</f>
        <v>6</v>
      </c>
      <c r="AZ9" s="21">
        <f>if(AX9='Quick Setup'!$C$45,'Quick Setup'!$C50,if(AX9='Quick Setup'!$D$45,'Quick Setup'!$D50,if(AX9='Quick Setup'!$E$45,'Quick Setup'!$E50,if(AX9='Quick Setup'!$F$45,'Quick Setup'!$F50,if(AX9='Quick Setup'!$G$45,'Quick Setup'!$G50,if(AX9='Quick Setup'!$H$45,'Quick Setup'!$H50,if(AX9='Quick Setup'!$I$45,'Quick Setup'!$I50,if(AX9='Quick Setup'!$J$45,'Quick Setup'!$J50,if(AX9='Quick Setup'!$K$45,'Quick Setup'!$K50,if(AX9='Quick Setup'!$L$45,'Quick Setup'!$L50,if(AX9='Quick Setup'!$M$45,'Quick Setup'!$M50,if(AX9='Quick Setup'!$N$45,'Quick Setup'!$N50,if(AX9='Quick Setup'!$O$45,'Quick Setup'!$O50,if(AX9='Quick Setup'!$P$45,'Quick Setup'!$P50,if(AX9='Quick Setup'!$Q$45,'Quick Setup'!$Q50,if(AX9='Quick Setup'!$R$45,'Quick Setup'!$R50,if(AX9='Quick Setup'!$S$45,'Quick Setup'!$S50,if(AX9='Quick Setup'!$T$45,'Quick Setup'!$T50,if(AX9='Quick Setup'!$U$45,'Quick Setup'!$U50,if(AX9='Quick Setup'!$V$45,'Quick Setup'!$V50,'Quick Setup'!$W50))))))))))))))))))))</f>
        <v>3</v>
      </c>
      <c r="BA9" s="21">
        <f t="shared" ref="BA9:BI9" si="84">AO9</f>
        <v>5</v>
      </c>
      <c r="BB9" s="22">
        <f t="shared" si="84"/>
        <v>-0.05</v>
      </c>
      <c r="BC9" s="22">
        <f t="shared" si="84"/>
        <v>-0.02</v>
      </c>
      <c r="BD9" s="22">
        <f t="shared" si="84"/>
        <v>0</v>
      </c>
      <c r="BE9" s="22">
        <f t="shared" si="84"/>
        <v>0.005</v>
      </c>
      <c r="BF9" s="22">
        <f t="shared" si="84"/>
        <v>0.01</v>
      </c>
      <c r="BG9" s="22">
        <f t="shared" si="84"/>
        <v>0.015</v>
      </c>
      <c r="BH9" s="22">
        <f t="shared" si="84"/>
        <v>0.02</v>
      </c>
      <c r="BI9" s="22">
        <f t="shared" si="84"/>
        <v>0.03</v>
      </c>
      <c r="BJ9" s="20">
        <f>'Quick Setup'!H64</f>
        <v>0.725</v>
      </c>
      <c r="BK9" s="21">
        <f>if(BJ9='Quick Setup'!$C$31,'Quick Setup'!$C36,if(BJ9='Quick Setup'!$D$31,'Quick Setup'!$D36,if(BJ9='Quick Setup'!$E$31,'Quick Setup'!$E36,if(BJ9='Quick Setup'!$F$31,'Quick Setup'!$F36,if(BJ9='Quick Setup'!$G$31,'Quick Setup'!$G36,if(BJ9='Quick Setup'!$H$31,'Quick Setup'!$H36,if(BJ9='Quick Setup'!$I$31,'Quick Setup'!$I36,if(BJ9='Quick Setup'!$J$31,'Quick Setup'!$J36,if(BJ9='Quick Setup'!$K$31,'Quick Setup'!$K36,if(BJ9='Quick Setup'!$L$31,'Quick Setup'!$L36,if(BJ9='Quick Setup'!$M$31,'Quick Setup'!$M36,if(BJ9='Quick Setup'!$N$31,'Quick Setup'!$N36,if(BJ9='Quick Setup'!$O$31,'Quick Setup'!$O36,if(BJ9='Quick Setup'!$P$31,'Quick Setup'!$P36,if(BJ9='Quick Setup'!$Q$31,'Quick Setup'!$Q36,if(BJ9='Quick Setup'!$R$31,'Quick Setup'!$R36,if(BJ9='Quick Setup'!$S$31,'Quick Setup'!$S36,if(BJ9='Quick Setup'!$T$31,'Quick Setup'!$T36,if(BJ9='Quick Setup'!$U$31,'Quick Setup'!$U36,if(BJ9='Quick Setup'!$V$31,'Quick Setup'!$V36,'Quick Setup'!$W36))))))))))))))))))))</f>
        <v>5</v>
      </c>
      <c r="BL9" s="21">
        <f>if(BJ9='Quick Setup'!$C$45,'Quick Setup'!$C50,if(BJ9='Quick Setup'!$D$45,'Quick Setup'!$D50,if(BJ9='Quick Setup'!$E$45,'Quick Setup'!$E50,if(BJ9='Quick Setup'!$F$45,'Quick Setup'!$F50,if(BJ9='Quick Setup'!$G$45,'Quick Setup'!$G50,if(BJ9='Quick Setup'!$H$45,'Quick Setup'!$H50,if(BJ9='Quick Setup'!$I$45,'Quick Setup'!$I50,if(BJ9='Quick Setup'!$J$45,'Quick Setup'!$J50,if(BJ9='Quick Setup'!$K$45,'Quick Setup'!$K50,if(BJ9='Quick Setup'!$L$45,'Quick Setup'!$L50,if(BJ9='Quick Setup'!$M$45,'Quick Setup'!$M50,if(BJ9='Quick Setup'!$N$45,'Quick Setup'!$N50,if(BJ9='Quick Setup'!$O$45,'Quick Setup'!$O50,if(BJ9='Quick Setup'!$P$45,'Quick Setup'!$P50,if(BJ9='Quick Setup'!$Q$45,'Quick Setup'!$Q50,if(BJ9='Quick Setup'!$R$45,'Quick Setup'!$R50,if(BJ9='Quick Setup'!$S$45,'Quick Setup'!$S50,if(BJ9='Quick Setup'!$T$45,'Quick Setup'!$T50,if(BJ9='Quick Setup'!$U$45,'Quick Setup'!$U50,if(BJ9='Quick Setup'!$V$45,'Quick Setup'!$V50,'Quick Setup'!$W50))))))))))))))))))))</f>
        <v>3</v>
      </c>
      <c r="BM9" s="23">
        <f t="shared" ref="BM9:BU9" si="85">BA9</f>
        <v>5</v>
      </c>
      <c r="BN9" s="24">
        <f t="shared" si="85"/>
        <v>-0.05</v>
      </c>
      <c r="BO9" s="24">
        <f t="shared" si="85"/>
        <v>-0.02</v>
      </c>
      <c r="BP9" s="24">
        <f t="shared" si="85"/>
        <v>0</v>
      </c>
      <c r="BQ9" s="24">
        <f t="shared" si="85"/>
        <v>0.005</v>
      </c>
      <c r="BR9" s="24">
        <f t="shared" si="85"/>
        <v>0.01</v>
      </c>
      <c r="BS9" s="24">
        <f t="shared" si="85"/>
        <v>0.015</v>
      </c>
      <c r="BT9" s="24">
        <f t="shared" si="85"/>
        <v>0.02</v>
      </c>
      <c r="BU9" s="24">
        <f t="shared" si="85"/>
        <v>0.03</v>
      </c>
      <c r="BV9" s="20">
        <f>'Quick Setup'!I64</f>
        <v>0.5</v>
      </c>
      <c r="BW9" s="21">
        <f>if(BV9='Quick Setup'!$C$31,'Quick Setup'!$C36,if(BV9='Quick Setup'!$D$31,'Quick Setup'!$D36,if(BV9='Quick Setup'!$E$31,'Quick Setup'!$E36,if(BV9='Quick Setup'!$F$31,'Quick Setup'!$F36,if(BV9='Quick Setup'!$G$31,'Quick Setup'!$G36,if(BV9='Quick Setup'!$H$31,'Quick Setup'!$H36,if(BV9='Quick Setup'!$I$31,'Quick Setup'!$I36,if(BV9='Quick Setup'!$J$31,'Quick Setup'!$J36,if(BV9='Quick Setup'!$K$31,'Quick Setup'!$K36,if(BV9='Quick Setup'!$L$31,'Quick Setup'!$L36,if(BV9='Quick Setup'!$M$31,'Quick Setup'!$M36,if(BV9='Quick Setup'!$N$31,'Quick Setup'!$N36,if(BV9='Quick Setup'!$O$31,'Quick Setup'!$O36,if(BV9='Quick Setup'!$P$31,'Quick Setup'!$P36,if(BV9='Quick Setup'!$Q$31,'Quick Setup'!$Q36,if(BV9='Quick Setup'!$R$31,'Quick Setup'!$R36,if(BV9='Quick Setup'!$S$31,'Quick Setup'!$S36,if(BV9='Quick Setup'!$T$31,'Quick Setup'!$T36,if(BV9='Quick Setup'!$U$31,'Quick Setup'!$U36,if(BV9='Quick Setup'!$V$31,'Quick Setup'!$V36,'Quick Setup'!$W36))))))))))))))))))))</f>
        <v>8</v>
      </c>
      <c r="BX9" s="21">
        <f>if(BV9='Quick Setup'!$C$45,'Quick Setup'!$C50,if(BV9='Quick Setup'!$D$45,'Quick Setup'!$D50,if(BV9='Quick Setup'!$E$45,'Quick Setup'!$E50,if(BV9='Quick Setup'!$F$45,'Quick Setup'!$F50,if(BV9='Quick Setup'!$G$45,'Quick Setup'!$G50,if(BV9='Quick Setup'!$H$45,'Quick Setup'!$H50,if(BV9='Quick Setup'!$I$45,'Quick Setup'!$I50,if(BV9='Quick Setup'!$J$45,'Quick Setup'!$J50,if(BV9='Quick Setup'!$K$45,'Quick Setup'!$K50,if(BV9='Quick Setup'!$L$45,'Quick Setup'!$L50,if(BV9='Quick Setup'!$M$45,'Quick Setup'!$M50,if(BV9='Quick Setup'!$N$45,'Quick Setup'!$N50,if(BV9='Quick Setup'!$O$45,'Quick Setup'!$O50,if(BV9='Quick Setup'!$P$45,'Quick Setup'!$P50,if(BV9='Quick Setup'!$Q$45,'Quick Setup'!$Q50,if(BV9='Quick Setup'!$R$45,'Quick Setup'!$R50,if(BV9='Quick Setup'!$S$45,'Quick Setup'!$S50,if(BV9='Quick Setup'!$T$45,'Quick Setup'!$T50,if(BV9='Quick Setup'!$U$45,'Quick Setup'!$U50,if(BV9='Quick Setup'!$V$45,'Quick Setup'!$V50,'Quick Setup'!$W50))))))))))))))))))))</f>
        <v>3</v>
      </c>
      <c r="BY9" s="23">
        <f t="shared" ref="BY9:CG9" si="86">BM9</f>
        <v>5</v>
      </c>
      <c r="BZ9" s="24">
        <f t="shared" si="86"/>
        <v>-0.05</v>
      </c>
      <c r="CA9" s="24">
        <f t="shared" si="86"/>
        <v>-0.02</v>
      </c>
      <c r="CB9" s="24">
        <f t="shared" si="86"/>
        <v>0</v>
      </c>
      <c r="CC9" s="24">
        <f t="shared" si="86"/>
        <v>0.005</v>
      </c>
      <c r="CD9" s="24">
        <f t="shared" si="86"/>
        <v>0.01</v>
      </c>
      <c r="CE9" s="24">
        <f t="shared" si="86"/>
        <v>0.015</v>
      </c>
      <c r="CF9" s="24">
        <f t="shared" si="86"/>
        <v>0.02</v>
      </c>
      <c r="CG9" s="24">
        <f t="shared" si="86"/>
        <v>0.03</v>
      </c>
      <c r="CH9" s="20">
        <f>'Quick Setup'!J64</f>
        <v>0.65</v>
      </c>
      <c r="CI9" s="21">
        <f>if(CH9='Quick Setup'!$C$31,'Quick Setup'!$C36,if(CH9='Quick Setup'!$D$31,'Quick Setup'!$D36,if(CH9='Quick Setup'!$E$31,'Quick Setup'!$E36,if(CH9='Quick Setup'!$F$31,'Quick Setup'!$F36,if(CH9='Quick Setup'!$G$31,'Quick Setup'!$G36,if(CH9='Quick Setup'!$H$31,'Quick Setup'!$H36,if(CH9='Quick Setup'!$I$31,'Quick Setup'!$I36,if(CH9='Quick Setup'!$J$31,'Quick Setup'!$J36,if(CH9='Quick Setup'!$K$31,'Quick Setup'!$K36,if(CH9='Quick Setup'!$L$31,'Quick Setup'!$L36,if(CH9='Quick Setup'!$M$31,'Quick Setup'!$M36,if(CH9='Quick Setup'!$N$31,'Quick Setup'!$N36,if(CH9='Quick Setup'!$O$31,'Quick Setup'!$O36,if(CH9='Quick Setup'!$P$31,'Quick Setup'!$P36,if(CH9='Quick Setup'!$Q$31,'Quick Setup'!$Q36,if(CH9='Quick Setup'!$R$31,'Quick Setup'!$R36,if(CH9='Quick Setup'!$S$31,'Quick Setup'!$S36,if(CH9='Quick Setup'!$T$31,'Quick Setup'!$T36,if(CH9='Quick Setup'!$U$31,'Quick Setup'!$U36,if(CH9='Quick Setup'!$V$31,'Quick Setup'!$V36,'Quick Setup'!$W36))))))))))))))))))))</f>
        <v>6</v>
      </c>
      <c r="CJ9" s="21">
        <f>if(CH9='Quick Setup'!$C$45,'Quick Setup'!$C50,if(CH9='Quick Setup'!$D$45,'Quick Setup'!$D50,if(CH9='Quick Setup'!$E$45,'Quick Setup'!$E50,if(CH9='Quick Setup'!$F$45,'Quick Setup'!$F50,if(CH9='Quick Setup'!$G$45,'Quick Setup'!$G50,if(CH9='Quick Setup'!$H$45,'Quick Setup'!$H50,if(CH9='Quick Setup'!$I$45,'Quick Setup'!$I50,if(CH9='Quick Setup'!$J$45,'Quick Setup'!$J50,if(CH9='Quick Setup'!$K$45,'Quick Setup'!$K50,if(CH9='Quick Setup'!$L$45,'Quick Setup'!$L50,if(CH9='Quick Setup'!$M$45,'Quick Setup'!$M50,if(CH9='Quick Setup'!$N$45,'Quick Setup'!$N50,if(CH9='Quick Setup'!$O$45,'Quick Setup'!$O50,if(CH9='Quick Setup'!$P$45,'Quick Setup'!$P50,if(CH9='Quick Setup'!$Q$45,'Quick Setup'!$Q50,if(CH9='Quick Setup'!$R$45,'Quick Setup'!$R50,if(CH9='Quick Setup'!$S$45,'Quick Setup'!$S50,if(CH9='Quick Setup'!$T$45,'Quick Setup'!$T50,if(CH9='Quick Setup'!$U$45,'Quick Setup'!$U50,if(CH9='Quick Setup'!$V$45,'Quick Setup'!$V50,'Quick Setup'!$W50))))))))))))))))))))</f>
        <v>3</v>
      </c>
      <c r="CK9" s="23">
        <f t="shared" ref="CK9:CS9" si="87">BY9</f>
        <v>5</v>
      </c>
      <c r="CL9" s="24">
        <f t="shared" si="87"/>
        <v>-0.05</v>
      </c>
      <c r="CM9" s="24">
        <f t="shared" si="87"/>
        <v>-0.02</v>
      </c>
      <c r="CN9" s="24">
        <f t="shared" si="87"/>
        <v>0</v>
      </c>
      <c r="CO9" s="24">
        <f t="shared" si="87"/>
        <v>0.005</v>
      </c>
      <c r="CP9" s="24">
        <f t="shared" si="87"/>
        <v>0.01</v>
      </c>
      <c r="CQ9" s="24">
        <f t="shared" si="87"/>
        <v>0.015</v>
      </c>
      <c r="CR9" s="24">
        <f t="shared" si="87"/>
        <v>0.02</v>
      </c>
      <c r="CS9" s="24">
        <f t="shared" si="87"/>
        <v>0.03</v>
      </c>
      <c r="CT9" s="20">
        <f>'Quick Setup'!K64</f>
        <v>0.7</v>
      </c>
      <c r="CU9" s="21">
        <f>if(CT9='Quick Setup'!$C$31,'Quick Setup'!$C36,if(CT9='Quick Setup'!$D$31,'Quick Setup'!$D36,if(CT9='Quick Setup'!$E$31,'Quick Setup'!$E36,if(CT9='Quick Setup'!$F$31,'Quick Setup'!$F36,if(CT9='Quick Setup'!$G$31,'Quick Setup'!$G36,if(CT9='Quick Setup'!$H$31,'Quick Setup'!$H36,if(CT9='Quick Setup'!$I$31,'Quick Setup'!$I36,if(CT9='Quick Setup'!$J$31,'Quick Setup'!$J36,if(CT9='Quick Setup'!$K$31,'Quick Setup'!$K36,if(CT9='Quick Setup'!$L$31,'Quick Setup'!$L36,if(CT9='Quick Setup'!$M$31,'Quick Setup'!$M36,if(CT9='Quick Setup'!$N$31,'Quick Setup'!$N36,if(CT9='Quick Setup'!$O$31,'Quick Setup'!$O36,if(CT9='Quick Setup'!$P$31,'Quick Setup'!$P36,if(CT9='Quick Setup'!$Q$31,'Quick Setup'!$Q36,if(CT9='Quick Setup'!$R$31,'Quick Setup'!$R36,if(CT9='Quick Setup'!$S$31,'Quick Setup'!$S36,if(CT9='Quick Setup'!$T$31,'Quick Setup'!$T36,if(CT9='Quick Setup'!$U$31,'Quick Setup'!$U36,if(CT9='Quick Setup'!$V$31,'Quick Setup'!$V36,'Quick Setup'!$W36))))))))))))))))))))</f>
        <v>5</v>
      </c>
      <c r="CV9" s="21">
        <f>if(CT9='Quick Setup'!$C$45,'Quick Setup'!$C50,if(CT9='Quick Setup'!$D$45,'Quick Setup'!$D50,if(CT9='Quick Setup'!$E$45,'Quick Setup'!$E50,if(CT9='Quick Setup'!$F$45,'Quick Setup'!$F50,if(CT9='Quick Setup'!$G$45,'Quick Setup'!$G50,if(CT9='Quick Setup'!$H$45,'Quick Setup'!$H50,if(CT9='Quick Setup'!$I$45,'Quick Setup'!$I50,if(CT9='Quick Setup'!$J$45,'Quick Setup'!$J50,if(CT9='Quick Setup'!$K$45,'Quick Setup'!$K50,if(CT9='Quick Setup'!$L$45,'Quick Setup'!$L50,if(CT9='Quick Setup'!$M$45,'Quick Setup'!$M50,if(CT9='Quick Setup'!$N$45,'Quick Setup'!$N50,if(CT9='Quick Setup'!$O$45,'Quick Setup'!$O50,if(CT9='Quick Setup'!$P$45,'Quick Setup'!$P50,if(CT9='Quick Setup'!$Q$45,'Quick Setup'!$Q50,if(CT9='Quick Setup'!$R$45,'Quick Setup'!$R50,if(CT9='Quick Setup'!$S$45,'Quick Setup'!$S50,if(CT9='Quick Setup'!$T$45,'Quick Setup'!$T50,if(CT9='Quick Setup'!$U$45,'Quick Setup'!$U50,if(CT9='Quick Setup'!$V$45,'Quick Setup'!$V50,'Quick Setup'!$W50))))))))))))))))))))</f>
        <v>3</v>
      </c>
      <c r="CW9" s="23">
        <f t="shared" ref="CW9:DE9" si="88">CK9</f>
        <v>5</v>
      </c>
      <c r="CX9" s="24">
        <f t="shared" si="88"/>
        <v>-0.05</v>
      </c>
      <c r="CY9" s="24">
        <f t="shared" si="88"/>
        <v>-0.02</v>
      </c>
      <c r="CZ9" s="24">
        <f t="shared" si="88"/>
        <v>0</v>
      </c>
      <c r="DA9" s="24">
        <f t="shared" si="88"/>
        <v>0.005</v>
      </c>
      <c r="DB9" s="24">
        <f t="shared" si="88"/>
        <v>0.01</v>
      </c>
      <c r="DC9" s="24">
        <f t="shared" si="88"/>
        <v>0.015</v>
      </c>
      <c r="DD9" s="24">
        <f t="shared" si="88"/>
        <v>0.02</v>
      </c>
      <c r="DE9" s="24">
        <f t="shared" si="88"/>
        <v>0.03</v>
      </c>
      <c r="DF9" s="20">
        <f>'Quick Setup'!L64</f>
        <v>0.75</v>
      </c>
      <c r="DG9" s="21">
        <f>if(DF9='Quick Setup'!$C$31,'Quick Setup'!$C36,if(DF9='Quick Setup'!$D$31,'Quick Setup'!$D36,if(DF9='Quick Setup'!$E$31,'Quick Setup'!$E36,if(DF9='Quick Setup'!$F$31,'Quick Setup'!$F36,if(DF9='Quick Setup'!$G$31,'Quick Setup'!$G36,if(DF9='Quick Setup'!$H$31,'Quick Setup'!$H36,if(DF9='Quick Setup'!$I$31,'Quick Setup'!$I36,if(DF9='Quick Setup'!$J$31,'Quick Setup'!$J36,if(DF9='Quick Setup'!$K$31,'Quick Setup'!$K36,if(DF9='Quick Setup'!$L$31,'Quick Setup'!$L36,if(DF9='Quick Setup'!$M$31,'Quick Setup'!$M36,if(DF9='Quick Setup'!$N$31,'Quick Setup'!$N36,if(DF9='Quick Setup'!$O$31,'Quick Setup'!$O36,if(DF9='Quick Setup'!$P$31,'Quick Setup'!$P36,if(DF9='Quick Setup'!$Q$31,'Quick Setup'!$Q36,if(DF9='Quick Setup'!$R$31,'Quick Setup'!$R36,if(DF9='Quick Setup'!$S$31,'Quick Setup'!$S36,if(DF9='Quick Setup'!$T$31,'Quick Setup'!$T36,if(DF9='Quick Setup'!$U$31,'Quick Setup'!$U36,if(DF9='Quick Setup'!$V$31,'Quick Setup'!$V36,'Quick Setup'!$W36))))))))))))))))))))</f>
        <v>4</v>
      </c>
      <c r="DH9" s="21">
        <f>if(DF9='Quick Setup'!$C$45,'Quick Setup'!$C50,if(DF9='Quick Setup'!$D$45,'Quick Setup'!$D50,if(DF9='Quick Setup'!$E$45,'Quick Setup'!$E50,if(DF9='Quick Setup'!$F$45,'Quick Setup'!$F50,if(DF9='Quick Setup'!$G$45,'Quick Setup'!$G50,if(DF9='Quick Setup'!$H$45,'Quick Setup'!$H50,if(DF9='Quick Setup'!$I$45,'Quick Setup'!$I50,if(DF9='Quick Setup'!$J$45,'Quick Setup'!$J50,if(DF9='Quick Setup'!$K$45,'Quick Setup'!$K50,if(DF9='Quick Setup'!$L$45,'Quick Setup'!$L50,if(DF9='Quick Setup'!$M$45,'Quick Setup'!$M50,if(DF9='Quick Setup'!$N$45,'Quick Setup'!$N50,if(DF9='Quick Setup'!$O$45,'Quick Setup'!$O50,if(DF9='Quick Setup'!$P$45,'Quick Setup'!$P50,if(DF9='Quick Setup'!$Q$45,'Quick Setup'!$Q50,if(DF9='Quick Setup'!$R$45,'Quick Setup'!$R50,if(DF9='Quick Setup'!$S$45,'Quick Setup'!$S50,if(DF9='Quick Setup'!$T$45,'Quick Setup'!$T50,if(DF9='Quick Setup'!$U$45,'Quick Setup'!$U50,if(DF9='Quick Setup'!$V$45,'Quick Setup'!$V50,'Quick Setup'!$W50))))))))))))))))))))</f>
        <v>2</v>
      </c>
      <c r="DI9" s="23">
        <f t="shared" ref="DI9:DQ9" si="89">CW9</f>
        <v>5</v>
      </c>
      <c r="DJ9" s="24">
        <f t="shared" si="89"/>
        <v>-0.05</v>
      </c>
      <c r="DK9" s="24">
        <f t="shared" si="89"/>
        <v>-0.02</v>
      </c>
      <c r="DL9" s="24">
        <f t="shared" si="89"/>
        <v>0</v>
      </c>
      <c r="DM9" s="24">
        <f t="shared" si="89"/>
        <v>0.005</v>
      </c>
      <c r="DN9" s="24">
        <f t="shared" si="89"/>
        <v>0.01</v>
      </c>
      <c r="DO9" s="24">
        <f t="shared" si="89"/>
        <v>0.015</v>
      </c>
      <c r="DP9" s="24">
        <f t="shared" si="89"/>
        <v>0.02</v>
      </c>
      <c r="DQ9" s="24">
        <f t="shared" si="89"/>
        <v>0.03</v>
      </c>
      <c r="DR9" s="20">
        <f>'Quick Setup'!M64</f>
        <v>0.675</v>
      </c>
      <c r="DS9" s="21">
        <f>if(DR9='Quick Setup'!$C$31,'Quick Setup'!$C36,if(DR9='Quick Setup'!$D$31,'Quick Setup'!$D36,if(DR9='Quick Setup'!$E$31,'Quick Setup'!$E36,if(DR9='Quick Setup'!$F$31,'Quick Setup'!$F36,if(DR9='Quick Setup'!$G$31,'Quick Setup'!$G36,if(DR9='Quick Setup'!$H$31,'Quick Setup'!$H36,if(DR9='Quick Setup'!$I$31,'Quick Setup'!$I36,if(DR9='Quick Setup'!$J$31,'Quick Setup'!$J36,if(DR9='Quick Setup'!$K$31,'Quick Setup'!$K36,if(DR9='Quick Setup'!$L$31,'Quick Setup'!$L36,if(DR9='Quick Setup'!$M$31,'Quick Setup'!$M36,if(DR9='Quick Setup'!$N$31,'Quick Setup'!$N36,if(DR9='Quick Setup'!$O$31,'Quick Setup'!$O36,if(DR9='Quick Setup'!$P$31,'Quick Setup'!$P36,if(DR9='Quick Setup'!$Q$31,'Quick Setup'!$Q36,if(DR9='Quick Setup'!$R$31,'Quick Setup'!$R36,if(DR9='Quick Setup'!$S$31,'Quick Setup'!$S36,if(DR9='Quick Setup'!$T$31,'Quick Setup'!$T36,if(DR9='Quick Setup'!$U$31,'Quick Setup'!$U36,if(DR9='Quick Setup'!$V$31,'Quick Setup'!$V36,'Quick Setup'!$W36))))))))))))))))))))</f>
        <v>6</v>
      </c>
      <c r="DT9" s="21">
        <f>if(DR9='Quick Setup'!$C$45,'Quick Setup'!$C50,if(DR9='Quick Setup'!$D$45,'Quick Setup'!$D50,if(DR9='Quick Setup'!$E$45,'Quick Setup'!$E50,if(DR9='Quick Setup'!$F$45,'Quick Setup'!$F50,if(DR9='Quick Setup'!$G$45,'Quick Setup'!$G50,if(DR9='Quick Setup'!$H$45,'Quick Setup'!$H50,if(DR9='Quick Setup'!$I$45,'Quick Setup'!$I50,if(DR9='Quick Setup'!$J$45,'Quick Setup'!$J50,if(DR9='Quick Setup'!$K$45,'Quick Setup'!$K50,if(DR9='Quick Setup'!$L$45,'Quick Setup'!$L50,if(DR9='Quick Setup'!$M$45,'Quick Setup'!$M50,if(DR9='Quick Setup'!$N$45,'Quick Setup'!$N50,if(DR9='Quick Setup'!$O$45,'Quick Setup'!$O50,if(DR9='Quick Setup'!$P$45,'Quick Setup'!$P50,if(DR9='Quick Setup'!$Q$45,'Quick Setup'!$Q50,if(DR9='Quick Setup'!$R$45,'Quick Setup'!$R50,if(DR9='Quick Setup'!$S$45,'Quick Setup'!$S50,if(DR9='Quick Setup'!$T$45,'Quick Setup'!$T50,if(DR9='Quick Setup'!$U$45,'Quick Setup'!$U50,if(DR9='Quick Setup'!$V$45,'Quick Setup'!$V50,'Quick Setup'!$W50))))))))))))))))))))</f>
        <v>3</v>
      </c>
      <c r="DU9" s="23">
        <f t="shared" ref="DU9:EC9" si="90">DI9</f>
        <v>5</v>
      </c>
      <c r="DV9" s="24">
        <f t="shared" si="90"/>
        <v>-0.05</v>
      </c>
      <c r="DW9" s="24">
        <f t="shared" si="90"/>
        <v>-0.02</v>
      </c>
      <c r="DX9" s="24">
        <f t="shared" si="90"/>
        <v>0</v>
      </c>
      <c r="DY9" s="24">
        <f t="shared" si="90"/>
        <v>0.005</v>
      </c>
      <c r="DZ9" s="24">
        <f t="shared" si="90"/>
        <v>0.01</v>
      </c>
      <c r="EA9" s="24">
        <f t="shared" si="90"/>
        <v>0.015</v>
      </c>
      <c r="EB9" s="24">
        <f t="shared" si="90"/>
        <v>0.02</v>
      </c>
      <c r="EC9" s="24">
        <f t="shared" si="90"/>
        <v>0.03</v>
      </c>
      <c r="ED9" s="20">
        <f>'Quick Setup'!N64</f>
        <v>0.725</v>
      </c>
      <c r="EE9" s="21">
        <f>if(ED9='Quick Setup'!$C$31,'Quick Setup'!$C36,if(ED9='Quick Setup'!$D$31,'Quick Setup'!$D36,if(ED9='Quick Setup'!$E$31,'Quick Setup'!$E36,if(ED9='Quick Setup'!$F$31,'Quick Setup'!$F36,if(ED9='Quick Setup'!$G$31,'Quick Setup'!$G36,if(ED9='Quick Setup'!$H$31,'Quick Setup'!$H36,if(ED9='Quick Setup'!$I$31,'Quick Setup'!$I36,if(ED9='Quick Setup'!$J$31,'Quick Setup'!$J36,if(ED9='Quick Setup'!$K$31,'Quick Setup'!$K36,if(ED9='Quick Setup'!$L$31,'Quick Setup'!$L36,if(ED9='Quick Setup'!$M$31,'Quick Setup'!$M36,if(ED9='Quick Setup'!$N$31,'Quick Setup'!$N36,if(ED9='Quick Setup'!$O$31,'Quick Setup'!$O36,if(ED9='Quick Setup'!$P$31,'Quick Setup'!$P36,if(ED9='Quick Setup'!$Q$31,'Quick Setup'!$Q36,if(ED9='Quick Setup'!$R$31,'Quick Setup'!$R36,if(ED9='Quick Setup'!$S$31,'Quick Setup'!$S36,if(ED9='Quick Setup'!$T$31,'Quick Setup'!$T36,if(ED9='Quick Setup'!$U$31,'Quick Setup'!$U36,if(ED9='Quick Setup'!$V$31,'Quick Setup'!$V36,'Quick Setup'!$W36))))))))))))))))))))</f>
        <v>5</v>
      </c>
      <c r="EF9" s="21">
        <f>if(ED9='Quick Setup'!$C$45,'Quick Setup'!$C50,if(ED9='Quick Setup'!$D$45,'Quick Setup'!$D50,if(ED9='Quick Setup'!$E$45,'Quick Setup'!$E50,if(ED9='Quick Setup'!$F$45,'Quick Setup'!$F50,if(ED9='Quick Setup'!$G$45,'Quick Setup'!$G50,if(ED9='Quick Setup'!$H$45,'Quick Setup'!$H50,if(ED9='Quick Setup'!$I$45,'Quick Setup'!$I50,if(ED9='Quick Setup'!$J$45,'Quick Setup'!$J50,if(ED9='Quick Setup'!$K$45,'Quick Setup'!$K50,if(ED9='Quick Setup'!$L$45,'Quick Setup'!$L50,if(ED9='Quick Setup'!$M$45,'Quick Setup'!$M50,if(ED9='Quick Setup'!$N$45,'Quick Setup'!$N50,if(ED9='Quick Setup'!$O$45,'Quick Setup'!$O50,if(ED9='Quick Setup'!$P$45,'Quick Setup'!$P50,if(ED9='Quick Setup'!$Q$45,'Quick Setup'!$Q50,if(ED9='Quick Setup'!$R$45,'Quick Setup'!$R50,if(ED9='Quick Setup'!$S$45,'Quick Setup'!$S50,if(ED9='Quick Setup'!$T$45,'Quick Setup'!$T50,if(ED9='Quick Setup'!$U$45,'Quick Setup'!$U50,if(ED9='Quick Setup'!$V$45,'Quick Setup'!$V50,'Quick Setup'!$W50))))))))))))))))))))</f>
        <v>3</v>
      </c>
      <c r="EG9" s="23">
        <f t="shared" ref="EG9:EO9" si="91">DU9</f>
        <v>5</v>
      </c>
      <c r="EH9" s="24">
        <f t="shared" si="91"/>
        <v>-0.05</v>
      </c>
      <c r="EI9" s="24">
        <f t="shared" si="91"/>
        <v>-0.02</v>
      </c>
      <c r="EJ9" s="24">
        <f t="shared" si="91"/>
        <v>0</v>
      </c>
      <c r="EK9" s="24">
        <f t="shared" si="91"/>
        <v>0.005</v>
      </c>
      <c r="EL9" s="24">
        <f t="shared" si="91"/>
        <v>0.01</v>
      </c>
      <c r="EM9" s="24">
        <f t="shared" si="91"/>
        <v>0.015</v>
      </c>
      <c r="EN9" s="24">
        <f t="shared" si="91"/>
        <v>0.02</v>
      </c>
      <c r="EO9" s="24">
        <f t="shared" si="91"/>
        <v>0.03</v>
      </c>
      <c r="EP9" s="20">
        <f>'Quick Setup'!O64</f>
        <v>0.775</v>
      </c>
      <c r="EQ9" s="21">
        <f>if(EP9='Quick Setup'!$C$31,'Quick Setup'!$C36,if(EP9='Quick Setup'!$D$31,'Quick Setup'!$D36,if(EP9='Quick Setup'!$E$31,'Quick Setup'!$E36,if(EP9='Quick Setup'!$F$31,'Quick Setup'!$F36,if(EP9='Quick Setup'!$G$31,'Quick Setup'!$G36,if(EP9='Quick Setup'!$H$31,'Quick Setup'!$H36,if(EP9='Quick Setup'!$I$31,'Quick Setup'!$I36,if(EP9='Quick Setup'!$J$31,'Quick Setup'!$J36,if(EP9='Quick Setup'!$K$31,'Quick Setup'!$K36,if(EP9='Quick Setup'!$L$31,'Quick Setup'!$L36,if(EP9='Quick Setup'!$M$31,'Quick Setup'!$M36,if(EP9='Quick Setup'!$N$31,'Quick Setup'!$N36,if(EP9='Quick Setup'!$O$31,'Quick Setup'!$O36,if(EP9='Quick Setup'!$P$31,'Quick Setup'!$P36,if(EP9='Quick Setup'!$Q$31,'Quick Setup'!$Q36,if(EP9='Quick Setup'!$R$31,'Quick Setup'!$R36,if(EP9='Quick Setup'!$S$31,'Quick Setup'!$S36,if(EP9='Quick Setup'!$T$31,'Quick Setup'!$T36,if(EP9='Quick Setup'!$U$31,'Quick Setup'!$U36,if(EP9='Quick Setup'!$V$31,'Quick Setup'!$V36,'Quick Setup'!$W36))))))))))))))))))))</f>
        <v>4</v>
      </c>
      <c r="ER9" s="21">
        <f>if(EP9='Quick Setup'!$C$45,'Quick Setup'!$C50,if(EP9='Quick Setup'!$D$45,'Quick Setup'!$D50,if(EP9='Quick Setup'!$E$45,'Quick Setup'!$E50,if(EP9='Quick Setup'!$F$45,'Quick Setup'!$F50,if(EP9='Quick Setup'!$G$45,'Quick Setup'!$G50,if(EP9='Quick Setup'!$H$45,'Quick Setup'!$H50,if(EP9='Quick Setup'!$I$45,'Quick Setup'!$I50,if(EP9='Quick Setup'!$J$45,'Quick Setup'!$J50,if(EP9='Quick Setup'!$K$45,'Quick Setup'!$K50,if(EP9='Quick Setup'!$L$45,'Quick Setup'!$L50,if(EP9='Quick Setup'!$M$45,'Quick Setup'!$M50,if(EP9='Quick Setup'!$N$45,'Quick Setup'!$N50,if(EP9='Quick Setup'!$O$45,'Quick Setup'!$O50,if(EP9='Quick Setup'!$P$45,'Quick Setup'!$P50,if(EP9='Quick Setup'!$Q$45,'Quick Setup'!$Q50,if(EP9='Quick Setup'!$R$45,'Quick Setup'!$R50,if(EP9='Quick Setup'!$S$45,'Quick Setup'!$S50,if(EP9='Quick Setup'!$T$45,'Quick Setup'!$T50,if(EP9='Quick Setup'!$U$45,'Quick Setup'!$U50,if(EP9='Quick Setup'!$V$45,'Quick Setup'!$V50,'Quick Setup'!$W50))))))))))))))))))))</f>
        <v>2</v>
      </c>
      <c r="ES9" s="23">
        <f t="shared" ref="ES9:FA9" si="92">EG9</f>
        <v>5</v>
      </c>
      <c r="ET9" s="24">
        <f t="shared" si="92"/>
        <v>-0.05</v>
      </c>
      <c r="EU9" s="24">
        <f t="shared" si="92"/>
        <v>-0.02</v>
      </c>
      <c r="EV9" s="24">
        <f t="shared" si="92"/>
        <v>0</v>
      </c>
      <c r="EW9" s="24">
        <f t="shared" si="92"/>
        <v>0.005</v>
      </c>
      <c r="EX9" s="24">
        <f t="shared" si="92"/>
        <v>0.01</v>
      </c>
      <c r="EY9" s="24">
        <f t="shared" si="92"/>
        <v>0.015</v>
      </c>
      <c r="EZ9" s="24">
        <f t="shared" si="92"/>
        <v>0.02</v>
      </c>
      <c r="FA9" s="24">
        <f t="shared" si="92"/>
        <v>0.03</v>
      </c>
      <c r="FB9" s="20">
        <f>'Quick Setup'!P64</f>
        <v>0.5</v>
      </c>
      <c r="FC9" s="21">
        <f>if(FB9='Quick Setup'!$C$31,'Quick Setup'!$C36,if(FB9='Quick Setup'!$D$31,'Quick Setup'!$D36,if(FB9='Quick Setup'!$E$31,'Quick Setup'!$E36,if(FB9='Quick Setup'!$F$31,'Quick Setup'!$F36,if(FB9='Quick Setup'!$G$31,'Quick Setup'!$G36,if(FB9='Quick Setup'!$H$31,'Quick Setup'!$H36,if(FB9='Quick Setup'!$I$31,'Quick Setup'!$I36,if(FB9='Quick Setup'!$J$31,'Quick Setup'!$J36,if(FB9='Quick Setup'!$K$31,'Quick Setup'!$K36,if(FB9='Quick Setup'!$L$31,'Quick Setup'!$L36,if(FB9='Quick Setup'!$M$31,'Quick Setup'!$M36,if(FB9='Quick Setup'!$N$31,'Quick Setup'!$N36,if(FB9='Quick Setup'!$O$31,'Quick Setup'!$O36,if(FB9='Quick Setup'!$P$31,'Quick Setup'!$P36,if(FB9='Quick Setup'!$Q$31,'Quick Setup'!$Q36,if(FB9='Quick Setup'!$R$31,'Quick Setup'!$R36,if(FB9='Quick Setup'!$S$31,'Quick Setup'!$S36,if(FB9='Quick Setup'!$T$31,'Quick Setup'!$T36,if(FB9='Quick Setup'!$U$31,'Quick Setup'!$U36,if(FB9='Quick Setup'!$V$31,'Quick Setup'!$V36,'Quick Setup'!$W36))))))))))))))))))))</f>
        <v>8</v>
      </c>
      <c r="FD9" s="21">
        <f>if(FB9='Quick Setup'!$C$45,'Quick Setup'!$C50,if(FB9='Quick Setup'!$D$45,'Quick Setup'!$D50,if(FB9='Quick Setup'!$E$45,'Quick Setup'!$E50,if(FB9='Quick Setup'!$F$45,'Quick Setup'!$F50,if(FB9='Quick Setup'!$G$45,'Quick Setup'!$G50,if(FB9='Quick Setup'!$H$45,'Quick Setup'!$H50,if(FB9='Quick Setup'!$I$45,'Quick Setup'!$I50,if(FB9='Quick Setup'!$J$45,'Quick Setup'!$J50,if(FB9='Quick Setup'!$K$45,'Quick Setup'!$K50,if(FB9='Quick Setup'!$L$45,'Quick Setup'!$L50,if(FB9='Quick Setup'!$M$45,'Quick Setup'!$M50,if(FB9='Quick Setup'!$N$45,'Quick Setup'!$N50,if(FB9='Quick Setup'!$O$45,'Quick Setup'!$O50,if(FB9='Quick Setup'!$P$45,'Quick Setup'!$P50,if(FB9='Quick Setup'!$Q$45,'Quick Setup'!$Q50,if(FB9='Quick Setup'!$R$45,'Quick Setup'!$R50,if(FB9='Quick Setup'!$S$45,'Quick Setup'!$S50,if(FB9='Quick Setup'!$T$45,'Quick Setup'!$T50,if(FB9='Quick Setup'!$U$45,'Quick Setup'!$U50,if(FB9='Quick Setup'!$V$45,'Quick Setup'!$V50,'Quick Setup'!$W50))))))))))))))))))))</f>
        <v>3</v>
      </c>
      <c r="FE9" s="23">
        <f t="shared" ref="FE9:FM9" si="93">ES9</f>
        <v>5</v>
      </c>
      <c r="FF9" s="24">
        <f t="shared" si="93"/>
        <v>-0.05</v>
      </c>
      <c r="FG9" s="24">
        <f t="shared" si="93"/>
        <v>-0.02</v>
      </c>
      <c r="FH9" s="24">
        <f t="shared" si="93"/>
        <v>0</v>
      </c>
      <c r="FI9" s="24">
        <f t="shared" si="93"/>
        <v>0.005</v>
      </c>
      <c r="FJ9" s="24">
        <f t="shared" si="93"/>
        <v>0.01</v>
      </c>
      <c r="FK9" s="24">
        <f t="shared" si="93"/>
        <v>0.015</v>
      </c>
      <c r="FL9" s="24">
        <f t="shared" si="93"/>
        <v>0.02</v>
      </c>
      <c r="FM9" s="24">
        <f t="shared" si="93"/>
        <v>0.03</v>
      </c>
      <c r="FN9" s="20">
        <f>'Quick Setup'!Q64</f>
        <v>0.7</v>
      </c>
      <c r="FO9" s="21">
        <f>if(FN9='Quick Setup'!$C$31,'Quick Setup'!$C36,if(FN9='Quick Setup'!$D$31,'Quick Setup'!$D36,if(FN9='Quick Setup'!$E$31,'Quick Setup'!$E36,if(FN9='Quick Setup'!$F$31,'Quick Setup'!$F36,if(FN9='Quick Setup'!$G$31,'Quick Setup'!$G36,if(FN9='Quick Setup'!$H$31,'Quick Setup'!$H36,if(FN9='Quick Setup'!$I$31,'Quick Setup'!$I36,if(FN9='Quick Setup'!$J$31,'Quick Setup'!$J36,if(FN9='Quick Setup'!$K$31,'Quick Setup'!$K36,if(FN9='Quick Setup'!$L$31,'Quick Setup'!$L36,if(FN9='Quick Setup'!$M$31,'Quick Setup'!$M36,if(FN9='Quick Setup'!$N$31,'Quick Setup'!$N36,if(FN9='Quick Setup'!$O$31,'Quick Setup'!$O36,if(FN9='Quick Setup'!$P$31,'Quick Setup'!$P36,if(FN9='Quick Setup'!$Q$31,'Quick Setup'!$Q36,if(FN9='Quick Setup'!$R$31,'Quick Setup'!$R36,if(FN9='Quick Setup'!$S$31,'Quick Setup'!$S36,if(FN9='Quick Setup'!$T$31,'Quick Setup'!$T36,if(FN9='Quick Setup'!$U$31,'Quick Setup'!$U36,if(FN9='Quick Setup'!$V$31,'Quick Setup'!$V36,'Quick Setup'!$W36))))))))))))))))))))</f>
        <v>5</v>
      </c>
      <c r="FP9" s="21">
        <f>if(FN9='Quick Setup'!$C$45,'Quick Setup'!$C50,if(FN9='Quick Setup'!$D$45,'Quick Setup'!$D50,if(FN9='Quick Setup'!$E$45,'Quick Setup'!$E50,if(FN9='Quick Setup'!$F$45,'Quick Setup'!$F50,if(FN9='Quick Setup'!$G$45,'Quick Setup'!$G50,if(FN9='Quick Setup'!$H$45,'Quick Setup'!$H50,if(FN9='Quick Setup'!$I$45,'Quick Setup'!$I50,if(FN9='Quick Setup'!$J$45,'Quick Setup'!$J50,if(FN9='Quick Setup'!$K$45,'Quick Setup'!$K50,if(FN9='Quick Setup'!$L$45,'Quick Setup'!$L50,if(FN9='Quick Setup'!$M$45,'Quick Setup'!$M50,if(FN9='Quick Setup'!$N$45,'Quick Setup'!$N50,if(FN9='Quick Setup'!$O$45,'Quick Setup'!$O50,if(FN9='Quick Setup'!$P$45,'Quick Setup'!$P50,if(FN9='Quick Setup'!$Q$45,'Quick Setup'!$Q50,if(FN9='Quick Setup'!$R$45,'Quick Setup'!$R50,if(FN9='Quick Setup'!$S$45,'Quick Setup'!$S50,if(FN9='Quick Setup'!$T$45,'Quick Setup'!$T50,if(FN9='Quick Setup'!$U$45,'Quick Setup'!$U50,if(FN9='Quick Setup'!$V$45,'Quick Setup'!$V50,'Quick Setup'!$W50))))))))))))))))))))</f>
        <v>3</v>
      </c>
      <c r="FQ9" s="23">
        <f t="shared" ref="FQ9:FY9" si="94">FE9</f>
        <v>5</v>
      </c>
      <c r="FR9" s="24">
        <f t="shared" si="94"/>
        <v>-0.05</v>
      </c>
      <c r="FS9" s="24">
        <f t="shared" si="94"/>
        <v>-0.02</v>
      </c>
      <c r="FT9" s="24">
        <f t="shared" si="94"/>
        <v>0</v>
      </c>
      <c r="FU9" s="24">
        <f t="shared" si="94"/>
        <v>0.005</v>
      </c>
      <c r="FV9" s="24">
        <f t="shared" si="94"/>
        <v>0.01</v>
      </c>
      <c r="FW9" s="24">
        <f t="shared" si="94"/>
        <v>0.015</v>
      </c>
      <c r="FX9" s="24">
        <f t="shared" si="94"/>
        <v>0.02</v>
      </c>
      <c r="FY9" s="24">
        <f t="shared" si="94"/>
        <v>0.03</v>
      </c>
      <c r="FZ9" s="20">
        <f>'Quick Setup'!R64</f>
        <v>0.75</v>
      </c>
      <c r="GA9" s="21">
        <f>if(FZ9='Quick Setup'!$C$31,'Quick Setup'!$C36,if(FZ9='Quick Setup'!$D$31,'Quick Setup'!$D36,if(FZ9='Quick Setup'!$E$31,'Quick Setup'!$E36,if(FZ9='Quick Setup'!$F$31,'Quick Setup'!$F36,if(FZ9='Quick Setup'!$G$31,'Quick Setup'!$G36,if(FZ9='Quick Setup'!$H$31,'Quick Setup'!$H36,if(FZ9='Quick Setup'!$I$31,'Quick Setup'!$I36,if(FZ9='Quick Setup'!$J$31,'Quick Setup'!$J36,if(FZ9='Quick Setup'!$K$31,'Quick Setup'!$K36,if(FZ9='Quick Setup'!$L$31,'Quick Setup'!$L36,if(FZ9='Quick Setup'!$M$31,'Quick Setup'!$M36,if(FZ9='Quick Setup'!$N$31,'Quick Setup'!$N36,if(FZ9='Quick Setup'!$O$31,'Quick Setup'!$O36,if(FZ9='Quick Setup'!$P$31,'Quick Setup'!$P36,if(FZ9='Quick Setup'!$Q$31,'Quick Setup'!$Q36,if(FZ9='Quick Setup'!$R$31,'Quick Setup'!$R36,if(FZ9='Quick Setup'!$S$31,'Quick Setup'!$S36,if(FZ9='Quick Setup'!$T$31,'Quick Setup'!$T36,if(FZ9='Quick Setup'!$U$31,'Quick Setup'!$U36,if(FZ9='Quick Setup'!$V$31,'Quick Setup'!$V36,'Quick Setup'!$W36))))))))))))))))))))</f>
        <v>4</v>
      </c>
      <c r="GB9" s="21">
        <f>if(FZ9='Quick Setup'!$C$45,'Quick Setup'!$C50,if(FZ9='Quick Setup'!$D$45,'Quick Setup'!$D50,if(FZ9='Quick Setup'!$E$45,'Quick Setup'!$E50,if(FZ9='Quick Setup'!$F$45,'Quick Setup'!$F50,if(FZ9='Quick Setup'!$G$45,'Quick Setup'!$G50,if(FZ9='Quick Setup'!$H$45,'Quick Setup'!$H50,if(FZ9='Quick Setup'!$I$45,'Quick Setup'!$I50,if(FZ9='Quick Setup'!$J$45,'Quick Setup'!$J50,if(FZ9='Quick Setup'!$K$45,'Quick Setup'!$K50,if(FZ9='Quick Setup'!$L$45,'Quick Setup'!$L50,if(FZ9='Quick Setup'!$M$45,'Quick Setup'!$M50,if(FZ9='Quick Setup'!$N$45,'Quick Setup'!$N50,if(FZ9='Quick Setup'!$O$45,'Quick Setup'!$O50,if(FZ9='Quick Setup'!$P$45,'Quick Setup'!$P50,if(FZ9='Quick Setup'!$Q$45,'Quick Setup'!$Q50,if(FZ9='Quick Setup'!$R$45,'Quick Setup'!$R50,if(FZ9='Quick Setup'!$S$45,'Quick Setup'!$S50,if(FZ9='Quick Setup'!$T$45,'Quick Setup'!$T50,if(FZ9='Quick Setup'!$U$45,'Quick Setup'!$U50,if(FZ9='Quick Setup'!$V$45,'Quick Setup'!$V50,'Quick Setup'!$W50))))))))))))))))))))</f>
        <v>2</v>
      </c>
      <c r="GC9" s="23">
        <f t="shared" ref="GC9:GK9" si="95">FQ9</f>
        <v>5</v>
      </c>
      <c r="GD9" s="24">
        <f t="shared" si="95"/>
        <v>-0.05</v>
      </c>
      <c r="GE9" s="24">
        <f t="shared" si="95"/>
        <v>-0.02</v>
      </c>
      <c r="GF9" s="24">
        <f t="shared" si="95"/>
        <v>0</v>
      </c>
      <c r="GG9" s="24">
        <f t="shared" si="95"/>
        <v>0.005</v>
      </c>
      <c r="GH9" s="24">
        <f t="shared" si="95"/>
        <v>0.01</v>
      </c>
      <c r="GI9" s="24">
        <f t="shared" si="95"/>
        <v>0.015</v>
      </c>
      <c r="GJ9" s="24">
        <f t="shared" si="95"/>
        <v>0.02</v>
      </c>
      <c r="GK9" s="24">
        <f t="shared" si="95"/>
        <v>0.03</v>
      </c>
      <c r="GL9" s="20">
        <f>'Quick Setup'!S64</f>
        <v>0.8</v>
      </c>
      <c r="GM9" s="21">
        <f>if(GL9='Quick Setup'!$C$31,'Quick Setup'!$C36,if(GL9='Quick Setup'!$D$31,'Quick Setup'!$D36,if(GL9='Quick Setup'!$E$31,'Quick Setup'!$E36,if(GL9='Quick Setup'!$F$31,'Quick Setup'!$F36,if(GL9='Quick Setup'!$G$31,'Quick Setup'!$G36,if(GL9='Quick Setup'!$H$31,'Quick Setup'!$H36,if(GL9='Quick Setup'!$I$31,'Quick Setup'!$I36,if(GL9='Quick Setup'!$J$31,'Quick Setup'!$J36,if(GL9='Quick Setup'!$K$31,'Quick Setup'!$K36,if(GL9='Quick Setup'!$L$31,'Quick Setup'!$L36,if(GL9='Quick Setup'!$M$31,'Quick Setup'!$M36,if(GL9='Quick Setup'!$N$31,'Quick Setup'!$N36,if(GL9='Quick Setup'!$O$31,'Quick Setup'!$O36,if(GL9='Quick Setup'!$P$31,'Quick Setup'!$P36,if(GL9='Quick Setup'!$Q$31,'Quick Setup'!$Q36,if(GL9='Quick Setup'!$R$31,'Quick Setup'!$R36,if(GL9='Quick Setup'!$S$31,'Quick Setup'!$S36,if(GL9='Quick Setup'!$T$31,'Quick Setup'!$T36,if(GL9='Quick Setup'!$U$31,'Quick Setup'!$U36,if(GL9='Quick Setup'!$V$31,'Quick Setup'!$V36,'Quick Setup'!$W36))))))))))))))))))))</f>
        <v>3</v>
      </c>
      <c r="GN9" s="21">
        <f>if(GL9='Quick Setup'!$C$45,'Quick Setup'!$C50,if(GL9='Quick Setup'!$D$45,'Quick Setup'!$D50,if(GL9='Quick Setup'!$E$45,'Quick Setup'!$E50,if(GL9='Quick Setup'!$F$45,'Quick Setup'!$F50,if(GL9='Quick Setup'!$G$45,'Quick Setup'!$G50,if(GL9='Quick Setup'!$H$45,'Quick Setup'!$H50,if(GL9='Quick Setup'!$I$45,'Quick Setup'!$I50,if(GL9='Quick Setup'!$J$45,'Quick Setup'!$J50,if(GL9='Quick Setup'!$K$45,'Quick Setup'!$K50,if(GL9='Quick Setup'!$L$45,'Quick Setup'!$L50,if(GL9='Quick Setup'!$M$45,'Quick Setup'!$M50,if(GL9='Quick Setup'!$N$45,'Quick Setup'!$N50,if(GL9='Quick Setup'!$O$45,'Quick Setup'!$O50,if(GL9='Quick Setup'!$P$45,'Quick Setup'!$P50,if(GL9='Quick Setup'!$Q$45,'Quick Setup'!$Q50,if(GL9='Quick Setup'!$R$45,'Quick Setup'!$R50,if(GL9='Quick Setup'!$S$45,'Quick Setup'!$S50,if(GL9='Quick Setup'!$T$45,'Quick Setup'!$T50,if(GL9='Quick Setup'!$U$45,'Quick Setup'!$U50,if(GL9='Quick Setup'!$V$45,'Quick Setup'!$V50,'Quick Setup'!$W50))))))))))))))))))))</f>
        <v>2</v>
      </c>
      <c r="GO9" s="23">
        <f t="shared" ref="GO9:GW9" si="96">GC9</f>
        <v>5</v>
      </c>
      <c r="GP9" s="24">
        <f t="shared" si="96"/>
        <v>-0.05</v>
      </c>
      <c r="GQ9" s="24">
        <f t="shared" si="96"/>
        <v>-0.02</v>
      </c>
      <c r="GR9" s="24">
        <f t="shared" si="96"/>
        <v>0</v>
      </c>
      <c r="GS9" s="24">
        <f t="shared" si="96"/>
        <v>0.005</v>
      </c>
      <c r="GT9" s="24">
        <f t="shared" si="96"/>
        <v>0.01</v>
      </c>
      <c r="GU9" s="24">
        <f t="shared" si="96"/>
        <v>0.015</v>
      </c>
      <c r="GV9" s="24">
        <f t="shared" si="96"/>
        <v>0.02</v>
      </c>
      <c r="GW9" s="24">
        <f t="shared" si="96"/>
        <v>0.03</v>
      </c>
      <c r="GX9" s="20">
        <f>'Quick Setup'!T64</f>
        <v>0.75</v>
      </c>
      <c r="GY9" s="21">
        <f>if(GX9='Quick Setup'!$C$31,'Quick Setup'!$C36,if(GX9='Quick Setup'!$D$31,'Quick Setup'!$D36,if(GX9='Quick Setup'!$E$31,'Quick Setup'!$E36,if(GX9='Quick Setup'!$F$31,'Quick Setup'!$F36,if(GX9='Quick Setup'!$G$31,'Quick Setup'!$G36,if(GX9='Quick Setup'!$H$31,'Quick Setup'!$H36,if(GX9='Quick Setup'!$I$31,'Quick Setup'!$I36,if(GX9='Quick Setup'!$J$31,'Quick Setup'!$J36,if(GX9='Quick Setup'!$K$31,'Quick Setup'!$K36,if(GX9='Quick Setup'!$L$31,'Quick Setup'!$L36,if(GX9='Quick Setup'!$M$31,'Quick Setup'!$M36,if(GX9='Quick Setup'!$N$31,'Quick Setup'!$N36,if(GX9='Quick Setup'!$O$31,'Quick Setup'!$O36,if(GX9='Quick Setup'!$P$31,'Quick Setup'!$P36,if(GX9='Quick Setup'!$Q$31,'Quick Setup'!$Q36,if(GX9='Quick Setup'!$R$31,'Quick Setup'!$R36,if(GX9='Quick Setup'!$S$31,'Quick Setup'!$S36,if(GX9='Quick Setup'!$T$31,'Quick Setup'!$T36,if(GX9='Quick Setup'!$U$31,'Quick Setup'!$U36,if(GX9='Quick Setup'!$V$31,'Quick Setup'!$V36,'Quick Setup'!$W36))))))))))))))))))))</f>
        <v>4</v>
      </c>
      <c r="GZ9" s="21">
        <f>if(GX9='Quick Setup'!$C$45,'Quick Setup'!$C50,if(GX9='Quick Setup'!$D$45,'Quick Setup'!$D50,if(GX9='Quick Setup'!$E$45,'Quick Setup'!$E50,if(GX9='Quick Setup'!$F$45,'Quick Setup'!$F50,if(GX9='Quick Setup'!$G$45,'Quick Setup'!$G50,if(GX9='Quick Setup'!$H$45,'Quick Setup'!$H50,if(GX9='Quick Setup'!$I$45,'Quick Setup'!$I50,if(GX9='Quick Setup'!$J$45,'Quick Setup'!$J50,if(GX9='Quick Setup'!$K$45,'Quick Setup'!$K50,if(GX9='Quick Setup'!$L$45,'Quick Setup'!$L50,if(GX9='Quick Setup'!$M$45,'Quick Setup'!$M50,if(GX9='Quick Setup'!$N$45,'Quick Setup'!$N50,if(GX9='Quick Setup'!$O$45,'Quick Setup'!$O50,if(GX9='Quick Setup'!$P$45,'Quick Setup'!$P50,if(GX9='Quick Setup'!$Q$45,'Quick Setup'!$Q50,if(GX9='Quick Setup'!$R$45,'Quick Setup'!$R50,if(GX9='Quick Setup'!$S$45,'Quick Setup'!$S50,if(GX9='Quick Setup'!$T$45,'Quick Setup'!$T50,if(GX9='Quick Setup'!$U$45,'Quick Setup'!$U50,if(GX9='Quick Setup'!$V$45,'Quick Setup'!$V50,'Quick Setup'!$W50))))))))))))))))))))</f>
        <v>2</v>
      </c>
      <c r="HA9" s="23">
        <f t="shared" ref="HA9:HI9" si="97">GO9</f>
        <v>5</v>
      </c>
      <c r="HB9" s="24">
        <f t="shared" si="97"/>
        <v>-0.05</v>
      </c>
      <c r="HC9" s="24">
        <f t="shared" si="97"/>
        <v>-0.02</v>
      </c>
      <c r="HD9" s="24">
        <f t="shared" si="97"/>
        <v>0</v>
      </c>
      <c r="HE9" s="24">
        <f t="shared" si="97"/>
        <v>0.005</v>
      </c>
      <c r="HF9" s="24">
        <f t="shared" si="97"/>
        <v>0.01</v>
      </c>
      <c r="HG9" s="24">
        <f t="shared" si="97"/>
        <v>0.015</v>
      </c>
      <c r="HH9" s="24">
        <f t="shared" si="97"/>
        <v>0.02</v>
      </c>
      <c r="HI9" s="24">
        <f t="shared" si="97"/>
        <v>0.03</v>
      </c>
      <c r="HJ9" s="20">
        <f>'Quick Setup'!U64</f>
        <v>0.8</v>
      </c>
      <c r="HK9" s="21">
        <f>if(HJ9='Quick Setup'!$C$31,'Quick Setup'!$C36,if(HJ9='Quick Setup'!$D$31,'Quick Setup'!$D36,if(HJ9='Quick Setup'!$E$31,'Quick Setup'!$E36,if(HJ9='Quick Setup'!$F$31,'Quick Setup'!$F36,if(HJ9='Quick Setup'!$G$31,'Quick Setup'!$G36,if(HJ9='Quick Setup'!$H$31,'Quick Setup'!$H36,if(HJ9='Quick Setup'!$I$31,'Quick Setup'!$I36,if(HJ9='Quick Setup'!$J$31,'Quick Setup'!$J36,if(HJ9='Quick Setup'!$K$31,'Quick Setup'!$K36,if(HJ9='Quick Setup'!$L$31,'Quick Setup'!$L36,if(HJ9='Quick Setup'!$M$31,'Quick Setup'!$M36,if(HJ9='Quick Setup'!$N$31,'Quick Setup'!$N36,if(HJ9='Quick Setup'!$O$31,'Quick Setup'!$O36,if(HJ9='Quick Setup'!$P$31,'Quick Setup'!$P36,if(HJ9='Quick Setup'!$Q$31,'Quick Setup'!$Q36,if(HJ9='Quick Setup'!$R$31,'Quick Setup'!$R36,if(HJ9='Quick Setup'!$S$31,'Quick Setup'!$S36,if(HJ9='Quick Setup'!$T$31,'Quick Setup'!$T36,if(HJ9='Quick Setup'!$U$31,'Quick Setup'!$U36,if(HJ9='Quick Setup'!$V$31,'Quick Setup'!$V36,'Quick Setup'!$W36))))))))))))))))))))</f>
        <v>3</v>
      </c>
      <c r="HL9" s="21">
        <f>if(HJ9='Quick Setup'!$C$45,'Quick Setup'!$C50,if(HJ9='Quick Setup'!$D$45,'Quick Setup'!$D50,if(HJ9='Quick Setup'!$E$45,'Quick Setup'!$E50,if(HJ9='Quick Setup'!$F$45,'Quick Setup'!$F50,if(HJ9='Quick Setup'!$G$45,'Quick Setup'!$G50,if(HJ9='Quick Setup'!$H$45,'Quick Setup'!$H50,if(HJ9='Quick Setup'!$I$45,'Quick Setup'!$I50,if(HJ9='Quick Setup'!$J$45,'Quick Setup'!$J50,if(HJ9='Quick Setup'!$K$45,'Quick Setup'!$K50,if(HJ9='Quick Setup'!$L$45,'Quick Setup'!$L50,if(HJ9='Quick Setup'!$M$45,'Quick Setup'!$M50,if(HJ9='Quick Setup'!$N$45,'Quick Setup'!$N50,if(HJ9='Quick Setup'!$O$45,'Quick Setup'!$O50,if(HJ9='Quick Setup'!$P$45,'Quick Setup'!$P50,if(HJ9='Quick Setup'!$Q$45,'Quick Setup'!$Q50,if(HJ9='Quick Setup'!$R$45,'Quick Setup'!$R50,if(HJ9='Quick Setup'!$S$45,'Quick Setup'!$S50,if(HJ9='Quick Setup'!$T$45,'Quick Setup'!$T50,if(HJ9='Quick Setup'!$U$45,'Quick Setup'!$U50,if(HJ9='Quick Setup'!$V$45,'Quick Setup'!$V50,'Quick Setup'!$W50))))))))))))))))))))</f>
        <v>2</v>
      </c>
      <c r="HM9" s="23">
        <f t="shared" ref="HM9:HU9" si="98">HA9</f>
        <v>5</v>
      </c>
      <c r="HN9" s="24">
        <f t="shared" si="98"/>
        <v>-0.05</v>
      </c>
      <c r="HO9" s="24">
        <f t="shared" si="98"/>
        <v>-0.02</v>
      </c>
      <c r="HP9" s="24">
        <f t="shared" si="98"/>
        <v>0</v>
      </c>
      <c r="HQ9" s="24">
        <f t="shared" si="98"/>
        <v>0.005</v>
      </c>
      <c r="HR9" s="24">
        <f t="shared" si="98"/>
        <v>0.01</v>
      </c>
      <c r="HS9" s="24">
        <f t="shared" si="98"/>
        <v>0.015</v>
      </c>
      <c r="HT9" s="24">
        <f t="shared" si="98"/>
        <v>0.02</v>
      </c>
      <c r="HU9" s="24">
        <f t="shared" si="98"/>
        <v>0.03</v>
      </c>
      <c r="HV9" s="20">
        <f>'Quick Setup'!V64</f>
        <v>0.85</v>
      </c>
      <c r="HW9" s="21">
        <f>if(HV9='Quick Setup'!$C$31,'Quick Setup'!$C36,if(HV9='Quick Setup'!$D$31,'Quick Setup'!$D36,if(HV9='Quick Setup'!$E$31,'Quick Setup'!$E36,if(HV9='Quick Setup'!$F$31,'Quick Setup'!$F36,if(HV9='Quick Setup'!$G$31,'Quick Setup'!$G36,if(HV9='Quick Setup'!$H$31,'Quick Setup'!$H36,if(HV9='Quick Setup'!$I$31,'Quick Setup'!$I36,if(HV9='Quick Setup'!$J$31,'Quick Setup'!$J36,if(HV9='Quick Setup'!$K$31,'Quick Setup'!$K36,if(HV9='Quick Setup'!$L$31,'Quick Setup'!$L36,if(HV9='Quick Setup'!$M$31,'Quick Setup'!$M36,if(HV9='Quick Setup'!$N$31,'Quick Setup'!$N36,if(HV9='Quick Setup'!$O$31,'Quick Setup'!$O36,if(HV9='Quick Setup'!$P$31,'Quick Setup'!$P36,if(HV9='Quick Setup'!$Q$31,'Quick Setup'!$Q36,if(HV9='Quick Setup'!$R$31,'Quick Setup'!$R36,if(HV9='Quick Setup'!$S$31,'Quick Setup'!$S36,if(HV9='Quick Setup'!$T$31,'Quick Setup'!$T36,if(HV9='Quick Setup'!$U$31,'Quick Setup'!$U36,if(HV9='Quick Setup'!$V$31,'Quick Setup'!$V36,'Quick Setup'!$W36))))))))))))))))))))</f>
        <v>2</v>
      </c>
      <c r="HX9" s="21">
        <f>if(HV9='Quick Setup'!$C$45,'Quick Setup'!$C50,if(HV9='Quick Setup'!$D$45,'Quick Setup'!$D50,if(HV9='Quick Setup'!$E$45,'Quick Setup'!$E50,if(HV9='Quick Setup'!$F$45,'Quick Setup'!$F50,if(HV9='Quick Setup'!$G$45,'Quick Setup'!$G50,if(HV9='Quick Setup'!$H$45,'Quick Setup'!$H50,if(HV9='Quick Setup'!$I$45,'Quick Setup'!$I50,if(HV9='Quick Setup'!$J$45,'Quick Setup'!$J50,if(HV9='Quick Setup'!$K$45,'Quick Setup'!$K50,if(HV9='Quick Setup'!$L$45,'Quick Setup'!$L50,if(HV9='Quick Setup'!$M$45,'Quick Setup'!$M50,if(HV9='Quick Setup'!$N$45,'Quick Setup'!$N50,if(HV9='Quick Setup'!$O$45,'Quick Setup'!$O50,if(HV9='Quick Setup'!$P$45,'Quick Setup'!$P50,if(HV9='Quick Setup'!$Q$45,'Quick Setup'!$Q50,if(HV9='Quick Setup'!$R$45,'Quick Setup'!$R50,if(HV9='Quick Setup'!$S$45,'Quick Setup'!$S50,if(HV9='Quick Setup'!$T$45,'Quick Setup'!$T50,if(HV9='Quick Setup'!$U$45,'Quick Setup'!$U50,if(HV9='Quick Setup'!$V$45,'Quick Setup'!$V50,'Quick Setup'!$W50))))))))))))))))))))</f>
        <v>1</v>
      </c>
      <c r="HY9" s="23">
        <f t="shared" ref="HY9:IG9" si="99">HM9</f>
        <v>5</v>
      </c>
      <c r="HZ9" s="24">
        <f t="shared" si="99"/>
        <v>-0.05</v>
      </c>
      <c r="IA9" s="24">
        <f t="shared" si="99"/>
        <v>-0.02</v>
      </c>
      <c r="IB9" s="24">
        <f t="shared" si="99"/>
        <v>0</v>
      </c>
      <c r="IC9" s="24">
        <f t="shared" si="99"/>
        <v>0.005</v>
      </c>
      <c r="ID9" s="24">
        <f t="shared" si="99"/>
        <v>0.01</v>
      </c>
      <c r="IE9" s="24">
        <f t="shared" si="99"/>
        <v>0.015</v>
      </c>
      <c r="IF9" s="24">
        <f t="shared" si="99"/>
        <v>0.02</v>
      </c>
      <c r="IG9" s="24">
        <f t="shared" si="99"/>
        <v>0.03</v>
      </c>
      <c r="IH9" s="20">
        <f>'Quick Setup'!W64</f>
        <v>0.5</v>
      </c>
      <c r="II9" s="21">
        <f>if(IH9='Quick Setup'!$C$31,'Quick Setup'!$C36,if(IH9='Quick Setup'!$D$31,'Quick Setup'!$D36,if(IH9='Quick Setup'!$E$31,'Quick Setup'!$E36,if(IH9='Quick Setup'!$F$31,'Quick Setup'!$F36,if(IH9='Quick Setup'!$G$31,'Quick Setup'!$G36,if(IH9='Quick Setup'!$H$31,'Quick Setup'!$H36,if(IH9='Quick Setup'!$I$31,'Quick Setup'!$I36,if(IH9='Quick Setup'!$J$31,'Quick Setup'!$J36,if(IH9='Quick Setup'!$K$31,'Quick Setup'!$K36,if(IH9='Quick Setup'!$L$31,'Quick Setup'!$L36,if(IH9='Quick Setup'!$M$31,'Quick Setup'!$M36,if(IH9='Quick Setup'!$N$31,'Quick Setup'!$N36,if(IH9='Quick Setup'!$O$31,'Quick Setup'!$O36,if(IH9='Quick Setup'!$P$31,'Quick Setup'!$P36,if(IH9='Quick Setup'!$Q$31,'Quick Setup'!$Q36,if(IH9='Quick Setup'!$R$31,'Quick Setup'!$R36,if(IH9='Quick Setup'!$S$31,'Quick Setup'!$S36,if(IH9='Quick Setup'!$T$31,'Quick Setup'!$T36,if(IH9='Quick Setup'!$U$31,'Quick Setup'!$U36,if(IH9='Quick Setup'!$V$31,'Quick Setup'!$V36,'Quick Setup'!$W36))))))))))))))))))))</f>
        <v>8</v>
      </c>
      <c r="IJ9" s="21">
        <f>if(IH9='Quick Setup'!$C$45,'Quick Setup'!$C50,if(IH9='Quick Setup'!$D$45,'Quick Setup'!$D50,if(IH9='Quick Setup'!$E$45,'Quick Setup'!$E50,if(IH9='Quick Setup'!$F$45,'Quick Setup'!$F50,if(IH9='Quick Setup'!$G$45,'Quick Setup'!$G50,if(IH9='Quick Setup'!$H$45,'Quick Setup'!$H50,if(IH9='Quick Setup'!$I$45,'Quick Setup'!$I50,if(IH9='Quick Setup'!$J$45,'Quick Setup'!$J50,if(IH9='Quick Setup'!$K$45,'Quick Setup'!$K50,if(IH9='Quick Setup'!$L$45,'Quick Setup'!$L50,if(IH9='Quick Setup'!$M$45,'Quick Setup'!$M50,if(IH9='Quick Setup'!$N$45,'Quick Setup'!$N50,if(IH9='Quick Setup'!$O$45,'Quick Setup'!$O50,if(IH9='Quick Setup'!$P$45,'Quick Setup'!$P50,if(IH9='Quick Setup'!$Q$45,'Quick Setup'!$Q50,if(IH9='Quick Setup'!$R$45,'Quick Setup'!$R50,if(IH9='Quick Setup'!$S$45,'Quick Setup'!$S50,if(IH9='Quick Setup'!$T$45,'Quick Setup'!$T50,if(IH9='Quick Setup'!$U$45,'Quick Setup'!$U50,if(IH9='Quick Setup'!$V$45,'Quick Setup'!$V50,'Quick Setup'!$W50))))))))))))))))))))</f>
        <v>3</v>
      </c>
      <c r="IK9" s="23">
        <f t="shared" ref="IK9:IS9" si="100">HY9</f>
        <v>5</v>
      </c>
      <c r="IL9" s="24">
        <f t="shared" si="100"/>
        <v>-0.05</v>
      </c>
      <c r="IM9" s="24">
        <f t="shared" si="100"/>
        <v>-0.02</v>
      </c>
      <c r="IN9" s="24">
        <f t="shared" si="100"/>
        <v>0</v>
      </c>
      <c r="IO9" s="24">
        <f t="shared" si="100"/>
        <v>0.005</v>
      </c>
      <c r="IP9" s="24">
        <f t="shared" si="100"/>
        <v>0.01</v>
      </c>
      <c r="IQ9" s="24">
        <f t="shared" si="100"/>
        <v>0.015</v>
      </c>
      <c r="IR9" s="24">
        <f t="shared" si="100"/>
        <v>0.02</v>
      </c>
      <c r="IS9" s="24">
        <f t="shared" si="100"/>
        <v>0.03</v>
      </c>
    </row>
    <row r="10">
      <c r="A10" t="str">
        <f>'Quick Setup'!C12</f>
        <v>Paused Squat</v>
      </c>
      <c r="B10" s="20">
        <f>'Quick Setup'!C65</f>
        <v>0.6</v>
      </c>
      <c r="C10" s="21">
        <f>if(B10='Quick Setup'!$C$31,'Quick Setup'!$C37,if(B10='Quick Setup'!$D$31,'Quick Setup'!$D37,if(B10='Quick Setup'!$E$31,'Quick Setup'!$E37,if(B10='Quick Setup'!$F$31,'Quick Setup'!$F37,if(B10='Quick Setup'!$G$31,'Quick Setup'!$G37,if(B10='Quick Setup'!$H$31,'Quick Setup'!$H37,if(B10='Quick Setup'!$I$31,'Quick Setup'!$I37,if(B10='Quick Setup'!$J$31,'Quick Setup'!$J37,if(B10='Quick Setup'!$K$31,'Quick Setup'!$K37,if(B10='Quick Setup'!$L$31,'Quick Setup'!$L37,if(B10='Quick Setup'!$M$31,'Quick Setup'!$M37,if(B10='Quick Setup'!$N$31,'Quick Setup'!$N37,if(B10='Quick Setup'!$O$31,'Quick Setup'!$O37,if(B10='Quick Setup'!$P$31,'Quick Setup'!$P37,if(B10='Quick Setup'!$Q$31,'Quick Setup'!$Q37,if(B10='Quick Setup'!$R$31,'Quick Setup'!$R37,if(B10='Quick Setup'!$S$31,'Quick Setup'!$S37,if(B10='Quick Setup'!$T$31,'Quick Setup'!$T37,if(B10='Quick Setup'!$U$31,'Quick Setup'!$U37,if(B10='Quick Setup'!$V$31,'Quick Setup'!$V37,'Quick Setup'!$W37))))))))))))))))))))</f>
        <v>7</v>
      </c>
      <c r="D10" s="21">
        <f>if(B10='Quick Setup'!$C$45,'Quick Setup'!$C51,if(B10='Quick Setup'!$D$45,'Quick Setup'!$D51,if(B10='Quick Setup'!$E$45,'Quick Setup'!$E51,if(B10='Quick Setup'!$F$45,'Quick Setup'!$F51,if(B10='Quick Setup'!$G$45,'Quick Setup'!$G51,if(B10='Quick Setup'!$H$45,'Quick Setup'!$H51,if(B10='Quick Setup'!$I$45,'Quick Setup'!$I51,if(B10='Quick Setup'!$J$45,'Quick Setup'!$J51,if(B10='Quick Setup'!$K$45,'Quick Setup'!$K51,if(B10='Quick Setup'!$L$45,'Quick Setup'!$L51,if(B10='Quick Setup'!$M$45,'Quick Setup'!$M51,if(B10='Quick Setup'!$N$45,'Quick Setup'!$N51,if(B10='Quick Setup'!$O$45,'Quick Setup'!$O51,if(B10='Quick Setup'!$P$45,'Quick Setup'!$P51,if(B10='Quick Setup'!$Q$45,'Quick Setup'!$Q51,if(B10='Quick Setup'!$R$45,'Quick Setup'!$R51,if(B10='Quick Setup'!$S$45,'Quick Setup'!$S51,if(B10='Quick Setup'!$T$45,'Quick Setup'!$T51,if(B10='Quick Setup'!$U$45,'Quick Setup'!$U51,if(B10='Quick Setup'!$V$45,'Quick Setup'!$V51,'Quick Setup'!$W51))))))))))))))))))))</f>
        <v>3</v>
      </c>
      <c r="E10" s="21">
        <f>'Quick Setup'!H11</f>
        <v>5</v>
      </c>
      <c r="F10" s="22">
        <f>'Quick Setup'!I11</f>
        <v>-0.05</v>
      </c>
      <c r="G10" s="22">
        <f>'Quick Setup'!J11</f>
        <v>-0.02</v>
      </c>
      <c r="H10" s="22">
        <f>'Quick Setup'!K11</f>
        <v>0</v>
      </c>
      <c r="I10" s="22">
        <f>'Quick Setup'!L11</f>
        <v>0.005</v>
      </c>
      <c r="J10" s="22">
        <f>'Quick Setup'!M11</f>
        <v>0.01</v>
      </c>
      <c r="K10" s="22">
        <f>'Quick Setup'!N11</f>
        <v>0.015</v>
      </c>
      <c r="L10" s="22">
        <f>'Quick Setup'!O11</f>
        <v>0.02</v>
      </c>
      <c r="M10" s="22">
        <f>'Quick Setup'!P11</f>
        <v>0.03</v>
      </c>
      <c r="N10" s="20">
        <f>'Quick Setup'!D65</f>
        <v>0.65</v>
      </c>
      <c r="O10" s="21">
        <f>if(N10='Quick Setup'!$C$31,'Quick Setup'!$C37,if(N10='Quick Setup'!$D$31,'Quick Setup'!$D37,if(N10='Quick Setup'!$E$31,'Quick Setup'!$E37,if(N10='Quick Setup'!$F$31,'Quick Setup'!$F37,if(N10='Quick Setup'!$G$31,'Quick Setup'!$G37,if(N10='Quick Setup'!$H$31,'Quick Setup'!$H37,if(N10='Quick Setup'!$I$31,'Quick Setup'!$I37,if(N10='Quick Setup'!$J$31,'Quick Setup'!$J37,if(N10='Quick Setup'!$K$31,'Quick Setup'!$K37,if(N10='Quick Setup'!$L$31,'Quick Setup'!$L37,if(N10='Quick Setup'!$M$31,'Quick Setup'!$M37,if(N10='Quick Setup'!$N$31,'Quick Setup'!$N37,if(N10='Quick Setup'!$O$31,'Quick Setup'!$O37,if(N10='Quick Setup'!$P$31,'Quick Setup'!$P37,if(N10='Quick Setup'!$Q$31,'Quick Setup'!$Q37,if(N10='Quick Setup'!$R$31,'Quick Setup'!$R37,if(N10='Quick Setup'!$S$31,'Quick Setup'!$S37,if(N10='Quick Setup'!$T$31,'Quick Setup'!$T37,if(N10='Quick Setup'!$U$31,'Quick Setup'!$U37,if(N10='Quick Setup'!$V$31,'Quick Setup'!$V37,'Quick Setup'!$W37))))))))))))))))))))</f>
        <v>6</v>
      </c>
      <c r="P10" s="21">
        <f>if(N10='Quick Setup'!$C$45,'Quick Setup'!$C51,if(N10='Quick Setup'!$D$45,'Quick Setup'!$D51,if(N10='Quick Setup'!$E$45,'Quick Setup'!$E51,if(N10='Quick Setup'!$F$45,'Quick Setup'!$F51,if(N10='Quick Setup'!$G$45,'Quick Setup'!$G51,if(N10='Quick Setup'!$H$45,'Quick Setup'!$H51,if(N10='Quick Setup'!$I$45,'Quick Setup'!$I51,if(N10='Quick Setup'!$J$45,'Quick Setup'!$J51,if(N10='Quick Setup'!$K$45,'Quick Setup'!$K51,if(N10='Quick Setup'!$L$45,'Quick Setup'!$L51,if(N10='Quick Setup'!$M$45,'Quick Setup'!$M51,if(N10='Quick Setup'!$N$45,'Quick Setup'!$N51,if(N10='Quick Setup'!$O$45,'Quick Setup'!$O51,if(N10='Quick Setup'!$P$45,'Quick Setup'!$P51,if(N10='Quick Setup'!$Q$45,'Quick Setup'!$Q51,if(N10='Quick Setup'!$R$45,'Quick Setup'!$R51,if(N10='Quick Setup'!$S$45,'Quick Setup'!$S51,if(N10='Quick Setup'!$T$45,'Quick Setup'!$T51,if(N10='Quick Setup'!$U$45,'Quick Setup'!$U51,if(N10='Quick Setup'!$V$45,'Quick Setup'!$V51,'Quick Setup'!$W51))))))))))))))))))))</f>
        <v>3</v>
      </c>
      <c r="Q10" s="21">
        <f t="shared" ref="Q10:Y10" si="101">E10</f>
        <v>5</v>
      </c>
      <c r="R10" s="22">
        <f t="shared" si="101"/>
        <v>-0.05</v>
      </c>
      <c r="S10" s="22">
        <f t="shared" si="101"/>
        <v>-0.02</v>
      </c>
      <c r="T10" s="22">
        <f t="shared" si="101"/>
        <v>0</v>
      </c>
      <c r="U10" s="22">
        <f t="shared" si="101"/>
        <v>0.005</v>
      </c>
      <c r="V10" s="22">
        <f t="shared" si="101"/>
        <v>0.01</v>
      </c>
      <c r="W10" s="22">
        <f t="shared" si="101"/>
        <v>0.015</v>
      </c>
      <c r="X10" s="22">
        <f t="shared" si="101"/>
        <v>0.02</v>
      </c>
      <c r="Y10" s="22">
        <f t="shared" si="101"/>
        <v>0.03</v>
      </c>
      <c r="Z10" s="20">
        <f>'Quick Setup'!E65</f>
        <v>0.7</v>
      </c>
      <c r="AA10" s="21">
        <f>if(Z10='Quick Setup'!$C$31,'Quick Setup'!$C37,if(Z10='Quick Setup'!$D$31,'Quick Setup'!$D37,if(Z10='Quick Setup'!$E$31,'Quick Setup'!$E37,if(Z10='Quick Setup'!$F$31,'Quick Setup'!$F37,if(Z10='Quick Setup'!$G$31,'Quick Setup'!$G37,if(Z10='Quick Setup'!$H$31,'Quick Setup'!$H37,if(Z10='Quick Setup'!$I$31,'Quick Setup'!$I37,if(Z10='Quick Setup'!$J$31,'Quick Setup'!$J37,if(Z10='Quick Setup'!$K$31,'Quick Setup'!$K37,if(Z10='Quick Setup'!$L$31,'Quick Setup'!$L37,if(Z10='Quick Setup'!$M$31,'Quick Setup'!$M37,if(Z10='Quick Setup'!$N$31,'Quick Setup'!$N37,if(Z10='Quick Setup'!$O$31,'Quick Setup'!$O37,if(Z10='Quick Setup'!$P$31,'Quick Setup'!$P37,if(Z10='Quick Setup'!$Q$31,'Quick Setup'!$Q37,if(Z10='Quick Setup'!$R$31,'Quick Setup'!$R37,if(Z10='Quick Setup'!$S$31,'Quick Setup'!$S37,if(Z10='Quick Setup'!$T$31,'Quick Setup'!$T37,if(Z10='Quick Setup'!$U$31,'Quick Setup'!$U37,if(Z10='Quick Setup'!$V$31,'Quick Setup'!$V37,'Quick Setup'!$W37))))))))))))))))))))</f>
        <v>5</v>
      </c>
      <c r="AB10" s="21">
        <f>if(Z10='Quick Setup'!$C$45,'Quick Setup'!$C51,if(Z10='Quick Setup'!$D$45,'Quick Setup'!$D51,if(Z10='Quick Setup'!$E$45,'Quick Setup'!$E51,if(Z10='Quick Setup'!$F$45,'Quick Setup'!$F51,if(Z10='Quick Setup'!$G$45,'Quick Setup'!$G51,if(Z10='Quick Setup'!$H$45,'Quick Setup'!$H51,if(Z10='Quick Setup'!$I$45,'Quick Setup'!$I51,if(Z10='Quick Setup'!$J$45,'Quick Setup'!$J51,if(Z10='Quick Setup'!$K$45,'Quick Setup'!$K51,if(Z10='Quick Setup'!$L$45,'Quick Setup'!$L51,if(Z10='Quick Setup'!$M$45,'Quick Setup'!$M51,if(Z10='Quick Setup'!$N$45,'Quick Setup'!$N51,if(Z10='Quick Setup'!$O$45,'Quick Setup'!$O51,if(Z10='Quick Setup'!$P$45,'Quick Setup'!$P51,if(Z10='Quick Setup'!$Q$45,'Quick Setup'!$Q51,if(Z10='Quick Setup'!$R$45,'Quick Setup'!$R51,if(Z10='Quick Setup'!$S$45,'Quick Setup'!$S51,if(Z10='Quick Setup'!$T$45,'Quick Setup'!$T51,if(Z10='Quick Setup'!$U$45,'Quick Setup'!$U51,if(Z10='Quick Setup'!$V$45,'Quick Setup'!$V51,'Quick Setup'!$W51))))))))))))))))))))</f>
        <v>3</v>
      </c>
      <c r="AC10" s="21">
        <f t="shared" ref="AC10:AK10" si="102">Q10</f>
        <v>5</v>
      </c>
      <c r="AD10" s="22">
        <f t="shared" si="102"/>
        <v>-0.05</v>
      </c>
      <c r="AE10" s="22">
        <f t="shared" si="102"/>
        <v>-0.02</v>
      </c>
      <c r="AF10" s="22">
        <f t="shared" si="102"/>
        <v>0</v>
      </c>
      <c r="AG10" s="22">
        <f t="shared" si="102"/>
        <v>0.005</v>
      </c>
      <c r="AH10" s="22">
        <f t="shared" si="102"/>
        <v>0.01</v>
      </c>
      <c r="AI10" s="22">
        <f t="shared" si="102"/>
        <v>0.015</v>
      </c>
      <c r="AJ10" s="22">
        <f t="shared" si="102"/>
        <v>0.02</v>
      </c>
      <c r="AK10" s="22">
        <f t="shared" si="102"/>
        <v>0.03</v>
      </c>
      <c r="AL10" s="20">
        <f>'Quick Setup'!F65</f>
        <v>0.625</v>
      </c>
      <c r="AM10" s="21">
        <f>if(AL10='Quick Setup'!$C$31,'Quick Setup'!$C37,if(AL10='Quick Setup'!$D$31,'Quick Setup'!$D37,if(AL10='Quick Setup'!$E$31,'Quick Setup'!$E37,if(AL10='Quick Setup'!$F$31,'Quick Setup'!$F37,if(AL10='Quick Setup'!$G$31,'Quick Setup'!$G37,if(AL10='Quick Setup'!$H$31,'Quick Setup'!$H37,if(AL10='Quick Setup'!$I$31,'Quick Setup'!$I37,if(AL10='Quick Setup'!$J$31,'Quick Setup'!$J37,if(AL10='Quick Setup'!$K$31,'Quick Setup'!$K37,if(AL10='Quick Setup'!$L$31,'Quick Setup'!$L37,if(AL10='Quick Setup'!$M$31,'Quick Setup'!$M37,if(AL10='Quick Setup'!$N$31,'Quick Setup'!$N37,if(AL10='Quick Setup'!$O$31,'Quick Setup'!$O37,if(AL10='Quick Setup'!$P$31,'Quick Setup'!$P37,if(AL10='Quick Setup'!$Q$31,'Quick Setup'!$Q37,if(AL10='Quick Setup'!$R$31,'Quick Setup'!$R37,if(AL10='Quick Setup'!$S$31,'Quick Setup'!$S37,if(AL10='Quick Setup'!$T$31,'Quick Setup'!$T37,if(AL10='Quick Setup'!$U$31,'Quick Setup'!$U37,if(AL10='Quick Setup'!$V$31,'Quick Setup'!$V37,'Quick Setup'!$W37))))))))))))))))))))</f>
        <v>7</v>
      </c>
      <c r="AN10" s="21">
        <f>if(AL10='Quick Setup'!$C$45,'Quick Setup'!$C51,if(AL10='Quick Setup'!$D$45,'Quick Setup'!$D51,if(AL10='Quick Setup'!$E$45,'Quick Setup'!$E51,if(AL10='Quick Setup'!$F$45,'Quick Setup'!$F51,if(AL10='Quick Setup'!$G$45,'Quick Setup'!$G51,if(AL10='Quick Setup'!$H$45,'Quick Setup'!$H51,if(AL10='Quick Setup'!$I$45,'Quick Setup'!$I51,if(AL10='Quick Setup'!$J$45,'Quick Setup'!$J51,if(AL10='Quick Setup'!$K$45,'Quick Setup'!$K51,if(AL10='Quick Setup'!$L$45,'Quick Setup'!$L51,if(AL10='Quick Setup'!$M$45,'Quick Setup'!$M51,if(AL10='Quick Setup'!$N$45,'Quick Setup'!$N51,if(AL10='Quick Setup'!$O$45,'Quick Setup'!$O51,if(AL10='Quick Setup'!$P$45,'Quick Setup'!$P51,if(AL10='Quick Setup'!$Q$45,'Quick Setup'!$Q51,if(AL10='Quick Setup'!$R$45,'Quick Setup'!$R51,if(AL10='Quick Setup'!$S$45,'Quick Setup'!$S51,if(AL10='Quick Setup'!$T$45,'Quick Setup'!$T51,if(AL10='Quick Setup'!$U$45,'Quick Setup'!$U51,if(AL10='Quick Setup'!$V$45,'Quick Setup'!$V51,'Quick Setup'!$W51))))))))))))))))))))</f>
        <v>3</v>
      </c>
      <c r="AO10" s="21">
        <f t="shared" ref="AO10:AW10" si="103">AC10</f>
        <v>5</v>
      </c>
      <c r="AP10" s="22">
        <f t="shared" si="103"/>
        <v>-0.05</v>
      </c>
      <c r="AQ10" s="22">
        <f t="shared" si="103"/>
        <v>-0.02</v>
      </c>
      <c r="AR10" s="22">
        <f t="shared" si="103"/>
        <v>0</v>
      </c>
      <c r="AS10" s="22">
        <f t="shared" si="103"/>
        <v>0.005</v>
      </c>
      <c r="AT10" s="22">
        <f t="shared" si="103"/>
        <v>0.01</v>
      </c>
      <c r="AU10" s="22">
        <f t="shared" si="103"/>
        <v>0.015</v>
      </c>
      <c r="AV10" s="22">
        <f t="shared" si="103"/>
        <v>0.02</v>
      </c>
      <c r="AW10" s="22">
        <f t="shared" si="103"/>
        <v>0.03</v>
      </c>
      <c r="AX10" s="20">
        <f>'Quick Setup'!G65</f>
        <v>0.675</v>
      </c>
      <c r="AY10" s="21">
        <f>if(AX10='Quick Setup'!$C$31,'Quick Setup'!$C37,if(AX10='Quick Setup'!$D$31,'Quick Setup'!$D37,if(AX10='Quick Setup'!$E$31,'Quick Setup'!$E37,if(AX10='Quick Setup'!$F$31,'Quick Setup'!$F37,if(AX10='Quick Setup'!$G$31,'Quick Setup'!$G37,if(AX10='Quick Setup'!$H$31,'Quick Setup'!$H37,if(AX10='Quick Setup'!$I$31,'Quick Setup'!$I37,if(AX10='Quick Setup'!$J$31,'Quick Setup'!$J37,if(AX10='Quick Setup'!$K$31,'Quick Setup'!$K37,if(AX10='Quick Setup'!$L$31,'Quick Setup'!$L37,if(AX10='Quick Setup'!$M$31,'Quick Setup'!$M37,if(AX10='Quick Setup'!$N$31,'Quick Setup'!$N37,if(AX10='Quick Setup'!$O$31,'Quick Setup'!$O37,if(AX10='Quick Setup'!$P$31,'Quick Setup'!$P37,if(AX10='Quick Setup'!$Q$31,'Quick Setup'!$Q37,if(AX10='Quick Setup'!$R$31,'Quick Setup'!$R37,if(AX10='Quick Setup'!$S$31,'Quick Setup'!$S37,if(AX10='Quick Setup'!$T$31,'Quick Setup'!$T37,if(AX10='Quick Setup'!$U$31,'Quick Setup'!$U37,if(AX10='Quick Setup'!$V$31,'Quick Setup'!$V37,'Quick Setup'!$W37))))))))))))))))))))</f>
        <v>6</v>
      </c>
      <c r="AZ10" s="21">
        <f>if(AX10='Quick Setup'!$C$45,'Quick Setup'!$C51,if(AX10='Quick Setup'!$D$45,'Quick Setup'!$D51,if(AX10='Quick Setup'!$E$45,'Quick Setup'!$E51,if(AX10='Quick Setup'!$F$45,'Quick Setup'!$F51,if(AX10='Quick Setup'!$G$45,'Quick Setup'!$G51,if(AX10='Quick Setup'!$H$45,'Quick Setup'!$H51,if(AX10='Quick Setup'!$I$45,'Quick Setup'!$I51,if(AX10='Quick Setup'!$J$45,'Quick Setup'!$J51,if(AX10='Quick Setup'!$K$45,'Quick Setup'!$K51,if(AX10='Quick Setup'!$L$45,'Quick Setup'!$L51,if(AX10='Quick Setup'!$M$45,'Quick Setup'!$M51,if(AX10='Quick Setup'!$N$45,'Quick Setup'!$N51,if(AX10='Quick Setup'!$O$45,'Quick Setup'!$O51,if(AX10='Quick Setup'!$P$45,'Quick Setup'!$P51,if(AX10='Quick Setup'!$Q$45,'Quick Setup'!$Q51,if(AX10='Quick Setup'!$R$45,'Quick Setup'!$R51,if(AX10='Quick Setup'!$S$45,'Quick Setup'!$S51,if(AX10='Quick Setup'!$T$45,'Quick Setup'!$T51,if(AX10='Quick Setup'!$U$45,'Quick Setup'!$U51,if(AX10='Quick Setup'!$V$45,'Quick Setup'!$V51,'Quick Setup'!$W51))))))))))))))))))))</f>
        <v>3</v>
      </c>
      <c r="BA10" s="21">
        <f t="shared" ref="BA10:BI10" si="104">AO10</f>
        <v>5</v>
      </c>
      <c r="BB10" s="22">
        <f t="shared" si="104"/>
        <v>-0.05</v>
      </c>
      <c r="BC10" s="22">
        <f t="shared" si="104"/>
        <v>-0.02</v>
      </c>
      <c r="BD10" s="22">
        <f t="shared" si="104"/>
        <v>0</v>
      </c>
      <c r="BE10" s="22">
        <f t="shared" si="104"/>
        <v>0.005</v>
      </c>
      <c r="BF10" s="22">
        <f t="shared" si="104"/>
        <v>0.01</v>
      </c>
      <c r="BG10" s="22">
        <f t="shared" si="104"/>
        <v>0.015</v>
      </c>
      <c r="BH10" s="22">
        <f t="shared" si="104"/>
        <v>0.02</v>
      </c>
      <c r="BI10" s="22">
        <f t="shared" si="104"/>
        <v>0.03</v>
      </c>
      <c r="BJ10" s="20">
        <f>'Quick Setup'!H65</f>
        <v>0.725</v>
      </c>
      <c r="BK10" s="21">
        <f>if(BJ10='Quick Setup'!$C$31,'Quick Setup'!$C37,if(BJ10='Quick Setup'!$D$31,'Quick Setup'!$D37,if(BJ10='Quick Setup'!$E$31,'Quick Setup'!$E37,if(BJ10='Quick Setup'!$F$31,'Quick Setup'!$F37,if(BJ10='Quick Setup'!$G$31,'Quick Setup'!$G37,if(BJ10='Quick Setup'!$H$31,'Quick Setup'!$H37,if(BJ10='Quick Setup'!$I$31,'Quick Setup'!$I37,if(BJ10='Quick Setup'!$J$31,'Quick Setup'!$J37,if(BJ10='Quick Setup'!$K$31,'Quick Setup'!$K37,if(BJ10='Quick Setup'!$L$31,'Quick Setup'!$L37,if(BJ10='Quick Setup'!$M$31,'Quick Setup'!$M37,if(BJ10='Quick Setup'!$N$31,'Quick Setup'!$N37,if(BJ10='Quick Setup'!$O$31,'Quick Setup'!$O37,if(BJ10='Quick Setup'!$P$31,'Quick Setup'!$P37,if(BJ10='Quick Setup'!$Q$31,'Quick Setup'!$Q37,if(BJ10='Quick Setup'!$R$31,'Quick Setup'!$R37,if(BJ10='Quick Setup'!$S$31,'Quick Setup'!$S37,if(BJ10='Quick Setup'!$T$31,'Quick Setup'!$T37,if(BJ10='Quick Setup'!$U$31,'Quick Setup'!$U37,if(BJ10='Quick Setup'!$V$31,'Quick Setup'!$V37,'Quick Setup'!$W37))))))))))))))))))))</f>
        <v>5</v>
      </c>
      <c r="BL10" s="21">
        <f>if(BJ10='Quick Setup'!$C$45,'Quick Setup'!$C51,if(BJ10='Quick Setup'!$D$45,'Quick Setup'!$D51,if(BJ10='Quick Setup'!$E$45,'Quick Setup'!$E51,if(BJ10='Quick Setup'!$F$45,'Quick Setup'!$F51,if(BJ10='Quick Setup'!$G$45,'Quick Setup'!$G51,if(BJ10='Quick Setup'!$H$45,'Quick Setup'!$H51,if(BJ10='Quick Setup'!$I$45,'Quick Setup'!$I51,if(BJ10='Quick Setup'!$J$45,'Quick Setup'!$J51,if(BJ10='Quick Setup'!$K$45,'Quick Setup'!$K51,if(BJ10='Quick Setup'!$L$45,'Quick Setup'!$L51,if(BJ10='Quick Setup'!$M$45,'Quick Setup'!$M51,if(BJ10='Quick Setup'!$N$45,'Quick Setup'!$N51,if(BJ10='Quick Setup'!$O$45,'Quick Setup'!$O51,if(BJ10='Quick Setup'!$P$45,'Quick Setup'!$P51,if(BJ10='Quick Setup'!$Q$45,'Quick Setup'!$Q51,if(BJ10='Quick Setup'!$R$45,'Quick Setup'!$R51,if(BJ10='Quick Setup'!$S$45,'Quick Setup'!$S51,if(BJ10='Quick Setup'!$T$45,'Quick Setup'!$T51,if(BJ10='Quick Setup'!$U$45,'Quick Setup'!$U51,if(BJ10='Quick Setup'!$V$45,'Quick Setup'!$V51,'Quick Setup'!$W51))))))))))))))))))))</f>
        <v>3</v>
      </c>
      <c r="BM10" s="23">
        <f t="shared" ref="BM10:BU10" si="105">BA10</f>
        <v>5</v>
      </c>
      <c r="BN10" s="24">
        <f t="shared" si="105"/>
        <v>-0.05</v>
      </c>
      <c r="BO10" s="24">
        <f t="shared" si="105"/>
        <v>-0.02</v>
      </c>
      <c r="BP10" s="24">
        <f t="shared" si="105"/>
        <v>0</v>
      </c>
      <c r="BQ10" s="24">
        <f t="shared" si="105"/>
        <v>0.005</v>
      </c>
      <c r="BR10" s="24">
        <f t="shared" si="105"/>
        <v>0.01</v>
      </c>
      <c r="BS10" s="24">
        <f t="shared" si="105"/>
        <v>0.015</v>
      </c>
      <c r="BT10" s="24">
        <f t="shared" si="105"/>
        <v>0.02</v>
      </c>
      <c r="BU10" s="24">
        <f t="shared" si="105"/>
        <v>0.03</v>
      </c>
      <c r="BV10" s="20">
        <f>'Quick Setup'!I65</f>
        <v>0.5</v>
      </c>
      <c r="BW10" s="21">
        <f>if(BV10='Quick Setup'!$C$31,'Quick Setup'!$C37,if(BV10='Quick Setup'!$D$31,'Quick Setup'!$D37,if(BV10='Quick Setup'!$E$31,'Quick Setup'!$E37,if(BV10='Quick Setup'!$F$31,'Quick Setup'!$F37,if(BV10='Quick Setup'!$G$31,'Quick Setup'!$G37,if(BV10='Quick Setup'!$H$31,'Quick Setup'!$H37,if(BV10='Quick Setup'!$I$31,'Quick Setup'!$I37,if(BV10='Quick Setup'!$J$31,'Quick Setup'!$J37,if(BV10='Quick Setup'!$K$31,'Quick Setup'!$K37,if(BV10='Quick Setup'!$L$31,'Quick Setup'!$L37,if(BV10='Quick Setup'!$M$31,'Quick Setup'!$M37,if(BV10='Quick Setup'!$N$31,'Quick Setup'!$N37,if(BV10='Quick Setup'!$O$31,'Quick Setup'!$O37,if(BV10='Quick Setup'!$P$31,'Quick Setup'!$P37,if(BV10='Quick Setup'!$Q$31,'Quick Setup'!$Q37,if(BV10='Quick Setup'!$R$31,'Quick Setup'!$R37,if(BV10='Quick Setup'!$S$31,'Quick Setup'!$S37,if(BV10='Quick Setup'!$T$31,'Quick Setup'!$T37,if(BV10='Quick Setup'!$U$31,'Quick Setup'!$U37,if(BV10='Quick Setup'!$V$31,'Quick Setup'!$V37,'Quick Setup'!$W37))))))))))))))))))))</f>
        <v>8</v>
      </c>
      <c r="BX10" s="21">
        <f>if(BV10='Quick Setup'!$C$45,'Quick Setup'!$C51,if(BV10='Quick Setup'!$D$45,'Quick Setup'!$D51,if(BV10='Quick Setup'!$E$45,'Quick Setup'!$E51,if(BV10='Quick Setup'!$F$45,'Quick Setup'!$F51,if(BV10='Quick Setup'!$G$45,'Quick Setup'!$G51,if(BV10='Quick Setup'!$H$45,'Quick Setup'!$H51,if(BV10='Quick Setup'!$I$45,'Quick Setup'!$I51,if(BV10='Quick Setup'!$J$45,'Quick Setup'!$J51,if(BV10='Quick Setup'!$K$45,'Quick Setup'!$K51,if(BV10='Quick Setup'!$L$45,'Quick Setup'!$L51,if(BV10='Quick Setup'!$M$45,'Quick Setup'!$M51,if(BV10='Quick Setup'!$N$45,'Quick Setup'!$N51,if(BV10='Quick Setup'!$O$45,'Quick Setup'!$O51,if(BV10='Quick Setup'!$P$45,'Quick Setup'!$P51,if(BV10='Quick Setup'!$Q$45,'Quick Setup'!$Q51,if(BV10='Quick Setup'!$R$45,'Quick Setup'!$R51,if(BV10='Quick Setup'!$S$45,'Quick Setup'!$S51,if(BV10='Quick Setup'!$T$45,'Quick Setup'!$T51,if(BV10='Quick Setup'!$U$45,'Quick Setup'!$U51,if(BV10='Quick Setup'!$V$45,'Quick Setup'!$V51,'Quick Setup'!$W51))))))))))))))))))))</f>
        <v>3</v>
      </c>
      <c r="BY10" s="23">
        <f t="shared" ref="BY10:CG10" si="106">BM10</f>
        <v>5</v>
      </c>
      <c r="BZ10" s="24">
        <f t="shared" si="106"/>
        <v>-0.05</v>
      </c>
      <c r="CA10" s="24">
        <f t="shared" si="106"/>
        <v>-0.02</v>
      </c>
      <c r="CB10" s="24">
        <f t="shared" si="106"/>
        <v>0</v>
      </c>
      <c r="CC10" s="24">
        <f t="shared" si="106"/>
        <v>0.005</v>
      </c>
      <c r="CD10" s="24">
        <f t="shared" si="106"/>
        <v>0.01</v>
      </c>
      <c r="CE10" s="24">
        <f t="shared" si="106"/>
        <v>0.015</v>
      </c>
      <c r="CF10" s="24">
        <f t="shared" si="106"/>
        <v>0.02</v>
      </c>
      <c r="CG10" s="24">
        <f t="shared" si="106"/>
        <v>0.03</v>
      </c>
      <c r="CH10" s="20">
        <f>'Quick Setup'!J65</f>
        <v>0.65</v>
      </c>
      <c r="CI10" s="21">
        <f>if(CH10='Quick Setup'!$C$31,'Quick Setup'!$C37,if(CH10='Quick Setup'!$D$31,'Quick Setup'!$D37,if(CH10='Quick Setup'!$E$31,'Quick Setup'!$E37,if(CH10='Quick Setup'!$F$31,'Quick Setup'!$F37,if(CH10='Quick Setup'!$G$31,'Quick Setup'!$G37,if(CH10='Quick Setup'!$H$31,'Quick Setup'!$H37,if(CH10='Quick Setup'!$I$31,'Quick Setup'!$I37,if(CH10='Quick Setup'!$J$31,'Quick Setup'!$J37,if(CH10='Quick Setup'!$K$31,'Quick Setup'!$K37,if(CH10='Quick Setup'!$L$31,'Quick Setup'!$L37,if(CH10='Quick Setup'!$M$31,'Quick Setup'!$M37,if(CH10='Quick Setup'!$N$31,'Quick Setup'!$N37,if(CH10='Quick Setup'!$O$31,'Quick Setup'!$O37,if(CH10='Quick Setup'!$P$31,'Quick Setup'!$P37,if(CH10='Quick Setup'!$Q$31,'Quick Setup'!$Q37,if(CH10='Quick Setup'!$R$31,'Quick Setup'!$R37,if(CH10='Quick Setup'!$S$31,'Quick Setup'!$S37,if(CH10='Quick Setup'!$T$31,'Quick Setup'!$T37,if(CH10='Quick Setup'!$U$31,'Quick Setup'!$U37,if(CH10='Quick Setup'!$V$31,'Quick Setup'!$V37,'Quick Setup'!$W37))))))))))))))))))))</f>
        <v>6</v>
      </c>
      <c r="CJ10" s="21">
        <f>if(CH10='Quick Setup'!$C$45,'Quick Setup'!$C51,if(CH10='Quick Setup'!$D$45,'Quick Setup'!$D51,if(CH10='Quick Setup'!$E$45,'Quick Setup'!$E51,if(CH10='Quick Setup'!$F$45,'Quick Setup'!$F51,if(CH10='Quick Setup'!$G$45,'Quick Setup'!$G51,if(CH10='Quick Setup'!$H$45,'Quick Setup'!$H51,if(CH10='Quick Setup'!$I$45,'Quick Setup'!$I51,if(CH10='Quick Setup'!$J$45,'Quick Setup'!$J51,if(CH10='Quick Setup'!$K$45,'Quick Setup'!$K51,if(CH10='Quick Setup'!$L$45,'Quick Setup'!$L51,if(CH10='Quick Setup'!$M$45,'Quick Setup'!$M51,if(CH10='Quick Setup'!$N$45,'Quick Setup'!$N51,if(CH10='Quick Setup'!$O$45,'Quick Setup'!$O51,if(CH10='Quick Setup'!$P$45,'Quick Setup'!$P51,if(CH10='Quick Setup'!$Q$45,'Quick Setup'!$Q51,if(CH10='Quick Setup'!$R$45,'Quick Setup'!$R51,if(CH10='Quick Setup'!$S$45,'Quick Setup'!$S51,if(CH10='Quick Setup'!$T$45,'Quick Setup'!$T51,if(CH10='Quick Setup'!$U$45,'Quick Setup'!$U51,if(CH10='Quick Setup'!$V$45,'Quick Setup'!$V51,'Quick Setup'!$W51))))))))))))))))))))</f>
        <v>3</v>
      </c>
      <c r="CK10" s="23">
        <f t="shared" ref="CK10:CS10" si="107">BY10</f>
        <v>5</v>
      </c>
      <c r="CL10" s="24">
        <f t="shared" si="107"/>
        <v>-0.05</v>
      </c>
      <c r="CM10" s="24">
        <f t="shared" si="107"/>
        <v>-0.02</v>
      </c>
      <c r="CN10" s="24">
        <f t="shared" si="107"/>
        <v>0</v>
      </c>
      <c r="CO10" s="24">
        <f t="shared" si="107"/>
        <v>0.005</v>
      </c>
      <c r="CP10" s="24">
        <f t="shared" si="107"/>
        <v>0.01</v>
      </c>
      <c r="CQ10" s="24">
        <f t="shared" si="107"/>
        <v>0.015</v>
      </c>
      <c r="CR10" s="24">
        <f t="shared" si="107"/>
        <v>0.02</v>
      </c>
      <c r="CS10" s="24">
        <f t="shared" si="107"/>
        <v>0.03</v>
      </c>
      <c r="CT10" s="20">
        <f>'Quick Setup'!K65</f>
        <v>0.7</v>
      </c>
      <c r="CU10" s="21">
        <f>if(CT10='Quick Setup'!$C$31,'Quick Setup'!$C37,if(CT10='Quick Setup'!$D$31,'Quick Setup'!$D37,if(CT10='Quick Setup'!$E$31,'Quick Setup'!$E37,if(CT10='Quick Setup'!$F$31,'Quick Setup'!$F37,if(CT10='Quick Setup'!$G$31,'Quick Setup'!$G37,if(CT10='Quick Setup'!$H$31,'Quick Setup'!$H37,if(CT10='Quick Setup'!$I$31,'Quick Setup'!$I37,if(CT10='Quick Setup'!$J$31,'Quick Setup'!$J37,if(CT10='Quick Setup'!$K$31,'Quick Setup'!$K37,if(CT10='Quick Setup'!$L$31,'Quick Setup'!$L37,if(CT10='Quick Setup'!$M$31,'Quick Setup'!$M37,if(CT10='Quick Setup'!$N$31,'Quick Setup'!$N37,if(CT10='Quick Setup'!$O$31,'Quick Setup'!$O37,if(CT10='Quick Setup'!$P$31,'Quick Setup'!$P37,if(CT10='Quick Setup'!$Q$31,'Quick Setup'!$Q37,if(CT10='Quick Setup'!$R$31,'Quick Setup'!$R37,if(CT10='Quick Setup'!$S$31,'Quick Setup'!$S37,if(CT10='Quick Setup'!$T$31,'Quick Setup'!$T37,if(CT10='Quick Setup'!$U$31,'Quick Setup'!$U37,if(CT10='Quick Setup'!$V$31,'Quick Setup'!$V37,'Quick Setup'!$W37))))))))))))))))))))</f>
        <v>5</v>
      </c>
      <c r="CV10" s="21">
        <f>if(CT10='Quick Setup'!$C$45,'Quick Setup'!$C51,if(CT10='Quick Setup'!$D$45,'Quick Setup'!$D51,if(CT10='Quick Setup'!$E$45,'Quick Setup'!$E51,if(CT10='Quick Setup'!$F$45,'Quick Setup'!$F51,if(CT10='Quick Setup'!$G$45,'Quick Setup'!$G51,if(CT10='Quick Setup'!$H$45,'Quick Setup'!$H51,if(CT10='Quick Setup'!$I$45,'Quick Setup'!$I51,if(CT10='Quick Setup'!$J$45,'Quick Setup'!$J51,if(CT10='Quick Setup'!$K$45,'Quick Setup'!$K51,if(CT10='Quick Setup'!$L$45,'Quick Setup'!$L51,if(CT10='Quick Setup'!$M$45,'Quick Setup'!$M51,if(CT10='Quick Setup'!$N$45,'Quick Setup'!$N51,if(CT10='Quick Setup'!$O$45,'Quick Setup'!$O51,if(CT10='Quick Setup'!$P$45,'Quick Setup'!$P51,if(CT10='Quick Setup'!$Q$45,'Quick Setup'!$Q51,if(CT10='Quick Setup'!$R$45,'Quick Setup'!$R51,if(CT10='Quick Setup'!$S$45,'Quick Setup'!$S51,if(CT10='Quick Setup'!$T$45,'Quick Setup'!$T51,if(CT10='Quick Setup'!$U$45,'Quick Setup'!$U51,if(CT10='Quick Setup'!$V$45,'Quick Setup'!$V51,'Quick Setup'!$W51))))))))))))))))))))</f>
        <v>3</v>
      </c>
      <c r="CW10" s="23">
        <f t="shared" ref="CW10:DE10" si="108">CK10</f>
        <v>5</v>
      </c>
      <c r="CX10" s="24">
        <f t="shared" si="108"/>
        <v>-0.05</v>
      </c>
      <c r="CY10" s="24">
        <f t="shared" si="108"/>
        <v>-0.02</v>
      </c>
      <c r="CZ10" s="24">
        <f t="shared" si="108"/>
        <v>0</v>
      </c>
      <c r="DA10" s="24">
        <f t="shared" si="108"/>
        <v>0.005</v>
      </c>
      <c r="DB10" s="24">
        <f t="shared" si="108"/>
        <v>0.01</v>
      </c>
      <c r="DC10" s="24">
        <f t="shared" si="108"/>
        <v>0.015</v>
      </c>
      <c r="DD10" s="24">
        <f t="shared" si="108"/>
        <v>0.02</v>
      </c>
      <c r="DE10" s="24">
        <f t="shared" si="108"/>
        <v>0.03</v>
      </c>
      <c r="DF10" s="20">
        <f>'Quick Setup'!L65</f>
        <v>0.75</v>
      </c>
      <c r="DG10" s="21">
        <f>if(DF10='Quick Setup'!$C$31,'Quick Setup'!$C37,if(DF10='Quick Setup'!$D$31,'Quick Setup'!$D37,if(DF10='Quick Setup'!$E$31,'Quick Setup'!$E37,if(DF10='Quick Setup'!$F$31,'Quick Setup'!$F37,if(DF10='Quick Setup'!$G$31,'Quick Setup'!$G37,if(DF10='Quick Setup'!$H$31,'Quick Setup'!$H37,if(DF10='Quick Setup'!$I$31,'Quick Setup'!$I37,if(DF10='Quick Setup'!$J$31,'Quick Setup'!$J37,if(DF10='Quick Setup'!$K$31,'Quick Setup'!$K37,if(DF10='Quick Setup'!$L$31,'Quick Setup'!$L37,if(DF10='Quick Setup'!$M$31,'Quick Setup'!$M37,if(DF10='Quick Setup'!$N$31,'Quick Setup'!$N37,if(DF10='Quick Setup'!$O$31,'Quick Setup'!$O37,if(DF10='Quick Setup'!$P$31,'Quick Setup'!$P37,if(DF10='Quick Setup'!$Q$31,'Quick Setup'!$Q37,if(DF10='Quick Setup'!$R$31,'Quick Setup'!$R37,if(DF10='Quick Setup'!$S$31,'Quick Setup'!$S37,if(DF10='Quick Setup'!$T$31,'Quick Setup'!$T37,if(DF10='Quick Setup'!$U$31,'Quick Setup'!$U37,if(DF10='Quick Setup'!$V$31,'Quick Setup'!$V37,'Quick Setup'!$W37))))))))))))))))))))</f>
        <v>4</v>
      </c>
      <c r="DH10" s="21">
        <f>if(DF10='Quick Setup'!$C$45,'Quick Setup'!$C51,if(DF10='Quick Setup'!$D$45,'Quick Setup'!$D51,if(DF10='Quick Setup'!$E$45,'Quick Setup'!$E51,if(DF10='Quick Setup'!$F$45,'Quick Setup'!$F51,if(DF10='Quick Setup'!$G$45,'Quick Setup'!$G51,if(DF10='Quick Setup'!$H$45,'Quick Setup'!$H51,if(DF10='Quick Setup'!$I$45,'Quick Setup'!$I51,if(DF10='Quick Setup'!$J$45,'Quick Setup'!$J51,if(DF10='Quick Setup'!$K$45,'Quick Setup'!$K51,if(DF10='Quick Setup'!$L$45,'Quick Setup'!$L51,if(DF10='Quick Setup'!$M$45,'Quick Setup'!$M51,if(DF10='Quick Setup'!$N$45,'Quick Setup'!$N51,if(DF10='Quick Setup'!$O$45,'Quick Setup'!$O51,if(DF10='Quick Setup'!$P$45,'Quick Setup'!$P51,if(DF10='Quick Setup'!$Q$45,'Quick Setup'!$Q51,if(DF10='Quick Setup'!$R$45,'Quick Setup'!$R51,if(DF10='Quick Setup'!$S$45,'Quick Setup'!$S51,if(DF10='Quick Setup'!$T$45,'Quick Setup'!$T51,if(DF10='Quick Setup'!$U$45,'Quick Setup'!$U51,if(DF10='Quick Setup'!$V$45,'Quick Setup'!$V51,'Quick Setup'!$W51))))))))))))))))))))</f>
        <v>2</v>
      </c>
      <c r="DI10" s="23">
        <f t="shared" ref="DI10:DQ10" si="109">CW10</f>
        <v>5</v>
      </c>
      <c r="DJ10" s="24">
        <f t="shared" si="109"/>
        <v>-0.05</v>
      </c>
      <c r="DK10" s="24">
        <f t="shared" si="109"/>
        <v>-0.02</v>
      </c>
      <c r="DL10" s="24">
        <f t="shared" si="109"/>
        <v>0</v>
      </c>
      <c r="DM10" s="24">
        <f t="shared" si="109"/>
        <v>0.005</v>
      </c>
      <c r="DN10" s="24">
        <f t="shared" si="109"/>
        <v>0.01</v>
      </c>
      <c r="DO10" s="24">
        <f t="shared" si="109"/>
        <v>0.015</v>
      </c>
      <c r="DP10" s="24">
        <f t="shared" si="109"/>
        <v>0.02</v>
      </c>
      <c r="DQ10" s="24">
        <f t="shared" si="109"/>
        <v>0.03</v>
      </c>
      <c r="DR10" s="20">
        <f>'Quick Setup'!M65</f>
        <v>0.675</v>
      </c>
      <c r="DS10" s="21">
        <f>if(DR10='Quick Setup'!$C$31,'Quick Setup'!$C37,if(DR10='Quick Setup'!$D$31,'Quick Setup'!$D37,if(DR10='Quick Setup'!$E$31,'Quick Setup'!$E37,if(DR10='Quick Setup'!$F$31,'Quick Setup'!$F37,if(DR10='Quick Setup'!$G$31,'Quick Setup'!$G37,if(DR10='Quick Setup'!$H$31,'Quick Setup'!$H37,if(DR10='Quick Setup'!$I$31,'Quick Setup'!$I37,if(DR10='Quick Setup'!$J$31,'Quick Setup'!$J37,if(DR10='Quick Setup'!$K$31,'Quick Setup'!$K37,if(DR10='Quick Setup'!$L$31,'Quick Setup'!$L37,if(DR10='Quick Setup'!$M$31,'Quick Setup'!$M37,if(DR10='Quick Setup'!$N$31,'Quick Setup'!$N37,if(DR10='Quick Setup'!$O$31,'Quick Setup'!$O37,if(DR10='Quick Setup'!$P$31,'Quick Setup'!$P37,if(DR10='Quick Setup'!$Q$31,'Quick Setup'!$Q37,if(DR10='Quick Setup'!$R$31,'Quick Setup'!$R37,if(DR10='Quick Setup'!$S$31,'Quick Setup'!$S37,if(DR10='Quick Setup'!$T$31,'Quick Setup'!$T37,if(DR10='Quick Setup'!$U$31,'Quick Setup'!$U37,if(DR10='Quick Setup'!$V$31,'Quick Setup'!$V37,'Quick Setup'!$W37))))))))))))))))))))</f>
        <v>6</v>
      </c>
      <c r="DT10" s="21">
        <f>if(DR10='Quick Setup'!$C$45,'Quick Setup'!$C51,if(DR10='Quick Setup'!$D$45,'Quick Setup'!$D51,if(DR10='Quick Setup'!$E$45,'Quick Setup'!$E51,if(DR10='Quick Setup'!$F$45,'Quick Setup'!$F51,if(DR10='Quick Setup'!$G$45,'Quick Setup'!$G51,if(DR10='Quick Setup'!$H$45,'Quick Setup'!$H51,if(DR10='Quick Setup'!$I$45,'Quick Setup'!$I51,if(DR10='Quick Setup'!$J$45,'Quick Setup'!$J51,if(DR10='Quick Setup'!$K$45,'Quick Setup'!$K51,if(DR10='Quick Setup'!$L$45,'Quick Setup'!$L51,if(DR10='Quick Setup'!$M$45,'Quick Setup'!$M51,if(DR10='Quick Setup'!$N$45,'Quick Setup'!$N51,if(DR10='Quick Setup'!$O$45,'Quick Setup'!$O51,if(DR10='Quick Setup'!$P$45,'Quick Setup'!$P51,if(DR10='Quick Setup'!$Q$45,'Quick Setup'!$Q51,if(DR10='Quick Setup'!$R$45,'Quick Setup'!$R51,if(DR10='Quick Setup'!$S$45,'Quick Setup'!$S51,if(DR10='Quick Setup'!$T$45,'Quick Setup'!$T51,if(DR10='Quick Setup'!$U$45,'Quick Setup'!$U51,if(DR10='Quick Setup'!$V$45,'Quick Setup'!$V51,'Quick Setup'!$W51))))))))))))))))))))</f>
        <v>3</v>
      </c>
      <c r="DU10" s="23">
        <f t="shared" ref="DU10:EC10" si="110">DI10</f>
        <v>5</v>
      </c>
      <c r="DV10" s="24">
        <f t="shared" si="110"/>
        <v>-0.05</v>
      </c>
      <c r="DW10" s="24">
        <f t="shared" si="110"/>
        <v>-0.02</v>
      </c>
      <c r="DX10" s="24">
        <f t="shared" si="110"/>
        <v>0</v>
      </c>
      <c r="DY10" s="24">
        <f t="shared" si="110"/>
        <v>0.005</v>
      </c>
      <c r="DZ10" s="24">
        <f t="shared" si="110"/>
        <v>0.01</v>
      </c>
      <c r="EA10" s="24">
        <f t="shared" si="110"/>
        <v>0.015</v>
      </c>
      <c r="EB10" s="24">
        <f t="shared" si="110"/>
        <v>0.02</v>
      </c>
      <c r="EC10" s="24">
        <f t="shared" si="110"/>
        <v>0.03</v>
      </c>
      <c r="ED10" s="20">
        <f>'Quick Setup'!N65</f>
        <v>0.725</v>
      </c>
      <c r="EE10" s="21">
        <f>if(ED10='Quick Setup'!$C$31,'Quick Setup'!$C37,if(ED10='Quick Setup'!$D$31,'Quick Setup'!$D37,if(ED10='Quick Setup'!$E$31,'Quick Setup'!$E37,if(ED10='Quick Setup'!$F$31,'Quick Setup'!$F37,if(ED10='Quick Setup'!$G$31,'Quick Setup'!$G37,if(ED10='Quick Setup'!$H$31,'Quick Setup'!$H37,if(ED10='Quick Setup'!$I$31,'Quick Setup'!$I37,if(ED10='Quick Setup'!$J$31,'Quick Setup'!$J37,if(ED10='Quick Setup'!$K$31,'Quick Setup'!$K37,if(ED10='Quick Setup'!$L$31,'Quick Setup'!$L37,if(ED10='Quick Setup'!$M$31,'Quick Setup'!$M37,if(ED10='Quick Setup'!$N$31,'Quick Setup'!$N37,if(ED10='Quick Setup'!$O$31,'Quick Setup'!$O37,if(ED10='Quick Setup'!$P$31,'Quick Setup'!$P37,if(ED10='Quick Setup'!$Q$31,'Quick Setup'!$Q37,if(ED10='Quick Setup'!$R$31,'Quick Setup'!$R37,if(ED10='Quick Setup'!$S$31,'Quick Setup'!$S37,if(ED10='Quick Setup'!$T$31,'Quick Setup'!$T37,if(ED10='Quick Setup'!$U$31,'Quick Setup'!$U37,if(ED10='Quick Setup'!$V$31,'Quick Setup'!$V37,'Quick Setup'!$W37))))))))))))))))))))</f>
        <v>5</v>
      </c>
      <c r="EF10" s="21">
        <f>if(ED10='Quick Setup'!$C$45,'Quick Setup'!$C51,if(ED10='Quick Setup'!$D$45,'Quick Setup'!$D51,if(ED10='Quick Setup'!$E$45,'Quick Setup'!$E51,if(ED10='Quick Setup'!$F$45,'Quick Setup'!$F51,if(ED10='Quick Setup'!$G$45,'Quick Setup'!$G51,if(ED10='Quick Setup'!$H$45,'Quick Setup'!$H51,if(ED10='Quick Setup'!$I$45,'Quick Setup'!$I51,if(ED10='Quick Setup'!$J$45,'Quick Setup'!$J51,if(ED10='Quick Setup'!$K$45,'Quick Setup'!$K51,if(ED10='Quick Setup'!$L$45,'Quick Setup'!$L51,if(ED10='Quick Setup'!$M$45,'Quick Setup'!$M51,if(ED10='Quick Setup'!$N$45,'Quick Setup'!$N51,if(ED10='Quick Setup'!$O$45,'Quick Setup'!$O51,if(ED10='Quick Setup'!$P$45,'Quick Setup'!$P51,if(ED10='Quick Setup'!$Q$45,'Quick Setup'!$Q51,if(ED10='Quick Setup'!$R$45,'Quick Setup'!$R51,if(ED10='Quick Setup'!$S$45,'Quick Setup'!$S51,if(ED10='Quick Setup'!$T$45,'Quick Setup'!$T51,if(ED10='Quick Setup'!$U$45,'Quick Setup'!$U51,if(ED10='Quick Setup'!$V$45,'Quick Setup'!$V51,'Quick Setup'!$W51))))))))))))))))))))</f>
        <v>3</v>
      </c>
      <c r="EG10" s="23">
        <f t="shared" ref="EG10:EO10" si="111">DU10</f>
        <v>5</v>
      </c>
      <c r="EH10" s="24">
        <f t="shared" si="111"/>
        <v>-0.05</v>
      </c>
      <c r="EI10" s="24">
        <f t="shared" si="111"/>
        <v>-0.02</v>
      </c>
      <c r="EJ10" s="24">
        <f t="shared" si="111"/>
        <v>0</v>
      </c>
      <c r="EK10" s="24">
        <f t="shared" si="111"/>
        <v>0.005</v>
      </c>
      <c r="EL10" s="24">
        <f t="shared" si="111"/>
        <v>0.01</v>
      </c>
      <c r="EM10" s="24">
        <f t="shared" si="111"/>
        <v>0.015</v>
      </c>
      <c r="EN10" s="24">
        <f t="shared" si="111"/>
        <v>0.02</v>
      </c>
      <c r="EO10" s="24">
        <f t="shared" si="111"/>
        <v>0.03</v>
      </c>
      <c r="EP10" s="20">
        <f>'Quick Setup'!O65</f>
        <v>0.775</v>
      </c>
      <c r="EQ10" s="21">
        <f>if(EP10='Quick Setup'!$C$31,'Quick Setup'!$C37,if(EP10='Quick Setup'!$D$31,'Quick Setup'!$D37,if(EP10='Quick Setup'!$E$31,'Quick Setup'!$E37,if(EP10='Quick Setup'!$F$31,'Quick Setup'!$F37,if(EP10='Quick Setup'!$G$31,'Quick Setup'!$G37,if(EP10='Quick Setup'!$H$31,'Quick Setup'!$H37,if(EP10='Quick Setup'!$I$31,'Quick Setup'!$I37,if(EP10='Quick Setup'!$J$31,'Quick Setup'!$J37,if(EP10='Quick Setup'!$K$31,'Quick Setup'!$K37,if(EP10='Quick Setup'!$L$31,'Quick Setup'!$L37,if(EP10='Quick Setup'!$M$31,'Quick Setup'!$M37,if(EP10='Quick Setup'!$N$31,'Quick Setup'!$N37,if(EP10='Quick Setup'!$O$31,'Quick Setup'!$O37,if(EP10='Quick Setup'!$P$31,'Quick Setup'!$P37,if(EP10='Quick Setup'!$Q$31,'Quick Setup'!$Q37,if(EP10='Quick Setup'!$R$31,'Quick Setup'!$R37,if(EP10='Quick Setup'!$S$31,'Quick Setup'!$S37,if(EP10='Quick Setup'!$T$31,'Quick Setup'!$T37,if(EP10='Quick Setup'!$U$31,'Quick Setup'!$U37,if(EP10='Quick Setup'!$V$31,'Quick Setup'!$V37,'Quick Setup'!$W37))))))))))))))))))))</f>
        <v>4</v>
      </c>
      <c r="ER10" s="21">
        <f>if(EP10='Quick Setup'!$C$45,'Quick Setup'!$C51,if(EP10='Quick Setup'!$D$45,'Quick Setup'!$D51,if(EP10='Quick Setup'!$E$45,'Quick Setup'!$E51,if(EP10='Quick Setup'!$F$45,'Quick Setup'!$F51,if(EP10='Quick Setup'!$G$45,'Quick Setup'!$G51,if(EP10='Quick Setup'!$H$45,'Quick Setup'!$H51,if(EP10='Quick Setup'!$I$45,'Quick Setup'!$I51,if(EP10='Quick Setup'!$J$45,'Quick Setup'!$J51,if(EP10='Quick Setup'!$K$45,'Quick Setup'!$K51,if(EP10='Quick Setup'!$L$45,'Quick Setup'!$L51,if(EP10='Quick Setup'!$M$45,'Quick Setup'!$M51,if(EP10='Quick Setup'!$N$45,'Quick Setup'!$N51,if(EP10='Quick Setup'!$O$45,'Quick Setup'!$O51,if(EP10='Quick Setup'!$P$45,'Quick Setup'!$P51,if(EP10='Quick Setup'!$Q$45,'Quick Setup'!$Q51,if(EP10='Quick Setup'!$R$45,'Quick Setup'!$R51,if(EP10='Quick Setup'!$S$45,'Quick Setup'!$S51,if(EP10='Quick Setup'!$T$45,'Quick Setup'!$T51,if(EP10='Quick Setup'!$U$45,'Quick Setup'!$U51,if(EP10='Quick Setup'!$V$45,'Quick Setup'!$V51,'Quick Setup'!$W51))))))))))))))))))))</f>
        <v>2</v>
      </c>
      <c r="ES10" s="23">
        <f t="shared" ref="ES10:FA10" si="112">EG10</f>
        <v>5</v>
      </c>
      <c r="ET10" s="24">
        <f t="shared" si="112"/>
        <v>-0.05</v>
      </c>
      <c r="EU10" s="24">
        <f t="shared" si="112"/>
        <v>-0.02</v>
      </c>
      <c r="EV10" s="24">
        <f t="shared" si="112"/>
        <v>0</v>
      </c>
      <c r="EW10" s="24">
        <f t="shared" si="112"/>
        <v>0.005</v>
      </c>
      <c r="EX10" s="24">
        <f t="shared" si="112"/>
        <v>0.01</v>
      </c>
      <c r="EY10" s="24">
        <f t="shared" si="112"/>
        <v>0.015</v>
      </c>
      <c r="EZ10" s="24">
        <f t="shared" si="112"/>
        <v>0.02</v>
      </c>
      <c r="FA10" s="24">
        <f t="shared" si="112"/>
        <v>0.03</v>
      </c>
      <c r="FB10" s="20">
        <f>'Quick Setup'!P65</f>
        <v>0.5</v>
      </c>
      <c r="FC10" s="21">
        <f>if(FB10='Quick Setup'!$C$31,'Quick Setup'!$C37,if(FB10='Quick Setup'!$D$31,'Quick Setup'!$D37,if(FB10='Quick Setup'!$E$31,'Quick Setup'!$E37,if(FB10='Quick Setup'!$F$31,'Quick Setup'!$F37,if(FB10='Quick Setup'!$G$31,'Quick Setup'!$G37,if(FB10='Quick Setup'!$H$31,'Quick Setup'!$H37,if(FB10='Quick Setup'!$I$31,'Quick Setup'!$I37,if(FB10='Quick Setup'!$J$31,'Quick Setup'!$J37,if(FB10='Quick Setup'!$K$31,'Quick Setup'!$K37,if(FB10='Quick Setup'!$L$31,'Quick Setup'!$L37,if(FB10='Quick Setup'!$M$31,'Quick Setup'!$M37,if(FB10='Quick Setup'!$N$31,'Quick Setup'!$N37,if(FB10='Quick Setup'!$O$31,'Quick Setup'!$O37,if(FB10='Quick Setup'!$P$31,'Quick Setup'!$P37,if(FB10='Quick Setup'!$Q$31,'Quick Setup'!$Q37,if(FB10='Quick Setup'!$R$31,'Quick Setup'!$R37,if(FB10='Quick Setup'!$S$31,'Quick Setup'!$S37,if(FB10='Quick Setup'!$T$31,'Quick Setup'!$T37,if(FB10='Quick Setup'!$U$31,'Quick Setup'!$U37,if(FB10='Quick Setup'!$V$31,'Quick Setup'!$V37,'Quick Setup'!$W37))))))))))))))))))))</f>
        <v>8</v>
      </c>
      <c r="FD10" s="21">
        <f>if(FB10='Quick Setup'!$C$45,'Quick Setup'!$C51,if(FB10='Quick Setup'!$D$45,'Quick Setup'!$D51,if(FB10='Quick Setup'!$E$45,'Quick Setup'!$E51,if(FB10='Quick Setup'!$F$45,'Quick Setup'!$F51,if(FB10='Quick Setup'!$G$45,'Quick Setup'!$G51,if(FB10='Quick Setup'!$H$45,'Quick Setup'!$H51,if(FB10='Quick Setup'!$I$45,'Quick Setup'!$I51,if(FB10='Quick Setup'!$J$45,'Quick Setup'!$J51,if(FB10='Quick Setup'!$K$45,'Quick Setup'!$K51,if(FB10='Quick Setup'!$L$45,'Quick Setup'!$L51,if(FB10='Quick Setup'!$M$45,'Quick Setup'!$M51,if(FB10='Quick Setup'!$N$45,'Quick Setup'!$N51,if(FB10='Quick Setup'!$O$45,'Quick Setup'!$O51,if(FB10='Quick Setup'!$P$45,'Quick Setup'!$P51,if(FB10='Quick Setup'!$Q$45,'Quick Setup'!$Q51,if(FB10='Quick Setup'!$R$45,'Quick Setup'!$R51,if(FB10='Quick Setup'!$S$45,'Quick Setup'!$S51,if(FB10='Quick Setup'!$T$45,'Quick Setup'!$T51,if(FB10='Quick Setup'!$U$45,'Quick Setup'!$U51,if(FB10='Quick Setup'!$V$45,'Quick Setup'!$V51,'Quick Setup'!$W51))))))))))))))))))))</f>
        <v>3</v>
      </c>
      <c r="FE10" s="23">
        <f t="shared" ref="FE10:FM10" si="113">ES10</f>
        <v>5</v>
      </c>
      <c r="FF10" s="24">
        <f t="shared" si="113"/>
        <v>-0.05</v>
      </c>
      <c r="FG10" s="24">
        <f t="shared" si="113"/>
        <v>-0.02</v>
      </c>
      <c r="FH10" s="24">
        <f t="shared" si="113"/>
        <v>0</v>
      </c>
      <c r="FI10" s="24">
        <f t="shared" si="113"/>
        <v>0.005</v>
      </c>
      <c r="FJ10" s="24">
        <f t="shared" si="113"/>
        <v>0.01</v>
      </c>
      <c r="FK10" s="24">
        <f t="shared" si="113"/>
        <v>0.015</v>
      </c>
      <c r="FL10" s="24">
        <f t="shared" si="113"/>
        <v>0.02</v>
      </c>
      <c r="FM10" s="24">
        <f t="shared" si="113"/>
        <v>0.03</v>
      </c>
      <c r="FN10" s="20">
        <f>'Quick Setup'!Q65</f>
        <v>0.7</v>
      </c>
      <c r="FO10" s="21">
        <f>if(FN10='Quick Setup'!$C$31,'Quick Setup'!$C37,if(FN10='Quick Setup'!$D$31,'Quick Setup'!$D37,if(FN10='Quick Setup'!$E$31,'Quick Setup'!$E37,if(FN10='Quick Setup'!$F$31,'Quick Setup'!$F37,if(FN10='Quick Setup'!$G$31,'Quick Setup'!$G37,if(FN10='Quick Setup'!$H$31,'Quick Setup'!$H37,if(FN10='Quick Setup'!$I$31,'Quick Setup'!$I37,if(FN10='Quick Setup'!$J$31,'Quick Setup'!$J37,if(FN10='Quick Setup'!$K$31,'Quick Setup'!$K37,if(FN10='Quick Setup'!$L$31,'Quick Setup'!$L37,if(FN10='Quick Setup'!$M$31,'Quick Setup'!$M37,if(FN10='Quick Setup'!$N$31,'Quick Setup'!$N37,if(FN10='Quick Setup'!$O$31,'Quick Setup'!$O37,if(FN10='Quick Setup'!$P$31,'Quick Setup'!$P37,if(FN10='Quick Setup'!$Q$31,'Quick Setup'!$Q37,if(FN10='Quick Setup'!$R$31,'Quick Setup'!$R37,if(FN10='Quick Setup'!$S$31,'Quick Setup'!$S37,if(FN10='Quick Setup'!$T$31,'Quick Setup'!$T37,if(FN10='Quick Setup'!$U$31,'Quick Setup'!$U37,if(FN10='Quick Setup'!$V$31,'Quick Setup'!$V37,'Quick Setup'!$W37))))))))))))))))))))</f>
        <v>5</v>
      </c>
      <c r="FP10" s="21">
        <f>if(FN10='Quick Setup'!$C$45,'Quick Setup'!$C51,if(FN10='Quick Setup'!$D$45,'Quick Setup'!$D51,if(FN10='Quick Setup'!$E$45,'Quick Setup'!$E51,if(FN10='Quick Setup'!$F$45,'Quick Setup'!$F51,if(FN10='Quick Setup'!$G$45,'Quick Setup'!$G51,if(FN10='Quick Setup'!$H$45,'Quick Setup'!$H51,if(FN10='Quick Setup'!$I$45,'Quick Setup'!$I51,if(FN10='Quick Setup'!$J$45,'Quick Setup'!$J51,if(FN10='Quick Setup'!$K$45,'Quick Setup'!$K51,if(FN10='Quick Setup'!$L$45,'Quick Setup'!$L51,if(FN10='Quick Setup'!$M$45,'Quick Setup'!$M51,if(FN10='Quick Setup'!$N$45,'Quick Setup'!$N51,if(FN10='Quick Setup'!$O$45,'Quick Setup'!$O51,if(FN10='Quick Setup'!$P$45,'Quick Setup'!$P51,if(FN10='Quick Setup'!$Q$45,'Quick Setup'!$Q51,if(FN10='Quick Setup'!$R$45,'Quick Setup'!$R51,if(FN10='Quick Setup'!$S$45,'Quick Setup'!$S51,if(FN10='Quick Setup'!$T$45,'Quick Setup'!$T51,if(FN10='Quick Setup'!$U$45,'Quick Setup'!$U51,if(FN10='Quick Setup'!$V$45,'Quick Setup'!$V51,'Quick Setup'!$W51))))))))))))))))))))</f>
        <v>3</v>
      </c>
      <c r="FQ10" s="23">
        <f t="shared" ref="FQ10:FY10" si="114">FE10</f>
        <v>5</v>
      </c>
      <c r="FR10" s="24">
        <f t="shared" si="114"/>
        <v>-0.05</v>
      </c>
      <c r="FS10" s="24">
        <f t="shared" si="114"/>
        <v>-0.02</v>
      </c>
      <c r="FT10" s="24">
        <f t="shared" si="114"/>
        <v>0</v>
      </c>
      <c r="FU10" s="24">
        <f t="shared" si="114"/>
        <v>0.005</v>
      </c>
      <c r="FV10" s="24">
        <f t="shared" si="114"/>
        <v>0.01</v>
      </c>
      <c r="FW10" s="24">
        <f t="shared" si="114"/>
        <v>0.015</v>
      </c>
      <c r="FX10" s="24">
        <f t="shared" si="114"/>
        <v>0.02</v>
      </c>
      <c r="FY10" s="24">
        <f t="shared" si="114"/>
        <v>0.03</v>
      </c>
      <c r="FZ10" s="20">
        <f>'Quick Setup'!R65</f>
        <v>0.75</v>
      </c>
      <c r="GA10" s="21">
        <f>if(FZ10='Quick Setup'!$C$31,'Quick Setup'!$C37,if(FZ10='Quick Setup'!$D$31,'Quick Setup'!$D37,if(FZ10='Quick Setup'!$E$31,'Quick Setup'!$E37,if(FZ10='Quick Setup'!$F$31,'Quick Setup'!$F37,if(FZ10='Quick Setup'!$G$31,'Quick Setup'!$G37,if(FZ10='Quick Setup'!$H$31,'Quick Setup'!$H37,if(FZ10='Quick Setup'!$I$31,'Quick Setup'!$I37,if(FZ10='Quick Setup'!$J$31,'Quick Setup'!$J37,if(FZ10='Quick Setup'!$K$31,'Quick Setup'!$K37,if(FZ10='Quick Setup'!$L$31,'Quick Setup'!$L37,if(FZ10='Quick Setup'!$M$31,'Quick Setup'!$M37,if(FZ10='Quick Setup'!$N$31,'Quick Setup'!$N37,if(FZ10='Quick Setup'!$O$31,'Quick Setup'!$O37,if(FZ10='Quick Setup'!$P$31,'Quick Setup'!$P37,if(FZ10='Quick Setup'!$Q$31,'Quick Setup'!$Q37,if(FZ10='Quick Setup'!$R$31,'Quick Setup'!$R37,if(FZ10='Quick Setup'!$S$31,'Quick Setup'!$S37,if(FZ10='Quick Setup'!$T$31,'Quick Setup'!$T37,if(FZ10='Quick Setup'!$U$31,'Quick Setup'!$U37,if(FZ10='Quick Setup'!$V$31,'Quick Setup'!$V37,'Quick Setup'!$W37))))))))))))))))))))</f>
        <v>4</v>
      </c>
      <c r="GB10" s="21">
        <f>if(FZ10='Quick Setup'!$C$45,'Quick Setup'!$C51,if(FZ10='Quick Setup'!$D$45,'Quick Setup'!$D51,if(FZ10='Quick Setup'!$E$45,'Quick Setup'!$E51,if(FZ10='Quick Setup'!$F$45,'Quick Setup'!$F51,if(FZ10='Quick Setup'!$G$45,'Quick Setup'!$G51,if(FZ10='Quick Setup'!$H$45,'Quick Setup'!$H51,if(FZ10='Quick Setup'!$I$45,'Quick Setup'!$I51,if(FZ10='Quick Setup'!$J$45,'Quick Setup'!$J51,if(FZ10='Quick Setup'!$K$45,'Quick Setup'!$K51,if(FZ10='Quick Setup'!$L$45,'Quick Setup'!$L51,if(FZ10='Quick Setup'!$M$45,'Quick Setup'!$M51,if(FZ10='Quick Setup'!$N$45,'Quick Setup'!$N51,if(FZ10='Quick Setup'!$O$45,'Quick Setup'!$O51,if(FZ10='Quick Setup'!$P$45,'Quick Setup'!$P51,if(FZ10='Quick Setup'!$Q$45,'Quick Setup'!$Q51,if(FZ10='Quick Setup'!$R$45,'Quick Setup'!$R51,if(FZ10='Quick Setup'!$S$45,'Quick Setup'!$S51,if(FZ10='Quick Setup'!$T$45,'Quick Setup'!$T51,if(FZ10='Quick Setup'!$U$45,'Quick Setup'!$U51,if(FZ10='Quick Setup'!$V$45,'Quick Setup'!$V51,'Quick Setup'!$W51))))))))))))))))))))</f>
        <v>2</v>
      </c>
      <c r="GC10" s="23">
        <f t="shared" ref="GC10:GK10" si="115">FQ10</f>
        <v>5</v>
      </c>
      <c r="GD10" s="24">
        <f t="shared" si="115"/>
        <v>-0.05</v>
      </c>
      <c r="GE10" s="24">
        <f t="shared" si="115"/>
        <v>-0.02</v>
      </c>
      <c r="GF10" s="24">
        <f t="shared" si="115"/>
        <v>0</v>
      </c>
      <c r="GG10" s="24">
        <f t="shared" si="115"/>
        <v>0.005</v>
      </c>
      <c r="GH10" s="24">
        <f t="shared" si="115"/>
        <v>0.01</v>
      </c>
      <c r="GI10" s="24">
        <f t="shared" si="115"/>
        <v>0.015</v>
      </c>
      <c r="GJ10" s="24">
        <f t="shared" si="115"/>
        <v>0.02</v>
      </c>
      <c r="GK10" s="24">
        <f t="shared" si="115"/>
        <v>0.03</v>
      </c>
      <c r="GL10" s="20">
        <f>'Quick Setup'!S65</f>
        <v>0.8</v>
      </c>
      <c r="GM10" s="21">
        <f>if(GL10='Quick Setup'!$C$31,'Quick Setup'!$C37,if(GL10='Quick Setup'!$D$31,'Quick Setup'!$D37,if(GL10='Quick Setup'!$E$31,'Quick Setup'!$E37,if(GL10='Quick Setup'!$F$31,'Quick Setup'!$F37,if(GL10='Quick Setup'!$G$31,'Quick Setup'!$G37,if(GL10='Quick Setup'!$H$31,'Quick Setup'!$H37,if(GL10='Quick Setup'!$I$31,'Quick Setup'!$I37,if(GL10='Quick Setup'!$J$31,'Quick Setup'!$J37,if(GL10='Quick Setup'!$K$31,'Quick Setup'!$K37,if(GL10='Quick Setup'!$L$31,'Quick Setup'!$L37,if(GL10='Quick Setup'!$M$31,'Quick Setup'!$M37,if(GL10='Quick Setup'!$N$31,'Quick Setup'!$N37,if(GL10='Quick Setup'!$O$31,'Quick Setup'!$O37,if(GL10='Quick Setup'!$P$31,'Quick Setup'!$P37,if(GL10='Quick Setup'!$Q$31,'Quick Setup'!$Q37,if(GL10='Quick Setup'!$R$31,'Quick Setup'!$R37,if(GL10='Quick Setup'!$S$31,'Quick Setup'!$S37,if(GL10='Quick Setup'!$T$31,'Quick Setup'!$T37,if(GL10='Quick Setup'!$U$31,'Quick Setup'!$U37,if(GL10='Quick Setup'!$V$31,'Quick Setup'!$V37,'Quick Setup'!$W37))))))))))))))))))))</f>
        <v>3</v>
      </c>
      <c r="GN10" s="21">
        <f>if(GL10='Quick Setup'!$C$45,'Quick Setup'!$C51,if(GL10='Quick Setup'!$D$45,'Quick Setup'!$D51,if(GL10='Quick Setup'!$E$45,'Quick Setup'!$E51,if(GL10='Quick Setup'!$F$45,'Quick Setup'!$F51,if(GL10='Quick Setup'!$G$45,'Quick Setup'!$G51,if(GL10='Quick Setup'!$H$45,'Quick Setup'!$H51,if(GL10='Quick Setup'!$I$45,'Quick Setup'!$I51,if(GL10='Quick Setup'!$J$45,'Quick Setup'!$J51,if(GL10='Quick Setup'!$K$45,'Quick Setup'!$K51,if(GL10='Quick Setup'!$L$45,'Quick Setup'!$L51,if(GL10='Quick Setup'!$M$45,'Quick Setup'!$M51,if(GL10='Quick Setup'!$N$45,'Quick Setup'!$N51,if(GL10='Quick Setup'!$O$45,'Quick Setup'!$O51,if(GL10='Quick Setup'!$P$45,'Quick Setup'!$P51,if(GL10='Quick Setup'!$Q$45,'Quick Setup'!$Q51,if(GL10='Quick Setup'!$R$45,'Quick Setup'!$R51,if(GL10='Quick Setup'!$S$45,'Quick Setup'!$S51,if(GL10='Quick Setup'!$T$45,'Quick Setup'!$T51,if(GL10='Quick Setup'!$U$45,'Quick Setup'!$U51,if(GL10='Quick Setup'!$V$45,'Quick Setup'!$V51,'Quick Setup'!$W51))))))))))))))))))))</f>
        <v>2</v>
      </c>
      <c r="GO10" s="23">
        <f t="shared" ref="GO10:GW10" si="116">GC10</f>
        <v>5</v>
      </c>
      <c r="GP10" s="24">
        <f t="shared" si="116"/>
        <v>-0.05</v>
      </c>
      <c r="GQ10" s="24">
        <f t="shared" si="116"/>
        <v>-0.02</v>
      </c>
      <c r="GR10" s="24">
        <f t="shared" si="116"/>
        <v>0</v>
      </c>
      <c r="GS10" s="24">
        <f t="shared" si="116"/>
        <v>0.005</v>
      </c>
      <c r="GT10" s="24">
        <f t="shared" si="116"/>
        <v>0.01</v>
      </c>
      <c r="GU10" s="24">
        <f t="shared" si="116"/>
        <v>0.015</v>
      </c>
      <c r="GV10" s="24">
        <f t="shared" si="116"/>
        <v>0.02</v>
      </c>
      <c r="GW10" s="24">
        <f t="shared" si="116"/>
        <v>0.03</v>
      </c>
      <c r="GX10" s="20">
        <f>'Quick Setup'!T65</f>
        <v>0.75</v>
      </c>
      <c r="GY10" s="21">
        <f>if(GX10='Quick Setup'!$C$31,'Quick Setup'!$C37,if(GX10='Quick Setup'!$D$31,'Quick Setup'!$D37,if(GX10='Quick Setup'!$E$31,'Quick Setup'!$E37,if(GX10='Quick Setup'!$F$31,'Quick Setup'!$F37,if(GX10='Quick Setup'!$G$31,'Quick Setup'!$G37,if(GX10='Quick Setup'!$H$31,'Quick Setup'!$H37,if(GX10='Quick Setup'!$I$31,'Quick Setup'!$I37,if(GX10='Quick Setup'!$J$31,'Quick Setup'!$J37,if(GX10='Quick Setup'!$K$31,'Quick Setup'!$K37,if(GX10='Quick Setup'!$L$31,'Quick Setup'!$L37,if(GX10='Quick Setup'!$M$31,'Quick Setup'!$M37,if(GX10='Quick Setup'!$N$31,'Quick Setup'!$N37,if(GX10='Quick Setup'!$O$31,'Quick Setup'!$O37,if(GX10='Quick Setup'!$P$31,'Quick Setup'!$P37,if(GX10='Quick Setup'!$Q$31,'Quick Setup'!$Q37,if(GX10='Quick Setup'!$R$31,'Quick Setup'!$R37,if(GX10='Quick Setup'!$S$31,'Quick Setup'!$S37,if(GX10='Quick Setup'!$T$31,'Quick Setup'!$T37,if(GX10='Quick Setup'!$U$31,'Quick Setup'!$U37,if(GX10='Quick Setup'!$V$31,'Quick Setup'!$V37,'Quick Setup'!$W37))))))))))))))))))))</f>
        <v>4</v>
      </c>
      <c r="GZ10" s="21">
        <f>if(GX10='Quick Setup'!$C$45,'Quick Setup'!$C51,if(GX10='Quick Setup'!$D$45,'Quick Setup'!$D51,if(GX10='Quick Setup'!$E$45,'Quick Setup'!$E51,if(GX10='Quick Setup'!$F$45,'Quick Setup'!$F51,if(GX10='Quick Setup'!$G$45,'Quick Setup'!$G51,if(GX10='Quick Setup'!$H$45,'Quick Setup'!$H51,if(GX10='Quick Setup'!$I$45,'Quick Setup'!$I51,if(GX10='Quick Setup'!$J$45,'Quick Setup'!$J51,if(GX10='Quick Setup'!$K$45,'Quick Setup'!$K51,if(GX10='Quick Setup'!$L$45,'Quick Setup'!$L51,if(GX10='Quick Setup'!$M$45,'Quick Setup'!$M51,if(GX10='Quick Setup'!$N$45,'Quick Setup'!$N51,if(GX10='Quick Setup'!$O$45,'Quick Setup'!$O51,if(GX10='Quick Setup'!$P$45,'Quick Setup'!$P51,if(GX10='Quick Setup'!$Q$45,'Quick Setup'!$Q51,if(GX10='Quick Setup'!$R$45,'Quick Setup'!$R51,if(GX10='Quick Setup'!$S$45,'Quick Setup'!$S51,if(GX10='Quick Setup'!$T$45,'Quick Setup'!$T51,if(GX10='Quick Setup'!$U$45,'Quick Setup'!$U51,if(GX10='Quick Setup'!$V$45,'Quick Setup'!$V51,'Quick Setup'!$W51))))))))))))))))))))</f>
        <v>2</v>
      </c>
      <c r="HA10" s="23">
        <f t="shared" ref="HA10:HI10" si="117">GO10</f>
        <v>5</v>
      </c>
      <c r="HB10" s="24">
        <f t="shared" si="117"/>
        <v>-0.05</v>
      </c>
      <c r="HC10" s="24">
        <f t="shared" si="117"/>
        <v>-0.02</v>
      </c>
      <c r="HD10" s="24">
        <f t="shared" si="117"/>
        <v>0</v>
      </c>
      <c r="HE10" s="24">
        <f t="shared" si="117"/>
        <v>0.005</v>
      </c>
      <c r="HF10" s="24">
        <f t="shared" si="117"/>
        <v>0.01</v>
      </c>
      <c r="HG10" s="24">
        <f t="shared" si="117"/>
        <v>0.015</v>
      </c>
      <c r="HH10" s="24">
        <f t="shared" si="117"/>
        <v>0.02</v>
      </c>
      <c r="HI10" s="24">
        <f t="shared" si="117"/>
        <v>0.03</v>
      </c>
      <c r="HJ10" s="20">
        <f>'Quick Setup'!U65</f>
        <v>0.8</v>
      </c>
      <c r="HK10" s="21">
        <f>if(HJ10='Quick Setup'!$C$31,'Quick Setup'!$C37,if(HJ10='Quick Setup'!$D$31,'Quick Setup'!$D37,if(HJ10='Quick Setup'!$E$31,'Quick Setup'!$E37,if(HJ10='Quick Setup'!$F$31,'Quick Setup'!$F37,if(HJ10='Quick Setup'!$G$31,'Quick Setup'!$G37,if(HJ10='Quick Setup'!$H$31,'Quick Setup'!$H37,if(HJ10='Quick Setup'!$I$31,'Quick Setup'!$I37,if(HJ10='Quick Setup'!$J$31,'Quick Setup'!$J37,if(HJ10='Quick Setup'!$K$31,'Quick Setup'!$K37,if(HJ10='Quick Setup'!$L$31,'Quick Setup'!$L37,if(HJ10='Quick Setup'!$M$31,'Quick Setup'!$M37,if(HJ10='Quick Setup'!$N$31,'Quick Setup'!$N37,if(HJ10='Quick Setup'!$O$31,'Quick Setup'!$O37,if(HJ10='Quick Setup'!$P$31,'Quick Setup'!$P37,if(HJ10='Quick Setup'!$Q$31,'Quick Setup'!$Q37,if(HJ10='Quick Setup'!$R$31,'Quick Setup'!$R37,if(HJ10='Quick Setup'!$S$31,'Quick Setup'!$S37,if(HJ10='Quick Setup'!$T$31,'Quick Setup'!$T37,if(HJ10='Quick Setup'!$U$31,'Quick Setup'!$U37,if(HJ10='Quick Setup'!$V$31,'Quick Setup'!$V37,'Quick Setup'!$W37))))))))))))))))))))</f>
        <v>3</v>
      </c>
      <c r="HL10" s="21">
        <f>if(HJ10='Quick Setup'!$C$45,'Quick Setup'!$C51,if(HJ10='Quick Setup'!$D$45,'Quick Setup'!$D51,if(HJ10='Quick Setup'!$E$45,'Quick Setup'!$E51,if(HJ10='Quick Setup'!$F$45,'Quick Setup'!$F51,if(HJ10='Quick Setup'!$G$45,'Quick Setup'!$G51,if(HJ10='Quick Setup'!$H$45,'Quick Setup'!$H51,if(HJ10='Quick Setup'!$I$45,'Quick Setup'!$I51,if(HJ10='Quick Setup'!$J$45,'Quick Setup'!$J51,if(HJ10='Quick Setup'!$K$45,'Quick Setup'!$K51,if(HJ10='Quick Setup'!$L$45,'Quick Setup'!$L51,if(HJ10='Quick Setup'!$M$45,'Quick Setup'!$M51,if(HJ10='Quick Setup'!$N$45,'Quick Setup'!$N51,if(HJ10='Quick Setup'!$O$45,'Quick Setup'!$O51,if(HJ10='Quick Setup'!$P$45,'Quick Setup'!$P51,if(HJ10='Quick Setup'!$Q$45,'Quick Setup'!$Q51,if(HJ10='Quick Setup'!$R$45,'Quick Setup'!$R51,if(HJ10='Quick Setup'!$S$45,'Quick Setup'!$S51,if(HJ10='Quick Setup'!$T$45,'Quick Setup'!$T51,if(HJ10='Quick Setup'!$U$45,'Quick Setup'!$U51,if(HJ10='Quick Setup'!$V$45,'Quick Setup'!$V51,'Quick Setup'!$W51))))))))))))))))))))</f>
        <v>2</v>
      </c>
      <c r="HM10" s="23">
        <f t="shared" ref="HM10:HU10" si="118">HA10</f>
        <v>5</v>
      </c>
      <c r="HN10" s="24">
        <f t="shared" si="118"/>
        <v>-0.05</v>
      </c>
      <c r="HO10" s="24">
        <f t="shared" si="118"/>
        <v>-0.02</v>
      </c>
      <c r="HP10" s="24">
        <f t="shared" si="118"/>
        <v>0</v>
      </c>
      <c r="HQ10" s="24">
        <f t="shared" si="118"/>
        <v>0.005</v>
      </c>
      <c r="HR10" s="24">
        <f t="shared" si="118"/>
        <v>0.01</v>
      </c>
      <c r="HS10" s="24">
        <f t="shared" si="118"/>
        <v>0.015</v>
      </c>
      <c r="HT10" s="24">
        <f t="shared" si="118"/>
        <v>0.02</v>
      </c>
      <c r="HU10" s="24">
        <f t="shared" si="118"/>
        <v>0.03</v>
      </c>
      <c r="HV10" s="20">
        <f>'Quick Setup'!V65</f>
        <v>0.85</v>
      </c>
      <c r="HW10" s="21">
        <f>if(HV10='Quick Setup'!$C$31,'Quick Setup'!$C37,if(HV10='Quick Setup'!$D$31,'Quick Setup'!$D37,if(HV10='Quick Setup'!$E$31,'Quick Setup'!$E37,if(HV10='Quick Setup'!$F$31,'Quick Setup'!$F37,if(HV10='Quick Setup'!$G$31,'Quick Setup'!$G37,if(HV10='Quick Setup'!$H$31,'Quick Setup'!$H37,if(HV10='Quick Setup'!$I$31,'Quick Setup'!$I37,if(HV10='Quick Setup'!$J$31,'Quick Setup'!$J37,if(HV10='Quick Setup'!$K$31,'Quick Setup'!$K37,if(HV10='Quick Setup'!$L$31,'Quick Setup'!$L37,if(HV10='Quick Setup'!$M$31,'Quick Setup'!$M37,if(HV10='Quick Setup'!$N$31,'Quick Setup'!$N37,if(HV10='Quick Setup'!$O$31,'Quick Setup'!$O37,if(HV10='Quick Setup'!$P$31,'Quick Setup'!$P37,if(HV10='Quick Setup'!$Q$31,'Quick Setup'!$Q37,if(HV10='Quick Setup'!$R$31,'Quick Setup'!$R37,if(HV10='Quick Setup'!$S$31,'Quick Setup'!$S37,if(HV10='Quick Setup'!$T$31,'Quick Setup'!$T37,if(HV10='Quick Setup'!$U$31,'Quick Setup'!$U37,if(HV10='Quick Setup'!$V$31,'Quick Setup'!$V37,'Quick Setup'!$W37))))))))))))))))))))</f>
        <v>2</v>
      </c>
      <c r="HX10" s="21">
        <f>if(HV10='Quick Setup'!$C$45,'Quick Setup'!$C51,if(HV10='Quick Setup'!$D$45,'Quick Setup'!$D51,if(HV10='Quick Setup'!$E$45,'Quick Setup'!$E51,if(HV10='Quick Setup'!$F$45,'Quick Setup'!$F51,if(HV10='Quick Setup'!$G$45,'Quick Setup'!$G51,if(HV10='Quick Setup'!$H$45,'Quick Setup'!$H51,if(HV10='Quick Setup'!$I$45,'Quick Setup'!$I51,if(HV10='Quick Setup'!$J$45,'Quick Setup'!$J51,if(HV10='Quick Setup'!$K$45,'Quick Setup'!$K51,if(HV10='Quick Setup'!$L$45,'Quick Setup'!$L51,if(HV10='Quick Setup'!$M$45,'Quick Setup'!$M51,if(HV10='Quick Setup'!$N$45,'Quick Setup'!$N51,if(HV10='Quick Setup'!$O$45,'Quick Setup'!$O51,if(HV10='Quick Setup'!$P$45,'Quick Setup'!$P51,if(HV10='Quick Setup'!$Q$45,'Quick Setup'!$Q51,if(HV10='Quick Setup'!$R$45,'Quick Setup'!$R51,if(HV10='Quick Setup'!$S$45,'Quick Setup'!$S51,if(HV10='Quick Setup'!$T$45,'Quick Setup'!$T51,if(HV10='Quick Setup'!$U$45,'Quick Setup'!$U51,if(HV10='Quick Setup'!$V$45,'Quick Setup'!$V51,'Quick Setup'!$W51))))))))))))))))))))</f>
        <v>1</v>
      </c>
      <c r="HY10" s="23">
        <f t="shared" ref="HY10:IG10" si="119">HM10</f>
        <v>5</v>
      </c>
      <c r="HZ10" s="24">
        <f t="shared" si="119"/>
        <v>-0.05</v>
      </c>
      <c r="IA10" s="24">
        <f t="shared" si="119"/>
        <v>-0.02</v>
      </c>
      <c r="IB10" s="24">
        <f t="shared" si="119"/>
        <v>0</v>
      </c>
      <c r="IC10" s="24">
        <f t="shared" si="119"/>
        <v>0.005</v>
      </c>
      <c r="ID10" s="24">
        <f t="shared" si="119"/>
        <v>0.01</v>
      </c>
      <c r="IE10" s="24">
        <f t="shared" si="119"/>
        <v>0.015</v>
      </c>
      <c r="IF10" s="24">
        <f t="shared" si="119"/>
        <v>0.02</v>
      </c>
      <c r="IG10" s="24">
        <f t="shared" si="119"/>
        <v>0.03</v>
      </c>
      <c r="IH10" s="20">
        <f>'Quick Setup'!W65</f>
        <v>0.5</v>
      </c>
      <c r="II10" s="21">
        <f>if(IH10='Quick Setup'!$C$31,'Quick Setup'!$C37,if(IH10='Quick Setup'!$D$31,'Quick Setup'!$D37,if(IH10='Quick Setup'!$E$31,'Quick Setup'!$E37,if(IH10='Quick Setup'!$F$31,'Quick Setup'!$F37,if(IH10='Quick Setup'!$G$31,'Quick Setup'!$G37,if(IH10='Quick Setup'!$H$31,'Quick Setup'!$H37,if(IH10='Quick Setup'!$I$31,'Quick Setup'!$I37,if(IH10='Quick Setup'!$J$31,'Quick Setup'!$J37,if(IH10='Quick Setup'!$K$31,'Quick Setup'!$K37,if(IH10='Quick Setup'!$L$31,'Quick Setup'!$L37,if(IH10='Quick Setup'!$M$31,'Quick Setup'!$M37,if(IH10='Quick Setup'!$N$31,'Quick Setup'!$N37,if(IH10='Quick Setup'!$O$31,'Quick Setup'!$O37,if(IH10='Quick Setup'!$P$31,'Quick Setup'!$P37,if(IH10='Quick Setup'!$Q$31,'Quick Setup'!$Q37,if(IH10='Quick Setup'!$R$31,'Quick Setup'!$R37,if(IH10='Quick Setup'!$S$31,'Quick Setup'!$S37,if(IH10='Quick Setup'!$T$31,'Quick Setup'!$T37,if(IH10='Quick Setup'!$U$31,'Quick Setup'!$U37,if(IH10='Quick Setup'!$V$31,'Quick Setup'!$V37,'Quick Setup'!$W37))))))))))))))))))))</f>
        <v>8</v>
      </c>
      <c r="IJ10" s="21">
        <f>if(IH10='Quick Setup'!$C$45,'Quick Setup'!$C51,if(IH10='Quick Setup'!$D$45,'Quick Setup'!$D51,if(IH10='Quick Setup'!$E$45,'Quick Setup'!$E51,if(IH10='Quick Setup'!$F$45,'Quick Setup'!$F51,if(IH10='Quick Setup'!$G$45,'Quick Setup'!$G51,if(IH10='Quick Setup'!$H$45,'Quick Setup'!$H51,if(IH10='Quick Setup'!$I$45,'Quick Setup'!$I51,if(IH10='Quick Setup'!$J$45,'Quick Setup'!$J51,if(IH10='Quick Setup'!$K$45,'Quick Setup'!$K51,if(IH10='Quick Setup'!$L$45,'Quick Setup'!$L51,if(IH10='Quick Setup'!$M$45,'Quick Setup'!$M51,if(IH10='Quick Setup'!$N$45,'Quick Setup'!$N51,if(IH10='Quick Setup'!$O$45,'Quick Setup'!$O51,if(IH10='Quick Setup'!$P$45,'Quick Setup'!$P51,if(IH10='Quick Setup'!$Q$45,'Quick Setup'!$Q51,if(IH10='Quick Setup'!$R$45,'Quick Setup'!$R51,if(IH10='Quick Setup'!$S$45,'Quick Setup'!$S51,if(IH10='Quick Setup'!$T$45,'Quick Setup'!$T51,if(IH10='Quick Setup'!$U$45,'Quick Setup'!$U51,if(IH10='Quick Setup'!$V$45,'Quick Setup'!$V51,'Quick Setup'!$W51))))))))))))))))))))</f>
        <v>3</v>
      </c>
      <c r="IK10" s="23">
        <f t="shared" ref="IK10:IS10" si="120">HY10</f>
        <v>5</v>
      </c>
      <c r="IL10" s="24">
        <f t="shared" si="120"/>
        <v>-0.05</v>
      </c>
      <c r="IM10" s="24">
        <f t="shared" si="120"/>
        <v>-0.02</v>
      </c>
      <c r="IN10" s="24">
        <f t="shared" si="120"/>
        <v>0</v>
      </c>
      <c r="IO10" s="24">
        <f t="shared" si="120"/>
        <v>0.005</v>
      </c>
      <c r="IP10" s="24">
        <f t="shared" si="120"/>
        <v>0.01</v>
      </c>
      <c r="IQ10" s="24">
        <f t="shared" si="120"/>
        <v>0.015</v>
      </c>
      <c r="IR10" s="24">
        <f t="shared" si="120"/>
        <v>0.02</v>
      </c>
      <c r="IS10" s="24">
        <f t="shared" si="120"/>
        <v>0.03</v>
      </c>
    </row>
    <row r="11">
      <c r="A11" t="str">
        <f>'Quick Setup'!C13</f>
        <v>Close Grip Bench</v>
      </c>
      <c r="B11" s="20">
        <f>'Quick Setup'!C66</f>
        <v>0.6</v>
      </c>
      <c r="C11" s="21">
        <f>if(B11='Quick Setup'!$C$31,'Quick Setup'!$C38,if(B11='Quick Setup'!$D$31,'Quick Setup'!$D38,if(B11='Quick Setup'!$E$31,'Quick Setup'!$E38,if(B11='Quick Setup'!$F$31,'Quick Setup'!$F38,if(B11='Quick Setup'!$G$31,'Quick Setup'!$G38,if(B11='Quick Setup'!$H$31,'Quick Setup'!$H38,if(B11='Quick Setup'!$I$31,'Quick Setup'!$I38,if(B11='Quick Setup'!$J$31,'Quick Setup'!$J38,if(B11='Quick Setup'!$K$31,'Quick Setup'!$K38,if(B11='Quick Setup'!$L$31,'Quick Setup'!$L38,if(B11='Quick Setup'!$M$31,'Quick Setup'!$M38,if(B11='Quick Setup'!$N$31,'Quick Setup'!$N38,if(B11='Quick Setup'!$O$31,'Quick Setup'!$O38,if(B11='Quick Setup'!$P$31,'Quick Setup'!$P38,if(B11='Quick Setup'!$Q$31,'Quick Setup'!$Q38,if(B11='Quick Setup'!$R$31,'Quick Setup'!$R38,if(B11='Quick Setup'!$S$31,'Quick Setup'!$S38,if(B11='Quick Setup'!$T$31,'Quick Setup'!$T38,if(B11='Quick Setup'!$U$31,'Quick Setup'!$U38,if(B11='Quick Setup'!$V$31,'Quick Setup'!$V38,'Quick Setup'!$W38))))))))))))))))))))</f>
        <v>7</v>
      </c>
      <c r="D11" s="21">
        <f>if(B11='Quick Setup'!$C$45,'Quick Setup'!$C52,if(B11='Quick Setup'!$D$45,'Quick Setup'!$D52,if(B11='Quick Setup'!$E$45,'Quick Setup'!$E52,if(B11='Quick Setup'!$F$45,'Quick Setup'!$F52,if(B11='Quick Setup'!$G$45,'Quick Setup'!$G52,if(B11='Quick Setup'!$H$45,'Quick Setup'!$H52,if(B11='Quick Setup'!$I$45,'Quick Setup'!$I52,if(B11='Quick Setup'!$J$45,'Quick Setup'!$J52,if(B11='Quick Setup'!$K$45,'Quick Setup'!$K52,if(B11='Quick Setup'!$L$45,'Quick Setup'!$L52,if(B11='Quick Setup'!$M$45,'Quick Setup'!$M52,if(B11='Quick Setup'!$N$45,'Quick Setup'!$N52,if(B11='Quick Setup'!$O$45,'Quick Setup'!$O52,if(B11='Quick Setup'!$P$45,'Quick Setup'!$P52,if(B11='Quick Setup'!$Q$45,'Quick Setup'!$Q52,if(B11='Quick Setup'!$R$45,'Quick Setup'!$R52,if(B11='Quick Setup'!$S$45,'Quick Setup'!$S52,if(B11='Quick Setup'!$T$45,'Quick Setup'!$T52,if(B11='Quick Setup'!$U$45,'Quick Setup'!$U52,if(B11='Quick Setup'!$V$45,'Quick Setup'!$V52,'Quick Setup'!$W52))))))))))))))))))))</f>
        <v>3</v>
      </c>
      <c r="E11" s="21">
        <f>'Quick Setup'!H12</f>
        <v>5</v>
      </c>
      <c r="F11" s="22">
        <f>'Quick Setup'!I12</f>
        <v>-0.05</v>
      </c>
      <c r="G11" s="22">
        <f>'Quick Setup'!J12</f>
        <v>-0.02</v>
      </c>
      <c r="H11" s="22">
        <f>'Quick Setup'!K12</f>
        <v>0</v>
      </c>
      <c r="I11" s="22">
        <f>'Quick Setup'!L12</f>
        <v>0.005</v>
      </c>
      <c r="J11" s="22">
        <f>'Quick Setup'!M12</f>
        <v>0.01</v>
      </c>
      <c r="K11" s="22">
        <f>'Quick Setup'!N12</f>
        <v>0.015</v>
      </c>
      <c r="L11" s="22">
        <f>'Quick Setup'!O12</f>
        <v>0.02</v>
      </c>
      <c r="M11" s="22">
        <f>'Quick Setup'!P12</f>
        <v>0.03</v>
      </c>
      <c r="N11" s="20">
        <f>'Quick Setup'!D66</f>
        <v>0.65</v>
      </c>
      <c r="O11" s="21">
        <f>if(N11='Quick Setup'!$C$31,'Quick Setup'!$C38,if(N11='Quick Setup'!$D$31,'Quick Setup'!$D38,if(N11='Quick Setup'!$E$31,'Quick Setup'!$E38,if(N11='Quick Setup'!$F$31,'Quick Setup'!$F38,if(N11='Quick Setup'!$G$31,'Quick Setup'!$G38,if(N11='Quick Setup'!$H$31,'Quick Setup'!$H38,if(N11='Quick Setup'!$I$31,'Quick Setup'!$I38,if(N11='Quick Setup'!$J$31,'Quick Setup'!$J38,if(N11='Quick Setup'!$K$31,'Quick Setup'!$K38,if(N11='Quick Setup'!$L$31,'Quick Setup'!$L38,if(N11='Quick Setup'!$M$31,'Quick Setup'!$M38,if(N11='Quick Setup'!$N$31,'Quick Setup'!$N38,if(N11='Quick Setup'!$O$31,'Quick Setup'!$O38,if(N11='Quick Setup'!$P$31,'Quick Setup'!$P38,if(N11='Quick Setup'!$Q$31,'Quick Setup'!$Q38,if(N11='Quick Setup'!$R$31,'Quick Setup'!$R38,if(N11='Quick Setup'!$S$31,'Quick Setup'!$S38,if(N11='Quick Setup'!$T$31,'Quick Setup'!$T38,if(N11='Quick Setup'!$U$31,'Quick Setup'!$U38,if(N11='Quick Setup'!$V$31,'Quick Setup'!$V38,'Quick Setup'!$W38))))))))))))))))))))</f>
        <v>6</v>
      </c>
      <c r="P11" s="21">
        <f>if(N11='Quick Setup'!$C$45,'Quick Setup'!$C52,if(N11='Quick Setup'!$D$45,'Quick Setup'!$D52,if(N11='Quick Setup'!$E$45,'Quick Setup'!$E52,if(N11='Quick Setup'!$F$45,'Quick Setup'!$F52,if(N11='Quick Setup'!$G$45,'Quick Setup'!$G52,if(N11='Quick Setup'!$H$45,'Quick Setup'!$H52,if(N11='Quick Setup'!$I$45,'Quick Setup'!$I52,if(N11='Quick Setup'!$J$45,'Quick Setup'!$J52,if(N11='Quick Setup'!$K$45,'Quick Setup'!$K52,if(N11='Quick Setup'!$L$45,'Quick Setup'!$L52,if(N11='Quick Setup'!$M$45,'Quick Setup'!$M52,if(N11='Quick Setup'!$N$45,'Quick Setup'!$N52,if(N11='Quick Setup'!$O$45,'Quick Setup'!$O52,if(N11='Quick Setup'!$P$45,'Quick Setup'!$P52,if(N11='Quick Setup'!$Q$45,'Quick Setup'!$Q52,if(N11='Quick Setup'!$R$45,'Quick Setup'!$R52,if(N11='Quick Setup'!$S$45,'Quick Setup'!$S52,if(N11='Quick Setup'!$T$45,'Quick Setup'!$T52,if(N11='Quick Setup'!$U$45,'Quick Setup'!$U52,if(N11='Quick Setup'!$V$45,'Quick Setup'!$V52,'Quick Setup'!$W52))))))))))))))))))))</f>
        <v>3</v>
      </c>
      <c r="Q11" s="21">
        <f t="shared" ref="Q11:Y11" si="121">E11</f>
        <v>5</v>
      </c>
      <c r="R11" s="22">
        <f t="shared" si="121"/>
        <v>-0.05</v>
      </c>
      <c r="S11" s="22">
        <f t="shared" si="121"/>
        <v>-0.02</v>
      </c>
      <c r="T11" s="22">
        <f t="shared" si="121"/>
        <v>0</v>
      </c>
      <c r="U11" s="22">
        <f t="shared" si="121"/>
        <v>0.005</v>
      </c>
      <c r="V11" s="22">
        <f t="shared" si="121"/>
        <v>0.01</v>
      </c>
      <c r="W11" s="22">
        <f t="shared" si="121"/>
        <v>0.015</v>
      </c>
      <c r="X11" s="22">
        <f t="shared" si="121"/>
        <v>0.02</v>
      </c>
      <c r="Y11" s="22">
        <f t="shared" si="121"/>
        <v>0.03</v>
      </c>
      <c r="Z11" s="20">
        <f>'Quick Setup'!E66</f>
        <v>0.7</v>
      </c>
      <c r="AA11" s="21">
        <f>if(Z11='Quick Setup'!$C$31,'Quick Setup'!$C38,if(Z11='Quick Setup'!$D$31,'Quick Setup'!$D38,if(Z11='Quick Setup'!$E$31,'Quick Setup'!$E38,if(Z11='Quick Setup'!$F$31,'Quick Setup'!$F38,if(Z11='Quick Setup'!$G$31,'Quick Setup'!$G38,if(Z11='Quick Setup'!$H$31,'Quick Setup'!$H38,if(Z11='Quick Setup'!$I$31,'Quick Setup'!$I38,if(Z11='Quick Setup'!$J$31,'Quick Setup'!$J38,if(Z11='Quick Setup'!$K$31,'Quick Setup'!$K38,if(Z11='Quick Setup'!$L$31,'Quick Setup'!$L38,if(Z11='Quick Setup'!$M$31,'Quick Setup'!$M38,if(Z11='Quick Setup'!$N$31,'Quick Setup'!$N38,if(Z11='Quick Setup'!$O$31,'Quick Setup'!$O38,if(Z11='Quick Setup'!$P$31,'Quick Setup'!$P38,if(Z11='Quick Setup'!$Q$31,'Quick Setup'!$Q38,if(Z11='Quick Setup'!$R$31,'Quick Setup'!$R38,if(Z11='Quick Setup'!$S$31,'Quick Setup'!$S38,if(Z11='Quick Setup'!$T$31,'Quick Setup'!$T38,if(Z11='Quick Setup'!$U$31,'Quick Setup'!$U38,if(Z11='Quick Setup'!$V$31,'Quick Setup'!$V38,'Quick Setup'!$W38))))))))))))))))))))</f>
        <v>5</v>
      </c>
      <c r="AB11" s="21">
        <f>if(Z11='Quick Setup'!$C$45,'Quick Setup'!$C52,if(Z11='Quick Setup'!$D$45,'Quick Setup'!$D52,if(Z11='Quick Setup'!$E$45,'Quick Setup'!$E52,if(Z11='Quick Setup'!$F$45,'Quick Setup'!$F52,if(Z11='Quick Setup'!$G$45,'Quick Setup'!$G52,if(Z11='Quick Setup'!$H$45,'Quick Setup'!$H52,if(Z11='Quick Setup'!$I$45,'Quick Setup'!$I52,if(Z11='Quick Setup'!$J$45,'Quick Setup'!$J52,if(Z11='Quick Setup'!$K$45,'Quick Setup'!$K52,if(Z11='Quick Setup'!$L$45,'Quick Setup'!$L52,if(Z11='Quick Setup'!$M$45,'Quick Setup'!$M52,if(Z11='Quick Setup'!$N$45,'Quick Setup'!$N52,if(Z11='Quick Setup'!$O$45,'Quick Setup'!$O52,if(Z11='Quick Setup'!$P$45,'Quick Setup'!$P52,if(Z11='Quick Setup'!$Q$45,'Quick Setup'!$Q52,if(Z11='Quick Setup'!$R$45,'Quick Setup'!$R52,if(Z11='Quick Setup'!$S$45,'Quick Setup'!$S52,if(Z11='Quick Setup'!$T$45,'Quick Setup'!$T52,if(Z11='Quick Setup'!$U$45,'Quick Setup'!$U52,if(Z11='Quick Setup'!$V$45,'Quick Setup'!$V52,'Quick Setup'!$W52))))))))))))))))))))</f>
        <v>3</v>
      </c>
      <c r="AC11" s="21">
        <f t="shared" ref="AC11:AK11" si="122">Q11</f>
        <v>5</v>
      </c>
      <c r="AD11" s="22">
        <f t="shared" si="122"/>
        <v>-0.05</v>
      </c>
      <c r="AE11" s="22">
        <f t="shared" si="122"/>
        <v>-0.02</v>
      </c>
      <c r="AF11" s="22">
        <f t="shared" si="122"/>
        <v>0</v>
      </c>
      <c r="AG11" s="22">
        <f t="shared" si="122"/>
        <v>0.005</v>
      </c>
      <c r="AH11" s="22">
        <f t="shared" si="122"/>
        <v>0.01</v>
      </c>
      <c r="AI11" s="22">
        <f t="shared" si="122"/>
        <v>0.015</v>
      </c>
      <c r="AJ11" s="22">
        <f t="shared" si="122"/>
        <v>0.02</v>
      </c>
      <c r="AK11" s="22">
        <f t="shared" si="122"/>
        <v>0.03</v>
      </c>
      <c r="AL11" s="20">
        <f>'Quick Setup'!F66</f>
        <v>0.625</v>
      </c>
      <c r="AM11" s="21">
        <f>if(AL11='Quick Setup'!$C$31,'Quick Setup'!$C38,if(AL11='Quick Setup'!$D$31,'Quick Setup'!$D38,if(AL11='Quick Setup'!$E$31,'Quick Setup'!$E38,if(AL11='Quick Setup'!$F$31,'Quick Setup'!$F38,if(AL11='Quick Setup'!$G$31,'Quick Setup'!$G38,if(AL11='Quick Setup'!$H$31,'Quick Setup'!$H38,if(AL11='Quick Setup'!$I$31,'Quick Setup'!$I38,if(AL11='Quick Setup'!$J$31,'Quick Setup'!$J38,if(AL11='Quick Setup'!$K$31,'Quick Setup'!$K38,if(AL11='Quick Setup'!$L$31,'Quick Setup'!$L38,if(AL11='Quick Setup'!$M$31,'Quick Setup'!$M38,if(AL11='Quick Setup'!$N$31,'Quick Setup'!$N38,if(AL11='Quick Setup'!$O$31,'Quick Setup'!$O38,if(AL11='Quick Setup'!$P$31,'Quick Setup'!$P38,if(AL11='Quick Setup'!$Q$31,'Quick Setup'!$Q38,if(AL11='Quick Setup'!$R$31,'Quick Setup'!$R38,if(AL11='Quick Setup'!$S$31,'Quick Setup'!$S38,if(AL11='Quick Setup'!$T$31,'Quick Setup'!$T38,if(AL11='Quick Setup'!$U$31,'Quick Setup'!$U38,if(AL11='Quick Setup'!$V$31,'Quick Setup'!$V38,'Quick Setup'!$W38))))))))))))))))))))</f>
        <v>7</v>
      </c>
      <c r="AN11" s="21">
        <f>if(AL11='Quick Setup'!$C$45,'Quick Setup'!$C52,if(AL11='Quick Setup'!$D$45,'Quick Setup'!$D52,if(AL11='Quick Setup'!$E$45,'Quick Setup'!$E52,if(AL11='Quick Setup'!$F$45,'Quick Setup'!$F52,if(AL11='Quick Setup'!$G$45,'Quick Setup'!$G52,if(AL11='Quick Setup'!$H$45,'Quick Setup'!$H52,if(AL11='Quick Setup'!$I$45,'Quick Setup'!$I52,if(AL11='Quick Setup'!$J$45,'Quick Setup'!$J52,if(AL11='Quick Setup'!$K$45,'Quick Setup'!$K52,if(AL11='Quick Setup'!$L$45,'Quick Setup'!$L52,if(AL11='Quick Setup'!$M$45,'Quick Setup'!$M52,if(AL11='Quick Setup'!$N$45,'Quick Setup'!$N52,if(AL11='Quick Setup'!$O$45,'Quick Setup'!$O52,if(AL11='Quick Setup'!$P$45,'Quick Setup'!$P52,if(AL11='Quick Setup'!$Q$45,'Quick Setup'!$Q52,if(AL11='Quick Setup'!$R$45,'Quick Setup'!$R52,if(AL11='Quick Setup'!$S$45,'Quick Setup'!$S52,if(AL11='Quick Setup'!$T$45,'Quick Setup'!$T52,if(AL11='Quick Setup'!$U$45,'Quick Setup'!$U52,if(AL11='Quick Setup'!$V$45,'Quick Setup'!$V52,'Quick Setup'!$W52))))))))))))))))))))</f>
        <v>3</v>
      </c>
      <c r="AO11" s="21">
        <f t="shared" ref="AO11:AW11" si="123">AC11</f>
        <v>5</v>
      </c>
      <c r="AP11" s="22">
        <f t="shared" si="123"/>
        <v>-0.05</v>
      </c>
      <c r="AQ11" s="22">
        <f t="shared" si="123"/>
        <v>-0.02</v>
      </c>
      <c r="AR11" s="22">
        <f t="shared" si="123"/>
        <v>0</v>
      </c>
      <c r="AS11" s="22">
        <f t="shared" si="123"/>
        <v>0.005</v>
      </c>
      <c r="AT11" s="22">
        <f t="shared" si="123"/>
        <v>0.01</v>
      </c>
      <c r="AU11" s="22">
        <f t="shared" si="123"/>
        <v>0.015</v>
      </c>
      <c r="AV11" s="22">
        <f t="shared" si="123"/>
        <v>0.02</v>
      </c>
      <c r="AW11" s="22">
        <f t="shared" si="123"/>
        <v>0.03</v>
      </c>
      <c r="AX11" s="20">
        <f>'Quick Setup'!G66</f>
        <v>0.675</v>
      </c>
      <c r="AY11" s="21">
        <f>if(AX11='Quick Setup'!$C$31,'Quick Setup'!$C38,if(AX11='Quick Setup'!$D$31,'Quick Setup'!$D38,if(AX11='Quick Setup'!$E$31,'Quick Setup'!$E38,if(AX11='Quick Setup'!$F$31,'Quick Setup'!$F38,if(AX11='Quick Setup'!$G$31,'Quick Setup'!$G38,if(AX11='Quick Setup'!$H$31,'Quick Setup'!$H38,if(AX11='Quick Setup'!$I$31,'Quick Setup'!$I38,if(AX11='Quick Setup'!$J$31,'Quick Setup'!$J38,if(AX11='Quick Setup'!$K$31,'Quick Setup'!$K38,if(AX11='Quick Setup'!$L$31,'Quick Setup'!$L38,if(AX11='Quick Setup'!$M$31,'Quick Setup'!$M38,if(AX11='Quick Setup'!$N$31,'Quick Setup'!$N38,if(AX11='Quick Setup'!$O$31,'Quick Setup'!$O38,if(AX11='Quick Setup'!$P$31,'Quick Setup'!$P38,if(AX11='Quick Setup'!$Q$31,'Quick Setup'!$Q38,if(AX11='Quick Setup'!$R$31,'Quick Setup'!$R38,if(AX11='Quick Setup'!$S$31,'Quick Setup'!$S38,if(AX11='Quick Setup'!$T$31,'Quick Setup'!$T38,if(AX11='Quick Setup'!$U$31,'Quick Setup'!$U38,if(AX11='Quick Setup'!$V$31,'Quick Setup'!$V38,'Quick Setup'!$W38))))))))))))))))))))</f>
        <v>6</v>
      </c>
      <c r="AZ11" s="21">
        <f>if(AX11='Quick Setup'!$C$45,'Quick Setup'!$C52,if(AX11='Quick Setup'!$D$45,'Quick Setup'!$D52,if(AX11='Quick Setup'!$E$45,'Quick Setup'!$E52,if(AX11='Quick Setup'!$F$45,'Quick Setup'!$F52,if(AX11='Quick Setup'!$G$45,'Quick Setup'!$G52,if(AX11='Quick Setup'!$H$45,'Quick Setup'!$H52,if(AX11='Quick Setup'!$I$45,'Quick Setup'!$I52,if(AX11='Quick Setup'!$J$45,'Quick Setup'!$J52,if(AX11='Quick Setup'!$K$45,'Quick Setup'!$K52,if(AX11='Quick Setup'!$L$45,'Quick Setup'!$L52,if(AX11='Quick Setup'!$M$45,'Quick Setup'!$M52,if(AX11='Quick Setup'!$N$45,'Quick Setup'!$N52,if(AX11='Quick Setup'!$O$45,'Quick Setup'!$O52,if(AX11='Quick Setup'!$P$45,'Quick Setup'!$P52,if(AX11='Quick Setup'!$Q$45,'Quick Setup'!$Q52,if(AX11='Quick Setup'!$R$45,'Quick Setup'!$R52,if(AX11='Quick Setup'!$S$45,'Quick Setup'!$S52,if(AX11='Quick Setup'!$T$45,'Quick Setup'!$T52,if(AX11='Quick Setup'!$U$45,'Quick Setup'!$U52,if(AX11='Quick Setup'!$V$45,'Quick Setup'!$V52,'Quick Setup'!$W52))))))))))))))))))))</f>
        <v>3</v>
      </c>
      <c r="BA11" s="21">
        <f t="shared" ref="BA11:BI11" si="124">AO11</f>
        <v>5</v>
      </c>
      <c r="BB11" s="22">
        <f t="shared" si="124"/>
        <v>-0.05</v>
      </c>
      <c r="BC11" s="22">
        <f t="shared" si="124"/>
        <v>-0.02</v>
      </c>
      <c r="BD11" s="22">
        <f t="shared" si="124"/>
        <v>0</v>
      </c>
      <c r="BE11" s="22">
        <f t="shared" si="124"/>
        <v>0.005</v>
      </c>
      <c r="BF11" s="22">
        <f t="shared" si="124"/>
        <v>0.01</v>
      </c>
      <c r="BG11" s="22">
        <f t="shared" si="124"/>
        <v>0.015</v>
      </c>
      <c r="BH11" s="22">
        <f t="shared" si="124"/>
        <v>0.02</v>
      </c>
      <c r="BI11" s="22">
        <f t="shared" si="124"/>
        <v>0.03</v>
      </c>
      <c r="BJ11" s="20">
        <f>'Quick Setup'!H66</f>
        <v>0.725</v>
      </c>
      <c r="BK11" s="21">
        <f>if(BJ11='Quick Setup'!$C$31,'Quick Setup'!$C38,if(BJ11='Quick Setup'!$D$31,'Quick Setup'!$D38,if(BJ11='Quick Setup'!$E$31,'Quick Setup'!$E38,if(BJ11='Quick Setup'!$F$31,'Quick Setup'!$F38,if(BJ11='Quick Setup'!$G$31,'Quick Setup'!$G38,if(BJ11='Quick Setup'!$H$31,'Quick Setup'!$H38,if(BJ11='Quick Setup'!$I$31,'Quick Setup'!$I38,if(BJ11='Quick Setup'!$J$31,'Quick Setup'!$J38,if(BJ11='Quick Setup'!$K$31,'Quick Setup'!$K38,if(BJ11='Quick Setup'!$L$31,'Quick Setup'!$L38,if(BJ11='Quick Setup'!$M$31,'Quick Setup'!$M38,if(BJ11='Quick Setup'!$N$31,'Quick Setup'!$N38,if(BJ11='Quick Setup'!$O$31,'Quick Setup'!$O38,if(BJ11='Quick Setup'!$P$31,'Quick Setup'!$P38,if(BJ11='Quick Setup'!$Q$31,'Quick Setup'!$Q38,if(BJ11='Quick Setup'!$R$31,'Quick Setup'!$R38,if(BJ11='Quick Setup'!$S$31,'Quick Setup'!$S38,if(BJ11='Quick Setup'!$T$31,'Quick Setup'!$T38,if(BJ11='Quick Setup'!$U$31,'Quick Setup'!$U38,if(BJ11='Quick Setup'!$V$31,'Quick Setup'!$V38,'Quick Setup'!$W38))))))))))))))))))))</f>
        <v>5</v>
      </c>
      <c r="BL11" s="21">
        <f>if(BJ11='Quick Setup'!$C$45,'Quick Setup'!$C52,if(BJ11='Quick Setup'!$D$45,'Quick Setup'!$D52,if(BJ11='Quick Setup'!$E$45,'Quick Setup'!$E52,if(BJ11='Quick Setup'!$F$45,'Quick Setup'!$F52,if(BJ11='Quick Setup'!$G$45,'Quick Setup'!$G52,if(BJ11='Quick Setup'!$H$45,'Quick Setup'!$H52,if(BJ11='Quick Setup'!$I$45,'Quick Setup'!$I52,if(BJ11='Quick Setup'!$J$45,'Quick Setup'!$J52,if(BJ11='Quick Setup'!$K$45,'Quick Setup'!$K52,if(BJ11='Quick Setup'!$L$45,'Quick Setup'!$L52,if(BJ11='Quick Setup'!$M$45,'Quick Setup'!$M52,if(BJ11='Quick Setup'!$N$45,'Quick Setup'!$N52,if(BJ11='Quick Setup'!$O$45,'Quick Setup'!$O52,if(BJ11='Quick Setup'!$P$45,'Quick Setup'!$P52,if(BJ11='Quick Setup'!$Q$45,'Quick Setup'!$Q52,if(BJ11='Quick Setup'!$R$45,'Quick Setup'!$R52,if(BJ11='Quick Setup'!$S$45,'Quick Setup'!$S52,if(BJ11='Quick Setup'!$T$45,'Quick Setup'!$T52,if(BJ11='Quick Setup'!$U$45,'Quick Setup'!$U52,if(BJ11='Quick Setup'!$V$45,'Quick Setup'!$V52,'Quick Setup'!$W52))))))))))))))))))))</f>
        <v>3</v>
      </c>
      <c r="BM11" s="23">
        <f t="shared" ref="BM11:BU11" si="125">BA11</f>
        <v>5</v>
      </c>
      <c r="BN11" s="24">
        <f t="shared" si="125"/>
        <v>-0.05</v>
      </c>
      <c r="BO11" s="24">
        <f t="shared" si="125"/>
        <v>-0.02</v>
      </c>
      <c r="BP11" s="24">
        <f t="shared" si="125"/>
        <v>0</v>
      </c>
      <c r="BQ11" s="24">
        <f t="shared" si="125"/>
        <v>0.005</v>
      </c>
      <c r="BR11" s="24">
        <f t="shared" si="125"/>
        <v>0.01</v>
      </c>
      <c r="BS11" s="24">
        <f t="shared" si="125"/>
        <v>0.015</v>
      </c>
      <c r="BT11" s="24">
        <f t="shared" si="125"/>
        <v>0.02</v>
      </c>
      <c r="BU11" s="24">
        <f t="shared" si="125"/>
        <v>0.03</v>
      </c>
      <c r="BV11" s="20">
        <f>'Quick Setup'!I66</f>
        <v>0.5</v>
      </c>
      <c r="BW11" s="21">
        <f>if(BV11='Quick Setup'!$C$31,'Quick Setup'!$C38,if(BV11='Quick Setup'!$D$31,'Quick Setup'!$D38,if(BV11='Quick Setup'!$E$31,'Quick Setup'!$E38,if(BV11='Quick Setup'!$F$31,'Quick Setup'!$F38,if(BV11='Quick Setup'!$G$31,'Quick Setup'!$G38,if(BV11='Quick Setup'!$H$31,'Quick Setup'!$H38,if(BV11='Quick Setup'!$I$31,'Quick Setup'!$I38,if(BV11='Quick Setup'!$J$31,'Quick Setup'!$J38,if(BV11='Quick Setup'!$K$31,'Quick Setup'!$K38,if(BV11='Quick Setup'!$L$31,'Quick Setup'!$L38,if(BV11='Quick Setup'!$M$31,'Quick Setup'!$M38,if(BV11='Quick Setup'!$N$31,'Quick Setup'!$N38,if(BV11='Quick Setup'!$O$31,'Quick Setup'!$O38,if(BV11='Quick Setup'!$P$31,'Quick Setup'!$P38,if(BV11='Quick Setup'!$Q$31,'Quick Setup'!$Q38,if(BV11='Quick Setup'!$R$31,'Quick Setup'!$R38,if(BV11='Quick Setup'!$S$31,'Quick Setup'!$S38,if(BV11='Quick Setup'!$T$31,'Quick Setup'!$T38,if(BV11='Quick Setup'!$U$31,'Quick Setup'!$U38,if(BV11='Quick Setup'!$V$31,'Quick Setup'!$V38,'Quick Setup'!$W38))))))))))))))))))))</f>
        <v>8</v>
      </c>
      <c r="BX11" s="21">
        <f>if(BV11='Quick Setup'!$C$45,'Quick Setup'!$C52,if(BV11='Quick Setup'!$D$45,'Quick Setup'!$D52,if(BV11='Quick Setup'!$E$45,'Quick Setup'!$E52,if(BV11='Quick Setup'!$F$45,'Quick Setup'!$F52,if(BV11='Quick Setup'!$G$45,'Quick Setup'!$G52,if(BV11='Quick Setup'!$H$45,'Quick Setup'!$H52,if(BV11='Quick Setup'!$I$45,'Quick Setup'!$I52,if(BV11='Quick Setup'!$J$45,'Quick Setup'!$J52,if(BV11='Quick Setup'!$K$45,'Quick Setup'!$K52,if(BV11='Quick Setup'!$L$45,'Quick Setup'!$L52,if(BV11='Quick Setup'!$M$45,'Quick Setup'!$M52,if(BV11='Quick Setup'!$N$45,'Quick Setup'!$N52,if(BV11='Quick Setup'!$O$45,'Quick Setup'!$O52,if(BV11='Quick Setup'!$P$45,'Quick Setup'!$P52,if(BV11='Quick Setup'!$Q$45,'Quick Setup'!$Q52,if(BV11='Quick Setup'!$R$45,'Quick Setup'!$R52,if(BV11='Quick Setup'!$S$45,'Quick Setup'!$S52,if(BV11='Quick Setup'!$T$45,'Quick Setup'!$T52,if(BV11='Quick Setup'!$U$45,'Quick Setup'!$U52,if(BV11='Quick Setup'!$V$45,'Quick Setup'!$V52,'Quick Setup'!$W52))))))))))))))))))))</f>
        <v>3</v>
      </c>
      <c r="BY11" s="23">
        <f t="shared" ref="BY11:CG11" si="126">BM11</f>
        <v>5</v>
      </c>
      <c r="BZ11" s="24">
        <f t="shared" si="126"/>
        <v>-0.05</v>
      </c>
      <c r="CA11" s="24">
        <f t="shared" si="126"/>
        <v>-0.02</v>
      </c>
      <c r="CB11" s="24">
        <f t="shared" si="126"/>
        <v>0</v>
      </c>
      <c r="CC11" s="24">
        <f t="shared" si="126"/>
        <v>0.005</v>
      </c>
      <c r="CD11" s="24">
        <f t="shared" si="126"/>
        <v>0.01</v>
      </c>
      <c r="CE11" s="24">
        <f t="shared" si="126"/>
        <v>0.015</v>
      </c>
      <c r="CF11" s="24">
        <f t="shared" si="126"/>
        <v>0.02</v>
      </c>
      <c r="CG11" s="24">
        <f t="shared" si="126"/>
        <v>0.03</v>
      </c>
      <c r="CH11" s="20">
        <f>'Quick Setup'!J66</f>
        <v>0.65</v>
      </c>
      <c r="CI11" s="21">
        <f>if(CH11='Quick Setup'!$C$31,'Quick Setup'!$C38,if(CH11='Quick Setup'!$D$31,'Quick Setup'!$D38,if(CH11='Quick Setup'!$E$31,'Quick Setup'!$E38,if(CH11='Quick Setup'!$F$31,'Quick Setup'!$F38,if(CH11='Quick Setup'!$G$31,'Quick Setup'!$G38,if(CH11='Quick Setup'!$H$31,'Quick Setup'!$H38,if(CH11='Quick Setup'!$I$31,'Quick Setup'!$I38,if(CH11='Quick Setup'!$J$31,'Quick Setup'!$J38,if(CH11='Quick Setup'!$K$31,'Quick Setup'!$K38,if(CH11='Quick Setup'!$L$31,'Quick Setup'!$L38,if(CH11='Quick Setup'!$M$31,'Quick Setup'!$M38,if(CH11='Quick Setup'!$N$31,'Quick Setup'!$N38,if(CH11='Quick Setup'!$O$31,'Quick Setup'!$O38,if(CH11='Quick Setup'!$P$31,'Quick Setup'!$P38,if(CH11='Quick Setup'!$Q$31,'Quick Setup'!$Q38,if(CH11='Quick Setup'!$R$31,'Quick Setup'!$R38,if(CH11='Quick Setup'!$S$31,'Quick Setup'!$S38,if(CH11='Quick Setup'!$T$31,'Quick Setup'!$T38,if(CH11='Quick Setup'!$U$31,'Quick Setup'!$U38,if(CH11='Quick Setup'!$V$31,'Quick Setup'!$V38,'Quick Setup'!$W38))))))))))))))))))))</f>
        <v>6</v>
      </c>
      <c r="CJ11" s="21">
        <f>if(CH11='Quick Setup'!$C$45,'Quick Setup'!$C52,if(CH11='Quick Setup'!$D$45,'Quick Setup'!$D52,if(CH11='Quick Setup'!$E$45,'Quick Setup'!$E52,if(CH11='Quick Setup'!$F$45,'Quick Setup'!$F52,if(CH11='Quick Setup'!$G$45,'Quick Setup'!$G52,if(CH11='Quick Setup'!$H$45,'Quick Setup'!$H52,if(CH11='Quick Setup'!$I$45,'Quick Setup'!$I52,if(CH11='Quick Setup'!$J$45,'Quick Setup'!$J52,if(CH11='Quick Setup'!$K$45,'Quick Setup'!$K52,if(CH11='Quick Setup'!$L$45,'Quick Setup'!$L52,if(CH11='Quick Setup'!$M$45,'Quick Setup'!$M52,if(CH11='Quick Setup'!$N$45,'Quick Setup'!$N52,if(CH11='Quick Setup'!$O$45,'Quick Setup'!$O52,if(CH11='Quick Setup'!$P$45,'Quick Setup'!$P52,if(CH11='Quick Setup'!$Q$45,'Quick Setup'!$Q52,if(CH11='Quick Setup'!$R$45,'Quick Setup'!$R52,if(CH11='Quick Setup'!$S$45,'Quick Setup'!$S52,if(CH11='Quick Setup'!$T$45,'Quick Setup'!$T52,if(CH11='Quick Setup'!$U$45,'Quick Setup'!$U52,if(CH11='Quick Setup'!$V$45,'Quick Setup'!$V52,'Quick Setup'!$W52))))))))))))))))))))</f>
        <v>3</v>
      </c>
      <c r="CK11" s="23">
        <f t="shared" ref="CK11:CS11" si="127">BY11</f>
        <v>5</v>
      </c>
      <c r="CL11" s="24">
        <f t="shared" si="127"/>
        <v>-0.05</v>
      </c>
      <c r="CM11" s="24">
        <f t="shared" si="127"/>
        <v>-0.02</v>
      </c>
      <c r="CN11" s="24">
        <f t="shared" si="127"/>
        <v>0</v>
      </c>
      <c r="CO11" s="24">
        <f t="shared" si="127"/>
        <v>0.005</v>
      </c>
      <c r="CP11" s="24">
        <f t="shared" si="127"/>
        <v>0.01</v>
      </c>
      <c r="CQ11" s="24">
        <f t="shared" si="127"/>
        <v>0.015</v>
      </c>
      <c r="CR11" s="24">
        <f t="shared" si="127"/>
        <v>0.02</v>
      </c>
      <c r="CS11" s="24">
        <f t="shared" si="127"/>
        <v>0.03</v>
      </c>
      <c r="CT11" s="20">
        <f>'Quick Setup'!K66</f>
        <v>0.7</v>
      </c>
      <c r="CU11" s="21">
        <f>if(CT11='Quick Setup'!$C$31,'Quick Setup'!$C38,if(CT11='Quick Setup'!$D$31,'Quick Setup'!$D38,if(CT11='Quick Setup'!$E$31,'Quick Setup'!$E38,if(CT11='Quick Setup'!$F$31,'Quick Setup'!$F38,if(CT11='Quick Setup'!$G$31,'Quick Setup'!$G38,if(CT11='Quick Setup'!$H$31,'Quick Setup'!$H38,if(CT11='Quick Setup'!$I$31,'Quick Setup'!$I38,if(CT11='Quick Setup'!$J$31,'Quick Setup'!$J38,if(CT11='Quick Setup'!$K$31,'Quick Setup'!$K38,if(CT11='Quick Setup'!$L$31,'Quick Setup'!$L38,if(CT11='Quick Setup'!$M$31,'Quick Setup'!$M38,if(CT11='Quick Setup'!$N$31,'Quick Setup'!$N38,if(CT11='Quick Setup'!$O$31,'Quick Setup'!$O38,if(CT11='Quick Setup'!$P$31,'Quick Setup'!$P38,if(CT11='Quick Setup'!$Q$31,'Quick Setup'!$Q38,if(CT11='Quick Setup'!$R$31,'Quick Setup'!$R38,if(CT11='Quick Setup'!$S$31,'Quick Setup'!$S38,if(CT11='Quick Setup'!$T$31,'Quick Setup'!$T38,if(CT11='Quick Setup'!$U$31,'Quick Setup'!$U38,if(CT11='Quick Setup'!$V$31,'Quick Setup'!$V38,'Quick Setup'!$W38))))))))))))))))))))</f>
        <v>5</v>
      </c>
      <c r="CV11" s="21">
        <f>if(CT11='Quick Setup'!$C$45,'Quick Setup'!$C52,if(CT11='Quick Setup'!$D$45,'Quick Setup'!$D52,if(CT11='Quick Setup'!$E$45,'Quick Setup'!$E52,if(CT11='Quick Setup'!$F$45,'Quick Setup'!$F52,if(CT11='Quick Setup'!$G$45,'Quick Setup'!$G52,if(CT11='Quick Setup'!$H$45,'Quick Setup'!$H52,if(CT11='Quick Setup'!$I$45,'Quick Setup'!$I52,if(CT11='Quick Setup'!$J$45,'Quick Setup'!$J52,if(CT11='Quick Setup'!$K$45,'Quick Setup'!$K52,if(CT11='Quick Setup'!$L$45,'Quick Setup'!$L52,if(CT11='Quick Setup'!$M$45,'Quick Setup'!$M52,if(CT11='Quick Setup'!$N$45,'Quick Setup'!$N52,if(CT11='Quick Setup'!$O$45,'Quick Setup'!$O52,if(CT11='Quick Setup'!$P$45,'Quick Setup'!$P52,if(CT11='Quick Setup'!$Q$45,'Quick Setup'!$Q52,if(CT11='Quick Setup'!$R$45,'Quick Setup'!$R52,if(CT11='Quick Setup'!$S$45,'Quick Setup'!$S52,if(CT11='Quick Setup'!$T$45,'Quick Setup'!$T52,if(CT11='Quick Setup'!$U$45,'Quick Setup'!$U52,if(CT11='Quick Setup'!$V$45,'Quick Setup'!$V52,'Quick Setup'!$W52))))))))))))))))))))</f>
        <v>3</v>
      </c>
      <c r="CW11" s="23">
        <f t="shared" ref="CW11:DE11" si="128">CK11</f>
        <v>5</v>
      </c>
      <c r="CX11" s="24">
        <f t="shared" si="128"/>
        <v>-0.05</v>
      </c>
      <c r="CY11" s="24">
        <f t="shared" si="128"/>
        <v>-0.02</v>
      </c>
      <c r="CZ11" s="24">
        <f t="shared" si="128"/>
        <v>0</v>
      </c>
      <c r="DA11" s="24">
        <f t="shared" si="128"/>
        <v>0.005</v>
      </c>
      <c r="DB11" s="24">
        <f t="shared" si="128"/>
        <v>0.01</v>
      </c>
      <c r="DC11" s="24">
        <f t="shared" si="128"/>
        <v>0.015</v>
      </c>
      <c r="DD11" s="24">
        <f t="shared" si="128"/>
        <v>0.02</v>
      </c>
      <c r="DE11" s="24">
        <f t="shared" si="128"/>
        <v>0.03</v>
      </c>
      <c r="DF11" s="20">
        <f>'Quick Setup'!L66</f>
        <v>0.75</v>
      </c>
      <c r="DG11" s="21">
        <f>if(DF11='Quick Setup'!$C$31,'Quick Setup'!$C38,if(DF11='Quick Setup'!$D$31,'Quick Setup'!$D38,if(DF11='Quick Setup'!$E$31,'Quick Setup'!$E38,if(DF11='Quick Setup'!$F$31,'Quick Setup'!$F38,if(DF11='Quick Setup'!$G$31,'Quick Setup'!$G38,if(DF11='Quick Setup'!$H$31,'Quick Setup'!$H38,if(DF11='Quick Setup'!$I$31,'Quick Setup'!$I38,if(DF11='Quick Setup'!$J$31,'Quick Setup'!$J38,if(DF11='Quick Setup'!$K$31,'Quick Setup'!$K38,if(DF11='Quick Setup'!$L$31,'Quick Setup'!$L38,if(DF11='Quick Setup'!$M$31,'Quick Setup'!$M38,if(DF11='Quick Setup'!$N$31,'Quick Setup'!$N38,if(DF11='Quick Setup'!$O$31,'Quick Setup'!$O38,if(DF11='Quick Setup'!$P$31,'Quick Setup'!$P38,if(DF11='Quick Setup'!$Q$31,'Quick Setup'!$Q38,if(DF11='Quick Setup'!$R$31,'Quick Setup'!$R38,if(DF11='Quick Setup'!$S$31,'Quick Setup'!$S38,if(DF11='Quick Setup'!$T$31,'Quick Setup'!$T38,if(DF11='Quick Setup'!$U$31,'Quick Setup'!$U38,if(DF11='Quick Setup'!$V$31,'Quick Setup'!$V38,'Quick Setup'!$W38))))))))))))))))))))</f>
        <v>4</v>
      </c>
      <c r="DH11" s="21">
        <f>if(DF11='Quick Setup'!$C$45,'Quick Setup'!$C52,if(DF11='Quick Setup'!$D$45,'Quick Setup'!$D52,if(DF11='Quick Setup'!$E$45,'Quick Setup'!$E52,if(DF11='Quick Setup'!$F$45,'Quick Setup'!$F52,if(DF11='Quick Setup'!$G$45,'Quick Setup'!$G52,if(DF11='Quick Setup'!$H$45,'Quick Setup'!$H52,if(DF11='Quick Setup'!$I$45,'Quick Setup'!$I52,if(DF11='Quick Setup'!$J$45,'Quick Setup'!$J52,if(DF11='Quick Setup'!$K$45,'Quick Setup'!$K52,if(DF11='Quick Setup'!$L$45,'Quick Setup'!$L52,if(DF11='Quick Setup'!$M$45,'Quick Setup'!$M52,if(DF11='Quick Setup'!$N$45,'Quick Setup'!$N52,if(DF11='Quick Setup'!$O$45,'Quick Setup'!$O52,if(DF11='Quick Setup'!$P$45,'Quick Setup'!$P52,if(DF11='Quick Setup'!$Q$45,'Quick Setup'!$Q52,if(DF11='Quick Setup'!$R$45,'Quick Setup'!$R52,if(DF11='Quick Setup'!$S$45,'Quick Setup'!$S52,if(DF11='Quick Setup'!$T$45,'Quick Setup'!$T52,if(DF11='Quick Setup'!$U$45,'Quick Setup'!$U52,if(DF11='Quick Setup'!$V$45,'Quick Setup'!$V52,'Quick Setup'!$W52))))))))))))))))))))</f>
        <v>2</v>
      </c>
      <c r="DI11" s="23">
        <f t="shared" ref="DI11:DQ11" si="129">CW11</f>
        <v>5</v>
      </c>
      <c r="DJ11" s="24">
        <f t="shared" si="129"/>
        <v>-0.05</v>
      </c>
      <c r="DK11" s="24">
        <f t="shared" si="129"/>
        <v>-0.02</v>
      </c>
      <c r="DL11" s="24">
        <f t="shared" si="129"/>
        <v>0</v>
      </c>
      <c r="DM11" s="24">
        <f t="shared" si="129"/>
        <v>0.005</v>
      </c>
      <c r="DN11" s="24">
        <f t="shared" si="129"/>
        <v>0.01</v>
      </c>
      <c r="DO11" s="24">
        <f t="shared" si="129"/>
        <v>0.015</v>
      </c>
      <c r="DP11" s="24">
        <f t="shared" si="129"/>
        <v>0.02</v>
      </c>
      <c r="DQ11" s="24">
        <f t="shared" si="129"/>
        <v>0.03</v>
      </c>
      <c r="DR11" s="20">
        <f>'Quick Setup'!M66</f>
        <v>0.675</v>
      </c>
      <c r="DS11" s="21">
        <f>if(DR11='Quick Setup'!$C$31,'Quick Setup'!$C38,if(DR11='Quick Setup'!$D$31,'Quick Setup'!$D38,if(DR11='Quick Setup'!$E$31,'Quick Setup'!$E38,if(DR11='Quick Setup'!$F$31,'Quick Setup'!$F38,if(DR11='Quick Setup'!$G$31,'Quick Setup'!$G38,if(DR11='Quick Setup'!$H$31,'Quick Setup'!$H38,if(DR11='Quick Setup'!$I$31,'Quick Setup'!$I38,if(DR11='Quick Setup'!$J$31,'Quick Setup'!$J38,if(DR11='Quick Setup'!$K$31,'Quick Setup'!$K38,if(DR11='Quick Setup'!$L$31,'Quick Setup'!$L38,if(DR11='Quick Setup'!$M$31,'Quick Setup'!$M38,if(DR11='Quick Setup'!$N$31,'Quick Setup'!$N38,if(DR11='Quick Setup'!$O$31,'Quick Setup'!$O38,if(DR11='Quick Setup'!$P$31,'Quick Setup'!$P38,if(DR11='Quick Setup'!$Q$31,'Quick Setup'!$Q38,if(DR11='Quick Setup'!$R$31,'Quick Setup'!$R38,if(DR11='Quick Setup'!$S$31,'Quick Setup'!$S38,if(DR11='Quick Setup'!$T$31,'Quick Setup'!$T38,if(DR11='Quick Setup'!$U$31,'Quick Setup'!$U38,if(DR11='Quick Setup'!$V$31,'Quick Setup'!$V38,'Quick Setup'!$W38))))))))))))))))))))</f>
        <v>6</v>
      </c>
      <c r="DT11" s="21">
        <f>if(DR11='Quick Setup'!$C$45,'Quick Setup'!$C52,if(DR11='Quick Setup'!$D$45,'Quick Setup'!$D52,if(DR11='Quick Setup'!$E$45,'Quick Setup'!$E52,if(DR11='Quick Setup'!$F$45,'Quick Setup'!$F52,if(DR11='Quick Setup'!$G$45,'Quick Setup'!$G52,if(DR11='Quick Setup'!$H$45,'Quick Setup'!$H52,if(DR11='Quick Setup'!$I$45,'Quick Setup'!$I52,if(DR11='Quick Setup'!$J$45,'Quick Setup'!$J52,if(DR11='Quick Setup'!$K$45,'Quick Setup'!$K52,if(DR11='Quick Setup'!$L$45,'Quick Setup'!$L52,if(DR11='Quick Setup'!$M$45,'Quick Setup'!$M52,if(DR11='Quick Setup'!$N$45,'Quick Setup'!$N52,if(DR11='Quick Setup'!$O$45,'Quick Setup'!$O52,if(DR11='Quick Setup'!$P$45,'Quick Setup'!$P52,if(DR11='Quick Setup'!$Q$45,'Quick Setup'!$Q52,if(DR11='Quick Setup'!$R$45,'Quick Setup'!$R52,if(DR11='Quick Setup'!$S$45,'Quick Setup'!$S52,if(DR11='Quick Setup'!$T$45,'Quick Setup'!$T52,if(DR11='Quick Setup'!$U$45,'Quick Setup'!$U52,if(DR11='Quick Setup'!$V$45,'Quick Setup'!$V52,'Quick Setup'!$W52))))))))))))))))))))</f>
        <v>3</v>
      </c>
      <c r="DU11" s="23">
        <f t="shared" ref="DU11:EC11" si="130">DI11</f>
        <v>5</v>
      </c>
      <c r="DV11" s="24">
        <f t="shared" si="130"/>
        <v>-0.05</v>
      </c>
      <c r="DW11" s="24">
        <f t="shared" si="130"/>
        <v>-0.02</v>
      </c>
      <c r="DX11" s="24">
        <f t="shared" si="130"/>
        <v>0</v>
      </c>
      <c r="DY11" s="24">
        <f t="shared" si="130"/>
        <v>0.005</v>
      </c>
      <c r="DZ11" s="24">
        <f t="shared" si="130"/>
        <v>0.01</v>
      </c>
      <c r="EA11" s="24">
        <f t="shared" si="130"/>
        <v>0.015</v>
      </c>
      <c r="EB11" s="24">
        <f t="shared" si="130"/>
        <v>0.02</v>
      </c>
      <c r="EC11" s="24">
        <f t="shared" si="130"/>
        <v>0.03</v>
      </c>
      <c r="ED11" s="20">
        <f>'Quick Setup'!N66</f>
        <v>0.725</v>
      </c>
      <c r="EE11" s="21">
        <f>if(ED11='Quick Setup'!$C$31,'Quick Setup'!$C38,if(ED11='Quick Setup'!$D$31,'Quick Setup'!$D38,if(ED11='Quick Setup'!$E$31,'Quick Setup'!$E38,if(ED11='Quick Setup'!$F$31,'Quick Setup'!$F38,if(ED11='Quick Setup'!$G$31,'Quick Setup'!$G38,if(ED11='Quick Setup'!$H$31,'Quick Setup'!$H38,if(ED11='Quick Setup'!$I$31,'Quick Setup'!$I38,if(ED11='Quick Setup'!$J$31,'Quick Setup'!$J38,if(ED11='Quick Setup'!$K$31,'Quick Setup'!$K38,if(ED11='Quick Setup'!$L$31,'Quick Setup'!$L38,if(ED11='Quick Setup'!$M$31,'Quick Setup'!$M38,if(ED11='Quick Setup'!$N$31,'Quick Setup'!$N38,if(ED11='Quick Setup'!$O$31,'Quick Setup'!$O38,if(ED11='Quick Setup'!$P$31,'Quick Setup'!$P38,if(ED11='Quick Setup'!$Q$31,'Quick Setup'!$Q38,if(ED11='Quick Setup'!$R$31,'Quick Setup'!$R38,if(ED11='Quick Setup'!$S$31,'Quick Setup'!$S38,if(ED11='Quick Setup'!$T$31,'Quick Setup'!$T38,if(ED11='Quick Setup'!$U$31,'Quick Setup'!$U38,if(ED11='Quick Setup'!$V$31,'Quick Setup'!$V38,'Quick Setup'!$W38))))))))))))))))))))</f>
        <v>5</v>
      </c>
      <c r="EF11" s="21">
        <f>if(ED11='Quick Setup'!$C$45,'Quick Setup'!$C52,if(ED11='Quick Setup'!$D$45,'Quick Setup'!$D52,if(ED11='Quick Setup'!$E$45,'Quick Setup'!$E52,if(ED11='Quick Setup'!$F$45,'Quick Setup'!$F52,if(ED11='Quick Setup'!$G$45,'Quick Setup'!$G52,if(ED11='Quick Setup'!$H$45,'Quick Setup'!$H52,if(ED11='Quick Setup'!$I$45,'Quick Setup'!$I52,if(ED11='Quick Setup'!$J$45,'Quick Setup'!$J52,if(ED11='Quick Setup'!$K$45,'Quick Setup'!$K52,if(ED11='Quick Setup'!$L$45,'Quick Setup'!$L52,if(ED11='Quick Setup'!$M$45,'Quick Setup'!$M52,if(ED11='Quick Setup'!$N$45,'Quick Setup'!$N52,if(ED11='Quick Setup'!$O$45,'Quick Setup'!$O52,if(ED11='Quick Setup'!$P$45,'Quick Setup'!$P52,if(ED11='Quick Setup'!$Q$45,'Quick Setup'!$Q52,if(ED11='Quick Setup'!$R$45,'Quick Setup'!$R52,if(ED11='Quick Setup'!$S$45,'Quick Setup'!$S52,if(ED11='Quick Setup'!$T$45,'Quick Setup'!$T52,if(ED11='Quick Setup'!$U$45,'Quick Setup'!$U52,if(ED11='Quick Setup'!$V$45,'Quick Setup'!$V52,'Quick Setup'!$W52))))))))))))))))))))</f>
        <v>3</v>
      </c>
      <c r="EG11" s="23">
        <f t="shared" ref="EG11:EO11" si="131">DU11</f>
        <v>5</v>
      </c>
      <c r="EH11" s="24">
        <f t="shared" si="131"/>
        <v>-0.05</v>
      </c>
      <c r="EI11" s="24">
        <f t="shared" si="131"/>
        <v>-0.02</v>
      </c>
      <c r="EJ11" s="24">
        <f t="shared" si="131"/>
        <v>0</v>
      </c>
      <c r="EK11" s="24">
        <f t="shared" si="131"/>
        <v>0.005</v>
      </c>
      <c r="EL11" s="24">
        <f t="shared" si="131"/>
        <v>0.01</v>
      </c>
      <c r="EM11" s="24">
        <f t="shared" si="131"/>
        <v>0.015</v>
      </c>
      <c r="EN11" s="24">
        <f t="shared" si="131"/>
        <v>0.02</v>
      </c>
      <c r="EO11" s="24">
        <f t="shared" si="131"/>
        <v>0.03</v>
      </c>
      <c r="EP11" s="20">
        <f>'Quick Setup'!O66</f>
        <v>0.775</v>
      </c>
      <c r="EQ11" s="21">
        <f>if(EP11='Quick Setup'!$C$31,'Quick Setup'!$C38,if(EP11='Quick Setup'!$D$31,'Quick Setup'!$D38,if(EP11='Quick Setup'!$E$31,'Quick Setup'!$E38,if(EP11='Quick Setup'!$F$31,'Quick Setup'!$F38,if(EP11='Quick Setup'!$G$31,'Quick Setup'!$G38,if(EP11='Quick Setup'!$H$31,'Quick Setup'!$H38,if(EP11='Quick Setup'!$I$31,'Quick Setup'!$I38,if(EP11='Quick Setup'!$J$31,'Quick Setup'!$J38,if(EP11='Quick Setup'!$K$31,'Quick Setup'!$K38,if(EP11='Quick Setup'!$L$31,'Quick Setup'!$L38,if(EP11='Quick Setup'!$M$31,'Quick Setup'!$M38,if(EP11='Quick Setup'!$N$31,'Quick Setup'!$N38,if(EP11='Quick Setup'!$O$31,'Quick Setup'!$O38,if(EP11='Quick Setup'!$P$31,'Quick Setup'!$P38,if(EP11='Quick Setup'!$Q$31,'Quick Setup'!$Q38,if(EP11='Quick Setup'!$R$31,'Quick Setup'!$R38,if(EP11='Quick Setup'!$S$31,'Quick Setup'!$S38,if(EP11='Quick Setup'!$T$31,'Quick Setup'!$T38,if(EP11='Quick Setup'!$U$31,'Quick Setup'!$U38,if(EP11='Quick Setup'!$V$31,'Quick Setup'!$V38,'Quick Setup'!$W38))))))))))))))))))))</f>
        <v>4</v>
      </c>
      <c r="ER11" s="21">
        <f>if(EP11='Quick Setup'!$C$45,'Quick Setup'!$C52,if(EP11='Quick Setup'!$D$45,'Quick Setup'!$D52,if(EP11='Quick Setup'!$E$45,'Quick Setup'!$E52,if(EP11='Quick Setup'!$F$45,'Quick Setup'!$F52,if(EP11='Quick Setup'!$G$45,'Quick Setup'!$G52,if(EP11='Quick Setup'!$H$45,'Quick Setup'!$H52,if(EP11='Quick Setup'!$I$45,'Quick Setup'!$I52,if(EP11='Quick Setup'!$J$45,'Quick Setup'!$J52,if(EP11='Quick Setup'!$K$45,'Quick Setup'!$K52,if(EP11='Quick Setup'!$L$45,'Quick Setup'!$L52,if(EP11='Quick Setup'!$M$45,'Quick Setup'!$M52,if(EP11='Quick Setup'!$N$45,'Quick Setup'!$N52,if(EP11='Quick Setup'!$O$45,'Quick Setup'!$O52,if(EP11='Quick Setup'!$P$45,'Quick Setup'!$P52,if(EP11='Quick Setup'!$Q$45,'Quick Setup'!$Q52,if(EP11='Quick Setup'!$R$45,'Quick Setup'!$R52,if(EP11='Quick Setup'!$S$45,'Quick Setup'!$S52,if(EP11='Quick Setup'!$T$45,'Quick Setup'!$T52,if(EP11='Quick Setup'!$U$45,'Quick Setup'!$U52,if(EP11='Quick Setup'!$V$45,'Quick Setup'!$V52,'Quick Setup'!$W52))))))))))))))))))))</f>
        <v>2</v>
      </c>
      <c r="ES11" s="23">
        <f t="shared" ref="ES11:FA11" si="132">EG11</f>
        <v>5</v>
      </c>
      <c r="ET11" s="24">
        <f t="shared" si="132"/>
        <v>-0.05</v>
      </c>
      <c r="EU11" s="24">
        <f t="shared" si="132"/>
        <v>-0.02</v>
      </c>
      <c r="EV11" s="24">
        <f t="shared" si="132"/>
        <v>0</v>
      </c>
      <c r="EW11" s="24">
        <f t="shared" si="132"/>
        <v>0.005</v>
      </c>
      <c r="EX11" s="24">
        <f t="shared" si="132"/>
        <v>0.01</v>
      </c>
      <c r="EY11" s="24">
        <f t="shared" si="132"/>
        <v>0.015</v>
      </c>
      <c r="EZ11" s="24">
        <f t="shared" si="132"/>
        <v>0.02</v>
      </c>
      <c r="FA11" s="24">
        <f t="shared" si="132"/>
        <v>0.03</v>
      </c>
      <c r="FB11" s="20">
        <f>'Quick Setup'!P66</f>
        <v>0.5</v>
      </c>
      <c r="FC11" s="21">
        <f>if(FB11='Quick Setup'!$C$31,'Quick Setup'!$C38,if(FB11='Quick Setup'!$D$31,'Quick Setup'!$D38,if(FB11='Quick Setup'!$E$31,'Quick Setup'!$E38,if(FB11='Quick Setup'!$F$31,'Quick Setup'!$F38,if(FB11='Quick Setup'!$G$31,'Quick Setup'!$G38,if(FB11='Quick Setup'!$H$31,'Quick Setup'!$H38,if(FB11='Quick Setup'!$I$31,'Quick Setup'!$I38,if(FB11='Quick Setup'!$J$31,'Quick Setup'!$J38,if(FB11='Quick Setup'!$K$31,'Quick Setup'!$K38,if(FB11='Quick Setup'!$L$31,'Quick Setup'!$L38,if(FB11='Quick Setup'!$M$31,'Quick Setup'!$M38,if(FB11='Quick Setup'!$N$31,'Quick Setup'!$N38,if(FB11='Quick Setup'!$O$31,'Quick Setup'!$O38,if(FB11='Quick Setup'!$P$31,'Quick Setup'!$P38,if(FB11='Quick Setup'!$Q$31,'Quick Setup'!$Q38,if(FB11='Quick Setup'!$R$31,'Quick Setup'!$R38,if(FB11='Quick Setup'!$S$31,'Quick Setup'!$S38,if(FB11='Quick Setup'!$T$31,'Quick Setup'!$T38,if(FB11='Quick Setup'!$U$31,'Quick Setup'!$U38,if(FB11='Quick Setup'!$V$31,'Quick Setup'!$V38,'Quick Setup'!$W38))))))))))))))))))))</f>
        <v>8</v>
      </c>
      <c r="FD11" s="21">
        <f>if(FB11='Quick Setup'!$C$45,'Quick Setup'!$C52,if(FB11='Quick Setup'!$D$45,'Quick Setup'!$D52,if(FB11='Quick Setup'!$E$45,'Quick Setup'!$E52,if(FB11='Quick Setup'!$F$45,'Quick Setup'!$F52,if(FB11='Quick Setup'!$G$45,'Quick Setup'!$G52,if(FB11='Quick Setup'!$H$45,'Quick Setup'!$H52,if(FB11='Quick Setup'!$I$45,'Quick Setup'!$I52,if(FB11='Quick Setup'!$J$45,'Quick Setup'!$J52,if(FB11='Quick Setup'!$K$45,'Quick Setup'!$K52,if(FB11='Quick Setup'!$L$45,'Quick Setup'!$L52,if(FB11='Quick Setup'!$M$45,'Quick Setup'!$M52,if(FB11='Quick Setup'!$N$45,'Quick Setup'!$N52,if(FB11='Quick Setup'!$O$45,'Quick Setup'!$O52,if(FB11='Quick Setup'!$P$45,'Quick Setup'!$P52,if(FB11='Quick Setup'!$Q$45,'Quick Setup'!$Q52,if(FB11='Quick Setup'!$R$45,'Quick Setup'!$R52,if(FB11='Quick Setup'!$S$45,'Quick Setup'!$S52,if(FB11='Quick Setup'!$T$45,'Quick Setup'!$T52,if(FB11='Quick Setup'!$U$45,'Quick Setup'!$U52,if(FB11='Quick Setup'!$V$45,'Quick Setup'!$V52,'Quick Setup'!$W52))))))))))))))))))))</f>
        <v>3</v>
      </c>
      <c r="FE11" s="23">
        <f t="shared" ref="FE11:FM11" si="133">ES11</f>
        <v>5</v>
      </c>
      <c r="FF11" s="24">
        <f t="shared" si="133"/>
        <v>-0.05</v>
      </c>
      <c r="FG11" s="24">
        <f t="shared" si="133"/>
        <v>-0.02</v>
      </c>
      <c r="FH11" s="24">
        <f t="shared" si="133"/>
        <v>0</v>
      </c>
      <c r="FI11" s="24">
        <f t="shared" si="133"/>
        <v>0.005</v>
      </c>
      <c r="FJ11" s="24">
        <f t="shared" si="133"/>
        <v>0.01</v>
      </c>
      <c r="FK11" s="24">
        <f t="shared" si="133"/>
        <v>0.015</v>
      </c>
      <c r="FL11" s="24">
        <f t="shared" si="133"/>
        <v>0.02</v>
      </c>
      <c r="FM11" s="24">
        <f t="shared" si="133"/>
        <v>0.03</v>
      </c>
      <c r="FN11" s="20">
        <f>'Quick Setup'!Q66</f>
        <v>0.7</v>
      </c>
      <c r="FO11" s="21">
        <f>if(FN11='Quick Setup'!$C$31,'Quick Setup'!$C38,if(FN11='Quick Setup'!$D$31,'Quick Setup'!$D38,if(FN11='Quick Setup'!$E$31,'Quick Setup'!$E38,if(FN11='Quick Setup'!$F$31,'Quick Setup'!$F38,if(FN11='Quick Setup'!$G$31,'Quick Setup'!$G38,if(FN11='Quick Setup'!$H$31,'Quick Setup'!$H38,if(FN11='Quick Setup'!$I$31,'Quick Setup'!$I38,if(FN11='Quick Setup'!$J$31,'Quick Setup'!$J38,if(FN11='Quick Setup'!$K$31,'Quick Setup'!$K38,if(FN11='Quick Setup'!$L$31,'Quick Setup'!$L38,if(FN11='Quick Setup'!$M$31,'Quick Setup'!$M38,if(FN11='Quick Setup'!$N$31,'Quick Setup'!$N38,if(FN11='Quick Setup'!$O$31,'Quick Setup'!$O38,if(FN11='Quick Setup'!$P$31,'Quick Setup'!$P38,if(FN11='Quick Setup'!$Q$31,'Quick Setup'!$Q38,if(FN11='Quick Setup'!$R$31,'Quick Setup'!$R38,if(FN11='Quick Setup'!$S$31,'Quick Setup'!$S38,if(FN11='Quick Setup'!$T$31,'Quick Setup'!$T38,if(FN11='Quick Setup'!$U$31,'Quick Setup'!$U38,if(FN11='Quick Setup'!$V$31,'Quick Setup'!$V38,'Quick Setup'!$W38))))))))))))))))))))</f>
        <v>5</v>
      </c>
      <c r="FP11" s="21">
        <f>if(FN11='Quick Setup'!$C$45,'Quick Setup'!$C52,if(FN11='Quick Setup'!$D$45,'Quick Setup'!$D52,if(FN11='Quick Setup'!$E$45,'Quick Setup'!$E52,if(FN11='Quick Setup'!$F$45,'Quick Setup'!$F52,if(FN11='Quick Setup'!$G$45,'Quick Setup'!$G52,if(FN11='Quick Setup'!$H$45,'Quick Setup'!$H52,if(FN11='Quick Setup'!$I$45,'Quick Setup'!$I52,if(FN11='Quick Setup'!$J$45,'Quick Setup'!$J52,if(FN11='Quick Setup'!$K$45,'Quick Setup'!$K52,if(FN11='Quick Setup'!$L$45,'Quick Setup'!$L52,if(FN11='Quick Setup'!$M$45,'Quick Setup'!$M52,if(FN11='Quick Setup'!$N$45,'Quick Setup'!$N52,if(FN11='Quick Setup'!$O$45,'Quick Setup'!$O52,if(FN11='Quick Setup'!$P$45,'Quick Setup'!$P52,if(FN11='Quick Setup'!$Q$45,'Quick Setup'!$Q52,if(FN11='Quick Setup'!$R$45,'Quick Setup'!$R52,if(FN11='Quick Setup'!$S$45,'Quick Setup'!$S52,if(FN11='Quick Setup'!$T$45,'Quick Setup'!$T52,if(FN11='Quick Setup'!$U$45,'Quick Setup'!$U52,if(FN11='Quick Setup'!$V$45,'Quick Setup'!$V52,'Quick Setup'!$W52))))))))))))))))))))</f>
        <v>3</v>
      </c>
      <c r="FQ11" s="23">
        <f t="shared" ref="FQ11:FY11" si="134">FE11</f>
        <v>5</v>
      </c>
      <c r="FR11" s="24">
        <f t="shared" si="134"/>
        <v>-0.05</v>
      </c>
      <c r="FS11" s="24">
        <f t="shared" si="134"/>
        <v>-0.02</v>
      </c>
      <c r="FT11" s="24">
        <f t="shared" si="134"/>
        <v>0</v>
      </c>
      <c r="FU11" s="24">
        <f t="shared" si="134"/>
        <v>0.005</v>
      </c>
      <c r="FV11" s="24">
        <f t="shared" si="134"/>
        <v>0.01</v>
      </c>
      <c r="FW11" s="24">
        <f t="shared" si="134"/>
        <v>0.015</v>
      </c>
      <c r="FX11" s="24">
        <f t="shared" si="134"/>
        <v>0.02</v>
      </c>
      <c r="FY11" s="24">
        <f t="shared" si="134"/>
        <v>0.03</v>
      </c>
      <c r="FZ11" s="20">
        <f>'Quick Setup'!R66</f>
        <v>0.75</v>
      </c>
      <c r="GA11" s="21">
        <f>if(FZ11='Quick Setup'!$C$31,'Quick Setup'!$C38,if(FZ11='Quick Setup'!$D$31,'Quick Setup'!$D38,if(FZ11='Quick Setup'!$E$31,'Quick Setup'!$E38,if(FZ11='Quick Setup'!$F$31,'Quick Setup'!$F38,if(FZ11='Quick Setup'!$G$31,'Quick Setup'!$G38,if(FZ11='Quick Setup'!$H$31,'Quick Setup'!$H38,if(FZ11='Quick Setup'!$I$31,'Quick Setup'!$I38,if(FZ11='Quick Setup'!$J$31,'Quick Setup'!$J38,if(FZ11='Quick Setup'!$K$31,'Quick Setup'!$K38,if(FZ11='Quick Setup'!$L$31,'Quick Setup'!$L38,if(FZ11='Quick Setup'!$M$31,'Quick Setup'!$M38,if(FZ11='Quick Setup'!$N$31,'Quick Setup'!$N38,if(FZ11='Quick Setup'!$O$31,'Quick Setup'!$O38,if(FZ11='Quick Setup'!$P$31,'Quick Setup'!$P38,if(FZ11='Quick Setup'!$Q$31,'Quick Setup'!$Q38,if(FZ11='Quick Setup'!$R$31,'Quick Setup'!$R38,if(FZ11='Quick Setup'!$S$31,'Quick Setup'!$S38,if(FZ11='Quick Setup'!$T$31,'Quick Setup'!$T38,if(FZ11='Quick Setup'!$U$31,'Quick Setup'!$U38,if(FZ11='Quick Setup'!$V$31,'Quick Setup'!$V38,'Quick Setup'!$W38))))))))))))))))))))</f>
        <v>4</v>
      </c>
      <c r="GB11" s="21">
        <f>if(FZ11='Quick Setup'!$C$45,'Quick Setup'!$C52,if(FZ11='Quick Setup'!$D$45,'Quick Setup'!$D52,if(FZ11='Quick Setup'!$E$45,'Quick Setup'!$E52,if(FZ11='Quick Setup'!$F$45,'Quick Setup'!$F52,if(FZ11='Quick Setup'!$G$45,'Quick Setup'!$G52,if(FZ11='Quick Setup'!$H$45,'Quick Setup'!$H52,if(FZ11='Quick Setup'!$I$45,'Quick Setup'!$I52,if(FZ11='Quick Setup'!$J$45,'Quick Setup'!$J52,if(FZ11='Quick Setup'!$K$45,'Quick Setup'!$K52,if(FZ11='Quick Setup'!$L$45,'Quick Setup'!$L52,if(FZ11='Quick Setup'!$M$45,'Quick Setup'!$M52,if(FZ11='Quick Setup'!$N$45,'Quick Setup'!$N52,if(FZ11='Quick Setup'!$O$45,'Quick Setup'!$O52,if(FZ11='Quick Setup'!$P$45,'Quick Setup'!$P52,if(FZ11='Quick Setup'!$Q$45,'Quick Setup'!$Q52,if(FZ11='Quick Setup'!$R$45,'Quick Setup'!$R52,if(FZ11='Quick Setup'!$S$45,'Quick Setup'!$S52,if(FZ11='Quick Setup'!$T$45,'Quick Setup'!$T52,if(FZ11='Quick Setup'!$U$45,'Quick Setup'!$U52,if(FZ11='Quick Setup'!$V$45,'Quick Setup'!$V52,'Quick Setup'!$W52))))))))))))))))))))</f>
        <v>2</v>
      </c>
      <c r="GC11" s="23">
        <f t="shared" ref="GC11:GK11" si="135">FQ11</f>
        <v>5</v>
      </c>
      <c r="GD11" s="24">
        <f t="shared" si="135"/>
        <v>-0.05</v>
      </c>
      <c r="GE11" s="24">
        <f t="shared" si="135"/>
        <v>-0.02</v>
      </c>
      <c r="GF11" s="24">
        <f t="shared" si="135"/>
        <v>0</v>
      </c>
      <c r="GG11" s="24">
        <f t="shared" si="135"/>
        <v>0.005</v>
      </c>
      <c r="GH11" s="24">
        <f t="shared" si="135"/>
        <v>0.01</v>
      </c>
      <c r="GI11" s="24">
        <f t="shared" si="135"/>
        <v>0.015</v>
      </c>
      <c r="GJ11" s="24">
        <f t="shared" si="135"/>
        <v>0.02</v>
      </c>
      <c r="GK11" s="24">
        <f t="shared" si="135"/>
        <v>0.03</v>
      </c>
      <c r="GL11" s="20">
        <f>'Quick Setup'!S66</f>
        <v>0.8</v>
      </c>
      <c r="GM11" s="21">
        <f>if(GL11='Quick Setup'!$C$31,'Quick Setup'!$C38,if(GL11='Quick Setup'!$D$31,'Quick Setup'!$D38,if(GL11='Quick Setup'!$E$31,'Quick Setup'!$E38,if(GL11='Quick Setup'!$F$31,'Quick Setup'!$F38,if(GL11='Quick Setup'!$G$31,'Quick Setup'!$G38,if(GL11='Quick Setup'!$H$31,'Quick Setup'!$H38,if(GL11='Quick Setup'!$I$31,'Quick Setup'!$I38,if(GL11='Quick Setup'!$J$31,'Quick Setup'!$J38,if(GL11='Quick Setup'!$K$31,'Quick Setup'!$K38,if(GL11='Quick Setup'!$L$31,'Quick Setup'!$L38,if(GL11='Quick Setup'!$M$31,'Quick Setup'!$M38,if(GL11='Quick Setup'!$N$31,'Quick Setup'!$N38,if(GL11='Quick Setup'!$O$31,'Quick Setup'!$O38,if(GL11='Quick Setup'!$P$31,'Quick Setup'!$P38,if(GL11='Quick Setup'!$Q$31,'Quick Setup'!$Q38,if(GL11='Quick Setup'!$R$31,'Quick Setup'!$R38,if(GL11='Quick Setup'!$S$31,'Quick Setup'!$S38,if(GL11='Quick Setup'!$T$31,'Quick Setup'!$T38,if(GL11='Quick Setup'!$U$31,'Quick Setup'!$U38,if(GL11='Quick Setup'!$V$31,'Quick Setup'!$V38,'Quick Setup'!$W38))))))))))))))))))))</f>
        <v>3</v>
      </c>
      <c r="GN11" s="21">
        <f>if(GL11='Quick Setup'!$C$45,'Quick Setup'!$C52,if(GL11='Quick Setup'!$D$45,'Quick Setup'!$D52,if(GL11='Quick Setup'!$E$45,'Quick Setup'!$E52,if(GL11='Quick Setup'!$F$45,'Quick Setup'!$F52,if(GL11='Quick Setup'!$G$45,'Quick Setup'!$G52,if(GL11='Quick Setup'!$H$45,'Quick Setup'!$H52,if(GL11='Quick Setup'!$I$45,'Quick Setup'!$I52,if(GL11='Quick Setup'!$J$45,'Quick Setup'!$J52,if(GL11='Quick Setup'!$K$45,'Quick Setup'!$K52,if(GL11='Quick Setup'!$L$45,'Quick Setup'!$L52,if(GL11='Quick Setup'!$M$45,'Quick Setup'!$M52,if(GL11='Quick Setup'!$N$45,'Quick Setup'!$N52,if(GL11='Quick Setup'!$O$45,'Quick Setup'!$O52,if(GL11='Quick Setup'!$P$45,'Quick Setup'!$P52,if(GL11='Quick Setup'!$Q$45,'Quick Setup'!$Q52,if(GL11='Quick Setup'!$R$45,'Quick Setup'!$R52,if(GL11='Quick Setup'!$S$45,'Quick Setup'!$S52,if(GL11='Quick Setup'!$T$45,'Quick Setup'!$T52,if(GL11='Quick Setup'!$U$45,'Quick Setup'!$U52,if(GL11='Quick Setup'!$V$45,'Quick Setup'!$V52,'Quick Setup'!$W52))))))))))))))))))))</f>
        <v>2</v>
      </c>
      <c r="GO11" s="23">
        <f t="shared" ref="GO11:GW11" si="136">GC11</f>
        <v>5</v>
      </c>
      <c r="GP11" s="24">
        <f t="shared" si="136"/>
        <v>-0.05</v>
      </c>
      <c r="GQ11" s="24">
        <f t="shared" si="136"/>
        <v>-0.02</v>
      </c>
      <c r="GR11" s="24">
        <f t="shared" si="136"/>
        <v>0</v>
      </c>
      <c r="GS11" s="24">
        <f t="shared" si="136"/>
        <v>0.005</v>
      </c>
      <c r="GT11" s="24">
        <f t="shared" si="136"/>
        <v>0.01</v>
      </c>
      <c r="GU11" s="24">
        <f t="shared" si="136"/>
        <v>0.015</v>
      </c>
      <c r="GV11" s="24">
        <f t="shared" si="136"/>
        <v>0.02</v>
      </c>
      <c r="GW11" s="24">
        <f t="shared" si="136"/>
        <v>0.03</v>
      </c>
      <c r="GX11" s="20">
        <f>'Quick Setup'!T66</f>
        <v>0.75</v>
      </c>
      <c r="GY11" s="21">
        <f>if(GX11='Quick Setup'!$C$31,'Quick Setup'!$C38,if(GX11='Quick Setup'!$D$31,'Quick Setup'!$D38,if(GX11='Quick Setup'!$E$31,'Quick Setup'!$E38,if(GX11='Quick Setup'!$F$31,'Quick Setup'!$F38,if(GX11='Quick Setup'!$G$31,'Quick Setup'!$G38,if(GX11='Quick Setup'!$H$31,'Quick Setup'!$H38,if(GX11='Quick Setup'!$I$31,'Quick Setup'!$I38,if(GX11='Quick Setup'!$J$31,'Quick Setup'!$J38,if(GX11='Quick Setup'!$K$31,'Quick Setup'!$K38,if(GX11='Quick Setup'!$L$31,'Quick Setup'!$L38,if(GX11='Quick Setup'!$M$31,'Quick Setup'!$M38,if(GX11='Quick Setup'!$N$31,'Quick Setup'!$N38,if(GX11='Quick Setup'!$O$31,'Quick Setup'!$O38,if(GX11='Quick Setup'!$P$31,'Quick Setup'!$P38,if(GX11='Quick Setup'!$Q$31,'Quick Setup'!$Q38,if(GX11='Quick Setup'!$R$31,'Quick Setup'!$R38,if(GX11='Quick Setup'!$S$31,'Quick Setup'!$S38,if(GX11='Quick Setup'!$T$31,'Quick Setup'!$T38,if(GX11='Quick Setup'!$U$31,'Quick Setup'!$U38,if(GX11='Quick Setup'!$V$31,'Quick Setup'!$V38,'Quick Setup'!$W38))))))))))))))))))))</f>
        <v>4</v>
      </c>
      <c r="GZ11" s="21">
        <f>if(GX11='Quick Setup'!$C$45,'Quick Setup'!$C52,if(GX11='Quick Setup'!$D$45,'Quick Setup'!$D52,if(GX11='Quick Setup'!$E$45,'Quick Setup'!$E52,if(GX11='Quick Setup'!$F$45,'Quick Setup'!$F52,if(GX11='Quick Setup'!$G$45,'Quick Setup'!$G52,if(GX11='Quick Setup'!$H$45,'Quick Setup'!$H52,if(GX11='Quick Setup'!$I$45,'Quick Setup'!$I52,if(GX11='Quick Setup'!$J$45,'Quick Setup'!$J52,if(GX11='Quick Setup'!$K$45,'Quick Setup'!$K52,if(GX11='Quick Setup'!$L$45,'Quick Setup'!$L52,if(GX11='Quick Setup'!$M$45,'Quick Setup'!$M52,if(GX11='Quick Setup'!$N$45,'Quick Setup'!$N52,if(GX11='Quick Setup'!$O$45,'Quick Setup'!$O52,if(GX11='Quick Setup'!$P$45,'Quick Setup'!$P52,if(GX11='Quick Setup'!$Q$45,'Quick Setup'!$Q52,if(GX11='Quick Setup'!$R$45,'Quick Setup'!$R52,if(GX11='Quick Setup'!$S$45,'Quick Setup'!$S52,if(GX11='Quick Setup'!$T$45,'Quick Setup'!$T52,if(GX11='Quick Setup'!$U$45,'Quick Setup'!$U52,if(GX11='Quick Setup'!$V$45,'Quick Setup'!$V52,'Quick Setup'!$W52))))))))))))))))))))</f>
        <v>2</v>
      </c>
      <c r="HA11" s="23">
        <f t="shared" ref="HA11:HI11" si="137">GO11</f>
        <v>5</v>
      </c>
      <c r="HB11" s="24">
        <f t="shared" si="137"/>
        <v>-0.05</v>
      </c>
      <c r="HC11" s="24">
        <f t="shared" si="137"/>
        <v>-0.02</v>
      </c>
      <c r="HD11" s="24">
        <f t="shared" si="137"/>
        <v>0</v>
      </c>
      <c r="HE11" s="24">
        <f t="shared" si="137"/>
        <v>0.005</v>
      </c>
      <c r="HF11" s="24">
        <f t="shared" si="137"/>
        <v>0.01</v>
      </c>
      <c r="HG11" s="24">
        <f t="shared" si="137"/>
        <v>0.015</v>
      </c>
      <c r="HH11" s="24">
        <f t="shared" si="137"/>
        <v>0.02</v>
      </c>
      <c r="HI11" s="24">
        <f t="shared" si="137"/>
        <v>0.03</v>
      </c>
      <c r="HJ11" s="20">
        <f>'Quick Setup'!U66</f>
        <v>0.8</v>
      </c>
      <c r="HK11" s="21">
        <f>if(HJ11='Quick Setup'!$C$31,'Quick Setup'!$C38,if(HJ11='Quick Setup'!$D$31,'Quick Setup'!$D38,if(HJ11='Quick Setup'!$E$31,'Quick Setup'!$E38,if(HJ11='Quick Setup'!$F$31,'Quick Setup'!$F38,if(HJ11='Quick Setup'!$G$31,'Quick Setup'!$G38,if(HJ11='Quick Setup'!$H$31,'Quick Setup'!$H38,if(HJ11='Quick Setup'!$I$31,'Quick Setup'!$I38,if(HJ11='Quick Setup'!$J$31,'Quick Setup'!$J38,if(HJ11='Quick Setup'!$K$31,'Quick Setup'!$K38,if(HJ11='Quick Setup'!$L$31,'Quick Setup'!$L38,if(HJ11='Quick Setup'!$M$31,'Quick Setup'!$M38,if(HJ11='Quick Setup'!$N$31,'Quick Setup'!$N38,if(HJ11='Quick Setup'!$O$31,'Quick Setup'!$O38,if(HJ11='Quick Setup'!$P$31,'Quick Setup'!$P38,if(HJ11='Quick Setup'!$Q$31,'Quick Setup'!$Q38,if(HJ11='Quick Setup'!$R$31,'Quick Setup'!$R38,if(HJ11='Quick Setup'!$S$31,'Quick Setup'!$S38,if(HJ11='Quick Setup'!$T$31,'Quick Setup'!$T38,if(HJ11='Quick Setup'!$U$31,'Quick Setup'!$U38,if(HJ11='Quick Setup'!$V$31,'Quick Setup'!$V38,'Quick Setup'!$W38))))))))))))))))))))</f>
        <v>3</v>
      </c>
      <c r="HL11" s="21">
        <f>if(HJ11='Quick Setup'!$C$45,'Quick Setup'!$C52,if(HJ11='Quick Setup'!$D$45,'Quick Setup'!$D52,if(HJ11='Quick Setup'!$E$45,'Quick Setup'!$E52,if(HJ11='Quick Setup'!$F$45,'Quick Setup'!$F52,if(HJ11='Quick Setup'!$G$45,'Quick Setup'!$G52,if(HJ11='Quick Setup'!$H$45,'Quick Setup'!$H52,if(HJ11='Quick Setup'!$I$45,'Quick Setup'!$I52,if(HJ11='Quick Setup'!$J$45,'Quick Setup'!$J52,if(HJ11='Quick Setup'!$K$45,'Quick Setup'!$K52,if(HJ11='Quick Setup'!$L$45,'Quick Setup'!$L52,if(HJ11='Quick Setup'!$M$45,'Quick Setup'!$M52,if(HJ11='Quick Setup'!$N$45,'Quick Setup'!$N52,if(HJ11='Quick Setup'!$O$45,'Quick Setup'!$O52,if(HJ11='Quick Setup'!$P$45,'Quick Setup'!$P52,if(HJ11='Quick Setup'!$Q$45,'Quick Setup'!$Q52,if(HJ11='Quick Setup'!$R$45,'Quick Setup'!$R52,if(HJ11='Quick Setup'!$S$45,'Quick Setup'!$S52,if(HJ11='Quick Setup'!$T$45,'Quick Setup'!$T52,if(HJ11='Quick Setup'!$U$45,'Quick Setup'!$U52,if(HJ11='Quick Setup'!$V$45,'Quick Setup'!$V52,'Quick Setup'!$W52))))))))))))))))))))</f>
        <v>2</v>
      </c>
      <c r="HM11" s="23">
        <f t="shared" ref="HM11:HU11" si="138">HA11</f>
        <v>5</v>
      </c>
      <c r="HN11" s="24">
        <f t="shared" si="138"/>
        <v>-0.05</v>
      </c>
      <c r="HO11" s="24">
        <f t="shared" si="138"/>
        <v>-0.02</v>
      </c>
      <c r="HP11" s="24">
        <f t="shared" si="138"/>
        <v>0</v>
      </c>
      <c r="HQ11" s="24">
        <f t="shared" si="138"/>
        <v>0.005</v>
      </c>
      <c r="HR11" s="24">
        <f t="shared" si="138"/>
        <v>0.01</v>
      </c>
      <c r="HS11" s="24">
        <f t="shared" si="138"/>
        <v>0.015</v>
      </c>
      <c r="HT11" s="24">
        <f t="shared" si="138"/>
        <v>0.02</v>
      </c>
      <c r="HU11" s="24">
        <f t="shared" si="138"/>
        <v>0.03</v>
      </c>
      <c r="HV11" s="20">
        <f>'Quick Setup'!V66</f>
        <v>0.85</v>
      </c>
      <c r="HW11" s="21">
        <f>if(HV11='Quick Setup'!$C$31,'Quick Setup'!$C38,if(HV11='Quick Setup'!$D$31,'Quick Setup'!$D38,if(HV11='Quick Setup'!$E$31,'Quick Setup'!$E38,if(HV11='Quick Setup'!$F$31,'Quick Setup'!$F38,if(HV11='Quick Setup'!$G$31,'Quick Setup'!$G38,if(HV11='Quick Setup'!$H$31,'Quick Setup'!$H38,if(HV11='Quick Setup'!$I$31,'Quick Setup'!$I38,if(HV11='Quick Setup'!$J$31,'Quick Setup'!$J38,if(HV11='Quick Setup'!$K$31,'Quick Setup'!$K38,if(HV11='Quick Setup'!$L$31,'Quick Setup'!$L38,if(HV11='Quick Setup'!$M$31,'Quick Setup'!$M38,if(HV11='Quick Setup'!$N$31,'Quick Setup'!$N38,if(HV11='Quick Setup'!$O$31,'Quick Setup'!$O38,if(HV11='Quick Setup'!$P$31,'Quick Setup'!$P38,if(HV11='Quick Setup'!$Q$31,'Quick Setup'!$Q38,if(HV11='Quick Setup'!$R$31,'Quick Setup'!$R38,if(HV11='Quick Setup'!$S$31,'Quick Setup'!$S38,if(HV11='Quick Setup'!$T$31,'Quick Setup'!$T38,if(HV11='Quick Setup'!$U$31,'Quick Setup'!$U38,if(HV11='Quick Setup'!$V$31,'Quick Setup'!$V38,'Quick Setup'!$W38))))))))))))))))))))</f>
        <v>2</v>
      </c>
      <c r="HX11" s="21">
        <f>if(HV11='Quick Setup'!$C$45,'Quick Setup'!$C52,if(HV11='Quick Setup'!$D$45,'Quick Setup'!$D52,if(HV11='Quick Setup'!$E$45,'Quick Setup'!$E52,if(HV11='Quick Setup'!$F$45,'Quick Setup'!$F52,if(HV11='Quick Setup'!$G$45,'Quick Setup'!$G52,if(HV11='Quick Setup'!$H$45,'Quick Setup'!$H52,if(HV11='Quick Setup'!$I$45,'Quick Setup'!$I52,if(HV11='Quick Setup'!$J$45,'Quick Setup'!$J52,if(HV11='Quick Setup'!$K$45,'Quick Setup'!$K52,if(HV11='Quick Setup'!$L$45,'Quick Setup'!$L52,if(HV11='Quick Setup'!$M$45,'Quick Setup'!$M52,if(HV11='Quick Setup'!$N$45,'Quick Setup'!$N52,if(HV11='Quick Setup'!$O$45,'Quick Setup'!$O52,if(HV11='Quick Setup'!$P$45,'Quick Setup'!$P52,if(HV11='Quick Setup'!$Q$45,'Quick Setup'!$Q52,if(HV11='Quick Setup'!$R$45,'Quick Setup'!$R52,if(HV11='Quick Setup'!$S$45,'Quick Setup'!$S52,if(HV11='Quick Setup'!$T$45,'Quick Setup'!$T52,if(HV11='Quick Setup'!$U$45,'Quick Setup'!$U52,if(HV11='Quick Setup'!$V$45,'Quick Setup'!$V52,'Quick Setup'!$W52))))))))))))))))))))</f>
        <v>1</v>
      </c>
      <c r="HY11" s="23">
        <f t="shared" ref="HY11:IG11" si="139">HM11</f>
        <v>5</v>
      </c>
      <c r="HZ11" s="24">
        <f t="shared" si="139"/>
        <v>-0.05</v>
      </c>
      <c r="IA11" s="24">
        <f t="shared" si="139"/>
        <v>-0.02</v>
      </c>
      <c r="IB11" s="24">
        <f t="shared" si="139"/>
        <v>0</v>
      </c>
      <c r="IC11" s="24">
        <f t="shared" si="139"/>
        <v>0.005</v>
      </c>
      <c r="ID11" s="24">
        <f t="shared" si="139"/>
        <v>0.01</v>
      </c>
      <c r="IE11" s="24">
        <f t="shared" si="139"/>
        <v>0.015</v>
      </c>
      <c r="IF11" s="24">
        <f t="shared" si="139"/>
        <v>0.02</v>
      </c>
      <c r="IG11" s="24">
        <f t="shared" si="139"/>
        <v>0.03</v>
      </c>
      <c r="IH11" s="20">
        <f>'Quick Setup'!W66</f>
        <v>0.5</v>
      </c>
      <c r="II11" s="21">
        <f>if(IH11='Quick Setup'!$C$31,'Quick Setup'!$C38,if(IH11='Quick Setup'!$D$31,'Quick Setup'!$D38,if(IH11='Quick Setup'!$E$31,'Quick Setup'!$E38,if(IH11='Quick Setup'!$F$31,'Quick Setup'!$F38,if(IH11='Quick Setup'!$G$31,'Quick Setup'!$G38,if(IH11='Quick Setup'!$H$31,'Quick Setup'!$H38,if(IH11='Quick Setup'!$I$31,'Quick Setup'!$I38,if(IH11='Quick Setup'!$J$31,'Quick Setup'!$J38,if(IH11='Quick Setup'!$K$31,'Quick Setup'!$K38,if(IH11='Quick Setup'!$L$31,'Quick Setup'!$L38,if(IH11='Quick Setup'!$M$31,'Quick Setup'!$M38,if(IH11='Quick Setup'!$N$31,'Quick Setup'!$N38,if(IH11='Quick Setup'!$O$31,'Quick Setup'!$O38,if(IH11='Quick Setup'!$P$31,'Quick Setup'!$P38,if(IH11='Quick Setup'!$Q$31,'Quick Setup'!$Q38,if(IH11='Quick Setup'!$R$31,'Quick Setup'!$R38,if(IH11='Quick Setup'!$S$31,'Quick Setup'!$S38,if(IH11='Quick Setup'!$T$31,'Quick Setup'!$T38,if(IH11='Quick Setup'!$U$31,'Quick Setup'!$U38,if(IH11='Quick Setup'!$V$31,'Quick Setup'!$V38,'Quick Setup'!$W38))))))))))))))))))))</f>
        <v>8</v>
      </c>
      <c r="IJ11" s="21">
        <f>if(IH11='Quick Setup'!$C$45,'Quick Setup'!$C52,if(IH11='Quick Setup'!$D$45,'Quick Setup'!$D52,if(IH11='Quick Setup'!$E$45,'Quick Setup'!$E52,if(IH11='Quick Setup'!$F$45,'Quick Setup'!$F52,if(IH11='Quick Setup'!$G$45,'Quick Setup'!$G52,if(IH11='Quick Setup'!$H$45,'Quick Setup'!$H52,if(IH11='Quick Setup'!$I$45,'Quick Setup'!$I52,if(IH11='Quick Setup'!$J$45,'Quick Setup'!$J52,if(IH11='Quick Setup'!$K$45,'Quick Setup'!$K52,if(IH11='Quick Setup'!$L$45,'Quick Setup'!$L52,if(IH11='Quick Setup'!$M$45,'Quick Setup'!$M52,if(IH11='Quick Setup'!$N$45,'Quick Setup'!$N52,if(IH11='Quick Setup'!$O$45,'Quick Setup'!$O52,if(IH11='Quick Setup'!$P$45,'Quick Setup'!$P52,if(IH11='Quick Setup'!$Q$45,'Quick Setup'!$Q52,if(IH11='Quick Setup'!$R$45,'Quick Setup'!$R52,if(IH11='Quick Setup'!$S$45,'Quick Setup'!$S52,if(IH11='Quick Setup'!$T$45,'Quick Setup'!$T52,if(IH11='Quick Setup'!$U$45,'Quick Setup'!$U52,if(IH11='Quick Setup'!$V$45,'Quick Setup'!$V52,'Quick Setup'!$W52))))))))))))))))))))</f>
        <v>3</v>
      </c>
      <c r="IK11" s="23">
        <f t="shared" ref="IK11:IS11" si="140">HY11</f>
        <v>5</v>
      </c>
      <c r="IL11" s="24">
        <f t="shared" si="140"/>
        <v>-0.05</v>
      </c>
      <c r="IM11" s="24">
        <f t="shared" si="140"/>
        <v>-0.02</v>
      </c>
      <c r="IN11" s="24">
        <f t="shared" si="140"/>
        <v>0</v>
      </c>
      <c r="IO11" s="24">
        <f t="shared" si="140"/>
        <v>0.005</v>
      </c>
      <c r="IP11" s="24">
        <f t="shared" si="140"/>
        <v>0.01</v>
      </c>
      <c r="IQ11" s="24">
        <f t="shared" si="140"/>
        <v>0.015</v>
      </c>
      <c r="IR11" s="24">
        <f t="shared" si="140"/>
        <v>0.02</v>
      </c>
      <c r="IS11" s="24">
        <f t="shared" si="140"/>
        <v>0.03</v>
      </c>
    </row>
    <row r="12">
      <c r="A12" t="str">
        <f>'Quick Setup'!C14</f>
        <v>Incline Press</v>
      </c>
      <c r="B12" s="20">
        <f>'Quick Setup'!C67</f>
        <v>0.6</v>
      </c>
      <c r="C12" s="21">
        <f>if(B12='Quick Setup'!$C$31,'Quick Setup'!$C39,if(B12='Quick Setup'!$D$31,'Quick Setup'!$D39,if(B12='Quick Setup'!$E$31,'Quick Setup'!$E39,if(B12='Quick Setup'!$F$31,'Quick Setup'!$F39,if(B12='Quick Setup'!$G$31,'Quick Setup'!$G39,if(B12='Quick Setup'!$H$31,'Quick Setup'!$H39,if(B12='Quick Setup'!$I$31,'Quick Setup'!$I39,if(B12='Quick Setup'!$J$31,'Quick Setup'!$J39,if(B12='Quick Setup'!$K$31,'Quick Setup'!$K39,if(B12='Quick Setup'!$L$31,'Quick Setup'!$L39,if(B12='Quick Setup'!$M$31,'Quick Setup'!$M39,if(B12='Quick Setup'!$N$31,'Quick Setup'!$N39,if(B12='Quick Setup'!$O$31,'Quick Setup'!$O39,if(B12='Quick Setup'!$P$31,'Quick Setup'!$P39,if(B12='Quick Setup'!$Q$31,'Quick Setup'!$Q39,if(B12='Quick Setup'!$R$31,'Quick Setup'!$R39,if(B12='Quick Setup'!$S$31,'Quick Setup'!$S39,if(B12='Quick Setup'!$T$31,'Quick Setup'!$T39,if(B12='Quick Setup'!$U$31,'Quick Setup'!$U39,if(B12='Quick Setup'!$V$31,'Quick Setup'!$V39,'Quick Setup'!$W39))))))))))))))))))))</f>
        <v>7</v>
      </c>
      <c r="D12" s="21">
        <f>if(B12='Quick Setup'!$C$45,'Quick Setup'!$C53,if(B12='Quick Setup'!$D$45,'Quick Setup'!$D53,if(B12='Quick Setup'!$E$45,'Quick Setup'!$E53,if(B12='Quick Setup'!$F$45,'Quick Setup'!$F53,if(B12='Quick Setup'!$G$45,'Quick Setup'!$G53,if(B12='Quick Setup'!$H$45,'Quick Setup'!$H53,if(B12='Quick Setup'!$I$45,'Quick Setup'!$I53,if(B12='Quick Setup'!$J$45,'Quick Setup'!$J53,if(B12='Quick Setup'!$K$45,'Quick Setup'!$K53,if(B12='Quick Setup'!$L$45,'Quick Setup'!$L53,if(B12='Quick Setup'!$M$45,'Quick Setup'!$M53,if(B12='Quick Setup'!$N$45,'Quick Setup'!$N53,if(B12='Quick Setup'!$O$45,'Quick Setup'!$O53,if(B12='Quick Setup'!$P$45,'Quick Setup'!$P53,if(B12='Quick Setup'!$Q$45,'Quick Setup'!$Q53,if(B12='Quick Setup'!$R$45,'Quick Setup'!$R53,if(B12='Quick Setup'!$S$45,'Quick Setup'!$S53,if(B12='Quick Setup'!$T$45,'Quick Setup'!$T53,if(B12='Quick Setup'!$U$45,'Quick Setup'!$U53,if(B12='Quick Setup'!$V$45,'Quick Setup'!$V53,'Quick Setup'!$W53))))))))))))))))))))</f>
        <v>3</v>
      </c>
      <c r="E12" s="21">
        <f>'Quick Setup'!H13</f>
        <v>5</v>
      </c>
      <c r="F12" s="22">
        <f>'Quick Setup'!I13</f>
        <v>-0.05</v>
      </c>
      <c r="G12" s="22">
        <f>'Quick Setup'!J13</f>
        <v>-0.02</v>
      </c>
      <c r="H12" s="22">
        <f>'Quick Setup'!K13</f>
        <v>0</v>
      </c>
      <c r="I12" s="22">
        <f>'Quick Setup'!L13</f>
        <v>0.005</v>
      </c>
      <c r="J12" s="22">
        <f>'Quick Setup'!M13</f>
        <v>0.01</v>
      </c>
      <c r="K12" s="22">
        <f>'Quick Setup'!N13</f>
        <v>0.015</v>
      </c>
      <c r="L12" s="22">
        <f>'Quick Setup'!O13</f>
        <v>0.02</v>
      </c>
      <c r="M12" s="22">
        <f>'Quick Setup'!P13</f>
        <v>0.03</v>
      </c>
      <c r="N12" s="20">
        <f>'Quick Setup'!D67</f>
        <v>0.65</v>
      </c>
      <c r="O12" s="21">
        <f>if(N12='Quick Setup'!$C$31,'Quick Setup'!$C39,if(N12='Quick Setup'!$D$31,'Quick Setup'!$D39,if(N12='Quick Setup'!$E$31,'Quick Setup'!$E39,if(N12='Quick Setup'!$F$31,'Quick Setup'!$F39,if(N12='Quick Setup'!$G$31,'Quick Setup'!$G39,if(N12='Quick Setup'!$H$31,'Quick Setup'!$H39,if(N12='Quick Setup'!$I$31,'Quick Setup'!$I39,if(N12='Quick Setup'!$J$31,'Quick Setup'!$J39,if(N12='Quick Setup'!$K$31,'Quick Setup'!$K39,if(N12='Quick Setup'!$L$31,'Quick Setup'!$L39,if(N12='Quick Setup'!$M$31,'Quick Setup'!$M39,if(N12='Quick Setup'!$N$31,'Quick Setup'!$N39,if(N12='Quick Setup'!$O$31,'Quick Setup'!$O39,if(N12='Quick Setup'!$P$31,'Quick Setup'!$P39,if(N12='Quick Setup'!$Q$31,'Quick Setup'!$Q39,if(N12='Quick Setup'!$R$31,'Quick Setup'!$R39,if(N12='Quick Setup'!$S$31,'Quick Setup'!$S39,if(N12='Quick Setup'!$T$31,'Quick Setup'!$T39,if(N12='Quick Setup'!$U$31,'Quick Setup'!$U39,if(N12='Quick Setup'!$V$31,'Quick Setup'!$V39,'Quick Setup'!$W39))))))))))))))))))))</f>
        <v>6</v>
      </c>
      <c r="P12" s="21">
        <f>if(N12='Quick Setup'!$C$45,'Quick Setup'!$C53,if(N12='Quick Setup'!$D$45,'Quick Setup'!$D53,if(N12='Quick Setup'!$E$45,'Quick Setup'!$E53,if(N12='Quick Setup'!$F$45,'Quick Setup'!$F53,if(N12='Quick Setup'!$G$45,'Quick Setup'!$G53,if(N12='Quick Setup'!$H$45,'Quick Setup'!$H53,if(N12='Quick Setup'!$I$45,'Quick Setup'!$I53,if(N12='Quick Setup'!$J$45,'Quick Setup'!$J53,if(N12='Quick Setup'!$K$45,'Quick Setup'!$K53,if(N12='Quick Setup'!$L$45,'Quick Setup'!$L53,if(N12='Quick Setup'!$M$45,'Quick Setup'!$M53,if(N12='Quick Setup'!$N$45,'Quick Setup'!$N53,if(N12='Quick Setup'!$O$45,'Quick Setup'!$O53,if(N12='Quick Setup'!$P$45,'Quick Setup'!$P53,if(N12='Quick Setup'!$Q$45,'Quick Setup'!$Q53,if(N12='Quick Setup'!$R$45,'Quick Setup'!$R53,if(N12='Quick Setup'!$S$45,'Quick Setup'!$S53,if(N12='Quick Setup'!$T$45,'Quick Setup'!$T53,if(N12='Quick Setup'!$U$45,'Quick Setup'!$U53,if(N12='Quick Setup'!$V$45,'Quick Setup'!$V53,'Quick Setup'!$W53))))))))))))))))))))</f>
        <v>3</v>
      </c>
      <c r="Q12" s="21">
        <f t="shared" ref="Q12:Y12" si="141">E12</f>
        <v>5</v>
      </c>
      <c r="R12" s="22">
        <f t="shared" si="141"/>
        <v>-0.05</v>
      </c>
      <c r="S12" s="22">
        <f t="shared" si="141"/>
        <v>-0.02</v>
      </c>
      <c r="T12" s="22">
        <f t="shared" si="141"/>
        <v>0</v>
      </c>
      <c r="U12" s="22">
        <f t="shared" si="141"/>
        <v>0.005</v>
      </c>
      <c r="V12" s="22">
        <f t="shared" si="141"/>
        <v>0.01</v>
      </c>
      <c r="W12" s="22">
        <f t="shared" si="141"/>
        <v>0.015</v>
      </c>
      <c r="X12" s="22">
        <f t="shared" si="141"/>
        <v>0.02</v>
      </c>
      <c r="Y12" s="22">
        <f t="shared" si="141"/>
        <v>0.03</v>
      </c>
      <c r="Z12" s="20">
        <f>'Quick Setup'!E67</f>
        <v>0.7</v>
      </c>
      <c r="AA12" s="21">
        <f>if(Z12='Quick Setup'!$C$31,'Quick Setup'!$C39,if(Z12='Quick Setup'!$D$31,'Quick Setup'!$D39,if(Z12='Quick Setup'!$E$31,'Quick Setup'!$E39,if(Z12='Quick Setup'!$F$31,'Quick Setup'!$F39,if(Z12='Quick Setup'!$G$31,'Quick Setup'!$G39,if(Z12='Quick Setup'!$H$31,'Quick Setup'!$H39,if(Z12='Quick Setup'!$I$31,'Quick Setup'!$I39,if(Z12='Quick Setup'!$J$31,'Quick Setup'!$J39,if(Z12='Quick Setup'!$K$31,'Quick Setup'!$K39,if(Z12='Quick Setup'!$L$31,'Quick Setup'!$L39,if(Z12='Quick Setup'!$M$31,'Quick Setup'!$M39,if(Z12='Quick Setup'!$N$31,'Quick Setup'!$N39,if(Z12='Quick Setup'!$O$31,'Quick Setup'!$O39,if(Z12='Quick Setup'!$P$31,'Quick Setup'!$P39,if(Z12='Quick Setup'!$Q$31,'Quick Setup'!$Q39,if(Z12='Quick Setup'!$R$31,'Quick Setup'!$R39,if(Z12='Quick Setup'!$S$31,'Quick Setup'!$S39,if(Z12='Quick Setup'!$T$31,'Quick Setup'!$T39,if(Z12='Quick Setup'!$U$31,'Quick Setup'!$U39,if(Z12='Quick Setup'!$V$31,'Quick Setup'!$V39,'Quick Setup'!$W39))))))))))))))))))))</f>
        <v>5</v>
      </c>
      <c r="AB12" s="21">
        <f>if(Z12='Quick Setup'!$C$45,'Quick Setup'!$C53,if(Z12='Quick Setup'!$D$45,'Quick Setup'!$D53,if(Z12='Quick Setup'!$E$45,'Quick Setup'!$E53,if(Z12='Quick Setup'!$F$45,'Quick Setup'!$F53,if(Z12='Quick Setup'!$G$45,'Quick Setup'!$G53,if(Z12='Quick Setup'!$H$45,'Quick Setup'!$H53,if(Z12='Quick Setup'!$I$45,'Quick Setup'!$I53,if(Z12='Quick Setup'!$J$45,'Quick Setup'!$J53,if(Z12='Quick Setup'!$K$45,'Quick Setup'!$K53,if(Z12='Quick Setup'!$L$45,'Quick Setup'!$L53,if(Z12='Quick Setup'!$M$45,'Quick Setup'!$M53,if(Z12='Quick Setup'!$N$45,'Quick Setup'!$N53,if(Z12='Quick Setup'!$O$45,'Quick Setup'!$O53,if(Z12='Quick Setup'!$P$45,'Quick Setup'!$P53,if(Z12='Quick Setup'!$Q$45,'Quick Setup'!$Q53,if(Z12='Quick Setup'!$R$45,'Quick Setup'!$R53,if(Z12='Quick Setup'!$S$45,'Quick Setup'!$S53,if(Z12='Quick Setup'!$T$45,'Quick Setup'!$T53,if(Z12='Quick Setup'!$U$45,'Quick Setup'!$U53,if(Z12='Quick Setup'!$V$45,'Quick Setup'!$V53,'Quick Setup'!$W53))))))))))))))))))))</f>
        <v>3</v>
      </c>
      <c r="AC12" s="21">
        <f t="shared" ref="AC12:AK12" si="142">Q12</f>
        <v>5</v>
      </c>
      <c r="AD12" s="22">
        <f t="shared" si="142"/>
        <v>-0.05</v>
      </c>
      <c r="AE12" s="22">
        <f t="shared" si="142"/>
        <v>-0.02</v>
      </c>
      <c r="AF12" s="22">
        <f t="shared" si="142"/>
        <v>0</v>
      </c>
      <c r="AG12" s="22">
        <f t="shared" si="142"/>
        <v>0.005</v>
      </c>
      <c r="AH12" s="22">
        <f t="shared" si="142"/>
        <v>0.01</v>
      </c>
      <c r="AI12" s="22">
        <f t="shared" si="142"/>
        <v>0.015</v>
      </c>
      <c r="AJ12" s="22">
        <f t="shared" si="142"/>
        <v>0.02</v>
      </c>
      <c r="AK12" s="22">
        <f t="shared" si="142"/>
        <v>0.03</v>
      </c>
      <c r="AL12" s="20">
        <f>'Quick Setup'!F67</f>
        <v>0.625</v>
      </c>
      <c r="AM12" s="21">
        <f>if(AL12='Quick Setup'!$C$31,'Quick Setup'!$C39,if(AL12='Quick Setup'!$D$31,'Quick Setup'!$D39,if(AL12='Quick Setup'!$E$31,'Quick Setup'!$E39,if(AL12='Quick Setup'!$F$31,'Quick Setup'!$F39,if(AL12='Quick Setup'!$G$31,'Quick Setup'!$G39,if(AL12='Quick Setup'!$H$31,'Quick Setup'!$H39,if(AL12='Quick Setup'!$I$31,'Quick Setup'!$I39,if(AL12='Quick Setup'!$J$31,'Quick Setup'!$J39,if(AL12='Quick Setup'!$K$31,'Quick Setup'!$K39,if(AL12='Quick Setup'!$L$31,'Quick Setup'!$L39,if(AL12='Quick Setup'!$M$31,'Quick Setup'!$M39,if(AL12='Quick Setup'!$N$31,'Quick Setup'!$N39,if(AL12='Quick Setup'!$O$31,'Quick Setup'!$O39,if(AL12='Quick Setup'!$P$31,'Quick Setup'!$P39,if(AL12='Quick Setup'!$Q$31,'Quick Setup'!$Q39,if(AL12='Quick Setup'!$R$31,'Quick Setup'!$R39,if(AL12='Quick Setup'!$S$31,'Quick Setup'!$S39,if(AL12='Quick Setup'!$T$31,'Quick Setup'!$T39,if(AL12='Quick Setup'!$U$31,'Quick Setup'!$U39,if(AL12='Quick Setup'!$V$31,'Quick Setup'!$V39,'Quick Setup'!$W39))))))))))))))))))))</f>
        <v>7</v>
      </c>
      <c r="AN12" s="21">
        <f>if(AL12='Quick Setup'!$C$45,'Quick Setup'!$C53,if(AL12='Quick Setup'!$D$45,'Quick Setup'!$D53,if(AL12='Quick Setup'!$E$45,'Quick Setup'!$E53,if(AL12='Quick Setup'!$F$45,'Quick Setup'!$F53,if(AL12='Quick Setup'!$G$45,'Quick Setup'!$G53,if(AL12='Quick Setup'!$H$45,'Quick Setup'!$H53,if(AL12='Quick Setup'!$I$45,'Quick Setup'!$I53,if(AL12='Quick Setup'!$J$45,'Quick Setup'!$J53,if(AL12='Quick Setup'!$K$45,'Quick Setup'!$K53,if(AL12='Quick Setup'!$L$45,'Quick Setup'!$L53,if(AL12='Quick Setup'!$M$45,'Quick Setup'!$M53,if(AL12='Quick Setup'!$N$45,'Quick Setup'!$N53,if(AL12='Quick Setup'!$O$45,'Quick Setup'!$O53,if(AL12='Quick Setup'!$P$45,'Quick Setup'!$P53,if(AL12='Quick Setup'!$Q$45,'Quick Setup'!$Q53,if(AL12='Quick Setup'!$R$45,'Quick Setup'!$R53,if(AL12='Quick Setup'!$S$45,'Quick Setup'!$S53,if(AL12='Quick Setup'!$T$45,'Quick Setup'!$T53,if(AL12='Quick Setup'!$U$45,'Quick Setup'!$U53,if(AL12='Quick Setup'!$V$45,'Quick Setup'!$V53,'Quick Setup'!$W53))))))))))))))))))))</f>
        <v>3</v>
      </c>
      <c r="AO12" s="21">
        <f t="shared" ref="AO12:AW12" si="143">AC12</f>
        <v>5</v>
      </c>
      <c r="AP12" s="22">
        <f t="shared" si="143"/>
        <v>-0.05</v>
      </c>
      <c r="AQ12" s="22">
        <f t="shared" si="143"/>
        <v>-0.02</v>
      </c>
      <c r="AR12" s="22">
        <f t="shared" si="143"/>
        <v>0</v>
      </c>
      <c r="AS12" s="22">
        <f t="shared" si="143"/>
        <v>0.005</v>
      </c>
      <c r="AT12" s="22">
        <f t="shared" si="143"/>
        <v>0.01</v>
      </c>
      <c r="AU12" s="22">
        <f t="shared" si="143"/>
        <v>0.015</v>
      </c>
      <c r="AV12" s="22">
        <f t="shared" si="143"/>
        <v>0.02</v>
      </c>
      <c r="AW12" s="22">
        <f t="shared" si="143"/>
        <v>0.03</v>
      </c>
      <c r="AX12" s="20">
        <f>'Quick Setup'!G67</f>
        <v>0.675</v>
      </c>
      <c r="AY12" s="21">
        <f>if(AX12='Quick Setup'!$C$31,'Quick Setup'!$C39,if(AX12='Quick Setup'!$D$31,'Quick Setup'!$D39,if(AX12='Quick Setup'!$E$31,'Quick Setup'!$E39,if(AX12='Quick Setup'!$F$31,'Quick Setup'!$F39,if(AX12='Quick Setup'!$G$31,'Quick Setup'!$G39,if(AX12='Quick Setup'!$H$31,'Quick Setup'!$H39,if(AX12='Quick Setup'!$I$31,'Quick Setup'!$I39,if(AX12='Quick Setup'!$J$31,'Quick Setup'!$J39,if(AX12='Quick Setup'!$K$31,'Quick Setup'!$K39,if(AX12='Quick Setup'!$L$31,'Quick Setup'!$L39,if(AX12='Quick Setup'!$M$31,'Quick Setup'!$M39,if(AX12='Quick Setup'!$N$31,'Quick Setup'!$N39,if(AX12='Quick Setup'!$O$31,'Quick Setup'!$O39,if(AX12='Quick Setup'!$P$31,'Quick Setup'!$P39,if(AX12='Quick Setup'!$Q$31,'Quick Setup'!$Q39,if(AX12='Quick Setup'!$R$31,'Quick Setup'!$R39,if(AX12='Quick Setup'!$S$31,'Quick Setup'!$S39,if(AX12='Quick Setup'!$T$31,'Quick Setup'!$T39,if(AX12='Quick Setup'!$U$31,'Quick Setup'!$U39,if(AX12='Quick Setup'!$V$31,'Quick Setup'!$V39,'Quick Setup'!$W39))))))))))))))))))))</f>
        <v>6</v>
      </c>
      <c r="AZ12" s="21">
        <f>if(AX12='Quick Setup'!$C$45,'Quick Setup'!$C53,if(AX12='Quick Setup'!$D$45,'Quick Setup'!$D53,if(AX12='Quick Setup'!$E$45,'Quick Setup'!$E53,if(AX12='Quick Setup'!$F$45,'Quick Setup'!$F53,if(AX12='Quick Setup'!$G$45,'Quick Setup'!$G53,if(AX12='Quick Setup'!$H$45,'Quick Setup'!$H53,if(AX12='Quick Setup'!$I$45,'Quick Setup'!$I53,if(AX12='Quick Setup'!$J$45,'Quick Setup'!$J53,if(AX12='Quick Setup'!$K$45,'Quick Setup'!$K53,if(AX12='Quick Setup'!$L$45,'Quick Setup'!$L53,if(AX12='Quick Setup'!$M$45,'Quick Setup'!$M53,if(AX12='Quick Setup'!$N$45,'Quick Setup'!$N53,if(AX12='Quick Setup'!$O$45,'Quick Setup'!$O53,if(AX12='Quick Setup'!$P$45,'Quick Setup'!$P53,if(AX12='Quick Setup'!$Q$45,'Quick Setup'!$Q53,if(AX12='Quick Setup'!$R$45,'Quick Setup'!$R53,if(AX12='Quick Setup'!$S$45,'Quick Setup'!$S53,if(AX12='Quick Setup'!$T$45,'Quick Setup'!$T53,if(AX12='Quick Setup'!$U$45,'Quick Setup'!$U53,if(AX12='Quick Setup'!$V$45,'Quick Setup'!$V53,'Quick Setup'!$W53))))))))))))))))))))</f>
        <v>3</v>
      </c>
      <c r="BA12" s="21">
        <f t="shared" ref="BA12:BI12" si="144">AO12</f>
        <v>5</v>
      </c>
      <c r="BB12" s="22">
        <f t="shared" si="144"/>
        <v>-0.05</v>
      </c>
      <c r="BC12" s="22">
        <f t="shared" si="144"/>
        <v>-0.02</v>
      </c>
      <c r="BD12" s="22">
        <f t="shared" si="144"/>
        <v>0</v>
      </c>
      <c r="BE12" s="22">
        <f t="shared" si="144"/>
        <v>0.005</v>
      </c>
      <c r="BF12" s="22">
        <f t="shared" si="144"/>
        <v>0.01</v>
      </c>
      <c r="BG12" s="22">
        <f t="shared" si="144"/>
        <v>0.015</v>
      </c>
      <c r="BH12" s="22">
        <f t="shared" si="144"/>
        <v>0.02</v>
      </c>
      <c r="BI12" s="22">
        <f t="shared" si="144"/>
        <v>0.03</v>
      </c>
      <c r="BJ12" s="20">
        <f>'Quick Setup'!H67</f>
        <v>0.725</v>
      </c>
      <c r="BK12" s="21">
        <f>if(BJ12='Quick Setup'!$C$31,'Quick Setup'!$C39,if(BJ12='Quick Setup'!$D$31,'Quick Setup'!$D39,if(BJ12='Quick Setup'!$E$31,'Quick Setup'!$E39,if(BJ12='Quick Setup'!$F$31,'Quick Setup'!$F39,if(BJ12='Quick Setup'!$G$31,'Quick Setup'!$G39,if(BJ12='Quick Setup'!$H$31,'Quick Setup'!$H39,if(BJ12='Quick Setup'!$I$31,'Quick Setup'!$I39,if(BJ12='Quick Setup'!$J$31,'Quick Setup'!$J39,if(BJ12='Quick Setup'!$K$31,'Quick Setup'!$K39,if(BJ12='Quick Setup'!$L$31,'Quick Setup'!$L39,if(BJ12='Quick Setup'!$M$31,'Quick Setup'!$M39,if(BJ12='Quick Setup'!$N$31,'Quick Setup'!$N39,if(BJ12='Quick Setup'!$O$31,'Quick Setup'!$O39,if(BJ12='Quick Setup'!$P$31,'Quick Setup'!$P39,if(BJ12='Quick Setup'!$Q$31,'Quick Setup'!$Q39,if(BJ12='Quick Setup'!$R$31,'Quick Setup'!$R39,if(BJ12='Quick Setup'!$S$31,'Quick Setup'!$S39,if(BJ12='Quick Setup'!$T$31,'Quick Setup'!$T39,if(BJ12='Quick Setup'!$U$31,'Quick Setup'!$U39,if(BJ12='Quick Setup'!$V$31,'Quick Setup'!$V39,'Quick Setup'!$W39))))))))))))))))))))</f>
        <v>5</v>
      </c>
      <c r="BL12" s="21">
        <f>if(BJ12='Quick Setup'!$C$45,'Quick Setup'!$C53,if(BJ12='Quick Setup'!$D$45,'Quick Setup'!$D53,if(BJ12='Quick Setup'!$E$45,'Quick Setup'!$E53,if(BJ12='Quick Setup'!$F$45,'Quick Setup'!$F53,if(BJ12='Quick Setup'!$G$45,'Quick Setup'!$G53,if(BJ12='Quick Setup'!$H$45,'Quick Setup'!$H53,if(BJ12='Quick Setup'!$I$45,'Quick Setup'!$I53,if(BJ12='Quick Setup'!$J$45,'Quick Setup'!$J53,if(BJ12='Quick Setup'!$K$45,'Quick Setup'!$K53,if(BJ12='Quick Setup'!$L$45,'Quick Setup'!$L53,if(BJ12='Quick Setup'!$M$45,'Quick Setup'!$M53,if(BJ12='Quick Setup'!$N$45,'Quick Setup'!$N53,if(BJ12='Quick Setup'!$O$45,'Quick Setup'!$O53,if(BJ12='Quick Setup'!$P$45,'Quick Setup'!$P53,if(BJ12='Quick Setup'!$Q$45,'Quick Setup'!$Q53,if(BJ12='Quick Setup'!$R$45,'Quick Setup'!$R53,if(BJ12='Quick Setup'!$S$45,'Quick Setup'!$S53,if(BJ12='Quick Setup'!$T$45,'Quick Setup'!$T53,if(BJ12='Quick Setup'!$U$45,'Quick Setup'!$U53,if(BJ12='Quick Setup'!$V$45,'Quick Setup'!$V53,'Quick Setup'!$W53))))))))))))))))))))</f>
        <v>3</v>
      </c>
      <c r="BM12" s="23">
        <f t="shared" ref="BM12:BU12" si="145">BA12</f>
        <v>5</v>
      </c>
      <c r="BN12" s="24">
        <f t="shared" si="145"/>
        <v>-0.05</v>
      </c>
      <c r="BO12" s="24">
        <f t="shared" si="145"/>
        <v>-0.02</v>
      </c>
      <c r="BP12" s="24">
        <f t="shared" si="145"/>
        <v>0</v>
      </c>
      <c r="BQ12" s="24">
        <f t="shared" si="145"/>
        <v>0.005</v>
      </c>
      <c r="BR12" s="24">
        <f t="shared" si="145"/>
        <v>0.01</v>
      </c>
      <c r="BS12" s="24">
        <f t="shared" si="145"/>
        <v>0.015</v>
      </c>
      <c r="BT12" s="24">
        <f t="shared" si="145"/>
        <v>0.02</v>
      </c>
      <c r="BU12" s="24">
        <f t="shared" si="145"/>
        <v>0.03</v>
      </c>
      <c r="BV12" s="20">
        <f>'Quick Setup'!I67</f>
        <v>0.5</v>
      </c>
      <c r="BW12" s="21">
        <f>if(BV12='Quick Setup'!$C$31,'Quick Setup'!$C39,if(BV12='Quick Setup'!$D$31,'Quick Setup'!$D39,if(BV12='Quick Setup'!$E$31,'Quick Setup'!$E39,if(BV12='Quick Setup'!$F$31,'Quick Setup'!$F39,if(BV12='Quick Setup'!$G$31,'Quick Setup'!$G39,if(BV12='Quick Setup'!$H$31,'Quick Setup'!$H39,if(BV12='Quick Setup'!$I$31,'Quick Setup'!$I39,if(BV12='Quick Setup'!$J$31,'Quick Setup'!$J39,if(BV12='Quick Setup'!$K$31,'Quick Setup'!$K39,if(BV12='Quick Setup'!$L$31,'Quick Setup'!$L39,if(BV12='Quick Setup'!$M$31,'Quick Setup'!$M39,if(BV12='Quick Setup'!$N$31,'Quick Setup'!$N39,if(BV12='Quick Setup'!$O$31,'Quick Setup'!$O39,if(BV12='Quick Setup'!$P$31,'Quick Setup'!$P39,if(BV12='Quick Setup'!$Q$31,'Quick Setup'!$Q39,if(BV12='Quick Setup'!$R$31,'Quick Setup'!$R39,if(BV12='Quick Setup'!$S$31,'Quick Setup'!$S39,if(BV12='Quick Setup'!$T$31,'Quick Setup'!$T39,if(BV12='Quick Setup'!$U$31,'Quick Setup'!$U39,if(BV12='Quick Setup'!$V$31,'Quick Setup'!$V39,'Quick Setup'!$W39))))))))))))))))))))</f>
        <v>8</v>
      </c>
      <c r="BX12" s="21">
        <f>if(BV12='Quick Setup'!$C$45,'Quick Setup'!$C53,if(BV12='Quick Setup'!$D$45,'Quick Setup'!$D53,if(BV12='Quick Setup'!$E$45,'Quick Setup'!$E53,if(BV12='Quick Setup'!$F$45,'Quick Setup'!$F53,if(BV12='Quick Setup'!$G$45,'Quick Setup'!$G53,if(BV12='Quick Setup'!$H$45,'Quick Setup'!$H53,if(BV12='Quick Setup'!$I$45,'Quick Setup'!$I53,if(BV12='Quick Setup'!$J$45,'Quick Setup'!$J53,if(BV12='Quick Setup'!$K$45,'Quick Setup'!$K53,if(BV12='Quick Setup'!$L$45,'Quick Setup'!$L53,if(BV12='Quick Setup'!$M$45,'Quick Setup'!$M53,if(BV12='Quick Setup'!$N$45,'Quick Setup'!$N53,if(BV12='Quick Setup'!$O$45,'Quick Setup'!$O53,if(BV12='Quick Setup'!$P$45,'Quick Setup'!$P53,if(BV12='Quick Setup'!$Q$45,'Quick Setup'!$Q53,if(BV12='Quick Setup'!$R$45,'Quick Setup'!$R53,if(BV12='Quick Setup'!$S$45,'Quick Setup'!$S53,if(BV12='Quick Setup'!$T$45,'Quick Setup'!$T53,if(BV12='Quick Setup'!$U$45,'Quick Setup'!$U53,if(BV12='Quick Setup'!$V$45,'Quick Setup'!$V53,'Quick Setup'!$W53))))))))))))))))))))</f>
        <v>3</v>
      </c>
      <c r="BY12" s="23">
        <f t="shared" ref="BY12:CG12" si="146">BM12</f>
        <v>5</v>
      </c>
      <c r="BZ12" s="24">
        <f t="shared" si="146"/>
        <v>-0.05</v>
      </c>
      <c r="CA12" s="24">
        <f t="shared" si="146"/>
        <v>-0.02</v>
      </c>
      <c r="CB12" s="24">
        <f t="shared" si="146"/>
        <v>0</v>
      </c>
      <c r="CC12" s="24">
        <f t="shared" si="146"/>
        <v>0.005</v>
      </c>
      <c r="CD12" s="24">
        <f t="shared" si="146"/>
        <v>0.01</v>
      </c>
      <c r="CE12" s="24">
        <f t="shared" si="146"/>
        <v>0.015</v>
      </c>
      <c r="CF12" s="24">
        <f t="shared" si="146"/>
        <v>0.02</v>
      </c>
      <c r="CG12" s="24">
        <f t="shared" si="146"/>
        <v>0.03</v>
      </c>
      <c r="CH12" s="20">
        <f>'Quick Setup'!J67</f>
        <v>0.65</v>
      </c>
      <c r="CI12" s="21">
        <f>if(CH12='Quick Setup'!$C$31,'Quick Setup'!$C39,if(CH12='Quick Setup'!$D$31,'Quick Setup'!$D39,if(CH12='Quick Setup'!$E$31,'Quick Setup'!$E39,if(CH12='Quick Setup'!$F$31,'Quick Setup'!$F39,if(CH12='Quick Setup'!$G$31,'Quick Setup'!$G39,if(CH12='Quick Setup'!$H$31,'Quick Setup'!$H39,if(CH12='Quick Setup'!$I$31,'Quick Setup'!$I39,if(CH12='Quick Setup'!$J$31,'Quick Setup'!$J39,if(CH12='Quick Setup'!$K$31,'Quick Setup'!$K39,if(CH12='Quick Setup'!$L$31,'Quick Setup'!$L39,if(CH12='Quick Setup'!$M$31,'Quick Setup'!$M39,if(CH12='Quick Setup'!$N$31,'Quick Setup'!$N39,if(CH12='Quick Setup'!$O$31,'Quick Setup'!$O39,if(CH12='Quick Setup'!$P$31,'Quick Setup'!$P39,if(CH12='Quick Setup'!$Q$31,'Quick Setup'!$Q39,if(CH12='Quick Setup'!$R$31,'Quick Setup'!$R39,if(CH12='Quick Setup'!$S$31,'Quick Setup'!$S39,if(CH12='Quick Setup'!$T$31,'Quick Setup'!$T39,if(CH12='Quick Setup'!$U$31,'Quick Setup'!$U39,if(CH12='Quick Setup'!$V$31,'Quick Setup'!$V39,'Quick Setup'!$W39))))))))))))))))))))</f>
        <v>6</v>
      </c>
      <c r="CJ12" s="21">
        <f>if(CH12='Quick Setup'!$C$45,'Quick Setup'!$C53,if(CH12='Quick Setup'!$D$45,'Quick Setup'!$D53,if(CH12='Quick Setup'!$E$45,'Quick Setup'!$E53,if(CH12='Quick Setup'!$F$45,'Quick Setup'!$F53,if(CH12='Quick Setup'!$G$45,'Quick Setup'!$G53,if(CH12='Quick Setup'!$H$45,'Quick Setup'!$H53,if(CH12='Quick Setup'!$I$45,'Quick Setup'!$I53,if(CH12='Quick Setup'!$J$45,'Quick Setup'!$J53,if(CH12='Quick Setup'!$K$45,'Quick Setup'!$K53,if(CH12='Quick Setup'!$L$45,'Quick Setup'!$L53,if(CH12='Quick Setup'!$M$45,'Quick Setup'!$M53,if(CH12='Quick Setup'!$N$45,'Quick Setup'!$N53,if(CH12='Quick Setup'!$O$45,'Quick Setup'!$O53,if(CH12='Quick Setup'!$P$45,'Quick Setup'!$P53,if(CH12='Quick Setup'!$Q$45,'Quick Setup'!$Q53,if(CH12='Quick Setup'!$R$45,'Quick Setup'!$R53,if(CH12='Quick Setup'!$S$45,'Quick Setup'!$S53,if(CH12='Quick Setup'!$T$45,'Quick Setup'!$T53,if(CH12='Quick Setup'!$U$45,'Quick Setup'!$U53,if(CH12='Quick Setup'!$V$45,'Quick Setup'!$V53,'Quick Setup'!$W53))))))))))))))))))))</f>
        <v>3</v>
      </c>
      <c r="CK12" s="23">
        <f t="shared" ref="CK12:CS12" si="147">BY12</f>
        <v>5</v>
      </c>
      <c r="CL12" s="24">
        <f t="shared" si="147"/>
        <v>-0.05</v>
      </c>
      <c r="CM12" s="24">
        <f t="shared" si="147"/>
        <v>-0.02</v>
      </c>
      <c r="CN12" s="24">
        <f t="shared" si="147"/>
        <v>0</v>
      </c>
      <c r="CO12" s="24">
        <f t="shared" si="147"/>
        <v>0.005</v>
      </c>
      <c r="CP12" s="24">
        <f t="shared" si="147"/>
        <v>0.01</v>
      </c>
      <c r="CQ12" s="24">
        <f t="shared" si="147"/>
        <v>0.015</v>
      </c>
      <c r="CR12" s="24">
        <f t="shared" si="147"/>
        <v>0.02</v>
      </c>
      <c r="CS12" s="24">
        <f t="shared" si="147"/>
        <v>0.03</v>
      </c>
      <c r="CT12" s="20">
        <f>'Quick Setup'!K67</f>
        <v>0.7</v>
      </c>
      <c r="CU12" s="21">
        <f>if(CT12='Quick Setup'!$C$31,'Quick Setup'!$C39,if(CT12='Quick Setup'!$D$31,'Quick Setup'!$D39,if(CT12='Quick Setup'!$E$31,'Quick Setup'!$E39,if(CT12='Quick Setup'!$F$31,'Quick Setup'!$F39,if(CT12='Quick Setup'!$G$31,'Quick Setup'!$G39,if(CT12='Quick Setup'!$H$31,'Quick Setup'!$H39,if(CT12='Quick Setup'!$I$31,'Quick Setup'!$I39,if(CT12='Quick Setup'!$J$31,'Quick Setup'!$J39,if(CT12='Quick Setup'!$K$31,'Quick Setup'!$K39,if(CT12='Quick Setup'!$L$31,'Quick Setup'!$L39,if(CT12='Quick Setup'!$M$31,'Quick Setup'!$M39,if(CT12='Quick Setup'!$N$31,'Quick Setup'!$N39,if(CT12='Quick Setup'!$O$31,'Quick Setup'!$O39,if(CT12='Quick Setup'!$P$31,'Quick Setup'!$P39,if(CT12='Quick Setup'!$Q$31,'Quick Setup'!$Q39,if(CT12='Quick Setup'!$R$31,'Quick Setup'!$R39,if(CT12='Quick Setup'!$S$31,'Quick Setup'!$S39,if(CT12='Quick Setup'!$T$31,'Quick Setup'!$T39,if(CT12='Quick Setup'!$U$31,'Quick Setup'!$U39,if(CT12='Quick Setup'!$V$31,'Quick Setup'!$V39,'Quick Setup'!$W39))))))))))))))))))))</f>
        <v>5</v>
      </c>
      <c r="CV12" s="21">
        <f>if(CT12='Quick Setup'!$C$45,'Quick Setup'!$C53,if(CT12='Quick Setup'!$D$45,'Quick Setup'!$D53,if(CT12='Quick Setup'!$E$45,'Quick Setup'!$E53,if(CT12='Quick Setup'!$F$45,'Quick Setup'!$F53,if(CT12='Quick Setup'!$G$45,'Quick Setup'!$G53,if(CT12='Quick Setup'!$H$45,'Quick Setup'!$H53,if(CT12='Quick Setup'!$I$45,'Quick Setup'!$I53,if(CT12='Quick Setup'!$J$45,'Quick Setup'!$J53,if(CT12='Quick Setup'!$K$45,'Quick Setup'!$K53,if(CT12='Quick Setup'!$L$45,'Quick Setup'!$L53,if(CT12='Quick Setup'!$M$45,'Quick Setup'!$M53,if(CT12='Quick Setup'!$N$45,'Quick Setup'!$N53,if(CT12='Quick Setup'!$O$45,'Quick Setup'!$O53,if(CT12='Quick Setup'!$P$45,'Quick Setup'!$P53,if(CT12='Quick Setup'!$Q$45,'Quick Setup'!$Q53,if(CT12='Quick Setup'!$R$45,'Quick Setup'!$R53,if(CT12='Quick Setup'!$S$45,'Quick Setup'!$S53,if(CT12='Quick Setup'!$T$45,'Quick Setup'!$T53,if(CT12='Quick Setup'!$U$45,'Quick Setup'!$U53,if(CT12='Quick Setup'!$V$45,'Quick Setup'!$V53,'Quick Setup'!$W53))))))))))))))))))))</f>
        <v>3</v>
      </c>
      <c r="CW12" s="23">
        <f t="shared" ref="CW12:DE12" si="148">CK12</f>
        <v>5</v>
      </c>
      <c r="CX12" s="24">
        <f t="shared" si="148"/>
        <v>-0.05</v>
      </c>
      <c r="CY12" s="24">
        <f t="shared" si="148"/>
        <v>-0.02</v>
      </c>
      <c r="CZ12" s="24">
        <f t="shared" si="148"/>
        <v>0</v>
      </c>
      <c r="DA12" s="24">
        <f t="shared" si="148"/>
        <v>0.005</v>
      </c>
      <c r="DB12" s="24">
        <f t="shared" si="148"/>
        <v>0.01</v>
      </c>
      <c r="DC12" s="24">
        <f t="shared" si="148"/>
        <v>0.015</v>
      </c>
      <c r="DD12" s="24">
        <f t="shared" si="148"/>
        <v>0.02</v>
      </c>
      <c r="DE12" s="24">
        <f t="shared" si="148"/>
        <v>0.03</v>
      </c>
      <c r="DF12" s="20">
        <f>'Quick Setup'!L67</f>
        <v>0.75</v>
      </c>
      <c r="DG12" s="21">
        <f>if(DF12='Quick Setup'!$C$31,'Quick Setup'!$C39,if(DF12='Quick Setup'!$D$31,'Quick Setup'!$D39,if(DF12='Quick Setup'!$E$31,'Quick Setup'!$E39,if(DF12='Quick Setup'!$F$31,'Quick Setup'!$F39,if(DF12='Quick Setup'!$G$31,'Quick Setup'!$G39,if(DF12='Quick Setup'!$H$31,'Quick Setup'!$H39,if(DF12='Quick Setup'!$I$31,'Quick Setup'!$I39,if(DF12='Quick Setup'!$J$31,'Quick Setup'!$J39,if(DF12='Quick Setup'!$K$31,'Quick Setup'!$K39,if(DF12='Quick Setup'!$L$31,'Quick Setup'!$L39,if(DF12='Quick Setup'!$M$31,'Quick Setup'!$M39,if(DF12='Quick Setup'!$N$31,'Quick Setup'!$N39,if(DF12='Quick Setup'!$O$31,'Quick Setup'!$O39,if(DF12='Quick Setup'!$P$31,'Quick Setup'!$P39,if(DF12='Quick Setup'!$Q$31,'Quick Setup'!$Q39,if(DF12='Quick Setup'!$R$31,'Quick Setup'!$R39,if(DF12='Quick Setup'!$S$31,'Quick Setup'!$S39,if(DF12='Quick Setup'!$T$31,'Quick Setup'!$T39,if(DF12='Quick Setup'!$U$31,'Quick Setup'!$U39,if(DF12='Quick Setup'!$V$31,'Quick Setup'!$V39,'Quick Setup'!$W39))))))))))))))))))))</f>
        <v>4</v>
      </c>
      <c r="DH12" s="21">
        <f>if(DF12='Quick Setup'!$C$45,'Quick Setup'!$C53,if(DF12='Quick Setup'!$D$45,'Quick Setup'!$D53,if(DF12='Quick Setup'!$E$45,'Quick Setup'!$E53,if(DF12='Quick Setup'!$F$45,'Quick Setup'!$F53,if(DF12='Quick Setup'!$G$45,'Quick Setup'!$G53,if(DF12='Quick Setup'!$H$45,'Quick Setup'!$H53,if(DF12='Quick Setup'!$I$45,'Quick Setup'!$I53,if(DF12='Quick Setup'!$J$45,'Quick Setup'!$J53,if(DF12='Quick Setup'!$K$45,'Quick Setup'!$K53,if(DF12='Quick Setup'!$L$45,'Quick Setup'!$L53,if(DF12='Quick Setup'!$M$45,'Quick Setup'!$M53,if(DF12='Quick Setup'!$N$45,'Quick Setup'!$N53,if(DF12='Quick Setup'!$O$45,'Quick Setup'!$O53,if(DF12='Quick Setup'!$P$45,'Quick Setup'!$P53,if(DF12='Quick Setup'!$Q$45,'Quick Setup'!$Q53,if(DF12='Quick Setup'!$R$45,'Quick Setup'!$R53,if(DF12='Quick Setup'!$S$45,'Quick Setup'!$S53,if(DF12='Quick Setup'!$T$45,'Quick Setup'!$T53,if(DF12='Quick Setup'!$U$45,'Quick Setup'!$U53,if(DF12='Quick Setup'!$V$45,'Quick Setup'!$V53,'Quick Setup'!$W53))))))))))))))))))))</f>
        <v>2</v>
      </c>
      <c r="DI12" s="23">
        <f t="shared" ref="DI12:DQ12" si="149">CW12</f>
        <v>5</v>
      </c>
      <c r="DJ12" s="24">
        <f t="shared" si="149"/>
        <v>-0.05</v>
      </c>
      <c r="DK12" s="24">
        <f t="shared" si="149"/>
        <v>-0.02</v>
      </c>
      <c r="DL12" s="24">
        <f t="shared" si="149"/>
        <v>0</v>
      </c>
      <c r="DM12" s="24">
        <f t="shared" si="149"/>
        <v>0.005</v>
      </c>
      <c r="DN12" s="24">
        <f t="shared" si="149"/>
        <v>0.01</v>
      </c>
      <c r="DO12" s="24">
        <f t="shared" si="149"/>
        <v>0.015</v>
      </c>
      <c r="DP12" s="24">
        <f t="shared" si="149"/>
        <v>0.02</v>
      </c>
      <c r="DQ12" s="24">
        <f t="shared" si="149"/>
        <v>0.03</v>
      </c>
      <c r="DR12" s="20">
        <f>'Quick Setup'!M67</f>
        <v>0.675</v>
      </c>
      <c r="DS12" s="21">
        <f>if(DR12='Quick Setup'!$C$31,'Quick Setup'!$C39,if(DR12='Quick Setup'!$D$31,'Quick Setup'!$D39,if(DR12='Quick Setup'!$E$31,'Quick Setup'!$E39,if(DR12='Quick Setup'!$F$31,'Quick Setup'!$F39,if(DR12='Quick Setup'!$G$31,'Quick Setup'!$G39,if(DR12='Quick Setup'!$H$31,'Quick Setup'!$H39,if(DR12='Quick Setup'!$I$31,'Quick Setup'!$I39,if(DR12='Quick Setup'!$J$31,'Quick Setup'!$J39,if(DR12='Quick Setup'!$K$31,'Quick Setup'!$K39,if(DR12='Quick Setup'!$L$31,'Quick Setup'!$L39,if(DR12='Quick Setup'!$M$31,'Quick Setup'!$M39,if(DR12='Quick Setup'!$N$31,'Quick Setup'!$N39,if(DR12='Quick Setup'!$O$31,'Quick Setup'!$O39,if(DR12='Quick Setup'!$P$31,'Quick Setup'!$P39,if(DR12='Quick Setup'!$Q$31,'Quick Setup'!$Q39,if(DR12='Quick Setup'!$R$31,'Quick Setup'!$R39,if(DR12='Quick Setup'!$S$31,'Quick Setup'!$S39,if(DR12='Quick Setup'!$T$31,'Quick Setup'!$T39,if(DR12='Quick Setup'!$U$31,'Quick Setup'!$U39,if(DR12='Quick Setup'!$V$31,'Quick Setup'!$V39,'Quick Setup'!$W39))))))))))))))))))))</f>
        <v>6</v>
      </c>
      <c r="DT12" s="21">
        <f>if(DR12='Quick Setup'!$C$45,'Quick Setup'!$C53,if(DR12='Quick Setup'!$D$45,'Quick Setup'!$D53,if(DR12='Quick Setup'!$E$45,'Quick Setup'!$E53,if(DR12='Quick Setup'!$F$45,'Quick Setup'!$F53,if(DR12='Quick Setup'!$G$45,'Quick Setup'!$G53,if(DR12='Quick Setup'!$H$45,'Quick Setup'!$H53,if(DR12='Quick Setup'!$I$45,'Quick Setup'!$I53,if(DR12='Quick Setup'!$J$45,'Quick Setup'!$J53,if(DR12='Quick Setup'!$K$45,'Quick Setup'!$K53,if(DR12='Quick Setup'!$L$45,'Quick Setup'!$L53,if(DR12='Quick Setup'!$M$45,'Quick Setup'!$M53,if(DR12='Quick Setup'!$N$45,'Quick Setup'!$N53,if(DR12='Quick Setup'!$O$45,'Quick Setup'!$O53,if(DR12='Quick Setup'!$P$45,'Quick Setup'!$P53,if(DR12='Quick Setup'!$Q$45,'Quick Setup'!$Q53,if(DR12='Quick Setup'!$R$45,'Quick Setup'!$R53,if(DR12='Quick Setup'!$S$45,'Quick Setup'!$S53,if(DR12='Quick Setup'!$T$45,'Quick Setup'!$T53,if(DR12='Quick Setup'!$U$45,'Quick Setup'!$U53,if(DR12='Quick Setup'!$V$45,'Quick Setup'!$V53,'Quick Setup'!$W53))))))))))))))))))))</f>
        <v>3</v>
      </c>
      <c r="DU12" s="23">
        <f t="shared" ref="DU12:EC12" si="150">DI12</f>
        <v>5</v>
      </c>
      <c r="DV12" s="24">
        <f t="shared" si="150"/>
        <v>-0.05</v>
      </c>
      <c r="DW12" s="24">
        <f t="shared" si="150"/>
        <v>-0.02</v>
      </c>
      <c r="DX12" s="24">
        <f t="shared" si="150"/>
        <v>0</v>
      </c>
      <c r="DY12" s="24">
        <f t="shared" si="150"/>
        <v>0.005</v>
      </c>
      <c r="DZ12" s="24">
        <f t="shared" si="150"/>
        <v>0.01</v>
      </c>
      <c r="EA12" s="24">
        <f t="shared" si="150"/>
        <v>0.015</v>
      </c>
      <c r="EB12" s="24">
        <f t="shared" si="150"/>
        <v>0.02</v>
      </c>
      <c r="EC12" s="24">
        <f t="shared" si="150"/>
        <v>0.03</v>
      </c>
      <c r="ED12" s="20">
        <f>'Quick Setup'!N67</f>
        <v>0.725</v>
      </c>
      <c r="EE12" s="21">
        <f>if(ED12='Quick Setup'!$C$31,'Quick Setup'!$C39,if(ED12='Quick Setup'!$D$31,'Quick Setup'!$D39,if(ED12='Quick Setup'!$E$31,'Quick Setup'!$E39,if(ED12='Quick Setup'!$F$31,'Quick Setup'!$F39,if(ED12='Quick Setup'!$G$31,'Quick Setup'!$G39,if(ED12='Quick Setup'!$H$31,'Quick Setup'!$H39,if(ED12='Quick Setup'!$I$31,'Quick Setup'!$I39,if(ED12='Quick Setup'!$J$31,'Quick Setup'!$J39,if(ED12='Quick Setup'!$K$31,'Quick Setup'!$K39,if(ED12='Quick Setup'!$L$31,'Quick Setup'!$L39,if(ED12='Quick Setup'!$M$31,'Quick Setup'!$M39,if(ED12='Quick Setup'!$N$31,'Quick Setup'!$N39,if(ED12='Quick Setup'!$O$31,'Quick Setup'!$O39,if(ED12='Quick Setup'!$P$31,'Quick Setup'!$P39,if(ED12='Quick Setup'!$Q$31,'Quick Setup'!$Q39,if(ED12='Quick Setup'!$R$31,'Quick Setup'!$R39,if(ED12='Quick Setup'!$S$31,'Quick Setup'!$S39,if(ED12='Quick Setup'!$T$31,'Quick Setup'!$T39,if(ED12='Quick Setup'!$U$31,'Quick Setup'!$U39,if(ED12='Quick Setup'!$V$31,'Quick Setup'!$V39,'Quick Setup'!$W39))))))))))))))))))))</f>
        <v>5</v>
      </c>
      <c r="EF12" s="21">
        <f>if(ED12='Quick Setup'!$C$45,'Quick Setup'!$C53,if(ED12='Quick Setup'!$D$45,'Quick Setup'!$D53,if(ED12='Quick Setup'!$E$45,'Quick Setup'!$E53,if(ED12='Quick Setup'!$F$45,'Quick Setup'!$F53,if(ED12='Quick Setup'!$G$45,'Quick Setup'!$G53,if(ED12='Quick Setup'!$H$45,'Quick Setup'!$H53,if(ED12='Quick Setup'!$I$45,'Quick Setup'!$I53,if(ED12='Quick Setup'!$J$45,'Quick Setup'!$J53,if(ED12='Quick Setup'!$K$45,'Quick Setup'!$K53,if(ED12='Quick Setup'!$L$45,'Quick Setup'!$L53,if(ED12='Quick Setup'!$M$45,'Quick Setup'!$M53,if(ED12='Quick Setup'!$N$45,'Quick Setup'!$N53,if(ED12='Quick Setup'!$O$45,'Quick Setup'!$O53,if(ED12='Quick Setup'!$P$45,'Quick Setup'!$P53,if(ED12='Quick Setup'!$Q$45,'Quick Setup'!$Q53,if(ED12='Quick Setup'!$R$45,'Quick Setup'!$R53,if(ED12='Quick Setup'!$S$45,'Quick Setup'!$S53,if(ED12='Quick Setup'!$T$45,'Quick Setup'!$T53,if(ED12='Quick Setup'!$U$45,'Quick Setup'!$U53,if(ED12='Quick Setup'!$V$45,'Quick Setup'!$V53,'Quick Setup'!$W53))))))))))))))))))))</f>
        <v>3</v>
      </c>
      <c r="EG12" s="23">
        <f t="shared" ref="EG12:EO12" si="151">DU12</f>
        <v>5</v>
      </c>
      <c r="EH12" s="24">
        <f t="shared" si="151"/>
        <v>-0.05</v>
      </c>
      <c r="EI12" s="24">
        <f t="shared" si="151"/>
        <v>-0.02</v>
      </c>
      <c r="EJ12" s="24">
        <f t="shared" si="151"/>
        <v>0</v>
      </c>
      <c r="EK12" s="24">
        <f t="shared" si="151"/>
        <v>0.005</v>
      </c>
      <c r="EL12" s="24">
        <f t="shared" si="151"/>
        <v>0.01</v>
      </c>
      <c r="EM12" s="24">
        <f t="shared" si="151"/>
        <v>0.015</v>
      </c>
      <c r="EN12" s="24">
        <f t="shared" si="151"/>
        <v>0.02</v>
      </c>
      <c r="EO12" s="24">
        <f t="shared" si="151"/>
        <v>0.03</v>
      </c>
      <c r="EP12" s="20">
        <f>'Quick Setup'!O67</f>
        <v>0.775</v>
      </c>
      <c r="EQ12" s="21">
        <f>if(EP12='Quick Setup'!$C$31,'Quick Setup'!$C39,if(EP12='Quick Setup'!$D$31,'Quick Setup'!$D39,if(EP12='Quick Setup'!$E$31,'Quick Setup'!$E39,if(EP12='Quick Setup'!$F$31,'Quick Setup'!$F39,if(EP12='Quick Setup'!$G$31,'Quick Setup'!$G39,if(EP12='Quick Setup'!$H$31,'Quick Setup'!$H39,if(EP12='Quick Setup'!$I$31,'Quick Setup'!$I39,if(EP12='Quick Setup'!$J$31,'Quick Setup'!$J39,if(EP12='Quick Setup'!$K$31,'Quick Setup'!$K39,if(EP12='Quick Setup'!$L$31,'Quick Setup'!$L39,if(EP12='Quick Setup'!$M$31,'Quick Setup'!$M39,if(EP12='Quick Setup'!$N$31,'Quick Setup'!$N39,if(EP12='Quick Setup'!$O$31,'Quick Setup'!$O39,if(EP12='Quick Setup'!$P$31,'Quick Setup'!$P39,if(EP12='Quick Setup'!$Q$31,'Quick Setup'!$Q39,if(EP12='Quick Setup'!$R$31,'Quick Setup'!$R39,if(EP12='Quick Setup'!$S$31,'Quick Setup'!$S39,if(EP12='Quick Setup'!$T$31,'Quick Setup'!$T39,if(EP12='Quick Setup'!$U$31,'Quick Setup'!$U39,if(EP12='Quick Setup'!$V$31,'Quick Setup'!$V39,'Quick Setup'!$W39))))))))))))))))))))</f>
        <v>4</v>
      </c>
      <c r="ER12" s="21">
        <f>if(EP12='Quick Setup'!$C$45,'Quick Setup'!$C53,if(EP12='Quick Setup'!$D$45,'Quick Setup'!$D53,if(EP12='Quick Setup'!$E$45,'Quick Setup'!$E53,if(EP12='Quick Setup'!$F$45,'Quick Setup'!$F53,if(EP12='Quick Setup'!$G$45,'Quick Setup'!$G53,if(EP12='Quick Setup'!$H$45,'Quick Setup'!$H53,if(EP12='Quick Setup'!$I$45,'Quick Setup'!$I53,if(EP12='Quick Setup'!$J$45,'Quick Setup'!$J53,if(EP12='Quick Setup'!$K$45,'Quick Setup'!$K53,if(EP12='Quick Setup'!$L$45,'Quick Setup'!$L53,if(EP12='Quick Setup'!$M$45,'Quick Setup'!$M53,if(EP12='Quick Setup'!$N$45,'Quick Setup'!$N53,if(EP12='Quick Setup'!$O$45,'Quick Setup'!$O53,if(EP12='Quick Setup'!$P$45,'Quick Setup'!$P53,if(EP12='Quick Setup'!$Q$45,'Quick Setup'!$Q53,if(EP12='Quick Setup'!$R$45,'Quick Setup'!$R53,if(EP12='Quick Setup'!$S$45,'Quick Setup'!$S53,if(EP12='Quick Setup'!$T$45,'Quick Setup'!$T53,if(EP12='Quick Setup'!$U$45,'Quick Setup'!$U53,if(EP12='Quick Setup'!$V$45,'Quick Setup'!$V53,'Quick Setup'!$W53))))))))))))))))))))</f>
        <v>2</v>
      </c>
      <c r="ES12" s="23">
        <f t="shared" ref="ES12:FA12" si="152">EG12</f>
        <v>5</v>
      </c>
      <c r="ET12" s="24">
        <f t="shared" si="152"/>
        <v>-0.05</v>
      </c>
      <c r="EU12" s="24">
        <f t="shared" si="152"/>
        <v>-0.02</v>
      </c>
      <c r="EV12" s="24">
        <f t="shared" si="152"/>
        <v>0</v>
      </c>
      <c r="EW12" s="24">
        <f t="shared" si="152"/>
        <v>0.005</v>
      </c>
      <c r="EX12" s="24">
        <f t="shared" si="152"/>
        <v>0.01</v>
      </c>
      <c r="EY12" s="24">
        <f t="shared" si="152"/>
        <v>0.015</v>
      </c>
      <c r="EZ12" s="24">
        <f t="shared" si="152"/>
        <v>0.02</v>
      </c>
      <c r="FA12" s="24">
        <f t="shared" si="152"/>
        <v>0.03</v>
      </c>
      <c r="FB12" s="20">
        <f>'Quick Setup'!P67</f>
        <v>0.5</v>
      </c>
      <c r="FC12" s="21">
        <f>if(FB12='Quick Setup'!$C$31,'Quick Setup'!$C39,if(FB12='Quick Setup'!$D$31,'Quick Setup'!$D39,if(FB12='Quick Setup'!$E$31,'Quick Setup'!$E39,if(FB12='Quick Setup'!$F$31,'Quick Setup'!$F39,if(FB12='Quick Setup'!$G$31,'Quick Setup'!$G39,if(FB12='Quick Setup'!$H$31,'Quick Setup'!$H39,if(FB12='Quick Setup'!$I$31,'Quick Setup'!$I39,if(FB12='Quick Setup'!$J$31,'Quick Setup'!$J39,if(FB12='Quick Setup'!$K$31,'Quick Setup'!$K39,if(FB12='Quick Setup'!$L$31,'Quick Setup'!$L39,if(FB12='Quick Setup'!$M$31,'Quick Setup'!$M39,if(FB12='Quick Setup'!$N$31,'Quick Setup'!$N39,if(FB12='Quick Setup'!$O$31,'Quick Setup'!$O39,if(FB12='Quick Setup'!$P$31,'Quick Setup'!$P39,if(FB12='Quick Setup'!$Q$31,'Quick Setup'!$Q39,if(FB12='Quick Setup'!$R$31,'Quick Setup'!$R39,if(FB12='Quick Setup'!$S$31,'Quick Setup'!$S39,if(FB12='Quick Setup'!$T$31,'Quick Setup'!$T39,if(FB12='Quick Setup'!$U$31,'Quick Setup'!$U39,if(FB12='Quick Setup'!$V$31,'Quick Setup'!$V39,'Quick Setup'!$W39))))))))))))))))))))</f>
        <v>8</v>
      </c>
      <c r="FD12" s="21">
        <f>if(FB12='Quick Setup'!$C$45,'Quick Setup'!$C53,if(FB12='Quick Setup'!$D$45,'Quick Setup'!$D53,if(FB12='Quick Setup'!$E$45,'Quick Setup'!$E53,if(FB12='Quick Setup'!$F$45,'Quick Setup'!$F53,if(FB12='Quick Setup'!$G$45,'Quick Setup'!$G53,if(FB12='Quick Setup'!$H$45,'Quick Setup'!$H53,if(FB12='Quick Setup'!$I$45,'Quick Setup'!$I53,if(FB12='Quick Setup'!$J$45,'Quick Setup'!$J53,if(FB12='Quick Setup'!$K$45,'Quick Setup'!$K53,if(FB12='Quick Setup'!$L$45,'Quick Setup'!$L53,if(FB12='Quick Setup'!$M$45,'Quick Setup'!$M53,if(FB12='Quick Setup'!$N$45,'Quick Setup'!$N53,if(FB12='Quick Setup'!$O$45,'Quick Setup'!$O53,if(FB12='Quick Setup'!$P$45,'Quick Setup'!$P53,if(FB12='Quick Setup'!$Q$45,'Quick Setup'!$Q53,if(FB12='Quick Setup'!$R$45,'Quick Setup'!$R53,if(FB12='Quick Setup'!$S$45,'Quick Setup'!$S53,if(FB12='Quick Setup'!$T$45,'Quick Setup'!$T53,if(FB12='Quick Setup'!$U$45,'Quick Setup'!$U53,if(FB12='Quick Setup'!$V$45,'Quick Setup'!$V53,'Quick Setup'!$W53))))))))))))))))))))</f>
        <v>3</v>
      </c>
      <c r="FE12" s="23">
        <f t="shared" ref="FE12:FM12" si="153">ES12</f>
        <v>5</v>
      </c>
      <c r="FF12" s="24">
        <f t="shared" si="153"/>
        <v>-0.05</v>
      </c>
      <c r="FG12" s="24">
        <f t="shared" si="153"/>
        <v>-0.02</v>
      </c>
      <c r="FH12" s="24">
        <f t="shared" si="153"/>
        <v>0</v>
      </c>
      <c r="FI12" s="24">
        <f t="shared" si="153"/>
        <v>0.005</v>
      </c>
      <c r="FJ12" s="24">
        <f t="shared" si="153"/>
        <v>0.01</v>
      </c>
      <c r="FK12" s="24">
        <f t="shared" si="153"/>
        <v>0.015</v>
      </c>
      <c r="FL12" s="24">
        <f t="shared" si="153"/>
        <v>0.02</v>
      </c>
      <c r="FM12" s="24">
        <f t="shared" si="153"/>
        <v>0.03</v>
      </c>
      <c r="FN12" s="20">
        <f>'Quick Setup'!Q67</f>
        <v>0.7</v>
      </c>
      <c r="FO12" s="21">
        <f>if(FN12='Quick Setup'!$C$31,'Quick Setup'!$C39,if(FN12='Quick Setup'!$D$31,'Quick Setup'!$D39,if(FN12='Quick Setup'!$E$31,'Quick Setup'!$E39,if(FN12='Quick Setup'!$F$31,'Quick Setup'!$F39,if(FN12='Quick Setup'!$G$31,'Quick Setup'!$G39,if(FN12='Quick Setup'!$H$31,'Quick Setup'!$H39,if(FN12='Quick Setup'!$I$31,'Quick Setup'!$I39,if(FN12='Quick Setup'!$J$31,'Quick Setup'!$J39,if(FN12='Quick Setup'!$K$31,'Quick Setup'!$K39,if(FN12='Quick Setup'!$L$31,'Quick Setup'!$L39,if(FN12='Quick Setup'!$M$31,'Quick Setup'!$M39,if(FN12='Quick Setup'!$N$31,'Quick Setup'!$N39,if(FN12='Quick Setup'!$O$31,'Quick Setup'!$O39,if(FN12='Quick Setup'!$P$31,'Quick Setup'!$P39,if(FN12='Quick Setup'!$Q$31,'Quick Setup'!$Q39,if(FN12='Quick Setup'!$R$31,'Quick Setup'!$R39,if(FN12='Quick Setup'!$S$31,'Quick Setup'!$S39,if(FN12='Quick Setup'!$T$31,'Quick Setup'!$T39,if(FN12='Quick Setup'!$U$31,'Quick Setup'!$U39,if(FN12='Quick Setup'!$V$31,'Quick Setup'!$V39,'Quick Setup'!$W39))))))))))))))))))))</f>
        <v>5</v>
      </c>
      <c r="FP12" s="21">
        <f>if(FN12='Quick Setup'!$C$45,'Quick Setup'!$C53,if(FN12='Quick Setup'!$D$45,'Quick Setup'!$D53,if(FN12='Quick Setup'!$E$45,'Quick Setup'!$E53,if(FN12='Quick Setup'!$F$45,'Quick Setup'!$F53,if(FN12='Quick Setup'!$G$45,'Quick Setup'!$G53,if(FN12='Quick Setup'!$H$45,'Quick Setup'!$H53,if(FN12='Quick Setup'!$I$45,'Quick Setup'!$I53,if(FN12='Quick Setup'!$J$45,'Quick Setup'!$J53,if(FN12='Quick Setup'!$K$45,'Quick Setup'!$K53,if(FN12='Quick Setup'!$L$45,'Quick Setup'!$L53,if(FN12='Quick Setup'!$M$45,'Quick Setup'!$M53,if(FN12='Quick Setup'!$N$45,'Quick Setup'!$N53,if(FN12='Quick Setup'!$O$45,'Quick Setup'!$O53,if(FN12='Quick Setup'!$P$45,'Quick Setup'!$P53,if(FN12='Quick Setup'!$Q$45,'Quick Setup'!$Q53,if(FN12='Quick Setup'!$R$45,'Quick Setup'!$R53,if(FN12='Quick Setup'!$S$45,'Quick Setup'!$S53,if(FN12='Quick Setup'!$T$45,'Quick Setup'!$T53,if(FN12='Quick Setup'!$U$45,'Quick Setup'!$U53,if(FN12='Quick Setup'!$V$45,'Quick Setup'!$V53,'Quick Setup'!$W53))))))))))))))))))))</f>
        <v>3</v>
      </c>
      <c r="FQ12" s="23">
        <f t="shared" ref="FQ12:FY12" si="154">FE12</f>
        <v>5</v>
      </c>
      <c r="FR12" s="24">
        <f t="shared" si="154"/>
        <v>-0.05</v>
      </c>
      <c r="FS12" s="24">
        <f t="shared" si="154"/>
        <v>-0.02</v>
      </c>
      <c r="FT12" s="24">
        <f t="shared" si="154"/>
        <v>0</v>
      </c>
      <c r="FU12" s="24">
        <f t="shared" si="154"/>
        <v>0.005</v>
      </c>
      <c r="FV12" s="24">
        <f t="shared" si="154"/>
        <v>0.01</v>
      </c>
      <c r="FW12" s="24">
        <f t="shared" si="154"/>
        <v>0.015</v>
      </c>
      <c r="FX12" s="24">
        <f t="shared" si="154"/>
        <v>0.02</v>
      </c>
      <c r="FY12" s="24">
        <f t="shared" si="154"/>
        <v>0.03</v>
      </c>
      <c r="FZ12" s="20">
        <f>'Quick Setup'!R67</f>
        <v>0.75</v>
      </c>
      <c r="GA12" s="21">
        <f>if(FZ12='Quick Setup'!$C$31,'Quick Setup'!$C39,if(FZ12='Quick Setup'!$D$31,'Quick Setup'!$D39,if(FZ12='Quick Setup'!$E$31,'Quick Setup'!$E39,if(FZ12='Quick Setup'!$F$31,'Quick Setup'!$F39,if(FZ12='Quick Setup'!$G$31,'Quick Setup'!$G39,if(FZ12='Quick Setup'!$H$31,'Quick Setup'!$H39,if(FZ12='Quick Setup'!$I$31,'Quick Setup'!$I39,if(FZ12='Quick Setup'!$J$31,'Quick Setup'!$J39,if(FZ12='Quick Setup'!$K$31,'Quick Setup'!$K39,if(FZ12='Quick Setup'!$L$31,'Quick Setup'!$L39,if(FZ12='Quick Setup'!$M$31,'Quick Setup'!$M39,if(FZ12='Quick Setup'!$N$31,'Quick Setup'!$N39,if(FZ12='Quick Setup'!$O$31,'Quick Setup'!$O39,if(FZ12='Quick Setup'!$P$31,'Quick Setup'!$P39,if(FZ12='Quick Setup'!$Q$31,'Quick Setup'!$Q39,if(FZ12='Quick Setup'!$R$31,'Quick Setup'!$R39,if(FZ12='Quick Setup'!$S$31,'Quick Setup'!$S39,if(FZ12='Quick Setup'!$T$31,'Quick Setup'!$T39,if(FZ12='Quick Setup'!$U$31,'Quick Setup'!$U39,if(FZ12='Quick Setup'!$V$31,'Quick Setup'!$V39,'Quick Setup'!$W39))))))))))))))))))))</f>
        <v>4</v>
      </c>
      <c r="GB12" s="21">
        <f>if(FZ12='Quick Setup'!$C$45,'Quick Setup'!$C53,if(FZ12='Quick Setup'!$D$45,'Quick Setup'!$D53,if(FZ12='Quick Setup'!$E$45,'Quick Setup'!$E53,if(FZ12='Quick Setup'!$F$45,'Quick Setup'!$F53,if(FZ12='Quick Setup'!$G$45,'Quick Setup'!$G53,if(FZ12='Quick Setup'!$H$45,'Quick Setup'!$H53,if(FZ12='Quick Setup'!$I$45,'Quick Setup'!$I53,if(FZ12='Quick Setup'!$J$45,'Quick Setup'!$J53,if(FZ12='Quick Setup'!$K$45,'Quick Setup'!$K53,if(FZ12='Quick Setup'!$L$45,'Quick Setup'!$L53,if(FZ12='Quick Setup'!$M$45,'Quick Setup'!$M53,if(FZ12='Quick Setup'!$N$45,'Quick Setup'!$N53,if(FZ12='Quick Setup'!$O$45,'Quick Setup'!$O53,if(FZ12='Quick Setup'!$P$45,'Quick Setup'!$P53,if(FZ12='Quick Setup'!$Q$45,'Quick Setup'!$Q53,if(FZ12='Quick Setup'!$R$45,'Quick Setup'!$R53,if(FZ12='Quick Setup'!$S$45,'Quick Setup'!$S53,if(FZ12='Quick Setup'!$T$45,'Quick Setup'!$T53,if(FZ12='Quick Setup'!$U$45,'Quick Setup'!$U53,if(FZ12='Quick Setup'!$V$45,'Quick Setup'!$V53,'Quick Setup'!$W53))))))))))))))))))))</f>
        <v>2</v>
      </c>
      <c r="GC12" s="23">
        <f t="shared" ref="GC12:GK12" si="155">FQ12</f>
        <v>5</v>
      </c>
      <c r="GD12" s="24">
        <f t="shared" si="155"/>
        <v>-0.05</v>
      </c>
      <c r="GE12" s="24">
        <f t="shared" si="155"/>
        <v>-0.02</v>
      </c>
      <c r="GF12" s="24">
        <f t="shared" si="155"/>
        <v>0</v>
      </c>
      <c r="GG12" s="24">
        <f t="shared" si="155"/>
        <v>0.005</v>
      </c>
      <c r="GH12" s="24">
        <f t="shared" si="155"/>
        <v>0.01</v>
      </c>
      <c r="GI12" s="24">
        <f t="shared" si="155"/>
        <v>0.015</v>
      </c>
      <c r="GJ12" s="24">
        <f t="shared" si="155"/>
        <v>0.02</v>
      </c>
      <c r="GK12" s="24">
        <f t="shared" si="155"/>
        <v>0.03</v>
      </c>
      <c r="GL12" s="20">
        <f>'Quick Setup'!S67</f>
        <v>0.8</v>
      </c>
      <c r="GM12" s="21">
        <f>if(GL12='Quick Setup'!$C$31,'Quick Setup'!$C39,if(GL12='Quick Setup'!$D$31,'Quick Setup'!$D39,if(GL12='Quick Setup'!$E$31,'Quick Setup'!$E39,if(GL12='Quick Setup'!$F$31,'Quick Setup'!$F39,if(GL12='Quick Setup'!$G$31,'Quick Setup'!$G39,if(GL12='Quick Setup'!$H$31,'Quick Setup'!$H39,if(GL12='Quick Setup'!$I$31,'Quick Setup'!$I39,if(GL12='Quick Setup'!$J$31,'Quick Setup'!$J39,if(GL12='Quick Setup'!$K$31,'Quick Setup'!$K39,if(GL12='Quick Setup'!$L$31,'Quick Setup'!$L39,if(GL12='Quick Setup'!$M$31,'Quick Setup'!$M39,if(GL12='Quick Setup'!$N$31,'Quick Setup'!$N39,if(GL12='Quick Setup'!$O$31,'Quick Setup'!$O39,if(GL12='Quick Setup'!$P$31,'Quick Setup'!$P39,if(GL12='Quick Setup'!$Q$31,'Quick Setup'!$Q39,if(GL12='Quick Setup'!$R$31,'Quick Setup'!$R39,if(GL12='Quick Setup'!$S$31,'Quick Setup'!$S39,if(GL12='Quick Setup'!$T$31,'Quick Setup'!$T39,if(GL12='Quick Setup'!$U$31,'Quick Setup'!$U39,if(GL12='Quick Setup'!$V$31,'Quick Setup'!$V39,'Quick Setup'!$W39))))))))))))))))))))</f>
        <v>3</v>
      </c>
      <c r="GN12" s="21">
        <f>if(GL12='Quick Setup'!$C$45,'Quick Setup'!$C53,if(GL12='Quick Setup'!$D$45,'Quick Setup'!$D53,if(GL12='Quick Setup'!$E$45,'Quick Setup'!$E53,if(GL12='Quick Setup'!$F$45,'Quick Setup'!$F53,if(GL12='Quick Setup'!$G$45,'Quick Setup'!$G53,if(GL12='Quick Setup'!$H$45,'Quick Setup'!$H53,if(GL12='Quick Setup'!$I$45,'Quick Setup'!$I53,if(GL12='Quick Setup'!$J$45,'Quick Setup'!$J53,if(GL12='Quick Setup'!$K$45,'Quick Setup'!$K53,if(GL12='Quick Setup'!$L$45,'Quick Setup'!$L53,if(GL12='Quick Setup'!$M$45,'Quick Setup'!$M53,if(GL12='Quick Setup'!$N$45,'Quick Setup'!$N53,if(GL12='Quick Setup'!$O$45,'Quick Setup'!$O53,if(GL12='Quick Setup'!$P$45,'Quick Setup'!$P53,if(GL12='Quick Setup'!$Q$45,'Quick Setup'!$Q53,if(GL12='Quick Setup'!$R$45,'Quick Setup'!$R53,if(GL12='Quick Setup'!$S$45,'Quick Setup'!$S53,if(GL12='Quick Setup'!$T$45,'Quick Setup'!$T53,if(GL12='Quick Setup'!$U$45,'Quick Setup'!$U53,if(GL12='Quick Setup'!$V$45,'Quick Setup'!$V53,'Quick Setup'!$W53))))))))))))))))))))</f>
        <v>2</v>
      </c>
      <c r="GO12" s="23">
        <f t="shared" ref="GO12:GW12" si="156">GC12</f>
        <v>5</v>
      </c>
      <c r="GP12" s="24">
        <f t="shared" si="156"/>
        <v>-0.05</v>
      </c>
      <c r="GQ12" s="24">
        <f t="shared" si="156"/>
        <v>-0.02</v>
      </c>
      <c r="GR12" s="24">
        <f t="shared" si="156"/>
        <v>0</v>
      </c>
      <c r="GS12" s="24">
        <f t="shared" si="156"/>
        <v>0.005</v>
      </c>
      <c r="GT12" s="24">
        <f t="shared" si="156"/>
        <v>0.01</v>
      </c>
      <c r="GU12" s="24">
        <f t="shared" si="156"/>
        <v>0.015</v>
      </c>
      <c r="GV12" s="24">
        <f t="shared" si="156"/>
        <v>0.02</v>
      </c>
      <c r="GW12" s="24">
        <f t="shared" si="156"/>
        <v>0.03</v>
      </c>
      <c r="GX12" s="20">
        <f>'Quick Setup'!T67</f>
        <v>0.75</v>
      </c>
      <c r="GY12" s="21">
        <f>if(GX12='Quick Setup'!$C$31,'Quick Setup'!$C39,if(GX12='Quick Setup'!$D$31,'Quick Setup'!$D39,if(GX12='Quick Setup'!$E$31,'Quick Setup'!$E39,if(GX12='Quick Setup'!$F$31,'Quick Setup'!$F39,if(GX12='Quick Setup'!$G$31,'Quick Setup'!$G39,if(GX12='Quick Setup'!$H$31,'Quick Setup'!$H39,if(GX12='Quick Setup'!$I$31,'Quick Setup'!$I39,if(GX12='Quick Setup'!$J$31,'Quick Setup'!$J39,if(GX12='Quick Setup'!$K$31,'Quick Setup'!$K39,if(GX12='Quick Setup'!$L$31,'Quick Setup'!$L39,if(GX12='Quick Setup'!$M$31,'Quick Setup'!$M39,if(GX12='Quick Setup'!$N$31,'Quick Setup'!$N39,if(GX12='Quick Setup'!$O$31,'Quick Setup'!$O39,if(GX12='Quick Setup'!$P$31,'Quick Setup'!$P39,if(GX12='Quick Setup'!$Q$31,'Quick Setup'!$Q39,if(GX12='Quick Setup'!$R$31,'Quick Setup'!$R39,if(GX12='Quick Setup'!$S$31,'Quick Setup'!$S39,if(GX12='Quick Setup'!$T$31,'Quick Setup'!$T39,if(GX12='Quick Setup'!$U$31,'Quick Setup'!$U39,if(GX12='Quick Setup'!$V$31,'Quick Setup'!$V39,'Quick Setup'!$W39))))))))))))))))))))</f>
        <v>4</v>
      </c>
      <c r="GZ12" s="21">
        <f>if(GX12='Quick Setup'!$C$45,'Quick Setup'!$C53,if(GX12='Quick Setup'!$D$45,'Quick Setup'!$D53,if(GX12='Quick Setup'!$E$45,'Quick Setup'!$E53,if(GX12='Quick Setup'!$F$45,'Quick Setup'!$F53,if(GX12='Quick Setup'!$G$45,'Quick Setup'!$G53,if(GX12='Quick Setup'!$H$45,'Quick Setup'!$H53,if(GX12='Quick Setup'!$I$45,'Quick Setup'!$I53,if(GX12='Quick Setup'!$J$45,'Quick Setup'!$J53,if(GX12='Quick Setup'!$K$45,'Quick Setup'!$K53,if(GX12='Quick Setup'!$L$45,'Quick Setup'!$L53,if(GX12='Quick Setup'!$M$45,'Quick Setup'!$M53,if(GX12='Quick Setup'!$N$45,'Quick Setup'!$N53,if(GX12='Quick Setup'!$O$45,'Quick Setup'!$O53,if(GX12='Quick Setup'!$P$45,'Quick Setup'!$P53,if(GX12='Quick Setup'!$Q$45,'Quick Setup'!$Q53,if(GX12='Quick Setup'!$R$45,'Quick Setup'!$R53,if(GX12='Quick Setup'!$S$45,'Quick Setup'!$S53,if(GX12='Quick Setup'!$T$45,'Quick Setup'!$T53,if(GX12='Quick Setup'!$U$45,'Quick Setup'!$U53,if(GX12='Quick Setup'!$V$45,'Quick Setup'!$V53,'Quick Setup'!$W53))))))))))))))))))))</f>
        <v>2</v>
      </c>
      <c r="HA12" s="23">
        <f t="shared" ref="HA12:HI12" si="157">GO12</f>
        <v>5</v>
      </c>
      <c r="HB12" s="24">
        <f t="shared" si="157"/>
        <v>-0.05</v>
      </c>
      <c r="HC12" s="24">
        <f t="shared" si="157"/>
        <v>-0.02</v>
      </c>
      <c r="HD12" s="24">
        <f t="shared" si="157"/>
        <v>0</v>
      </c>
      <c r="HE12" s="24">
        <f t="shared" si="157"/>
        <v>0.005</v>
      </c>
      <c r="HF12" s="24">
        <f t="shared" si="157"/>
        <v>0.01</v>
      </c>
      <c r="HG12" s="24">
        <f t="shared" si="157"/>
        <v>0.015</v>
      </c>
      <c r="HH12" s="24">
        <f t="shared" si="157"/>
        <v>0.02</v>
      </c>
      <c r="HI12" s="24">
        <f t="shared" si="157"/>
        <v>0.03</v>
      </c>
      <c r="HJ12" s="20">
        <f>'Quick Setup'!U67</f>
        <v>0.8</v>
      </c>
      <c r="HK12" s="21">
        <f>if(HJ12='Quick Setup'!$C$31,'Quick Setup'!$C39,if(HJ12='Quick Setup'!$D$31,'Quick Setup'!$D39,if(HJ12='Quick Setup'!$E$31,'Quick Setup'!$E39,if(HJ12='Quick Setup'!$F$31,'Quick Setup'!$F39,if(HJ12='Quick Setup'!$G$31,'Quick Setup'!$G39,if(HJ12='Quick Setup'!$H$31,'Quick Setup'!$H39,if(HJ12='Quick Setup'!$I$31,'Quick Setup'!$I39,if(HJ12='Quick Setup'!$J$31,'Quick Setup'!$J39,if(HJ12='Quick Setup'!$K$31,'Quick Setup'!$K39,if(HJ12='Quick Setup'!$L$31,'Quick Setup'!$L39,if(HJ12='Quick Setup'!$M$31,'Quick Setup'!$M39,if(HJ12='Quick Setup'!$N$31,'Quick Setup'!$N39,if(HJ12='Quick Setup'!$O$31,'Quick Setup'!$O39,if(HJ12='Quick Setup'!$P$31,'Quick Setup'!$P39,if(HJ12='Quick Setup'!$Q$31,'Quick Setup'!$Q39,if(HJ12='Quick Setup'!$R$31,'Quick Setup'!$R39,if(HJ12='Quick Setup'!$S$31,'Quick Setup'!$S39,if(HJ12='Quick Setup'!$T$31,'Quick Setup'!$T39,if(HJ12='Quick Setup'!$U$31,'Quick Setup'!$U39,if(HJ12='Quick Setup'!$V$31,'Quick Setup'!$V39,'Quick Setup'!$W39))))))))))))))))))))</f>
        <v>3</v>
      </c>
      <c r="HL12" s="21">
        <f>if(HJ12='Quick Setup'!$C$45,'Quick Setup'!$C53,if(HJ12='Quick Setup'!$D$45,'Quick Setup'!$D53,if(HJ12='Quick Setup'!$E$45,'Quick Setup'!$E53,if(HJ12='Quick Setup'!$F$45,'Quick Setup'!$F53,if(HJ12='Quick Setup'!$G$45,'Quick Setup'!$G53,if(HJ12='Quick Setup'!$H$45,'Quick Setup'!$H53,if(HJ12='Quick Setup'!$I$45,'Quick Setup'!$I53,if(HJ12='Quick Setup'!$J$45,'Quick Setup'!$J53,if(HJ12='Quick Setup'!$K$45,'Quick Setup'!$K53,if(HJ12='Quick Setup'!$L$45,'Quick Setup'!$L53,if(HJ12='Quick Setup'!$M$45,'Quick Setup'!$M53,if(HJ12='Quick Setup'!$N$45,'Quick Setup'!$N53,if(HJ12='Quick Setup'!$O$45,'Quick Setup'!$O53,if(HJ12='Quick Setup'!$P$45,'Quick Setup'!$P53,if(HJ12='Quick Setup'!$Q$45,'Quick Setup'!$Q53,if(HJ12='Quick Setup'!$R$45,'Quick Setup'!$R53,if(HJ12='Quick Setup'!$S$45,'Quick Setup'!$S53,if(HJ12='Quick Setup'!$T$45,'Quick Setup'!$T53,if(HJ12='Quick Setup'!$U$45,'Quick Setup'!$U53,if(HJ12='Quick Setup'!$V$45,'Quick Setup'!$V53,'Quick Setup'!$W53))))))))))))))))))))</f>
        <v>2</v>
      </c>
      <c r="HM12" s="23">
        <f t="shared" ref="HM12:HU12" si="158">HA12</f>
        <v>5</v>
      </c>
      <c r="HN12" s="24">
        <f t="shared" si="158"/>
        <v>-0.05</v>
      </c>
      <c r="HO12" s="24">
        <f t="shared" si="158"/>
        <v>-0.02</v>
      </c>
      <c r="HP12" s="24">
        <f t="shared" si="158"/>
        <v>0</v>
      </c>
      <c r="HQ12" s="24">
        <f t="shared" si="158"/>
        <v>0.005</v>
      </c>
      <c r="HR12" s="24">
        <f t="shared" si="158"/>
        <v>0.01</v>
      </c>
      <c r="HS12" s="24">
        <f t="shared" si="158"/>
        <v>0.015</v>
      </c>
      <c r="HT12" s="24">
        <f t="shared" si="158"/>
        <v>0.02</v>
      </c>
      <c r="HU12" s="24">
        <f t="shared" si="158"/>
        <v>0.03</v>
      </c>
      <c r="HV12" s="20">
        <f>'Quick Setup'!V67</f>
        <v>0.85</v>
      </c>
      <c r="HW12" s="21">
        <f>if(HV12='Quick Setup'!$C$31,'Quick Setup'!$C39,if(HV12='Quick Setup'!$D$31,'Quick Setup'!$D39,if(HV12='Quick Setup'!$E$31,'Quick Setup'!$E39,if(HV12='Quick Setup'!$F$31,'Quick Setup'!$F39,if(HV12='Quick Setup'!$G$31,'Quick Setup'!$G39,if(HV12='Quick Setup'!$H$31,'Quick Setup'!$H39,if(HV12='Quick Setup'!$I$31,'Quick Setup'!$I39,if(HV12='Quick Setup'!$J$31,'Quick Setup'!$J39,if(HV12='Quick Setup'!$K$31,'Quick Setup'!$K39,if(HV12='Quick Setup'!$L$31,'Quick Setup'!$L39,if(HV12='Quick Setup'!$M$31,'Quick Setup'!$M39,if(HV12='Quick Setup'!$N$31,'Quick Setup'!$N39,if(HV12='Quick Setup'!$O$31,'Quick Setup'!$O39,if(HV12='Quick Setup'!$P$31,'Quick Setup'!$P39,if(HV12='Quick Setup'!$Q$31,'Quick Setup'!$Q39,if(HV12='Quick Setup'!$R$31,'Quick Setup'!$R39,if(HV12='Quick Setup'!$S$31,'Quick Setup'!$S39,if(HV12='Quick Setup'!$T$31,'Quick Setup'!$T39,if(HV12='Quick Setup'!$U$31,'Quick Setup'!$U39,if(HV12='Quick Setup'!$V$31,'Quick Setup'!$V39,'Quick Setup'!$W39))))))))))))))))))))</f>
        <v>2</v>
      </c>
      <c r="HX12" s="21">
        <f>if(HV12='Quick Setup'!$C$45,'Quick Setup'!$C53,if(HV12='Quick Setup'!$D$45,'Quick Setup'!$D53,if(HV12='Quick Setup'!$E$45,'Quick Setup'!$E53,if(HV12='Quick Setup'!$F$45,'Quick Setup'!$F53,if(HV12='Quick Setup'!$G$45,'Quick Setup'!$G53,if(HV12='Quick Setup'!$H$45,'Quick Setup'!$H53,if(HV12='Quick Setup'!$I$45,'Quick Setup'!$I53,if(HV12='Quick Setup'!$J$45,'Quick Setup'!$J53,if(HV12='Quick Setup'!$K$45,'Quick Setup'!$K53,if(HV12='Quick Setup'!$L$45,'Quick Setup'!$L53,if(HV12='Quick Setup'!$M$45,'Quick Setup'!$M53,if(HV12='Quick Setup'!$N$45,'Quick Setup'!$N53,if(HV12='Quick Setup'!$O$45,'Quick Setup'!$O53,if(HV12='Quick Setup'!$P$45,'Quick Setup'!$P53,if(HV12='Quick Setup'!$Q$45,'Quick Setup'!$Q53,if(HV12='Quick Setup'!$R$45,'Quick Setup'!$R53,if(HV12='Quick Setup'!$S$45,'Quick Setup'!$S53,if(HV12='Quick Setup'!$T$45,'Quick Setup'!$T53,if(HV12='Quick Setup'!$U$45,'Quick Setup'!$U53,if(HV12='Quick Setup'!$V$45,'Quick Setup'!$V53,'Quick Setup'!$W53))))))))))))))))))))</f>
        <v>1</v>
      </c>
      <c r="HY12" s="23">
        <f t="shared" ref="HY12:IG12" si="159">HM12</f>
        <v>5</v>
      </c>
      <c r="HZ12" s="24">
        <f t="shared" si="159"/>
        <v>-0.05</v>
      </c>
      <c r="IA12" s="24">
        <f t="shared" si="159"/>
        <v>-0.02</v>
      </c>
      <c r="IB12" s="24">
        <f t="shared" si="159"/>
        <v>0</v>
      </c>
      <c r="IC12" s="24">
        <f t="shared" si="159"/>
        <v>0.005</v>
      </c>
      <c r="ID12" s="24">
        <f t="shared" si="159"/>
        <v>0.01</v>
      </c>
      <c r="IE12" s="24">
        <f t="shared" si="159"/>
        <v>0.015</v>
      </c>
      <c r="IF12" s="24">
        <f t="shared" si="159"/>
        <v>0.02</v>
      </c>
      <c r="IG12" s="24">
        <f t="shared" si="159"/>
        <v>0.03</v>
      </c>
      <c r="IH12" s="20">
        <f>'Quick Setup'!W67</f>
        <v>0.5</v>
      </c>
      <c r="II12" s="21">
        <f>if(IH12='Quick Setup'!$C$31,'Quick Setup'!$C39,if(IH12='Quick Setup'!$D$31,'Quick Setup'!$D39,if(IH12='Quick Setup'!$E$31,'Quick Setup'!$E39,if(IH12='Quick Setup'!$F$31,'Quick Setup'!$F39,if(IH12='Quick Setup'!$G$31,'Quick Setup'!$G39,if(IH12='Quick Setup'!$H$31,'Quick Setup'!$H39,if(IH12='Quick Setup'!$I$31,'Quick Setup'!$I39,if(IH12='Quick Setup'!$J$31,'Quick Setup'!$J39,if(IH12='Quick Setup'!$K$31,'Quick Setup'!$K39,if(IH12='Quick Setup'!$L$31,'Quick Setup'!$L39,if(IH12='Quick Setup'!$M$31,'Quick Setup'!$M39,if(IH12='Quick Setup'!$N$31,'Quick Setup'!$N39,if(IH12='Quick Setup'!$O$31,'Quick Setup'!$O39,if(IH12='Quick Setup'!$P$31,'Quick Setup'!$P39,if(IH12='Quick Setup'!$Q$31,'Quick Setup'!$Q39,if(IH12='Quick Setup'!$R$31,'Quick Setup'!$R39,if(IH12='Quick Setup'!$S$31,'Quick Setup'!$S39,if(IH12='Quick Setup'!$T$31,'Quick Setup'!$T39,if(IH12='Quick Setup'!$U$31,'Quick Setup'!$U39,if(IH12='Quick Setup'!$V$31,'Quick Setup'!$V39,'Quick Setup'!$W39))))))))))))))))))))</f>
        <v>8</v>
      </c>
      <c r="IJ12" s="21">
        <f>if(IH12='Quick Setup'!$C$45,'Quick Setup'!$C53,if(IH12='Quick Setup'!$D$45,'Quick Setup'!$D53,if(IH12='Quick Setup'!$E$45,'Quick Setup'!$E53,if(IH12='Quick Setup'!$F$45,'Quick Setup'!$F53,if(IH12='Quick Setup'!$G$45,'Quick Setup'!$G53,if(IH12='Quick Setup'!$H$45,'Quick Setup'!$H53,if(IH12='Quick Setup'!$I$45,'Quick Setup'!$I53,if(IH12='Quick Setup'!$J$45,'Quick Setup'!$J53,if(IH12='Quick Setup'!$K$45,'Quick Setup'!$K53,if(IH12='Quick Setup'!$L$45,'Quick Setup'!$L53,if(IH12='Quick Setup'!$M$45,'Quick Setup'!$M53,if(IH12='Quick Setup'!$N$45,'Quick Setup'!$N53,if(IH12='Quick Setup'!$O$45,'Quick Setup'!$O53,if(IH12='Quick Setup'!$P$45,'Quick Setup'!$P53,if(IH12='Quick Setup'!$Q$45,'Quick Setup'!$Q53,if(IH12='Quick Setup'!$R$45,'Quick Setup'!$R53,if(IH12='Quick Setup'!$S$45,'Quick Setup'!$S53,if(IH12='Quick Setup'!$T$45,'Quick Setup'!$T53,if(IH12='Quick Setup'!$U$45,'Quick Setup'!$U53,if(IH12='Quick Setup'!$V$45,'Quick Setup'!$V53,'Quick Setup'!$W53))))))))))))))))))))</f>
        <v>3</v>
      </c>
      <c r="IK12" s="23">
        <f t="shared" ref="IK12:IS12" si="160">HY12</f>
        <v>5</v>
      </c>
      <c r="IL12" s="24">
        <f t="shared" si="160"/>
        <v>-0.05</v>
      </c>
      <c r="IM12" s="24">
        <f t="shared" si="160"/>
        <v>-0.02</v>
      </c>
      <c r="IN12" s="24">
        <f t="shared" si="160"/>
        <v>0</v>
      </c>
      <c r="IO12" s="24">
        <f t="shared" si="160"/>
        <v>0.005</v>
      </c>
      <c r="IP12" s="24">
        <f t="shared" si="160"/>
        <v>0.01</v>
      </c>
      <c r="IQ12" s="24">
        <f t="shared" si="160"/>
        <v>0.015</v>
      </c>
      <c r="IR12" s="24">
        <f t="shared" si="160"/>
        <v>0.02</v>
      </c>
      <c r="IS12" s="24">
        <f t="shared" si="160"/>
        <v>0.03</v>
      </c>
    </row>
    <row r="13">
      <c r="A13" t="str">
        <f>'Quick Setup'!C15</f>
        <v>Sumo Deadlift</v>
      </c>
      <c r="B13" s="20">
        <f>'Quick Setup'!C68</f>
        <v>0.6</v>
      </c>
      <c r="C13" s="21">
        <f>if(B13='Quick Setup'!$C$31,'Quick Setup'!$C40,if(B13='Quick Setup'!$D$31,'Quick Setup'!$D40,if(B13='Quick Setup'!$E$31,'Quick Setup'!$E40,if(B13='Quick Setup'!$F$31,'Quick Setup'!$F40,if(B13='Quick Setup'!$G$31,'Quick Setup'!$G40,if(B13='Quick Setup'!$H$31,'Quick Setup'!$H40,if(B13='Quick Setup'!$I$31,'Quick Setup'!$I40,if(B13='Quick Setup'!$J$31,'Quick Setup'!$J40,if(B13='Quick Setup'!$K$31,'Quick Setup'!$K40,if(B13='Quick Setup'!$L$31,'Quick Setup'!$L40,if(B13='Quick Setup'!$M$31,'Quick Setup'!$M40,if(B13='Quick Setup'!$N$31,'Quick Setup'!$N40,if(B13='Quick Setup'!$O$31,'Quick Setup'!$O40,if(B13='Quick Setup'!$P$31,'Quick Setup'!$P40,if(B13='Quick Setup'!$Q$31,'Quick Setup'!$Q40,if(B13='Quick Setup'!$R$31,'Quick Setup'!$R40,if(B13='Quick Setup'!$S$31,'Quick Setup'!$S40,if(B13='Quick Setup'!$T$31,'Quick Setup'!$T40,if(B13='Quick Setup'!$U$31,'Quick Setup'!$U40,if(B13='Quick Setup'!$V$31,'Quick Setup'!$V40,'Quick Setup'!$W40))))))))))))))))))))</f>
        <v>7</v>
      </c>
      <c r="D13" s="21">
        <f>if(B13='Quick Setup'!$C$45,'Quick Setup'!$C54,if(B13='Quick Setup'!$D$45,'Quick Setup'!$D54,if(B13='Quick Setup'!$E$45,'Quick Setup'!$E54,if(B13='Quick Setup'!$F$45,'Quick Setup'!$F54,if(B13='Quick Setup'!$G$45,'Quick Setup'!$G54,if(B13='Quick Setup'!$H$45,'Quick Setup'!$H54,if(B13='Quick Setup'!$I$45,'Quick Setup'!$I54,if(B13='Quick Setup'!$J$45,'Quick Setup'!$J54,if(B13='Quick Setup'!$K$45,'Quick Setup'!$K54,if(B13='Quick Setup'!$L$45,'Quick Setup'!$L54,if(B13='Quick Setup'!$M$45,'Quick Setup'!$M54,if(B13='Quick Setup'!$N$45,'Quick Setup'!$N54,if(B13='Quick Setup'!$O$45,'Quick Setup'!$O54,if(B13='Quick Setup'!$P$45,'Quick Setup'!$P54,if(B13='Quick Setup'!$Q$45,'Quick Setup'!$Q54,if(B13='Quick Setup'!$R$45,'Quick Setup'!$R54,if(B13='Quick Setup'!$S$45,'Quick Setup'!$S54,if(B13='Quick Setup'!$T$45,'Quick Setup'!$T54,if(B13='Quick Setup'!$U$45,'Quick Setup'!$U54,if(B13='Quick Setup'!$V$45,'Quick Setup'!$V54,'Quick Setup'!$W54))))))))))))))))))))</f>
        <v>3</v>
      </c>
      <c r="E13" s="21">
        <f>'Quick Setup'!H14</f>
        <v>5</v>
      </c>
      <c r="F13" s="22">
        <f>'Quick Setup'!I14</f>
        <v>-0.05</v>
      </c>
      <c r="G13" s="22">
        <f>'Quick Setup'!J14</f>
        <v>-0.02</v>
      </c>
      <c r="H13" s="22">
        <f>'Quick Setup'!K14</f>
        <v>0</v>
      </c>
      <c r="I13" s="22">
        <f>'Quick Setup'!L14</f>
        <v>0.005</v>
      </c>
      <c r="J13" s="22">
        <f>'Quick Setup'!M14</f>
        <v>0.01</v>
      </c>
      <c r="K13" s="22">
        <f>'Quick Setup'!N14</f>
        <v>0.015</v>
      </c>
      <c r="L13" s="22">
        <f>'Quick Setup'!O14</f>
        <v>0.02</v>
      </c>
      <c r="M13" s="22">
        <f>'Quick Setup'!P14</f>
        <v>0.03</v>
      </c>
      <c r="N13" s="20">
        <f>'Quick Setup'!D68</f>
        <v>0.65</v>
      </c>
      <c r="O13" s="21">
        <f>if(N13='Quick Setup'!$C$31,'Quick Setup'!$C40,if(N13='Quick Setup'!$D$31,'Quick Setup'!$D40,if(N13='Quick Setup'!$E$31,'Quick Setup'!$E40,if(N13='Quick Setup'!$F$31,'Quick Setup'!$F40,if(N13='Quick Setup'!$G$31,'Quick Setup'!$G40,if(N13='Quick Setup'!$H$31,'Quick Setup'!$H40,if(N13='Quick Setup'!$I$31,'Quick Setup'!$I40,if(N13='Quick Setup'!$J$31,'Quick Setup'!$J40,if(N13='Quick Setup'!$K$31,'Quick Setup'!$K40,if(N13='Quick Setup'!$L$31,'Quick Setup'!$L40,if(N13='Quick Setup'!$M$31,'Quick Setup'!$M40,if(N13='Quick Setup'!$N$31,'Quick Setup'!$N40,if(N13='Quick Setup'!$O$31,'Quick Setup'!$O40,if(N13='Quick Setup'!$P$31,'Quick Setup'!$P40,if(N13='Quick Setup'!$Q$31,'Quick Setup'!$Q40,if(N13='Quick Setup'!$R$31,'Quick Setup'!$R40,if(N13='Quick Setup'!$S$31,'Quick Setup'!$S40,if(N13='Quick Setup'!$T$31,'Quick Setup'!$T40,if(N13='Quick Setup'!$U$31,'Quick Setup'!$U40,if(N13='Quick Setup'!$V$31,'Quick Setup'!$V40,'Quick Setup'!$W40))))))))))))))))))))</f>
        <v>6</v>
      </c>
      <c r="P13" s="21">
        <f>if(N13='Quick Setup'!$C$45,'Quick Setup'!$C54,if(N13='Quick Setup'!$D$45,'Quick Setup'!$D54,if(N13='Quick Setup'!$E$45,'Quick Setup'!$E54,if(N13='Quick Setup'!$F$45,'Quick Setup'!$F54,if(N13='Quick Setup'!$G$45,'Quick Setup'!$G54,if(N13='Quick Setup'!$H$45,'Quick Setup'!$H54,if(N13='Quick Setup'!$I$45,'Quick Setup'!$I54,if(N13='Quick Setup'!$J$45,'Quick Setup'!$J54,if(N13='Quick Setup'!$K$45,'Quick Setup'!$K54,if(N13='Quick Setup'!$L$45,'Quick Setup'!$L54,if(N13='Quick Setup'!$M$45,'Quick Setup'!$M54,if(N13='Quick Setup'!$N$45,'Quick Setup'!$N54,if(N13='Quick Setup'!$O$45,'Quick Setup'!$O54,if(N13='Quick Setup'!$P$45,'Quick Setup'!$P54,if(N13='Quick Setup'!$Q$45,'Quick Setup'!$Q54,if(N13='Quick Setup'!$R$45,'Quick Setup'!$R54,if(N13='Quick Setup'!$S$45,'Quick Setup'!$S54,if(N13='Quick Setup'!$T$45,'Quick Setup'!$T54,if(N13='Quick Setup'!$U$45,'Quick Setup'!$U54,if(N13='Quick Setup'!$V$45,'Quick Setup'!$V54,'Quick Setup'!$W54))))))))))))))))))))</f>
        <v>3</v>
      </c>
      <c r="Q13" s="21">
        <f t="shared" ref="Q13:Y13" si="161">E13</f>
        <v>5</v>
      </c>
      <c r="R13" s="22">
        <f t="shared" si="161"/>
        <v>-0.05</v>
      </c>
      <c r="S13" s="22">
        <f t="shared" si="161"/>
        <v>-0.02</v>
      </c>
      <c r="T13" s="22">
        <f t="shared" si="161"/>
        <v>0</v>
      </c>
      <c r="U13" s="22">
        <f t="shared" si="161"/>
        <v>0.005</v>
      </c>
      <c r="V13" s="22">
        <f t="shared" si="161"/>
        <v>0.01</v>
      </c>
      <c r="W13" s="22">
        <f t="shared" si="161"/>
        <v>0.015</v>
      </c>
      <c r="X13" s="22">
        <f t="shared" si="161"/>
        <v>0.02</v>
      </c>
      <c r="Y13" s="22">
        <f t="shared" si="161"/>
        <v>0.03</v>
      </c>
      <c r="Z13" s="20">
        <f>'Quick Setup'!E68</f>
        <v>0.7</v>
      </c>
      <c r="AA13" s="21">
        <f>if(Z13='Quick Setup'!$C$31,'Quick Setup'!$C40,if(Z13='Quick Setup'!$D$31,'Quick Setup'!$D40,if(Z13='Quick Setup'!$E$31,'Quick Setup'!$E40,if(Z13='Quick Setup'!$F$31,'Quick Setup'!$F40,if(Z13='Quick Setup'!$G$31,'Quick Setup'!$G40,if(Z13='Quick Setup'!$H$31,'Quick Setup'!$H40,if(Z13='Quick Setup'!$I$31,'Quick Setup'!$I40,if(Z13='Quick Setup'!$J$31,'Quick Setup'!$J40,if(Z13='Quick Setup'!$K$31,'Quick Setup'!$K40,if(Z13='Quick Setup'!$L$31,'Quick Setup'!$L40,if(Z13='Quick Setup'!$M$31,'Quick Setup'!$M40,if(Z13='Quick Setup'!$N$31,'Quick Setup'!$N40,if(Z13='Quick Setup'!$O$31,'Quick Setup'!$O40,if(Z13='Quick Setup'!$P$31,'Quick Setup'!$P40,if(Z13='Quick Setup'!$Q$31,'Quick Setup'!$Q40,if(Z13='Quick Setup'!$R$31,'Quick Setup'!$R40,if(Z13='Quick Setup'!$S$31,'Quick Setup'!$S40,if(Z13='Quick Setup'!$T$31,'Quick Setup'!$T40,if(Z13='Quick Setup'!$U$31,'Quick Setup'!$U40,if(Z13='Quick Setup'!$V$31,'Quick Setup'!$V40,'Quick Setup'!$W40))))))))))))))))))))</f>
        <v>5</v>
      </c>
      <c r="AB13" s="21">
        <f>if(Z13='Quick Setup'!$C$45,'Quick Setup'!$C54,if(Z13='Quick Setup'!$D$45,'Quick Setup'!$D54,if(Z13='Quick Setup'!$E$45,'Quick Setup'!$E54,if(Z13='Quick Setup'!$F$45,'Quick Setup'!$F54,if(Z13='Quick Setup'!$G$45,'Quick Setup'!$G54,if(Z13='Quick Setup'!$H$45,'Quick Setup'!$H54,if(Z13='Quick Setup'!$I$45,'Quick Setup'!$I54,if(Z13='Quick Setup'!$J$45,'Quick Setup'!$J54,if(Z13='Quick Setup'!$K$45,'Quick Setup'!$K54,if(Z13='Quick Setup'!$L$45,'Quick Setup'!$L54,if(Z13='Quick Setup'!$M$45,'Quick Setup'!$M54,if(Z13='Quick Setup'!$N$45,'Quick Setup'!$N54,if(Z13='Quick Setup'!$O$45,'Quick Setup'!$O54,if(Z13='Quick Setup'!$P$45,'Quick Setup'!$P54,if(Z13='Quick Setup'!$Q$45,'Quick Setup'!$Q54,if(Z13='Quick Setup'!$R$45,'Quick Setup'!$R54,if(Z13='Quick Setup'!$S$45,'Quick Setup'!$S54,if(Z13='Quick Setup'!$T$45,'Quick Setup'!$T54,if(Z13='Quick Setup'!$U$45,'Quick Setup'!$U54,if(Z13='Quick Setup'!$V$45,'Quick Setup'!$V54,'Quick Setup'!$W54))))))))))))))))))))</f>
        <v>3</v>
      </c>
      <c r="AC13" s="21">
        <f t="shared" ref="AC13:AK13" si="162">Q13</f>
        <v>5</v>
      </c>
      <c r="AD13" s="22">
        <f t="shared" si="162"/>
        <v>-0.05</v>
      </c>
      <c r="AE13" s="22">
        <f t="shared" si="162"/>
        <v>-0.02</v>
      </c>
      <c r="AF13" s="22">
        <f t="shared" si="162"/>
        <v>0</v>
      </c>
      <c r="AG13" s="22">
        <f t="shared" si="162"/>
        <v>0.005</v>
      </c>
      <c r="AH13" s="22">
        <f t="shared" si="162"/>
        <v>0.01</v>
      </c>
      <c r="AI13" s="22">
        <f t="shared" si="162"/>
        <v>0.015</v>
      </c>
      <c r="AJ13" s="22">
        <f t="shared" si="162"/>
        <v>0.02</v>
      </c>
      <c r="AK13" s="22">
        <f t="shared" si="162"/>
        <v>0.03</v>
      </c>
      <c r="AL13" s="20">
        <f>'Quick Setup'!F68</f>
        <v>0.625</v>
      </c>
      <c r="AM13" s="21">
        <f>if(AL13='Quick Setup'!$C$31,'Quick Setup'!$C40,if(AL13='Quick Setup'!$D$31,'Quick Setup'!$D40,if(AL13='Quick Setup'!$E$31,'Quick Setup'!$E40,if(AL13='Quick Setup'!$F$31,'Quick Setup'!$F40,if(AL13='Quick Setup'!$G$31,'Quick Setup'!$G40,if(AL13='Quick Setup'!$H$31,'Quick Setup'!$H40,if(AL13='Quick Setup'!$I$31,'Quick Setup'!$I40,if(AL13='Quick Setup'!$J$31,'Quick Setup'!$J40,if(AL13='Quick Setup'!$K$31,'Quick Setup'!$K40,if(AL13='Quick Setup'!$L$31,'Quick Setup'!$L40,if(AL13='Quick Setup'!$M$31,'Quick Setup'!$M40,if(AL13='Quick Setup'!$N$31,'Quick Setup'!$N40,if(AL13='Quick Setup'!$O$31,'Quick Setup'!$O40,if(AL13='Quick Setup'!$P$31,'Quick Setup'!$P40,if(AL13='Quick Setup'!$Q$31,'Quick Setup'!$Q40,if(AL13='Quick Setup'!$R$31,'Quick Setup'!$R40,if(AL13='Quick Setup'!$S$31,'Quick Setup'!$S40,if(AL13='Quick Setup'!$T$31,'Quick Setup'!$T40,if(AL13='Quick Setup'!$U$31,'Quick Setup'!$U40,if(AL13='Quick Setup'!$V$31,'Quick Setup'!$V40,'Quick Setup'!$W40))))))))))))))))))))</f>
        <v>7</v>
      </c>
      <c r="AN13" s="21">
        <f>if(AL13='Quick Setup'!$C$45,'Quick Setup'!$C54,if(AL13='Quick Setup'!$D$45,'Quick Setup'!$D54,if(AL13='Quick Setup'!$E$45,'Quick Setup'!$E54,if(AL13='Quick Setup'!$F$45,'Quick Setup'!$F54,if(AL13='Quick Setup'!$G$45,'Quick Setup'!$G54,if(AL13='Quick Setup'!$H$45,'Quick Setup'!$H54,if(AL13='Quick Setup'!$I$45,'Quick Setup'!$I54,if(AL13='Quick Setup'!$J$45,'Quick Setup'!$J54,if(AL13='Quick Setup'!$K$45,'Quick Setup'!$K54,if(AL13='Quick Setup'!$L$45,'Quick Setup'!$L54,if(AL13='Quick Setup'!$M$45,'Quick Setup'!$M54,if(AL13='Quick Setup'!$N$45,'Quick Setup'!$N54,if(AL13='Quick Setup'!$O$45,'Quick Setup'!$O54,if(AL13='Quick Setup'!$P$45,'Quick Setup'!$P54,if(AL13='Quick Setup'!$Q$45,'Quick Setup'!$Q54,if(AL13='Quick Setup'!$R$45,'Quick Setup'!$R54,if(AL13='Quick Setup'!$S$45,'Quick Setup'!$S54,if(AL13='Quick Setup'!$T$45,'Quick Setup'!$T54,if(AL13='Quick Setup'!$U$45,'Quick Setup'!$U54,if(AL13='Quick Setup'!$V$45,'Quick Setup'!$V54,'Quick Setup'!$W54))))))))))))))))))))</f>
        <v>3</v>
      </c>
      <c r="AO13" s="21">
        <f t="shared" ref="AO13:AW13" si="163">AC13</f>
        <v>5</v>
      </c>
      <c r="AP13" s="22">
        <f t="shared" si="163"/>
        <v>-0.05</v>
      </c>
      <c r="AQ13" s="22">
        <f t="shared" si="163"/>
        <v>-0.02</v>
      </c>
      <c r="AR13" s="22">
        <f t="shared" si="163"/>
        <v>0</v>
      </c>
      <c r="AS13" s="22">
        <f t="shared" si="163"/>
        <v>0.005</v>
      </c>
      <c r="AT13" s="22">
        <f t="shared" si="163"/>
        <v>0.01</v>
      </c>
      <c r="AU13" s="22">
        <f t="shared" si="163"/>
        <v>0.015</v>
      </c>
      <c r="AV13" s="22">
        <f t="shared" si="163"/>
        <v>0.02</v>
      </c>
      <c r="AW13" s="22">
        <f t="shared" si="163"/>
        <v>0.03</v>
      </c>
      <c r="AX13" s="20">
        <f>'Quick Setup'!G68</f>
        <v>0.675</v>
      </c>
      <c r="AY13" s="21">
        <f>if(AX13='Quick Setup'!$C$31,'Quick Setup'!$C40,if(AX13='Quick Setup'!$D$31,'Quick Setup'!$D40,if(AX13='Quick Setup'!$E$31,'Quick Setup'!$E40,if(AX13='Quick Setup'!$F$31,'Quick Setup'!$F40,if(AX13='Quick Setup'!$G$31,'Quick Setup'!$G40,if(AX13='Quick Setup'!$H$31,'Quick Setup'!$H40,if(AX13='Quick Setup'!$I$31,'Quick Setup'!$I40,if(AX13='Quick Setup'!$J$31,'Quick Setup'!$J40,if(AX13='Quick Setup'!$K$31,'Quick Setup'!$K40,if(AX13='Quick Setup'!$L$31,'Quick Setup'!$L40,if(AX13='Quick Setup'!$M$31,'Quick Setup'!$M40,if(AX13='Quick Setup'!$N$31,'Quick Setup'!$N40,if(AX13='Quick Setup'!$O$31,'Quick Setup'!$O40,if(AX13='Quick Setup'!$P$31,'Quick Setup'!$P40,if(AX13='Quick Setup'!$Q$31,'Quick Setup'!$Q40,if(AX13='Quick Setup'!$R$31,'Quick Setup'!$R40,if(AX13='Quick Setup'!$S$31,'Quick Setup'!$S40,if(AX13='Quick Setup'!$T$31,'Quick Setup'!$T40,if(AX13='Quick Setup'!$U$31,'Quick Setup'!$U40,if(AX13='Quick Setup'!$V$31,'Quick Setup'!$V40,'Quick Setup'!$W40))))))))))))))))))))</f>
        <v>6</v>
      </c>
      <c r="AZ13" s="21">
        <f>if(AX13='Quick Setup'!$C$45,'Quick Setup'!$C54,if(AX13='Quick Setup'!$D$45,'Quick Setup'!$D54,if(AX13='Quick Setup'!$E$45,'Quick Setup'!$E54,if(AX13='Quick Setup'!$F$45,'Quick Setup'!$F54,if(AX13='Quick Setup'!$G$45,'Quick Setup'!$G54,if(AX13='Quick Setup'!$H$45,'Quick Setup'!$H54,if(AX13='Quick Setup'!$I$45,'Quick Setup'!$I54,if(AX13='Quick Setup'!$J$45,'Quick Setup'!$J54,if(AX13='Quick Setup'!$K$45,'Quick Setup'!$K54,if(AX13='Quick Setup'!$L$45,'Quick Setup'!$L54,if(AX13='Quick Setup'!$M$45,'Quick Setup'!$M54,if(AX13='Quick Setup'!$N$45,'Quick Setup'!$N54,if(AX13='Quick Setup'!$O$45,'Quick Setup'!$O54,if(AX13='Quick Setup'!$P$45,'Quick Setup'!$P54,if(AX13='Quick Setup'!$Q$45,'Quick Setup'!$Q54,if(AX13='Quick Setup'!$R$45,'Quick Setup'!$R54,if(AX13='Quick Setup'!$S$45,'Quick Setup'!$S54,if(AX13='Quick Setup'!$T$45,'Quick Setup'!$T54,if(AX13='Quick Setup'!$U$45,'Quick Setup'!$U54,if(AX13='Quick Setup'!$V$45,'Quick Setup'!$V54,'Quick Setup'!$W54))))))))))))))))))))</f>
        <v>3</v>
      </c>
      <c r="BA13" s="21">
        <f t="shared" ref="BA13:BI13" si="164">AO13</f>
        <v>5</v>
      </c>
      <c r="BB13" s="22">
        <f t="shared" si="164"/>
        <v>-0.05</v>
      </c>
      <c r="BC13" s="22">
        <f t="shared" si="164"/>
        <v>-0.02</v>
      </c>
      <c r="BD13" s="22">
        <f t="shared" si="164"/>
        <v>0</v>
      </c>
      <c r="BE13" s="22">
        <f t="shared" si="164"/>
        <v>0.005</v>
      </c>
      <c r="BF13" s="22">
        <f t="shared" si="164"/>
        <v>0.01</v>
      </c>
      <c r="BG13" s="22">
        <f t="shared" si="164"/>
        <v>0.015</v>
      </c>
      <c r="BH13" s="22">
        <f t="shared" si="164"/>
        <v>0.02</v>
      </c>
      <c r="BI13" s="22">
        <f t="shared" si="164"/>
        <v>0.03</v>
      </c>
      <c r="BJ13" s="20">
        <f>'Quick Setup'!H68</f>
        <v>0.725</v>
      </c>
      <c r="BK13" s="21">
        <f>if(BJ13='Quick Setup'!$C$31,'Quick Setup'!$C40,if(BJ13='Quick Setup'!$D$31,'Quick Setup'!$D40,if(BJ13='Quick Setup'!$E$31,'Quick Setup'!$E40,if(BJ13='Quick Setup'!$F$31,'Quick Setup'!$F40,if(BJ13='Quick Setup'!$G$31,'Quick Setup'!$G40,if(BJ13='Quick Setup'!$H$31,'Quick Setup'!$H40,if(BJ13='Quick Setup'!$I$31,'Quick Setup'!$I40,if(BJ13='Quick Setup'!$J$31,'Quick Setup'!$J40,if(BJ13='Quick Setup'!$K$31,'Quick Setup'!$K40,if(BJ13='Quick Setup'!$L$31,'Quick Setup'!$L40,if(BJ13='Quick Setup'!$M$31,'Quick Setup'!$M40,if(BJ13='Quick Setup'!$N$31,'Quick Setup'!$N40,if(BJ13='Quick Setup'!$O$31,'Quick Setup'!$O40,if(BJ13='Quick Setup'!$P$31,'Quick Setup'!$P40,if(BJ13='Quick Setup'!$Q$31,'Quick Setup'!$Q40,if(BJ13='Quick Setup'!$R$31,'Quick Setup'!$R40,if(BJ13='Quick Setup'!$S$31,'Quick Setup'!$S40,if(BJ13='Quick Setup'!$T$31,'Quick Setup'!$T40,if(BJ13='Quick Setup'!$U$31,'Quick Setup'!$U40,if(BJ13='Quick Setup'!$V$31,'Quick Setup'!$V40,'Quick Setup'!$W40))))))))))))))))))))</f>
        <v>5</v>
      </c>
      <c r="BL13" s="21">
        <f>if(BJ13='Quick Setup'!$C$45,'Quick Setup'!$C54,if(BJ13='Quick Setup'!$D$45,'Quick Setup'!$D54,if(BJ13='Quick Setup'!$E$45,'Quick Setup'!$E54,if(BJ13='Quick Setup'!$F$45,'Quick Setup'!$F54,if(BJ13='Quick Setup'!$G$45,'Quick Setup'!$G54,if(BJ13='Quick Setup'!$H$45,'Quick Setup'!$H54,if(BJ13='Quick Setup'!$I$45,'Quick Setup'!$I54,if(BJ13='Quick Setup'!$J$45,'Quick Setup'!$J54,if(BJ13='Quick Setup'!$K$45,'Quick Setup'!$K54,if(BJ13='Quick Setup'!$L$45,'Quick Setup'!$L54,if(BJ13='Quick Setup'!$M$45,'Quick Setup'!$M54,if(BJ13='Quick Setup'!$N$45,'Quick Setup'!$N54,if(BJ13='Quick Setup'!$O$45,'Quick Setup'!$O54,if(BJ13='Quick Setup'!$P$45,'Quick Setup'!$P54,if(BJ13='Quick Setup'!$Q$45,'Quick Setup'!$Q54,if(BJ13='Quick Setup'!$R$45,'Quick Setup'!$R54,if(BJ13='Quick Setup'!$S$45,'Quick Setup'!$S54,if(BJ13='Quick Setup'!$T$45,'Quick Setup'!$T54,if(BJ13='Quick Setup'!$U$45,'Quick Setup'!$U54,if(BJ13='Quick Setup'!$V$45,'Quick Setup'!$V54,'Quick Setup'!$W54))))))))))))))))))))</f>
        <v>3</v>
      </c>
      <c r="BM13" s="23">
        <f t="shared" ref="BM13:BU13" si="165">BA13</f>
        <v>5</v>
      </c>
      <c r="BN13" s="24">
        <f t="shared" si="165"/>
        <v>-0.05</v>
      </c>
      <c r="BO13" s="24">
        <f t="shared" si="165"/>
        <v>-0.02</v>
      </c>
      <c r="BP13" s="24">
        <f t="shared" si="165"/>
        <v>0</v>
      </c>
      <c r="BQ13" s="24">
        <f t="shared" si="165"/>
        <v>0.005</v>
      </c>
      <c r="BR13" s="24">
        <f t="shared" si="165"/>
        <v>0.01</v>
      </c>
      <c r="BS13" s="24">
        <f t="shared" si="165"/>
        <v>0.015</v>
      </c>
      <c r="BT13" s="24">
        <f t="shared" si="165"/>
        <v>0.02</v>
      </c>
      <c r="BU13" s="24">
        <f t="shared" si="165"/>
        <v>0.03</v>
      </c>
      <c r="BV13" s="20">
        <f>'Quick Setup'!I68</f>
        <v>0.5</v>
      </c>
      <c r="BW13" s="21">
        <f>if(BV13='Quick Setup'!$C$31,'Quick Setup'!$C40,if(BV13='Quick Setup'!$D$31,'Quick Setup'!$D40,if(BV13='Quick Setup'!$E$31,'Quick Setup'!$E40,if(BV13='Quick Setup'!$F$31,'Quick Setup'!$F40,if(BV13='Quick Setup'!$G$31,'Quick Setup'!$G40,if(BV13='Quick Setup'!$H$31,'Quick Setup'!$H40,if(BV13='Quick Setup'!$I$31,'Quick Setup'!$I40,if(BV13='Quick Setup'!$J$31,'Quick Setup'!$J40,if(BV13='Quick Setup'!$K$31,'Quick Setup'!$K40,if(BV13='Quick Setup'!$L$31,'Quick Setup'!$L40,if(BV13='Quick Setup'!$M$31,'Quick Setup'!$M40,if(BV13='Quick Setup'!$N$31,'Quick Setup'!$N40,if(BV13='Quick Setup'!$O$31,'Quick Setup'!$O40,if(BV13='Quick Setup'!$P$31,'Quick Setup'!$P40,if(BV13='Quick Setup'!$Q$31,'Quick Setup'!$Q40,if(BV13='Quick Setup'!$R$31,'Quick Setup'!$R40,if(BV13='Quick Setup'!$S$31,'Quick Setup'!$S40,if(BV13='Quick Setup'!$T$31,'Quick Setup'!$T40,if(BV13='Quick Setup'!$U$31,'Quick Setup'!$U40,if(BV13='Quick Setup'!$V$31,'Quick Setup'!$V40,'Quick Setup'!$W40))))))))))))))))))))</f>
        <v>8</v>
      </c>
      <c r="BX13" s="21">
        <f>if(BV13='Quick Setup'!$C$45,'Quick Setup'!$C54,if(BV13='Quick Setup'!$D$45,'Quick Setup'!$D54,if(BV13='Quick Setup'!$E$45,'Quick Setup'!$E54,if(BV13='Quick Setup'!$F$45,'Quick Setup'!$F54,if(BV13='Quick Setup'!$G$45,'Quick Setup'!$G54,if(BV13='Quick Setup'!$H$45,'Quick Setup'!$H54,if(BV13='Quick Setup'!$I$45,'Quick Setup'!$I54,if(BV13='Quick Setup'!$J$45,'Quick Setup'!$J54,if(BV13='Quick Setup'!$K$45,'Quick Setup'!$K54,if(BV13='Quick Setup'!$L$45,'Quick Setup'!$L54,if(BV13='Quick Setup'!$M$45,'Quick Setup'!$M54,if(BV13='Quick Setup'!$N$45,'Quick Setup'!$N54,if(BV13='Quick Setup'!$O$45,'Quick Setup'!$O54,if(BV13='Quick Setup'!$P$45,'Quick Setup'!$P54,if(BV13='Quick Setup'!$Q$45,'Quick Setup'!$Q54,if(BV13='Quick Setup'!$R$45,'Quick Setup'!$R54,if(BV13='Quick Setup'!$S$45,'Quick Setup'!$S54,if(BV13='Quick Setup'!$T$45,'Quick Setup'!$T54,if(BV13='Quick Setup'!$U$45,'Quick Setup'!$U54,if(BV13='Quick Setup'!$V$45,'Quick Setup'!$V54,'Quick Setup'!$W54))))))))))))))))))))</f>
        <v>3</v>
      </c>
      <c r="BY13" s="23">
        <f t="shared" ref="BY13:CG13" si="166">BM13</f>
        <v>5</v>
      </c>
      <c r="BZ13" s="24">
        <f t="shared" si="166"/>
        <v>-0.05</v>
      </c>
      <c r="CA13" s="24">
        <f t="shared" si="166"/>
        <v>-0.02</v>
      </c>
      <c r="CB13" s="24">
        <f t="shared" si="166"/>
        <v>0</v>
      </c>
      <c r="CC13" s="24">
        <f t="shared" si="166"/>
        <v>0.005</v>
      </c>
      <c r="CD13" s="24">
        <f t="shared" si="166"/>
        <v>0.01</v>
      </c>
      <c r="CE13" s="24">
        <f t="shared" si="166"/>
        <v>0.015</v>
      </c>
      <c r="CF13" s="24">
        <f t="shared" si="166"/>
        <v>0.02</v>
      </c>
      <c r="CG13" s="24">
        <f t="shared" si="166"/>
        <v>0.03</v>
      </c>
      <c r="CH13" s="20">
        <f>'Quick Setup'!J68</f>
        <v>0.65</v>
      </c>
      <c r="CI13" s="21">
        <f>if(CH13='Quick Setup'!$C$31,'Quick Setup'!$C40,if(CH13='Quick Setup'!$D$31,'Quick Setup'!$D40,if(CH13='Quick Setup'!$E$31,'Quick Setup'!$E40,if(CH13='Quick Setup'!$F$31,'Quick Setup'!$F40,if(CH13='Quick Setup'!$G$31,'Quick Setup'!$G40,if(CH13='Quick Setup'!$H$31,'Quick Setup'!$H40,if(CH13='Quick Setup'!$I$31,'Quick Setup'!$I40,if(CH13='Quick Setup'!$J$31,'Quick Setup'!$J40,if(CH13='Quick Setup'!$K$31,'Quick Setup'!$K40,if(CH13='Quick Setup'!$L$31,'Quick Setup'!$L40,if(CH13='Quick Setup'!$M$31,'Quick Setup'!$M40,if(CH13='Quick Setup'!$N$31,'Quick Setup'!$N40,if(CH13='Quick Setup'!$O$31,'Quick Setup'!$O40,if(CH13='Quick Setup'!$P$31,'Quick Setup'!$P40,if(CH13='Quick Setup'!$Q$31,'Quick Setup'!$Q40,if(CH13='Quick Setup'!$R$31,'Quick Setup'!$R40,if(CH13='Quick Setup'!$S$31,'Quick Setup'!$S40,if(CH13='Quick Setup'!$T$31,'Quick Setup'!$T40,if(CH13='Quick Setup'!$U$31,'Quick Setup'!$U40,if(CH13='Quick Setup'!$V$31,'Quick Setup'!$V40,'Quick Setup'!$W40))))))))))))))))))))</f>
        <v>6</v>
      </c>
      <c r="CJ13" s="21">
        <f>if(CH13='Quick Setup'!$C$45,'Quick Setup'!$C54,if(CH13='Quick Setup'!$D$45,'Quick Setup'!$D54,if(CH13='Quick Setup'!$E$45,'Quick Setup'!$E54,if(CH13='Quick Setup'!$F$45,'Quick Setup'!$F54,if(CH13='Quick Setup'!$G$45,'Quick Setup'!$G54,if(CH13='Quick Setup'!$H$45,'Quick Setup'!$H54,if(CH13='Quick Setup'!$I$45,'Quick Setup'!$I54,if(CH13='Quick Setup'!$J$45,'Quick Setup'!$J54,if(CH13='Quick Setup'!$K$45,'Quick Setup'!$K54,if(CH13='Quick Setup'!$L$45,'Quick Setup'!$L54,if(CH13='Quick Setup'!$M$45,'Quick Setup'!$M54,if(CH13='Quick Setup'!$N$45,'Quick Setup'!$N54,if(CH13='Quick Setup'!$O$45,'Quick Setup'!$O54,if(CH13='Quick Setup'!$P$45,'Quick Setup'!$P54,if(CH13='Quick Setup'!$Q$45,'Quick Setup'!$Q54,if(CH13='Quick Setup'!$R$45,'Quick Setup'!$R54,if(CH13='Quick Setup'!$S$45,'Quick Setup'!$S54,if(CH13='Quick Setup'!$T$45,'Quick Setup'!$T54,if(CH13='Quick Setup'!$U$45,'Quick Setup'!$U54,if(CH13='Quick Setup'!$V$45,'Quick Setup'!$V54,'Quick Setup'!$W54))))))))))))))))))))</f>
        <v>3</v>
      </c>
      <c r="CK13" s="23">
        <f t="shared" ref="CK13:CS13" si="167">BY13</f>
        <v>5</v>
      </c>
      <c r="CL13" s="24">
        <f t="shared" si="167"/>
        <v>-0.05</v>
      </c>
      <c r="CM13" s="24">
        <f t="shared" si="167"/>
        <v>-0.02</v>
      </c>
      <c r="CN13" s="24">
        <f t="shared" si="167"/>
        <v>0</v>
      </c>
      <c r="CO13" s="24">
        <f t="shared" si="167"/>
        <v>0.005</v>
      </c>
      <c r="CP13" s="24">
        <f t="shared" si="167"/>
        <v>0.01</v>
      </c>
      <c r="CQ13" s="24">
        <f t="shared" si="167"/>
        <v>0.015</v>
      </c>
      <c r="CR13" s="24">
        <f t="shared" si="167"/>
        <v>0.02</v>
      </c>
      <c r="CS13" s="24">
        <f t="shared" si="167"/>
        <v>0.03</v>
      </c>
      <c r="CT13" s="20">
        <f>'Quick Setup'!K68</f>
        <v>0.7</v>
      </c>
      <c r="CU13" s="21">
        <f>if(CT13='Quick Setup'!$C$31,'Quick Setup'!$C40,if(CT13='Quick Setup'!$D$31,'Quick Setup'!$D40,if(CT13='Quick Setup'!$E$31,'Quick Setup'!$E40,if(CT13='Quick Setup'!$F$31,'Quick Setup'!$F40,if(CT13='Quick Setup'!$G$31,'Quick Setup'!$G40,if(CT13='Quick Setup'!$H$31,'Quick Setup'!$H40,if(CT13='Quick Setup'!$I$31,'Quick Setup'!$I40,if(CT13='Quick Setup'!$J$31,'Quick Setup'!$J40,if(CT13='Quick Setup'!$K$31,'Quick Setup'!$K40,if(CT13='Quick Setup'!$L$31,'Quick Setup'!$L40,if(CT13='Quick Setup'!$M$31,'Quick Setup'!$M40,if(CT13='Quick Setup'!$N$31,'Quick Setup'!$N40,if(CT13='Quick Setup'!$O$31,'Quick Setup'!$O40,if(CT13='Quick Setup'!$P$31,'Quick Setup'!$P40,if(CT13='Quick Setup'!$Q$31,'Quick Setup'!$Q40,if(CT13='Quick Setup'!$R$31,'Quick Setup'!$R40,if(CT13='Quick Setup'!$S$31,'Quick Setup'!$S40,if(CT13='Quick Setup'!$T$31,'Quick Setup'!$T40,if(CT13='Quick Setup'!$U$31,'Quick Setup'!$U40,if(CT13='Quick Setup'!$V$31,'Quick Setup'!$V40,'Quick Setup'!$W40))))))))))))))))))))</f>
        <v>5</v>
      </c>
      <c r="CV13" s="21">
        <f>if(CT13='Quick Setup'!$C$45,'Quick Setup'!$C54,if(CT13='Quick Setup'!$D$45,'Quick Setup'!$D54,if(CT13='Quick Setup'!$E$45,'Quick Setup'!$E54,if(CT13='Quick Setup'!$F$45,'Quick Setup'!$F54,if(CT13='Quick Setup'!$G$45,'Quick Setup'!$G54,if(CT13='Quick Setup'!$H$45,'Quick Setup'!$H54,if(CT13='Quick Setup'!$I$45,'Quick Setup'!$I54,if(CT13='Quick Setup'!$J$45,'Quick Setup'!$J54,if(CT13='Quick Setup'!$K$45,'Quick Setup'!$K54,if(CT13='Quick Setup'!$L$45,'Quick Setup'!$L54,if(CT13='Quick Setup'!$M$45,'Quick Setup'!$M54,if(CT13='Quick Setup'!$N$45,'Quick Setup'!$N54,if(CT13='Quick Setup'!$O$45,'Quick Setup'!$O54,if(CT13='Quick Setup'!$P$45,'Quick Setup'!$P54,if(CT13='Quick Setup'!$Q$45,'Quick Setup'!$Q54,if(CT13='Quick Setup'!$R$45,'Quick Setup'!$R54,if(CT13='Quick Setup'!$S$45,'Quick Setup'!$S54,if(CT13='Quick Setup'!$T$45,'Quick Setup'!$T54,if(CT13='Quick Setup'!$U$45,'Quick Setup'!$U54,if(CT13='Quick Setup'!$V$45,'Quick Setup'!$V54,'Quick Setup'!$W54))))))))))))))))))))</f>
        <v>3</v>
      </c>
      <c r="CW13" s="23">
        <f t="shared" ref="CW13:DE13" si="168">CK13</f>
        <v>5</v>
      </c>
      <c r="CX13" s="24">
        <f t="shared" si="168"/>
        <v>-0.05</v>
      </c>
      <c r="CY13" s="24">
        <f t="shared" si="168"/>
        <v>-0.02</v>
      </c>
      <c r="CZ13" s="24">
        <f t="shared" si="168"/>
        <v>0</v>
      </c>
      <c r="DA13" s="24">
        <f t="shared" si="168"/>
        <v>0.005</v>
      </c>
      <c r="DB13" s="24">
        <f t="shared" si="168"/>
        <v>0.01</v>
      </c>
      <c r="DC13" s="24">
        <f t="shared" si="168"/>
        <v>0.015</v>
      </c>
      <c r="DD13" s="24">
        <f t="shared" si="168"/>
        <v>0.02</v>
      </c>
      <c r="DE13" s="24">
        <f t="shared" si="168"/>
        <v>0.03</v>
      </c>
      <c r="DF13" s="20">
        <f>'Quick Setup'!L68</f>
        <v>0.75</v>
      </c>
      <c r="DG13" s="21">
        <f>if(DF13='Quick Setup'!$C$31,'Quick Setup'!$C40,if(DF13='Quick Setup'!$D$31,'Quick Setup'!$D40,if(DF13='Quick Setup'!$E$31,'Quick Setup'!$E40,if(DF13='Quick Setup'!$F$31,'Quick Setup'!$F40,if(DF13='Quick Setup'!$G$31,'Quick Setup'!$G40,if(DF13='Quick Setup'!$H$31,'Quick Setup'!$H40,if(DF13='Quick Setup'!$I$31,'Quick Setup'!$I40,if(DF13='Quick Setup'!$J$31,'Quick Setup'!$J40,if(DF13='Quick Setup'!$K$31,'Quick Setup'!$K40,if(DF13='Quick Setup'!$L$31,'Quick Setup'!$L40,if(DF13='Quick Setup'!$M$31,'Quick Setup'!$M40,if(DF13='Quick Setup'!$N$31,'Quick Setup'!$N40,if(DF13='Quick Setup'!$O$31,'Quick Setup'!$O40,if(DF13='Quick Setup'!$P$31,'Quick Setup'!$P40,if(DF13='Quick Setup'!$Q$31,'Quick Setup'!$Q40,if(DF13='Quick Setup'!$R$31,'Quick Setup'!$R40,if(DF13='Quick Setup'!$S$31,'Quick Setup'!$S40,if(DF13='Quick Setup'!$T$31,'Quick Setup'!$T40,if(DF13='Quick Setup'!$U$31,'Quick Setup'!$U40,if(DF13='Quick Setup'!$V$31,'Quick Setup'!$V40,'Quick Setup'!$W40))))))))))))))))))))</f>
        <v>4</v>
      </c>
      <c r="DH13" s="21">
        <f>if(DF13='Quick Setup'!$C$45,'Quick Setup'!$C54,if(DF13='Quick Setup'!$D$45,'Quick Setup'!$D54,if(DF13='Quick Setup'!$E$45,'Quick Setup'!$E54,if(DF13='Quick Setup'!$F$45,'Quick Setup'!$F54,if(DF13='Quick Setup'!$G$45,'Quick Setup'!$G54,if(DF13='Quick Setup'!$H$45,'Quick Setup'!$H54,if(DF13='Quick Setup'!$I$45,'Quick Setup'!$I54,if(DF13='Quick Setup'!$J$45,'Quick Setup'!$J54,if(DF13='Quick Setup'!$K$45,'Quick Setup'!$K54,if(DF13='Quick Setup'!$L$45,'Quick Setup'!$L54,if(DF13='Quick Setup'!$M$45,'Quick Setup'!$M54,if(DF13='Quick Setup'!$N$45,'Quick Setup'!$N54,if(DF13='Quick Setup'!$O$45,'Quick Setup'!$O54,if(DF13='Quick Setup'!$P$45,'Quick Setup'!$P54,if(DF13='Quick Setup'!$Q$45,'Quick Setup'!$Q54,if(DF13='Quick Setup'!$R$45,'Quick Setup'!$R54,if(DF13='Quick Setup'!$S$45,'Quick Setup'!$S54,if(DF13='Quick Setup'!$T$45,'Quick Setup'!$T54,if(DF13='Quick Setup'!$U$45,'Quick Setup'!$U54,if(DF13='Quick Setup'!$V$45,'Quick Setup'!$V54,'Quick Setup'!$W54))))))))))))))))))))</f>
        <v>2</v>
      </c>
      <c r="DI13" s="23">
        <f t="shared" ref="DI13:DQ13" si="169">CW13</f>
        <v>5</v>
      </c>
      <c r="DJ13" s="24">
        <f t="shared" si="169"/>
        <v>-0.05</v>
      </c>
      <c r="DK13" s="24">
        <f t="shared" si="169"/>
        <v>-0.02</v>
      </c>
      <c r="DL13" s="24">
        <f t="shared" si="169"/>
        <v>0</v>
      </c>
      <c r="DM13" s="24">
        <f t="shared" si="169"/>
        <v>0.005</v>
      </c>
      <c r="DN13" s="24">
        <f t="shared" si="169"/>
        <v>0.01</v>
      </c>
      <c r="DO13" s="24">
        <f t="shared" si="169"/>
        <v>0.015</v>
      </c>
      <c r="DP13" s="24">
        <f t="shared" si="169"/>
        <v>0.02</v>
      </c>
      <c r="DQ13" s="24">
        <f t="shared" si="169"/>
        <v>0.03</v>
      </c>
      <c r="DR13" s="20">
        <f>'Quick Setup'!M68</f>
        <v>0.675</v>
      </c>
      <c r="DS13" s="21">
        <f>if(DR13='Quick Setup'!$C$31,'Quick Setup'!$C40,if(DR13='Quick Setup'!$D$31,'Quick Setup'!$D40,if(DR13='Quick Setup'!$E$31,'Quick Setup'!$E40,if(DR13='Quick Setup'!$F$31,'Quick Setup'!$F40,if(DR13='Quick Setup'!$G$31,'Quick Setup'!$G40,if(DR13='Quick Setup'!$H$31,'Quick Setup'!$H40,if(DR13='Quick Setup'!$I$31,'Quick Setup'!$I40,if(DR13='Quick Setup'!$J$31,'Quick Setup'!$J40,if(DR13='Quick Setup'!$K$31,'Quick Setup'!$K40,if(DR13='Quick Setup'!$L$31,'Quick Setup'!$L40,if(DR13='Quick Setup'!$M$31,'Quick Setup'!$M40,if(DR13='Quick Setup'!$N$31,'Quick Setup'!$N40,if(DR13='Quick Setup'!$O$31,'Quick Setup'!$O40,if(DR13='Quick Setup'!$P$31,'Quick Setup'!$P40,if(DR13='Quick Setup'!$Q$31,'Quick Setup'!$Q40,if(DR13='Quick Setup'!$R$31,'Quick Setup'!$R40,if(DR13='Quick Setup'!$S$31,'Quick Setup'!$S40,if(DR13='Quick Setup'!$T$31,'Quick Setup'!$T40,if(DR13='Quick Setup'!$U$31,'Quick Setup'!$U40,if(DR13='Quick Setup'!$V$31,'Quick Setup'!$V40,'Quick Setup'!$W40))))))))))))))))))))</f>
        <v>6</v>
      </c>
      <c r="DT13" s="21">
        <f>if(DR13='Quick Setup'!$C$45,'Quick Setup'!$C54,if(DR13='Quick Setup'!$D$45,'Quick Setup'!$D54,if(DR13='Quick Setup'!$E$45,'Quick Setup'!$E54,if(DR13='Quick Setup'!$F$45,'Quick Setup'!$F54,if(DR13='Quick Setup'!$G$45,'Quick Setup'!$G54,if(DR13='Quick Setup'!$H$45,'Quick Setup'!$H54,if(DR13='Quick Setup'!$I$45,'Quick Setup'!$I54,if(DR13='Quick Setup'!$J$45,'Quick Setup'!$J54,if(DR13='Quick Setup'!$K$45,'Quick Setup'!$K54,if(DR13='Quick Setup'!$L$45,'Quick Setup'!$L54,if(DR13='Quick Setup'!$M$45,'Quick Setup'!$M54,if(DR13='Quick Setup'!$N$45,'Quick Setup'!$N54,if(DR13='Quick Setup'!$O$45,'Quick Setup'!$O54,if(DR13='Quick Setup'!$P$45,'Quick Setup'!$P54,if(DR13='Quick Setup'!$Q$45,'Quick Setup'!$Q54,if(DR13='Quick Setup'!$R$45,'Quick Setup'!$R54,if(DR13='Quick Setup'!$S$45,'Quick Setup'!$S54,if(DR13='Quick Setup'!$T$45,'Quick Setup'!$T54,if(DR13='Quick Setup'!$U$45,'Quick Setup'!$U54,if(DR13='Quick Setup'!$V$45,'Quick Setup'!$V54,'Quick Setup'!$W54))))))))))))))))))))</f>
        <v>3</v>
      </c>
      <c r="DU13" s="23">
        <f t="shared" ref="DU13:EC13" si="170">DI13</f>
        <v>5</v>
      </c>
      <c r="DV13" s="24">
        <f t="shared" si="170"/>
        <v>-0.05</v>
      </c>
      <c r="DW13" s="24">
        <f t="shared" si="170"/>
        <v>-0.02</v>
      </c>
      <c r="DX13" s="24">
        <f t="shared" si="170"/>
        <v>0</v>
      </c>
      <c r="DY13" s="24">
        <f t="shared" si="170"/>
        <v>0.005</v>
      </c>
      <c r="DZ13" s="24">
        <f t="shared" si="170"/>
        <v>0.01</v>
      </c>
      <c r="EA13" s="24">
        <f t="shared" si="170"/>
        <v>0.015</v>
      </c>
      <c r="EB13" s="24">
        <f t="shared" si="170"/>
        <v>0.02</v>
      </c>
      <c r="EC13" s="24">
        <f t="shared" si="170"/>
        <v>0.03</v>
      </c>
      <c r="ED13" s="20">
        <f>'Quick Setup'!N68</f>
        <v>0.725</v>
      </c>
      <c r="EE13" s="21">
        <f>if(ED13='Quick Setup'!$C$31,'Quick Setup'!$C40,if(ED13='Quick Setup'!$D$31,'Quick Setup'!$D40,if(ED13='Quick Setup'!$E$31,'Quick Setup'!$E40,if(ED13='Quick Setup'!$F$31,'Quick Setup'!$F40,if(ED13='Quick Setup'!$G$31,'Quick Setup'!$G40,if(ED13='Quick Setup'!$H$31,'Quick Setup'!$H40,if(ED13='Quick Setup'!$I$31,'Quick Setup'!$I40,if(ED13='Quick Setup'!$J$31,'Quick Setup'!$J40,if(ED13='Quick Setup'!$K$31,'Quick Setup'!$K40,if(ED13='Quick Setup'!$L$31,'Quick Setup'!$L40,if(ED13='Quick Setup'!$M$31,'Quick Setup'!$M40,if(ED13='Quick Setup'!$N$31,'Quick Setup'!$N40,if(ED13='Quick Setup'!$O$31,'Quick Setup'!$O40,if(ED13='Quick Setup'!$P$31,'Quick Setup'!$P40,if(ED13='Quick Setup'!$Q$31,'Quick Setup'!$Q40,if(ED13='Quick Setup'!$R$31,'Quick Setup'!$R40,if(ED13='Quick Setup'!$S$31,'Quick Setup'!$S40,if(ED13='Quick Setup'!$T$31,'Quick Setup'!$T40,if(ED13='Quick Setup'!$U$31,'Quick Setup'!$U40,if(ED13='Quick Setup'!$V$31,'Quick Setup'!$V40,'Quick Setup'!$W40))))))))))))))))))))</f>
        <v>5</v>
      </c>
      <c r="EF13" s="21">
        <f>if(ED13='Quick Setup'!$C$45,'Quick Setup'!$C54,if(ED13='Quick Setup'!$D$45,'Quick Setup'!$D54,if(ED13='Quick Setup'!$E$45,'Quick Setup'!$E54,if(ED13='Quick Setup'!$F$45,'Quick Setup'!$F54,if(ED13='Quick Setup'!$G$45,'Quick Setup'!$G54,if(ED13='Quick Setup'!$H$45,'Quick Setup'!$H54,if(ED13='Quick Setup'!$I$45,'Quick Setup'!$I54,if(ED13='Quick Setup'!$J$45,'Quick Setup'!$J54,if(ED13='Quick Setup'!$K$45,'Quick Setup'!$K54,if(ED13='Quick Setup'!$L$45,'Quick Setup'!$L54,if(ED13='Quick Setup'!$M$45,'Quick Setup'!$M54,if(ED13='Quick Setup'!$N$45,'Quick Setup'!$N54,if(ED13='Quick Setup'!$O$45,'Quick Setup'!$O54,if(ED13='Quick Setup'!$P$45,'Quick Setup'!$P54,if(ED13='Quick Setup'!$Q$45,'Quick Setup'!$Q54,if(ED13='Quick Setup'!$R$45,'Quick Setup'!$R54,if(ED13='Quick Setup'!$S$45,'Quick Setup'!$S54,if(ED13='Quick Setup'!$T$45,'Quick Setup'!$T54,if(ED13='Quick Setup'!$U$45,'Quick Setup'!$U54,if(ED13='Quick Setup'!$V$45,'Quick Setup'!$V54,'Quick Setup'!$W54))))))))))))))))))))</f>
        <v>3</v>
      </c>
      <c r="EG13" s="23">
        <f t="shared" ref="EG13:EO13" si="171">DU13</f>
        <v>5</v>
      </c>
      <c r="EH13" s="24">
        <f t="shared" si="171"/>
        <v>-0.05</v>
      </c>
      <c r="EI13" s="24">
        <f t="shared" si="171"/>
        <v>-0.02</v>
      </c>
      <c r="EJ13" s="24">
        <f t="shared" si="171"/>
        <v>0</v>
      </c>
      <c r="EK13" s="24">
        <f t="shared" si="171"/>
        <v>0.005</v>
      </c>
      <c r="EL13" s="24">
        <f t="shared" si="171"/>
        <v>0.01</v>
      </c>
      <c r="EM13" s="24">
        <f t="shared" si="171"/>
        <v>0.015</v>
      </c>
      <c r="EN13" s="24">
        <f t="shared" si="171"/>
        <v>0.02</v>
      </c>
      <c r="EO13" s="24">
        <f t="shared" si="171"/>
        <v>0.03</v>
      </c>
      <c r="EP13" s="20">
        <f>'Quick Setup'!O68</f>
        <v>0.775</v>
      </c>
      <c r="EQ13" s="21">
        <f>if(EP13='Quick Setup'!$C$31,'Quick Setup'!$C40,if(EP13='Quick Setup'!$D$31,'Quick Setup'!$D40,if(EP13='Quick Setup'!$E$31,'Quick Setup'!$E40,if(EP13='Quick Setup'!$F$31,'Quick Setup'!$F40,if(EP13='Quick Setup'!$G$31,'Quick Setup'!$G40,if(EP13='Quick Setup'!$H$31,'Quick Setup'!$H40,if(EP13='Quick Setup'!$I$31,'Quick Setup'!$I40,if(EP13='Quick Setup'!$J$31,'Quick Setup'!$J40,if(EP13='Quick Setup'!$K$31,'Quick Setup'!$K40,if(EP13='Quick Setup'!$L$31,'Quick Setup'!$L40,if(EP13='Quick Setup'!$M$31,'Quick Setup'!$M40,if(EP13='Quick Setup'!$N$31,'Quick Setup'!$N40,if(EP13='Quick Setup'!$O$31,'Quick Setup'!$O40,if(EP13='Quick Setup'!$P$31,'Quick Setup'!$P40,if(EP13='Quick Setup'!$Q$31,'Quick Setup'!$Q40,if(EP13='Quick Setup'!$R$31,'Quick Setup'!$R40,if(EP13='Quick Setup'!$S$31,'Quick Setup'!$S40,if(EP13='Quick Setup'!$T$31,'Quick Setup'!$T40,if(EP13='Quick Setup'!$U$31,'Quick Setup'!$U40,if(EP13='Quick Setup'!$V$31,'Quick Setup'!$V40,'Quick Setup'!$W40))))))))))))))))))))</f>
        <v>4</v>
      </c>
      <c r="ER13" s="21">
        <f>if(EP13='Quick Setup'!$C$45,'Quick Setup'!$C54,if(EP13='Quick Setup'!$D$45,'Quick Setup'!$D54,if(EP13='Quick Setup'!$E$45,'Quick Setup'!$E54,if(EP13='Quick Setup'!$F$45,'Quick Setup'!$F54,if(EP13='Quick Setup'!$G$45,'Quick Setup'!$G54,if(EP13='Quick Setup'!$H$45,'Quick Setup'!$H54,if(EP13='Quick Setup'!$I$45,'Quick Setup'!$I54,if(EP13='Quick Setup'!$J$45,'Quick Setup'!$J54,if(EP13='Quick Setup'!$K$45,'Quick Setup'!$K54,if(EP13='Quick Setup'!$L$45,'Quick Setup'!$L54,if(EP13='Quick Setup'!$M$45,'Quick Setup'!$M54,if(EP13='Quick Setup'!$N$45,'Quick Setup'!$N54,if(EP13='Quick Setup'!$O$45,'Quick Setup'!$O54,if(EP13='Quick Setup'!$P$45,'Quick Setup'!$P54,if(EP13='Quick Setup'!$Q$45,'Quick Setup'!$Q54,if(EP13='Quick Setup'!$R$45,'Quick Setup'!$R54,if(EP13='Quick Setup'!$S$45,'Quick Setup'!$S54,if(EP13='Quick Setup'!$T$45,'Quick Setup'!$T54,if(EP13='Quick Setup'!$U$45,'Quick Setup'!$U54,if(EP13='Quick Setup'!$V$45,'Quick Setup'!$V54,'Quick Setup'!$W54))))))))))))))))))))</f>
        <v>2</v>
      </c>
      <c r="ES13" s="23">
        <f t="shared" ref="ES13:FA13" si="172">EG13</f>
        <v>5</v>
      </c>
      <c r="ET13" s="24">
        <f t="shared" si="172"/>
        <v>-0.05</v>
      </c>
      <c r="EU13" s="24">
        <f t="shared" si="172"/>
        <v>-0.02</v>
      </c>
      <c r="EV13" s="24">
        <f t="shared" si="172"/>
        <v>0</v>
      </c>
      <c r="EW13" s="24">
        <f t="shared" si="172"/>
        <v>0.005</v>
      </c>
      <c r="EX13" s="24">
        <f t="shared" si="172"/>
        <v>0.01</v>
      </c>
      <c r="EY13" s="24">
        <f t="shared" si="172"/>
        <v>0.015</v>
      </c>
      <c r="EZ13" s="24">
        <f t="shared" si="172"/>
        <v>0.02</v>
      </c>
      <c r="FA13" s="24">
        <f t="shared" si="172"/>
        <v>0.03</v>
      </c>
      <c r="FB13" s="20">
        <f>'Quick Setup'!P68</f>
        <v>0.5</v>
      </c>
      <c r="FC13" s="21">
        <f>if(FB13='Quick Setup'!$C$31,'Quick Setup'!$C40,if(FB13='Quick Setup'!$D$31,'Quick Setup'!$D40,if(FB13='Quick Setup'!$E$31,'Quick Setup'!$E40,if(FB13='Quick Setup'!$F$31,'Quick Setup'!$F40,if(FB13='Quick Setup'!$G$31,'Quick Setup'!$G40,if(FB13='Quick Setup'!$H$31,'Quick Setup'!$H40,if(FB13='Quick Setup'!$I$31,'Quick Setup'!$I40,if(FB13='Quick Setup'!$J$31,'Quick Setup'!$J40,if(FB13='Quick Setup'!$K$31,'Quick Setup'!$K40,if(FB13='Quick Setup'!$L$31,'Quick Setup'!$L40,if(FB13='Quick Setup'!$M$31,'Quick Setup'!$M40,if(FB13='Quick Setup'!$N$31,'Quick Setup'!$N40,if(FB13='Quick Setup'!$O$31,'Quick Setup'!$O40,if(FB13='Quick Setup'!$P$31,'Quick Setup'!$P40,if(FB13='Quick Setup'!$Q$31,'Quick Setup'!$Q40,if(FB13='Quick Setup'!$R$31,'Quick Setup'!$R40,if(FB13='Quick Setup'!$S$31,'Quick Setup'!$S40,if(FB13='Quick Setup'!$T$31,'Quick Setup'!$T40,if(FB13='Quick Setup'!$U$31,'Quick Setup'!$U40,if(FB13='Quick Setup'!$V$31,'Quick Setup'!$V40,'Quick Setup'!$W40))))))))))))))))))))</f>
        <v>8</v>
      </c>
      <c r="FD13" s="21">
        <f>if(FB13='Quick Setup'!$C$45,'Quick Setup'!$C54,if(FB13='Quick Setup'!$D$45,'Quick Setup'!$D54,if(FB13='Quick Setup'!$E$45,'Quick Setup'!$E54,if(FB13='Quick Setup'!$F$45,'Quick Setup'!$F54,if(FB13='Quick Setup'!$G$45,'Quick Setup'!$G54,if(FB13='Quick Setup'!$H$45,'Quick Setup'!$H54,if(FB13='Quick Setup'!$I$45,'Quick Setup'!$I54,if(FB13='Quick Setup'!$J$45,'Quick Setup'!$J54,if(FB13='Quick Setup'!$K$45,'Quick Setup'!$K54,if(FB13='Quick Setup'!$L$45,'Quick Setup'!$L54,if(FB13='Quick Setup'!$M$45,'Quick Setup'!$M54,if(FB13='Quick Setup'!$N$45,'Quick Setup'!$N54,if(FB13='Quick Setup'!$O$45,'Quick Setup'!$O54,if(FB13='Quick Setup'!$P$45,'Quick Setup'!$P54,if(FB13='Quick Setup'!$Q$45,'Quick Setup'!$Q54,if(FB13='Quick Setup'!$R$45,'Quick Setup'!$R54,if(FB13='Quick Setup'!$S$45,'Quick Setup'!$S54,if(FB13='Quick Setup'!$T$45,'Quick Setup'!$T54,if(FB13='Quick Setup'!$U$45,'Quick Setup'!$U54,if(FB13='Quick Setup'!$V$45,'Quick Setup'!$V54,'Quick Setup'!$W54))))))))))))))))))))</f>
        <v>3</v>
      </c>
      <c r="FE13" s="23">
        <f t="shared" ref="FE13:FM13" si="173">ES13</f>
        <v>5</v>
      </c>
      <c r="FF13" s="24">
        <f t="shared" si="173"/>
        <v>-0.05</v>
      </c>
      <c r="FG13" s="24">
        <f t="shared" si="173"/>
        <v>-0.02</v>
      </c>
      <c r="FH13" s="24">
        <f t="shared" si="173"/>
        <v>0</v>
      </c>
      <c r="FI13" s="24">
        <f t="shared" si="173"/>
        <v>0.005</v>
      </c>
      <c r="FJ13" s="24">
        <f t="shared" si="173"/>
        <v>0.01</v>
      </c>
      <c r="FK13" s="24">
        <f t="shared" si="173"/>
        <v>0.015</v>
      </c>
      <c r="FL13" s="24">
        <f t="shared" si="173"/>
        <v>0.02</v>
      </c>
      <c r="FM13" s="24">
        <f t="shared" si="173"/>
        <v>0.03</v>
      </c>
      <c r="FN13" s="20">
        <f>'Quick Setup'!Q68</f>
        <v>0.7</v>
      </c>
      <c r="FO13" s="21">
        <f>if(FN13='Quick Setup'!$C$31,'Quick Setup'!$C40,if(FN13='Quick Setup'!$D$31,'Quick Setup'!$D40,if(FN13='Quick Setup'!$E$31,'Quick Setup'!$E40,if(FN13='Quick Setup'!$F$31,'Quick Setup'!$F40,if(FN13='Quick Setup'!$G$31,'Quick Setup'!$G40,if(FN13='Quick Setup'!$H$31,'Quick Setup'!$H40,if(FN13='Quick Setup'!$I$31,'Quick Setup'!$I40,if(FN13='Quick Setup'!$J$31,'Quick Setup'!$J40,if(FN13='Quick Setup'!$K$31,'Quick Setup'!$K40,if(FN13='Quick Setup'!$L$31,'Quick Setup'!$L40,if(FN13='Quick Setup'!$M$31,'Quick Setup'!$M40,if(FN13='Quick Setup'!$N$31,'Quick Setup'!$N40,if(FN13='Quick Setup'!$O$31,'Quick Setup'!$O40,if(FN13='Quick Setup'!$P$31,'Quick Setup'!$P40,if(FN13='Quick Setup'!$Q$31,'Quick Setup'!$Q40,if(FN13='Quick Setup'!$R$31,'Quick Setup'!$R40,if(FN13='Quick Setup'!$S$31,'Quick Setup'!$S40,if(FN13='Quick Setup'!$T$31,'Quick Setup'!$T40,if(FN13='Quick Setup'!$U$31,'Quick Setup'!$U40,if(FN13='Quick Setup'!$V$31,'Quick Setup'!$V40,'Quick Setup'!$W40))))))))))))))))))))</f>
        <v>5</v>
      </c>
      <c r="FP13" s="21">
        <f>if(FN13='Quick Setup'!$C$45,'Quick Setup'!$C54,if(FN13='Quick Setup'!$D$45,'Quick Setup'!$D54,if(FN13='Quick Setup'!$E$45,'Quick Setup'!$E54,if(FN13='Quick Setup'!$F$45,'Quick Setup'!$F54,if(FN13='Quick Setup'!$G$45,'Quick Setup'!$G54,if(FN13='Quick Setup'!$H$45,'Quick Setup'!$H54,if(FN13='Quick Setup'!$I$45,'Quick Setup'!$I54,if(FN13='Quick Setup'!$J$45,'Quick Setup'!$J54,if(FN13='Quick Setup'!$K$45,'Quick Setup'!$K54,if(FN13='Quick Setup'!$L$45,'Quick Setup'!$L54,if(FN13='Quick Setup'!$M$45,'Quick Setup'!$M54,if(FN13='Quick Setup'!$N$45,'Quick Setup'!$N54,if(FN13='Quick Setup'!$O$45,'Quick Setup'!$O54,if(FN13='Quick Setup'!$P$45,'Quick Setup'!$P54,if(FN13='Quick Setup'!$Q$45,'Quick Setup'!$Q54,if(FN13='Quick Setup'!$R$45,'Quick Setup'!$R54,if(FN13='Quick Setup'!$S$45,'Quick Setup'!$S54,if(FN13='Quick Setup'!$T$45,'Quick Setup'!$T54,if(FN13='Quick Setup'!$U$45,'Quick Setup'!$U54,if(FN13='Quick Setup'!$V$45,'Quick Setup'!$V54,'Quick Setup'!$W54))))))))))))))))))))</f>
        <v>3</v>
      </c>
      <c r="FQ13" s="23">
        <f t="shared" ref="FQ13:FY13" si="174">FE13</f>
        <v>5</v>
      </c>
      <c r="FR13" s="24">
        <f t="shared" si="174"/>
        <v>-0.05</v>
      </c>
      <c r="FS13" s="24">
        <f t="shared" si="174"/>
        <v>-0.02</v>
      </c>
      <c r="FT13" s="24">
        <f t="shared" si="174"/>
        <v>0</v>
      </c>
      <c r="FU13" s="24">
        <f t="shared" si="174"/>
        <v>0.005</v>
      </c>
      <c r="FV13" s="24">
        <f t="shared" si="174"/>
        <v>0.01</v>
      </c>
      <c r="FW13" s="24">
        <f t="shared" si="174"/>
        <v>0.015</v>
      </c>
      <c r="FX13" s="24">
        <f t="shared" si="174"/>
        <v>0.02</v>
      </c>
      <c r="FY13" s="24">
        <f t="shared" si="174"/>
        <v>0.03</v>
      </c>
      <c r="FZ13" s="20">
        <f>'Quick Setup'!R68</f>
        <v>0.75</v>
      </c>
      <c r="GA13" s="21">
        <f>if(FZ13='Quick Setup'!$C$31,'Quick Setup'!$C40,if(FZ13='Quick Setup'!$D$31,'Quick Setup'!$D40,if(FZ13='Quick Setup'!$E$31,'Quick Setup'!$E40,if(FZ13='Quick Setup'!$F$31,'Quick Setup'!$F40,if(FZ13='Quick Setup'!$G$31,'Quick Setup'!$G40,if(FZ13='Quick Setup'!$H$31,'Quick Setup'!$H40,if(FZ13='Quick Setup'!$I$31,'Quick Setup'!$I40,if(FZ13='Quick Setup'!$J$31,'Quick Setup'!$J40,if(FZ13='Quick Setup'!$K$31,'Quick Setup'!$K40,if(FZ13='Quick Setup'!$L$31,'Quick Setup'!$L40,if(FZ13='Quick Setup'!$M$31,'Quick Setup'!$M40,if(FZ13='Quick Setup'!$N$31,'Quick Setup'!$N40,if(FZ13='Quick Setup'!$O$31,'Quick Setup'!$O40,if(FZ13='Quick Setup'!$P$31,'Quick Setup'!$P40,if(FZ13='Quick Setup'!$Q$31,'Quick Setup'!$Q40,if(FZ13='Quick Setup'!$R$31,'Quick Setup'!$R40,if(FZ13='Quick Setup'!$S$31,'Quick Setup'!$S40,if(FZ13='Quick Setup'!$T$31,'Quick Setup'!$T40,if(FZ13='Quick Setup'!$U$31,'Quick Setup'!$U40,if(FZ13='Quick Setup'!$V$31,'Quick Setup'!$V40,'Quick Setup'!$W40))))))))))))))))))))</f>
        <v>4</v>
      </c>
      <c r="GB13" s="21">
        <f>if(FZ13='Quick Setup'!$C$45,'Quick Setup'!$C54,if(FZ13='Quick Setup'!$D$45,'Quick Setup'!$D54,if(FZ13='Quick Setup'!$E$45,'Quick Setup'!$E54,if(FZ13='Quick Setup'!$F$45,'Quick Setup'!$F54,if(FZ13='Quick Setup'!$G$45,'Quick Setup'!$G54,if(FZ13='Quick Setup'!$H$45,'Quick Setup'!$H54,if(FZ13='Quick Setup'!$I$45,'Quick Setup'!$I54,if(FZ13='Quick Setup'!$J$45,'Quick Setup'!$J54,if(FZ13='Quick Setup'!$K$45,'Quick Setup'!$K54,if(FZ13='Quick Setup'!$L$45,'Quick Setup'!$L54,if(FZ13='Quick Setup'!$M$45,'Quick Setup'!$M54,if(FZ13='Quick Setup'!$N$45,'Quick Setup'!$N54,if(FZ13='Quick Setup'!$O$45,'Quick Setup'!$O54,if(FZ13='Quick Setup'!$P$45,'Quick Setup'!$P54,if(FZ13='Quick Setup'!$Q$45,'Quick Setup'!$Q54,if(FZ13='Quick Setup'!$R$45,'Quick Setup'!$R54,if(FZ13='Quick Setup'!$S$45,'Quick Setup'!$S54,if(FZ13='Quick Setup'!$T$45,'Quick Setup'!$T54,if(FZ13='Quick Setup'!$U$45,'Quick Setup'!$U54,if(FZ13='Quick Setup'!$V$45,'Quick Setup'!$V54,'Quick Setup'!$W54))))))))))))))))))))</f>
        <v>2</v>
      </c>
      <c r="GC13" s="23">
        <f t="shared" ref="GC13:GK13" si="175">FQ13</f>
        <v>5</v>
      </c>
      <c r="GD13" s="24">
        <f t="shared" si="175"/>
        <v>-0.05</v>
      </c>
      <c r="GE13" s="24">
        <f t="shared" si="175"/>
        <v>-0.02</v>
      </c>
      <c r="GF13" s="24">
        <f t="shared" si="175"/>
        <v>0</v>
      </c>
      <c r="GG13" s="24">
        <f t="shared" si="175"/>
        <v>0.005</v>
      </c>
      <c r="GH13" s="24">
        <f t="shared" si="175"/>
        <v>0.01</v>
      </c>
      <c r="GI13" s="24">
        <f t="shared" si="175"/>
        <v>0.015</v>
      </c>
      <c r="GJ13" s="24">
        <f t="shared" si="175"/>
        <v>0.02</v>
      </c>
      <c r="GK13" s="24">
        <f t="shared" si="175"/>
        <v>0.03</v>
      </c>
      <c r="GL13" s="20">
        <f>'Quick Setup'!S68</f>
        <v>0.8</v>
      </c>
      <c r="GM13" s="21">
        <f>if(GL13='Quick Setup'!$C$31,'Quick Setup'!$C40,if(GL13='Quick Setup'!$D$31,'Quick Setup'!$D40,if(GL13='Quick Setup'!$E$31,'Quick Setup'!$E40,if(GL13='Quick Setup'!$F$31,'Quick Setup'!$F40,if(GL13='Quick Setup'!$G$31,'Quick Setup'!$G40,if(GL13='Quick Setup'!$H$31,'Quick Setup'!$H40,if(GL13='Quick Setup'!$I$31,'Quick Setup'!$I40,if(GL13='Quick Setup'!$J$31,'Quick Setup'!$J40,if(GL13='Quick Setup'!$K$31,'Quick Setup'!$K40,if(GL13='Quick Setup'!$L$31,'Quick Setup'!$L40,if(GL13='Quick Setup'!$M$31,'Quick Setup'!$M40,if(GL13='Quick Setup'!$N$31,'Quick Setup'!$N40,if(GL13='Quick Setup'!$O$31,'Quick Setup'!$O40,if(GL13='Quick Setup'!$P$31,'Quick Setup'!$P40,if(GL13='Quick Setup'!$Q$31,'Quick Setup'!$Q40,if(GL13='Quick Setup'!$R$31,'Quick Setup'!$R40,if(GL13='Quick Setup'!$S$31,'Quick Setup'!$S40,if(GL13='Quick Setup'!$T$31,'Quick Setup'!$T40,if(GL13='Quick Setup'!$U$31,'Quick Setup'!$U40,if(GL13='Quick Setup'!$V$31,'Quick Setup'!$V40,'Quick Setup'!$W40))))))))))))))))))))</f>
        <v>3</v>
      </c>
      <c r="GN13" s="21">
        <f>if(GL13='Quick Setup'!$C$45,'Quick Setup'!$C54,if(GL13='Quick Setup'!$D$45,'Quick Setup'!$D54,if(GL13='Quick Setup'!$E$45,'Quick Setup'!$E54,if(GL13='Quick Setup'!$F$45,'Quick Setup'!$F54,if(GL13='Quick Setup'!$G$45,'Quick Setup'!$G54,if(GL13='Quick Setup'!$H$45,'Quick Setup'!$H54,if(GL13='Quick Setup'!$I$45,'Quick Setup'!$I54,if(GL13='Quick Setup'!$J$45,'Quick Setup'!$J54,if(GL13='Quick Setup'!$K$45,'Quick Setup'!$K54,if(GL13='Quick Setup'!$L$45,'Quick Setup'!$L54,if(GL13='Quick Setup'!$M$45,'Quick Setup'!$M54,if(GL13='Quick Setup'!$N$45,'Quick Setup'!$N54,if(GL13='Quick Setup'!$O$45,'Quick Setup'!$O54,if(GL13='Quick Setup'!$P$45,'Quick Setup'!$P54,if(GL13='Quick Setup'!$Q$45,'Quick Setup'!$Q54,if(GL13='Quick Setup'!$R$45,'Quick Setup'!$R54,if(GL13='Quick Setup'!$S$45,'Quick Setup'!$S54,if(GL13='Quick Setup'!$T$45,'Quick Setup'!$T54,if(GL13='Quick Setup'!$U$45,'Quick Setup'!$U54,if(GL13='Quick Setup'!$V$45,'Quick Setup'!$V54,'Quick Setup'!$W54))))))))))))))))))))</f>
        <v>2</v>
      </c>
      <c r="GO13" s="23">
        <f t="shared" ref="GO13:GW13" si="176">GC13</f>
        <v>5</v>
      </c>
      <c r="GP13" s="24">
        <f t="shared" si="176"/>
        <v>-0.05</v>
      </c>
      <c r="GQ13" s="24">
        <f t="shared" si="176"/>
        <v>-0.02</v>
      </c>
      <c r="GR13" s="24">
        <f t="shared" si="176"/>
        <v>0</v>
      </c>
      <c r="GS13" s="24">
        <f t="shared" si="176"/>
        <v>0.005</v>
      </c>
      <c r="GT13" s="24">
        <f t="shared" si="176"/>
        <v>0.01</v>
      </c>
      <c r="GU13" s="24">
        <f t="shared" si="176"/>
        <v>0.015</v>
      </c>
      <c r="GV13" s="24">
        <f t="shared" si="176"/>
        <v>0.02</v>
      </c>
      <c r="GW13" s="24">
        <f t="shared" si="176"/>
        <v>0.03</v>
      </c>
      <c r="GX13" s="20">
        <f>'Quick Setup'!T68</f>
        <v>0.75</v>
      </c>
      <c r="GY13" s="21">
        <f>if(GX13='Quick Setup'!$C$31,'Quick Setup'!$C40,if(GX13='Quick Setup'!$D$31,'Quick Setup'!$D40,if(GX13='Quick Setup'!$E$31,'Quick Setup'!$E40,if(GX13='Quick Setup'!$F$31,'Quick Setup'!$F40,if(GX13='Quick Setup'!$G$31,'Quick Setup'!$G40,if(GX13='Quick Setup'!$H$31,'Quick Setup'!$H40,if(GX13='Quick Setup'!$I$31,'Quick Setup'!$I40,if(GX13='Quick Setup'!$J$31,'Quick Setup'!$J40,if(GX13='Quick Setup'!$K$31,'Quick Setup'!$K40,if(GX13='Quick Setup'!$L$31,'Quick Setup'!$L40,if(GX13='Quick Setup'!$M$31,'Quick Setup'!$M40,if(GX13='Quick Setup'!$N$31,'Quick Setup'!$N40,if(GX13='Quick Setup'!$O$31,'Quick Setup'!$O40,if(GX13='Quick Setup'!$P$31,'Quick Setup'!$P40,if(GX13='Quick Setup'!$Q$31,'Quick Setup'!$Q40,if(GX13='Quick Setup'!$R$31,'Quick Setup'!$R40,if(GX13='Quick Setup'!$S$31,'Quick Setup'!$S40,if(GX13='Quick Setup'!$T$31,'Quick Setup'!$T40,if(GX13='Quick Setup'!$U$31,'Quick Setup'!$U40,if(GX13='Quick Setup'!$V$31,'Quick Setup'!$V40,'Quick Setup'!$W40))))))))))))))))))))</f>
        <v>4</v>
      </c>
      <c r="GZ13" s="21">
        <f>if(GX13='Quick Setup'!$C$45,'Quick Setup'!$C54,if(GX13='Quick Setup'!$D$45,'Quick Setup'!$D54,if(GX13='Quick Setup'!$E$45,'Quick Setup'!$E54,if(GX13='Quick Setup'!$F$45,'Quick Setup'!$F54,if(GX13='Quick Setup'!$G$45,'Quick Setup'!$G54,if(GX13='Quick Setup'!$H$45,'Quick Setup'!$H54,if(GX13='Quick Setup'!$I$45,'Quick Setup'!$I54,if(GX13='Quick Setup'!$J$45,'Quick Setup'!$J54,if(GX13='Quick Setup'!$K$45,'Quick Setup'!$K54,if(GX13='Quick Setup'!$L$45,'Quick Setup'!$L54,if(GX13='Quick Setup'!$M$45,'Quick Setup'!$M54,if(GX13='Quick Setup'!$N$45,'Quick Setup'!$N54,if(GX13='Quick Setup'!$O$45,'Quick Setup'!$O54,if(GX13='Quick Setup'!$P$45,'Quick Setup'!$P54,if(GX13='Quick Setup'!$Q$45,'Quick Setup'!$Q54,if(GX13='Quick Setup'!$R$45,'Quick Setup'!$R54,if(GX13='Quick Setup'!$S$45,'Quick Setup'!$S54,if(GX13='Quick Setup'!$T$45,'Quick Setup'!$T54,if(GX13='Quick Setup'!$U$45,'Quick Setup'!$U54,if(GX13='Quick Setup'!$V$45,'Quick Setup'!$V54,'Quick Setup'!$W54))))))))))))))))))))</f>
        <v>2</v>
      </c>
      <c r="HA13" s="23">
        <f t="shared" ref="HA13:HI13" si="177">GO13</f>
        <v>5</v>
      </c>
      <c r="HB13" s="24">
        <f t="shared" si="177"/>
        <v>-0.05</v>
      </c>
      <c r="HC13" s="24">
        <f t="shared" si="177"/>
        <v>-0.02</v>
      </c>
      <c r="HD13" s="24">
        <f t="shared" si="177"/>
        <v>0</v>
      </c>
      <c r="HE13" s="24">
        <f t="shared" si="177"/>
        <v>0.005</v>
      </c>
      <c r="HF13" s="24">
        <f t="shared" si="177"/>
        <v>0.01</v>
      </c>
      <c r="HG13" s="24">
        <f t="shared" si="177"/>
        <v>0.015</v>
      </c>
      <c r="HH13" s="24">
        <f t="shared" si="177"/>
        <v>0.02</v>
      </c>
      <c r="HI13" s="24">
        <f t="shared" si="177"/>
        <v>0.03</v>
      </c>
      <c r="HJ13" s="20">
        <f>'Quick Setup'!U68</f>
        <v>0.8</v>
      </c>
      <c r="HK13" s="21">
        <f>if(HJ13='Quick Setup'!$C$31,'Quick Setup'!$C40,if(HJ13='Quick Setup'!$D$31,'Quick Setup'!$D40,if(HJ13='Quick Setup'!$E$31,'Quick Setup'!$E40,if(HJ13='Quick Setup'!$F$31,'Quick Setup'!$F40,if(HJ13='Quick Setup'!$G$31,'Quick Setup'!$G40,if(HJ13='Quick Setup'!$H$31,'Quick Setup'!$H40,if(HJ13='Quick Setup'!$I$31,'Quick Setup'!$I40,if(HJ13='Quick Setup'!$J$31,'Quick Setup'!$J40,if(HJ13='Quick Setup'!$K$31,'Quick Setup'!$K40,if(HJ13='Quick Setup'!$L$31,'Quick Setup'!$L40,if(HJ13='Quick Setup'!$M$31,'Quick Setup'!$M40,if(HJ13='Quick Setup'!$N$31,'Quick Setup'!$N40,if(HJ13='Quick Setup'!$O$31,'Quick Setup'!$O40,if(HJ13='Quick Setup'!$P$31,'Quick Setup'!$P40,if(HJ13='Quick Setup'!$Q$31,'Quick Setup'!$Q40,if(HJ13='Quick Setup'!$R$31,'Quick Setup'!$R40,if(HJ13='Quick Setup'!$S$31,'Quick Setup'!$S40,if(HJ13='Quick Setup'!$T$31,'Quick Setup'!$T40,if(HJ13='Quick Setup'!$U$31,'Quick Setup'!$U40,if(HJ13='Quick Setup'!$V$31,'Quick Setup'!$V40,'Quick Setup'!$W40))))))))))))))))))))</f>
        <v>3</v>
      </c>
      <c r="HL13" s="21">
        <f>if(HJ13='Quick Setup'!$C$45,'Quick Setup'!$C54,if(HJ13='Quick Setup'!$D$45,'Quick Setup'!$D54,if(HJ13='Quick Setup'!$E$45,'Quick Setup'!$E54,if(HJ13='Quick Setup'!$F$45,'Quick Setup'!$F54,if(HJ13='Quick Setup'!$G$45,'Quick Setup'!$G54,if(HJ13='Quick Setup'!$H$45,'Quick Setup'!$H54,if(HJ13='Quick Setup'!$I$45,'Quick Setup'!$I54,if(HJ13='Quick Setup'!$J$45,'Quick Setup'!$J54,if(HJ13='Quick Setup'!$K$45,'Quick Setup'!$K54,if(HJ13='Quick Setup'!$L$45,'Quick Setup'!$L54,if(HJ13='Quick Setup'!$M$45,'Quick Setup'!$M54,if(HJ13='Quick Setup'!$N$45,'Quick Setup'!$N54,if(HJ13='Quick Setup'!$O$45,'Quick Setup'!$O54,if(HJ13='Quick Setup'!$P$45,'Quick Setup'!$P54,if(HJ13='Quick Setup'!$Q$45,'Quick Setup'!$Q54,if(HJ13='Quick Setup'!$R$45,'Quick Setup'!$R54,if(HJ13='Quick Setup'!$S$45,'Quick Setup'!$S54,if(HJ13='Quick Setup'!$T$45,'Quick Setup'!$T54,if(HJ13='Quick Setup'!$U$45,'Quick Setup'!$U54,if(HJ13='Quick Setup'!$V$45,'Quick Setup'!$V54,'Quick Setup'!$W54))))))))))))))))))))</f>
        <v>2</v>
      </c>
      <c r="HM13" s="23">
        <f t="shared" ref="HM13:HU13" si="178">HA13</f>
        <v>5</v>
      </c>
      <c r="HN13" s="24">
        <f t="shared" si="178"/>
        <v>-0.05</v>
      </c>
      <c r="HO13" s="24">
        <f t="shared" si="178"/>
        <v>-0.02</v>
      </c>
      <c r="HP13" s="24">
        <f t="shared" si="178"/>
        <v>0</v>
      </c>
      <c r="HQ13" s="24">
        <f t="shared" si="178"/>
        <v>0.005</v>
      </c>
      <c r="HR13" s="24">
        <f t="shared" si="178"/>
        <v>0.01</v>
      </c>
      <c r="HS13" s="24">
        <f t="shared" si="178"/>
        <v>0.015</v>
      </c>
      <c r="HT13" s="24">
        <f t="shared" si="178"/>
        <v>0.02</v>
      </c>
      <c r="HU13" s="24">
        <f t="shared" si="178"/>
        <v>0.03</v>
      </c>
      <c r="HV13" s="20">
        <f>'Quick Setup'!V68</f>
        <v>0.85</v>
      </c>
      <c r="HW13" s="21">
        <f>if(HV13='Quick Setup'!$C$31,'Quick Setup'!$C40,if(HV13='Quick Setup'!$D$31,'Quick Setup'!$D40,if(HV13='Quick Setup'!$E$31,'Quick Setup'!$E40,if(HV13='Quick Setup'!$F$31,'Quick Setup'!$F40,if(HV13='Quick Setup'!$G$31,'Quick Setup'!$G40,if(HV13='Quick Setup'!$H$31,'Quick Setup'!$H40,if(HV13='Quick Setup'!$I$31,'Quick Setup'!$I40,if(HV13='Quick Setup'!$J$31,'Quick Setup'!$J40,if(HV13='Quick Setup'!$K$31,'Quick Setup'!$K40,if(HV13='Quick Setup'!$L$31,'Quick Setup'!$L40,if(HV13='Quick Setup'!$M$31,'Quick Setup'!$M40,if(HV13='Quick Setup'!$N$31,'Quick Setup'!$N40,if(HV13='Quick Setup'!$O$31,'Quick Setup'!$O40,if(HV13='Quick Setup'!$P$31,'Quick Setup'!$P40,if(HV13='Quick Setup'!$Q$31,'Quick Setup'!$Q40,if(HV13='Quick Setup'!$R$31,'Quick Setup'!$R40,if(HV13='Quick Setup'!$S$31,'Quick Setup'!$S40,if(HV13='Quick Setup'!$T$31,'Quick Setup'!$T40,if(HV13='Quick Setup'!$U$31,'Quick Setup'!$U40,if(HV13='Quick Setup'!$V$31,'Quick Setup'!$V40,'Quick Setup'!$W40))))))))))))))))))))</f>
        <v>2</v>
      </c>
      <c r="HX13" s="21">
        <f>if(HV13='Quick Setup'!$C$45,'Quick Setup'!$C54,if(HV13='Quick Setup'!$D$45,'Quick Setup'!$D54,if(HV13='Quick Setup'!$E$45,'Quick Setup'!$E54,if(HV13='Quick Setup'!$F$45,'Quick Setup'!$F54,if(HV13='Quick Setup'!$G$45,'Quick Setup'!$G54,if(HV13='Quick Setup'!$H$45,'Quick Setup'!$H54,if(HV13='Quick Setup'!$I$45,'Quick Setup'!$I54,if(HV13='Quick Setup'!$J$45,'Quick Setup'!$J54,if(HV13='Quick Setup'!$K$45,'Quick Setup'!$K54,if(HV13='Quick Setup'!$L$45,'Quick Setup'!$L54,if(HV13='Quick Setup'!$M$45,'Quick Setup'!$M54,if(HV13='Quick Setup'!$N$45,'Quick Setup'!$N54,if(HV13='Quick Setup'!$O$45,'Quick Setup'!$O54,if(HV13='Quick Setup'!$P$45,'Quick Setup'!$P54,if(HV13='Quick Setup'!$Q$45,'Quick Setup'!$Q54,if(HV13='Quick Setup'!$R$45,'Quick Setup'!$R54,if(HV13='Quick Setup'!$S$45,'Quick Setup'!$S54,if(HV13='Quick Setup'!$T$45,'Quick Setup'!$T54,if(HV13='Quick Setup'!$U$45,'Quick Setup'!$U54,if(HV13='Quick Setup'!$V$45,'Quick Setup'!$V54,'Quick Setup'!$W54))))))))))))))))))))</f>
        <v>1</v>
      </c>
      <c r="HY13" s="23">
        <f t="shared" ref="HY13:IG13" si="179">HM13</f>
        <v>5</v>
      </c>
      <c r="HZ13" s="24">
        <f t="shared" si="179"/>
        <v>-0.05</v>
      </c>
      <c r="IA13" s="24">
        <f t="shared" si="179"/>
        <v>-0.02</v>
      </c>
      <c r="IB13" s="24">
        <f t="shared" si="179"/>
        <v>0</v>
      </c>
      <c r="IC13" s="24">
        <f t="shared" si="179"/>
        <v>0.005</v>
      </c>
      <c r="ID13" s="24">
        <f t="shared" si="179"/>
        <v>0.01</v>
      </c>
      <c r="IE13" s="24">
        <f t="shared" si="179"/>
        <v>0.015</v>
      </c>
      <c r="IF13" s="24">
        <f t="shared" si="179"/>
        <v>0.02</v>
      </c>
      <c r="IG13" s="24">
        <f t="shared" si="179"/>
        <v>0.03</v>
      </c>
      <c r="IH13" s="20">
        <f>'Quick Setup'!W68</f>
        <v>0.5</v>
      </c>
      <c r="II13" s="21">
        <f>if(IH13='Quick Setup'!$C$31,'Quick Setup'!$C40,if(IH13='Quick Setup'!$D$31,'Quick Setup'!$D40,if(IH13='Quick Setup'!$E$31,'Quick Setup'!$E40,if(IH13='Quick Setup'!$F$31,'Quick Setup'!$F40,if(IH13='Quick Setup'!$G$31,'Quick Setup'!$G40,if(IH13='Quick Setup'!$H$31,'Quick Setup'!$H40,if(IH13='Quick Setup'!$I$31,'Quick Setup'!$I40,if(IH13='Quick Setup'!$J$31,'Quick Setup'!$J40,if(IH13='Quick Setup'!$K$31,'Quick Setup'!$K40,if(IH13='Quick Setup'!$L$31,'Quick Setup'!$L40,if(IH13='Quick Setup'!$M$31,'Quick Setup'!$M40,if(IH13='Quick Setup'!$N$31,'Quick Setup'!$N40,if(IH13='Quick Setup'!$O$31,'Quick Setup'!$O40,if(IH13='Quick Setup'!$P$31,'Quick Setup'!$P40,if(IH13='Quick Setup'!$Q$31,'Quick Setup'!$Q40,if(IH13='Quick Setup'!$R$31,'Quick Setup'!$R40,if(IH13='Quick Setup'!$S$31,'Quick Setup'!$S40,if(IH13='Quick Setup'!$T$31,'Quick Setup'!$T40,if(IH13='Quick Setup'!$U$31,'Quick Setup'!$U40,if(IH13='Quick Setup'!$V$31,'Quick Setup'!$V40,'Quick Setup'!$W40))))))))))))))))))))</f>
        <v>8</v>
      </c>
      <c r="IJ13" s="21">
        <f>if(IH13='Quick Setup'!$C$45,'Quick Setup'!$C54,if(IH13='Quick Setup'!$D$45,'Quick Setup'!$D54,if(IH13='Quick Setup'!$E$45,'Quick Setup'!$E54,if(IH13='Quick Setup'!$F$45,'Quick Setup'!$F54,if(IH13='Quick Setup'!$G$45,'Quick Setup'!$G54,if(IH13='Quick Setup'!$H$45,'Quick Setup'!$H54,if(IH13='Quick Setup'!$I$45,'Quick Setup'!$I54,if(IH13='Quick Setup'!$J$45,'Quick Setup'!$J54,if(IH13='Quick Setup'!$K$45,'Quick Setup'!$K54,if(IH13='Quick Setup'!$L$45,'Quick Setup'!$L54,if(IH13='Quick Setup'!$M$45,'Quick Setup'!$M54,if(IH13='Quick Setup'!$N$45,'Quick Setup'!$N54,if(IH13='Quick Setup'!$O$45,'Quick Setup'!$O54,if(IH13='Quick Setup'!$P$45,'Quick Setup'!$P54,if(IH13='Quick Setup'!$Q$45,'Quick Setup'!$Q54,if(IH13='Quick Setup'!$R$45,'Quick Setup'!$R54,if(IH13='Quick Setup'!$S$45,'Quick Setup'!$S54,if(IH13='Quick Setup'!$T$45,'Quick Setup'!$T54,if(IH13='Quick Setup'!$U$45,'Quick Setup'!$U54,if(IH13='Quick Setup'!$V$45,'Quick Setup'!$V54,'Quick Setup'!$W54))))))))))))))))))))</f>
        <v>3</v>
      </c>
      <c r="IK13" s="23">
        <f t="shared" ref="IK13:IS13" si="180">HY13</f>
        <v>5</v>
      </c>
      <c r="IL13" s="24">
        <f t="shared" si="180"/>
        <v>-0.05</v>
      </c>
      <c r="IM13" s="24">
        <f t="shared" si="180"/>
        <v>-0.02</v>
      </c>
      <c r="IN13" s="24">
        <f t="shared" si="180"/>
        <v>0</v>
      </c>
      <c r="IO13" s="24">
        <f t="shared" si="180"/>
        <v>0.005</v>
      </c>
      <c r="IP13" s="24">
        <f t="shared" si="180"/>
        <v>0.01</v>
      </c>
      <c r="IQ13" s="24">
        <f t="shared" si="180"/>
        <v>0.015</v>
      </c>
      <c r="IR13" s="24">
        <f t="shared" si="180"/>
        <v>0.02</v>
      </c>
      <c r="IS13" s="24">
        <f t="shared" si="180"/>
        <v>0.03</v>
      </c>
    </row>
    <row r="14">
      <c r="A14" t="str">
        <f>'Quick Setup'!C16</f>
        <v>Push Press</v>
      </c>
      <c r="B14" s="20">
        <f>'Quick Setup'!C69</f>
        <v>0.6</v>
      </c>
      <c r="C14" s="21">
        <f>if(B14='Quick Setup'!$C$31,'Quick Setup'!$C41,if(B14='Quick Setup'!$D$31,'Quick Setup'!$D41,if(B14='Quick Setup'!$E$31,'Quick Setup'!$E41,if(B14='Quick Setup'!$F$31,'Quick Setup'!$F41,if(B14='Quick Setup'!$G$31,'Quick Setup'!$G41,if(B14='Quick Setup'!$H$31,'Quick Setup'!$H41,if(B14='Quick Setup'!$I$31,'Quick Setup'!$I41,if(B14='Quick Setup'!$J$31,'Quick Setup'!$J41,if(B14='Quick Setup'!$K$31,'Quick Setup'!$K41,if(B14='Quick Setup'!$L$31,'Quick Setup'!$L41,if(B14='Quick Setup'!$M$31,'Quick Setup'!$M41,if(B14='Quick Setup'!$N$31,'Quick Setup'!$N41,if(B14='Quick Setup'!$O$31,'Quick Setup'!$O41,if(B14='Quick Setup'!$P$31,'Quick Setup'!$P41,if(B14='Quick Setup'!$Q$31,'Quick Setup'!$Q41,if(B14='Quick Setup'!$R$31,'Quick Setup'!$R41,if(B14='Quick Setup'!$S$31,'Quick Setup'!$S41,if(B14='Quick Setup'!$T$31,'Quick Setup'!$T41,if(B14='Quick Setup'!$U$31,'Quick Setup'!$U41,if(B14='Quick Setup'!$V$31,'Quick Setup'!$V41,'Quick Setup'!$W41))))))))))))))))))))</f>
        <v>7</v>
      </c>
      <c r="D14" s="21">
        <f>if(B14='Quick Setup'!$C$45,'Quick Setup'!$C55,if(B14='Quick Setup'!$D$45,'Quick Setup'!$D55,if(B14='Quick Setup'!$E$45,'Quick Setup'!$E55,if(B14='Quick Setup'!$F$45,'Quick Setup'!$F55,if(B14='Quick Setup'!$G$45,'Quick Setup'!$G55,if(B14='Quick Setup'!$H$45,'Quick Setup'!$H55,if(B14='Quick Setup'!$I$45,'Quick Setup'!$I55,if(B14='Quick Setup'!$J$45,'Quick Setup'!$J55,if(B14='Quick Setup'!$K$45,'Quick Setup'!$K55,if(B14='Quick Setup'!$L$45,'Quick Setup'!$L55,if(B14='Quick Setup'!$M$45,'Quick Setup'!$M55,if(B14='Quick Setup'!$N$45,'Quick Setup'!$N55,if(B14='Quick Setup'!$O$45,'Quick Setup'!$O55,if(B14='Quick Setup'!$P$45,'Quick Setup'!$P55,if(B14='Quick Setup'!$Q$45,'Quick Setup'!$Q55,if(B14='Quick Setup'!$R$45,'Quick Setup'!$R55,if(B14='Quick Setup'!$S$45,'Quick Setup'!$S55,if(B14='Quick Setup'!$T$45,'Quick Setup'!$T55,if(B14='Quick Setup'!$U$45,'Quick Setup'!$U55,if(B14='Quick Setup'!$V$45,'Quick Setup'!$V55,'Quick Setup'!$W55))))))))))))))))))))</f>
        <v>3</v>
      </c>
      <c r="E14" s="21">
        <f>'Quick Setup'!H15</f>
        <v>5</v>
      </c>
      <c r="F14" s="22">
        <f>'Quick Setup'!I15</f>
        <v>-0.05</v>
      </c>
      <c r="G14" s="22">
        <f>'Quick Setup'!J15</f>
        <v>-0.02</v>
      </c>
      <c r="H14" s="22">
        <f>'Quick Setup'!K15</f>
        <v>0</v>
      </c>
      <c r="I14" s="22">
        <f>'Quick Setup'!L15</f>
        <v>0.005</v>
      </c>
      <c r="J14" s="22">
        <f>'Quick Setup'!M15</f>
        <v>0.01</v>
      </c>
      <c r="K14" s="22">
        <f>'Quick Setup'!N15</f>
        <v>0.015</v>
      </c>
      <c r="L14" s="22">
        <f>'Quick Setup'!O15</f>
        <v>0.02</v>
      </c>
      <c r="M14" s="22">
        <f>'Quick Setup'!P15</f>
        <v>0.03</v>
      </c>
      <c r="N14" s="20">
        <f>'Quick Setup'!D69</f>
        <v>0.65</v>
      </c>
      <c r="O14" s="21">
        <f>if(N14='Quick Setup'!$C$31,'Quick Setup'!$C41,if(N14='Quick Setup'!$D$31,'Quick Setup'!$D41,if(N14='Quick Setup'!$E$31,'Quick Setup'!$E41,if(N14='Quick Setup'!$F$31,'Quick Setup'!$F41,if(N14='Quick Setup'!$G$31,'Quick Setup'!$G41,if(N14='Quick Setup'!$H$31,'Quick Setup'!$H41,if(N14='Quick Setup'!$I$31,'Quick Setup'!$I41,if(N14='Quick Setup'!$J$31,'Quick Setup'!$J41,if(N14='Quick Setup'!$K$31,'Quick Setup'!$K41,if(N14='Quick Setup'!$L$31,'Quick Setup'!$L41,if(N14='Quick Setup'!$M$31,'Quick Setup'!$M41,if(N14='Quick Setup'!$N$31,'Quick Setup'!$N41,if(N14='Quick Setup'!$O$31,'Quick Setup'!$O41,if(N14='Quick Setup'!$P$31,'Quick Setup'!$P41,if(N14='Quick Setup'!$Q$31,'Quick Setup'!$Q41,if(N14='Quick Setup'!$R$31,'Quick Setup'!$R41,if(N14='Quick Setup'!$S$31,'Quick Setup'!$S41,if(N14='Quick Setup'!$T$31,'Quick Setup'!$T41,if(N14='Quick Setup'!$U$31,'Quick Setup'!$U41,if(N14='Quick Setup'!$V$31,'Quick Setup'!$V41,'Quick Setup'!$W41))))))))))))))))))))</f>
        <v>6</v>
      </c>
      <c r="P14" s="21">
        <f>if(N14='Quick Setup'!$C$45,'Quick Setup'!$C55,if(N14='Quick Setup'!$D$45,'Quick Setup'!$D55,if(N14='Quick Setup'!$E$45,'Quick Setup'!$E55,if(N14='Quick Setup'!$F$45,'Quick Setup'!$F55,if(N14='Quick Setup'!$G$45,'Quick Setup'!$G55,if(N14='Quick Setup'!$H$45,'Quick Setup'!$H55,if(N14='Quick Setup'!$I$45,'Quick Setup'!$I55,if(N14='Quick Setup'!$J$45,'Quick Setup'!$J55,if(N14='Quick Setup'!$K$45,'Quick Setup'!$K55,if(N14='Quick Setup'!$L$45,'Quick Setup'!$L55,if(N14='Quick Setup'!$M$45,'Quick Setup'!$M55,if(N14='Quick Setup'!$N$45,'Quick Setup'!$N55,if(N14='Quick Setup'!$O$45,'Quick Setup'!$O55,if(N14='Quick Setup'!$P$45,'Quick Setup'!$P55,if(N14='Quick Setup'!$Q$45,'Quick Setup'!$Q55,if(N14='Quick Setup'!$R$45,'Quick Setup'!$R55,if(N14='Quick Setup'!$S$45,'Quick Setup'!$S55,if(N14='Quick Setup'!$T$45,'Quick Setup'!$T55,if(N14='Quick Setup'!$U$45,'Quick Setup'!$U55,if(N14='Quick Setup'!$V$45,'Quick Setup'!$V55,'Quick Setup'!$W55))))))))))))))))))))</f>
        <v>3</v>
      </c>
      <c r="Q14" s="21">
        <f t="shared" ref="Q14:Y14" si="181">E14</f>
        <v>5</v>
      </c>
      <c r="R14" s="22">
        <f t="shared" si="181"/>
        <v>-0.05</v>
      </c>
      <c r="S14" s="22">
        <f t="shared" si="181"/>
        <v>-0.02</v>
      </c>
      <c r="T14" s="22">
        <f t="shared" si="181"/>
        <v>0</v>
      </c>
      <c r="U14" s="22">
        <f t="shared" si="181"/>
        <v>0.005</v>
      </c>
      <c r="V14" s="22">
        <f t="shared" si="181"/>
        <v>0.01</v>
      </c>
      <c r="W14" s="22">
        <f t="shared" si="181"/>
        <v>0.015</v>
      </c>
      <c r="X14" s="22">
        <f t="shared" si="181"/>
        <v>0.02</v>
      </c>
      <c r="Y14" s="22">
        <f t="shared" si="181"/>
        <v>0.03</v>
      </c>
      <c r="Z14" s="20">
        <f>'Quick Setup'!E69</f>
        <v>0.7</v>
      </c>
      <c r="AA14" s="21">
        <f>if(Z14='Quick Setup'!$C$31,'Quick Setup'!$C41,if(Z14='Quick Setup'!$D$31,'Quick Setup'!$D41,if(Z14='Quick Setup'!$E$31,'Quick Setup'!$E41,if(Z14='Quick Setup'!$F$31,'Quick Setup'!$F41,if(Z14='Quick Setup'!$G$31,'Quick Setup'!$G41,if(Z14='Quick Setup'!$H$31,'Quick Setup'!$H41,if(Z14='Quick Setup'!$I$31,'Quick Setup'!$I41,if(Z14='Quick Setup'!$J$31,'Quick Setup'!$J41,if(Z14='Quick Setup'!$K$31,'Quick Setup'!$K41,if(Z14='Quick Setup'!$L$31,'Quick Setup'!$L41,if(Z14='Quick Setup'!$M$31,'Quick Setup'!$M41,if(Z14='Quick Setup'!$N$31,'Quick Setup'!$N41,if(Z14='Quick Setup'!$O$31,'Quick Setup'!$O41,if(Z14='Quick Setup'!$P$31,'Quick Setup'!$P41,if(Z14='Quick Setup'!$Q$31,'Quick Setup'!$Q41,if(Z14='Quick Setup'!$R$31,'Quick Setup'!$R41,if(Z14='Quick Setup'!$S$31,'Quick Setup'!$S41,if(Z14='Quick Setup'!$T$31,'Quick Setup'!$T41,if(Z14='Quick Setup'!$U$31,'Quick Setup'!$U41,if(Z14='Quick Setup'!$V$31,'Quick Setup'!$V41,'Quick Setup'!$W41))))))))))))))))))))</f>
        <v>5</v>
      </c>
      <c r="AB14" s="21">
        <f>if(Z14='Quick Setup'!$C$45,'Quick Setup'!$C55,if(Z14='Quick Setup'!$D$45,'Quick Setup'!$D55,if(Z14='Quick Setup'!$E$45,'Quick Setup'!$E55,if(Z14='Quick Setup'!$F$45,'Quick Setup'!$F55,if(Z14='Quick Setup'!$G$45,'Quick Setup'!$G55,if(Z14='Quick Setup'!$H$45,'Quick Setup'!$H55,if(Z14='Quick Setup'!$I$45,'Quick Setup'!$I55,if(Z14='Quick Setup'!$J$45,'Quick Setup'!$J55,if(Z14='Quick Setup'!$K$45,'Quick Setup'!$K55,if(Z14='Quick Setup'!$L$45,'Quick Setup'!$L55,if(Z14='Quick Setup'!$M$45,'Quick Setup'!$M55,if(Z14='Quick Setup'!$N$45,'Quick Setup'!$N55,if(Z14='Quick Setup'!$O$45,'Quick Setup'!$O55,if(Z14='Quick Setup'!$P$45,'Quick Setup'!$P55,if(Z14='Quick Setup'!$Q$45,'Quick Setup'!$Q55,if(Z14='Quick Setup'!$R$45,'Quick Setup'!$R55,if(Z14='Quick Setup'!$S$45,'Quick Setup'!$S55,if(Z14='Quick Setup'!$T$45,'Quick Setup'!$T55,if(Z14='Quick Setup'!$U$45,'Quick Setup'!$U55,if(Z14='Quick Setup'!$V$45,'Quick Setup'!$V55,'Quick Setup'!$W55))))))))))))))))))))</f>
        <v>3</v>
      </c>
      <c r="AC14" s="21">
        <f t="shared" ref="AC14:AK14" si="182">Q14</f>
        <v>5</v>
      </c>
      <c r="AD14" s="22">
        <f t="shared" si="182"/>
        <v>-0.05</v>
      </c>
      <c r="AE14" s="22">
        <f t="shared" si="182"/>
        <v>-0.02</v>
      </c>
      <c r="AF14" s="22">
        <f t="shared" si="182"/>
        <v>0</v>
      </c>
      <c r="AG14" s="22">
        <f t="shared" si="182"/>
        <v>0.005</v>
      </c>
      <c r="AH14" s="22">
        <f t="shared" si="182"/>
        <v>0.01</v>
      </c>
      <c r="AI14" s="22">
        <f t="shared" si="182"/>
        <v>0.015</v>
      </c>
      <c r="AJ14" s="22">
        <f t="shared" si="182"/>
        <v>0.02</v>
      </c>
      <c r="AK14" s="22">
        <f t="shared" si="182"/>
        <v>0.03</v>
      </c>
      <c r="AL14" s="20">
        <f>'Quick Setup'!F69</f>
        <v>0.625</v>
      </c>
      <c r="AM14" s="21">
        <f>if(AL14='Quick Setup'!$C$31,'Quick Setup'!$C41,if(AL14='Quick Setup'!$D$31,'Quick Setup'!$D41,if(AL14='Quick Setup'!$E$31,'Quick Setup'!$E41,if(AL14='Quick Setup'!$F$31,'Quick Setup'!$F41,if(AL14='Quick Setup'!$G$31,'Quick Setup'!$G41,if(AL14='Quick Setup'!$H$31,'Quick Setup'!$H41,if(AL14='Quick Setup'!$I$31,'Quick Setup'!$I41,if(AL14='Quick Setup'!$J$31,'Quick Setup'!$J41,if(AL14='Quick Setup'!$K$31,'Quick Setup'!$K41,if(AL14='Quick Setup'!$L$31,'Quick Setup'!$L41,if(AL14='Quick Setup'!$M$31,'Quick Setup'!$M41,if(AL14='Quick Setup'!$N$31,'Quick Setup'!$N41,if(AL14='Quick Setup'!$O$31,'Quick Setup'!$O41,if(AL14='Quick Setup'!$P$31,'Quick Setup'!$P41,if(AL14='Quick Setup'!$Q$31,'Quick Setup'!$Q41,if(AL14='Quick Setup'!$R$31,'Quick Setup'!$R41,if(AL14='Quick Setup'!$S$31,'Quick Setup'!$S41,if(AL14='Quick Setup'!$T$31,'Quick Setup'!$T41,if(AL14='Quick Setup'!$U$31,'Quick Setup'!$U41,if(AL14='Quick Setup'!$V$31,'Quick Setup'!$V41,'Quick Setup'!$W41))))))))))))))))))))</f>
        <v>7</v>
      </c>
      <c r="AN14" s="21">
        <f>if(AL14='Quick Setup'!$C$45,'Quick Setup'!$C55,if(AL14='Quick Setup'!$D$45,'Quick Setup'!$D55,if(AL14='Quick Setup'!$E$45,'Quick Setup'!$E55,if(AL14='Quick Setup'!$F$45,'Quick Setup'!$F55,if(AL14='Quick Setup'!$G$45,'Quick Setup'!$G55,if(AL14='Quick Setup'!$H$45,'Quick Setup'!$H55,if(AL14='Quick Setup'!$I$45,'Quick Setup'!$I55,if(AL14='Quick Setup'!$J$45,'Quick Setup'!$J55,if(AL14='Quick Setup'!$K$45,'Quick Setup'!$K55,if(AL14='Quick Setup'!$L$45,'Quick Setup'!$L55,if(AL14='Quick Setup'!$M$45,'Quick Setup'!$M55,if(AL14='Quick Setup'!$N$45,'Quick Setup'!$N55,if(AL14='Quick Setup'!$O$45,'Quick Setup'!$O55,if(AL14='Quick Setup'!$P$45,'Quick Setup'!$P55,if(AL14='Quick Setup'!$Q$45,'Quick Setup'!$Q55,if(AL14='Quick Setup'!$R$45,'Quick Setup'!$R55,if(AL14='Quick Setup'!$S$45,'Quick Setup'!$S55,if(AL14='Quick Setup'!$T$45,'Quick Setup'!$T55,if(AL14='Quick Setup'!$U$45,'Quick Setup'!$U55,if(AL14='Quick Setup'!$V$45,'Quick Setup'!$V55,'Quick Setup'!$W55))))))))))))))))))))</f>
        <v>3</v>
      </c>
      <c r="AO14" s="21">
        <f t="shared" ref="AO14:AW14" si="183">AC14</f>
        <v>5</v>
      </c>
      <c r="AP14" s="22">
        <f t="shared" si="183"/>
        <v>-0.05</v>
      </c>
      <c r="AQ14" s="22">
        <f t="shared" si="183"/>
        <v>-0.02</v>
      </c>
      <c r="AR14" s="22">
        <f t="shared" si="183"/>
        <v>0</v>
      </c>
      <c r="AS14" s="22">
        <f t="shared" si="183"/>
        <v>0.005</v>
      </c>
      <c r="AT14" s="22">
        <f t="shared" si="183"/>
        <v>0.01</v>
      </c>
      <c r="AU14" s="22">
        <f t="shared" si="183"/>
        <v>0.015</v>
      </c>
      <c r="AV14" s="22">
        <f t="shared" si="183"/>
        <v>0.02</v>
      </c>
      <c r="AW14" s="22">
        <f t="shared" si="183"/>
        <v>0.03</v>
      </c>
      <c r="AX14" s="20">
        <f>'Quick Setup'!G69</f>
        <v>0.675</v>
      </c>
      <c r="AY14" s="21">
        <f>if(AX14='Quick Setup'!$C$31,'Quick Setup'!$C41,if(AX14='Quick Setup'!$D$31,'Quick Setup'!$D41,if(AX14='Quick Setup'!$E$31,'Quick Setup'!$E41,if(AX14='Quick Setup'!$F$31,'Quick Setup'!$F41,if(AX14='Quick Setup'!$G$31,'Quick Setup'!$G41,if(AX14='Quick Setup'!$H$31,'Quick Setup'!$H41,if(AX14='Quick Setup'!$I$31,'Quick Setup'!$I41,if(AX14='Quick Setup'!$J$31,'Quick Setup'!$J41,if(AX14='Quick Setup'!$K$31,'Quick Setup'!$K41,if(AX14='Quick Setup'!$L$31,'Quick Setup'!$L41,if(AX14='Quick Setup'!$M$31,'Quick Setup'!$M41,if(AX14='Quick Setup'!$N$31,'Quick Setup'!$N41,if(AX14='Quick Setup'!$O$31,'Quick Setup'!$O41,if(AX14='Quick Setup'!$P$31,'Quick Setup'!$P41,if(AX14='Quick Setup'!$Q$31,'Quick Setup'!$Q41,if(AX14='Quick Setup'!$R$31,'Quick Setup'!$R41,if(AX14='Quick Setup'!$S$31,'Quick Setup'!$S41,if(AX14='Quick Setup'!$T$31,'Quick Setup'!$T41,if(AX14='Quick Setup'!$U$31,'Quick Setup'!$U41,if(AX14='Quick Setup'!$V$31,'Quick Setup'!$V41,'Quick Setup'!$W41))))))))))))))))))))</f>
        <v>6</v>
      </c>
      <c r="AZ14" s="21">
        <f>if(AX14='Quick Setup'!$C$45,'Quick Setup'!$C55,if(AX14='Quick Setup'!$D$45,'Quick Setup'!$D55,if(AX14='Quick Setup'!$E$45,'Quick Setup'!$E55,if(AX14='Quick Setup'!$F$45,'Quick Setup'!$F55,if(AX14='Quick Setup'!$G$45,'Quick Setup'!$G55,if(AX14='Quick Setup'!$H$45,'Quick Setup'!$H55,if(AX14='Quick Setup'!$I$45,'Quick Setup'!$I55,if(AX14='Quick Setup'!$J$45,'Quick Setup'!$J55,if(AX14='Quick Setup'!$K$45,'Quick Setup'!$K55,if(AX14='Quick Setup'!$L$45,'Quick Setup'!$L55,if(AX14='Quick Setup'!$M$45,'Quick Setup'!$M55,if(AX14='Quick Setup'!$N$45,'Quick Setup'!$N55,if(AX14='Quick Setup'!$O$45,'Quick Setup'!$O55,if(AX14='Quick Setup'!$P$45,'Quick Setup'!$P55,if(AX14='Quick Setup'!$Q$45,'Quick Setup'!$Q55,if(AX14='Quick Setup'!$R$45,'Quick Setup'!$R55,if(AX14='Quick Setup'!$S$45,'Quick Setup'!$S55,if(AX14='Quick Setup'!$T$45,'Quick Setup'!$T55,if(AX14='Quick Setup'!$U$45,'Quick Setup'!$U55,if(AX14='Quick Setup'!$V$45,'Quick Setup'!$V55,'Quick Setup'!$W55))))))))))))))))))))</f>
        <v>3</v>
      </c>
      <c r="BA14" s="21">
        <f t="shared" ref="BA14:BI14" si="184">AO14</f>
        <v>5</v>
      </c>
      <c r="BB14" s="22">
        <f t="shared" si="184"/>
        <v>-0.05</v>
      </c>
      <c r="BC14" s="22">
        <f t="shared" si="184"/>
        <v>-0.02</v>
      </c>
      <c r="BD14" s="22">
        <f t="shared" si="184"/>
        <v>0</v>
      </c>
      <c r="BE14" s="22">
        <f t="shared" si="184"/>
        <v>0.005</v>
      </c>
      <c r="BF14" s="22">
        <f t="shared" si="184"/>
        <v>0.01</v>
      </c>
      <c r="BG14" s="22">
        <f t="shared" si="184"/>
        <v>0.015</v>
      </c>
      <c r="BH14" s="22">
        <f t="shared" si="184"/>
        <v>0.02</v>
      </c>
      <c r="BI14" s="22">
        <f t="shared" si="184"/>
        <v>0.03</v>
      </c>
      <c r="BJ14" s="20">
        <f>'Quick Setup'!H69</f>
        <v>0.725</v>
      </c>
      <c r="BK14" s="21">
        <f>if(BJ14='Quick Setup'!$C$31,'Quick Setup'!$C41,if(BJ14='Quick Setup'!$D$31,'Quick Setup'!$D41,if(BJ14='Quick Setup'!$E$31,'Quick Setup'!$E41,if(BJ14='Quick Setup'!$F$31,'Quick Setup'!$F41,if(BJ14='Quick Setup'!$G$31,'Quick Setup'!$G41,if(BJ14='Quick Setup'!$H$31,'Quick Setup'!$H41,if(BJ14='Quick Setup'!$I$31,'Quick Setup'!$I41,if(BJ14='Quick Setup'!$J$31,'Quick Setup'!$J41,if(BJ14='Quick Setup'!$K$31,'Quick Setup'!$K41,if(BJ14='Quick Setup'!$L$31,'Quick Setup'!$L41,if(BJ14='Quick Setup'!$M$31,'Quick Setup'!$M41,if(BJ14='Quick Setup'!$N$31,'Quick Setup'!$N41,if(BJ14='Quick Setup'!$O$31,'Quick Setup'!$O41,if(BJ14='Quick Setup'!$P$31,'Quick Setup'!$P41,if(BJ14='Quick Setup'!$Q$31,'Quick Setup'!$Q41,if(BJ14='Quick Setup'!$R$31,'Quick Setup'!$R41,if(BJ14='Quick Setup'!$S$31,'Quick Setup'!$S41,if(BJ14='Quick Setup'!$T$31,'Quick Setup'!$T41,if(BJ14='Quick Setup'!$U$31,'Quick Setup'!$U41,if(BJ14='Quick Setup'!$V$31,'Quick Setup'!$V41,'Quick Setup'!$W41))))))))))))))))))))</f>
        <v>5</v>
      </c>
      <c r="BL14" s="21">
        <f>if(BJ14='Quick Setup'!$C$45,'Quick Setup'!$C55,if(BJ14='Quick Setup'!$D$45,'Quick Setup'!$D55,if(BJ14='Quick Setup'!$E$45,'Quick Setup'!$E55,if(BJ14='Quick Setup'!$F$45,'Quick Setup'!$F55,if(BJ14='Quick Setup'!$G$45,'Quick Setup'!$G55,if(BJ14='Quick Setup'!$H$45,'Quick Setup'!$H55,if(BJ14='Quick Setup'!$I$45,'Quick Setup'!$I55,if(BJ14='Quick Setup'!$J$45,'Quick Setup'!$J55,if(BJ14='Quick Setup'!$K$45,'Quick Setup'!$K55,if(BJ14='Quick Setup'!$L$45,'Quick Setup'!$L55,if(BJ14='Quick Setup'!$M$45,'Quick Setup'!$M55,if(BJ14='Quick Setup'!$N$45,'Quick Setup'!$N55,if(BJ14='Quick Setup'!$O$45,'Quick Setup'!$O55,if(BJ14='Quick Setup'!$P$45,'Quick Setup'!$P55,if(BJ14='Quick Setup'!$Q$45,'Quick Setup'!$Q55,if(BJ14='Quick Setup'!$R$45,'Quick Setup'!$R55,if(BJ14='Quick Setup'!$S$45,'Quick Setup'!$S55,if(BJ14='Quick Setup'!$T$45,'Quick Setup'!$T55,if(BJ14='Quick Setup'!$U$45,'Quick Setup'!$U55,if(BJ14='Quick Setup'!$V$45,'Quick Setup'!$V55,'Quick Setup'!$W55))))))))))))))))))))</f>
        <v>3</v>
      </c>
      <c r="BM14" s="23">
        <f t="shared" ref="BM14:BU14" si="185">BA14</f>
        <v>5</v>
      </c>
      <c r="BN14" s="24">
        <f t="shared" si="185"/>
        <v>-0.05</v>
      </c>
      <c r="BO14" s="24">
        <f t="shared" si="185"/>
        <v>-0.02</v>
      </c>
      <c r="BP14" s="24">
        <f t="shared" si="185"/>
        <v>0</v>
      </c>
      <c r="BQ14" s="24">
        <f t="shared" si="185"/>
        <v>0.005</v>
      </c>
      <c r="BR14" s="24">
        <f t="shared" si="185"/>
        <v>0.01</v>
      </c>
      <c r="BS14" s="24">
        <f t="shared" si="185"/>
        <v>0.015</v>
      </c>
      <c r="BT14" s="24">
        <f t="shared" si="185"/>
        <v>0.02</v>
      </c>
      <c r="BU14" s="24">
        <f t="shared" si="185"/>
        <v>0.03</v>
      </c>
      <c r="BV14" s="20">
        <f>'Quick Setup'!I69</f>
        <v>0.5</v>
      </c>
      <c r="BW14" s="21">
        <f>if(BV14='Quick Setup'!$C$31,'Quick Setup'!$C41,if(BV14='Quick Setup'!$D$31,'Quick Setup'!$D41,if(BV14='Quick Setup'!$E$31,'Quick Setup'!$E41,if(BV14='Quick Setup'!$F$31,'Quick Setup'!$F41,if(BV14='Quick Setup'!$G$31,'Quick Setup'!$G41,if(BV14='Quick Setup'!$H$31,'Quick Setup'!$H41,if(BV14='Quick Setup'!$I$31,'Quick Setup'!$I41,if(BV14='Quick Setup'!$J$31,'Quick Setup'!$J41,if(BV14='Quick Setup'!$K$31,'Quick Setup'!$K41,if(BV14='Quick Setup'!$L$31,'Quick Setup'!$L41,if(BV14='Quick Setup'!$M$31,'Quick Setup'!$M41,if(BV14='Quick Setup'!$N$31,'Quick Setup'!$N41,if(BV14='Quick Setup'!$O$31,'Quick Setup'!$O41,if(BV14='Quick Setup'!$P$31,'Quick Setup'!$P41,if(BV14='Quick Setup'!$Q$31,'Quick Setup'!$Q41,if(BV14='Quick Setup'!$R$31,'Quick Setup'!$R41,if(BV14='Quick Setup'!$S$31,'Quick Setup'!$S41,if(BV14='Quick Setup'!$T$31,'Quick Setup'!$T41,if(BV14='Quick Setup'!$U$31,'Quick Setup'!$U41,if(BV14='Quick Setup'!$V$31,'Quick Setup'!$V41,'Quick Setup'!$W41))))))))))))))))))))</f>
        <v>8</v>
      </c>
      <c r="BX14" s="21">
        <f>if(BV14='Quick Setup'!$C$45,'Quick Setup'!$C55,if(BV14='Quick Setup'!$D$45,'Quick Setup'!$D55,if(BV14='Quick Setup'!$E$45,'Quick Setup'!$E55,if(BV14='Quick Setup'!$F$45,'Quick Setup'!$F55,if(BV14='Quick Setup'!$G$45,'Quick Setup'!$G55,if(BV14='Quick Setup'!$H$45,'Quick Setup'!$H55,if(BV14='Quick Setup'!$I$45,'Quick Setup'!$I55,if(BV14='Quick Setup'!$J$45,'Quick Setup'!$J55,if(BV14='Quick Setup'!$K$45,'Quick Setup'!$K55,if(BV14='Quick Setup'!$L$45,'Quick Setup'!$L55,if(BV14='Quick Setup'!$M$45,'Quick Setup'!$M55,if(BV14='Quick Setup'!$N$45,'Quick Setup'!$N55,if(BV14='Quick Setup'!$O$45,'Quick Setup'!$O55,if(BV14='Quick Setup'!$P$45,'Quick Setup'!$P55,if(BV14='Quick Setup'!$Q$45,'Quick Setup'!$Q55,if(BV14='Quick Setup'!$R$45,'Quick Setup'!$R55,if(BV14='Quick Setup'!$S$45,'Quick Setup'!$S55,if(BV14='Quick Setup'!$T$45,'Quick Setup'!$T55,if(BV14='Quick Setup'!$U$45,'Quick Setup'!$U55,if(BV14='Quick Setup'!$V$45,'Quick Setup'!$V55,'Quick Setup'!$W55))))))))))))))))))))</f>
        <v>3</v>
      </c>
      <c r="BY14" s="23">
        <f t="shared" ref="BY14:CG14" si="186">BM14</f>
        <v>5</v>
      </c>
      <c r="BZ14" s="24">
        <f t="shared" si="186"/>
        <v>-0.05</v>
      </c>
      <c r="CA14" s="24">
        <f t="shared" si="186"/>
        <v>-0.02</v>
      </c>
      <c r="CB14" s="24">
        <f t="shared" si="186"/>
        <v>0</v>
      </c>
      <c r="CC14" s="24">
        <f t="shared" si="186"/>
        <v>0.005</v>
      </c>
      <c r="CD14" s="24">
        <f t="shared" si="186"/>
        <v>0.01</v>
      </c>
      <c r="CE14" s="24">
        <f t="shared" si="186"/>
        <v>0.015</v>
      </c>
      <c r="CF14" s="24">
        <f t="shared" si="186"/>
        <v>0.02</v>
      </c>
      <c r="CG14" s="24">
        <f t="shared" si="186"/>
        <v>0.03</v>
      </c>
      <c r="CH14" s="20">
        <f>'Quick Setup'!J69</f>
        <v>0.65</v>
      </c>
      <c r="CI14" s="21">
        <f>if(CH14='Quick Setup'!$C$31,'Quick Setup'!$C41,if(CH14='Quick Setup'!$D$31,'Quick Setup'!$D41,if(CH14='Quick Setup'!$E$31,'Quick Setup'!$E41,if(CH14='Quick Setup'!$F$31,'Quick Setup'!$F41,if(CH14='Quick Setup'!$G$31,'Quick Setup'!$G41,if(CH14='Quick Setup'!$H$31,'Quick Setup'!$H41,if(CH14='Quick Setup'!$I$31,'Quick Setup'!$I41,if(CH14='Quick Setup'!$J$31,'Quick Setup'!$J41,if(CH14='Quick Setup'!$K$31,'Quick Setup'!$K41,if(CH14='Quick Setup'!$L$31,'Quick Setup'!$L41,if(CH14='Quick Setup'!$M$31,'Quick Setup'!$M41,if(CH14='Quick Setup'!$N$31,'Quick Setup'!$N41,if(CH14='Quick Setup'!$O$31,'Quick Setup'!$O41,if(CH14='Quick Setup'!$P$31,'Quick Setup'!$P41,if(CH14='Quick Setup'!$Q$31,'Quick Setup'!$Q41,if(CH14='Quick Setup'!$R$31,'Quick Setup'!$R41,if(CH14='Quick Setup'!$S$31,'Quick Setup'!$S41,if(CH14='Quick Setup'!$T$31,'Quick Setup'!$T41,if(CH14='Quick Setup'!$U$31,'Quick Setup'!$U41,if(CH14='Quick Setup'!$V$31,'Quick Setup'!$V41,'Quick Setup'!$W41))))))))))))))))))))</f>
        <v>6</v>
      </c>
      <c r="CJ14" s="21">
        <f>if(CH14='Quick Setup'!$C$45,'Quick Setup'!$C55,if(CH14='Quick Setup'!$D$45,'Quick Setup'!$D55,if(CH14='Quick Setup'!$E$45,'Quick Setup'!$E55,if(CH14='Quick Setup'!$F$45,'Quick Setup'!$F55,if(CH14='Quick Setup'!$G$45,'Quick Setup'!$G55,if(CH14='Quick Setup'!$H$45,'Quick Setup'!$H55,if(CH14='Quick Setup'!$I$45,'Quick Setup'!$I55,if(CH14='Quick Setup'!$J$45,'Quick Setup'!$J55,if(CH14='Quick Setup'!$K$45,'Quick Setup'!$K55,if(CH14='Quick Setup'!$L$45,'Quick Setup'!$L55,if(CH14='Quick Setup'!$M$45,'Quick Setup'!$M55,if(CH14='Quick Setup'!$N$45,'Quick Setup'!$N55,if(CH14='Quick Setup'!$O$45,'Quick Setup'!$O55,if(CH14='Quick Setup'!$P$45,'Quick Setup'!$P55,if(CH14='Quick Setup'!$Q$45,'Quick Setup'!$Q55,if(CH14='Quick Setup'!$R$45,'Quick Setup'!$R55,if(CH14='Quick Setup'!$S$45,'Quick Setup'!$S55,if(CH14='Quick Setup'!$T$45,'Quick Setup'!$T55,if(CH14='Quick Setup'!$U$45,'Quick Setup'!$U55,if(CH14='Quick Setup'!$V$45,'Quick Setup'!$V55,'Quick Setup'!$W55))))))))))))))))))))</f>
        <v>3</v>
      </c>
      <c r="CK14" s="23">
        <f t="shared" ref="CK14:CS14" si="187">BY14</f>
        <v>5</v>
      </c>
      <c r="CL14" s="24">
        <f t="shared" si="187"/>
        <v>-0.05</v>
      </c>
      <c r="CM14" s="24">
        <f t="shared" si="187"/>
        <v>-0.02</v>
      </c>
      <c r="CN14" s="24">
        <f t="shared" si="187"/>
        <v>0</v>
      </c>
      <c r="CO14" s="24">
        <f t="shared" si="187"/>
        <v>0.005</v>
      </c>
      <c r="CP14" s="24">
        <f t="shared" si="187"/>
        <v>0.01</v>
      </c>
      <c r="CQ14" s="24">
        <f t="shared" si="187"/>
        <v>0.015</v>
      </c>
      <c r="CR14" s="24">
        <f t="shared" si="187"/>
        <v>0.02</v>
      </c>
      <c r="CS14" s="24">
        <f t="shared" si="187"/>
        <v>0.03</v>
      </c>
      <c r="CT14" s="20">
        <f>'Quick Setup'!K69</f>
        <v>0.7</v>
      </c>
      <c r="CU14" s="21">
        <f>if(CT14='Quick Setup'!$C$31,'Quick Setup'!$C41,if(CT14='Quick Setup'!$D$31,'Quick Setup'!$D41,if(CT14='Quick Setup'!$E$31,'Quick Setup'!$E41,if(CT14='Quick Setup'!$F$31,'Quick Setup'!$F41,if(CT14='Quick Setup'!$G$31,'Quick Setup'!$G41,if(CT14='Quick Setup'!$H$31,'Quick Setup'!$H41,if(CT14='Quick Setup'!$I$31,'Quick Setup'!$I41,if(CT14='Quick Setup'!$J$31,'Quick Setup'!$J41,if(CT14='Quick Setup'!$K$31,'Quick Setup'!$K41,if(CT14='Quick Setup'!$L$31,'Quick Setup'!$L41,if(CT14='Quick Setup'!$M$31,'Quick Setup'!$M41,if(CT14='Quick Setup'!$N$31,'Quick Setup'!$N41,if(CT14='Quick Setup'!$O$31,'Quick Setup'!$O41,if(CT14='Quick Setup'!$P$31,'Quick Setup'!$P41,if(CT14='Quick Setup'!$Q$31,'Quick Setup'!$Q41,if(CT14='Quick Setup'!$R$31,'Quick Setup'!$R41,if(CT14='Quick Setup'!$S$31,'Quick Setup'!$S41,if(CT14='Quick Setup'!$T$31,'Quick Setup'!$T41,if(CT14='Quick Setup'!$U$31,'Quick Setup'!$U41,if(CT14='Quick Setup'!$V$31,'Quick Setup'!$V41,'Quick Setup'!$W41))))))))))))))))))))</f>
        <v>5</v>
      </c>
      <c r="CV14" s="21">
        <f>if(CT14='Quick Setup'!$C$45,'Quick Setup'!$C55,if(CT14='Quick Setup'!$D$45,'Quick Setup'!$D55,if(CT14='Quick Setup'!$E$45,'Quick Setup'!$E55,if(CT14='Quick Setup'!$F$45,'Quick Setup'!$F55,if(CT14='Quick Setup'!$G$45,'Quick Setup'!$G55,if(CT14='Quick Setup'!$H$45,'Quick Setup'!$H55,if(CT14='Quick Setup'!$I$45,'Quick Setup'!$I55,if(CT14='Quick Setup'!$J$45,'Quick Setup'!$J55,if(CT14='Quick Setup'!$K$45,'Quick Setup'!$K55,if(CT14='Quick Setup'!$L$45,'Quick Setup'!$L55,if(CT14='Quick Setup'!$M$45,'Quick Setup'!$M55,if(CT14='Quick Setup'!$N$45,'Quick Setup'!$N55,if(CT14='Quick Setup'!$O$45,'Quick Setup'!$O55,if(CT14='Quick Setup'!$P$45,'Quick Setup'!$P55,if(CT14='Quick Setup'!$Q$45,'Quick Setup'!$Q55,if(CT14='Quick Setup'!$R$45,'Quick Setup'!$R55,if(CT14='Quick Setup'!$S$45,'Quick Setup'!$S55,if(CT14='Quick Setup'!$T$45,'Quick Setup'!$T55,if(CT14='Quick Setup'!$U$45,'Quick Setup'!$U55,if(CT14='Quick Setup'!$V$45,'Quick Setup'!$V55,'Quick Setup'!$W55))))))))))))))))))))</f>
        <v>3</v>
      </c>
      <c r="CW14" s="23">
        <f t="shared" ref="CW14:DE14" si="188">CK14</f>
        <v>5</v>
      </c>
      <c r="CX14" s="24">
        <f t="shared" si="188"/>
        <v>-0.05</v>
      </c>
      <c r="CY14" s="24">
        <f t="shared" si="188"/>
        <v>-0.02</v>
      </c>
      <c r="CZ14" s="24">
        <f t="shared" si="188"/>
        <v>0</v>
      </c>
      <c r="DA14" s="24">
        <f t="shared" si="188"/>
        <v>0.005</v>
      </c>
      <c r="DB14" s="24">
        <f t="shared" si="188"/>
        <v>0.01</v>
      </c>
      <c r="DC14" s="24">
        <f t="shared" si="188"/>
        <v>0.015</v>
      </c>
      <c r="DD14" s="24">
        <f t="shared" si="188"/>
        <v>0.02</v>
      </c>
      <c r="DE14" s="24">
        <f t="shared" si="188"/>
        <v>0.03</v>
      </c>
      <c r="DF14" s="20">
        <f>'Quick Setup'!L69</f>
        <v>0.75</v>
      </c>
      <c r="DG14" s="21">
        <f>if(DF14='Quick Setup'!$C$31,'Quick Setup'!$C41,if(DF14='Quick Setup'!$D$31,'Quick Setup'!$D41,if(DF14='Quick Setup'!$E$31,'Quick Setup'!$E41,if(DF14='Quick Setup'!$F$31,'Quick Setup'!$F41,if(DF14='Quick Setup'!$G$31,'Quick Setup'!$G41,if(DF14='Quick Setup'!$H$31,'Quick Setup'!$H41,if(DF14='Quick Setup'!$I$31,'Quick Setup'!$I41,if(DF14='Quick Setup'!$J$31,'Quick Setup'!$J41,if(DF14='Quick Setup'!$K$31,'Quick Setup'!$K41,if(DF14='Quick Setup'!$L$31,'Quick Setup'!$L41,if(DF14='Quick Setup'!$M$31,'Quick Setup'!$M41,if(DF14='Quick Setup'!$N$31,'Quick Setup'!$N41,if(DF14='Quick Setup'!$O$31,'Quick Setup'!$O41,if(DF14='Quick Setup'!$P$31,'Quick Setup'!$P41,if(DF14='Quick Setup'!$Q$31,'Quick Setup'!$Q41,if(DF14='Quick Setup'!$R$31,'Quick Setup'!$R41,if(DF14='Quick Setup'!$S$31,'Quick Setup'!$S41,if(DF14='Quick Setup'!$T$31,'Quick Setup'!$T41,if(DF14='Quick Setup'!$U$31,'Quick Setup'!$U41,if(DF14='Quick Setup'!$V$31,'Quick Setup'!$V41,'Quick Setup'!$W41))))))))))))))))))))</f>
        <v>4</v>
      </c>
      <c r="DH14" s="21">
        <f>if(DF14='Quick Setup'!$C$45,'Quick Setup'!$C55,if(DF14='Quick Setup'!$D$45,'Quick Setup'!$D55,if(DF14='Quick Setup'!$E$45,'Quick Setup'!$E55,if(DF14='Quick Setup'!$F$45,'Quick Setup'!$F55,if(DF14='Quick Setup'!$G$45,'Quick Setup'!$G55,if(DF14='Quick Setup'!$H$45,'Quick Setup'!$H55,if(DF14='Quick Setup'!$I$45,'Quick Setup'!$I55,if(DF14='Quick Setup'!$J$45,'Quick Setup'!$J55,if(DF14='Quick Setup'!$K$45,'Quick Setup'!$K55,if(DF14='Quick Setup'!$L$45,'Quick Setup'!$L55,if(DF14='Quick Setup'!$M$45,'Quick Setup'!$M55,if(DF14='Quick Setup'!$N$45,'Quick Setup'!$N55,if(DF14='Quick Setup'!$O$45,'Quick Setup'!$O55,if(DF14='Quick Setup'!$P$45,'Quick Setup'!$P55,if(DF14='Quick Setup'!$Q$45,'Quick Setup'!$Q55,if(DF14='Quick Setup'!$R$45,'Quick Setup'!$R55,if(DF14='Quick Setup'!$S$45,'Quick Setup'!$S55,if(DF14='Quick Setup'!$T$45,'Quick Setup'!$T55,if(DF14='Quick Setup'!$U$45,'Quick Setup'!$U55,if(DF14='Quick Setup'!$V$45,'Quick Setup'!$V55,'Quick Setup'!$W55))))))))))))))))))))</f>
        <v>2</v>
      </c>
      <c r="DI14" s="23">
        <f t="shared" ref="DI14:DQ14" si="189">CW14</f>
        <v>5</v>
      </c>
      <c r="DJ14" s="24">
        <f t="shared" si="189"/>
        <v>-0.05</v>
      </c>
      <c r="DK14" s="24">
        <f t="shared" si="189"/>
        <v>-0.02</v>
      </c>
      <c r="DL14" s="24">
        <f t="shared" si="189"/>
        <v>0</v>
      </c>
      <c r="DM14" s="24">
        <f t="shared" si="189"/>
        <v>0.005</v>
      </c>
      <c r="DN14" s="24">
        <f t="shared" si="189"/>
        <v>0.01</v>
      </c>
      <c r="DO14" s="24">
        <f t="shared" si="189"/>
        <v>0.015</v>
      </c>
      <c r="DP14" s="24">
        <f t="shared" si="189"/>
        <v>0.02</v>
      </c>
      <c r="DQ14" s="24">
        <f t="shared" si="189"/>
        <v>0.03</v>
      </c>
      <c r="DR14" s="20">
        <f>'Quick Setup'!M69</f>
        <v>0.675</v>
      </c>
      <c r="DS14" s="21">
        <f>if(DR14='Quick Setup'!$C$31,'Quick Setup'!$C41,if(DR14='Quick Setup'!$D$31,'Quick Setup'!$D41,if(DR14='Quick Setup'!$E$31,'Quick Setup'!$E41,if(DR14='Quick Setup'!$F$31,'Quick Setup'!$F41,if(DR14='Quick Setup'!$G$31,'Quick Setup'!$G41,if(DR14='Quick Setup'!$H$31,'Quick Setup'!$H41,if(DR14='Quick Setup'!$I$31,'Quick Setup'!$I41,if(DR14='Quick Setup'!$J$31,'Quick Setup'!$J41,if(DR14='Quick Setup'!$K$31,'Quick Setup'!$K41,if(DR14='Quick Setup'!$L$31,'Quick Setup'!$L41,if(DR14='Quick Setup'!$M$31,'Quick Setup'!$M41,if(DR14='Quick Setup'!$N$31,'Quick Setup'!$N41,if(DR14='Quick Setup'!$O$31,'Quick Setup'!$O41,if(DR14='Quick Setup'!$P$31,'Quick Setup'!$P41,if(DR14='Quick Setup'!$Q$31,'Quick Setup'!$Q41,if(DR14='Quick Setup'!$R$31,'Quick Setup'!$R41,if(DR14='Quick Setup'!$S$31,'Quick Setup'!$S41,if(DR14='Quick Setup'!$T$31,'Quick Setup'!$T41,if(DR14='Quick Setup'!$U$31,'Quick Setup'!$U41,if(DR14='Quick Setup'!$V$31,'Quick Setup'!$V41,'Quick Setup'!$W41))))))))))))))))))))</f>
        <v>6</v>
      </c>
      <c r="DT14" s="21">
        <f>if(DR14='Quick Setup'!$C$45,'Quick Setup'!$C55,if(DR14='Quick Setup'!$D$45,'Quick Setup'!$D55,if(DR14='Quick Setup'!$E$45,'Quick Setup'!$E55,if(DR14='Quick Setup'!$F$45,'Quick Setup'!$F55,if(DR14='Quick Setup'!$G$45,'Quick Setup'!$G55,if(DR14='Quick Setup'!$H$45,'Quick Setup'!$H55,if(DR14='Quick Setup'!$I$45,'Quick Setup'!$I55,if(DR14='Quick Setup'!$J$45,'Quick Setup'!$J55,if(DR14='Quick Setup'!$K$45,'Quick Setup'!$K55,if(DR14='Quick Setup'!$L$45,'Quick Setup'!$L55,if(DR14='Quick Setup'!$M$45,'Quick Setup'!$M55,if(DR14='Quick Setup'!$N$45,'Quick Setup'!$N55,if(DR14='Quick Setup'!$O$45,'Quick Setup'!$O55,if(DR14='Quick Setup'!$P$45,'Quick Setup'!$P55,if(DR14='Quick Setup'!$Q$45,'Quick Setup'!$Q55,if(DR14='Quick Setup'!$R$45,'Quick Setup'!$R55,if(DR14='Quick Setup'!$S$45,'Quick Setup'!$S55,if(DR14='Quick Setup'!$T$45,'Quick Setup'!$T55,if(DR14='Quick Setup'!$U$45,'Quick Setup'!$U55,if(DR14='Quick Setup'!$V$45,'Quick Setup'!$V55,'Quick Setup'!$W55))))))))))))))))))))</f>
        <v>3</v>
      </c>
      <c r="DU14" s="23">
        <f t="shared" ref="DU14:EC14" si="190">DI14</f>
        <v>5</v>
      </c>
      <c r="DV14" s="24">
        <f t="shared" si="190"/>
        <v>-0.05</v>
      </c>
      <c r="DW14" s="24">
        <f t="shared" si="190"/>
        <v>-0.02</v>
      </c>
      <c r="DX14" s="24">
        <f t="shared" si="190"/>
        <v>0</v>
      </c>
      <c r="DY14" s="24">
        <f t="shared" si="190"/>
        <v>0.005</v>
      </c>
      <c r="DZ14" s="24">
        <f t="shared" si="190"/>
        <v>0.01</v>
      </c>
      <c r="EA14" s="24">
        <f t="shared" si="190"/>
        <v>0.015</v>
      </c>
      <c r="EB14" s="24">
        <f t="shared" si="190"/>
        <v>0.02</v>
      </c>
      <c r="EC14" s="24">
        <f t="shared" si="190"/>
        <v>0.03</v>
      </c>
      <c r="ED14" s="20">
        <f>'Quick Setup'!N69</f>
        <v>0.725</v>
      </c>
      <c r="EE14" s="21">
        <f>if(ED14='Quick Setup'!$C$31,'Quick Setup'!$C41,if(ED14='Quick Setup'!$D$31,'Quick Setup'!$D41,if(ED14='Quick Setup'!$E$31,'Quick Setup'!$E41,if(ED14='Quick Setup'!$F$31,'Quick Setup'!$F41,if(ED14='Quick Setup'!$G$31,'Quick Setup'!$G41,if(ED14='Quick Setup'!$H$31,'Quick Setup'!$H41,if(ED14='Quick Setup'!$I$31,'Quick Setup'!$I41,if(ED14='Quick Setup'!$J$31,'Quick Setup'!$J41,if(ED14='Quick Setup'!$K$31,'Quick Setup'!$K41,if(ED14='Quick Setup'!$L$31,'Quick Setup'!$L41,if(ED14='Quick Setup'!$M$31,'Quick Setup'!$M41,if(ED14='Quick Setup'!$N$31,'Quick Setup'!$N41,if(ED14='Quick Setup'!$O$31,'Quick Setup'!$O41,if(ED14='Quick Setup'!$P$31,'Quick Setup'!$P41,if(ED14='Quick Setup'!$Q$31,'Quick Setup'!$Q41,if(ED14='Quick Setup'!$R$31,'Quick Setup'!$R41,if(ED14='Quick Setup'!$S$31,'Quick Setup'!$S41,if(ED14='Quick Setup'!$T$31,'Quick Setup'!$T41,if(ED14='Quick Setup'!$U$31,'Quick Setup'!$U41,if(ED14='Quick Setup'!$V$31,'Quick Setup'!$V41,'Quick Setup'!$W41))))))))))))))))))))</f>
        <v>5</v>
      </c>
      <c r="EF14" s="21">
        <f>if(ED14='Quick Setup'!$C$45,'Quick Setup'!$C55,if(ED14='Quick Setup'!$D$45,'Quick Setup'!$D55,if(ED14='Quick Setup'!$E$45,'Quick Setup'!$E55,if(ED14='Quick Setup'!$F$45,'Quick Setup'!$F55,if(ED14='Quick Setup'!$G$45,'Quick Setup'!$G55,if(ED14='Quick Setup'!$H$45,'Quick Setup'!$H55,if(ED14='Quick Setup'!$I$45,'Quick Setup'!$I55,if(ED14='Quick Setup'!$J$45,'Quick Setup'!$J55,if(ED14='Quick Setup'!$K$45,'Quick Setup'!$K55,if(ED14='Quick Setup'!$L$45,'Quick Setup'!$L55,if(ED14='Quick Setup'!$M$45,'Quick Setup'!$M55,if(ED14='Quick Setup'!$N$45,'Quick Setup'!$N55,if(ED14='Quick Setup'!$O$45,'Quick Setup'!$O55,if(ED14='Quick Setup'!$P$45,'Quick Setup'!$P55,if(ED14='Quick Setup'!$Q$45,'Quick Setup'!$Q55,if(ED14='Quick Setup'!$R$45,'Quick Setup'!$R55,if(ED14='Quick Setup'!$S$45,'Quick Setup'!$S55,if(ED14='Quick Setup'!$T$45,'Quick Setup'!$T55,if(ED14='Quick Setup'!$U$45,'Quick Setup'!$U55,if(ED14='Quick Setup'!$V$45,'Quick Setup'!$V55,'Quick Setup'!$W55))))))))))))))))))))</f>
        <v>3</v>
      </c>
      <c r="EG14" s="23">
        <f t="shared" ref="EG14:EO14" si="191">DU14</f>
        <v>5</v>
      </c>
      <c r="EH14" s="24">
        <f t="shared" si="191"/>
        <v>-0.05</v>
      </c>
      <c r="EI14" s="24">
        <f t="shared" si="191"/>
        <v>-0.02</v>
      </c>
      <c r="EJ14" s="24">
        <f t="shared" si="191"/>
        <v>0</v>
      </c>
      <c r="EK14" s="24">
        <f t="shared" si="191"/>
        <v>0.005</v>
      </c>
      <c r="EL14" s="24">
        <f t="shared" si="191"/>
        <v>0.01</v>
      </c>
      <c r="EM14" s="24">
        <f t="shared" si="191"/>
        <v>0.015</v>
      </c>
      <c r="EN14" s="24">
        <f t="shared" si="191"/>
        <v>0.02</v>
      </c>
      <c r="EO14" s="24">
        <f t="shared" si="191"/>
        <v>0.03</v>
      </c>
      <c r="EP14" s="20">
        <f>'Quick Setup'!O69</f>
        <v>0.775</v>
      </c>
      <c r="EQ14" s="21">
        <f>if(EP14='Quick Setup'!$C$31,'Quick Setup'!$C41,if(EP14='Quick Setup'!$D$31,'Quick Setup'!$D41,if(EP14='Quick Setup'!$E$31,'Quick Setup'!$E41,if(EP14='Quick Setup'!$F$31,'Quick Setup'!$F41,if(EP14='Quick Setup'!$G$31,'Quick Setup'!$G41,if(EP14='Quick Setup'!$H$31,'Quick Setup'!$H41,if(EP14='Quick Setup'!$I$31,'Quick Setup'!$I41,if(EP14='Quick Setup'!$J$31,'Quick Setup'!$J41,if(EP14='Quick Setup'!$K$31,'Quick Setup'!$K41,if(EP14='Quick Setup'!$L$31,'Quick Setup'!$L41,if(EP14='Quick Setup'!$M$31,'Quick Setup'!$M41,if(EP14='Quick Setup'!$N$31,'Quick Setup'!$N41,if(EP14='Quick Setup'!$O$31,'Quick Setup'!$O41,if(EP14='Quick Setup'!$P$31,'Quick Setup'!$P41,if(EP14='Quick Setup'!$Q$31,'Quick Setup'!$Q41,if(EP14='Quick Setup'!$R$31,'Quick Setup'!$R41,if(EP14='Quick Setup'!$S$31,'Quick Setup'!$S41,if(EP14='Quick Setup'!$T$31,'Quick Setup'!$T41,if(EP14='Quick Setup'!$U$31,'Quick Setup'!$U41,if(EP14='Quick Setup'!$V$31,'Quick Setup'!$V41,'Quick Setup'!$W41))))))))))))))))))))</f>
        <v>4</v>
      </c>
      <c r="ER14" s="21">
        <f>if(EP14='Quick Setup'!$C$45,'Quick Setup'!$C55,if(EP14='Quick Setup'!$D$45,'Quick Setup'!$D55,if(EP14='Quick Setup'!$E$45,'Quick Setup'!$E55,if(EP14='Quick Setup'!$F$45,'Quick Setup'!$F55,if(EP14='Quick Setup'!$G$45,'Quick Setup'!$G55,if(EP14='Quick Setup'!$H$45,'Quick Setup'!$H55,if(EP14='Quick Setup'!$I$45,'Quick Setup'!$I55,if(EP14='Quick Setup'!$J$45,'Quick Setup'!$J55,if(EP14='Quick Setup'!$K$45,'Quick Setup'!$K55,if(EP14='Quick Setup'!$L$45,'Quick Setup'!$L55,if(EP14='Quick Setup'!$M$45,'Quick Setup'!$M55,if(EP14='Quick Setup'!$N$45,'Quick Setup'!$N55,if(EP14='Quick Setup'!$O$45,'Quick Setup'!$O55,if(EP14='Quick Setup'!$P$45,'Quick Setup'!$P55,if(EP14='Quick Setup'!$Q$45,'Quick Setup'!$Q55,if(EP14='Quick Setup'!$R$45,'Quick Setup'!$R55,if(EP14='Quick Setup'!$S$45,'Quick Setup'!$S55,if(EP14='Quick Setup'!$T$45,'Quick Setup'!$T55,if(EP14='Quick Setup'!$U$45,'Quick Setup'!$U55,if(EP14='Quick Setup'!$V$45,'Quick Setup'!$V55,'Quick Setup'!$W55))))))))))))))))))))</f>
        <v>2</v>
      </c>
      <c r="ES14" s="23">
        <f t="shared" ref="ES14:FA14" si="192">EG14</f>
        <v>5</v>
      </c>
      <c r="ET14" s="24">
        <f t="shared" si="192"/>
        <v>-0.05</v>
      </c>
      <c r="EU14" s="24">
        <f t="shared" si="192"/>
        <v>-0.02</v>
      </c>
      <c r="EV14" s="24">
        <f t="shared" si="192"/>
        <v>0</v>
      </c>
      <c r="EW14" s="24">
        <f t="shared" si="192"/>
        <v>0.005</v>
      </c>
      <c r="EX14" s="24">
        <f t="shared" si="192"/>
        <v>0.01</v>
      </c>
      <c r="EY14" s="24">
        <f t="shared" si="192"/>
        <v>0.015</v>
      </c>
      <c r="EZ14" s="24">
        <f t="shared" si="192"/>
        <v>0.02</v>
      </c>
      <c r="FA14" s="24">
        <f t="shared" si="192"/>
        <v>0.03</v>
      </c>
      <c r="FB14" s="20">
        <f>'Quick Setup'!P69</f>
        <v>0.5</v>
      </c>
      <c r="FC14" s="21">
        <f>if(FB14='Quick Setup'!$C$31,'Quick Setup'!$C41,if(FB14='Quick Setup'!$D$31,'Quick Setup'!$D41,if(FB14='Quick Setup'!$E$31,'Quick Setup'!$E41,if(FB14='Quick Setup'!$F$31,'Quick Setup'!$F41,if(FB14='Quick Setup'!$G$31,'Quick Setup'!$G41,if(FB14='Quick Setup'!$H$31,'Quick Setup'!$H41,if(FB14='Quick Setup'!$I$31,'Quick Setup'!$I41,if(FB14='Quick Setup'!$J$31,'Quick Setup'!$J41,if(FB14='Quick Setup'!$K$31,'Quick Setup'!$K41,if(FB14='Quick Setup'!$L$31,'Quick Setup'!$L41,if(FB14='Quick Setup'!$M$31,'Quick Setup'!$M41,if(FB14='Quick Setup'!$N$31,'Quick Setup'!$N41,if(FB14='Quick Setup'!$O$31,'Quick Setup'!$O41,if(FB14='Quick Setup'!$P$31,'Quick Setup'!$P41,if(FB14='Quick Setup'!$Q$31,'Quick Setup'!$Q41,if(FB14='Quick Setup'!$R$31,'Quick Setup'!$R41,if(FB14='Quick Setup'!$S$31,'Quick Setup'!$S41,if(FB14='Quick Setup'!$T$31,'Quick Setup'!$T41,if(FB14='Quick Setup'!$U$31,'Quick Setup'!$U41,if(FB14='Quick Setup'!$V$31,'Quick Setup'!$V41,'Quick Setup'!$W41))))))))))))))))))))</f>
        <v>8</v>
      </c>
      <c r="FD14" s="21">
        <f>if(FB14='Quick Setup'!$C$45,'Quick Setup'!$C55,if(FB14='Quick Setup'!$D$45,'Quick Setup'!$D55,if(FB14='Quick Setup'!$E$45,'Quick Setup'!$E55,if(FB14='Quick Setup'!$F$45,'Quick Setup'!$F55,if(FB14='Quick Setup'!$G$45,'Quick Setup'!$G55,if(FB14='Quick Setup'!$H$45,'Quick Setup'!$H55,if(FB14='Quick Setup'!$I$45,'Quick Setup'!$I55,if(FB14='Quick Setup'!$J$45,'Quick Setup'!$J55,if(FB14='Quick Setup'!$K$45,'Quick Setup'!$K55,if(FB14='Quick Setup'!$L$45,'Quick Setup'!$L55,if(FB14='Quick Setup'!$M$45,'Quick Setup'!$M55,if(FB14='Quick Setup'!$N$45,'Quick Setup'!$N55,if(FB14='Quick Setup'!$O$45,'Quick Setup'!$O55,if(FB14='Quick Setup'!$P$45,'Quick Setup'!$P55,if(FB14='Quick Setup'!$Q$45,'Quick Setup'!$Q55,if(FB14='Quick Setup'!$R$45,'Quick Setup'!$R55,if(FB14='Quick Setup'!$S$45,'Quick Setup'!$S55,if(FB14='Quick Setup'!$T$45,'Quick Setup'!$T55,if(FB14='Quick Setup'!$U$45,'Quick Setup'!$U55,if(FB14='Quick Setup'!$V$45,'Quick Setup'!$V55,'Quick Setup'!$W55))))))))))))))))))))</f>
        <v>3</v>
      </c>
      <c r="FE14" s="23">
        <f t="shared" ref="FE14:FM14" si="193">ES14</f>
        <v>5</v>
      </c>
      <c r="FF14" s="24">
        <f t="shared" si="193"/>
        <v>-0.05</v>
      </c>
      <c r="FG14" s="24">
        <f t="shared" si="193"/>
        <v>-0.02</v>
      </c>
      <c r="FH14" s="24">
        <f t="shared" si="193"/>
        <v>0</v>
      </c>
      <c r="FI14" s="24">
        <f t="shared" si="193"/>
        <v>0.005</v>
      </c>
      <c r="FJ14" s="24">
        <f t="shared" si="193"/>
        <v>0.01</v>
      </c>
      <c r="FK14" s="24">
        <f t="shared" si="193"/>
        <v>0.015</v>
      </c>
      <c r="FL14" s="24">
        <f t="shared" si="193"/>
        <v>0.02</v>
      </c>
      <c r="FM14" s="24">
        <f t="shared" si="193"/>
        <v>0.03</v>
      </c>
      <c r="FN14" s="20">
        <f>'Quick Setup'!Q69</f>
        <v>0.7</v>
      </c>
      <c r="FO14" s="21">
        <f>if(FN14='Quick Setup'!$C$31,'Quick Setup'!$C41,if(FN14='Quick Setup'!$D$31,'Quick Setup'!$D41,if(FN14='Quick Setup'!$E$31,'Quick Setup'!$E41,if(FN14='Quick Setup'!$F$31,'Quick Setup'!$F41,if(FN14='Quick Setup'!$G$31,'Quick Setup'!$G41,if(FN14='Quick Setup'!$H$31,'Quick Setup'!$H41,if(FN14='Quick Setup'!$I$31,'Quick Setup'!$I41,if(FN14='Quick Setup'!$J$31,'Quick Setup'!$J41,if(FN14='Quick Setup'!$K$31,'Quick Setup'!$K41,if(FN14='Quick Setup'!$L$31,'Quick Setup'!$L41,if(FN14='Quick Setup'!$M$31,'Quick Setup'!$M41,if(FN14='Quick Setup'!$N$31,'Quick Setup'!$N41,if(FN14='Quick Setup'!$O$31,'Quick Setup'!$O41,if(FN14='Quick Setup'!$P$31,'Quick Setup'!$P41,if(FN14='Quick Setup'!$Q$31,'Quick Setup'!$Q41,if(FN14='Quick Setup'!$R$31,'Quick Setup'!$R41,if(FN14='Quick Setup'!$S$31,'Quick Setup'!$S41,if(FN14='Quick Setup'!$T$31,'Quick Setup'!$T41,if(FN14='Quick Setup'!$U$31,'Quick Setup'!$U41,if(FN14='Quick Setup'!$V$31,'Quick Setup'!$V41,'Quick Setup'!$W41))))))))))))))))))))</f>
        <v>5</v>
      </c>
      <c r="FP14" s="21">
        <f>if(FN14='Quick Setup'!$C$45,'Quick Setup'!$C55,if(FN14='Quick Setup'!$D$45,'Quick Setup'!$D55,if(FN14='Quick Setup'!$E$45,'Quick Setup'!$E55,if(FN14='Quick Setup'!$F$45,'Quick Setup'!$F55,if(FN14='Quick Setup'!$G$45,'Quick Setup'!$G55,if(FN14='Quick Setup'!$H$45,'Quick Setup'!$H55,if(FN14='Quick Setup'!$I$45,'Quick Setup'!$I55,if(FN14='Quick Setup'!$J$45,'Quick Setup'!$J55,if(FN14='Quick Setup'!$K$45,'Quick Setup'!$K55,if(FN14='Quick Setup'!$L$45,'Quick Setup'!$L55,if(FN14='Quick Setup'!$M$45,'Quick Setup'!$M55,if(FN14='Quick Setup'!$N$45,'Quick Setup'!$N55,if(FN14='Quick Setup'!$O$45,'Quick Setup'!$O55,if(FN14='Quick Setup'!$P$45,'Quick Setup'!$P55,if(FN14='Quick Setup'!$Q$45,'Quick Setup'!$Q55,if(FN14='Quick Setup'!$R$45,'Quick Setup'!$R55,if(FN14='Quick Setup'!$S$45,'Quick Setup'!$S55,if(FN14='Quick Setup'!$T$45,'Quick Setup'!$T55,if(FN14='Quick Setup'!$U$45,'Quick Setup'!$U55,if(FN14='Quick Setup'!$V$45,'Quick Setup'!$V55,'Quick Setup'!$W55))))))))))))))))))))</f>
        <v>3</v>
      </c>
      <c r="FQ14" s="23">
        <f t="shared" ref="FQ14:FY14" si="194">FE14</f>
        <v>5</v>
      </c>
      <c r="FR14" s="24">
        <f t="shared" si="194"/>
        <v>-0.05</v>
      </c>
      <c r="FS14" s="24">
        <f t="shared" si="194"/>
        <v>-0.02</v>
      </c>
      <c r="FT14" s="24">
        <f t="shared" si="194"/>
        <v>0</v>
      </c>
      <c r="FU14" s="24">
        <f t="shared" si="194"/>
        <v>0.005</v>
      </c>
      <c r="FV14" s="24">
        <f t="shared" si="194"/>
        <v>0.01</v>
      </c>
      <c r="FW14" s="24">
        <f t="shared" si="194"/>
        <v>0.015</v>
      </c>
      <c r="FX14" s="24">
        <f t="shared" si="194"/>
        <v>0.02</v>
      </c>
      <c r="FY14" s="24">
        <f t="shared" si="194"/>
        <v>0.03</v>
      </c>
      <c r="FZ14" s="20">
        <f>'Quick Setup'!R69</f>
        <v>0.75</v>
      </c>
      <c r="GA14" s="21">
        <f>if(FZ14='Quick Setup'!$C$31,'Quick Setup'!$C41,if(FZ14='Quick Setup'!$D$31,'Quick Setup'!$D41,if(FZ14='Quick Setup'!$E$31,'Quick Setup'!$E41,if(FZ14='Quick Setup'!$F$31,'Quick Setup'!$F41,if(FZ14='Quick Setup'!$G$31,'Quick Setup'!$G41,if(FZ14='Quick Setup'!$H$31,'Quick Setup'!$H41,if(FZ14='Quick Setup'!$I$31,'Quick Setup'!$I41,if(FZ14='Quick Setup'!$J$31,'Quick Setup'!$J41,if(FZ14='Quick Setup'!$K$31,'Quick Setup'!$K41,if(FZ14='Quick Setup'!$L$31,'Quick Setup'!$L41,if(FZ14='Quick Setup'!$M$31,'Quick Setup'!$M41,if(FZ14='Quick Setup'!$N$31,'Quick Setup'!$N41,if(FZ14='Quick Setup'!$O$31,'Quick Setup'!$O41,if(FZ14='Quick Setup'!$P$31,'Quick Setup'!$P41,if(FZ14='Quick Setup'!$Q$31,'Quick Setup'!$Q41,if(FZ14='Quick Setup'!$R$31,'Quick Setup'!$R41,if(FZ14='Quick Setup'!$S$31,'Quick Setup'!$S41,if(FZ14='Quick Setup'!$T$31,'Quick Setup'!$T41,if(FZ14='Quick Setup'!$U$31,'Quick Setup'!$U41,if(FZ14='Quick Setup'!$V$31,'Quick Setup'!$V41,'Quick Setup'!$W41))))))))))))))))))))</f>
        <v>4</v>
      </c>
      <c r="GB14" s="21">
        <f>if(FZ14='Quick Setup'!$C$45,'Quick Setup'!$C55,if(FZ14='Quick Setup'!$D$45,'Quick Setup'!$D55,if(FZ14='Quick Setup'!$E$45,'Quick Setup'!$E55,if(FZ14='Quick Setup'!$F$45,'Quick Setup'!$F55,if(FZ14='Quick Setup'!$G$45,'Quick Setup'!$G55,if(FZ14='Quick Setup'!$H$45,'Quick Setup'!$H55,if(FZ14='Quick Setup'!$I$45,'Quick Setup'!$I55,if(FZ14='Quick Setup'!$J$45,'Quick Setup'!$J55,if(FZ14='Quick Setup'!$K$45,'Quick Setup'!$K55,if(FZ14='Quick Setup'!$L$45,'Quick Setup'!$L55,if(FZ14='Quick Setup'!$M$45,'Quick Setup'!$M55,if(FZ14='Quick Setup'!$N$45,'Quick Setup'!$N55,if(FZ14='Quick Setup'!$O$45,'Quick Setup'!$O55,if(FZ14='Quick Setup'!$P$45,'Quick Setup'!$P55,if(FZ14='Quick Setup'!$Q$45,'Quick Setup'!$Q55,if(FZ14='Quick Setup'!$R$45,'Quick Setup'!$R55,if(FZ14='Quick Setup'!$S$45,'Quick Setup'!$S55,if(FZ14='Quick Setup'!$T$45,'Quick Setup'!$T55,if(FZ14='Quick Setup'!$U$45,'Quick Setup'!$U55,if(FZ14='Quick Setup'!$V$45,'Quick Setup'!$V55,'Quick Setup'!$W55))))))))))))))))))))</f>
        <v>2</v>
      </c>
      <c r="GC14" s="23">
        <f t="shared" ref="GC14:GK14" si="195">FQ14</f>
        <v>5</v>
      </c>
      <c r="GD14" s="24">
        <f t="shared" si="195"/>
        <v>-0.05</v>
      </c>
      <c r="GE14" s="24">
        <f t="shared" si="195"/>
        <v>-0.02</v>
      </c>
      <c r="GF14" s="24">
        <f t="shared" si="195"/>
        <v>0</v>
      </c>
      <c r="GG14" s="24">
        <f t="shared" si="195"/>
        <v>0.005</v>
      </c>
      <c r="GH14" s="24">
        <f t="shared" si="195"/>
        <v>0.01</v>
      </c>
      <c r="GI14" s="24">
        <f t="shared" si="195"/>
        <v>0.015</v>
      </c>
      <c r="GJ14" s="24">
        <f t="shared" si="195"/>
        <v>0.02</v>
      </c>
      <c r="GK14" s="24">
        <f t="shared" si="195"/>
        <v>0.03</v>
      </c>
      <c r="GL14" s="20">
        <f>'Quick Setup'!S69</f>
        <v>0.8</v>
      </c>
      <c r="GM14" s="21">
        <f>if(GL14='Quick Setup'!$C$31,'Quick Setup'!$C41,if(GL14='Quick Setup'!$D$31,'Quick Setup'!$D41,if(GL14='Quick Setup'!$E$31,'Quick Setup'!$E41,if(GL14='Quick Setup'!$F$31,'Quick Setup'!$F41,if(GL14='Quick Setup'!$G$31,'Quick Setup'!$G41,if(GL14='Quick Setup'!$H$31,'Quick Setup'!$H41,if(GL14='Quick Setup'!$I$31,'Quick Setup'!$I41,if(GL14='Quick Setup'!$J$31,'Quick Setup'!$J41,if(GL14='Quick Setup'!$K$31,'Quick Setup'!$K41,if(GL14='Quick Setup'!$L$31,'Quick Setup'!$L41,if(GL14='Quick Setup'!$M$31,'Quick Setup'!$M41,if(GL14='Quick Setup'!$N$31,'Quick Setup'!$N41,if(GL14='Quick Setup'!$O$31,'Quick Setup'!$O41,if(GL14='Quick Setup'!$P$31,'Quick Setup'!$P41,if(GL14='Quick Setup'!$Q$31,'Quick Setup'!$Q41,if(GL14='Quick Setup'!$R$31,'Quick Setup'!$R41,if(GL14='Quick Setup'!$S$31,'Quick Setup'!$S41,if(GL14='Quick Setup'!$T$31,'Quick Setup'!$T41,if(GL14='Quick Setup'!$U$31,'Quick Setup'!$U41,if(GL14='Quick Setup'!$V$31,'Quick Setup'!$V41,'Quick Setup'!$W41))))))))))))))))))))</f>
        <v>3</v>
      </c>
      <c r="GN14" s="21">
        <f>if(GL14='Quick Setup'!$C$45,'Quick Setup'!$C55,if(GL14='Quick Setup'!$D$45,'Quick Setup'!$D55,if(GL14='Quick Setup'!$E$45,'Quick Setup'!$E55,if(GL14='Quick Setup'!$F$45,'Quick Setup'!$F55,if(GL14='Quick Setup'!$G$45,'Quick Setup'!$G55,if(GL14='Quick Setup'!$H$45,'Quick Setup'!$H55,if(GL14='Quick Setup'!$I$45,'Quick Setup'!$I55,if(GL14='Quick Setup'!$J$45,'Quick Setup'!$J55,if(GL14='Quick Setup'!$K$45,'Quick Setup'!$K55,if(GL14='Quick Setup'!$L$45,'Quick Setup'!$L55,if(GL14='Quick Setup'!$M$45,'Quick Setup'!$M55,if(GL14='Quick Setup'!$N$45,'Quick Setup'!$N55,if(GL14='Quick Setup'!$O$45,'Quick Setup'!$O55,if(GL14='Quick Setup'!$P$45,'Quick Setup'!$P55,if(GL14='Quick Setup'!$Q$45,'Quick Setup'!$Q55,if(GL14='Quick Setup'!$R$45,'Quick Setup'!$R55,if(GL14='Quick Setup'!$S$45,'Quick Setup'!$S55,if(GL14='Quick Setup'!$T$45,'Quick Setup'!$T55,if(GL14='Quick Setup'!$U$45,'Quick Setup'!$U55,if(GL14='Quick Setup'!$V$45,'Quick Setup'!$V55,'Quick Setup'!$W55))))))))))))))))))))</f>
        <v>2</v>
      </c>
      <c r="GO14" s="23">
        <f t="shared" ref="GO14:GW14" si="196">GC14</f>
        <v>5</v>
      </c>
      <c r="GP14" s="24">
        <f t="shared" si="196"/>
        <v>-0.05</v>
      </c>
      <c r="GQ14" s="24">
        <f t="shared" si="196"/>
        <v>-0.02</v>
      </c>
      <c r="GR14" s="24">
        <f t="shared" si="196"/>
        <v>0</v>
      </c>
      <c r="GS14" s="24">
        <f t="shared" si="196"/>
        <v>0.005</v>
      </c>
      <c r="GT14" s="24">
        <f t="shared" si="196"/>
        <v>0.01</v>
      </c>
      <c r="GU14" s="24">
        <f t="shared" si="196"/>
        <v>0.015</v>
      </c>
      <c r="GV14" s="24">
        <f t="shared" si="196"/>
        <v>0.02</v>
      </c>
      <c r="GW14" s="24">
        <f t="shared" si="196"/>
        <v>0.03</v>
      </c>
      <c r="GX14" s="20">
        <f>'Quick Setup'!T69</f>
        <v>0.75</v>
      </c>
      <c r="GY14" s="21">
        <f>if(GX14='Quick Setup'!$C$31,'Quick Setup'!$C41,if(GX14='Quick Setup'!$D$31,'Quick Setup'!$D41,if(GX14='Quick Setup'!$E$31,'Quick Setup'!$E41,if(GX14='Quick Setup'!$F$31,'Quick Setup'!$F41,if(GX14='Quick Setup'!$G$31,'Quick Setup'!$G41,if(GX14='Quick Setup'!$H$31,'Quick Setup'!$H41,if(GX14='Quick Setup'!$I$31,'Quick Setup'!$I41,if(GX14='Quick Setup'!$J$31,'Quick Setup'!$J41,if(GX14='Quick Setup'!$K$31,'Quick Setup'!$K41,if(GX14='Quick Setup'!$L$31,'Quick Setup'!$L41,if(GX14='Quick Setup'!$M$31,'Quick Setup'!$M41,if(GX14='Quick Setup'!$N$31,'Quick Setup'!$N41,if(GX14='Quick Setup'!$O$31,'Quick Setup'!$O41,if(GX14='Quick Setup'!$P$31,'Quick Setup'!$P41,if(GX14='Quick Setup'!$Q$31,'Quick Setup'!$Q41,if(GX14='Quick Setup'!$R$31,'Quick Setup'!$R41,if(GX14='Quick Setup'!$S$31,'Quick Setup'!$S41,if(GX14='Quick Setup'!$T$31,'Quick Setup'!$T41,if(GX14='Quick Setup'!$U$31,'Quick Setup'!$U41,if(GX14='Quick Setup'!$V$31,'Quick Setup'!$V41,'Quick Setup'!$W41))))))))))))))))))))</f>
        <v>4</v>
      </c>
      <c r="GZ14" s="21">
        <f>if(GX14='Quick Setup'!$C$45,'Quick Setup'!$C55,if(GX14='Quick Setup'!$D$45,'Quick Setup'!$D55,if(GX14='Quick Setup'!$E$45,'Quick Setup'!$E55,if(GX14='Quick Setup'!$F$45,'Quick Setup'!$F55,if(GX14='Quick Setup'!$G$45,'Quick Setup'!$G55,if(GX14='Quick Setup'!$H$45,'Quick Setup'!$H55,if(GX14='Quick Setup'!$I$45,'Quick Setup'!$I55,if(GX14='Quick Setup'!$J$45,'Quick Setup'!$J55,if(GX14='Quick Setup'!$K$45,'Quick Setup'!$K55,if(GX14='Quick Setup'!$L$45,'Quick Setup'!$L55,if(GX14='Quick Setup'!$M$45,'Quick Setup'!$M55,if(GX14='Quick Setup'!$N$45,'Quick Setup'!$N55,if(GX14='Quick Setup'!$O$45,'Quick Setup'!$O55,if(GX14='Quick Setup'!$P$45,'Quick Setup'!$P55,if(GX14='Quick Setup'!$Q$45,'Quick Setup'!$Q55,if(GX14='Quick Setup'!$R$45,'Quick Setup'!$R55,if(GX14='Quick Setup'!$S$45,'Quick Setup'!$S55,if(GX14='Quick Setup'!$T$45,'Quick Setup'!$T55,if(GX14='Quick Setup'!$U$45,'Quick Setup'!$U55,if(GX14='Quick Setup'!$V$45,'Quick Setup'!$V55,'Quick Setup'!$W55))))))))))))))))))))</f>
        <v>2</v>
      </c>
      <c r="HA14" s="23">
        <f t="shared" ref="HA14:HI14" si="197">GO14</f>
        <v>5</v>
      </c>
      <c r="HB14" s="24">
        <f t="shared" si="197"/>
        <v>-0.05</v>
      </c>
      <c r="HC14" s="24">
        <f t="shared" si="197"/>
        <v>-0.02</v>
      </c>
      <c r="HD14" s="24">
        <f t="shared" si="197"/>
        <v>0</v>
      </c>
      <c r="HE14" s="24">
        <f t="shared" si="197"/>
        <v>0.005</v>
      </c>
      <c r="HF14" s="24">
        <f t="shared" si="197"/>
        <v>0.01</v>
      </c>
      <c r="HG14" s="24">
        <f t="shared" si="197"/>
        <v>0.015</v>
      </c>
      <c r="HH14" s="24">
        <f t="shared" si="197"/>
        <v>0.02</v>
      </c>
      <c r="HI14" s="24">
        <f t="shared" si="197"/>
        <v>0.03</v>
      </c>
      <c r="HJ14" s="20">
        <f>'Quick Setup'!U69</f>
        <v>0.8</v>
      </c>
      <c r="HK14" s="21">
        <f>if(HJ14='Quick Setup'!$C$31,'Quick Setup'!$C41,if(HJ14='Quick Setup'!$D$31,'Quick Setup'!$D41,if(HJ14='Quick Setup'!$E$31,'Quick Setup'!$E41,if(HJ14='Quick Setup'!$F$31,'Quick Setup'!$F41,if(HJ14='Quick Setup'!$G$31,'Quick Setup'!$G41,if(HJ14='Quick Setup'!$H$31,'Quick Setup'!$H41,if(HJ14='Quick Setup'!$I$31,'Quick Setup'!$I41,if(HJ14='Quick Setup'!$J$31,'Quick Setup'!$J41,if(HJ14='Quick Setup'!$K$31,'Quick Setup'!$K41,if(HJ14='Quick Setup'!$L$31,'Quick Setup'!$L41,if(HJ14='Quick Setup'!$M$31,'Quick Setup'!$M41,if(HJ14='Quick Setup'!$N$31,'Quick Setup'!$N41,if(HJ14='Quick Setup'!$O$31,'Quick Setup'!$O41,if(HJ14='Quick Setup'!$P$31,'Quick Setup'!$P41,if(HJ14='Quick Setup'!$Q$31,'Quick Setup'!$Q41,if(HJ14='Quick Setup'!$R$31,'Quick Setup'!$R41,if(HJ14='Quick Setup'!$S$31,'Quick Setup'!$S41,if(HJ14='Quick Setup'!$T$31,'Quick Setup'!$T41,if(HJ14='Quick Setup'!$U$31,'Quick Setup'!$U41,if(HJ14='Quick Setup'!$V$31,'Quick Setup'!$V41,'Quick Setup'!$W41))))))))))))))))))))</f>
        <v>3</v>
      </c>
      <c r="HL14" s="21">
        <f>if(HJ14='Quick Setup'!$C$45,'Quick Setup'!$C55,if(HJ14='Quick Setup'!$D$45,'Quick Setup'!$D55,if(HJ14='Quick Setup'!$E$45,'Quick Setup'!$E55,if(HJ14='Quick Setup'!$F$45,'Quick Setup'!$F55,if(HJ14='Quick Setup'!$G$45,'Quick Setup'!$G55,if(HJ14='Quick Setup'!$H$45,'Quick Setup'!$H55,if(HJ14='Quick Setup'!$I$45,'Quick Setup'!$I55,if(HJ14='Quick Setup'!$J$45,'Quick Setup'!$J55,if(HJ14='Quick Setup'!$K$45,'Quick Setup'!$K55,if(HJ14='Quick Setup'!$L$45,'Quick Setup'!$L55,if(HJ14='Quick Setup'!$M$45,'Quick Setup'!$M55,if(HJ14='Quick Setup'!$N$45,'Quick Setup'!$N55,if(HJ14='Quick Setup'!$O$45,'Quick Setup'!$O55,if(HJ14='Quick Setup'!$P$45,'Quick Setup'!$P55,if(HJ14='Quick Setup'!$Q$45,'Quick Setup'!$Q55,if(HJ14='Quick Setup'!$R$45,'Quick Setup'!$R55,if(HJ14='Quick Setup'!$S$45,'Quick Setup'!$S55,if(HJ14='Quick Setup'!$T$45,'Quick Setup'!$T55,if(HJ14='Quick Setup'!$U$45,'Quick Setup'!$U55,if(HJ14='Quick Setup'!$V$45,'Quick Setup'!$V55,'Quick Setup'!$W55))))))))))))))))))))</f>
        <v>2</v>
      </c>
      <c r="HM14" s="23">
        <f t="shared" ref="HM14:HU14" si="198">HA14</f>
        <v>5</v>
      </c>
      <c r="HN14" s="24">
        <f t="shared" si="198"/>
        <v>-0.05</v>
      </c>
      <c r="HO14" s="24">
        <f t="shared" si="198"/>
        <v>-0.02</v>
      </c>
      <c r="HP14" s="24">
        <f t="shared" si="198"/>
        <v>0</v>
      </c>
      <c r="HQ14" s="24">
        <f t="shared" si="198"/>
        <v>0.005</v>
      </c>
      <c r="HR14" s="24">
        <f t="shared" si="198"/>
        <v>0.01</v>
      </c>
      <c r="HS14" s="24">
        <f t="shared" si="198"/>
        <v>0.015</v>
      </c>
      <c r="HT14" s="24">
        <f t="shared" si="198"/>
        <v>0.02</v>
      </c>
      <c r="HU14" s="24">
        <f t="shared" si="198"/>
        <v>0.03</v>
      </c>
      <c r="HV14" s="20">
        <f>'Quick Setup'!V69</f>
        <v>0.85</v>
      </c>
      <c r="HW14" s="21">
        <f>if(HV14='Quick Setup'!$C$31,'Quick Setup'!$C41,if(HV14='Quick Setup'!$D$31,'Quick Setup'!$D41,if(HV14='Quick Setup'!$E$31,'Quick Setup'!$E41,if(HV14='Quick Setup'!$F$31,'Quick Setup'!$F41,if(HV14='Quick Setup'!$G$31,'Quick Setup'!$G41,if(HV14='Quick Setup'!$H$31,'Quick Setup'!$H41,if(HV14='Quick Setup'!$I$31,'Quick Setup'!$I41,if(HV14='Quick Setup'!$J$31,'Quick Setup'!$J41,if(HV14='Quick Setup'!$K$31,'Quick Setup'!$K41,if(HV14='Quick Setup'!$L$31,'Quick Setup'!$L41,if(HV14='Quick Setup'!$M$31,'Quick Setup'!$M41,if(HV14='Quick Setup'!$N$31,'Quick Setup'!$N41,if(HV14='Quick Setup'!$O$31,'Quick Setup'!$O41,if(HV14='Quick Setup'!$P$31,'Quick Setup'!$P41,if(HV14='Quick Setup'!$Q$31,'Quick Setup'!$Q41,if(HV14='Quick Setup'!$R$31,'Quick Setup'!$R41,if(HV14='Quick Setup'!$S$31,'Quick Setup'!$S41,if(HV14='Quick Setup'!$T$31,'Quick Setup'!$T41,if(HV14='Quick Setup'!$U$31,'Quick Setup'!$U41,if(HV14='Quick Setup'!$V$31,'Quick Setup'!$V41,'Quick Setup'!$W41))))))))))))))))))))</f>
        <v>2</v>
      </c>
      <c r="HX14" s="21">
        <f>if(HV14='Quick Setup'!$C$45,'Quick Setup'!$C55,if(HV14='Quick Setup'!$D$45,'Quick Setup'!$D55,if(HV14='Quick Setup'!$E$45,'Quick Setup'!$E55,if(HV14='Quick Setup'!$F$45,'Quick Setup'!$F55,if(HV14='Quick Setup'!$G$45,'Quick Setup'!$G55,if(HV14='Quick Setup'!$H$45,'Quick Setup'!$H55,if(HV14='Quick Setup'!$I$45,'Quick Setup'!$I55,if(HV14='Quick Setup'!$J$45,'Quick Setup'!$J55,if(HV14='Quick Setup'!$K$45,'Quick Setup'!$K55,if(HV14='Quick Setup'!$L$45,'Quick Setup'!$L55,if(HV14='Quick Setup'!$M$45,'Quick Setup'!$M55,if(HV14='Quick Setup'!$N$45,'Quick Setup'!$N55,if(HV14='Quick Setup'!$O$45,'Quick Setup'!$O55,if(HV14='Quick Setup'!$P$45,'Quick Setup'!$P55,if(HV14='Quick Setup'!$Q$45,'Quick Setup'!$Q55,if(HV14='Quick Setup'!$R$45,'Quick Setup'!$R55,if(HV14='Quick Setup'!$S$45,'Quick Setup'!$S55,if(HV14='Quick Setup'!$T$45,'Quick Setup'!$T55,if(HV14='Quick Setup'!$U$45,'Quick Setup'!$U55,if(HV14='Quick Setup'!$V$45,'Quick Setup'!$V55,'Quick Setup'!$W55))))))))))))))))))))</f>
        <v>1</v>
      </c>
      <c r="HY14" s="23">
        <f t="shared" ref="HY14:IG14" si="199">HM14</f>
        <v>5</v>
      </c>
      <c r="HZ14" s="24">
        <f t="shared" si="199"/>
        <v>-0.05</v>
      </c>
      <c r="IA14" s="24">
        <f t="shared" si="199"/>
        <v>-0.02</v>
      </c>
      <c r="IB14" s="24">
        <f t="shared" si="199"/>
        <v>0</v>
      </c>
      <c r="IC14" s="24">
        <f t="shared" si="199"/>
        <v>0.005</v>
      </c>
      <c r="ID14" s="24">
        <f t="shared" si="199"/>
        <v>0.01</v>
      </c>
      <c r="IE14" s="24">
        <f t="shared" si="199"/>
        <v>0.015</v>
      </c>
      <c r="IF14" s="24">
        <f t="shared" si="199"/>
        <v>0.02</v>
      </c>
      <c r="IG14" s="24">
        <f t="shared" si="199"/>
        <v>0.03</v>
      </c>
      <c r="IH14" s="20">
        <f>'Quick Setup'!W69</f>
        <v>0.5</v>
      </c>
      <c r="II14" s="21">
        <f>if(IH14='Quick Setup'!$C$31,'Quick Setup'!$C41,if(IH14='Quick Setup'!$D$31,'Quick Setup'!$D41,if(IH14='Quick Setup'!$E$31,'Quick Setup'!$E41,if(IH14='Quick Setup'!$F$31,'Quick Setup'!$F41,if(IH14='Quick Setup'!$G$31,'Quick Setup'!$G41,if(IH14='Quick Setup'!$H$31,'Quick Setup'!$H41,if(IH14='Quick Setup'!$I$31,'Quick Setup'!$I41,if(IH14='Quick Setup'!$J$31,'Quick Setup'!$J41,if(IH14='Quick Setup'!$K$31,'Quick Setup'!$K41,if(IH14='Quick Setup'!$L$31,'Quick Setup'!$L41,if(IH14='Quick Setup'!$M$31,'Quick Setup'!$M41,if(IH14='Quick Setup'!$N$31,'Quick Setup'!$N41,if(IH14='Quick Setup'!$O$31,'Quick Setup'!$O41,if(IH14='Quick Setup'!$P$31,'Quick Setup'!$P41,if(IH14='Quick Setup'!$Q$31,'Quick Setup'!$Q41,if(IH14='Quick Setup'!$R$31,'Quick Setup'!$R41,if(IH14='Quick Setup'!$S$31,'Quick Setup'!$S41,if(IH14='Quick Setup'!$T$31,'Quick Setup'!$T41,if(IH14='Quick Setup'!$U$31,'Quick Setup'!$U41,if(IH14='Quick Setup'!$V$31,'Quick Setup'!$V41,'Quick Setup'!$W41))))))))))))))))))))</f>
        <v>8</v>
      </c>
      <c r="IJ14" s="21">
        <f>if(IH14='Quick Setup'!$C$45,'Quick Setup'!$C55,if(IH14='Quick Setup'!$D$45,'Quick Setup'!$D55,if(IH14='Quick Setup'!$E$45,'Quick Setup'!$E55,if(IH14='Quick Setup'!$F$45,'Quick Setup'!$F55,if(IH14='Quick Setup'!$G$45,'Quick Setup'!$G55,if(IH14='Quick Setup'!$H$45,'Quick Setup'!$H55,if(IH14='Quick Setup'!$I$45,'Quick Setup'!$I55,if(IH14='Quick Setup'!$J$45,'Quick Setup'!$J55,if(IH14='Quick Setup'!$K$45,'Quick Setup'!$K55,if(IH14='Quick Setup'!$L$45,'Quick Setup'!$L55,if(IH14='Quick Setup'!$M$45,'Quick Setup'!$M55,if(IH14='Quick Setup'!$N$45,'Quick Setup'!$N55,if(IH14='Quick Setup'!$O$45,'Quick Setup'!$O55,if(IH14='Quick Setup'!$P$45,'Quick Setup'!$P55,if(IH14='Quick Setup'!$Q$45,'Quick Setup'!$Q55,if(IH14='Quick Setup'!$R$45,'Quick Setup'!$R55,if(IH14='Quick Setup'!$S$45,'Quick Setup'!$S55,if(IH14='Quick Setup'!$T$45,'Quick Setup'!$T55,if(IH14='Quick Setup'!$U$45,'Quick Setup'!$U55,if(IH14='Quick Setup'!$V$45,'Quick Setup'!$V55,'Quick Setup'!$W55))))))))))))))))))))</f>
        <v>3</v>
      </c>
      <c r="IK14" s="23">
        <f t="shared" ref="IK14:IS14" si="200">HY14</f>
        <v>5</v>
      </c>
      <c r="IL14" s="24">
        <f t="shared" si="200"/>
        <v>-0.05</v>
      </c>
      <c r="IM14" s="24">
        <f t="shared" si="200"/>
        <v>-0.02</v>
      </c>
      <c r="IN14" s="24">
        <f t="shared" si="200"/>
        <v>0</v>
      </c>
      <c r="IO14" s="24">
        <f t="shared" si="200"/>
        <v>0.005</v>
      </c>
      <c r="IP14" s="24">
        <f t="shared" si="200"/>
        <v>0.01</v>
      </c>
      <c r="IQ14" s="24">
        <f t="shared" si="200"/>
        <v>0.015</v>
      </c>
      <c r="IR14" s="24">
        <f t="shared" si="200"/>
        <v>0.02</v>
      </c>
      <c r="IS14" s="24">
        <f t="shared" si="200"/>
        <v>0.03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2"/>
      <c r="B1" s="1" t="s">
        <v>50</v>
      </c>
      <c r="C1" s="1"/>
      <c r="D1" s="1"/>
      <c r="E1" s="1"/>
      <c r="F1" s="1"/>
      <c r="G1" s="1"/>
      <c r="H1" s="1"/>
      <c r="I1" s="1"/>
      <c r="J1" s="1" t="s">
        <v>51</v>
      </c>
      <c r="K1" s="1"/>
      <c r="L1" s="1"/>
      <c r="M1" s="1"/>
      <c r="N1" s="1"/>
      <c r="O1" s="1"/>
      <c r="P1" s="1"/>
      <c r="Q1" s="1"/>
      <c r="R1" s="1" t="s">
        <v>52</v>
      </c>
      <c r="S1" s="1"/>
      <c r="T1" s="1"/>
      <c r="U1" s="1"/>
      <c r="V1" s="1"/>
      <c r="W1" s="1"/>
      <c r="X1" s="1"/>
      <c r="Y1" s="1"/>
      <c r="Z1" s="1" t="s">
        <v>53</v>
      </c>
      <c r="AA1" s="1"/>
      <c r="AB1" s="1"/>
      <c r="AC1" s="1"/>
      <c r="AD1" s="1"/>
      <c r="AE1" s="1"/>
      <c r="AF1" s="1"/>
      <c r="AG1" s="1"/>
      <c r="AH1" s="1" t="s">
        <v>54</v>
      </c>
      <c r="AI1" s="1"/>
      <c r="AJ1" s="2"/>
      <c r="AK1" s="1"/>
      <c r="AL1" s="1"/>
      <c r="AM1" s="1"/>
      <c r="AN1" s="1"/>
      <c r="AO1" s="1"/>
      <c r="AP1" s="1" t="s">
        <v>55</v>
      </c>
      <c r="AQ1" s="1"/>
      <c r="AR1" s="1"/>
      <c r="AS1" s="2"/>
      <c r="AT1" s="1"/>
      <c r="AU1" s="1"/>
      <c r="AV1" s="1"/>
      <c r="AW1" s="1"/>
      <c r="AX1" s="1" t="s">
        <v>56</v>
      </c>
      <c r="AY1" s="1"/>
      <c r="AZ1" s="1"/>
      <c r="BA1" s="1"/>
      <c r="BB1" s="2"/>
      <c r="BC1" s="2"/>
      <c r="BD1" s="2"/>
      <c r="BE1" s="1"/>
      <c r="BF1" s="1" t="s">
        <v>57</v>
      </c>
      <c r="BG1" s="2"/>
      <c r="BH1" s="2"/>
      <c r="BI1" s="2"/>
      <c r="BJ1" s="2"/>
      <c r="BK1" s="2"/>
      <c r="BL1" s="2"/>
      <c r="BM1" s="1"/>
      <c r="BN1" s="1" t="s">
        <v>58</v>
      </c>
      <c r="BO1" s="2"/>
      <c r="BP1" s="2"/>
      <c r="BQ1" s="2"/>
      <c r="BR1" s="2"/>
      <c r="BS1" s="2"/>
      <c r="BT1" s="2"/>
      <c r="BU1" s="1"/>
      <c r="BV1" s="1" t="s">
        <v>59</v>
      </c>
      <c r="BW1" s="2"/>
      <c r="BX1" s="2"/>
      <c r="BY1" s="2"/>
      <c r="BZ1" s="2"/>
      <c r="CA1" s="2"/>
      <c r="CB1" s="2"/>
      <c r="CC1" s="1"/>
      <c r="CD1" s="1" t="s">
        <v>60</v>
      </c>
      <c r="CE1" s="2"/>
      <c r="CF1" s="2"/>
      <c r="CG1" s="2"/>
      <c r="CH1" s="2"/>
      <c r="CI1" s="2"/>
      <c r="CJ1" s="2"/>
      <c r="CK1" s="1"/>
      <c r="CL1" s="1" t="s">
        <v>61</v>
      </c>
      <c r="CM1" s="2"/>
      <c r="CN1" s="2"/>
      <c r="CO1" s="2"/>
      <c r="CP1" s="2"/>
      <c r="CQ1" s="2"/>
      <c r="CR1" s="2"/>
      <c r="CS1" s="1"/>
      <c r="CT1" s="1" t="s">
        <v>62</v>
      </c>
      <c r="CU1" s="2"/>
      <c r="CV1" s="2"/>
      <c r="CW1" s="2"/>
      <c r="CX1" s="2"/>
      <c r="CY1" s="2"/>
      <c r="CZ1" s="2"/>
      <c r="DA1" s="1"/>
      <c r="DB1" s="1" t="s">
        <v>63</v>
      </c>
      <c r="DC1" s="2"/>
      <c r="DD1" s="2"/>
      <c r="DE1" s="2"/>
      <c r="DF1" s="2"/>
      <c r="DG1" s="2"/>
      <c r="DH1" s="2"/>
      <c r="DI1" s="1"/>
      <c r="DJ1" s="1" t="s">
        <v>64</v>
      </c>
      <c r="DK1" s="2"/>
      <c r="DL1" s="1"/>
      <c r="DM1" s="1"/>
      <c r="DN1" s="1"/>
      <c r="DO1" s="1"/>
      <c r="DP1" s="1"/>
      <c r="DQ1" s="1"/>
      <c r="DR1" s="1" t="s">
        <v>65</v>
      </c>
      <c r="DS1" s="1"/>
      <c r="DT1" s="1"/>
      <c r="DU1" s="1"/>
      <c r="DV1" s="1"/>
      <c r="DW1" s="1"/>
      <c r="DX1" s="1"/>
      <c r="DY1" s="1"/>
      <c r="DZ1" s="1" t="s">
        <v>66</v>
      </c>
      <c r="EA1" s="1"/>
      <c r="EB1" s="1"/>
      <c r="EC1" s="1"/>
      <c r="ED1" s="1"/>
      <c r="EE1" s="1"/>
      <c r="EF1" s="1"/>
      <c r="EG1" s="1"/>
      <c r="EH1" s="1" t="s">
        <v>67</v>
      </c>
      <c r="EI1" s="1"/>
      <c r="EJ1" s="1"/>
      <c r="EK1" s="1"/>
      <c r="EL1" s="1"/>
      <c r="EM1" s="1"/>
      <c r="EN1" s="1"/>
      <c r="EO1" s="1"/>
      <c r="EP1" s="1" t="s">
        <v>68</v>
      </c>
      <c r="EQ1" s="1"/>
      <c r="ER1" s="1"/>
      <c r="ES1" s="1"/>
      <c r="ET1" s="1"/>
      <c r="EU1" s="1"/>
      <c r="EV1" s="1"/>
      <c r="EW1" s="1"/>
      <c r="EX1" s="1" t="s">
        <v>69</v>
      </c>
      <c r="EY1" s="1"/>
      <c r="EZ1" s="1"/>
      <c r="FA1" s="1"/>
      <c r="FB1" s="1"/>
      <c r="FC1" s="1"/>
      <c r="FD1" s="1"/>
      <c r="FE1" s="1"/>
      <c r="FF1" s="1" t="s">
        <v>70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2"/>
      <c r="B2" s="1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1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1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1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1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1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1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1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1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1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1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1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1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1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1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  <c r="FN2" s="1"/>
      <c r="FO2" s="1"/>
      <c r="FP2" s="1"/>
      <c r="FQ2" s="1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2">
        <f>if(D3="",'Quick Setup'!D5,D3/'Quick Setup'!E5)</f>
        <v>490</v>
      </c>
      <c r="C3" s="1" t="s">
        <v>77</v>
      </c>
      <c r="D3" s="8"/>
      <c r="E3" s="2"/>
      <c r="F3" s="2"/>
      <c r="G3" s="2"/>
      <c r="H3" s="2"/>
      <c r="I3" s="2"/>
      <c r="J3" s="2">
        <f>if(L3="", if(F4="",B3, if((F4-E4)&lt;-1.9,B3*(1+Setup!F3),if((F4-E4)=-1,B3*(1+Setup!G3),if(G4&lt;D4,B3*(1+Setup!G3),if(G4=D4,B3*(1+Setup!H3),if((G4-D4)=1,B3*(1+Setup!I3),if((G4-D4)=2,B3*(1+Setup!J3),if((G4-D4)=3,B3*(1+Setup!K3),if((G4-D4)=4,B3*(1+Setup!L3),if((G4-D4)&gt;4.1,B3*(1+Setup!M3),B3)))))))))),L3/'Quick Setup'!$E5)</f>
        <v>490</v>
      </c>
      <c r="K3" s="1" t="s">
        <v>77</v>
      </c>
      <c r="L3" s="8"/>
      <c r="M3" s="2"/>
      <c r="N3" s="2"/>
      <c r="O3" s="2"/>
      <c r="P3" s="2"/>
      <c r="Q3" s="2"/>
      <c r="R3" s="2">
        <f>if(T3="", if(N4="",J3, if((N4-M4)&lt;-1.9,J3*(1+Setup!R3),if((N4-M4)=-1,J3*(1+Setup!S3),if(O4&lt;L4,J3*(1+Setup!S3),if(O4=L4,J3*(1+Setup!T3),if((O4-L4)=1,J3*(1+Setup!U3),if((O4-L4)=2,J3*(1+Setup!V3),if((O4-L4)=3,J3*(1+Setup!W3),if((O4-L4)=4,J3*(1+Setup!X3),if((O4-L4)&gt;4.1,J3*(1+Setup!Y3),J3)))))))))),T3/'Quick Setup'!$E5)</f>
        <v>490</v>
      </c>
      <c r="S3" s="1" t="s">
        <v>77</v>
      </c>
      <c r="T3" s="8"/>
      <c r="U3" s="2"/>
      <c r="V3" s="2"/>
      <c r="W3" s="2"/>
      <c r="X3" s="2"/>
      <c r="Y3" s="2"/>
      <c r="Z3" s="2">
        <f>if(AB3="", if(V4="",R3, if((V4-U4)&lt;-1.9,R3*(1+Setup!AD3),if((V4-U4)=-1,R3*(1+Setup!AE3),if(W4&lt;T4,R3*(1+Setup!AE3),if(W4=T4,R3*(1+Setup!AF3),if((W4-T4)=1,R3*(1+Setup!AG3),if((W4-T4)=2,R3*(1+Setup!AH3),if((W4-T4)=3,R3*(1+Setup!AI3),if((W4-T4)=4,R3*(1+Setup!AJ3),if((W4-T4)&gt;4.1,R3*(1+Setup!AK3),R3)))))))))),AB3/'Quick Setup'!$E5)</f>
        <v>490</v>
      </c>
      <c r="AA3" s="1" t="s">
        <v>77</v>
      </c>
      <c r="AB3" s="8"/>
      <c r="AC3" s="2"/>
      <c r="AD3" s="2"/>
      <c r="AE3" s="2"/>
      <c r="AF3" s="2"/>
      <c r="AG3" s="2"/>
      <c r="AH3" s="2">
        <f>if(AJ3="", if(AD4="",Z3, if((AD4-AC4)&lt;-1.9,Z3*(1+Setup!AP3),if((AD4-AC4)=-1,Z3*(1+Setup!AQ3),if(AE4&lt;AB4,Z3*(1+Setup!AQ3),if(AE4=AB4,Z3*(1+Setup!AR3),if((AE4-AB4)=1,Z3*(1+Setup!AS3),if((AE4-AB4)=2,Z3*(1+Setup!AT3),if((AE4-AB4)=3,Z3*(1+Setup!AU3),if((AE4-AB4)=4,Z3*(1+Setup!AV3),if((AE4-AB4)&gt;4.1,Z3*(1+Setup!AW3),Z3)))))))))),AJ3/'Quick Setup'!$E5)</f>
        <v>490</v>
      </c>
      <c r="AI3" s="1" t="s">
        <v>77</v>
      </c>
      <c r="AJ3" s="8"/>
      <c r="AK3" s="2"/>
      <c r="AL3" s="2"/>
      <c r="AM3" s="2"/>
      <c r="AN3" s="2"/>
      <c r="AO3" s="2"/>
      <c r="AP3" s="2">
        <f>if(AR3="", if(AL4="",AH3, if((AL4-AK4)&lt;-1.9,AH3*(1+Setup!BB3),if((AL4-AK4)=-1,AH3*(1+Setup!BC3),if(AM4&lt;AJ4,AH3*(1+Setup!BC3),if(AM4=AJ4,AH3*(1+Setup!BD3),if((AM4-AJ4)=1,AH3*(1+Setup!BE3),if((AM4-AJ4)=2,AH3*(1+Setup!BF3),if((AM4-AJ4)=3,AH3*(1+Setup!BG3),if((AM4-AJ4)=4,AH3*(1+Setup!BH3),if((AM4-AJ4)&gt;4.1,AH3*(1+Setup!BI3),AH3)))))))))),AR3/'Quick Setup'!$E5)</f>
        <v>490</v>
      </c>
      <c r="AQ3" s="1" t="s">
        <v>77</v>
      </c>
      <c r="AR3" s="8"/>
      <c r="AS3" s="2"/>
      <c r="AT3" s="2"/>
      <c r="AU3" s="2"/>
      <c r="AV3" s="2"/>
      <c r="AW3" s="2"/>
      <c r="AX3" s="2">
        <f>if(AZ3="", if(AT4="",AP3, if((AT4-AS4)&lt;-1.9,AP3*(1+Setup!BN3),if((AT4-AS4)=-1,AP3*(1+Setup!BO3),if(AU4&lt;AR4,AP3*(1+Setup!BO3),if(AU4=AR4,AP3*(1+Setup!BP3),if((AU4-AR4)=1,AP3*(1+Setup!BQ3),if((AU4-AR4)=2,AP3*(1+Setup!BR3),if((AU4-AR4)=3,AP3*(1+Setup!BS3),if((AU4-AR4)=4,AP3*(1+Setup!BT3),if((AU4-AR4)&gt;4.1,AP3*(1+Setup!BU3),AP3)))))))))),AZ3/'Quick Setup'!$E5)</f>
        <v>490</v>
      </c>
      <c r="AY3" s="1" t="s">
        <v>77</v>
      </c>
      <c r="AZ3" s="8"/>
      <c r="BA3" s="2"/>
      <c r="BB3" s="2"/>
      <c r="BC3" s="2"/>
      <c r="BD3" s="2"/>
      <c r="BE3" s="2"/>
      <c r="BF3" s="2">
        <f>if(BH3="", if(BB4="",AX3, if((BB4-BA4)&lt;-1.9,AX3*(1+Setup!BZ3),if((BB4-BA4)=-1,AX3*(1+Setup!CA3),if(BC4&lt;AZ4,AX3*(1+Setup!CA3),if(BC4=AZ4,AX3*(1+Setup!CB3),if((BC4-AZ4)=1,AX3*(1+Setup!CC3),if((BC4-AZ4)=2,AX3*(1+Setup!CD3),if((BC4-AZ4)=3,AX3*(1+Setup!CE3),if((BC4-AZ4)=4,AX3*(1+Setup!CF3),if((BC4-AZ4)&gt;4.1,AX3*(1+Setup!CG3),AX3)))))))))),BH3/'Quick Setup'!$E5)</f>
        <v>490</v>
      </c>
      <c r="BG3" s="1" t="s">
        <v>77</v>
      </c>
      <c r="BH3" s="8"/>
      <c r="BI3" s="2"/>
      <c r="BJ3" s="2"/>
      <c r="BK3" s="2"/>
      <c r="BL3" s="2"/>
      <c r="BM3" s="2"/>
      <c r="BN3" s="2">
        <f>if(BP3="", if(BJ4="",BF3, if((BJ4-BI4)&lt;-1.9,BF3*(1+Setup!CL3),if((BJ4-BI4)=-1,BF3*(1+Setup!CM3),if(BK4&lt;BH4,BF3*(1+Setup!CM3),if(BK4=BH4,BF3*(1+Setup!CN3),if((BK4-BH4)=1,BF3*(1+Setup!CO3),if((BK4-BH4)=2,BF3*(1+Setup!CP3),if((BK4-BH4)=3,BF3*(1+Setup!CQ3),if((BK4-BH4)=4,BF3*(1+Setup!CR3),if((BK4-BH4)&gt;4.1,BF3*(1+Setup!CS3),BF3)))))))))),BP3/'Quick Setup'!$E5)</f>
        <v>490</v>
      </c>
      <c r="BO3" s="1" t="s">
        <v>77</v>
      </c>
      <c r="BP3" s="8"/>
      <c r="BQ3" s="2"/>
      <c r="BR3" s="2"/>
      <c r="BS3" s="2"/>
      <c r="BT3" s="2"/>
      <c r="BU3" s="2"/>
      <c r="BV3" s="2">
        <f>if(BX3="", if(BR4="",BN3, if((BR4-BQ4)&lt;-1.9,BN3*(1+Setup!CX3),if((BR4-BQ4)=-1,BN3*(1+Setup!CY3),if(BS4&lt;BP4,BN3*(1+Setup!CY3),if(BS4=BP4,BN3*(1+Setup!CZ3),if((BS4-BP4)=1,BN3*(1+Setup!DA3),if((BS4-BP4)=2,BN3*(1+Setup!DB3),if((BS4-BP4)=3,BN3*(1+Setup!DC3),if((BS4-BP4)=4,BN3*(1+Setup!DD3),if((BS4-BP4)&gt;4.1,BN3*(1+Setup!DE3),BN3)))))))))),BX3/'Quick Setup'!$E5)</f>
        <v>490</v>
      </c>
      <c r="BW3" s="1" t="s">
        <v>77</v>
      </c>
      <c r="BX3" s="8"/>
      <c r="BY3" s="2"/>
      <c r="BZ3" s="2"/>
      <c r="CA3" s="2"/>
      <c r="CB3" s="2"/>
      <c r="CC3" s="2"/>
      <c r="CD3" s="2">
        <f>if(CF3="", if(BZ4="",BV3, if((BZ4-BY4)&lt;-1.9,BV3*(1+Setup!DJ3),if((BZ4-BY4)=-1,BV3*(1+Setup!DK3),if(CA4&lt;BX4,BV3*(1+Setup!DK3),if(CA4=BX4,BV3*(1+Setup!DL3),if((CA4-BX4)=1,BV3*(1+Setup!DM3),if((CA4-BX4)=2,BV3*(1+Setup!DN3),if((CA4-BX4)=3,BV3*(1+Setup!DO3),if((CA4-BX4)=4,BV3*(1+Setup!DP3),if((CA4-BX4)&gt;4.1,BV3*(1+Setup!DQ3),BV3)))))))))),CF3/'Quick Setup'!$E5)</f>
        <v>490</v>
      </c>
      <c r="CE3" s="1" t="s">
        <v>77</v>
      </c>
      <c r="CF3" s="8"/>
      <c r="CG3" s="2"/>
      <c r="CH3" s="2"/>
      <c r="CI3" s="2"/>
      <c r="CJ3" s="2"/>
      <c r="CK3" s="2"/>
      <c r="CL3" s="2">
        <f>if(CN3="", if(CH4="",CD3, if((CH4-CG4)&lt;-1.9,CD3*(1+Setup!DV3),if((CH4-CG4)=-1,CD3*(1+Setup!DW3),if(CI4&lt;CF4,CD3*(1+Setup!DW3),if(CI4=CF4,CD3*(1+Setup!DX3),if((CI4-CF4)=1,CD3*(1+Setup!DY3),if((CI4-CF4)=2,CD3*(1+Setup!DZ3),if((CI4-CF4)=3,CD3*(1+Setup!EA3),if((CI4-CF4)=4,CD3*(1+Setup!EB3),if((CI4-CF4)&gt;4.1,CD3*(1+Setup!EC3),CD3)))))))))),CN3/'Quick Setup'!$E5)</f>
        <v>490</v>
      </c>
      <c r="CM3" s="1" t="s">
        <v>77</v>
      </c>
      <c r="CN3" s="8"/>
      <c r="CO3" s="2"/>
      <c r="CP3" s="2"/>
      <c r="CQ3" s="2"/>
      <c r="CR3" s="2"/>
      <c r="CS3" s="2"/>
      <c r="CT3" s="2">
        <f>if(CV3="", if(CP4="",CL3, if((CP4-CO4)&lt;-1.9,CL3*(1+Setup!EH3),if((CP4-CO4)=-1,CL3*(1+Setup!EI3),if(CQ4&lt;CN4,CL3*(1+Setup!EI3),if(CQ4=CN4,CL3*(1+Setup!EJ3),if((CQ4-CN4)=1,CL3*(1+Setup!EK3),if((CQ4-CN4)=2,CL3*(1+Setup!EL3),if((CQ4-CN4)=3,CL3*(1+Setup!EM3),if((CQ4-CN4)=4,CL3*(1+Setup!EN3),if((CQ4-CN4)&gt;4.1,CL3*(1+Setup!EO3),CL3)))))))))),CV3/'Quick Setup'!$E5)</f>
        <v>490</v>
      </c>
      <c r="CU3" s="1" t="s">
        <v>77</v>
      </c>
      <c r="CV3" s="8"/>
      <c r="CW3" s="2"/>
      <c r="CX3" s="2"/>
      <c r="CY3" s="2"/>
      <c r="CZ3" s="2"/>
      <c r="DA3" s="2"/>
      <c r="DB3" s="2">
        <f>if(DD3="", if(CX4="",CT3, if((CX4-CW4)&lt;-1.9,CT3*(1+Setup!ET3),if((CX4-CW4)=-1,CT3*(1+Setup!EU3),if(CY4&lt;CV4,CT3*(1+Setup!EU3),if(CY4=CV4,CT3*(1+Setup!EV3),if((CY4-CV4)=1,CT3*(1+Setup!EW3),if((CY4-CV4)=2,CT3*(1+Setup!EX3),if((CY4-CV4)=3,CT3*(1+Setup!EY3),if((CY4-CV4)=4,CT3*(1+Setup!EZ3),if((CY4-CV4)&gt;4.1,CT3*(1+Setup!FA3),CT3)))))))))),DD3/'Quick Setup'!$E5)</f>
        <v>490</v>
      </c>
      <c r="DC3" s="1" t="s">
        <v>77</v>
      </c>
      <c r="DD3" s="8"/>
      <c r="DE3" s="2"/>
      <c r="DF3" s="2"/>
      <c r="DG3" s="2"/>
      <c r="DH3" s="2"/>
      <c r="DI3" s="2"/>
      <c r="DJ3" s="2">
        <f>if(DL3="", if(DF4="",DB3, if((DF4-DE4)&lt;-1.9,DB3*(1+Setup!FF3),if((DF4-DE4)=-1,DB3*(1+Setup!FG3),if(DG4&lt;DD4,DB3*(1+Setup!FG3),if(DG4=DD4,DB3*(1+Setup!FH3),if((DG4-DD4)=1,DB3*(1+Setup!FI3),if((DG4-DD4)=2,DB3*(1+Setup!FJ3),if((DG4-DD4)=3,DB3*(1+Setup!FK3),if((DG4-DD4)=4,DB3*(1+Setup!FL3),if((DG4-DD4)&gt;4.1,DB3*(1+Setup!FM3),DB3)))))))))),DL3/'Quick Setup'!$E5)</f>
        <v>490</v>
      </c>
      <c r="DK3" s="1" t="s">
        <v>77</v>
      </c>
      <c r="DL3" s="8"/>
      <c r="DM3" s="2"/>
      <c r="DN3" s="2"/>
      <c r="DO3" s="2"/>
      <c r="DP3" s="2"/>
      <c r="DQ3" s="2"/>
      <c r="DR3" s="2">
        <f>if(DT3="", if(DN4="",DJ3, if((DN4-DM4)&lt;-1.9,DJ3*(1+Setup!FR3),if((DN4-DM4)=-1,DJ3*(1+Setup!FS3),if(DO4&lt;DL4,DJ3*(1+Setup!FS3),if(DO4=DL4,DJ3*(1+Setup!FT3),if((DO4-DL4)=1,DJ3*(1+Setup!FU3),if((DO4-DL4)=2,DJ3*(1+Setup!FV3),if((DO4-DL4)=3,DJ3*(1+Setup!FW3),if((DO4-DL4)=4,DJ3*(1+Setup!FX3),if((DO4-DL4)&gt;4.1,DJ3*(1+Setup!FY3),DJ3)))))))))),DT3/'Quick Setup'!$E5)</f>
        <v>490</v>
      </c>
      <c r="DS3" s="1" t="s">
        <v>77</v>
      </c>
      <c r="DT3" s="8"/>
      <c r="DU3" s="2"/>
      <c r="DV3" s="2"/>
      <c r="DW3" s="2"/>
      <c r="DX3" s="2"/>
      <c r="DY3" s="2"/>
      <c r="DZ3" s="2">
        <f>if(EB3="", if(DV4="",DR3, if((DV4-DU4)&lt;-1.9,DR3*(1+Setup!GD3),if((DV4-DU4)=-1,DR3*(1+Setup!GE3),if(DW4&lt;DT4,DR3*(1+Setup!GE3),if(DW4=DT4,DR3*(1+Setup!GF3),if((DW4-DT4)=1,DR3*(1+Setup!GG3),if((DW4-DT4)=2,DR3*(1+Setup!GH3),if((DW4-DT4)=3,DR3*(1+Setup!GI3),if((DW4-DT4)=4,DR3*(1+Setup!GJ3),if((DW4-DT4)&gt;4.1,DR3*(1+Setup!GK3),DR3)))))))))),EB3/'Quick Setup'!$E5)</f>
        <v>490</v>
      </c>
      <c r="EA3" s="1" t="s">
        <v>77</v>
      </c>
      <c r="EB3" s="8"/>
      <c r="EC3" s="2"/>
      <c r="ED3" s="2"/>
      <c r="EE3" s="2"/>
      <c r="EF3" s="2"/>
      <c r="EG3" s="2"/>
      <c r="EH3" s="2">
        <f>if(EJ3="", if(ED4="",DZ3, if((ED4-EC4)&lt;-1.9,DZ3*(1+Setup!GP3),if((ED4-EC4)=-1,DZ3*(1+Setup!GQ3),if(EE4&lt;EB4,DZ3*(1+Setup!GQ3),if(EE4=EB4,DZ3*(1+Setup!GR3),if((EE4-EB4)=1,DZ3*(1+Setup!GS3),if((EE4-EB4)=2,DZ3*(1+Setup!GT3),if((EE4-EB4)=3,DZ3*(1+Setup!GU3),if((EE4-EB4)=4,DZ3*(1+Setup!GV3),if((EE4-EB4)&gt;4.1,DZ3*(1+Setup!GW3),DZ3)))))))))),EJ3/'Quick Setup'!$E5)</f>
        <v>490</v>
      </c>
      <c r="EI3" s="1" t="s">
        <v>77</v>
      </c>
      <c r="EJ3" s="8"/>
      <c r="EK3" s="2"/>
      <c r="EL3" s="2"/>
      <c r="EM3" s="2"/>
      <c r="EN3" s="2"/>
      <c r="EO3" s="2"/>
      <c r="EP3" s="2">
        <f>if(ER3="", if(EL4="",EH3, if((EL4-EK4)&lt;-1.9,EH3*(1+Setup!HB3),if((EL4-EK4)=-1,EH3*(1+Setup!HC3),if(EM4&lt;EJ4,EH3*(1+Setup!HC3),if(EM4=EJ4,EH3*(1+Setup!HD3),if((EM4-EJ4)=1,EH3*(1+Setup!HE3),if((EM4-EJ4)=2,EH3*(1+Setup!HF3),if((EM4-EJ4)=3,EH3*(1+Setup!HG3),if((EM4-EJ4)=4,EH3*(1+Setup!HH3),if((EM4-EJ4)&gt;4.1,EH3*(1+Setup!HI3),EH3)))))))))),ER3/'Quick Setup'!$E5)</f>
        <v>490</v>
      </c>
      <c r="EQ3" s="1" t="s">
        <v>77</v>
      </c>
      <c r="ER3" s="8"/>
      <c r="ES3" s="2"/>
      <c r="ET3" s="2"/>
      <c r="EU3" s="2"/>
      <c r="EV3" s="2"/>
      <c r="EW3" s="2"/>
      <c r="EX3" s="2">
        <f>if(EZ3="", if(ET4="",EP3, if((ET4-ES4)&lt;-1.9,EP3*(1+Setup!HN3),if((ET4-ES4)=-1,EP3*(1+Setup!HO3),if(EU4&lt;ER4,EP3*(1+Setup!HO3),if(EU4=ER4,EP3*(1+Setup!HP3),if((EU4-ER4)=1,EP3*(1+Setup!HQ3),if((EU4-ER4)=2,EP3*(1+Setup!HR3),if((EU4-ER4)=3,EP3*(1+Setup!HS3),if((EU4-ER4)=4,EP3*(1+Setup!HT3),if((EU4-ER4)&gt;4.1,EP3*(1+Setup!HU3),EP3)))))))))),EZ3/'Quick Setup'!$E5)</f>
        <v>490</v>
      </c>
      <c r="EY3" s="1" t="s">
        <v>77</v>
      </c>
      <c r="EZ3" s="8"/>
      <c r="FA3" s="2"/>
      <c r="FB3" s="2"/>
      <c r="FC3" s="2"/>
      <c r="FD3" s="2"/>
      <c r="FE3" s="2"/>
      <c r="FF3" s="2">
        <f>if(FH3="", if(FB4="",EX3, if((FB4-FA4)&lt;-1.9,EX3*(1+Setup!HZ3),if((FB4-FA4)=-1,EX3*(1+Setup!IA3),if(FC4&lt;EZ4,EX3*(1+Setup!IA3),if(FC4=EZ4,EX3*(1+Setup!IB3),if((FC4-EZ4)=1,EX3*(1+Setup!IC3),if((FC4-EZ4)=2,EX3*(1+Setup!ID3),if((FC4-EZ4)=3,EX3*(1+Setup!IE3),if((FC4-EZ4)=4,EX3*(1+Setup!IF3),if((FC4-EZ4)&gt;4.1,EX3*(1+Setup!IG3),EX3)))))))))),FH3/'Quick Setup'!$E5)</f>
        <v>490</v>
      </c>
      <c r="FG3" s="1" t="s">
        <v>77</v>
      </c>
      <c r="FH3" s="8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1" t="str">
        <f>Setup!A3</f>
        <v>Squat</v>
      </c>
      <c r="B4" s="2">
        <f>mround(B3*Setup!B3,'Quick Setup'!$A$2)</f>
        <v>342.5</v>
      </c>
      <c r="C4" s="2">
        <f>Setup!C3</f>
        <v>5</v>
      </c>
      <c r="D4" s="2">
        <f>Setup!D3</f>
        <v>3</v>
      </c>
      <c r="E4" s="2">
        <f>Setup!E3</f>
        <v>5</v>
      </c>
      <c r="F4" s="8"/>
      <c r="G4" s="8"/>
      <c r="H4" s="8"/>
      <c r="I4" s="8"/>
      <c r="J4" s="2">
        <f>mround(J3*Setup!N3,'Quick Setup'!$A$2)</f>
        <v>367.5</v>
      </c>
      <c r="K4" s="2">
        <f>Setup!O3</f>
        <v>4</v>
      </c>
      <c r="L4" s="2">
        <f>Setup!P3</f>
        <v>2</v>
      </c>
      <c r="M4" s="2">
        <f>Setup!Q3</f>
        <v>5</v>
      </c>
      <c r="N4" s="8"/>
      <c r="O4" s="8"/>
      <c r="P4" s="8"/>
      <c r="Q4" s="8"/>
      <c r="R4" s="2">
        <f>mround(R3*Setup!Z3,'Quick Setup'!$A$2)</f>
        <v>392.5</v>
      </c>
      <c r="S4" s="2">
        <f>Setup!AA3</f>
        <v>3</v>
      </c>
      <c r="T4" s="2">
        <f>Setup!AB3</f>
        <v>2</v>
      </c>
      <c r="U4" s="2">
        <f>Setup!AC3</f>
        <v>5</v>
      </c>
      <c r="V4" s="8"/>
      <c r="W4" s="8"/>
      <c r="X4" s="8"/>
      <c r="Y4" s="8"/>
      <c r="Z4" s="2">
        <f>mround(Z3*Setup!AL3,'Quick Setup'!$A$2)</f>
        <v>355</v>
      </c>
      <c r="AA4" s="2">
        <f>Setup!AM3</f>
        <v>5</v>
      </c>
      <c r="AB4" s="2">
        <f>Setup!AN3</f>
        <v>3</v>
      </c>
      <c r="AC4" s="2">
        <f>Setup!AO3</f>
        <v>5</v>
      </c>
      <c r="AD4" s="8"/>
      <c r="AE4" s="8"/>
      <c r="AF4" s="8"/>
      <c r="AG4" s="8"/>
      <c r="AH4" s="2">
        <f>mround(AH3*Setup!AX3,'Quick Setup'!$A$2)</f>
        <v>380</v>
      </c>
      <c r="AI4" s="2">
        <f>Setup!AY3</f>
        <v>4</v>
      </c>
      <c r="AJ4" s="2">
        <f>Setup!AZ3</f>
        <v>2</v>
      </c>
      <c r="AK4" s="2">
        <f>Setup!BA3</f>
        <v>5</v>
      </c>
      <c r="AL4" s="8"/>
      <c r="AM4" s="8"/>
      <c r="AN4" s="8"/>
      <c r="AO4" s="8"/>
      <c r="AP4" s="2">
        <f>mround(AP3*Setup!BJ3,'Quick Setup'!$A$2)</f>
        <v>405</v>
      </c>
      <c r="AQ4" s="2">
        <f>Setup!BK3</f>
        <v>3</v>
      </c>
      <c r="AR4" s="2">
        <f>Setup!BL3</f>
        <v>2</v>
      </c>
      <c r="AS4" s="2">
        <f>Setup!BM3</f>
        <v>5</v>
      </c>
      <c r="AT4" s="8"/>
      <c r="AU4" s="8"/>
      <c r="AV4" s="8"/>
      <c r="AW4" s="8"/>
      <c r="AX4" s="2">
        <f>mround(AX3*Setup!BV3,'Quick Setup'!$A$2)</f>
        <v>295</v>
      </c>
      <c r="AY4" s="2">
        <f>Setup!BW3</f>
        <v>7</v>
      </c>
      <c r="AZ4" s="2">
        <f>Setup!BX3</f>
        <v>3</v>
      </c>
      <c r="BA4" s="2">
        <f>Setup!BY3</f>
        <v>5</v>
      </c>
      <c r="BB4" s="8"/>
      <c r="BC4" s="8"/>
      <c r="BD4" s="8"/>
      <c r="BE4" s="8"/>
      <c r="BF4" s="2">
        <f>mround(BF3*Setup!CH3,'Quick Setup'!$A$2)</f>
        <v>367.5</v>
      </c>
      <c r="BG4" s="2">
        <f>Setup!CI3</f>
        <v>4</v>
      </c>
      <c r="BH4" s="2">
        <f>Setup!CJ3</f>
        <v>2</v>
      </c>
      <c r="BI4" s="2">
        <f>Setup!CK3</f>
        <v>5</v>
      </c>
      <c r="BJ4" s="8"/>
      <c r="BK4" s="8"/>
      <c r="BL4" s="8"/>
      <c r="BM4" s="8"/>
      <c r="BN4" s="2">
        <f>mround(BN3*Setup!CT3,'Quick Setup'!$A$2)</f>
        <v>392.5</v>
      </c>
      <c r="BO4" s="2">
        <f>Setup!CU3</f>
        <v>3</v>
      </c>
      <c r="BP4" s="2">
        <f>Setup!CV3</f>
        <v>2</v>
      </c>
      <c r="BQ4" s="2">
        <f>Setup!CW3</f>
        <v>5</v>
      </c>
      <c r="BR4" s="8"/>
      <c r="BS4" s="8"/>
      <c r="BT4" s="8"/>
      <c r="BU4" s="8"/>
      <c r="BV4" s="2">
        <f>mround(BV3*Setup!DF3,'Quick Setup'!$A$2)</f>
        <v>417.5</v>
      </c>
      <c r="BW4" s="2">
        <f>Setup!DG3</f>
        <v>2</v>
      </c>
      <c r="BX4" s="2">
        <f>Setup!DH3</f>
        <v>1</v>
      </c>
      <c r="BY4" s="2">
        <f>Setup!DI3</f>
        <v>5</v>
      </c>
      <c r="BZ4" s="8"/>
      <c r="CA4" s="8"/>
      <c r="CB4" s="8"/>
      <c r="CC4" s="8"/>
      <c r="CD4" s="2">
        <f>mround(CD3*Setup!DR3,'Quick Setup'!$A$2)</f>
        <v>380</v>
      </c>
      <c r="CE4" s="2">
        <f>Setup!DS3</f>
        <v>4</v>
      </c>
      <c r="CF4" s="2">
        <f>Setup!DT3</f>
        <v>2</v>
      </c>
      <c r="CG4" s="2">
        <f>Setup!DU3</f>
        <v>5</v>
      </c>
      <c r="CH4" s="8"/>
      <c r="CI4" s="8"/>
      <c r="CJ4" s="8"/>
      <c r="CK4" s="8"/>
      <c r="CL4" s="2">
        <f>mround(CL3*Setup!ED3,'Quick Setup'!$A$2)</f>
        <v>405</v>
      </c>
      <c r="CM4" s="2">
        <f>Setup!EE3</f>
        <v>3</v>
      </c>
      <c r="CN4" s="2">
        <f>Setup!EF3</f>
        <v>2</v>
      </c>
      <c r="CO4" s="2">
        <f>Setup!EG3</f>
        <v>5</v>
      </c>
      <c r="CP4" s="8"/>
      <c r="CQ4" s="8"/>
      <c r="CR4" s="8"/>
      <c r="CS4" s="8"/>
      <c r="CT4" s="2">
        <f>mround(CT3*Setup!EP3,'Quick Setup'!$A$2)</f>
        <v>430</v>
      </c>
      <c r="CU4" s="2">
        <f>Setup!EQ3</f>
        <v>2</v>
      </c>
      <c r="CV4" s="2">
        <f>Setup!ER3</f>
        <v>1</v>
      </c>
      <c r="CW4" s="2">
        <f>Setup!ES3</f>
        <v>5</v>
      </c>
      <c r="CX4" s="8"/>
      <c r="CY4" s="8"/>
      <c r="CZ4" s="8"/>
      <c r="DA4" s="8"/>
      <c r="DB4" s="2">
        <f>mround(DB3*Setup!FB3,'Quick Setup'!$A$2)</f>
        <v>295</v>
      </c>
      <c r="DC4" s="2">
        <f>Setup!FC3</f>
        <v>7</v>
      </c>
      <c r="DD4" s="2">
        <f>Setup!FD3</f>
        <v>3</v>
      </c>
      <c r="DE4" s="2">
        <f>Setup!FE3</f>
        <v>5</v>
      </c>
      <c r="DF4" s="8"/>
      <c r="DG4" s="8"/>
      <c r="DH4" s="8"/>
      <c r="DI4" s="8"/>
      <c r="DJ4" s="2">
        <f>mround(DJ3*Setup!FN3,'Quick Setup'!$A$2)</f>
        <v>392.5</v>
      </c>
      <c r="DK4" s="2">
        <f>Setup!FO3</f>
        <v>3</v>
      </c>
      <c r="DL4" s="2">
        <f>Setup!FP3</f>
        <v>2</v>
      </c>
      <c r="DM4" s="2">
        <f>Setup!FQ3</f>
        <v>5</v>
      </c>
      <c r="DN4" s="8"/>
      <c r="DO4" s="8"/>
      <c r="DP4" s="8"/>
      <c r="DQ4" s="8"/>
      <c r="DR4" s="2">
        <f>mround(DR3*Setup!FZ3,'Quick Setup'!$A$2)</f>
        <v>417.5</v>
      </c>
      <c r="DS4" s="2">
        <f>Setup!GA3</f>
        <v>2</v>
      </c>
      <c r="DT4" s="2">
        <f>Setup!GB3</f>
        <v>1</v>
      </c>
      <c r="DU4" s="2">
        <f>Setup!GC3</f>
        <v>5</v>
      </c>
      <c r="DV4" s="8"/>
      <c r="DW4" s="8"/>
      <c r="DX4" s="8"/>
      <c r="DY4" s="8"/>
      <c r="DZ4" s="2">
        <f>mround(DZ3*Setup!GL3,'Quick Setup'!$A$2)</f>
        <v>440</v>
      </c>
      <c r="EA4" s="2">
        <f>Setup!GM3</f>
        <v>1</v>
      </c>
      <c r="EB4" s="2">
        <f>Setup!GN3</f>
        <v>1</v>
      </c>
      <c r="EC4" s="2">
        <f>Setup!GO3</f>
        <v>5</v>
      </c>
      <c r="ED4" s="8"/>
      <c r="EE4" s="8"/>
      <c r="EF4" s="8"/>
      <c r="EG4" s="8"/>
      <c r="EH4" s="2">
        <f>mround(EH3*Setup!GX3,'Quick Setup'!$A$2)</f>
        <v>417.5</v>
      </c>
      <c r="EI4" s="2">
        <f>Setup!GY3</f>
        <v>2</v>
      </c>
      <c r="EJ4" s="2">
        <f>Setup!GZ3</f>
        <v>1</v>
      </c>
      <c r="EK4" s="2">
        <f>Setup!HA3</f>
        <v>5</v>
      </c>
      <c r="EL4" s="8"/>
      <c r="EM4" s="8"/>
      <c r="EN4" s="8"/>
      <c r="EO4" s="8"/>
      <c r="EP4" s="2">
        <f>mround(EP3*Setup!HJ3,'Quick Setup'!$A$2)</f>
        <v>440</v>
      </c>
      <c r="EQ4" s="2">
        <f>Setup!HK3</f>
        <v>1</v>
      </c>
      <c r="ER4" s="2">
        <f>Setup!HL3</f>
        <v>1</v>
      </c>
      <c r="ES4" s="2">
        <f>Setup!HM3</f>
        <v>5</v>
      </c>
      <c r="ET4" s="8"/>
      <c r="EU4" s="8"/>
      <c r="EV4" s="8"/>
      <c r="EW4" s="8"/>
      <c r="EX4" s="2">
        <f>mround(EX3*Setup!HV3,'Quick Setup'!$A$2)</f>
        <v>465</v>
      </c>
      <c r="EY4" s="2">
        <f>Setup!HW3</f>
        <v>1</v>
      </c>
      <c r="EZ4" s="2">
        <f>Setup!HX3</f>
        <v>1</v>
      </c>
      <c r="FA4" s="2">
        <f>Setup!HY3</f>
        <v>5</v>
      </c>
      <c r="FB4" s="8"/>
      <c r="FC4" s="8"/>
      <c r="FD4" s="8"/>
      <c r="FE4" s="8"/>
      <c r="FF4" s="2">
        <f>mround(FF3*Setup!IH3,'Quick Setup'!$A$2)</f>
        <v>295</v>
      </c>
      <c r="FG4" s="2">
        <f>Setup!II3</f>
        <v>7</v>
      </c>
      <c r="FH4" s="2">
        <f>Setup!IJ3</f>
        <v>3</v>
      </c>
      <c r="FI4" s="2">
        <f>Setup!IK3</f>
        <v>5</v>
      </c>
      <c r="FJ4" s="8"/>
      <c r="FK4" s="8"/>
      <c r="FL4" s="8"/>
      <c r="FM4" s="8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1" t="str">
        <f>CONCATENATE(A6," TM")</f>
        <v>Bench Press TM</v>
      </c>
      <c r="B5" s="2">
        <f>if(D5="",'Quick Setup'!D6,D5/'Quick Setup'!E6)</f>
        <v>325</v>
      </c>
      <c r="C5" s="1" t="s">
        <v>77</v>
      </c>
      <c r="D5" s="8"/>
      <c r="E5" s="2"/>
      <c r="F5" s="2"/>
      <c r="G5" s="2"/>
      <c r="H5" s="2"/>
      <c r="I5" s="2"/>
      <c r="J5" s="2">
        <f>if(L5="", if(F6="",B5, if((F6-E6)&lt;-1.9,B5*(1+Setup!F4),if((F6-E6)=-1,B5*(1+Setup!G4),if(G6&lt;D6,B5*(1+Setup!G4),if(G6=D6,B5*(1+Setup!H4),if((G6-D6)=1,B5*(1+Setup!I4),if((G6-D6)=2,B5*(1+Setup!J4),if((G6-D6)=3,B5*(1+Setup!K4),if((G6-D6)=4,B5*(1+Setup!L4),if((G6-D6)&gt;4.1,B5*(1+Setup!M4),B5)))))))))),L5/'Quick Setup'!$E6)</f>
        <v>325</v>
      </c>
      <c r="K5" s="1" t="s">
        <v>77</v>
      </c>
      <c r="L5" s="8"/>
      <c r="M5" s="2"/>
      <c r="N5" s="2"/>
      <c r="O5" s="2"/>
      <c r="P5" s="2"/>
      <c r="Q5" s="2"/>
      <c r="R5" s="2">
        <f>if(T5="", if(N6="",J5, if((N6-M6)&lt;-1.9,J5*(1+Setup!R4),if((N6-M6)=-1,J5*(1+Setup!S4),if(O6&lt;L6,J5*(1+Setup!S4),if(O6=L6,J5*(1+Setup!T4),if((O6-L6)=1,J5*(1+Setup!U4),if((O6-L6)=2,J5*(1+Setup!V4),if((O6-L6)=3,J5*(1+Setup!W4),if((O6-L6)=4,J5*(1+Setup!X4),if((O6-L6)&gt;4.1,J5*(1+Setup!Y4),J5)))))))))),T5/'Quick Setup'!$E6)</f>
        <v>325</v>
      </c>
      <c r="S5" s="1" t="s">
        <v>77</v>
      </c>
      <c r="T5" s="8"/>
      <c r="U5" s="2"/>
      <c r="V5" s="2"/>
      <c r="W5" s="2"/>
      <c r="X5" s="2"/>
      <c r="Y5" s="2"/>
      <c r="Z5" s="2">
        <f>if(AB5="", if(V6="",R5, if((V6-U6)&lt;-1.9,R5*(1+Setup!AD4),if((V6-U6)=-1,R5*(1+Setup!AE4),if(W6&lt;T6,R5*(1+Setup!AE4),if(W6=T6,R5*(1+Setup!AF4),if((W6-T6)=1,R5*(1+Setup!AG4),if((W6-T6)=2,R5*(1+Setup!AH4),if((W6-T6)=3,R5*(1+Setup!AI4),if((W6-T6)=4,R5*(1+Setup!AJ4),if((W6-T6)&gt;4.1,R5*(1+Setup!AK4),R5)))))))))),AB5/'Quick Setup'!$E6)</f>
        <v>325</v>
      </c>
      <c r="AA5" s="1" t="s">
        <v>77</v>
      </c>
      <c r="AB5" s="8"/>
      <c r="AC5" s="2"/>
      <c r="AD5" s="2"/>
      <c r="AE5" s="2"/>
      <c r="AF5" s="2"/>
      <c r="AG5" s="2"/>
      <c r="AH5" s="2">
        <f>if(AJ5="", if(AD6="",Z5, if((AD6-AC6)&lt;-1.9,Z5*(1+Setup!AP4),if((AD6-AC6)=-1,Z5*(1+Setup!AQ4),if(AE6&lt;AB6,Z5*(1+Setup!AQ4),if(AE6=AB6,Z5*(1+Setup!AR4),if((AE6-AB6)=1,Z5*(1+Setup!AS4),if((AE6-AB6)=2,Z5*(1+Setup!AT4),if((AE6-AB6)=3,Z5*(1+Setup!AU4),if((AE6-AB6)=4,Z5*(1+Setup!AV4),if((AE6-AB6)&gt;4.1,Z5*(1+Setup!AW4),Z5)))))))))),AJ5/'Quick Setup'!$E6)</f>
        <v>325</v>
      </c>
      <c r="AI5" s="1" t="s">
        <v>77</v>
      </c>
      <c r="AJ5" s="8"/>
      <c r="AK5" s="2"/>
      <c r="AL5" s="2"/>
      <c r="AM5" s="2"/>
      <c r="AN5" s="2"/>
      <c r="AO5" s="2"/>
      <c r="AP5" s="2">
        <f>if(AR5="", if(AL6="",AH5, if((AL6-AK6)&lt;-1.9,AH5*(1+Setup!BB4),if((AL6-AK6)=-1,AH5*(1+Setup!BC4),if(AM6&lt;AJ6,AH5*(1+Setup!BC4),if(AM6=AJ6,AH5*(1+Setup!BD4),if((AM6-AJ6)=1,AH5*(1+Setup!BE4),if((AM6-AJ6)=2,AH5*(1+Setup!BF4),if((AM6-AJ6)=3,AH5*(1+Setup!BG4),if((AM6-AJ6)=4,AH5*(1+Setup!BH4),if((AM6-AJ6)&gt;4.1,AH5*(1+Setup!BI4),AH5)))))))))),AR5/'Quick Setup'!$E6)</f>
        <v>325</v>
      </c>
      <c r="AQ5" s="1" t="s">
        <v>77</v>
      </c>
      <c r="AR5" s="8"/>
      <c r="AS5" s="2"/>
      <c r="AT5" s="2"/>
      <c r="AU5" s="2"/>
      <c r="AV5" s="2"/>
      <c r="AW5" s="2"/>
      <c r="AX5" s="2">
        <f>if(AZ5="", if(AT6="",AP5, if((AT6-AS6)&lt;-1.9,AP5*(1+Setup!BN4),if((AT6-AS6)=-1,AP5*(1+Setup!BO4),if(AU6&lt;AR6,AP5*(1+Setup!BO4),if(AU6=AR6,AP5*(1+Setup!BP4),if((AU6-AR6)=1,AP5*(1+Setup!BQ4),if((AU6-AR6)=2,AP5*(1+Setup!BR4),if((AU6-AR6)=3,AP5*(1+Setup!BS4),if((AU6-AR6)=4,AP5*(1+Setup!BT4),if((AU6-AR6)&gt;4.1,AP5*(1+Setup!BU4),AP5)))))))))),AZ5/'Quick Setup'!$E6)</f>
        <v>325</v>
      </c>
      <c r="AY5" s="1" t="s">
        <v>77</v>
      </c>
      <c r="AZ5" s="8"/>
      <c r="BA5" s="2"/>
      <c r="BB5" s="2"/>
      <c r="BC5" s="2"/>
      <c r="BD5" s="2"/>
      <c r="BE5" s="2"/>
      <c r="BF5" s="2">
        <f>if(BH5="", if(BB6="",AX5, if((BB6-BA6)&lt;-1.9,AX5*(1+Setup!BZ4),if((BB6-BA6)=-1,AX5*(1+Setup!CA4),if(BC6&lt;AZ6,AX5*(1+Setup!CA4),if(BC6=AZ6,AX5*(1+Setup!CB4),if((BC6-AZ6)=1,AX5*(1+Setup!CC4),if((BC6-AZ6)=2,AX5*(1+Setup!CD4),if((BC6-AZ6)=3,AX5*(1+Setup!CE4),if((BC6-AZ6)=4,AX5*(1+Setup!CF4),if((BC6-AZ6)&gt;4.1,AX5*(1+Setup!CG4),AX5)))))))))),BH5/'Quick Setup'!$E6)</f>
        <v>325</v>
      </c>
      <c r="BG5" s="1" t="s">
        <v>77</v>
      </c>
      <c r="BH5" s="8"/>
      <c r="BI5" s="2"/>
      <c r="BJ5" s="2"/>
      <c r="BK5" s="2"/>
      <c r="BL5" s="2"/>
      <c r="BM5" s="2"/>
      <c r="BN5" s="2">
        <f>if(BP5="", if(BJ6="",BF5, if((BJ6-BI6)&lt;-1.9,BF5*(1+Setup!CL4),if((BJ6-BI6)=-1,BF5*(1+Setup!CM4),if(BK6&lt;BH6,BF5*(1+Setup!CM4),if(BK6=BH6,BF5*(1+Setup!CN4),if((BK6-BH6)=1,BF5*(1+Setup!CO4),if((BK6-BH6)=2,BF5*(1+Setup!CP4),if((BK6-BH6)=3,BF5*(1+Setup!CQ4),if((BK6-BH6)=4,BF5*(1+Setup!CR4),if((BK6-BH6)&gt;4.1,BF5*(1+Setup!CS4),BF5)))))))))),BP5/'Quick Setup'!$E6)</f>
        <v>325</v>
      </c>
      <c r="BO5" s="1" t="s">
        <v>77</v>
      </c>
      <c r="BP5" s="8"/>
      <c r="BQ5" s="2"/>
      <c r="BR5" s="2"/>
      <c r="BS5" s="2"/>
      <c r="BT5" s="2"/>
      <c r="BU5" s="2"/>
      <c r="BV5" s="2">
        <f>if(BX5="", if(BR6="",BN5, if((BR6-BQ6)&lt;-1.9,BN5*(1+Setup!CX4),if((BR6-BQ6)=-1,BN5*(1+Setup!CY4),if(BS6&lt;BP6,BN5*(1+Setup!CY4),if(BS6=BP6,BN5*(1+Setup!CZ4),if((BS6-BP6)=1,BN5*(1+Setup!DA4),if((BS6-BP6)=2,BN5*(1+Setup!DB4),if((BS6-BP6)=3,BN5*(1+Setup!DC4),if((BS6-BP6)=4,BN5*(1+Setup!DD4),if((BS6-BP6)&gt;4.1,BN5*(1+Setup!DE4),BN5)))))))))),BX5/'Quick Setup'!$E6)</f>
        <v>325</v>
      </c>
      <c r="BW5" s="1" t="s">
        <v>77</v>
      </c>
      <c r="BX5" s="8"/>
      <c r="BY5" s="2"/>
      <c r="BZ5" s="2"/>
      <c r="CA5" s="2"/>
      <c r="CB5" s="2"/>
      <c r="CC5" s="2"/>
      <c r="CD5" s="2">
        <f>if(CF5="", if(BZ6="",BV5, if((BZ6-BY6)&lt;-1.9,BV5*(1+Setup!DJ4),if((BZ6-BY6)=-1,BV5*(1+Setup!DK4),if(CA6&lt;BX6,BV5*(1+Setup!DK4),if(CA6=BX6,BV5*(1+Setup!DL4),if((CA6-BX6)=1,BV5*(1+Setup!DM4),if((CA6-BX6)=2,BV5*(1+Setup!DN4),if((CA6-BX6)=3,BV5*(1+Setup!DO4),if((CA6-BX6)=4,BV5*(1+Setup!DP4),if((CA6-BX6)&gt;4.1,BV5*(1+Setup!DQ4),BV5)))))))))),CF5/'Quick Setup'!$E6)</f>
        <v>325</v>
      </c>
      <c r="CE5" s="1" t="s">
        <v>77</v>
      </c>
      <c r="CF5" s="8"/>
      <c r="CG5" s="2"/>
      <c r="CH5" s="2"/>
      <c r="CI5" s="2"/>
      <c r="CJ5" s="2"/>
      <c r="CK5" s="2"/>
      <c r="CL5" s="2">
        <f>if(CN5="", if(CH6="",CD5, if((CH6-CG6)&lt;-1.9,CD5*(1+Setup!DV4),if((CH6-CG6)=-1,CD5*(1+Setup!DW4),if(CI6&lt;CF6,CD5*(1+Setup!DW4),if(CI6=CF6,CD5*(1+Setup!DX4),if((CI6-CF6)=1,CD5*(1+Setup!DY4),if((CI6-CF6)=2,CD5*(1+Setup!DZ4),if((CI6-CF6)=3,CD5*(1+Setup!EA4),if((CI6-CF6)=4,CD5*(1+Setup!EB4),if((CI6-CF6)&gt;4.1,CD5*(1+Setup!EC4),CD5)))))))))),CN5/'Quick Setup'!$E6)</f>
        <v>325</v>
      </c>
      <c r="CM5" s="1" t="s">
        <v>77</v>
      </c>
      <c r="CN5" s="8"/>
      <c r="CO5" s="2"/>
      <c r="CP5" s="2"/>
      <c r="CQ5" s="2"/>
      <c r="CR5" s="2"/>
      <c r="CS5" s="2"/>
      <c r="CT5" s="2">
        <f>if(CV5="", if(CP6="",CL5, if((CP6-CO6)&lt;-1.9,CL5*(1+Setup!EH4),if((CP6-CO6)=-1,CL5*(1+Setup!EI4),if(CQ6&lt;CN6,CL5*(1+Setup!EI4),if(CQ6=CN6,CL5*(1+Setup!EJ4),if((CQ6-CN6)=1,CL5*(1+Setup!EK4),if((CQ6-CN6)=2,CL5*(1+Setup!EL4),if((CQ6-CN6)=3,CL5*(1+Setup!EM4),if((CQ6-CN6)=4,CL5*(1+Setup!EN4),if((CQ6-CN6)&gt;4.1,CL5*(1+Setup!EO4),CL5)))))))))),CV5/'Quick Setup'!$E6)</f>
        <v>325</v>
      </c>
      <c r="CU5" s="1" t="s">
        <v>77</v>
      </c>
      <c r="CV5" s="8"/>
      <c r="CW5" s="2"/>
      <c r="CX5" s="2"/>
      <c r="CY5" s="2"/>
      <c r="CZ5" s="2"/>
      <c r="DA5" s="2"/>
      <c r="DB5" s="2">
        <f>if(DD5="", if(CX6="",CT5, if((CX6-CW6)&lt;-1.9,CT5*(1+Setup!ET4),if((CX6-CW6)=-1,CT5*(1+Setup!EU4),if(CY6&lt;CV6,CT5*(1+Setup!EU4),if(CY6=CV6,CT5*(1+Setup!EV4),if((CY6-CV6)=1,CT5*(1+Setup!EW4),if((CY6-CV6)=2,CT5*(1+Setup!EX4),if((CY6-CV6)=3,CT5*(1+Setup!EY4),if((CY6-CV6)=4,CT5*(1+Setup!EZ4),if((CY6-CV6)&gt;4.1,CT5*(1+Setup!FA4),CT5)))))))))),DD5/'Quick Setup'!$E6)</f>
        <v>325</v>
      </c>
      <c r="DC5" s="1" t="s">
        <v>77</v>
      </c>
      <c r="DD5" s="8"/>
      <c r="DE5" s="2"/>
      <c r="DF5" s="2"/>
      <c r="DG5" s="2"/>
      <c r="DH5" s="2"/>
      <c r="DI5" s="2"/>
      <c r="DJ5" s="2">
        <f>if(DL5="", if(DF6="",DB5, if((DF6-DE6)&lt;-1.9,DB5*(1+Setup!FF4),if((DF6-DE6)=-1,DB5*(1+Setup!FG4),if(DG6&lt;DD6,DB5*(1+Setup!FG4),if(DG6=DD6,DB5*(1+Setup!FH4),if((DG6-DD6)=1,DB5*(1+Setup!FI4),if((DG6-DD6)=2,DB5*(1+Setup!FJ4),if((DG6-DD6)=3,DB5*(1+Setup!FK4),if((DG6-DD6)=4,DB5*(1+Setup!FL4),if((DG6-DD6)&gt;4.1,DB5*(1+Setup!FM4),DB5)))))))))),DL5/'Quick Setup'!$E6)</f>
        <v>325</v>
      </c>
      <c r="DK5" s="1" t="s">
        <v>77</v>
      </c>
      <c r="DL5" s="8"/>
      <c r="DM5" s="2"/>
      <c r="DN5" s="2"/>
      <c r="DO5" s="2"/>
      <c r="DP5" s="2"/>
      <c r="DQ5" s="2"/>
      <c r="DR5" s="2">
        <f>if(DT5="", if(DN6="",DJ5, if((DN6-DM6)&lt;-1.9,DJ5*(1+Setup!FR4),if((DN6-DM6)=-1,DJ5*(1+Setup!FS4),if(DO6&lt;DL6,DJ5*(1+Setup!FS4),if(DO6=DL6,DJ5*(1+Setup!FT4),if((DO6-DL6)=1,DJ5*(1+Setup!FU4),if((DO6-DL6)=2,DJ5*(1+Setup!FV4),if((DO6-DL6)=3,DJ5*(1+Setup!FW4),if((DO6-DL6)=4,DJ5*(1+Setup!FX4),if((DO6-DL6)&gt;4.1,DJ5*(1+Setup!FY4),DJ5)))))))))),DT5/'Quick Setup'!$E6)</f>
        <v>325</v>
      </c>
      <c r="DS5" s="1" t="s">
        <v>77</v>
      </c>
      <c r="DT5" s="8"/>
      <c r="DU5" s="2"/>
      <c r="DV5" s="2"/>
      <c r="DW5" s="2"/>
      <c r="DX5" s="2"/>
      <c r="DY5" s="2"/>
      <c r="DZ5" s="2">
        <f>if(EB5="", if(DV6="",DR5, if((DV6-DU6)&lt;-1.9,DR5*(1+Setup!GD4),if((DV6-DU6)=-1,DR5*(1+Setup!GE4),if(DW6&lt;DT6,DR5*(1+Setup!GE4),if(DW6=DT6,DR5*(1+Setup!GF4),if((DW6-DT6)=1,DR5*(1+Setup!GG4),if((DW6-DT6)=2,DR5*(1+Setup!GH4),if((DW6-DT6)=3,DR5*(1+Setup!GI4),if((DW6-DT6)=4,DR5*(1+Setup!GJ4),if((DW6-DT6)&gt;4.1,DR5*(1+Setup!GK4),DR5)))))))))),EB5/'Quick Setup'!$E6)</f>
        <v>325</v>
      </c>
      <c r="EA5" s="1" t="s">
        <v>77</v>
      </c>
      <c r="EB5" s="8"/>
      <c r="EC5" s="2"/>
      <c r="ED5" s="2"/>
      <c r="EE5" s="2"/>
      <c r="EF5" s="2"/>
      <c r="EG5" s="2"/>
      <c r="EH5" s="2">
        <f>if(EJ5="", if(ED6="",DZ5, if((ED6-EC6)&lt;-1.9,DZ5*(1+Setup!GP4),if((ED6-EC6)=-1,DZ5*(1+Setup!GQ4),if(EE6&lt;EB6,DZ5*(1+Setup!GQ4),if(EE6=EB6,DZ5*(1+Setup!GR4),if((EE6-EB6)=1,DZ5*(1+Setup!GS4),if((EE6-EB6)=2,DZ5*(1+Setup!GT4),if((EE6-EB6)=3,DZ5*(1+Setup!GU4),if((EE6-EB6)=4,DZ5*(1+Setup!GV4),if((EE6-EB6)&gt;4.1,DZ5*(1+Setup!GW4),DZ5)))))))))),EJ5/'Quick Setup'!$E6)</f>
        <v>325</v>
      </c>
      <c r="EI5" s="1" t="s">
        <v>77</v>
      </c>
      <c r="EJ5" s="8"/>
      <c r="EK5" s="2"/>
      <c r="EL5" s="2"/>
      <c r="EM5" s="2"/>
      <c r="EN5" s="2"/>
      <c r="EO5" s="2"/>
      <c r="EP5" s="2">
        <f>if(ER5="", if(EL6="",EH5, if((EL6-EK6)&lt;-1.9,EH5*(1+Setup!HB4),if((EL6-EK6)=-1,EH5*(1+Setup!HC4),if(EM6&lt;EJ6,EH5*(1+Setup!HC4),if(EM6=EJ6,EH5*(1+Setup!HD4),if((EM6-EJ6)=1,EH5*(1+Setup!HE4),if((EM6-EJ6)=2,EH5*(1+Setup!HF4),if((EM6-EJ6)=3,EH5*(1+Setup!HG4),if((EM6-EJ6)=4,EH5*(1+Setup!HH4),if((EM6-EJ6)&gt;4.1,EH5*(1+Setup!HI4),EH5)))))))))),ER5/'Quick Setup'!$E6)</f>
        <v>325</v>
      </c>
      <c r="EQ5" s="1" t="s">
        <v>77</v>
      </c>
      <c r="ER5" s="8"/>
      <c r="ES5" s="2"/>
      <c r="ET5" s="2"/>
      <c r="EU5" s="2"/>
      <c r="EV5" s="2"/>
      <c r="EW5" s="2"/>
      <c r="EX5" s="2">
        <f>if(EZ5="", if(ET6="",EP5, if((ET6-ES6)&lt;-1.9,EP5*(1+Setup!HN4),if((ET6-ES6)=-1,EP5*(1+Setup!HO4),if(EU6&lt;ER6,EP5*(1+Setup!HO4),if(EU6=ER6,EP5*(1+Setup!HP4),if((EU6-ER6)=1,EP5*(1+Setup!HQ4),if((EU6-ER6)=2,EP5*(1+Setup!HR4),if((EU6-ER6)=3,EP5*(1+Setup!HS4),if((EU6-ER6)=4,EP5*(1+Setup!HT4),if((EU6-ER6)&gt;4.1,EP5*(1+Setup!HU4),EP5)))))))))),EZ5/'Quick Setup'!$E6)</f>
        <v>325</v>
      </c>
      <c r="EY5" s="1" t="s">
        <v>77</v>
      </c>
      <c r="EZ5" s="8"/>
      <c r="FA5" s="2"/>
      <c r="FB5" s="2"/>
      <c r="FC5" s="2"/>
      <c r="FD5" s="2"/>
      <c r="FE5" s="2"/>
      <c r="FF5" s="2">
        <f>if(FH5="", if(FB6="",EX5, if((FB6-FA6)&lt;-1.9,EX5*(1+Setup!HZ4),if((FB6-FA6)=-1,EX5*(1+Setup!IA4),if(FC6&lt;EZ6,EX5*(1+Setup!IA4),if(FC6=EZ6,EX5*(1+Setup!IB4),if((FC6-EZ6)=1,EX5*(1+Setup!IC4),if((FC6-EZ6)=2,EX5*(1+Setup!ID4),if((FC6-EZ6)=3,EX5*(1+Setup!IE4),if((FC6-EZ6)=4,EX5*(1+Setup!IF4),if((FC6-EZ6)&gt;4.1,EX5*(1+Setup!IG4),EX5)))))))))),FH5/'Quick Setup'!$E6)</f>
        <v>325</v>
      </c>
      <c r="FG5" s="1" t="s">
        <v>77</v>
      </c>
      <c r="FH5" s="8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1" t="str">
        <f>Setup!A4</f>
        <v>Bench Press</v>
      </c>
      <c r="B6" s="2">
        <f>mround(B5*Setup!B4,'Quick Setup'!$A$2)</f>
        <v>227.5</v>
      </c>
      <c r="C6" s="2">
        <f>Setup!C4</f>
        <v>5</v>
      </c>
      <c r="D6" s="2">
        <f>Setup!D4</f>
        <v>3</v>
      </c>
      <c r="E6" s="2">
        <f>Setup!E4</f>
        <v>5</v>
      </c>
      <c r="F6" s="8"/>
      <c r="G6" s="8"/>
      <c r="H6" s="8"/>
      <c r="I6" s="8"/>
      <c r="J6" s="2">
        <f>mround(J5*Setup!N4,'Quick Setup'!$A$2)</f>
        <v>245</v>
      </c>
      <c r="K6" s="2">
        <f>Setup!O4</f>
        <v>4</v>
      </c>
      <c r="L6" s="2">
        <f>Setup!P4</f>
        <v>2</v>
      </c>
      <c r="M6" s="2">
        <f>Setup!Q4</f>
        <v>5</v>
      </c>
      <c r="N6" s="8"/>
      <c r="O6" s="8"/>
      <c r="P6" s="8"/>
      <c r="Q6" s="8"/>
      <c r="R6" s="2">
        <f>mround(R5*Setup!Z4,'Quick Setup'!$A$2)</f>
        <v>260</v>
      </c>
      <c r="S6" s="2">
        <f>Setup!AA4</f>
        <v>3</v>
      </c>
      <c r="T6" s="2">
        <f>Setup!AB4</f>
        <v>2</v>
      </c>
      <c r="U6" s="2">
        <f>Setup!AC4</f>
        <v>5</v>
      </c>
      <c r="V6" s="8"/>
      <c r="W6" s="8"/>
      <c r="X6" s="8"/>
      <c r="Y6" s="8"/>
      <c r="Z6" s="2">
        <f>mround(Z5*Setup!AL4,'Quick Setup'!$A$2)</f>
        <v>235</v>
      </c>
      <c r="AA6" s="2">
        <f>Setup!AM4</f>
        <v>5</v>
      </c>
      <c r="AB6" s="2">
        <f>Setup!AN4</f>
        <v>3</v>
      </c>
      <c r="AC6" s="2">
        <f>Setup!AO4</f>
        <v>5</v>
      </c>
      <c r="AD6" s="8"/>
      <c r="AE6" s="8"/>
      <c r="AF6" s="8"/>
      <c r="AG6" s="8"/>
      <c r="AH6" s="2">
        <f>mround(AH5*Setup!AX4,'Quick Setup'!$A$2)</f>
        <v>252.5</v>
      </c>
      <c r="AI6" s="2">
        <f>Setup!AY4</f>
        <v>4</v>
      </c>
      <c r="AJ6" s="2">
        <f>Setup!AZ4</f>
        <v>2</v>
      </c>
      <c r="AK6" s="2">
        <f>Setup!BA4</f>
        <v>5</v>
      </c>
      <c r="AL6" s="8"/>
      <c r="AM6" s="8"/>
      <c r="AN6" s="8"/>
      <c r="AO6" s="8"/>
      <c r="AP6" s="2">
        <f>mround(AP5*Setup!BJ4,'Quick Setup'!$A$2)</f>
        <v>267.5</v>
      </c>
      <c r="AQ6" s="2">
        <f>Setup!BK4</f>
        <v>3</v>
      </c>
      <c r="AR6" s="2">
        <f>Setup!BL4</f>
        <v>2</v>
      </c>
      <c r="AS6" s="2">
        <f>Setup!BM4</f>
        <v>5</v>
      </c>
      <c r="AT6" s="8"/>
      <c r="AU6" s="8"/>
      <c r="AV6" s="8"/>
      <c r="AW6" s="8"/>
      <c r="AX6" s="2">
        <f>mround(AX5*Setup!BV4,'Quick Setup'!$A$2)</f>
        <v>195</v>
      </c>
      <c r="AY6" s="2">
        <f>Setup!BW4</f>
        <v>7</v>
      </c>
      <c r="AZ6" s="2">
        <f>Setup!BX4</f>
        <v>3</v>
      </c>
      <c r="BA6" s="2">
        <f>Setup!BY4</f>
        <v>5</v>
      </c>
      <c r="BB6" s="8"/>
      <c r="BC6" s="8"/>
      <c r="BD6" s="8"/>
      <c r="BE6" s="8"/>
      <c r="BF6" s="2">
        <f>mround(BF5*Setup!CH4,'Quick Setup'!$A$2)</f>
        <v>245</v>
      </c>
      <c r="BG6" s="2">
        <f>Setup!CI4</f>
        <v>4</v>
      </c>
      <c r="BH6" s="2">
        <f>Setup!CJ4</f>
        <v>2</v>
      </c>
      <c r="BI6" s="2">
        <f>Setup!CK4</f>
        <v>5</v>
      </c>
      <c r="BJ6" s="8"/>
      <c r="BK6" s="8"/>
      <c r="BL6" s="8"/>
      <c r="BM6" s="8"/>
      <c r="BN6" s="2">
        <f>mround(BN5*Setup!CT4,'Quick Setup'!$A$2)</f>
        <v>260</v>
      </c>
      <c r="BO6" s="2">
        <f>Setup!CU4</f>
        <v>3</v>
      </c>
      <c r="BP6" s="2">
        <f>Setup!CV4</f>
        <v>2</v>
      </c>
      <c r="BQ6" s="2">
        <f>Setup!CW4</f>
        <v>5</v>
      </c>
      <c r="BR6" s="8"/>
      <c r="BS6" s="8"/>
      <c r="BT6" s="8"/>
      <c r="BU6" s="8"/>
      <c r="BV6" s="2">
        <f>mround(BV5*Setup!DF4,'Quick Setup'!$A$2)</f>
        <v>277.5</v>
      </c>
      <c r="BW6" s="2">
        <f>Setup!DG4</f>
        <v>2</v>
      </c>
      <c r="BX6" s="2">
        <f>Setup!DH4</f>
        <v>1</v>
      </c>
      <c r="BY6" s="2">
        <f>Setup!DI4</f>
        <v>5</v>
      </c>
      <c r="BZ6" s="8"/>
      <c r="CA6" s="8"/>
      <c r="CB6" s="8"/>
      <c r="CC6" s="8"/>
      <c r="CD6" s="2">
        <f>mround(CD5*Setup!DR4,'Quick Setup'!$A$2)</f>
        <v>252.5</v>
      </c>
      <c r="CE6" s="2">
        <f>Setup!DS4</f>
        <v>4</v>
      </c>
      <c r="CF6" s="2">
        <f>Setup!DT4</f>
        <v>2</v>
      </c>
      <c r="CG6" s="2">
        <f>Setup!DU4</f>
        <v>5</v>
      </c>
      <c r="CH6" s="8"/>
      <c r="CI6" s="8"/>
      <c r="CJ6" s="8"/>
      <c r="CK6" s="8"/>
      <c r="CL6" s="2">
        <f>mround(CL5*Setup!ED4,'Quick Setup'!$A$2)</f>
        <v>267.5</v>
      </c>
      <c r="CM6" s="2">
        <f>Setup!EE4</f>
        <v>3</v>
      </c>
      <c r="CN6" s="2">
        <f>Setup!EF4</f>
        <v>2</v>
      </c>
      <c r="CO6" s="2">
        <f>Setup!EG4</f>
        <v>5</v>
      </c>
      <c r="CP6" s="8"/>
      <c r="CQ6" s="8"/>
      <c r="CR6" s="8"/>
      <c r="CS6" s="8"/>
      <c r="CT6" s="2">
        <f>mround(CT5*Setup!EP4,'Quick Setup'!$A$2)</f>
        <v>285</v>
      </c>
      <c r="CU6" s="2">
        <f>Setup!EQ4</f>
        <v>2</v>
      </c>
      <c r="CV6" s="2">
        <f>Setup!ER4</f>
        <v>1</v>
      </c>
      <c r="CW6" s="2">
        <f>Setup!ES4</f>
        <v>5</v>
      </c>
      <c r="CX6" s="8"/>
      <c r="CY6" s="8"/>
      <c r="CZ6" s="8"/>
      <c r="DA6" s="8"/>
      <c r="DB6" s="2">
        <f>mround(DB5*Setup!FB4,'Quick Setup'!$A$2)</f>
        <v>195</v>
      </c>
      <c r="DC6" s="2">
        <f>Setup!FC4</f>
        <v>7</v>
      </c>
      <c r="DD6" s="2">
        <f>Setup!FD4</f>
        <v>3</v>
      </c>
      <c r="DE6" s="2">
        <f>Setup!FE4</f>
        <v>5</v>
      </c>
      <c r="DF6" s="8"/>
      <c r="DG6" s="8"/>
      <c r="DH6" s="8"/>
      <c r="DI6" s="8"/>
      <c r="DJ6" s="2">
        <f>mround(DJ5*Setup!FN4,'Quick Setup'!$A$2)</f>
        <v>260</v>
      </c>
      <c r="DK6" s="2">
        <f>Setup!FO4</f>
        <v>3</v>
      </c>
      <c r="DL6" s="2">
        <f>Setup!FP4</f>
        <v>2</v>
      </c>
      <c r="DM6" s="2">
        <f>Setup!FQ4</f>
        <v>5</v>
      </c>
      <c r="DN6" s="8"/>
      <c r="DO6" s="8"/>
      <c r="DP6" s="8"/>
      <c r="DQ6" s="8"/>
      <c r="DR6" s="2">
        <f>mround(DR5*Setup!FZ4,'Quick Setup'!$A$2)</f>
        <v>277.5</v>
      </c>
      <c r="DS6" s="2">
        <f>Setup!GA4</f>
        <v>2</v>
      </c>
      <c r="DT6" s="2">
        <f>Setup!GB4</f>
        <v>1</v>
      </c>
      <c r="DU6" s="2">
        <f>Setup!GC4</f>
        <v>5</v>
      </c>
      <c r="DV6" s="8"/>
      <c r="DW6" s="8"/>
      <c r="DX6" s="8"/>
      <c r="DY6" s="8"/>
      <c r="DZ6" s="2">
        <f>mround(DZ5*Setup!GL4,'Quick Setup'!$A$2)</f>
        <v>292.5</v>
      </c>
      <c r="EA6" s="2">
        <f>Setup!GM4</f>
        <v>1</v>
      </c>
      <c r="EB6" s="2">
        <f>Setup!GN4</f>
        <v>1</v>
      </c>
      <c r="EC6" s="2">
        <f>Setup!GO4</f>
        <v>5</v>
      </c>
      <c r="ED6" s="8"/>
      <c r="EE6" s="8"/>
      <c r="EF6" s="8"/>
      <c r="EG6" s="8"/>
      <c r="EH6" s="2">
        <f>mround(EH5*Setup!GX4,'Quick Setup'!$A$2)</f>
        <v>277.5</v>
      </c>
      <c r="EI6" s="2">
        <f>Setup!GY4</f>
        <v>2</v>
      </c>
      <c r="EJ6" s="2">
        <f>Setup!GZ4</f>
        <v>1</v>
      </c>
      <c r="EK6" s="2">
        <f>Setup!HA4</f>
        <v>5</v>
      </c>
      <c r="EL6" s="8"/>
      <c r="EM6" s="8"/>
      <c r="EN6" s="8"/>
      <c r="EO6" s="8"/>
      <c r="EP6" s="2">
        <f>mround(EP5*Setup!HJ4,'Quick Setup'!$A$2)</f>
        <v>292.5</v>
      </c>
      <c r="EQ6" s="2">
        <f>Setup!HK4</f>
        <v>1</v>
      </c>
      <c r="ER6" s="2">
        <f>Setup!HL4</f>
        <v>1</v>
      </c>
      <c r="ES6" s="2">
        <f>Setup!HM4</f>
        <v>5</v>
      </c>
      <c r="ET6" s="8"/>
      <c r="EU6" s="8"/>
      <c r="EV6" s="8"/>
      <c r="EW6" s="8"/>
      <c r="EX6" s="2">
        <f>mround(EX5*Setup!HV4,'Quick Setup'!$A$2)</f>
        <v>310</v>
      </c>
      <c r="EY6" s="2">
        <f>Setup!HW4</f>
        <v>1</v>
      </c>
      <c r="EZ6" s="2">
        <f>Setup!HX4</f>
        <v>1</v>
      </c>
      <c r="FA6" s="2">
        <f>Setup!HY4</f>
        <v>5</v>
      </c>
      <c r="FB6" s="8"/>
      <c r="FC6" s="8"/>
      <c r="FD6" s="8"/>
      <c r="FE6" s="8"/>
      <c r="FF6" s="2">
        <f>mround(FF5*Setup!IH4,'Quick Setup'!$A$2)</f>
        <v>195</v>
      </c>
      <c r="FG6" s="2">
        <f>Setup!II4</f>
        <v>7</v>
      </c>
      <c r="FH6" s="2">
        <f>Setup!IJ4</f>
        <v>3</v>
      </c>
      <c r="FI6" s="2">
        <f>Setup!IK4</f>
        <v>5</v>
      </c>
      <c r="FJ6" s="8"/>
      <c r="FK6" s="8"/>
      <c r="FL6" s="8"/>
      <c r="FM6" s="8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1" t="str">
        <f>CONCATENATE(A8," TM")</f>
        <v>Deadlift TM</v>
      </c>
      <c r="B7" s="2">
        <f>if(D7="",'Quick Setup'!D7,D7/'Quick Setup'!E7)</f>
        <v>525</v>
      </c>
      <c r="C7" s="1" t="s">
        <v>77</v>
      </c>
      <c r="D7" s="8"/>
      <c r="E7" s="2"/>
      <c r="F7" s="2"/>
      <c r="G7" s="2"/>
      <c r="H7" s="2"/>
      <c r="I7" s="2"/>
      <c r="J7" s="2">
        <f>if(L7="", if(F8="",B7, if((F8-E8)&lt;-1.9,B7*(1+Setup!F5),if((F8-E8)=-1,B7*(1+Setup!G5),if(G8&lt;D8,B7*(1+Setup!G5),if(G8=D8,B7*(1+Setup!H5),if((G8-D8)=1,B7*(1+Setup!I5),if((G8-D8)=2,B7*(1+Setup!J5),if((G8-D8)=3,B7*(1+Setup!K5),if((G8-D8)=4,B7*(1+Setup!L5),if((G8-D8)&gt;4.1,B7*(1+Setup!M5),B7)))))))))),L7/'Quick Setup'!$E7)</f>
        <v>525</v>
      </c>
      <c r="K7" s="1" t="s">
        <v>77</v>
      </c>
      <c r="L7" s="8"/>
      <c r="M7" s="2"/>
      <c r="N7" s="2"/>
      <c r="O7" s="2"/>
      <c r="P7" s="2"/>
      <c r="Q7" s="2"/>
      <c r="R7" s="2">
        <f>if(T7="", if(N8="",J7, if((N8-M8)&lt;-1.9,J7*(1+Setup!R5),if((N8-M8)=-1,J7*(1+Setup!S5),if(O8&lt;L8,J7*(1+Setup!S5),if(O8=L8,J7*(1+Setup!T5),if((O8-L8)=1,J7*(1+Setup!U5),if((O8-L8)=2,J7*(1+Setup!V5),if((O8-L8)=3,J7*(1+Setup!W5),if((O8-L8)=4,J7*(1+Setup!X5),if((O8-L8)&gt;4.1,J7*(1+Setup!Y5),J7)))))))))),T7/'Quick Setup'!$E7)</f>
        <v>525</v>
      </c>
      <c r="S7" s="1" t="s">
        <v>77</v>
      </c>
      <c r="T7" s="8"/>
      <c r="U7" s="2"/>
      <c r="V7" s="2"/>
      <c r="W7" s="2"/>
      <c r="X7" s="2"/>
      <c r="Y7" s="2"/>
      <c r="Z7" s="2">
        <f>if(AB7="", if(V8="",R7, if((V8-U8)&lt;-1.9,R7*(1+Setup!AD5),if((V8-U8)=-1,R7*(1+Setup!AE5),if(W8&lt;T8,R7*(1+Setup!AE5),if(W8=T8,R7*(1+Setup!AF5),if((W8-T8)=1,R7*(1+Setup!AG5),if((W8-T8)=2,R7*(1+Setup!AH5),if((W8-T8)=3,R7*(1+Setup!AI5),if((W8-T8)=4,R7*(1+Setup!AJ5),if((W8-T8)&gt;4.1,R7*(1+Setup!AK5),R7)))))))))),AB7/'Quick Setup'!$E7)</f>
        <v>525</v>
      </c>
      <c r="AA7" s="1" t="s">
        <v>77</v>
      </c>
      <c r="AB7" s="8"/>
      <c r="AC7" s="2"/>
      <c r="AD7" s="2"/>
      <c r="AE7" s="2"/>
      <c r="AF7" s="2"/>
      <c r="AG7" s="2"/>
      <c r="AH7" s="2">
        <f>if(AJ7="", if(AD8="",Z7, if((AD8-AC8)&lt;-1.9,Z7*(1+Setup!AP5),if((AD8-AC8)=-1,Z7*(1+Setup!AQ5),if(AE8&lt;AB8,Z7*(1+Setup!AQ5),if(AE8=AB8,Z7*(1+Setup!AR5),if((AE8-AB8)=1,Z7*(1+Setup!AS5),if((AE8-AB8)=2,Z7*(1+Setup!AT5),if((AE8-AB8)=3,Z7*(1+Setup!AU5),if((AE8-AB8)=4,Z7*(1+Setup!AV5),if((AE8-AB8)&gt;4.1,Z7*(1+Setup!AW5),Z7)))))))))),AJ7/'Quick Setup'!$E7)</f>
        <v>525</v>
      </c>
      <c r="AI7" s="1" t="s">
        <v>77</v>
      </c>
      <c r="AJ7" s="8"/>
      <c r="AK7" s="2"/>
      <c r="AL7" s="2"/>
      <c r="AM7" s="2"/>
      <c r="AN7" s="2"/>
      <c r="AO7" s="2"/>
      <c r="AP7" s="2">
        <f>if(AR7="", if(AL8="",AH7, if((AL8-AK8)&lt;-1.9,AH7*(1+Setup!BB5),if((AL8-AK8)=-1,AH7*(1+Setup!BC5),if(AM8&lt;AJ8,AH7*(1+Setup!BC5),if(AM8=AJ8,AH7*(1+Setup!BD5),if((AM8-AJ8)=1,AH7*(1+Setup!BE5),if((AM8-AJ8)=2,AH7*(1+Setup!BF5),if((AM8-AJ8)=3,AH7*(1+Setup!BG5),if((AM8-AJ8)=4,AH7*(1+Setup!BH5),if((AM8-AJ8)&gt;4.1,AH7*(1+Setup!BI5),AH7)))))))))),AR7/'Quick Setup'!$E7)</f>
        <v>525</v>
      </c>
      <c r="AQ7" s="1" t="s">
        <v>77</v>
      </c>
      <c r="AR7" s="8"/>
      <c r="AS7" s="2"/>
      <c r="AT7" s="2"/>
      <c r="AU7" s="2"/>
      <c r="AV7" s="2"/>
      <c r="AW7" s="2"/>
      <c r="AX7" s="2">
        <f>if(AZ7="", if(AT8="",AP7, if((AT8-AS8)&lt;-1.9,AP7*(1+Setup!BN5),if((AT8-AS8)=-1,AP7*(1+Setup!BO5),if(AU8&lt;AR8,AP7*(1+Setup!BO5),if(AU8=AR8,AP7*(1+Setup!BP5),if((AU8-AR8)=1,AP7*(1+Setup!BQ5),if((AU8-AR8)=2,AP7*(1+Setup!BR5),if((AU8-AR8)=3,AP7*(1+Setup!BS5),if((AU8-AR8)=4,AP7*(1+Setup!BT5),if((AU8-AR8)&gt;4.1,AP7*(1+Setup!BU5),AP7)))))))))),AZ7/'Quick Setup'!$E7)</f>
        <v>525</v>
      </c>
      <c r="AY7" s="1" t="s">
        <v>77</v>
      </c>
      <c r="AZ7" s="8"/>
      <c r="BA7" s="2"/>
      <c r="BB7" s="2"/>
      <c r="BC7" s="2"/>
      <c r="BD7" s="2"/>
      <c r="BE7" s="2"/>
      <c r="BF7" s="2">
        <f>if(BH7="", if(BB8="",AX7, if((BB8-BA8)&lt;-1.9,AX7*(1+Setup!BZ5),if((BB8-BA8)=-1,AX7*(1+Setup!CA5),if(BC8&lt;AZ8,AX7*(1+Setup!CA5),if(BC8=AZ8,AX7*(1+Setup!CB5),if((BC8-AZ8)=1,AX7*(1+Setup!CC5),if((BC8-AZ8)=2,AX7*(1+Setup!CD5),if((BC8-AZ8)=3,AX7*(1+Setup!CE5),if((BC8-AZ8)=4,AX7*(1+Setup!CF5),if((BC8-AZ8)&gt;4.1,AX7*(1+Setup!CG5),AX7)))))))))),BH7/'Quick Setup'!$E7)</f>
        <v>525</v>
      </c>
      <c r="BG7" s="1" t="s">
        <v>77</v>
      </c>
      <c r="BH7" s="8"/>
      <c r="BI7" s="2"/>
      <c r="BJ7" s="2"/>
      <c r="BK7" s="2"/>
      <c r="BL7" s="2"/>
      <c r="BM7" s="2"/>
      <c r="BN7" s="2">
        <f>if(BP7="", if(BJ8="",BF7, if((BJ8-BI8)&lt;-1.9,BF7*(1+Setup!CL5),if((BJ8-BI8)=-1,BF7*(1+Setup!CM5),if(BK8&lt;BH8,BF7*(1+Setup!CM5),if(BK8=BH8,BF7*(1+Setup!CN5),if((BK8-BH8)=1,BF7*(1+Setup!CO5),if((BK8-BH8)=2,BF7*(1+Setup!CP5),if((BK8-BH8)=3,BF7*(1+Setup!CQ5),if((BK8-BH8)=4,BF7*(1+Setup!CR5),if((BK8-BH8)&gt;4.1,BF7*(1+Setup!CS5),BF7)))))))))),BP7/'Quick Setup'!$E7)</f>
        <v>525</v>
      </c>
      <c r="BO7" s="1" t="s">
        <v>77</v>
      </c>
      <c r="BP7" s="8"/>
      <c r="BQ7" s="2"/>
      <c r="BR7" s="2"/>
      <c r="BS7" s="2"/>
      <c r="BT7" s="2"/>
      <c r="BU7" s="2"/>
      <c r="BV7" s="2">
        <f>if(BX7="", if(BR8="",BN7, if((BR8-BQ8)&lt;-1.9,BN7*(1+Setup!CX5),if((BR8-BQ8)=-1,BN7*(1+Setup!CY5),if(BS8&lt;BP8,BN7*(1+Setup!CY5),if(BS8=BP8,BN7*(1+Setup!CZ5),if((BS8-BP8)=1,BN7*(1+Setup!DA5),if((BS8-BP8)=2,BN7*(1+Setup!DB5),if((BS8-BP8)=3,BN7*(1+Setup!DC5),if((BS8-BP8)=4,BN7*(1+Setup!DD5),if((BS8-BP8)&gt;4.1,BN7*(1+Setup!DE5),BN7)))))))))),BX7/'Quick Setup'!$E7)</f>
        <v>525</v>
      </c>
      <c r="BW7" s="1" t="s">
        <v>77</v>
      </c>
      <c r="BX7" s="8"/>
      <c r="BY7" s="2"/>
      <c r="BZ7" s="2"/>
      <c r="CA7" s="2"/>
      <c r="CB7" s="2"/>
      <c r="CC7" s="2"/>
      <c r="CD7" s="2">
        <f>if(CF7="", if(BZ8="",BV7, if((BZ8-BY8)&lt;-1.9,BV7*(1+Setup!DJ5),if((BZ8-BY8)=-1,BV7*(1+Setup!DK5),if(CA8&lt;BX8,BV7*(1+Setup!DK5),if(CA8=BX8,BV7*(1+Setup!DL5),if((CA8-BX8)=1,BV7*(1+Setup!DM5),if((CA8-BX8)=2,BV7*(1+Setup!DN5),if((CA8-BX8)=3,BV7*(1+Setup!DO5),if((CA8-BX8)=4,BV7*(1+Setup!DP5),if((CA8-BX8)&gt;4.1,BV7*(1+Setup!DQ5),BV7)))))))))),CF7/'Quick Setup'!$E7)</f>
        <v>525</v>
      </c>
      <c r="CE7" s="1" t="s">
        <v>77</v>
      </c>
      <c r="CF7" s="8"/>
      <c r="CG7" s="2"/>
      <c r="CH7" s="2"/>
      <c r="CI7" s="2"/>
      <c r="CJ7" s="2"/>
      <c r="CK7" s="2"/>
      <c r="CL7" s="2">
        <f>if(CN7="", if(CH8="",CD7, if((CH8-CG8)&lt;-1.9,CD7*(1+Setup!DV5),if((CH8-CG8)=-1,CD7*(1+Setup!DW5),if(CI8&lt;CF8,CD7*(1+Setup!DW5),if(CI8=CF8,CD7*(1+Setup!DX5),if((CI8-CF8)=1,CD7*(1+Setup!DY5),if((CI8-CF8)=2,CD7*(1+Setup!DZ5),if((CI8-CF8)=3,CD7*(1+Setup!EA5),if((CI8-CF8)=4,CD7*(1+Setup!EB5),if((CI8-CF8)&gt;4.1,CD7*(1+Setup!EC5),CD7)))))))))),CN7/'Quick Setup'!$E7)</f>
        <v>525</v>
      </c>
      <c r="CM7" s="1" t="s">
        <v>77</v>
      </c>
      <c r="CN7" s="8"/>
      <c r="CO7" s="2"/>
      <c r="CP7" s="2"/>
      <c r="CQ7" s="2"/>
      <c r="CR7" s="2"/>
      <c r="CS7" s="2"/>
      <c r="CT7" s="2">
        <f>if(CV7="", if(CP8="",CL7, if((CP8-CO8)&lt;-1.9,CL7*(1+Setup!EH5),if((CP8-CO8)=-1,CL7*(1+Setup!EI5),if(CQ8&lt;CN8,CL7*(1+Setup!EI5),if(CQ8=CN8,CL7*(1+Setup!EJ5),if((CQ8-CN8)=1,CL7*(1+Setup!EK5),if((CQ8-CN8)=2,CL7*(1+Setup!EL5),if((CQ8-CN8)=3,CL7*(1+Setup!EM5),if((CQ8-CN8)=4,CL7*(1+Setup!EN5),if((CQ8-CN8)&gt;4.1,CL7*(1+Setup!EO5),CL7)))))))))),CV7/'Quick Setup'!$E7)</f>
        <v>525</v>
      </c>
      <c r="CU7" s="1" t="s">
        <v>77</v>
      </c>
      <c r="CV7" s="8"/>
      <c r="CW7" s="2"/>
      <c r="CX7" s="2"/>
      <c r="CY7" s="2"/>
      <c r="CZ7" s="2"/>
      <c r="DA7" s="2"/>
      <c r="DB7" s="2">
        <f>if(DD7="", if(CX8="",CT7, if((CX8-CW8)&lt;-1.9,CT7*(1+Setup!ET5),if((CX8-CW8)=-1,CT7*(1+Setup!EU5),if(CY8&lt;CV8,CT7*(1+Setup!EU5),if(CY8=CV8,CT7*(1+Setup!EV5),if((CY8-CV8)=1,CT7*(1+Setup!EW5),if((CY8-CV8)=2,CT7*(1+Setup!EX5),if((CY8-CV8)=3,CT7*(1+Setup!EY5),if((CY8-CV8)=4,CT7*(1+Setup!EZ5),if((CY8-CV8)&gt;4.1,CT7*(1+Setup!FA5),CT7)))))))))),DD7/'Quick Setup'!$E7)</f>
        <v>525</v>
      </c>
      <c r="DC7" s="1" t="s">
        <v>77</v>
      </c>
      <c r="DD7" s="8"/>
      <c r="DE7" s="2"/>
      <c r="DF7" s="2"/>
      <c r="DG7" s="2"/>
      <c r="DH7" s="2"/>
      <c r="DI7" s="2"/>
      <c r="DJ7" s="2">
        <f>if(DL7="", if(DF8="",DB7, if((DF8-DE8)&lt;-1.9,DB7*(1+Setup!FF5),if((DF8-DE8)=-1,DB7*(1+Setup!FG5),if(DG8&lt;DD8,DB7*(1+Setup!FG5),if(DG8=DD8,DB7*(1+Setup!FH5),if((DG8-DD8)=1,DB7*(1+Setup!FI5),if((DG8-DD8)=2,DB7*(1+Setup!FJ5),if((DG8-DD8)=3,DB7*(1+Setup!FK5),if((DG8-DD8)=4,DB7*(1+Setup!FL5),if((DG8-DD8)&gt;4.1,DB7*(1+Setup!FM5),DB7)))))))))),DL7/'Quick Setup'!$E7)</f>
        <v>525</v>
      </c>
      <c r="DK7" s="1" t="s">
        <v>77</v>
      </c>
      <c r="DL7" s="8"/>
      <c r="DM7" s="2"/>
      <c r="DN7" s="2"/>
      <c r="DO7" s="2"/>
      <c r="DP7" s="2"/>
      <c r="DQ7" s="2"/>
      <c r="DR7" s="2">
        <f>if(DT7="", if(DN8="",DJ7, if((DN8-DM8)&lt;-1.9,DJ7*(1+Setup!FR5),if((DN8-DM8)=-1,DJ7*(1+Setup!FS5),if(DO8&lt;DL8,DJ7*(1+Setup!FS5),if(DO8=DL8,DJ7*(1+Setup!FT5),if((DO8-DL8)=1,DJ7*(1+Setup!FU5),if((DO8-DL8)=2,DJ7*(1+Setup!FV5),if((DO8-DL8)=3,DJ7*(1+Setup!FW5),if((DO8-DL8)=4,DJ7*(1+Setup!FX5),if((DO8-DL8)&gt;4.1,DJ7*(1+Setup!FY5),DJ7)))))))))),DT7/'Quick Setup'!$E7)</f>
        <v>525</v>
      </c>
      <c r="DS7" s="1" t="s">
        <v>77</v>
      </c>
      <c r="DT7" s="8"/>
      <c r="DU7" s="2"/>
      <c r="DV7" s="2"/>
      <c r="DW7" s="2"/>
      <c r="DX7" s="2"/>
      <c r="DY7" s="2"/>
      <c r="DZ7" s="2">
        <f>if(EB7="", if(DV8="",DR7, if((DV8-DU8)&lt;-1.9,DR7*(1+Setup!GD5),if((DV8-DU8)=-1,DR7*(1+Setup!GE5),if(DW8&lt;DT8,DR7*(1+Setup!GE5),if(DW8=DT8,DR7*(1+Setup!GF5),if((DW8-DT8)=1,DR7*(1+Setup!GG5),if((DW8-DT8)=2,DR7*(1+Setup!GH5),if((DW8-DT8)=3,DR7*(1+Setup!GI5),if((DW8-DT8)=4,DR7*(1+Setup!GJ5),if((DW8-DT8)&gt;4.1,DR7*(1+Setup!GK5),DR7)))))))))),EB7/'Quick Setup'!$E7)</f>
        <v>525</v>
      </c>
      <c r="EA7" s="1" t="s">
        <v>77</v>
      </c>
      <c r="EB7" s="8"/>
      <c r="EC7" s="2"/>
      <c r="ED7" s="2"/>
      <c r="EE7" s="2"/>
      <c r="EF7" s="2"/>
      <c r="EG7" s="2"/>
      <c r="EH7" s="2">
        <f>if(EJ7="", if(ED8="",DZ7, if((ED8-EC8)&lt;-1.9,DZ7*(1+Setup!GP5),if((ED8-EC8)=-1,DZ7*(1+Setup!GQ5),if(EE8&lt;EB8,DZ7*(1+Setup!GQ5),if(EE8=EB8,DZ7*(1+Setup!GR5),if((EE8-EB8)=1,DZ7*(1+Setup!GS5),if((EE8-EB8)=2,DZ7*(1+Setup!GT5),if((EE8-EB8)=3,DZ7*(1+Setup!GU5),if((EE8-EB8)=4,DZ7*(1+Setup!GV5),if((EE8-EB8)&gt;4.1,DZ7*(1+Setup!GW5),DZ7)))))))))),EJ7/'Quick Setup'!$E7)</f>
        <v>525</v>
      </c>
      <c r="EI7" s="1" t="s">
        <v>77</v>
      </c>
      <c r="EJ7" s="8"/>
      <c r="EK7" s="2"/>
      <c r="EL7" s="2"/>
      <c r="EM7" s="2"/>
      <c r="EN7" s="2"/>
      <c r="EO7" s="2"/>
      <c r="EP7" s="2">
        <f>if(ER7="", if(EL8="",EH7, if((EL8-EK8)&lt;-1.9,EH7*(1+Setup!HB5),if((EL8-EK8)=-1,EH7*(1+Setup!HC5),if(EM8&lt;EJ8,EH7*(1+Setup!HC5),if(EM8=EJ8,EH7*(1+Setup!HD5),if((EM8-EJ8)=1,EH7*(1+Setup!HE5),if((EM8-EJ8)=2,EH7*(1+Setup!HF5),if((EM8-EJ8)=3,EH7*(1+Setup!HG5),if((EM8-EJ8)=4,EH7*(1+Setup!HH5),if((EM8-EJ8)&gt;4.1,EH7*(1+Setup!HI5),EH7)))))))))),ER7/'Quick Setup'!$E7)</f>
        <v>525</v>
      </c>
      <c r="EQ7" s="1" t="s">
        <v>77</v>
      </c>
      <c r="ER7" s="8"/>
      <c r="ES7" s="2"/>
      <c r="ET7" s="2"/>
      <c r="EU7" s="2"/>
      <c r="EV7" s="2"/>
      <c r="EW7" s="2"/>
      <c r="EX7" s="2">
        <f>if(EZ7="", if(ET8="",EP7, if((ET8-ES8)&lt;-1.9,EP7*(1+Setup!HN5),if((ET8-ES8)=-1,EP7*(1+Setup!HO5),if(EU8&lt;ER8,EP7*(1+Setup!HO5),if(EU8=ER8,EP7*(1+Setup!HP5),if((EU8-ER8)=1,EP7*(1+Setup!HQ5),if((EU8-ER8)=2,EP7*(1+Setup!HR5),if((EU8-ER8)=3,EP7*(1+Setup!HS5),if((EU8-ER8)=4,EP7*(1+Setup!HT5),if((EU8-ER8)&gt;4.1,EP7*(1+Setup!HU5),EP7)))))))))),EZ7/'Quick Setup'!$E7)</f>
        <v>525</v>
      </c>
      <c r="EY7" s="1" t="s">
        <v>77</v>
      </c>
      <c r="EZ7" s="8"/>
      <c r="FA7" s="2"/>
      <c r="FB7" s="2"/>
      <c r="FC7" s="2"/>
      <c r="FD7" s="2"/>
      <c r="FE7" s="2"/>
      <c r="FF7" s="2">
        <f>if(FH7="", if(FB8="",EX7, if((FB8-FA8)&lt;-1.9,EX7*(1+Setup!HZ5),if((FB8-FA8)=-1,EX7*(1+Setup!IA5),if(FC8&lt;EZ8,EX7*(1+Setup!IA5),if(FC8=EZ8,EX7*(1+Setup!IB5),if((FC8-EZ8)=1,EX7*(1+Setup!IC5),if((FC8-EZ8)=2,EX7*(1+Setup!ID5),if((FC8-EZ8)=3,EX7*(1+Setup!IE5),if((FC8-EZ8)=4,EX7*(1+Setup!IF5),if((FC8-EZ8)&gt;4.1,EX7*(1+Setup!IG5),EX7)))))))))),FH7/'Quick Setup'!$E7)</f>
        <v>525</v>
      </c>
      <c r="FG7" s="1" t="s">
        <v>77</v>
      </c>
      <c r="FH7" s="8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1" t="str">
        <f>Setup!A5</f>
        <v>Deadlift</v>
      </c>
      <c r="B8" s="2">
        <f>mround(B7*Setup!B5,'Quick Setup'!$A$2)</f>
        <v>367.5</v>
      </c>
      <c r="C8" s="2">
        <f>Setup!C5</f>
        <v>5</v>
      </c>
      <c r="D8" s="2">
        <f>Setup!D5</f>
        <v>3</v>
      </c>
      <c r="E8" s="2">
        <f>Setup!E5</f>
        <v>5</v>
      </c>
      <c r="F8" s="8"/>
      <c r="G8" s="8"/>
      <c r="H8" s="8"/>
      <c r="I8" s="8"/>
      <c r="J8" s="2">
        <f>mround(J7*Setup!N5,'Quick Setup'!$A$2)</f>
        <v>395</v>
      </c>
      <c r="K8" s="2">
        <f>Setup!O5</f>
        <v>4</v>
      </c>
      <c r="L8" s="2">
        <f>Setup!P5</f>
        <v>2</v>
      </c>
      <c r="M8" s="2">
        <f>Setup!Q5</f>
        <v>5</v>
      </c>
      <c r="N8" s="8"/>
      <c r="O8" s="8"/>
      <c r="P8" s="8"/>
      <c r="Q8" s="8"/>
      <c r="R8" s="2">
        <f>mround(R7*Setup!Z5,'Quick Setup'!$A$2)</f>
        <v>420</v>
      </c>
      <c r="S8" s="2">
        <f>Setup!AA5</f>
        <v>3</v>
      </c>
      <c r="T8" s="2">
        <f>Setup!AB5</f>
        <v>2</v>
      </c>
      <c r="U8" s="2">
        <f>Setup!AC5</f>
        <v>5</v>
      </c>
      <c r="V8" s="8"/>
      <c r="W8" s="8"/>
      <c r="X8" s="8"/>
      <c r="Y8" s="8"/>
      <c r="Z8" s="2">
        <f>mround(Z7*Setup!AL5,'Quick Setup'!$A$2)</f>
        <v>380</v>
      </c>
      <c r="AA8" s="2">
        <f>Setup!AM5</f>
        <v>5</v>
      </c>
      <c r="AB8" s="2">
        <f>Setup!AN5</f>
        <v>3</v>
      </c>
      <c r="AC8" s="2">
        <f>Setup!AO5</f>
        <v>5</v>
      </c>
      <c r="AD8" s="8"/>
      <c r="AE8" s="8"/>
      <c r="AF8" s="8"/>
      <c r="AG8" s="8"/>
      <c r="AH8" s="2">
        <f>mround(AH7*Setup!AX5,'Quick Setup'!$A$2)</f>
        <v>407.5</v>
      </c>
      <c r="AI8" s="2">
        <f>Setup!AY5</f>
        <v>4</v>
      </c>
      <c r="AJ8" s="2">
        <f>Setup!AZ5</f>
        <v>2</v>
      </c>
      <c r="AK8" s="2">
        <f>Setup!BA5</f>
        <v>5</v>
      </c>
      <c r="AL8" s="8"/>
      <c r="AM8" s="8"/>
      <c r="AN8" s="8"/>
      <c r="AO8" s="8"/>
      <c r="AP8" s="2">
        <f>mround(AP7*Setup!BJ5,'Quick Setup'!$A$2)</f>
        <v>432.5</v>
      </c>
      <c r="AQ8" s="2">
        <f>Setup!BK5</f>
        <v>3</v>
      </c>
      <c r="AR8" s="2">
        <f>Setup!BL5</f>
        <v>2</v>
      </c>
      <c r="AS8" s="2">
        <f>Setup!BM5</f>
        <v>5</v>
      </c>
      <c r="AT8" s="8"/>
      <c r="AU8" s="8"/>
      <c r="AV8" s="8"/>
      <c r="AW8" s="8"/>
      <c r="AX8" s="2">
        <f>mround(AX7*Setup!BV5,'Quick Setup'!$A$2)</f>
        <v>315</v>
      </c>
      <c r="AY8" s="2">
        <f>Setup!BW5</f>
        <v>7</v>
      </c>
      <c r="AZ8" s="2">
        <f>Setup!BX5</f>
        <v>3</v>
      </c>
      <c r="BA8" s="2">
        <f>Setup!BY5</f>
        <v>5</v>
      </c>
      <c r="BB8" s="8"/>
      <c r="BC8" s="8"/>
      <c r="BD8" s="8"/>
      <c r="BE8" s="8"/>
      <c r="BF8" s="2">
        <f>mround(BF7*Setup!CH5,'Quick Setup'!$A$2)</f>
        <v>395</v>
      </c>
      <c r="BG8" s="2">
        <f>Setup!CI5</f>
        <v>4</v>
      </c>
      <c r="BH8" s="2">
        <f>Setup!CJ5</f>
        <v>2</v>
      </c>
      <c r="BI8" s="2">
        <f>Setup!CK5</f>
        <v>5</v>
      </c>
      <c r="BJ8" s="8"/>
      <c r="BK8" s="8"/>
      <c r="BL8" s="8"/>
      <c r="BM8" s="8"/>
      <c r="BN8" s="2">
        <f>mround(BN7*Setup!CT5,'Quick Setup'!$A$2)</f>
        <v>420</v>
      </c>
      <c r="BO8" s="2">
        <f>Setup!CU5</f>
        <v>3</v>
      </c>
      <c r="BP8" s="2">
        <f>Setup!CV5</f>
        <v>2</v>
      </c>
      <c r="BQ8" s="2">
        <f>Setup!CW5</f>
        <v>5</v>
      </c>
      <c r="BR8" s="8"/>
      <c r="BS8" s="8"/>
      <c r="BT8" s="8"/>
      <c r="BU8" s="8"/>
      <c r="BV8" s="2">
        <f>mround(BV7*Setup!DF5,'Quick Setup'!$A$2)</f>
        <v>447.5</v>
      </c>
      <c r="BW8" s="2">
        <f>Setup!DG5</f>
        <v>2</v>
      </c>
      <c r="BX8" s="2">
        <f>Setup!DH5</f>
        <v>1</v>
      </c>
      <c r="BY8" s="2">
        <f>Setup!DI5</f>
        <v>5</v>
      </c>
      <c r="BZ8" s="8"/>
      <c r="CA8" s="8"/>
      <c r="CB8" s="8"/>
      <c r="CC8" s="8"/>
      <c r="CD8" s="2">
        <f>mround(CD7*Setup!DR5,'Quick Setup'!$A$2)</f>
        <v>407.5</v>
      </c>
      <c r="CE8" s="2">
        <f>Setup!DS5</f>
        <v>4</v>
      </c>
      <c r="CF8" s="2">
        <f>Setup!DT5</f>
        <v>2</v>
      </c>
      <c r="CG8" s="2">
        <f>Setup!DU5</f>
        <v>5</v>
      </c>
      <c r="CH8" s="8"/>
      <c r="CI8" s="8"/>
      <c r="CJ8" s="8"/>
      <c r="CK8" s="8"/>
      <c r="CL8" s="2">
        <f>mround(CL7*Setup!ED5,'Quick Setup'!$A$2)</f>
        <v>432.5</v>
      </c>
      <c r="CM8" s="2">
        <f>Setup!EE5</f>
        <v>3</v>
      </c>
      <c r="CN8" s="2">
        <f>Setup!EF5</f>
        <v>2</v>
      </c>
      <c r="CO8" s="2">
        <f>Setup!EG5</f>
        <v>5</v>
      </c>
      <c r="CP8" s="8"/>
      <c r="CQ8" s="8"/>
      <c r="CR8" s="8"/>
      <c r="CS8" s="8"/>
      <c r="CT8" s="2">
        <f>mround(CT7*Setup!EP5,'Quick Setup'!$A$2)</f>
        <v>460</v>
      </c>
      <c r="CU8" s="2">
        <f>Setup!EQ5</f>
        <v>2</v>
      </c>
      <c r="CV8" s="2">
        <f>Setup!ER5</f>
        <v>1</v>
      </c>
      <c r="CW8" s="2">
        <f>Setup!ES5</f>
        <v>5</v>
      </c>
      <c r="CX8" s="8"/>
      <c r="CY8" s="8"/>
      <c r="CZ8" s="8"/>
      <c r="DA8" s="8"/>
      <c r="DB8" s="2">
        <f>mround(DB7*Setup!FB5,'Quick Setup'!$A$2)</f>
        <v>315</v>
      </c>
      <c r="DC8" s="2">
        <f>Setup!FC5</f>
        <v>7</v>
      </c>
      <c r="DD8" s="2">
        <f>Setup!FD5</f>
        <v>3</v>
      </c>
      <c r="DE8" s="2">
        <f>Setup!FE5</f>
        <v>5</v>
      </c>
      <c r="DF8" s="8"/>
      <c r="DG8" s="8"/>
      <c r="DH8" s="8"/>
      <c r="DI8" s="8"/>
      <c r="DJ8" s="2">
        <f>mround(DJ7*Setup!FN5,'Quick Setup'!$A$2)</f>
        <v>420</v>
      </c>
      <c r="DK8" s="2">
        <f>Setup!FO5</f>
        <v>3</v>
      </c>
      <c r="DL8" s="2">
        <f>Setup!FP5</f>
        <v>2</v>
      </c>
      <c r="DM8" s="2">
        <f>Setup!FQ5</f>
        <v>5</v>
      </c>
      <c r="DN8" s="8"/>
      <c r="DO8" s="8"/>
      <c r="DP8" s="8"/>
      <c r="DQ8" s="8"/>
      <c r="DR8" s="2">
        <f>mround(DR7*Setup!FZ5,'Quick Setup'!$A$2)</f>
        <v>447.5</v>
      </c>
      <c r="DS8" s="2">
        <f>Setup!GA5</f>
        <v>2</v>
      </c>
      <c r="DT8" s="2">
        <f>Setup!GB5</f>
        <v>1</v>
      </c>
      <c r="DU8" s="2">
        <f>Setup!GC5</f>
        <v>5</v>
      </c>
      <c r="DV8" s="8"/>
      <c r="DW8" s="8"/>
      <c r="DX8" s="8"/>
      <c r="DY8" s="8"/>
      <c r="DZ8" s="2">
        <f>mround(DZ7*Setup!GL5,'Quick Setup'!$A$2)</f>
        <v>472.5</v>
      </c>
      <c r="EA8" s="2">
        <f>Setup!GM5</f>
        <v>1</v>
      </c>
      <c r="EB8" s="2">
        <f>Setup!GN5</f>
        <v>1</v>
      </c>
      <c r="EC8" s="2">
        <f>Setup!GO5</f>
        <v>5</v>
      </c>
      <c r="ED8" s="8"/>
      <c r="EE8" s="8"/>
      <c r="EF8" s="8"/>
      <c r="EG8" s="8"/>
      <c r="EH8" s="2">
        <f>mround(EH7*Setup!GX5,'Quick Setup'!$A$2)</f>
        <v>447.5</v>
      </c>
      <c r="EI8" s="2">
        <f>Setup!GY5</f>
        <v>2</v>
      </c>
      <c r="EJ8" s="2">
        <f>Setup!GZ5</f>
        <v>1</v>
      </c>
      <c r="EK8" s="2">
        <f>Setup!HA5</f>
        <v>5</v>
      </c>
      <c r="EL8" s="8"/>
      <c r="EM8" s="8"/>
      <c r="EN8" s="8"/>
      <c r="EO8" s="8"/>
      <c r="EP8" s="2">
        <f>mround(EP7*Setup!HJ5,'Quick Setup'!$A$2)</f>
        <v>472.5</v>
      </c>
      <c r="EQ8" s="2">
        <f>Setup!HK5</f>
        <v>1</v>
      </c>
      <c r="ER8" s="2">
        <f>Setup!HL5</f>
        <v>1</v>
      </c>
      <c r="ES8" s="2">
        <f>Setup!HM5</f>
        <v>5</v>
      </c>
      <c r="ET8" s="8"/>
      <c r="EU8" s="8"/>
      <c r="EV8" s="8"/>
      <c r="EW8" s="8"/>
      <c r="EX8" s="2">
        <f>mround(EX7*Setup!HV5,'Quick Setup'!$A$2)</f>
        <v>500</v>
      </c>
      <c r="EY8" s="2">
        <f>Setup!HW5</f>
        <v>1</v>
      </c>
      <c r="EZ8" s="2">
        <f>Setup!HX5</f>
        <v>1</v>
      </c>
      <c r="FA8" s="2">
        <f>Setup!HY5</f>
        <v>5</v>
      </c>
      <c r="FB8" s="8"/>
      <c r="FC8" s="8"/>
      <c r="FD8" s="8"/>
      <c r="FE8" s="8"/>
      <c r="FF8" s="2">
        <f>mround(FF7*Setup!IH5,'Quick Setup'!$A$2)</f>
        <v>315</v>
      </c>
      <c r="FG8" s="2">
        <f>Setup!II5</f>
        <v>7</v>
      </c>
      <c r="FH8" s="2">
        <f>Setup!IJ5</f>
        <v>3</v>
      </c>
      <c r="FI8" s="2">
        <f>Setup!IK5</f>
        <v>5</v>
      </c>
      <c r="FJ8" s="8"/>
      <c r="FK8" s="8"/>
      <c r="FL8" s="8"/>
      <c r="FM8" s="8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1" t="str">
        <f>CONCATENATE(A10," TM")</f>
        <v>OHP TM</v>
      </c>
      <c r="B9" s="2">
        <f>if(D9="",'Quick Setup'!D8,D9/'Quick Setup'!E8)</f>
        <v>200</v>
      </c>
      <c r="C9" s="1" t="s">
        <v>77</v>
      </c>
      <c r="D9" s="8"/>
      <c r="E9" s="2"/>
      <c r="F9" s="2"/>
      <c r="G9" s="2"/>
      <c r="H9" s="2"/>
      <c r="I9" s="2"/>
      <c r="J9" s="2">
        <f>if(L9="", if(F10="",B9, if((F10-E10)&lt;-1.9,B9*(1+Setup!F6),if((F10-E10)=-1,B9*(1+Setup!G6),if(G10&lt;D10,B9*(1+Setup!G6),if(G10=D10,B9*(1+Setup!H6),if((G10-D10)=1,B9*(1+Setup!I6),if((G10-D10)=2,B9*(1+Setup!J6),if((G10-D10)=3,B9*(1+Setup!K6),if((G10-D10)=4,B9*(1+Setup!L6),if((G10-D10)&gt;4.1,B9*(1+Setup!M6),B9)))))))))),L9/'Quick Setup'!$E8)</f>
        <v>200</v>
      </c>
      <c r="K9" s="1" t="s">
        <v>77</v>
      </c>
      <c r="L9" s="8"/>
      <c r="M9" s="2"/>
      <c r="N9" s="2"/>
      <c r="O9" s="2"/>
      <c r="P9" s="2"/>
      <c r="Q9" s="2"/>
      <c r="R9" s="2">
        <f>if(T9="", if(N10="",J9, if((N10-M10)&lt;-1.9,J9*(1+Setup!R6),if((N10-M10)=-1,J9*(1+Setup!S6),if(O10&lt;L10,J9*(1+Setup!S6),if(O10=L10,J9*(1+Setup!T6),if((O10-L10)=1,J9*(1+Setup!U6),if((O10-L10)=2,J9*(1+Setup!V6),if((O10-L10)=3,J9*(1+Setup!W6),if((O10-L10)=4,J9*(1+Setup!X6),if((O10-L10)&gt;4.1,J9*(1+Setup!Y6),J9)))))))))),T9/'Quick Setup'!$E8)</f>
        <v>200</v>
      </c>
      <c r="S9" s="1" t="s">
        <v>77</v>
      </c>
      <c r="T9" s="8"/>
      <c r="U9" s="2"/>
      <c r="V9" s="2"/>
      <c r="W9" s="2"/>
      <c r="X9" s="2"/>
      <c r="Y9" s="2"/>
      <c r="Z9" s="2">
        <f>if(AB9="", if(V10="",R9, if((V10-U10)&lt;-1.9,R9*(1+Setup!AD6),if((V10-U10)=-1,R9*(1+Setup!AE6),if(W10&lt;T10,R9*(1+Setup!AE6),if(W10=T10,R9*(1+Setup!AF6),if((W10-T10)=1,R9*(1+Setup!AG6),if((W10-T10)=2,R9*(1+Setup!AH6),if((W10-T10)=3,R9*(1+Setup!AI6),if((W10-T10)=4,R9*(1+Setup!AJ6),if((W10-T10)&gt;4.1,R9*(1+Setup!AK6),R9)))))))))),AB9/'Quick Setup'!$E8)</f>
        <v>200</v>
      </c>
      <c r="AA9" s="1" t="s">
        <v>77</v>
      </c>
      <c r="AB9" s="8"/>
      <c r="AC9" s="2"/>
      <c r="AD9" s="2"/>
      <c r="AE9" s="2"/>
      <c r="AF9" s="2"/>
      <c r="AG9" s="2"/>
      <c r="AH9" s="2">
        <f>if(AJ9="", if(AD10="",Z9, if((AD10-AC10)&lt;-1.9,Z9*(1+Setup!AP6),if((AD10-AC10)=-1,Z9*(1+Setup!AQ6),if(AE10&lt;AB10,Z9*(1+Setup!AQ6),if(AE10=AB10,Z9*(1+Setup!AR6),if((AE10-AB10)=1,Z9*(1+Setup!AS6),if((AE10-AB10)=2,Z9*(1+Setup!AT6),if((AE10-AB10)=3,Z9*(1+Setup!AU6),if((AE10-AB10)=4,Z9*(1+Setup!AV6),if((AE10-AB10)&gt;4.1,Z9*(1+Setup!AW6),Z9)))))))))),AJ9/'Quick Setup'!$E8)</f>
        <v>200</v>
      </c>
      <c r="AI9" s="1" t="s">
        <v>77</v>
      </c>
      <c r="AJ9" s="8"/>
      <c r="AK9" s="2"/>
      <c r="AL9" s="2"/>
      <c r="AM9" s="2"/>
      <c r="AN9" s="2"/>
      <c r="AO9" s="2"/>
      <c r="AP9" s="2">
        <f>if(AR9="", if(AL10="",AH9, if((AL10-AK10)&lt;-1.9,AH9*(1+Setup!BB6),if((AL10-AK10)=-1,AH9*(1+Setup!BC6),if(AM10&lt;AJ10,AH9*(1+Setup!BC6),if(AM10=AJ10,AH9*(1+Setup!BD6),if((AM10-AJ10)=1,AH9*(1+Setup!BE6),if((AM10-AJ10)=2,AH9*(1+Setup!BF6),if((AM10-AJ10)=3,AH9*(1+Setup!BG6),if((AM10-AJ10)=4,AH9*(1+Setup!BH6),if((AM10-AJ10)&gt;4.1,AH9*(1+Setup!BI6),AH9)))))))))),AR9/'Quick Setup'!$E8)</f>
        <v>200</v>
      </c>
      <c r="AQ9" s="1" t="s">
        <v>77</v>
      </c>
      <c r="AR9" s="8"/>
      <c r="AS9" s="2"/>
      <c r="AT9" s="2"/>
      <c r="AU9" s="2"/>
      <c r="AV9" s="2"/>
      <c r="AW9" s="2"/>
      <c r="AX9" s="2">
        <f>if(AZ9="", if(AT10="",AP9, if((AT10-AS10)&lt;-1.9,AP9*(1+Setup!BN6),if((AT10-AS10)=-1,AP9*(1+Setup!BO6),if(AU10&lt;AR10,AP9*(1+Setup!BO6),if(AU10=AR10,AP9*(1+Setup!BP6),if((AU10-AR10)=1,AP9*(1+Setup!BQ6),if((AU10-AR10)=2,AP9*(1+Setup!BR6),if((AU10-AR10)=3,AP9*(1+Setup!BS6),if((AU10-AR10)=4,AP9*(1+Setup!BT6),if((AU10-AR10)&gt;4.1,AP9*(1+Setup!BU6),AP9)))))))))),AZ9/'Quick Setup'!$E8)</f>
        <v>200</v>
      </c>
      <c r="AY9" s="1" t="s">
        <v>77</v>
      </c>
      <c r="AZ9" s="8"/>
      <c r="BA9" s="2"/>
      <c r="BB9" s="2"/>
      <c r="BC9" s="2"/>
      <c r="BD9" s="2"/>
      <c r="BE9" s="2"/>
      <c r="BF9" s="2">
        <f>if(BH9="", if(BB10="",AX9, if((BB10-BA10)&lt;-1.9,AX9*(1+Setup!BZ6),if((BB10-BA10)=-1,AX9*(1+Setup!CA6),if(BC10&lt;AZ10,AX9*(1+Setup!CA6),if(BC10=AZ10,AX9*(1+Setup!CB6),if((BC10-AZ10)=1,AX9*(1+Setup!CC6),if((BC10-AZ10)=2,AX9*(1+Setup!CD6),if((BC10-AZ10)=3,AX9*(1+Setup!CE6),if((BC10-AZ10)=4,AX9*(1+Setup!CF6),if((BC10-AZ10)&gt;4.1,AX9*(1+Setup!CG6),AX9)))))))))),BH9/'Quick Setup'!$E8)</f>
        <v>200</v>
      </c>
      <c r="BG9" s="1" t="s">
        <v>77</v>
      </c>
      <c r="BH9" s="8"/>
      <c r="BI9" s="2"/>
      <c r="BJ9" s="2"/>
      <c r="BK9" s="2"/>
      <c r="BL9" s="2"/>
      <c r="BM9" s="2"/>
      <c r="BN9" s="2">
        <f>if(BP9="", if(BJ10="",BF9, if((BJ10-BI10)&lt;-1.9,BF9*(1+Setup!CL6),if((BJ10-BI10)=-1,BF9*(1+Setup!CM6),if(BK10&lt;BH10,BF9*(1+Setup!CM6),if(BK10=BH10,BF9*(1+Setup!CN6),if((BK10-BH10)=1,BF9*(1+Setup!CO6),if((BK10-BH10)=2,BF9*(1+Setup!CP6),if((BK10-BH10)=3,BF9*(1+Setup!CQ6),if((BK10-BH10)=4,BF9*(1+Setup!CR6),if((BK10-BH10)&gt;4.1,BF9*(1+Setup!CS6),BF9)))))))))),BP9/'Quick Setup'!$E8)</f>
        <v>200</v>
      </c>
      <c r="BO9" s="1" t="s">
        <v>77</v>
      </c>
      <c r="BP9" s="8"/>
      <c r="BQ9" s="2"/>
      <c r="BR9" s="2"/>
      <c r="BS9" s="2"/>
      <c r="BT9" s="2"/>
      <c r="BU9" s="2"/>
      <c r="BV9" s="2">
        <f>if(BX9="", if(BR10="",BN9, if((BR10-BQ10)&lt;-1.9,BN9*(1+Setup!CX6),if((BR10-BQ10)=-1,BN9*(1+Setup!CY6),if(BS10&lt;BP10,BN9*(1+Setup!CY6),if(BS10=BP10,BN9*(1+Setup!CZ6),if((BS10-BP10)=1,BN9*(1+Setup!DA6),if((BS10-BP10)=2,BN9*(1+Setup!DB6),if((BS10-BP10)=3,BN9*(1+Setup!DC6),if((BS10-BP10)=4,BN9*(1+Setup!DD6),if((BS10-BP10)&gt;4.1,BN9*(1+Setup!DE6),BN9)))))))))),BX9/'Quick Setup'!$E8)</f>
        <v>200</v>
      </c>
      <c r="BW9" s="1" t="s">
        <v>77</v>
      </c>
      <c r="BX9" s="8"/>
      <c r="BY9" s="2"/>
      <c r="BZ9" s="2"/>
      <c r="CA9" s="2"/>
      <c r="CB9" s="2"/>
      <c r="CC9" s="2"/>
      <c r="CD9" s="2">
        <f>if(CF9="", if(BZ10="",BV9, if((BZ10-BY10)&lt;-1.9,BV9*(1+Setup!DJ6),if((BZ10-BY10)=-1,BV9*(1+Setup!DK6),if(CA10&lt;BX10,BV9*(1+Setup!DK6),if(CA10=BX10,BV9*(1+Setup!DL6),if((CA10-BX10)=1,BV9*(1+Setup!DM6),if((CA10-BX10)=2,BV9*(1+Setup!DN6),if((CA10-BX10)=3,BV9*(1+Setup!DO6),if((CA10-BX10)=4,BV9*(1+Setup!DP6),if((CA10-BX10)&gt;4.1,BV9*(1+Setup!DQ6),BV9)))))))))),CF9/'Quick Setup'!$E8)</f>
        <v>200</v>
      </c>
      <c r="CE9" s="1" t="s">
        <v>77</v>
      </c>
      <c r="CF9" s="8"/>
      <c r="CG9" s="2"/>
      <c r="CH9" s="2"/>
      <c r="CI9" s="2"/>
      <c r="CJ9" s="2"/>
      <c r="CK9" s="2"/>
      <c r="CL9" s="2">
        <f>if(CN9="", if(CH10="",CD9, if((CH10-CG10)&lt;-1.9,CD9*(1+Setup!DV6),if((CH10-CG10)=-1,CD9*(1+Setup!DW6),if(CI10&lt;CF10,CD9*(1+Setup!DW6),if(CI10=CF10,CD9*(1+Setup!DX6),if((CI10-CF10)=1,CD9*(1+Setup!DY6),if((CI10-CF10)=2,CD9*(1+Setup!DZ6),if((CI10-CF10)=3,CD9*(1+Setup!EA6),if((CI10-CF10)=4,CD9*(1+Setup!EB6),if((CI10-CF10)&gt;4.1,CD9*(1+Setup!EC6),CD9)))))))))),CN9/'Quick Setup'!$E8)</f>
        <v>200</v>
      </c>
      <c r="CM9" s="1" t="s">
        <v>77</v>
      </c>
      <c r="CN9" s="8"/>
      <c r="CO9" s="2"/>
      <c r="CP9" s="2"/>
      <c r="CQ9" s="2"/>
      <c r="CR9" s="2"/>
      <c r="CS9" s="2"/>
      <c r="CT9" s="2">
        <f>if(CV9="", if(CP10="",CL9, if((CP10-CO10)&lt;-1.9,CL9*(1+Setup!EH6),if((CP10-CO10)=-1,CL9*(1+Setup!EI6),if(CQ10&lt;CN10,CL9*(1+Setup!EI6),if(CQ10=CN10,CL9*(1+Setup!EJ6),if((CQ10-CN10)=1,CL9*(1+Setup!EK6),if((CQ10-CN10)=2,CL9*(1+Setup!EL6),if((CQ10-CN10)=3,CL9*(1+Setup!EM6),if((CQ10-CN10)=4,CL9*(1+Setup!EN6),if((CQ10-CN10)&gt;4.1,CL9*(1+Setup!EO6),CL9)))))))))),CV9/'Quick Setup'!$E8)</f>
        <v>200</v>
      </c>
      <c r="CU9" s="1" t="s">
        <v>77</v>
      </c>
      <c r="CV9" s="8"/>
      <c r="CW9" s="2"/>
      <c r="CX9" s="2"/>
      <c r="CY9" s="2"/>
      <c r="CZ9" s="2"/>
      <c r="DA9" s="2"/>
      <c r="DB9" s="2">
        <f>if(DD9="", if(CX10="",CT9, if((CX10-CW10)&lt;-1.9,CT9*(1+Setup!ET6),if((CX10-CW10)=-1,CT9*(1+Setup!EU6),if(CY10&lt;CV10,CT9*(1+Setup!EU6),if(CY10=CV10,CT9*(1+Setup!EV6),if((CY10-CV10)=1,CT9*(1+Setup!EW6),if((CY10-CV10)=2,CT9*(1+Setup!EX6),if((CY10-CV10)=3,CT9*(1+Setup!EY6),if((CY10-CV10)=4,CT9*(1+Setup!EZ6),if((CY10-CV10)&gt;4.1,CT9*(1+Setup!FA6),CT9)))))))))),DD9/'Quick Setup'!$E8)</f>
        <v>200</v>
      </c>
      <c r="DC9" s="1" t="s">
        <v>77</v>
      </c>
      <c r="DD9" s="8"/>
      <c r="DE9" s="2"/>
      <c r="DF9" s="2"/>
      <c r="DG9" s="2"/>
      <c r="DH9" s="2"/>
      <c r="DI9" s="2"/>
      <c r="DJ9" s="2">
        <f>if(DL9="", if(DF10="",DB9, if((DF10-DE10)&lt;-1.9,DB9*(1+Setup!FF6),if((DF10-DE10)=-1,DB9*(1+Setup!FG6),if(DG10&lt;DD10,DB9*(1+Setup!FG6),if(DG10=DD10,DB9*(1+Setup!FH6),if((DG10-DD10)=1,DB9*(1+Setup!FI6),if((DG10-DD10)=2,DB9*(1+Setup!FJ6),if((DG10-DD10)=3,DB9*(1+Setup!FK6),if((DG10-DD10)=4,DB9*(1+Setup!FL6),if((DG10-DD10)&gt;4.1,DB9*(1+Setup!FM6),DB9)))))))))),DL9/'Quick Setup'!$E8)</f>
        <v>200</v>
      </c>
      <c r="DK9" s="1" t="s">
        <v>77</v>
      </c>
      <c r="DL9" s="8"/>
      <c r="DM9" s="2"/>
      <c r="DN9" s="2"/>
      <c r="DO9" s="2"/>
      <c r="DP9" s="2"/>
      <c r="DQ9" s="2"/>
      <c r="DR9" s="2">
        <f>if(DT9="", if(DN10="",DJ9, if((DN10-DM10)&lt;-1.9,DJ9*(1+Setup!FR6),if((DN10-DM10)=-1,DJ9*(1+Setup!FS6),if(DO10&lt;DL10,DJ9*(1+Setup!FS6),if(DO10=DL10,DJ9*(1+Setup!FT6),if((DO10-DL10)=1,DJ9*(1+Setup!FU6),if((DO10-DL10)=2,DJ9*(1+Setup!FV6),if((DO10-DL10)=3,DJ9*(1+Setup!FW6),if((DO10-DL10)=4,DJ9*(1+Setup!FX6),if((DO10-DL10)&gt;4.1,DJ9*(1+Setup!FY6),DJ9)))))))))),DT9/'Quick Setup'!$E8)</f>
        <v>200</v>
      </c>
      <c r="DS9" s="1" t="s">
        <v>77</v>
      </c>
      <c r="DT9" s="8"/>
      <c r="DU9" s="2"/>
      <c r="DV9" s="2"/>
      <c r="DW9" s="2"/>
      <c r="DX9" s="2"/>
      <c r="DY9" s="2"/>
      <c r="DZ9" s="2">
        <f>if(EB9="", if(DV10="",DR9, if((DV10-DU10)&lt;-1.9,DR9*(1+Setup!GD6),if((DV10-DU10)=-1,DR9*(1+Setup!GE6),if(DW10&lt;DT10,DR9*(1+Setup!GE6),if(DW10=DT10,DR9*(1+Setup!GF6),if((DW10-DT10)=1,DR9*(1+Setup!GG6),if((DW10-DT10)=2,DR9*(1+Setup!GH6),if((DW10-DT10)=3,DR9*(1+Setup!GI6),if((DW10-DT10)=4,DR9*(1+Setup!GJ6),if((DW10-DT10)&gt;4.1,DR9*(1+Setup!GK6),DR9)))))))))),EB9/'Quick Setup'!$E8)</f>
        <v>200</v>
      </c>
      <c r="EA9" s="1" t="s">
        <v>77</v>
      </c>
      <c r="EB9" s="8"/>
      <c r="EC9" s="2"/>
      <c r="ED9" s="2"/>
      <c r="EE9" s="2"/>
      <c r="EF9" s="2"/>
      <c r="EG9" s="2"/>
      <c r="EH9" s="2">
        <f>if(EJ9="", if(ED10="",DZ9, if((ED10-EC10)&lt;-1.9,DZ9*(1+Setup!GP6),if((ED10-EC10)=-1,DZ9*(1+Setup!GQ6),if(EE10&lt;EB10,DZ9*(1+Setup!GQ6),if(EE10=EB10,DZ9*(1+Setup!GR6),if((EE10-EB10)=1,DZ9*(1+Setup!GS6),if((EE10-EB10)=2,DZ9*(1+Setup!GT6),if((EE10-EB10)=3,DZ9*(1+Setup!GU6),if((EE10-EB10)=4,DZ9*(1+Setup!GV6),if((EE10-EB10)&gt;4.1,DZ9*(1+Setup!GW6),DZ9)))))))))),EJ9/'Quick Setup'!$E8)</f>
        <v>200</v>
      </c>
      <c r="EI9" s="1" t="s">
        <v>77</v>
      </c>
      <c r="EJ9" s="8"/>
      <c r="EK9" s="2"/>
      <c r="EL9" s="2"/>
      <c r="EM9" s="2"/>
      <c r="EN9" s="2"/>
      <c r="EO9" s="2"/>
      <c r="EP9" s="2">
        <f>if(ER9="", if(EL10="",EH9, if((EL10-EK10)&lt;-1.9,EH9*(1+Setup!HB6),if((EL10-EK10)=-1,EH9*(1+Setup!HC6),if(EM10&lt;EJ10,EH9*(1+Setup!HC6),if(EM10=EJ10,EH9*(1+Setup!HD6),if((EM10-EJ10)=1,EH9*(1+Setup!HE6),if((EM10-EJ10)=2,EH9*(1+Setup!HF6),if((EM10-EJ10)=3,EH9*(1+Setup!HG6),if((EM10-EJ10)=4,EH9*(1+Setup!HH6),if((EM10-EJ10)&gt;4.1,EH9*(1+Setup!HI6),EH9)))))))))),ER9/'Quick Setup'!$E8)</f>
        <v>200</v>
      </c>
      <c r="EQ9" s="1" t="s">
        <v>77</v>
      </c>
      <c r="ER9" s="8"/>
      <c r="ES9" s="2"/>
      <c r="ET9" s="2"/>
      <c r="EU9" s="2"/>
      <c r="EV9" s="2"/>
      <c r="EW9" s="2"/>
      <c r="EX9" s="2">
        <f>if(EZ9="", if(ET10="",EP9, if((ET10-ES10)&lt;-1.9,EP9*(1+Setup!HN6),if((ET10-ES10)=-1,EP9*(1+Setup!HO6),if(EU10&lt;ER10,EP9*(1+Setup!HO6),if(EU10=ER10,EP9*(1+Setup!HP6),if((EU10-ER10)=1,EP9*(1+Setup!HQ6),if((EU10-ER10)=2,EP9*(1+Setup!HR6),if((EU10-ER10)=3,EP9*(1+Setup!HS6),if((EU10-ER10)=4,EP9*(1+Setup!HT6),if((EU10-ER10)&gt;4.1,EP9*(1+Setup!HU6),EP9)))))))))),EZ9/'Quick Setup'!$E8)</f>
        <v>200</v>
      </c>
      <c r="EY9" s="1" t="s">
        <v>77</v>
      </c>
      <c r="EZ9" s="8"/>
      <c r="FA9" s="2"/>
      <c r="FB9" s="2"/>
      <c r="FC9" s="2"/>
      <c r="FD9" s="2"/>
      <c r="FE9" s="2"/>
      <c r="FF9" s="2">
        <f>if(FH9="", if(FB10="",EX9, if((FB10-FA10)&lt;-1.9,EX9*(1+Setup!HZ6),if((FB10-FA10)=-1,EX9*(1+Setup!IA6),if(FC10&lt;EZ10,EX9*(1+Setup!IA6),if(FC10=EZ10,EX9*(1+Setup!IB6),if((FC10-EZ10)=1,EX9*(1+Setup!IC6),if((FC10-EZ10)=2,EX9*(1+Setup!ID6),if((FC10-EZ10)=3,EX9*(1+Setup!IE6),if((FC10-EZ10)=4,EX9*(1+Setup!IF6),if((FC10-EZ10)&gt;4.1,EX9*(1+Setup!IG6),EX9)))))))))),FH9/'Quick Setup'!$E8)</f>
        <v>200</v>
      </c>
      <c r="FG9" s="1" t="s">
        <v>77</v>
      </c>
      <c r="FH9" s="8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1" t="str">
        <f>Setup!A6</f>
        <v>OHP</v>
      </c>
      <c r="B10" s="2">
        <f>mround(B9*Setup!B6,'Quick Setup'!$A$2)</f>
        <v>140</v>
      </c>
      <c r="C10" s="2">
        <f>Setup!C6</f>
        <v>5</v>
      </c>
      <c r="D10" s="2">
        <f>Setup!D6</f>
        <v>3</v>
      </c>
      <c r="E10" s="2">
        <f>Setup!E6</f>
        <v>5</v>
      </c>
      <c r="F10" s="8"/>
      <c r="G10" s="8"/>
      <c r="H10" s="8"/>
      <c r="I10" s="8"/>
      <c r="J10" s="2">
        <f>mround(J9*Setup!N6,'Quick Setup'!$A$2)</f>
        <v>150</v>
      </c>
      <c r="K10" s="2">
        <f>Setup!O6</f>
        <v>4</v>
      </c>
      <c r="L10" s="2">
        <f>Setup!P6</f>
        <v>2</v>
      </c>
      <c r="M10" s="2">
        <f>Setup!Q6</f>
        <v>5</v>
      </c>
      <c r="N10" s="8"/>
      <c r="O10" s="8"/>
      <c r="P10" s="8"/>
      <c r="Q10" s="8"/>
      <c r="R10" s="2">
        <f>mround(R9*Setup!Z6,'Quick Setup'!$A$2)</f>
        <v>160</v>
      </c>
      <c r="S10" s="2">
        <f>Setup!AA6</f>
        <v>3</v>
      </c>
      <c r="T10" s="2">
        <f>Setup!AB6</f>
        <v>2</v>
      </c>
      <c r="U10" s="2">
        <f>Setup!AC6</f>
        <v>5</v>
      </c>
      <c r="V10" s="8"/>
      <c r="W10" s="8"/>
      <c r="X10" s="8"/>
      <c r="Y10" s="8"/>
      <c r="Z10" s="2">
        <f>mround(Z9*Setup!AL6,'Quick Setup'!$A$2)</f>
        <v>145</v>
      </c>
      <c r="AA10" s="2">
        <f>Setup!AM6</f>
        <v>5</v>
      </c>
      <c r="AB10" s="2">
        <f>Setup!AN6</f>
        <v>3</v>
      </c>
      <c r="AC10" s="2">
        <f>Setup!AO6</f>
        <v>5</v>
      </c>
      <c r="AD10" s="8"/>
      <c r="AE10" s="8"/>
      <c r="AF10" s="8"/>
      <c r="AG10" s="8"/>
      <c r="AH10" s="2">
        <f>mround(AH9*Setup!AX6,'Quick Setup'!$A$2)</f>
        <v>155</v>
      </c>
      <c r="AI10" s="2">
        <f>Setup!AY6</f>
        <v>4</v>
      </c>
      <c r="AJ10" s="2">
        <f>Setup!AZ6</f>
        <v>2</v>
      </c>
      <c r="AK10" s="2">
        <f>Setup!BA6</f>
        <v>5</v>
      </c>
      <c r="AL10" s="8"/>
      <c r="AM10" s="8"/>
      <c r="AN10" s="8"/>
      <c r="AO10" s="8"/>
      <c r="AP10" s="2">
        <f>mround(AP9*Setup!BJ6,'Quick Setup'!$A$2)</f>
        <v>165</v>
      </c>
      <c r="AQ10" s="2">
        <f>Setup!BK6</f>
        <v>3</v>
      </c>
      <c r="AR10" s="2">
        <f>Setup!BL6</f>
        <v>2</v>
      </c>
      <c r="AS10" s="2">
        <f>Setup!BM6</f>
        <v>5</v>
      </c>
      <c r="AT10" s="8"/>
      <c r="AU10" s="8"/>
      <c r="AV10" s="8"/>
      <c r="AW10" s="8"/>
      <c r="AX10" s="2">
        <f>mround(AX9*Setup!BV6,'Quick Setup'!$A$2)</f>
        <v>120</v>
      </c>
      <c r="AY10" s="2">
        <f>Setup!BW6</f>
        <v>7</v>
      </c>
      <c r="AZ10" s="2">
        <f>Setup!BX6</f>
        <v>3</v>
      </c>
      <c r="BA10" s="2">
        <f>Setup!BY6</f>
        <v>5</v>
      </c>
      <c r="BB10" s="8"/>
      <c r="BC10" s="8"/>
      <c r="BD10" s="8"/>
      <c r="BE10" s="8"/>
      <c r="BF10" s="2">
        <f>mround(BF9*Setup!CH6,'Quick Setup'!$A$2)</f>
        <v>150</v>
      </c>
      <c r="BG10" s="2">
        <f>Setup!CI6</f>
        <v>4</v>
      </c>
      <c r="BH10" s="2">
        <f>Setup!CJ6</f>
        <v>2</v>
      </c>
      <c r="BI10" s="2">
        <f>Setup!CK6</f>
        <v>5</v>
      </c>
      <c r="BJ10" s="8"/>
      <c r="BK10" s="8"/>
      <c r="BL10" s="8"/>
      <c r="BM10" s="8"/>
      <c r="BN10" s="2">
        <f>mround(BN9*Setup!CT6,'Quick Setup'!$A$2)</f>
        <v>160</v>
      </c>
      <c r="BO10" s="2">
        <f>Setup!CU6</f>
        <v>3</v>
      </c>
      <c r="BP10" s="2">
        <f>Setup!CV6</f>
        <v>2</v>
      </c>
      <c r="BQ10" s="2">
        <f>Setup!CW6</f>
        <v>5</v>
      </c>
      <c r="BR10" s="8"/>
      <c r="BS10" s="8"/>
      <c r="BT10" s="8"/>
      <c r="BU10" s="8"/>
      <c r="BV10" s="2">
        <f>mround(BV9*Setup!DF6,'Quick Setup'!$A$2)</f>
        <v>170</v>
      </c>
      <c r="BW10" s="2">
        <f>Setup!DG6</f>
        <v>2</v>
      </c>
      <c r="BX10" s="2">
        <f>Setup!DH6</f>
        <v>1</v>
      </c>
      <c r="BY10" s="2">
        <f>Setup!DI6</f>
        <v>5</v>
      </c>
      <c r="BZ10" s="8"/>
      <c r="CA10" s="8"/>
      <c r="CB10" s="8"/>
      <c r="CC10" s="8"/>
      <c r="CD10" s="2">
        <f>mround(CD9*Setup!DR6,'Quick Setup'!$A$2)</f>
        <v>155</v>
      </c>
      <c r="CE10" s="2">
        <f>Setup!DS6</f>
        <v>4</v>
      </c>
      <c r="CF10" s="2">
        <f>Setup!DT6</f>
        <v>2</v>
      </c>
      <c r="CG10" s="2">
        <f>Setup!DU6</f>
        <v>5</v>
      </c>
      <c r="CH10" s="8"/>
      <c r="CI10" s="8"/>
      <c r="CJ10" s="8"/>
      <c r="CK10" s="8"/>
      <c r="CL10" s="2">
        <f>mround(CL9*Setup!ED6,'Quick Setup'!$A$2)</f>
        <v>165</v>
      </c>
      <c r="CM10" s="2">
        <f>Setup!EE6</f>
        <v>3</v>
      </c>
      <c r="CN10" s="2">
        <f>Setup!EF6</f>
        <v>2</v>
      </c>
      <c r="CO10" s="2">
        <f>Setup!EG6</f>
        <v>5</v>
      </c>
      <c r="CP10" s="8"/>
      <c r="CQ10" s="8"/>
      <c r="CR10" s="8"/>
      <c r="CS10" s="8"/>
      <c r="CT10" s="2">
        <f>mround(CT9*Setup!EP6,'Quick Setup'!$A$2)</f>
        <v>175</v>
      </c>
      <c r="CU10" s="2">
        <f>Setup!EQ6</f>
        <v>2</v>
      </c>
      <c r="CV10" s="2">
        <f>Setup!ER6</f>
        <v>1</v>
      </c>
      <c r="CW10" s="2">
        <f>Setup!ES6</f>
        <v>5</v>
      </c>
      <c r="CX10" s="8"/>
      <c r="CY10" s="8"/>
      <c r="CZ10" s="8"/>
      <c r="DA10" s="8"/>
      <c r="DB10" s="2">
        <f>mround(DB9*Setup!FB6,'Quick Setup'!$A$2)</f>
        <v>120</v>
      </c>
      <c r="DC10" s="2">
        <f>Setup!FC6</f>
        <v>7</v>
      </c>
      <c r="DD10" s="2">
        <f>Setup!FD6</f>
        <v>3</v>
      </c>
      <c r="DE10" s="2">
        <f>Setup!FE6</f>
        <v>5</v>
      </c>
      <c r="DF10" s="8"/>
      <c r="DG10" s="8"/>
      <c r="DH10" s="8"/>
      <c r="DI10" s="8"/>
      <c r="DJ10" s="2">
        <f>mround(DJ9*Setup!FN6,'Quick Setup'!$A$2)</f>
        <v>160</v>
      </c>
      <c r="DK10" s="2">
        <f>Setup!FO6</f>
        <v>3</v>
      </c>
      <c r="DL10" s="2">
        <f>Setup!FP6</f>
        <v>2</v>
      </c>
      <c r="DM10" s="2">
        <f>Setup!FQ6</f>
        <v>5</v>
      </c>
      <c r="DN10" s="8"/>
      <c r="DO10" s="8"/>
      <c r="DP10" s="8"/>
      <c r="DQ10" s="8"/>
      <c r="DR10" s="2">
        <f>mround(DR9*Setup!FZ6,'Quick Setup'!$A$2)</f>
        <v>170</v>
      </c>
      <c r="DS10" s="2">
        <f>Setup!GA6</f>
        <v>2</v>
      </c>
      <c r="DT10" s="2">
        <f>Setup!GB6</f>
        <v>1</v>
      </c>
      <c r="DU10" s="2">
        <f>Setup!GC6</f>
        <v>5</v>
      </c>
      <c r="DV10" s="8"/>
      <c r="DW10" s="8"/>
      <c r="DX10" s="8"/>
      <c r="DY10" s="8"/>
      <c r="DZ10" s="2">
        <f>mround(DZ9*Setup!GL6,'Quick Setup'!$A$2)</f>
        <v>180</v>
      </c>
      <c r="EA10" s="2">
        <f>Setup!GM6</f>
        <v>1</v>
      </c>
      <c r="EB10" s="2">
        <f>Setup!GN6</f>
        <v>1</v>
      </c>
      <c r="EC10" s="2">
        <f>Setup!GO6</f>
        <v>5</v>
      </c>
      <c r="ED10" s="8"/>
      <c r="EE10" s="8"/>
      <c r="EF10" s="8"/>
      <c r="EG10" s="8"/>
      <c r="EH10" s="2">
        <f>mround(EH9*Setup!GX6,'Quick Setup'!$A$2)</f>
        <v>170</v>
      </c>
      <c r="EI10" s="2">
        <f>Setup!GY6</f>
        <v>2</v>
      </c>
      <c r="EJ10" s="2">
        <f>Setup!GZ6</f>
        <v>1</v>
      </c>
      <c r="EK10" s="2">
        <f>Setup!HA6</f>
        <v>5</v>
      </c>
      <c r="EL10" s="8"/>
      <c r="EM10" s="8"/>
      <c r="EN10" s="8"/>
      <c r="EO10" s="8"/>
      <c r="EP10" s="2">
        <f>mround(EP9*Setup!HJ6,'Quick Setup'!$A$2)</f>
        <v>180</v>
      </c>
      <c r="EQ10" s="2">
        <f>Setup!HK6</f>
        <v>1</v>
      </c>
      <c r="ER10" s="2">
        <f>Setup!HL6</f>
        <v>1</v>
      </c>
      <c r="ES10" s="2">
        <f>Setup!HM6</f>
        <v>5</v>
      </c>
      <c r="ET10" s="8"/>
      <c r="EU10" s="8"/>
      <c r="EV10" s="8"/>
      <c r="EW10" s="8"/>
      <c r="EX10" s="2">
        <f>mround(EX9*Setup!HV6,'Quick Setup'!$A$2)</f>
        <v>190</v>
      </c>
      <c r="EY10" s="2">
        <f>Setup!HW6</f>
        <v>1</v>
      </c>
      <c r="EZ10" s="2">
        <f>Setup!HX6</f>
        <v>1</v>
      </c>
      <c r="FA10" s="2">
        <f>Setup!HY6</f>
        <v>5</v>
      </c>
      <c r="FB10" s="8"/>
      <c r="FC10" s="8"/>
      <c r="FD10" s="8"/>
      <c r="FE10" s="8"/>
      <c r="FF10" s="2">
        <f>mround(FF9*Setup!IH6,'Quick Setup'!$A$2)</f>
        <v>120</v>
      </c>
      <c r="FG10" s="2">
        <f>Setup!II6</f>
        <v>7</v>
      </c>
      <c r="FH10" s="2">
        <f>Setup!IJ6</f>
        <v>3</v>
      </c>
      <c r="FI10" s="2">
        <f>Setup!IK6</f>
        <v>5</v>
      </c>
      <c r="FJ10" s="8"/>
      <c r="FK10" s="8"/>
      <c r="FL10" s="8"/>
      <c r="FM10" s="8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1" t="str">
        <f>CONCATENATE(A12," TM")</f>
        <v>Front Squat TM</v>
      </c>
      <c r="B11" s="2">
        <f>if(D11="",'Quick Setup'!D11,D11/'Quick Setup'!E11)</f>
        <v>420</v>
      </c>
      <c r="C11" s="1" t="s">
        <v>77</v>
      </c>
      <c r="D11" s="8"/>
      <c r="E11" s="2"/>
      <c r="F11" s="2"/>
      <c r="G11" s="2"/>
      <c r="H11" s="2"/>
      <c r="I11" s="2"/>
      <c r="J11" s="2">
        <f>if(L11="", if(F12="",B11, if((F12-E12)&lt;-1.9,B11*(1+Setup!F9),if((F12-E12)=-1,B11*(1+Setup!G9),if(G12&lt;D12,B11*(1+Setup!G9),if(G12=D12,B11*(1+Setup!H9),if((G12-D12)=1,B11*(1+Setup!I9),if((G12-D12)=2,B11*(1+Setup!J9),if((G12-D12)=3,B11*(1+Setup!K9),if((G12-D12)=4,B11*(1+Setup!L9),if((G12-D12)&gt;4.1,B11*(1+Setup!M9),B11)))))))))),L11/'Quick Setup'!$E11)</f>
        <v>420</v>
      </c>
      <c r="K11" s="1" t="s">
        <v>77</v>
      </c>
      <c r="L11" s="8"/>
      <c r="M11" s="2"/>
      <c r="N11" s="2"/>
      <c r="O11" s="2"/>
      <c r="P11" s="2"/>
      <c r="Q11" s="2"/>
      <c r="R11" s="2">
        <f>if(T11="", if(N12="",J11, if((N12-M12)&lt;-1.9,J11*(1+Setup!R9),if((N12-M12)=-1,J11*(1+Setup!S9),if(O12&lt;L12,J11*(1+Setup!S9),if(O12=L12,J11*(1+Setup!T9),if((O12-L12)=1,J11*(1+Setup!U9),if((O12-L12)=2,J11*(1+Setup!V9),if((O12-L12)=3,J11*(1+Setup!W9),if((O12-L12)=4,J11*(1+Setup!X9),if((O12-L12)&gt;4.1,J11*(1+Setup!Y9),J11)))))))))),T11/'Quick Setup'!$E11)</f>
        <v>420</v>
      </c>
      <c r="S11" s="1" t="s">
        <v>77</v>
      </c>
      <c r="T11" s="8"/>
      <c r="U11" s="2"/>
      <c r="V11" s="2"/>
      <c r="W11" s="2"/>
      <c r="X11" s="2"/>
      <c r="Y11" s="2"/>
      <c r="Z11" s="2">
        <f>if(AB11="", if(V12="",R11, if((V12-U12)&lt;-1.9,R11*(1+Setup!AD9),if((V12-U12)=-1,R11*(1+Setup!AE9),if(W12&lt;T12,R11*(1+Setup!AE9),if(W12=T12,R11*(1+Setup!AF9),if((W12-T12)=1,R11*(1+Setup!AG9),if((W12-T12)=2,R11*(1+Setup!AH9),if((W12-T12)=3,R11*(1+Setup!AI9),if((W12-T12)=4,R11*(1+Setup!AJ9),if((W12-T12)&gt;4.1,R11*(1+Setup!AK9),R11)))))))))),AB11/'Quick Setup'!$E11)</f>
        <v>420</v>
      </c>
      <c r="AA11" s="1" t="s">
        <v>77</v>
      </c>
      <c r="AB11" s="8"/>
      <c r="AC11" s="2"/>
      <c r="AD11" s="2"/>
      <c r="AE11" s="2"/>
      <c r="AF11" s="2"/>
      <c r="AG11" s="2"/>
      <c r="AH11" s="2">
        <f>if(AJ11="", if(AD12="",Z11, if((AD12-AC12)&lt;-1.9,Z11*(1+Setup!AP9),if((AD12-AC12)=-1,Z11*(1+Setup!AQ9),if(AE12&lt;AB12,Z11*(1+Setup!AQ9),if(AE12=AB12,Z11*(1+Setup!AR9),if((AE12-AB12)=1,Z11*(1+Setup!AS9),if((AE12-AB12)=2,Z11*(1+Setup!AT9),if((AE12-AB12)=3,Z11*(1+Setup!AU9),if((AE12-AB12)=4,Z11*(1+Setup!AV9),if((AE12-AB12)&gt;4.1,Z11*(1+Setup!AW9),Z11)))))))))),AJ11/'Quick Setup'!$E11)</f>
        <v>420</v>
      </c>
      <c r="AI11" s="1" t="s">
        <v>77</v>
      </c>
      <c r="AJ11" s="8"/>
      <c r="AK11" s="2"/>
      <c r="AL11" s="2"/>
      <c r="AM11" s="2"/>
      <c r="AN11" s="2"/>
      <c r="AO11" s="2"/>
      <c r="AP11" s="2">
        <f>if(AR11="", if(AL12="",AH11, if((AL12-AK12)&lt;-1.9,AH11*(1+Setup!BB9),if((AL12-AK12)=-1,AH11*(1+Setup!BC9),if(AM12&lt;AJ12,AH11*(1+Setup!BC9),if(AM12=AJ12,AH11*(1+Setup!BD9),if((AM12-AJ12)=1,AH11*(1+Setup!BE9),if((AM12-AJ12)=2,AH11*(1+Setup!BF9),if((AM12-AJ12)=3,AH11*(1+Setup!BG9),if((AM12-AJ12)=4,AH11*(1+Setup!BH9),if((AM12-AJ12)&gt;4.1,AH11*(1+Setup!BI9),AH11)))))))))),AR11/'Quick Setup'!$E11)</f>
        <v>420</v>
      </c>
      <c r="AQ11" s="1" t="s">
        <v>77</v>
      </c>
      <c r="AR11" s="8"/>
      <c r="AS11" s="2"/>
      <c r="AT11" s="2"/>
      <c r="AU11" s="2"/>
      <c r="AV11" s="2"/>
      <c r="AW11" s="2"/>
      <c r="AX11" s="2">
        <f>if(AZ11="", if(AT12="",AP11, if((AT12-AS12)&lt;-1.9,AP11*(1+Setup!BN9),if((AT12-AS12)=-1,AP11*(1+Setup!BO9),if(AU12&lt;AR12,AP11*(1+Setup!BO9),if(AU12=AR12,AP11*(1+Setup!BP9),if((AU12-AR12)=1,AP11*(1+Setup!BQ9),if((AU12-AR12)=2,AP11*(1+Setup!BR9),if((AU12-AR12)=3,AP11*(1+Setup!BS9),if((AU12-AR12)=4,AP11*(1+Setup!BT9),if((AU12-AR12)&gt;4.1,AP11*(1+Setup!BU9),AP11)))))))))),AZ11/'Quick Setup'!$E11)</f>
        <v>420</v>
      </c>
      <c r="AY11" s="1" t="s">
        <v>77</v>
      </c>
      <c r="AZ11" s="8"/>
      <c r="BA11" s="2"/>
      <c r="BB11" s="2"/>
      <c r="BC11" s="2"/>
      <c r="BD11" s="2"/>
      <c r="BE11" s="2"/>
      <c r="BF11" s="2">
        <f>if(BH11="", if(BB12="",AX11, if((BB12-BA12)&lt;-1.9,AX11*(1+Setup!BZ9),if((BB12-BA12)=-1,AX11*(1+Setup!CA9),if(BC12&lt;AZ12,AX11*(1+Setup!CA9),if(BC12=AZ12,AX11*(1+Setup!CB9),if((BC12-AZ12)=1,AX11*(1+Setup!CC9),if((BC12-AZ12)=2,AX11*(1+Setup!CD9),if((BC12-AZ12)=3,AX11*(1+Setup!CE9),if((BC12-AZ12)=4,AX11*(1+Setup!CF9),if((BC12-AZ12)&gt;4.1,AX11*(1+Setup!CG9),AX11)))))))))),BH11/'Quick Setup'!$E11)</f>
        <v>420</v>
      </c>
      <c r="BG11" s="1" t="s">
        <v>77</v>
      </c>
      <c r="BH11" s="8"/>
      <c r="BI11" s="2"/>
      <c r="BJ11" s="2"/>
      <c r="BK11" s="2"/>
      <c r="BL11" s="2"/>
      <c r="BM11" s="2"/>
      <c r="BN11" s="2">
        <f>if(BP11="", if(BJ12="",BF11, if((BJ12-BI12)&lt;-1.9,BF11*(1+Setup!CL9),if((BJ12-BI12)=-1,BF11*(1+Setup!CM9),if(BK12&lt;BH12,BF11*(1+Setup!CM9),if(BK12=BH12,BF11*(1+Setup!CN9),if((BK12-BH12)=1,BF11*(1+Setup!CO9),if((BK12-BH12)=2,BF11*(1+Setup!CP9),if((BK12-BH12)=3,BF11*(1+Setup!CQ9),if((BK12-BH12)=4,BF11*(1+Setup!CR9),if((BK12-BH12)&gt;4.1,BF11*(1+Setup!CS9),BF11)))))))))),BP11/'Quick Setup'!$E11)</f>
        <v>420</v>
      </c>
      <c r="BO11" s="1" t="s">
        <v>77</v>
      </c>
      <c r="BP11" s="8"/>
      <c r="BQ11" s="2"/>
      <c r="BR11" s="2"/>
      <c r="BS11" s="2"/>
      <c r="BT11" s="2"/>
      <c r="BU11" s="2"/>
      <c r="BV11" s="2">
        <f>if(BX11="", if(BR12="",BN11, if((BR12-BQ12)&lt;-1.9,BN11*(1+Setup!CX9),if((BR12-BQ12)=-1,BN11*(1+Setup!CY9),if(BS12&lt;BP12,BN11*(1+Setup!CY9),if(BS12=BP12,BN11*(1+Setup!CZ9),if((BS12-BP12)=1,BN11*(1+Setup!DA9),if((BS12-BP12)=2,BN11*(1+Setup!DB9),if((BS12-BP12)=3,BN11*(1+Setup!DC9),if((BS12-BP12)=4,BN11*(1+Setup!DD9),if((BS12-BP12)&gt;4.1,BN11*(1+Setup!DE9),BN11)))))))))),BX11/'Quick Setup'!$E11)</f>
        <v>420</v>
      </c>
      <c r="BW11" s="1" t="s">
        <v>77</v>
      </c>
      <c r="BX11" s="8"/>
      <c r="BY11" s="2"/>
      <c r="BZ11" s="2"/>
      <c r="CA11" s="2"/>
      <c r="CB11" s="2"/>
      <c r="CC11" s="2"/>
      <c r="CD11" s="2">
        <f>if(CF11="", if(BZ12="",BV11, if((BZ12-BY12)&lt;-1.9,BV11*(1+Setup!DJ9),if((BZ12-BY12)=-1,BV11*(1+Setup!DK9),if(CA12&lt;BX12,BV11*(1+Setup!DK9),if(CA12=BX12,BV11*(1+Setup!DL9),if((CA12-BX12)=1,BV11*(1+Setup!DM9),if((CA12-BX12)=2,BV11*(1+Setup!DN9),if((CA12-BX12)=3,BV11*(1+Setup!DO9),if((CA12-BX12)=4,BV11*(1+Setup!DP9),if((CA12-BX12)&gt;4.1,BV11*(1+Setup!DQ9),BV11)))))))))),CF11/'Quick Setup'!$E11)</f>
        <v>420</v>
      </c>
      <c r="CE11" s="1" t="s">
        <v>77</v>
      </c>
      <c r="CF11" s="8"/>
      <c r="CG11" s="2"/>
      <c r="CH11" s="2"/>
      <c r="CI11" s="2"/>
      <c r="CJ11" s="2"/>
      <c r="CK11" s="2"/>
      <c r="CL11" s="2">
        <f>if(CN11="", if(CH12="",CD11, if((CH12-CG12)&lt;-1.9,CD11*(1+Setup!DV9),if((CH12-CG12)=-1,CD11*(1+Setup!DW9),if(CI12&lt;CF12,CD11*(1+Setup!DW9),if(CI12=CF12,CD11*(1+Setup!DX9),if((CI12-CF12)=1,CD11*(1+Setup!DY9),if((CI12-CF12)=2,CD11*(1+Setup!DZ9),if((CI12-CF12)=3,CD11*(1+Setup!EA9),if((CI12-CF12)=4,CD11*(1+Setup!EB9),if((CI12-CF12)&gt;4.1,CD11*(1+Setup!EC9),CD11)))))))))),CN11/'Quick Setup'!$E11)</f>
        <v>420</v>
      </c>
      <c r="CM11" s="1" t="s">
        <v>77</v>
      </c>
      <c r="CN11" s="8"/>
      <c r="CO11" s="2"/>
      <c r="CP11" s="2"/>
      <c r="CQ11" s="2"/>
      <c r="CR11" s="2"/>
      <c r="CS11" s="2"/>
      <c r="CT11" s="2">
        <f>if(CV11="", if(CP12="",CL11, if((CP12-CO12)&lt;-1.9,CL11*(1+Setup!EH9),if((CP12-CO12)=-1,CL11*(1+Setup!EI9),if(CQ12&lt;CN12,CL11*(1+Setup!EI9),if(CQ12=CN12,CL11*(1+Setup!EJ9),if((CQ12-CN12)=1,CL11*(1+Setup!EK9),if((CQ12-CN12)=2,CL11*(1+Setup!EL9),if((CQ12-CN12)=3,CL11*(1+Setup!EM9),if((CQ12-CN12)=4,CL11*(1+Setup!EN9),if((CQ12-CN12)&gt;4.1,CL11*(1+Setup!EO9),CL11)))))))))),CV11/'Quick Setup'!$E11)</f>
        <v>420</v>
      </c>
      <c r="CU11" s="1" t="s">
        <v>77</v>
      </c>
      <c r="CV11" s="8"/>
      <c r="CW11" s="2"/>
      <c r="CX11" s="2"/>
      <c r="CY11" s="2"/>
      <c r="CZ11" s="2"/>
      <c r="DA11" s="2"/>
      <c r="DB11" s="2">
        <f>if(DD11="", if(CX12="",CT11, if((CX12-CW12)&lt;-1.9,CT11*(1+Setup!ET9),if((CX12-CW12)=-1,CT11*(1+Setup!EU9),if(CY12&lt;CV12,CT11*(1+Setup!EU9),if(CY12=CV12,CT11*(1+Setup!EV9),if((CY12-CV12)=1,CT11*(1+Setup!EW9),if((CY12-CV12)=2,CT11*(1+Setup!EX9),if((CY12-CV12)=3,CT11*(1+Setup!EY9),if((CY12-CV12)=4,CT11*(1+Setup!EZ9),if((CY12-CV12)&gt;4.1,CT11*(1+Setup!FA9),CT11)))))))))),DD11/'Quick Setup'!$E11)</f>
        <v>420</v>
      </c>
      <c r="DC11" s="1" t="s">
        <v>77</v>
      </c>
      <c r="DD11" s="8"/>
      <c r="DE11" s="2"/>
      <c r="DF11" s="2"/>
      <c r="DG11" s="2"/>
      <c r="DH11" s="2"/>
      <c r="DI11" s="2"/>
      <c r="DJ11" s="2">
        <f>if(DL11="", if(DF12="",DB11, if((DF12-DE12)&lt;-1.9,DB11*(1+Setup!FF9),if((DF12-DE12)=-1,DB11*(1+Setup!FG9),if(DG12&lt;DD12,DB11*(1+Setup!FG9),if(DG12=DD12,DB11*(1+Setup!FH9),if((DG12-DD12)=1,DB11*(1+Setup!FI9),if((DG12-DD12)=2,DB11*(1+Setup!FJ9),if((DG12-DD12)=3,DB11*(1+Setup!FK9),if((DG12-DD12)=4,DB11*(1+Setup!FL9),if((DG12-DD12)&gt;4.1,DB11*(1+Setup!FM9),DB11)))))))))),DL11/'Quick Setup'!$E11)</f>
        <v>420</v>
      </c>
      <c r="DK11" s="1" t="s">
        <v>77</v>
      </c>
      <c r="DL11" s="8"/>
      <c r="DM11" s="2"/>
      <c r="DN11" s="2"/>
      <c r="DO11" s="2"/>
      <c r="DP11" s="2"/>
      <c r="DQ11" s="2"/>
      <c r="DR11" s="2">
        <f>if(DT11="", if(DN12="",DJ11, if((DN12-DM12)&lt;-1.9,DJ11*(1+Setup!FR9),if((DN12-DM12)=-1,DJ11*(1+Setup!FS9),if(DO12&lt;DL12,DJ11*(1+Setup!FS9),if(DO12=DL12,DJ11*(1+Setup!FT9),if((DO12-DL12)=1,DJ11*(1+Setup!FU9),if((DO12-DL12)=2,DJ11*(1+Setup!FV9),if((DO12-DL12)=3,DJ11*(1+Setup!FW9),if((DO12-DL12)=4,DJ11*(1+Setup!FX9),if((DO12-DL12)&gt;4.1,DJ11*(1+Setup!FY9),DJ11)))))))))),DT11/'Quick Setup'!$E11)</f>
        <v>420</v>
      </c>
      <c r="DS11" s="1" t="s">
        <v>77</v>
      </c>
      <c r="DT11" s="8"/>
      <c r="DU11" s="2"/>
      <c r="DV11" s="2"/>
      <c r="DW11" s="2"/>
      <c r="DX11" s="2"/>
      <c r="DY11" s="2"/>
      <c r="DZ11" s="2">
        <f>if(EB11="", if(DV12="",DR11, if((DV12-DU12)&lt;-1.9,DR11*(1+Setup!GD9),if((DV12-DU12)=-1,DR11*(1+Setup!GE9),if(DW12&lt;DT12,DR11*(1+Setup!GE9),if(DW12=DT12,DR11*(1+Setup!GF9),if((DW12-DT12)=1,DR11*(1+Setup!GG9),if((DW12-DT12)=2,DR11*(1+Setup!GH9),if((DW12-DT12)=3,DR11*(1+Setup!GI9),if((DW12-DT12)=4,DR11*(1+Setup!GJ9),if((DW12-DT12)&gt;4.1,DR11*(1+Setup!GK9),DR11)))))))))),EB11/'Quick Setup'!$E11)</f>
        <v>420</v>
      </c>
      <c r="EA11" s="1" t="s">
        <v>77</v>
      </c>
      <c r="EB11" s="8"/>
      <c r="EC11" s="2"/>
      <c r="ED11" s="2"/>
      <c r="EE11" s="2"/>
      <c r="EF11" s="2"/>
      <c r="EG11" s="2"/>
      <c r="EH11" s="2">
        <f>if(EJ11="", if(ED12="",DZ11, if((ED12-EC12)&lt;-1.9,DZ11*(1+Setup!GP9),if((ED12-EC12)=-1,DZ11*(1+Setup!GQ9),if(EE12&lt;EB12,DZ11*(1+Setup!GQ9),if(EE12=EB12,DZ11*(1+Setup!GR9),if((EE12-EB12)=1,DZ11*(1+Setup!GS9),if((EE12-EB12)=2,DZ11*(1+Setup!GT9),if((EE12-EB12)=3,DZ11*(1+Setup!GU9),if((EE12-EB12)=4,DZ11*(1+Setup!GV9),if((EE12-EB12)&gt;4.1,DZ11*(1+Setup!GW9),DZ11)))))))))),EJ11/'Quick Setup'!$E11)</f>
        <v>420</v>
      </c>
      <c r="EI11" s="1" t="s">
        <v>77</v>
      </c>
      <c r="EJ11" s="8"/>
      <c r="EK11" s="2"/>
      <c r="EL11" s="2"/>
      <c r="EM11" s="2"/>
      <c r="EN11" s="2"/>
      <c r="EO11" s="2"/>
      <c r="EP11" s="2">
        <f>if(ER11="", if(EL12="",EH11, if((EL12-EK12)&lt;-1.9,EH11*(1+Setup!HB9),if((EL12-EK12)=-1,EH11*(1+Setup!HC9),if(EM12&lt;EJ12,EH11*(1+Setup!HC9),if(EM12=EJ12,EH11*(1+Setup!HD9),if((EM12-EJ12)=1,EH11*(1+Setup!HE9),if((EM12-EJ12)=2,EH11*(1+Setup!HF9),if((EM12-EJ12)=3,EH11*(1+Setup!HG9),if((EM12-EJ12)=4,EH11*(1+Setup!HH9),if((EM12-EJ12)&gt;4.1,EH11*(1+Setup!HI9),EH11)))))))))),ER11/'Quick Setup'!$E11)</f>
        <v>420</v>
      </c>
      <c r="EQ11" s="1" t="s">
        <v>77</v>
      </c>
      <c r="ER11" s="8"/>
      <c r="ES11" s="2"/>
      <c r="ET11" s="2"/>
      <c r="EU11" s="2"/>
      <c r="EV11" s="2"/>
      <c r="EW11" s="2"/>
      <c r="EX11" s="2">
        <f>if(EZ11="", if(ET12="",EP11, if((ET12-ES12)&lt;-1.9,EP11*(1+Setup!HN9),if((ET12-ES12)=-1,EP11*(1+Setup!HO9),if(EU12&lt;ER12,EP11*(1+Setup!HO9),if(EU12=ER12,EP11*(1+Setup!HP9),if((EU12-ER12)=1,EP11*(1+Setup!HQ9),if((EU12-ER12)=2,EP11*(1+Setup!HR9),if((EU12-ER12)=3,EP11*(1+Setup!HS9),if((EU12-ER12)=4,EP11*(1+Setup!HT9),if((EU12-ER12)&gt;4.1,EP11*(1+Setup!HU9),EP11)))))))))),EZ11/'Quick Setup'!$E11)</f>
        <v>420</v>
      </c>
      <c r="EY11" s="1" t="s">
        <v>77</v>
      </c>
      <c r="EZ11" s="8"/>
      <c r="FA11" s="2"/>
      <c r="FB11" s="2"/>
      <c r="FC11" s="2"/>
      <c r="FD11" s="2"/>
      <c r="FE11" s="2"/>
      <c r="FF11" s="2">
        <f>if(FH11="", if(FB12="",EX11, if((FB12-FA12)&lt;-1.9,EX11*(1+Setup!HZ9),if((FB12-FA12)=-1,EX11*(1+Setup!IA9),if(FC12&lt;EZ12,EX11*(1+Setup!IA9),if(FC12=EZ12,EX11*(1+Setup!IB9),if((FC12-EZ12)=1,EX11*(1+Setup!IC9),if((FC12-EZ12)=2,EX11*(1+Setup!ID9),if((FC12-EZ12)=3,EX11*(1+Setup!IE9),if((FC12-EZ12)=4,EX11*(1+Setup!IF9),if((FC12-EZ12)&gt;4.1,EX11*(1+Setup!IG9),EX11)))))))))),FH11/'Quick Setup'!$E11)</f>
        <v>420</v>
      </c>
      <c r="FG11" s="1" t="s">
        <v>77</v>
      </c>
      <c r="FH11" s="8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1" t="str">
        <f>Setup!A9</f>
        <v>Front Squat</v>
      </c>
      <c r="B12" s="2">
        <f>mround(B11*Setup!B9,'Quick Setup'!$A$2)</f>
        <v>252.5</v>
      </c>
      <c r="C12" s="2">
        <f>Setup!C9</f>
        <v>7</v>
      </c>
      <c r="D12" s="2">
        <f>Setup!D9</f>
        <v>3</v>
      </c>
      <c r="E12" s="2">
        <f>Setup!E9</f>
        <v>5</v>
      </c>
      <c r="F12" s="8"/>
      <c r="G12" s="8"/>
      <c r="H12" s="8"/>
      <c r="I12" s="8"/>
      <c r="J12" s="2">
        <f>mround(J11*Setup!N9,'Quick Setup'!$A$2)</f>
        <v>272.5</v>
      </c>
      <c r="K12" s="2">
        <f>Setup!O9</f>
        <v>6</v>
      </c>
      <c r="L12" s="2">
        <f>Setup!P9</f>
        <v>3</v>
      </c>
      <c r="M12" s="2">
        <f>Setup!Q9</f>
        <v>5</v>
      </c>
      <c r="N12" s="8"/>
      <c r="O12" s="8"/>
      <c r="P12" s="8"/>
      <c r="Q12" s="8"/>
      <c r="R12" s="2">
        <f>mround(R11*Setup!Z9,'Quick Setup'!$A$2)</f>
        <v>295</v>
      </c>
      <c r="S12" s="2">
        <f>Setup!AA9</f>
        <v>5</v>
      </c>
      <c r="T12" s="2">
        <f>Setup!AB9</f>
        <v>3</v>
      </c>
      <c r="U12" s="2">
        <f>Setup!AC9</f>
        <v>5</v>
      </c>
      <c r="V12" s="8"/>
      <c r="W12" s="8"/>
      <c r="X12" s="8"/>
      <c r="Y12" s="8"/>
      <c r="Z12" s="2">
        <f>mround(Z11*Setup!AL9,'Quick Setup'!$A$2)</f>
        <v>262.5</v>
      </c>
      <c r="AA12" s="2">
        <f>Setup!AM9</f>
        <v>7</v>
      </c>
      <c r="AB12" s="2">
        <f>Setup!AN9</f>
        <v>3</v>
      </c>
      <c r="AC12" s="2">
        <f>Setup!AO9</f>
        <v>5</v>
      </c>
      <c r="AD12" s="8"/>
      <c r="AE12" s="8"/>
      <c r="AF12" s="8"/>
      <c r="AG12" s="8"/>
      <c r="AH12" s="2">
        <f>mround(AH11*Setup!AX9,'Quick Setup'!$A$2)</f>
        <v>282.5</v>
      </c>
      <c r="AI12" s="2">
        <f>Setup!AY9</f>
        <v>6</v>
      </c>
      <c r="AJ12" s="2">
        <f>Setup!AZ9</f>
        <v>3</v>
      </c>
      <c r="AK12" s="2">
        <f>Setup!BA9</f>
        <v>5</v>
      </c>
      <c r="AL12" s="8"/>
      <c r="AM12" s="8"/>
      <c r="AN12" s="8"/>
      <c r="AO12" s="8"/>
      <c r="AP12" s="2">
        <f>mround(AP11*Setup!BJ9,'Quick Setup'!$A$2)</f>
        <v>305</v>
      </c>
      <c r="AQ12" s="2">
        <f>Setup!BK9</f>
        <v>5</v>
      </c>
      <c r="AR12" s="2">
        <f>Setup!BL9</f>
        <v>3</v>
      </c>
      <c r="AS12" s="2">
        <f>Setup!BM9</f>
        <v>5</v>
      </c>
      <c r="AT12" s="8"/>
      <c r="AU12" s="8"/>
      <c r="AV12" s="8"/>
      <c r="AW12" s="8"/>
      <c r="AX12" s="2">
        <f>mround(AX11*Setup!BV9,'Quick Setup'!$A$2)</f>
        <v>210</v>
      </c>
      <c r="AY12" s="2">
        <f>Setup!BW9</f>
        <v>8</v>
      </c>
      <c r="AZ12" s="2">
        <f>Setup!BX9</f>
        <v>3</v>
      </c>
      <c r="BA12" s="2">
        <f>Setup!BY9</f>
        <v>5</v>
      </c>
      <c r="BB12" s="8"/>
      <c r="BC12" s="8"/>
      <c r="BD12" s="8"/>
      <c r="BE12" s="8"/>
      <c r="BF12" s="2">
        <f>mround(BF11*Setup!CH9,'Quick Setup'!$A$2)</f>
        <v>272.5</v>
      </c>
      <c r="BG12" s="2">
        <f>Setup!CI9</f>
        <v>6</v>
      </c>
      <c r="BH12" s="2">
        <f>Setup!CJ9</f>
        <v>3</v>
      </c>
      <c r="BI12" s="2">
        <f>Setup!CK9</f>
        <v>5</v>
      </c>
      <c r="BJ12" s="8"/>
      <c r="BK12" s="8"/>
      <c r="BL12" s="8"/>
      <c r="BM12" s="8"/>
      <c r="BN12" s="2">
        <f>mround(BN11*Setup!CT9,'Quick Setup'!$A$2)</f>
        <v>295</v>
      </c>
      <c r="BO12" s="2">
        <f>Setup!CU9</f>
        <v>5</v>
      </c>
      <c r="BP12" s="2">
        <f>Setup!CV9</f>
        <v>3</v>
      </c>
      <c r="BQ12" s="2">
        <f>Setup!CW9</f>
        <v>5</v>
      </c>
      <c r="BR12" s="8"/>
      <c r="BS12" s="8"/>
      <c r="BT12" s="8"/>
      <c r="BU12" s="8"/>
      <c r="BV12" s="2">
        <f>mround(BV11*Setup!DF9,'Quick Setup'!$A$2)</f>
        <v>315</v>
      </c>
      <c r="BW12" s="2">
        <f>Setup!DG9</f>
        <v>4</v>
      </c>
      <c r="BX12" s="2">
        <f>Setup!DH9</f>
        <v>2</v>
      </c>
      <c r="BY12" s="2">
        <f>Setup!DI9</f>
        <v>5</v>
      </c>
      <c r="BZ12" s="8"/>
      <c r="CA12" s="8"/>
      <c r="CB12" s="8"/>
      <c r="CC12" s="8"/>
      <c r="CD12" s="2">
        <f>mround(CD11*Setup!DR9,'Quick Setup'!$A$2)</f>
        <v>282.5</v>
      </c>
      <c r="CE12" s="2">
        <f>Setup!DS9</f>
        <v>6</v>
      </c>
      <c r="CF12" s="2">
        <f>Setup!DT9</f>
        <v>3</v>
      </c>
      <c r="CG12" s="2">
        <f>Setup!DU9</f>
        <v>5</v>
      </c>
      <c r="CH12" s="8"/>
      <c r="CI12" s="8"/>
      <c r="CJ12" s="8"/>
      <c r="CK12" s="8"/>
      <c r="CL12" s="2">
        <f>mround(CL11*Setup!ED9,'Quick Setup'!$A$2)</f>
        <v>305</v>
      </c>
      <c r="CM12" s="2">
        <f>Setup!EE9</f>
        <v>5</v>
      </c>
      <c r="CN12" s="2">
        <f>Setup!EF9</f>
        <v>3</v>
      </c>
      <c r="CO12" s="2">
        <f>Setup!EG9</f>
        <v>5</v>
      </c>
      <c r="CP12" s="8"/>
      <c r="CQ12" s="8"/>
      <c r="CR12" s="8"/>
      <c r="CS12" s="8"/>
      <c r="CT12" s="2">
        <f>mround(CT11*Setup!EP9,'Quick Setup'!$A$2)</f>
        <v>325</v>
      </c>
      <c r="CU12" s="2">
        <f>Setup!EQ9</f>
        <v>4</v>
      </c>
      <c r="CV12" s="2">
        <f>Setup!ER9</f>
        <v>2</v>
      </c>
      <c r="CW12" s="2">
        <f>Setup!ES9</f>
        <v>5</v>
      </c>
      <c r="CX12" s="8"/>
      <c r="CY12" s="8"/>
      <c r="CZ12" s="8"/>
      <c r="DA12" s="8"/>
      <c r="DB12" s="2">
        <f>mround(DB11*Setup!FB9,'Quick Setup'!$A$2)</f>
        <v>210</v>
      </c>
      <c r="DC12" s="2">
        <f>Setup!FC9</f>
        <v>8</v>
      </c>
      <c r="DD12" s="2">
        <f>Setup!FD9</f>
        <v>3</v>
      </c>
      <c r="DE12" s="2">
        <f>Setup!FE9</f>
        <v>5</v>
      </c>
      <c r="DF12" s="8"/>
      <c r="DG12" s="8"/>
      <c r="DH12" s="8"/>
      <c r="DI12" s="8"/>
      <c r="DJ12" s="2">
        <f>mround(DJ11*Setup!FN9,'Quick Setup'!$A$2)</f>
        <v>295</v>
      </c>
      <c r="DK12" s="2">
        <f>Setup!FO9</f>
        <v>5</v>
      </c>
      <c r="DL12" s="2">
        <f>Setup!FP9</f>
        <v>3</v>
      </c>
      <c r="DM12" s="2">
        <f>Setup!FQ9</f>
        <v>5</v>
      </c>
      <c r="DN12" s="8"/>
      <c r="DO12" s="8"/>
      <c r="DP12" s="8"/>
      <c r="DQ12" s="8"/>
      <c r="DR12" s="2">
        <f>mround(DR11*Setup!FZ9,'Quick Setup'!$A$2)</f>
        <v>315</v>
      </c>
      <c r="DS12" s="2">
        <f>Setup!GA9</f>
        <v>4</v>
      </c>
      <c r="DT12" s="2">
        <f>Setup!GB9</f>
        <v>2</v>
      </c>
      <c r="DU12" s="2">
        <f>Setup!GC9</f>
        <v>5</v>
      </c>
      <c r="DV12" s="8"/>
      <c r="DW12" s="8"/>
      <c r="DX12" s="8"/>
      <c r="DY12" s="8"/>
      <c r="DZ12" s="2">
        <f>mround(DZ11*Setup!GL9,'Quick Setup'!$A$2)</f>
        <v>335</v>
      </c>
      <c r="EA12" s="2">
        <f>Setup!GM9</f>
        <v>3</v>
      </c>
      <c r="EB12" s="2">
        <f>Setup!GN9</f>
        <v>2</v>
      </c>
      <c r="EC12" s="2">
        <f>Setup!GO9</f>
        <v>5</v>
      </c>
      <c r="ED12" s="8"/>
      <c r="EE12" s="8"/>
      <c r="EF12" s="8"/>
      <c r="EG12" s="8"/>
      <c r="EH12" s="2">
        <f>mround(EH11*Setup!GX9,'Quick Setup'!$A$2)</f>
        <v>315</v>
      </c>
      <c r="EI12" s="2">
        <f>Setup!GY9</f>
        <v>4</v>
      </c>
      <c r="EJ12" s="2">
        <f>Setup!GZ9</f>
        <v>2</v>
      </c>
      <c r="EK12" s="2">
        <f>Setup!HA9</f>
        <v>5</v>
      </c>
      <c r="EL12" s="8"/>
      <c r="EM12" s="8"/>
      <c r="EN12" s="8"/>
      <c r="EO12" s="8"/>
      <c r="EP12" s="2">
        <f>mround(EP11*Setup!HJ9,'Quick Setup'!$A$2)</f>
        <v>335</v>
      </c>
      <c r="EQ12" s="2">
        <f>Setup!HK9</f>
        <v>3</v>
      </c>
      <c r="ER12" s="2">
        <f>Setup!HL9</f>
        <v>2</v>
      </c>
      <c r="ES12" s="2">
        <f>Setup!HM9</f>
        <v>5</v>
      </c>
      <c r="ET12" s="8"/>
      <c r="EU12" s="8"/>
      <c r="EV12" s="8"/>
      <c r="EW12" s="8"/>
      <c r="EX12" s="2">
        <f>mround(EX11*Setup!HV9,'Quick Setup'!$A$2)</f>
        <v>357.5</v>
      </c>
      <c r="EY12" s="2">
        <f>Setup!HW9</f>
        <v>2</v>
      </c>
      <c r="EZ12" s="2">
        <f>Setup!HX9</f>
        <v>1</v>
      </c>
      <c r="FA12" s="2">
        <f>Setup!HY9</f>
        <v>5</v>
      </c>
      <c r="FB12" s="8"/>
      <c r="FC12" s="8"/>
      <c r="FD12" s="8"/>
      <c r="FE12" s="8"/>
      <c r="FF12" s="2">
        <f>mround(FF11*Setup!IH9,'Quick Setup'!$A$2)</f>
        <v>210</v>
      </c>
      <c r="FG12" s="2">
        <f>Setup!II9</f>
        <v>8</v>
      </c>
      <c r="FH12" s="2">
        <f>Setup!IJ9</f>
        <v>3</v>
      </c>
      <c r="FI12" s="2">
        <f>Setup!IK9</f>
        <v>5</v>
      </c>
      <c r="FJ12" s="8"/>
      <c r="FK12" s="8"/>
      <c r="FL12" s="8"/>
      <c r="FM12" s="8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1" t="str">
        <f>CONCATENATE(A14," TM")</f>
        <v>Paused Squat TM</v>
      </c>
      <c r="B13" s="2">
        <f>if(D13="",'Quick Setup'!D12,D13/'Quick Setup'!E12)</f>
        <v>460</v>
      </c>
      <c r="C13" s="1" t="s">
        <v>77</v>
      </c>
      <c r="D13" s="8"/>
      <c r="E13" s="2"/>
      <c r="F13" s="2"/>
      <c r="G13" s="2"/>
      <c r="H13" s="2"/>
      <c r="I13" s="2"/>
      <c r="J13" s="2">
        <f>if(L13="", if(F14="",B13, if((F14-E14)&lt;-1.9,B13*(1+Setup!F10),if((F14-E14)=-1,B13*(1+Setup!G10),if(G14&lt;D14,B13*(1+Setup!G10),if(G14=D14,B13*(1+Setup!H10),if((G14-D14)=1,B13*(1+Setup!I10),if((G14-D14)=2,B13*(1+Setup!J10),if((G14-D14)=3,B13*(1+Setup!K10),if((G14-D14)=4,B13*(1+Setup!L10),if((G14-D14)&gt;4.1,B13*(1+Setup!M10),B13)))))))))),L13/'Quick Setup'!$E12)</f>
        <v>460</v>
      </c>
      <c r="K13" s="1" t="s">
        <v>77</v>
      </c>
      <c r="L13" s="8"/>
      <c r="M13" s="2"/>
      <c r="N13" s="2"/>
      <c r="O13" s="2"/>
      <c r="P13" s="2"/>
      <c r="Q13" s="2"/>
      <c r="R13" s="2">
        <f>if(T13="", if(N14="",J13, if((N14-M14)&lt;-1.9,J13*(1+Setup!R10),if((N14-M14)=-1,J13*(1+Setup!S10),if(O14&lt;L14,J13*(1+Setup!S10),if(O14=L14,J13*(1+Setup!T10),if((O14-L14)=1,J13*(1+Setup!U10),if((O14-L14)=2,J13*(1+Setup!V10),if((O14-L14)=3,J13*(1+Setup!W10),if((O14-L14)=4,J13*(1+Setup!X10),if((O14-L14)&gt;4.1,J13*(1+Setup!Y10),J13)))))))))),T13/'Quick Setup'!$E12)</f>
        <v>460</v>
      </c>
      <c r="S13" s="1" t="s">
        <v>77</v>
      </c>
      <c r="T13" s="8"/>
      <c r="U13" s="2"/>
      <c r="V13" s="2"/>
      <c r="W13" s="2"/>
      <c r="X13" s="2"/>
      <c r="Y13" s="2"/>
      <c r="Z13" s="2">
        <f>if(AB13="", if(V14="",R13, if((V14-U14)&lt;-1.9,R13*(1+Setup!AD10),if((V14-U14)=-1,R13*(1+Setup!AE10),if(W14&lt;T14,R13*(1+Setup!AE10),if(W14=T14,R13*(1+Setup!AF10),if((W14-T14)=1,R13*(1+Setup!AG10),if((W14-T14)=2,R13*(1+Setup!AH10),if((W14-T14)=3,R13*(1+Setup!AI10),if((W14-T14)=4,R13*(1+Setup!AJ10),if((W14-T14)&gt;4.1,R13*(1+Setup!AK10),R13)))))))))),AB13/'Quick Setup'!$E12)</f>
        <v>460</v>
      </c>
      <c r="AA13" s="1" t="s">
        <v>77</v>
      </c>
      <c r="AB13" s="8"/>
      <c r="AC13" s="2"/>
      <c r="AD13" s="2"/>
      <c r="AE13" s="2"/>
      <c r="AF13" s="2"/>
      <c r="AG13" s="2"/>
      <c r="AH13" s="2">
        <f>if(AJ13="", if(AD14="",Z13, if((AD14-AC14)&lt;-1.9,Z13*(1+Setup!AP10),if((AD14-AC14)=-1,Z13*(1+Setup!AQ10),if(AE14&lt;AB14,Z13*(1+Setup!AQ10),if(AE14=AB14,Z13*(1+Setup!AR10),if((AE14-AB14)=1,Z13*(1+Setup!AS10),if((AE14-AB14)=2,Z13*(1+Setup!AT10),if((AE14-AB14)=3,Z13*(1+Setup!AU10),if((AE14-AB14)=4,Z13*(1+Setup!AV10),if((AE14-AB14)&gt;4.1,Z13*(1+Setup!AW10),Z13)))))))))),AJ13/'Quick Setup'!$E12)</f>
        <v>460</v>
      </c>
      <c r="AI13" s="1" t="s">
        <v>77</v>
      </c>
      <c r="AJ13" s="8"/>
      <c r="AK13" s="2"/>
      <c r="AL13" s="2"/>
      <c r="AM13" s="2"/>
      <c r="AN13" s="2"/>
      <c r="AO13" s="2"/>
      <c r="AP13" s="2">
        <f>if(AR13="", if(AL14="",AH13, if((AL14-AK14)&lt;-1.9,AH13*(1+Setup!BB10),if((AL14-AK14)=-1,AH13*(1+Setup!BC10),if(AM14&lt;AJ14,AH13*(1+Setup!BC10),if(AM14=AJ14,AH13*(1+Setup!BD10),if((AM14-AJ14)=1,AH13*(1+Setup!BE10),if((AM14-AJ14)=2,AH13*(1+Setup!BF10),if((AM14-AJ14)=3,AH13*(1+Setup!BG10),if((AM14-AJ14)=4,AH13*(1+Setup!BH10),if((AM14-AJ14)&gt;4.1,AH13*(1+Setup!BI10),AH13)))))))))),AR13/'Quick Setup'!$E12)</f>
        <v>460</v>
      </c>
      <c r="AQ13" s="1" t="s">
        <v>77</v>
      </c>
      <c r="AR13" s="8"/>
      <c r="AS13" s="2"/>
      <c r="AT13" s="2"/>
      <c r="AU13" s="2"/>
      <c r="AV13" s="2"/>
      <c r="AW13" s="2"/>
      <c r="AX13" s="2">
        <f>if(AZ13="", if(AT14="",AP13, if((AT14-AS14)&lt;-1.9,AP13*(1+Setup!BN10),if((AT14-AS14)=-1,AP13*(1+Setup!BO10),if(AU14&lt;AR14,AP13*(1+Setup!BO10),if(AU14=AR14,AP13*(1+Setup!BP10),if((AU14-AR14)=1,AP13*(1+Setup!BQ10),if((AU14-AR14)=2,AP13*(1+Setup!BR10),if((AU14-AR14)=3,AP13*(1+Setup!BS10),if((AU14-AR14)=4,AP13*(1+Setup!BT10),if((AU14-AR14)&gt;4.1,AP13*(1+Setup!BU10),AP13)))))))))),AZ13/'Quick Setup'!$E12)</f>
        <v>460</v>
      </c>
      <c r="AY13" s="1" t="s">
        <v>77</v>
      </c>
      <c r="AZ13" s="8"/>
      <c r="BA13" s="2"/>
      <c r="BB13" s="2"/>
      <c r="BC13" s="2"/>
      <c r="BD13" s="2"/>
      <c r="BE13" s="2"/>
      <c r="BF13" s="2">
        <f>if(BH13="", if(BB14="",AX13, if((BB14-BA14)&lt;-1.9,AX13*(1+Setup!BZ10),if((BB14-BA14)=-1,AX13*(1+Setup!CA10),if(BC14&lt;AZ14,AX13*(1+Setup!CA10),if(BC14=AZ14,AX13*(1+Setup!CB10),if((BC14-AZ14)=1,AX13*(1+Setup!CC10),if((BC14-AZ14)=2,AX13*(1+Setup!CD10),if((BC14-AZ14)=3,AX13*(1+Setup!CE10),if((BC14-AZ14)=4,AX13*(1+Setup!CF10),if((BC14-AZ14)&gt;4.1,AX13*(1+Setup!CG10),AX13)))))))))),BH13/'Quick Setup'!$E12)</f>
        <v>460</v>
      </c>
      <c r="BG13" s="1" t="s">
        <v>77</v>
      </c>
      <c r="BH13" s="8"/>
      <c r="BI13" s="2"/>
      <c r="BJ13" s="2"/>
      <c r="BK13" s="2"/>
      <c r="BL13" s="2"/>
      <c r="BM13" s="2"/>
      <c r="BN13" s="2">
        <f>if(BP13="", if(BJ14="",BF13, if((BJ14-BI14)&lt;-1.9,BF13*(1+Setup!CL10),if((BJ14-BI14)=-1,BF13*(1+Setup!CM10),if(BK14&lt;BH14,BF13*(1+Setup!CM10),if(BK14=BH14,BF13*(1+Setup!CN10),if((BK14-BH14)=1,BF13*(1+Setup!CO10),if((BK14-BH14)=2,BF13*(1+Setup!CP10),if((BK14-BH14)=3,BF13*(1+Setup!CQ10),if((BK14-BH14)=4,BF13*(1+Setup!CR10),if((BK14-BH14)&gt;4.1,BF13*(1+Setup!CS10),BF13)))))))))),BP13/'Quick Setup'!$E12)</f>
        <v>460</v>
      </c>
      <c r="BO13" s="1" t="s">
        <v>77</v>
      </c>
      <c r="BP13" s="8"/>
      <c r="BQ13" s="2"/>
      <c r="BR13" s="2"/>
      <c r="BS13" s="2"/>
      <c r="BT13" s="2"/>
      <c r="BU13" s="2"/>
      <c r="BV13" s="2">
        <f>if(BX13="", if(BR14="",BN13, if((BR14-BQ14)&lt;-1.9,BN13*(1+Setup!CX10),if((BR14-BQ14)=-1,BN13*(1+Setup!CY10),if(BS14&lt;BP14,BN13*(1+Setup!CY10),if(BS14=BP14,BN13*(1+Setup!CZ10),if((BS14-BP14)=1,BN13*(1+Setup!DA10),if((BS14-BP14)=2,BN13*(1+Setup!DB10),if((BS14-BP14)=3,BN13*(1+Setup!DC10),if((BS14-BP14)=4,BN13*(1+Setup!DD10),if((BS14-BP14)&gt;4.1,BN13*(1+Setup!DE10),BN13)))))))))),BX13/'Quick Setup'!$E12)</f>
        <v>460</v>
      </c>
      <c r="BW13" s="1" t="s">
        <v>77</v>
      </c>
      <c r="BX13" s="8"/>
      <c r="BY13" s="2"/>
      <c r="BZ13" s="2"/>
      <c r="CA13" s="2"/>
      <c r="CB13" s="2"/>
      <c r="CC13" s="2"/>
      <c r="CD13" s="2">
        <f>if(CF13="", if(BZ14="",BV13, if((BZ14-BY14)&lt;-1.9,BV13*(1+Setup!DJ10),if((BZ14-BY14)=-1,BV13*(1+Setup!DK10),if(CA14&lt;BX14,BV13*(1+Setup!DK10),if(CA14=BX14,BV13*(1+Setup!DL10),if((CA14-BX14)=1,BV13*(1+Setup!DM10),if((CA14-BX14)=2,BV13*(1+Setup!DN10),if((CA14-BX14)=3,BV13*(1+Setup!DO10),if((CA14-BX14)=4,BV13*(1+Setup!DP10),if((CA14-BX14)&gt;4.1,BV13*(1+Setup!DQ10),BV13)))))))))),CF13/'Quick Setup'!$E12)</f>
        <v>460</v>
      </c>
      <c r="CE13" s="1" t="s">
        <v>77</v>
      </c>
      <c r="CF13" s="8"/>
      <c r="CG13" s="2"/>
      <c r="CH13" s="2"/>
      <c r="CI13" s="2"/>
      <c r="CJ13" s="2"/>
      <c r="CK13" s="2"/>
      <c r="CL13" s="2">
        <f>if(CN13="", if(CH14="",CD13, if((CH14-CG14)&lt;-1.9,CD13*(1+Setup!DV10),if((CH14-CG14)=-1,CD13*(1+Setup!DW10),if(CI14&lt;CF14,CD13*(1+Setup!DW10),if(CI14=CF14,CD13*(1+Setup!DX10),if((CI14-CF14)=1,CD13*(1+Setup!DY10),if((CI14-CF14)=2,CD13*(1+Setup!DZ10),if((CI14-CF14)=3,CD13*(1+Setup!EA10),if((CI14-CF14)=4,CD13*(1+Setup!EB10),if((CI14-CF14)&gt;4.1,CD13*(1+Setup!EC10),CD13)))))))))),CN13/'Quick Setup'!$E12)</f>
        <v>460</v>
      </c>
      <c r="CM13" s="1" t="s">
        <v>77</v>
      </c>
      <c r="CN13" s="8"/>
      <c r="CO13" s="2"/>
      <c r="CP13" s="2"/>
      <c r="CQ13" s="2"/>
      <c r="CR13" s="2"/>
      <c r="CS13" s="2"/>
      <c r="CT13" s="2">
        <f>if(CV13="", if(CP14="",CL13, if((CP14-CO14)&lt;-1.9,CL13*(1+Setup!EH10),if((CP14-CO14)=-1,CL13*(1+Setup!EI10),if(CQ14&lt;CN14,CL13*(1+Setup!EI10),if(CQ14=CN14,CL13*(1+Setup!EJ10),if((CQ14-CN14)=1,CL13*(1+Setup!EK10),if((CQ14-CN14)=2,CL13*(1+Setup!EL10),if((CQ14-CN14)=3,CL13*(1+Setup!EM10),if((CQ14-CN14)=4,CL13*(1+Setup!EN10),if((CQ14-CN14)&gt;4.1,CL13*(1+Setup!EO10),CL13)))))))))),CV13/'Quick Setup'!$E12)</f>
        <v>460</v>
      </c>
      <c r="CU13" s="1" t="s">
        <v>77</v>
      </c>
      <c r="CV13" s="8"/>
      <c r="CW13" s="2"/>
      <c r="CX13" s="2"/>
      <c r="CY13" s="2"/>
      <c r="CZ13" s="2"/>
      <c r="DA13" s="2"/>
      <c r="DB13" s="2">
        <f>if(DD13="", if(CX14="",CT13, if((CX14-CW14)&lt;-1.9,CT13*(1+Setup!ET10),if((CX14-CW14)=-1,CT13*(1+Setup!EU10),if(CY14&lt;CV14,CT13*(1+Setup!EU10),if(CY14=CV14,CT13*(1+Setup!EV10),if((CY14-CV14)=1,CT13*(1+Setup!EW10),if((CY14-CV14)=2,CT13*(1+Setup!EX10),if((CY14-CV14)=3,CT13*(1+Setup!EY10),if((CY14-CV14)=4,CT13*(1+Setup!EZ10),if((CY14-CV14)&gt;4.1,CT13*(1+Setup!FA10),CT13)))))))))),DD13/'Quick Setup'!$E12)</f>
        <v>460</v>
      </c>
      <c r="DC13" s="1" t="s">
        <v>77</v>
      </c>
      <c r="DD13" s="8"/>
      <c r="DE13" s="2"/>
      <c r="DF13" s="2"/>
      <c r="DG13" s="2"/>
      <c r="DH13" s="2"/>
      <c r="DI13" s="2"/>
      <c r="DJ13" s="2">
        <f>if(DL13="", if(DF14="",DB13, if((DF14-DE14)&lt;-1.9,DB13*(1+Setup!FF10),if((DF14-DE14)=-1,DB13*(1+Setup!FG10),if(DG14&lt;DD14,DB13*(1+Setup!FG10),if(DG14=DD14,DB13*(1+Setup!FH10),if((DG14-DD14)=1,DB13*(1+Setup!FI10),if((DG14-DD14)=2,DB13*(1+Setup!FJ10),if((DG14-DD14)=3,DB13*(1+Setup!FK10),if((DG14-DD14)=4,DB13*(1+Setup!FL10),if((DG14-DD14)&gt;4.1,DB13*(1+Setup!FM10),DB13)))))))))),DL13/'Quick Setup'!$E12)</f>
        <v>460</v>
      </c>
      <c r="DK13" s="1" t="s">
        <v>77</v>
      </c>
      <c r="DL13" s="8"/>
      <c r="DM13" s="2"/>
      <c r="DN13" s="2"/>
      <c r="DO13" s="2"/>
      <c r="DP13" s="2"/>
      <c r="DQ13" s="2"/>
      <c r="DR13" s="2">
        <f>if(DT13="", if(DN14="",DJ13, if((DN14-DM14)&lt;-1.9,DJ13*(1+Setup!FR10),if((DN14-DM14)=-1,DJ13*(1+Setup!FS10),if(DO14&lt;DL14,DJ13*(1+Setup!FS10),if(DO14=DL14,DJ13*(1+Setup!FT10),if((DO14-DL14)=1,DJ13*(1+Setup!FU10),if((DO14-DL14)=2,DJ13*(1+Setup!FV10),if((DO14-DL14)=3,DJ13*(1+Setup!FW10),if((DO14-DL14)=4,DJ13*(1+Setup!FX10),if((DO14-DL14)&gt;4.1,DJ13*(1+Setup!FY10),DJ13)))))))))),DT13/'Quick Setup'!$E12)</f>
        <v>460</v>
      </c>
      <c r="DS13" s="1" t="s">
        <v>77</v>
      </c>
      <c r="DT13" s="8"/>
      <c r="DU13" s="2"/>
      <c r="DV13" s="2"/>
      <c r="DW13" s="2"/>
      <c r="DX13" s="2"/>
      <c r="DY13" s="2"/>
      <c r="DZ13" s="2">
        <f>if(EB13="", if(DV14="",DR13, if((DV14-DU14)&lt;-1.9,DR13*(1+Setup!GD10),if((DV14-DU14)=-1,DR13*(1+Setup!GE10),if(DW14&lt;DT14,DR13*(1+Setup!GE10),if(DW14=DT14,DR13*(1+Setup!GF10),if((DW14-DT14)=1,DR13*(1+Setup!GG10),if((DW14-DT14)=2,DR13*(1+Setup!GH10),if((DW14-DT14)=3,DR13*(1+Setup!GI10),if((DW14-DT14)=4,DR13*(1+Setup!GJ10),if((DW14-DT14)&gt;4.1,DR13*(1+Setup!GK10),DR13)))))))))),EB13/'Quick Setup'!$E12)</f>
        <v>460</v>
      </c>
      <c r="EA13" s="1" t="s">
        <v>77</v>
      </c>
      <c r="EB13" s="8"/>
      <c r="EC13" s="2"/>
      <c r="ED13" s="2"/>
      <c r="EE13" s="2"/>
      <c r="EF13" s="2"/>
      <c r="EG13" s="2"/>
      <c r="EH13" s="2">
        <f>if(EJ13="", if(ED14="",DZ13, if((ED14-EC14)&lt;-1.9,DZ13*(1+Setup!GP10),if((ED14-EC14)=-1,DZ13*(1+Setup!GQ10),if(EE14&lt;EB14,DZ13*(1+Setup!GQ10),if(EE14=EB14,DZ13*(1+Setup!GR10),if((EE14-EB14)=1,DZ13*(1+Setup!GS10),if((EE14-EB14)=2,DZ13*(1+Setup!GT10),if((EE14-EB14)=3,DZ13*(1+Setup!GU10),if((EE14-EB14)=4,DZ13*(1+Setup!GV10),if((EE14-EB14)&gt;4.1,DZ13*(1+Setup!GW10),DZ13)))))))))),EJ13/'Quick Setup'!$E12)</f>
        <v>460</v>
      </c>
      <c r="EI13" s="1" t="s">
        <v>77</v>
      </c>
      <c r="EJ13" s="8"/>
      <c r="EK13" s="2"/>
      <c r="EL13" s="2"/>
      <c r="EM13" s="2"/>
      <c r="EN13" s="2"/>
      <c r="EO13" s="2"/>
      <c r="EP13" s="2">
        <f>if(ER13="", if(EL14="",EH13, if((EL14-EK14)&lt;-1.9,EH13*(1+Setup!HB10),if((EL14-EK14)=-1,EH13*(1+Setup!HC10),if(EM14&lt;EJ14,EH13*(1+Setup!HC10),if(EM14=EJ14,EH13*(1+Setup!HD10),if((EM14-EJ14)=1,EH13*(1+Setup!HE10),if((EM14-EJ14)=2,EH13*(1+Setup!HF10),if((EM14-EJ14)=3,EH13*(1+Setup!HG10),if((EM14-EJ14)=4,EH13*(1+Setup!HH10),if((EM14-EJ14)&gt;4.1,EH13*(1+Setup!HI10),EH13)))))))))),ER13/'Quick Setup'!$E12)</f>
        <v>460</v>
      </c>
      <c r="EQ13" s="1" t="s">
        <v>77</v>
      </c>
      <c r="ER13" s="8"/>
      <c r="ES13" s="2"/>
      <c r="ET13" s="2"/>
      <c r="EU13" s="2"/>
      <c r="EV13" s="2"/>
      <c r="EW13" s="2"/>
      <c r="EX13" s="2">
        <f>if(EZ13="", if(ET14="",EP13, if((ET14-ES14)&lt;-1.9,EP13*(1+Setup!HN10),if((ET14-ES14)=-1,EP13*(1+Setup!HO10),if(EU14&lt;ER14,EP13*(1+Setup!HO10),if(EU14=ER14,EP13*(1+Setup!HP10),if((EU14-ER14)=1,EP13*(1+Setup!HQ10),if((EU14-ER14)=2,EP13*(1+Setup!HR10),if((EU14-ER14)=3,EP13*(1+Setup!HS10),if((EU14-ER14)=4,EP13*(1+Setup!HT10),if((EU14-ER14)&gt;4.1,EP13*(1+Setup!HU10),EP13)))))))))),EZ13/'Quick Setup'!$E12)</f>
        <v>460</v>
      </c>
      <c r="EY13" s="1" t="s">
        <v>77</v>
      </c>
      <c r="EZ13" s="8"/>
      <c r="FA13" s="2"/>
      <c r="FB13" s="2"/>
      <c r="FC13" s="2"/>
      <c r="FD13" s="2"/>
      <c r="FE13" s="2"/>
      <c r="FF13" s="2">
        <f>if(FH13="", if(FB14="",EX13, if((FB14-FA14)&lt;-1.9,EX13*(1+Setup!HZ10),if((FB14-FA14)=-1,EX13*(1+Setup!IA10),if(FC14&lt;EZ14,EX13*(1+Setup!IA10),if(FC14=EZ14,EX13*(1+Setup!IB10),if((FC14-EZ14)=1,EX13*(1+Setup!IC10),if((FC14-EZ14)=2,EX13*(1+Setup!ID10),if((FC14-EZ14)=3,EX13*(1+Setup!IE10),if((FC14-EZ14)=4,EX13*(1+Setup!IF10),if((FC14-EZ14)&gt;4.1,EX13*(1+Setup!IG10),EX13)))))))))),FH13/'Quick Setup'!$E12)</f>
        <v>460</v>
      </c>
      <c r="FG13" s="1" t="s">
        <v>77</v>
      </c>
      <c r="FH13" s="8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1" t="str">
        <f>Setup!A10</f>
        <v>Paused Squat</v>
      </c>
      <c r="B14" s="2">
        <f>mround(B13*Setup!B10,'Quick Setup'!$A$2)</f>
        <v>275</v>
      </c>
      <c r="C14" s="2">
        <f>Setup!C10</f>
        <v>7</v>
      </c>
      <c r="D14" s="2">
        <f>Setup!D10</f>
        <v>3</v>
      </c>
      <c r="E14" s="2">
        <f>Setup!E10</f>
        <v>5</v>
      </c>
      <c r="F14" s="8"/>
      <c r="G14" s="8"/>
      <c r="H14" s="8"/>
      <c r="I14" s="8"/>
      <c r="J14" s="2">
        <f>mround(J13*Setup!N10,'Quick Setup'!$A$2)</f>
        <v>300</v>
      </c>
      <c r="K14" s="2">
        <f>Setup!O10</f>
        <v>6</v>
      </c>
      <c r="L14" s="2">
        <f>Setup!P10</f>
        <v>3</v>
      </c>
      <c r="M14" s="2">
        <f>Setup!Q10</f>
        <v>5</v>
      </c>
      <c r="N14" s="8"/>
      <c r="O14" s="8"/>
      <c r="P14" s="8"/>
      <c r="Q14" s="8"/>
      <c r="R14" s="2">
        <f>mround(R13*Setup!Z10,'Quick Setup'!$A$2)</f>
        <v>322.5</v>
      </c>
      <c r="S14" s="2">
        <f>Setup!AA10</f>
        <v>5</v>
      </c>
      <c r="T14" s="2">
        <f>Setup!AB10</f>
        <v>3</v>
      </c>
      <c r="U14" s="2">
        <f>Setup!AC10</f>
        <v>5</v>
      </c>
      <c r="V14" s="8"/>
      <c r="W14" s="8"/>
      <c r="X14" s="8"/>
      <c r="Y14" s="8"/>
      <c r="Z14" s="2">
        <f>mround(Z13*Setup!AL10,'Quick Setup'!$A$2)</f>
        <v>287.5</v>
      </c>
      <c r="AA14" s="2">
        <f>Setup!AM10</f>
        <v>7</v>
      </c>
      <c r="AB14" s="2">
        <f>Setup!AN10</f>
        <v>3</v>
      </c>
      <c r="AC14" s="2">
        <f>Setup!AO10</f>
        <v>5</v>
      </c>
      <c r="AD14" s="8"/>
      <c r="AE14" s="8"/>
      <c r="AF14" s="8"/>
      <c r="AG14" s="8"/>
      <c r="AH14" s="2">
        <f>mround(AH13*Setup!AX10,'Quick Setup'!$A$2)</f>
        <v>310</v>
      </c>
      <c r="AI14" s="2">
        <f>Setup!AY10</f>
        <v>6</v>
      </c>
      <c r="AJ14" s="2">
        <f>Setup!AZ10</f>
        <v>3</v>
      </c>
      <c r="AK14" s="2">
        <f>Setup!BA10</f>
        <v>5</v>
      </c>
      <c r="AL14" s="8"/>
      <c r="AM14" s="8"/>
      <c r="AN14" s="8"/>
      <c r="AO14" s="8"/>
      <c r="AP14" s="2">
        <f>mround(AP13*Setup!BJ10,'Quick Setup'!$A$2)</f>
        <v>332.5</v>
      </c>
      <c r="AQ14" s="2">
        <f>Setup!BK10</f>
        <v>5</v>
      </c>
      <c r="AR14" s="2">
        <f>Setup!BL10</f>
        <v>3</v>
      </c>
      <c r="AS14" s="2">
        <f>Setup!BM10</f>
        <v>5</v>
      </c>
      <c r="AT14" s="8"/>
      <c r="AU14" s="8"/>
      <c r="AV14" s="8"/>
      <c r="AW14" s="8"/>
      <c r="AX14" s="2">
        <f>mround(AX13*Setup!BV10,'Quick Setup'!$A$2)</f>
        <v>230</v>
      </c>
      <c r="AY14" s="2">
        <f>Setup!BW10</f>
        <v>8</v>
      </c>
      <c r="AZ14" s="2">
        <f>Setup!BX10</f>
        <v>3</v>
      </c>
      <c r="BA14" s="2">
        <f>Setup!BY10</f>
        <v>5</v>
      </c>
      <c r="BB14" s="8"/>
      <c r="BC14" s="8"/>
      <c r="BD14" s="8"/>
      <c r="BE14" s="8"/>
      <c r="BF14" s="2">
        <f>mround(BF13*Setup!CH10,'Quick Setup'!$A$2)</f>
        <v>300</v>
      </c>
      <c r="BG14" s="2">
        <f>Setup!CI10</f>
        <v>6</v>
      </c>
      <c r="BH14" s="2">
        <f>Setup!CJ10</f>
        <v>3</v>
      </c>
      <c r="BI14" s="2">
        <f>Setup!CK10</f>
        <v>5</v>
      </c>
      <c r="BJ14" s="8"/>
      <c r="BK14" s="8"/>
      <c r="BL14" s="8"/>
      <c r="BM14" s="8"/>
      <c r="BN14" s="2">
        <f>mround(BN13*Setup!CT10,'Quick Setup'!$A$2)</f>
        <v>322.5</v>
      </c>
      <c r="BO14" s="2">
        <f>Setup!CU10</f>
        <v>5</v>
      </c>
      <c r="BP14" s="2">
        <f>Setup!CV10</f>
        <v>3</v>
      </c>
      <c r="BQ14" s="2">
        <f>Setup!CW10</f>
        <v>5</v>
      </c>
      <c r="BR14" s="8"/>
      <c r="BS14" s="8"/>
      <c r="BT14" s="8"/>
      <c r="BU14" s="8"/>
      <c r="BV14" s="2">
        <f>mround(BV13*Setup!DF10,'Quick Setup'!$A$2)</f>
        <v>345</v>
      </c>
      <c r="BW14" s="2">
        <f>Setup!DG10</f>
        <v>4</v>
      </c>
      <c r="BX14" s="2">
        <f>Setup!DH10</f>
        <v>2</v>
      </c>
      <c r="BY14" s="2">
        <f>Setup!DI10</f>
        <v>5</v>
      </c>
      <c r="BZ14" s="8"/>
      <c r="CA14" s="8"/>
      <c r="CB14" s="8"/>
      <c r="CC14" s="8"/>
      <c r="CD14" s="2">
        <f>mround(CD13*Setup!DR10,'Quick Setup'!$A$2)</f>
        <v>310</v>
      </c>
      <c r="CE14" s="2">
        <f>Setup!DS10</f>
        <v>6</v>
      </c>
      <c r="CF14" s="2">
        <f>Setup!DT10</f>
        <v>3</v>
      </c>
      <c r="CG14" s="2">
        <f>Setup!DU10</f>
        <v>5</v>
      </c>
      <c r="CH14" s="8"/>
      <c r="CI14" s="8"/>
      <c r="CJ14" s="8"/>
      <c r="CK14" s="8"/>
      <c r="CL14" s="2">
        <f>mround(CL13*Setup!ED10,'Quick Setup'!$A$2)</f>
        <v>332.5</v>
      </c>
      <c r="CM14" s="2">
        <f>Setup!EE10</f>
        <v>5</v>
      </c>
      <c r="CN14" s="2">
        <f>Setup!EF10</f>
        <v>3</v>
      </c>
      <c r="CO14" s="2">
        <f>Setup!EG10</f>
        <v>5</v>
      </c>
      <c r="CP14" s="8"/>
      <c r="CQ14" s="8"/>
      <c r="CR14" s="8"/>
      <c r="CS14" s="8"/>
      <c r="CT14" s="2">
        <f>mround(CT13*Setup!EP10,'Quick Setup'!$A$2)</f>
        <v>357.5</v>
      </c>
      <c r="CU14" s="2">
        <f>Setup!EQ10</f>
        <v>4</v>
      </c>
      <c r="CV14" s="2">
        <f>Setup!ER10</f>
        <v>2</v>
      </c>
      <c r="CW14" s="2">
        <f>Setup!ES10</f>
        <v>5</v>
      </c>
      <c r="CX14" s="8"/>
      <c r="CY14" s="8"/>
      <c r="CZ14" s="8"/>
      <c r="DA14" s="8"/>
      <c r="DB14" s="2">
        <f>mround(DB13*Setup!FB10,'Quick Setup'!$A$2)</f>
        <v>230</v>
      </c>
      <c r="DC14" s="2">
        <f>Setup!FC10</f>
        <v>8</v>
      </c>
      <c r="DD14" s="2">
        <f>Setup!FD10</f>
        <v>3</v>
      </c>
      <c r="DE14" s="2">
        <f>Setup!FE10</f>
        <v>5</v>
      </c>
      <c r="DF14" s="8"/>
      <c r="DG14" s="8"/>
      <c r="DH14" s="8"/>
      <c r="DI14" s="8"/>
      <c r="DJ14" s="2">
        <f>mround(DJ13*Setup!FN10,'Quick Setup'!$A$2)</f>
        <v>322.5</v>
      </c>
      <c r="DK14" s="2">
        <f>Setup!FO10</f>
        <v>5</v>
      </c>
      <c r="DL14" s="2">
        <f>Setup!FP10</f>
        <v>3</v>
      </c>
      <c r="DM14" s="2">
        <f>Setup!FQ10</f>
        <v>5</v>
      </c>
      <c r="DN14" s="8"/>
      <c r="DO14" s="8"/>
      <c r="DP14" s="8"/>
      <c r="DQ14" s="8"/>
      <c r="DR14" s="2">
        <f>mround(DR13*Setup!FZ10,'Quick Setup'!$A$2)</f>
        <v>345</v>
      </c>
      <c r="DS14" s="2">
        <f>Setup!GA10</f>
        <v>4</v>
      </c>
      <c r="DT14" s="2">
        <f>Setup!GB10</f>
        <v>2</v>
      </c>
      <c r="DU14" s="2">
        <f>Setup!GC10</f>
        <v>5</v>
      </c>
      <c r="DV14" s="8"/>
      <c r="DW14" s="8"/>
      <c r="DX14" s="8"/>
      <c r="DY14" s="8"/>
      <c r="DZ14" s="2">
        <f>mround(DZ13*Setup!GL10,'Quick Setup'!$A$2)</f>
        <v>367.5</v>
      </c>
      <c r="EA14" s="2">
        <f>Setup!GM10</f>
        <v>3</v>
      </c>
      <c r="EB14" s="2">
        <f>Setup!GN10</f>
        <v>2</v>
      </c>
      <c r="EC14" s="2">
        <f>Setup!GO10</f>
        <v>5</v>
      </c>
      <c r="ED14" s="8"/>
      <c r="EE14" s="8"/>
      <c r="EF14" s="8"/>
      <c r="EG14" s="8"/>
      <c r="EH14" s="2">
        <f>mround(EH13*Setup!GX10,'Quick Setup'!$A$2)</f>
        <v>345</v>
      </c>
      <c r="EI14" s="2">
        <f>Setup!GY10</f>
        <v>4</v>
      </c>
      <c r="EJ14" s="2">
        <f>Setup!GZ10</f>
        <v>2</v>
      </c>
      <c r="EK14" s="2">
        <f>Setup!HA10</f>
        <v>5</v>
      </c>
      <c r="EL14" s="8"/>
      <c r="EM14" s="8"/>
      <c r="EN14" s="8"/>
      <c r="EO14" s="8"/>
      <c r="EP14" s="2">
        <f>mround(EP13*Setup!HJ10,'Quick Setup'!$A$2)</f>
        <v>367.5</v>
      </c>
      <c r="EQ14" s="2">
        <f>Setup!HK10</f>
        <v>3</v>
      </c>
      <c r="ER14" s="2">
        <f>Setup!HL10</f>
        <v>2</v>
      </c>
      <c r="ES14" s="2">
        <f>Setup!HM10</f>
        <v>5</v>
      </c>
      <c r="ET14" s="8"/>
      <c r="EU14" s="8"/>
      <c r="EV14" s="8"/>
      <c r="EW14" s="8"/>
      <c r="EX14" s="2">
        <f>mround(EX13*Setup!HV10,'Quick Setup'!$A$2)</f>
        <v>390</v>
      </c>
      <c r="EY14" s="2">
        <f>Setup!HW10</f>
        <v>2</v>
      </c>
      <c r="EZ14" s="2">
        <f>Setup!HX10</f>
        <v>1</v>
      </c>
      <c r="FA14" s="2">
        <f>Setup!HY10</f>
        <v>5</v>
      </c>
      <c r="FB14" s="8"/>
      <c r="FC14" s="8"/>
      <c r="FD14" s="8"/>
      <c r="FE14" s="8"/>
      <c r="FF14" s="2">
        <f>mround(FF13*Setup!IH10,'Quick Setup'!$A$2)</f>
        <v>230</v>
      </c>
      <c r="FG14" s="2">
        <f>Setup!II10</f>
        <v>8</v>
      </c>
      <c r="FH14" s="2">
        <f>Setup!IJ10</f>
        <v>3</v>
      </c>
      <c r="FI14" s="2">
        <f>Setup!IK10</f>
        <v>5</v>
      </c>
      <c r="FJ14" s="8"/>
      <c r="FK14" s="8"/>
      <c r="FL14" s="8"/>
      <c r="FM14" s="8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1" t="str">
        <f>CONCATENATE(A16," TM")</f>
        <v>Close Grip Bench TM</v>
      </c>
      <c r="B15" s="2">
        <f>if(D15="",'Quick Setup'!D13,D15/'Quick Setup'!E13)</f>
        <v>310</v>
      </c>
      <c r="C15" s="1" t="s">
        <v>77</v>
      </c>
      <c r="D15" s="8"/>
      <c r="E15" s="2"/>
      <c r="F15" s="2"/>
      <c r="G15" s="2"/>
      <c r="H15" s="2"/>
      <c r="I15" s="2"/>
      <c r="J15" s="2">
        <f>if(L15="", if(F16="",B15, if((F16-E16)&lt;-1.9,B15*(1+Setup!F11),if((F16-E16)=-1,B15*(1+Setup!G11),if(G16&lt;D16,B15*(1+Setup!G11),if(G16=D16,B15*(1+Setup!H11),if((G16-D16)=1,B15*(1+Setup!I11),if((G16-D16)=2,B15*(1+Setup!J11),if((G16-D16)=3,B15*(1+Setup!K11),if((G16-D16)=4,B15*(1+Setup!L11),if((G16-D16)&gt;4.1,B15*(1+Setup!M11),B15)))))))))),L15/'Quick Setup'!$E13)</f>
        <v>310</v>
      </c>
      <c r="K15" s="1" t="s">
        <v>77</v>
      </c>
      <c r="L15" s="8"/>
      <c r="M15" s="2"/>
      <c r="N15" s="2"/>
      <c r="O15" s="2"/>
      <c r="P15" s="2"/>
      <c r="Q15" s="2"/>
      <c r="R15" s="2">
        <f>if(T15="", if(N16="",J15, if((N16-M16)&lt;-1.9,J15*(1+Setup!R11),if((N16-M16)=-1,J15*(1+Setup!S11),if(O16&lt;L16,J15*(1+Setup!S11),if(O16=L16,J15*(1+Setup!T11),if((O16-L16)=1,J15*(1+Setup!U11),if((O16-L16)=2,J15*(1+Setup!V11),if((O16-L16)=3,J15*(1+Setup!W11),if((O16-L16)=4,J15*(1+Setup!X11),if((O16-L16)&gt;4.1,J15*(1+Setup!Y11),J15)))))))))),T15/'Quick Setup'!$E13)</f>
        <v>310</v>
      </c>
      <c r="S15" s="1" t="s">
        <v>77</v>
      </c>
      <c r="T15" s="8"/>
      <c r="U15" s="2"/>
      <c r="V15" s="2"/>
      <c r="W15" s="2"/>
      <c r="X15" s="2"/>
      <c r="Y15" s="2"/>
      <c r="Z15" s="2">
        <f>if(AB15="", if(V16="",R15, if((V16-U16)&lt;-1.9,R15*(1+Setup!AD11),if((V16-U16)=-1,R15*(1+Setup!AE11),if(W16&lt;T16,R15*(1+Setup!AE11),if(W16=T16,R15*(1+Setup!AF11),if((W16-T16)=1,R15*(1+Setup!AG11),if((W16-T16)=2,R15*(1+Setup!AH11),if((W16-T16)=3,R15*(1+Setup!AI11),if((W16-T16)=4,R15*(1+Setup!AJ11),if((W16-T16)&gt;4.1,R15*(1+Setup!AK11),R15)))))))))),AB15/'Quick Setup'!$E13)</f>
        <v>310</v>
      </c>
      <c r="AA15" s="1" t="s">
        <v>77</v>
      </c>
      <c r="AB15" s="8"/>
      <c r="AC15" s="2"/>
      <c r="AD15" s="2"/>
      <c r="AE15" s="2"/>
      <c r="AF15" s="2"/>
      <c r="AG15" s="2"/>
      <c r="AH15" s="2">
        <f>if(AJ15="", if(AD16="",Z15, if((AD16-AC16)&lt;-1.9,Z15*(1+Setup!AP11),if((AD16-AC16)=-1,Z15*(1+Setup!AQ11),if(AE16&lt;AB16,Z15*(1+Setup!AQ11),if(AE16=AB16,Z15*(1+Setup!AR11),if((AE16-AB16)=1,Z15*(1+Setup!AS11),if((AE16-AB16)=2,Z15*(1+Setup!AT11),if((AE16-AB16)=3,Z15*(1+Setup!AU11),if((AE16-AB16)=4,Z15*(1+Setup!AV11),if((AE16-AB16)&gt;4.1,Z15*(1+Setup!AW11),Z15)))))))))),AJ15/'Quick Setup'!$E13)</f>
        <v>310</v>
      </c>
      <c r="AI15" s="1" t="s">
        <v>77</v>
      </c>
      <c r="AJ15" s="8"/>
      <c r="AK15" s="2"/>
      <c r="AL15" s="2"/>
      <c r="AM15" s="2"/>
      <c r="AN15" s="2"/>
      <c r="AO15" s="2"/>
      <c r="AP15" s="2">
        <f>if(AR15="", if(AL16="",AH15, if((AL16-AK16)&lt;-1.9,AH15*(1+Setup!BB11),if((AL16-AK16)=-1,AH15*(1+Setup!BC11),if(AM16&lt;AJ16,AH15*(1+Setup!BC11),if(AM16=AJ16,AH15*(1+Setup!BD11),if((AM16-AJ16)=1,AH15*(1+Setup!BE11),if((AM16-AJ16)=2,AH15*(1+Setup!BF11),if((AM16-AJ16)=3,AH15*(1+Setup!BG11),if((AM16-AJ16)=4,AH15*(1+Setup!BH11),if((AM16-AJ16)&gt;4.1,AH15*(1+Setup!BI11),AH15)))))))))),AR15/'Quick Setup'!$E13)</f>
        <v>310</v>
      </c>
      <c r="AQ15" s="1" t="s">
        <v>77</v>
      </c>
      <c r="AR15" s="8"/>
      <c r="AS15" s="2"/>
      <c r="AT15" s="2"/>
      <c r="AU15" s="2"/>
      <c r="AV15" s="2"/>
      <c r="AW15" s="2"/>
      <c r="AX15" s="2">
        <f>if(AZ15="", if(AT16="",AP15, if((AT16-AS16)&lt;-1.9,AP15*(1+Setup!BN11),if((AT16-AS16)=-1,AP15*(1+Setup!BO11),if(AU16&lt;AR16,AP15*(1+Setup!BO11),if(AU16=AR16,AP15*(1+Setup!BP11),if((AU16-AR16)=1,AP15*(1+Setup!BQ11),if((AU16-AR16)=2,AP15*(1+Setup!BR11),if((AU16-AR16)=3,AP15*(1+Setup!BS11),if((AU16-AR16)=4,AP15*(1+Setup!BT11),if((AU16-AR16)&gt;4.1,AP15*(1+Setup!BU11),AP15)))))))))),AZ15/'Quick Setup'!$E13)</f>
        <v>310</v>
      </c>
      <c r="AY15" s="1" t="s">
        <v>77</v>
      </c>
      <c r="AZ15" s="8"/>
      <c r="BA15" s="2"/>
      <c r="BB15" s="2"/>
      <c r="BC15" s="2"/>
      <c r="BD15" s="2"/>
      <c r="BE15" s="2"/>
      <c r="BF15" s="2">
        <f>if(BH15="", if(BB16="",AX15, if((BB16-BA16)&lt;-1.9,AX15*(1+Setup!BZ11),if((BB16-BA16)=-1,AX15*(1+Setup!CA11),if(BC16&lt;AZ16,AX15*(1+Setup!CA11),if(BC16=AZ16,AX15*(1+Setup!CB11),if((BC16-AZ16)=1,AX15*(1+Setup!CC11),if((BC16-AZ16)=2,AX15*(1+Setup!CD11),if((BC16-AZ16)=3,AX15*(1+Setup!CE11),if((BC16-AZ16)=4,AX15*(1+Setup!CF11),if((BC16-AZ16)&gt;4.1,AX15*(1+Setup!CG11),AX15)))))))))),BH15/'Quick Setup'!$E13)</f>
        <v>310</v>
      </c>
      <c r="BG15" s="1" t="s">
        <v>77</v>
      </c>
      <c r="BH15" s="8"/>
      <c r="BI15" s="2"/>
      <c r="BJ15" s="2"/>
      <c r="BK15" s="2"/>
      <c r="BL15" s="2"/>
      <c r="BM15" s="2"/>
      <c r="BN15" s="2">
        <f>if(BP15="", if(BJ16="",BF15, if((BJ16-BI16)&lt;-1.9,BF15*(1+Setup!CL11),if((BJ16-BI16)=-1,BF15*(1+Setup!CM11),if(BK16&lt;BH16,BF15*(1+Setup!CM11),if(BK16=BH16,BF15*(1+Setup!CN11),if((BK16-BH16)=1,BF15*(1+Setup!CO11),if((BK16-BH16)=2,BF15*(1+Setup!CP11),if((BK16-BH16)=3,BF15*(1+Setup!CQ11),if((BK16-BH16)=4,BF15*(1+Setup!CR11),if((BK16-BH16)&gt;4.1,BF15*(1+Setup!CS11),BF15)))))))))),BP15/'Quick Setup'!$E13)</f>
        <v>310</v>
      </c>
      <c r="BO15" s="1" t="s">
        <v>77</v>
      </c>
      <c r="BP15" s="8"/>
      <c r="BQ15" s="2"/>
      <c r="BR15" s="2"/>
      <c r="BS15" s="2"/>
      <c r="BT15" s="2"/>
      <c r="BU15" s="2"/>
      <c r="BV15" s="2">
        <f>if(BX15="", if(BR16="",BN15, if((BR16-BQ16)&lt;-1.9,BN15*(1+Setup!CX11),if((BR16-BQ16)=-1,BN15*(1+Setup!CY11),if(BS16&lt;BP16,BN15*(1+Setup!CY11),if(BS16=BP16,BN15*(1+Setup!CZ11),if((BS16-BP16)=1,BN15*(1+Setup!DA11),if((BS16-BP16)=2,BN15*(1+Setup!DB11),if((BS16-BP16)=3,BN15*(1+Setup!DC11),if((BS16-BP16)=4,BN15*(1+Setup!DD11),if((BS16-BP16)&gt;4.1,BN15*(1+Setup!DE11),BN15)))))))))),BX15/'Quick Setup'!$E13)</f>
        <v>310</v>
      </c>
      <c r="BW15" s="1" t="s">
        <v>77</v>
      </c>
      <c r="BX15" s="8"/>
      <c r="BY15" s="2"/>
      <c r="BZ15" s="2"/>
      <c r="CA15" s="2"/>
      <c r="CB15" s="2"/>
      <c r="CC15" s="2"/>
      <c r="CD15" s="2">
        <f>if(CF15="", if(BZ16="",BV15, if((BZ16-BY16)&lt;-1.9,BV15*(1+Setup!DJ11),if((BZ16-BY16)=-1,BV15*(1+Setup!DK11),if(CA16&lt;BX16,BV15*(1+Setup!DK11),if(CA16=BX16,BV15*(1+Setup!DL11),if((CA16-BX16)=1,BV15*(1+Setup!DM11),if((CA16-BX16)=2,BV15*(1+Setup!DN11),if((CA16-BX16)=3,BV15*(1+Setup!DO11),if((CA16-BX16)=4,BV15*(1+Setup!DP11),if((CA16-BX16)&gt;4.1,BV15*(1+Setup!DQ11),BV15)))))))))),CF15/'Quick Setup'!$E13)</f>
        <v>310</v>
      </c>
      <c r="CE15" s="1" t="s">
        <v>77</v>
      </c>
      <c r="CF15" s="8"/>
      <c r="CG15" s="2"/>
      <c r="CH15" s="2"/>
      <c r="CI15" s="2"/>
      <c r="CJ15" s="2"/>
      <c r="CK15" s="2"/>
      <c r="CL15" s="2">
        <f>if(CN15="", if(CH16="",CD15, if((CH16-CG16)&lt;-1.9,CD15*(1+Setup!DV11),if((CH16-CG16)=-1,CD15*(1+Setup!DW11),if(CI16&lt;CF16,CD15*(1+Setup!DW11),if(CI16=CF16,CD15*(1+Setup!DX11),if((CI16-CF16)=1,CD15*(1+Setup!DY11),if((CI16-CF16)=2,CD15*(1+Setup!DZ11),if((CI16-CF16)=3,CD15*(1+Setup!EA11),if((CI16-CF16)=4,CD15*(1+Setup!EB11),if((CI16-CF16)&gt;4.1,CD15*(1+Setup!EC11),CD15)))))))))),CN15/'Quick Setup'!$E13)</f>
        <v>310</v>
      </c>
      <c r="CM15" s="1" t="s">
        <v>77</v>
      </c>
      <c r="CN15" s="8"/>
      <c r="CO15" s="2"/>
      <c r="CP15" s="2"/>
      <c r="CQ15" s="2"/>
      <c r="CR15" s="2"/>
      <c r="CS15" s="2"/>
      <c r="CT15" s="2">
        <f>if(CV15="", if(CP16="",CL15, if((CP16-CO16)&lt;-1.9,CL15*(1+Setup!EH11),if((CP16-CO16)=-1,CL15*(1+Setup!EI11),if(CQ16&lt;CN16,CL15*(1+Setup!EI11),if(CQ16=CN16,CL15*(1+Setup!EJ11),if((CQ16-CN16)=1,CL15*(1+Setup!EK11),if((CQ16-CN16)=2,CL15*(1+Setup!EL11),if((CQ16-CN16)=3,CL15*(1+Setup!EM11),if((CQ16-CN16)=4,CL15*(1+Setup!EN11),if((CQ16-CN16)&gt;4.1,CL15*(1+Setup!EO11),CL15)))))))))),CV15/'Quick Setup'!$E13)</f>
        <v>310</v>
      </c>
      <c r="CU15" s="1" t="s">
        <v>77</v>
      </c>
      <c r="CV15" s="8"/>
      <c r="CW15" s="2"/>
      <c r="CX15" s="2"/>
      <c r="CY15" s="2"/>
      <c r="CZ15" s="2"/>
      <c r="DA15" s="2"/>
      <c r="DB15" s="2">
        <f>if(DD15="", if(CX16="",CT15, if((CX16-CW16)&lt;-1.9,CT15*(1+Setup!ET11),if((CX16-CW16)=-1,CT15*(1+Setup!EU11),if(CY16&lt;CV16,CT15*(1+Setup!EU11),if(CY16=CV16,CT15*(1+Setup!EV11),if((CY16-CV16)=1,CT15*(1+Setup!EW11),if((CY16-CV16)=2,CT15*(1+Setup!EX11),if((CY16-CV16)=3,CT15*(1+Setup!EY11),if((CY16-CV16)=4,CT15*(1+Setup!EZ11),if((CY16-CV16)&gt;4.1,CT15*(1+Setup!FA11),CT15)))))))))),DD15/'Quick Setup'!$E13)</f>
        <v>310</v>
      </c>
      <c r="DC15" s="1" t="s">
        <v>77</v>
      </c>
      <c r="DD15" s="8"/>
      <c r="DE15" s="2"/>
      <c r="DF15" s="2"/>
      <c r="DG15" s="2"/>
      <c r="DH15" s="2"/>
      <c r="DI15" s="2"/>
      <c r="DJ15" s="2">
        <f>if(DL15="", if(DF16="",DB15, if((DF16-DE16)&lt;-1.9,DB15*(1+Setup!FF11),if((DF16-DE16)=-1,DB15*(1+Setup!FG11),if(DG16&lt;DD16,DB15*(1+Setup!FG11),if(DG16=DD16,DB15*(1+Setup!FH11),if((DG16-DD16)=1,DB15*(1+Setup!FI11),if((DG16-DD16)=2,DB15*(1+Setup!FJ11),if((DG16-DD16)=3,DB15*(1+Setup!FK11),if((DG16-DD16)=4,DB15*(1+Setup!FL11),if((DG16-DD16)&gt;4.1,DB15*(1+Setup!FM11),DB15)))))))))),DL15/'Quick Setup'!$E13)</f>
        <v>310</v>
      </c>
      <c r="DK15" s="1" t="s">
        <v>77</v>
      </c>
      <c r="DL15" s="8"/>
      <c r="DM15" s="2"/>
      <c r="DN15" s="2"/>
      <c r="DO15" s="2"/>
      <c r="DP15" s="2"/>
      <c r="DQ15" s="2"/>
      <c r="DR15" s="2">
        <f>if(DT15="", if(DN16="",DJ15, if((DN16-DM16)&lt;-1.9,DJ15*(1+Setup!FR11),if((DN16-DM16)=-1,DJ15*(1+Setup!FS11),if(DO16&lt;DL16,DJ15*(1+Setup!FS11),if(DO16=DL16,DJ15*(1+Setup!FT11),if((DO16-DL16)=1,DJ15*(1+Setup!FU11),if((DO16-DL16)=2,DJ15*(1+Setup!FV11),if((DO16-DL16)=3,DJ15*(1+Setup!FW11),if((DO16-DL16)=4,DJ15*(1+Setup!FX11),if((DO16-DL16)&gt;4.1,DJ15*(1+Setup!FY11),DJ15)))))))))),DT15/'Quick Setup'!$E13)</f>
        <v>310</v>
      </c>
      <c r="DS15" s="1" t="s">
        <v>77</v>
      </c>
      <c r="DT15" s="8"/>
      <c r="DU15" s="2"/>
      <c r="DV15" s="2"/>
      <c r="DW15" s="2"/>
      <c r="DX15" s="2"/>
      <c r="DY15" s="2"/>
      <c r="DZ15" s="2">
        <f>if(EB15="", if(DV16="",DR15, if((DV16-DU16)&lt;-1.9,DR15*(1+Setup!GD11),if((DV16-DU16)=-1,DR15*(1+Setup!GE11),if(DW16&lt;DT16,DR15*(1+Setup!GE11),if(DW16=DT16,DR15*(1+Setup!GF11),if((DW16-DT16)=1,DR15*(1+Setup!GG11),if((DW16-DT16)=2,DR15*(1+Setup!GH11),if((DW16-DT16)=3,DR15*(1+Setup!GI11),if((DW16-DT16)=4,DR15*(1+Setup!GJ11),if((DW16-DT16)&gt;4.1,DR15*(1+Setup!GK11),DR15)))))))))),EB15/'Quick Setup'!$E13)</f>
        <v>310</v>
      </c>
      <c r="EA15" s="1" t="s">
        <v>77</v>
      </c>
      <c r="EB15" s="8"/>
      <c r="EC15" s="2"/>
      <c r="ED15" s="2"/>
      <c r="EE15" s="2"/>
      <c r="EF15" s="2"/>
      <c r="EG15" s="2"/>
      <c r="EH15" s="2">
        <f>if(EJ15="", if(ED16="",DZ15, if((ED16-EC16)&lt;-1.9,DZ15*(1+Setup!GP11),if((ED16-EC16)=-1,DZ15*(1+Setup!GQ11),if(EE16&lt;EB16,DZ15*(1+Setup!GQ11),if(EE16=EB16,DZ15*(1+Setup!GR11),if((EE16-EB16)=1,DZ15*(1+Setup!GS11),if((EE16-EB16)=2,DZ15*(1+Setup!GT11),if((EE16-EB16)=3,DZ15*(1+Setup!GU11),if((EE16-EB16)=4,DZ15*(1+Setup!GV11),if((EE16-EB16)&gt;4.1,DZ15*(1+Setup!GW11),DZ15)))))))))),EJ15/'Quick Setup'!$E13)</f>
        <v>310</v>
      </c>
      <c r="EI15" s="1" t="s">
        <v>77</v>
      </c>
      <c r="EJ15" s="8"/>
      <c r="EK15" s="2"/>
      <c r="EL15" s="2"/>
      <c r="EM15" s="2"/>
      <c r="EN15" s="2"/>
      <c r="EO15" s="2"/>
      <c r="EP15" s="2">
        <f>if(ER15="", if(EL16="",EH15, if((EL16-EK16)&lt;-1.9,EH15*(1+Setup!HB11),if((EL16-EK16)=-1,EH15*(1+Setup!HC11),if(EM16&lt;EJ16,EH15*(1+Setup!HC11),if(EM16=EJ16,EH15*(1+Setup!HD11),if((EM16-EJ16)=1,EH15*(1+Setup!HE11),if((EM16-EJ16)=2,EH15*(1+Setup!HF11),if((EM16-EJ16)=3,EH15*(1+Setup!HG11),if((EM16-EJ16)=4,EH15*(1+Setup!HH11),if((EM16-EJ16)&gt;4.1,EH15*(1+Setup!HI11),EH15)))))))))),ER15/'Quick Setup'!$E13)</f>
        <v>310</v>
      </c>
      <c r="EQ15" s="1" t="s">
        <v>77</v>
      </c>
      <c r="ER15" s="8"/>
      <c r="ES15" s="2"/>
      <c r="ET15" s="2"/>
      <c r="EU15" s="2"/>
      <c r="EV15" s="2"/>
      <c r="EW15" s="2"/>
      <c r="EX15" s="2">
        <f>if(EZ15="", if(ET16="",EP15, if((ET16-ES16)&lt;-1.9,EP15*(1+Setup!HN11),if((ET16-ES16)=-1,EP15*(1+Setup!HO11),if(EU16&lt;ER16,EP15*(1+Setup!HO11),if(EU16=ER16,EP15*(1+Setup!HP11),if((EU16-ER16)=1,EP15*(1+Setup!HQ11),if((EU16-ER16)=2,EP15*(1+Setup!HR11),if((EU16-ER16)=3,EP15*(1+Setup!HS11),if((EU16-ER16)=4,EP15*(1+Setup!HT11),if((EU16-ER16)&gt;4.1,EP15*(1+Setup!HU11),EP15)))))))))),EZ15/'Quick Setup'!$E13)</f>
        <v>310</v>
      </c>
      <c r="EY15" s="1" t="s">
        <v>77</v>
      </c>
      <c r="EZ15" s="8"/>
      <c r="FA15" s="2"/>
      <c r="FB15" s="2"/>
      <c r="FC15" s="2"/>
      <c r="FD15" s="2"/>
      <c r="FE15" s="2"/>
      <c r="FF15" s="2">
        <f>if(FH15="", if(FB16="",EX15, if((FB16-FA16)&lt;-1.9,EX15*(1+Setup!HZ11),if((FB16-FA16)=-1,EX15*(1+Setup!IA11),if(FC16&lt;EZ16,EX15*(1+Setup!IA11),if(FC16=EZ16,EX15*(1+Setup!IB11),if((FC16-EZ16)=1,EX15*(1+Setup!IC11),if((FC16-EZ16)=2,EX15*(1+Setup!ID11),if((FC16-EZ16)=3,EX15*(1+Setup!IE11),if((FC16-EZ16)=4,EX15*(1+Setup!IF11),if((FC16-EZ16)&gt;4.1,EX15*(1+Setup!IG11),EX15)))))))))),FH15/'Quick Setup'!$E13)</f>
        <v>310</v>
      </c>
      <c r="FG15" s="1" t="s">
        <v>77</v>
      </c>
      <c r="FH15" s="8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1" t="str">
        <f>Setup!A11</f>
        <v>Close Grip Bench</v>
      </c>
      <c r="B16" s="2">
        <f>mround(B15*Setup!B11,'Quick Setup'!$A$2)</f>
        <v>185</v>
      </c>
      <c r="C16" s="2">
        <f>Setup!C11</f>
        <v>7</v>
      </c>
      <c r="D16" s="2">
        <f>Setup!D11</f>
        <v>3</v>
      </c>
      <c r="E16" s="2">
        <f>Setup!E11</f>
        <v>5</v>
      </c>
      <c r="F16" s="8"/>
      <c r="G16" s="8"/>
      <c r="H16" s="8"/>
      <c r="I16" s="8"/>
      <c r="J16" s="2">
        <f>mround(J15*Setup!N11,'Quick Setup'!$A$2)</f>
        <v>202.5</v>
      </c>
      <c r="K16" s="2">
        <f>Setup!O11</f>
        <v>6</v>
      </c>
      <c r="L16" s="2">
        <f>Setup!P11</f>
        <v>3</v>
      </c>
      <c r="M16" s="2">
        <f>Setup!Q11</f>
        <v>5</v>
      </c>
      <c r="N16" s="8"/>
      <c r="O16" s="8"/>
      <c r="P16" s="8"/>
      <c r="Q16" s="8"/>
      <c r="R16" s="2">
        <f>mround(R15*Setup!Z11,'Quick Setup'!$A$2)</f>
        <v>217.5</v>
      </c>
      <c r="S16" s="2">
        <f>Setup!AA11</f>
        <v>5</v>
      </c>
      <c r="T16" s="2">
        <f>Setup!AB11</f>
        <v>3</v>
      </c>
      <c r="U16" s="2">
        <f>Setup!AC11</f>
        <v>5</v>
      </c>
      <c r="V16" s="8"/>
      <c r="W16" s="8"/>
      <c r="X16" s="8"/>
      <c r="Y16" s="8"/>
      <c r="Z16" s="2">
        <f>mround(Z15*Setup!AL11,'Quick Setup'!$A$2)</f>
        <v>195</v>
      </c>
      <c r="AA16" s="2">
        <f>Setup!AM11</f>
        <v>7</v>
      </c>
      <c r="AB16" s="2">
        <f>Setup!AN11</f>
        <v>3</v>
      </c>
      <c r="AC16" s="2">
        <f>Setup!AO11</f>
        <v>5</v>
      </c>
      <c r="AD16" s="8"/>
      <c r="AE16" s="8"/>
      <c r="AF16" s="8"/>
      <c r="AG16" s="8"/>
      <c r="AH16" s="2">
        <f>mround(AH15*Setup!AX11,'Quick Setup'!$A$2)</f>
        <v>210</v>
      </c>
      <c r="AI16" s="2">
        <f>Setup!AY11</f>
        <v>6</v>
      </c>
      <c r="AJ16" s="2">
        <f>Setup!AZ11</f>
        <v>3</v>
      </c>
      <c r="AK16" s="2">
        <f>Setup!BA11</f>
        <v>5</v>
      </c>
      <c r="AL16" s="8"/>
      <c r="AM16" s="8"/>
      <c r="AN16" s="8"/>
      <c r="AO16" s="8"/>
      <c r="AP16" s="2">
        <f>mround(AP15*Setup!BJ11,'Quick Setup'!$A$2)</f>
        <v>225</v>
      </c>
      <c r="AQ16" s="2">
        <f>Setup!BK11</f>
        <v>5</v>
      </c>
      <c r="AR16" s="2">
        <f>Setup!BL11</f>
        <v>3</v>
      </c>
      <c r="AS16" s="2">
        <f>Setup!BM11</f>
        <v>5</v>
      </c>
      <c r="AT16" s="8"/>
      <c r="AU16" s="8"/>
      <c r="AV16" s="8"/>
      <c r="AW16" s="8"/>
      <c r="AX16" s="2">
        <f>mround(AX15*Setup!BV11,'Quick Setup'!$A$2)</f>
        <v>155</v>
      </c>
      <c r="AY16" s="2">
        <f>Setup!BW11</f>
        <v>8</v>
      </c>
      <c r="AZ16" s="2">
        <f>Setup!BX11</f>
        <v>3</v>
      </c>
      <c r="BA16" s="2">
        <f>Setup!BY11</f>
        <v>5</v>
      </c>
      <c r="BB16" s="8"/>
      <c r="BC16" s="8"/>
      <c r="BD16" s="8"/>
      <c r="BE16" s="8"/>
      <c r="BF16" s="2">
        <f>mround(BF15*Setup!CH11,'Quick Setup'!$A$2)</f>
        <v>202.5</v>
      </c>
      <c r="BG16" s="2">
        <f>Setup!CI11</f>
        <v>6</v>
      </c>
      <c r="BH16" s="2">
        <f>Setup!CJ11</f>
        <v>3</v>
      </c>
      <c r="BI16" s="2">
        <f>Setup!CK11</f>
        <v>5</v>
      </c>
      <c r="BJ16" s="8"/>
      <c r="BK16" s="8"/>
      <c r="BL16" s="8"/>
      <c r="BM16" s="8"/>
      <c r="BN16" s="2">
        <f>mround(BN15*Setup!CT11,'Quick Setup'!$A$2)</f>
        <v>217.5</v>
      </c>
      <c r="BO16" s="2">
        <f>Setup!CU11</f>
        <v>5</v>
      </c>
      <c r="BP16" s="2">
        <f>Setup!CV11</f>
        <v>3</v>
      </c>
      <c r="BQ16" s="2">
        <f>Setup!CW11</f>
        <v>5</v>
      </c>
      <c r="BR16" s="8"/>
      <c r="BS16" s="8"/>
      <c r="BT16" s="8"/>
      <c r="BU16" s="8"/>
      <c r="BV16" s="2">
        <f>mround(BV15*Setup!DF11,'Quick Setup'!$A$2)</f>
        <v>232.5</v>
      </c>
      <c r="BW16" s="2">
        <f>Setup!DG11</f>
        <v>4</v>
      </c>
      <c r="BX16" s="2">
        <f>Setup!DH11</f>
        <v>2</v>
      </c>
      <c r="BY16" s="2">
        <f>Setup!DI11</f>
        <v>5</v>
      </c>
      <c r="BZ16" s="8"/>
      <c r="CA16" s="8"/>
      <c r="CB16" s="8"/>
      <c r="CC16" s="8"/>
      <c r="CD16" s="2">
        <f>mround(CD15*Setup!DR11,'Quick Setup'!$A$2)</f>
        <v>210</v>
      </c>
      <c r="CE16" s="2">
        <f>Setup!DS11</f>
        <v>6</v>
      </c>
      <c r="CF16" s="2">
        <f>Setup!DT11</f>
        <v>3</v>
      </c>
      <c r="CG16" s="2">
        <f>Setup!DU11</f>
        <v>5</v>
      </c>
      <c r="CH16" s="8"/>
      <c r="CI16" s="8"/>
      <c r="CJ16" s="8"/>
      <c r="CK16" s="8"/>
      <c r="CL16" s="2">
        <f>mround(CL15*Setup!ED11,'Quick Setup'!$A$2)</f>
        <v>225</v>
      </c>
      <c r="CM16" s="2">
        <f>Setup!EE11</f>
        <v>5</v>
      </c>
      <c r="CN16" s="2">
        <f>Setup!EF11</f>
        <v>3</v>
      </c>
      <c r="CO16" s="2">
        <f>Setup!EG11</f>
        <v>5</v>
      </c>
      <c r="CP16" s="8"/>
      <c r="CQ16" s="8"/>
      <c r="CR16" s="8"/>
      <c r="CS16" s="8"/>
      <c r="CT16" s="2">
        <f>mround(CT15*Setup!EP11,'Quick Setup'!$A$2)</f>
        <v>240</v>
      </c>
      <c r="CU16" s="2">
        <f>Setup!EQ11</f>
        <v>4</v>
      </c>
      <c r="CV16" s="2">
        <f>Setup!ER11</f>
        <v>2</v>
      </c>
      <c r="CW16" s="2">
        <f>Setup!ES11</f>
        <v>5</v>
      </c>
      <c r="CX16" s="8"/>
      <c r="CY16" s="8"/>
      <c r="CZ16" s="8"/>
      <c r="DA16" s="8"/>
      <c r="DB16" s="2">
        <f>mround(DB15*Setup!FB11,'Quick Setup'!$A$2)</f>
        <v>155</v>
      </c>
      <c r="DC16" s="2">
        <f>Setup!FC11</f>
        <v>8</v>
      </c>
      <c r="DD16" s="2">
        <f>Setup!FD11</f>
        <v>3</v>
      </c>
      <c r="DE16" s="2">
        <f>Setup!FE11</f>
        <v>5</v>
      </c>
      <c r="DF16" s="8"/>
      <c r="DG16" s="8"/>
      <c r="DH16" s="8"/>
      <c r="DI16" s="8"/>
      <c r="DJ16" s="2">
        <f>mround(DJ15*Setup!FN11,'Quick Setup'!$A$2)</f>
        <v>217.5</v>
      </c>
      <c r="DK16" s="2">
        <f>Setup!FO11</f>
        <v>5</v>
      </c>
      <c r="DL16" s="2">
        <f>Setup!FP11</f>
        <v>3</v>
      </c>
      <c r="DM16" s="2">
        <f>Setup!FQ11</f>
        <v>5</v>
      </c>
      <c r="DN16" s="8"/>
      <c r="DO16" s="8"/>
      <c r="DP16" s="8"/>
      <c r="DQ16" s="8"/>
      <c r="DR16" s="2">
        <f>mround(DR15*Setup!FZ11,'Quick Setup'!$A$2)</f>
        <v>232.5</v>
      </c>
      <c r="DS16" s="2">
        <f>Setup!GA11</f>
        <v>4</v>
      </c>
      <c r="DT16" s="2">
        <f>Setup!GB11</f>
        <v>2</v>
      </c>
      <c r="DU16" s="2">
        <f>Setup!GC11</f>
        <v>5</v>
      </c>
      <c r="DV16" s="8"/>
      <c r="DW16" s="8"/>
      <c r="DX16" s="8"/>
      <c r="DY16" s="8"/>
      <c r="DZ16" s="2">
        <f>mround(DZ15*Setup!GL11,'Quick Setup'!$A$2)</f>
        <v>247.5</v>
      </c>
      <c r="EA16" s="2">
        <f>Setup!GM11</f>
        <v>3</v>
      </c>
      <c r="EB16" s="2">
        <f>Setup!GN11</f>
        <v>2</v>
      </c>
      <c r="EC16" s="2">
        <f>Setup!GO11</f>
        <v>5</v>
      </c>
      <c r="ED16" s="8"/>
      <c r="EE16" s="8"/>
      <c r="EF16" s="8"/>
      <c r="EG16" s="8"/>
      <c r="EH16" s="2">
        <f>mround(EH15*Setup!GX11,'Quick Setup'!$A$2)</f>
        <v>232.5</v>
      </c>
      <c r="EI16" s="2">
        <f>Setup!GY11</f>
        <v>4</v>
      </c>
      <c r="EJ16" s="2">
        <f>Setup!GZ11</f>
        <v>2</v>
      </c>
      <c r="EK16" s="2">
        <f>Setup!HA11</f>
        <v>5</v>
      </c>
      <c r="EL16" s="8"/>
      <c r="EM16" s="8"/>
      <c r="EN16" s="8"/>
      <c r="EO16" s="8"/>
      <c r="EP16" s="2">
        <f>mround(EP15*Setup!HJ11,'Quick Setup'!$A$2)</f>
        <v>247.5</v>
      </c>
      <c r="EQ16" s="2">
        <f>Setup!HK11</f>
        <v>3</v>
      </c>
      <c r="ER16" s="2">
        <f>Setup!HL11</f>
        <v>2</v>
      </c>
      <c r="ES16" s="2">
        <f>Setup!HM11</f>
        <v>5</v>
      </c>
      <c r="ET16" s="8"/>
      <c r="EU16" s="8"/>
      <c r="EV16" s="8"/>
      <c r="EW16" s="8"/>
      <c r="EX16" s="2">
        <f>mround(EX15*Setup!HV11,'Quick Setup'!$A$2)</f>
        <v>262.5</v>
      </c>
      <c r="EY16" s="2">
        <f>Setup!HW11</f>
        <v>2</v>
      </c>
      <c r="EZ16" s="2">
        <f>Setup!HX11</f>
        <v>1</v>
      </c>
      <c r="FA16" s="2">
        <f>Setup!HY11</f>
        <v>5</v>
      </c>
      <c r="FB16" s="8"/>
      <c r="FC16" s="8"/>
      <c r="FD16" s="8"/>
      <c r="FE16" s="8"/>
      <c r="FF16" s="2">
        <f>mround(FF15*Setup!IH11,'Quick Setup'!$A$2)</f>
        <v>155</v>
      </c>
      <c r="FG16" s="2">
        <f>Setup!II11</f>
        <v>8</v>
      </c>
      <c r="FH16" s="2">
        <f>Setup!IJ11</f>
        <v>3</v>
      </c>
      <c r="FI16" s="2">
        <f>Setup!IK11</f>
        <v>5</v>
      </c>
      <c r="FJ16" s="8"/>
      <c r="FK16" s="8"/>
      <c r="FL16" s="8"/>
      <c r="FM16" s="8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1" t="str">
        <f>CONCATENATE(A18," TM")</f>
        <v>Incline Press TM</v>
      </c>
      <c r="B17" s="2">
        <f>if(D17="",'Quick Setup'!D14,D17/'Quick Setup'!E14)</f>
        <v>280</v>
      </c>
      <c r="C17" s="1" t="s">
        <v>77</v>
      </c>
      <c r="D17" s="8"/>
      <c r="E17" s="2"/>
      <c r="F17" s="2"/>
      <c r="G17" s="2"/>
      <c r="H17" s="2"/>
      <c r="I17" s="2"/>
      <c r="J17" s="2">
        <f>if(L17="", if(F18="",B17, if((F18-E18)&lt;-1.9,B17*(1+Setup!F12),if((F18-E18)=-1,B17*(1+Setup!G12),if(G18&lt;D18,B17*(1+Setup!G12),if(G18=D18,B17*(1+Setup!H12),if((G18-D18)=1,B17*(1+Setup!I12),if((G18-D18)=2,B17*(1+Setup!J12),if((G18-D18)=3,B17*(1+Setup!K12),if((G18-D18)=4,B17*(1+Setup!L12),if((G18-D18)&gt;4.1,B17*(1+Setup!M12),B17)))))))))),L17/'Quick Setup'!$E14)</f>
        <v>280</v>
      </c>
      <c r="K17" s="1" t="s">
        <v>77</v>
      </c>
      <c r="L17" s="8"/>
      <c r="M17" s="2"/>
      <c r="N17" s="2"/>
      <c r="O17" s="2"/>
      <c r="P17" s="2"/>
      <c r="Q17" s="2"/>
      <c r="R17" s="2">
        <f>if(T17="", if(N18="",J17, if((N18-M18)&lt;-1.9,J17*(1+Setup!R12),if((N18-M18)=-1,J17*(1+Setup!S12),if(O18&lt;L18,J17*(1+Setup!S12),if(O18=L18,J17*(1+Setup!T12),if((O18-L18)=1,J17*(1+Setup!U12),if((O18-L18)=2,J17*(1+Setup!V12),if((O18-L18)=3,J17*(1+Setup!W12),if((O18-L18)=4,J17*(1+Setup!X12),if((O18-L18)&gt;4.1,J17*(1+Setup!Y12),J17)))))))))),T17/'Quick Setup'!$E14)</f>
        <v>280</v>
      </c>
      <c r="S17" s="1" t="s">
        <v>77</v>
      </c>
      <c r="T17" s="8"/>
      <c r="U17" s="2"/>
      <c r="V17" s="2"/>
      <c r="W17" s="2"/>
      <c r="X17" s="2"/>
      <c r="Y17" s="2"/>
      <c r="Z17" s="2">
        <f>if(AB17="", if(V18="",R17, if((V18-U18)&lt;-1.9,R17*(1+Setup!AD12),if((V18-U18)=-1,R17*(1+Setup!AE12),if(W18&lt;T18,R17*(1+Setup!AE12),if(W18=T18,R17*(1+Setup!AF12),if((W18-T18)=1,R17*(1+Setup!AG12),if((W18-T18)=2,R17*(1+Setup!AH12),if((W18-T18)=3,R17*(1+Setup!AI12),if((W18-T18)=4,R17*(1+Setup!AJ12),if((W18-T18)&gt;4.1,R17*(1+Setup!AK12),R17)))))))))),AB17/'Quick Setup'!$E14)</f>
        <v>280</v>
      </c>
      <c r="AA17" s="1" t="s">
        <v>77</v>
      </c>
      <c r="AB17" s="8"/>
      <c r="AC17" s="2"/>
      <c r="AD17" s="2"/>
      <c r="AE17" s="2"/>
      <c r="AF17" s="2"/>
      <c r="AG17" s="2"/>
      <c r="AH17" s="2">
        <f>if(AJ17="", if(AD18="",Z17, if((AD18-AC18)&lt;-1.9,Z17*(1+Setup!AP12),if((AD18-AC18)=-1,Z17*(1+Setup!AQ12),if(AE18&lt;AB18,Z17*(1+Setup!AQ12),if(AE18=AB18,Z17*(1+Setup!AR12),if((AE18-AB18)=1,Z17*(1+Setup!AS12),if((AE18-AB18)=2,Z17*(1+Setup!AT12),if((AE18-AB18)=3,Z17*(1+Setup!AU12),if((AE18-AB18)=4,Z17*(1+Setup!AV12),if((AE18-AB18)&gt;4.1,Z17*(1+Setup!AW12),Z17)))))))))),AJ17/'Quick Setup'!$E14)</f>
        <v>280</v>
      </c>
      <c r="AI17" s="1" t="s">
        <v>77</v>
      </c>
      <c r="AJ17" s="8"/>
      <c r="AK17" s="2"/>
      <c r="AL17" s="2"/>
      <c r="AM17" s="2"/>
      <c r="AN17" s="2"/>
      <c r="AO17" s="2"/>
      <c r="AP17" s="2">
        <f>if(AR17="", if(AL18="",AH17, if((AL18-AK18)&lt;-1.9,AH17*(1+Setup!BB12),if((AL18-AK18)=-1,AH17*(1+Setup!BC12),if(AM18&lt;AJ18,AH17*(1+Setup!BC12),if(AM18=AJ18,AH17*(1+Setup!BD12),if((AM18-AJ18)=1,AH17*(1+Setup!BE12),if((AM18-AJ18)=2,AH17*(1+Setup!BF12),if((AM18-AJ18)=3,AH17*(1+Setup!BG12),if((AM18-AJ18)=4,AH17*(1+Setup!BH12),if((AM18-AJ18)&gt;4.1,AH17*(1+Setup!BI12),AH17)))))))))),AR17/'Quick Setup'!$E14)</f>
        <v>280</v>
      </c>
      <c r="AQ17" s="1" t="s">
        <v>77</v>
      </c>
      <c r="AR17" s="8"/>
      <c r="AS17" s="2"/>
      <c r="AT17" s="2"/>
      <c r="AU17" s="2"/>
      <c r="AV17" s="2"/>
      <c r="AW17" s="2"/>
      <c r="AX17" s="2">
        <f>if(AZ17="", if(AT18="",AP17, if((AT18-AS18)&lt;-1.9,AP17*(1+Setup!BN12),if((AT18-AS18)=-1,AP17*(1+Setup!BO12),if(AU18&lt;AR18,AP17*(1+Setup!BO12),if(AU18=AR18,AP17*(1+Setup!BP12),if((AU18-AR18)=1,AP17*(1+Setup!BQ12),if((AU18-AR18)=2,AP17*(1+Setup!BR12),if((AU18-AR18)=3,AP17*(1+Setup!BS12),if((AU18-AR18)=4,AP17*(1+Setup!BT12),if((AU18-AR18)&gt;4.1,AP17*(1+Setup!BU12),AP17)))))))))),AZ17/'Quick Setup'!$E14)</f>
        <v>280</v>
      </c>
      <c r="AY17" s="1" t="s">
        <v>77</v>
      </c>
      <c r="AZ17" s="8"/>
      <c r="BA17" s="2"/>
      <c r="BB17" s="2"/>
      <c r="BC17" s="2"/>
      <c r="BD17" s="2"/>
      <c r="BE17" s="2"/>
      <c r="BF17" s="2">
        <f>if(BH17="", if(BB18="",AX17, if((BB18-BA18)&lt;-1.9,AX17*(1+Setup!BZ12),if((BB18-BA18)=-1,AX17*(1+Setup!CA12),if(BC18&lt;AZ18,AX17*(1+Setup!CA12),if(BC18=AZ18,AX17*(1+Setup!CB12),if((BC18-AZ18)=1,AX17*(1+Setup!CC12),if((BC18-AZ18)=2,AX17*(1+Setup!CD12),if((BC18-AZ18)=3,AX17*(1+Setup!CE12),if((BC18-AZ18)=4,AX17*(1+Setup!CF12),if((BC18-AZ18)&gt;4.1,AX17*(1+Setup!CG12),AX17)))))))))),BH17/'Quick Setup'!$E14)</f>
        <v>280</v>
      </c>
      <c r="BG17" s="1" t="s">
        <v>77</v>
      </c>
      <c r="BH17" s="8"/>
      <c r="BI17" s="2"/>
      <c r="BJ17" s="2"/>
      <c r="BK17" s="2"/>
      <c r="BL17" s="2"/>
      <c r="BM17" s="2"/>
      <c r="BN17" s="2">
        <f>if(BP17="", if(BJ18="",BF17, if((BJ18-BI18)&lt;-1.9,BF17*(1+Setup!CL12),if((BJ18-BI18)=-1,BF17*(1+Setup!CM12),if(BK18&lt;BH18,BF17*(1+Setup!CM12),if(BK18=BH18,BF17*(1+Setup!CN12),if((BK18-BH18)=1,BF17*(1+Setup!CO12),if((BK18-BH18)=2,BF17*(1+Setup!CP12),if((BK18-BH18)=3,BF17*(1+Setup!CQ12),if((BK18-BH18)=4,BF17*(1+Setup!CR12),if((BK18-BH18)&gt;4.1,BF17*(1+Setup!CS12),BF17)))))))))),BP17/'Quick Setup'!$E14)</f>
        <v>280</v>
      </c>
      <c r="BO17" s="1" t="s">
        <v>77</v>
      </c>
      <c r="BP17" s="8"/>
      <c r="BQ17" s="2"/>
      <c r="BR17" s="2"/>
      <c r="BS17" s="2"/>
      <c r="BT17" s="2"/>
      <c r="BU17" s="2"/>
      <c r="BV17" s="2">
        <f>if(BX17="", if(BR18="",BN17, if((BR18-BQ18)&lt;-1.9,BN17*(1+Setup!CX12),if((BR18-BQ18)=-1,BN17*(1+Setup!CY12),if(BS18&lt;BP18,BN17*(1+Setup!CY12),if(BS18=BP18,BN17*(1+Setup!CZ12),if((BS18-BP18)=1,BN17*(1+Setup!DA12),if((BS18-BP18)=2,BN17*(1+Setup!DB12),if((BS18-BP18)=3,BN17*(1+Setup!DC12),if((BS18-BP18)=4,BN17*(1+Setup!DD12),if((BS18-BP18)&gt;4.1,BN17*(1+Setup!DE12),BN17)))))))))),BX17/'Quick Setup'!$E14)</f>
        <v>280</v>
      </c>
      <c r="BW17" s="1" t="s">
        <v>77</v>
      </c>
      <c r="BX17" s="8"/>
      <c r="BY17" s="2"/>
      <c r="BZ17" s="2"/>
      <c r="CA17" s="2"/>
      <c r="CB17" s="2"/>
      <c r="CC17" s="2"/>
      <c r="CD17" s="2">
        <f>if(CF17="", if(BZ18="",BV17, if((BZ18-BY18)&lt;-1.9,BV17*(1+Setup!DJ12),if((BZ18-BY18)=-1,BV17*(1+Setup!DK12),if(CA18&lt;BX18,BV17*(1+Setup!DK12),if(CA18=BX18,BV17*(1+Setup!DL12),if((CA18-BX18)=1,BV17*(1+Setup!DM12),if((CA18-BX18)=2,BV17*(1+Setup!DN12),if((CA18-BX18)=3,BV17*(1+Setup!DO12),if((CA18-BX18)=4,BV17*(1+Setup!DP12),if((CA18-BX18)&gt;4.1,BV17*(1+Setup!DQ12),BV17)))))))))),CF17/'Quick Setup'!$E14)</f>
        <v>280</v>
      </c>
      <c r="CE17" s="1" t="s">
        <v>77</v>
      </c>
      <c r="CF17" s="8"/>
      <c r="CG17" s="2"/>
      <c r="CH17" s="2"/>
      <c r="CI17" s="2"/>
      <c r="CJ17" s="2"/>
      <c r="CK17" s="2"/>
      <c r="CL17" s="2">
        <f>if(CN17="", if(CH18="",CD17, if((CH18-CG18)&lt;-1.9,CD17*(1+Setup!DV12),if((CH18-CG18)=-1,CD17*(1+Setup!DW12),if(CI18&lt;CF18,CD17*(1+Setup!DW12),if(CI18=CF18,CD17*(1+Setup!DX12),if((CI18-CF18)=1,CD17*(1+Setup!DY12),if((CI18-CF18)=2,CD17*(1+Setup!DZ12),if((CI18-CF18)=3,CD17*(1+Setup!EA12),if((CI18-CF18)=4,CD17*(1+Setup!EB12),if((CI18-CF18)&gt;4.1,CD17*(1+Setup!EC12),CD17)))))))))),CN17/'Quick Setup'!$E14)</f>
        <v>280</v>
      </c>
      <c r="CM17" s="1" t="s">
        <v>77</v>
      </c>
      <c r="CN17" s="8"/>
      <c r="CO17" s="2"/>
      <c r="CP17" s="2"/>
      <c r="CQ17" s="2"/>
      <c r="CR17" s="2"/>
      <c r="CS17" s="2"/>
      <c r="CT17" s="2">
        <f>if(CV17="", if(CP18="",CL17, if((CP18-CO18)&lt;-1.9,CL17*(1+Setup!EH12),if((CP18-CO18)=-1,CL17*(1+Setup!EI12),if(CQ18&lt;CN18,CL17*(1+Setup!EI12),if(CQ18=CN18,CL17*(1+Setup!EJ12),if((CQ18-CN18)=1,CL17*(1+Setup!EK12),if((CQ18-CN18)=2,CL17*(1+Setup!EL12),if((CQ18-CN18)=3,CL17*(1+Setup!EM12),if((CQ18-CN18)=4,CL17*(1+Setup!EN12),if((CQ18-CN18)&gt;4.1,CL17*(1+Setup!EO12),CL17)))))))))),CV17/'Quick Setup'!$E14)</f>
        <v>280</v>
      </c>
      <c r="CU17" s="1" t="s">
        <v>77</v>
      </c>
      <c r="CV17" s="8"/>
      <c r="CW17" s="2"/>
      <c r="CX17" s="2"/>
      <c r="CY17" s="2"/>
      <c r="CZ17" s="2"/>
      <c r="DA17" s="2"/>
      <c r="DB17" s="2">
        <f>if(DD17="", if(CX18="",CT17, if((CX18-CW18)&lt;-1.9,CT17*(1+Setup!ET12),if((CX18-CW18)=-1,CT17*(1+Setup!EU12),if(CY18&lt;CV18,CT17*(1+Setup!EU12),if(CY18=CV18,CT17*(1+Setup!EV12),if((CY18-CV18)=1,CT17*(1+Setup!EW12),if((CY18-CV18)=2,CT17*(1+Setup!EX12),if((CY18-CV18)=3,CT17*(1+Setup!EY12),if((CY18-CV18)=4,CT17*(1+Setup!EZ12),if((CY18-CV18)&gt;4.1,CT17*(1+Setup!FA12),CT17)))))))))),DD17/'Quick Setup'!$E14)</f>
        <v>280</v>
      </c>
      <c r="DC17" s="1" t="s">
        <v>77</v>
      </c>
      <c r="DD17" s="8"/>
      <c r="DE17" s="2"/>
      <c r="DF17" s="2"/>
      <c r="DG17" s="2"/>
      <c r="DH17" s="2"/>
      <c r="DI17" s="2"/>
      <c r="DJ17" s="2">
        <f>if(DL17="", if(DF18="",DB17, if((DF18-DE18)&lt;-1.9,DB17*(1+Setup!FF12),if((DF18-DE18)=-1,DB17*(1+Setup!FG12),if(DG18&lt;DD18,DB17*(1+Setup!FG12),if(DG18=DD18,DB17*(1+Setup!FH12),if((DG18-DD18)=1,DB17*(1+Setup!FI12),if((DG18-DD18)=2,DB17*(1+Setup!FJ12),if((DG18-DD18)=3,DB17*(1+Setup!FK12),if((DG18-DD18)=4,DB17*(1+Setup!FL12),if((DG18-DD18)&gt;4.1,DB17*(1+Setup!FM12),DB17)))))))))),DL17/'Quick Setup'!$E14)</f>
        <v>280</v>
      </c>
      <c r="DK17" s="1" t="s">
        <v>77</v>
      </c>
      <c r="DL17" s="8"/>
      <c r="DM17" s="2"/>
      <c r="DN17" s="2"/>
      <c r="DO17" s="2"/>
      <c r="DP17" s="2"/>
      <c r="DQ17" s="2"/>
      <c r="DR17" s="2">
        <f>if(DT17="", if(DN18="",DJ17, if((DN18-DM18)&lt;-1.9,DJ17*(1+Setup!FR12),if((DN18-DM18)=-1,DJ17*(1+Setup!FS12),if(DO18&lt;DL18,DJ17*(1+Setup!FS12),if(DO18=DL18,DJ17*(1+Setup!FT12),if((DO18-DL18)=1,DJ17*(1+Setup!FU12),if((DO18-DL18)=2,DJ17*(1+Setup!FV12),if((DO18-DL18)=3,DJ17*(1+Setup!FW12),if((DO18-DL18)=4,DJ17*(1+Setup!FX12),if((DO18-DL18)&gt;4.1,DJ17*(1+Setup!FY12),DJ17)))))))))),DT17/'Quick Setup'!$E14)</f>
        <v>280</v>
      </c>
      <c r="DS17" s="1" t="s">
        <v>77</v>
      </c>
      <c r="DT17" s="8"/>
      <c r="DU17" s="2"/>
      <c r="DV17" s="2"/>
      <c r="DW17" s="2"/>
      <c r="DX17" s="2"/>
      <c r="DY17" s="2"/>
      <c r="DZ17" s="2">
        <f>if(EB17="", if(DV18="",DR17, if((DV18-DU18)&lt;-1.9,DR17*(1+Setup!GD12),if((DV18-DU18)=-1,DR17*(1+Setup!GE12),if(DW18&lt;DT18,DR17*(1+Setup!GE12),if(DW18=DT18,DR17*(1+Setup!GF12),if((DW18-DT18)=1,DR17*(1+Setup!GG12),if((DW18-DT18)=2,DR17*(1+Setup!GH12),if((DW18-DT18)=3,DR17*(1+Setup!GI12),if((DW18-DT18)=4,DR17*(1+Setup!GJ12),if((DW18-DT18)&gt;4.1,DR17*(1+Setup!GK12),DR17)))))))))),EB17/'Quick Setup'!$E14)</f>
        <v>280</v>
      </c>
      <c r="EA17" s="1" t="s">
        <v>77</v>
      </c>
      <c r="EB17" s="8"/>
      <c r="EC17" s="2"/>
      <c r="ED17" s="2"/>
      <c r="EE17" s="2"/>
      <c r="EF17" s="2"/>
      <c r="EG17" s="2"/>
      <c r="EH17" s="2">
        <f>if(EJ17="", if(ED18="",DZ17, if((ED18-EC18)&lt;-1.9,DZ17*(1+Setup!GP12),if((ED18-EC18)=-1,DZ17*(1+Setup!GQ12),if(EE18&lt;EB18,DZ17*(1+Setup!GQ12),if(EE18=EB18,DZ17*(1+Setup!GR12),if((EE18-EB18)=1,DZ17*(1+Setup!GS12),if((EE18-EB18)=2,DZ17*(1+Setup!GT12),if((EE18-EB18)=3,DZ17*(1+Setup!GU12),if((EE18-EB18)=4,DZ17*(1+Setup!GV12),if((EE18-EB18)&gt;4.1,DZ17*(1+Setup!GW12),DZ17)))))))))),EJ17/'Quick Setup'!$E14)</f>
        <v>280</v>
      </c>
      <c r="EI17" s="1" t="s">
        <v>77</v>
      </c>
      <c r="EJ17" s="8"/>
      <c r="EK17" s="2"/>
      <c r="EL17" s="2"/>
      <c r="EM17" s="2"/>
      <c r="EN17" s="2"/>
      <c r="EO17" s="2"/>
      <c r="EP17" s="2">
        <f>if(ER17="", if(EL18="",EH17, if((EL18-EK18)&lt;-1.9,EH17*(1+Setup!HB12),if((EL18-EK18)=-1,EH17*(1+Setup!HC12),if(EM18&lt;EJ18,EH17*(1+Setup!HC12),if(EM18=EJ18,EH17*(1+Setup!HD12),if((EM18-EJ18)=1,EH17*(1+Setup!HE12),if((EM18-EJ18)=2,EH17*(1+Setup!HF12),if((EM18-EJ18)=3,EH17*(1+Setup!HG12),if((EM18-EJ18)=4,EH17*(1+Setup!HH12),if((EM18-EJ18)&gt;4.1,EH17*(1+Setup!HI12),EH17)))))))))),ER17/'Quick Setup'!$E14)</f>
        <v>280</v>
      </c>
      <c r="EQ17" s="1" t="s">
        <v>77</v>
      </c>
      <c r="ER17" s="8"/>
      <c r="ES17" s="2"/>
      <c r="ET17" s="2"/>
      <c r="EU17" s="2"/>
      <c r="EV17" s="2"/>
      <c r="EW17" s="2"/>
      <c r="EX17" s="2">
        <f>if(EZ17="", if(ET18="",EP17, if((ET18-ES18)&lt;-1.9,EP17*(1+Setup!HN12),if((ET18-ES18)=-1,EP17*(1+Setup!HO12),if(EU18&lt;ER18,EP17*(1+Setup!HO12),if(EU18=ER18,EP17*(1+Setup!HP12),if((EU18-ER18)=1,EP17*(1+Setup!HQ12),if((EU18-ER18)=2,EP17*(1+Setup!HR12),if((EU18-ER18)=3,EP17*(1+Setup!HS12),if((EU18-ER18)=4,EP17*(1+Setup!HT12),if((EU18-ER18)&gt;4.1,EP17*(1+Setup!HU12),EP17)))))))))),EZ17/'Quick Setup'!$E14)</f>
        <v>280</v>
      </c>
      <c r="EY17" s="1" t="s">
        <v>77</v>
      </c>
      <c r="EZ17" s="8"/>
      <c r="FA17" s="2"/>
      <c r="FB17" s="2"/>
      <c r="FC17" s="2"/>
      <c r="FD17" s="2"/>
      <c r="FE17" s="2"/>
      <c r="FF17" s="2">
        <f>if(FH17="", if(FB18="",EX17, if((FB18-FA18)&lt;-1.9,EX17*(1+Setup!HZ12),if((FB18-FA18)=-1,EX17*(1+Setup!IA12),if(FC18&lt;EZ18,EX17*(1+Setup!IA12),if(FC18=EZ18,EX17*(1+Setup!IB12),if((FC18-EZ18)=1,EX17*(1+Setup!IC12),if((FC18-EZ18)=2,EX17*(1+Setup!ID12),if((FC18-EZ18)=3,EX17*(1+Setup!IE12),if((FC18-EZ18)=4,EX17*(1+Setup!IF12),if((FC18-EZ18)&gt;4.1,EX17*(1+Setup!IG12),EX17)))))))))),FH17/'Quick Setup'!$E14)</f>
        <v>280</v>
      </c>
      <c r="FG17" s="1" t="s">
        <v>77</v>
      </c>
      <c r="FH17" s="8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1" t="str">
        <f>Setup!A12</f>
        <v>Incline Press</v>
      </c>
      <c r="B18" s="2">
        <f>mround(B17*Setup!B12,'Quick Setup'!$A$2)</f>
        <v>167.5</v>
      </c>
      <c r="C18" s="2">
        <f>Setup!C12</f>
        <v>7</v>
      </c>
      <c r="D18" s="2">
        <f>Setup!D12</f>
        <v>3</v>
      </c>
      <c r="E18" s="2">
        <f>Setup!E12</f>
        <v>5</v>
      </c>
      <c r="F18" s="8"/>
      <c r="G18" s="8"/>
      <c r="H18" s="8"/>
      <c r="I18" s="8"/>
      <c r="J18" s="2">
        <f>mround(J17*Setup!N12,'Quick Setup'!$A$2)</f>
        <v>182.5</v>
      </c>
      <c r="K18" s="2">
        <f>Setup!O12</f>
        <v>6</v>
      </c>
      <c r="L18" s="2">
        <f>Setup!P12</f>
        <v>3</v>
      </c>
      <c r="M18" s="2">
        <f>Setup!Q12</f>
        <v>5</v>
      </c>
      <c r="N18" s="8"/>
      <c r="O18" s="8"/>
      <c r="P18" s="8"/>
      <c r="Q18" s="8"/>
      <c r="R18" s="2">
        <f>mround(R17*Setup!Z12,'Quick Setup'!$A$2)</f>
        <v>195</v>
      </c>
      <c r="S18" s="2">
        <f>Setup!AA12</f>
        <v>5</v>
      </c>
      <c r="T18" s="2">
        <f>Setup!AB12</f>
        <v>3</v>
      </c>
      <c r="U18" s="2">
        <f>Setup!AC12</f>
        <v>5</v>
      </c>
      <c r="V18" s="8"/>
      <c r="W18" s="8"/>
      <c r="X18" s="8"/>
      <c r="Y18" s="8"/>
      <c r="Z18" s="2">
        <f>mround(Z17*Setup!AL12,'Quick Setup'!$A$2)</f>
        <v>175</v>
      </c>
      <c r="AA18" s="2">
        <f>Setup!AM12</f>
        <v>7</v>
      </c>
      <c r="AB18" s="2">
        <f>Setup!AN12</f>
        <v>3</v>
      </c>
      <c r="AC18" s="2">
        <f>Setup!AO12</f>
        <v>5</v>
      </c>
      <c r="AD18" s="8"/>
      <c r="AE18" s="8"/>
      <c r="AF18" s="8"/>
      <c r="AG18" s="8"/>
      <c r="AH18" s="2">
        <f>mround(AH17*Setup!AX12,'Quick Setup'!$A$2)</f>
        <v>190</v>
      </c>
      <c r="AI18" s="2">
        <f>Setup!AY12</f>
        <v>6</v>
      </c>
      <c r="AJ18" s="2">
        <f>Setup!AZ12</f>
        <v>3</v>
      </c>
      <c r="AK18" s="2">
        <f>Setup!BA12</f>
        <v>5</v>
      </c>
      <c r="AL18" s="8"/>
      <c r="AM18" s="8"/>
      <c r="AN18" s="8"/>
      <c r="AO18" s="8"/>
      <c r="AP18" s="2">
        <f>mround(AP17*Setup!BJ12,'Quick Setup'!$A$2)</f>
        <v>202.5</v>
      </c>
      <c r="AQ18" s="2">
        <f>Setup!BK12</f>
        <v>5</v>
      </c>
      <c r="AR18" s="2">
        <f>Setup!BL12</f>
        <v>3</v>
      </c>
      <c r="AS18" s="2">
        <f>Setup!BM12</f>
        <v>5</v>
      </c>
      <c r="AT18" s="8"/>
      <c r="AU18" s="8"/>
      <c r="AV18" s="8"/>
      <c r="AW18" s="8"/>
      <c r="AX18" s="2">
        <f>mround(AX17*Setup!BV12,'Quick Setup'!$A$2)</f>
        <v>140</v>
      </c>
      <c r="AY18" s="2">
        <f>Setup!BW12</f>
        <v>8</v>
      </c>
      <c r="AZ18" s="2">
        <f>Setup!BX12</f>
        <v>3</v>
      </c>
      <c r="BA18" s="2">
        <f>Setup!BY12</f>
        <v>5</v>
      </c>
      <c r="BB18" s="8"/>
      <c r="BC18" s="8"/>
      <c r="BD18" s="8"/>
      <c r="BE18" s="8"/>
      <c r="BF18" s="2">
        <f>mround(BF17*Setup!CH12,'Quick Setup'!$A$2)</f>
        <v>182.5</v>
      </c>
      <c r="BG18" s="2">
        <f>Setup!CI12</f>
        <v>6</v>
      </c>
      <c r="BH18" s="2">
        <f>Setup!CJ12</f>
        <v>3</v>
      </c>
      <c r="BI18" s="2">
        <f>Setup!CK12</f>
        <v>5</v>
      </c>
      <c r="BJ18" s="8"/>
      <c r="BK18" s="8"/>
      <c r="BL18" s="8"/>
      <c r="BM18" s="8"/>
      <c r="BN18" s="2">
        <f>mround(BN17*Setup!CT12,'Quick Setup'!$A$2)</f>
        <v>195</v>
      </c>
      <c r="BO18" s="2">
        <f>Setup!CU12</f>
        <v>5</v>
      </c>
      <c r="BP18" s="2">
        <f>Setup!CV12</f>
        <v>3</v>
      </c>
      <c r="BQ18" s="2">
        <f>Setup!CW12</f>
        <v>5</v>
      </c>
      <c r="BR18" s="8"/>
      <c r="BS18" s="8"/>
      <c r="BT18" s="8"/>
      <c r="BU18" s="8"/>
      <c r="BV18" s="2">
        <f>mround(BV17*Setup!DF12,'Quick Setup'!$A$2)</f>
        <v>210</v>
      </c>
      <c r="BW18" s="2">
        <f>Setup!DG12</f>
        <v>4</v>
      </c>
      <c r="BX18" s="2">
        <f>Setup!DH12</f>
        <v>2</v>
      </c>
      <c r="BY18" s="2">
        <f>Setup!DI12</f>
        <v>5</v>
      </c>
      <c r="BZ18" s="8"/>
      <c r="CA18" s="8"/>
      <c r="CB18" s="8"/>
      <c r="CC18" s="8"/>
      <c r="CD18" s="2">
        <f>mround(CD17*Setup!DR12,'Quick Setup'!$A$2)</f>
        <v>190</v>
      </c>
      <c r="CE18" s="2">
        <f>Setup!DS12</f>
        <v>6</v>
      </c>
      <c r="CF18" s="2">
        <f>Setup!DT12</f>
        <v>3</v>
      </c>
      <c r="CG18" s="2">
        <f>Setup!DU12</f>
        <v>5</v>
      </c>
      <c r="CH18" s="8"/>
      <c r="CI18" s="8"/>
      <c r="CJ18" s="8"/>
      <c r="CK18" s="8"/>
      <c r="CL18" s="2">
        <f>mround(CL17*Setup!ED12,'Quick Setup'!$A$2)</f>
        <v>202.5</v>
      </c>
      <c r="CM18" s="2">
        <f>Setup!EE12</f>
        <v>5</v>
      </c>
      <c r="CN18" s="2">
        <f>Setup!EF12</f>
        <v>3</v>
      </c>
      <c r="CO18" s="2">
        <f>Setup!EG12</f>
        <v>5</v>
      </c>
      <c r="CP18" s="8"/>
      <c r="CQ18" s="8"/>
      <c r="CR18" s="8"/>
      <c r="CS18" s="8"/>
      <c r="CT18" s="2">
        <f>mround(CT17*Setup!EP12,'Quick Setup'!$A$2)</f>
        <v>217.5</v>
      </c>
      <c r="CU18" s="2">
        <f>Setup!EQ12</f>
        <v>4</v>
      </c>
      <c r="CV18" s="2">
        <f>Setup!ER12</f>
        <v>2</v>
      </c>
      <c r="CW18" s="2">
        <f>Setup!ES12</f>
        <v>5</v>
      </c>
      <c r="CX18" s="8"/>
      <c r="CY18" s="8"/>
      <c r="CZ18" s="8"/>
      <c r="DA18" s="8"/>
      <c r="DB18" s="2">
        <f>mround(DB17*Setup!FB12,'Quick Setup'!$A$2)</f>
        <v>140</v>
      </c>
      <c r="DC18" s="2">
        <f>Setup!FC12</f>
        <v>8</v>
      </c>
      <c r="DD18" s="2">
        <f>Setup!FD12</f>
        <v>3</v>
      </c>
      <c r="DE18" s="2">
        <f>Setup!FE12</f>
        <v>5</v>
      </c>
      <c r="DF18" s="8"/>
      <c r="DG18" s="8"/>
      <c r="DH18" s="8"/>
      <c r="DI18" s="8"/>
      <c r="DJ18" s="2">
        <f>mround(DJ17*Setup!FN12,'Quick Setup'!$A$2)</f>
        <v>195</v>
      </c>
      <c r="DK18" s="2">
        <f>Setup!FO12</f>
        <v>5</v>
      </c>
      <c r="DL18" s="2">
        <f>Setup!FP12</f>
        <v>3</v>
      </c>
      <c r="DM18" s="2">
        <f>Setup!FQ12</f>
        <v>5</v>
      </c>
      <c r="DN18" s="8"/>
      <c r="DO18" s="8"/>
      <c r="DP18" s="8"/>
      <c r="DQ18" s="8"/>
      <c r="DR18" s="2">
        <f>mround(DR17*Setup!FZ12,'Quick Setup'!$A$2)</f>
        <v>210</v>
      </c>
      <c r="DS18" s="2">
        <f>Setup!GA12</f>
        <v>4</v>
      </c>
      <c r="DT18" s="2">
        <f>Setup!GB12</f>
        <v>2</v>
      </c>
      <c r="DU18" s="2">
        <f>Setup!GC12</f>
        <v>5</v>
      </c>
      <c r="DV18" s="8"/>
      <c r="DW18" s="8"/>
      <c r="DX18" s="8"/>
      <c r="DY18" s="8"/>
      <c r="DZ18" s="2">
        <f>mround(DZ17*Setup!GL12,'Quick Setup'!$A$2)</f>
        <v>225</v>
      </c>
      <c r="EA18" s="2">
        <f>Setup!GM12</f>
        <v>3</v>
      </c>
      <c r="EB18" s="2">
        <f>Setup!GN12</f>
        <v>2</v>
      </c>
      <c r="EC18" s="2">
        <f>Setup!GO12</f>
        <v>5</v>
      </c>
      <c r="ED18" s="8"/>
      <c r="EE18" s="8"/>
      <c r="EF18" s="8"/>
      <c r="EG18" s="8"/>
      <c r="EH18" s="2">
        <f>mround(EH17*Setup!GX12,'Quick Setup'!$A$2)</f>
        <v>210</v>
      </c>
      <c r="EI18" s="2">
        <f>Setup!GY12</f>
        <v>4</v>
      </c>
      <c r="EJ18" s="2">
        <f>Setup!GZ12</f>
        <v>2</v>
      </c>
      <c r="EK18" s="2">
        <f>Setup!HA12</f>
        <v>5</v>
      </c>
      <c r="EL18" s="8"/>
      <c r="EM18" s="8"/>
      <c r="EN18" s="8"/>
      <c r="EO18" s="8"/>
      <c r="EP18" s="2">
        <f>mround(EP17*Setup!HJ12,'Quick Setup'!$A$2)</f>
        <v>225</v>
      </c>
      <c r="EQ18" s="2">
        <f>Setup!HK12</f>
        <v>3</v>
      </c>
      <c r="ER18" s="2">
        <f>Setup!HL12</f>
        <v>2</v>
      </c>
      <c r="ES18" s="2">
        <f>Setup!HM12</f>
        <v>5</v>
      </c>
      <c r="ET18" s="8"/>
      <c r="EU18" s="8"/>
      <c r="EV18" s="8"/>
      <c r="EW18" s="8"/>
      <c r="EX18" s="2">
        <f>mround(EX17*Setup!HV12,'Quick Setup'!$A$2)</f>
        <v>237.5</v>
      </c>
      <c r="EY18" s="2">
        <f>Setup!HW12</f>
        <v>2</v>
      </c>
      <c r="EZ18" s="2">
        <f>Setup!HX12</f>
        <v>1</v>
      </c>
      <c r="FA18" s="2">
        <f>Setup!HY12</f>
        <v>5</v>
      </c>
      <c r="FB18" s="8"/>
      <c r="FC18" s="8"/>
      <c r="FD18" s="8"/>
      <c r="FE18" s="8"/>
      <c r="FF18" s="2">
        <f>mround(FF17*Setup!IH12,'Quick Setup'!$A$2)</f>
        <v>140</v>
      </c>
      <c r="FG18" s="2">
        <f>Setup!II12</f>
        <v>8</v>
      </c>
      <c r="FH18" s="2">
        <f>Setup!IJ12</f>
        <v>3</v>
      </c>
      <c r="FI18" s="2">
        <f>Setup!IK12</f>
        <v>5</v>
      </c>
      <c r="FJ18" s="8"/>
      <c r="FK18" s="8"/>
      <c r="FL18" s="8"/>
      <c r="FM18" s="8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1" t="str">
        <f>CONCATENATE(A20," TM")</f>
        <v>Sumo Deadlift TM</v>
      </c>
      <c r="B19" s="2">
        <f>if(D19="",'Quick Setup'!D15,D19/'Quick Setup'!E15)</f>
        <v>500</v>
      </c>
      <c r="C19" s="1" t="s">
        <v>77</v>
      </c>
      <c r="D19" s="8"/>
      <c r="E19" s="2"/>
      <c r="F19" s="2"/>
      <c r="G19" s="2"/>
      <c r="H19" s="2"/>
      <c r="I19" s="2"/>
      <c r="J19" s="2">
        <f>if(L19="", if(F20="",B19, if((F20-E20)&lt;-1.9,B19*(1+Setup!F13),if((F20-E20)=-1,B19*(1+Setup!G13),if(G20&lt;D20,B19*(1+Setup!G13),if(G20=D20,B19*(1+Setup!H13),if((G20-D20)=1,B19*(1+Setup!I13),if((G20-D20)=2,B19*(1+Setup!J13),if((G20-D20)=3,B19*(1+Setup!K13),if((G20-D20)=4,B19*(1+Setup!L13),if((G20-D20)&gt;4.1,B19*(1+Setup!M13),B19)))))))))),L19/'Quick Setup'!$E15)</f>
        <v>500</v>
      </c>
      <c r="K19" s="1" t="s">
        <v>77</v>
      </c>
      <c r="L19" s="8"/>
      <c r="M19" s="2"/>
      <c r="N19" s="2"/>
      <c r="O19" s="2"/>
      <c r="P19" s="2"/>
      <c r="Q19" s="2"/>
      <c r="R19" s="2">
        <f>if(T19="", if(N20="",J19, if((N20-M20)&lt;-1.9,J19*(1+Setup!R13),if((N20-M20)=-1,J19*(1+Setup!S13),if(O20&lt;L20,J19*(1+Setup!S13),if(O20=L20,J19*(1+Setup!T13),if((O20-L20)=1,J19*(1+Setup!U13),if((O20-L20)=2,J19*(1+Setup!V13),if((O20-L20)=3,J19*(1+Setup!W13),if((O20-L20)=4,J19*(1+Setup!X13),if((O20-L20)&gt;4.1,J19*(1+Setup!Y13),J19)))))))))),T19/'Quick Setup'!$E15)</f>
        <v>500</v>
      </c>
      <c r="S19" s="1" t="s">
        <v>77</v>
      </c>
      <c r="T19" s="8"/>
      <c r="U19" s="2"/>
      <c r="V19" s="2"/>
      <c r="W19" s="2"/>
      <c r="X19" s="2"/>
      <c r="Y19" s="2"/>
      <c r="Z19" s="2">
        <f>if(AB19="", if(V20="",R19, if((V20-U20)&lt;-1.9,R19*(1+Setup!AD13),if((V20-U20)=-1,R19*(1+Setup!AE13),if(W20&lt;T20,R19*(1+Setup!AE13),if(W20=T20,R19*(1+Setup!AF13),if((W20-T20)=1,R19*(1+Setup!AG13),if((W20-T20)=2,R19*(1+Setup!AH13),if((W20-T20)=3,R19*(1+Setup!AI13),if((W20-T20)=4,R19*(1+Setup!AJ13),if((W20-T20)&gt;4.1,R19*(1+Setup!AK13),R19)))))))))),AB19/'Quick Setup'!$E15)</f>
        <v>500</v>
      </c>
      <c r="AA19" s="1" t="s">
        <v>77</v>
      </c>
      <c r="AB19" s="8"/>
      <c r="AC19" s="2"/>
      <c r="AD19" s="2"/>
      <c r="AE19" s="2"/>
      <c r="AF19" s="2"/>
      <c r="AG19" s="2"/>
      <c r="AH19" s="2">
        <f>if(AJ19="", if(AD20="",Z19, if((AD20-AC20)&lt;-1.9,Z19*(1+Setup!AP13),if((AD20-AC20)=-1,Z19*(1+Setup!AQ13),if(AE20&lt;AB20,Z19*(1+Setup!AQ13),if(AE20=AB20,Z19*(1+Setup!AR13),if((AE20-AB20)=1,Z19*(1+Setup!AS13),if((AE20-AB20)=2,Z19*(1+Setup!AT13),if((AE20-AB20)=3,Z19*(1+Setup!AU13),if((AE20-AB20)=4,Z19*(1+Setup!AV13),if((AE20-AB20)&gt;4.1,Z19*(1+Setup!AW13),Z19)))))))))),AJ19/'Quick Setup'!$E15)</f>
        <v>500</v>
      </c>
      <c r="AI19" s="1" t="s">
        <v>77</v>
      </c>
      <c r="AJ19" s="8"/>
      <c r="AK19" s="2"/>
      <c r="AL19" s="2"/>
      <c r="AM19" s="2"/>
      <c r="AN19" s="2"/>
      <c r="AO19" s="2"/>
      <c r="AP19" s="2">
        <f>if(AR19="", if(AL20="",AH19, if((AL20-AK20)&lt;-1.9,AH19*(1+Setup!BB13),if((AL20-AK20)=-1,AH19*(1+Setup!BC13),if(AM20&lt;AJ20,AH19*(1+Setup!BC13),if(AM20=AJ20,AH19*(1+Setup!BD13),if((AM20-AJ20)=1,AH19*(1+Setup!BE13),if((AM20-AJ20)=2,AH19*(1+Setup!BF13),if((AM20-AJ20)=3,AH19*(1+Setup!BG13),if((AM20-AJ20)=4,AH19*(1+Setup!BH13),if((AM20-AJ20)&gt;4.1,AH19*(1+Setup!BI13),AH19)))))))))),AR19/'Quick Setup'!$E15)</f>
        <v>500</v>
      </c>
      <c r="AQ19" s="1" t="s">
        <v>77</v>
      </c>
      <c r="AR19" s="8"/>
      <c r="AS19" s="2"/>
      <c r="AT19" s="2"/>
      <c r="AU19" s="2"/>
      <c r="AV19" s="2"/>
      <c r="AW19" s="2"/>
      <c r="AX19" s="2">
        <f>if(AZ19="", if(AT20="",AP19, if((AT20-AS20)&lt;-1.9,AP19*(1+Setup!BN13),if((AT20-AS20)=-1,AP19*(1+Setup!BO13),if(AU20&lt;AR20,AP19*(1+Setup!BO13),if(AU20=AR20,AP19*(1+Setup!BP13),if((AU20-AR20)=1,AP19*(1+Setup!BQ13),if((AU20-AR20)=2,AP19*(1+Setup!BR13),if((AU20-AR20)=3,AP19*(1+Setup!BS13),if((AU20-AR20)=4,AP19*(1+Setup!BT13),if((AU20-AR20)&gt;4.1,AP19*(1+Setup!BU13),AP19)))))))))),AZ19/'Quick Setup'!$E15)</f>
        <v>500</v>
      </c>
      <c r="AY19" s="1" t="s">
        <v>77</v>
      </c>
      <c r="AZ19" s="8"/>
      <c r="BA19" s="2"/>
      <c r="BB19" s="2"/>
      <c r="BC19" s="2"/>
      <c r="BD19" s="2"/>
      <c r="BE19" s="2"/>
      <c r="BF19" s="2">
        <f>if(BH19="", if(BB20="",AX19, if((BB20-BA20)&lt;-1.9,AX19*(1+Setup!BZ13),if((BB20-BA20)=-1,AX19*(1+Setup!CA13),if(BC20&lt;AZ20,AX19*(1+Setup!CA13),if(BC20=AZ20,AX19*(1+Setup!CB13),if((BC20-AZ20)=1,AX19*(1+Setup!CC13),if((BC20-AZ20)=2,AX19*(1+Setup!CD13),if((BC20-AZ20)=3,AX19*(1+Setup!CE13),if((BC20-AZ20)=4,AX19*(1+Setup!CF13),if((BC20-AZ20)&gt;4.1,AX19*(1+Setup!CG13),AX19)))))))))),BH19/'Quick Setup'!$E15)</f>
        <v>500</v>
      </c>
      <c r="BG19" s="1" t="s">
        <v>77</v>
      </c>
      <c r="BH19" s="8"/>
      <c r="BI19" s="2"/>
      <c r="BJ19" s="2"/>
      <c r="BK19" s="2"/>
      <c r="BL19" s="2"/>
      <c r="BM19" s="2"/>
      <c r="BN19" s="2">
        <f>if(BP19="", if(BJ20="",BF19, if((BJ20-BI20)&lt;-1.9,BF19*(1+Setup!CL13),if((BJ20-BI20)=-1,BF19*(1+Setup!CM13),if(BK20&lt;BH20,BF19*(1+Setup!CM13),if(BK20=BH20,BF19*(1+Setup!CN13),if((BK20-BH20)=1,BF19*(1+Setup!CO13),if((BK20-BH20)=2,BF19*(1+Setup!CP13),if((BK20-BH20)=3,BF19*(1+Setup!CQ13),if((BK20-BH20)=4,BF19*(1+Setup!CR13),if((BK20-BH20)&gt;4.1,BF19*(1+Setup!CS13),BF19)))))))))),BP19/'Quick Setup'!$E15)</f>
        <v>500</v>
      </c>
      <c r="BO19" s="1" t="s">
        <v>77</v>
      </c>
      <c r="BP19" s="8"/>
      <c r="BQ19" s="2"/>
      <c r="BR19" s="2"/>
      <c r="BS19" s="2"/>
      <c r="BT19" s="2"/>
      <c r="BU19" s="2"/>
      <c r="BV19" s="2">
        <f>if(BX19="", if(BR20="",BN19, if((BR20-BQ20)&lt;-1.9,BN19*(1+Setup!CX13),if((BR20-BQ20)=-1,BN19*(1+Setup!CY13),if(BS20&lt;BP20,BN19*(1+Setup!CY13),if(BS20=BP20,BN19*(1+Setup!CZ13),if((BS20-BP20)=1,BN19*(1+Setup!DA13),if((BS20-BP20)=2,BN19*(1+Setup!DB13),if((BS20-BP20)=3,BN19*(1+Setup!DC13),if((BS20-BP20)=4,BN19*(1+Setup!DD13),if((BS20-BP20)&gt;4.1,BN19*(1+Setup!DE13),BN19)))))))))),BX19/'Quick Setup'!$E15)</f>
        <v>500</v>
      </c>
      <c r="BW19" s="1" t="s">
        <v>77</v>
      </c>
      <c r="BX19" s="8"/>
      <c r="BY19" s="2"/>
      <c r="BZ19" s="2"/>
      <c r="CA19" s="2"/>
      <c r="CB19" s="2"/>
      <c r="CC19" s="2"/>
      <c r="CD19" s="2">
        <f>if(CF19="", if(BZ20="",BV19, if((BZ20-BY20)&lt;-1.9,BV19*(1+Setup!DJ13),if((BZ20-BY20)=-1,BV19*(1+Setup!DK13),if(CA20&lt;BX20,BV19*(1+Setup!DK13),if(CA20=BX20,BV19*(1+Setup!DL13),if((CA20-BX20)=1,BV19*(1+Setup!DM13),if((CA20-BX20)=2,BV19*(1+Setup!DN13),if((CA20-BX20)=3,BV19*(1+Setup!DO13),if((CA20-BX20)=4,BV19*(1+Setup!DP13),if((CA20-BX20)&gt;4.1,BV19*(1+Setup!DQ13),BV19)))))))))),CF19/'Quick Setup'!$E15)</f>
        <v>500</v>
      </c>
      <c r="CE19" s="1" t="s">
        <v>77</v>
      </c>
      <c r="CF19" s="8"/>
      <c r="CG19" s="2"/>
      <c r="CH19" s="2"/>
      <c r="CI19" s="2"/>
      <c r="CJ19" s="2"/>
      <c r="CK19" s="2"/>
      <c r="CL19" s="2">
        <f>if(CN19="", if(CH20="",CD19, if((CH20-CG20)&lt;-1.9,CD19*(1+Setup!DV13),if((CH20-CG20)=-1,CD19*(1+Setup!DW13),if(CI20&lt;CF20,CD19*(1+Setup!DW13),if(CI20=CF20,CD19*(1+Setup!DX13),if((CI20-CF20)=1,CD19*(1+Setup!DY13),if((CI20-CF20)=2,CD19*(1+Setup!DZ13),if((CI20-CF20)=3,CD19*(1+Setup!EA13),if((CI20-CF20)=4,CD19*(1+Setup!EB13),if((CI20-CF20)&gt;4.1,CD19*(1+Setup!EC13),CD19)))))))))),CN19/'Quick Setup'!$E15)</f>
        <v>500</v>
      </c>
      <c r="CM19" s="1" t="s">
        <v>77</v>
      </c>
      <c r="CN19" s="8"/>
      <c r="CO19" s="2"/>
      <c r="CP19" s="2"/>
      <c r="CQ19" s="2"/>
      <c r="CR19" s="2"/>
      <c r="CS19" s="2"/>
      <c r="CT19" s="2">
        <f>if(CV19="", if(CP20="",CL19, if((CP20-CO20)&lt;-1.9,CL19*(1+Setup!EH13),if((CP20-CO20)=-1,CL19*(1+Setup!EI13),if(CQ20&lt;CN20,CL19*(1+Setup!EI13),if(CQ20=CN20,CL19*(1+Setup!EJ13),if((CQ20-CN20)=1,CL19*(1+Setup!EK13),if((CQ20-CN20)=2,CL19*(1+Setup!EL13),if((CQ20-CN20)=3,CL19*(1+Setup!EM13),if((CQ20-CN20)=4,CL19*(1+Setup!EN13),if((CQ20-CN20)&gt;4.1,CL19*(1+Setup!EO13),CL19)))))))))),CV19/'Quick Setup'!$E15)</f>
        <v>500</v>
      </c>
      <c r="CU19" s="1" t="s">
        <v>77</v>
      </c>
      <c r="CV19" s="8"/>
      <c r="CW19" s="2"/>
      <c r="CX19" s="2"/>
      <c r="CY19" s="2"/>
      <c r="CZ19" s="2"/>
      <c r="DA19" s="2"/>
      <c r="DB19" s="2">
        <f>if(DD19="", if(CX20="",CT19, if((CX20-CW20)&lt;-1.9,CT19*(1+Setup!ET13),if((CX20-CW20)=-1,CT19*(1+Setup!EU13),if(CY20&lt;CV20,CT19*(1+Setup!EU13),if(CY20=CV20,CT19*(1+Setup!EV13),if((CY20-CV20)=1,CT19*(1+Setup!EW13),if((CY20-CV20)=2,CT19*(1+Setup!EX13),if((CY20-CV20)=3,CT19*(1+Setup!EY13),if((CY20-CV20)=4,CT19*(1+Setup!EZ13),if((CY20-CV20)&gt;4.1,CT19*(1+Setup!FA13),CT19)))))))))),DD19/'Quick Setup'!$E15)</f>
        <v>500</v>
      </c>
      <c r="DC19" s="1" t="s">
        <v>77</v>
      </c>
      <c r="DD19" s="8"/>
      <c r="DE19" s="2"/>
      <c r="DF19" s="2"/>
      <c r="DG19" s="2"/>
      <c r="DH19" s="2"/>
      <c r="DI19" s="2"/>
      <c r="DJ19" s="2">
        <f>if(DL19="", if(DF20="",DB19, if((DF20-DE20)&lt;-1.9,DB19*(1+Setup!FF13),if((DF20-DE20)=-1,DB19*(1+Setup!FG13),if(DG20&lt;DD20,DB19*(1+Setup!FG13),if(DG20=DD20,DB19*(1+Setup!FH13),if((DG20-DD20)=1,DB19*(1+Setup!FI13),if((DG20-DD20)=2,DB19*(1+Setup!FJ13),if((DG20-DD20)=3,DB19*(1+Setup!FK13),if((DG20-DD20)=4,DB19*(1+Setup!FL13),if((DG20-DD20)&gt;4.1,DB19*(1+Setup!FM13),DB19)))))))))),DL19/'Quick Setup'!$E15)</f>
        <v>500</v>
      </c>
      <c r="DK19" s="1" t="s">
        <v>77</v>
      </c>
      <c r="DL19" s="8"/>
      <c r="DM19" s="2"/>
      <c r="DN19" s="2"/>
      <c r="DO19" s="2"/>
      <c r="DP19" s="2"/>
      <c r="DQ19" s="2"/>
      <c r="DR19" s="2">
        <f>if(DT19="", if(DN20="",DJ19, if((DN20-DM20)&lt;-1.9,DJ19*(1+Setup!FR13),if((DN20-DM20)=-1,DJ19*(1+Setup!FS13),if(DO20&lt;DL20,DJ19*(1+Setup!FS13),if(DO20=DL20,DJ19*(1+Setup!FT13),if((DO20-DL20)=1,DJ19*(1+Setup!FU13),if((DO20-DL20)=2,DJ19*(1+Setup!FV13),if((DO20-DL20)=3,DJ19*(1+Setup!FW13),if((DO20-DL20)=4,DJ19*(1+Setup!FX13),if((DO20-DL20)&gt;4.1,DJ19*(1+Setup!FY13),DJ19)))))))))),DT19/'Quick Setup'!$E15)</f>
        <v>500</v>
      </c>
      <c r="DS19" s="1" t="s">
        <v>77</v>
      </c>
      <c r="DT19" s="8"/>
      <c r="DU19" s="2"/>
      <c r="DV19" s="2"/>
      <c r="DW19" s="2"/>
      <c r="DX19" s="2"/>
      <c r="DY19" s="2"/>
      <c r="DZ19" s="2">
        <f>if(EB19="", if(DV20="",DR19, if((DV20-DU20)&lt;-1.9,DR19*(1+Setup!GD13),if((DV20-DU20)=-1,DR19*(1+Setup!GE13),if(DW20&lt;DT20,DR19*(1+Setup!GE13),if(DW20=DT20,DR19*(1+Setup!GF13),if((DW20-DT20)=1,DR19*(1+Setup!GG13),if((DW20-DT20)=2,DR19*(1+Setup!GH13),if((DW20-DT20)=3,DR19*(1+Setup!GI13),if((DW20-DT20)=4,DR19*(1+Setup!GJ13),if((DW20-DT20)&gt;4.1,DR19*(1+Setup!GK13),DR19)))))))))),EB19/'Quick Setup'!$E15)</f>
        <v>500</v>
      </c>
      <c r="EA19" s="1" t="s">
        <v>77</v>
      </c>
      <c r="EB19" s="8"/>
      <c r="EC19" s="2"/>
      <c r="ED19" s="2"/>
      <c r="EE19" s="2"/>
      <c r="EF19" s="2"/>
      <c r="EG19" s="2"/>
      <c r="EH19" s="2">
        <f>if(EJ19="", if(ED20="",DZ19, if((ED20-EC20)&lt;-1.9,DZ19*(1+Setup!GP13),if((ED20-EC20)=-1,DZ19*(1+Setup!GQ13),if(EE20&lt;EB20,DZ19*(1+Setup!GQ13),if(EE20=EB20,DZ19*(1+Setup!GR13),if((EE20-EB20)=1,DZ19*(1+Setup!GS13),if((EE20-EB20)=2,DZ19*(1+Setup!GT13),if((EE20-EB20)=3,DZ19*(1+Setup!GU13),if((EE20-EB20)=4,DZ19*(1+Setup!GV13),if((EE20-EB20)&gt;4.1,DZ19*(1+Setup!GW13),DZ19)))))))))),EJ19/'Quick Setup'!$E15)</f>
        <v>500</v>
      </c>
      <c r="EI19" s="1" t="s">
        <v>77</v>
      </c>
      <c r="EJ19" s="8"/>
      <c r="EK19" s="2"/>
      <c r="EL19" s="2"/>
      <c r="EM19" s="2"/>
      <c r="EN19" s="2"/>
      <c r="EO19" s="2"/>
      <c r="EP19" s="2">
        <f>if(ER19="", if(EL20="",EH19, if((EL20-EK20)&lt;-1.9,EH19*(1+Setup!HB13),if((EL20-EK20)=-1,EH19*(1+Setup!HC13),if(EM20&lt;EJ20,EH19*(1+Setup!HC13),if(EM20=EJ20,EH19*(1+Setup!HD13),if((EM20-EJ20)=1,EH19*(1+Setup!HE13),if((EM20-EJ20)=2,EH19*(1+Setup!HF13),if((EM20-EJ20)=3,EH19*(1+Setup!HG13),if((EM20-EJ20)=4,EH19*(1+Setup!HH13),if((EM20-EJ20)&gt;4.1,EH19*(1+Setup!HI13),EH19)))))))))),ER19/'Quick Setup'!$E15)</f>
        <v>500</v>
      </c>
      <c r="EQ19" s="1" t="s">
        <v>77</v>
      </c>
      <c r="ER19" s="8"/>
      <c r="ES19" s="2"/>
      <c r="ET19" s="2"/>
      <c r="EU19" s="2"/>
      <c r="EV19" s="2"/>
      <c r="EW19" s="2"/>
      <c r="EX19" s="2">
        <f>if(EZ19="", if(ET20="",EP19, if((ET20-ES20)&lt;-1.9,EP19*(1+Setup!HN13),if((ET20-ES20)=-1,EP19*(1+Setup!HO13),if(EU20&lt;ER20,EP19*(1+Setup!HO13),if(EU20=ER20,EP19*(1+Setup!HP13),if((EU20-ER20)=1,EP19*(1+Setup!HQ13),if((EU20-ER20)=2,EP19*(1+Setup!HR13),if((EU20-ER20)=3,EP19*(1+Setup!HS13),if((EU20-ER20)=4,EP19*(1+Setup!HT13),if((EU20-ER20)&gt;4.1,EP19*(1+Setup!HU13),EP19)))))))))),EZ19/'Quick Setup'!$E15)</f>
        <v>500</v>
      </c>
      <c r="EY19" s="1" t="s">
        <v>77</v>
      </c>
      <c r="EZ19" s="8"/>
      <c r="FA19" s="2"/>
      <c r="FB19" s="2"/>
      <c r="FC19" s="2"/>
      <c r="FD19" s="2"/>
      <c r="FE19" s="2"/>
      <c r="FF19" s="2">
        <f>if(FH19="", if(FB20="",EX19, if((FB20-FA20)&lt;-1.9,EX19*(1+Setup!HZ13),if((FB20-FA20)=-1,EX19*(1+Setup!IA13),if(FC20&lt;EZ20,EX19*(1+Setup!IA13),if(FC20=EZ20,EX19*(1+Setup!IB13),if((FC20-EZ20)=1,EX19*(1+Setup!IC13),if((FC20-EZ20)=2,EX19*(1+Setup!ID13),if((FC20-EZ20)=3,EX19*(1+Setup!IE13),if((FC20-EZ20)=4,EX19*(1+Setup!IF13),if((FC20-EZ20)&gt;4.1,EX19*(1+Setup!IG13),EX19)))))))))),FH19/'Quick Setup'!$E15)</f>
        <v>500</v>
      </c>
      <c r="FG19" s="1" t="s">
        <v>77</v>
      </c>
      <c r="FH19" s="8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1" t="str">
        <f>Setup!A13</f>
        <v>Sumo Deadlift</v>
      </c>
      <c r="B20" s="2">
        <f>mround(B19*Setup!B13,'Quick Setup'!$A$2)</f>
        <v>300</v>
      </c>
      <c r="C20" s="2">
        <f>Setup!C13</f>
        <v>7</v>
      </c>
      <c r="D20" s="2">
        <f>Setup!D13</f>
        <v>3</v>
      </c>
      <c r="E20" s="2">
        <f>Setup!E13</f>
        <v>5</v>
      </c>
      <c r="F20" s="8"/>
      <c r="G20" s="8"/>
      <c r="H20" s="8"/>
      <c r="I20" s="8"/>
      <c r="J20" s="2">
        <f>mround(J19*Setup!N13,'Quick Setup'!$A$2)</f>
        <v>325</v>
      </c>
      <c r="K20" s="2">
        <f>Setup!O13</f>
        <v>6</v>
      </c>
      <c r="L20" s="2">
        <f>Setup!P13</f>
        <v>3</v>
      </c>
      <c r="M20" s="2">
        <f>Setup!Q13</f>
        <v>5</v>
      </c>
      <c r="N20" s="8"/>
      <c r="O20" s="8"/>
      <c r="P20" s="8"/>
      <c r="Q20" s="8"/>
      <c r="R20" s="2">
        <f>mround(R19*Setup!Z13,'Quick Setup'!$A$2)</f>
        <v>350</v>
      </c>
      <c r="S20" s="2">
        <f>Setup!AA13</f>
        <v>5</v>
      </c>
      <c r="T20" s="2">
        <f>Setup!AB13</f>
        <v>3</v>
      </c>
      <c r="U20" s="2">
        <f>Setup!AC13</f>
        <v>5</v>
      </c>
      <c r="V20" s="8"/>
      <c r="W20" s="8"/>
      <c r="X20" s="8"/>
      <c r="Y20" s="8"/>
      <c r="Z20" s="2">
        <f>mround(Z19*Setup!AL13,'Quick Setup'!$A$2)</f>
        <v>312.5</v>
      </c>
      <c r="AA20" s="2">
        <f>Setup!AM13</f>
        <v>7</v>
      </c>
      <c r="AB20" s="2">
        <f>Setup!AN13</f>
        <v>3</v>
      </c>
      <c r="AC20" s="2">
        <f>Setup!AO13</f>
        <v>5</v>
      </c>
      <c r="AD20" s="8"/>
      <c r="AE20" s="8"/>
      <c r="AF20" s="8"/>
      <c r="AG20" s="8"/>
      <c r="AH20" s="2">
        <f>mround(AH19*Setup!AX13,'Quick Setup'!$A$2)</f>
        <v>337.5</v>
      </c>
      <c r="AI20" s="2">
        <f>Setup!AY13</f>
        <v>6</v>
      </c>
      <c r="AJ20" s="2">
        <f>Setup!AZ13</f>
        <v>3</v>
      </c>
      <c r="AK20" s="2">
        <f>Setup!BA13</f>
        <v>5</v>
      </c>
      <c r="AL20" s="8"/>
      <c r="AM20" s="8"/>
      <c r="AN20" s="8"/>
      <c r="AO20" s="8"/>
      <c r="AP20" s="2">
        <f>mround(AP19*Setup!BJ13,'Quick Setup'!$A$2)</f>
        <v>362.5</v>
      </c>
      <c r="AQ20" s="2">
        <f>Setup!BK13</f>
        <v>5</v>
      </c>
      <c r="AR20" s="2">
        <f>Setup!BL13</f>
        <v>3</v>
      </c>
      <c r="AS20" s="2">
        <f>Setup!BM13</f>
        <v>5</v>
      </c>
      <c r="AT20" s="8"/>
      <c r="AU20" s="8"/>
      <c r="AV20" s="8"/>
      <c r="AW20" s="8"/>
      <c r="AX20" s="2">
        <f>mround(AX19*Setup!BV13,'Quick Setup'!$A$2)</f>
        <v>250</v>
      </c>
      <c r="AY20" s="2">
        <f>Setup!BW13</f>
        <v>8</v>
      </c>
      <c r="AZ20" s="2">
        <f>Setup!BX13</f>
        <v>3</v>
      </c>
      <c r="BA20" s="2">
        <f>Setup!BY13</f>
        <v>5</v>
      </c>
      <c r="BB20" s="8"/>
      <c r="BC20" s="8"/>
      <c r="BD20" s="8"/>
      <c r="BE20" s="8"/>
      <c r="BF20" s="2">
        <f>mround(BF19*Setup!CH13,'Quick Setup'!$A$2)</f>
        <v>325</v>
      </c>
      <c r="BG20" s="2">
        <f>Setup!CI13</f>
        <v>6</v>
      </c>
      <c r="BH20" s="2">
        <f>Setup!CJ13</f>
        <v>3</v>
      </c>
      <c r="BI20" s="2">
        <f>Setup!CK13</f>
        <v>5</v>
      </c>
      <c r="BJ20" s="8"/>
      <c r="BK20" s="8"/>
      <c r="BL20" s="8"/>
      <c r="BM20" s="8"/>
      <c r="BN20" s="2">
        <f>mround(BN19*Setup!CT13,'Quick Setup'!$A$2)</f>
        <v>350</v>
      </c>
      <c r="BO20" s="2">
        <f>Setup!CU13</f>
        <v>5</v>
      </c>
      <c r="BP20" s="2">
        <f>Setup!CV13</f>
        <v>3</v>
      </c>
      <c r="BQ20" s="2">
        <f>Setup!CW13</f>
        <v>5</v>
      </c>
      <c r="BR20" s="8"/>
      <c r="BS20" s="8"/>
      <c r="BT20" s="8"/>
      <c r="BU20" s="8"/>
      <c r="BV20" s="2">
        <f>mround(BV19*Setup!DF13,'Quick Setup'!$A$2)</f>
        <v>375</v>
      </c>
      <c r="BW20" s="2">
        <f>Setup!DG13</f>
        <v>4</v>
      </c>
      <c r="BX20" s="2">
        <f>Setup!DH13</f>
        <v>2</v>
      </c>
      <c r="BY20" s="2">
        <f>Setup!DI13</f>
        <v>5</v>
      </c>
      <c r="BZ20" s="8"/>
      <c r="CA20" s="8"/>
      <c r="CB20" s="8"/>
      <c r="CC20" s="8"/>
      <c r="CD20" s="2">
        <f>mround(CD19*Setup!DR13,'Quick Setup'!$A$2)</f>
        <v>337.5</v>
      </c>
      <c r="CE20" s="2">
        <f>Setup!DS13</f>
        <v>6</v>
      </c>
      <c r="CF20" s="2">
        <f>Setup!DT13</f>
        <v>3</v>
      </c>
      <c r="CG20" s="2">
        <f>Setup!DU13</f>
        <v>5</v>
      </c>
      <c r="CH20" s="8"/>
      <c r="CI20" s="8"/>
      <c r="CJ20" s="8"/>
      <c r="CK20" s="8"/>
      <c r="CL20" s="2">
        <f>mround(CL19*Setup!ED13,'Quick Setup'!$A$2)</f>
        <v>362.5</v>
      </c>
      <c r="CM20" s="2">
        <f>Setup!EE13</f>
        <v>5</v>
      </c>
      <c r="CN20" s="2">
        <f>Setup!EF13</f>
        <v>3</v>
      </c>
      <c r="CO20" s="2">
        <f>Setup!EG13</f>
        <v>5</v>
      </c>
      <c r="CP20" s="8"/>
      <c r="CQ20" s="8"/>
      <c r="CR20" s="8"/>
      <c r="CS20" s="8"/>
      <c r="CT20" s="2">
        <f>mround(CT19*Setup!EP13,'Quick Setup'!$A$2)</f>
        <v>387.5</v>
      </c>
      <c r="CU20" s="2">
        <f>Setup!EQ13</f>
        <v>4</v>
      </c>
      <c r="CV20" s="2">
        <f>Setup!ER13</f>
        <v>2</v>
      </c>
      <c r="CW20" s="2">
        <f>Setup!ES13</f>
        <v>5</v>
      </c>
      <c r="CX20" s="8"/>
      <c r="CY20" s="8"/>
      <c r="CZ20" s="8"/>
      <c r="DA20" s="8"/>
      <c r="DB20" s="2">
        <f>mround(DB19*Setup!FB13,'Quick Setup'!$A$2)</f>
        <v>250</v>
      </c>
      <c r="DC20" s="2">
        <f>Setup!FC13</f>
        <v>8</v>
      </c>
      <c r="DD20" s="2">
        <f>Setup!FD13</f>
        <v>3</v>
      </c>
      <c r="DE20" s="2">
        <f>Setup!FE13</f>
        <v>5</v>
      </c>
      <c r="DF20" s="8"/>
      <c r="DG20" s="8"/>
      <c r="DH20" s="8"/>
      <c r="DI20" s="8"/>
      <c r="DJ20" s="2">
        <f>mround(DJ19*Setup!FN13,'Quick Setup'!$A$2)</f>
        <v>350</v>
      </c>
      <c r="DK20" s="2">
        <f>Setup!FO13</f>
        <v>5</v>
      </c>
      <c r="DL20" s="2">
        <f>Setup!FP13</f>
        <v>3</v>
      </c>
      <c r="DM20" s="2">
        <f>Setup!FQ13</f>
        <v>5</v>
      </c>
      <c r="DN20" s="8"/>
      <c r="DO20" s="8"/>
      <c r="DP20" s="8"/>
      <c r="DQ20" s="8"/>
      <c r="DR20" s="2">
        <f>mround(DR19*Setup!FZ13,'Quick Setup'!$A$2)</f>
        <v>375</v>
      </c>
      <c r="DS20" s="2">
        <f>Setup!GA13</f>
        <v>4</v>
      </c>
      <c r="DT20" s="2">
        <f>Setup!GB13</f>
        <v>2</v>
      </c>
      <c r="DU20" s="2">
        <f>Setup!GC13</f>
        <v>5</v>
      </c>
      <c r="DV20" s="8"/>
      <c r="DW20" s="8"/>
      <c r="DX20" s="8"/>
      <c r="DY20" s="8"/>
      <c r="DZ20" s="2">
        <f>mround(DZ19*Setup!GL13,'Quick Setup'!$A$2)</f>
        <v>400</v>
      </c>
      <c r="EA20" s="2">
        <f>Setup!GM13</f>
        <v>3</v>
      </c>
      <c r="EB20" s="2">
        <f>Setup!GN13</f>
        <v>2</v>
      </c>
      <c r="EC20" s="2">
        <f>Setup!GO13</f>
        <v>5</v>
      </c>
      <c r="ED20" s="8"/>
      <c r="EE20" s="8"/>
      <c r="EF20" s="8"/>
      <c r="EG20" s="8"/>
      <c r="EH20" s="2">
        <f>mround(EH19*Setup!GX13,'Quick Setup'!$A$2)</f>
        <v>375</v>
      </c>
      <c r="EI20" s="2">
        <f>Setup!GY13</f>
        <v>4</v>
      </c>
      <c r="EJ20" s="2">
        <f>Setup!GZ13</f>
        <v>2</v>
      </c>
      <c r="EK20" s="2">
        <f>Setup!HA13</f>
        <v>5</v>
      </c>
      <c r="EL20" s="8"/>
      <c r="EM20" s="8"/>
      <c r="EN20" s="8"/>
      <c r="EO20" s="8"/>
      <c r="EP20" s="2">
        <f>mround(EP19*Setup!HJ13,'Quick Setup'!$A$2)</f>
        <v>400</v>
      </c>
      <c r="EQ20" s="2">
        <f>Setup!HK13</f>
        <v>3</v>
      </c>
      <c r="ER20" s="2">
        <f>Setup!HL13</f>
        <v>2</v>
      </c>
      <c r="ES20" s="2">
        <f>Setup!HM13</f>
        <v>5</v>
      </c>
      <c r="ET20" s="8"/>
      <c r="EU20" s="8"/>
      <c r="EV20" s="8"/>
      <c r="EW20" s="8"/>
      <c r="EX20" s="2">
        <f>mround(EX19*Setup!HV13,'Quick Setup'!$A$2)</f>
        <v>425</v>
      </c>
      <c r="EY20" s="2">
        <f>Setup!HW13</f>
        <v>2</v>
      </c>
      <c r="EZ20" s="2">
        <f>Setup!HX13</f>
        <v>1</v>
      </c>
      <c r="FA20" s="2">
        <f>Setup!HY13</f>
        <v>5</v>
      </c>
      <c r="FB20" s="8"/>
      <c r="FC20" s="8"/>
      <c r="FD20" s="8"/>
      <c r="FE20" s="8"/>
      <c r="FF20" s="2">
        <f>mround(FF19*Setup!IH13,'Quick Setup'!$A$2)</f>
        <v>250</v>
      </c>
      <c r="FG20" s="2">
        <f>Setup!II13</f>
        <v>8</v>
      </c>
      <c r="FH20" s="2">
        <f>Setup!IJ13</f>
        <v>3</v>
      </c>
      <c r="FI20" s="2">
        <f>Setup!IK13</f>
        <v>5</v>
      </c>
      <c r="FJ20" s="8"/>
      <c r="FK20" s="8"/>
      <c r="FL20" s="8"/>
      <c r="FM20" s="8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>
      <c r="A21" s="1" t="str">
        <f>CONCATENATE(A22," TM")</f>
        <v>Push Press TM</v>
      </c>
      <c r="B21" s="2">
        <f>if(D21="",'Quick Setup'!D16,D21/'Quick Setup'!E16)</f>
        <v>245</v>
      </c>
      <c r="C21" s="1" t="s">
        <v>77</v>
      </c>
      <c r="D21" s="8"/>
      <c r="E21" s="2"/>
      <c r="F21" s="2"/>
      <c r="G21" s="2"/>
      <c r="H21" s="2"/>
      <c r="I21" s="2"/>
      <c r="J21" s="2">
        <f>if(L21="", if(F22="",B21, if((F22-E22)&lt;-1.9,B21*(1+Setup!F14),if((F22-E22)=-1,B21*(1+Setup!G14),if(G22&lt;D22,B21*(1+Setup!G14),if(G22=D22,B21*(1+Setup!H14),if((G22-D22)=1,B21*(1+Setup!I14),if((G22-D22)=2,B21*(1+Setup!J14),if((G22-D22)=3,B21*(1+Setup!K14),if((G22-D22)=4,B21*(1+Setup!L14),if((G22-D22)&gt;4.1,B21*(1+Setup!M14),B21)))))))))),L21/'Quick Setup'!$E16)</f>
        <v>245</v>
      </c>
      <c r="K21" s="1" t="s">
        <v>77</v>
      </c>
      <c r="L21" s="8"/>
      <c r="M21" s="2"/>
      <c r="N21" s="2"/>
      <c r="O21" s="2"/>
      <c r="P21" s="2"/>
      <c r="Q21" s="2"/>
      <c r="R21" s="2">
        <f>if(T21="", if(N22="",J21, if((N22-M22)&lt;-1.9,J21*(1+Setup!R14),if((N22-M22)=-1,J21*(1+Setup!S14),if(O22&lt;L22,J21*(1+Setup!S14),if(O22=L22,J21*(1+Setup!T14),if((O22-L22)=1,J21*(1+Setup!U14),if((O22-L22)=2,J21*(1+Setup!V14),if((O22-L22)=3,J21*(1+Setup!W14),if((O22-L22)=4,J21*(1+Setup!X14),if((O22-L22)&gt;4.1,J21*(1+Setup!Y14),J21)))))))))),T21/'Quick Setup'!$E16)</f>
        <v>245</v>
      </c>
      <c r="S21" s="1" t="s">
        <v>77</v>
      </c>
      <c r="T21" s="8"/>
      <c r="U21" s="2"/>
      <c r="V21" s="2"/>
      <c r="W21" s="2"/>
      <c r="X21" s="2"/>
      <c r="Y21" s="2"/>
      <c r="Z21" s="2">
        <f>if(AB21="", if(V22="",R21, if((V22-U22)&lt;-1.9,R21*(1+Setup!AD14),if((V22-U22)=-1,R21*(1+Setup!AE14),if(W22&lt;T22,R21*(1+Setup!AE14),if(W22=T22,R21*(1+Setup!AF14),if((W22-T22)=1,R21*(1+Setup!AG14),if((W22-T22)=2,R21*(1+Setup!AH14),if((W22-T22)=3,R21*(1+Setup!AI14),if((W22-T22)=4,R21*(1+Setup!AJ14),if((W22-T22)&gt;4.1,R21*(1+Setup!AK14),R21)))))))))),AB21/'Quick Setup'!$E16)</f>
        <v>245</v>
      </c>
      <c r="AA21" s="1" t="s">
        <v>77</v>
      </c>
      <c r="AB21" s="8"/>
      <c r="AC21" s="2"/>
      <c r="AD21" s="2"/>
      <c r="AE21" s="2"/>
      <c r="AF21" s="2"/>
      <c r="AG21" s="2"/>
      <c r="AH21" s="2">
        <f>if(AJ21="", if(AD22="",Z21, if((AD22-AC22)&lt;-1.9,Z21*(1+Setup!AP14),if((AD22-AC22)=-1,Z21*(1+Setup!AQ14),if(AE22&lt;AB22,Z21*(1+Setup!AQ14),if(AE22=AB22,Z21*(1+Setup!AR14),if((AE22-AB22)=1,Z21*(1+Setup!AS14),if((AE22-AB22)=2,Z21*(1+Setup!AT14),if((AE22-AB22)=3,Z21*(1+Setup!AU14),if((AE22-AB22)=4,Z21*(1+Setup!AV14),if((AE22-AB22)&gt;4.1,Z21*(1+Setup!AW14),Z21)))))))))),AJ21/'Quick Setup'!$E16)</f>
        <v>245</v>
      </c>
      <c r="AI21" s="1" t="s">
        <v>77</v>
      </c>
      <c r="AJ21" s="8"/>
      <c r="AK21" s="2"/>
      <c r="AL21" s="2"/>
      <c r="AM21" s="2"/>
      <c r="AN21" s="2"/>
      <c r="AO21" s="2"/>
      <c r="AP21" s="2">
        <f>if(AR21="", if(AL22="",AH21, if((AL22-AK22)&lt;-1.9,AH21*(1+Setup!BB14),if((AL22-AK22)=-1,AH21*(1+Setup!BC14),if(AM22&lt;AJ22,AH21*(1+Setup!BC14),if(AM22=AJ22,AH21*(1+Setup!BD14),if((AM22-AJ22)=1,AH21*(1+Setup!BE14),if((AM22-AJ22)=2,AH21*(1+Setup!BF14),if((AM22-AJ22)=3,AH21*(1+Setup!BG14),if((AM22-AJ22)=4,AH21*(1+Setup!BH14),if((AM22-AJ22)&gt;4.1,AH21*(1+Setup!BI14),AH21)))))))))),AR21/'Quick Setup'!$E16)</f>
        <v>245</v>
      </c>
      <c r="AQ21" s="1" t="s">
        <v>77</v>
      </c>
      <c r="AR21" s="8"/>
      <c r="AS21" s="2"/>
      <c r="AT21" s="2"/>
      <c r="AU21" s="2"/>
      <c r="AV21" s="2"/>
      <c r="AW21" s="2"/>
      <c r="AX21" s="2">
        <f>if(AZ21="", if(AT22="",AP21, if((AT22-AS22)&lt;-1.9,AP21*(1+Setup!BN14),if((AT22-AS22)=-1,AP21*(1+Setup!BO14),if(AU22&lt;AR22,AP21*(1+Setup!BO14),if(AU22=AR22,AP21*(1+Setup!BP14),if((AU22-AR22)=1,AP21*(1+Setup!BQ14),if((AU22-AR22)=2,AP21*(1+Setup!BR14),if((AU22-AR22)=3,AP21*(1+Setup!BS14),if((AU22-AR22)=4,AP21*(1+Setup!BT14),if((AU22-AR22)&gt;4.1,AP21*(1+Setup!BU14),AP21)))))))))),AZ21/'Quick Setup'!$E16)</f>
        <v>245</v>
      </c>
      <c r="AY21" s="1" t="s">
        <v>77</v>
      </c>
      <c r="AZ21" s="8"/>
      <c r="BA21" s="2"/>
      <c r="BB21" s="2"/>
      <c r="BC21" s="2"/>
      <c r="BD21" s="2"/>
      <c r="BE21" s="2"/>
      <c r="BF21" s="2">
        <f>if(BH21="", if(BB22="",AX21, if((BB22-BA22)&lt;-1.9,AX21*(1+Setup!BZ14),if((BB22-BA22)=-1,AX21*(1+Setup!CA14),if(BC22&lt;AZ22,AX21*(1+Setup!CA14),if(BC22=AZ22,AX21*(1+Setup!CB14),if((BC22-AZ22)=1,AX21*(1+Setup!CC14),if((BC22-AZ22)=2,AX21*(1+Setup!CD14),if((BC22-AZ22)=3,AX21*(1+Setup!CE14),if((BC22-AZ22)=4,AX21*(1+Setup!CF14),if((BC22-AZ22)&gt;4.1,AX21*(1+Setup!CG14),AX21)))))))))),BH21/'Quick Setup'!$E16)</f>
        <v>245</v>
      </c>
      <c r="BG21" s="1" t="s">
        <v>77</v>
      </c>
      <c r="BH21" s="8"/>
      <c r="BI21" s="2"/>
      <c r="BJ21" s="2"/>
      <c r="BK21" s="2"/>
      <c r="BL21" s="2"/>
      <c r="BM21" s="2"/>
      <c r="BN21" s="2">
        <f>if(BP21="", if(BJ22="",BF21, if((BJ22-BI22)&lt;-1.9,BF21*(1+Setup!CL14),if((BJ22-BI22)=-1,BF21*(1+Setup!CM14),if(BK22&lt;BH22,BF21*(1+Setup!CM14),if(BK22=BH22,BF21*(1+Setup!CN14),if((BK22-BH22)=1,BF21*(1+Setup!CO14),if((BK22-BH22)=2,BF21*(1+Setup!CP14),if((BK22-BH22)=3,BF21*(1+Setup!CQ14),if((BK22-BH22)=4,BF21*(1+Setup!CR14),if((BK22-BH22)&gt;4.1,BF21*(1+Setup!CS14),BF21)))))))))),BP21/'Quick Setup'!$E16)</f>
        <v>245</v>
      </c>
      <c r="BO21" s="1" t="s">
        <v>77</v>
      </c>
      <c r="BP21" s="8"/>
      <c r="BQ21" s="2"/>
      <c r="BR21" s="2"/>
      <c r="BS21" s="2"/>
      <c r="BT21" s="2"/>
      <c r="BU21" s="2"/>
      <c r="BV21" s="2">
        <f>if(BX21="", if(BR22="",BN21, if((BR22-BQ22)&lt;-1.9,BN21*(1+Setup!CX14),if((BR22-BQ22)=-1,BN21*(1+Setup!CY14),if(BS22&lt;BP22,BN21*(1+Setup!CY14),if(BS22=BP22,BN21*(1+Setup!CZ14),if((BS22-BP22)=1,BN21*(1+Setup!DA14),if((BS22-BP22)=2,BN21*(1+Setup!DB14),if((BS22-BP22)=3,BN21*(1+Setup!DC14),if((BS22-BP22)=4,BN21*(1+Setup!DD14),if((BS22-BP22)&gt;4.1,BN21*(1+Setup!DE14),BN21)))))))))),BX21/'Quick Setup'!$E16)</f>
        <v>245</v>
      </c>
      <c r="BW21" s="1" t="s">
        <v>77</v>
      </c>
      <c r="BX21" s="8"/>
      <c r="BY21" s="2"/>
      <c r="BZ21" s="2"/>
      <c r="CA21" s="2"/>
      <c r="CB21" s="2"/>
      <c r="CC21" s="2"/>
      <c r="CD21" s="2">
        <f>if(CF21="", if(BZ22="",BV21, if((BZ22-BY22)&lt;-1.9,BV21*(1+Setup!DJ14),if((BZ22-BY22)=-1,BV21*(1+Setup!DK14),if(CA22&lt;BX22,BV21*(1+Setup!DK14),if(CA22=BX22,BV21*(1+Setup!DL14),if((CA22-BX22)=1,BV21*(1+Setup!DM14),if((CA22-BX22)=2,BV21*(1+Setup!DN14),if((CA22-BX22)=3,BV21*(1+Setup!DO14),if((CA22-BX22)=4,BV21*(1+Setup!DP14),if((CA22-BX22)&gt;4.1,BV21*(1+Setup!DQ14),BV21)))))))))),CF21/'Quick Setup'!$E16)</f>
        <v>245</v>
      </c>
      <c r="CE21" s="1" t="s">
        <v>77</v>
      </c>
      <c r="CF21" s="8"/>
      <c r="CG21" s="2"/>
      <c r="CH21" s="2"/>
      <c r="CI21" s="2"/>
      <c r="CJ21" s="2"/>
      <c r="CK21" s="2"/>
      <c r="CL21" s="2">
        <f>if(CN21="", if(CH22="",CD21, if((CH22-CG22)&lt;-1.9,CD21*(1+Setup!DV14),if((CH22-CG22)=-1,CD21*(1+Setup!DW14),if(CI22&lt;CF22,CD21*(1+Setup!DW14),if(CI22=CF22,CD21*(1+Setup!DX14),if((CI22-CF22)=1,CD21*(1+Setup!DY14),if((CI22-CF22)=2,CD21*(1+Setup!DZ14),if((CI22-CF22)=3,CD21*(1+Setup!EA14),if((CI22-CF22)=4,CD21*(1+Setup!EB14),if((CI22-CF22)&gt;4.1,CD21*(1+Setup!EC14),CD21)))))))))),CN21/'Quick Setup'!$E16)</f>
        <v>245</v>
      </c>
      <c r="CM21" s="1" t="s">
        <v>77</v>
      </c>
      <c r="CN21" s="8"/>
      <c r="CO21" s="2"/>
      <c r="CP21" s="2"/>
      <c r="CQ21" s="2"/>
      <c r="CR21" s="2"/>
      <c r="CS21" s="2"/>
      <c r="CT21" s="2">
        <f>if(CV21="", if(CP22="",CL21, if((CP22-CO22)&lt;-1.9,CL21*(1+Setup!EH14),if((CP22-CO22)=-1,CL21*(1+Setup!EI14),if(CQ22&lt;CN22,CL21*(1+Setup!EI14),if(CQ22=CN22,CL21*(1+Setup!EJ14),if((CQ22-CN22)=1,CL21*(1+Setup!EK14),if((CQ22-CN22)=2,CL21*(1+Setup!EL14),if((CQ22-CN22)=3,CL21*(1+Setup!EM14),if((CQ22-CN22)=4,CL21*(1+Setup!EN14),if((CQ22-CN22)&gt;4.1,CL21*(1+Setup!EO14),CL21)))))))))),CV21/'Quick Setup'!$E16)</f>
        <v>245</v>
      </c>
      <c r="CU21" s="1" t="s">
        <v>77</v>
      </c>
      <c r="CV21" s="8"/>
      <c r="CW21" s="2"/>
      <c r="CX21" s="2"/>
      <c r="CY21" s="2"/>
      <c r="CZ21" s="2"/>
      <c r="DA21" s="2"/>
      <c r="DB21" s="2">
        <f>if(DD21="", if(CX22="",CT21, if((CX22-CW22)&lt;-1.9,CT21*(1+Setup!ET14),if((CX22-CW22)=-1,CT21*(1+Setup!EU14),if(CY22&lt;CV22,CT21*(1+Setup!EU14),if(CY22=CV22,CT21*(1+Setup!EV14),if((CY22-CV22)=1,CT21*(1+Setup!EW14),if((CY22-CV22)=2,CT21*(1+Setup!EX14),if((CY22-CV22)=3,CT21*(1+Setup!EY14),if((CY22-CV22)=4,CT21*(1+Setup!EZ14),if((CY22-CV22)&gt;4.1,CT21*(1+Setup!FA14),CT21)))))))))),DD21/'Quick Setup'!$E16)</f>
        <v>245</v>
      </c>
      <c r="DC21" s="1" t="s">
        <v>77</v>
      </c>
      <c r="DD21" s="8"/>
      <c r="DE21" s="2"/>
      <c r="DF21" s="2"/>
      <c r="DG21" s="2"/>
      <c r="DH21" s="2"/>
      <c r="DI21" s="2"/>
      <c r="DJ21" s="2">
        <f>if(DL21="", if(DF22="",DB21, if((DF22-DE22)&lt;-1.9,DB21*(1+Setup!FF14),if((DF22-DE22)=-1,DB21*(1+Setup!FG14),if(DG22&lt;DD22,DB21*(1+Setup!FG14),if(DG22=DD22,DB21*(1+Setup!FH14),if((DG22-DD22)=1,DB21*(1+Setup!FI14),if((DG22-DD22)=2,DB21*(1+Setup!FJ14),if((DG22-DD22)=3,DB21*(1+Setup!FK14),if((DG22-DD22)=4,DB21*(1+Setup!FL14),if((DG22-DD22)&gt;4.1,DB21*(1+Setup!FM14),DB21)))))))))),DL21/'Quick Setup'!$E16)</f>
        <v>245</v>
      </c>
      <c r="DK21" s="1" t="s">
        <v>77</v>
      </c>
      <c r="DL21" s="8"/>
      <c r="DM21" s="2"/>
      <c r="DN21" s="2"/>
      <c r="DO21" s="2"/>
      <c r="DP21" s="2"/>
      <c r="DQ21" s="2"/>
      <c r="DR21" s="2">
        <f>if(DT21="", if(DN22="",DJ21, if((DN22-DM22)&lt;-1.9,DJ21*(1+Setup!FR14),if((DN22-DM22)=-1,DJ21*(1+Setup!FS14),if(DO22&lt;DL22,DJ21*(1+Setup!FS14),if(DO22=DL22,DJ21*(1+Setup!FT14),if((DO22-DL22)=1,DJ21*(1+Setup!FU14),if((DO22-DL22)=2,DJ21*(1+Setup!FV14),if((DO22-DL22)=3,DJ21*(1+Setup!FW14),if((DO22-DL22)=4,DJ21*(1+Setup!FX14),if((DO22-DL22)&gt;4.1,DJ21*(1+Setup!FY14),DJ21)))))))))),DT21/'Quick Setup'!$E16)</f>
        <v>245</v>
      </c>
      <c r="DS21" s="1" t="s">
        <v>77</v>
      </c>
      <c r="DT21" s="8"/>
      <c r="DU21" s="2"/>
      <c r="DV21" s="2"/>
      <c r="DW21" s="2"/>
      <c r="DX21" s="2"/>
      <c r="DY21" s="2"/>
      <c r="DZ21" s="2">
        <f>if(EB21="", if(DV22="",DR21, if((DV22-DU22)&lt;-1.9,DR21*(1+Setup!GD14),if((DV22-DU22)=-1,DR21*(1+Setup!GE14),if(DW22&lt;DT22,DR21*(1+Setup!GE14),if(DW22=DT22,DR21*(1+Setup!GF14),if((DW22-DT22)=1,DR21*(1+Setup!GG14),if((DW22-DT22)=2,DR21*(1+Setup!GH14),if((DW22-DT22)=3,DR21*(1+Setup!GI14),if((DW22-DT22)=4,DR21*(1+Setup!GJ14),if((DW22-DT22)&gt;4.1,DR21*(1+Setup!GK14),DR21)))))))))),EB21/'Quick Setup'!$E16)</f>
        <v>245</v>
      </c>
      <c r="EA21" s="1" t="s">
        <v>77</v>
      </c>
      <c r="EB21" s="8"/>
      <c r="EC21" s="2"/>
      <c r="ED21" s="2"/>
      <c r="EE21" s="2"/>
      <c r="EF21" s="2"/>
      <c r="EG21" s="2"/>
      <c r="EH21" s="2">
        <f>if(EJ21="", if(ED22="",DZ21, if((ED22-EC22)&lt;-1.9,DZ21*(1+Setup!GP14),if((ED22-EC22)=-1,DZ21*(1+Setup!GQ14),if(EE22&lt;EB22,DZ21*(1+Setup!GQ14),if(EE22=EB22,DZ21*(1+Setup!GR14),if((EE22-EB22)=1,DZ21*(1+Setup!GS14),if((EE22-EB22)=2,DZ21*(1+Setup!GT14),if((EE22-EB22)=3,DZ21*(1+Setup!GU14),if((EE22-EB22)=4,DZ21*(1+Setup!GV14),if((EE22-EB22)&gt;4.1,DZ21*(1+Setup!GW14),DZ21)))))))))),EJ21/'Quick Setup'!$E16)</f>
        <v>245</v>
      </c>
      <c r="EI21" s="1" t="s">
        <v>77</v>
      </c>
      <c r="EJ21" s="8"/>
      <c r="EK21" s="2"/>
      <c r="EL21" s="2"/>
      <c r="EM21" s="2"/>
      <c r="EN21" s="2"/>
      <c r="EO21" s="2"/>
      <c r="EP21" s="2">
        <f>if(ER21="", if(EL22="",EH21, if((EL22-EK22)&lt;-1.9,EH21*(1+Setup!HB14),if((EL22-EK22)=-1,EH21*(1+Setup!HC14),if(EM22&lt;EJ22,EH21*(1+Setup!HC14),if(EM22=EJ22,EH21*(1+Setup!HD14),if((EM22-EJ22)=1,EH21*(1+Setup!HE14),if((EM22-EJ22)=2,EH21*(1+Setup!HF14),if((EM22-EJ22)=3,EH21*(1+Setup!HG14),if((EM22-EJ22)=4,EH21*(1+Setup!HH14),if((EM22-EJ22)&gt;4.1,EH21*(1+Setup!HI14),EH21)))))))))),ER21/'Quick Setup'!$E16)</f>
        <v>245</v>
      </c>
      <c r="EQ21" s="1" t="s">
        <v>77</v>
      </c>
      <c r="ER21" s="8"/>
      <c r="ES21" s="2"/>
      <c r="ET21" s="2"/>
      <c r="EU21" s="2"/>
      <c r="EV21" s="2"/>
      <c r="EW21" s="2"/>
      <c r="EX21" s="2">
        <f>if(EZ21="", if(ET22="",EP21, if((ET22-ES22)&lt;-1.9,EP21*(1+Setup!HN14),if((ET22-ES22)=-1,EP21*(1+Setup!HO14),if(EU22&lt;ER22,EP21*(1+Setup!HO14),if(EU22=ER22,EP21*(1+Setup!HP14),if((EU22-ER22)=1,EP21*(1+Setup!HQ14),if((EU22-ER22)=2,EP21*(1+Setup!HR14),if((EU22-ER22)=3,EP21*(1+Setup!HS14),if((EU22-ER22)=4,EP21*(1+Setup!HT14),if((EU22-ER22)&gt;4.1,EP21*(1+Setup!HU14),EP21)))))))))),EZ21/'Quick Setup'!$E16)</f>
        <v>245</v>
      </c>
      <c r="EY21" s="1" t="s">
        <v>77</v>
      </c>
      <c r="EZ21" s="8"/>
      <c r="FA21" s="2"/>
      <c r="FB21" s="2"/>
      <c r="FC21" s="2"/>
      <c r="FD21" s="2"/>
      <c r="FE21" s="2"/>
      <c r="FF21" s="2">
        <f>if(FH21="", if(FB22="",EX21, if((FB22-FA22)&lt;-1.9,EX21*(1+Setup!HZ14),if((FB22-FA22)=-1,EX21*(1+Setup!IA14),if(FC22&lt;EZ22,EX21*(1+Setup!IA14),if(FC22=EZ22,EX21*(1+Setup!IB14),if((FC22-EZ22)=1,EX21*(1+Setup!IC14),if((FC22-EZ22)=2,EX21*(1+Setup!ID14),if((FC22-EZ22)=3,EX21*(1+Setup!IE14),if((FC22-EZ22)=4,EX21*(1+Setup!IF14),if((FC22-EZ22)&gt;4.1,EX21*(1+Setup!IG14),EX21)))))))))),FH21/'Quick Setup'!$E16)</f>
        <v>245</v>
      </c>
      <c r="FG21" s="1" t="s">
        <v>77</v>
      </c>
      <c r="FH21" s="8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>
      <c r="A22" s="1" t="str">
        <f>Setup!A14</f>
        <v>Push Press</v>
      </c>
      <c r="B22" s="2">
        <f>mround(B21*Setup!B14,'Quick Setup'!$A$2)</f>
        <v>147.5</v>
      </c>
      <c r="C22" s="2">
        <f>Setup!C14</f>
        <v>7</v>
      </c>
      <c r="D22" s="2">
        <f>Setup!D14</f>
        <v>3</v>
      </c>
      <c r="E22" s="2">
        <f>Setup!E14</f>
        <v>5</v>
      </c>
      <c r="F22" s="8"/>
      <c r="G22" s="8"/>
      <c r="H22" s="8"/>
      <c r="I22" s="8"/>
      <c r="J22" s="2">
        <f>mround(J21*Setup!N14,'Quick Setup'!$A$2)</f>
        <v>160</v>
      </c>
      <c r="K22" s="2">
        <f>Setup!O14</f>
        <v>6</v>
      </c>
      <c r="L22" s="2">
        <f>Setup!P14</f>
        <v>3</v>
      </c>
      <c r="M22" s="2">
        <f>Setup!Q14</f>
        <v>5</v>
      </c>
      <c r="N22" s="8"/>
      <c r="O22" s="8"/>
      <c r="P22" s="8"/>
      <c r="Q22" s="8"/>
      <c r="R22" s="2">
        <f>mround(R21*Setup!Z14,'Quick Setup'!$A$2)</f>
        <v>172.5</v>
      </c>
      <c r="S22" s="2">
        <f>Setup!AA14</f>
        <v>5</v>
      </c>
      <c r="T22" s="2">
        <f>Setup!AB14</f>
        <v>3</v>
      </c>
      <c r="U22" s="2">
        <f>Setup!AC14</f>
        <v>5</v>
      </c>
      <c r="V22" s="8"/>
      <c r="W22" s="8"/>
      <c r="X22" s="8"/>
      <c r="Y22" s="8"/>
      <c r="Z22" s="2">
        <f>mround(Z21*Setup!AL14,'Quick Setup'!$A$2)</f>
        <v>152.5</v>
      </c>
      <c r="AA22" s="2">
        <f>Setup!AM14</f>
        <v>7</v>
      </c>
      <c r="AB22" s="2">
        <f>Setup!AN14</f>
        <v>3</v>
      </c>
      <c r="AC22" s="2">
        <f>Setup!AO14</f>
        <v>5</v>
      </c>
      <c r="AD22" s="8"/>
      <c r="AE22" s="8"/>
      <c r="AF22" s="8"/>
      <c r="AG22" s="8"/>
      <c r="AH22" s="2">
        <f>mround(AH21*Setup!AX14,'Quick Setup'!$A$2)</f>
        <v>165</v>
      </c>
      <c r="AI22" s="2">
        <f>Setup!AY14</f>
        <v>6</v>
      </c>
      <c r="AJ22" s="2">
        <f>Setup!AZ14</f>
        <v>3</v>
      </c>
      <c r="AK22" s="2">
        <f>Setup!BA14</f>
        <v>5</v>
      </c>
      <c r="AL22" s="8"/>
      <c r="AM22" s="8"/>
      <c r="AN22" s="8"/>
      <c r="AO22" s="8"/>
      <c r="AP22" s="2">
        <f>mround(AP21*Setup!BJ14,'Quick Setup'!$A$2)</f>
        <v>177.5</v>
      </c>
      <c r="AQ22" s="2">
        <f>Setup!BK14</f>
        <v>5</v>
      </c>
      <c r="AR22" s="2">
        <f>Setup!BL14</f>
        <v>3</v>
      </c>
      <c r="AS22" s="2">
        <f>Setup!BM14</f>
        <v>5</v>
      </c>
      <c r="AT22" s="8"/>
      <c r="AU22" s="8"/>
      <c r="AV22" s="8"/>
      <c r="AW22" s="8"/>
      <c r="AX22" s="2">
        <f>mround(AX21*Setup!BV14,'Quick Setup'!$A$2)</f>
        <v>122.5</v>
      </c>
      <c r="AY22" s="2">
        <f>Setup!BW14</f>
        <v>8</v>
      </c>
      <c r="AZ22" s="2">
        <f>Setup!BX14</f>
        <v>3</v>
      </c>
      <c r="BA22" s="2">
        <f>Setup!BY14</f>
        <v>5</v>
      </c>
      <c r="BB22" s="8"/>
      <c r="BC22" s="8"/>
      <c r="BD22" s="8"/>
      <c r="BE22" s="8"/>
      <c r="BF22" s="2">
        <f>mround(BF21*Setup!CH14,'Quick Setup'!$A$2)</f>
        <v>160</v>
      </c>
      <c r="BG22" s="2">
        <f>Setup!CI14</f>
        <v>6</v>
      </c>
      <c r="BH22" s="2">
        <f>Setup!CJ14</f>
        <v>3</v>
      </c>
      <c r="BI22" s="2">
        <f>Setup!CK14</f>
        <v>5</v>
      </c>
      <c r="BJ22" s="8"/>
      <c r="BK22" s="8"/>
      <c r="BL22" s="8"/>
      <c r="BM22" s="8"/>
      <c r="BN22" s="2">
        <f>mround(BN21*Setup!CT14,'Quick Setup'!$A$2)</f>
        <v>172.5</v>
      </c>
      <c r="BO22" s="2">
        <f>Setup!CU14</f>
        <v>5</v>
      </c>
      <c r="BP22" s="2">
        <f>Setup!CV14</f>
        <v>3</v>
      </c>
      <c r="BQ22" s="2">
        <f>Setup!CW14</f>
        <v>5</v>
      </c>
      <c r="BR22" s="8"/>
      <c r="BS22" s="8"/>
      <c r="BT22" s="8"/>
      <c r="BU22" s="8"/>
      <c r="BV22" s="2">
        <f>mround(BV21*Setup!DF14,'Quick Setup'!$A$2)</f>
        <v>185</v>
      </c>
      <c r="BW22" s="2">
        <f>Setup!DG14</f>
        <v>4</v>
      </c>
      <c r="BX22" s="2">
        <f>Setup!DH14</f>
        <v>2</v>
      </c>
      <c r="BY22" s="2">
        <f>Setup!DI14</f>
        <v>5</v>
      </c>
      <c r="BZ22" s="8"/>
      <c r="CA22" s="8"/>
      <c r="CB22" s="8"/>
      <c r="CC22" s="8"/>
      <c r="CD22" s="2">
        <f>mround(CD21*Setup!DR14,'Quick Setup'!$A$2)</f>
        <v>165</v>
      </c>
      <c r="CE22" s="2">
        <f>Setup!DS14</f>
        <v>6</v>
      </c>
      <c r="CF22" s="2">
        <f>Setup!DT14</f>
        <v>3</v>
      </c>
      <c r="CG22" s="2">
        <f>Setup!DU14</f>
        <v>5</v>
      </c>
      <c r="CH22" s="8"/>
      <c r="CI22" s="8"/>
      <c r="CJ22" s="8"/>
      <c r="CK22" s="8"/>
      <c r="CL22" s="2">
        <f>mround(CL21*Setup!ED14,'Quick Setup'!$A$2)</f>
        <v>177.5</v>
      </c>
      <c r="CM22" s="2">
        <f>Setup!EE14</f>
        <v>5</v>
      </c>
      <c r="CN22" s="2">
        <f>Setup!EF14</f>
        <v>3</v>
      </c>
      <c r="CO22" s="2">
        <f>Setup!EG14</f>
        <v>5</v>
      </c>
      <c r="CP22" s="8"/>
      <c r="CQ22" s="8"/>
      <c r="CR22" s="8"/>
      <c r="CS22" s="8"/>
      <c r="CT22" s="2">
        <f>mround(CT21*Setup!EP14,'Quick Setup'!$A$2)</f>
        <v>190</v>
      </c>
      <c r="CU22" s="2">
        <f>Setup!EQ14</f>
        <v>4</v>
      </c>
      <c r="CV22" s="2">
        <f>Setup!ER14</f>
        <v>2</v>
      </c>
      <c r="CW22" s="2">
        <f>Setup!ES14</f>
        <v>5</v>
      </c>
      <c r="CX22" s="8"/>
      <c r="CY22" s="8"/>
      <c r="CZ22" s="8"/>
      <c r="DA22" s="8"/>
      <c r="DB22" s="2">
        <f>mround(DB21*Setup!FB14,'Quick Setup'!$A$2)</f>
        <v>122.5</v>
      </c>
      <c r="DC22" s="2">
        <f>Setup!FC14</f>
        <v>8</v>
      </c>
      <c r="DD22" s="2">
        <f>Setup!FD14</f>
        <v>3</v>
      </c>
      <c r="DE22" s="2">
        <f>Setup!FE14</f>
        <v>5</v>
      </c>
      <c r="DF22" s="8"/>
      <c r="DG22" s="8"/>
      <c r="DH22" s="8"/>
      <c r="DI22" s="8"/>
      <c r="DJ22" s="2">
        <f>mround(DJ21*Setup!FN14,'Quick Setup'!$A$2)</f>
        <v>172.5</v>
      </c>
      <c r="DK22" s="2">
        <f>Setup!FO14</f>
        <v>5</v>
      </c>
      <c r="DL22" s="2">
        <f>Setup!FP14</f>
        <v>3</v>
      </c>
      <c r="DM22" s="2">
        <f>Setup!FQ14</f>
        <v>5</v>
      </c>
      <c r="DN22" s="8"/>
      <c r="DO22" s="8"/>
      <c r="DP22" s="8"/>
      <c r="DQ22" s="8"/>
      <c r="DR22" s="2">
        <f>mround(DR21*Setup!FZ14,'Quick Setup'!$A$2)</f>
        <v>185</v>
      </c>
      <c r="DS22" s="2">
        <f>Setup!GA14</f>
        <v>4</v>
      </c>
      <c r="DT22" s="2">
        <f>Setup!GB14</f>
        <v>2</v>
      </c>
      <c r="DU22" s="2">
        <f>Setup!GC14</f>
        <v>5</v>
      </c>
      <c r="DV22" s="8"/>
      <c r="DW22" s="8"/>
      <c r="DX22" s="8"/>
      <c r="DY22" s="8"/>
      <c r="DZ22" s="2">
        <f>mround(DZ21*Setup!GL14,'Quick Setup'!$A$2)</f>
        <v>195</v>
      </c>
      <c r="EA22" s="2">
        <f>Setup!GM14</f>
        <v>3</v>
      </c>
      <c r="EB22" s="2">
        <f>Setup!GN14</f>
        <v>2</v>
      </c>
      <c r="EC22" s="2">
        <f>Setup!GO14</f>
        <v>5</v>
      </c>
      <c r="ED22" s="2"/>
      <c r="EE22" s="2"/>
      <c r="EF22" s="2"/>
      <c r="EG22" s="2"/>
      <c r="EH22" s="2">
        <f>mround(EH21*Setup!GX14,'Quick Setup'!$A$2)</f>
        <v>185</v>
      </c>
      <c r="EI22" s="2">
        <f>Setup!GY14</f>
        <v>4</v>
      </c>
      <c r="EJ22" s="2">
        <f>Setup!GZ14</f>
        <v>2</v>
      </c>
      <c r="EK22" s="2">
        <f>Setup!HA14</f>
        <v>5</v>
      </c>
      <c r="EL22" s="8"/>
      <c r="EM22" s="8"/>
      <c r="EN22" s="8"/>
      <c r="EO22" s="8"/>
      <c r="EP22" s="2">
        <f>mround(EP21*Setup!HJ14,'Quick Setup'!$A$2)</f>
        <v>195</v>
      </c>
      <c r="EQ22" s="2">
        <f>Setup!HK14</f>
        <v>3</v>
      </c>
      <c r="ER22" s="2">
        <f>Setup!HL14</f>
        <v>2</v>
      </c>
      <c r="ES22" s="2">
        <f>Setup!HM14</f>
        <v>5</v>
      </c>
      <c r="ET22" s="8"/>
      <c r="EU22" s="8"/>
      <c r="EV22" s="8"/>
      <c r="EW22" s="8"/>
      <c r="EX22" s="2">
        <f>mround(EX21*Setup!HV14,'Quick Setup'!$A$2)</f>
        <v>207.5</v>
      </c>
      <c r="EY22" s="2">
        <f>Setup!HW14</f>
        <v>2</v>
      </c>
      <c r="EZ22" s="2">
        <f>Setup!HX14</f>
        <v>1</v>
      </c>
      <c r="FA22" s="2">
        <f>Setup!HY14</f>
        <v>5</v>
      </c>
      <c r="FB22" s="8"/>
      <c r="FC22" s="8"/>
      <c r="FD22" s="8"/>
      <c r="FE22" s="8"/>
      <c r="FF22" s="2">
        <f>mround(FF21*Setup!IH14,'Quick Setup'!$A$2)</f>
        <v>122.5</v>
      </c>
      <c r="FG22" s="2">
        <f>Setup!II14</f>
        <v>8</v>
      </c>
      <c r="FH22" s="2">
        <f>Setup!IJ14</f>
        <v>3</v>
      </c>
      <c r="FI22" s="2">
        <f>Setup!IK14</f>
        <v>5</v>
      </c>
      <c r="FJ22" s="8"/>
      <c r="FK22" s="8"/>
      <c r="FL22" s="8"/>
      <c r="FM22" s="8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 t="str">
        <f>#REF!</f>
        <v>#REF!</v>
      </c>
      <c r="GH36" s="2" t="str">
        <f>Setup!IT10</f>
        <v/>
      </c>
      <c r="GI36" s="2" t="str">
        <f>Setup!IU10</f>
        <v/>
      </c>
      <c r="GJ36" s="2" t="str">
        <f>Setup!IV10</f>
        <v/>
      </c>
      <c r="GK36" s="2" t="str">
        <f>Setup!IW10</f>
        <v/>
      </c>
      <c r="GL36" s="2" t="str">
        <f>Setup!IX10</f>
        <v/>
      </c>
      <c r="GM36" s="2" t="str">
        <f>Setup!IY10</f>
        <v/>
      </c>
      <c r="GN36" s="2" t="str">
        <f>Setup!IZ10</f>
        <v/>
      </c>
      <c r="GO36" s="2" t="str">
        <f>Setup!JA10</f>
        <v/>
      </c>
      <c r="GP36" s="2" t="str">
        <f>Setup!JB10</f>
        <v/>
      </c>
      <c r="GQ36" s="2" t="str">
        <f>Setup!JC10</f>
        <v/>
      </c>
      <c r="GR36" s="2" t="str">
        <f>Setup!JD10</f>
        <v/>
      </c>
      <c r="GS36" s="2" t="str">
        <f>Setup!JE10</f>
        <v/>
      </c>
      <c r="GT36" s="2" t="str">
        <f>Setup!JF10</f>
        <v/>
      </c>
      <c r="GU36" s="2" t="str">
        <f>Setup!JG10</f>
        <v/>
      </c>
      <c r="GV36" s="2" t="str">
        <f>Setup!JH10</f>
        <v/>
      </c>
      <c r="GW36" s="2" t="str">
        <f>Setup!JI10</f>
        <v/>
      </c>
      <c r="GX36" s="2" t="str">
        <f>Setup!JJ10</f>
        <v/>
      </c>
      <c r="GY36" s="2" t="str">
        <f>Setup!JK10</f>
        <v/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 t="str">
        <f>#REF!</f>
        <v>#REF!</v>
      </c>
      <c r="GH38" s="2" t="str">
        <f>Setup!IT11</f>
        <v/>
      </c>
      <c r="GI38" s="2" t="str">
        <f>Setup!IU11</f>
        <v/>
      </c>
      <c r="GJ38" s="2" t="str">
        <f>Setup!IV11</f>
        <v/>
      </c>
      <c r="GK38" s="2" t="str">
        <f>Setup!IW11</f>
        <v/>
      </c>
      <c r="GL38" s="2" t="str">
        <f>Setup!IX11</f>
        <v/>
      </c>
      <c r="GM38" s="2" t="str">
        <f>Setup!IY11</f>
        <v/>
      </c>
      <c r="GN38" s="2" t="str">
        <f>Setup!IZ11</f>
        <v/>
      </c>
      <c r="GO38" s="2" t="str">
        <f>Setup!JA11</f>
        <v/>
      </c>
      <c r="GP38" s="2" t="str">
        <f>Setup!JB11</f>
        <v/>
      </c>
      <c r="GQ38" s="2" t="str">
        <f>Setup!JC11</f>
        <v/>
      </c>
      <c r="GR38" s="2" t="str">
        <f>Setup!JD11</f>
        <v/>
      </c>
      <c r="GS38" s="2" t="str">
        <f>Setup!JE11</f>
        <v/>
      </c>
      <c r="GT38" s="2" t="str">
        <f>Setup!JF11</f>
        <v/>
      </c>
      <c r="GU38" s="2" t="str">
        <f>Setup!JG11</f>
        <v/>
      </c>
      <c r="GV38" s="2" t="str">
        <f>Setup!JH11</f>
        <v/>
      </c>
      <c r="GW38" s="2" t="str">
        <f>Setup!JI11</f>
        <v/>
      </c>
      <c r="GX38" s="2" t="str">
        <f>Setup!JJ11</f>
        <v/>
      </c>
      <c r="GY38" s="2" t="str">
        <f>Setup!JK11</f>
        <v/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 t="str">
        <f>#REF!</f>
        <v>#REF!</v>
      </c>
      <c r="GH40" s="2" t="str">
        <f>Setup!IT12</f>
        <v/>
      </c>
      <c r="GI40" s="2" t="str">
        <f>Setup!IU12</f>
        <v/>
      </c>
      <c r="GJ40" s="2" t="str">
        <f>Setup!IV12</f>
        <v/>
      </c>
      <c r="GK40" s="2" t="str">
        <f>Setup!IW12</f>
        <v/>
      </c>
      <c r="GL40" s="2" t="str">
        <f>Setup!IX12</f>
        <v/>
      </c>
      <c r="GM40" s="2" t="str">
        <f>Setup!IY12</f>
        <v/>
      </c>
      <c r="GN40" s="2" t="str">
        <f>Setup!IZ12</f>
        <v/>
      </c>
      <c r="GO40" s="2" t="str">
        <f>Setup!JA12</f>
        <v/>
      </c>
      <c r="GP40" s="2" t="str">
        <f>Setup!JB12</f>
        <v/>
      </c>
      <c r="GQ40" s="2" t="str">
        <f>Setup!JC12</f>
        <v/>
      </c>
      <c r="GR40" s="2" t="str">
        <f>Setup!JD12</f>
        <v/>
      </c>
      <c r="GS40" s="2" t="str">
        <f>Setup!JE12</f>
        <v/>
      </c>
      <c r="GT40" s="2" t="str">
        <f>Setup!JF12</f>
        <v/>
      </c>
      <c r="GU40" s="2" t="str">
        <f>Setup!JG12</f>
        <v/>
      </c>
      <c r="GV40" s="2" t="str">
        <f>Setup!JH12</f>
        <v/>
      </c>
      <c r="GW40" s="2" t="str">
        <f>Setup!JI12</f>
        <v/>
      </c>
      <c r="GX40" s="2" t="str">
        <f>Setup!JJ12</f>
        <v/>
      </c>
      <c r="GY40" s="2" t="str">
        <f>Setup!JK12</f>
        <v/>
      </c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 t="str">
        <f>#REF!</f>
        <v>#REF!</v>
      </c>
      <c r="GH42" s="2" t="str">
        <f>Setup!IT13</f>
        <v/>
      </c>
      <c r="GI42" s="2" t="str">
        <f>Setup!IU13</f>
        <v/>
      </c>
      <c r="GJ42" s="2" t="str">
        <f>Setup!IV13</f>
        <v/>
      </c>
      <c r="GK42" s="2" t="str">
        <f>Setup!IW13</f>
        <v/>
      </c>
      <c r="GL42" s="2" t="str">
        <f>Setup!IX13</f>
        <v/>
      </c>
      <c r="GM42" s="2" t="str">
        <f>Setup!IY13</f>
        <v/>
      </c>
      <c r="GN42" s="2" t="str">
        <f>Setup!IZ13</f>
        <v/>
      </c>
      <c r="GO42" s="2" t="str">
        <f>Setup!JA13</f>
        <v/>
      </c>
      <c r="GP42" s="2" t="str">
        <f>Setup!JB13</f>
        <v/>
      </c>
      <c r="GQ42" s="2" t="str">
        <f>Setup!JC13</f>
        <v/>
      </c>
      <c r="GR42" s="2" t="str">
        <f>Setup!JD13</f>
        <v/>
      </c>
      <c r="GS42" s="2" t="str">
        <f>Setup!JE13</f>
        <v/>
      </c>
      <c r="GT42" s="2" t="str">
        <f>Setup!JF13</f>
        <v/>
      </c>
      <c r="GU42" s="2" t="str">
        <f>Setup!JG13</f>
        <v/>
      </c>
      <c r="GV42" s="2" t="str">
        <f>Setup!JH13</f>
        <v/>
      </c>
      <c r="GW42" s="2" t="str">
        <f>Setup!JI13</f>
        <v/>
      </c>
      <c r="GX42" s="2" t="str">
        <f>Setup!JJ13</f>
        <v/>
      </c>
      <c r="GY42" s="2" t="str">
        <f>Setup!JK13</f>
        <v/>
      </c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 t="str">
        <f>#REF!</f>
        <v>#REF!</v>
      </c>
      <c r="GH44" s="2" t="str">
        <f>Setup!IT14</f>
        <v/>
      </c>
      <c r="GI44" s="2" t="str">
        <f>Setup!IU14</f>
        <v/>
      </c>
      <c r="GJ44" s="2" t="str">
        <f>Setup!IV14</f>
        <v/>
      </c>
      <c r="GK44" s="2" t="str">
        <f>Setup!IW14</f>
        <v/>
      </c>
      <c r="GL44" s="2" t="str">
        <f>Setup!IX14</f>
        <v/>
      </c>
      <c r="GM44" s="2" t="str">
        <f>Setup!IY14</f>
        <v/>
      </c>
      <c r="GN44" s="2" t="str">
        <f>Setup!IZ14</f>
        <v/>
      </c>
      <c r="GO44" s="2" t="str">
        <f>Setup!JA14</f>
        <v/>
      </c>
      <c r="GP44" s="2" t="str">
        <f>Setup!JB14</f>
        <v/>
      </c>
      <c r="GQ44" s="2" t="str">
        <f>Setup!JC14</f>
        <v/>
      </c>
      <c r="GR44" s="2" t="str">
        <f>Setup!JD14</f>
        <v/>
      </c>
      <c r="GS44" s="2" t="str">
        <f>Setup!JE14</f>
        <v/>
      </c>
      <c r="GT44" s="2" t="str">
        <f>Setup!JF14</f>
        <v/>
      </c>
      <c r="GU44" s="2" t="str">
        <f>Setup!JG14</f>
        <v/>
      </c>
      <c r="GV44" s="2" t="str">
        <f>Setup!JH14</f>
        <v/>
      </c>
      <c r="GW44" s="2" t="str">
        <f>Setup!JI14</f>
        <v/>
      </c>
      <c r="GX44" s="2" t="str">
        <f>Setup!JJ14</f>
        <v/>
      </c>
      <c r="GY44" s="2" t="str">
        <f>Setup!JK14</f>
        <v/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490</v>
      </c>
      <c r="C4" s="36" t="s">
        <v>77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36" t="s">
        <v>77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36" t="s">
        <v>77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36" t="s">
        <v>77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36" t="s">
        <v>77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36" t="s">
        <v>77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36" t="s">
        <v>77</v>
      </c>
      <c r="AZ4" s="38"/>
      <c r="BA4" s="39"/>
      <c r="BB4" s="39"/>
      <c r="BC4" s="39"/>
      <c r="BD4" s="39"/>
      <c r="BE4" s="39"/>
      <c r="BF4" s="37">
        <f>if(BH4="",AX4,BH4/'Quick Setup'!$E5)</f>
        <v>490</v>
      </c>
      <c r="BG4" s="36" t="s">
        <v>77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36" t="s">
        <v>77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36" t="s">
        <v>77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36" t="s">
        <v>77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36" t="s">
        <v>77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36" t="s">
        <v>77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36" t="s">
        <v>77</v>
      </c>
      <c r="DD4" s="38"/>
      <c r="DE4" s="39"/>
      <c r="DF4" s="39"/>
      <c r="DG4" s="39"/>
      <c r="DH4" s="39"/>
      <c r="DI4" s="39"/>
      <c r="DJ4" s="37">
        <f>if(DL4="",DB4,DL4/'Quick Setup'!$E5)</f>
        <v>490</v>
      </c>
      <c r="DK4" s="36" t="s">
        <v>77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36" t="s">
        <v>77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36" t="s">
        <v>77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36" t="s">
        <v>77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36" t="s">
        <v>77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36" t="s">
        <v>77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36" t="s">
        <v>77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Bench Press TM</v>
      </c>
      <c r="B6" s="37">
        <f>if(D6="",'Quick Setup'!D6,D6/'Quick Setup'!E6)</f>
        <v>325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4),if((F7-E7)=-1,B6*(1+Setup!G4),if(G7&lt;D7,B6*(1+Setup!G4),if(G7=D7,B6*(1+Setup!H4),if((G7-D7)=1,B6*(1+Setup!I4),if((G7-D7)=2,B6*(1+Setup!J4),if((G7-D7)=3,B6*(1+Setup!K4),if((G7-D7)=4,B6*(1+Setup!L4),if((G7-D7)&gt;4.1,B6*(1+Setup!M4),B6)))))))))),L6/'Quick Setup'!$E6)</f>
        <v>325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4),if((N7-M7)=-1,J6*(1+Setup!S4),if(O7&lt;L7,J6*(1+Setup!S4),if(O7=L7,J6*(1+Setup!T4),if((O7-L7)=1,J6*(1+Setup!U4),if((O7-L7)=2,J6*(1+Setup!V4),if((O7-L7)=3,J6*(1+Setup!W4),if((O7-L7)=4,J6*(1+Setup!X4),if((O7-L7)&gt;4.1,J6*(1+Setup!Y4),J6)))))))))),T6/'Quick Setup'!$E6)</f>
        <v>325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4),if((V7-U7)=-1,R6*(1+Setup!AE4),if(W7&lt;T7,R6*(1+Setup!AE4),if(W7=T7,R6*(1+Setup!AF4),if((W7-T7)=1,R6*(1+Setup!AG4),if((W7-T7)=2,R6*(1+Setup!AH4),if((W7-T7)=3,R6*(1+Setup!AI4),if((W7-T7)=4,R6*(1+Setup!AJ4),if((W7-T7)&gt;4.1,R6*(1+Setup!AK4),R6)))))))))),AB6/'Quick Setup'!$E6)</f>
        <v>325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4),if((AD7-AC7)=-1,Z6*(1+Setup!AQ4),if(AE7&lt;AB7,Z6*(1+Setup!AQ4),if(AE7=AB7,Z6*(1+Setup!AR4),if((AE7-AB7)=1,Z6*(1+Setup!AS4),if((AE7-AB7)=2,Z6*(1+Setup!AT4),if((AE7-AB7)=3,Z6*(1+Setup!AU4),if((AE7-AB7)=4,Z6*(1+Setup!AV4),if((AE7-AB7)&gt;4.1,Z6*(1+Setup!AW4),Z6)))))))))),AJ6/'Quick Setup'!$E6)</f>
        <v>325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4),if((AL7-AK7)=-1,AH6*(1+Setup!BC4),if(AM7&lt;AJ7,AH6*(1+Setup!BC4),if(AM7=AJ7,AH6*(1+Setup!BD4),if((AM7-AJ7)=1,AH6*(1+Setup!BE4),if((AM7-AJ7)=2,AH6*(1+Setup!BF4),if((AM7-AJ7)=3,AH6*(1+Setup!BG4),if((AM7-AJ7)=4,AH6*(1+Setup!BH4),if((AM7-AJ7)&gt;4.1,AH6*(1+Setup!BI4),AH6)))))))))),AR6/'Quick Setup'!$E6)</f>
        <v>325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4),if((AT7-AS7)=-1,AP6*(1+Setup!BO4),if(AU7&lt;AR7,AP6*(1+Setup!BO4),if(AU7=AR7,AP6*(1+Setup!BP4),if((AU7-AR7)=1,AP6*(1+Setup!BQ4),if((AU7-AR7)=2,AP6*(1+Setup!BR4),if((AU7-AR7)=3,AP6*(1+Setup!BS4),if((AU7-AR7)=4,AP6*(1+Setup!BT4),if((AU7-AR7)&gt;4.1,AP6*(1+Setup!BU4),AP6)))))))))),AZ6/'Quick Setup'!$E6)</f>
        <v>325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Setup'!$E6)</f>
        <v>325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4),if((BJ7-BI7)=-1,BF6*(1+Setup!CM4),if(BK7&lt;BH7,BF6*(1+Setup!CM4),if(BK7=BH7,BF6*(1+Setup!CN4),if((BK7-BH7)=1,BF6*(1+Setup!CO4),if((BK7-BH7)=2,BF6*(1+Setup!CP4),if((BK7-BH7)=3,BF6*(1+Setup!CQ4),if((BK7-BH7)=4,BF6*(1+Setup!CR4),if((BK7-BH7)&gt;4.1,BF6*(1+Setup!CS4),BF6)))))))))),BP6/'Quick Setup'!$E6)</f>
        <v>325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4),if((BR7-BQ7)=-1,BN6*(1+Setup!CY4),if(BS7&lt;BP7,BN6*(1+Setup!CY4),if(BS7=BP7,BN6*(1+Setup!CZ4),if((BS7-BP7)=1,BN6*(1+Setup!DA4),if((BS7-BP7)=2,BN6*(1+Setup!DB4),if((BS7-BP7)=3,BN6*(1+Setup!DC4),if((BS7-BP7)=4,BN6*(1+Setup!DD4),if((BS7-BP7)&gt;4.1,BN6*(1+Setup!DE4),BN6)))))))))),BX6/'Quick Setup'!$E6)</f>
        <v>325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4),if((BZ7-BY7)=-1,BV6*(1+Setup!DK4),if(CA7&lt;BX7,BV6*(1+Setup!DK4),if(CA7=BX7,BV6*(1+Setup!DL4),if((CA7-BX7)=1,BV6*(1+Setup!DM4),if((CA7-BX7)=2,BV6*(1+Setup!DN4),if((CA7-BX7)=3,BV6*(1+Setup!DO4),if((CA7-BX7)=4,BV6*(1+Setup!DP4),if((CA7-BX7)&gt;4.1,BV6*(1+Setup!DQ4),BV6)))))))))),CF6/'Quick Setup'!$E6)</f>
        <v>325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4),if((CH7-CG7)=-1,CD6*(1+Setup!DW4),if(CI7&lt;CF7,CD6*(1+Setup!DW4),if(CI7=CF7,CD6*(1+Setup!DX4),if((CI7-CF7)=1,CD6*(1+Setup!DY4),if((CI7-CF7)=2,CD6*(1+Setup!DZ4),if((CI7-CF7)=3,CD6*(1+Setup!EA4),if((CI7-CF7)=4,CD6*(1+Setup!EB4),if((CI7-CF7)&gt;4.1,CD6*(1+Setup!EC4),CD6)))))))))),CN6/'Quick Setup'!$E6)</f>
        <v>325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4),if((CP7-CO7)=-1,CL6*(1+Setup!EI4),if(CQ7&lt;CN7,CL6*(1+Setup!EI4),if(CQ7=CN7,CL6*(1+Setup!EJ4),if((CQ7-CN7)=1,CL6*(1+Setup!EK4),if((CQ7-CN7)=2,CL6*(1+Setup!EL4),if((CQ7-CN7)=3,CL6*(1+Setup!EM4),if((CQ7-CN7)=4,CL6*(1+Setup!EN4),if((CQ7-CN7)&gt;4.1,CL6*(1+Setup!EO4),CL6)))))))))),CV6/'Quick Setup'!$E6)</f>
        <v>325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4),if((CX7-CW7)=-1,CT6*(1+Setup!EU4),if(CY7&lt;CV7,CT6*(1+Setup!EU4),if(CY7=CV7,CT6*(1+Setup!EV4),if((CY7-CV7)=1,CT6*(1+Setup!EW4),if((CY7-CV7)=2,CT6*(1+Setup!EX4),if((CY7-CV7)=3,CT6*(1+Setup!EY4),if((CY7-CV7)=4,CT6*(1+Setup!EZ4),if((CY7-CV7)&gt;4.1,CT6*(1+Setup!FA4),CT6)))))))))),DD6/'Quick Setup'!$E6)</f>
        <v>325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Setup'!$E6)</f>
        <v>325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4),if((DN7-DM7)=-1,DJ6*(1+Setup!FS4),if(DO7&lt;DL7,DJ6*(1+Setup!FS4),if(DO7=DL7,DJ6*(1+Setup!FT4),if((DO7-DL7)=1,DJ6*(1+Setup!FU4),if((DO7-DL7)=2,DJ6*(1+Setup!FV4),if((DO7-DL7)=3,DJ6*(1+Setup!FW4),if((DO7-DL7)=4,DJ6*(1+Setup!FX4),if((DO7-DL7)&gt;4.1,DJ6*(1+Setup!FY4),DJ6)))))))))),DT6/'Quick Setup'!$E6)</f>
        <v>325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4),if((DV7-DU7)=-1,DR6*(1+Setup!GE4),if(DW7&lt;DT7,DR6*(1+Setup!GE4),if(DW7=DT7,DR6*(1+Setup!GF4),if((DW7-DT7)=1,DR6*(1+Setup!GG4),if((DW7-DT7)=2,DR6*(1+Setup!GH4),if((DW7-DT7)=3,DR6*(1+Setup!GI4),if((DW7-DT7)=4,DR6*(1+Setup!GJ4),if((DW7-DT7)&gt;4.1,DR6*(1+Setup!GK4),DR6)))))))))),EB6/'Quick Setup'!$E6)</f>
        <v>325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4),if((ED7-EC7)=-1,DZ6*(1+Setup!GQ4),if(EE7&lt;EB7,DZ6*(1+Setup!GQ4),if(EE7=EB7,DZ6*(1+Setup!GR4),if((EE7-EB7)=1,DZ6*(1+Setup!GS4),if((EE7-EB7)=2,DZ6*(1+Setup!GT4),if((EE7-EB7)=3,DZ6*(1+Setup!GU4),if((EE7-EB7)=4,DZ6*(1+Setup!GV4),if((EE7-EB7)&gt;4.1,DZ6*(1+Setup!GW4),DZ6)))))))))),EJ6/'Quick Setup'!$E6)</f>
        <v>325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4),if((EL7-EK7)=-1,EH6*(1+Setup!HC4),if(EM7&lt;EJ7,EH6*(1+Setup!HC4),if(EM7=EJ7,EH6*(1+Setup!HD4),if((EM7-EJ7)=1,EH6*(1+Setup!HE4),if((EM7-EJ7)=2,EH6*(1+Setup!HF4),if((EM7-EJ7)=3,EH6*(1+Setup!HG4),if((EM7-EJ7)=4,EH6*(1+Setup!HH4),if((EM7-EJ7)&gt;4.1,EH6*(1+Setup!HI4),EH6)))))))))),ER6/'Quick Setup'!$E6)</f>
        <v>325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4),if((ET7-ES7)=-1,EP6*(1+Setup!HO4),if(EU7&lt;ER7,EP6*(1+Setup!HO4),if(EU7=ER7,EP6*(1+Setup!HP4),if((EU7-ER7)=1,EP6*(1+Setup!HQ4),if((EU7-ER7)=2,EP6*(1+Setup!HR4),if((EU7-ER7)=3,EP6*(1+Setup!HS4),if((EU7-ER7)=4,EP6*(1+Setup!HT4),if((EU7-ER7)&gt;4.1,EP6*(1+Setup!HU4),EP6)))))))))),EZ6/'Quick Setup'!$E6)</f>
        <v>325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4),if((FB7-FA7)=-1,EX6*(1+Setup!IA4),if(FC7&lt;EZ7,EX6*(1+Setup!IA4),if(FC7=EZ7,EX6*(1+Setup!IB4),if((FC7-EZ7)=1,EX6*(1+Setup!IC4),if((FC7-EZ7)=2,EX6*(1+Setup!ID4),if((FC7-EZ7)=3,EX6*(1+Setup!IE4),if((FC7-EZ7)=4,EX6*(1+Setup!IF4),if((FC7-EZ7)&gt;4.1,EX6*(1+Setup!IG4),EX6)))))))))),FH6/'Quick Setup'!$E6)</f>
        <v>325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Setup!A4</f>
        <v>Bench Press</v>
      </c>
      <c r="B7" s="40">
        <f>mround(B6*Setup!B4,'Quick Setup'!$A$2)</f>
        <v>227.5</v>
      </c>
      <c r="C7" s="2">
        <f>Setup!C4</f>
        <v>5</v>
      </c>
      <c r="D7" s="2">
        <f>Setup!D4</f>
        <v>3</v>
      </c>
      <c r="E7" s="2">
        <f>Setup!E4</f>
        <v>5</v>
      </c>
      <c r="F7" s="8"/>
      <c r="G7" s="8"/>
      <c r="H7" s="8"/>
      <c r="I7" s="8"/>
      <c r="J7" s="40">
        <f>mround(J6*Setup!N4,'Quick Setup'!$A$2)</f>
        <v>245</v>
      </c>
      <c r="K7" s="2">
        <f>Setup!O4</f>
        <v>4</v>
      </c>
      <c r="L7" s="2">
        <f>Setup!P4</f>
        <v>2</v>
      </c>
      <c r="M7" s="2">
        <f>Setup!Q4</f>
        <v>5</v>
      </c>
      <c r="N7" s="8"/>
      <c r="O7" s="8"/>
      <c r="P7" s="8"/>
      <c r="Q7" s="8"/>
      <c r="R7" s="40">
        <f>mround(R6*Setup!Z4,'Quick Setup'!$A$2)</f>
        <v>260</v>
      </c>
      <c r="S7" s="2">
        <f>Setup!AA4</f>
        <v>3</v>
      </c>
      <c r="T7" s="2">
        <f>Setup!AB4</f>
        <v>2</v>
      </c>
      <c r="U7" s="2">
        <f>Setup!AC4</f>
        <v>5</v>
      </c>
      <c r="V7" s="8"/>
      <c r="W7" s="8"/>
      <c r="X7" s="8"/>
      <c r="Y7" s="8"/>
      <c r="Z7" s="40">
        <f>mround(Z6*Setup!AL4,'Quick Setup'!$A$2)</f>
        <v>235</v>
      </c>
      <c r="AA7" s="2">
        <f>Setup!AM4</f>
        <v>5</v>
      </c>
      <c r="AB7" s="2">
        <f>Setup!AN4</f>
        <v>3</v>
      </c>
      <c r="AC7" s="2">
        <f>Setup!AO4</f>
        <v>5</v>
      </c>
      <c r="AD7" s="8"/>
      <c r="AE7" s="8"/>
      <c r="AF7" s="8"/>
      <c r="AG7" s="8"/>
      <c r="AH7" s="40">
        <f>mround(AH6*Setup!AX4,'Quick Setup'!$A$2)</f>
        <v>252.5</v>
      </c>
      <c r="AI7" s="2">
        <f>Setup!AY4</f>
        <v>4</v>
      </c>
      <c r="AJ7" s="2">
        <f>Setup!AZ4</f>
        <v>2</v>
      </c>
      <c r="AK7" s="2">
        <f>Setup!BA4</f>
        <v>5</v>
      </c>
      <c r="AL7" s="8"/>
      <c r="AM7" s="8"/>
      <c r="AN7" s="8"/>
      <c r="AO7" s="8"/>
      <c r="AP7" s="40">
        <f>mround(AP6*Setup!BJ4,'Quick Setup'!$A$2)</f>
        <v>267.5</v>
      </c>
      <c r="AQ7" s="2">
        <f>Setup!BK4</f>
        <v>3</v>
      </c>
      <c r="AR7" s="2">
        <f>Setup!BL4</f>
        <v>2</v>
      </c>
      <c r="AS7" s="2">
        <f>Setup!BM4</f>
        <v>5</v>
      </c>
      <c r="AT7" s="8"/>
      <c r="AU7" s="8"/>
      <c r="AV7" s="8"/>
      <c r="AW7" s="8"/>
      <c r="AX7" s="40">
        <f>mround(AX6*Setup!BV4,'Quick Setup'!$A$2)</f>
        <v>195</v>
      </c>
      <c r="AY7" s="1">
        <v>5.0</v>
      </c>
      <c r="AZ7" s="1" t="s">
        <v>80</v>
      </c>
      <c r="BA7" s="2">
        <f>Setup!BY4</f>
        <v>5</v>
      </c>
      <c r="BB7" s="8"/>
      <c r="BC7" s="8"/>
      <c r="BD7" s="8"/>
      <c r="BE7" s="8"/>
      <c r="BF7" s="40">
        <f>mround(BF6*Setup!CH4,'Quick Setup'!$A$2)</f>
        <v>245</v>
      </c>
      <c r="BG7" s="2">
        <f>Setup!CI4</f>
        <v>4</v>
      </c>
      <c r="BH7" s="2">
        <f>Setup!CJ4</f>
        <v>2</v>
      </c>
      <c r="BI7" s="2">
        <f>Setup!CK4</f>
        <v>5</v>
      </c>
      <c r="BJ7" s="8"/>
      <c r="BK7" s="8"/>
      <c r="BL7" s="8"/>
      <c r="BM7" s="8"/>
      <c r="BN7" s="40">
        <f>mround(BN6*Setup!CT4,'Quick Setup'!$A$2)</f>
        <v>260</v>
      </c>
      <c r="BO7" s="2">
        <f>Setup!CU4</f>
        <v>3</v>
      </c>
      <c r="BP7" s="2">
        <f>Setup!CV4</f>
        <v>2</v>
      </c>
      <c r="BQ7" s="2">
        <f>Setup!CW4</f>
        <v>5</v>
      </c>
      <c r="BR7" s="8"/>
      <c r="BS7" s="8"/>
      <c r="BT7" s="8"/>
      <c r="BU7" s="8"/>
      <c r="BV7" s="40">
        <f>mround(BV6*Setup!DF4,'Quick Setup'!$A$2)</f>
        <v>277.5</v>
      </c>
      <c r="BW7" s="2">
        <f>Setup!DG4</f>
        <v>2</v>
      </c>
      <c r="BX7" s="2">
        <f>Setup!DH4</f>
        <v>1</v>
      </c>
      <c r="BY7" s="2">
        <f>Setup!DI4</f>
        <v>5</v>
      </c>
      <c r="BZ7" s="8"/>
      <c r="CA7" s="8"/>
      <c r="CB7" s="8"/>
      <c r="CC7" s="8"/>
      <c r="CD7" s="40">
        <f>mround(CD6*Setup!DR4,'Quick Setup'!$A$2)</f>
        <v>252.5</v>
      </c>
      <c r="CE7" s="2">
        <f>Setup!DS4</f>
        <v>4</v>
      </c>
      <c r="CF7" s="2">
        <f>Setup!DT4</f>
        <v>2</v>
      </c>
      <c r="CG7" s="2">
        <f>Setup!DU4</f>
        <v>5</v>
      </c>
      <c r="CH7" s="8"/>
      <c r="CI7" s="8"/>
      <c r="CJ7" s="8"/>
      <c r="CK7" s="8"/>
      <c r="CL7" s="40">
        <f>mround(CL6*Setup!ED4,'Quick Setup'!$A$2)</f>
        <v>267.5</v>
      </c>
      <c r="CM7" s="2">
        <f>Setup!EE4</f>
        <v>3</v>
      </c>
      <c r="CN7" s="2">
        <f>Setup!EF4</f>
        <v>2</v>
      </c>
      <c r="CO7" s="2">
        <f>Setup!EG4</f>
        <v>5</v>
      </c>
      <c r="CP7" s="8"/>
      <c r="CQ7" s="8"/>
      <c r="CR7" s="8"/>
      <c r="CS7" s="8"/>
      <c r="CT7" s="40">
        <f>mround(CT6*Setup!EP4,'Quick Setup'!$A$2)</f>
        <v>285</v>
      </c>
      <c r="CU7" s="2">
        <f>Setup!EQ4</f>
        <v>2</v>
      </c>
      <c r="CV7" s="2">
        <f>Setup!ER4</f>
        <v>1</v>
      </c>
      <c r="CW7" s="2">
        <f>Setup!ES4</f>
        <v>5</v>
      </c>
      <c r="CX7" s="8"/>
      <c r="CY7" s="8"/>
      <c r="CZ7" s="8"/>
      <c r="DA7" s="8"/>
      <c r="DB7" s="40">
        <f>mround(DB6*Setup!FB4,'Quick Setup'!$A$2)</f>
        <v>195</v>
      </c>
      <c r="DC7" s="1">
        <v>5.0</v>
      </c>
      <c r="DD7" s="1" t="s">
        <v>80</v>
      </c>
      <c r="DE7" s="2">
        <f>Setup!FE4</f>
        <v>5</v>
      </c>
      <c r="DF7" s="8"/>
      <c r="DG7" s="8"/>
      <c r="DH7" s="8"/>
      <c r="DI7" s="8"/>
      <c r="DJ7" s="40">
        <f>mround(DJ6*Setup!FN4,'Quick Setup'!$A$2)</f>
        <v>260</v>
      </c>
      <c r="DK7" s="2">
        <f>Setup!FO4</f>
        <v>3</v>
      </c>
      <c r="DL7" s="2">
        <f>Setup!FP4</f>
        <v>2</v>
      </c>
      <c r="DM7" s="2">
        <f>Setup!FQ4</f>
        <v>5</v>
      </c>
      <c r="DN7" s="8"/>
      <c r="DO7" s="8"/>
      <c r="DP7" s="8"/>
      <c r="DQ7" s="8"/>
      <c r="DR7" s="40">
        <f>mround(DR6*Setup!FZ4,'Quick Setup'!$A$2)</f>
        <v>277.5</v>
      </c>
      <c r="DS7" s="2">
        <f>Setup!GA4</f>
        <v>2</v>
      </c>
      <c r="DT7" s="2">
        <f>Setup!GB4</f>
        <v>1</v>
      </c>
      <c r="DU7" s="2">
        <f>Setup!GC4</f>
        <v>5</v>
      </c>
      <c r="DV7" s="8"/>
      <c r="DW7" s="8"/>
      <c r="DX7" s="8"/>
      <c r="DY7" s="8"/>
      <c r="DZ7" s="40">
        <f>mround(DZ6*Setup!GL4,'Quick Setup'!$A$2)</f>
        <v>292.5</v>
      </c>
      <c r="EA7" s="2">
        <f>Setup!GM4</f>
        <v>1</v>
      </c>
      <c r="EB7" s="2">
        <f>Setup!GN4</f>
        <v>1</v>
      </c>
      <c r="EC7" s="2">
        <f>Setup!GO4</f>
        <v>5</v>
      </c>
      <c r="ED7" s="8"/>
      <c r="EE7" s="8"/>
      <c r="EF7" s="8"/>
      <c r="EG7" s="8"/>
      <c r="EH7" s="40">
        <f>mround(EH6*Setup!GX4,'Quick Setup'!$A$2)</f>
        <v>277.5</v>
      </c>
      <c r="EI7" s="2">
        <f>Setup!GY4</f>
        <v>2</v>
      </c>
      <c r="EJ7" s="2">
        <f>Setup!GZ4</f>
        <v>1</v>
      </c>
      <c r="EK7" s="2">
        <f>Setup!HA4</f>
        <v>5</v>
      </c>
      <c r="EL7" s="8"/>
      <c r="EM7" s="8"/>
      <c r="EN7" s="8"/>
      <c r="EO7" s="8"/>
      <c r="EP7" s="40">
        <f>mround(EP6*Setup!HJ4,'Quick Setup'!$A$2)</f>
        <v>292.5</v>
      </c>
      <c r="EQ7" s="2">
        <f>Setup!HK4</f>
        <v>1</v>
      </c>
      <c r="ER7" s="2">
        <f>Setup!HL4</f>
        <v>1</v>
      </c>
      <c r="ES7" s="2">
        <f>Setup!HM4</f>
        <v>5</v>
      </c>
      <c r="ET7" s="8"/>
      <c r="EU7" s="8"/>
      <c r="EV7" s="8"/>
      <c r="EW7" s="8"/>
      <c r="EX7" s="40">
        <f>mround(EX6*Setup!HV4,'Quick Setup'!$A$2)</f>
        <v>310</v>
      </c>
      <c r="EY7" s="2">
        <f>Setup!HW4</f>
        <v>1</v>
      </c>
      <c r="EZ7" s="2">
        <f>Setup!HX4</f>
        <v>1</v>
      </c>
      <c r="FA7" s="2">
        <f>Setup!HY4</f>
        <v>5</v>
      </c>
      <c r="FB7" s="8"/>
      <c r="FC7" s="8"/>
      <c r="FD7" s="8"/>
      <c r="FE7" s="8"/>
      <c r="FF7" s="40">
        <f>mround(FF6*Setup!IH4,'Quick Setup'!$A$2)</f>
        <v>195</v>
      </c>
      <c r="FG7" s="1">
        <v>5.0</v>
      </c>
      <c r="FH7" s="1" t="s">
        <v>80</v>
      </c>
      <c r="FI7" s="2">
        <f>Setup!IK4</f>
        <v>5</v>
      </c>
      <c r="FJ7" s="8"/>
      <c r="FK7" s="8"/>
      <c r="FL7" s="8"/>
      <c r="FM7" s="8"/>
    </row>
    <row r="8" hidden="1">
      <c r="A8" s="36" t="str">
        <f>CONCATENATE(A9," TM")</f>
        <v>Sumo Deadlift TM</v>
      </c>
      <c r="B8" s="37">
        <f>if(D8="",'Quick Setup'!D15,D8/'Quick Setup'!E15)</f>
        <v>500</v>
      </c>
      <c r="C8" s="36" t="s">
        <v>77</v>
      </c>
      <c r="D8" s="38"/>
      <c r="E8" s="39"/>
      <c r="F8" s="39"/>
      <c r="G8" s="39"/>
      <c r="H8" s="39"/>
      <c r="I8" s="39"/>
      <c r="J8" s="37">
        <f>if(L8="", if(F9="",B8, if((F9-E9)&lt;-1.9,B8*(1+Setup!F13),if((F9-E9)=-1,B8*(1+Setup!G13),if(G9&lt;D9,B8*(1+Setup!G13),if(G9=D9,B8*(1+Setup!H13),if((G9-D9)=1,B8*(1+Setup!I13),if((G9-D9)=2,B8*(1+Setup!J13),if((G9-D9)=3,B8*(1+Setup!K13),if((G9-D9)=4,B8*(1+Setup!L13),if((G9-D9)&gt;4.1,B8*(1+Setup!M13),B8)))))))))),L8/'Quick Setup'!$E15)</f>
        <v>500</v>
      </c>
      <c r="K8" s="36" t="s">
        <v>77</v>
      </c>
      <c r="L8" s="38"/>
      <c r="M8" s="39"/>
      <c r="N8" s="39"/>
      <c r="O8" s="39"/>
      <c r="P8" s="39"/>
      <c r="Q8" s="39"/>
      <c r="R8" s="37">
        <f>if(T8="", if(N9="",J8, if((N9-M9)&lt;-1.9,J8*(1+Setup!R13),if((N9-M9)=-1,J8*(1+Setup!S13),if(O9&lt;L9,J8*(1+Setup!S13),if(O9=L9,J8*(1+Setup!T13),if((O9-L9)=1,J8*(1+Setup!U13),if((O9-L9)=2,J8*(1+Setup!V13),if((O9-L9)=3,J8*(1+Setup!W13),if((O9-L9)=4,J8*(1+Setup!X13),if((O9-L9)&gt;4.1,J8*(1+Setup!Y13),J8)))))))))),T8/'Quick Setup'!$E15)</f>
        <v>500</v>
      </c>
      <c r="S8" s="36" t="s">
        <v>77</v>
      </c>
      <c r="T8" s="38"/>
      <c r="U8" s="39"/>
      <c r="V8" s="39"/>
      <c r="W8" s="39"/>
      <c r="X8" s="39"/>
      <c r="Y8" s="39"/>
      <c r="Z8" s="37">
        <f>if(AB8="", if(V9="",R8, if((V9-U9)&lt;-1.9,R8*(1+Setup!AD13),if((V9-U9)=-1,R8*(1+Setup!AE13),if(W9&lt;T9,R8*(1+Setup!AE13),if(W9=T9,R8*(1+Setup!AF13),if((W9-T9)=1,R8*(1+Setup!AG13),if((W9-T9)=2,R8*(1+Setup!AH13),if((W9-T9)=3,R8*(1+Setup!AI13),if((W9-T9)=4,R8*(1+Setup!AJ13),if((W9-T9)&gt;4.1,R8*(1+Setup!AK13),R8)))))))))),AB8/'Quick Setup'!$E15)</f>
        <v>500</v>
      </c>
      <c r="AA8" s="36" t="s">
        <v>77</v>
      </c>
      <c r="AB8" s="38"/>
      <c r="AC8" s="39"/>
      <c r="AD8" s="39"/>
      <c r="AE8" s="39"/>
      <c r="AF8" s="39"/>
      <c r="AG8" s="39"/>
      <c r="AH8" s="37">
        <f>if(AJ8="", if(AD9="",Z8, if((AD9-AC9)&lt;-1.9,Z8*(1+Setup!AP13),if((AD9-AC9)=-1,Z8*(1+Setup!AQ13),if(AE9&lt;AB9,Z8*(1+Setup!AQ13),if(AE9=AB9,Z8*(1+Setup!AR13),if((AE9-AB9)=1,Z8*(1+Setup!AS13),if((AE9-AB9)=2,Z8*(1+Setup!AT13),if((AE9-AB9)=3,Z8*(1+Setup!AU13),if((AE9-AB9)=4,Z8*(1+Setup!AV13),if((AE9-AB9)&gt;4.1,Z8*(1+Setup!AW13),Z8)))))))))),AJ8/'Quick Setup'!$E15)</f>
        <v>500</v>
      </c>
      <c r="AI8" s="36" t="s">
        <v>77</v>
      </c>
      <c r="AJ8" s="38"/>
      <c r="AK8" s="39"/>
      <c r="AL8" s="39"/>
      <c r="AM8" s="39"/>
      <c r="AN8" s="39"/>
      <c r="AO8" s="39"/>
      <c r="AP8" s="37">
        <f>if(AR8="", if(AL9="",AH8, if((AL9-AK9)&lt;-1.9,AH8*(1+Setup!BB13),if((AL9-AK9)=-1,AH8*(1+Setup!BC13),if(AM9&lt;AJ9,AH8*(1+Setup!BC13),if(AM9=AJ9,AH8*(1+Setup!BD13),if((AM9-AJ9)=1,AH8*(1+Setup!BE13),if((AM9-AJ9)=2,AH8*(1+Setup!BF13),if((AM9-AJ9)=3,AH8*(1+Setup!BG13),if((AM9-AJ9)=4,AH8*(1+Setup!BH13),if((AM9-AJ9)&gt;4.1,AH8*(1+Setup!BI13),AH8)))))))))),AR8/'Quick Setup'!$E15)</f>
        <v>500</v>
      </c>
      <c r="AQ8" s="36" t="s">
        <v>77</v>
      </c>
      <c r="AR8" s="38"/>
      <c r="AS8" s="39"/>
      <c r="AT8" s="39"/>
      <c r="AU8" s="39"/>
      <c r="AV8" s="39"/>
      <c r="AW8" s="39"/>
      <c r="AX8" s="37">
        <f>if(AZ8="", if(AT9="",AP8, if((AT9-AS9)&lt;-1.9,AP8*(1+Setup!BN13),if((AT9-AS9)=-1,AP8*(1+Setup!BO13),if(AU9&lt;AR9,AP8*(1+Setup!BO13),if(AU9=AR9,AP8*(1+Setup!BP13),if((AU9-AR9)=1,AP8*(1+Setup!BQ13),if((AU9-AR9)=2,AP8*(1+Setup!BR13),if((AU9-AR9)=3,AP8*(1+Setup!BS13),if((AU9-AR9)=4,AP8*(1+Setup!BT13),if((AU9-AR9)&gt;4.1,AP8*(1+Setup!BU13),AP8)))))))))),AZ8/'Quick Setup'!$E15)</f>
        <v>500</v>
      </c>
      <c r="AY8" s="36" t="s">
        <v>77</v>
      </c>
      <c r="AZ8" s="38"/>
      <c r="BA8" s="39"/>
      <c r="BB8" s="39"/>
      <c r="BC8" s="39"/>
      <c r="BD8" s="39"/>
      <c r="BE8" s="39"/>
      <c r="BF8" s="37">
        <f>if(BH8="",AX8,BH8/'Quick Setup'!$E15)</f>
        <v>500</v>
      </c>
      <c r="BG8" s="36" t="s">
        <v>77</v>
      </c>
      <c r="BH8" s="38"/>
      <c r="BI8" s="39"/>
      <c r="BJ8" s="39"/>
      <c r="BK8" s="39"/>
      <c r="BL8" s="39"/>
      <c r="BM8" s="39"/>
      <c r="BN8" s="37">
        <f>if(BP8="", if(BJ9="",BF8, if((BJ9-BI9)&lt;-1.9,BF8*(1+Setup!CL13),if((BJ9-BI9)=-1,BF8*(1+Setup!CM13),if(BK9&lt;BH9,BF8*(1+Setup!CM13),if(BK9=BH9,BF8*(1+Setup!CN13),if((BK9-BH9)=1,BF8*(1+Setup!CO13),if((BK9-BH9)=2,BF8*(1+Setup!CP13),if((BK9-BH9)=3,BF8*(1+Setup!CQ13),if((BK9-BH9)=4,BF8*(1+Setup!CR13),if((BK9-BH9)&gt;4.1,BF8*(1+Setup!CS13),BF8)))))))))),BP8/'Quick Setup'!$E15)</f>
        <v>500</v>
      </c>
      <c r="BO8" s="36" t="s">
        <v>77</v>
      </c>
      <c r="BP8" s="38"/>
      <c r="BQ8" s="39"/>
      <c r="BR8" s="39"/>
      <c r="BS8" s="39"/>
      <c r="BT8" s="39"/>
      <c r="BU8" s="39"/>
      <c r="BV8" s="37">
        <f>if(BX8="", if(BR9="",BN8, if((BR9-BQ9)&lt;-1.9,BN8*(1+Setup!CX13),if((BR9-BQ9)=-1,BN8*(1+Setup!CY13),if(BS9&lt;BP9,BN8*(1+Setup!CY13),if(BS9=BP9,BN8*(1+Setup!CZ13),if((BS9-BP9)=1,BN8*(1+Setup!DA13),if((BS9-BP9)=2,BN8*(1+Setup!DB13),if((BS9-BP9)=3,BN8*(1+Setup!DC13),if((BS9-BP9)=4,BN8*(1+Setup!DD13),if((BS9-BP9)&gt;4.1,BN8*(1+Setup!DE13),BN8)))))))))),BX8/'Quick Setup'!$E15)</f>
        <v>500</v>
      </c>
      <c r="BW8" s="36" t="s">
        <v>77</v>
      </c>
      <c r="BX8" s="38"/>
      <c r="BY8" s="39"/>
      <c r="BZ8" s="39"/>
      <c r="CA8" s="39"/>
      <c r="CB8" s="39"/>
      <c r="CC8" s="39"/>
      <c r="CD8" s="37">
        <f>if(CF8="", if(BZ9="",BV8, if((BZ9-BY9)&lt;-1.9,BV8*(1+Setup!DJ13),if((BZ9-BY9)=-1,BV8*(1+Setup!DK13),if(CA9&lt;BX9,BV8*(1+Setup!DK13),if(CA9=BX9,BV8*(1+Setup!DL13),if((CA9-BX9)=1,BV8*(1+Setup!DM13),if((CA9-BX9)=2,BV8*(1+Setup!DN13),if((CA9-BX9)=3,BV8*(1+Setup!DO13),if((CA9-BX9)=4,BV8*(1+Setup!DP13),if((CA9-BX9)&gt;4.1,BV8*(1+Setup!DQ13),BV8)))))))))),CF8/'Quick Setup'!$E15)</f>
        <v>500</v>
      </c>
      <c r="CE8" s="36" t="s">
        <v>77</v>
      </c>
      <c r="CF8" s="38"/>
      <c r="CG8" s="39"/>
      <c r="CH8" s="39"/>
      <c r="CI8" s="39"/>
      <c r="CJ8" s="39"/>
      <c r="CK8" s="39"/>
      <c r="CL8" s="37">
        <f>if(CN8="", if(CH9="",CD8, if((CH9-CG9)&lt;-1.9,CD8*(1+Setup!DV13),if((CH9-CG9)=-1,CD8*(1+Setup!DW13),if(CI9&lt;CF9,CD8*(1+Setup!DW13),if(CI9=CF9,CD8*(1+Setup!DX13),if((CI9-CF9)=1,CD8*(1+Setup!DY13),if((CI9-CF9)=2,CD8*(1+Setup!DZ13),if((CI9-CF9)=3,CD8*(1+Setup!EA13),if((CI9-CF9)=4,CD8*(1+Setup!EB13),if((CI9-CF9)&gt;4.1,CD8*(1+Setup!EC13),CD8)))))))))),CN8/'Quick Setup'!$E15)</f>
        <v>500</v>
      </c>
      <c r="CM8" s="36" t="s">
        <v>77</v>
      </c>
      <c r="CN8" s="38"/>
      <c r="CO8" s="39"/>
      <c r="CP8" s="39"/>
      <c r="CQ8" s="39"/>
      <c r="CR8" s="39"/>
      <c r="CS8" s="39"/>
      <c r="CT8" s="37">
        <f>if(CV8="", if(CP9="",CL8, if((CP9-CO9)&lt;-1.9,CL8*(1+Setup!EH13),if((CP9-CO9)=-1,CL8*(1+Setup!EI13),if(CQ9&lt;CN9,CL8*(1+Setup!EI13),if(CQ9=CN9,CL8*(1+Setup!EJ13),if((CQ9-CN9)=1,CL8*(1+Setup!EK13),if((CQ9-CN9)=2,CL8*(1+Setup!EL13),if((CQ9-CN9)=3,CL8*(1+Setup!EM13),if((CQ9-CN9)=4,CL8*(1+Setup!EN13),if((CQ9-CN9)&gt;4.1,CL8*(1+Setup!EO13),CL8)))))))))),CV8/'Quick Setup'!$E15)</f>
        <v>500</v>
      </c>
      <c r="CU8" s="36" t="s">
        <v>77</v>
      </c>
      <c r="CV8" s="38"/>
      <c r="CW8" s="39"/>
      <c r="CX8" s="39"/>
      <c r="CY8" s="39"/>
      <c r="CZ8" s="39"/>
      <c r="DA8" s="39"/>
      <c r="DB8" s="37">
        <f>if(DD8="", if(CX9="",CT8, if((CX9-CW9)&lt;-1.9,CT8*(1+Setup!ET13),if((CX9-CW9)=-1,CT8*(1+Setup!EU13),if(CY9&lt;CV9,CT8*(1+Setup!EU13),if(CY9=CV9,CT8*(1+Setup!EV13),if((CY9-CV9)=1,CT8*(1+Setup!EW13),if((CY9-CV9)=2,CT8*(1+Setup!EX13),if((CY9-CV9)=3,CT8*(1+Setup!EY13),if((CY9-CV9)=4,CT8*(1+Setup!EZ13),if((CY9-CV9)&gt;4.1,CT8*(1+Setup!FA13),CT8)))))))))),DD8/'Quick Setup'!$E15)</f>
        <v>500</v>
      </c>
      <c r="DC8" s="36" t="s">
        <v>77</v>
      </c>
      <c r="DD8" s="38"/>
      <c r="DE8" s="39"/>
      <c r="DF8" s="39"/>
      <c r="DG8" s="39"/>
      <c r="DH8" s="39"/>
      <c r="DI8" s="39"/>
      <c r="DJ8" s="37">
        <f>if(DL8="",DB8,DL8/'Quick Setup'!$E15)</f>
        <v>500</v>
      </c>
      <c r="DK8" s="36" t="s">
        <v>77</v>
      </c>
      <c r="DL8" s="38"/>
      <c r="DM8" s="39"/>
      <c r="DN8" s="39"/>
      <c r="DO8" s="39"/>
      <c r="DP8" s="39"/>
      <c r="DQ8" s="39"/>
      <c r="DR8" s="37">
        <f>if(DT8="", if(DN9="",DJ8, if((DN9-DM9)&lt;-1.9,DJ8*(1+Setup!FR13),if((DN9-DM9)=-1,DJ8*(1+Setup!FS13),if(DO9&lt;DL9,DJ8*(1+Setup!FS13),if(DO9=DL9,DJ8*(1+Setup!FT13),if((DO9-DL9)=1,DJ8*(1+Setup!FU13),if((DO9-DL9)=2,DJ8*(1+Setup!FV13),if((DO9-DL9)=3,DJ8*(1+Setup!FW13),if((DO9-DL9)=4,DJ8*(1+Setup!FX13),if((DO9-DL9)&gt;4.1,DJ8*(1+Setup!FY13),DJ8)))))))))),DT8/'Quick Setup'!$E15)</f>
        <v>500</v>
      </c>
      <c r="DS8" s="36" t="s">
        <v>77</v>
      </c>
      <c r="DT8" s="38"/>
      <c r="DU8" s="39"/>
      <c r="DV8" s="39"/>
      <c r="DW8" s="39"/>
      <c r="DX8" s="39"/>
      <c r="DY8" s="39"/>
      <c r="DZ8" s="37">
        <f>if(EB8="", if(DV9="",DR8, if((DV9-DU9)&lt;-1.9,DR8*(1+Setup!GD13),if((DV9-DU9)=-1,DR8*(1+Setup!GE13),if(DW9&lt;DT9,DR8*(1+Setup!GE13),if(DW9=DT9,DR8*(1+Setup!GF13),if((DW9-DT9)=1,DR8*(1+Setup!GG13),if((DW9-DT9)=2,DR8*(1+Setup!GH13),if((DW9-DT9)=3,DR8*(1+Setup!GI13),if((DW9-DT9)=4,DR8*(1+Setup!GJ13),if((DW9-DT9)&gt;4.1,DR8*(1+Setup!GK13),DR8)))))))))),EB8/'Quick Setup'!$E15)</f>
        <v>500</v>
      </c>
      <c r="EA8" s="36" t="s">
        <v>77</v>
      </c>
      <c r="EB8" s="38"/>
      <c r="EC8" s="39"/>
      <c r="ED8" s="39"/>
      <c r="EE8" s="39"/>
      <c r="EF8" s="39"/>
      <c r="EG8" s="39"/>
      <c r="EH8" s="37">
        <f>if(EJ8="", if(ED9="",DZ8, if((ED9-EC9)&lt;-1.9,DZ8*(1+Setup!GP13),if((ED9-EC9)=-1,DZ8*(1+Setup!GQ13),if(EE9&lt;EB9,DZ8*(1+Setup!GQ13),if(EE9=EB9,DZ8*(1+Setup!GR13),if((EE9-EB9)=1,DZ8*(1+Setup!GS13),if((EE9-EB9)=2,DZ8*(1+Setup!GT13),if((EE9-EB9)=3,DZ8*(1+Setup!GU13),if((EE9-EB9)=4,DZ8*(1+Setup!GV13),if((EE9-EB9)&gt;4.1,DZ8*(1+Setup!GW13),DZ8)))))))))),EJ8/'Quick Setup'!$E15)</f>
        <v>500</v>
      </c>
      <c r="EI8" s="36" t="s">
        <v>77</v>
      </c>
      <c r="EJ8" s="38"/>
      <c r="EK8" s="39"/>
      <c r="EL8" s="39"/>
      <c r="EM8" s="39"/>
      <c r="EN8" s="39"/>
      <c r="EO8" s="39"/>
      <c r="EP8" s="37">
        <f>if(ER8="", if(EL9="",EH8, if((EL9-EK9)&lt;-1.9,EH8*(1+Setup!HB13),if((EL9-EK9)=-1,EH8*(1+Setup!HC13),if(EM9&lt;EJ9,EH8*(1+Setup!HC13),if(EM9=EJ9,EH8*(1+Setup!HD13),if((EM9-EJ9)=1,EH8*(1+Setup!HE13),if((EM9-EJ9)=2,EH8*(1+Setup!HF13),if((EM9-EJ9)=3,EH8*(1+Setup!HG13),if((EM9-EJ9)=4,EH8*(1+Setup!HH13),if((EM9-EJ9)&gt;4.1,EH8*(1+Setup!HI13),EH8)))))))))),ER8/'Quick Setup'!$E15)</f>
        <v>500</v>
      </c>
      <c r="EQ8" s="36" t="s">
        <v>77</v>
      </c>
      <c r="ER8" s="38"/>
      <c r="ES8" s="39"/>
      <c r="ET8" s="39"/>
      <c r="EU8" s="39"/>
      <c r="EV8" s="39"/>
      <c r="EW8" s="39"/>
      <c r="EX8" s="37">
        <f>if(EZ8="", if(ET9="",EP8, if((ET9-ES9)&lt;-1.9,EP8*(1+Setup!HN13),if((ET9-ES9)=-1,EP8*(1+Setup!HO13),if(EU9&lt;ER9,EP8*(1+Setup!HO13),if(EU9=ER9,EP8*(1+Setup!HP13),if((EU9-ER9)=1,EP8*(1+Setup!HQ13),if((EU9-ER9)=2,EP8*(1+Setup!HR13),if((EU9-ER9)=3,EP8*(1+Setup!HS13),if((EU9-ER9)=4,EP8*(1+Setup!HT13),if((EU9-ER9)&gt;4.1,EP8*(1+Setup!HU13),EP8)))))))))),EZ8/'Quick Setup'!$E15)</f>
        <v>500</v>
      </c>
      <c r="EY8" s="36" t="s">
        <v>77</v>
      </c>
      <c r="EZ8" s="38"/>
      <c r="FA8" s="39"/>
      <c r="FB8" s="39"/>
      <c r="FC8" s="39"/>
      <c r="FD8" s="39"/>
      <c r="FE8" s="39"/>
      <c r="FF8" s="37">
        <f>if(FH8="", if(FB9="",EX8, if((FB9-FA9)&lt;-1.9,EX8*(1+Setup!HZ13),if((FB9-FA9)=-1,EX8*(1+Setup!IA13),if(FC9&lt;EZ9,EX8*(1+Setup!IA13),if(FC9=EZ9,EX8*(1+Setup!IB13),if((FC9-EZ9)=1,EX8*(1+Setup!IC13),if((FC9-EZ9)=2,EX8*(1+Setup!ID13),if((FC9-EZ9)=3,EX8*(1+Setup!IE13),if((FC9-EZ9)=4,EX8*(1+Setup!IF13),if((FC9-EZ9)&gt;4.1,EX8*(1+Setup!IG13),EX8)))))))))),FH8/'Quick Setup'!$E15)</f>
        <v>500</v>
      </c>
      <c r="FG8" s="36" t="s">
        <v>77</v>
      </c>
      <c r="FH8" s="38"/>
      <c r="FI8" s="39"/>
      <c r="FJ8" s="39"/>
      <c r="FK8" s="39"/>
      <c r="FL8" s="39"/>
      <c r="FM8" s="39"/>
    </row>
    <row r="9">
      <c r="A9" s="1" t="str">
        <f>Setup!A13</f>
        <v>Sumo Deadlift</v>
      </c>
      <c r="B9" s="40">
        <f>mround(B8*Setup!B13,'Quick Setup'!$A$2)</f>
        <v>300</v>
      </c>
      <c r="C9" s="2">
        <f>Setup!C13</f>
        <v>7</v>
      </c>
      <c r="D9" s="2">
        <f>Setup!D13</f>
        <v>3</v>
      </c>
      <c r="E9" s="2">
        <f>Setup!E13</f>
        <v>5</v>
      </c>
      <c r="F9" s="8"/>
      <c r="G9" s="8"/>
      <c r="H9" s="8"/>
      <c r="I9" s="8"/>
      <c r="J9" s="40">
        <f>mround(J8*Setup!N13,'Quick Setup'!$A$2)</f>
        <v>325</v>
      </c>
      <c r="K9" s="2">
        <f>Setup!O13</f>
        <v>6</v>
      </c>
      <c r="L9" s="2">
        <f>Setup!P13</f>
        <v>3</v>
      </c>
      <c r="M9" s="2">
        <f>Setup!Q13</f>
        <v>5</v>
      </c>
      <c r="N9" s="8"/>
      <c r="O9" s="8"/>
      <c r="P9" s="8"/>
      <c r="Q9" s="8"/>
      <c r="R9" s="40">
        <f>mround(R8*Setup!Z13,'Quick Setup'!$A$2)</f>
        <v>350</v>
      </c>
      <c r="S9" s="2">
        <f>Setup!AA13</f>
        <v>5</v>
      </c>
      <c r="T9" s="2">
        <f>Setup!AB13</f>
        <v>3</v>
      </c>
      <c r="U9" s="2">
        <f>Setup!AC13</f>
        <v>5</v>
      </c>
      <c r="V9" s="8"/>
      <c r="W9" s="8"/>
      <c r="X9" s="8"/>
      <c r="Y9" s="8"/>
      <c r="Z9" s="40">
        <f>mround(Z8*Setup!AL13,'Quick Setup'!$A$2)</f>
        <v>312.5</v>
      </c>
      <c r="AA9" s="2">
        <f>Setup!AM13</f>
        <v>7</v>
      </c>
      <c r="AB9" s="2">
        <f>Setup!AN13</f>
        <v>3</v>
      </c>
      <c r="AC9" s="2">
        <f>Setup!AO13</f>
        <v>5</v>
      </c>
      <c r="AD9" s="8"/>
      <c r="AE9" s="8"/>
      <c r="AF9" s="8"/>
      <c r="AG9" s="8"/>
      <c r="AH9" s="40">
        <f>mround(AH8*Setup!AX13,'Quick Setup'!$A$2)</f>
        <v>337.5</v>
      </c>
      <c r="AI9" s="2">
        <f>Setup!AY13</f>
        <v>6</v>
      </c>
      <c r="AJ9" s="2">
        <f>Setup!AZ13</f>
        <v>3</v>
      </c>
      <c r="AK9" s="2">
        <f>Setup!BA13</f>
        <v>5</v>
      </c>
      <c r="AL9" s="8"/>
      <c r="AM9" s="8"/>
      <c r="AN9" s="8"/>
      <c r="AO9" s="8"/>
      <c r="AP9" s="40">
        <f>mround(AP8*Setup!BJ13,'Quick Setup'!$A$2)</f>
        <v>362.5</v>
      </c>
      <c r="AQ9" s="2">
        <f>Setup!BK13</f>
        <v>5</v>
      </c>
      <c r="AR9" s="2">
        <f>Setup!BL13</f>
        <v>3</v>
      </c>
      <c r="AS9" s="2">
        <f>Setup!BM13</f>
        <v>5</v>
      </c>
      <c r="AT9" s="8"/>
      <c r="AU9" s="8"/>
      <c r="AV9" s="8"/>
      <c r="AW9" s="8"/>
      <c r="AX9" s="40">
        <f>mround(AX8*Setup!BV13,'Quick Setup'!$A$2)</f>
        <v>250</v>
      </c>
      <c r="AY9" s="1">
        <v>5.0</v>
      </c>
      <c r="AZ9" s="1" t="s">
        <v>80</v>
      </c>
      <c r="BA9" s="2">
        <f>Setup!BY13</f>
        <v>5</v>
      </c>
      <c r="BB9" s="8"/>
      <c r="BC9" s="8"/>
      <c r="BD9" s="8"/>
      <c r="BE9" s="8"/>
      <c r="BF9" s="40">
        <f>mround(BF8*Setup!CH13,'Quick Setup'!$A$2)</f>
        <v>325</v>
      </c>
      <c r="BG9" s="2">
        <f>Setup!CI13</f>
        <v>6</v>
      </c>
      <c r="BH9" s="2">
        <f>Setup!CJ13</f>
        <v>3</v>
      </c>
      <c r="BI9" s="2">
        <f>Setup!CK13</f>
        <v>5</v>
      </c>
      <c r="BJ9" s="8"/>
      <c r="BK9" s="8"/>
      <c r="BL9" s="8"/>
      <c r="BM9" s="8"/>
      <c r="BN9" s="40">
        <f>mround(BN8*Setup!CT13,'Quick Setup'!$A$2)</f>
        <v>350</v>
      </c>
      <c r="BO9" s="2">
        <f>Setup!CU13</f>
        <v>5</v>
      </c>
      <c r="BP9" s="2">
        <f>Setup!CV13</f>
        <v>3</v>
      </c>
      <c r="BQ9" s="2">
        <f>Setup!CW13</f>
        <v>5</v>
      </c>
      <c r="BR9" s="8"/>
      <c r="BS9" s="8"/>
      <c r="BT9" s="8"/>
      <c r="BU9" s="8"/>
      <c r="BV9" s="40">
        <f>mround(BV8*Setup!DF13,'Quick Setup'!$A$2)</f>
        <v>375</v>
      </c>
      <c r="BW9" s="2">
        <f>Setup!DG13</f>
        <v>4</v>
      </c>
      <c r="BX9" s="2">
        <f>Setup!DH13</f>
        <v>2</v>
      </c>
      <c r="BY9" s="2">
        <f>Setup!DI13</f>
        <v>5</v>
      </c>
      <c r="BZ9" s="8"/>
      <c r="CA9" s="8"/>
      <c r="CB9" s="8"/>
      <c r="CC9" s="8"/>
      <c r="CD9" s="40">
        <f>mround(CD8*Setup!DR13,'Quick Setup'!$A$2)</f>
        <v>337.5</v>
      </c>
      <c r="CE9" s="2">
        <f>Setup!DS13</f>
        <v>6</v>
      </c>
      <c r="CF9" s="2">
        <f>Setup!DT13</f>
        <v>3</v>
      </c>
      <c r="CG9" s="2">
        <f>Setup!DU13</f>
        <v>5</v>
      </c>
      <c r="CH9" s="8"/>
      <c r="CI9" s="8"/>
      <c r="CJ9" s="8"/>
      <c r="CK9" s="8"/>
      <c r="CL9" s="40">
        <f>mround(CL8*Setup!ED13,'Quick Setup'!$A$2)</f>
        <v>362.5</v>
      </c>
      <c r="CM9" s="2">
        <f>Setup!EE13</f>
        <v>5</v>
      </c>
      <c r="CN9" s="2">
        <f>Setup!EF13</f>
        <v>3</v>
      </c>
      <c r="CO9" s="2">
        <f>Setup!EG13</f>
        <v>5</v>
      </c>
      <c r="CP9" s="8"/>
      <c r="CQ9" s="8"/>
      <c r="CR9" s="8"/>
      <c r="CS9" s="8"/>
      <c r="CT9" s="40">
        <f>mround(CT8*Setup!EP13,'Quick Setup'!$A$2)</f>
        <v>387.5</v>
      </c>
      <c r="CU9" s="2">
        <f>Setup!EQ13</f>
        <v>4</v>
      </c>
      <c r="CV9" s="2">
        <f>Setup!ER13</f>
        <v>2</v>
      </c>
      <c r="CW9" s="2">
        <f>Setup!ES13</f>
        <v>5</v>
      </c>
      <c r="CX9" s="8"/>
      <c r="CY9" s="8"/>
      <c r="CZ9" s="8"/>
      <c r="DA9" s="8"/>
      <c r="DB9" s="40">
        <f>mround(DB8*Setup!FB13,'Quick Setup'!$A$2)</f>
        <v>250</v>
      </c>
      <c r="DC9" s="1">
        <v>5.0</v>
      </c>
      <c r="DD9" s="1" t="s">
        <v>80</v>
      </c>
      <c r="DE9" s="2">
        <f>Setup!FE13</f>
        <v>5</v>
      </c>
      <c r="DF9" s="8"/>
      <c r="DG9" s="8"/>
      <c r="DH9" s="8"/>
      <c r="DI9" s="8"/>
      <c r="DJ9" s="40">
        <f>mround(DJ8*Setup!FN13,'Quick Setup'!$A$2)</f>
        <v>350</v>
      </c>
      <c r="DK9" s="2">
        <f>Setup!FO13</f>
        <v>5</v>
      </c>
      <c r="DL9" s="2">
        <f>Setup!FP13</f>
        <v>3</v>
      </c>
      <c r="DM9" s="2">
        <f>Setup!FQ13</f>
        <v>5</v>
      </c>
      <c r="DN9" s="8"/>
      <c r="DO9" s="8"/>
      <c r="DP9" s="8"/>
      <c r="DQ9" s="8"/>
      <c r="DR9" s="40">
        <f>mround(DR8*Setup!FZ13,'Quick Setup'!$A$2)</f>
        <v>375</v>
      </c>
      <c r="DS9" s="2">
        <f>Setup!GA13</f>
        <v>4</v>
      </c>
      <c r="DT9" s="2">
        <f>Setup!GB13</f>
        <v>2</v>
      </c>
      <c r="DU9" s="2">
        <f>Setup!GC13</f>
        <v>5</v>
      </c>
      <c r="DV9" s="8"/>
      <c r="DW9" s="8"/>
      <c r="DX9" s="8"/>
      <c r="DY9" s="8"/>
      <c r="DZ9" s="40">
        <f>mround(DZ8*Setup!GL13,'Quick Setup'!$A$2)</f>
        <v>400</v>
      </c>
      <c r="EA9" s="2">
        <f>Setup!GM13</f>
        <v>3</v>
      </c>
      <c r="EB9" s="2">
        <f>Setup!GN13</f>
        <v>2</v>
      </c>
      <c r="EC9" s="2">
        <f>Setup!GO13</f>
        <v>5</v>
      </c>
      <c r="ED9" s="8"/>
      <c r="EE9" s="8"/>
      <c r="EF9" s="8"/>
      <c r="EG9" s="8"/>
      <c r="EH9" s="40">
        <f>mround(EH8*Setup!GX13,'Quick Setup'!$A$2)</f>
        <v>375</v>
      </c>
      <c r="EI9" s="2">
        <f>Setup!GY13</f>
        <v>4</v>
      </c>
      <c r="EJ9" s="2">
        <f>Setup!GZ13</f>
        <v>2</v>
      </c>
      <c r="EK9" s="2">
        <f>Setup!HA13</f>
        <v>5</v>
      </c>
      <c r="EL9" s="8"/>
      <c r="EM9" s="8"/>
      <c r="EN9" s="8"/>
      <c r="EO9" s="8"/>
      <c r="EP9" s="40">
        <f>mround(EP8*Setup!HJ13,'Quick Setup'!$A$2)</f>
        <v>400</v>
      </c>
      <c r="EQ9" s="2">
        <f>Setup!HK13</f>
        <v>3</v>
      </c>
      <c r="ER9" s="2">
        <f>Setup!HL13</f>
        <v>2</v>
      </c>
      <c r="ES9" s="2">
        <f>Setup!HM13</f>
        <v>5</v>
      </c>
      <c r="ET9" s="8"/>
      <c r="EU9" s="8"/>
      <c r="EV9" s="8"/>
      <c r="EW9" s="8"/>
      <c r="EX9" s="40">
        <f>mround(EX8*Setup!HV13,'Quick Setup'!$A$2)</f>
        <v>425</v>
      </c>
      <c r="EY9" s="2">
        <f>Setup!HW13</f>
        <v>2</v>
      </c>
      <c r="EZ9" s="2">
        <f>Setup!HX13</f>
        <v>1</v>
      </c>
      <c r="FA9" s="2">
        <f>Setup!HY13</f>
        <v>5</v>
      </c>
      <c r="FB9" s="8"/>
      <c r="FC9" s="8"/>
      <c r="FD9" s="8"/>
      <c r="FE9" s="8"/>
      <c r="FF9" s="40">
        <f>mround(FF8*Setup!IH13,'Quick Setup'!$A$2)</f>
        <v>250</v>
      </c>
      <c r="FG9" s="1">
        <v>5.0</v>
      </c>
      <c r="FH9" s="1" t="s">
        <v>80</v>
      </c>
      <c r="FI9" s="2">
        <f>Setup!IK13</f>
        <v>5</v>
      </c>
      <c r="FJ9" s="8"/>
      <c r="FK9" s="8"/>
      <c r="FL9" s="8"/>
      <c r="FM9" s="8"/>
    </row>
    <row r="10" hidden="1">
      <c r="A10" s="36" t="str">
        <f>CONCATENATE(A11," TM")</f>
        <v>Push Press TM</v>
      </c>
      <c r="B10" s="37">
        <f>if(D10="",'Quick Setup'!D16,D10/'Quick Setup'!E16)</f>
        <v>245</v>
      </c>
      <c r="C10" s="36" t="s">
        <v>77</v>
      </c>
      <c r="D10" s="38"/>
      <c r="E10" s="39"/>
      <c r="F10" s="39"/>
      <c r="G10" s="39"/>
      <c r="H10" s="39"/>
      <c r="I10" s="39"/>
      <c r="J10" s="37">
        <f>if(L10="", if(F11="",B10, if((F11-E11)&lt;-1.9,B10*(1+Setup!F14),if((F11-E11)=-1,B10*(1+Setup!G14),if(G11&lt;D11,B10*(1+Setup!G14),if(G11=D11,B10*(1+Setup!H14),if((G11-D11)=1,B10*(1+Setup!I14),if((G11-D11)=2,B10*(1+Setup!J14),if((G11-D11)=3,B10*(1+Setup!K14),if((G11-D11)=4,B10*(1+Setup!L14),if((G11-D11)&gt;4.1,B10*(1+Setup!M14),B10)))))))))),L10/'Quick Setup'!$E16)</f>
        <v>245</v>
      </c>
      <c r="K10" s="36" t="s">
        <v>77</v>
      </c>
      <c r="L10" s="38"/>
      <c r="M10" s="39"/>
      <c r="N10" s="39"/>
      <c r="O10" s="39"/>
      <c r="P10" s="39"/>
      <c r="Q10" s="39"/>
      <c r="R10" s="37">
        <f>if(T10="", if(N11="",J10, if((N11-M11)&lt;-1.9,J10*(1+Setup!R14),if((N11-M11)=-1,J10*(1+Setup!S14),if(O11&lt;L11,J10*(1+Setup!S14),if(O11=L11,J10*(1+Setup!T14),if((O11-L11)=1,J10*(1+Setup!U14),if((O11-L11)=2,J10*(1+Setup!V14),if((O11-L11)=3,J10*(1+Setup!W14),if((O11-L11)=4,J10*(1+Setup!X14),if((O11-L11)&gt;4.1,J10*(1+Setup!Y14),J10)))))))))),T10/'Quick Setup'!$E16)</f>
        <v>245</v>
      </c>
      <c r="S10" s="36" t="s">
        <v>77</v>
      </c>
      <c r="T10" s="38"/>
      <c r="U10" s="39"/>
      <c r="V10" s="39"/>
      <c r="W10" s="39"/>
      <c r="X10" s="39"/>
      <c r="Y10" s="39"/>
      <c r="Z10" s="37">
        <f>if(AB10="", if(V11="",R10, if((V11-U11)&lt;-1.9,R10*(1+Setup!AD14),if((V11-U11)=-1,R10*(1+Setup!AE14),if(W11&lt;T11,R10*(1+Setup!AE14),if(W11=T11,R10*(1+Setup!AF14),if((W11-T11)=1,R10*(1+Setup!AG14),if((W11-T11)=2,R10*(1+Setup!AH14),if((W11-T11)=3,R10*(1+Setup!AI14),if((W11-T11)=4,R10*(1+Setup!AJ14),if((W11-T11)&gt;4.1,R10*(1+Setup!AK14),R10)))))))))),AB10/'Quick Setup'!$E16)</f>
        <v>245</v>
      </c>
      <c r="AA10" s="36" t="s">
        <v>77</v>
      </c>
      <c r="AB10" s="38"/>
      <c r="AC10" s="39"/>
      <c r="AD10" s="39"/>
      <c r="AE10" s="39"/>
      <c r="AF10" s="39"/>
      <c r="AG10" s="39"/>
      <c r="AH10" s="37">
        <f>if(AJ10="", if(AD11="",Z10, if((AD11-AC11)&lt;-1.9,Z10*(1+Setup!AP14),if((AD11-AC11)=-1,Z10*(1+Setup!AQ14),if(AE11&lt;AB11,Z10*(1+Setup!AQ14),if(AE11=AB11,Z10*(1+Setup!AR14),if((AE11-AB11)=1,Z10*(1+Setup!AS14),if((AE11-AB11)=2,Z10*(1+Setup!AT14),if((AE11-AB11)=3,Z10*(1+Setup!AU14),if((AE11-AB11)=4,Z10*(1+Setup!AV14),if((AE11-AB11)&gt;4.1,Z10*(1+Setup!AW14),Z10)))))))))),AJ10/'Quick Setup'!$E16)</f>
        <v>245</v>
      </c>
      <c r="AI10" s="36" t="s">
        <v>77</v>
      </c>
      <c r="AJ10" s="38"/>
      <c r="AK10" s="39"/>
      <c r="AL10" s="39"/>
      <c r="AM10" s="39"/>
      <c r="AN10" s="39"/>
      <c r="AO10" s="39"/>
      <c r="AP10" s="37">
        <f>if(AR10="", if(AL11="",AH10, if((AL11-AK11)&lt;-1.9,AH10*(1+Setup!BB14),if((AL11-AK11)=-1,AH10*(1+Setup!BC14),if(AM11&lt;AJ11,AH10*(1+Setup!BC14),if(AM11=AJ11,AH10*(1+Setup!BD14),if((AM11-AJ11)=1,AH10*(1+Setup!BE14),if((AM11-AJ11)=2,AH10*(1+Setup!BF14),if((AM11-AJ11)=3,AH10*(1+Setup!BG14),if((AM11-AJ11)=4,AH10*(1+Setup!BH14),if((AM11-AJ11)&gt;4.1,AH10*(1+Setup!BI14),AH10)))))))))),AR10/'Quick Setup'!$E16)</f>
        <v>245</v>
      </c>
      <c r="AQ10" s="36" t="s">
        <v>77</v>
      </c>
      <c r="AR10" s="38"/>
      <c r="AS10" s="39"/>
      <c r="AT10" s="39"/>
      <c r="AU10" s="39"/>
      <c r="AV10" s="39"/>
      <c r="AW10" s="39"/>
      <c r="AX10" s="37">
        <f>if(AZ10="", if(AT11="",AP10, if((AT11-AS11)&lt;-1.9,AP10*(1+Setup!BN14),if((AT11-AS11)=-1,AP10*(1+Setup!BO14),if(AU11&lt;AR11,AP10*(1+Setup!BO14),if(AU11=AR11,AP10*(1+Setup!BP14),if((AU11-AR11)=1,AP10*(1+Setup!BQ14),if((AU11-AR11)=2,AP10*(1+Setup!BR14),if((AU11-AR11)=3,AP10*(1+Setup!BS14),if((AU11-AR11)=4,AP10*(1+Setup!BT14),if((AU11-AR11)&gt;4.1,AP10*(1+Setup!BU14),AP10)))))))))),AZ10/'Quick Setup'!$E16)</f>
        <v>245</v>
      </c>
      <c r="AY10" s="36" t="s">
        <v>77</v>
      </c>
      <c r="AZ10" s="38"/>
      <c r="BA10" s="39"/>
      <c r="BB10" s="39"/>
      <c r="BC10" s="39"/>
      <c r="BD10" s="39"/>
      <c r="BE10" s="39"/>
      <c r="BF10" s="37">
        <f>if(BH10="",AX10,BH10/'Quick Setup'!$E16)</f>
        <v>245</v>
      </c>
      <c r="BG10" s="36" t="s">
        <v>77</v>
      </c>
      <c r="BH10" s="38"/>
      <c r="BI10" s="39"/>
      <c r="BJ10" s="39"/>
      <c r="BK10" s="39"/>
      <c r="BL10" s="39"/>
      <c r="BM10" s="39"/>
      <c r="BN10" s="37">
        <f>if(BP10="", if(BJ11="",BF10, if((BJ11-BI11)&lt;-1.9,BF10*(1+Setup!CL14),if((BJ11-BI11)=-1,BF10*(1+Setup!CM14),if(BK11&lt;BH11,BF10*(1+Setup!CM14),if(BK11=BH11,BF10*(1+Setup!CN14),if((BK11-BH11)=1,BF10*(1+Setup!CO14),if((BK11-BH11)=2,BF10*(1+Setup!CP14),if((BK11-BH11)=3,BF10*(1+Setup!CQ14),if((BK11-BH11)=4,BF10*(1+Setup!CR14),if((BK11-BH11)&gt;4.1,BF10*(1+Setup!CS14),BF10)))))))))),BP10/'Quick Setup'!$E16)</f>
        <v>245</v>
      </c>
      <c r="BO10" s="36" t="s">
        <v>77</v>
      </c>
      <c r="BP10" s="38"/>
      <c r="BQ10" s="39"/>
      <c r="BR10" s="39"/>
      <c r="BS10" s="39"/>
      <c r="BT10" s="39"/>
      <c r="BU10" s="39"/>
      <c r="BV10" s="37">
        <f>if(BX10="", if(BR11="",BN10, if((BR11-BQ11)&lt;-1.9,BN10*(1+Setup!CX14),if((BR11-BQ11)=-1,BN10*(1+Setup!CY14),if(BS11&lt;BP11,BN10*(1+Setup!CY14),if(BS11=BP11,BN10*(1+Setup!CZ14),if((BS11-BP11)=1,BN10*(1+Setup!DA14),if((BS11-BP11)=2,BN10*(1+Setup!DB14),if((BS11-BP11)=3,BN10*(1+Setup!DC14),if((BS11-BP11)=4,BN10*(1+Setup!DD14),if((BS11-BP11)&gt;4.1,BN10*(1+Setup!DE14),BN10)))))))))),BX10/'Quick Setup'!$E16)</f>
        <v>245</v>
      </c>
      <c r="BW10" s="36" t="s">
        <v>77</v>
      </c>
      <c r="BX10" s="38"/>
      <c r="BY10" s="39"/>
      <c r="BZ10" s="39"/>
      <c r="CA10" s="39"/>
      <c r="CB10" s="39"/>
      <c r="CC10" s="39"/>
      <c r="CD10" s="37">
        <f>if(CF10="", if(BZ11="",BV10, if((BZ11-BY11)&lt;-1.9,BV10*(1+Setup!DJ14),if((BZ11-BY11)=-1,BV10*(1+Setup!DK14),if(CA11&lt;BX11,BV10*(1+Setup!DK14),if(CA11=BX11,BV10*(1+Setup!DL14),if((CA11-BX11)=1,BV10*(1+Setup!DM14),if((CA11-BX11)=2,BV10*(1+Setup!DN14),if((CA11-BX11)=3,BV10*(1+Setup!DO14),if((CA11-BX11)=4,BV10*(1+Setup!DP14),if((CA11-BX11)&gt;4.1,BV10*(1+Setup!DQ14),BV10)))))))))),CF10/'Quick Setup'!$E16)</f>
        <v>245</v>
      </c>
      <c r="CE10" s="36" t="s">
        <v>77</v>
      </c>
      <c r="CF10" s="38"/>
      <c r="CG10" s="39"/>
      <c r="CH10" s="39"/>
      <c r="CI10" s="39"/>
      <c r="CJ10" s="39"/>
      <c r="CK10" s="39"/>
      <c r="CL10" s="37">
        <f>if(CN10="", if(CH11="",CD10, if((CH11-CG11)&lt;-1.9,CD10*(1+Setup!DV14),if((CH11-CG11)=-1,CD10*(1+Setup!DW14),if(CI11&lt;CF11,CD10*(1+Setup!DW14),if(CI11=CF11,CD10*(1+Setup!DX14),if((CI11-CF11)=1,CD10*(1+Setup!DY14),if((CI11-CF11)=2,CD10*(1+Setup!DZ14),if((CI11-CF11)=3,CD10*(1+Setup!EA14),if((CI11-CF11)=4,CD10*(1+Setup!EB14),if((CI11-CF11)&gt;4.1,CD10*(1+Setup!EC14),CD10)))))))))),CN10/'Quick Setup'!$E16)</f>
        <v>245</v>
      </c>
      <c r="CM10" s="36" t="s">
        <v>77</v>
      </c>
      <c r="CN10" s="38"/>
      <c r="CO10" s="39"/>
      <c r="CP10" s="39"/>
      <c r="CQ10" s="39"/>
      <c r="CR10" s="39"/>
      <c r="CS10" s="39"/>
      <c r="CT10" s="37">
        <f>if(CV10="", if(CP11="",CL10, if((CP11-CO11)&lt;-1.9,CL10*(1+Setup!EH14),if((CP11-CO11)=-1,CL10*(1+Setup!EI14),if(CQ11&lt;CN11,CL10*(1+Setup!EI14),if(CQ11=CN11,CL10*(1+Setup!EJ14),if((CQ11-CN11)=1,CL10*(1+Setup!EK14),if((CQ11-CN11)=2,CL10*(1+Setup!EL14),if((CQ11-CN11)=3,CL10*(1+Setup!EM14),if((CQ11-CN11)=4,CL10*(1+Setup!EN14),if((CQ11-CN11)&gt;4.1,CL10*(1+Setup!EO14),CL10)))))))))),CV10/'Quick Setup'!$E16)</f>
        <v>245</v>
      </c>
      <c r="CU10" s="36" t="s">
        <v>77</v>
      </c>
      <c r="CV10" s="38"/>
      <c r="CW10" s="39"/>
      <c r="CX10" s="39"/>
      <c r="CY10" s="39"/>
      <c r="CZ10" s="39"/>
      <c r="DA10" s="39"/>
      <c r="DB10" s="37">
        <f>if(DD10="", if(CX11="",CT10, if((CX11-CW11)&lt;-1.9,CT10*(1+Setup!ET14),if((CX11-CW11)=-1,CT10*(1+Setup!EU14),if(CY11&lt;CV11,CT10*(1+Setup!EU14),if(CY11=CV11,CT10*(1+Setup!EV14),if((CY11-CV11)=1,CT10*(1+Setup!EW14),if((CY11-CV11)=2,CT10*(1+Setup!EX14),if((CY11-CV11)=3,CT10*(1+Setup!EY14),if((CY11-CV11)=4,CT10*(1+Setup!EZ14),if((CY11-CV11)&gt;4.1,CT10*(1+Setup!FA14),CT10)))))))))),DD10/'Quick Setup'!$E16)</f>
        <v>245</v>
      </c>
      <c r="DC10" s="36" t="s">
        <v>77</v>
      </c>
      <c r="DD10" s="38"/>
      <c r="DE10" s="39"/>
      <c r="DF10" s="39"/>
      <c r="DG10" s="39"/>
      <c r="DH10" s="39"/>
      <c r="DI10" s="39"/>
      <c r="DJ10" s="37">
        <f>if(DL10="",DB10,DL10/'Quick Setup'!$E16)</f>
        <v>245</v>
      </c>
      <c r="DK10" s="36" t="s">
        <v>77</v>
      </c>
      <c r="DL10" s="38"/>
      <c r="DM10" s="39"/>
      <c r="DN10" s="39"/>
      <c r="DO10" s="39"/>
      <c r="DP10" s="39"/>
      <c r="DQ10" s="39"/>
      <c r="DR10" s="37">
        <f>if(DT10="", if(DN11="",DJ10, if((DN11-DM11)&lt;-1.9,DJ10*(1+Setup!FR14),if((DN11-DM11)=-1,DJ10*(1+Setup!FS14),if(DO11&lt;DL11,DJ10*(1+Setup!FS14),if(DO11=DL11,DJ10*(1+Setup!FT14),if((DO11-DL11)=1,DJ10*(1+Setup!FU14),if((DO11-DL11)=2,DJ10*(1+Setup!FV14),if((DO11-DL11)=3,DJ10*(1+Setup!FW14),if((DO11-DL11)=4,DJ10*(1+Setup!FX14),if((DO11-DL11)&gt;4.1,DJ10*(1+Setup!FY14),DJ10)))))))))),DT10/'Quick Setup'!$E16)</f>
        <v>245</v>
      </c>
      <c r="DS10" s="36" t="s">
        <v>77</v>
      </c>
      <c r="DT10" s="38"/>
      <c r="DU10" s="39"/>
      <c r="DV10" s="39"/>
      <c r="DW10" s="39"/>
      <c r="DX10" s="39"/>
      <c r="DY10" s="39"/>
      <c r="DZ10" s="37">
        <f>if(EB10="", if(DV11="",DR10, if((DV11-DU11)&lt;-1.9,DR10*(1+Setup!GD14),if((DV11-DU11)=-1,DR10*(1+Setup!GE14),if(DW11&lt;DT11,DR10*(1+Setup!GE14),if(DW11=DT11,DR10*(1+Setup!GF14),if((DW11-DT11)=1,DR10*(1+Setup!GG14),if((DW11-DT11)=2,DR10*(1+Setup!GH14),if((DW11-DT11)=3,DR10*(1+Setup!GI14),if((DW11-DT11)=4,DR10*(1+Setup!GJ14),if((DW11-DT11)&gt;4.1,DR10*(1+Setup!GK14),DR10)))))))))),EB10/'Quick Setup'!$E16)</f>
        <v>245</v>
      </c>
      <c r="EA10" s="36" t="s">
        <v>77</v>
      </c>
      <c r="EB10" s="38"/>
      <c r="EC10" s="39"/>
      <c r="ED10" s="39"/>
      <c r="EE10" s="39"/>
      <c r="EF10" s="39"/>
      <c r="EG10" s="39"/>
      <c r="EH10" s="37">
        <f>if(EJ10="", if(ED11="",DZ10, if((ED11-EC11)&lt;-1.9,DZ10*(1+Setup!GP14),if((ED11-EC11)=-1,DZ10*(1+Setup!GQ14),if(EE11&lt;EB11,DZ10*(1+Setup!GQ14),if(EE11=EB11,DZ10*(1+Setup!GR14),if((EE11-EB11)=1,DZ10*(1+Setup!GS14),if((EE11-EB11)=2,DZ10*(1+Setup!GT14),if((EE11-EB11)=3,DZ10*(1+Setup!GU14),if((EE11-EB11)=4,DZ10*(1+Setup!GV14),if((EE11-EB11)&gt;4.1,DZ10*(1+Setup!GW14),DZ10)))))))))),EJ10/'Quick Setup'!$E16)</f>
        <v>245</v>
      </c>
      <c r="EI10" s="36" t="s">
        <v>77</v>
      </c>
      <c r="EJ10" s="38"/>
      <c r="EK10" s="39"/>
      <c r="EL10" s="39"/>
      <c r="EM10" s="39"/>
      <c r="EN10" s="39"/>
      <c r="EO10" s="39"/>
      <c r="EP10" s="37">
        <f>if(ER10="", if(EL11="",EH10, if((EL11-EK11)&lt;-1.9,EH10*(1+Setup!HB14),if((EL11-EK11)=-1,EH10*(1+Setup!HC14),if(EM11&lt;EJ11,EH10*(1+Setup!HC14),if(EM11=EJ11,EH10*(1+Setup!HD14),if((EM11-EJ11)=1,EH10*(1+Setup!HE14),if((EM11-EJ11)=2,EH10*(1+Setup!HF14),if((EM11-EJ11)=3,EH10*(1+Setup!HG14),if((EM11-EJ11)=4,EH10*(1+Setup!HH14),if((EM11-EJ11)&gt;4.1,EH10*(1+Setup!HI14),EH10)))))))))),ER10/'Quick Setup'!$E16)</f>
        <v>245</v>
      </c>
      <c r="EQ10" s="36" t="s">
        <v>77</v>
      </c>
      <c r="ER10" s="38"/>
      <c r="ES10" s="39"/>
      <c r="ET10" s="39"/>
      <c r="EU10" s="39"/>
      <c r="EV10" s="39"/>
      <c r="EW10" s="39"/>
      <c r="EX10" s="37">
        <f>if(EZ10="", if(ET11="",EP10, if((ET11-ES11)&lt;-1.9,EP10*(1+Setup!HN14),if((ET11-ES11)=-1,EP10*(1+Setup!HO14),if(EU11&lt;ER11,EP10*(1+Setup!HO14),if(EU11=ER11,EP10*(1+Setup!HP14),if((EU11-ER11)=1,EP10*(1+Setup!HQ14),if((EU11-ER11)=2,EP10*(1+Setup!HR14),if((EU11-ER11)=3,EP10*(1+Setup!HS14),if((EU11-ER11)=4,EP10*(1+Setup!HT14),if((EU11-ER11)&gt;4.1,EP10*(1+Setup!HU14),EP10)))))))))),EZ10/'Quick Setup'!$E16)</f>
        <v>245</v>
      </c>
      <c r="EY10" s="36" t="s">
        <v>77</v>
      </c>
      <c r="EZ10" s="38"/>
      <c r="FA10" s="39"/>
      <c r="FB10" s="39"/>
      <c r="FC10" s="39"/>
      <c r="FD10" s="39"/>
      <c r="FE10" s="39"/>
      <c r="FF10" s="37">
        <f>if(FH10="", if(FB11="",EX10, if((FB11-FA11)&lt;-1.9,EX10*(1+Setup!HZ14),if((FB11-FA11)=-1,EX10*(1+Setup!IA14),if(FC11&lt;EZ11,EX10*(1+Setup!IA14),if(FC11=EZ11,EX10*(1+Setup!IB14),if((FC11-EZ11)=1,EX10*(1+Setup!IC14),if((FC11-EZ11)=2,EX10*(1+Setup!ID14),if((FC11-EZ11)=3,EX10*(1+Setup!IE14),if((FC11-EZ11)=4,EX10*(1+Setup!IF14),if((FC11-EZ11)&gt;4.1,EX10*(1+Setup!IG14),EX10)))))))))),FH10/'Quick Setup'!$E16)</f>
        <v>245</v>
      </c>
      <c r="FG10" s="36" t="s">
        <v>77</v>
      </c>
      <c r="FH10" s="38"/>
      <c r="FI10" s="39"/>
      <c r="FJ10" s="39"/>
      <c r="FK10" s="39"/>
      <c r="FL10" s="39"/>
      <c r="FM10" s="39"/>
    </row>
    <row r="11">
      <c r="A11" s="1" t="str">
        <f>Setup!A14</f>
        <v>Push Press</v>
      </c>
      <c r="B11" s="40">
        <f>mround(B10*Setup!B14,'Quick Setup'!$A$2)</f>
        <v>147.5</v>
      </c>
      <c r="C11" s="2">
        <f>Setup!C14</f>
        <v>7</v>
      </c>
      <c r="D11" s="2">
        <f>Setup!D14</f>
        <v>3</v>
      </c>
      <c r="E11" s="2">
        <f>Setup!E14</f>
        <v>5</v>
      </c>
      <c r="F11" s="8"/>
      <c r="G11" s="8"/>
      <c r="H11" s="8"/>
      <c r="I11" s="8"/>
      <c r="J11" s="40">
        <f>mround(J10*Setup!N14,'Quick Setup'!$A$2)</f>
        <v>160</v>
      </c>
      <c r="K11" s="2">
        <f>Setup!O14</f>
        <v>6</v>
      </c>
      <c r="L11" s="2">
        <f>Setup!P14</f>
        <v>3</v>
      </c>
      <c r="M11" s="2">
        <f>Setup!Q14</f>
        <v>5</v>
      </c>
      <c r="N11" s="8"/>
      <c r="O11" s="8"/>
      <c r="P11" s="8"/>
      <c r="Q11" s="8"/>
      <c r="R11" s="40">
        <f>mround(R10*Setup!Z14,'Quick Setup'!$A$2)</f>
        <v>172.5</v>
      </c>
      <c r="S11" s="2">
        <f>Setup!AA14</f>
        <v>5</v>
      </c>
      <c r="T11" s="2">
        <f>Setup!AB14</f>
        <v>3</v>
      </c>
      <c r="U11" s="2">
        <f>Setup!AC14</f>
        <v>5</v>
      </c>
      <c r="V11" s="8"/>
      <c r="W11" s="8"/>
      <c r="X11" s="8"/>
      <c r="Y11" s="8"/>
      <c r="Z11" s="40">
        <f>mround(Z10*Setup!AL14,'Quick Setup'!$A$2)</f>
        <v>152.5</v>
      </c>
      <c r="AA11" s="2">
        <f>Setup!AM14</f>
        <v>7</v>
      </c>
      <c r="AB11" s="2">
        <f>Setup!AN14</f>
        <v>3</v>
      </c>
      <c r="AC11" s="2">
        <f>Setup!AO14</f>
        <v>5</v>
      </c>
      <c r="AD11" s="8"/>
      <c r="AE11" s="8"/>
      <c r="AF11" s="8"/>
      <c r="AG11" s="8"/>
      <c r="AH11" s="40">
        <f>mround(AH10*Setup!AX14,'Quick Setup'!$A$2)</f>
        <v>165</v>
      </c>
      <c r="AI11" s="2">
        <f>Setup!AY14</f>
        <v>6</v>
      </c>
      <c r="AJ11" s="2">
        <f>Setup!AZ14</f>
        <v>3</v>
      </c>
      <c r="AK11" s="2">
        <f>Setup!BA14</f>
        <v>5</v>
      </c>
      <c r="AL11" s="8"/>
      <c r="AM11" s="8"/>
      <c r="AN11" s="8"/>
      <c r="AO11" s="8"/>
      <c r="AP11" s="40">
        <f>mround(AP10*Setup!BJ14,'Quick Setup'!$A$2)</f>
        <v>177.5</v>
      </c>
      <c r="AQ11" s="2">
        <f>Setup!BK14</f>
        <v>5</v>
      </c>
      <c r="AR11" s="2">
        <f>Setup!BL14</f>
        <v>3</v>
      </c>
      <c r="AS11" s="2">
        <f>Setup!BM14</f>
        <v>5</v>
      </c>
      <c r="AT11" s="8"/>
      <c r="AU11" s="8"/>
      <c r="AV11" s="8"/>
      <c r="AW11" s="8"/>
      <c r="AX11" s="40">
        <f>mround(AX10*Setup!BV14,'Quick Setup'!$A$2)</f>
        <v>122.5</v>
      </c>
      <c r="AY11" s="1">
        <v>5.0</v>
      </c>
      <c r="AZ11" s="1" t="s">
        <v>80</v>
      </c>
      <c r="BA11" s="2">
        <f>Setup!BY14</f>
        <v>5</v>
      </c>
      <c r="BB11" s="8"/>
      <c r="BC11" s="8"/>
      <c r="BD11" s="8"/>
      <c r="BE11" s="8"/>
      <c r="BF11" s="40">
        <f>mround(BF10*Setup!CH14,'Quick Setup'!$A$2)</f>
        <v>160</v>
      </c>
      <c r="BG11" s="2">
        <f>Setup!CI14</f>
        <v>6</v>
      </c>
      <c r="BH11" s="2">
        <f>Setup!CJ14</f>
        <v>3</v>
      </c>
      <c r="BI11" s="2">
        <f>Setup!CK14</f>
        <v>5</v>
      </c>
      <c r="BJ11" s="8"/>
      <c r="BK11" s="8"/>
      <c r="BL11" s="8"/>
      <c r="BM11" s="8"/>
      <c r="BN11" s="40">
        <f>mround(BN10*Setup!CT14,'Quick Setup'!$A$2)</f>
        <v>172.5</v>
      </c>
      <c r="BO11" s="2">
        <f>Setup!CU14</f>
        <v>5</v>
      </c>
      <c r="BP11" s="2">
        <f>Setup!CV14</f>
        <v>3</v>
      </c>
      <c r="BQ11" s="2">
        <f>Setup!CW14</f>
        <v>5</v>
      </c>
      <c r="BR11" s="8"/>
      <c r="BS11" s="8"/>
      <c r="BT11" s="8"/>
      <c r="BU11" s="8"/>
      <c r="BV11" s="40">
        <f>mround(BV10*Setup!DF14,'Quick Setup'!$A$2)</f>
        <v>185</v>
      </c>
      <c r="BW11" s="2">
        <f>Setup!DG14</f>
        <v>4</v>
      </c>
      <c r="BX11" s="2">
        <f>Setup!DH14</f>
        <v>2</v>
      </c>
      <c r="BY11" s="2">
        <f>Setup!DI14</f>
        <v>5</v>
      </c>
      <c r="BZ11" s="8"/>
      <c r="CA11" s="8"/>
      <c r="CB11" s="8"/>
      <c r="CC11" s="8"/>
      <c r="CD11" s="40">
        <f>mround(CD10*Setup!DR14,'Quick Setup'!$A$2)</f>
        <v>165</v>
      </c>
      <c r="CE11" s="2">
        <f>Setup!DS14</f>
        <v>6</v>
      </c>
      <c r="CF11" s="2">
        <f>Setup!DT14</f>
        <v>3</v>
      </c>
      <c r="CG11" s="2">
        <f>Setup!DU14</f>
        <v>5</v>
      </c>
      <c r="CH11" s="8"/>
      <c r="CI11" s="8"/>
      <c r="CJ11" s="8"/>
      <c r="CK11" s="8"/>
      <c r="CL11" s="40">
        <f>mround(CL10*Setup!ED14,'Quick Setup'!$A$2)</f>
        <v>177.5</v>
      </c>
      <c r="CM11" s="2">
        <f>Setup!EE14</f>
        <v>5</v>
      </c>
      <c r="CN11" s="2">
        <f>Setup!EF14</f>
        <v>3</v>
      </c>
      <c r="CO11" s="2">
        <f>Setup!EG14</f>
        <v>5</v>
      </c>
      <c r="CP11" s="8"/>
      <c r="CQ11" s="8"/>
      <c r="CR11" s="8"/>
      <c r="CS11" s="8"/>
      <c r="CT11" s="40">
        <f>mround(CT10*Setup!EP14,'Quick Setup'!$A$2)</f>
        <v>190</v>
      </c>
      <c r="CU11" s="2">
        <f>Setup!EQ14</f>
        <v>4</v>
      </c>
      <c r="CV11" s="2">
        <f>Setup!ER14</f>
        <v>2</v>
      </c>
      <c r="CW11" s="2">
        <f>Setup!ES14</f>
        <v>5</v>
      </c>
      <c r="CX11" s="8"/>
      <c r="CY11" s="8"/>
      <c r="CZ11" s="8"/>
      <c r="DA11" s="8"/>
      <c r="DB11" s="40">
        <f>mround(DB10*Setup!FB14,'Quick Setup'!$A$2)</f>
        <v>122.5</v>
      </c>
      <c r="DC11" s="1">
        <v>5.0</v>
      </c>
      <c r="DD11" s="1" t="s">
        <v>80</v>
      </c>
      <c r="DE11" s="2">
        <f>Setup!FE14</f>
        <v>5</v>
      </c>
      <c r="DF11" s="8"/>
      <c r="DG11" s="8"/>
      <c r="DH11" s="8"/>
      <c r="DI11" s="8"/>
      <c r="DJ11" s="40">
        <f>mround(DJ10*Setup!FN14,'Quick Setup'!$A$2)</f>
        <v>172.5</v>
      </c>
      <c r="DK11" s="2">
        <f>Setup!FO14</f>
        <v>5</v>
      </c>
      <c r="DL11" s="2">
        <f>Setup!FP14</f>
        <v>3</v>
      </c>
      <c r="DM11" s="2">
        <f>Setup!FQ14</f>
        <v>5</v>
      </c>
      <c r="DN11" s="8"/>
      <c r="DO11" s="8"/>
      <c r="DP11" s="8"/>
      <c r="DQ11" s="8"/>
      <c r="DR11" s="40">
        <f>mround(DR10*Setup!FZ14,'Quick Setup'!$A$2)</f>
        <v>185</v>
      </c>
      <c r="DS11" s="2">
        <f>Setup!GA14</f>
        <v>4</v>
      </c>
      <c r="DT11" s="2">
        <f>Setup!GB14</f>
        <v>2</v>
      </c>
      <c r="DU11" s="2">
        <f>Setup!GC14</f>
        <v>5</v>
      </c>
      <c r="DV11" s="8"/>
      <c r="DW11" s="8"/>
      <c r="DX11" s="8"/>
      <c r="DY11" s="8"/>
      <c r="DZ11" s="40">
        <f>mround(DZ10*Setup!GL14,'Quick Setup'!$A$2)</f>
        <v>195</v>
      </c>
      <c r="EA11" s="2">
        <f>Setup!GM14</f>
        <v>3</v>
      </c>
      <c r="EB11" s="2">
        <f>Setup!GN14</f>
        <v>2</v>
      </c>
      <c r="EC11" s="2">
        <f>Setup!GO14</f>
        <v>5</v>
      </c>
      <c r="ED11" s="2"/>
      <c r="EE11" s="2"/>
      <c r="EF11" s="2"/>
      <c r="EG11" s="2"/>
      <c r="EH11" s="40">
        <f>mround(EH10*Setup!GX14,'Quick Setup'!$A$2)</f>
        <v>185</v>
      </c>
      <c r="EI11" s="2">
        <f>Setup!GY14</f>
        <v>4</v>
      </c>
      <c r="EJ11" s="2">
        <f>Setup!GZ14</f>
        <v>2</v>
      </c>
      <c r="EK11" s="2">
        <f>Setup!HA14</f>
        <v>5</v>
      </c>
      <c r="EL11" s="8"/>
      <c r="EM11" s="8"/>
      <c r="EN11" s="8"/>
      <c r="EO11" s="8"/>
      <c r="EP11" s="40">
        <f>mround(EP10*Setup!HJ14,'Quick Setup'!$A$2)</f>
        <v>195</v>
      </c>
      <c r="EQ11" s="2">
        <f>Setup!HK14</f>
        <v>3</v>
      </c>
      <c r="ER11" s="2">
        <f>Setup!HL14</f>
        <v>2</v>
      </c>
      <c r="ES11" s="2">
        <f>Setup!HM14</f>
        <v>5</v>
      </c>
      <c r="ET11" s="8"/>
      <c r="EU11" s="8"/>
      <c r="EV11" s="8"/>
      <c r="EW11" s="8"/>
      <c r="EX11" s="40">
        <f>mround(EX10*Setup!HV14,'Quick Setup'!$A$2)</f>
        <v>207.5</v>
      </c>
      <c r="EY11" s="2">
        <f>Setup!HW14</f>
        <v>2</v>
      </c>
      <c r="EZ11" s="2">
        <f>Setup!HX14</f>
        <v>1</v>
      </c>
      <c r="FA11" s="2">
        <f>Setup!HY14</f>
        <v>5</v>
      </c>
      <c r="FB11" s="8"/>
      <c r="FC11" s="8"/>
      <c r="FD11" s="8"/>
      <c r="FE11" s="8"/>
      <c r="FF11" s="40">
        <f>mround(FF10*Setup!IH14,'Quick Setup'!$A$2)</f>
        <v>122.5</v>
      </c>
      <c r="FG11" s="1">
        <v>5.0</v>
      </c>
      <c r="FH11" s="1" t="s">
        <v>80</v>
      </c>
      <c r="FI11" s="2">
        <f>Setup!IK14</f>
        <v>5</v>
      </c>
      <c r="FJ11" s="8"/>
      <c r="FK11" s="8"/>
      <c r="FL11" s="8"/>
      <c r="FM11" s="8"/>
    </row>
    <row r="12">
      <c r="A12" s="5"/>
      <c r="B12" s="41"/>
      <c r="C12" s="8"/>
      <c r="D12" s="8"/>
      <c r="E12" s="8"/>
      <c r="F12" s="8"/>
      <c r="G12" s="8"/>
      <c r="H12" s="8"/>
      <c r="I12" s="8"/>
      <c r="J12" s="41" t="str">
        <f t="shared" ref="J12:O12" si="1">B12</f>
        <v/>
      </c>
      <c r="K12" s="8" t="str">
        <f t="shared" si="1"/>
        <v/>
      </c>
      <c r="L12" s="8" t="str">
        <f t="shared" si="1"/>
        <v/>
      </c>
      <c r="M12" s="8" t="str">
        <f t="shared" si="1"/>
        <v/>
      </c>
      <c r="N12" s="8" t="str">
        <f t="shared" si="1"/>
        <v/>
      </c>
      <c r="O12" s="8" t="str">
        <f t="shared" si="1"/>
        <v/>
      </c>
      <c r="P12" s="8"/>
      <c r="Q12" s="8"/>
      <c r="R12" s="41" t="str">
        <f t="shared" ref="R12:W12" si="2">J12</f>
        <v/>
      </c>
      <c r="S12" s="8" t="str">
        <f t="shared" si="2"/>
        <v/>
      </c>
      <c r="T12" s="8" t="str">
        <f t="shared" si="2"/>
        <v/>
      </c>
      <c r="U12" s="8" t="str">
        <f t="shared" si="2"/>
        <v/>
      </c>
      <c r="V12" s="8" t="str">
        <f t="shared" si="2"/>
        <v/>
      </c>
      <c r="W12" s="8" t="str">
        <f t="shared" si="2"/>
        <v/>
      </c>
      <c r="X12" s="8"/>
      <c r="Y12" s="8"/>
      <c r="Z12" s="41" t="str">
        <f t="shared" ref="Z12:AE12" si="3">R12</f>
        <v/>
      </c>
      <c r="AA12" s="8" t="str">
        <f t="shared" si="3"/>
        <v/>
      </c>
      <c r="AB12" s="8" t="str">
        <f t="shared" si="3"/>
        <v/>
      </c>
      <c r="AC12" s="8" t="str">
        <f t="shared" si="3"/>
        <v/>
      </c>
      <c r="AD12" s="8" t="str">
        <f t="shared" si="3"/>
        <v/>
      </c>
      <c r="AE12" s="8" t="str">
        <f t="shared" si="3"/>
        <v/>
      </c>
      <c r="AF12" s="8"/>
      <c r="AG12" s="8"/>
      <c r="AH12" s="41" t="str">
        <f t="shared" ref="AH12:AM12" si="4">Z12</f>
        <v/>
      </c>
      <c r="AI12" s="8" t="str">
        <f t="shared" si="4"/>
        <v/>
      </c>
      <c r="AJ12" s="8" t="str">
        <f t="shared" si="4"/>
        <v/>
      </c>
      <c r="AK12" s="8" t="str">
        <f t="shared" si="4"/>
        <v/>
      </c>
      <c r="AL12" s="8" t="str">
        <f t="shared" si="4"/>
        <v/>
      </c>
      <c r="AM12" s="8" t="str">
        <f t="shared" si="4"/>
        <v/>
      </c>
      <c r="AN12" s="8"/>
      <c r="AO12" s="8"/>
      <c r="AP12" s="41" t="str">
        <f t="shared" ref="AP12:AU12" si="5">AH12</f>
        <v/>
      </c>
      <c r="AQ12" s="8" t="str">
        <f t="shared" si="5"/>
        <v/>
      </c>
      <c r="AR12" s="8" t="str">
        <f t="shared" si="5"/>
        <v/>
      </c>
      <c r="AS12" s="8" t="str">
        <f t="shared" si="5"/>
        <v/>
      </c>
      <c r="AT12" s="8" t="str">
        <f t="shared" si="5"/>
        <v/>
      </c>
      <c r="AU12" s="8" t="str">
        <f t="shared" si="5"/>
        <v/>
      </c>
      <c r="AV12" s="8"/>
      <c r="AW12" s="8"/>
      <c r="AX12" s="41" t="str">
        <f t="shared" ref="AX12:BC12" si="6">AP12</f>
        <v/>
      </c>
      <c r="AY12" s="8" t="str">
        <f t="shared" si="6"/>
        <v/>
      </c>
      <c r="AZ12" s="8" t="str">
        <f t="shared" si="6"/>
        <v/>
      </c>
      <c r="BA12" s="8" t="str">
        <f t="shared" si="6"/>
        <v/>
      </c>
      <c r="BB12" s="8" t="str">
        <f t="shared" si="6"/>
        <v/>
      </c>
      <c r="BC12" s="8" t="str">
        <f t="shared" si="6"/>
        <v/>
      </c>
      <c r="BD12" s="8"/>
      <c r="BE12" s="8"/>
      <c r="BF12" s="41" t="str">
        <f t="shared" ref="BF12:BK12" si="7">AX12</f>
        <v/>
      </c>
      <c r="BG12" s="8" t="str">
        <f t="shared" si="7"/>
        <v/>
      </c>
      <c r="BH12" s="8" t="str">
        <f t="shared" si="7"/>
        <v/>
      </c>
      <c r="BI12" s="8" t="str">
        <f t="shared" si="7"/>
        <v/>
      </c>
      <c r="BJ12" s="8" t="str">
        <f t="shared" si="7"/>
        <v/>
      </c>
      <c r="BK12" s="8" t="str">
        <f t="shared" si="7"/>
        <v/>
      </c>
      <c r="BL12" s="8"/>
      <c r="BM12" s="8"/>
      <c r="BN12" s="41" t="str">
        <f t="shared" ref="BN12:BS12" si="8">BF12</f>
        <v/>
      </c>
      <c r="BO12" s="8" t="str">
        <f t="shared" si="8"/>
        <v/>
      </c>
      <c r="BP12" s="8" t="str">
        <f t="shared" si="8"/>
        <v/>
      </c>
      <c r="BQ12" s="8" t="str">
        <f t="shared" si="8"/>
        <v/>
      </c>
      <c r="BR12" s="8" t="str">
        <f t="shared" si="8"/>
        <v/>
      </c>
      <c r="BS12" s="8" t="str">
        <f t="shared" si="8"/>
        <v/>
      </c>
      <c r="BT12" s="8"/>
      <c r="BU12" s="8"/>
      <c r="BV12" s="41" t="str">
        <f t="shared" ref="BV12:CA12" si="9">BN12</f>
        <v/>
      </c>
      <c r="BW12" s="8" t="str">
        <f t="shared" si="9"/>
        <v/>
      </c>
      <c r="BX12" s="8" t="str">
        <f t="shared" si="9"/>
        <v/>
      </c>
      <c r="BY12" s="8" t="str">
        <f t="shared" si="9"/>
        <v/>
      </c>
      <c r="BZ12" s="8" t="str">
        <f t="shared" si="9"/>
        <v/>
      </c>
      <c r="CA12" s="8" t="str">
        <f t="shared" si="9"/>
        <v/>
      </c>
      <c r="CB12" s="8"/>
      <c r="CC12" s="8"/>
      <c r="CD12" s="41" t="str">
        <f t="shared" ref="CD12:CI12" si="10">BV12</f>
        <v/>
      </c>
      <c r="CE12" s="8" t="str">
        <f t="shared" si="10"/>
        <v/>
      </c>
      <c r="CF12" s="8" t="str">
        <f t="shared" si="10"/>
        <v/>
      </c>
      <c r="CG12" s="8" t="str">
        <f t="shared" si="10"/>
        <v/>
      </c>
      <c r="CH12" s="8" t="str">
        <f t="shared" si="10"/>
        <v/>
      </c>
      <c r="CI12" s="8" t="str">
        <f t="shared" si="10"/>
        <v/>
      </c>
      <c r="CJ12" s="8"/>
      <c r="CK12" s="8"/>
      <c r="CL12" s="41" t="str">
        <f t="shared" ref="CL12:CQ12" si="11">CD12</f>
        <v/>
      </c>
      <c r="CM12" s="8" t="str">
        <f t="shared" si="11"/>
        <v/>
      </c>
      <c r="CN12" s="8" t="str">
        <f t="shared" si="11"/>
        <v/>
      </c>
      <c r="CO12" s="8" t="str">
        <f t="shared" si="11"/>
        <v/>
      </c>
      <c r="CP12" s="8" t="str">
        <f t="shared" si="11"/>
        <v/>
      </c>
      <c r="CQ12" s="8" t="str">
        <f t="shared" si="11"/>
        <v/>
      </c>
      <c r="CR12" s="8"/>
      <c r="CS12" s="8"/>
      <c r="CT12" s="41" t="str">
        <f t="shared" ref="CT12:CY12" si="12">CL12</f>
        <v/>
      </c>
      <c r="CU12" s="8" t="str">
        <f t="shared" si="12"/>
        <v/>
      </c>
      <c r="CV12" s="8" t="str">
        <f t="shared" si="12"/>
        <v/>
      </c>
      <c r="CW12" s="8" t="str">
        <f t="shared" si="12"/>
        <v/>
      </c>
      <c r="CX12" s="8" t="str">
        <f t="shared" si="12"/>
        <v/>
      </c>
      <c r="CY12" s="8" t="str">
        <f t="shared" si="12"/>
        <v/>
      </c>
      <c r="CZ12" s="8"/>
      <c r="DA12" s="8"/>
      <c r="DB12" s="41" t="str">
        <f t="shared" ref="DB12:DG12" si="13">CT12</f>
        <v/>
      </c>
      <c r="DC12" s="8" t="str">
        <f t="shared" si="13"/>
        <v/>
      </c>
      <c r="DD12" s="8" t="str">
        <f t="shared" si="13"/>
        <v/>
      </c>
      <c r="DE12" s="8" t="str">
        <f t="shared" si="13"/>
        <v/>
      </c>
      <c r="DF12" s="8" t="str">
        <f t="shared" si="13"/>
        <v/>
      </c>
      <c r="DG12" s="8" t="str">
        <f t="shared" si="13"/>
        <v/>
      </c>
      <c r="DH12" s="8"/>
      <c r="DI12" s="8"/>
      <c r="DJ12" s="41" t="str">
        <f t="shared" ref="DJ12:DO12" si="14">DB12</f>
        <v/>
      </c>
      <c r="DK12" s="8" t="str">
        <f t="shared" si="14"/>
        <v/>
      </c>
      <c r="DL12" s="8" t="str">
        <f t="shared" si="14"/>
        <v/>
      </c>
      <c r="DM12" s="8" t="str">
        <f t="shared" si="14"/>
        <v/>
      </c>
      <c r="DN12" s="8" t="str">
        <f t="shared" si="14"/>
        <v/>
      </c>
      <c r="DO12" s="8" t="str">
        <f t="shared" si="14"/>
        <v/>
      </c>
      <c r="DP12" s="8"/>
      <c r="DQ12" s="8"/>
      <c r="DR12" s="41" t="str">
        <f t="shared" ref="DR12:DW12" si="15">DJ12</f>
        <v/>
      </c>
      <c r="DS12" s="8" t="str">
        <f t="shared" si="15"/>
        <v/>
      </c>
      <c r="DT12" s="8" t="str">
        <f t="shared" si="15"/>
        <v/>
      </c>
      <c r="DU12" s="8" t="str">
        <f t="shared" si="15"/>
        <v/>
      </c>
      <c r="DV12" s="8" t="str">
        <f t="shared" si="15"/>
        <v/>
      </c>
      <c r="DW12" s="8" t="str">
        <f t="shared" si="15"/>
        <v/>
      </c>
      <c r="DX12" s="8"/>
      <c r="DY12" s="8"/>
      <c r="DZ12" s="41" t="str">
        <f t="shared" ref="DZ12:EE12" si="16">DR12</f>
        <v/>
      </c>
      <c r="EA12" s="8" t="str">
        <f t="shared" si="16"/>
        <v/>
      </c>
      <c r="EB12" s="8" t="str">
        <f t="shared" si="16"/>
        <v/>
      </c>
      <c r="EC12" s="8" t="str">
        <f t="shared" si="16"/>
        <v/>
      </c>
      <c r="ED12" s="8" t="str">
        <f t="shared" si="16"/>
        <v/>
      </c>
      <c r="EE12" s="8" t="str">
        <f t="shared" si="16"/>
        <v/>
      </c>
      <c r="EF12" s="8"/>
      <c r="EG12" s="8"/>
      <c r="EH12" s="41" t="str">
        <f t="shared" ref="EH12:EM12" si="17">DZ12</f>
        <v/>
      </c>
      <c r="EI12" s="8" t="str">
        <f t="shared" si="17"/>
        <v/>
      </c>
      <c r="EJ12" s="8" t="str">
        <f t="shared" si="17"/>
        <v/>
      </c>
      <c r="EK12" s="8" t="str">
        <f t="shared" si="17"/>
        <v/>
      </c>
      <c r="EL12" s="8" t="str">
        <f t="shared" si="17"/>
        <v/>
      </c>
      <c r="EM12" s="8" t="str">
        <f t="shared" si="17"/>
        <v/>
      </c>
      <c r="EN12" s="8"/>
      <c r="EO12" s="8"/>
      <c r="EP12" s="41" t="str">
        <f t="shared" ref="EP12:EU12" si="18">EH12</f>
        <v/>
      </c>
      <c r="EQ12" s="8" t="str">
        <f t="shared" si="18"/>
        <v/>
      </c>
      <c r="ER12" s="8" t="str">
        <f t="shared" si="18"/>
        <v/>
      </c>
      <c r="ES12" s="8" t="str">
        <f t="shared" si="18"/>
        <v/>
      </c>
      <c r="ET12" s="8" t="str">
        <f t="shared" si="18"/>
        <v/>
      </c>
      <c r="EU12" s="8" t="str">
        <f t="shared" si="18"/>
        <v/>
      </c>
      <c r="EV12" s="8"/>
      <c r="EW12" s="8"/>
      <c r="EX12" s="41" t="str">
        <f t="shared" ref="EX12:FC12" si="19">EP12</f>
        <v/>
      </c>
      <c r="EY12" s="8" t="str">
        <f t="shared" si="19"/>
        <v/>
      </c>
      <c r="EZ12" s="8" t="str">
        <f t="shared" si="19"/>
        <v/>
      </c>
      <c r="FA12" s="8" t="str">
        <f t="shared" si="19"/>
        <v/>
      </c>
      <c r="FB12" s="8" t="str">
        <f t="shared" si="19"/>
        <v/>
      </c>
      <c r="FC12" s="8" t="str">
        <f t="shared" si="19"/>
        <v/>
      </c>
      <c r="FD12" s="8"/>
      <c r="FE12" s="8"/>
      <c r="FF12" s="41" t="str">
        <f t="shared" ref="FF12:FK12" si="20">EX12</f>
        <v/>
      </c>
      <c r="FG12" s="8" t="str">
        <f t="shared" si="20"/>
        <v/>
      </c>
      <c r="FH12" s="8" t="str">
        <f t="shared" si="20"/>
        <v/>
      </c>
      <c r="FI12" s="8" t="str">
        <f t="shared" si="20"/>
        <v/>
      </c>
      <c r="FJ12" s="8" t="str">
        <f t="shared" si="20"/>
        <v/>
      </c>
      <c r="FK12" s="8" t="str">
        <f t="shared" si="20"/>
        <v/>
      </c>
      <c r="FL12" s="8"/>
      <c r="FM12" s="8"/>
    </row>
    <row r="13">
      <c r="A13" s="1" t="s">
        <v>81</v>
      </c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42"/>
      <c r="B14" s="41"/>
      <c r="C14" s="8"/>
      <c r="D14" s="8"/>
      <c r="E14" s="8"/>
      <c r="F14" s="8"/>
      <c r="G14" s="8"/>
      <c r="H14" s="8"/>
      <c r="I14" s="8"/>
      <c r="J14" s="41" t="str">
        <f t="shared" ref="J14:O14" si="21">B14</f>
        <v/>
      </c>
      <c r="K14" s="8" t="str">
        <f t="shared" si="21"/>
        <v/>
      </c>
      <c r="L14" s="8" t="str">
        <f t="shared" si="21"/>
        <v/>
      </c>
      <c r="M14" s="8" t="str">
        <f t="shared" si="21"/>
        <v/>
      </c>
      <c r="N14" s="8" t="str">
        <f t="shared" si="21"/>
        <v/>
      </c>
      <c r="O14" s="8" t="str">
        <f t="shared" si="21"/>
        <v/>
      </c>
      <c r="P14" s="8"/>
      <c r="Q14" s="8"/>
      <c r="R14" s="41" t="str">
        <f t="shared" ref="R14:W14" si="22">J14</f>
        <v/>
      </c>
      <c r="S14" s="8" t="str">
        <f t="shared" si="22"/>
        <v/>
      </c>
      <c r="T14" s="8" t="str">
        <f t="shared" si="22"/>
        <v/>
      </c>
      <c r="U14" s="8" t="str">
        <f t="shared" si="22"/>
        <v/>
      </c>
      <c r="V14" s="8" t="str">
        <f t="shared" si="22"/>
        <v/>
      </c>
      <c r="W14" s="8" t="str">
        <f t="shared" si="22"/>
        <v/>
      </c>
      <c r="X14" s="8"/>
      <c r="Y14" s="8"/>
      <c r="Z14" s="41" t="str">
        <f t="shared" ref="Z14:AE14" si="23">R14</f>
        <v/>
      </c>
      <c r="AA14" s="8" t="str">
        <f t="shared" si="23"/>
        <v/>
      </c>
      <c r="AB14" s="8" t="str">
        <f t="shared" si="23"/>
        <v/>
      </c>
      <c r="AC14" s="8" t="str">
        <f t="shared" si="23"/>
        <v/>
      </c>
      <c r="AD14" s="8" t="str">
        <f t="shared" si="23"/>
        <v/>
      </c>
      <c r="AE14" s="8" t="str">
        <f t="shared" si="23"/>
        <v/>
      </c>
      <c r="AF14" s="8"/>
      <c r="AG14" s="8"/>
      <c r="AH14" s="41" t="str">
        <f t="shared" ref="AH14:AM14" si="24">Z14</f>
        <v/>
      </c>
      <c r="AI14" s="8" t="str">
        <f t="shared" si="24"/>
        <v/>
      </c>
      <c r="AJ14" s="8" t="str">
        <f t="shared" si="24"/>
        <v/>
      </c>
      <c r="AK14" s="8" t="str">
        <f t="shared" si="24"/>
        <v/>
      </c>
      <c r="AL14" s="8" t="str">
        <f t="shared" si="24"/>
        <v/>
      </c>
      <c r="AM14" s="8" t="str">
        <f t="shared" si="24"/>
        <v/>
      </c>
      <c r="AN14" s="8"/>
      <c r="AO14" s="8"/>
      <c r="AP14" s="41" t="str">
        <f t="shared" ref="AP14:AU14" si="25">AH14</f>
        <v/>
      </c>
      <c r="AQ14" s="8" t="str">
        <f t="shared" si="25"/>
        <v/>
      </c>
      <c r="AR14" s="8" t="str">
        <f t="shared" si="25"/>
        <v/>
      </c>
      <c r="AS14" s="8" t="str">
        <f t="shared" si="25"/>
        <v/>
      </c>
      <c r="AT14" s="8" t="str">
        <f t="shared" si="25"/>
        <v/>
      </c>
      <c r="AU14" s="8" t="str">
        <f t="shared" si="25"/>
        <v/>
      </c>
      <c r="AV14" s="8"/>
      <c r="AW14" s="8"/>
      <c r="AX14" s="41" t="str">
        <f t="shared" ref="AX14:BC14" si="26">AP14</f>
        <v/>
      </c>
      <c r="AY14" s="8" t="str">
        <f t="shared" si="26"/>
        <v/>
      </c>
      <c r="AZ14" s="8" t="str">
        <f t="shared" si="26"/>
        <v/>
      </c>
      <c r="BA14" s="8" t="str">
        <f t="shared" si="26"/>
        <v/>
      </c>
      <c r="BB14" s="8" t="str">
        <f t="shared" si="26"/>
        <v/>
      </c>
      <c r="BC14" s="8" t="str">
        <f t="shared" si="26"/>
        <v/>
      </c>
      <c r="BD14" s="8"/>
      <c r="BE14" s="8"/>
      <c r="BF14" s="41" t="str">
        <f t="shared" ref="BF14:BK14" si="27">AX14</f>
        <v/>
      </c>
      <c r="BG14" s="8" t="str">
        <f t="shared" si="27"/>
        <v/>
      </c>
      <c r="BH14" s="8" t="str">
        <f t="shared" si="27"/>
        <v/>
      </c>
      <c r="BI14" s="8" t="str">
        <f t="shared" si="27"/>
        <v/>
      </c>
      <c r="BJ14" s="8" t="str">
        <f t="shared" si="27"/>
        <v/>
      </c>
      <c r="BK14" s="8" t="str">
        <f t="shared" si="27"/>
        <v/>
      </c>
      <c r="BL14" s="8"/>
      <c r="BM14" s="8"/>
      <c r="BN14" s="41" t="str">
        <f t="shared" ref="BN14:BS14" si="28">BF14</f>
        <v/>
      </c>
      <c r="BO14" s="8" t="str">
        <f t="shared" si="28"/>
        <v/>
      </c>
      <c r="BP14" s="8" t="str">
        <f t="shared" si="28"/>
        <v/>
      </c>
      <c r="BQ14" s="8" t="str">
        <f t="shared" si="28"/>
        <v/>
      </c>
      <c r="BR14" s="8" t="str">
        <f t="shared" si="28"/>
        <v/>
      </c>
      <c r="BS14" s="8" t="str">
        <f t="shared" si="28"/>
        <v/>
      </c>
      <c r="BT14" s="8"/>
      <c r="BU14" s="8"/>
      <c r="BV14" s="41" t="str">
        <f t="shared" ref="BV14:CA14" si="29">BN14</f>
        <v/>
      </c>
      <c r="BW14" s="8" t="str">
        <f t="shared" si="29"/>
        <v/>
      </c>
      <c r="BX14" s="8" t="str">
        <f t="shared" si="29"/>
        <v/>
      </c>
      <c r="BY14" s="8" t="str">
        <f t="shared" si="29"/>
        <v/>
      </c>
      <c r="BZ14" s="8" t="str">
        <f t="shared" si="29"/>
        <v/>
      </c>
      <c r="CA14" s="8" t="str">
        <f t="shared" si="29"/>
        <v/>
      </c>
      <c r="CB14" s="8"/>
      <c r="CC14" s="8"/>
      <c r="CD14" s="41" t="str">
        <f t="shared" ref="CD14:CI14" si="30">BV14</f>
        <v/>
      </c>
      <c r="CE14" s="8" t="str">
        <f t="shared" si="30"/>
        <v/>
      </c>
      <c r="CF14" s="8" t="str">
        <f t="shared" si="30"/>
        <v/>
      </c>
      <c r="CG14" s="8" t="str">
        <f t="shared" si="30"/>
        <v/>
      </c>
      <c r="CH14" s="8" t="str">
        <f t="shared" si="30"/>
        <v/>
      </c>
      <c r="CI14" s="8" t="str">
        <f t="shared" si="30"/>
        <v/>
      </c>
      <c r="CJ14" s="8"/>
      <c r="CK14" s="8"/>
      <c r="CL14" s="41" t="str">
        <f t="shared" ref="CL14:CQ14" si="31">CD14</f>
        <v/>
      </c>
      <c r="CM14" s="8" t="str">
        <f t="shared" si="31"/>
        <v/>
      </c>
      <c r="CN14" s="8" t="str">
        <f t="shared" si="31"/>
        <v/>
      </c>
      <c r="CO14" s="8" t="str">
        <f t="shared" si="31"/>
        <v/>
      </c>
      <c r="CP14" s="8" t="str">
        <f t="shared" si="31"/>
        <v/>
      </c>
      <c r="CQ14" s="8" t="str">
        <f t="shared" si="31"/>
        <v/>
      </c>
      <c r="CR14" s="8"/>
      <c r="CS14" s="8"/>
      <c r="CT14" s="41" t="str">
        <f t="shared" ref="CT14:CY14" si="32">CL14</f>
        <v/>
      </c>
      <c r="CU14" s="8" t="str">
        <f t="shared" si="32"/>
        <v/>
      </c>
      <c r="CV14" s="8" t="str">
        <f t="shared" si="32"/>
        <v/>
      </c>
      <c r="CW14" s="8" t="str">
        <f t="shared" si="32"/>
        <v/>
      </c>
      <c r="CX14" s="8" t="str">
        <f t="shared" si="32"/>
        <v/>
      </c>
      <c r="CY14" s="8" t="str">
        <f t="shared" si="32"/>
        <v/>
      </c>
      <c r="CZ14" s="8"/>
      <c r="DA14" s="8"/>
      <c r="DB14" s="41" t="str">
        <f t="shared" ref="DB14:DG14" si="33">CT14</f>
        <v/>
      </c>
      <c r="DC14" s="8" t="str">
        <f t="shared" si="33"/>
        <v/>
      </c>
      <c r="DD14" s="8" t="str">
        <f t="shared" si="33"/>
        <v/>
      </c>
      <c r="DE14" s="8" t="str">
        <f t="shared" si="33"/>
        <v/>
      </c>
      <c r="DF14" s="8" t="str">
        <f t="shared" si="33"/>
        <v/>
      </c>
      <c r="DG14" s="8" t="str">
        <f t="shared" si="33"/>
        <v/>
      </c>
      <c r="DH14" s="8"/>
      <c r="DI14" s="8"/>
      <c r="DJ14" s="41" t="str">
        <f t="shared" ref="DJ14:DO14" si="34">DB14</f>
        <v/>
      </c>
      <c r="DK14" s="8" t="str">
        <f t="shared" si="34"/>
        <v/>
      </c>
      <c r="DL14" s="8" t="str">
        <f t="shared" si="34"/>
        <v/>
      </c>
      <c r="DM14" s="8" t="str">
        <f t="shared" si="34"/>
        <v/>
      </c>
      <c r="DN14" s="8" t="str">
        <f t="shared" si="34"/>
        <v/>
      </c>
      <c r="DO14" s="8" t="str">
        <f t="shared" si="34"/>
        <v/>
      </c>
      <c r="DP14" s="8"/>
      <c r="DQ14" s="8"/>
      <c r="DR14" s="41" t="str">
        <f t="shared" ref="DR14:DW14" si="35">DJ14</f>
        <v/>
      </c>
      <c r="DS14" s="8" t="str">
        <f t="shared" si="35"/>
        <v/>
      </c>
      <c r="DT14" s="8" t="str">
        <f t="shared" si="35"/>
        <v/>
      </c>
      <c r="DU14" s="8" t="str">
        <f t="shared" si="35"/>
        <v/>
      </c>
      <c r="DV14" s="8" t="str">
        <f t="shared" si="35"/>
        <v/>
      </c>
      <c r="DW14" s="8" t="str">
        <f t="shared" si="35"/>
        <v/>
      </c>
      <c r="DX14" s="8"/>
      <c r="DY14" s="8"/>
      <c r="DZ14" s="41" t="str">
        <f t="shared" ref="DZ14:EE14" si="36">DR14</f>
        <v/>
      </c>
      <c r="EA14" s="8" t="str">
        <f t="shared" si="36"/>
        <v/>
      </c>
      <c r="EB14" s="8" t="str">
        <f t="shared" si="36"/>
        <v/>
      </c>
      <c r="EC14" s="8" t="str">
        <f t="shared" si="36"/>
        <v/>
      </c>
      <c r="ED14" s="8" t="str">
        <f t="shared" si="36"/>
        <v/>
      </c>
      <c r="EE14" s="8" t="str">
        <f t="shared" si="36"/>
        <v/>
      </c>
      <c r="EF14" s="8"/>
      <c r="EG14" s="8"/>
      <c r="EH14" s="41" t="str">
        <f t="shared" ref="EH14:EM14" si="37">DZ14</f>
        <v/>
      </c>
      <c r="EI14" s="8" t="str">
        <f t="shared" si="37"/>
        <v/>
      </c>
      <c r="EJ14" s="8" t="str">
        <f t="shared" si="37"/>
        <v/>
      </c>
      <c r="EK14" s="8" t="str">
        <f t="shared" si="37"/>
        <v/>
      </c>
      <c r="EL14" s="8" t="str">
        <f t="shared" si="37"/>
        <v/>
      </c>
      <c r="EM14" s="8" t="str">
        <f t="shared" si="37"/>
        <v/>
      </c>
      <c r="EN14" s="8"/>
      <c r="EO14" s="8"/>
      <c r="EP14" s="41" t="str">
        <f t="shared" ref="EP14:EU14" si="38">EH14</f>
        <v/>
      </c>
      <c r="EQ14" s="8" t="str">
        <f t="shared" si="38"/>
        <v/>
      </c>
      <c r="ER14" s="8" t="str">
        <f t="shared" si="38"/>
        <v/>
      </c>
      <c r="ES14" s="8" t="str">
        <f t="shared" si="38"/>
        <v/>
      </c>
      <c r="ET14" s="8" t="str">
        <f t="shared" si="38"/>
        <v/>
      </c>
      <c r="EU14" s="8" t="str">
        <f t="shared" si="38"/>
        <v/>
      </c>
      <c r="EV14" s="8"/>
      <c r="EW14" s="8"/>
      <c r="EX14" s="41" t="str">
        <f t="shared" ref="EX14:FC14" si="39">EP14</f>
        <v/>
      </c>
      <c r="EY14" s="8" t="str">
        <f t="shared" si="39"/>
        <v/>
      </c>
      <c r="EZ14" s="8" t="str">
        <f t="shared" si="39"/>
        <v/>
      </c>
      <c r="FA14" s="8" t="str">
        <f t="shared" si="39"/>
        <v/>
      </c>
      <c r="FB14" s="8" t="str">
        <f t="shared" si="39"/>
        <v/>
      </c>
      <c r="FC14" s="8" t="str">
        <f t="shared" si="39"/>
        <v/>
      </c>
      <c r="FD14" s="8"/>
      <c r="FE14" s="8"/>
      <c r="FF14" s="41" t="str">
        <f t="shared" ref="FF14:FK14" si="40">EX14</f>
        <v/>
      </c>
      <c r="FG14" s="8" t="str">
        <f t="shared" si="40"/>
        <v/>
      </c>
      <c r="FH14" s="8" t="str">
        <f t="shared" si="40"/>
        <v/>
      </c>
      <c r="FI14" s="8" t="str">
        <f t="shared" si="40"/>
        <v/>
      </c>
      <c r="FJ14" s="8" t="str">
        <f t="shared" si="40"/>
        <v/>
      </c>
      <c r="FK14" s="8" t="str">
        <f t="shared" si="40"/>
        <v/>
      </c>
      <c r="FL14" s="8"/>
      <c r="FM14" s="8"/>
    </row>
    <row r="15">
      <c r="A15" s="42"/>
      <c r="B15" s="41"/>
      <c r="C15" s="8"/>
      <c r="D15" s="8"/>
      <c r="E15" s="8"/>
      <c r="F15" s="8"/>
      <c r="G15" s="8"/>
      <c r="H15" s="8"/>
      <c r="I15" s="8"/>
      <c r="J15" s="41" t="str">
        <f t="shared" ref="J15:O15" si="41">B15</f>
        <v/>
      </c>
      <c r="K15" s="8" t="str">
        <f t="shared" si="41"/>
        <v/>
      </c>
      <c r="L15" s="8" t="str">
        <f t="shared" si="41"/>
        <v/>
      </c>
      <c r="M15" s="8" t="str">
        <f t="shared" si="41"/>
        <v/>
      </c>
      <c r="N15" s="8" t="str">
        <f t="shared" si="41"/>
        <v/>
      </c>
      <c r="O15" s="8" t="str">
        <f t="shared" si="41"/>
        <v/>
      </c>
      <c r="P15" s="8"/>
      <c r="Q15" s="8"/>
      <c r="R15" s="41" t="str">
        <f t="shared" ref="R15:W15" si="42">J15</f>
        <v/>
      </c>
      <c r="S15" s="8" t="str">
        <f t="shared" si="42"/>
        <v/>
      </c>
      <c r="T15" s="8" t="str">
        <f t="shared" si="42"/>
        <v/>
      </c>
      <c r="U15" s="8" t="str">
        <f t="shared" si="42"/>
        <v/>
      </c>
      <c r="V15" s="8" t="str">
        <f t="shared" si="42"/>
        <v/>
      </c>
      <c r="W15" s="8" t="str">
        <f t="shared" si="42"/>
        <v/>
      </c>
      <c r="X15" s="8"/>
      <c r="Y15" s="8"/>
      <c r="Z15" s="41" t="str">
        <f t="shared" ref="Z15:AE15" si="43">R15</f>
        <v/>
      </c>
      <c r="AA15" s="8" t="str">
        <f t="shared" si="43"/>
        <v/>
      </c>
      <c r="AB15" s="8" t="str">
        <f t="shared" si="43"/>
        <v/>
      </c>
      <c r="AC15" s="8" t="str">
        <f t="shared" si="43"/>
        <v/>
      </c>
      <c r="AD15" s="8" t="str">
        <f t="shared" si="43"/>
        <v/>
      </c>
      <c r="AE15" s="8" t="str">
        <f t="shared" si="43"/>
        <v/>
      </c>
      <c r="AF15" s="8"/>
      <c r="AG15" s="8"/>
      <c r="AH15" s="41" t="str">
        <f t="shared" ref="AH15:AM15" si="44">Z15</f>
        <v/>
      </c>
      <c r="AI15" s="8" t="str">
        <f t="shared" si="44"/>
        <v/>
      </c>
      <c r="AJ15" s="8" t="str">
        <f t="shared" si="44"/>
        <v/>
      </c>
      <c r="AK15" s="8" t="str">
        <f t="shared" si="44"/>
        <v/>
      </c>
      <c r="AL15" s="8" t="str">
        <f t="shared" si="44"/>
        <v/>
      </c>
      <c r="AM15" s="8" t="str">
        <f t="shared" si="44"/>
        <v/>
      </c>
      <c r="AN15" s="8"/>
      <c r="AO15" s="8"/>
      <c r="AP15" s="41" t="str">
        <f t="shared" ref="AP15:AU15" si="45">AH15</f>
        <v/>
      </c>
      <c r="AQ15" s="8" t="str">
        <f t="shared" si="45"/>
        <v/>
      </c>
      <c r="AR15" s="8" t="str">
        <f t="shared" si="45"/>
        <v/>
      </c>
      <c r="AS15" s="8" t="str">
        <f t="shared" si="45"/>
        <v/>
      </c>
      <c r="AT15" s="8" t="str">
        <f t="shared" si="45"/>
        <v/>
      </c>
      <c r="AU15" s="8" t="str">
        <f t="shared" si="45"/>
        <v/>
      </c>
      <c r="AV15" s="8"/>
      <c r="AW15" s="8"/>
      <c r="AX15" s="41" t="str">
        <f t="shared" ref="AX15:BC15" si="46">AP15</f>
        <v/>
      </c>
      <c r="AY15" s="8" t="str">
        <f t="shared" si="46"/>
        <v/>
      </c>
      <c r="AZ15" s="8" t="str">
        <f t="shared" si="46"/>
        <v/>
      </c>
      <c r="BA15" s="8" t="str">
        <f t="shared" si="46"/>
        <v/>
      </c>
      <c r="BB15" s="8" t="str">
        <f t="shared" si="46"/>
        <v/>
      </c>
      <c r="BC15" s="8" t="str">
        <f t="shared" si="46"/>
        <v/>
      </c>
      <c r="BD15" s="8"/>
      <c r="BE15" s="8"/>
      <c r="BF15" s="41" t="str">
        <f t="shared" ref="BF15:BK15" si="47">AX15</f>
        <v/>
      </c>
      <c r="BG15" s="8" t="str">
        <f t="shared" si="47"/>
        <v/>
      </c>
      <c r="BH15" s="8" t="str">
        <f t="shared" si="47"/>
        <v/>
      </c>
      <c r="BI15" s="8" t="str">
        <f t="shared" si="47"/>
        <v/>
      </c>
      <c r="BJ15" s="8" t="str">
        <f t="shared" si="47"/>
        <v/>
      </c>
      <c r="BK15" s="8" t="str">
        <f t="shared" si="47"/>
        <v/>
      </c>
      <c r="BL15" s="8"/>
      <c r="BM15" s="8"/>
      <c r="BN15" s="41" t="str">
        <f t="shared" ref="BN15:BS15" si="48">BF15</f>
        <v/>
      </c>
      <c r="BO15" s="8" t="str">
        <f t="shared" si="48"/>
        <v/>
      </c>
      <c r="BP15" s="8" t="str">
        <f t="shared" si="48"/>
        <v/>
      </c>
      <c r="BQ15" s="8" t="str">
        <f t="shared" si="48"/>
        <v/>
      </c>
      <c r="BR15" s="8" t="str">
        <f t="shared" si="48"/>
        <v/>
      </c>
      <c r="BS15" s="8" t="str">
        <f t="shared" si="48"/>
        <v/>
      </c>
      <c r="BT15" s="8"/>
      <c r="BU15" s="8"/>
      <c r="BV15" s="41" t="str">
        <f t="shared" ref="BV15:CA15" si="49">BN15</f>
        <v/>
      </c>
      <c r="BW15" s="8" t="str">
        <f t="shared" si="49"/>
        <v/>
      </c>
      <c r="BX15" s="8" t="str">
        <f t="shared" si="49"/>
        <v/>
      </c>
      <c r="BY15" s="8" t="str">
        <f t="shared" si="49"/>
        <v/>
      </c>
      <c r="BZ15" s="8" t="str">
        <f t="shared" si="49"/>
        <v/>
      </c>
      <c r="CA15" s="8" t="str">
        <f t="shared" si="49"/>
        <v/>
      </c>
      <c r="CB15" s="8"/>
      <c r="CC15" s="8"/>
      <c r="CD15" s="41" t="str">
        <f t="shared" ref="CD15:CI15" si="50">BV15</f>
        <v/>
      </c>
      <c r="CE15" s="8" t="str">
        <f t="shared" si="50"/>
        <v/>
      </c>
      <c r="CF15" s="8" t="str">
        <f t="shared" si="50"/>
        <v/>
      </c>
      <c r="CG15" s="8" t="str">
        <f t="shared" si="50"/>
        <v/>
      </c>
      <c r="CH15" s="8" t="str">
        <f t="shared" si="50"/>
        <v/>
      </c>
      <c r="CI15" s="8" t="str">
        <f t="shared" si="50"/>
        <v/>
      </c>
      <c r="CJ15" s="8"/>
      <c r="CK15" s="8"/>
      <c r="CL15" s="41" t="str">
        <f t="shared" ref="CL15:CQ15" si="51">CD15</f>
        <v/>
      </c>
      <c r="CM15" s="8" t="str">
        <f t="shared" si="51"/>
        <v/>
      </c>
      <c r="CN15" s="8" t="str">
        <f t="shared" si="51"/>
        <v/>
      </c>
      <c r="CO15" s="8" t="str">
        <f t="shared" si="51"/>
        <v/>
      </c>
      <c r="CP15" s="8" t="str">
        <f t="shared" si="51"/>
        <v/>
      </c>
      <c r="CQ15" s="8" t="str">
        <f t="shared" si="51"/>
        <v/>
      </c>
      <c r="CR15" s="8"/>
      <c r="CS15" s="8"/>
      <c r="CT15" s="41" t="str">
        <f t="shared" ref="CT15:CY15" si="52">CL15</f>
        <v/>
      </c>
      <c r="CU15" s="8" t="str">
        <f t="shared" si="52"/>
        <v/>
      </c>
      <c r="CV15" s="8" t="str">
        <f t="shared" si="52"/>
        <v/>
      </c>
      <c r="CW15" s="8" t="str">
        <f t="shared" si="52"/>
        <v/>
      </c>
      <c r="CX15" s="8" t="str">
        <f t="shared" si="52"/>
        <v/>
      </c>
      <c r="CY15" s="8" t="str">
        <f t="shared" si="52"/>
        <v/>
      </c>
      <c r="CZ15" s="8"/>
      <c r="DA15" s="8"/>
      <c r="DB15" s="41" t="str">
        <f t="shared" ref="DB15:DG15" si="53">CT15</f>
        <v/>
      </c>
      <c r="DC15" s="8" t="str">
        <f t="shared" si="53"/>
        <v/>
      </c>
      <c r="DD15" s="8" t="str">
        <f t="shared" si="53"/>
        <v/>
      </c>
      <c r="DE15" s="8" t="str">
        <f t="shared" si="53"/>
        <v/>
      </c>
      <c r="DF15" s="8" t="str">
        <f t="shared" si="53"/>
        <v/>
      </c>
      <c r="DG15" s="8" t="str">
        <f t="shared" si="53"/>
        <v/>
      </c>
      <c r="DH15" s="8"/>
      <c r="DI15" s="8"/>
      <c r="DJ15" s="41" t="str">
        <f t="shared" ref="DJ15:DO15" si="54">DB15</f>
        <v/>
      </c>
      <c r="DK15" s="8" t="str">
        <f t="shared" si="54"/>
        <v/>
      </c>
      <c r="DL15" s="8" t="str">
        <f t="shared" si="54"/>
        <v/>
      </c>
      <c r="DM15" s="8" t="str">
        <f t="shared" si="54"/>
        <v/>
      </c>
      <c r="DN15" s="8" t="str">
        <f t="shared" si="54"/>
        <v/>
      </c>
      <c r="DO15" s="8" t="str">
        <f t="shared" si="54"/>
        <v/>
      </c>
      <c r="DP15" s="8"/>
      <c r="DQ15" s="8"/>
      <c r="DR15" s="41" t="str">
        <f t="shared" ref="DR15:DW15" si="55">DJ15</f>
        <v/>
      </c>
      <c r="DS15" s="8" t="str">
        <f t="shared" si="55"/>
        <v/>
      </c>
      <c r="DT15" s="8" t="str">
        <f t="shared" si="55"/>
        <v/>
      </c>
      <c r="DU15" s="8" t="str">
        <f t="shared" si="55"/>
        <v/>
      </c>
      <c r="DV15" s="8" t="str">
        <f t="shared" si="55"/>
        <v/>
      </c>
      <c r="DW15" s="8" t="str">
        <f t="shared" si="55"/>
        <v/>
      </c>
      <c r="DX15" s="8"/>
      <c r="DY15" s="8"/>
      <c r="DZ15" s="41" t="str">
        <f t="shared" ref="DZ15:EE15" si="56">DR15</f>
        <v/>
      </c>
      <c r="EA15" s="8" t="str">
        <f t="shared" si="56"/>
        <v/>
      </c>
      <c r="EB15" s="8" t="str">
        <f t="shared" si="56"/>
        <v/>
      </c>
      <c r="EC15" s="8" t="str">
        <f t="shared" si="56"/>
        <v/>
      </c>
      <c r="ED15" s="8" t="str">
        <f t="shared" si="56"/>
        <v/>
      </c>
      <c r="EE15" s="8" t="str">
        <f t="shared" si="56"/>
        <v/>
      </c>
      <c r="EF15" s="8"/>
      <c r="EG15" s="8"/>
      <c r="EH15" s="41" t="str">
        <f t="shared" ref="EH15:EM15" si="57">DZ15</f>
        <v/>
      </c>
      <c r="EI15" s="8" t="str">
        <f t="shared" si="57"/>
        <v/>
      </c>
      <c r="EJ15" s="8" t="str">
        <f t="shared" si="57"/>
        <v/>
      </c>
      <c r="EK15" s="8" t="str">
        <f t="shared" si="57"/>
        <v/>
      </c>
      <c r="EL15" s="8" t="str">
        <f t="shared" si="57"/>
        <v/>
      </c>
      <c r="EM15" s="8" t="str">
        <f t="shared" si="57"/>
        <v/>
      </c>
      <c r="EN15" s="8"/>
      <c r="EO15" s="8"/>
      <c r="EP15" s="41" t="str">
        <f t="shared" ref="EP15:EU15" si="58">EH15</f>
        <v/>
      </c>
      <c r="EQ15" s="8" t="str">
        <f t="shared" si="58"/>
        <v/>
      </c>
      <c r="ER15" s="8" t="str">
        <f t="shared" si="58"/>
        <v/>
      </c>
      <c r="ES15" s="8" t="str">
        <f t="shared" si="58"/>
        <v/>
      </c>
      <c r="ET15" s="8" t="str">
        <f t="shared" si="58"/>
        <v/>
      </c>
      <c r="EU15" s="8" t="str">
        <f t="shared" si="58"/>
        <v/>
      </c>
      <c r="EV15" s="8"/>
      <c r="EW15" s="8"/>
      <c r="EX15" s="41" t="str">
        <f t="shared" ref="EX15:FC15" si="59">EP15</f>
        <v/>
      </c>
      <c r="EY15" s="8" t="str">
        <f t="shared" si="59"/>
        <v/>
      </c>
      <c r="EZ15" s="8" t="str">
        <f t="shared" si="59"/>
        <v/>
      </c>
      <c r="FA15" s="8" t="str">
        <f t="shared" si="59"/>
        <v/>
      </c>
      <c r="FB15" s="8" t="str">
        <f t="shared" si="59"/>
        <v/>
      </c>
      <c r="FC15" s="8" t="str">
        <f t="shared" si="59"/>
        <v/>
      </c>
      <c r="FD15" s="8"/>
      <c r="FE15" s="8"/>
      <c r="FF15" s="41" t="str">
        <f t="shared" ref="FF15:FK15" si="60">EX15</f>
        <v/>
      </c>
      <c r="FG15" s="8" t="str">
        <f t="shared" si="60"/>
        <v/>
      </c>
      <c r="FH15" s="8" t="str">
        <f t="shared" si="60"/>
        <v/>
      </c>
      <c r="FI15" s="8" t="str">
        <f t="shared" si="60"/>
        <v/>
      </c>
      <c r="FJ15" s="8" t="str">
        <f t="shared" si="60"/>
        <v/>
      </c>
      <c r="FK15" s="8" t="str">
        <f t="shared" si="60"/>
        <v/>
      </c>
      <c r="FL15" s="8"/>
      <c r="FM15" s="8"/>
    </row>
    <row r="16">
      <c r="A16" s="43"/>
      <c r="B16" s="44"/>
      <c r="C16" s="45"/>
      <c r="D16" s="45"/>
      <c r="E16" s="45"/>
      <c r="F16" s="45"/>
      <c r="G16" s="45"/>
      <c r="H16" s="45"/>
      <c r="I16" s="45"/>
      <c r="J16" s="44" t="str">
        <f t="shared" ref="J16:O16" si="61">B16</f>
        <v/>
      </c>
      <c r="K16" s="45" t="str">
        <f t="shared" si="61"/>
        <v/>
      </c>
      <c r="L16" s="45" t="str">
        <f t="shared" si="61"/>
        <v/>
      </c>
      <c r="M16" s="45" t="str">
        <f t="shared" si="61"/>
        <v/>
      </c>
      <c r="N16" s="45" t="str">
        <f t="shared" si="61"/>
        <v/>
      </c>
      <c r="O16" s="45" t="str">
        <f t="shared" si="61"/>
        <v/>
      </c>
      <c r="P16" s="45"/>
      <c r="Q16" s="45"/>
      <c r="R16" s="44" t="str">
        <f t="shared" ref="R16:W16" si="62">J16</f>
        <v/>
      </c>
      <c r="S16" s="45" t="str">
        <f t="shared" si="62"/>
        <v/>
      </c>
      <c r="T16" s="45" t="str">
        <f t="shared" si="62"/>
        <v/>
      </c>
      <c r="U16" s="45" t="str">
        <f t="shared" si="62"/>
        <v/>
      </c>
      <c r="V16" s="45" t="str">
        <f t="shared" si="62"/>
        <v/>
      </c>
      <c r="W16" s="45" t="str">
        <f t="shared" si="62"/>
        <v/>
      </c>
      <c r="X16" s="45"/>
      <c r="Y16" s="45"/>
      <c r="Z16" s="44" t="str">
        <f t="shared" ref="Z16:AE16" si="63">R16</f>
        <v/>
      </c>
      <c r="AA16" s="45" t="str">
        <f t="shared" si="63"/>
        <v/>
      </c>
      <c r="AB16" s="45" t="str">
        <f t="shared" si="63"/>
        <v/>
      </c>
      <c r="AC16" s="45" t="str">
        <f t="shared" si="63"/>
        <v/>
      </c>
      <c r="AD16" s="45" t="str">
        <f t="shared" si="63"/>
        <v/>
      </c>
      <c r="AE16" s="45" t="str">
        <f t="shared" si="63"/>
        <v/>
      </c>
      <c r="AF16" s="45"/>
      <c r="AG16" s="45"/>
      <c r="AH16" s="44" t="str">
        <f t="shared" ref="AH16:AM16" si="64">Z16</f>
        <v/>
      </c>
      <c r="AI16" s="45" t="str">
        <f t="shared" si="64"/>
        <v/>
      </c>
      <c r="AJ16" s="45" t="str">
        <f t="shared" si="64"/>
        <v/>
      </c>
      <c r="AK16" s="45" t="str">
        <f t="shared" si="64"/>
        <v/>
      </c>
      <c r="AL16" s="45" t="str">
        <f t="shared" si="64"/>
        <v/>
      </c>
      <c r="AM16" s="45" t="str">
        <f t="shared" si="64"/>
        <v/>
      </c>
      <c r="AN16" s="45"/>
      <c r="AO16" s="45"/>
      <c r="AP16" s="44" t="str">
        <f t="shared" ref="AP16:AU16" si="65">AH16</f>
        <v/>
      </c>
      <c r="AQ16" s="45" t="str">
        <f t="shared" si="65"/>
        <v/>
      </c>
      <c r="AR16" s="45" t="str">
        <f t="shared" si="65"/>
        <v/>
      </c>
      <c r="AS16" s="45" t="str">
        <f t="shared" si="65"/>
        <v/>
      </c>
      <c r="AT16" s="45" t="str">
        <f t="shared" si="65"/>
        <v/>
      </c>
      <c r="AU16" s="45" t="str">
        <f t="shared" si="65"/>
        <v/>
      </c>
      <c r="AV16" s="45"/>
      <c r="AW16" s="45"/>
      <c r="AX16" s="44" t="str">
        <f t="shared" ref="AX16:BC16" si="66">AP16</f>
        <v/>
      </c>
      <c r="AY16" s="45" t="str">
        <f t="shared" si="66"/>
        <v/>
      </c>
      <c r="AZ16" s="45" t="str">
        <f t="shared" si="66"/>
        <v/>
      </c>
      <c r="BA16" s="45" t="str">
        <f t="shared" si="66"/>
        <v/>
      </c>
      <c r="BB16" s="45" t="str">
        <f t="shared" si="66"/>
        <v/>
      </c>
      <c r="BC16" s="45" t="str">
        <f t="shared" si="66"/>
        <v/>
      </c>
      <c r="BD16" s="45"/>
      <c r="BE16" s="45"/>
      <c r="BF16" s="44" t="str">
        <f t="shared" ref="BF16:BK16" si="67">AX16</f>
        <v/>
      </c>
      <c r="BG16" s="45" t="str">
        <f t="shared" si="67"/>
        <v/>
      </c>
      <c r="BH16" s="45" t="str">
        <f t="shared" si="67"/>
        <v/>
      </c>
      <c r="BI16" s="45" t="str">
        <f t="shared" si="67"/>
        <v/>
      </c>
      <c r="BJ16" s="45" t="str">
        <f t="shared" si="67"/>
        <v/>
      </c>
      <c r="BK16" s="45" t="str">
        <f t="shared" si="67"/>
        <v/>
      </c>
      <c r="BL16" s="45"/>
      <c r="BM16" s="45"/>
      <c r="BN16" s="44" t="str">
        <f t="shared" ref="BN16:BS16" si="68">BF16</f>
        <v/>
      </c>
      <c r="BO16" s="45" t="str">
        <f t="shared" si="68"/>
        <v/>
      </c>
      <c r="BP16" s="45" t="str">
        <f t="shared" si="68"/>
        <v/>
      </c>
      <c r="BQ16" s="45" t="str">
        <f t="shared" si="68"/>
        <v/>
      </c>
      <c r="BR16" s="45" t="str">
        <f t="shared" si="68"/>
        <v/>
      </c>
      <c r="BS16" s="45" t="str">
        <f t="shared" si="68"/>
        <v/>
      </c>
      <c r="BT16" s="45"/>
      <c r="BU16" s="45"/>
      <c r="BV16" s="44" t="str">
        <f t="shared" ref="BV16:CA16" si="69">BN16</f>
        <v/>
      </c>
      <c r="BW16" s="45" t="str">
        <f t="shared" si="69"/>
        <v/>
      </c>
      <c r="BX16" s="45" t="str">
        <f t="shared" si="69"/>
        <v/>
      </c>
      <c r="BY16" s="45" t="str">
        <f t="shared" si="69"/>
        <v/>
      </c>
      <c r="BZ16" s="45" t="str">
        <f t="shared" si="69"/>
        <v/>
      </c>
      <c r="CA16" s="45" t="str">
        <f t="shared" si="69"/>
        <v/>
      </c>
      <c r="CB16" s="45"/>
      <c r="CC16" s="45"/>
      <c r="CD16" s="44" t="str">
        <f t="shared" ref="CD16:CI16" si="70">BV16</f>
        <v/>
      </c>
      <c r="CE16" s="45" t="str">
        <f t="shared" si="70"/>
        <v/>
      </c>
      <c r="CF16" s="45" t="str">
        <f t="shared" si="70"/>
        <v/>
      </c>
      <c r="CG16" s="45" t="str">
        <f t="shared" si="70"/>
        <v/>
      </c>
      <c r="CH16" s="45" t="str">
        <f t="shared" si="70"/>
        <v/>
      </c>
      <c r="CI16" s="45" t="str">
        <f t="shared" si="70"/>
        <v/>
      </c>
      <c r="CJ16" s="45"/>
      <c r="CK16" s="45"/>
      <c r="CL16" s="44" t="str">
        <f t="shared" ref="CL16:CQ16" si="71">CD16</f>
        <v/>
      </c>
      <c r="CM16" s="45" t="str">
        <f t="shared" si="71"/>
        <v/>
      </c>
      <c r="CN16" s="45" t="str">
        <f t="shared" si="71"/>
        <v/>
      </c>
      <c r="CO16" s="45" t="str">
        <f t="shared" si="71"/>
        <v/>
      </c>
      <c r="CP16" s="45" t="str">
        <f t="shared" si="71"/>
        <v/>
      </c>
      <c r="CQ16" s="45" t="str">
        <f t="shared" si="71"/>
        <v/>
      </c>
      <c r="CR16" s="45"/>
      <c r="CS16" s="45"/>
      <c r="CT16" s="44" t="str">
        <f t="shared" ref="CT16:CY16" si="72">CL16</f>
        <v/>
      </c>
      <c r="CU16" s="45" t="str">
        <f t="shared" si="72"/>
        <v/>
      </c>
      <c r="CV16" s="45" t="str">
        <f t="shared" si="72"/>
        <v/>
      </c>
      <c r="CW16" s="45" t="str">
        <f t="shared" si="72"/>
        <v/>
      </c>
      <c r="CX16" s="45" t="str">
        <f t="shared" si="72"/>
        <v/>
      </c>
      <c r="CY16" s="45" t="str">
        <f t="shared" si="72"/>
        <v/>
      </c>
      <c r="CZ16" s="45"/>
      <c r="DA16" s="45"/>
      <c r="DB16" s="44" t="str">
        <f t="shared" ref="DB16:DG16" si="73">CT16</f>
        <v/>
      </c>
      <c r="DC16" s="45" t="str">
        <f t="shared" si="73"/>
        <v/>
      </c>
      <c r="DD16" s="45" t="str">
        <f t="shared" si="73"/>
        <v/>
      </c>
      <c r="DE16" s="45" t="str">
        <f t="shared" si="73"/>
        <v/>
      </c>
      <c r="DF16" s="45" t="str">
        <f t="shared" si="73"/>
        <v/>
      </c>
      <c r="DG16" s="45" t="str">
        <f t="shared" si="73"/>
        <v/>
      </c>
      <c r="DH16" s="45"/>
      <c r="DI16" s="45"/>
      <c r="DJ16" s="44" t="str">
        <f t="shared" ref="DJ16:DO16" si="74">DB16</f>
        <v/>
      </c>
      <c r="DK16" s="45" t="str">
        <f t="shared" si="74"/>
        <v/>
      </c>
      <c r="DL16" s="45" t="str">
        <f t="shared" si="74"/>
        <v/>
      </c>
      <c r="DM16" s="45" t="str">
        <f t="shared" si="74"/>
        <v/>
      </c>
      <c r="DN16" s="45" t="str">
        <f t="shared" si="74"/>
        <v/>
      </c>
      <c r="DO16" s="45" t="str">
        <f t="shared" si="74"/>
        <v/>
      </c>
      <c r="DP16" s="45"/>
      <c r="DQ16" s="45"/>
      <c r="DR16" s="44" t="str">
        <f t="shared" ref="DR16:DW16" si="75">DJ16</f>
        <v/>
      </c>
      <c r="DS16" s="45" t="str">
        <f t="shared" si="75"/>
        <v/>
      </c>
      <c r="DT16" s="45" t="str">
        <f t="shared" si="75"/>
        <v/>
      </c>
      <c r="DU16" s="45" t="str">
        <f t="shared" si="75"/>
        <v/>
      </c>
      <c r="DV16" s="45" t="str">
        <f t="shared" si="75"/>
        <v/>
      </c>
      <c r="DW16" s="45" t="str">
        <f t="shared" si="75"/>
        <v/>
      </c>
      <c r="DX16" s="45"/>
      <c r="DY16" s="45"/>
      <c r="DZ16" s="44" t="str">
        <f t="shared" ref="DZ16:EE16" si="76">DR16</f>
        <v/>
      </c>
      <c r="EA16" s="45" t="str">
        <f t="shared" si="76"/>
        <v/>
      </c>
      <c r="EB16" s="45" t="str">
        <f t="shared" si="76"/>
        <v/>
      </c>
      <c r="EC16" s="45" t="str">
        <f t="shared" si="76"/>
        <v/>
      </c>
      <c r="ED16" s="45" t="str">
        <f t="shared" si="76"/>
        <v/>
      </c>
      <c r="EE16" s="45" t="str">
        <f t="shared" si="76"/>
        <v/>
      </c>
      <c r="EF16" s="45"/>
      <c r="EG16" s="45"/>
      <c r="EH16" s="44" t="str">
        <f t="shared" ref="EH16:EM16" si="77">DZ16</f>
        <v/>
      </c>
      <c r="EI16" s="45" t="str">
        <f t="shared" si="77"/>
        <v/>
      </c>
      <c r="EJ16" s="45" t="str">
        <f t="shared" si="77"/>
        <v/>
      </c>
      <c r="EK16" s="45" t="str">
        <f t="shared" si="77"/>
        <v/>
      </c>
      <c r="EL16" s="45" t="str">
        <f t="shared" si="77"/>
        <v/>
      </c>
      <c r="EM16" s="45" t="str">
        <f t="shared" si="77"/>
        <v/>
      </c>
      <c r="EN16" s="45"/>
      <c r="EO16" s="45"/>
      <c r="EP16" s="44" t="str">
        <f t="shared" ref="EP16:EU16" si="78">EH16</f>
        <v/>
      </c>
      <c r="EQ16" s="45" t="str">
        <f t="shared" si="78"/>
        <v/>
      </c>
      <c r="ER16" s="45" t="str">
        <f t="shared" si="78"/>
        <v/>
      </c>
      <c r="ES16" s="45" t="str">
        <f t="shared" si="78"/>
        <v/>
      </c>
      <c r="ET16" s="45" t="str">
        <f t="shared" si="78"/>
        <v/>
      </c>
      <c r="EU16" s="45" t="str">
        <f t="shared" si="78"/>
        <v/>
      </c>
      <c r="EV16" s="45"/>
      <c r="EW16" s="45"/>
      <c r="EX16" s="44" t="str">
        <f t="shared" ref="EX16:FC16" si="79">EP16</f>
        <v/>
      </c>
      <c r="EY16" s="45" t="str">
        <f t="shared" si="79"/>
        <v/>
      </c>
      <c r="EZ16" s="45" t="str">
        <f t="shared" si="79"/>
        <v/>
      </c>
      <c r="FA16" s="45" t="str">
        <f t="shared" si="79"/>
        <v/>
      </c>
      <c r="FB16" s="45" t="str">
        <f t="shared" si="79"/>
        <v/>
      </c>
      <c r="FC16" s="45" t="str">
        <f t="shared" si="79"/>
        <v/>
      </c>
      <c r="FD16" s="45"/>
      <c r="FE16" s="45"/>
      <c r="FF16" s="44" t="str">
        <f t="shared" ref="FF16:FK16" si="80">EX16</f>
        <v/>
      </c>
      <c r="FG16" s="45" t="str">
        <f t="shared" si="80"/>
        <v/>
      </c>
      <c r="FH16" s="45" t="str">
        <f t="shared" si="80"/>
        <v/>
      </c>
      <c r="FI16" s="45" t="str">
        <f t="shared" si="80"/>
        <v/>
      </c>
      <c r="FJ16" s="45" t="str">
        <f t="shared" si="80"/>
        <v/>
      </c>
      <c r="FK16" s="45" t="str">
        <f t="shared" si="80"/>
        <v/>
      </c>
      <c r="FL16" s="45"/>
      <c r="FM16" s="45"/>
    </row>
    <row r="17">
      <c r="A17" s="2"/>
      <c r="B17" s="40"/>
      <c r="C17" s="2"/>
      <c r="D17" s="2"/>
      <c r="E17" s="2"/>
      <c r="F17" s="2"/>
      <c r="G17" s="2"/>
      <c r="H17" s="2"/>
      <c r="I17" s="2"/>
      <c r="J17" s="40"/>
      <c r="K17" s="2"/>
      <c r="L17" s="2"/>
      <c r="M17" s="2"/>
      <c r="N17" s="2"/>
      <c r="O17" s="2"/>
      <c r="P17" s="2"/>
      <c r="Q17" s="2"/>
      <c r="R17" s="40"/>
      <c r="S17" s="2"/>
      <c r="T17" s="2"/>
      <c r="U17" s="2"/>
      <c r="V17" s="2"/>
      <c r="W17" s="2"/>
      <c r="X17" s="2"/>
      <c r="Y17" s="2"/>
      <c r="Z17" s="40"/>
      <c r="AA17" s="2"/>
      <c r="AB17" s="2"/>
      <c r="AC17" s="2"/>
      <c r="AD17" s="2"/>
      <c r="AE17" s="2"/>
      <c r="AF17" s="2"/>
      <c r="AG17" s="2"/>
      <c r="AH17" s="40"/>
      <c r="AI17" s="2"/>
      <c r="AJ17" s="2"/>
      <c r="AK17" s="2"/>
      <c r="AL17" s="2"/>
      <c r="AM17" s="2"/>
      <c r="AN17" s="2"/>
      <c r="AO17" s="2"/>
      <c r="AP17" s="40"/>
      <c r="AQ17" s="2"/>
      <c r="AR17" s="2"/>
      <c r="AS17" s="2"/>
      <c r="AT17" s="2"/>
      <c r="AU17" s="2"/>
      <c r="AV17" s="2"/>
      <c r="AW17" s="2"/>
      <c r="AX17" s="40"/>
      <c r="AY17" s="2"/>
      <c r="AZ17" s="2"/>
      <c r="BA17" s="2"/>
      <c r="BB17" s="2"/>
      <c r="BC17" s="2"/>
      <c r="BD17" s="2"/>
      <c r="BE17" s="2"/>
      <c r="BF17" s="40"/>
      <c r="BG17" s="2"/>
      <c r="BH17" s="2"/>
      <c r="BI17" s="2"/>
      <c r="BJ17" s="2"/>
      <c r="BK17" s="2"/>
      <c r="BL17" s="2"/>
      <c r="BM17" s="2"/>
      <c r="BN17" s="40"/>
      <c r="BO17" s="2"/>
      <c r="BP17" s="2"/>
      <c r="BQ17" s="2"/>
      <c r="BR17" s="2"/>
      <c r="BS17" s="2"/>
      <c r="BT17" s="2"/>
      <c r="BU17" s="2"/>
      <c r="BV17" s="40"/>
      <c r="BW17" s="2"/>
      <c r="BX17" s="2"/>
      <c r="BY17" s="2"/>
      <c r="BZ17" s="2"/>
      <c r="CA17" s="2"/>
      <c r="CB17" s="2"/>
      <c r="CC17" s="2"/>
      <c r="CD17" s="40"/>
      <c r="CE17" s="2"/>
      <c r="CF17" s="2"/>
      <c r="CG17" s="2"/>
      <c r="CH17" s="2"/>
      <c r="CI17" s="2"/>
      <c r="CJ17" s="2"/>
      <c r="CK17" s="2"/>
      <c r="CL17" s="40"/>
      <c r="CM17" s="2"/>
      <c r="CN17" s="2"/>
      <c r="CO17" s="2"/>
      <c r="CP17" s="2"/>
      <c r="CQ17" s="2"/>
      <c r="CR17" s="2"/>
      <c r="CS17" s="2"/>
      <c r="CT17" s="40"/>
      <c r="CU17" s="2"/>
      <c r="CV17" s="2"/>
      <c r="CW17" s="2"/>
      <c r="CX17" s="2"/>
      <c r="CY17" s="2"/>
      <c r="CZ17" s="2"/>
      <c r="DA17" s="2"/>
      <c r="DB17" s="40"/>
      <c r="DC17" s="2"/>
      <c r="DD17" s="2"/>
      <c r="DE17" s="2"/>
      <c r="DF17" s="2"/>
      <c r="DG17" s="2"/>
      <c r="DH17" s="2"/>
      <c r="DI17" s="2"/>
      <c r="DJ17" s="40"/>
      <c r="DK17" s="2"/>
      <c r="DL17" s="2"/>
      <c r="DM17" s="2"/>
      <c r="DN17" s="2"/>
      <c r="DO17" s="2"/>
      <c r="DP17" s="2"/>
      <c r="DQ17" s="2"/>
      <c r="DR17" s="40"/>
      <c r="DS17" s="2"/>
      <c r="DT17" s="2"/>
      <c r="DU17" s="2"/>
      <c r="DV17" s="2"/>
      <c r="DW17" s="2"/>
      <c r="DX17" s="2"/>
      <c r="DY17" s="2"/>
      <c r="DZ17" s="40"/>
      <c r="EA17" s="2"/>
      <c r="EB17" s="2"/>
      <c r="EC17" s="2"/>
      <c r="ED17" s="2"/>
      <c r="EE17" s="2"/>
      <c r="EF17" s="2"/>
      <c r="EG17" s="2"/>
      <c r="EH17" s="40"/>
      <c r="EI17" s="2"/>
      <c r="EJ17" s="2"/>
      <c r="EK17" s="2"/>
      <c r="EL17" s="2"/>
      <c r="EM17" s="2"/>
      <c r="EN17" s="2"/>
      <c r="EO17" s="2"/>
      <c r="EP17" s="40"/>
      <c r="EQ17" s="2"/>
      <c r="ER17" s="2"/>
      <c r="ES17" s="2"/>
      <c r="ET17" s="2"/>
      <c r="EU17" s="2"/>
      <c r="EV17" s="2"/>
      <c r="EW17" s="2"/>
      <c r="EX17" s="40"/>
      <c r="EY17" s="2"/>
      <c r="EZ17" s="2"/>
      <c r="FA17" s="2"/>
      <c r="FB17" s="2"/>
      <c r="FC17" s="2"/>
      <c r="FD17" s="2"/>
      <c r="FE17" s="2"/>
      <c r="FF17" s="40"/>
      <c r="FG17" s="2"/>
      <c r="FH17" s="2"/>
      <c r="FI17" s="2"/>
      <c r="FJ17" s="2"/>
      <c r="FK17" s="2"/>
      <c r="FL17" s="2"/>
      <c r="FM17" s="2"/>
    </row>
    <row r="18">
      <c r="A18" s="31" t="s">
        <v>82</v>
      </c>
      <c r="B18" s="32"/>
      <c r="C18" s="33"/>
      <c r="D18" s="33"/>
      <c r="E18" s="33"/>
      <c r="F18" s="33"/>
      <c r="G18" s="33"/>
      <c r="H18" s="33"/>
      <c r="I18" s="33"/>
      <c r="J18" s="32"/>
      <c r="K18" s="33"/>
      <c r="L18" s="33"/>
      <c r="M18" s="33"/>
      <c r="N18" s="33"/>
      <c r="O18" s="33"/>
      <c r="P18" s="33"/>
      <c r="Q18" s="33"/>
      <c r="R18" s="32"/>
      <c r="S18" s="33"/>
      <c r="T18" s="33"/>
      <c r="U18" s="33"/>
      <c r="V18" s="33"/>
      <c r="W18" s="33"/>
      <c r="X18" s="33"/>
      <c r="Y18" s="33"/>
      <c r="Z18" s="32"/>
      <c r="AA18" s="33"/>
      <c r="AB18" s="33"/>
      <c r="AC18" s="33"/>
      <c r="AD18" s="33"/>
      <c r="AE18" s="33"/>
      <c r="AF18" s="33"/>
      <c r="AG18" s="33"/>
      <c r="AH18" s="32"/>
      <c r="AI18" s="33"/>
      <c r="AJ18" s="33"/>
      <c r="AK18" s="33"/>
      <c r="AL18" s="33"/>
      <c r="AM18" s="33"/>
      <c r="AN18" s="33"/>
      <c r="AO18" s="33"/>
      <c r="AP18" s="32"/>
      <c r="AQ18" s="33"/>
      <c r="AR18" s="33"/>
      <c r="AS18" s="33"/>
      <c r="AT18" s="33"/>
      <c r="AU18" s="33"/>
      <c r="AV18" s="33"/>
      <c r="AW18" s="33"/>
      <c r="AX18" s="32"/>
      <c r="AY18" s="33"/>
      <c r="AZ18" s="33"/>
      <c r="BA18" s="33"/>
      <c r="BB18" s="33"/>
      <c r="BC18" s="33"/>
      <c r="BD18" s="33"/>
      <c r="BE18" s="33"/>
      <c r="BF18" s="32"/>
      <c r="BG18" s="33"/>
      <c r="BH18" s="33"/>
      <c r="BI18" s="33"/>
      <c r="BJ18" s="33"/>
      <c r="BK18" s="33"/>
      <c r="BL18" s="33"/>
      <c r="BM18" s="33"/>
      <c r="BN18" s="32"/>
      <c r="BO18" s="33"/>
      <c r="BP18" s="33"/>
      <c r="BQ18" s="33"/>
      <c r="BR18" s="33"/>
      <c r="BS18" s="33"/>
      <c r="BT18" s="33"/>
      <c r="BU18" s="33"/>
      <c r="BV18" s="32"/>
      <c r="BW18" s="33"/>
      <c r="BX18" s="33"/>
      <c r="BY18" s="33"/>
      <c r="BZ18" s="33"/>
      <c r="CA18" s="33"/>
      <c r="CB18" s="33"/>
      <c r="CC18" s="33"/>
      <c r="CD18" s="32"/>
      <c r="CE18" s="33"/>
      <c r="CF18" s="33"/>
      <c r="CG18" s="33"/>
      <c r="CH18" s="33"/>
      <c r="CI18" s="33"/>
      <c r="CJ18" s="33"/>
      <c r="CK18" s="33"/>
      <c r="CL18" s="32"/>
      <c r="CM18" s="33"/>
      <c r="CN18" s="33"/>
      <c r="CO18" s="33"/>
      <c r="CP18" s="33"/>
      <c r="CQ18" s="33"/>
      <c r="CR18" s="33"/>
      <c r="CS18" s="33"/>
      <c r="CT18" s="32"/>
      <c r="CU18" s="33"/>
      <c r="CV18" s="33"/>
      <c r="CW18" s="33"/>
      <c r="CX18" s="33"/>
      <c r="CY18" s="33"/>
      <c r="CZ18" s="33"/>
      <c r="DA18" s="33"/>
      <c r="DB18" s="32"/>
      <c r="DC18" s="33"/>
      <c r="DD18" s="33"/>
      <c r="DE18" s="33"/>
      <c r="DF18" s="33"/>
      <c r="DG18" s="33"/>
      <c r="DH18" s="33"/>
      <c r="DI18" s="33"/>
      <c r="DJ18" s="32"/>
      <c r="DK18" s="33"/>
      <c r="DL18" s="33"/>
      <c r="DM18" s="33"/>
      <c r="DN18" s="33"/>
      <c r="DO18" s="33"/>
      <c r="DP18" s="33"/>
      <c r="DQ18" s="33"/>
      <c r="DR18" s="32"/>
      <c r="DS18" s="33"/>
      <c r="DT18" s="33"/>
      <c r="DU18" s="33"/>
      <c r="DV18" s="33"/>
      <c r="DW18" s="33"/>
      <c r="DX18" s="33"/>
      <c r="DY18" s="33"/>
      <c r="DZ18" s="32"/>
      <c r="EA18" s="33"/>
      <c r="EB18" s="33"/>
      <c r="EC18" s="33"/>
      <c r="ED18" s="33"/>
      <c r="EE18" s="33"/>
      <c r="EF18" s="33"/>
      <c r="EG18" s="33"/>
      <c r="EH18" s="32"/>
      <c r="EI18" s="33"/>
      <c r="EJ18" s="33"/>
      <c r="EK18" s="33"/>
      <c r="EL18" s="33"/>
      <c r="EM18" s="33"/>
      <c r="EN18" s="33"/>
      <c r="EO18" s="33"/>
      <c r="EP18" s="32"/>
      <c r="EQ18" s="33"/>
      <c r="ER18" s="33"/>
      <c r="ES18" s="33"/>
      <c r="ET18" s="33"/>
      <c r="EU18" s="33"/>
      <c r="EV18" s="33"/>
      <c r="EW18" s="33"/>
      <c r="EX18" s="34" t="s">
        <v>79</v>
      </c>
      <c r="EY18" s="35"/>
      <c r="EZ18" s="35"/>
      <c r="FA18" s="35"/>
      <c r="FB18" s="35"/>
      <c r="FC18" s="35"/>
      <c r="FD18" s="35"/>
      <c r="FE18" s="35"/>
      <c r="FF18" s="32"/>
      <c r="FG18" s="33"/>
      <c r="FH18" s="33"/>
      <c r="FI18" s="33"/>
      <c r="FJ18" s="33"/>
      <c r="FK18" s="33"/>
      <c r="FL18" s="33"/>
      <c r="FM18" s="33"/>
    </row>
    <row r="19" hidden="1">
      <c r="A19" s="36" t="str">
        <f>CONCATENATE(A20," TM")</f>
        <v>Deadlift TM</v>
      </c>
      <c r="B19" s="37">
        <f>if(D19="",'Quick Setup'!D7,D19/'Quick Setup'!E7)</f>
        <v>525</v>
      </c>
      <c r="C19" s="36" t="s">
        <v>77</v>
      </c>
      <c r="D19" s="38"/>
      <c r="E19" s="39"/>
      <c r="F19" s="39"/>
      <c r="G19" s="39"/>
      <c r="H19" s="39"/>
      <c r="I19" s="39"/>
      <c r="J19" s="37">
        <f>if(L19="", if(F20="",B19, if((F20-E20)&lt;-1.9,B19*(1+Setup!F5),if((F20-E20)=-1,B19*(1+Setup!G5),if(G20&lt;D20,B19*(1+Setup!G5),if(G20=D20,B19*(1+Setup!H5),if((G20-D20)=1,B19*(1+Setup!I5),if((G20-D20)=2,B19*(1+Setup!J5),if((G20-D20)=3,B19*(1+Setup!K5),if((G20-D20)=4,B19*(1+Setup!L5),if((G20-D20)&gt;4.1,B19*(1+Setup!M5),B19)))))))))),L19/'Quick Setup'!$E7)</f>
        <v>525</v>
      </c>
      <c r="K19" s="36" t="s">
        <v>77</v>
      </c>
      <c r="L19" s="38"/>
      <c r="M19" s="39"/>
      <c r="N19" s="39"/>
      <c r="O19" s="39"/>
      <c r="P19" s="39"/>
      <c r="Q19" s="39"/>
      <c r="R19" s="37">
        <f>if(T19="", if(N20="",J19, if((N20-M20)&lt;-1.9,J19*(1+Setup!R5),if((N20-M20)=-1,J19*(1+Setup!S5),if(O20&lt;L20,J19*(1+Setup!S5),if(O20=L20,J19*(1+Setup!T5),if((O20-L20)=1,J19*(1+Setup!U5),if((O20-L20)=2,J19*(1+Setup!V5),if((O20-L20)=3,J19*(1+Setup!W5),if((O20-L20)=4,J19*(1+Setup!X5),if((O20-L20)&gt;4.1,J19*(1+Setup!Y5),J19)))))))))),T19/'Quick Setup'!$E7)</f>
        <v>525</v>
      </c>
      <c r="S19" s="36" t="s">
        <v>77</v>
      </c>
      <c r="T19" s="38"/>
      <c r="U19" s="39"/>
      <c r="V19" s="39"/>
      <c r="W19" s="39"/>
      <c r="X19" s="39"/>
      <c r="Y19" s="39"/>
      <c r="Z19" s="37">
        <f>if(AB19="", if(V20="",R19, if((V20-U20)&lt;-1.9,R19*(1+Setup!AD5),if((V20-U20)=-1,R19*(1+Setup!AE5),if(W20&lt;T20,R19*(1+Setup!AE5),if(W20=T20,R19*(1+Setup!AF5),if((W20-T20)=1,R19*(1+Setup!AG5),if((W20-T20)=2,R19*(1+Setup!AH5),if((W20-T20)=3,R19*(1+Setup!AI5),if((W20-T20)=4,R19*(1+Setup!AJ5),if((W20-T20)&gt;4.1,R19*(1+Setup!AK5),R19)))))))))),AB19/'Quick Setup'!$E7)</f>
        <v>525</v>
      </c>
      <c r="AA19" s="36" t="s">
        <v>77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5),if((AD20-AC20)=-1,Z19*(1+Setup!AQ5),if(AE20&lt;AB20,Z19*(1+Setup!AQ5),if(AE20=AB20,Z19*(1+Setup!AR5),if((AE20-AB20)=1,Z19*(1+Setup!AS5),if((AE20-AB20)=2,Z19*(1+Setup!AT5),if((AE20-AB20)=3,Z19*(1+Setup!AU5),if((AE20-AB20)=4,Z19*(1+Setup!AV5),if((AE20-AB20)&gt;4.1,Z19*(1+Setup!AW5),Z19)))))))))),AJ19/'Quick Setup'!$E7)</f>
        <v>525</v>
      </c>
      <c r="AI19" s="36" t="s">
        <v>77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5),if((AL20-AK20)=-1,AH19*(1+Setup!BC5),if(AM20&lt;AJ20,AH19*(1+Setup!BC5),if(AM20=AJ20,AH19*(1+Setup!BD5),if((AM20-AJ20)=1,AH19*(1+Setup!BE5),if((AM20-AJ20)=2,AH19*(1+Setup!BF5),if((AM20-AJ20)=3,AH19*(1+Setup!BG5),if((AM20-AJ20)=4,AH19*(1+Setup!BH5),if((AM20-AJ20)&gt;4.1,AH19*(1+Setup!BI5),AH19)))))))))),AR19/'Quick Setup'!$E7)</f>
        <v>525</v>
      </c>
      <c r="AQ19" s="36" t="s">
        <v>77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5),if((AT20-AS20)=-1,AP19*(1+Setup!BO5),if(AU20&lt;AR20,AP19*(1+Setup!BO5),if(AU20=AR20,AP19*(1+Setup!BP5),if((AU20-AR20)=1,AP19*(1+Setup!BQ5),if((AU20-AR20)=2,AP19*(1+Setup!BR5),if((AU20-AR20)=3,AP19*(1+Setup!BS5),if((AU20-AR20)=4,AP19*(1+Setup!BT5),if((AU20-AR20)&gt;4.1,AP19*(1+Setup!BU5),AP19)))))))))),AZ19/'Quick Setup'!$E7)</f>
        <v>525</v>
      </c>
      <c r="AY19" s="36" t="s">
        <v>77</v>
      </c>
      <c r="AZ19" s="38"/>
      <c r="BA19" s="39"/>
      <c r="BB19" s="39"/>
      <c r="BC19" s="39"/>
      <c r="BD19" s="39"/>
      <c r="BE19" s="39"/>
      <c r="BF19" s="37">
        <f>if(BH19="",AX19,BH19/'Quick Setup'!$E7)</f>
        <v>525</v>
      </c>
      <c r="BG19" s="36" t="s">
        <v>77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5),if((BJ20-BI20)=-1,BF19*(1+Setup!CM5),if(BK20&lt;BH20,BF19*(1+Setup!CM5),if(BK20=BH20,BF19*(1+Setup!CN5),if((BK20-BH20)=1,BF19*(1+Setup!CO5),if((BK20-BH20)=2,BF19*(1+Setup!CP5),if((BK20-BH20)=3,BF19*(1+Setup!CQ5),if((BK20-BH20)=4,BF19*(1+Setup!CR5),if((BK20-BH20)&gt;4.1,BF19*(1+Setup!CS5),BF19)))))))))),BP19/'Quick Setup'!$E7)</f>
        <v>525</v>
      </c>
      <c r="BO19" s="36" t="s">
        <v>77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5),if((BR20-BQ20)=-1,BN19*(1+Setup!CY5),if(BS20&lt;BP20,BN19*(1+Setup!CY5),if(BS20=BP20,BN19*(1+Setup!CZ5),if((BS20-BP20)=1,BN19*(1+Setup!DA5),if((BS20-BP20)=2,BN19*(1+Setup!DB5),if((BS20-BP20)=3,BN19*(1+Setup!DC5),if((BS20-BP20)=4,BN19*(1+Setup!DD5),if((BS20-BP20)&gt;4.1,BN19*(1+Setup!DE5),BN19)))))))))),BX19/'Quick Setup'!$E7)</f>
        <v>525</v>
      </c>
      <c r="BW19" s="36" t="s">
        <v>77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5),if((BZ20-BY20)=-1,BV19*(1+Setup!DK5),if(CA20&lt;BX20,BV19*(1+Setup!DK5),if(CA20=BX20,BV19*(1+Setup!DL5),if((CA20-BX20)=1,BV19*(1+Setup!DM5),if((CA20-BX20)=2,BV19*(1+Setup!DN5),if((CA20-BX20)=3,BV19*(1+Setup!DO5),if((CA20-BX20)=4,BV19*(1+Setup!DP5),if((CA20-BX20)&gt;4.1,BV19*(1+Setup!DQ5),BV19)))))))))),CF19/'Quick Setup'!$E7)</f>
        <v>525</v>
      </c>
      <c r="CE19" s="36" t="s">
        <v>77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5),if((CH20-CG20)=-1,CD19*(1+Setup!DW5),if(CI20&lt;CF20,CD19*(1+Setup!DW5),if(CI20=CF20,CD19*(1+Setup!DX5),if((CI20-CF20)=1,CD19*(1+Setup!DY5),if((CI20-CF20)=2,CD19*(1+Setup!DZ5),if((CI20-CF20)=3,CD19*(1+Setup!EA5),if((CI20-CF20)=4,CD19*(1+Setup!EB5),if((CI20-CF20)&gt;4.1,CD19*(1+Setup!EC5),CD19)))))))))),CN19/'Quick Setup'!$E7)</f>
        <v>525</v>
      </c>
      <c r="CM19" s="36" t="s">
        <v>77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5),if((CP20-CO20)=-1,CL19*(1+Setup!EI5),if(CQ20&lt;CN20,CL19*(1+Setup!EI5),if(CQ20=CN20,CL19*(1+Setup!EJ5),if((CQ20-CN20)=1,CL19*(1+Setup!EK5),if((CQ20-CN20)=2,CL19*(1+Setup!EL5),if((CQ20-CN20)=3,CL19*(1+Setup!EM5),if((CQ20-CN20)=4,CL19*(1+Setup!EN5),if((CQ20-CN20)&gt;4.1,CL19*(1+Setup!EO5),CL19)))))))))),CV19/'Quick Setup'!$E7)</f>
        <v>525</v>
      </c>
      <c r="CU19" s="36" t="s">
        <v>77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5),if((CX20-CW20)=-1,CT19*(1+Setup!EU5),if(CY20&lt;CV20,CT19*(1+Setup!EU5),if(CY20=CV20,CT19*(1+Setup!EV5),if((CY20-CV20)=1,CT19*(1+Setup!EW5),if((CY20-CV20)=2,CT19*(1+Setup!EX5),if((CY20-CV20)=3,CT19*(1+Setup!EY5),if((CY20-CV20)=4,CT19*(1+Setup!EZ5),if((CY20-CV20)&gt;4.1,CT19*(1+Setup!FA5),CT19)))))))))),DD19/'Quick Setup'!$E7)</f>
        <v>525</v>
      </c>
      <c r="DC19" s="36" t="s">
        <v>77</v>
      </c>
      <c r="DD19" s="38"/>
      <c r="DE19" s="39"/>
      <c r="DF19" s="39"/>
      <c r="DG19" s="39"/>
      <c r="DH19" s="39"/>
      <c r="DI19" s="39"/>
      <c r="DJ19" s="37">
        <f>if(DL19="",DB19,DL19/'Quick Setup'!$E7)</f>
        <v>525</v>
      </c>
      <c r="DK19" s="36" t="s">
        <v>77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5),if((DN20-DM20)=-1,DJ19*(1+Setup!FS5),if(DO20&lt;DL20,DJ19*(1+Setup!FS5),if(DO20=DL20,DJ19*(1+Setup!FT5),if((DO20-DL20)=1,DJ19*(1+Setup!FU5),if((DO20-DL20)=2,DJ19*(1+Setup!FV5),if((DO20-DL20)=3,DJ19*(1+Setup!FW5),if((DO20-DL20)=4,DJ19*(1+Setup!FX5),if((DO20-DL20)&gt;4.1,DJ19*(1+Setup!FY5),DJ19)))))))))),DT19/'Quick Setup'!$E7)</f>
        <v>525</v>
      </c>
      <c r="DS19" s="36" t="s">
        <v>77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5),if((DV20-DU20)=-1,DR19*(1+Setup!GE5),if(DW20&lt;DT20,DR19*(1+Setup!GE5),if(DW20=DT20,DR19*(1+Setup!GF5),if((DW20-DT20)=1,DR19*(1+Setup!GG5),if((DW20-DT20)=2,DR19*(1+Setup!GH5),if((DW20-DT20)=3,DR19*(1+Setup!GI5),if((DW20-DT20)=4,DR19*(1+Setup!GJ5),if((DW20-DT20)&gt;4.1,DR19*(1+Setup!GK5),DR19)))))))))),EB19/'Quick Setup'!$E7)</f>
        <v>525</v>
      </c>
      <c r="EA19" s="36" t="s">
        <v>77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5),if((ED20-EC20)=-1,DZ19*(1+Setup!GQ5),if(EE20&lt;EB20,DZ19*(1+Setup!GQ5),if(EE20=EB20,DZ19*(1+Setup!GR5),if((EE20-EB20)=1,DZ19*(1+Setup!GS5),if((EE20-EB20)=2,DZ19*(1+Setup!GT5),if((EE20-EB20)=3,DZ19*(1+Setup!GU5),if((EE20-EB20)=4,DZ19*(1+Setup!GV5),if((EE20-EB20)&gt;4.1,DZ19*(1+Setup!GW5),DZ19)))))))))),EJ19/'Quick Setup'!$E7)</f>
        <v>525</v>
      </c>
      <c r="EI19" s="36" t="s">
        <v>77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5),if((EL20-EK20)=-1,EH19*(1+Setup!HC5),if(EM20&lt;EJ20,EH19*(1+Setup!HC5),if(EM20=EJ20,EH19*(1+Setup!HD5),if((EM20-EJ20)=1,EH19*(1+Setup!HE5),if((EM20-EJ20)=2,EH19*(1+Setup!HF5),if((EM20-EJ20)=3,EH19*(1+Setup!HG5),if((EM20-EJ20)=4,EH19*(1+Setup!HH5),if((EM20-EJ20)&gt;4.1,EH19*(1+Setup!HI5),EH19)))))))))),ER19/'Quick Setup'!$E7)</f>
        <v>525</v>
      </c>
      <c r="EQ19" s="36" t="s">
        <v>77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5),if((ET20-ES20)=-1,EP19*(1+Setup!HO5),if(EU20&lt;ER20,EP19*(1+Setup!HO5),if(EU20=ER20,EP19*(1+Setup!HP5),if((EU20-ER20)=1,EP19*(1+Setup!HQ5),if((EU20-ER20)=2,EP19*(1+Setup!HR5),if((EU20-ER20)=3,EP19*(1+Setup!HS5),if((EU20-ER20)=4,EP19*(1+Setup!HT5),if((EU20-ER20)&gt;4.1,EP19*(1+Setup!HU5),EP19)))))))))),EZ19/'Quick Setup'!$E7)</f>
        <v>525</v>
      </c>
      <c r="EY19" s="36" t="s">
        <v>77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5),if((FB20-FA20)=-1,EX19*(1+Setup!IA5),if(FC20&lt;EZ20,EX19*(1+Setup!IA5),if(FC20=EZ20,EX19*(1+Setup!IB5),if((FC20-EZ20)=1,EX19*(1+Setup!IC5),if((FC20-EZ20)=2,EX19*(1+Setup!ID5),if((FC20-EZ20)=3,EX19*(1+Setup!IE5),if((FC20-EZ20)=4,EX19*(1+Setup!IF5),if((FC20-EZ20)&gt;4.1,EX19*(1+Setup!IG5),EX19)))))))))),FH19/'Quick Setup'!$E7)</f>
        <v>525</v>
      </c>
      <c r="FG19" s="36" t="s">
        <v>77</v>
      </c>
      <c r="FH19" s="38"/>
      <c r="FI19" s="39"/>
      <c r="FJ19" s="39"/>
      <c r="FK19" s="39"/>
      <c r="FL19" s="39"/>
      <c r="FM19" s="39"/>
    </row>
    <row r="20">
      <c r="A20" s="1" t="str">
        <f>Setup!A5</f>
        <v>Deadlift</v>
      </c>
      <c r="B20" s="40">
        <f>mround(B19*Setup!B5,'Quick Setup'!$A$2)</f>
        <v>367.5</v>
      </c>
      <c r="C20" s="2">
        <f>Setup!C5</f>
        <v>5</v>
      </c>
      <c r="D20" s="2">
        <f>Setup!D5</f>
        <v>3</v>
      </c>
      <c r="E20" s="2">
        <f>Setup!E5</f>
        <v>5</v>
      </c>
      <c r="F20" s="8"/>
      <c r="G20" s="8"/>
      <c r="H20" s="8"/>
      <c r="I20" s="8"/>
      <c r="J20" s="40">
        <f>mround(J19*Setup!N5,'Quick Setup'!$A$2)</f>
        <v>395</v>
      </c>
      <c r="K20" s="2">
        <f>Setup!O5</f>
        <v>4</v>
      </c>
      <c r="L20" s="2">
        <f>Setup!P5</f>
        <v>2</v>
      </c>
      <c r="M20" s="2">
        <f>Setup!Q5</f>
        <v>5</v>
      </c>
      <c r="N20" s="8"/>
      <c r="O20" s="8"/>
      <c r="P20" s="8"/>
      <c r="Q20" s="8"/>
      <c r="R20" s="40">
        <f>mround(R19*Setup!Z5,'Quick Setup'!$A$2)</f>
        <v>420</v>
      </c>
      <c r="S20" s="2">
        <f>Setup!AA5</f>
        <v>3</v>
      </c>
      <c r="T20" s="2">
        <f>Setup!AB5</f>
        <v>2</v>
      </c>
      <c r="U20" s="2">
        <f>Setup!AC5</f>
        <v>5</v>
      </c>
      <c r="V20" s="8"/>
      <c r="W20" s="8"/>
      <c r="X20" s="8"/>
      <c r="Y20" s="8"/>
      <c r="Z20" s="40">
        <f>mround(Z19*Setup!AL5,'Quick Setup'!$A$2)</f>
        <v>380</v>
      </c>
      <c r="AA20" s="2">
        <f>Setup!AM5</f>
        <v>5</v>
      </c>
      <c r="AB20" s="2">
        <f>Setup!AN5</f>
        <v>3</v>
      </c>
      <c r="AC20" s="2">
        <f>Setup!AO5</f>
        <v>5</v>
      </c>
      <c r="AD20" s="8"/>
      <c r="AE20" s="8"/>
      <c r="AF20" s="8"/>
      <c r="AG20" s="8"/>
      <c r="AH20" s="40">
        <f>mround(AH19*Setup!AX5,'Quick Setup'!$A$2)</f>
        <v>407.5</v>
      </c>
      <c r="AI20" s="2">
        <f>Setup!AY5</f>
        <v>4</v>
      </c>
      <c r="AJ20" s="2">
        <f>Setup!AZ5</f>
        <v>2</v>
      </c>
      <c r="AK20" s="2">
        <f>Setup!BA5</f>
        <v>5</v>
      </c>
      <c r="AL20" s="8"/>
      <c r="AM20" s="8"/>
      <c r="AN20" s="8"/>
      <c r="AO20" s="8"/>
      <c r="AP20" s="40">
        <f>mround(AP19*Setup!BJ5,'Quick Setup'!$A$2)</f>
        <v>432.5</v>
      </c>
      <c r="AQ20" s="2">
        <f>Setup!BK5</f>
        <v>3</v>
      </c>
      <c r="AR20" s="2">
        <f>Setup!BL5</f>
        <v>2</v>
      </c>
      <c r="AS20" s="2">
        <f>Setup!BM5</f>
        <v>5</v>
      </c>
      <c r="AT20" s="8"/>
      <c r="AU20" s="8"/>
      <c r="AV20" s="8"/>
      <c r="AW20" s="8"/>
      <c r="AX20" s="40">
        <f>mround(AX19*Setup!BV5,'Quick Setup'!$A$2)</f>
        <v>315</v>
      </c>
      <c r="AY20" s="1">
        <v>5.0</v>
      </c>
      <c r="AZ20" s="1" t="s">
        <v>80</v>
      </c>
      <c r="BA20" s="2">
        <f>Setup!BY5</f>
        <v>5</v>
      </c>
      <c r="BB20" s="8"/>
      <c r="BC20" s="8"/>
      <c r="BD20" s="8"/>
      <c r="BE20" s="8"/>
      <c r="BF20" s="40">
        <f>mround(BF19*Setup!CH5,'Quick Setup'!$A$2)</f>
        <v>395</v>
      </c>
      <c r="BG20" s="2">
        <f>Setup!CI5</f>
        <v>4</v>
      </c>
      <c r="BH20" s="2">
        <f>Setup!CJ5</f>
        <v>2</v>
      </c>
      <c r="BI20" s="2">
        <f>Setup!CK5</f>
        <v>5</v>
      </c>
      <c r="BJ20" s="8"/>
      <c r="BK20" s="8"/>
      <c r="BL20" s="8"/>
      <c r="BM20" s="8"/>
      <c r="BN20" s="40">
        <f>mround(BN19*Setup!CT5,'Quick Setup'!$A$2)</f>
        <v>420</v>
      </c>
      <c r="BO20" s="2">
        <f>Setup!CU5</f>
        <v>3</v>
      </c>
      <c r="BP20" s="2">
        <f>Setup!CV5</f>
        <v>2</v>
      </c>
      <c r="BQ20" s="2">
        <f>Setup!CW5</f>
        <v>5</v>
      </c>
      <c r="BR20" s="8"/>
      <c r="BS20" s="8"/>
      <c r="BT20" s="8"/>
      <c r="BU20" s="8"/>
      <c r="BV20" s="40">
        <f>mround(BV19*Setup!DF5,'Quick Setup'!$A$2)</f>
        <v>447.5</v>
      </c>
      <c r="BW20" s="2">
        <f>Setup!DG5</f>
        <v>2</v>
      </c>
      <c r="BX20" s="2">
        <f>Setup!DH5</f>
        <v>1</v>
      </c>
      <c r="BY20" s="2">
        <f>Setup!DI5</f>
        <v>5</v>
      </c>
      <c r="BZ20" s="8"/>
      <c r="CA20" s="8"/>
      <c r="CB20" s="8"/>
      <c r="CC20" s="8"/>
      <c r="CD20" s="40">
        <f>mround(CD19*Setup!DR5,'Quick Setup'!$A$2)</f>
        <v>407.5</v>
      </c>
      <c r="CE20" s="2">
        <f>Setup!DS5</f>
        <v>4</v>
      </c>
      <c r="CF20" s="2">
        <f>Setup!DT5</f>
        <v>2</v>
      </c>
      <c r="CG20" s="2">
        <f>Setup!DU5</f>
        <v>5</v>
      </c>
      <c r="CH20" s="8"/>
      <c r="CI20" s="8"/>
      <c r="CJ20" s="8"/>
      <c r="CK20" s="8"/>
      <c r="CL20" s="40">
        <f>mround(CL19*Setup!ED5,'Quick Setup'!$A$2)</f>
        <v>432.5</v>
      </c>
      <c r="CM20" s="2">
        <f>Setup!EE5</f>
        <v>3</v>
      </c>
      <c r="CN20" s="2">
        <f>Setup!EF5</f>
        <v>2</v>
      </c>
      <c r="CO20" s="2">
        <f>Setup!EG5</f>
        <v>5</v>
      </c>
      <c r="CP20" s="8"/>
      <c r="CQ20" s="8"/>
      <c r="CR20" s="8"/>
      <c r="CS20" s="8"/>
      <c r="CT20" s="40">
        <f>mround(CT19*Setup!EP5,'Quick Setup'!$A$2)</f>
        <v>460</v>
      </c>
      <c r="CU20" s="2">
        <f>Setup!EQ5</f>
        <v>2</v>
      </c>
      <c r="CV20" s="2">
        <f>Setup!ER5</f>
        <v>1</v>
      </c>
      <c r="CW20" s="2">
        <f>Setup!ES5</f>
        <v>5</v>
      </c>
      <c r="CX20" s="8"/>
      <c r="CY20" s="8"/>
      <c r="CZ20" s="8"/>
      <c r="DA20" s="8"/>
      <c r="DB20" s="40">
        <f>mround(DB19*Setup!FB5,'Quick Setup'!$A$2)</f>
        <v>315</v>
      </c>
      <c r="DC20" s="1">
        <v>5.0</v>
      </c>
      <c r="DD20" s="1" t="s">
        <v>80</v>
      </c>
      <c r="DE20" s="2">
        <f>Setup!FE5</f>
        <v>5</v>
      </c>
      <c r="DF20" s="8"/>
      <c r="DG20" s="8"/>
      <c r="DH20" s="8"/>
      <c r="DI20" s="8"/>
      <c r="DJ20" s="40">
        <f>mround(DJ19*Setup!FN5,'Quick Setup'!$A$2)</f>
        <v>420</v>
      </c>
      <c r="DK20" s="2">
        <f>Setup!FO5</f>
        <v>3</v>
      </c>
      <c r="DL20" s="2">
        <f>Setup!FP5</f>
        <v>2</v>
      </c>
      <c r="DM20" s="2">
        <f>Setup!FQ5</f>
        <v>5</v>
      </c>
      <c r="DN20" s="8"/>
      <c r="DO20" s="8"/>
      <c r="DP20" s="8"/>
      <c r="DQ20" s="8"/>
      <c r="DR20" s="40">
        <f>mround(DR19*Setup!FZ5,'Quick Setup'!$A$2)</f>
        <v>447.5</v>
      </c>
      <c r="DS20" s="2">
        <f>Setup!GA5</f>
        <v>2</v>
      </c>
      <c r="DT20" s="2">
        <f>Setup!GB5</f>
        <v>1</v>
      </c>
      <c r="DU20" s="2">
        <f>Setup!GC5</f>
        <v>5</v>
      </c>
      <c r="DV20" s="8"/>
      <c r="DW20" s="8"/>
      <c r="DX20" s="8"/>
      <c r="DY20" s="8"/>
      <c r="DZ20" s="40">
        <f>mround(DZ19*Setup!GL5,'Quick Setup'!$A$2)</f>
        <v>472.5</v>
      </c>
      <c r="EA20" s="2">
        <f>Setup!GM5</f>
        <v>1</v>
      </c>
      <c r="EB20" s="2">
        <f>Setup!GN5</f>
        <v>1</v>
      </c>
      <c r="EC20" s="2">
        <f>Setup!GO5</f>
        <v>5</v>
      </c>
      <c r="ED20" s="8"/>
      <c r="EE20" s="8"/>
      <c r="EF20" s="8"/>
      <c r="EG20" s="8"/>
      <c r="EH20" s="40">
        <f>mround(EH19*Setup!GX5,'Quick Setup'!$A$2)</f>
        <v>447.5</v>
      </c>
      <c r="EI20" s="2">
        <f>Setup!GY5</f>
        <v>2</v>
      </c>
      <c r="EJ20" s="2">
        <f>Setup!GZ5</f>
        <v>1</v>
      </c>
      <c r="EK20" s="2">
        <f>Setup!HA5</f>
        <v>5</v>
      </c>
      <c r="EL20" s="8"/>
      <c r="EM20" s="8"/>
      <c r="EN20" s="8"/>
      <c r="EO20" s="8"/>
      <c r="EP20" s="40">
        <f>mround(EP19*Setup!HJ5,'Quick Setup'!$A$2)</f>
        <v>472.5</v>
      </c>
      <c r="EQ20" s="2">
        <f>Setup!HK5</f>
        <v>1</v>
      </c>
      <c r="ER20" s="2">
        <f>Setup!HL5</f>
        <v>1</v>
      </c>
      <c r="ES20" s="2">
        <f>Setup!HM5</f>
        <v>5</v>
      </c>
      <c r="ET20" s="8"/>
      <c r="EU20" s="8"/>
      <c r="EV20" s="8"/>
      <c r="EW20" s="8"/>
      <c r="EX20" s="40">
        <f>mround(EX19*Setup!HV5,'Quick Setup'!$A$2)</f>
        <v>500</v>
      </c>
      <c r="EY20" s="2">
        <f>Setup!HW5</f>
        <v>1</v>
      </c>
      <c r="EZ20" s="2">
        <f>Setup!HX5</f>
        <v>1</v>
      </c>
      <c r="FA20" s="2">
        <f>Setup!HY5</f>
        <v>5</v>
      </c>
      <c r="FB20" s="8"/>
      <c r="FC20" s="8"/>
      <c r="FD20" s="8"/>
      <c r="FE20" s="8"/>
      <c r="FF20" s="40">
        <f>mround(FF19*Setup!IH5,'Quick Setup'!$A$2)</f>
        <v>315</v>
      </c>
      <c r="FG20" s="1">
        <v>5.0</v>
      </c>
      <c r="FH20" s="1" t="s">
        <v>80</v>
      </c>
      <c r="FI20" s="2">
        <f>Setup!IK5</f>
        <v>5</v>
      </c>
      <c r="FJ20" s="8"/>
      <c r="FK20" s="8"/>
      <c r="FL20" s="8"/>
      <c r="FM20" s="8"/>
    </row>
    <row r="21" hidden="1">
      <c r="A21" s="36" t="str">
        <f>CONCATENATE(A22," TM")</f>
        <v>OHP TM</v>
      </c>
      <c r="B21" s="37">
        <f>if(D21="",'Quick Setup'!D8,D21/'Quick Setup'!E8)</f>
        <v>200</v>
      </c>
      <c r="C21" s="36" t="s">
        <v>77</v>
      </c>
      <c r="D21" s="38"/>
      <c r="E21" s="39"/>
      <c r="F21" s="39"/>
      <c r="G21" s="39"/>
      <c r="H21" s="39"/>
      <c r="I21" s="39"/>
      <c r="J21" s="37">
        <f>if(L21="", if(F22="",B21, if((F22-E22)&lt;-1.9,B21*(1+Setup!F6),if((F22-E22)=-1,B21*(1+Setup!G6),if(G22&lt;D22,B21*(1+Setup!G6),if(G22=D22,B21*(1+Setup!H6),if((G22-D22)=1,B21*(1+Setup!I6),if((G22-D22)=2,B21*(1+Setup!J6),if((G22-D22)=3,B21*(1+Setup!K6),if((G22-D22)=4,B21*(1+Setup!L6),if((G22-D22)&gt;4.1,B21*(1+Setup!M6),B21)))))))))),L21/'Quick Setup'!$E8)</f>
        <v>200</v>
      </c>
      <c r="K21" s="36" t="s">
        <v>77</v>
      </c>
      <c r="L21" s="38"/>
      <c r="M21" s="39"/>
      <c r="N21" s="39"/>
      <c r="O21" s="39"/>
      <c r="P21" s="39"/>
      <c r="Q21" s="39"/>
      <c r="R21" s="37">
        <f>if(T21="", if(N22="",J21, if((N22-M22)&lt;-1.9,J21*(1+Setup!R6),if((N22-M22)=-1,J21*(1+Setup!S6),if(O22&lt;L22,J21*(1+Setup!S6),if(O22=L22,J21*(1+Setup!T6),if((O22-L22)=1,J21*(1+Setup!U6),if((O22-L22)=2,J21*(1+Setup!V6),if((O22-L22)=3,J21*(1+Setup!W6),if((O22-L22)=4,J21*(1+Setup!X6),if((O22-L22)&gt;4.1,J21*(1+Setup!Y6),J21)))))))))),T21/'Quick Setup'!$E8)</f>
        <v>200</v>
      </c>
      <c r="S21" s="36" t="s">
        <v>77</v>
      </c>
      <c r="T21" s="38"/>
      <c r="U21" s="39"/>
      <c r="V21" s="39"/>
      <c r="W21" s="39"/>
      <c r="X21" s="39"/>
      <c r="Y21" s="39"/>
      <c r="Z21" s="37">
        <f>if(AB21="", if(V22="",R21, if((V22-U22)&lt;-1.9,R21*(1+Setup!AD6),if((V22-U22)=-1,R21*(1+Setup!AE6),if(W22&lt;T22,R21*(1+Setup!AE6),if(W22=T22,R21*(1+Setup!AF6),if((W22-T22)=1,R21*(1+Setup!AG6),if((W22-T22)=2,R21*(1+Setup!AH6),if((W22-T22)=3,R21*(1+Setup!AI6),if((W22-T22)=4,R21*(1+Setup!AJ6),if((W22-T22)&gt;4.1,R21*(1+Setup!AK6),R21)))))))))),AB21/'Quick Setup'!$E8)</f>
        <v>200</v>
      </c>
      <c r="AA21" s="36" t="s">
        <v>77</v>
      </c>
      <c r="AB21" s="38"/>
      <c r="AC21" s="39"/>
      <c r="AD21" s="39"/>
      <c r="AE21" s="39"/>
      <c r="AF21" s="39"/>
      <c r="AG21" s="39"/>
      <c r="AH21" s="37">
        <f>if(AJ21="", if(AD22="",Z21, if((AD22-AC22)&lt;-1.9,Z21*(1+Setup!AP6),if((AD22-AC22)=-1,Z21*(1+Setup!AQ6),if(AE22&lt;AB22,Z21*(1+Setup!AQ6),if(AE22=AB22,Z21*(1+Setup!AR6),if((AE22-AB22)=1,Z21*(1+Setup!AS6),if((AE22-AB22)=2,Z21*(1+Setup!AT6),if((AE22-AB22)=3,Z21*(1+Setup!AU6),if((AE22-AB22)=4,Z21*(1+Setup!AV6),if((AE22-AB22)&gt;4.1,Z21*(1+Setup!AW6),Z21)))))))))),AJ21/'Quick Setup'!$E8)</f>
        <v>200</v>
      </c>
      <c r="AI21" s="36" t="s">
        <v>77</v>
      </c>
      <c r="AJ21" s="38"/>
      <c r="AK21" s="39"/>
      <c r="AL21" s="39"/>
      <c r="AM21" s="39"/>
      <c r="AN21" s="39"/>
      <c r="AO21" s="39"/>
      <c r="AP21" s="37">
        <f>if(AR21="", if(AL22="",AH21, if((AL22-AK22)&lt;-1.9,AH21*(1+Setup!BB6),if((AL22-AK22)=-1,AH21*(1+Setup!BC6),if(AM22&lt;AJ22,AH21*(1+Setup!BC6),if(AM22=AJ22,AH21*(1+Setup!BD6),if((AM22-AJ22)=1,AH21*(1+Setup!BE6),if((AM22-AJ22)=2,AH21*(1+Setup!BF6),if((AM22-AJ22)=3,AH21*(1+Setup!BG6),if((AM22-AJ22)=4,AH21*(1+Setup!BH6),if((AM22-AJ22)&gt;4.1,AH21*(1+Setup!BI6),AH21)))))))))),AR21/'Quick Setup'!$E8)</f>
        <v>200</v>
      </c>
      <c r="AQ21" s="36" t="s">
        <v>77</v>
      </c>
      <c r="AR21" s="38"/>
      <c r="AS21" s="39"/>
      <c r="AT21" s="39"/>
      <c r="AU21" s="39"/>
      <c r="AV21" s="39"/>
      <c r="AW21" s="39"/>
      <c r="AX21" s="37">
        <f>if(AZ21="", if(AT22="",AP21, if((AT22-AS22)&lt;-1.9,AP21*(1+Setup!BN6),if((AT22-AS22)=-1,AP21*(1+Setup!BO6),if(AU22&lt;AR22,AP21*(1+Setup!BO6),if(AU22=AR22,AP21*(1+Setup!BP6),if((AU22-AR22)=1,AP21*(1+Setup!BQ6),if((AU22-AR22)=2,AP21*(1+Setup!BR6),if((AU22-AR22)=3,AP21*(1+Setup!BS6),if((AU22-AR22)=4,AP21*(1+Setup!BT6),if((AU22-AR22)&gt;4.1,AP21*(1+Setup!BU6),AP21)))))))))),AZ21/'Quick Setup'!$E8)</f>
        <v>200</v>
      </c>
      <c r="AY21" s="36" t="s">
        <v>77</v>
      </c>
      <c r="AZ21" s="38"/>
      <c r="BA21" s="39"/>
      <c r="BB21" s="39"/>
      <c r="BC21" s="39"/>
      <c r="BD21" s="39"/>
      <c r="BE21" s="39"/>
      <c r="BF21" s="37">
        <f>if(BH21="",AX21,BH21/'Quick Setup'!$E8)</f>
        <v>200</v>
      </c>
      <c r="BG21" s="36" t="s">
        <v>77</v>
      </c>
      <c r="BH21" s="38"/>
      <c r="BI21" s="39"/>
      <c r="BJ21" s="39"/>
      <c r="BK21" s="39"/>
      <c r="BL21" s="39"/>
      <c r="BM21" s="39"/>
      <c r="BN21" s="37">
        <f>if(BP21="", if(BJ22="",BF21, if((BJ22-BI22)&lt;-1.9,BF21*(1+Setup!CL6),if((BJ22-BI22)=-1,BF21*(1+Setup!CM6),if(BK22&lt;BH22,BF21*(1+Setup!CM6),if(BK22=BH22,BF21*(1+Setup!CN6),if((BK22-BH22)=1,BF21*(1+Setup!CO6),if((BK22-BH22)=2,BF21*(1+Setup!CP6),if((BK22-BH22)=3,BF21*(1+Setup!CQ6),if((BK22-BH22)=4,BF21*(1+Setup!CR6),if((BK22-BH22)&gt;4.1,BF21*(1+Setup!CS6),BF21)))))))))),BP21/'Quick Setup'!$E8)</f>
        <v>200</v>
      </c>
      <c r="BO21" s="36" t="s">
        <v>77</v>
      </c>
      <c r="BP21" s="38"/>
      <c r="BQ21" s="39"/>
      <c r="BR21" s="39"/>
      <c r="BS21" s="39"/>
      <c r="BT21" s="39"/>
      <c r="BU21" s="39"/>
      <c r="BV21" s="37">
        <f>if(BX21="", if(BR22="",BN21, if((BR22-BQ22)&lt;-1.9,BN21*(1+Setup!CX6),if((BR22-BQ22)=-1,BN21*(1+Setup!CY6),if(BS22&lt;BP22,BN21*(1+Setup!CY6),if(BS22=BP22,BN21*(1+Setup!CZ6),if((BS22-BP22)=1,BN21*(1+Setup!DA6),if((BS22-BP22)=2,BN21*(1+Setup!DB6),if((BS22-BP22)=3,BN21*(1+Setup!DC6),if((BS22-BP22)=4,BN21*(1+Setup!DD6),if((BS22-BP22)&gt;4.1,BN21*(1+Setup!DE6),BN21)))))))))),BX21/'Quick Setup'!$E8)</f>
        <v>200</v>
      </c>
      <c r="BW21" s="36" t="s">
        <v>77</v>
      </c>
      <c r="BX21" s="38"/>
      <c r="BY21" s="39"/>
      <c r="BZ21" s="39"/>
      <c r="CA21" s="39"/>
      <c r="CB21" s="39"/>
      <c r="CC21" s="39"/>
      <c r="CD21" s="37">
        <f>if(CF21="", if(BZ22="",BV21, if((BZ22-BY22)&lt;-1.9,BV21*(1+Setup!DJ6),if((BZ22-BY22)=-1,BV21*(1+Setup!DK6),if(CA22&lt;BX22,BV21*(1+Setup!DK6),if(CA22=BX22,BV21*(1+Setup!DL6),if((CA22-BX22)=1,BV21*(1+Setup!DM6),if((CA22-BX22)=2,BV21*(1+Setup!DN6),if((CA22-BX22)=3,BV21*(1+Setup!DO6),if((CA22-BX22)=4,BV21*(1+Setup!DP6),if((CA22-BX22)&gt;4.1,BV21*(1+Setup!DQ6),BV21)))))))))),CF21/'Quick Setup'!$E8)</f>
        <v>200</v>
      </c>
      <c r="CE21" s="36" t="s">
        <v>77</v>
      </c>
      <c r="CF21" s="38"/>
      <c r="CG21" s="39"/>
      <c r="CH21" s="39"/>
      <c r="CI21" s="39"/>
      <c r="CJ21" s="39"/>
      <c r="CK21" s="39"/>
      <c r="CL21" s="37">
        <f>if(CN21="", if(CH22="",CD21, if((CH22-CG22)&lt;-1.9,CD21*(1+Setup!DV6),if((CH22-CG22)=-1,CD21*(1+Setup!DW6),if(CI22&lt;CF22,CD21*(1+Setup!DW6),if(CI22=CF22,CD21*(1+Setup!DX6),if((CI22-CF22)=1,CD21*(1+Setup!DY6),if((CI22-CF22)=2,CD21*(1+Setup!DZ6),if((CI22-CF22)=3,CD21*(1+Setup!EA6),if((CI22-CF22)=4,CD21*(1+Setup!EB6),if((CI22-CF22)&gt;4.1,CD21*(1+Setup!EC6),CD21)))))))))),CN21/'Quick Setup'!$E8)</f>
        <v>200</v>
      </c>
      <c r="CM21" s="36" t="s">
        <v>77</v>
      </c>
      <c r="CN21" s="38"/>
      <c r="CO21" s="39"/>
      <c r="CP21" s="39"/>
      <c r="CQ21" s="39"/>
      <c r="CR21" s="39"/>
      <c r="CS21" s="39"/>
      <c r="CT21" s="37">
        <f>if(CV21="", if(CP22="",CL21, if((CP22-CO22)&lt;-1.9,CL21*(1+Setup!EH6),if((CP22-CO22)=-1,CL21*(1+Setup!EI6),if(CQ22&lt;CN22,CL21*(1+Setup!EI6),if(CQ22=CN22,CL21*(1+Setup!EJ6),if((CQ22-CN22)=1,CL21*(1+Setup!EK6),if((CQ22-CN22)=2,CL21*(1+Setup!EL6),if((CQ22-CN22)=3,CL21*(1+Setup!EM6),if((CQ22-CN22)=4,CL21*(1+Setup!EN6),if((CQ22-CN22)&gt;4.1,CL21*(1+Setup!EO6),CL21)))))))))),CV21/'Quick Setup'!$E8)</f>
        <v>200</v>
      </c>
      <c r="CU21" s="36" t="s">
        <v>77</v>
      </c>
      <c r="CV21" s="38"/>
      <c r="CW21" s="39"/>
      <c r="CX21" s="39"/>
      <c r="CY21" s="39"/>
      <c r="CZ21" s="39"/>
      <c r="DA21" s="39"/>
      <c r="DB21" s="37">
        <f>if(DD21="", if(CX22="",CT21, if((CX22-CW22)&lt;-1.9,CT21*(1+Setup!ET6),if((CX22-CW22)=-1,CT21*(1+Setup!EU6),if(CY22&lt;CV22,CT21*(1+Setup!EU6),if(CY22=CV22,CT21*(1+Setup!EV6),if((CY22-CV22)=1,CT21*(1+Setup!EW6),if((CY22-CV22)=2,CT21*(1+Setup!EX6),if((CY22-CV22)=3,CT21*(1+Setup!EY6),if((CY22-CV22)=4,CT21*(1+Setup!EZ6),if((CY22-CV22)&gt;4.1,CT21*(1+Setup!FA6),CT21)))))))))),DD21/'Quick Setup'!$E8)</f>
        <v>200</v>
      </c>
      <c r="DC21" s="36" t="s">
        <v>77</v>
      </c>
      <c r="DD21" s="38"/>
      <c r="DE21" s="39"/>
      <c r="DF21" s="39"/>
      <c r="DG21" s="39"/>
      <c r="DH21" s="39"/>
      <c r="DI21" s="39"/>
      <c r="DJ21" s="37">
        <f>if(DL21="",DB21,DL21/'Quick Setup'!$E8)</f>
        <v>200</v>
      </c>
      <c r="DK21" s="36" t="s">
        <v>77</v>
      </c>
      <c r="DL21" s="38"/>
      <c r="DM21" s="39"/>
      <c r="DN21" s="39"/>
      <c r="DO21" s="39"/>
      <c r="DP21" s="39"/>
      <c r="DQ21" s="39"/>
      <c r="DR21" s="37">
        <f>if(DT21="", if(DN22="",DJ21, if((DN22-DM22)&lt;-1.9,DJ21*(1+Setup!FR6),if((DN22-DM22)=-1,DJ21*(1+Setup!FS6),if(DO22&lt;DL22,DJ21*(1+Setup!FS6),if(DO22=DL22,DJ21*(1+Setup!FT6),if((DO22-DL22)=1,DJ21*(1+Setup!FU6),if((DO22-DL22)=2,DJ21*(1+Setup!FV6),if((DO22-DL22)=3,DJ21*(1+Setup!FW6),if((DO22-DL22)=4,DJ21*(1+Setup!FX6),if((DO22-DL22)&gt;4.1,DJ21*(1+Setup!FY6),DJ21)))))))))),DT21/'Quick Setup'!$E8)</f>
        <v>200</v>
      </c>
      <c r="DS21" s="36" t="s">
        <v>77</v>
      </c>
      <c r="DT21" s="38"/>
      <c r="DU21" s="39"/>
      <c r="DV21" s="39"/>
      <c r="DW21" s="39"/>
      <c r="DX21" s="39"/>
      <c r="DY21" s="39"/>
      <c r="DZ21" s="37">
        <f>if(EB21="", if(DV22="",DR21, if((DV22-DU22)&lt;-1.9,DR21*(1+Setup!GD6),if((DV22-DU22)=-1,DR21*(1+Setup!GE6),if(DW22&lt;DT22,DR21*(1+Setup!GE6),if(DW22=DT22,DR21*(1+Setup!GF6),if((DW22-DT22)=1,DR21*(1+Setup!GG6),if((DW22-DT22)=2,DR21*(1+Setup!GH6),if((DW22-DT22)=3,DR21*(1+Setup!GI6),if((DW22-DT22)=4,DR21*(1+Setup!GJ6),if((DW22-DT22)&gt;4.1,DR21*(1+Setup!GK6),DR21)))))))))),EB21/'Quick Setup'!$E8)</f>
        <v>200</v>
      </c>
      <c r="EA21" s="36" t="s">
        <v>77</v>
      </c>
      <c r="EB21" s="38"/>
      <c r="EC21" s="39"/>
      <c r="ED21" s="39"/>
      <c r="EE21" s="39"/>
      <c r="EF21" s="39"/>
      <c r="EG21" s="39"/>
      <c r="EH21" s="37">
        <f>if(EJ21="", if(ED22="",DZ21, if((ED22-EC22)&lt;-1.9,DZ21*(1+Setup!GP6),if((ED22-EC22)=-1,DZ21*(1+Setup!GQ6),if(EE22&lt;EB22,DZ21*(1+Setup!GQ6),if(EE22=EB22,DZ21*(1+Setup!GR6),if((EE22-EB22)=1,DZ21*(1+Setup!GS6),if((EE22-EB22)=2,DZ21*(1+Setup!GT6),if((EE22-EB22)=3,DZ21*(1+Setup!GU6),if((EE22-EB22)=4,DZ21*(1+Setup!GV6),if((EE22-EB22)&gt;4.1,DZ21*(1+Setup!GW6),DZ21)))))))))),EJ21/'Quick Setup'!$E8)</f>
        <v>200</v>
      </c>
      <c r="EI21" s="36" t="s">
        <v>77</v>
      </c>
      <c r="EJ21" s="38"/>
      <c r="EK21" s="39"/>
      <c r="EL21" s="39"/>
      <c r="EM21" s="39"/>
      <c r="EN21" s="39"/>
      <c r="EO21" s="39"/>
      <c r="EP21" s="37">
        <f>if(ER21="", if(EL22="",EH21, if((EL22-EK22)&lt;-1.9,EH21*(1+Setup!HB6),if((EL22-EK22)=-1,EH21*(1+Setup!HC6),if(EM22&lt;EJ22,EH21*(1+Setup!HC6),if(EM22=EJ22,EH21*(1+Setup!HD6),if((EM22-EJ22)=1,EH21*(1+Setup!HE6),if((EM22-EJ22)=2,EH21*(1+Setup!HF6),if((EM22-EJ22)=3,EH21*(1+Setup!HG6),if((EM22-EJ22)=4,EH21*(1+Setup!HH6),if((EM22-EJ22)&gt;4.1,EH21*(1+Setup!HI6),EH21)))))))))),ER21/'Quick Setup'!$E8)</f>
        <v>200</v>
      </c>
      <c r="EQ21" s="36" t="s">
        <v>77</v>
      </c>
      <c r="ER21" s="38"/>
      <c r="ES21" s="39"/>
      <c r="ET21" s="39"/>
      <c r="EU21" s="39"/>
      <c r="EV21" s="39"/>
      <c r="EW21" s="39"/>
      <c r="EX21" s="37">
        <f>if(EZ21="", if(ET22="",EP21, if((ET22-ES22)&lt;-1.9,EP21*(1+Setup!HN6),if((ET22-ES22)=-1,EP21*(1+Setup!HO6),if(EU22&lt;ER22,EP21*(1+Setup!HO6),if(EU22=ER22,EP21*(1+Setup!HP6),if((EU22-ER22)=1,EP21*(1+Setup!HQ6),if((EU22-ER22)=2,EP21*(1+Setup!HR6),if((EU22-ER22)=3,EP21*(1+Setup!HS6),if((EU22-ER22)=4,EP21*(1+Setup!HT6),if((EU22-ER22)&gt;4.1,EP21*(1+Setup!HU6),EP21)))))))))),EZ21/'Quick Setup'!$E8)</f>
        <v>200</v>
      </c>
      <c r="EY21" s="36" t="s">
        <v>77</v>
      </c>
      <c r="EZ21" s="38"/>
      <c r="FA21" s="39"/>
      <c r="FB21" s="39"/>
      <c r="FC21" s="39"/>
      <c r="FD21" s="39"/>
      <c r="FE21" s="39"/>
      <c r="FF21" s="37">
        <f>if(FH21="", if(FB22="",EX21, if((FB22-FA22)&lt;-1.9,EX21*(1+Setup!HZ6),if((FB22-FA22)=-1,EX21*(1+Setup!IA6),if(FC22&lt;EZ22,EX21*(1+Setup!IA6),if(FC22=EZ22,EX21*(1+Setup!IB6),if((FC22-EZ22)=1,EX21*(1+Setup!IC6),if((FC22-EZ22)=2,EX21*(1+Setup!ID6),if((FC22-EZ22)=3,EX21*(1+Setup!IE6),if((FC22-EZ22)=4,EX21*(1+Setup!IF6),if((FC22-EZ22)&gt;4.1,EX21*(1+Setup!IG6),EX21)))))))))),FH21/'Quick Setup'!$E8)</f>
        <v>200</v>
      </c>
      <c r="FG21" s="36" t="s">
        <v>77</v>
      </c>
      <c r="FH21" s="38"/>
      <c r="FI21" s="39"/>
      <c r="FJ21" s="39"/>
      <c r="FK21" s="39"/>
      <c r="FL21" s="39"/>
      <c r="FM21" s="39"/>
    </row>
    <row r="22">
      <c r="A22" s="1" t="str">
        <f>Setup!A6</f>
        <v>OHP</v>
      </c>
      <c r="B22" s="40">
        <f>mround(B21*Setup!B6,'Quick Setup'!$A$2)</f>
        <v>140</v>
      </c>
      <c r="C22" s="2">
        <f>Setup!C6</f>
        <v>5</v>
      </c>
      <c r="D22" s="2">
        <f>Setup!D6</f>
        <v>3</v>
      </c>
      <c r="E22" s="2">
        <f>Setup!E6</f>
        <v>5</v>
      </c>
      <c r="F22" s="8"/>
      <c r="G22" s="8"/>
      <c r="H22" s="8"/>
      <c r="I22" s="8"/>
      <c r="J22" s="40">
        <f>mround(J21*Setup!N6,'Quick Setup'!$A$2)</f>
        <v>150</v>
      </c>
      <c r="K22" s="2">
        <f>Setup!O6</f>
        <v>4</v>
      </c>
      <c r="L22" s="2">
        <f>Setup!P6</f>
        <v>2</v>
      </c>
      <c r="M22" s="2">
        <f>Setup!Q6</f>
        <v>5</v>
      </c>
      <c r="N22" s="8"/>
      <c r="O22" s="8"/>
      <c r="P22" s="8"/>
      <c r="Q22" s="8"/>
      <c r="R22" s="40">
        <f>mround(R21*Setup!Z6,'Quick Setup'!$A$2)</f>
        <v>160</v>
      </c>
      <c r="S22" s="2">
        <f>Setup!AA6</f>
        <v>3</v>
      </c>
      <c r="T22" s="2">
        <f>Setup!AB6</f>
        <v>2</v>
      </c>
      <c r="U22" s="2">
        <f>Setup!AC6</f>
        <v>5</v>
      </c>
      <c r="V22" s="8"/>
      <c r="W22" s="8"/>
      <c r="X22" s="8"/>
      <c r="Y22" s="8"/>
      <c r="Z22" s="40">
        <f>mround(Z21*Setup!AL6,'Quick Setup'!$A$2)</f>
        <v>145</v>
      </c>
      <c r="AA22" s="2">
        <f>Setup!AM6</f>
        <v>5</v>
      </c>
      <c r="AB22" s="2">
        <f>Setup!AN6</f>
        <v>3</v>
      </c>
      <c r="AC22" s="2">
        <f>Setup!AO6</f>
        <v>5</v>
      </c>
      <c r="AD22" s="8"/>
      <c r="AE22" s="8"/>
      <c r="AF22" s="8"/>
      <c r="AG22" s="8"/>
      <c r="AH22" s="40">
        <f>mround(AH21*Setup!AX6,'Quick Setup'!$A$2)</f>
        <v>155</v>
      </c>
      <c r="AI22" s="2">
        <f>Setup!AY6</f>
        <v>4</v>
      </c>
      <c r="AJ22" s="2">
        <f>Setup!AZ6</f>
        <v>2</v>
      </c>
      <c r="AK22" s="2">
        <f>Setup!BA6</f>
        <v>5</v>
      </c>
      <c r="AL22" s="8"/>
      <c r="AM22" s="8"/>
      <c r="AN22" s="8"/>
      <c r="AO22" s="8"/>
      <c r="AP22" s="40">
        <f>mround(AP21*Setup!BJ6,'Quick Setup'!$A$2)</f>
        <v>165</v>
      </c>
      <c r="AQ22" s="2">
        <f>Setup!BK6</f>
        <v>3</v>
      </c>
      <c r="AR22" s="2">
        <f>Setup!BL6</f>
        <v>2</v>
      </c>
      <c r="AS22" s="2">
        <f>Setup!BM6</f>
        <v>5</v>
      </c>
      <c r="AT22" s="8"/>
      <c r="AU22" s="8"/>
      <c r="AV22" s="8"/>
      <c r="AW22" s="8"/>
      <c r="AX22" s="40">
        <f>mround(AX21*Setup!BV6,'Quick Setup'!$A$2)</f>
        <v>120</v>
      </c>
      <c r="AY22" s="1">
        <v>5.0</v>
      </c>
      <c r="AZ22" s="1" t="s">
        <v>80</v>
      </c>
      <c r="BA22" s="2">
        <f>Setup!BY6</f>
        <v>5</v>
      </c>
      <c r="BB22" s="8"/>
      <c r="BC22" s="8"/>
      <c r="BD22" s="8"/>
      <c r="BE22" s="8"/>
      <c r="BF22" s="40">
        <f>mround(BF21*Setup!CH6,'Quick Setup'!$A$2)</f>
        <v>150</v>
      </c>
      <c r="BG22" s="2">
        <f>Setup!CI6</f>
        <v>4</v>
      </c>
      <c r="BH22" s="2">
        <f>Setup!CJ6</f>
        <v>2</v>
      </c>
      <c r="BI22" s="2">
        <f>Setup!CK6</f>
        <v>5</v>
      </c>
      <c r="BJ22" s="8"/>
      <c r="BK22" s="8"/>
      <c r="BL22" s="8"/>
      <c r="BM22" s="8"/>
      <c r="BN22" s="40">
        <f>mround(BN21*Setup!CT6,'Quick Setup'!$A$2)</f>
        <v>160</v>
      </c>
      <c r="BO22" s="2">
        <f>Setup!CU6</f>
        <v>3</v>
      </c>
      <c r="BP22" s="2">
        <f>Setup!CV6</f>
        <v>2</v>
      </c>
      <c r="BQ22" s="2">
        <f>Setup!CW6</f>
        <v>5</v>
      </c>
      <c r="BR22" s="8"/>
      <c r="BS22" s="8"/>
      <c r="BT22" s="8"/>
      <c r="BU22" s="8"/>
      <c r="BV22" s="40">
        <f>mround(BV21*Setup!DF6,'Quick Setup'!$A$2)</f>
        <v>170</v>
      </c>
      <c r="BW22" s="2">
        <f>Setup!DG6</f>
        <v>2</v>
      </c>
      <c r="BX22" s="2">
        <f>Setup!DH6</f>
        <v>1</v>
      </c>
      <c r="BY22" s="2">
        <f>Setup!DI6</f>
        <v>5</v>
      </c>
      <c r="BZ22" s="8"/>
      <c r="CA22" s="8"/>
      <c r="CB22" s="8"/>
      <c r="CC22" s="8"/>
      <c r="CD22" s="40">
        <f>mround(CD21*Setup!DR6,'Quick Setup'!$A$2)</f>
        <v>155</v>
      </c>
      <c r="CE22" s="2">
        <f>Setup!DS6</f>
        <v>4</v>
      </c>
      <c r="CF22" s="2">
        <f>Setup!DT6</f>
        <v>2</v>
      </c>
      <c r="CG22" s="2">
        <f>Setup!DU6</f>
        <v>5</v>
      </c>
      <c r="CH22" s="8"/>
      <c r="CI22" s="8"/>
      <c r="CJ22" s="8"/>
      <c r="CK22" s="8"/>
      <c r="CL22" s="40">
        <f>mround(CL21*Setup!ED6,'Quick Setup'!$A$2)</f>
        <v>165</v>
      </c>
      <c r="CM22" s="2">
        <f>Setup!EE6</f>
        <v>3</v>
      </c>
      <c r="CN22" s="2">
        <f>Setup!EF6</f>
        <v>2</v>
      </c>
      <c r="CO22" s="2">
        <f>Setup!EG6</f>
        <v>5</v>
      </c>
      <c r="CP22" s="8"/>
      <c r="CQ22" s="8"/>
      <c r="CR22" s="8"/>
      <c r="CS22" s="8"/>
      <c r="CT22" s="40">
        <f>mround(CT21*Setup!EP6,'Quick Setup'!$A$2)</f>
        <v>175</v>
      </c>
      <c r="CU22" s="2">
        <f>Setup!EQ6</f>
        <v>2</v>
      </c>
      <c r="CV22" s="2">
        <f>Setup!ER6</f>
        <v>1</v>
      </c>
      <c r="CW22" s="2">
        <f>Setup!ES6</f>
        <v>5</v>
      </c>
      <c r="CX22" s="8"/>
      <c r="CY22" s="8"/>
      <c r="CZ22" s="8"/>
      <c r="DA22" s="8"/>
      <c r="DB22" s="40">
        <f>mround(DB21*Setup!FB6,'Quick Setup'!$A$2)</f>
        <v>120</v>
      </c>
      <c r="DC22" s="1">
        <v>5.0</v>
      </c>
      <c r="DD22" s="1" t="s">
        <v>80</v>
      </c>
      <c r="DE22" s="2">
        <f>Setup!FE6</f>
        <v>5</v>
      </c>
      <c r="DF22" s="8"/>
      <c r="DG22" s="8"/>
      <c r="DH22" s="8"/>
      <c r="DI22" s="8"/>
      <c r="DJ22" s="40">
        <f>mround(DJ21*Setup!FN6,'Quick Setup'!$A$2)</f>
        <v>160</v>
      </c>
      <c r="DK22" s="2">
        <f>Setup!FO6</f>
        <v>3</v>
      </c>
      <c r="DL22" s="2">
        <f>Setup!FP6</f>
        <v>2</v>
      </c>
      <c r="DM22" s="2">
        <f>Setup!FQ6</f>
        <v>5</v>
      </c>
      <c r="DN22" s="8"/>
      <c r="DO22" s="8"/>
      <c r="DP22" s="8"/>
      <c r="DQ22" s="8"/>
      <c r="DR22" s="40">
        <f>mround(DR21*Setup!FZ6,'Quick Setup'!$A$2)</f>
        <v>170</v>
      </c>
      <c r="DS22" s="2">
        <f>Setup!GA6</f>
        <v>2</v>
      </c>
      <c r="DT22" s="2">
        <f>Setup!GB6</f>
        <v>1</v>
      </c>
      <c r="DU22" s="2">
        <f>Setup!GC6</f>
        <v>5</v>
      </c>
      <c r="DV22" s="8"/>
      <c r="DW22" s="8"/>
      <c r="DX22" s="8"/>
      <c r="DY22" s="8"/>
      <c r="DZ22" s="40">
        <f>mround(DZ21*Setup!GL6,'Quick Setup'!$A$2)</f>
        <v>180</v>
      </c>
      <c r="EA22" s="2">
        <f>Setup!GM6</f>
        <v>1</v>
      </c>
      <c r="EB22" s="2">
        <f>Setup!GN6</f>
        <v>1</v>
      </c>
      <c r="EC22" s="2">
        <f>Setup!GO6</f>
        <v>5</v>
      </c>
      <c r="ED22" s="8"/>
      <c r="EE22" s="8"/>
      <c r="EF22" s="8"/>
      <c r="EG22" s="8"/>
      <c r="EH22" s="40">
        <f>mround(EH21*Setup!GX6,'Quick Setup'!$A$2)</f>
        <v>170</v>
      </c>
      <c r="EI22" s="2">
        <f>Setup!GY6</f>
        <v>2</v>
      </c>
      <c r="EJ22" s="2">
        <f>Setup!GZ6</f>
        <v>1</v>
      </c>
      <c r="EK22" s="2">
        <f>Setup!HA6</f>
        <v>5</v>
      </c>
      <c r="EL22" s="8"/>
      <c r="EM22" s="8"/>
      <c r="EN22" s="8"/>
      <c r="EO22" s="8"/>
      <c r="EP22" s="40">
        <f>mround(EP21*Setup!HJ6,'Quick Setup'!$A$2)</f>
        <v>180</v>
      </c>
      <c r="EQ22" s="2">
        <f>Setup!HK6</f>
        <v>1</v>
      </c>
      <c r="ER22" s="2">
        <f>Setup!HL6</f>
        <v>1</v>
      </c>
      <c r="ES22" s="2">
        <f>Setup!HM6</f>
        <v>5</v>
      </c>
      <c r="ET22" s="8"/>
      <c r="EU22" s="8"/>
      <c r="EV22" s="8"/>
      <c r="EW22" s="8"/>
      <c r="EX22" s="40">
        <f>mround(EX21*Setup!HV6,'Quick Setup'!$A$2)</f>
        <v>190</v>
      </c>
      <c r="EY22" s="2">
        <f>Setup!HW6</f>
        <v>1</v>
      </c>
      <c r="EZ22" s="2">
        <f>Setup!HX6</f>
        <v>1</v>
      </c>
      <c r="FA22" s="2">
        <f>Setup!HY6</f>
        <v>5</v>
      </c>
      <c r="FB22" s="8"/>
      <c r="FC22" s="8"/>
      <c r="FD22" s="8"/>
      <c r="FE22" s="8"/>
      <c r="FF22" s="40">
        <f>mround(FF21*Setup!IH6,'Quick Setup'!$A$2)</f>
        <v>120</v>
      </c>
      <c r="FG22" s="1">
        <v>5.0</v>
      </c>
      <c r="FH22" s="1" t="s">
        <v>80</v>
      </c>
      <c r="FI22" s="2">
        <f>Setup!IK6</f>
        <v>5</v>
      </c>
      <c r="FJ22" s="8"/>
      <c r="FK22" s="8"/>
      <c r="FL22" s="8"/>
      <c r="FM22" s="8"/>
    </row>
    <row r="23" hidden="1">
      <c r="A23" s="36" t="str">
        <f>CONCATENATE(A24," TM")</f>
        <v>Front Squat TM</v>
      </c>
      <c r="B23" s="37">
        <f>if(D23="",'Quick Setup'!D11,D23/'Quick Setup'!E11)</f>
        <v>420</v>
      </c>
      <c r="C23" s="36" t="s">
        <v>77</v>
      </c>
      <c r="D23" s="38"/>
      <c r="E23" s="39"/>
      <c r="F23" s="39"/>
      <c r="G23" s="39"/>
      <c r="H23" s="39"/>
      <c r="I23" s="39"/>
      <c r="J23" s="37">
        <f>if(L23="", if(F24="",B23, if((F24-E24)&lt;-1.9,B23*(1+Setup!F9),if((F24-E24)=-1,B23*(1+Setup!G9),if(G24&lt;D24,B23*(1+Setup!G9),if(G24=D24,B23*(1+Setup!H9),if((G24-D24)=1,B23*(1+Setup!I9),if((G24-D24)=2,B23*(1+Setup!J9),if((G24-D24)=3,B23*(1+Setup!K9),if((G24-D24)=4,B23*(1+Setup!L9),if((G24-D24)&gt;4.1,B23*(1+Setup!M9),B23)))))))))),L23/'Quick Setup'!$E11)</f>
        <v>420</v>
      </c>
      <c r="K23" s="36" t="s">
        <v>77</v>
      </c>
      <c r="L23" s="38"/>
      <c r="M23" s="39"/>
      <c r="N23" s="39"/>
      <c r="O23" s="39"/>
      <c r="P23" s="39"/>
      <c r="Q23" s="39"/>
      <c r="R23" s="37">
        <f>if(T23="", if(N24="",J23, if((N24-M24)&lt;-1.9,J23*(1+Setup!R9),if((N24-M24)=-1,J23*(1+Setup!S9),if(O24&lt;L24,J23*(1+Setup!S9),if(O24=L24,J23*(1+Setup!T9),if((O24-L24)=1,J23*(1+Setup!U9),if((O24-L24)=2,J23*(1+Setup!V9),if((O24-L24)=3,J23*(1+Setup!W9),if((O24-L24)=4,J23*(1+Setup!X9),if((O24-L24)&gt;4.1,J23*(1+Setup!Y9),J23)))))))))),T23/'Quick Setup'!$E11)</f>
        <v>420</v>
      </c>
      <c r="S23" s="36" t="s">
        <v>77</v>
      </c>
      <c r="T23" s="38"/>
      <c r="U23" s="39"/>
      <c r="V23" s="39"/>
      <c r="W23" s="39"/>
      <c r="X23" s="39"/>
      <c r="Y23" s="39"/>
      <c r="Z23" s="37">
        <f>if(AB23="", if(V24="",R23, if((V24-U24)&lt;-1.9,R23*(1+Setup!AD9),if((V24-U24)=-1,R23*(1+Setup!AE9),if(W24&lt;T24,R23*(1+Setup!AE9),if(W24=T24,R23*(1+Setup!AF9),if((W24-T24)=1,R23*(1+Setup!AG9),if((W24-T24)=2,R23*(1+Setup!AH9),if((W24-T24)=3,R23*(1+Setup!AI9),if((W24-T24)=4,R23*(1+Setup!AJ9),if((W24-T24)&gt;4.1,R23*(1+Setup!AK9),R23)))))))))),AB23/'Quick Setup'!$E11)</f>
        <v>420</v>
      </c>
      <c r="AA23" s="36" t="s">
        <v>77</v>
      </c>
      <c r="AB23" s="38"/>
      <c r="AC23" s="39"/>
      <c r="AD23" s="39"/>
      <c r="AE23" s="39"/>
      <c r="AF23" s="39"/>
      <c r="AG23" s="39"/>
      <c r="AH23" s="37">
        <f>if(AJ23="", if(AD24="",Z23, if((AD24-AC24)&lt;-1.9,Z23*(1+Setup!AP9),if((AD24-AC24)=-1,Z23*(1+Setup!AQ9),if(AE24&lt;AB24,Z23*(1+Setup!AQ9),if(AE24=AB24,Z23*(1+Setup!AR9),if((AE24-AB24)=1,Z23*(1+Setup!AS9),if((AE24-AB24)=2,Z23*(1+Setup!AT9),if((AE24-AB24)=3,Z23*(1+Setup!AU9),if((AE24-AB24)=4,Z23*(1+Setup!AV9),if((AE24-AB24)&gt;4.1,Z23*(1+Setup!AW9),Z23)))))))))),AJ23/'Quick Setup'!$E11)</f>
        <v>420</v>
      </c>
      <c r="AI23" s="36" t="s">
        <v>77</v>
      </c>
      <c r="AJ23" s="38"/>
      <c r="AK23" s="39"/>
      <c r="AL23" s="39"/>
      <c r="AM23" s="39"/>
      <c r="AN23" s="39"/>
      <c r="AO23" s="39"/>
      <c r="AP23" s="37">
        <f>if(AR23="", if(AL24="",AH23, if((AL24-AK24)&lt;-1.9,AH23*(1+Setup!BB9),if((AL24-AK24)=-1,AH23*(1+Setup!BC9),if(AM24&lt;AJ24,AH23*(1+Setup!BC9),if(AM24=AJ24,AH23*(1+Setup!BD9),if((AM24-AJ24)=1,AH23*(1+Setup!BE9),if((AM24-AJ24)=2,AH23*(1+Setup!BF9),if((AM24-AJ24)=3,AH23*(1+Setup!BG9),if((AM24-AJ24)=4,AH23*(1+Setup!BH9),if((AM24-AJ24)&gt;4.1,AH23*(1+Setup!BI9),AH23)))))))))),AR23/'Quick Setup'!$E11)</f>
        <v>420</v>
      </c>
      <c r="AQ23" s="36" t="s">
        <v>77</v>
      </c>
      <c r="AR23" s="38"/>
      <c r="AS23" s="39"/>
      <c r="AT23" s="39"/>
      <c r="AU23" s="39"/>
      <c r="AV23" s="39"/>
      <c r="AW23" s="39"/>
      <c r="AX23" s="37">
        <f>if(AZ23="", if(AT24="",AP23, if((AT24-AS24)&lt;-1.9,AP23*(1+Setup!BN9),if((AT24-AS24)=-1,AP23*(1+Setup!BO9),if(AU24&lt;AR24,AP23*(1+Setup!BO9),if(AU24=AR24,AP23*(1+Setup!BP9),if((AU24-AR24)=1,AP23*(1+Setup!BQ9),if((AU24-AR24)=2,AP23*(1+Setup!BR9),if((AU24-AR24)=3,AP23*(1+Setup!BS9),if((AU24-AR24)=4,AP23*(1+Setup!BT9),if((AU24-AR24)&gt;4.1,AP23*(1+Setup!BU9),AP23)))))))))),AZ23/'Quick Setup'!$E11)</f>
        <v>420</v>
      </c>
      <c r="AY23" s="36" t="s">
        <v>77</v>
      </c>
      <c r="AZ23" s="38"/>
      <c r="BA23" s="39"/>
      <c r="BB23" s="39"/>
      <c r="BC23" s="39"/>
      <c r="BD23" s="39"/>
      <c r="BE23" s="39"/>
      <c r="BF23" s="37">
        <f>if(BH23="",AX23,BH23/'Quick Setup'!$E11)</f>
        <v>420</v>
      </c>
      <c r="BG23" s="36" t="s">
        <v>77</v>
      </c>
      <c r="BH23" s="38"/>
      <c r="BI23" s="39"/>
      <c r="BJ23" s="39"/>
      <c r="BK23" s="39"/>
      <c r="BL23" s="39"/>
      <c r="BM23" s="39"/>
      <c r="BN23" s="37">
        <f>if(BP23="", if(BJ24="",BF23, if((BJ24-BI24)&lt;-1.9,BF23*(1+Setup!CL9),if((BJ24-BI24)=-1,BF23*(1+Setup!CM9),if(BK24&lt;BH24,BF23*(1+Setup!CM9),if(BK24=BH24,BF23*(1+Setup!CN9),if((BK24-BH24)=1,BF23*(1+Setup!CO9),if((BK24-BH24)=2,BF23*(1+Setup!CP9),if((BK24-BH24)=3,BF23*(1+Setup!CQ9),if((BK24-BH24)=4,BF23*(1+Setup!CR9),if((BK24-BH24)&gt;4.1,BF23*(1+Setup!CS9),BF23)))))))))),BP23/'Quick Setup'!$E11)</f>
        <v>420</v>
      </c>
      <c r="BO23" s="36" t="s">
        <v>77</v>
      </c>
      <c r="BP23" s="38"/>
      <c r="BQ23" s="39"/>
      <c r="BR23" s="39"/>
      <c r="BS23" s="39"/>
      <c r="BT23" s="39"/>
      <c r="BU23" s="39"/>
      <c r="BV23" s="37">
        <f>if(BX23="", if(BR24="",BN23, if((BR24-BQ24)&lt;-1.9,BN23*(1+Setup!CX9),if((BR24-BQ24)=-1,BN23*(1+Setup!CY9),if(BS24&lt;BP24,BN23*(1+Setup!CY9),if(BS24=BP24,BN23*(1+Setup!CZ9),if((BS24-BP24)=1,BN23*(1+Setup!DA9),if((BS24-BP24)=2,BN23*(1+Setup!DB9),if((BS24-BP24)=3,BN23*(1+Setup!DC9),if((BS24-BP24)=4,BN23*(1+Setup!DD9),if((BS24-BP24)&gt;4.1,BN23*(1+Setup!DE9),BN23)))))))))),BX23/'Quick Setup'!$E11)</f>
        <v>420</v>
      </c>
      <c r="BW23" s="36" t="s">
        <v>77</v>
      </c>
      <c r="BX23" s="38"/>
      <c r="BY23" s="39"/>
      <c r="BZ23" s="39"/>
      <c r="CA23" s="39"/>
      <c r="CB23" s="39"/>
      <c r="CC23" s="39"/>
      <c r="CD23" s="37">
        <f>if(CF23="", if(BZ24="",BV23, if((BZ24-BY24)&lt;-1.9,BV23*(1+Setup!DJ9),if((BZ24-BY24)=-1,BV23*(1+Setup!DK9),if(CA24&lt;BX24,BV23*(1+Setup!DK9),if(CA24=BX24,BV23*(1+Setup!DL9),if((CA24-BX24)=1,BV23*(1+Setup!DM9),if((CA24-BX24)=2,BV23*(1+Setup!DN9),if((CA24-BX24)=3,BV23*(1+Setup!DO9),if((CA24-BX24)=4,BV23*(1+Setup!DP9),if((CA24-BX24)&gt;4.1,BV23*(1+Setup!DQ9),BV23)))))))))),CF23/'Quick Setup'!$E11)</f>
        <v>420</v>
      </c>
      <c r="CE23" s="36" t="s">
        <v>77</v>
      </c>
      <c r="CF23" s="38"/>
      <c r="CG23" s="39"/>
      <c r="CH23" s="39"/>
      <c r="CI23" s="39"/>
      <c r="CJ23" s="39"/>
      <c r="CK23" s="39"/>
      <c r="CL23" s="37">
        <f>if(CN23="", if(CH24="",CD23, if((CH24-CG24)&lt;-1.9,CD23*(1+Setup!DV9),if((CH24-CG24)=-1,CD23*(1+Setup!DW9),if(CI24&lt;CF24,CD23*(1+Setup!DW9),if(CI24=CF24,CD23*(1+Setup!DX9),if((CI24-CF24)=1,CD23*(1+Setup!DY9),if((CI24-CF24)=2,CD23*(1+Setup!DZ9),if((CI24-CF24)=3,CD23*(1+Setup!EA9),if((CI24-CF24)=4,CD23*(1+Setup!EB9),if((CI24-CF24)&gt;4.1,CD23*(1+Setup!EC9),CD23)))))))))),CN23/'Quick Setup'!$E11)</f>
        <v>420</v>
      </c>
      <c r="CM23" s="36" t="s">
        <v>77</v>
      </c>
      <c r="CN23" s="38"/>
      <c r="CO23" s="39"/>
      <c r="CP23" s="39"/>
      <c r="CQ23" s="39"/>
      <c r="CR23" s="39"/>
      <c r="CS23" s="39"/>
      <c r="CT23" s="37">
        <f>if(CV23="", if(CP24="",CL23, if((CP24-CO24)&lt;-1.9,CL23*(1+Setup!EH9),if((CP24-CO24)=-1,CL23*(1+Setup!EI9),if(CQ24&lt;CN24,CL23*(1+Setup!EI9),if(CQ24=CN24,CL23*(1+Setup!EJ9),if((CQ24-CN24)=1,CL23*(1+Setup!EK9),if((CQ24-CN24)=2,CL23*(1+Setup!EL9),if((CQ24-CN24)=3,CL23*(1+Setup!EM9),if((CQ24-CN24)=4,CL23*(1+Setup!EN9),if((CQ24-CN24)&gt;4.1,CL23*(1+Setup!EO9),CL23)))))))))),CV23/'Quick Setup'!$E11)</f>
        <v>420</v>
      </c>
      <c r="CU23" s="36" t="s">
        <v>77</v>
      </c>
      <c r="CV23" s="38"/>
      <c r="CW23" s="39"/>
      <c r="CX23" s="39"/>
      <c r="CY23" s="39"/>
      <c r="CZ23" s="39"/>
      <c r="DA23" s="39"/>
      <c r="DB23" s="37">
        <f>if(DD23="", if(CX24="",CT23, if((CX24-CW24)&lt;-1.9,CT23*(1+Setup!ET9),if((CX24-CW24)=-1,CT23*(1+Setup!EU9),if(CY24&lt;CV24,CT23*(1+Setup!EU9),if(CY24=CV24,CT23*(1+Setup!EV9),if((CY24-CV24)=1,CT23*(1+Setup!EW9),if((CY24-CV24)=2,CT23*(1+Setup!EX9),if((CY24-CV24)=3,CT23*(1+Setup!EY9),if((CY24-CV24)=4,CT23*(1+Setup!EZ9),if((CY24-CV24)&gt;4.1,CT23*(1+Setup!FA9),CT23)))))))))),DD23/'Quick Setup'!$E11)</f>
        <v>420</v>
      </c>
      <c r="DC23" s="36" t="s">
        <v>77</v>
      </c>
      <c r="DD23" s="38"/>
      <c r="DE23" s="39"/>
      <c r="DF23" s="39"/>
      <c r="DG23" s="39"/>
      <c r="DH23" s="39"/>
      <c r="DI23" s="39"/>
      <c r="DJ23" s="37">
        <f>if(DL23="",DB23,DL23/'Quick Setup'!$E11)</f>
        <v>420</v>
      </c>
      <c r="DK23" s="36" t="s">
        <v>77</v>
      </c>
      <c r="DL23" s="38"/>
      <c r="DM23" s="39"/>
      <c r="DN23" s="39"/>
      <c r="DO23" s="39"/>
      <c r="DP23" s="39"/>
      <c r="DQ23" s="39"/>
      <c r="DR23" s="37">
        <f>if(DT23="", if(DN24="",DJ23, if((DN24-DM24)&lt;-1.9,DJ23*(1+Setup!FR9),if((DN24-DM24)=-1,DJ23*(1+Setup!FS9),if(DO24&lt;DL24,DJ23*(1+Setup!FS9),if(DO24=DL24,DJ23*(1+Setup!FT9),if((DO24-DL24)=1,DJ23*(1+Setup!FU9),if((DO24-DL24)=2,DJ23*(1+Setup!FV9),if((DO24-DL24)=3,DJ23*(1+Setup!FW9),if((DO24-DL24)=4,DJ23*(1+Setup!FX9),if((DO24-DL24)&gt;4.1,DJ23*(1+Setup!FY9),DJ23)))))))))),DT23/'Quick Setup'!$E11)</f>
        <v>420</v>
      </c>
      <c r="DS23" s="36" t="s">
        <v>77</v>
      </c>
      <c r="DT23" s="38"/>
      <c r="DU23" s="39"/>
      <c r="DV23" s="39"/>
      <c r="DW23" s="39"/>
      <c r="DX23" s="39"/>
      <c r="DY23" s="39"/>
      <c r="DZ23" s="37">
        <f>if(EB23="", if(DV24="",DR23, if((DV24-DU24)&lt;-1.9,DR23*(1+Setup!GD9),if((DV24-DU24)=-1,DR23*(1+Setup!GE9),if(DW24&lt;DT24,DR23*(1+Setup!GE9),if(DW24=DT24,DR23*(1+Setup!GF9),if((DW24-DT24)=1,DR23*(1+Setup!GG9),if((DW24-DT24)=2,DR23*(1+Setup!GH9),if((DW24-DT24)=3,DR23*(1+Setup!GI9),if((DW24-DT24)=4,DR23*(1+Setup!GJ9),if((DW24-DT24)&gt;4.1,DR23*(1+Setup!GK9),DR23)))))))))),EB23/'Quick Setup'!$E11)</f>
        <v>420</v>
      </c>
      <c r="EA23" s="36" t="s">
        <v>77</v>
      </c>
      <c r="EB23" s="38"/>
      <c r="EC23" s="39"/>
      <c r="ED23" s="39"/>
      <c r="EE23" s="39"/>
      <c r="EF23" s="39"/>
      <c r="EG23" s="39"/>
      <c r="EH23" s="37">
        <f>if(EJ23="", if(ED24="",DZ23, if((ED24-EC24)&lt;-1.9,DZ23*(1+Setup!GP9),if((ED24-EC24)=-1,DZ23*(1+Setup!GQ9),if(EE24&lt;EB24,DZ23*(1+Setup!GQ9),if(EE24=EB24,DZ23*(1+Setup!GR9),if((EE24-EB24)=1,DZ23*(1+Setup!GS9),if((EE24-EB24)=2,DZ23*(1+Setup!GT9),if((EE24-EB24)=3,DZ23*(1+Setup!GU9),if((EE24-EB24)=4,DZ23*(1+Setup!GV9),if((EE24-EB24)&gt;4.1,DZ23*(1+Setup!GW9),DZ23)))))))))),EJ23/'Quick Setup'!$E11)</f>
        <v>420</v>
      </c>
      <c r="EI23" s="36" t="s">
        <v>77</v>
      </c>
      <c r="EJ23" s="38"/>
      <c r="EK23" s="39"/>
      <c r="EL23" s="39"/>
      <c r="EM23" s="39"/>
      <c r="EN23" s="39"/>
      <c r="EO23" s="39"/>
      <c r="EP23" s="37">
        <f>if(ER23="", if(EL24="",EH23, if((EL24-EK24)&lt;-1.9,EH23*(1+Setup!HB9),if((EL24-EK24)=-1,EH23*(1+Setup!HC9),if(EM24&lt;EJ24,EH23*(1+Setup!HC9),if(EM24=EJ24,EH23*(1+Setup!HD9),if((EM24-EJ24)=1,EH23*(1+Setup!HE9),if((EM24-EJ24)=2,EH23*(1+Setup!HF9),if((EM24-EJ24)=3,EH23*(1+Setup!HG9),if((EM24-EJ24)=4,EH23*(1+Setup!HH9),if((EM24-EJ24)&gt;4.1,EH23*(1+Setup!HI9),EH23)))))))))),ER23/'Quick Setup'!$E11)</f>
        <v>420</v>
      </c>
      <c r="EQ23" s="36" t="s">
        <v>77</v>
      </c>
      <c r="ER23" s="38"/>
      <c r="ES23" s="39"/>
      <c r="ET23" s="39"/>
      <c r="EU23" s="39"/>
      <c r="EV23" s="39"/>
      <c r="EW23" s="39"/>
      <c r="EX23" s="37">
        <f>if(EZ23="", if(ET24="",EP23, if((ET24-ES24)&lt;-1.9,EP23*(1+Setup!HN9),if((ET24-ES24)=-1,EP23*(1+Setup!HO9),if(EU24&lt;ER24,EP23*(1+Setup!HO9),if(EU24=ER24,EP23*(1+Setup!HP9),if((EU24-ER24)=1,EP23*(1+Setup!HQ9),if((EU24-ER24)=2,EP23*(1+Setup!HR9),if((EU24-ER24)=3,EP23*(1+Setup!HS9),if((EU24-ER24)=4,EP23*(1+Setup!HT9),if((EU24-ER24)&gt;4.1,EP23*(1+Setup!HU9),EP23)))))))))),EZ23/'Quick Setup'!$E11)</f>
        <v>420</v>
      </c>
      <c r="EY23" s="36" t="s">
        <v>77</v>
      </c>
      <c r="EZ23" s="38"/>
      <c r="FA23" s="39"/>
      <c r="FB23" s="39"/>
      <c r="FC23" s="39"/>
      <c r="FD23" s="39"/>
      <c r="FE23" s="39"/>
      <c r="FF23" s="37">
        <f>if(FH23="", if(FB24="",EX23, if((FB24-FA24)&lt;-1.9,EX23*(1+Setup!HZ9),if((FB24-FA24)=-1,EX23*(1+Setup!IA9),if(FC24&lt;EZ24,EX23*(1+Setup!IA9),if(FC24=EZ24,EX23*(1+Setup!IB9),if((FC24-EZ24)=1,EX23*(1+Setup!IC9),if((FC24-EZ24)=2,EX23*(1+Setup!ID9),if((FC24-EZ24)=3,EX23*(1+Setup!IE9),if((FC24-EZ24)=4,EX23*(1+Setup!IF9),if((FC24-EZ24)&gt;4.1,EX23*(1+Setup!IG9),EX23)))))))))),FH23/'Quick Setup'!$E11)</f>
        <v>420</v>
      </c>
      <c r="FG23" s="36" t="s">
        <v>77</v>
      </c>
      <c r="FH23" s="38"/>
      <c r="FI23" s="39"/>
      <c r="FJ23" s="39"/>
      <c r="FK23" s="39"/>
      <c r="FL23" s="39"/>
      <c r="FM23" s="39"/>
    </row>
    <row r="24">
      <c r="A24" s="1" t="str">
        <f>Setup!A9</f>
        <v>Front Squat</v>
      </c>
      <c r="B24" s="40">
        <f>mround(B23*Setup!B9,'Quick Setup'!$A$2)</f>
        <v>252.5</v>
      </c>
      <c r="C24" s="2">
        <f>Setup!C9</f>
        <v>7</v>
      </c>
      <c r="D24" s="2">
        <f>Setup!D9</f>
        <v>3</v>
      </c>
      <c r="E24" s="2">
        <f>Setup!E9</f>
        <v>5</v>
      </c>
      <c r="F24" s="8"/>
      <c r="G24" s="8"/>
      <c r="H24" s="8"/>
      <c r="I24" s="8"/>
      <c r="J24" s="40">
        <f>mround(J23*Setup!N9,'Quick Setup'!$A$2)</f>
        <v>272.5</v>
      </c>
      <c r="K24" s="2">
        <f>Setup!O9</f>
        <v>6</v>
      </c>
      <c r="L24" s="2">
        <f>Setup!P9</f>
        <v>3</v>
      </c>
      <c r="M24" s="2">
        <f>Setup!Q9</f>
        <v>5</v>
      </c>
      <c r="N24" s="8"/>
      <c r="O24" s="8"/>
      <c r="P24" s="8"/>
      <c r="Q24" s="8"/>
      <c r="R24" s="40">
        <f>mround(R23*Setup!Z9,'Quick Setup'!$A$2)</f>
        <v>295</v>
      </c>
      <c r="S24" s="2">
        <f>Setup!AA9</f>
        <v>5</v>
      </c>
      <c r="T24" s="2">
        <f>Setup!AB9</f>
        <v>3</v>
      </c>
      <c r="U24" s="2">
        <f>Setup!AC9</f>
        <v>5</v>
      </c>
      <c r="V24" s="8"/>
      <c r="W24" s="8"/>
      <c r="X24" s="8"/>
      <c r="Y24" s="8"/>
      <c r="Z24" s="40">
        <f>mround(Z23*Setup!AL9,'Quick Setup'!$A$2)</f>
        <v>262.5</v>
      </c>
      <c r="AA24" s="2">
        <f>Setup!AM9</f>
        <v>7</v>
      </c>
      <c r="AB24" s="2">
        <f>Setup!AN9</f>
        <v>3</v>
      </c>
      <c r="AC24" s="2">
        <f>Setup!AO9</f>
        <v>5</v>
      </c>
      <c r="AD24" s="8"/>
      <c r="AE24" s="8"/>
      <c r="AF24" s="8"/>
      <c r="AG24" s="8"/>
      <c r="AH24" s="40">
        <f>mround(AH23*Setup!AX9,'Quick Setup'!$A$2)</f>
        <v>282.5</v>
      </c>
      <c r="AI24" s="2">
        <f>Setup!AY9</f>
        <v>6</v>
      </c>
      <c r="AJ24" s="2">
        <f>Setup!AZ9</f>
        <v>3</v>
      </c>
      <c r="AK24" s="2">
        <f>Setup!BA9</f>
        <v>5</v>
      </c>
      <c r="AL24" s="8"/>
      <c r="AM24" s="8"/>
      <c r="AN24" s="8"/>
      <c r="AO24" s="8"/>
      <c r="AP24" s="40">
        <f>mround(AP23*Setup!BJ9,'Quick Setup'!$A$2)</f>
        <v>305</v>
      </c>
      <c r="AQ24" s="2">
        <f>Setup!BK9</f>
        <v>5</v>
      </c>
      <c r="AR24" s="2">
        <f>Setup!BL9</f>
        <v>3</v>
      </c>
      <c r="AS24" s="2">
        <f>Setup!BM9</f>
        <v>5</v>
      </c>
      <c r="AT24" s="8"/>
      <c r="AU24" s="8"/>
      <c r="AV24" s="8"/>
      <c r="AW24" s="8"/>
      <c r="AX24" s="40">
        <f>mround(AX23*Setup!BV9,'Quick Setup'!$A$2)</f>
        <v>210</v>
      </c>
      <c r="AY24" s="1">
        <v>5.0</v>
      </c>
      <c r="AZ24" s="1" t="s">
        <v>80</v>
      </c>
      <c r="BA24" s="2">
        <f>Setup!BY9</f>
        <v>5</v>
      </c>
      <c r="BB24" s="8"/>
      <c r="BC24" s="8"/>
      <c r="BD24" s="8"/>
      <c r="BE24" s="8"/>
      <c r="BF24" s="40">
        <f>mround(BF23*Setup!CH9,'Quick Setup'!$A$2)</f>
        <v>272.5</v>
      </c>
      <c r="BG24" s="2">
        <f>Setup!CI9</f>
        <v>6</v>
      </c>
      <c r="BH24" s="2">
        <f>Setup!CJ9</f>
        <v>3</v>
      </c>
      <c r="BI24" s="2">
        <f>Setup!CK9</f>
        <v>5</v>
      </c>
      <c r="BJ24" s="8"/>
      <c r="BK24" s="8"/>
      <c r="BL24" s="8"/>
      <c r="BM24" s="8"/>
      <c r="BN24" s="40">
        <f>mround(BN23*Setup!CT9,'Quick Setup'!$A$2)</f>
        <v>295</v>
      </c>
      <c r="BO24" s="2">
        <f>Setup!CU9</f>
        <v>5</v>
      </c>
      <c r="BP24" s="2">
        <f>Setup!CV9</f>
        <v>3</v>
      </c>
      <c r="BQ24" s="2">
        <f>Setup!CW9</f>
        <v>5</v>
      </c>
      <c r="BR24" s="8"/>
      <c r="BS24" s="8"/>
      <c r="BT24" s="8"/>
      <c r="BU24" s="8"/>
      <c r="BV24" s="40">
        <f>mround(BV23*Setup!DF9,'Quick Setup'!$A$2)</f>
        <v>315</v>
      </c>
      <c r="BW24" s="2">
        <f>Setup!DG9</f>
        <v>4</v>
      </c>
      <c r="BX24" s="2">
        <f>Setup!DH9</f>
        <v>2</v>
      </c>
      <c r="BY24" s="2">
        <f>Setup!DI9</f>
        <v>5</v>
      </c>
      <c r="BZ24" s="8"/>
      <c r="CA24" s="8"/>
      <c r="CB24" s="8"/>
      <c r="CC24" s="8"/>
      <c r="CD24" s="40">
        <f>mround(CD23*Setup!DR9,'Quick Setup'!$A$2)</f>
        <v>282.5</v>
      </c>
      <c r="CE24" s="2">
        <f>Setup!DS9</f>
        <v>6</v>
      </c>
      <c r="CF24" s="2">
        <f>Setup!DT9</f>
        <v>3</v>
      </c>
      <c r="CG24" s="2">
        <f>Setup!DU9</f>
        <v>5</v>
      </c>
      <c r="CH24" s="8"/>
      <c r="CI24" s="8"/>
      <c r="CJ24" s="8"/>
      <c r="CK24" s="8"/>
      <c r="CL24" s="40">
        <f>mround(CL23*Setup!ED9,'Quick Setup'!$A$2)</f>
        <v>305</v>
      </c>
      <c r="CM24" s="2">
        <f>Setup!EE9</f>
        <v>5</v>
      </c>
      <c r="CN24" s="2">
        <f>Setup!EF9</f>
        <v>3</v>
      </c>
      <c r="CO24" s="2">
        <f>Setup!EG9</f>
        <v>5</v>
      </c>
      <c r="CP24" s="8"/>
      <c r="CQ24" s="8"/>
      <c r="CR24" s="8"/>
      <c r="CS24" s="8"/>
      <c r="CT24" s="40">
        <f>mround(CT23*Setup!EP9,'Quick Setup'!$A$2)</f>
        <v>325</v>
      </c>
      <c r="CU24" s="2">
        <f>Setup!EQ9</f>
        <v>4</v>
      </c>
      <c r="CV24" s="2">
        <f>Setup!ER9</f>
        <v>2</v>
      </c>
      <c r="CW24" s="2">
        <f>Setup!ES9</f>
        <v>5</v>
      </c>
      <c r="CX24" s="8"/>
      <c r="CY24" s="8"/>
      <c r="CZ24" s="8"/>
      <c r="DA24" s="8"/>
      <c r="DB24" s="40">
        <f>mround(DB23*Setup!FB9,'Quick Setup'!$A$2)</f>
        <v>210</v>
      </c>
      <c r="DC24" s="1">
        <v>5.0</v>
      </c>
      <c r="DD24" s="1" t="s">
        <v>80</v>
      </c>
      <c r="DE24" s="2">
        <f>Setup!FE9</f>
        <v>5</v>
      </c>
      <c r="DF24" s="8"/>
      <c r="DG24" s="8"/>
      <c r="DH24" s="8"/>
      <c r="DI24" s="8"/>
      <c r="DJ24" s="40">
        <f>mround(DJ23*Setup!FN9,'Quick Setup'!$A$2)</f>
        <v>295</v>
      </c>
      <c r="DK24" s="2">
        <f>Setup!FO9</f>
        <v>5</v>
      </c>
      <c r="DL24" s="2">
        <f>Setup!FP9</f>
        <v>3</v>
      </c>
      <c r="DM24" s="2">
        <f>Setup!FQ9</f>
        <v>5</v>
      </c>
      <c r="DN24" s="8"/>
      <c r="DO24" s="8"/>
      <c r="DP24" s="8"/>
      <c r="DQ24" s="8"/>
      <c r="DR24" s="40">
        <f>mround(DR23*Setup!FZ9,'Quick Setup'!$A$2)</f>
        <v>315</v>
      </c>
      <c r="DS24" s="2">
        <f>Setup!GA9</f>
        <v>4</v>
      </c>
      <c r="DT24" s="2">
        <f>Setup!GB9</f>
        <v>2</v>
      </c>
      <c r="DU24" s="2">
        <f>Setup!GC9</f>
        <v>5</v>
      </c>
      <c r="DV24" s="8"/>
      <c r="DW24" s="8"/>
      <c r="DX24" s="8"/>
      <c r="DY24" s="8"/>
      <c r="DZ24" s="40">
        <f>mround(DZ23*Setup!GL9,'Quick Setup'!$A$2)</f>
        <v>335</v>
      </c>
      <c r="EA24" s="2">
        <f>Setup!GM9</f>
        <v>3</v>
      </c>
      <c r="EB24" s="2">
        <f>Setup!GN9</f>
        <v>2</v>
      </c>
      <c r="EC24" s="2">
        <f>Setup!GO9</f>
        <v>5</v>
      </c>
      <c r="ED24" s="8"/>
      <c r="EE24" s="8"/>
      <c r="EF24" s="8"/>
      <c r="EG24" s="8"/>
      <c r="EH24" s="40">
        <f>mround(EH23*Setup!GX9,'Quick Setup'!$A$2)</f>
        <v>315</v>
      </c>
      <c r="EI24" s="2">
        <f>Setup!GY9</f>
        <v>4</v>
      </c>
      <c r="EJ24" s="2">
        <f>Setup!GZ9</f>
        <v>2</v>
      </c>
      <c r="EK24" s="2">
        <f>Setup!HA9</f>
        <v>5</v>
      </c>
      <c r="EL24" s="8"/>
      <c r="EM24" s="8"/>
      <c r="EN24" s="8"/>
      <c r="EO24" s="8"/>
      <c r="EP24" s="40">
        <f>mround(EP23*Setup!HJ9,'Quick Setup'!$A$2)</f>
        <v>335</v>
      </c>
      <c r="EQ24" s="2">
        <f>Setup!HK9</f>
        <v>3</v>
      </c>
      <c r="ER24" s="2">
        <f>Setup!HL9</f>
        <v>2</v>
      </c>
      <c r="ES24" s="2">
        <f>Setup!HM9</f>
        <v>5</v>
      </c>
      <c r="ET24" s="8"/>
      <c r="EU24" s="8"/>
      <c r="EV24" s="8"/>
      <c r="EW24" s="8"/>
      <c r="EX24" s="40">
        <f>mround(EX23*Setup!HV9,'Quick Setup'!$A$2)</f>
        <v>357.5</v>
      </c>
      <c r="EY24" s="2">
        <f>Setup!HW9</f>
        <v>2</v>
      </c>
      <c r="EZ24" s="2">
        <f>Setup!HX9</f>
        <v>1</v>
      </c>
      <c r="FA24" s="2">
        <f>Setup!HY9</f>
        <v>5</v>
      </c>
      <c r="FB24" s="8"/>
      <c r="FC24" s="8"/>
      <c r="FD24" s="8"/>
      <c r="FE24" s="8"/>
      <c r="FF24" s="40">
        <f>mround(FF23*Setup!IH9,'Quick Setup'!$A$2)</f>
        <v>210</v>
      </c>
      <c r="FG24" s="1">
        <v>5.0</v>
      </c>
      <c r="FH24" s="1" t="s">
        <v>80</v>
      </c>
      <c r="FI24" s="2">
        <f>Setup!IK9</f>
        <v>5</v>
      </c>
      <c r="FJ24" s="8"/>
      <c r="FK24" s="8"/>
      <c r="FL24" s="8"/>
      <c r="FM24" s="8"/>
    </row>
    <row r="25" hidden="1">
      <c r="A25" s="36" t="str">
        <f>CONCATENATE(A26," TM")</f>
        <v>Close Grip Bench TM</v>
      </c>
      <c r="B25" s="37">
        <f>if(D25="",'Quick Setup'!D13,D25/'Quick Setup'!E13)</f>
        <v>310</v>
      </c>
      <c r="C25" s="36" t="s">
        <v>77</v>
      </c>
      <c r="D25" s="38"/>
      <c r="E25" s="39"/>
      <c r="F25" s="39"/>
      <c r="G25" s="39"/>
      <c r="H25" s="39"/>
      <c r="I25" s="39"/>
      <c r="J25" s="37">
        <f>if(L25="", if(F26="",B25, if((F26-E26)&lt;-1.9,B25*(1+Setup!F11),if((F26-E26)=-1,B25*(1+Setup!G11),if(G26&lt;D26,B25*(1+Setup!G11),if(G26=D26,B25*(1+Setup!H11),if((G26-D26)=1,B25*(1+Setup!I11),if((G26-D26)=2,B25*(1+Setup!J11),if((G26-D26)=3,B25*(1+Setup!K11),if((G26-D26)=4,B25*(1+Setup!L11),if((G26-D26)&gt;4.1,B25*(1+Setup!M11),B25)))))))))),L25/'Quick Setup'!$E13)</f>
        <v>310</v>
      </c>
      <c r="K25" s="36" t="s">
        <v>77</v>
      </c>
      <c r="L25" s="38"/>
      <c r="M25" s="39"/>
      <c r="N25" s="39"/>
      <c r="O25" s="39"/>
      <c r="P25" s="39"/>
      <c r="Q25" s="39"/>
      <c r="R25" s="37">
        <f>if(T25="", if(N26="",J25, if((N26-M26)&lt;-1.9,J25*(1+Setup!R11),if((N26-M26)=-1,J25*(1+Setup!S11),if(O26&lt;L26,J25*(1+Setup!S11),if(O26=L26,J25*(1+Setup!T11),if((O26-L26)=1,J25*(1+Setup!U11),if((O26-L26)=2,J25*(1+Setup!V11),if((O26-L26)=3,J25*(1+Setup!W11),if((O26-L26)=4,J25*(1+Setup!X11),if((O26-L26)&gt;4.1,J25*(1+Setup!Y11),J25)))))))))),T25/'Quick Setup'!$E13)</f>
        <v>310</v>
      </c>
      <c r="S25" s="36" t="s">
        <v>77</v>
      </c>
      <c r="T25" s="38"/>
      <c r="U25" s="39"/>
      <c r="V25" s="39"/>
      <c r="W25" s="39"/>
      <c r="X25" s="39"/>
      <c r="Y25" s="39"/>
      <c r="Z25" s="37">
        <f>if(AB25="", if(V26="",R25, if((V26-U26)&lt;-1.9,R25*(1+Setup!AD11),if((V26-U26)=-1,R25*(1+Setup!AE11),if(W26&lt;T26,R25*(1+Setup!AE11),if(W26=T26,R25*(1+Setup!AF11),if((W26-T26)=1,R25*(1+Setup!AG11),if((W26-T26)=2,R25*(1+Setup!AH11),if((W26-T26)=3,R25*(1+Setup!AI11),if((W26-T26)=4,R25*(1+Setup!AJ11),if((W26-T26)&gt;4.1,R25*(1+Setup!AK11),R25)))))))))),AB25/'Quick Setup'!$E13)</f>
        <v>310</v>
      </c>
      <c r="AA25" s="36" t="s">
        <v>77</v>
      </c>
      <c r="AB25" s="38"/>
      <c r="AC25" s="39"/>
      <c r="AD25" s="39"/>
      <c r="AE25" s="39"/>
      <c r="AF25" s="39"/>
      <c r="AG25" s="39"/>
      <c r="AH25" s="37">
        <f>if(AJ25="", if(AD26="",Z25, if((AD26-AC26)&lt;-1.9,Z25*(1+Setup!AP11),if((AD26-AC26)=-1,Z25*(1+Setup!AQ11),if(AE26&lt;AB26,Z25*(1+Setup!AQ11),if(AE26=AB26,Z25*(1+Setup!AR11),if((AE26-AB26)=1,Z25*(1+Setup!AS11),if((AE26-AB26)=2,Z25*(1+Setup!AT11),if((AE26-AB26)=3,Z25*(1+Setup!AU11),if((AE26-AB26)=4,Z25*(1+Setup!AV11),if((AE26-AB26)&gt;4.1,Z25*(1+Setup!AW11),Z25)))))))))),AJ25/'Quick Setup'!$E13)</f>
        <v>310</v>
      </c>
      <c r="AI25" s="36" t="s">
        <v>77</v>
      </c>
      <c r="AJ25" s="38"/>
      <c r="AK25" s="39"/>
      <c r="AL25" s="39"/>
      <c r="AM25" s="39"/>
      <c r="AN25" s="39"/>
      <c r="AO25" s="39"/>
      <c r="AP25" s="37">
        <f>if(AR25="", if(AL26="",AH25, if((AL26-AK26)&lt;-1.9,AH25*(1+Setup!BB11),if((AL26-AK26)=-1,AH25*(1+Setup!BC11),if(AM26&lt;AJ26,AH25*(1+Setup!BC11),if(AM26=AJ26,AH25*(1+Setup!BD11),if((AM26-AJ26)=1,AH25*(1+Setup!BE11),if((AM26-AJ26)=2,AH25*(1+Setup!BF11),if((AM26-AJ26)=3,AH25*(1+Setup!BG11),if((AM26-AJ26)=4,AH25*(1+Setup!BH11),if((AM26-AJ26)&gt;4.1,AH25*(1+Setup!BI11),AH25)))))))))),AR25/'Quick Setup'!$E13)</f>
        <v>310</v>
      </c>
      <c r="AQ25" s="36" t="s">
        <v>77</v>
      </c>
      <c r="AR25" s="38"/>
      <c r="AS25" s="39"/>
      <c r="AT25" s="39"/>
      <c r="AU25" s="39"/>
      <c r="AV25" s="39"/>
      <c r="AW25" s="39"/>
      <c r="AX25" s="37">
        <f>if(AZ25="", if(AT26="",AP25, if((AT26-AS26)&lt;-1.9,AP25*(1+Setup!BN11),if((AT26-AS26)=-1,AP25*(1+Setup!BO11),if(AU26&lt;AR26,AP25*(1+Setup!BO11),if(AU26=AR26,AP25*(1+Setup!BP11),if((AU26-AR26)=1,AP25*(1+Setup!BQ11),if((AU26-AR26)=2,AP25*(1+Setup!BR11),if((AU26-AR26)=3,AP25*(1+Setup!BS11),if((AU26-AR26)=4,AP25*(1+Setup!BT11),if((AU26-AR26)&gt;4.1,AP25*(1+Setup!BU11),AP25)))))))))),AZ25/'Quick Setup'!$E13)</f>
        <v>310</v>
      </c>
      <c r="AY25" s="36" t="s">
        <v>77</v>
      </c>
      <c r="AZ25" s="38"/>
      <c r="BA25" s="39"/>
      <c r="BB25" s="39"/>
      <c r="BC25" s="39"/>
      <c r="BD25" s="39"/>
      <c r="BE25" s="39"/>
      <c r="BF25" s="37">
        <f>if(BH25="",AX25,BH25/'Quick Setup'!$E13)</f>
        <v>310</v>
      </c>
      <c r="BG25" s="36" t="s">
        <v>77</v>
      </c>
      <c r="BH25" s="38"/>
      <c r="BI25" s="39"/>
      <c r="BJ25" s="39"/>
      <c r="BK25" s="39"/>
      <c r="BL25" s="39"/>
      <c r="BM25" s="39"/>
      <c r="BN25" s="37">
        <f>if(BP25="", if(BJ26="",BF25, if((BJ26-BI26)&lt;-1.9,BF25*(1+Setup!CL11),if((BJ26-BI26)=-1,BF25*(1+Setup!CM11),if(BK26&lt;BH26,BF25*(1+Setup!CM11),if(BK26=BH26,BF25*(1+Setup!CN11),if((BK26-BH26)=1,BF25*(1+Setup!CO11),if((BK26-BH26)=2,BF25*(1+Setup!CP11),if((BK26-BH26)=3,BF25*(1+Setup!CQ11),if((BK26-BH26)=4,BF25*(1+Setup!CR11),if((BK26-BH26)&gt;4.1,BF25*(1+Setup!CS11),BF25)))))))))),BP25/'Quick Setup'!$E13)</f>
        <v>310</v>
      </c>
      <c r="BO25" s="36" t="s">
        <v>77</v>
      </c>
      <c r="BP25" s="38"/>
      <c r="BQ25" s="39"/>
      <c r="BR25" s="39"/>
      <c r="BS25" s="39"/>
      <c r="BT25" s="39"/>
      <c r="BU25" s="39"/>
      <c r="BV25" s="37">
        <f>if(BX25="", if(BR26="",BN25, if((BR26-BQ26)&lt;-1.9,BN25*(1+Setup!CX11),if((BR26-BQ26)=-1,BN25*(1+Setup!CY11),if(BS26&lt;BP26,BN25*(1+Setup!CY11),if(BS26=BP26,BN25*(1+Setup!CZ11),if((BS26-BP26)=1,BN25*(1+Setup!DA11),if((BS26-BP26)=2,BN25*(1+Setup!DB11),if((BS26-BP26)=3,BN25*(1+Setup!DC11),if((BS26-BP26)=4,BN25*(1+Setup!DD11),if((BS26-BP26)&gt;4.1,BN25*(1+Setup!DE11),BN25)))))))))),BX25/'Quick Setup'!$E13)</f>
        <v>310</v>
      </c>
      <c r="BW25" s="36" t="s">
        <v>77</v>
      </c>
      <c r="BX25" s="38"/>
      <c r="BY25" s="39"/>
      <c r="BZ25" s="39"/>
      <c r="CA25" s="39"/>
      <c r="CB25" s="39"/>
      <c r="CC25" s="39"/>
      <c r="CD25" s="37">
        <f>if(CF25="", if(BZ26="",BV25, if((BZ26-BY26)&lt;-1.9,BV25*(1+Setup!DJ11),if((BZ26-BY26)=-1,BV25*(1+Setup!DK11),if(CA26&lt;BX26,BV25*(1+Setup!DK11),if(CA26=BX26,BV25*(1+Setup!DL11),if((CA26-BX26)=1,BV25*(1+Setup!DM11),if((CA26-BX26)=2,BV25*(1+Setup!DN11),if((CA26-BX26)=3,BV25*(1+Setup!DO11),if((CA26-BX26)=4,BV25*(1+Setup!DP11),if((CA26-BX26)&gt;4.1,BV25*(1+Setup!DQ11),BV25)))))))))),CF25/'Quick Setup'!$E13)</f>
        <v>310</v>
      </c>
      <c r="CE25" s="36" t="s">
        <v>77</v>
      </c>
      <c r="CF25" s="38"/>
      <c r="CG25" s="39"/>
      <c r="CH25" s="39"/>
      <c r="CI25" s="39"/>
      <c r="CJ25" s="39"/>
      <c r="CK25" s="39"/>
      <c r="CL25" s="37">
        <f>if(CN25="", if(CH26="",CD25, if((CH26-CG26)&lt;-1.9,CD25*(1+Setup!DV11),if((CH26-CG26)=-1,CD25*(1+Setup!DW11),if(CI26&lt;CF26,CD25*(1+Setup!DW11),if(CI26=CF26,CD25*(1+Setup!DX11),if((CI26-CF26)=1,CD25*(1+Setup!DY11),if((CI26-CF26)=2,CD25*(1+Setup!DZ11),if((CI26-CF26)=3,CD25*(1+Setup!EA11),if((CI26-CF26)=4,CD25*(1+Setup!EB11),if((CI26-CF26)&gt;4.1,CD25*(1+Setup!EC11),CD25)))))))))),CN25/'Quick Setup'!$E13)</f>
        <v>310</v>
      </c>
      <c r="CM25" s="36" t="s">
        <v>77</v>
      </c>
      <c r="CN25" s="38"/>
      <c r="CO25" s="39"/>
      <c r="CP25" s="39"/>
      <c r="CQ25" s="39"/>
      <c r="CR25" s="39"/>
      <c r="CS25" s="39"/>
      <c r="CT25" s="37">
        <f>if(CV25="", if(CP26="",CL25, if((CP26-CO26)&lt;-1.9,CL25*(1+Setup!EH11),if((CP26-CO26)=-1,CL25*(1+Setup!EI11),if(CQ26&lt;CN26,CL25*(1+Setup!EI11),if(CQ26=CN26,CL25*(1+Setup!EJ11),if((CQ26-CN26)=1,CL25*(1+Setup!EK11),if((CQ26-CN26)=2,CL25*(1+Setup!EL11),if((CQ26-CN26)=3,CL25*(1+Setup!EM11),if((CQ26-CN26)=4,CL25*(1+Setup!EN11),if((CQ26-CN26)&gt;4.1,CL25*(1+Setup!EO11),CL25)))))))))),CV25/'Quick Setup'!$E13)</f>
        <v>310</v>
      </c>
      <c r="CU25" s="36" t="s">
        <v>77</v>
      </c>
      <c r="CV25" s="38"/>
      <c r="CW25" s="39"/>
      <c r="CX25" s="39"/>
      <c r="CY25" s="39"/>
      <c r="CZ25" s="39"/>
      <c r="DA25" s="39"/>
      <c r="DB25" s="37">
        <f>if(DD25="", if(CX26="",CT25, if((CX26-CW26)&lt;-1.9,CT25*(1+Setup!ET11),if((CX26-CW26)=-1,CT25*(1+Setup!EU11),if(CY26&lt;CV26,CT25*(1+Setup!EU11),if(CY26=CV26,CT25*(1+Setup!EV11),if((CY26-CV26)=1,CT25*(1+Setup!EW11),if((CY26-CV26)=2,CT25*(1+Setup!EX11),if((CY26-CV26)=3,CT25*(1+Setup!EY11),if((CY26-CV26)=4,CT25*(1+Setup!EZ11),if((CY26-CV26)&gt;4.1,CT25*(1+Setup!FA11),CT25)))))))))),DD25/'Quick Setup'!$E13)</f>
        <v>310</v>
      </c>
      <c r="DC25" s="36" t="s">
        <v>77</v>
      </c>
      <c r="DD25" s="38"/>
      <c r="DE25" s="39"/>
      <c r="DF25" s="39"/>
      <c r="DG25" s="39"/>
      <c r="DH25" s="39"/>
      <c r="DI25" s="39"/>
      <c r="DJ25" s="37">
        <f>if(DL25="",DB25,DL25/'Quick Setup'!$E13)</f>
        <v>310</v>
      </c>
      <c r="DK25" s="36" t="s">
        <v>77</v>
      </c>
      <c r="DL25" s="38"/>
      <c r="DM25" s="39"/>
      <c r="DN25" s="39"/>
      <c r="DO25" s="39"/>
      <c r="DP25" s="39"/>
      <c r="DQ25" s="39"/>
      <c r="DR25" s="37">
        <f>if(DT25="", if(DN26="",DJ25, if((DN26-DM26)&lt;-1.9,DJ25*(1+Setup!FR11),if((DN26-DM26)=-1,DJ25*(1+Setup!FS11),if(DO26&lt;DL26,DJ25*(1+Setup!FS11),if(DO26=DL26,DJ25*(1+Setup!FT11),if((DO26-DL26)=1,DJ25*(1+Setup!FU11),if((DO26-DL26)=2,DJ25*(1+Setup!FV11),if((DO26-DL26)=3,DJ25*(1+Setup!FW11),if((DO26-DL26)=4,DJ25*(1+Setup!FX11),if((DO26-DL26)&gt;4.1,DJ25*(1+Setup!FY11),DJ25)))))))))),DT25/'Quick Setup'!$E13)</f>
        <v>310</v>
      </c>
      <c r="DS25" s="36" t="s">
        <v>77</v>
      </c>
      <c r="DT25" s="38"/>
      <c r="DU25" s="39"/>
      <c r="DV25" s="39"/>
      <c r="DW25" s="39"/>
      <c r="DX25" s="39"/>
      <c r="DY25" s="39"/>
      <c r="DZ25" s="37">
        <f>if(EB25="", if(DV26="",DR25, if((DV26-DU26)&lt;-1.9,DR25*(1+Setup!GD11),if((DV26-DU26)=-1,DR25*(1+Setup!GE11),if(DW26&lt;DT26,DR25*(1+Setup!GE11),if(DW26=DT26,DR25*(1+Setup!GF11),if((DW26-DT26)=1,DR25*(1+Setup!GG11),if((DW26-DT26)=2,DR25*(1+Setup!GH11),if((DW26-DT26)=3,DR25*(1+Setup!GI11),if((DW26-DT26)=4,DR25*(1+Setup!GJ11),if((DW26-DT26)&gt;4.1,DR25*(1+Setup!GK11),DR25)))))))))),EB25/'Quick Setup'!$E13)</f>
        <v>310</v>
      </c>
      <c r="EA25" s="36" t="s">
        <v>77</v>
      </c>
      <c r="EB25" s="38"/>
      <c r="EC25" s="39"/>
      <c r="ED25" s="39"/>
      <c r="EE25" s="39"/>
      <c r="EF25" s="39"/>
      <c r="EG25" s="39"/>
      <c r="EH25" s="37">
        <f>if(EJ25="", if(ED26="",DZ25, if((ED26-EC26)&lt;-1.9,DZ25*(1+Setup!GP11),if((ED26-EC26)=-1,DZ25*(1+Setup!GQ11),if(EE26&lt;EB26,DZ25*(1+Setup!GQ11),if(EE26=EB26,DZ25*(1+Setup!GR11),if((EE26-EB26)=1,DZ25*(1+Setup!GS11),if((EE26-EB26)=2,DZ25*(1+Setup!GT11),if((EE26-EB26)=3,DZ25*(1+Setup!GU11),if((EE26-EB26)=4,DZ25*(1+Setup!GV11),if((EE26-EB26)&gt;4.1,DZ25*(1+Setup!GW11),DZ25)))))))))),EJ25/'Quick Setup'!$E13)</f>
        <v>310</v>
      </c>
      <c r="EI25" s="36" t="s">
        <v>77</v>
      </c>
      <c r="EJ25" s="38"/>
      <c r="EK25" s="39"/>
      <c r="EL25" s="39"/>
      <c r="EM25" s="39"/>
      <c r="EN25" s="39"/>
      <c r="EO25" s="39"/>
      <c r="EP25" s="37">
        <f>if(ER25="", if(EL26="",EH25, if((EL26-EK26)&lt;-1.9,EH25*(1+Setup!HB11),if((EL26-EK26)=-1,EH25*(1+Setup!HC11),if(EM26&lt;EJ26,EH25*(1+Setup!HC11),if(EM26=EJ26,EH25*(1+Setup!HD11),if((EM26-EJ26)=1,EH25*(1+Setup!HE11),if((EM26-EJ26)=2,EH25*(1+Setup!HF11),if((EM26-EJ26)=3,EH25*(1+Setup!HG11),if((EM26-EJ26)=4,EH25*(1+Setup!HH11),if((EM26-EJ26)&gt;4.1,EH25*(1+Setup!HI11),EH25)))))))))),ER25/'Quick Setup'!$E13)</f>
        <v>310</v>
      </c>
      <c r="EQ25" s="36" t="s">
        <v>77</v>
      </c>
      <c r="ER25" s="38"/>
      <c r="ES25" s="39"/>
      <c r="ET25" s="39"/>
      <c r="EU25" s="39"/>
      <c r="EV25" s="39"/>
      <c r="EW25" s="39"/>
      <c r="EX25" s="37">
        <f>if(EZ25="", if(ET26="",EP25, if((ET26-ES26)&lt;-1.9,EP25*(1+Setup!HN11),if((ET26-ES26)=-1,EP25*(1+Setup!HO11),if(EU26&lt;ER26,EP25*(1+Setup!HO11),if(EU26=ER26,EP25*(1+Setup!HP11),if((EU26-ER26)=1,EP25*(1+Setup!HQ11),if((EU26-ER26)=2,EP25*(1+Setup!HR11),if((EU26-ER26)=3,EP25*(1+Setup!HS11),if((EU26-ER26)=4,EP25*(1+Setup!HT11),if((EU26-ER26)&gt;4.1,EP25*(1+Setup!HU11),EP25)))))))))),EZ25/'Quick Setup'!$E13)</f>
        <v>310</v>
      </c>
      <c r="EY25" s="36" t="s">
        <v>77</v>
      </c>
      <c r="EZ25" s="38"/>
      <c r="FA25" s="39"/>
      <c r="FB25" s="39"/>
      <c r="FC25" s="39"/>
      <c r="FD25" s="39"/>
      <c r="FE25" s="39"/>
      <c r="FF25" s="37">
        <f>if(FH25="", if(FB26="",EX25, if((FB26-FA26)&lt;-1.9,EX25*(1+Setup!HZ11),if((FB26-FA26)=-1,EX25*(1+Setup!IA11),if(FC26&lt;EZ26,EX25*(1+Setup!IA11),if(FC26=EZ26,EX25*(1+Setup!IB11),if((FC26-EZ26)=1,EX25*(1+Setup!IC11),if((FC26-EZ26)=2,EX25*(1+Setup!ID11),if((FC26-EZ26)=3,EX25*(1+Setup!IE11),if((FC26-EZ26)=4,EX25*(1+Setup!IF11),if((FC26-EZ26)&gt;4.1,EX25*(1+Setup!IG11),EX25)))))))))),FH25/'Quick Setup'!$E13)</f>
        <v>310</v>
      </c>
      <c r="FG25" s="36" t="s">
        <v>77</v>
      </c>
      <c r="FH25" s="38"/>
      <c r="FI25" s="39"/>
      <c r="FJ25" s="39"/>
      <c r="FK25" s="39"/>
      <c r="FL25" s="39"/>
      <c r="FM25" s="39"/>
    </row>
    <row r="26">
      <c r="A26" s="1" t="str">
        <f>Setup!A11</f>
        <v>Close Grip Bench</v>
      </c>
      <c r="B26" s="40">
        <f>mround(B25*Setup!B11,'Quick Setup'!$A$2)</f>
        <v>185</v>
      </c>
      <c r="C26" s="2">
        <f>Setup!C11</f>
        <v>7</v>
      </c>
      <c r="D26" s="2">
        <f>Setup!D11</f>
        <v>3</v>
      </c>
      <c r="E26" s="2">
        <f>Setup!E11</f>
        <v>5</v>
      </c>
      <c r="F26" s="8"/>
      <c r="G26" s="8"/>
      <c r="H26" s="8"/>
      <c r="I26" s="8"/>
      <c r="J26" s="40">
        <f>mround(J25*Setup!N11,'Quick Setup'!$A$2)</f>
        <v>202.5</v>
      </c>
      <c r="K26" s="2">
        <f>Setup!O11</f>
        <v>6</v>
      </c>
      <c r="L26" s="2">
        <f>Setup!P11</f>
        <v>3</v>
      </c>
      <c r="M26" s="2">
        <f>Setup!Q11</f>
        <v>5</v>
      </c>
      <c r="N26" s="8"/>
      <c r="O26" s="8"/>
      <c r="P26" s="8"/>
      <c r="Q26" s="8"/>
      <c r="R26" s="40">
        <f>mround(R25*Setup!Z11,'Quick Setup'!$A$2)</f>
        <v>217.5</v>
      </c>
      <c r="S26" s="2">
        <f>Setup!AA11</f>
        <v>5</v>
      </c>
      <c r="T26" s="2">
        <f>Setup!AB11</f>
        <v>3</v>
      </c>
      <c r="U26" s="2">
        <f>Setup!AC11</f>
        <v>5</v>
      </c>
      <c r="V26" s="8"/>
      <c r="W26" s="8"/>
      <c r="X26" s="8"/>
      <c r="Y26" s="8"/>
      <c r="Z26" s="40">
        <f>mround(Z25*Setup!AL11,'Quick Setup'!$A$2)</f>
        <v>195</v>
      </c>
      <c r="AA26" s="2">
        <f>Setup!AM11</f>
        <v>7</v>
      </c>
      <c r="AB26" s="2">
        <f>Setup!AN11</f>
        <v>3</v>
      </c>
      <c r="AC26" s="2">
        <f>Setup!AO11</f>
        <v>5</v>
      </c>
      <c r="AD26" s="8"/>
      <c r="AE26" s="8"/>
      <c r="AF26" s="8"/>
      <c r="AG26" s="8"/>
      <c r="AH26" s="40">
        <f>mround(AH25*Setup!AX11,'Quick Setup'!$A$2)</f>
        <v>210</v>
      </c>
      <c r="AI26" s="2">
        <f>Setup!AY11</f>
        <v>6</v>
      </c>
      <c r="AJ26" s="2">
        <f>Setup!AZ11</f>
        <v>3</v>
      </c>
      <c r="AK26" s="2">
        <f>Setup!BA11</f>
        <v>5</v>
      </c>
      <c r="AL26" s="8"/>
      <c r="AM26" s="8"/>
      <c r="AN26" s="8"/>
      <c r="AO26" s="8"/>
      <c r="AP26" s="40">
        <f>mround(AP25*Setup!BJ11,'Quick Setup'!$A$2)</f>
        <v>225</v>
      </c>
      <c r="AQ26" s="2">
        <f>Setup!BK11</f>
        <v>5</v>
      </c>
      <c r="AR26" s="2">
        <f>Setup!BL11</f>
        <v>3</v>
      </c>
      <c r="AS26" s="2">
        <f>Setup!BM11</f>
        <v>5</v>
      </c>
      <c r="AT26" s="8"/>
      <c r="AU26" s="8"/>
      <c r="AV26" s="8"/>
      <c r="AW26" s="8"/>
      <c r="AX26" s="40">
        <f>mround(AX25*Setup!BV11,'Quick Setup'!$A$2)</f>
        <v>155</v>
      </c>
      <c r="AY26" s="1">
        <v>5.0</v>
      </c>
      <c r="AZ26" s="1" t="s">
        <v>80</v>
      </c>
      <c r="BA26" s="2">
        <f>Setup!BY11</f>
        <v>5</v>
      </c>
      <c r="BB26" s="8"/>
      <c r="BC26" s="8"/>
      <c r="BD26" s="8"/>
      <c r="BE26" s="8"/>
      <c r="BF26" s="40">
        <f>mround(BF25*Setup!CH11,'Quick Setup'!$A$2)</f>
        <v>202.5</v>
      </c>
      <c r="BG26" s="2">
        <f>Setup!CI11</f>
        <v>6</v>
      </c>
      <c r="BH26" s="2">
        <f>Setup!CJ11</f>
        <v>3</v>
      </c>
      <c r="BI26" s="2">
        <f>Setup!CK11</f>
        <v>5</v>
      </c>
      <c r="BJ26" s="8"/>
      <c r="BK26" s="8"/>
      <c r="BL26" s="8"/>
      <c r="BM26" s="8"/>
      <c r="BN26" s="40">
        <f>mround(BN25*Setup!CT11,'Quick Setup'!$A$2)</f>
        <v>217.5</v>
      </c>
      <c r="BO26" s="2">
        <f>Setup!CU11</f>
        <v>5</v>
      </c>
      <c r="BP26" s="2">
        <f>Setup!CV11</f>
        <v>3</v>
      </c>
      <c r="BQ26" s="2">
        <f>Setup!CW11</f>
        <v>5</v>
      </c>
      <c r="BR26" s="8"/>
      <c r="BS26" s="8"/>
      <c r="BT26" s="8"/>
      <c r="BU26" s="8"/>
      <c r="BV26" s="40">
        <f>mround(BV25*Setup!DF11,'Quick Setup'!$A$2)</f>
        <v>232.5</v>
      </c>
      <c r="BW26" s="2">
        <f>Setup!DG11</f>
        <v>4</v>
      </c>
      <c r="BX26" s="2">
        <f>Setup!DH11</f>
        <v>2</v>
      </c>
      <c r="BY26" s="2">
        <f>Setup!DI11</f>
        <v>5</v>
      </c>
      <c r="BZ26" s="8"/>
      <c r="CA26" s="8"/>
      <c r="CB26" s="8"/>
      <c r="CC26" s="8"/>
      <c r="CD26" s="40">
        <f>mround(CD25*Setup!DR11,'Quick Setup'!$A$2)</f>
        <v>210</v>
      </c>
      <c r="CE26" s="2">
        <f>Setup!DS11</f>
        <v>6</v>
      </c>
      <c r="CF26" s="2">
        <f>Setup!DT11</f>
        <v>3</v>
      </c>
      <c r="CG26" s="2">
        <f>Setup!DU11</f>
        <v>5</v>
      </c>
      <c r="CH26" s="8"/>
      <c r="CI26" s="8"/>
      <c r="CJ26" s="8"/>
      <c r="CK26" s="8"/>
      <c r="CL26" s="40">
        <f>mround(CL25*Setup!ED11,'Quick Setup'!$A$2)</f>
        <v>225</v>
      </c>
      <c r="CM26" s="2">
        <f>Setup!EE11</f>
        <v>5</v>
      </c>
      <c r="CN26" s="2">
        <f>Setup!EF11</f>
        <v>3</v>
      </c>
      <c r="CO26" s="2">
        <f>Setup!EG11</f>
        <v>5</v>
      </c>
      <c r="CP26" s="8"/>
      <c r="CQ26" s="8"/>
      <c r="CR26" s="8"/>
      <c r="CS26" s="8"/>
      <c r="CT26" s="40">
        <f>mround(CT25*Setup!EP11,'Quick Setup'!$A$2)</f>
        <v>240</v>
      </c>
      <c r="CU26" s="2">
        <f>Setup!EQ11</f>
        <v>4</v>
      </c>
      <c r="CV26" s="2">
        <f>Setup!ER11</f>
        <v>2</v>
      </c>
      <c r="CW26" s="2">
        <f>Setup!ES11</f>
        <v>5</v>
      </c>
      <c r="CX26" s="8"/>
      <c r="CY26" s="8"/>
      <c r="CZ26" s="8"/>
      <c r="DA26" s="8"/>
      <c r="DB26" s="40">
        <f>mround(DB25*Setup!FB11,'Quick Setup'!$A$2)</f>
        <v>155</v>
      </c>
      <c r="DC26" s="1">
        <v>5.0</v>
      </c>
      <c r="DD26" s="1" t="s">
        <v>80</v>
      </c>
      <c r="DE26" s="2">
        <f>Setup!FE11</f>
        <v>5</v>
      </c>
      <c r="DF26" s="8"/>
      <c r="DG26" s="8"/>
      <c r="DH26" s="8"/>
      <c r="DI26" s="8"/>
      <c r="DJ26" s="40">
        <f>mround(DJ25*Setup!FN11,'Quick Setup'!$A$2)</f>
        <v>217.5</v>
      </c>
      <c r="DK26" s="2">
        <f>Setup!FO11</f>
        <v>5</v>
      </c>
      <c r="DL26" s="2">
        <f>Setup!FP11</f>
        <v>3</v>
      </c>
      <c r="DM26" s="2">
        <f>Setup!FQ11</f>
        <v>5</v>
      </c>
      <c r="DN26" s="8"/>
      <c r="DO26" s="8"/>
      <c r="DP26" s="8"/>
      <c r="DQ26" s="8"/>
      <c r="DR26" s="40">
        <f>mround(DR25*Setup!FZ11,'Quick Setup'!$A$2)</f>
        <v>232.5</v>
      </c>
      <c r="DS26" s="2">
        <f>Setup!GA11</f>
        <v>4</v>
      </c>
      <c r="DT26" s="2">
        <f>Setup!GB11</f>
        <v>2</v>
      </c>
      <c r="DU26" s="2">
        <f>Setup!GC11</f>
        <v>5</v>
      </c>
      <c r="DV26" s="8"/>
      <c r="DW26" s="8"/>
      <c r="DX26" s="8"/>
      <c r="DY26" s="8"/>
      <c r="DZ26" s="40">
        <f>mround(DZ25*Setup!GL11,'Quick Setup'!$A$2)</f>
        <v>247.5</v>
      </c>
      <c r="EA26" s="2">
        <f>Setup!GM11</f>
        <v>3</v>
      </c>
      <c r="EB26" s="2">
        <f>Setup!GN11</f>
        <v>2</v>
      </c>
      <c r="EC26" s="2">
        <f>Setup!GO11</f>
        <v>5</v>
      </c>
      <c r="ED26" s="8"/>
      <c r="EE26" s="8"/>
      <c r="EF26" s="8"/>
      <c r="EG26" s="8"/>
      <c r="EH26" s="40">
        <f>mround(EH25*Setup!GX11,'Quick Setup'!$A$2)</f>
        <v>232.5</v>
      </c>
      <c r="EI26" s="2">
        <f>Setup!GY11</f>
        <v>4</v>
      </c>
      <c r="EJ26" s="2">
        <f>Setup!GZ11</f>
        <v>2</v>
      </c>
      <c r="EK26" s="2">
        <f>Setup!HA11</f>
        <v>5</v>
      </c>
      <c r="EL26" s="8"/>
      <c r="EM26" s="8"/>
      <c r="EN26" s="8"/>
      <c r="EO26" s="8"/>
      <c r="EP26" s="40">
        <f>mround(EP25*Setup!HJ11,'Quick Setup'!$A$2)</f>
        <v>247.5</v>
      </c>
      <c r="EQ26" s="2">
        <f>Setup!HK11</f>
        <v>3</v>
      </c>
      <c r="ER26" s="2">
        <f>Setup!HL11</f>
        <v>2</v>
      </c>
      <c r="ES26" s="2">
        <f>Setup!HM11</f>
        <v>5</v>
      </c>
      <c r="ET26" s="8"/>
      <c r="EU26" s="8"/>
      <c r="EV26" s="8"/>
      <c r="EW26" s="8"/>
      <c r="EX26" s="40">
        <f>mround(EX25*Setup!HV11,'Quick Setup'!$A$2)</f>
        <v>262.5</v>
      </c>
      <c r="EY26" s="2">
        <f>Setup!HW11</f>
        <v>2</v>
      </c>
      <c r="EZ26" s="2">
        <f>Setup!HX11</f>
        <v>1</v>
      </c>
      <c r="FA26" s="2">
        <f>Setup!HY11</f>
        <v>5</v>
      </c>
      <c r="FB26" s="8"/>
      <c r="FC26" s="8"/>
      <c r="FD26" s="8"/>
      <c r="FE26" s="8"/>
      <c r="FF26" s="40">
        <f>mround(FF25*Setup!IH11,'Quick Setup'!$A$2)</f>
        <v>155</v>
      </c>
      <c r="FG26" s="1">
        <v>5.0</v>
      </c>
      <c r="FH26" s="1" t="s">
        <v>80</v>
      </c>
      <c r="FI26" s="2">
        <f>Setup!IK11</f>
        <v>5</v>
      </c>
      <c r="FJ26" s="8"/>
      <c r="FK26" s="8"/>
      <c r="FL26" s="8"/>
      <c r="FM26" s="8"/>
    </row>
    <row r="27">
      <c r="A27" s="5"/>
      <c r="B27" s="41"/>
      <c r="C27" s="8"/>
      <c r="D27" s="8"/>
      <c r="E27" s="8"/>
      <c r="F27" s="8"/>
      <c r="G27" s="8"/>
      <c r="H27" s="8"/>
      <c r="I27" s="8"/>
      <c r="J27" s="41" t="str">
        <f t="shared" ref="J27:O27" si="81">B27</f>
        <v/>
      </c>
      <c r="K27" s="8" t="str">
        <f t="shared" si="81"/>
        <v/>
      </c>
      <c r="L27" s="8" t="str">
        <f t="shared" si="81"/>
        <v/>
      </c>
      <c r="M27" s="8" t="str">
        <f t="shared" si="81"/>
        <v/>
      </c>
      <c r="N27" s="8" t="str">
        <f t="shared" si="81"/>
        <v/>
      </c>
      <c r="O27" s="8" t="str">
        <f t="shared" si="81"/>
        <v/>
      </c>
      <c r="P27" s="8"/>
      <c r="Q27" s="8"/>
      <c r="R27" s="41" t="str">
        <f t="shared" ref="R27:W27" si="82">J27</f>
        <v/>
      </c>
      <c r="S27" s="8" t="str">
        <f t="shared" si="82"/>
        <v/>
      </c>
      <c r="T27" s="8" t="str">
        <f t="shared" si="82"/>
        <v/>
      </c>
      <c r="U27" s="8" t="str">
        <f t="shared" si="82"/>
        <v/>
      </c>
      <c r="V27" s="8" t="str">
        <f t="shared" si="82"/>
        <v/>
      </c>
      <c r="W27" s="8" t="str">
        <f t="shared" si="82"/>
        <v/>
      </c>
      <c r="X27" s="8"/>
      <c r="Y27" s="8"/>
      <c r="Z27" s="41" t="str">
        <f t="shared" ref="Z27:AE27" si="83">R27</f>
        <v/>
      </c>
      <c r="AA27" s="8" t="str">
        <f t="shared" si="83"/>
        <v/>
      </c>
      <c r="AB27" s="8" t="str">
        <f t="shared" si="83"/>
        <v/>
      </c>
      <c r="AC27" s="8" t="str">
        <f t="shared" si="83"/>
        <v/>
      </c>
      <c r="AD27" s="8" t="str">
        <f t="shared" si="83"/>
        <v/>
      </c>
      <c r="AE27" s="8" t="str">
        <f t="shared" si="83"/>
        <v/>
      </c>
      <c r="AF27" s="8"/>
      <c r="AG27" s="8"/>
      <c r="AH27" s="41" t="str">
        <f t="shared" ref="AH27:AM27" si="84">Z27</f>
        <v/>
      </c>
      <c r="AI27" s="8" t="str">
        <f t="shared" si="84"/>
        <v/>
      </c>
      <c r="AJ27" s="8" t="str">
        <f t="shared" si="84"/>
        <v/>
      </c>
      <c r="AK27" s="8" t="str">
        <f t="shared" si="84"/>
        <v/>
      </c>
      <c r="AL27" s="8" t="str">
        <f t="shared" si="84"/>
        <v/>
      </c>
      <c r="AM27" s="8" t="str">
        <f t="shared" si="84"/>
        <v/>
      </c>
      <c r="AN27" s="8"/>
      <c r="AO27" s="8"/>
      <c r="AP27" s="41" t="str">
        <f t="shared" ref="AP27:AU27" si="85">AH27</f>
        <v/>
      </c>
      <c r="AQ27" s="8" t="str">
        <f t="shared" si="85"/>
        <v/>
      </c>
      <c r="AR27" s="8" t="str">
        <f t="shared" si="85"/>
        <v/>
      </c>
      <c r="AS27" s="8" t="str">
        <f t="shared" si="85"/>
        <v/>
      </c>
      <c r="AT27" s="8" t="str">
        <f t="shared" si="85"/>
        <v/>
      </c>
      <c r="AU27" s="8" t="str">
        <f t="shared" si="85"/>
        <v/>
      </c>
      <c r="AV27" s="8"/>
      <c r="AW27" s="8"/>
      <c r="AX27" s="41" t="str">
        <f t="shared" ref="AX27:BC27" si="86">AP27</f>
        <v/>
      </c>
      <c r="AY27" s="8" t="str">
        <f t="shared" si="86"/>
        <v/>
      </c>
      <c r="AZ27" s="8" t="str">
        <f t="shared" si="86"/>
        <v/>
      </c>
      <c r="BA27" s="8" t="str">
        <f t="shared" si="86"/>
        <v/>
      </c>
      <c r="BB27" s="8" t="str">
        <f t="shared" si="86"/>
        <v/>
      </c>
      <c r="BC27" s="8" t="str">
        <f t="shared" si="86"/>
        <v/>
      </c>
      <c r="BD27" s="8"/>
      <c r="BE27" s="8"/>
      <c r="BF27" s="41" t="str">
        <f t="shared" ref="BF27:BK27" si="87">AX27</f>
        <v/>
      </c>
      <c r="BG27" s="8" t="str">
        <f t="shared" si="87"/>
        <v/>
      </c>
      <c r="BH27" s="8" t="str">
        <f t="shared" si="87"/>
        <v/>
      </c>
      <c r="BI27" s="8" t="str">
        <f t="shared" si="87"/>
        <v/>
      </c>
      <c r="BJ27" s="8" t="str">
        <f t="shared" si="87"/>
        <v/>
      </c>
      <c r="BK27" s="8" t="str">
        <f t="shared" si="87"/>
        <v/>
      </c>
      <c r="BL27" s="8"/>
      <c r="BM27" s="8"/>
      <c r="BN27" s="41" t="str">
        <f t="shared" ref="BN27:BS27" si="88">BF27</f>
        <v/>
      </c>
      <c r="BO27" s="8" t="str">
        <f t="shared" si="88"/>
        <v/>
      </c>
      <c r="BP27" s="8" t="str">
        <f t="shared" si="88"/>
        <v/>
      </c>
      <c r="BQ27" s="8" t="str">
        <f t="shared" si="88"/>
        <v/>
      </c>
      <c r="BR27" s="8" t="str">
        <f t="shared" si="88"/>
        <v/>
      </c>
      <c r="BS27" s="8" t="str">
        <f t="shared" si="88"/>
        <v/>
      </c>
      <c r="BT27" s="8"/>
      <c r="BU27" s="8"/>
      <c r="BV27" s="41" t="str">
        <f t="shared" ref="BV27:CA27" si="89">BN27</f>
        <v/>
      </c>
      <c r="BW27" s="8" t="str">
        <f t="shared" si="89"/>
        <v/>
      </c>
      <c r="BX27" s="8" t="str">
        <f t="shared" si="89"/>
        <v/>
      </c>
      <c r="BY27" s="8" t="str">
        <f t="shared" si="89"/>
        <v/>
      </c>
      <c r="BZ27" s="8" t="str">
        <f t="shared" si="89"/>
        <v/>
      </c>
      <c r="CA27" s="8" t="str">
        <f t="shared" si="89"/>
        <v/>
      </c>
      <c r="CB27" s="8"/>
      <c r="CC27" s="8"/>
      <c r="CD27" s="41" t="str">
        <f t="shared" ref="CD27:CI27" si="90">BV27</f>
        <v/>
      </c>
      <c r="CE27" s="8" t="str">
        <f t="shared" si="90"/>
        <v/>
      </c>
      <c r="CF27" s="8" t="str">
        <f t="shared" si="90"/>
        <v/>
      </c>
      <c r="CG27" s="8" t="str">
        <f t="shared" si="90"/>
        <v/>
      </c>
      <c r="CH27" s="8" t="str">
        <f t="shared" si="90"/>
        <v/>
      </c>
      <c r="CI27" s="8" t="str">
        <f t="shared" si="90"/>
        <v/>
      </c>
      <c r="CJ27" s="8"/>
      <c r="CK27" s="8"/>
      <c r="CL27" s="41" t="str">
        <f t="shared" ref="CL27:CQ27" si="91">CD27</f>
        <v/>
      </c>
      <c r="CM27" s="8" t="str">
        <f t="shared" si="91"/>
        <v/>
      </c>
      <c r="CN27" s="8" t="str">
        <f t="shared" si="91"/>
        <v/>
      </c>
      <c r="CO27" s="8" t="str">
        <f t="shared" si="91"/>
        <v/>
      </c>
      <c r="CP27" s="8" t="str">
        <f t="shared" si="91"/>
        <v/>
      </c>
      <c r="CQ27" s="8" t="str">
        <f t="shared" si="91"/>
        <v/>
      </c>
      <c r="CR27" s="8"/>
      <c r="CS27" s="8"/>
      <c r="CT27" s="41" t="str">
        <f t="shared" ref="CT27:CY27" si="92">CL27</f>
        <v/>
      </c>
      <c r="CU27" s="8" t="str">
        <f t="shared" si="92"/>
        <v/>
      </c>
      <c r="CV27" s="8" t="str">
        <f t="shared" si="92"/>
        <v/>
      </c>
      <c r="CW27" s="8" t="str">
        <f t="shared" si="92"/>
        <v/>
      </c>
      <c r="CX27" s="8" t="str">
        <f t="shared" si="92"/>
        <v/>
      </c>
      <c r="CY27" s="8" t="str">
        <f t="shared" si="92"/>
        <v/>
      </c>
      <c r="CZ27" s="8"/>
      <c r="DA27" s="8"/>
      <c r="DB27" s="41" t="str">
        <f t="shared" ref="DB27:DG27" si="93">CT27</f>
        <v/>
      </c>
      <c r="DC27" s="8" t="str">
        <f t="shared" si="93"/>
        <v/>
      </c>
      <c r="DD27" s="8" t="str">
        <f t="shared" si="93"/>
        <v/>
      </c>
      <c r="DE27" s="8" t="str">
        <f t="shared" si="93"/>
        <v/>
      </c>
      <c r="DF27" s="8" t="str">
        <f t="shared" si="93"/>
        <v/>
      </c>
      <c r="DG27" s="8" t="str">
        <f t="shared" si="93"/>
        <v/>
      </c>
      <c r="DH27" s="8"/>
      <c r="DI27" s="8"/>
      <c r="DJ27" s="41" t="str">
        <f t="shared" ref="DJ27:DO27" si="94">DB27</f>
        <v/>
      </c>
      <c r="DK27" s="8" t="str">
        <f t="shared" si="94"/>
        <v/>
      </c>
      <c r="DL27" s="8" t="str">
        <f t="shared" si="94"/>
        <v/>
      </c>
      <c r="DM27" s="8" t="str">
        <f t="shared" si="94"/>
        <v/>
      </c>
      <c r="DN27" s="8" t="str">
        <f t="shared" si="94"/>
        <v/>
      </c>
      <c r="DO27" s="8" t="str">
        <f t="shared" si="94"/>
        <v/>
      </c>
      <c r="DP27" s="8"/>
      <c r="DQ27" s="8"/>
      <c r="DR27" s="41" t="str">
        <f t="shared" ref="DR27:DW27" si="95">DJ27</f>
        <v/>
      </c>
      <c r="DS27" s="8" t="str">
        <f t="shared" si="95"/>
        <v/>
      </c>
      <c r="DT27" s="8" t="str">
        <f t="shared" si="95"/>
        <v/>
      </c>
      <c r="DU27" s="8" t="str">
        <f t="shared" si="95"/>
        <v/>
      </c>
      <c r="DV27" s="8" t="str">
        <f t="shared" si="95"/>
        <v/>
      </c>
      <c r="DW27" s="8" t="str">
        <f t="shared" si="95"/>
        <v/>
      </c>
      <c r="DX27" s="8"/>
      <c r="DY27" s="8"/>
      <c r="DZ27" s="41" t="str">
        <f t="shared" ref="DZ27:EE27" si="96">DR27</f>
        <v/>
      </c>
      <c r="EA27" s="8" t="str">
        <f t="shared" si="96"/>
        <v/>
      </c>
      <c r="EB27" s="8" t="str">
        <f t="shared" si="96"/>
        <v/>
      </c>
      <c r="EC27" s="8" t="str">
        <f t="shared" si="96"/>
        <v/>
      </c>
      <c r="ED27" s="8" t="str">
        <f t="shared" si="96"/>
        <v/>
      </c>
      <c r="EE27" s="8" t="str">
        <f t="shared" si="96"/>
        <v/>
      </c>
      <c r="EF27" s="8"/>
      <c r="EG27" s="8"/>
      <c r="EH27" s="41" t="str">
        <f t="shared" ref="EH27:EM27" si="97">DZ27</f>
        <v/>
      </c>
      <c r="EI27" s="8" t="str">
        <f t="shared" si="97"/>
        <v/>
      </c>
      <c r="EJ27" s="8" t="str">
        <f t="shared" si="97"/>
        <v/>
      </c>
      <c r="EK27" s="8" t="str">
        <f t="shared" si="97"/>
        <v/>
      </c>
      <c r="EL27" s="8" t="str">
        <f t="shared" si="97"/>
        <v/>
      </c>
      <c r="EM27" s="8" t="str">
        <f t="shared" si="97"/>
        <v/>
      </c>
      <c r="EN27" s="8"/>
      <c r="EO27" s="8"/>
      <c r="EP27" s="41" t="str">
        <f t="shared" ref="EP27:EU27" si="98">EH27</f>
        <v/>
      </c>
      <c r="EQ27" s="8" t="str">
        <f t="shared" si="98"/>
        <v/>
      </c>
      <c r="ER27" s="8" t="str">
        <f t="shared" si="98"/>
        <v/>
      </c>
      <c r="ES27" s="8" t="str">
        <f t="shared" si="98"/>
        <v/>
      </c>
      <c r="ET27" s="8" t="str">
        <f t="shared" si="98"/>
        <v/>
      </c>
      <c r="EU27" s="8" t="str">
        <f t="shared" si="98"/>
        <v/>
      </c>
      <c r="EV27" s="8"/>
      <c r="EW27" s="8"/>
      <c r="EX27" s="41" t="str">
        <f t="shared" ref="EX27:FC27" si="99">EP27</f>
        <v/>
      </c>
      <c r="EY27" s="8" t="str">
        <f t="shared" si="99"/>
        <v/>
      </c>
      <c r="EZ27" s="8" t="str">
        <f t="shared" si="99"/>
        <v/>
      </c>
      <c r="FA27" s="8" t="str">
        <f t="shared" si="99"/>
        <v/>
      </c>
      <c r="FB27" s="8" t="str">
        <f t="shared" si="99"/>
        <v/>
      </c>
      <c r="FC27" s="8" t="str">
        <f t="shared" si="99"/>
        <v/>
      </c>
      <c r="FD27" s="8"/>
      <c r="FE27" s="8"/>
      <c r="FF27" s="41" t="str">
        <f t="shared" ref="FF27:FK27" si="100">EX27</f>
        <v/>
      </c>
      <c r="FG27" s="8" t="str">
        <f t="shared" si="100"/>
        <v/>
      </c>
      <c r="FH27" s="8" t="str">
        <f t="shared" si="100"/>
        <v/>
      </c>
      <c r="FI27" s="8" t="str">
        <f t="shared" si="100"/>
        <v/>
      </c>
      <c r="FJ27" s="8" t="str">
        <f t="shared" si="100"/>
        <v/>
      </c>
      <c r="FK27" s="8" t="str">
        <f t="shared" si="100"/>
        <v/>
      </c>
      <c r="FL27" s="8"/>
      <c r="FM27" s="8"/>
    </row>
    <row r="28">
      <c r="A28" s="1" t="s">
        <v>81</v>
      </c>
      <c r="B28" s="40"/>
      <c r="C28" s="2"/>
      <c r="D28" s="2"/>
      <c r="E28" s="2"/>
      <c r="F28" s="2"/>
      <c r="G28" s="2"/>
      <c r="H28" s="2"/>
      <c r="I28" s="2"/>
      <c r="J28" s="40"/>
      <c r="K28" s="2"/>
      <c r="L28" s="2"/>
      <c r="M28" s="2"/>
      <c r="N28" s="2"/>
      <c r="O28" s="2"/>
      <c r="P28" s="2"/>
      <c r="Q28" s="2"/>
      <c r="R28" s="40"/>
      <c r="S28" s="2"/>
      <c r="T28" s="2"/>
      <c r="U28" s="2"/>
      <c r="V28" s="2"/>
      <c r="W28" s="2"/>
      <c r="X28" s="2"/>
      <c r="Y28" s="2"/>
      <c r="Z28" s="40"/>
      <c r="AA28" s="2"/>
      <c r="AB28" s="2"/>
      <c r="AC28" s="2"/>
      <c r="AD28" s="2"/>
      <c r="AE28" s="2"/>
      <c r="AF28" s="2"/>
      <c r="AG28" s="2"/>
      <c r="AH28" s="40"/>
      <c r="AI28" s="2"/>
      <c r="AJ28" s="2"/>
      <c r="AK28" s="2"/>
      <c r="AL28" s="2"/>
      <c r="AM28" s="2"/>
      <c r="AN28" s="2"/>
      <c r="AO28" s="2"/>
      <c r="AP28" s="40"/>
      <c r="AQ28" s="2"/>
      <c r="AR28" s="2"/>
      <c r="AS28" s="2"/>
      <c r="AT28" s="2"/>
      <c r="AU28" s="2"/>
      <c r="AV28" s="2"/>
      <c r="AW28" s="2"/>
      <c r="AX28" s="40"/>
      <c r="AY28" s="2"/>
      <c r="AZ28" s="2"/>
      <c r="BA28" s="2"/>
      <c r="BB28" s="2"/>
      <c r="BC28" s="2"/>
      <c r="BD28" s="2"/>
      <c r="BE28" s="2"/>
      <c r="BF28" s="40"/>
      <c r="BG28" s="2"/>
      <c r="BH28" s="2"/>
      <c r="BI28" s="2"/>
      <c r="BJ28" s="2"/>
      <c r="BK28" s="2"/>
      <c r="BL28" s="2"/>
      <c r="BM28" s="2"/>
      <c r="BN28" s="40"/>
      <c r="BO28" s="2"/>
      <c r="BP28" s="2"/>
      <c r="BQ28" s="2"/>
      <c r="BR28" s="2"/>
      <c r="BS28" s="2"/>
      <c r="BT28" s="2"/>
      <c r="BU28" s="2"/>
      <c r="BV28" s="40"/>
      <c r="BW28" s="2"/>
      <c r="BX28" s="2"/>
      <c r="BY28" s="2"/>
      <c r="BZ28" s="2"/>
      <c r="CA28" s="2"/>
      <c r="CB28" s="2"/>
      <c r="CC28" s="2"/>
      <c r="CD28" s="40"/>
      <c r="CE28" s="2"/>
      <c r="CF28" s="2"/>
      <c r="CG28" s="2"/>
      <c r="CH28" s="2"/>
      <c r="CI28" s="2"/>
      <c r="CJ28" s="2"/>
      <c r="CK28" s="2"/>
      <c r="CL28" s="40"/>
      <c r="CM28" s="2"/>
      <c r="CN28" s="2"/>
      <c r="CO28" s="2"/>
      <c r="CP28" s="2"/>
      <c r="CQ28" s="2"/>
      <c r="CR28" s="2"/>
      <c r="CS28" s="2"/>
      <c r="CT28" s="40"/>
      <c r="CU28" s="2"/>
      <c r="CV28" s="2"/>
      <c r="CW28" s="2"/>
      <c r="CX28" s="2"/>
      <c r="CY28" s="2"/>
      <c r="CZ28" s="2"/>
      <c r="DA28" s="2"/>
      <c r="DB28" s="40"/>
      <c r="DC28" s="2"/>
      <c r="DD28" s="2"/>
      <c r="DE28" s="2"/>
      <c r="DF28" s="2"/>
      <c r="DG28" s="2"/>
      <c r="DH28" s="2"/>
      <c r="DI28" s="2"/>
      <c r="DJ28" s="40"/>
      <c r="DK28" s="2"/>
      <c r="DL28" s="2"/>
      <c r="DM28" s="2"/>
      <c r="DN28" s="2"/>
      <c r="DO28" s="2"/>
      <c r="DP28" s="2"/>
      <c r="DQ28" s="2"/>
      <c r="DR28" s="40"/>
      <c r="DS28" s="2"/>
      <c r="DT28" s="2"/>
      <c r="DU28" s="2"/>
      <c r="DV28" s="2"/>
      <c r="DW28" s="2"/>
      <c r="DX28" s="2"/>
      <c r="DY28" s="2"/>
      <c r="DZ28" s="40"/>
      <c r="EA28" s="2"/>
      <c r="EB28" s="2"/>
      <c r="EC28" s="2"/>
      <c r="ED28" s="2"/>
      <c r="EE28" s="2"/>
      <c r="EF28" s="2"/>
      <c r="EG28" s="2"/>
      <c r="EH28" s="40"/>
      <c r="EI28" s="2"/>
      <c r="EJ28" s="2"/>
      <c r="EK28" s="2"/>
      <c r="EL28" s="2"/>
      <c r="EM28" s="2"/>
      <c r="EN28" s="2"/>
      <c r="EO28" s="2"/>
      <c r="EP28" s="40"/>
      <c r="EQ28" s="2"/>
      <c r="ER28" s="2"/>
      <c r="ES28" s="2"/>
      <c r="ET28" s="2"/>
      <c r="EU28" s="2"/>
      <c r="EV28" s="2"/>
      <c r="EW28" s="2"/>
      <c r="EX28" s="40"/>
      <c r="EY28" s="2"/>
      <c r="EZ28" s="2"/>
      <c r="FA28" s="2"/>
      <c r="FB28" s="2"/>
      <c r="FC28" s="2"/>
      <c r="FD28" s="2"/>
      <c r="FE28" s="2"/>
      <c r="FF28" s="40"/>
      <c r="FG28" s="2"/>
      <c r="FH28" s="2"/>
      <c r="FI28" s="2"/>
      <c r="FJ28" s="2"/>
      <c r="FK28" s="2"/>
      <c r="FL28" s="2"/>
      <c r="FM28" s="2"/>
    </row>
    <row r="29">
      <c r="A29" s="42"/>
      <c r="B29" s="41"/>
      <c r="C29" s="8"/>
      <c r="D29" s="8"/>
      <c r="E29" s="8"/>
      <c r="F29" s="8"/>
      <c r="G29" s="8"/>
      <c r="H29" s="8"/>
      <c r="I29" s="8"/>
      <c r="J29" s="41" t="str">
        <f t="shared" ref="J29:O29" si="101">B29</f>
        <v/>
      </c>
      <c r="K29" s="8" t="str">
        <f t="shared" si="101"/>
        <v/>
      </c>
      <c r="L29" s="8" t="str">
        <f t="shared" si="101"/>
        <v/>
      </c>
      <c r="M29" s="8" t="str">
        <f t="shared" si="101"/>
        <v/>
      </c>
      <c r="N29" s="8" t="str">
        <f t="shared" si="101"/>
        <v/>
      </c>
      <c r="O29" s="8" t="str">
        <f t="shared" si="101"/>
        <v/>
      </c>
      <c r="P29" s="8"/>
      <c r="Q29" s="8"/>
      <c r="R29" s="41" t="str">
        <f t="shared" ref="R29:W29" si="102">J29</f>
        <v/>
      </c>
      <c r="S29" s="8" t="str">
        <f t="shared" si="102"/>
        <v/>
      </c>
      <c r="T29" s="8" t="str">
        <f t="shared" si="102"/>
        <v/>
      </c>
      <c r="U29" s="8" t="str">
        <f t="shared" si="102"/>
        <v/>
      </c>
      <c r="V29" s="8" t="str">
        <f t="shared" si="102"/>
        <v/>
      </c>
      <c r="W29" s="8" t="str">
        <f t="shared" si="102"/>
        <v/>
      </c>
      <c r="X29" s="8"/>
      <c r="Y29" s="8"/>
      <c r="Z29" s="41" t="str">
        <f t="shared" ref="Z29:AE29" si="103">R29</f>
        <v/>
      </c>
      <c r="AA29" s="8" t="str">
        <f t="shared" si="103"/>
        <v/>
      </c>
      <c r="AB29" s="8" t="str">
        <f t="shared" si="103"/>
        <v/>
      </c>
      <c r="AC29" s="8" t="str">
        <f t="shared" si="103"/>
        <v/>
      </c>
      <c r="AD29" s="8" t="str">
        <f t="shared" si="103"/>
        <v/>
      </c>
      <c r="AE29" s="8" t="str">
        <f t="shared" si="103"/>
        <v/>
      </c>
      <c r="AF29" s="8"/>
      <c r="AG29" s="8"/>
      <c r="AH29" s="41" t="str">
        <f t="shared" ref="AH29:AM29" si="104">Z29</f>
        <v/>
      </c>
      <c r="AI29" s="8" t="str">
        <f t="shared" si="104"/>
        <v/>
      </c>
      <c r="AJ29" s="8" t="str">
        <f t="shared" si="104"/>
        <v/>
      </c>
      <c r="AK29" s="8" t="str">
        <f t="shared" si="104"/>
        <v/>
      </c>
      <c r="AL29" s="8" t="str">
        <f t="shared" si="104"/>
        <v/>
      </c>
      <c r="AM29" s="8" t="str">
        <f t="shared" si="104"/>
        <v/>
      </c>
      <c r="AN29" s="8"/>
      <c r="AO29" s="8"/>
      <c r="AP29" s="41" t="str">
        <f t="shared" ref="AP29:AU29" si="105">AH29</f>
        <v/>
      </c>
      <c r="AQ29" s="8" t="str">
        <f t="shared" si="105"/>
        <v/>
      </c>
      <c r="AR29" s="8" t="str">
        <f t="shared" si="105"/>
        <v/>
      </c>
      <c r="AS29" s="8" t="str">
        <f t="shared" si="105"/>
        <v/>
      </c>
      <c r="AT29" s="8" t="str">
        <f t="shared" si="105"/>
        <v/>
      </c>
      <c r="AU29" s="8" t="str">
        <f t="shared" si="105"/>
        <v/>
      </c>
      <c r="AV29" s="8"/>
      <c r="AW29" s="8"/>
      <c r="AX29" s="41" t="str">
        <f t="shared" ref="AX29:BC29" si="106">AP29</f>
        <v/>
      </c>
      <c r="AY29" s="8" t="str">
        <f t="shared" si="106"/>
        <v/>
      </c>
      <c r="AZ29" s="8" t="str">
        <f t="shared" si="106"/>
        <v/>
      </c>
      <c r="BA29" s="8" t="str">
        <f t="shared" si="106"/>
        <v/>
      </c>
      <c r="BB29" s="8" t="str">
        <f t="shared" si="106"/>
        <v/>
      </c>
      <c r="BC29" s="8" t="str">
        <f t="shared" si="106"/>
        <v/>
      </c>
      <c r="BD29" s="8"/>
      <c r="BE29" s="8"/>
      <c r="BF29" s="41" t="str">
        <f t="shared" ref="BF29:BK29" si="107">AX29</f>
        <v/>
      </c>
      <c r="BG29" s="8" t="str">
        <f t="shared" si="107"/>
        <v/>
      </c>
      <c r="BH29" s="8" t="str">
        <f t="shared" si="107"/>
        <v/>
      </c>
      <c r="BI29" s="8" t="str">
        <f t="shared" si="107"/>
        <v/>
      </c>
      <c r="BJ29" s="8" t="str">
        <f t="shared" si="107"/>
        <v/>
      </c>
      <c r="BK29" s="8" t="str">
        <f t="shared" si="107"/>
        <v/>
      </c>
      <c r="BL29" s="8"/>
      <c r="BM29" s="8"/>
      <c r="BN29" s="41" t="str">
        <f t="shared" ref="BN29:BS29" si="108">BF29</f>
        <v/>
      </c>
      <c r="BO29" s="8" t="str">
        <f t="shared" si="108"/>
        <v/>
      </c>
      <c r="BP29" s="8" t="str">
        <f t="shared" si="108"/>
        <v/>
      </c>
      <c r="BQ29" s="8" t="str">
        <f t="shared" si="108"/>
        <v/>
      </c>
      <c r="BR29" s="8" t="str">
        <f t="shared" si="108"/>
        <v/>
      </c>
      <c r="BS29" s="8" t="str">
        <f t="shared" si="108"/>
        <v/>
      </c>
      <c r="BT29" s="8"/>
      <c r="BU29" s="8"/>
      <c r="BV29" s="41" t="str">
        <f t="shared" ref="BV29:CA29" si="109">BN29</f>
        <v/>
      </c>
      <c r="BW29" s="8" t="str">
        <f t="shared" si="109"/>
        <v/>
      </c>
      <c r="BX29" s="8" t="str">
        <f t="shared" si="109"/>
        <v/>
      </c>
      <c r="BY29" s="8" t="str">
        <f t="shared" si="109"/>
        <v/>
      </c>
      <c r="BZ29" s="8" t="str">
        <f t="shared" si="109"/>
        <v/>
      </c>
      <c r="CA29" s="8" t="str">
        <f t="shared" si="109"/>
        <v/>
      </c>
      <c r="CB29" s="8"/>
      <c r="CC29" s="8"/>
      <c r="CD29" s="41" t="str">
        <f t="shared" ref="CD29:CI29" si="110">BV29</f>
        <v/>
      </c>
      <c r="CE29" s="8" t="str">
        <f t="shared" si="110"/>
        <v/>
      </c>
      <c r="CF29" s="8" t="str">
        <f t="shared" si="110"/>
        <v/>
      </c>
      <c r="CG29" s="8" t="str">
        <f t="shared" si="110"/>
        <v/>
      </c>
      <c r="CH29" s="8" t="str">
        <f t="shared" si="110"/>
        <v/>
      </c>
      <c r="CI29" s="8" t="str">
        <f t="shared" si="110"/>
        <v/>
      </c>
      <c r="CJ29" s="8"/>
      <c r="CK29" s="8"/>
      <c r="CL29" s="41" t="str">
        <f t="shared" ref="CL29:CQ29" si="111">CD29</f>
        <v/>
      </c>
      <c r="CM29" s="8" t="str">
        <f t="shared" si="111"/>
        <v/>
      </c>
      <c r="CN29" s="8" t="str">
        <f t="shared" si="111"/>
        <v/>
      </c>
      <c r="CO29" s="8" t="str">
        <f t="shared" si="111"/>
        <v/>
      </c>
      <c r="CP29" s="8" t="str">
        <f t="shared" si="111"/>
        <v/>
      </c>
      <c r="CQ29" s="8" t="str">
        <f t="shared" si="111"/>
        <v/>
      </c>
      <c r="CR29" s="8"/>
      <c r="CS29" s="8"/>
      <c r="CT29" s="41" t="str">
        <f t="shared" ref="CT29:CY29" si="112">CL29</f>
        <v/>
      </c>
      <c r="CU29" s="8" t="str">
        <f t="shared" si="112"/>
        <v/>
      </c>
      <c r="CV29" s="8" t="str">
        <f t="shared" si="112"/>
        <v/>
      </c>
      <c r="CW29" s="8" t="str">
        <f t="shared" si="112"/>
        <v/>
      </c>
      <c r="CX29" s="8" t="str">
        <f t="shared" si="112"/>
        <v/>
      </c>
      <c r="CY29" s="8" t="str">
        <f t="shared" si="112"/>
        <v/>
      </c>
      <c r="CZ29" s="8"/>
      <c r="DA29" s="8"/>
      <c r="DB29" s="41" t="str">
        <f t="shared" ref="DB29:DG29" si="113">CT29</f>
        <v/>
      </c>
      <c r="DC29" s="8" t="str">
        <f t="shared" si="113"/>
        <v/>
      </c>
      <c r="DD29" s="8" t="str">
        <f t="shared" si="113"/>
        <v/>
      </c>
      <c r="DE29" s="8" t="str">
        <f t="shared" si="113"/>
        <v/>
      </c>
      <c r="DF29" s="8" t="str">
        <f t="shared" si="113"/>
        <v/>
      </c>
      <c r="DG29" s="8" t="str">
        <f t="shared" si="113"/>
        <v/>
      </c>
      <c r="DH29" s="8"/>
      <c r="DI29" s="8"/>
      <c r="DJ29" s="41" t="str">
        <f t="shared" ref="DJ29:DO29" si="114">DB29</f>
        <v/>
      </c>
      <c r="DK29" s="8" t="str">
        <f t="shared" si="114"/>
        <v/>
      </c>
      <c r="DL29" s="8" t="str">
        <f t="shared" si="114"/>
        <v/>
      </c>
      <c r="DM29" s="8" t="str">
        <f t="shared" si="114"/>
        <v/>
      </c>
      <c r="DN29" s="8" t="str">
        <f t="shared" si="114"/>
        <v/>
      </c>
      <c r="DO29" s="8" t="str">
        <f t="shared" si="114"/>
        <v/>
      </c>
      <c r="DP29" s="8"/>
      <c r="DQ29" s="8"/>
      <c r="DR29" s="41" t="str">
        <f t="shared" ref="DR29:DW29" si="115">DJ29</f>
        <v/>
      </c>
      <c r="DS29" s="8" t="str">
        <f t="shared" si="115"/>
        <v/>
      </c>
      <c r="DT29" s="8" t="str">
        <f t="shared" si="115"/>
        <v/>
      </c>
      <c r="DU29" s="8" t="str">
        <f t="shared" si="115"/>
        <v/>
      </c>
      <c r="DV29" s="8" t="str">
        <f t="shared" si="115"/>
        <v/>
      </c>
      <c r="DW29" s="8" t="str">
        <f t="shared" si="115"/>
        <v/>
      </c>
      <c r="DX29" s="8"/>
      <c r="DY29" s="8"/>
      <c r="DZ29" s="41" t="str">
        <f t="shared" ref="DZ29:EE29" si="116">DR29</f>
        <v/>
      </c>
      <c r="EA29" s="8" t="str">
        <f t="shared" si="116"/>
        <v/>
      </c>
      <c r="EB29" s="8" t="str">
        <f t="shared" si="116"/>
        <v/>
      </c>
      <c r="EC29" s="8" t="str">
        <f t="shared" si="116"/>
        <v/>
      </c>
      <c r="ED29" s="8" t="str">
        <f t="shared" si="116"/>
        <v/>
      </c>
      <c r="EE29" s="8" t="str">
        <f t="shared" si="116"/>
        <v/>
      </c>
      <c r="EF29" s="8"/>
      <c r="EG29" s="8"/>
      <c r="EH29" s="41" t="str">
        <f t="shared" ref="EH29:EM29" si="117">DZ29</f>
        <v/>
      </c>
      <c r="EI29" s="8" t="str">
        <f t="shared" si="117"/>
        <v/>
      </c>
      <c r="EJ29" s="8" t="str">
        <f t="shared" si="117"/>
        <v/>
      </c>
      <c r="EK29" s="8" t="str">
        <f t="shared" si="117"/>
        <v/>
      </c>
      <c r="EL29" s="8" t="str">
        <f t="shared" si="117"/>
        <v/>
      </c>
      <c r="EM29" s="8" t="str">
        <f t="shared" si="117"/>
        <v/>
      </c>
      <c r="EN29" s="8"/>
      <c r="EO29" s="8"/>
      <c r="EP29" s="41" t="str">
        <f t="shared" ref="EP29:EU29" si="118">EH29</f>
        <v/>
      </c>
      <c r="EQ29" s="8" t="str">
        <f t="shared" si="118"/>
        <v/>
      </c>
      <c r="ER29" s="8" t="str">
        <f t="shared" si="118"/>
        <v/>
      </c>
      <c r="ES29" s="8" t="str">
        <f t="shared" si="118"/>
        <v/>
      </c>
      <c r="ET29" s="8" t="str">
        <f t="shared" si="118"/>
        <v/>
      </c>
      <c r="EU29" s="8" t="str">
        <f t="shared" si="118"/>
        <v/>
      </c>
      <c r="EV29" s="8"/>
      <c r="EW29" s="8"/>
      <c r="EX29" s="41" t="str">
        <f t="shared" ref="EX29:FC29" si="119">EP29</f>
        <v/>
      </c>
      <c r="EY29" s="8" t="str">
        <f t="shared" si="119"/>
        <v/>
      </c>
      <c r="EZ29" s="8" t="str">
        <f t="shared" si="119"/>
        <v/>
      </c>
      <c r="FA29" s="8" t="str">
        <f t="shared" si="119"/>
        <v/>
      </c>
      <c r="FB29" s="8" t="str">
        <f t="shared" si="119"/>
        <v/>
      </c>
      <c r="FC29" s="8" t="str">
        <f t="shared" si="119"/>
        <v/>
      </c>
      <c r="FD29" s="8"/>
      <c r="FE29" s="8"/>
      <c r="FF29" s="41" t="str">
        <f t="shared" ref="FF29:FK29" si="120">EX29</f>
        <v/>
      </c>
      <c r="FG29" s="8" t="str">
        <f t="shared" si="120"/>
        <v/>
      </c>
      <c r="FH29" s="8" t="str">
        <f t="shared" si="120"/>
        <v/>
      </c>
      <c r="FI29" s="8" t="str">
        <f t="shared" si="120"/>
        <v/>
      </c>
      <c r="FJ29" s="8" t="str">
        <f t="shared" si="120"/>
        <v/>
      </c>
      <c r="FK29" s="8" t="str">
        <f t="shared" si="120"/>
        <v/>
      </c>
      <c r="FL29" s="8"/>
      <c r="FM29" s="8"/>
    </row>
    <row r="30">
      <c r="A30" s="42"/>
      <c r="B30" s="41"/>
      <c r="C30" s="8"/>
      <c r="D30" s="8"/>
      <c r="E30" s="8"/>
      <c r="F30" s="8"/>
      <c r="G30" s="8"/>
      <c r="H30" s="8"/>
      <c r="I30" s="8"/>
      <c r="J30" s="41" t="str">
        <f t="shared" ref="J30:O30" si="121">B30</f>
        <v/>
      </c>
      <c r="K30" s="8" t="str">
        <f t="shared" si="121"/>
        <v/>
      </c>
      <c r="L30" s="8" t="str">
        <f t="shared" si="121"/>
        <v/>
      </c>
      <c r="M30" s="8" t="str">
        <f t="shared" si="121"/>
        <v/>
      </c>
      <c r="N30" s="8" t="str">
        <f t="shared" si="121"/>
        <v/>
      </c>
      <c r="O30" s="8" t="str">
        <f t="shared" si="121"/>
        <v/>
      </c>
      <c r="P30" s="8"/>
      <c r="Q30" s="8"/>
      <c r="R30" s="41" t="str">
        <f t="shared" ref="R30:W30" si="122">J30</f>
        <v/>
      </c>
      <c r="S30" s="8" t="str">
        <f t="shared" si="122"/>
        <v/>
      </c>
      <c r="T30" s="8" t="str">
        <f t="shared" si="122"/>
        <v/>
      </c>
      <c r="U30" s="8" t="str">
        <f t="shared" si="122"/>
        <v/>
      </c>
      <c r="V30" s="8" t="str">
        <f t="shared" si="122"/>
        <v/>
      </c>
      <c r="W30" s="8" t="str">
        <f t="shared" si="122"/>
        <v/>
      </c>
      <c r="X30" s="8"/>
      <c r="Y30" s="8"/>
      <c r="Z30" s="41" t="str">
        <f t="shared" ref="Z30:AE30" si="123">R30</f>
        <v/>
      </c>
      <c r="AA30" s="8" t="str">
        <f t="shared" si="123"/>
        <v/>
      </c>
      <c r="AB30" s="8" t="str">
        <f t="shared" si="123"/>
        <v/>
      </c>
      <c r="AC30" s="8" t="str">
        <f t="shared" si="123"/>
        <v/>
      </c>
      <c r="AD30" s="8" t="str">
        <f t="shared" si="123"/>
        <v/>
      </c>
      <c r="AE30" s="8" t="str">
        <f t="shared" si="123"/>
        <v/>
      </c>
      <c r="AF30" s="8"/>
      <c r="AG30" s="8"/>
      <c r="AH30" s="41" t="str">
        <f t="shared" ref="AH30:AM30" si="124">Z30</f>
        <v/>
      </c>
      <c r="AI30" s="8" t="str">
        <f t="shared" si="124"/>
        <v/>
      </c>
      <c r="AJ30" s="8" t="str">
        <f t="shared" si="124"/>
        <v/>
      </c>
      <c r="AK30" s="8" t="str">
        <f t="shared" si="124"/>
        <v/>
      </c>
      <c r="AL30" s="8" t="str">
        <f t="shared" si="124"/>
        <v/>
      </c>
      <c r="AM30" s="8" t="str">
        <f t="shared" si="124"/>
        <v/>
      </c>
      <c r="AN30" s="8"/>
      <c r="AO30" s="8"/>
      <c r="AP30" s="41" t="str">
        <f t="shared" ref="AP30:AU30" si="125">AH30</f>
        <v/>
      </c>
      <c r="AQ30" s="8" t="str">
        <f t="shared" si="125"/>
        <v/>
      </c>
      <c r="AR30" s="8" t="str">
        <f t="shared" si="125"/>
        <v/>
      </c>
      <c r="AS30" s="8" t="str">
        <f t="shared" si="125"/>
        <v/>
      </c>
      <c r="AT30" s="8" t="str">
        <f t="shared" si="125"/>
        <v/>
      </c>
      <c r="AU30" s="8" t="str">
        <f t="shared" si="125"/>
        <v/>
      </c>
      <c r="AV30" s="8"/>
      <c r="AW30" s="8"/>
      <c r="AX30" s="41" t="str">
        <f t="shared" ref="AX30:BC30" si="126">AP30</f>
        <v/>
      </c>
      <c r="AY30" s="8" t="str">
        <f t="shared" si="126"/>
        <v/>
      </c>
      <c r="AZ30" s="8" t="str">
        <f t="shared" si="126"/>
        <v/>
      </c>
      <c r="BA30" s="8" t="str">
        <f t="shared" si="126"/>
        <v/>
      </c>
      <c r="BB30" s="8" t="str">
        <f t="shared" si="126"/>
        <v/>
      </c>
      <c r="BC30" s="8" t="str">
        <f t="shared" si="126"/>
        <v/>
      </c>
      <c r="BD30" s="8"/>
      <c r="BE30" s="8"/>
      <c r="BF30" s="41" t="str">
        <f t="shared" ref="BF30:BK30" si="127">AX30</f>
        <v/>
      </c>
      <c r="BG30" s="8" t="str">
        <f t="shared" si="127"/>
        <v/>
      </c>
      <c r="BH30" s="8" t="str">
        <f t="shared" si="127"/>
        <v/>
      </c>
      <c r="BI30" s="8" t="str">
        <f t="shared" si="127"/>
        <v/>
      </c>
      <c r="BJ30" s="8" t="str">
        <f t="shared" si="127"/>
        <v/>
      </c>
      <c r="BK30" s="8" t="str">
        <f t="shared" si="127"/>
        <v/>
      </c>
      <c r="BL30" s="8"/>
      <c r="BM30" s="8"/>
      <c r="BN30" s="41" t="str">
        <f t="shared" ref="BN30:BS30" si="128">BF30</f>
        <v/>
      </c>
      <c r="BO30" s="8" t="str">
        <f t="shared" si="128"/>
        <v/>
      </c>
      <c r="BP30" s="8" t="str">
        <f t="shared" si="128"/>
        <v/>
      </c>
      <c r="BQ30" s="8" t="str">
        <f t="shared" si="128"/>
        <v/>
      </c>
      <c r="BR30" s="8" t="str">
        <f t="shared" si="128"/>
        <v/>
      </c>
      <c r="BS30" s="8" t="str">
        <f t="shared" si="128"/>
        <v/>
      </c>
      <c r="BT30" s="8"/>
      <c r="BU30" s="8"/>
      <c r="BV30" s="41" t="str">
        <f t="shared" ref="BV30:CA30" si="129">BN30</f>
        <v/>
      </c>
      <c r="BW30" s="8" t="str">
        <f t="shared" si="129"/>
        <v/>
      </c>
      <c r="BX30" s="8" t="str">
        <f t="shared" si="129"/>
        <v/>
      </c>
      <c r="BY30" s="8" t="str">
        <f t="shared" si="129"/>
        <v/>
      </c>
      <c r="BZ30" s="8" t="str">
        <f t="shared" si="129"/>
        <v/>
      </c>
      <c r="CA30" s="8" t="str">
        <f t="shared" si="129"/>
        <v/>
      </c>
      <c r="CB30" s="8"/>
      <c r="CC30" s="8"/>
      <c r="CD30" s="41" t="str">
        <f t="shared" ref="CD30:CI30" si="130">BV30</f>
        <v/>
      </c>
      <c r="CE30" s="8" t="str">
        <f t="shared" si="130"/>
        <v/>
      </c>
      <c r="CF30" s="8" t="str">
        <f t="shared" si="130"/>
        <v/>
      </c>
      <c r="CG30" s="8" t="str">
        <f t="shared" si="130"/>
        <v/>
      </c>
      <c r="CH30" s="8" t="str">
        <f t="shared" si="130"/>
        <v/>
      </c>
      <c r="CI30" s="8" t="str">
        <f t="shared" si="130"/>
        <v/>
      </c>
      <c r="CJ30" s="8"/>
      <c r="CK30" s="8"/>
      <c r="CL30" s="41" t="str">
        <f t="shared" ref="CL30:CQ30" si="131">CD30</f>
        <v/>
      </c>
      <c r="CM30" s="8" t="str">
        <f t="shared" si="131"/>
        <v/>
      </c>
      <c r="CN30" s="8" t="str">
        <f t="shared" si="131"/>
        <v/>
      </c>
      <c r="CO30" s="8" t="str">
        <f t="shared" si="131"/>
        <v/>
      </c>
      <c r="CP30" s="8" t="str">
        <f t="shared" si="131"/>
        <v/>
      </c>
      <c r="CQ30" s="8" t="str">
        <f t="shared" si="131"/>
        <v/>
      </c>
      <c r="CR30" s="8"/>
      <c r="CS30" s="8"/>
      <c r="CT30" s="41" t="str">
        <f t="shared" ref="CT30:CY30" si="132">CL30</f>
        <v/>
      </c>
      <c r="CU30" s="8" t="str">
        <f t="shared" si="132"/>
        <v/>
      </c>
      <c r="CV30" s="8" t="str">
        <f t="shared" si="132"/>
        <v/>
      </c>
      <c r="CW30" s="8" t="str">
        <f t="shared" si="132"/>
        <v/>
      </c>
      <c r="CX30" s="8" t="str">
        <f t="shared" si="132"/>
        <v/>
      </c>
      <c r="CY30" s="8" t="str">
        <f t="shared" si="132"/>
        <v/>
      </c>
      <c r="CZ30" s="8"/>
      <c r="DA30" s="8"/>
      <c r="DB30" s="41" t="str">
        <f t="shared" ref="DB30:DG30" si="133">CT30</f>
        <v/>
      </c>
      <c r="DC30" s="8" t="str">
        <f t="shared" si="133"/>
        <v/>
      </c>
      <c r="DD30" s="8" t="str">
        <f t="shared" si="133"/>
        <v/>
      </c>
      <c r="DE30" s="8" t="str">
        <f t="shared" si="133"/>
        <v/>
      </c>
      <c r="DF30" s="8" t="str">
        <f t="shared" si="133"/>
        <v/>
      </c>
      <c r="DG30" s="8" t="str">
        <f t="shared" si="133"/>
        <v/>
      </c>
      <c r="DH30" s="8"/>
      <c r="DI30" s="8"/>
      <c r="DJ30" s="41" t="str">
        <f t="shared" ref="DJ30:DO30" si="134">DB30</f>
        <v/>
      </c>
      <c r="DK30" s="8" t="str">
        <f t="shared" si="134"/>
        <v/>
      </c>
      <c r="DL30" s="8" t="str">
        <f t="shared" si="134"/>
        <v/>
      </c>
      <c r="DM30" s="8" t="str">
        <f t="shared" si="134"/>
        <v/>
      </c>
      <c r="DN30" s="8" t="str">
        <f t="shared" si="134"/>
        <v/>
      </c>
      <c r="DO30" s="8" t="str">
        <f t="shared" si="134"/>
        <v/>
      </c>
      <c r="DP30" s="8"/>
      <c r="DQ30" s="8"/>
      <c r="DR30" s="41" t="str">
        <f t="shared" ref="DR30:DW30" si="135">DJ30</f>
        <v/>
      </c>
      <c r="DS30" s="8" t="str">
        <f t="shared" si="135"/>
        <v/>
      </c>
      <c r="DT30" s="8" t="str">
        <f t="shared" si="135"/>
        <v/>
      </c>
      <c r="DU30" s="8" t="str">
        <f t="shared" si="135"/>
        <v/>
      </c>
      <c r="DV30" s="8" t="str">
        <f t="shared" si="135"/>
        <v/>
      </c>
      <c r="DW30" s="8" t="str">
        <f t="shared" si="135"/>
        <v/>
      </c>
      <c r="DX30" s="8"/>
      <c r="DY30" s="8"/>
      <c r="DZ30" s="41" t="str">
        <f t="shared" ref="DZ30:EE30" si="136">DR30</f>
        <v/>
      </c>
      <c r="EA30" s="8" t="str">
        <f t="shared" si="136"/>
        <v/>
      </c>
      <c r="EB30" s="8" t="str">
        <f t="shared" si="136"/>
        <v/>
      </c>
      <c r="EC30" s="8" t="str">
        <f t="shared" si="136"/>
        <v/>
      </c>
      <c r="ED30" s="8" t="str">
        <f t="shared" si="136"/>
        <v/>
      </c>
      <c r="EE30" s="8" t="str">
        <f t="shared" si="136"/>
        <v/>
      </c>
      <c r="EF30" s="8"/>
      <c r="EG30" s="8"/>
      <c r="EH30" s="41" t="str">
        <f t="shared" ref="EH30:EM30" si="137">DZ30</f>
        <v/>
      </c>
      <c r="EI30" s="8" t="str">
        <f t="shared" si="137"/>
        <v/>
      </c>
      <c r="EJ30" s="8" t="str">
        <f t="shared" si="137"/>
        <v/>
      </c>
      <c r="EK30" s="8" t="str">
        <f t="shared" si="137"/>
        <v/>
      </c>
      <c r="EL30" s="8" t="str">
        <f t="shared" si="137"/>
        <v/>
      </c>
      <c r="EM30" s="8" t="str">
        <f t="shared" si="137"/>
        <v/>
      </c>
      <c r="EN30" s="8"/>
      <c r="EO30" s="8"/>
      <c r="EP30" s="41" t="str">
        <f t="shared" ref="EP30:EU30" si="138">EH30</f>
        <v/>
      </c>
      <c r="EQ30" s="8" t="str">
        <f t="shared" si="138"/>
        <v/>
      </c>
      <c r="ER30" s="8" t="str">
        <f t="shared" si="138"/>
        <v/>
      </c>
      <c r="ES30" s="8" t="str">
        <f t="shared" si="138"/>
        <v/>
      </c>
      <c r="ET30" s="8" t="str">
        <f t="shared" si="138"/>
        <v/>
      </c>
      <c r="EU30" s="8" t="str">
        <f t="shared" si="138"/>
        <v/>
      </c>
      <c r="EV30" s="8"/>
      <c r="EW30" s="8"/>
      <c r="EX30" s="41" t="str">
        <f t="shared" ref="EX30:FC30" si="139">EP30</f>
        <v/>
      </c>
      <c r="EY30" s="8" t="str">
        <f t="shared" si="139"/>
        <v/>
      </c>
      <c r="EZ30" s="8" t="str">
        <f t="shared" si="139"/>
        <v/>
      </c>
      <c r="FA30" s="8" t="str">
        <f t="shared" si="139"/>
        <v/>
      </c>
      <c r="FB30" s="8" t="str">
        <f t="shared" si="139"/>
        <v/>
      </c>
      <c r="FC30" s="8" t="str">
        <f t="shared" si="139"/>
        <v/>
      </c>
      <c r="FD30" s="8"/>
      <c r="FE30" s="8"/>
      <c r="FF30" s="41" t="str">
        <f t="shared" ref="FF30:FK30" si="140">EX30</f>
        <v/>
      </c>
      <c r="FG30" s="8" t="str">
        <f t="shared" si="140"/>
        <v/>
      </c>
      <c r="FH30" s="8" t="str">
        <f t="shared" si="140"/>
        <v/>
      </c>
      <c r="FI30" s="8" t="str">
        <f t="shared" si="140"/>
        <v/>
      </c>
      <c r="FJ30" s="8" t="str">
        <f t="shared" si="140"/>
        <v/>
      </c>
      <c r="FK30" s="8" t="str">
        <f t="shared" si="140"/>
        <v/>
      </c>
      <c r="FL30" s="8"/>
      <c r="FM30" s="8"/>
    </row>
    <row r="31">
      <c r="A31" s="43"/>
      <c r="B31" s="44"/>
      <c r="C31" s="45"/>
      <c r="D31" s="45"/>
      <c r="E31" s="45"/>
      <c r="F31" s="45"/>
      <c r="G31" s="45"/>
      <c r="H31" s="45"/>
      <c r="I31" s="45"/>
      <c r="J31" s="44" t="str">
        <f t="shared" ref="J31:O31" si="141">B31</f>
        <v/>
      </c>
      <c r="K31" s="45" t="str">
        <f t="shared" si="141"/>
        <v/>
      </c>
      <c r="L31" s="45" t="str">
        <f t="shared" si="141"/>
        <v/>
      </c>
      <c r="M31" s="45" t="str">
        <f t="shared" si="141"/>
        <v/>
      </c>
      <c r="N31" s="45" t="str">
        <f t="shared" si="141"/>
        <v/>
      </c>
      <c r="O31" s="45" t="str">
        <f t="shared" si="141"/>
        <v/>
      </c>
      <c r="P31" s="45"/>
      <c r="Q31" s="45"/>
      <c r="R31" s="44" t="str">
        <f t="shared" ref="R31:W31" si="142">J31</f>
        <v/>
      </c>
      <c r="S31" s="45" t="str">
        <f t="shared" si="142"/>
        <v/>
      </c>
      <c r="T31" s="45" t="str">
        <f t="shared" si="142"/>
        <v/>
      </c>
      <c r="U31" s="45" t="str">
        <f t="shared" si="142"/>
        <v/>
      </c>
      <c r="V31" s="45" t="str">
        <f t="shared" si="142"/>
        <v/>
      </c>
      <c r="W31" s="45" t="str">
        <f t="shared" si="142"/>
        <v/>
      </c>
      <c r="X31" s="45"/>
      <c r="Y31" s="45"/>
      <c r="Z31" s="44" t="str">
        <f t="shared" ref="Z31:AE31" si="143">R31</f>
        <v/>
      </c>
      <c r="AA31" s="45" t="str">
        <f t="shared" si="143"/>
        <v/>
      </c>
      <c r="AB31" s="45" t="str">
        <f t="shared" si="143"/>
        <v/>
      </c>
      <c r="AC31" s="45" t="str">
        <f t="shared" si="143"/>
        <v/>
      </c>
      <c r="AD31" s="45" t="str">
        <f t="shared" si="143"/>
        <v/>
      </c>
      <c r="AE31" s="45" t="str">
        <f t="shared" si="143"/>
        <v/>
      </c>
      <c r="AF31" s="45"/>
      <c r="AG31" s="45"/>
      <c r="AH31" s="44" t="str">
        <f t="shared" ref="AH31:AM31" si="144">Z31</f>
        <v/>
      </c>
      <c r="AI31" s="45" t="str">
        <f t="shared" si="144"/>
        <v/>
      </c>
      <c r="AJ31" s="45" t="str">
        <f t="shared" si="144"/>
        <v/>
      </c>
      <c r="AK31" s="45" t="str">
        <f t="shared" si="144"/>
        <v/>
      </c>
      <c r="AL31" s="45" t="str">
        <f t="shared" si="144"/>
        <v/>
      </c>
      <c r="AM31" s="45" t="str">
        <f t="shared" si="144"/>
        <v/>
      </c>
      <c r="AN31" s="45"/>
      <c r="AO31" s="45"/>
      <c r="AP31" s="44" t="str">
        <f t="shared" ref="AP31:AU31" si="145">AH31</f>
        <v/>
      </c>
      <c r="AQ31" s="45" t="str">
        <f t="shared" si="145"/>
        <v/>
      </c>
      <c r="AR31" s="45" t="str">
        <f t="shared" si="145"/>
        <v/>
      </c>
      <c r="AS31" s="45" t="str">
        <f t="shared" si="145"/>
        <v/>
      </c>
      <c r="AT31" s="45" t="str">
        <f t="shared" si="145"/>
        <v/>
      </c>
      <c r="AU31" s="45" t="str">
        <f t="shared" si="145"/>
        <v/>
      </c>
      <c r="AV31" s="45"/>
      <c r="AW31" s="45"/>
      <c r="AX31" s="44" t="str">
        <f t="shared" ref="AX31:BC31" si="146">AP31</f>
        <v/>
      </c>
      <c r="AY31" s="45" t="str">
        <f t="shared" si="146"/>
        <v/>
      </c>
      <c r="AZ31" s="45" t="str">
        <f t="shared" si="146"/>
        <v/>
      </c>
      <c r="BA31" s="45" t="str">
        <f t="shared" si="146"/>
        <v/>
      </c>
      <c r="BB31" s="45" t="str">
        <f t="shared" si="146"/>
        <v/>
      </c>
      <c r="BC31" s="45" t="str">
        <f t="shared" si="146"/>
        <v/>
      </c>
      <c r="BD31" s="45"/>
      <c r="BE31" s="45"/>
      <c r="BF31" s="44" t="str">
        <f t="shared" ref="BF31:BK31" si="147">AX31</f>
        <v/>
      </c>
      <c r="BG31" s="45" t="str">
        <f t="shared" si="147"/>
        <v/>
      </c>
      <c r="BH31" s="45" t="str">
        <f t="shared" si="147"/>
        <v/>
      </c>
      <c r="BI31" s="45" t="str">
        <f t="shared" si="147"/>
        <v/>
      </c>
      <c r="BJ31" s="45" t="str">
        <f t="shared" si="147"/>
        <v/>
      </c>
      <c r="BK31" s="45" t="str">
        <f t="shared" si="147"/>
        <v/>
      </c>
      <c r="BL31" s="45"/>
      <c r="BM31" s="45"/>
      <c r="BN31" s="44" t="str">
        <f t="shared" ref="BN31:BS31" si="148">BF31</f>
        <v/>
      </c>
      <c r="BO31" s="45" t="str">
        <f t="shared" si="148"/>
        <v/>
      </c>
      <c r="BP31" s="45" t="str">
        <f t="shared" si="148"/>
        <v/>
      </c>
      <c r="BQ31" s="45" t="str">
        <f t="shared" si="148"/>
        <v/>
      </c>
      <c r="BR31" s="45" t="str">
        <f t="shared" si="148"/>
        <v/>
      </c>
      <c r="BS31" s="45" t="str">
        <f t="shared" si="148"/>
        <v/>
      </c>
      <c r="BT31" s="45"/>
      <c r="BU31" s="45"/>
      <c r="BV31" s="44" t="str">
        <f t="shared" ref="BV31:CA31" si="149">BN31</f>
        <v/>
      </c>
      <c r="BW31" s="45" t="str">
        <f t="shared" si="149"/>
        <v/>
      </c>
      <c r="BX31" s="45" t="str">
        <f t="shared" si="149"/>
        <v/>
      </c>
      <c r="BY31" s="45" t="str">
        <f t="shared" si="149"/>
        <v/>
      </c>
      <c r="BZ31" s="45" t="str">
        <f t="shared" si="149"/>
        <v/>
      </c>
      <c r="CA31" s="45" t="str">
        <f t="shared" si="149"/>
        <v/>
      </c>
      <c r="CB31" s="45"/>
      <c r="CC31" s="45"/>
      <c r="CD31" s="44" t="str">
        <f t="shared" ref="CD31:CI31" si="150">BV31</f>
        <v/>
      </c>
      <c r="CE31" s="45" t="str">
        <f t="shared" si="150"/>
        <v/>
      </c>
      <c r="CF31" s="45" t="str">
        <f t="shared" si="150"/>
        <v/>
      </c>
      <c r="CG31" s="45" t="str">
        <f t="shared" si="150"/>
        <v/>
      </c>
      <c r="CH31" s="45" t="str">
        <f t="shared" si="150"/>
        <v/>
      </c>
      <c r="CI31" s="45" t="str">
        <f t="shared" si="150"/>
        <v/>
      </c>
      <c r="CJ31" s="45"/>
      <c r="CK31" s="45"/>
      <c r="CL31" s="44" t="str">
        <f t="shared" ref="CL31:CQ31" si="151">CD31</f>
        <v/>
      </c>
      <c r="CM31" s="45" t="str">
        <f t="shared" si="151"/>
        <v/>
      </c>
      <c r="CN31" s="45" t="str">
        <f t="shared" si="151"/>
        <v/>
      </c>
      <c r="CO31" s="45" t="str">
        <f t="shared" si="151"/>
        <v/>
      </c>
      <c r="CP31" s="45" t="str">
        <f t="shared" si="151"/>
        <v/>
      </c>
      <c r="CQ31" s="45" t="str">
        <f t="shared" si="151"/>
        <v/>
      </c>
      <c r="CR31" s="45"/>
      <c r="CS31" s="45"/>
      <c r="CT31" s="44" t="str">
        <f t="shared" ref="CT31:CY31" si="152">CL31</f>
        <v/>
      </c>
      <c r="CU31" s="45" t="str">
        <f t="shared" si="152"/>
        <v/>
      </c>
      <c r="CV31" s="45" t="str">
        <f t="shared" si="152"/>
        <v/>
      </c>
      <c r="CW31" s="45" t="str">
        <f t="shared" si="152"/>
        <v/>
      </c>
      <c r="CX31" s="45" t="str">
        <f t="shared" si="152"/>
        <v/>
      </c>
      <c r="CY31" s="45" t="str">
        <f t="shared" si="152"/>
        <v/>
      </c>
      <c r="CZ31" s="45"/>
      <c r="DA31" s="45"/>
      <c r="DB31" s="44" t="str">
        <f t="shared" ref="DB31:DG31" si="153">CT31</f>
        <v/>
      </c>
      <c r="DC31" s="45" t="str">
        <f t="shared" si="153"/>
        <v/>
      </c>
      <c r="DD31" s="45" t="str">
        <f t="shared" si="153"/>
        <v/>
      </c>
      <c r="DE31" s="45" t="str">
        <f t="shared" si="153"/>
        <v/>
      </c>
      <c r="DF31" s="45" t="str">
        <f t="shared" si="153"/>
        <v/>
      </c>
      <c r="DG31" s="45" t="str">
        <f t="shared" si="153"/>
        <v/>
      </c>
      <c r="DH31" s="45"/>
      <c r="DI31" s="45"/>
      <c r="DJ31" s="44" t="str">
        <f t="shared" ref="DJ31:DO31" si="154">DB31</f>
        <v/>
      </c>
      <c r="DK31" s="45" t="str">
        <f t="shared" si="154"/>
        <v/>
      </c>
      <c r="DL31" s="45" t="str">
        <f t="shared" si="154"/>
        <v/>
      </c>
      <c r="DM31" s="45" t="str">
        <f t="shared" si="154"/>
        <v/>
      </c>
      <c r="DN31" s="45" t="str">
        <f t="shared" si="154"/>
        <v/>
      </c>
      <c r="DO31" s="45" t="str">
        <f t="shared" si="154"/>
        <v/>
      </c>
      <c r="DP31" s="45"/>
      <c r="DQ31" s="45"/>
      <c r="DR31" s="44" t="str">
        <f t="shared" ref="DR31:DW31" si="155">DJ31</f>
        <v/>
      </c>
      <c r="DS31" s="45" t="str">
        <f t="shared" si="155"/>
        <v/>
      </c>
      <c r="DT31" s="45" t="str">
        <f t="shared" si="155"/>
        <v/>
      </c>
      <c r="DU31" s="45" t="str">
        <f t="shared" si="155"/>
        <v/>
      </c>
      <c r="DV31" s="45" t="str">
        <f t="shared" si="155"/>
        <v/>
      </c>
      <c r="DW31" s="45" t="str">
        <f t="shared" si="155"/>
        <v/>
      </c>
      <c r="DX31" s="45"/>
      <c r="DY31" s="45"/>
      <c r="DZ31" s="44" t="str">
        <f t="shared" ref="DZ31:EE31" si="156">DR31</f>
        <v/>
      </c>
      <c r="EA31" s="45" t="str">
        <f t="shared" si="156"/>
        <v/>
      </c>
      <c r="EB31" s="45" t="str">
        <f t="shared" si="156"/>
        <v/>
      </c>
      <c r="EC31" s="45" t="str">
        <f t="shared" si="156"/>
        <v/>
      </c>
      <c r="ED31" s="45" t="str">
        <f t="shared" si="156"/>
        <v/>
      </c>
      <c r="EE31" s="45" t="str">
        <f t="shared" si="156"/>
        <v/>
      </c>
      <c r="EF31" s="45"/>
      <c r="EG31" s="45"/>
      <c r="EH31" s="44" t="str">
        <f t="shared" ref="EH31:EM31" si="157">DZ31</f>
        <v/>
      </c>
      <c r="EI31" s="45" t="str">
        <f t="shared" si="157"/>
        <v/>
      </c>
      <c r="EJ31" s="45" t="str">
        <f t="shared" si="157"/>
        <v/>
      </c>
      <c r="EK31" s="45" t="str">
        <f t="shared" si="157"/>
        <v/>
      </c>
      <c r="EL31" s="45" t="str">
        <f t="shared" si="157"/>
        <v/>
      </c>
      <c r="EM31" s="45" t="str">
        <f t="shared" si="157"/>
        <v/>
      </c>
      <c r="EN31" s="45"/>
      <c r="EO31" s="45"/>
      <c r="EP31" s="44" t="str">
        <f t="shared" ref="EP31:EU31" si="158">EH31</f>
        <v/>
      </c>
      <c r="EQ31" s="45" t="str">
        <f t="shared" si="158"/>
        <v/>
      </c>
      <c r="ER31" s="45" t="str">
        <f t="shared" si="158"/>
        <v/>
      </c>
      <c r="ES31" s="45" t="str">
        <f t="shared" si="158"/>
        <v/>
      </c>
      <c r="ET31" s="45" t="str">
        <f t="shared" si="158"/>
        <v/>
      </c>
      <c r="EU31" s="45" t="str">
        <f t="shared" si="158"/>
        <v/>
      </c>
      <c r="EV31" s="45"/>
      <c r="EW31" s="45"/>
      <c r="EX31" s="44" t="str">
        <f t="shared" ref="EX31:FC31" si="159">EP31</f>
        <v/>
      </c>
      <c r="EY31" s="45" t="str">
        <f t="shared" si="159"/>
        <v/>
      </c>
      <c r="EZ31" s="45" t="str">
        <f t="shared" si="159"/>
        <v/>
      </c>
      <c r="FA31" s="45" t="str">
        <f t="shared" si="159"/>
        <v/>
      </c>
      <c r="FB31" s="45" t="str">
        <f t="shared" si="159"/>
        <v/>
      </c>
      <c r="FC31" s="45" t="str">
        <f t="shared" si="159"/>
        <v/>
      </c>
      <c r="FD31" s="45"/>
      <c r="FE31" s="45"/>
      <c r="FF31" s="44" t="str">
        <f t="shared" ref="FF31:FK31" si="160">EX31</f>
        <v/>
      </c>
      <c r="FG31" s="45" t="str">
        <f t="shared" si="160"/>
        <v/>
      </c>
      <c r="FH31" s="45" t="str">
        <f t="shared" si="160"/>
        <v/>
      </c>
      <c r="FI31" s="45" t="str">
        <f t="shared" si="160"/>
        <v/>
      </c>
      <c r="FJ31" s="45" t="str">
        <f t="shared" si="160"/>
        <v/>
      </c>
      <c r="FK31" s="45" t="str">
        <f t="shared" si="160"/>
        <v/>
      </c>
      <c r="FL31" s="45"/>
      <c r="FM31" s="45"/>
    </row>
  </sheetData>
  <mergeCells count="23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8:FE18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12 A27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4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490</v>
      </c>
      <c r="C4" s="36" t="s">
        <v>77</v>
      </c>
      <c r="D4" s="47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36" t="s">
        <v>77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36" t="s">
        <v>77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36" t="s">
        <v>77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36" t="s">
        <v>77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36" t="s">
        <v>77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36" t="s">
        <v>77</v>
      </c>
      <c r="AZ4" s="38"/>
      <c r="BA4" s="39"/>
      <c r="BB4" s="39"/>
      <c r="BC4" s="39"/>
      <c r="BD4" s="39"/>
      <c r="BE4" s="39"/>
      <c r="BF4" s="37">
        <f>if(BH4="",AX4,BH4/'Quick Setup'!$E5)</f>
        <v>490</v>
      </c>
      <c r="BG4" s="36" t="s">
        <v>77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36" t="s">
        <v>77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36" t="s">
        <v>77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36" t="s">
        <v>77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36" t="s">
        <v>77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36" t="s">
        <v>77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36" t="s">
        <v>77</v>
      </c>
      <c r="DD4" s="38"/>
      <c r="DE4" s="39"/>
      <c r="DF4" s="39"/>
      <c r="DG4" s="39"/>
      <c r="DH4" s="39"/>
      <c r="DI4" s="39"/>
      <c r="DJ4" s="37">
        <f>if(DL4="",DB4,DL4/'Quick Setup'!$E5)</f>
        <v>490</v>
      </c>
      <c r="DK4" s="36" t="s">
        <v>77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36" t="s">
        <v>77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36" t="s">
        <v>77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36" t="s">
        <v>77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36" t="s">
        <v>77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36" t="s">
        <v>77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36" t="s">
        <v>77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5"/>
      <c r="G5" s="5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Sumo Deadlift TM</v>
      </c>
      <c r="B6" s="37">
        <f>if(D6="",'Quick Setup'!D15,D6/'Quick Setup'!E15)</f>
        <v>500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13),if((F7-E7)=-1,B6*(1+Setup!G13),if(G7&lt;D7,B6*(1+Setup!G13),if(G7=D7,B6*(1+Setup!H13),if((G7-D7)=1,B6*(1+Setup!I13),if((G7-D7)=2,B6*(1+Setup!J13),if((G7-D7)=3,B6*(1+Setup!K13),if((G7-D7)=4,B6*(1+Setup!L13),if((G7-D7)&gt;4.1,B6*(1+Setup!M13),B6)))))))))),L6/'Quick Setup'!$E15)</f>
        <v>500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13),if((N7-M7)=-1,J6*(1+Setup!S13),if(O7&lt;L7,J6*(1+Setup!S13),if(O7=L7,J6*(1+Setup!T13),if((O7-L7)=1,J6*(1+Setup!U13),if((O7-L7)=2,J6*(1+Setup!V13),if((O7-L7)=3,J6*(1+Setup!W13),if((O7-L7)=4,J6*(1+Setup!X13),if((O7-L7)&gt;4.1,J6*(1+Setup!Y13),J6)))))))))),T6/'Quick Setup'!$E15)</f>
        <v>500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13),if((V7-U7)=-1,R6*(1+Setup!AE13),if(W7&lt;T7,R6*(1+Setup!AE13),if(W7=T7,R6*(1+Setup!AF13),if((W7-T7)=1,R6*(1+Setup!AG13),if((W7-T7)=2,R6*(1+Setup!AH13),if((W7-T7)=3,R6*(1+Setup!AI13),if((W7-T7)=4,R6*(1+Setup!AJ13),if((W7-T7)&gt;4.1,R6*(1+Setup!AK13),R6)))))))))),AB6/'Quick Setup'!$E15)</f>
        <v>500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13),if((AD7-AC7)=-1,Z6*(1+Setup!AQ13),if(AE7&lt;AB7,Z6*(1+Setup!AQ13),if(AE7=AB7,Z6*(1+Setup!AR13),if((AE7-AB7)=1,Z6*(1+Setup!AS13),if((AE7-AB7)=2,Z6*(1+Setup!AT13),if((AE7-AB7)=3,Z6*(1+Setup!AU13),if((AE7-AB7)=4,Z6*(1+Setup!AV13),if((AE7-AB7)&gt;4.1,Z6*(1+Setup!AW13),Z6)))))))))),AJ6/'Quick Setup'!$E15)</f>
        <v>500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13),if((AL7-AK7)=-1,AH6*(1+Setup!BC13),if(AM7&lt;AJ7,AH6*(1+Setup!BC13),if(AM7=AJ7,AH6*(1+Setup!BD13),if((AM7-AJ7)=1,AH6*(1+Setup!BE13),if((AM7-AJ7)=2,AH6*(1+Setup!BF13),if((AM7-AJ7)=3,AH6*(1+Setup!BG13),if((AM7-AJ7)=4,AH6*(1+Setup!BH13),if((AM7-AJ7)&gt;4.1,AH6*(1+Setup!BI13),AH6)))))))))),AR6/'Quick Setup'!$E15)</f>
        <v>500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13),if((AT7-AS7)=-1,AP6*(1+Setup!BO13),if(AU7&lt;AR7,AP6*(1+Setup!BO13),if(AU7=AR7,AP6*(1+Setup!BP13),if((AU7-AR7)=1,AP6*(1+Setup!BQ13),if((AU7-AR7)=2,AP6*(1+Setup!BR13),if((AU7-AR7)=3,AP6*(1+Setup!BS13),if((AU7-AR7)=4,AP6*(1+Setup!BT13),if((AU7-AR7)&gt;4.1,AP6*(1+Setup!BU13),AP6)))))))))),AZ6/'Quick Setup'!$E15)</f>
        <v>500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Setup'!$E15)</f>
        <v>500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13),if((BJ7-BI7)=-1,BF6*(1+Setup!CM13),if(BK7&lt;BH7,BF6*(1+Setup!CM13),if(BK7=BH7,BF6*(1+Setup!CN13),if((BK7-BH7)=1,BF6*(1+Setup!CO13),if((BK7-BH7)=2,BF6*(1+Setup!CP13),if((BK7-BH7)=3,BF6*(1+Setup!CQ13),if((BK7-BH7)=4,BF6*(1+Setup!CR13),if((BK7-BH7)&gt;4.1,BF6*(1+Setup!CS13),BF6)))))))))),BP6/'Quick Setup'!$E15)</f>
        <v>500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13),if((BR7-BQ7)=-1,BN6*(1+Setup!CY13),if(BS7&lt;BP7,BN6*(1+Setup!CY13),if(BS7=BP7,BN6*(1+Setup!CZ13),if((BS7-BP7)=1,BN6*(1+Setup!DA13),if((BS7-BP7)=2,BN6*(1+Setup!DB13),if((BS7-BP7)=3,BN6*(1+Setup!DC13),if((BS7-BP7)=4,BN6*(1+Setup!DD13),if((BS7-BP7)&gt;4.1,BN6*(1+Setup!DE13),BN6)))))))))),BX6/'Quick Setup'!$E15)</f>
        <v>500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13),if((BZ7-BY7)=-1,BV6*(1+Setup!DK13),if(CA7&lt;BX7,BV6*(1+Setup!DK13),if(CA7=BX7,BV6*(1+Setup!DL13),if((CA7-BX7)=1,BV6*(1+Setup!DM13),if((CA7-BX7)=2,BV6*(1+Setup!DN13),if((CA7-BX7)=3,BV6*(1+Setup!DO13),if((CA7-BX7)=4,BV6*(1+Setup!DP13),if((CA7-BX7)&gt;4.1,BV6*(1+Setup!DQ13),BV6)))))))))),CF6/'Quick Setup'!$E15)</f>
        <v>500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13),if((CH7-CG7)=-1,CD6*(1+Setup!DW13),if(CI7&lt;CF7,CD6*(1+Setup!DW13),if(CI7=CF7,CD6*(1+Setup!DX13),if((CI7-CF7)=1,CD6*(1+Setup!DY13),if((CI7-CF7)=2,CD6*(1+Setup!DZ13),if((CI7-CF7)=3,CD6*(1+Setup!EA13),if((CI7-CF7)=4,CD6*(1+Setup!EB13),if((CI7-CF7)&gt;4.1,CD6*(1+Setup!EC13),CD6)))))))))),CN6/'Quick Setup'!$E15)</f>
        <v>500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13),if((CP7-CO7)=-1,CL6*(1+Setup!EI13),if(CQ7&lt;CN7,CL6*(1+Setup!EI13),if(CQ7=CN7,CL6*(1+Setup!EJ13),if((CQ7-CN7)=1,CL6*(1+Setup!EK13),if((CQ7-CN7)=2,CL6*(1+Setup!EL13),if((CQ7-CN7)=3,CL6*(1+Setup!EM13),if((CQ7-CN7)=4,CL6*(1+Setup!EN13),if((CQ7-CN7)&gt;4.1,CL6*(1+Setup!EO13),CL6)))))))))),CV6/'Quick Setup'!$E15)</f>
        <v>500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13),if((CX7-CW7)=-1,CT6*(1+Setup!EU13),if(CY7&lt;CV7,CT6*(1+Setup!EU13),if(CY7=CV7,CT6*(1+Setup!EV13),if((CY7-CV7)=1,CT6*(1+Setup!EW13),if((CY7-CV7)=2,CT6*(1+Setup!EX13),if((CY7-CV7)=3,CT6*(1+Setup!EY13),if((CY7-CV7)=4,CT6*(1+Setup!EZ13),if((CY7-CV7)&gt;4.1,CT6*(1+Setup!FA13),CT6)))))))))),DD6/'Quick Setup'!$E15)</f>
        <v>500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Setup'!$E15)</f>
        <v>500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13),if((DN7-DM7)=-1,DJ6*(1+Setup!FS13),if(DO7&lt;DL7,DJ6*(1+Setup!FS13),if(DO7=DL7,DJ6*(1+Setup!FT13),if((DO7-DL7)=1,DJ6*(1+Setup!FU13),if((DO7-DL7)=2,DJ6*(1+Setup!FV13),if((DO7-DL7)=3,DJ6*(1+Setup!FW13),if((DO7-DL7)=4,DJ6*(1+Setup!FX13),if((DO7-DL7)&gt;4.1,DJ6*(1+Setup!FY13),DJ6)))))))))),DT6/'Quick Setup'!$E15)</f>
        <v>500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13),if((DV7-DU7)=-1,DR6*(1+Setup!GE13),if(DW7&lt;DT7,DR6*(1+Setup!GE13),if(DW7=DT7,DR6*(1+Setup!GF13),if((DW7-DT7)=1,DR6*(1+Setup!GG13),if((DW7-DT7)=2,DR6*(1+Setup!GH13),if((DW7-DT7)=3,DR6*(1+Setup!GI13),if((DW7-DT7)=4,DR6*(1+Setup!GJ13),if((DW7-DT7)&gt;4.1,DR6*(1+Setup!GK13),DR6)))))))))),EB6/'Quick Setup'!$E15)</f>
        <v>500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13),if((ED7-EC7)=-1,DZ6*(1+Setup!GQ13),if(EE7&lt;EB7,DZ6*(1+Setup!GQ13),if(EE7=EB7,DZ6*(1+Setup!GR13),if((EE7-EB7)=1,DZ6*(1+Setup!GS13),if((EE7-EB7)=2,DZ6*(1+Setup!GT13),if((EE7-EB7)=3,DZ6*(1+Setup!GU13),if((EE7-EB7)=4,DZ6*(1+Setup!GV13),if((EE7-EB7)&gt;4.1,DZ6*(1+Setup!GW13),DZ6)))))))))),EJ6/'Quick Setup'!$E15)</f>
        <v>500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13),if((EL7-EK7)=-1,EH6*(1+Setup!HC13),if(EM7&lt;EJ7,EH6*(1+Setup!HC13),if(EM7=EJ7,EH6*(1+Setup!HD13),if((EM7-EJ7)=1,EH6*(1+Setup!HE13),if((EM7-EJ7)=2,EH6*(1+Setup!HF13),if((EM7-EJ7)=3,EH6*(1+Setup!HG13),if((EM7-EJ7)=4,EH6*(1+Setup!HH13),if((EM7-EJ7)&gt;4.1,EH6*(1+Setup!HI13),EH6)))))))))),ER6/'Quick Setup'!$E15)</f>
        <v>500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13),if((ET7-ES7)=-1,EP6*(1+Setup!HO13),if(EU7&lt;ER7,EP6*(1+Setup!HO13),if(EU7=ER7,EP6*(1+Setup!HP13),if((EU7-ER7)=1,EP6*(1+Setup!HQ13),if((EU7-ER7)=2,EP6*(1+Setup!HR13),if((EU7-ER7)=3,EP6*(1+Setup!HS13),if((EU7-ER7)=4,EP6*(1+Setup!HT13),if((EU7-ER7)&gt;4.1,EP6*(1+Setup!HU13),EP6)))))))))),EZ6/'Quick Setup'!$E15)</f>
        <v>500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13),if((FB7-FA7)=-1,EX6*(1+Setup!IA13),if(FC7&lt;EZ7,EX6*(1+Setup!IA13),if(FC7=EZ7,EX6*(1+Setup!IB13),if((FC7-EZ7)=1,EX6*(1+Setup!IC13),if((FC7-EZ7)=2,EX6*(1+Setup!ID13),if((FC7-EZ7)=3,EX6*(1+Setup!IE13),if((FC7-EZ7)=4,EX6*(1+Setup!IF13),if((FC7-EZ7)&gt;4.1,EX6*(1+Setup!IG13),EX6)))))))))),FH6/'Quick Setup'!$E15)</f>
        <v>500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Setup!A13</f>
        <v>Sumo Deadlift</v>
      </c>
      <c r="B7" s="40">
        <f>mround(B6*Setup!B13,'Quick Setup'!$A$2)</f>
        <v>300</v>
      </c>
      <c r="C7" s="2">
        <f>Setup!C13</f>
        <v>7</v>
      </c>
      <c r="D7" s="2">
        <f>Setup!D13</f>
        <v>3</v>
      </c>
      <c r="E7" s="2">
        <f>Setup!E13</f>
        <v>5</v>
      </c>
      <c r="F7" s="8"/>
      <c r="G7" s="8"/>
      <c r="H7" s="8"/>
      <c r="I7" s="8"/>
      <c r="J7" s="40">
        <f>mround(J6*Setup!N13,'Quick Setup'!$A$2)</f>
        <v>325</v>
      </c>
      <c r="K7" s="2">
        <f>Setup!O13</f>
        <v>6</v>
      </c>
      <c r="L7" s="2">
        <f>Setup!P13</f>
        <v>3</v>
      </c>
      <c r="M7" s="2">
        <f>Setup!Q13</f>
        <v>5</v>
      </c>
      <c r="N7" s="8"/>
      <c r="O7" s="8"/>
      <c r="P7" s="8"/>
      <c r="Q7" s="8"/>
      <c r="R7" s="40">
        <f>mround(R6*Setup!Z13,'Quick Setup'!$A$2)</f>
        <v>350</v>
      </c>
      <c r="S7" s="2">
        <f>Setup!AA13</f>
        <v>5</v>
      </c>
      <c r="T7" s="2">
        <f>Setup!AB13</f>
        <v>3</v>
      </c>
      <c r="U7" s="2">
        <f>Setup!AC13</f>
        <v>5</v>
      </c>
      <c r="V7" s="8"/>
      <c r="W7" s="8"/>
      <c r="X7" s="8"/>
      <c r="Y7" s="8"/>
      <c r="Z7" s="40">
        <f>mround(Z6*Setup!AL13,'Quick Setup'!$A$2)</f>
        <v>312.5</v>
      </c>
      <c r="AA7" s="2">
        <f>Setup!AM13</f>
        <v>7</v>
      </c>
      <c r="AB7" s="2">
        <f>Setup!AN13</f>
        <v>3</v>
      </c>
      <c r="AC7" s="2">
        <f>Setup!AO13</f>
        <v>5</v>
      </c>
      <c r="AD7" s="8"/>
      <c r="AE7" s="8"/>
      <c r="AF7" s="8"/>
      <c r="AG7" s="8"/>
      <c r="AH7" s="40">
        <f>mround(AH6*Setup!AX13,'Quick Setup'!$A$2)</f>
        <v>337.5</v>
      </c>
      <c r="AI7" s="2">
        <f>Setup!AY13</f>
        <v>6</v>
      </c>
      <c r="AJ7" s="2">
        <f>Setup!AZ13</f>
        <v>3</v>
      </c>
      <c r="AK7" s="2">
        <f>Setup!BA13</f>
        <v>5</v>
      </c>
      <c r="AL7" s="8"/>
      <c r="AM7" s="8"/>
      <c r="AN7" s="8"/>
      <c r="AO7" s="8"/>
      <c r="AP7" s="40">
        <f>mround(AP6*Setup!BJ13,'Quick Setup'!$A$2)</f>
        <v>362.5</v>
      </c>
      <c r="AQ7" s="2">
        <f>Setup!BK13</f>
        <v>5</v>
      </c>
      <c r="AR7" s="2">
        <f>Setup!BL13</f>
        <v>3</v>
      </c>
      <c r="AS7" s="2">
        <f>Setup!BM13</f>
        <v>5</v>
      </c>
      <c r="AT7" s="8"/>
      <c r="AU7" s="8"/>
      <c r="AV7" s="8"/>
      <c r="AW7" s="8"/>
      <c r="AX7" s="40">
        <f>mround(AX6*Setup!BV13,'Quick Setup'!$A$2)</f>
        <v>250</v>
      </c>
      <c r="AY7" s="1">
        <v>5.0</v>
      </c>
      <c r="AZ7" s="1" t="s">
        <v>80</v>
      </c>
      <c r="BA7" s="2">
        <f>Setup!BY13</f>
        <v>5</v>
      </c>
      <c r="BB7" s="8"/>
      <c r="BC7" s="8"/>
      <c r="BD7" s="8"/>
      <c r="BE7" s="8"/>
      <c r="BF7" s="40">
        <f>mround(BF6*Setup!CH13,'Quick Setup'!$A$2)</f>
        <v>325</v>
      </c>
      <c r="BG7" s="2">
        <f>Setup!CI13</f>
        <v>6</v>
      </c>
      <c r="BH7" s="2">
        <f>Setup!CJ13</f>
        <v>3</v>
      </c>
      <c r="BI7" s="2">
        <f>Setup!CK13</f>
        <v>5</v>
      </c>
      <c r="BJ7" s="8"/>
      <c r="BK7" s="8"/>
      <c r="BL7" s="8"/>
      <c r="BM7" s="8"/>
      <c r="BN7" s="40">
        <f>mround(BN6*Setup!CT13,'Quick Setup'!$A$2)</f>
        <v>350</v>
      </c>
      <c r="BO7" s="2">
        <f>Setup!CU13</f>
        <v>5</v>
      </c>
      <c r="BP7" s="2">
        <f>Setup!CV13</f>
        <v>3</v>
      </c>
      <c r="BQ7" s="2">
        <f>Setup!CW13</f>
        <v>5</v>
      </c>
      <c r="BR7" s="8"/>
      <c r="BS7" s="8"/>
      <c r="BT7" s="8"/>
      <c r="BU7" s="8"/>
      <c r="BV7" s="40">
        <f>mround(BV6*Setup!DF13,'Quick Setup'!$A$2)</f>
        <v>375</v>
      </c>
      <c r="BW7" s="2">
        <f>Setup!DG13</f>
        <v>4</v>
      </c>
      <c r="BX7" s="2">
        <f>Setup!DH13</f>
        <v>2</v>
      </c>
      <c r="BY7" s="2">
        <f>Setup!DI13</f>
        <v>5</v>
      </c>
      <c r="BZ7" s="8"/>
      <c r="CA7" s="8"/>
      <c r="CB7" s="8"/>
      <c r="CC7" s="8"/>
      <c r="CD7" s="40">
        <f>mround(CD6*Setup!DR13,'Quick Setup'!$A$2)</f>
        <v>337.5</v>
      </c>
      <c r="CE7" s="2">
        <f>Setup!DS13</f>
        <v>6</v>
      </c>
      <c r="CF7" s="2">
        <f>Setup!DT13</f>
        <v>3</v>
      </c>
      <c r="CG7" s="2">
        <f>Setup!DU13</f>
        <v>5</v>
      </c>
      <c r="CH7" s="8"/>
      <c r="CI7" s="8"/>
      <c r="CJ7" s="8"/>
      <c r="CK7" s="8"/>
      <c r="CL7" s="40">
        <f>mround(CL6*Setup!ED13,'Quick Setup'!$A$2)</f>
        <v>362.5</v>
      </c>
      <c r="CM7" s="2">
        <f>Setup!EE13</f>
        <v>5</v>
      </c>
      <c r="CN7" s="2">
        <f>Setup!EF13</f>
        <v>3</v>
      </c>
      <c r="CO7" s="2">
        <f>Setup!EG13</f>
        <v>5</v>
      </c>
      <c r="CP7" s="8"/>
      <c r="CQ7" s="8"/>
      <c r="CR7" s="8"/>
      <c r="CS7" s="8"/>
      <c r="CT7" s="40">
        <f>mround(CT6*Setup!EP13,'Quick Setup'!$A$2)</f>
        <v>387.5</v>
      </c>
      <c r="CU7" s="2">
        <f>Setup!EQ13</f>
        <v>4</v>
      </c>
      <c r="CV7" s="2">
        <f>Setup!ER13</f>
        <v>2</v>
      </c>
      <c r="CW7" s="2">
        <f>Setup!ES13</f>
        <v>5</v>
      </c>
      <c r="CX7" s="8"/>
      <c r="CY7" s="8"/>
      <c r="CZ7" s="8"/>
      <c r="DA7" s="8"/>
      <c r="DB7" s="40">
        <f>mround(DB6*Setup!FB13,'Quick Setup'!$A$2)</f>
        <v>250</v>
      </c>
      <c r="DC7" s="1">
        <v>5.0</v>
      </c>
      <c r="DD7" s="1" t="s">
        <v>80</v>
      </c>
      <c r="DE7" s="2">
        <f>Setup!FE13</f>
        <v>5</v>
      </c>
      <c r="DF7" s="8"/>
      <c r="DG7" s="8"/>
      <c r="DH7" s="8"/>
      <c r="DI7" s="8"/>
      <c r="DJ7" s="40">
        <f>mround(DJ6*Setup!FN13,'Quick Setup'!$A$2)</f>
        <v>350</v>
      </c>
      <c r="DK7" s="2">
        <f>Setup!FO13</f>
        <v>5</v>
      </c>
      <c r="DL7" s="2">
        <f>Setup!FP13</f>
        <v>3</v>
      </c>
      <c r="DM7" s="2">
        <f>Setup!FQ13</f>
        <v>5</v>
      </c>
      <c r="DN7" s="8"/>
      <c r="DO7" s="8"/>
      <c r="DP7" s="8"/>
      <c r="DQ7" s="8"/>
      <c r="DR7" s="40">
        <f>mround(DR6*Setup!FZ13,'Quick Setup'!$A$2)</f>
        <v>375</v>
      </c>
      <c r="DS7" s="2">
        <f>Setup!GA13</f>
        <v>4</v>
      </c>
      <c r="DT7" s="2">
        <f>Setup!GB13</f>
        <v>2</v>
      </c>
      <c r="DU7" s="2">
        <f>Setup!GC13</f>
        <v>5</v>
      </c>
      <c r="DV7" s="8"/>
      <c r="DW7" s="8"/>
      <c r="DX7" s="8"/>
      <c r="DY7" s="8"/>
      <c r="DZ7" s="40">
        <f>mround(DZ6*Setup!GL13,'Quick Setup'!$A$2)</f>
        <v>400</v>
      </c>
      <c r="EA7" s="2">
        <f>Setup!GM13</f>
        <v>3</v>
      </c>
      <c r="EB7" s="2">
        <f>Setup!GN13</f>
        <v>2</v>
      </c>
      <c r="EC7" s="2">
        <f>Setup!GO13</f>
        <v>5</v>
      </c>
      <c r="ED7" s="8"/>
      <c r="EE7" s="8"/>
      <c r="EF7" s="8"/>
      <c r="EG7" s="8"/>
      <c r="EH7" s="40">
        <f>mround(EH6*Setup!GX13,'Quick Setup'!$A$2)</f>
        <v>375</v>
      </c>
      <c r="EI7" s="2">
        <f>Setup!GY13</f>
        <v>4</v>
      </c>
      <c r="EJ7" s="2">
        <f>Setup!GZ13</f>
        <v>2</v>
      </c>
      <c r="EK7" s="2">
        <f>Setup!HA13</f>
        <v>5</v>
      </c>
      <c r="EL7" s="8"/>
      <c r="EM7" s="8"/>
      <c r="EN7" s="8"/>
      <c r="EO7" s="8"/>
      <c r="EP7" s="40">
        <f>mround(EP6*Setup!HJ13,'Quick Setup'!$A$2)</f>
        <v>400</v>
      </c>
      <c r="EQ7" s="2">
        <f>Setup!HK13</f>
        <v>3</v>
      </c>
      <c r="ER7" s="2">
        <f>Setup!HL13</f>
        <v>2</v>
      </c>
      <c r="ES7" s="2">
        <f>Setup!HM13</f>
        <v>5</v>
      </c>
      <c r="ET7" s="8"/>
      <c r="EU7" s="8"/>
      <c r="EV7" s="8"/>
      <c r="EW7" s="8"/>
      <c r="EX7" s="40">
        <f>mround(EX6*Setup!HV13,'Quick Setup'!$A$2)</f>
        <v>425</v>
      </c>
      <c r="EY7" s="2">
        <f>Setup!HW13</f>
        <v>2</v>
      </c>
      <c r="EZ7" s="2">
        <f>Setup!HX13</f>
        <v>1</v>
      </c>
      <c r="FA7" s="2">
        <f>Setup!HY13</f>
        <v>5</v>
      </c>
      <c r="FB7" s="8"/>
      <c r="FC7" s="8"/>
      <c r="FD7" s="8"/>
      <c r="FE7" s="8"/>
      <c r="FF7" s="40">
        <f>mround(FF6*Setup!IH13,'Quick Setup'!$A$2)</f>
        <v>250</v>
      </c>
      <c r="FG7" s="1">
        <v>5.0</v>
      </c>
      <c r="FH7" s="1" t="s">
        <v>80</v>
      </c>
      <c r="FI7" s="2">
        <f>Setup!IK13</f>
        <v>5</v>
      </c>
      <c r="FJ7" s="8"/>
      <c r="FK7" s="8"/>
      <c r="FL7" s="8"/>
      <c r="FM7" s="8"/>
    </row>
    <row r="8" hidden="1">
      <c r="A8" s="36" t="str">
        <f>CONCATENATE(A9," TM")</f>
        <v>Incline Press TM</v>
      </c>
      <c r="B8" s="37">
        <f>if(D8="",'Quick Setup'!D14,D8/'Quick Setup'!E14)</f>
        <v>280</v>
      </c>
      <c r="C8" s="36" t="s">
        <v>77</v>
      </c>
      <c r="D8" s="38"/>
      <c r="E8" s="39"/>
      <c r="F8" s="39"/>
      <c r="G8" s="39"/>
      <c r="H8" s="39"/>
      <c r="I8" s="39"/>
      <c r="J8" s="37">
        <f>if(L8="", if(F9="",B8, if((F9-E9)&lt;-1.9,B8*(1+Setup!F12),if((F9-E9)=-1,B8*(1+Setup!G12),if(G9&lt;D9,B8*(1+Setup!G12),if(G9=D9,B8*(1+Setup!H12),if((G9-D9)=1,B8*(1+Setup!I12),if((G9-D9)=2,B8*(1+Setup!J12),if((G9-D9)=3,B8*(1+Setup!K12),if((G9-D9)=4,B8*(1+Setup!L12),if((G9-D9)&gt;4.1,B8*(1+Setup!M12),B8)))))))))),L8/'Quick Setup'!$E14)</f>
        <v>280</v>
      </c>
      <c r="K8" s="36" t="s">
        <v>77</v>
      </c>
      <c r="L8" s="38"/>
      <c r="M8" s="39"/>
      <c r="N8" s="39"/>
      <c r="O8" s="39"/>
      <c r="P8" s="39"/>
      <c r="Q8" s="39"/>
      <c r="R8" s="37">
        <f>if(T8="", if(N9="",J8, if((N9-M9)&lt;-1.9,J8*(1+Setup!R12),if((N9-M9)=-1,J8*(1+Setup!S12),if(O9&lt;L9,J8*(1+Setup!S12),if(O9=L9,J8*(1+Setup!T12),if((O9-L9)=1,J8*(1+Setup!U12),if((O9-L9)=2,J8*(1+Setup!V12),if((O9-L9)=3,J8*(1+Setup!W12),if((O9-L9)=4,J8*(1+Setup!X12),if((O9-L9)&gt;4.1,J8*(1+Setup!Y12),J8)))))))))),T8/'Quick Setup'!$E14)</f>
        <v>280</v>
      </c>
      <c r="S8" s="36" t="s">
        <v>77</v>
      </c>
      <c r="T8" s="38"/>
      <c r="U8" s="39"/>
      <c r="V8" s="39"/>
      <c r="W8" s="39"/>
      <c r="X8" s="39"/>
      <c r="Y8" s="39"/>
      <c r="Z8" s="37">
        <f>if(AB8="", if(V9="",R8, if((V9-U9)&lt;-1.9,R8*(1+Setup!AD12),if((V9-U9)=-1,R8*(1+Setup!AE12),if(W9&lt;T9,R8*(1+Setup!AE12),if(W9=T9,R8*(1+Setup!AF12),if((W9-T9)=1,R8*(1+Setup!AG12),if((W9-T9)=2,R8*(1+Setup!AH12),if((W9-T9)=3,R8*(1+Setup!AI12),if((W9-T9)=4,R8*(1+Setup!AJ12),if((W9-T9)&gt;4.1,R8*(1+Setup!AK12),R8)))))))))),AB8/'Quick Setup'!$E14)</f>
        <v>280</v>
      </c>
      <c r="AA8" s="36" t="s">
        <v>77</v>
      </c>
      <c r="AB8" s="38"/>
      <c r="AC8" s="39"/>
      <c r="AD8" s="39"/>
      <c r="AE8" s="39"/>
      <c r="AF8" s="39"/>
      <c r="AG8" s="39"/>
      <c r="AH8" s="37">
        <f>if(AJ8="", if(AD9="",Z8, if((AD9-AC9)&lt;-1.9,Z8*(1+Setup!AP12),if((AD9-AC9)=-1,Z8*(1+Setup!AQ12),if(AE9&lt;AB9,Z8*(1+Setup!AQ12),if(AE9=AB9,Z8*(1+Setup!AR12),if((AE9-AB9)=1,Z8*(1+Setup!AS12),if((AE9-AB9)=2,Z8*(1+Setup!AT12),if((AE9-AB9)=3,Z8*(1+Setup!AU12),if((AE9-AB9)=4,Z8*(1+Setup!AV12),if((AE9-AB9)&gt;4.1,Z8*(1+Setup!AW12),Z8)))))))))),AJ8/'Quick Setup'!$E14)</f>
        <v>280</v>
      </c>
      <c r="AI8" s="36" t="s">
        <v>77</v>
      </c>
      <c r="AJ8" s="38"/>
      <c r="AK8" s="39"/>
      <c r="AL8" s="39"/>
      <c r="AM8" s="39"/>
      <c r="AN8" s="39"/>
      <c r="AO8" s="39"/>
      <c r="AP8" s="37">
        <f>if(AR8="", if(AL9="",AH8, if((AL9-AK9)&lt;-1.9,AH8*(1+Setup!BB12),if((AL9-AK9)=-1,AH8*(1+Setup!BC12),if(AM9&lt;AJ9,AH8*(1+Setup!BC12),if(AM9=AJ9,AH8*(1+Setup!BD12),if((AM9-AJ9)=1,AH8*(1+Setup!BE12),if((AM9-AJ9)=2,AH8*(1+Setup!BF12),if((AM9-AJ9)=3,AH8*(1+Setup!BG12),if((AM9-AJ9)=4,AH8*(1+Setup!BH12),if((AM9-AJ9)&gt;4.1,AH8*(1+Setup!BI12),AH8)))))))))),AR8/'Quick Setup'!$E14)</f>
        <v>280</v>
      </c>
      <c r="AQ8" s="36" t="s">
        <v>77</v>
      </c>
      <c r="AR8" s="38"/>
      <c r="AS8" s="39"/>
      <c r="AT8" s="39"/>
      <c r="AU8" s="39"/>
      <c r="AV8" s="39"/>
      <c r="AW8" s="39"/>
      <c r="AX8" s="37">
        <f>if(AZ8="", if(AT9="",AP8, if((AT9-AS9)&lt;-1.9,AP8*(1+Setup!BN12),if((AT9-AS9)=-1,AP8*(1+Setup!BO12),if(AU9&lt;AR9,AP8*(1+Setup!BO12),if(AU9=AR9,AP8*(1+Setup!BP12),if((AU9-AR9)=1,AP8*(1+Setup!BQ12),if((AU9-AR9)=2,AP8*(1+Setup!BR12),if((AU9-AR9)=3,AP8*(1+Setup!BS12),if((AU9-AR9)=4,AP8*(1+Setup!BT12),if((AU9-AR9)&gt;4.1,AP8*(1+Setup!BU12),AP8)))))))))),AZ8/'Quick Setup'!$E14)</f>
        <v>280</v>
      </c>
      <c r="AY8" s="36" t="s">
        <v>77</v>
      </c>
      <c r="AZ8" s="38"/>
      <c r="BA8" s="39"/>
      <c r="BB8" s="39"/>
      <c r="BC8" s="39"/>
      <c r="BD8" s="39"/>
      <c r="BE8" s="39"/>
      <c r="BF8" s="37">
        <f>if(BH8="",AX8,BH8/'Quick Setup'!$E14)</f>
        <v>280</v>
      </c>
      <c r="BG8" s="36" t="s">
        <v>77</v>
      </c>
      <c r="BH8" s="38"/>
      <c r="BI8" s="39"/>
      <c r="BJ8" s="39"/>
      <c r="BK8" s="39"/>
      <c r="BL8" s="39"/>
      <c r="BM8" s="39"/>
      <c r="BN8" s="37">
        <f>if(BP8="", if(BJ9="",BF8, if((BJ9-BI9)&lt;-1.9,BF8*(1+Setup!CL12),if((BJ9-BI9)=-1,BF8*(1+Setup!CM12),if(BK9&lt;BH9,BF8*(1+Setup!CM12),if(BK9=BH9,BF8*(1+Setup!CN12),if((BK9-BH9)=1,BF8*(1+Setup!CO12),if((BK9-BH9)=2,BF8*(1+Setup!CP12),if((BK9-BH9)=3,BF8*(1+Setup!CQ12),if((BK9-BH9)=4,BF8*(1+Setup!CR12),if((BK9-BH9)&gt;4.1,BF8*(1+Setup!CS12),BF8)))))))))),BP8/'Quick Setup'!$E14)</f>
        <v>280</v>
      </c>
      <c r="BO8" s="36" t="s">
        <v>77</v>
      </c>
      <c r="BP8" s="38"/>
      <c r="BQ8" s="39"/>
      <c r="BR8" s="39"/>
      <c r="BS8" s="39"/>
      <c r="BT8" s="39"/>
      <c r="BU8" s="39"/>
      <c r="BV8" s="37">
        <f>if(BX8="", if(BR9="",BN8, if((BR9-BQ9)&lt;-1.9,BN8*(1+Setup!CX12),if((BR9-BQ9)=-1,BN8*(1+Setup!CY12),if(BS9&lt;BP9,BN8*(1+Setup!CY12),if(BS9=BP9,BN8*(1+Setup!CZ12),if((BS9-BP9)=1,BN8*(1+Setup!DA12),if((BS9-BP9)=2,BN8*(1+Setup!DB12),if((BS9-BP9)=3,BN8*(1+Setup!DC12),if((BS9-BP9)=4,BN8*(1+Setup!DD12),if((BS9-BP9)&gt;4.1,BN8*(1+Setup!DE12),BN8)))))))))),BX8/'Quick Setup'!$E14)</f>
        <v>280</v>
      </c>
      <c r="BW8" s="36" t="s">
        <v>77</v>
      </c>
      <c r="BX8" s="38"/>
      <c r="BY8" s="39"/>
      <c r="BZ8" s="39"/>
      <c r="CA8" s="39"/>
      <c r="CB8" s="39"/>
      <c r="CC8" s="39"/>
      <c r="CD8" s="37">
        <f>if(CF8="", if(BZ9="",BV8, if((BZ9-BY9)&lt;-1.9,BV8*(1+Setup!DJ12),if((BZ9-BY9)=-1,BV8*(1+Setup!DK12),if(CA9&lt;BX9,BV8*(1+Setup!DK12),if(CA9=BX9,BV8*(1+Setup!DL12),if((CA9-BX9)=1,BV8*(1+Setup!DM12),if((CA9-BX9)=2,BV8*(1+Setup!DN12),if((CA9-BX9)=3,BV8*(1+Setup!DO12),if((CA9-BX9)=4,BV8*(1+Setup!DP12),if((CA9-BX9)&gt;4.1,BV8*(1+Setup!DQ12),BV8)))))))))),CF8/'Quick Setup'!$E14)</f>
        <v>280</v>
      </c>
      <c r="CE8" s="36" t="s">
        <v>77</v>
      </c>
      <c r="CF8" s="38"/>
      <c r="CG8" s="39"/>
      <c r="CH8" s="39"/>
      <c r="CI8" s="39"/>
      <c r="CJ8" s="39"/>
      <c r="CK8" s="39"/>
      <c r="CL8" s="37">
        <f>if(CN8="", if(CH9="",CD8, if((CH9-CG9)&lt;-1.9,CD8*(1+Setup!DV12),if((CH9-CG9)=-1,CD8*(1+Setup!DW12),if(CI9&lt;CF9,CD8*(1+Setup!DW12),if(CI9=CF9,CD8*(1+Setup!DX12),if((CI9-CF9)=1,CD8*(1+Setup!DY12),if((CI9-CF9)=2,CD8*(1+Setup!DZ12),if((CI9-CF9)=3,CD8*(1+Setup!EA12),if((CI9-CF9)=4,CD8*(1+Setup!EB12),if((CI9-CF9)&gt;4.1,CD8*(1+Setup!EC12),CD8)))))))))),CN8/'Quick Setup'!$E14)</f>
        <v>280</v>
      </c>
      <c r="CM8" s="36" t="s">
        <v>77</v>
      </c>
      <c r="CN8" s="38"/>
      <c r="CO8" s="39"/>
      <c r="CP8" s="39"/>
      <c r="CQ8" s="39"/>
      <c r="CR8" s="39"/>
      <c r="CS8" s="39"/>
      <c r="CT8" s="37">
        <f>if(CV8="", if(CP9="",CL8, if((CP9-CO9)&lt;-1.9,CL8*(1+Setup!EH12),if((CP9-CO9)=-1,CL8*(1+Setup!EI12),if(CQ9&lt;CN9,CL8*(1+Setup!EI12),if(CQ9=CN9,CL8*(1+Setup!EJ12),if((CQ9-CN9)=1,CL8*(1+Setup!EK12),if((CQ9-CN9)=2,CL8*(1+Setup!EL12),if((CQ9-CN9)=3,CL8*(1+Setup!EM12),if((CQ9-CN9)=4,CL8*(1+Setup!EN12),if((CQ9-CN9)&gt;4.1,CL8*(1+Setup!EO12),CL8)))))))))),CV8/'Quick Setup'!$E14)</f>
        <v>280</v>
      </c>
      <c r="CU8" s="36" t="s">
        <v>77</v>
      </c>
      <c r="CV8" s="38"/>
      <c r="CW8" s="39"/>
      <c r="CX8" s="39"/>
      <c r="CY8" s="39"/>
      <c r="CZ8" s="39"/>
      <c r="DA8" s="39"/>
      <c r="DB8" s="37">
        <f>if(DD8="", if(CX9="",CT8, if((CX9-CW9)&lt;-1.9,CT8*(1+Setup!ET12),if((CX9-CW9)=-1,CT8*(1+Setup!EU12),if(CY9&lt;CV9,CT8*(1+Setup!EU12),if(CY9=CV9,CT8*(1+Setup!EV12),if((CY9-CV9)=1,CT8*(1+Setup!EW12),if((CY9-CV9)=2,CT8*(1+Setup!EX12),if((CY9-CV9)=3,CT8*(1+Setup!EY12),if((CY9-CV9)=4,CT8*(1+Setup!EZ12),if((CY9-CV9)&gt;4.1,CT8*(1+Setup!FA12),CT8)))))))))),DD8/'Quick Setup'!$E14)</f>
        <v>280</v>
      </c>
      <c r="DC8" s="36" t="s">
        <v>77</v>
      </c>
      <c r="DD8" s="38"/>
      <c r="DE8" s="39"/>
      <c r="DF8" s="39"/>
      <c r="DG8" s="39"/>
      <c r="DH8" s="39"/>
      <c r="DI8" s="39"/>
      <c r="DJ8" s="37">
        <f>if(DL8="",DB8,DL8/'Quick Setup'!$E14)</f>
        <v>280</v>
      </c>
      <c r="DK8" s="36" t="s">
        <v>77</v>
      </c>
      <c r="DL8" s="38"/>
      <c r="DM8" s="39"/>
      <c r="DN8" s="39"/>
      <c r="DO8" s="39"/>
      <c r="DP8" s="39"/>
      <c r="DQ8" s="39"/>
      <c r="DR8" s="37">
        <f>if(DT8="", if(DN9="",DJ8, if((DN9-DM9)&lt;-1.9,DJ8*(1+Setup!FR12),if((DN9-DM9)=-1,DJ8*(1+Setup!FS12),if(DO9&lt;DL9,DJ8*(1+Setup!FS12),if(DO9=DL9,DJ8*(1+Setup!FT12),if((DO9-DL9)=1,DJ8*(1+Setup!FU12),if((DO9-DL9)=2,DJ8*(1+Setup!FV12),if((DO9-DL9)=3,DJ8*(1+Setup!FW12),if((DO9-DL9)=4,DJ8*(1+Setup!FX12),if((DO9-DL9)&gt;4.1,DJ8*(1+Setup!FY12),DJ8)))))))))),DT8/'Quick Setup'!$E14)</f>
        <v>280</v>
      </c>
      <c r="DS8" s="36" t="s">
        <v>77</v>
      </c>
      <c r="DT8" s="38"/>
      <c r="DU8" s="39"/>
      <c r="DV8" s="39"/>
      <c r="DW8" s="39"/>
      <c r="DX8" s="39"/>
      <c r="DY8" s="39"/>
      <c r="DZ8" s="37">
        <f>if(EB8="", if(DV9="",DR8, if((DV9-DU9)&lt;-1.9,DR8*(1+Setup!GD12),if((DV9-DU9)=-1,DR8*(1+Setup!GE12),if(DW9&lt;DT9,DR8*(1+Setup!GE12),if(DW9=DT9,DR8*(1+Setup!GF12),if((DW9-DT9)=1,DR8*(1+Setup!GG12),if((DW9-DT9)=2,DR8*(1+Setup!GH12),if((DW9-DT9)=3,DR8*(1+Setup!GI12),if((DW9-DT9)=4,DR8*(1+Setup!GJ12),if((DW9-DT9)&gt;4.1,DR8*(1+Setup!GK12),DR8)))))))))),EB8/'Quick Setup'!$E14)</f>
        <v>280</v>
      </c>
      <c r="EA8" s="36" t="s">
        <v>77</v>
      </c>
      <c r="EB8" s="38"/>
      <c r="EC8" s="39"/>
      <c r="ED8" s="39"/>
      <c r="EE8" s="39"/>
      <c r="EF8" s="39"/>
      <c r="EG8" s="39"/>
      <c r="EH8" s="37">
        <f>if(EJ8="", if(ED9="",DZ8, if((ED9-EC9)&lt;-1.9,DZ8*(1+Setup!GP12),if((ED9-EC9)=-1,DZ8*(1+Setup!GQ12),if(EE9&lt;EB9,DZ8*(1+Setup!GQ12),if(EE9=EB9,DZ8*(1+Setup!GR12),if((EE9-EB9)=1,DZ8*(1+Setup!GS12),if((EE9-EB9)=2,DZ8*(1+Setup!GT12),if((EE9-EB9)=3,DZ8*(1+Setup!GU12),if((EE9-EB9)=4,DZ8*(1+Setup!GV12),if((EE9-EB9)&gt;4.1,DZ8*(1+Setup!GW12),DZ8)))))))))),EJ8/'Quick Setup'!$E14)</f>
        <v>280</v>
      </c>
      <c r="EI8" s="36" t="s">
        <v>77</v>
      </c>
      <c r="EJ8" s="38"/>
      <c r="EK8" s="39"/>
      <c r="EL8" s="39"/>
      <c r="EM8" s="39"/>
      <c r="EN8" s="39"/>
      <c r="EO8" s="39"/>
      <c r="EP8" s="37">
        <f>if(ER8="", if(EL9="",EH8, if((EL9-EK9)&lt;-1.9,EH8*(1+Setup!HB12),if((EL9-EK9)=-1,EH8*(1+Setup!HC12),if(EM9&lt;EJ9,EH8*(1+Setup!HC12),if(EM9=EJ9,EH8*(1+Setup!HD12),if((EM9-EJ9)=1,EH8*(1+Setup!HE12),if((EM9-EJ9)=2,EH8*(1+Setup!HF12),if((EM9-EJ9)=3,EH8*(1+Setup!HG12),if((EM9-EJ9)=4,EH8*(1+Setup!HH12),if((EM9-EJ9)&gt;4.1,EH8*(1+Setup!HI12),EH8)))))))))),ER8/'Quick Setup'!$E14)</f>
        <v>280</v>
      </c>
      <c r="EQ8" s="36" t="s">
        <v>77</v>
      </c>
      <c r="ER8" s="38"/>
      <c r="ES8" s="39"/>
      <c r="ET8" s="39"/>
      <c r="EU8" s="39"/>
      <c r="EV8" s="39"/>
      <c r="EW8" s="39"/>
      <c r="EX8" s="37">
        <f>if(EZ8="", if(ET9="",EP8, if((ET9-ES9)&lt;-1.9,EP8*(1+Setup!HN12),if((ET9-ES9)=-1,EP8*(1+Setup!HO12),if(EU9&lt;ER9,EP8*(1+Setup!HO12),if(EU9=ER9,EP8*(1+Setup!HP12),if((EU9-ER9)=1,EP8*(1+Setup!HQ12),if((EU9-ER9)=2,EP8*(1+Setup!HR12),if((EU9-ER9)=3,EP8*(1+Setup!HS12),if((EU9-ER9)=4,EP8*(1+Setup!HT12),if((EU9-ER9)&gt;4.1,EP8*(1+Setup!HU12),EP8)))))))))),EZ8/'Quick Setup'!$E14)</f>
        <v>280</v>
      </c>
      <c r="EY8" s="36" t="s">
        <v>77</v>
      </c>
      <c r="EZ8" s="38"/>
      <c r="FA8" s="39"/>
      <c r="FB8" s="39"/>
      <c r="FC8" s="39"/>
      <c r="FD8" s="39"/>
      <c r="FE8" s="39"/>
      <c r="FF8" s="37">
        <f>if(FH8="", if(FB9="",EX8, if((FB9-FA9)&lt;-1.9,EX8*(1+Setup!HZ12),if((FB9-FA9)=-1,EX8*(1+Setup!IA12),if(FC9&lt;EZ9,EX8*(1+Setup!IA12),if(FC9=EZ9,EX8*(1+Setup!IB12),if((FC9-EZ9)=1,EX8*(1+Setup!IC12),if((FC9-EZ9)=2,EX8*(1+Setup!ID12),if((FC9-EZ9)=3,EX8*(1+Setup!IE12),if((FC9-EZ9)=4,EX8*(1+Setup!IF12),if((FC9-EZ9)&gt;4.1,EX8*(1+Setup!IG12),EX8)))))))))),FH8/'Quick Setup'!$E14)</f>
        <v>280</v>
      </c>
      <c r="FG8" s="36" t="s">
        <v>77</v>
      </c>
      <c r="FH8" s="38"/>
      <c r="FI8" s="39"/>
      <c r="FJ8" s="39"/>
      <c r="FK8" s="39"/>
      <c r="FL8" s="39"/>
      <c r="FM8" s="39"/>
    </row>
    <row r="9">
      <c r="A9" s="1" t="str">
        <f>Setup!A12</f>
        <v>Incline Press</v>
      </c>
      <c r="B9" s="40">
        <f>mround(B8*Setup!B12,'Quick Setup'!$A$2)</f>
        <v>167.5</v>
      </c>
      <c r="C9" s="2">
        <f>Setup!C12</f>
        <v>7</v>
      </c>
      <c r="D9" s="2">
        <f>Setup!D12</f>
        <v>3</v>
      </c>
      <c r="E9" s="2">
        <f>Setup!E12</f>
        <v>5</v>
      </c>
      <c r="F9" s="8"/>
      <c r="G9" s="8"/>
      <c r="H9" s="8"/>
      <c r="I9" s="8"/>
      <c r="J9" s="40">
        <f>mround(J8*Setup!N12,'Quick Setup'!$A$2)</f>
        <v>182.5</v>
      </c>
      <c r="K9" s="2">
        <f>Setup!O12</f>
        <v>6</v>
      </c>
      <c r="L9" s="2">
        <f>Setup!P12</f>
        <v>3</v>
      </c>
      <c r="M9" s="2">
        <f>Setup!Q12</f>
        <v>5</v>
      </c>
      <c r="N9" s="8"/>
      <c r="O9" s="8"/>
      <c r="P9" s="8"/>
      <c r="Q9" s="8"/>
      <c r="R9" s="40">
        <f>mround(R8*Setup!Z12,'Quick Setup'!$A$2)</f>
        <v>195</v>
      </c>
      <c r="S9" s="2">
        <f>Setup!AA12</f>
        <v>5</v>
      </c>
      <c r="T9" s="2">
        <f>Setup!AB12</f>
        <v>3</v>
      </c>
      <c r="U9" s="2">
        <f>Setup!AC12</f>
        <v>5</v>
      </c>
      <c r="V9" s="8"/>
      <c r="W9" s="8"/>
      <c r="X9" s="8"/>
      <c r="Y9" s="8"/>
      <c r="Z9" s="40">
        <f>mround(Z8*Setup!AL12,'Quick Setup'!$A$2)</f>
        <v>175</v>
      </c>
      <c r="AA9" s="2">
        <f>Setup!AM12</f>
        <v>7</v>
      </c>
      <c r="AB9" s="2">
        <f>Setup!AN12</f>
        <v>3</v>
      </c>
      <c r="AC9" s="2">
        <f>Setup!AO12</f>
        <v>5</v>
      </c>
      <c r="AD9" s="8"/>
      <c r="AE9" s="8"/>
      <c r="AF9" s="8"/>
      <c r="AG9" s="8"/>
      <c r="AH9" s="40">
        <f>mround(AH8*Setup!AX12,'Quick Setup'!$A$2)</f>
        <v>190</v>
      </c>
      <c r="AI9" s="2">
        <f>Setup!AY12</f>
        <v>6</v>
      </c>
      <c r="AJ9" s="2">
        <f>Setup!AZ12</f>
        <v>3</v>
      </c>
      <c r="AK9" s="2">
        <f>Setup!BA12</f>
        <v>5</v>
      </c>
      <c r="AL9" s="8"/>
      <c r="AM9" s="8"/>
      <c r="AN9" s="8"/>
      <c r="AO9" s="8"/>
      <c r="AP9" s="40">
        <f>mround(AP8*Setup!BJ12,'Quick Setup'!$A$2)</f>
        <v>202.5</v>
      </c>
      <c r="AQ9" s="2">
        <f>Setup!BK12</f>
        <v>5</v>
      </c>
      <c r="AR9" s="2">
        <f>Setup!BL12</f>
        <v>3</v>
      </c>
      <c r="AS9" s="2">
        <f>Setup!BM12</f>
        <v>5</v>
      </c>
      <c r="AT9" s="8"/>
      <c r="AU9" s="8"/>
      <c r="AV9" s="8"/>
      <c r="AW9" s="8"/>
      <c r="AX9" s="40">
        <f>mround(AX8*Setup!BV12,'Quick Setup'!$A$2)</f>
        <v>140</v>
      </c>
      <c r="AY9" s="1">
        <v>5.0</v>
      </c>
      <c r="AZ9" s="1" t="s">
        <v>80</v>
      </c>
      <c r="BA9" s="2">
        <f>Setup!BY12</f>
        <v>5</v>
      </c>
      <c r="BB9" s="8"/>
      <c r="BC9" s="8"/>
      <c r="BD9" s="8"/>
      <c r="BE9" s="8"/>
      <c r="BF9" s="40">
        <f>mround(BF8*Setup!CH12,'Quick Setup'!$A$2)</f>
        <v>182.5</v>
      </c>
      <c r="BG9" s="2">
        <f>Setup!CI12</f>
        <v>6</v>
      </c>
      <c r="BH9" s="2">
        <f>Setup!CJ12</f>
        <v>3</v>
      </c>
      <c r="BI9" s="2">
        <f>Setup!CK12</f>
        <v>5</v>
      </c>
      <c r="BJ9" s="8"/>
      <c r="BK9" s="8"/>
      <c r="BL9" s="8"/>
      <c r="BM9" s="8"/>
      <c r="BN9" s="40">
        <f>mround(BN8*Setup!CT12,'Quick Setup'!$A$2)</f>
        <v>195</v>
      </c>
      <c r="BO9" s="2">
        <f>Setup!CU12</f>
        <v>5</v>
      </c>
      <c r="BP9" s="2">
        <f>Setup!CV12</f>
        <v>3</v>
      </c>
      <c r="BQ9" s="2">
        <f>Setup!CW12</f>
        <v>5</v>
      </c>
      <c r="BR9" s="8"/>
      <c r="BS9" s="8"/>
      <c r="BT9" s="8"/>
      <c r="BU9" s="8"/>
      <c r="BV9" s="40">
        <f>mround(BV8*Setup!DF12,'Quick Setup'!$A$2)</f>
        <v>210</v>
      </c>
      <c r="BW9" s="2">
        <f>Setup!DG12</f>
        <v>4</v>
      </c>
      <c r="BX9" s="2">
        <f>Setup!DH12</f>
        <v>2</v>
      </c>
      <c r="BY9" s="2">
        <f>Setup!DI12</f>
        <v>5</v>
      </c>
      <c r="BZ9" s="8"/>
      <c r="CA9" s="8"/>
      <c r="CB9" s="8"/>
      <c r="CC9" s="8"/>
      <c r="CD9" s="40">
        <f>mround(CD8*Setup!DR12,'Quick Setup'!$A$2)</f>
        <v>190</v>
      </c>
      <c r="CE9" s="2">
        <f>Setup!DS12</f>
        <v>6</v>
      </c>
      <c r="CF9" s="2">
        <f>Setup!DT12</f>
        <v>3</v>
      </c>
      <c r="CG9" s="2">
        <f>Setup!DU12</f>
        <v>5</v>
      </c>
      <c r="CH9" s="8"/>
      <c r="CI9" s="8"/>
      <c r="CJ9" s="8"/>
      <c r="CK9" s="8"/>
      <c r="CL9" s="40">
        <f>mround(CL8*Setup!ED12,'Quick Setup'!$A$2)</f>
        <v>202.5</v>
      </c>
      <c r="CM9" s="2">
        <f>Setup!EE12</f>
        <v>5</v>
      </c>
      <c r="CN9" s="2">
        <f>Setup!EF12</f>
        <v>3</v>
      </c>
      <c r="CO9" s="2">
        <f>Setup!EG12</f>
        <v>5</v>
      </c>
      <c r="CP9" s="8"/>
      <c r="CQ9" s="8"/>
      <c r="CR9" s="8"/>
      <c r="CS9" s="8"/>
      <c r="CT9" s="40">
        <f>mround(CT8*Setup!EP12,'Quick Setup'!$A$2)</f>
        <v>217.5</v>
      </c>
      <c r="CU9" s="2">
        <f>Setup!EQ12</f>
        <v>4</v>
      </c>
      <c r="CV9" s="2">
        <f>Setup!ER12</f>
        <v>2</v>
      </c>
      <c r="CW9" s="2">
        <f>Setup!ES12</f>
        <v>5</v>
      </c>
      <c r="CX9" s="8"/>
      <c r="CY9" s="8"/>
      <c r="CZ9" s="8"/>
      <c r="DA9" s="8"/>
      <c r="DB9" s="40">
        <f>mround(DB8*Setup!FB12,'Quick Setup'!$A$2)</f>
        <v>140</v>
      </c>
      <c r="DC9" s="1">
        <v>5.0</v>
      </c>
      <c r="DD9" s="1" t="s">
        <v>80</v>
      </c>
      <c r="DE9" s="2">
        <f>Setup!FE12</f>
        <v>5</v>
      </c>
      <c r="DF9" s="8"/>
      <c r="DG9" s="8"/>
      <c r="DH9" s="8"/>
      <c r="DI9" s="8"/>
      <c r="DJ9" s="40">
        <f>mround(DJ8*Setup!FN12,'Quick Setup'!$A$2)</f>
        <v>195</v>
      </c>
      <c r="DK9" s="2">
        <f>Setup!FO12</f>
        <v>5</v>
      </c>
      <c r="DL9" s="2">
        <f>Setup!FP12</f>
        <v>3</v>
      </c>
      <c r="DM9" s="2">
        <f>Setup!FQ12</f>
        <v>5</v>
      </c>
      <c r="DN9" s="8"/>
      <c r="DO9" s="8"/>
      <c r="DP9" s="8"/>
      <c r="DQ9" s="8"/>
      <c r="DR9" s="40">
        <f>mround(DR8*Setup!FZ12,'Quick Setup'!$A$2)</f>
        <v>210</v>
      </c>
      <c r="DS9" s="2">
        <f>Setup!GA12</f>
        <v>4</v>
      </c>
      <c r="DT9" s="2">
        <f>Setup!GB12</f>
        <v>2</v>
      </c>
      <c r="DU9" s="2">
        <f>Setup!GC12</f>
        <v>5</v>
      </c>
      <c r="DV9" s="8"/>
      <c r="DW9" s="8"/>
      <c r="DX9" s="8"/>
      <c r="DY9" s="8"/>
      <c r="DZ9" s="40">
        <f>mround(DZ8*Setup!GL12,'Quick Setup'!$A$2)</f>
        <v>225</v>
      </c>
      <c r="EA9" s="2">
        <f>Setup!GM12</f>
        <v>3</v>
      </c>
      <c r="EB9" s="2">
        <f>Setup!GN12</f>
        <v>2</v>
      </c>
      <c r="EC9" s="2">
        <f>Setup!GO12</f>
        <v>5</v>
      </c>
      <c r="ED9" s="8"/>
      <c r="EE9" s="8"/>
      <c r="EF9" s="8"/>
      <c r="EG9" s="8"/>
      <c r="EH9" s="40">
        <f>mround(EH8*Setup!GX12,'Quick Setup'!$A$2)</f>
        <v>210</v>
      </c>
      <c r="EI9" s="2">
        <f>Setup!GY12</f>
        <v>4</v>
      </c>
      <c r="EJ9" s="2">
        <f>Setup!GZ12</f>
        <v>2</v>
      </c>
      <c r="EK9" s="2">
        <f>Setup!HA12</f>
        <v>5</v>
      </c>
      <c r="EL9" s="8"/>
      <c r="EM9" s="8"/>
      <c r="EN9" s="8"/>
      <c r="EO9" s="8"/>
      <c r="EP9" s="40">
        <f>mround(EP8*Setup!HJ12,'Quick Setup'!$A$2)</f>
        <v>225</v>
      </c>
      <c r="EQ9" s="2">
        <f>Setup!HK12</f>
        <v>3</v>
      </c>
      <c r="ER9" s="2">
        <f>Setup!HL12</f>
        <v>2</v>
      </c>
      <c r="ES9" s="2">
        <f>Setup!HM12</f>
        <v>5</v>
      </c>
      <c r="ET9" s="8"/>
      <c r="EU9" s="8"/>
      <c r="EV9" s="8"/>
      <c r="EW9" s="8"/>
      <c r="EX9" s="40">
        <f>mround(EX8*Setup!HV12,'Quick Setup'!$A$2)</f>
        <v>237.5</v>
      </c>
      <c r="EY9" s="2">
        <f>Setup!HW12</f>
        <v>2</v>
      </c>
      <c r="EZ9" s="2">
        <f>Setup!HX12</f>
        <v>1</v>
      </c>
      <c r="FA9" s="2">
        <f>Setup!HY12</f>
        <v>5</v>
      </c>
      <c r="FB9" s="8"/>
      <c r="FC9" s="8"/>
      <c r="FD9" s="8"/>
      <c r="FE9" s="8"/>
      <c r="FF9" s="40">
        <f>mround(FF8*Setup!IH12,'Quick Setup'!$A$2)</f>
        <v>140</v>
      </c>
      <c r="FG9" s="1">
        <v>5.0</v>
      </c>
      <c r="FH9" s="1" t="s">
        <v>80</v>
      </c>
      <c r="FI9" s="2">
        <f>Setup!IK12</f>
        <v>5</v>
      </c>
      <c r="FJ9" s="8"/>
      <c r="FK9" s="8"/>
      <c r="FL9" s="8"/>
      <c r="FM9" s="8"/>
    </row>
    <row r="10">
      <c r="A10" s="5"/>
      <c r="B10" s="41"/>
      <c r="C10" s="8"/>
      <c r="D10" s="8"/>
      <c r="E10" s="8"/>
      <c r="F10" s="8"/>
      <c r="G10" s="8"/>
      <c r="H10" s="8"/>
      <c r="I10" s="8"/>
      <c r="J10" s="41" t="str">
        <f t="shared" ref="J10:O10" si="1">B10</f>
        <v/>
      </c>
      <c r="K10" s="8" t="str">
        <f t="shared" si="1"/>
        <v/>
      </c>
      <c r="L10" s="8" t="str">
        <f t="shared" si="1"/>
        <v/>
      </c>
      <c r="M10" s="8" t="str">
        <f t="shared" si="1"/>
        <v/>
      </c>
      <c r="N10" s="8" t="str">
        <f t="shared" si="1"/>
        <v/>
      </c>
      <c r="O10" s="8" t="str">
        <f t="shared" si="1"/>
        <v/>
      </c>
      <c r="P10" s="8"/>
      <c r="Q10" s="8"/>
      <c r="R10" s="41" t="str">
        <f t="shared" ref="R10:W10" si="2">J10</f>
        <v/>
      </c>
      <c r="S10" s="8" t="str">
        <f t="shared" si="2"/>
        <v/>
      </c>
      <c r="T10" s="8" t="str">
        <f t="shared" si="2"/>
        <v/>
      </c>
      <c r="U10" s="8" t="str">
        <f t="shared" si="2"/>
        <v/>
      </c>
      <c r="V10" s="8" t="str">
        <f t="shared" si="2"/>
        <v/>
      </c>
      <c r="W10" s="8" t="str">
        <f t="shared" si="2"/>
        <v/>
      </c>
      <c r="X10" s="8"/>
      <c r="Y10" s="8"/>
      <c r="Z10" s="41" t="str">
        <f t="shared" ref="Z10:AE10" si="3">R10</f>
        <v/>
      </c>
      <c r="AA10" s="8" t="str">
        <f t="shared" si="3"/>
        <v/>
      </c>
      <c r="AB10" s="8" t="str">
        <f t="shared" si="3"/>
        <v/>
      </c>
      <c r="AC10" s="8" t="str">
        <f t="shared" si="3"/>
        <v/>
      </c>
      <c r="AD10" s="8" t="str">
        <f t="shared" si="3"/>
        <v/>
      </c>
      <c r="AE10" s="8" t="str">
        <f t="shared" si="3"/>
        <v/>
      </c>
      <c r="AF10" s="8"/>
      <c r="AG10" s="8"/>
      <c r="AH10" s="41" t="str">
        <f t="shared" ref="AH10:AM10" si="4">Z10</f>
        <v/>
      </c>
      <c r="AI10" s="8" t="str">
        <f t="shared" si="4"/>
        <v/>
      </c>
      <c r="AJ10" s="8" t="str">
        <f t="shared" si="4"/>
        <v/>
      </c>
      <c r="AK10" s="8" t="str">
        <f t="shared" si="4"/>
        <v/>
      </c>
      <c r="AL10" s="8" t="str">
        <f t="shared" si="4"/>
        <v/>
      </c>
      <c r="AM10" s="8" t="str">
        <f t="shared" si="4"/>
        <v/>
      </c>
      <c r="AN10" s="8"/>
      <c r="AO10" s="8"/>
      <c r="AP10" s="41" t="str">
        <f t="shared" ref="AP10:AU10" si="5">AH10</f>
        <v/>
      </c>
      <c r="AQ10" s="8" t="str">
        <f t="shared" si="5"/>
        <v/>
      </c>
      <c r="AR10" s="8" t="str">
        <f t="shared" si="5"/>
        <v/>
      </c>
      <c r="AS10" s="8" t="str">
        <f t="shared" si="5"/>
        <v/>
      </c>
      <c r="AT10" s="8" t="str">
        <f t="shared" si="5"/>
        <v/>
      </c>
      <c r="AU10" s="8" t="str">
        <f t="shared" si="5"/>
        <v/>
      </c>
      <c r="AV10" s="8"/>
      <c r="AW10" s="8"/>
      <c r="AX10" s="41" t="str">
        <f t="shared" ref="AX10:BC10" si="6">AP10</f>
        <v/>
      </c>
      <c r="AY10" s="8" t="str">
        <f t="shared" si="6"/>
        <v/>
      </c>
      <c r="AZ10" s="8" t="str">
        <f t="shared" si="6"/>
        <v/>
      </c>
      <c r="BA10" s="8" t="str">
        <f t="shared" si="6"/>
        <v/>
      </c>
      <c r="BB10" s="8" t="str">
        <f t="shared" si="6"/>
        <v/>
      </c>
      <c r="BC10" s="8" t="str">
        <f t="shared" si="6"/>
        <v/>
      </c>
      <c r="BD10" s="8"/>
      <c r="BE10" s="8"/>
      <c r="BF10" s="41" t="str">
        <f t="shared" ref="BF10:BK10" si="7">AX10</f>
        <v/>
      </c>
      <c r="BG10" s="8" t="str">
        <f t="shared" si="7"/>
        <v/>
      </c>
      <c r="BH10" s="8" t="str">
        <f t="shared" si="7"/>
        <v/>
      </c>
      <c r="BI10" s="8" t="str">
        <f t="shared" si="7"/>
        <v/>
      </c>
      <c r="BJ10" s="8" t="str">
        <f t="shared" si="7"/>
        <v/>
      </c>
      <c r="BK10" s="8" t="str">
        <f t="shared" si="7"/>
        <v/>
      </c>
      <c r="BL10" s="8"/>
      <c r="BM10" s="8"/>
      <c r="BN10" s="41" t="str">
        <f t="shared" ref="BN10:BS10" si="8">BF10</f>
        <v/>
      </c>
      <c r="BO10" s="8" t="str">
        <f t="shared" si="8"/>
        <v/>
      </c>
      <c r="BP10" s="8" t="str">
        <f t="shared" si="8"/>
        <v/>
      </c>
      <c r="BQ10" s="8" t="str">
        <f t="shared" si="8"/>
        <v/>
      </c>
      <c r="BR10" s="8" t="str">
        <f t="shared" si="8"/>
        <v/>
      </c>
      <c r="BS10" s="8" t="str">
        <f t="shared" si="8"/>
        <v/>
      </c>
      <c r="BT10" s="8"/>
      <c r="BU10" s="8"/>
      <c r="BV10" s="41" t="str">
        <f t="shared" ref="BV10:CA10" si="9">BN10</f>
        <v/>
      </c>
      <c r="BW10" s="8" t="str">
        <f t="shared" si="9"/>
        <v/>
      </c>
      <c r="BX10" s="8" t="str">
        <f t="shared" si="9"/>
        <v/>
      </c>
      <c r="BY10" s="8" t="str">
        <f t="shared" si="9"/>
        <v/>
      </c>
      <c r="BZ10" s="8" t="str">
        <f t="shared" si="9"/>
        <v/>
      </c>
      <c r="CA10" s="8" t="str">
        <f t="shared" si="9"/>
        <v/>
      </c>
      <c r="CB10" s="8"/>
      <c r="CC10" s="8"/>
      <c r="CD10" s="41" t="str">
        <f t="shared" ref="CD10:CI10" si="10">BV10</f>
        <v/>
      </c>
      <c r="CE10" s="8" t="str">
        <f t="shared" si="10"/>
        <v/>
      </c>
      <c r="CF10" s="8" t="str">
        <f t="shared" si="10"/>
        <v/>
      </c>
      <c r="CG10" s="8" t="str">
        <f t="shared" si="10"/>
        <v/>
      </c>
      <c r="CH10" s="8" t="str">
        <f t="shared" si="10"/>
        <v/>
      </c>
      <c r="CI10" s="8" t="str">
        <f t="shared" si="10"/>
        <v/>
      </c>
      <c r="CJ10" s="8"/>
      <c r="CK10" s="8"/>
      <c r="CL10" s="41" t="str">
        <f t="shared" ref="CL10:CQ10" si="11">CD10</f>
        <v/>
      </c>
      <c r="CM10" s="8" t="str">
        <f t="shared" si="11"/>
        <v/>
      </c>
      <c r="CN10" s="8" t="str">
        <f t="shared" si="11"/>
        <v/>
      </c>
      <c r="CO10" s="8" t="str">
        <f t="shared" si="11"/>
        <v/>
      </c>
      <c r="CP10" s="8" t="str">
        <f t="shared" si="11"/>
        <v/>
      </c>
      <c r="CQ10" s="8" t="str">
        <f t="shared" si="11"/>
        <v/>
      </c>
      <c r="CR10" s="8"/>
      <c r="CS10" s="8"/>
      <c r="CT10" s="41" t="str">
        <f t="shared" ref="CT10:CY10" si="12">CL10</f>
        <v/>
      </c>
      <c r="CU10" s="8" t="str">
        <f t="shared" si="12"/>
        <v/>
      </c>
      <c r="CV10" s="8" t="str">
        <f t="shared" si="12"/>
        <v/>
      </c>
      <c r="CW10" s="8" t="str">
        <f t="shared" si="12"/>
        <v/>
      </c>
      <c r="CX10" s="8" t="str">
        <f t="shared" si="12"/>
        <v/>
      </c>
      <c r="CY10" s="8" t="str">
        <f t="shared" si="12"/>
        <v/>
      </c>
      <c r="CZ10" s="8"/>
      <c r="DA10" s="8"/>
      <c r="DB10" s="41" t="str">
        <f t="shared" ref="DB10:DG10" si="13">CT10</f>
        <v/>
      </c>
      <c r="DC10" s="8" t="str">
        <f t="shared" si="13"/>
        <v/>
      </c>
      <c r="DD10" s="8" t="str">
        <f t="shared" si="13"/>
        <v/>
      </c>
      <c r="DE10" s="8" t="str">
        <f t="shared" si="13"/>
        <v/>
      </c>
      <c r="DF10" s="8" t="str">
        <f t="shared" si="13"/>
        <v/>
      </c>
      <c r="DG10" s="8" t="str">
        <f t="shared" si="13"/>
        <v/>
      </c>
      <c r="DH10" s="8"/>
      <c r="DI10" s="8"/>
      <c r="DJ10" s="41" t="str">
        <f t="shared" ref="DJ10:DO10" si="14">DB10</f>
        <v/>
      </c>
      <c r="DK10" s="8" t="str">
        <f t="shared" si="14"/>
        <v/>
      </c>
      <c r="DL10" s="8" t="str">
        <f t="shared" si="14"/>
        <v/>
      </c>
      <c r="DM10" s="8" t="str">
        <f t="shared" si="14"/>
        <v/>
      </c>
      <c r="DN10" s="8" t="str">
        <f t="shared" si="14"/>
        <v/>
      </c>
      <c r="DO10" s="8" t="str">
        <f t="shared" si="14"/>
        <v/>
      </c>
      <c r="DP10" s="8"/>
      <c r="DQ10" s="8"/>
      <c r="DR10" s="41" t="str">
        <f t="shared" ref="DR10:DW10" si="15">DJ10</f>
        <v/>
      </c>
      <c r="DS10" s="8" t="str">
        <f t="shared" si="15"/>
        <v/>
      </c>
      <c r="DT10" s="8" t="str">
        <f t="shared" si="15"/>
        <v/>
      </c>
      <c r="DU10" s="8" t="str">
        <f t="shared" si="15"/>
        <v/>
      </c>
      <c r="DV10" s="8" t="str">
        <f t="shared" si="15"/>
        <v/>
      </c>
      <c r="DW10" s="8" t="str">
        <f t="shared" si="15"/>
        <v/>
      </c>
      <c r="DX10" s="8"/>
      <c r="DY10" s="8"/>
      <c r="DZ10" s="41" t="str">
        <f t="shared" ref="DZ10:EE10" si="16">DR10</f>
        <v/>
      </c>
      <c r="EA10" s="8" t="str">
        <f t="shared" si="16"/>
        <v/>
      </c>
      <c r="EB10" s="8" t="str">
        <f t="shared" si="16"/>
        <v/>
      </c>
      <c r="EC10" s="8" t="str">
        <f t="shared" si="16"/>
        <v/>
      </c>
      <c r="ED10" s="8" t="str">
        <f t="shared" si="16"/>
        <v/>
      </c>
      <c r="EE10" s="8" t="str">
        <f t="shared" si="16"/>
        <v/>
      </c>
      <c r="EF10" s="8"/>
      <c r="EG10" s="8"/>
      <c r="EH10" s="41" t="str">
        <f t="shared" ref="EH10:EM10" si="17">DZ10</f>
        <v/>
      </c>
      <c r="EI10" s="8" t="str">
        <f t="shared" si="17"/>
        <v/>
      </c>
      <c r="EJ10" s="8" t="str">
        <f t="shared" si="17"/>
        <v/>
      </c>
      <c r="EK10" s="8" t="str">
        <f t="shared" si="17"/>
        <v/>
      </c>
      <c r="EL10" s="8" t="str">
        <f t="shared" si="17"/>
        <v/>
      </c>
      <c r="EM10" s="8" t="str">
        <f t="shared" si="17"/>
        <v/>
      </c>
      <c r="EN10" s="8"/>
      <c r="EO10" s="8"/>
      <c r="EP10" s="41" t="str">
        <f t="shared" ref="EP10:EU10" si="18">EH10</f>
        <v/>
      </c>
      <c r="EQ10" s="8" t="str">
        <f t="shared" si="18"/>
        <v/>
      </c>
      <c r="ER10" s="8" t="str">
        <f t="shared" si="18"/>
        <v/>
      </c>
      <c r="ES10" s="8" t="str">
        <f t="shared" si="18"/>
        <v/>
      </c>
      <c r="ET10" s="8" t="str">
        <f t="shared" si="18"/>
        <v/>
      </c>
      <c r="EU10" s="8" t="str">
        <f t="shared" si="18"/>
        <v/>
      </c>
      <c r="EV10" s="8"/>
      <c r="EW10" s="8"/>
      <c r="EX10" s="41" t="str">
        <f t="shared" ref="EX10:FC10" si="19">EP10</f>
        <v/>
      </c>
      <c r="EY10" s="8" t="str">
        <f t="shared" si="19"/>
        <v/>
      </c>
      <c r="EZ10" s="8" t="str">
        <f t="shared" si="19"/>
        <v/>
      </c>
      <c r="FA10" s="8" t="str">
        <f t="shared" si="19"/>
        <v/>
      </c>
      <c r="FB10" s="8" t="str">
        <f t="shared" si="19"/>
        <v/>
      </c>
      <c r="FC10" s="8" t="str">
        <f t="shared" si="19"/>
        <v/>
      </c>
      <c r="FD10" s="8"/>
      <c r="FE10" s="8"/>
      <c r="FF10" s="41" t="str">
        <f t="shared" ref="FF10:FK10" si="20">EX10</f>
        <v/>
      </c>
      <c r="FG10" s="8" t="str">
        <f t="shared" si="20"/>
        <v/>
      </c>
      <c r="FH10" s="8" t="str">
        <f t="shared" si="20"/>
        <v/>
      </c>
      <c r="FI10" s="8" t="str">
        <f t="shared" si="20"/>
        <v/>
      </c>
      <c r="FJ10" s="8" t="str">
        <f t="shared" si="20"/>
        <v/>
      </c>
      <c r="FK10" s="8" t="str">
        <f t="shared" si="20"/>
        <v/>
      </c>
      <c r="FL10" s="8"/>
      <c r="FM10" s="8"/>
    </row>
    <row r="11">
      <c r="A11" s="1" t="s">
        <v>81</v>
      </c>
      <c r="B11" s="40"/>
      <c r="C11" s="2"/>
      <c r="D11" s="2"/>
      <c r="E11" s="2"/>
      <c r="F11" s="2"/>
      <c r="G11" s="2"/>
      <c r="H11" s="2"/>
      <c r="I11" s="2"/>
      <c r="J11" s="40"/>
      <c r="K11" s="2"/>
      <c r="L11" s="2"/>
      <c r="M11" s="2"/>
      <c r="N11" s="2"/>
      <c r="O11" s="2"/>
      <c r="P11" s="2"/>
      <c r="Q11" s="2"/>
      <c r="R11" s="40"/>
      <c r="S11" s="2"/>
      <c r="T11" s="2"/>
      <c r="U11" s="2"/>
      <c r="V11" s="2"/>
      <c r="W11" s="2"/>
      <c r="X11" s="2"/>
      <c r="Y11" s="2"/>
      <c r="Z11" s="40"/>
      <c r="AA11" s="2"/>
      <c r="AB11" s="2"/>
      <c r="AC11" s="2"/>
      <c r="AD11" s="2"/>
      <c r="AE11" s="2"/>
      <c r="AF11" s="2"/>
      <c r="AG11" s="2"/>
      <c r="AH11" s="40"/>
      <c r="AI11" s="2"/>
      <c r="AJ11" s="2"/>
      <c r="AK11" s="2"/>
      <c r="AL11" s="2"/>
      <c r="AM11" s="2"/>
      <c r="AN11" s="2"/>
      <c r="AO11" s="2"/>
      <c r="AP11" s="40"/>
      <c r="AQ11" s="2"/>
      <c r="AR11" s="2"/>
      <c r="AS11" s="2"/>
      <c r="AT11" s="2"/>
      <c r="AU11" s="2"/>
      <c r="AV11" s="2"/>
      <c r="AW11" s="2"/>
      <c r="AX11" s="40"/>
      <c r="AY11" s="2"/>
      <c r="AZ11" s="2"/>
      <c r="BA11" s="2"/>
      <c r="BB11" s="2"/>
      <c r="BC11" s="2"/>
      <c r="BD11" s="2"/>
      <c r="BE11" s="2"/>
      <c r="BF11" s="40"/>
      <c r="BG11" s="2"/>
      <c r="BH11" s="2"/>
      <c r="BI11" s="2"/>
      <c r="BJ11" s="2"/>
      <c r="BK11" s="2"/>
      <c r="BL11" s="2"/>
      <c r="BM11" s="2"/>
      <c r="BN11" s="40"/>
      <c r="BO11" s="2"/>
      <c r="BP11" s="2"/>
      <c r="BQ11" s="2"/>
      <c r="BR11" s="2"/>
      <c r="BS11" s="2"/>
      <c r="BT11" s="2"/>
      <c r="BU11" s="2"/>
      <c r="BV11" s="40"/>
      <c r="BW11" s="2"/>
      <c r="BX11" s="2"/>
      <c r="BY11" s="2"/>
      <c r="BZ11" s="2"/>
      <c r="CA11" s="2"/>
      <c r="CB11" s="2"/>
      <c r="CC11" s="2"/>
      <c r="CD11" s="40"/>
      <c r="CE11" s="2"/>
      <c r="CF11" s="2"/>
      <c r="CG11" s="2"/>
      <c r="CH11" s="2"/>
      <c r="CI11" s="2"/>
      <c r="CJ11" s="2"/>
      <c r="CK11" s="2"/>
      <c r="CL11" s="40"/>
      <c r="CM11" s="2"/>
      <c r="CN11" s="2"/>
      <c r="CO11" s="2"/>
      <c r="CP11" s="2"/>
      <c r="CQ11" s="2"/>
      <c r="CR11" s="2"/>
      <c r="CS11" s="2"/>
      <c r="CT11" s="40"/>
      <c r="CU11" s="2"/>
      <c r="CV11" s="2"/>
      <c r="CW11" s="2"/>
      <c r="CX11" s="2"/>
      <c r="CY11" s="2"/>
      <c r="CZ11" s="2"/>
      <c r="DA11" s="2"/>
      <c r="DB11" s="40"/>
      <c r="DC11" s="2"/>
      <c r="DD11" s="2"/>
      <c r="DE11" s="2"/>
      <c r="DF11" s="2"/>
      <c r="DG11" s="2"/>
      <c r="DH11" s="2"/>
      <c r="DI11" s="2"/>
      <c r="DJ11" s="40"/>
      <c r="DK11" s="2"/>
      <c r="DL11" s="2"/>
      <c r="DM11" s="2"/>
      <c r="DN11" s="2"/>
      <c r="DO11" s="2"/>
      <c r="DP11" s="2"/>
      <c r="DQ11" s="2"/>
      <c r="DR11" s="40"/>
      <c r="DS11" s="2"/>
      <c r="DT11" s="2"/>
      <c r="DU11" s="2"/>
      <c r="DV11" s="2"/>
      <c r="DW11" s="2"/>
      <c r="DX11" s="2"/>
      <c r="DY11" s="2"/>
      <c r="DZ11" s="40"/>
      <c r="EA11" s="2"/>
      <c r="EB11" s="2"/>
      <c r="EC11" s="2"/>
      <c r="ED11" s="2"/>
      <c r="EE11" s="2"/>
      <c r="EF11" s="2"/>
      <c r="EG11" s="2"/>
      <c r="EH11" s="40"/>
      <c r="EI11" s="2"/>
      <c r="EJ11" s="2"/>
      <c r="EK11" s="2"/>
      <c r="EL11" s="2"/>
      <c r="EM11" s="2"/>
      <c r="EN11" s="2"/>
      <c r="EO11" s="2"/>
      <c r="EP11" s="40"/>
      <c r="EQ11" s="2"/>
      <c r="ER11" s="2"/>
      <c r="ES11" s="2"/>
      <c r="ET11" s="2"/>
      <c r="EU11" s="2"/>
      <c r="EV11" s="2"/>
      <c r="EW11" s="2"/>
      <c r="EX11" s="40"/>
      <c r="EY11" s="2"/>
      <c r="EZ11" s="2"/>
      <c r="FA11" s="2"/>
      <c r="FB11" s="2"/>
      <c r="FC11" s="2"/>
      <c r="FD11" s="2"/>
      <c r="FE11" s="2"/>
      <c r="FF11" s="40"/>
      <c r="FG11" s="2"/>
      <c r="FH11" s="2"/>
      <c r="FI11" s="2"/>
      <c r="FJ11" s="2"/>
      <c r="FK11" s="2"/>
      <c r="FL11" s="2"/>
      <c r="FM11" s="2"/>
    </row>
    <row r="12">
      <c r="A12" s="42"/>
      <c r="B12" s="41"/>
      <c r="C12" s="8"/>
      <c r="D12" s="8"/>
      <c r="E12" s="8"/>
      <c r="F12" s="8"/>
      <c r="G12" s="8"/>
      <c r="H12" s="8"/>
      <c r="I12" s="8"/>
      <c r="J12" s="41" t="str">
        <f t="shared" ref="J12:O12" si="21">B12</f>
        <v/>
      </c>
      <c r="K12" s="8" t="str">
        <f t="shared" si="21"/>
        <v/>
      </c>
      <c r="L12" s="8" t="str">
        <f t="shared" si="21"/>
        <v/>
      </c>
      <c r="M12" s="8" t="str">
        <f t="shared" si="21"/>
        <v/>
      </c>
      <c r="N12" s="8" t="str">
        <f t="shared" si="21"/>
        <v/>
      </c>
      <c r="O12" s="8" t="str">
        <f t="shared" si="21"/>
        <v/>
      </c>
      <c r="P12" s="8"/>
      <c r="Q12" s="8"/>
      <c r="R12" s="41" t="str">
        <f t="shared" ref="R12:W12" si="22">J12</f>
        <v/>
      </c>
      <c r="S12" s="8" t="str">
        <f t="shared" si="22"/>
        <v/>
      </c>
      <c r="T12" s="8" t="str">
        <f t="shared" si="22"/>
        <v/>
      </c>
      <c r="U12" s="8" t="str">
        <f t="shared" si="22"/>
        <v/>
      </c>
      <c r="V12" s="8" t="str">
        <f t="shared" si="22"/>
        <v/>
      </c>
      <c r="W12" s="8" t="str">
        <f t="shared" si="22"/>
        <v/>
      </c>
      <c r="X12" s="8"/>
      <c r="Y12" s="8"/>
      <c r="Z12" s="41" t="str">
        <f t="shared" ref="Z12:AE12" si="23">R12</f>
        <v/>
      </c>
      <c r="AA12" s="8" t="str">
        <f t="shared" si="23"/>
        <v/>
      </c>
      <c r="AB12" s="8" t="str">
        <f t="shared" si="23"/>
        <v/>
      </c>
      <c r="AC12" s="8" t="str">
        <f t="shared" si="23"/>
        <v/>
      </c>
      <c r="AD12" s="8" t="str">
        <f t="shared" si="23"/>
        <v/>
      </c>
      <c r="AE12" s="8" t="str">
        <f t="shared" si="23"/>
        <v/>
      </c>
      <c r="AF12" s="8"/>
      <c r="AG12" s="8"/>
      <c r="AH12" s="41" t="str">
        <f t="shared" ref="AH12:AM12" si="24">Z12</f>
        <v/>
      </c>
      <c r="AI12" s="8" t="str">
        <f t="shared" si="24"/>
        <v/>
      </c>
      <c r="AJ12" s="8" t="str">
        <f t="shared" si="24"/>
        <v/>
      </c>
      <c r="AK12" s="8" t="str">
        <f t="shared" si="24"/>
        <v/>
      </c>
      <c r="AL12" s="8" t="str">
        <f t="shared" si="24"/>
        <v/>
      </c>
      <c r="AM12" s="8" t="str">
        <f t="shared" si="24"/>
        <v/>
      </c>
      <c r="AN12" s="8"/>
      <c r="AO12" s="8"/>
      <c r="AP12" s="41" t="str">
        <f t="shared" ref="AP12:AU12" si="25">AH12</f>
        <v/>
      </c>
      <c r="AQ12" s="8" t="str">
        <f t="shared" si="25"/>
        <v/>
      </c>
      <c r="AR12" s="8" t="str">
        <f t="shared" si="25"/>
        <v/>
      </c>
      <c r="AS12" s="8" t="str">
        <f t="shared" si="25"/>
        <v/>
      </c>
      <c r="AT12" s="8" t="str">
        <f t="shared" si="25"/>
        <v/>
      </c>
      <c r="AU12" s="8" t="str">
        <f t="shared" si="25"/>
        <v/>
      </c>
      <c r="AV12" s="8"/>
      <c r="AW12" s="8"/>
      <c r="AX12" s="41" t="str">
        <f t="shared" ref="AX12:BC12" si="26">AP12</f>
        <v/>
      </c>
      <c r="AY12" s="8" t="str">
        <f t="shared" si="26"/>
        <v/>
      </c>
      <c r="AZ12" s="8" t="str">
        <f t="shared" si="26"/>
        <v/>
      </c>
      <c r="BA12" s="8" t="str">
        <f t="shared" si="26"/>
        <v/>
      </c>
      <c r="BB12" s="8" t="str">
        <f t="shared" si="26"/>
        <v/>
      </c>
      <c r="BC12" s="8" t="str">
        <f t="shared" si="26"/>
        <v/>
      </c>
      <c r="BD12" s="8"/>
      <c r="BE12" s="8"/>
      <c r="BF12" s="41" t="str">
        <f t="shared" ref="BF12:BK12" si="27">AX12</f>
        <v/>
      </c>
      <c r="BG12" s="8" t="str">
        <f t="shared" si="27"/>
        <v/>
      </c>
      <c r="BH12" s="8" t="str">
        <f t="shared" si="27"/>
        <v/>
      </c>
      <c r="BI12" s="8" t="str">
        <f t="shared" si="27"/>
        <v/>
      </c>
      <c r="BJ12" s="8" t="str">
        <f t="shared" si="27"/>
        <v/>
      </c>
      <c r="BK12" s="8" t="str">
        <f t="shared" si="27"/>
        <v/>
      </c>
      <c r="BL12" s="8"/>
      <c r="BM12" s="8"/>
      <c r="BN12" s="41" t="str">
        <f t="shared" ref="BN12:BS12" si="28">BF12</f>
        <v/>
      </c>
      <c r="BO12" s="8" t="str">
        <f t="shared" si="28"/>
        <v/>
      </c>
      <c r="BP12" s="8" t="str">
        <f t="shared" si="28"/>
        <v/>
      </c>
      <c r="BQ12" s="8" t="str">
        <f t="shared" si="28"/>
        <v/>
      </c>
      <c r="BR12" s="8" t="str">
        <f t="shared" si="28"/>
        <v/>
      </c>
      <c r="BS12" s="8" t="str">
        <f t="shared" si="28"/>
        <v/>
      </c>
      <c r="BT12" s="8"/>
      <c r="BU12" s="8"/>
      <c r="BV12" s="41" t="str">
        <f t="shared" ref="BV12:CA12" si="29">BN12</f>
        <v/>
      </c>
      <c r="BW12" s="8" t="str">
        <f t="shared" si="29"/>
        <v/>
      </c>
      <c r="BX12" s="8" t="str">
        <f t="shared" si="29"/>
        <v/>
      </c>
      <c r="BY12" s="8" t="str">
        <f t="shared" si="29"/>
        <v/>
      </c>
      <c r="BZ12" s="8" t="str">
        <f t="shared" si="29"/>
        <v/>
      </c>
      <c r="CA12" s="8" t="str">
        <f t="shared" si="29"/>
        <v/>
      </c>
      <c r="CB12" s="8"/>
      <c r="CC12" s="8"/>
      <c r="CD12" s="41" t="str">
        <f t="shared" ref="CD12:CI12" si="30">BV12</f>
        <v/>
      </c>
      <c r="CE12" s="8" t="str">
        <f t="shared" si="30"/>
        <v/>
      </c>
      <c r="CF12" s="8" t="str">
        <f t="shared" si="30"/>
        <v/>
      </c>
      <c r="CG12" s="8" t="str">
        <f t="shared" si="30"/>
        <v/>
      </c>
      <c r="CH12" s="8" t="str">
        <f t="shared" si="30"/>
        <v/>
      </c>
      <c r="CI12" s="8" t="str">
        <f t="shared" si="30"/>
        <v/>
      </c>
      <c r="CJ12" s="8"/>
      <c r="CK12" s="8"/>
      <c r="CL12" s="41" t="str">
        <f t="shared" ref="CL12:CQ12" si="31">CD12</f>
        <v/>
      </c>
      <c r="CM12" s="8" t="str">
        <f t="shared" si="31"/>
        <v/>
      </c>
      <c r="CN12" s="8" t="str">
        <f t="shared" si="31"/>
        <v/>
      </c>
      <c r="CO12" s="8" t="str">
        <f t="shared" si="31"/>
        <v/>
      </c>
      <c r="CP12" s="8" t="str">
        <f t="shared" si="31"/>
        <v/>
      </c>
      <c r="CQ12" s="8" t="str">
        <f t="shared" si="31"/>
        <v/>
      </c>
      <c r="CR12" s="8"/>
      <c r="CS12" s="8"/>
      <c r="CT12" s="41" t="str">
        <f t="shared" ref="CT12:CY12" si="32">CL12</f>
        <v/>
      </c>
      <c r="CU12" s="8" t="str">
        <f t="shared" si="32"/>
        <v/>
      </c>
      <c r="CV12" s="8" t="str">
        <f t="shared" si="32"/>
        <v/>
      </c>
      <c r="CW12" s="8" t="str">
        <f t="shared" si="32"/>
        <v/>
      </c>
      <c r="CX12" s="8" t="str">
        <f t="shared" si="32"/>
        <v/>
      </c>
      <c r="CY12" s="8" t="str">
        <f t="shared" si="32"/>
        <v/>
      </c>
      <c r="CZ12" s="8"/>
      <c r="DA12" s="8"/>
      <c r="DB12" s="41" t="str">
        <f t="shared" ref="DB12:DG12" si="33">CT12</f>
        <v/>
      </c>
      <c r="DC12" s="8" t="str">
        <f t="shared" si="33"/>
        <v/>
      </c>
      <c r="DD12" s="8" t="str">
        <f t="shared" si="33"/>
        <v/>
      </c>
      <c r="DE12" s="8" t="str">
        <f t="shared" si="33"/>
        <v/>
      </c>
      <c r="DF12" s="8" t="str">
        <f t="shared" si="33"/>
        <v/>
      </c>
      <c r="DG12" s="8" t="str">
        <f t="shared" si="33"/>
        <v/>
      </c>
      <c r="DH12" s="8"/>
      <c r="DI12" s="8"/>
      <c r="DJ12" s="41" t="str">
        <f t="shared" ref="DJ12:DO12" si="34">DB12</f>
        <v/>
      </c>
      <c r="DK12" s="8" t="str">
        <f t="shared" si="34"/>
        <v/>
      </c>
      <c r="DL12" s="8" t="str">
        <f t="shared" si="34"/>
        <v/>
      </c>
      <c r="DM12" s="8" t="str">
        <f t="shared" si="34"/>
        <v/>
      </c>
      <c r="DN12" s="8" t="str">
        <f t="shared" si="34"/>
        <v/>
      </c>
      <c r="DO12" s="8" t="str">
        <f t="shared" si="34"/>
        <v/>
      </c>
      <c r="DP12" s="8"/>
      <c r="DQ12" s="8"/>
      <c r="DR12" s="41" t="str">
        <f t="shared" ref="DR12:DW12" si="35">DJ12</f>
        <v/>
      </c>
      <c r="DS12" s="8" t="str">
        <f t="shared" si="35"/>
        <v/>
      </c>
      <c r="DT12" s="8" t="str">
        <f t="shared" si="35"/>
        <v/>
      </c>
      <c r="DU12" s="8" t="str">
        <f t="shared" si="35"/>
        <v/>
      </c>
      <c r="DV12" s="8" t="str">
        <f t="shared" si="35"/>
        <v/>
      </c>
      <c r="DW12" s="8" t="str">
        <f t="shared" si="35"/>
        <v/>
      </c>
      <c r="DX12" s="8"/>
      <c r="DY12" s="8"/>
      <c r="DZ12" s="41" t="str">
        <f t="shared" ref="DZ12:EE12" si="36">DR12</f>
        <v/>
      </c>
      <c r="EA12" s="8" t="str">
        <f t="shared" si="36"/>
        <v/>
      </c>
      <c r="EB12" s="8" t="str">
        <f t="shared" si="36"/>
        <v/>
      </c>
      <c r="EC12" s="8" t="str">
        <f t="shared" si="36"/>
        <v/>
      </c>
      <c r="ED12" s="8" t="str">
        <f t="shared" si="36"/>
        <v/>
      </c>
      <c r="EE12" s="8" t="str">
        <f t="shared" si="36"/>
        <v/>
      </c>
      <c r="EF12" s="8"/>
      <c r="EG12" s="8"/>
      <c r="EH12" s="41" t="str">
        <f t="shared" ref="EH12:EM12" si="37">DZ12</f>
        <v/>
      </c>
      <c r="EI12" s="8" t="str">
        <f t="shared" si="37"/>
        <v/>
      </c>
      <c r="EJ12" s="8" t="str">
        <f t="shared" si="37"/>
        <v/>
      </c>
      <c r="EK12" s="8" t="str">
        <f t="shared" si="37"/>
        <v/>
      </c>
      <c r="EL12" s="8" t="str">
        <f t="shared" si="37"/>
        <v/>
      </c>
      <c r="EM12" s="8" t="str">
        <f t="shared" si="37"/>
        <v/>
      </c>
      <c r="EN12" s="8"/>
      <c r="EO12" s="8"/>
      <c r="EP12" s="41" t="str">
        <f t="shared" ref="EP12:EU12" si="38">EH12</f>
        <v/>
      </c>
      <c r="EQ12" s="8" t="str">
        <f t="shared" si="38"/>
        <v/>
      </c>
      <c r="ER12" s="8" t="str">
        <f t="shared" si="38"/>
        <v/>
      </c>
      <c r="ES12" s="8" t="str">
        <f t="shared" si="38"/>
        <v/>
      </c>
      <c r="ET12" s="8" t="str">
        <f t="shared" si="38"/>
        <v/>
      </c>
      <c r="EU12" s="8" t="str">
        <f t="shared" si="38"/>
        <v/>
      </c>
      <c r="EV12" s="8"/>
      <c r="EW12" s="8"/>
      <c r="EX12" s="41" t="str">
        <f t="shared" ref="EX12:FC12" si="39">EP12</f>
        <v/>
      </c>
      <c r="EY12" s="8" t="str">
        <f t="shared" si="39"/>
        <v/>
      </c>
      <c r="EZ12" s="8" t="str">
        <f t="shared" si="39"/>
        <v/>
      </c>
      <c r="FA12" s="8" t="str">
        <f t="shared" si="39"/>
        <v/>
      </c>
      <c r="FB12" s="8" t="str">
        <f t="shared" si="39"/>
        <v/>
      </c>
      <c r="FC12" s="8" t="str">
        <f t="shared" si="39"/>
        <v/>
      </c>
      <c r="FD12" s="8"/>
      <c r="FE12" s="8"/>
      <c r="FF12" s="41" t="str">
        <f t="shared" ref="FF12:FK12" si="40">EX12</f>
        <v/>
      </c>
      <c r="FG12" s="8" t="str">
        <f t="shared" si="40"/>
        <v/>
      </c>
      <c r="FH12" s="8" t="str">
        <f t="shared" si="40"/>
        <v/>
      </c>
      <c r="FI12" s="8" t="str">
        <f t="shared" si="40"/>
        <v/>
      </c>
      <c r="FJ12" s="8" t="str">
        <f t="shared" si="40"/>
        <v/>
      </c>
      <c r="FK12" s="8" t="str">
        <f t="shared" si="40"/>
        <v/>
      </c>
      <c r="FL12" s="8"/>
      <c r="FM12" s="8"/>
    </row>
    <row r="13">
      <c r="A13" s="42"/>
      <c r="B13" s="41"/>
      <c r="C13" s="8"/>
      <c r="D13" s="8"/>
      <c r="E13" s="8"/>
      <c r="F13" s="8"/>
      <c r="G13" s="8"/>
      <c r="H13" s="8"/>
      <c r="I13" s="8"/>
      <c r="J13" s="41" t="str">
        <f t="shared" ref="J13:O13" si="41">B13</f>
        <v/>
      </c>
      <c r="K13" s="8" t="str">
        <f t="shared" si="41"/>
        <v/>
      </c>
      <c r="L13" s="8" t="str">
        <f t="shared" si="41"/>
        <v/>
      </c>
      <c r="M13" s="8" t="str">
        <f t="shared" si="41"/>
        <v/>
      </c>
      <c r="N13" s="8" t="str">
        <f t="shared" si="41"/>
        <v/>
      </c>
      <c r="O13" s="8" t="str">
        <f t="shared" si="41"/>
        <v/>
      </c>
      <c r="P13" s="8"/>
      <c r="Q13" s="8"/>
      <c r="R13" s="41" t="str">
        <f t="shared" ref="R13:W13" si="42">J13</f>
        <v/>
      </c>
      <c r="S13" s="8" t="str">
        <f t="shared" si="42"/>
        <v/>
      </c>
      <c r="T13" s="8" t="str">
        <f t="shared" si="42"/>
        <v/>
      </c>
      <c r="U13" s="8" t="str">
        <f t="shared" si="42"/>
        <v/>
      </c>
      <c r="V13" s="8" t="str">
        <f t="shared" si="42"/>
        <v/>
      </c>
      <c r="W13" s="8" t="str">
        <f t="shared" si="42"/>
        <v/>
      </c>
      <c r="X13" s="8"/>
      <c r="Y13" s="8"/>
      <c r="Z13" s="41" t="str">
        <f t="shared" ref="Z13:AE13" si="43">R13</f>
        <v/>
      </c>
      <c r="AA13" s="8" t="str">
        <f t="shared" si="43"/>
        <v/>
      </c>
      <c r="AB13" s="8" t="str">
        <f t="shared" si="43"/>
        <v/>
      </c>
      <c r="AC13" s="8" t="str">
        <f t="shared" si="43"/>
        <v/>
      </c>
      <c r="AD13" s="8" t="str">
        <f t="shared" si="43"/>
        <v/>
      </c>
      <c r="AE13" s="8" t="str">
        <f t="shared" si="43"/>
        <v/>
      </c>
      <c r="AF13" s="8"/>
      <c r="AG13" s="8"/>
      <c r="AH13" s="41" t="str">
        <f t="shared" ref="AH13:AM13" si="44">Z13</f>
        <v/>
      </c>
      <c r="AI13" s="8" t="str">
        <f t="shared" si="44"/>
        <v/>
      </c>
      <c r="AJ13" s="8" t="str">
        <f t="shared" si="44"/>
        <v/>
      </c>
      <c r="AK13" s="8" t="str">
        <f t="shared" si="44"/>
        <v/>
      </c>
      <c r="AL13" s="8" t="str">
        <f t="shared" si="44"/>
        <v/>
      </c>
      <c r="AM13" s="8" t="str">
        <f t="shared" si="44"/>
        <v/>
      </c>
      <c r="AN13" s="8"/>
      <c r="AO13" s="8"/>
      <c r="AP13" s="41" t="str">
        <f t="shared" ref="AP13:AU13" si="45">AH13</f>
        <v/>
      </c>
      <c r="AQ13" s="8" t="str">
        <f t="shared" si="45"/>
        <v/>
      </c>
      <c r="AR13" s="8" t="str">
        <f t="shared" si="45"/>
        <v/>
      </c>
      <c r="AS13" s="8" t="str">
        <f t="shared" si="45"/>
        <v/>
      </c>
      <c r="AT13" s="8" t="str">
        <f t="shared" si="45"/>
        <v/>
      </c>
      <c r="AU13" s="8" t="str">
        <f t="shared" si="45"/>
        <v/>
      </c>
      <c r="AV13" s="8"/>
      <c r="AW13" s="8"/>
      <c r="AX13" s="41" t="str">
        <f t="shared" ref="AX13:BC13" si="46">AP13</f>
        <v/>
      </c>
      <c r="AY13" s="8" t="str">
        <f t="shared" si="46"/>
        <v/>
      </c>
      <c r="AZ13" s="8" t="str">
        <f t="shared" si="46"/>
        <v/>
      </c>
      <c r="BA13" s="8" t="str">
        <f t="shared" si="46"/>
        <v/>
      </c>
      <c r="BB13" s="8" t="str">
        <f t="shared" si="46"/>
        <v/>
      </c>
      <c r="BC13" s="8" t="str">
        <f t="shared" si="46"/>
        <v/>
      </c>
      <c r="BD13" s="8"/>
      <c r="BE13" s="8"/>
      <c r="BF13" s="41" t="str">
        <f t="shared" ref="BF13:BK13" si="47">AX13</f>
        <v/>
      </c>
      <c r="BG13" s="8" t="str">
        <f t="shared" si="47"/>
        <v/>
      </c>
      <c r="BH13" s="8" t="str">
        <f t="shared" si="47"/>
        <v/>
      </c>
      <c r="BI13" s="8" t="str">
        <f t="shared" si="47"/>
        <v/>
      </c>
      <c r="BJ13" s="8" t="str">
        <f t="shared" si="47"/>
        <v/>
      </c>
      <c r="BK13" s="8" t="str">
        <f t="shared" si="47"/>
        <v/>
      </c>
      <c r="BL13" s="8"/>
      <c r="BM13" s="8"/>
      <c r="BN13" s="41" t="str">
        <f t="shared" ref="BN13:BS13" si="48">BF13</f>
        <v/>
      </c>
      <c r="BO13" s="8" t="str">
        <f t="shared" si="48"/>
        <v/>
      </c>
      <c r="BP13" s="8" t="str">
        <f t="shared" si="48"/>
        <v/>
      </c>
      <c r="BQ13" s="8" t="str">
        <f t="shared" si="48"/>
        <v/>
      </c>
      <c r="BR13" s="8" t="str">
        <f t="shared" si="48"/>
        <v/>
      </c>
      <c r="BS13" s="8" t="str">
        <f t="shared" si="48"/>
        <v/>
      </c>
      <c r="BT13" s="8"/>
      <c r="BU13" s="8"/>
      <c r="BV13" s="41" t="str">
        <f t="shared" ref="BV13:CA13" si="49">BN13</f>
        <v/>
      </c>
      <c r="BW13" s="8" t="str">
        <f t="shared" si="49"/>
        <v/>
      </c>
      <c r="BX13" s="8" t="str">
        <f t="shared" si="49"/>
        <v/>
      </c>
      <c r="BY13" s="8" t="str">
        <f t="shared" si="49"/>
        <v/>
      </c>
      <c r="BZ13" s="8" t="str">
        <f t="shared" si="49"/>
        <v/>
      </c>
      <c r="CA13" s="8" t="str">
        <f t="shared" si="49"/>
        <v/>
      </c>
      <c r="CB13" s="8"/>
      <c r="CC13" s="8"/>
      <c r="CD13" s="41" t="str">
        <f t="shared" ref="CD13:CI13" si="50">BV13</f>
        <v/>
      </c>
      <c r="CE13" s="8" t="str">
        <f t="shared" si="50"/>
        <v/>
      </c>
      <c r="CF13" s="8" t="str">
        <f t="shared" si="50"/>
        <v/>
      </c>
      <c r="CG13" s="8" t="str">
        <f t="shared" si="50"/>
        <v/>
      </c>
      <c r="CH13" s="8" t="str">
        <f t="shared" si="50"/>
        <v/>
      </c>
      <c r="CI13" s="8" t="str">
        <f t="shared" si="50"/>
        <v/>
      </c>
      <c r="CJ13" s="8"/>
      <c r="CK13" s="8"/>
      <c r="CL13" s="41" t="str">
        <f t="shared" ref="CL13:CQ13" si="51">CD13</f>
        <v/>
      </c>
      <c r="CM13" s="8" t="str">
        <f t="shared" si="51"/>
        <v/>
      </c>
      <c r="CN13" s="8" t="str">
        <f t="shared" si="51"/>
        <v/>
      </c>
      <c r="CO13" s="8" t="str">
        <f t="shared" si="51"/>
        <v/>
      </c>
      <c r="CP13" s="8" t="str">
        <f t="shared" si="51"/>
        <v/>
      </c>
      <c r="CQ13" s="8" t="str">
        <f t="shared" si="51"/>
        <v/>
      </c>
      <c r="CR13" s="8"/>
      <c r="CS13" s="8"/>
      <c r="CT13" s="41" t="str">
        <f t="shared" ref="CT13:CY13" si="52">CL13</f>
        <v/>
      </c>
      <c r="CU13" s="8" t="str">
        <f t="shared" si="52"/>
        <v/>
      </c>
      <c r="CV13" s="8" t="str">
        <f t="shared" si="52"/>
        <v/>
      </c>
      <c r="CW13" s="8" t="str">
        <f t="shared" si="52"/>
        <v/>
      </c>
      <c r="CX13" s="8" t="str">
        <f t="shared" si="52"/>
        <v/>
      </c>
      <c r="CY13" s="8" t="str">
        <f t="shared" si="52"/>
        <v/>
      </c>
      <c r="CZ13" s="8"/>
      <c r="DA13" s="8"/>
      <c r="DB13" s="41" t="str">
        <f t="shared" ref="DB13:DG13" si="53">CT13</f>
        <v/>
      </c>
      <c r="DC13" s="8" t="str">
        <f t="shared" si="53"/>
        <v/>
      </c>
      <c r="DD13" s="8" t="str">
        <f t="shared" si="53"/>
        <v/>
      </c>
      <c r="DE13" s="8" t="str">
        <f t="shared" si="53"/>
        <v/>
      </c>
      <c r="DF13" s="8" t="str">
        <f t="shared" si="53"/>
        <v/>
      </c>
      <c r="DG13" s="8" t="str">
        <f t="shared" si="53"/>
        <v/>
      </c>
      <c r="DH13" s="8"/>
      <c r="DI13" s="8"/>
      <c r="DJ13" s="41" t="str">
        <f t="shared" ref="DJ13:DO13" si="54">DB13</f>
        <v/>
      </c>
      <c r="DK13" s="8" t="str">
        <f t="shared" si="54"/>
        <v/>
      </c>
      <c r="DL13" s="8" t="str">
        <f t="shared" si="54"/>
        <v/>
      </c>
      <c r="DM13" s="8" t="str">
        <f t="shared" si="54"/>
        <v/>
      </c>
      <c r="DN13" s="8" t="str">
        <f t="shared" si="54"/>
        <v/>
      </c>
      <c r="DO13" s="8" t="str">
        <f t="shared" si="54"/>
        <v/>
      </c>
      <c r="DP13" s="8"/>
      <c r="DQ13" s="8"/>
      <c r="DR13" s="41" t="str">
        <f t="shared" ref="DR13:DW13" si="55">DJ13</f>
        <v/>
      </c>
      <c r="DS13" s="8" t="str">
        <f t="shared" si="55"/>
        <v/>
      </c>
      <c r="DT13" s="8" t="str">
        <f t="shared" si="55"/>
        <v/>
      </c>
      <c r="DU13" s="8" t="str">
        <f t="shared" si="55"/>
        <v/>
      </c>
      <c r="DV13" s="8" t="str">
        <f t="shared" si="55"/>
        <v/>
      </c>
      <c r="DW13" s="8" t="str">
        <f t="shared" si="55"/>
        <v/>
      </c>
      <c r="DX13" s="8"/>
      <c r="DY13" s="8"/>
      <c r="DZ13" s="41" t="str">
        <f t="shared" ref="DZ13:EE13" si="56">DR13</f>
        <v/>
      </c>
      <c r="EA13" s="8" t="str">
        <f t="shared" si="56"/>
        <v/>
      </c>
      <c r="EB13" s="8" t="str">
        <f t="shared" si="56"/>
        <v/>
      </c>
      <c r="EC13" s="8" t="str">
        <f t="shared" si="56"/>
        <v/>
      </c>
      <c r="ED13" s="8" t="str">
        <f t="shared" si="56"/>
        <v/>
      </c>
      <c r="EE13" s="8" t="str">
        <f t="shared" si="56"/>
        <v/>
      </c>
      <c r="EF13" s="8"/>
      <c r="EG13" s="8"/>
      <c r="EH13" s="41" t="str">
        <f t="shared" ref="EH13:EM13" si="57">DZ13</f>
        <v/>
      </c>
      <c r="EI13" s="8" t="str">
        <f t="shared" si="57"/>
        <v/>
      </c>
      <c r="EJ13" s="8" t="str">
        <f t="shared" si="57"/>
        <v/>
      </c>
      <c r="EK13" s="8" t="str">
        <f t="shared" si="57"/>
        <v/>
      </c>
      <c r="EL13" s="8" t="str">
        <f t="shared" si="57"/>
        <v/>
      </c>
      <c r="EM13" s="8" t="str">
        <f t="shared" si="57"/>
        <v/>
      </c>
      <c r="EN13" s="8"/>
      <c r="EO13" s="8"/>
      <c r="EP13" s="41" t="str">
        <f t="shared" ref="EP13:EU13" si="58">EH13</f>
        <v/>
      </c>
      <c r="EQ13" s="8" t="str">
        <f t="shared" si="58"/>
        <v/>
      </c>
      <c r="ER13" s="8" t="str">
        <f t="shared" si="58"/>
        <v/>
      </c>
      <c r="ES13" s="8" t="str">
        <f t="shared" si="58"/>
        <v/>
      </c>
      <c r="ET13" s="8" t="str">
        <f t="shared" si="58"/>
        <v/>
      </c>
      <c r="EU13" s="8" t="str">
        <f t="shared" si="58"/>
        <v/>
      </c>
      <c r="EV13" s="8"/>
      <c r="EW13" s="8"/>
      <c r="EX13" s="41" t="str">
        <f t="shared" ref="EX13:FC13" si="59">EP13</f>
        <v/>
      </c>
      <c r="EY13" s="8" t="str">
        <f t="shared" si="59"/>
        <v/>
      </c>
      <c r="EZ13" s="8" t="str">
        <f t="shared" si="59"/>
        <v/>
      </c>
      <c r="FA13" s="8" t="str">
        <f t="shared" si="59"/>
        <v/>
      </c>
      <c r="FB13" s="8" t="str">
        <f t="shared" si="59"/>
        <v/>
      </c>
      <c r="FC13" s="8" t="str">
        <f t="shared" si="59"/>
        <v/>
      </c>
      <c r="FD13" s="8"/>
      <c r="FE13" s="8"/>
      <c r="FF13" s="41" t="str">
        <f t="shared" ref="FF13:FK13" si="60">EX13</f>
        <v/>
      </c>
      <c r="FG13" s="8" t="str">
        <f t="shared" si="60"/>
        <v/>
      </c>
      <c r="FH13" s="8" t="str">
        <f t="shared" si="60"/>
        <v/>
      </c>
      <c r="FI13" s="8" t="str">
        <f t="shared" si="60"/>
        <v/>
      </c>
      <c r="FJ13" s="8" t="str">
        <f t="shared" si="60"/>
        <v/>
      </c>
      <c r="FK13" s="8" t="str">
        <f t="shared" si="60"/>
        <v/>
      </c>
      <c r="FL13" s="8"/>
      <c r="FM13" s="8"/>
    </row>
    <row r="14">
      <c r="A14" s="43"/>
      <c r="B14" s="44"/>
      <c r="C14" s="45"/>
      <c r="D14" s="45"/>
      <c r="E14" s="45"/>
      <c r="F14" s="45"/>
      <c r="G14" s="45"/>
      <c r="H14" s="45"/>
      <c r="I14" s="45"/>
      <c r="J14" s="44" t="str">
        <f t="shared" ref="J14:O14" si="61">B14</f>
        <v/>
      </c>
      <c r="K14" s="45" t="str">
        <f t="shared" si="61"/>
        <v/>
      </c>
      <c r="L14" s="45" t="str">
        <f t="shared" si="61"/>
        <v/>
      </c>
      <c r="M14" s="45" t="str">
        <f t="shared" si="61"/>
        <v/>
      </c>
      <c r="N14" s="45" t="str">
        <f t="shared" si="61"/>
        <v/>
      </c>
      <c r="O14" s="45" t="str">
        <f t="shared" si="61"/>
        <v/>
      </c>
      <c r="P14" s="45"/>
      <c r="Q14" s="45"/>
      <c r="R14" s="44" t="str">
        <f t="shared" ref="R14:W14" si="62">J14</f>
        <v/>
      </c>
      <c r="S14" s="45" t="str">
        <f t="shared" si="62"/>
        <v/>
      </c>
      <c r="T14" s="45" t="str">
        <f t="shared" si="62"/>
        <v/>
      </c>
      <c r="U14" s="45" t="str">
        <f t="shared" si="62"/>
        <v/>
      </c>
      <c r="V14" s="45" t="str">
        <f t="shared" si="62"/>
        <v/>
      </c>
      <c r="W14" s="45" t="str">
        <f t="shared" si="62"/>
        <v/>
      </c>
      <c r="X14" s="45"/>
      <c r="Y14" s="45"/>
      <c r="Z14" s="44" t="str">
        <f t="shared" ref="Z14:AE14" si="63">R14</f>
        <v/>
      </c>
      <c r="AA14" s="45" t="str">
        <f t="shared" si="63"/>
        <v/>
      </c>
      <c r="AB14" s="45" t="str">
        <f t="shared" si="63"/>
        <v/>
      </c>
      <c r="AC14" s="45" t="str">
        <f t="shared" si="63"/>
        <v/>
      </c>
      <c r="AD14" s="45" t="str">
        <f t="shared" si="63"/>
        <v/>
      </c>
      <c r="AE14" s="45" t="str">
        <f t="shared" si="63"/>
        <v/>
      </c>
      <c r="AF14" s="45"/>
      <c r="AG14" s="45"/>
      <c r="AH14" s="44" t="str">
        <f t="shared" ref="AH14:AM14" si="64">Z14</f>
        <v/>
      </c>
      <c r="AI14" s="45" t="str">
        <f t="shared" si="64"/>
        <v/>
      </c>
      <c r="AJ14" s="45" t="str">
        <f t="shared" si="64"/>
        <v/>
      </c>
      <c r="AK14" s="45" t="str">
        <f t="shared" si="64"/>
        <v/>
      </c>
      <c r="AL14" s="45" t="str">
        <f t="shared" si="64"/>
        <v/>
      </c>
      <c r="AM14" s="45" t="str">
        <f t="shared" si="64"/>
        <v/>
      </c>
      <c r="AN14" s="45"/>
      <c r="AO14" s="45"/>
      <c r="AP14" s="44" t="str">
        <f t="shared" ref="AP14:AU14" si="65">AH14</f>
        <v/>
      </c>
      <c r="AQ14" s="45" t="str">
        <f t="shared" si="65"/>
        <v/>
      </c>
      <c r="AR14" s="45" t="str">
        <f t="shared" si="65"/>
        <v/>
      </c>
      <c r="AS14" s="45" t="str">
        <f t="shared" si="65"/>
        <v/>
      </c>
      <c r="AT14" s="45" t="str">
        <f t="shared" si="65"/>
        <v/>
      </c>
      <c r="AU14" s="45" t="str">
        <f t="shared" si="65"/>
        <v/>
      </c>
      <c r="AV14" s="45"/>
      <c r="AW14" s="45"/>
      <c r="AX14" s="44" t="str">
        <f t="shared" ref="AX14:BC14" si="66">AP14</f>
        <v/>
      </c>
      <c r="AY14" s="45" t="str">
        <f t="shared" si="66"/>
        <v/>
      </c>
      <c r="AZ14" s="45" t="str">
        <f t="shared" si="66"/>
        <v/>
      </c>
      <c r="BA14" s="45" t="str">
        <f t="shared" si="66"/>
        <v/>
      </c>
      <c r="BB14" s="45" t="str">
        <f t="shared" si="66"/>
        <v/>
      </c>
      <c r="BC14" s="45" t="str">
        <f t="shared" si="66"/>
        <v/>
      </c>
      <c r="BD14" s="45"/>
      <c r="BE14" s="45"/>
      <c r="BF14" s="44" t="str">
        <f t="shared" ref="BF14:BK14" si="67">AX14</f>
        <v/>
      </c>
      <c r="BG14" s="45" t="str">
        <f t="shared" si="67"/>
        <v/>
      </c>
      <c r="BH14" s="45" t="str">
        <f t="shared" si="67"/>
        <v/>
      </c>
      <c r="BI14" s="45" t="str">
        <f t="shared" si="67"/>
        <v/>
      </c>
      <c r="BJ14" s="45" t="str">
        <f t="shared" si="67"/>
        <v/>
      </c>
      <c r="BK14" s="45" t="str">
        <f t="shared" si="67"/>
        <v/>
      </c>
      <c r="BL14" s="45"/>
      <c r="BM14" s="45"/>
      <c r="BN14" s="44" t="str">
        <f t="shared" ref="BN14:BS14" si="68">BF14</f>
        <v/>
      </c>
      <c r="BO14" s="45" t="str">
        <f t="shared" si="68"/>
        <v/>
      </c>
      <c r="BP14" s="45" t="str">
        <f t="shared" si="68"/>
        <v/>
      </c>
      <c r="BQ14" s="45" t="str">
        <f t="shared" si="68"/>
        <v/>
      </c>
      <c r="BR14" s="45" t="str">
        <f t="shared" si="68"/>
        <v/>
      </c>
      <c r="BS14" s="45" t="str">
        <f t="shared" si="68"/>
        <v/>
      </c>
      <c r="BT14" s="45"/>
      <c r="BU14" s="45"/>
      <c r="BV14" s="44" t="str">
        <f t="shared" ref="BV14:CA14" si="69">BN14</f>
        <v/>
      </c>
      <c r="BW14" s="45" t="str">
        <f t="shared" si="69"/>
        <v/>
      </c>
      <c r="BX14" s="45" t="str">
        <f t="shared" si="69"/>
        <v/>
      </c>
      <c r="BY14" s="45" t="str">
        <f t="shared" si="69"/>
        <v/>
      </c>
      <c r="BZ14" s="45" t="str">
        <f t="shared" si="69"/>
        <v/>
      </c>
      <c r="CA14" s="45" t="str">
        <f t="shared" si="69"/>
        <v/>
      </c>
      <c r="CB14" s="45"/>
      <c r="CC14" s="45"/>
      <c r="CD14" s="44" t="str">
        <f t="shared" ref="CD14:CI14" si="70">BV14</f>
        <v/>
      </c>
      <c r="CE14" s="45" t="str">
        <f t="shared" si="70"/>
        <v/>
      </c>
      <c r="CF14" s="45" t="str">
        <f t="shared" si="70"/>
        <v/>
      </c>
      <c r="CG14" s="45" t="str">
        <f t="shared" si="70"/>
        <v/>
      </c>
      <c r="CH14" s="45" t="str">
        <f t="shared" si="70"/>
        <v/>
      </c>
      <c r="CI14" s="45" t="str">
        <f t="shared" si="70"/>
        <v/>
      </c>
      <c r="CJ14" s="45"/>
      <c r="CK14" s="45"/>
      <c r="CL14" s="44" t="str">
        <f t="shared" ref="CL14:CQ14" si="71">CD14</f>
        <v/>
      </c>
      <c r="CM14" s="45" t="str">
        <f t="shared" si="71"/>
        <v/>
      </c>
      <c r="CN14" s="45" t="str">
        <f t="shared" si="71"/>
        <v/>
      </c>
      <c r="CO14" s="45" t="str">
        <f t="shared" si="71"/>
        <v/>
      </c>
      <c r="CP14" s="45" t="str">
        <f t="shared" si="71"/>
        <v/>
      </c>
      <c r="CQ14" s="45" t="str">
        <f t="shared" si="71"/>
        <v/>
      </c>
      <c r="CR14" s="45"/>
      <c r="CS14" s="45"/>
      <c r="CT14" s="44" t="str">
        <f t="shared" ref="CT14:CY14" si="72">CL14</f>
        <v/>
      </c>
      <c r="CU14" s="45" t="str">
        <f t="shared" si="72"/>
        <v/>
      </c>
      <c r="CV14" s="45" t="str">
        <f t="shared" si="72"/>
        <v/>
      </c>
      <c r="CW14" s="45" t="str">
        <f t="shared" si="72"/>
        <v/>
      </c>
      <c r="CX14" s="45" t="str">
        <f t="shared" si="72"/>
        <v/>
      </c>
      <c r="CY14" s="45" t="str">
        <f t="shared" si="72"/>
        <v/>
      </c>
      <c r="CZ14" s="45"/>
      <c r="DA14" s="45"/>
      <c r="DB14" s="44" t="str">
        <f t="shared" ref="DB14:DG14" si="73">CT14</f>
        <v/>
      </c>
      <c r="DC14" s="45" t="str">
        <f t="shared" si="73"/>
        <v/>
      </c>
      <c r="DD14" s="45" t="str">
        <f t="shared" si="73"/>
        <v/>
      </c>
      <c r="DE14" s="45" t="str">
        <f t="shared" si="73"/>
        <v/>
      </c>
      <c r="DF14" s="45" t="str">
        <f t="shared" si="73"/>
        <v/>
      </c>
      <c r="DG14" s="45" t="str">
        <f t="shared" si="73"/>
        <v/>
      </c>
      <c r="DH14" s="45"/>
      <c r="DI14" s="45"/>
      <c r="DJ14" s="44" t="str">
        <f t="shared" ref="DJ14:DO14" si="74">DB14</f>
        <v/>
      </c>
      <c r="DK14" s="45" t="str">
        <f t="shared" si="74"/>
        <v/>
      </c>
      <c r="DL14" s="45" t="str">
        <f t="shared" si="74"/>
        <v/>
      </c>
      <c r="DM14" s="45" t="str">
        <f t="shared" si="74"/>
        <v/>
      </c>
      <c r="DN14" s="45" t="str">
        <f t="shared" si="74"/>
        <v/>
      </c>
      <c r="DO14" s="45" t="str">
        <f t="shared" si="74"/>
        <v/>
      </c>
      <c r="DP14" s="45"/>
      <c r="DQ14" s="45"/>
      <c r="DR14" s="44" t="str">
        <f t="shared" ref="DR14:DW14" si="75">DJ14</f>
        <v/>
      </c>
      <c r="DS14" s="45" t="str">
        <f t="shared" si="75"/>
        <v/>
      </c>
      <c r="DT14" s="45" t="str">
        <f t="shared" si="75"/>
        <v/>
      </c>
      <c r="DU14" s="45" t="str">
        <f t="shared" si="75"/>
        <v/>
      </c>
      <c r="DV14" s="45" t="str">
        <f t="shared" si="75"/>
        <v/>
      </c>
      <c r="DW14" s="45" t="str">
        <f t="shared" si="75"/>
        <v/>
      </c>
      <c r="DX14" s="45"/>
      <c r="DY14" s="45"/>
      <c r="DZ14" s="44" t="str">
        <f t="shared" ref="DZ14:EE14" si="76">DR14</f>
        <v/>
      </c>
      <c r="EA14" s="45" t="str">
        <f t="shared" si="76"/>
        <v/>
      </c>
      <c r="EB14" s="45" t="str">
        <f t="shared" si="76"/>
        <v/>
      </c>
      <c r="EC14" s="45" t="str">
        <f t="shared" si="76"/>
        <v/>
      </c>
      <c r="ED14" s="45" t="str">
        <f t="shared" si="76"/>
        <v/>
      </c>
      <c r="EE14" s="45" t="str">
        <f t="shared" si="76"/>
        <v/>
      </c>
      <c r="EF14" s="45"/>
      <c r="EG14" s="45"/>
      <c r="EH14" s="44" t="str">
        <f t="shared" ref="EH14:EM14" si="77">DZ14</f>
        <v/>
      </c>
      <c r="EI14" s="45" t="str">
        <f t="shared" si="77"/>
        <v/>
      </c>
      <c r="EJ14" s="45" t="str">
        <f t="shared" si="77"/>
        <v/>
      </c>
      <c r="EK14" s="45" t="str">
        <f t="shared" si="77"/>
        <v/>
      </c>
      <c r="EL14" s="45" t="str">
        <f t="shared" si="77"/>
        <v/>
      </c>
      <c r="EM14" s="45" t="str">
        <f t="shared" si="77"/>
        <v/>
      </c>
      <c r="EN14" s="45"/>
      <c r="EO14" s="45"/>
      <c r="EP14" s="44" t="str">
        <f t="shared" ref="EP14:EU14" si="78">EH14</f>
        <v/>
      </c>
      <c r="EQ14" s="45" t="str">
        <f t="shared" si="78"/>
        <v/>
      </c>
      <c r="ER14" s="45" t="str">
        <f t="shared" si="78"/>
        <v/>
      </c>
      <c r="ES14" s="45" t="str">
        <f t="shared" si="78"/>
        <v/>
      </c>
      <c r="ET14" s="45" t="str">
        <f t="shared" si="78"/>
        <v/>
      </c>
      <c r="EU14" s="45" t="str">
        <f t="shared" si="78"/>
        <v/>
      </c>
      <c r="EV14" s="45"/>
      <c r="EW14" s="45"/>
      <c r="EX14" s="44" t="str">
        <f t="shared" ref="EX14:FC14" si="79">EP14</f>
        <v/>
      </c>
      <c r="EY14" s="45" t="str">
        <f t="shared" si="79"/>
        <v/>
      </c>
      <c r="EZ14" s="45" t="str">
        <f t="shared" si="79"/>
        <v/>
      </c>
      <c r="FA14" s="45" t="str">
        <f t="shared" si="79"/>
        <v/>
      </c>
      <c r="FB14" s="45" t="str">
        <f t="shared" si="79"/>
        <v/>
      </c>
      <c r="FC14" s="45" t="str">
        <f t="shared" si="79"/>
        <v/>
      </c>
      <c r="FD14" s="45"/>
      <c r="FE14" s="45"/>
      <c r="FF14" s="44" t="str">
        <f t="shared" ref="FF14:FK14" si="80">EX14</f>
        <v/>
      </c>
      <c r="FG14" s="45" t="str">
        <f t="shared" si="80"/>
        <v/>
      </c>
      <c r="FH14" s="45" t="str">
        <f t="shared" si="80"/>
        <v/>
      </c>
      <c r="FI14" s="45" t="str">
        <f t="shared" si="80"/>
        <v/>
      </c>
      <c r="FJ14" s="45" t="str">
        <f t="shared" si="80"/>
        <v/>
      </c>
      <c r="FK14" s="45" t="str">
        <f t="shared" si="80"/>
        <v/>
      </c>
      <c r="FL14" s="45"/>
      <c r="FM14" s="45"/>
    </row>
    <row r="15">
      <c r="A15" s="2"/>
      <c r="B15" s="40"/>
      <c r="C15" s="2"/>
      <c r="D15" s="2"/>
      <c r="E15" s="2"/>
      <c r="F15" s="2"/>
      <c r="G15" s="2"/>
      <c r="H15" s="2"/>
      <c r="I15" s="2"/>
      <c r="J15" s="40"/>
      <c r="K15" s="2"/>
      <c r="L15" s="2"/>
      <c r="M15" s="2"/>
      <c r="N15" s="2"/>
      <c r="O15" s="2"/>
      <c r="P15" s="2"/>
      <c r="Q15" s="2"/>
      <c r="R15" s="40"/>
      <c r="S15" s="2"/>
      <c r="T15" s="2"/>
      <c r="U15" s="2"/>
      <c r="V15" s="2"/>
      <c r="W15" s="2"/>
      <c r="X15" s="2"/>
      <c r="Y15" s="2"/>
      <c r="Z15" s="40"/>
      <c r="AA15" s="2"/>
      <c r="AB15" s="2"/>
      <c r="AC15" s="2"/>
      <c r="AD15" s="2"/>
      <c r="AE15" s="2"/>
      <c r="AF15" s="2"/>
      <c r="AG15" s="2"/>
      <c r="AH15" s="40"/>
      <c r="AI15" s="2"/>
      <c r="AJ15" s="2"/>
      <c r="AK15" s="2"/>
      <c r="AL15" s="2"/>
      <c r="AM15" s="2"/>
      <c r="AN15" s="2"/>
      <c r="AO15" s="2"/>
      <c r="AP15" s="40"/>
      <c r="AQ15" s="2"/>
      <c r="AR15" s="2"/>
      <c r="AS15" s="2"/>
      <c r="AT15" s="2"/>
      <c r="AU15" s="2"/>
      <c r="AV15" s="2"/>
      <c r="AW15" s="2"/>
      <c r="AX15" s="40"/>
      <c r="AY15" s="2"/>
      <c r="AZ15" s="2"/>
      <c r="BA15" s="2"/>
      <c r="BB15" s="2"/>
      <c r="BC15" s="2"/>
      <c r="BD15" s="2"/>
      <c r="BE15" s="2"/>
      <c r="BF15" s="40"/>
      <c r="BG15" s="2"/>
      <c r="BH15" s="2"/>
      <c r="BI15" s="2"/>
      <c r="BJ15" s="2"/>
      <c r="BK15" s="2"/>
      <c r="BL15" s="2"/>
      <c r="BM15" s="2"/>
      <c r="BN15" s="40"/>
      <c r="BO15" s="2"/>
      <c r="BP15" s="2"/>
      <c r="BQ15" s="2"/>
      <c r="BR15" s="2"/>
      <c r="BS15" s="2"/>
      <c r="BT15" s="2"/>
      <c r="BU15" s="2"/>
      <c r="BV15" s="40"/>
      <c r="BW15" s="2"/>
      <c r="BX15" s="2"/>
      <c r="BY15" s="2"/>
      <c r="BZ15" s="2"/>
      <c r="CA15" s="2"/>
      <c r="CB15" s="2"/>
      <c r="CC15" s="2"/>
      <c r="CD15" s="40"/>
      <c r="CE15" s="2"/>
      <c r="CF15" s="2"/>
      <c r="CG15" s="2"/>
      <c r="CH15" s="2"/>
      <c r="CI15" s="2"/>
      <c r="CJ15" s="2"/>
      <c r="CK15" s="2"/>
      <c r="CL15" s="40"/>
      <c r="CM15" s="2"/>
      <c r="CN15" s="2"/>
      <c r="CO15" s="2"/>
      <c r="CP15" s="2"/>
      <c r="CQ15" s="2"/>
      <c r="CR15" s="2"/>
      <c r="CS15" s="2"/>
      <c r="CT15" s="40"/>
      <c r="CU15" s="2"/>
      <c r="CV15" s="2"/>
      <c r="CW15" s="2"/>
      <c r="CX15" s="2"/>
      <c r="CY15" s="2"/>
      <c r="CZ15" s="2"/>
      <c r="DA15" s="2"/>
      <c r="DB15" s="40"/>
      <c r="DC15" s="2"/>
      <c r="DD15" s="2"/>
      <c r="DE15" s="2"/>
      <c r="DF15" s="2"/>
      <c r="DG15" s="2"/>
      <c r="DH15" s="2"/>
      <c r="DI15" s="2"/>
      <c r="DJ15" s="40"/>
      <c r="DK15" s="2"/>
      <c r="DL15" s="2"/>
      <c r="DM15" s="2"/>
      <c r="DN15" s="2"/>
      <c r="DO15" s="2"/>
      <c r="DP15" s="2"/>
      <c r="DQ15" s="2"/>
      <c r="DR15" s="40"/>
      <c r="DS15" s="2"/>
      <c r="DT15" s="2"/>
      <c r="DU15" s="2"/>
      <c r="DV15" s="2"/>
      <c r="DW15" s="2"/>
      <c r="DX15" s="2"/>
      <c r="DY15" s="2"/>
      <c r="DZ15" s="40"/>
      <c r="EA15" s="2"/>
      <c r="EB15" s="2"/>
      <c r="EC15" s="2"/>
      <c r="ED15" s="2"/>
      <c r="EE15" s="2"/>
      <c r="EF15" s="2"/>
      <c r="EG15" s="2"/>
      <c r="EH15" s="40"/>
      <c r="EI15" s="2"/>
      <c r="EJ15" s="2"/>
      <c r="EK15" s="2"/>
      <c r="EL15" s="2"/>
      <c r="EM15" s="2"/>
      <c r="EN15" s="2"/>
      <c r="EO15" s="2"/>
      <c r="EP15" s="40"/>
      <c r="EQ15" s="2"/>
      <c r="ER15" s="2"/>
      <c r="ES15" s="2"/>
      <c r="ET15" s="2"/>
      <c r="EU15" s="2"/>
      <c r="EV15" s="2"/>
      <c r="EW15" s="2"/>
      <c r="EX15" s="40"/>
      <c r="EY15" s="2"/>
      <c r="EZ15" s="2"/>
      <c r="FA15" s="2"/>
      <c r="FB15" s="2"/>
      <c r="FC15" s="2"/>
      <c r="FD15" s="2"/>
      <c r="FE15" s="2"/>
      <c r="FF15" s="40"/>
      <c r="FG15" s="2"/>
      <c r="FH15" s="2"/>
      <c r="FI15" s="2"/>
      <c r="FJ15" s="2"/>
      <c r="FK15" s="2"/>
      <c r="FL15" s="2"/>
      <c r="FM15" s="2"/>
    </row>
    <row r="16">
      <c r="A16" s="31" t="s">
        <v>82</v>
      </c>
      <c r="B16" s="32"/>
      <c r="C16" s="33"/>
      <c r="D16" s="33"/>
      <c r="E16" s="33"/>
      <c r="F16" s="33"/>
      <c r="G16" s="33"/>
      <c r="H16" s="33"/>
      <c r="I16" s="33"/>
      <c r="J16" s="32"/>
      <c r="K16" s="33"/>
      <c r="L16" s="33"/>
      <c r="M16" s="33"/>
      <c r="N16" s="33"/>
      <c r="O16" s="33"/>
      <c r="P16" s="33"/>
      <c r="Q16" s="33"/>
      <c r="R16" s="32"/>
      <c r="S16" s="33"/>
      <c r="T16" s="33"/>
      <c r="U16" s="33"/>
      <c r="V16" s="33"/>
      <c r="W16" s="33"/>
      <c r="X16" s="33"/>
      <c r="Y16" s="33"/>
      <c r="Z16" s="32"/>
      <c r="AA16" s="33"/>
      <c r="AB16" s="33"/>
      <c r="AC16" s="33"/>
      <c r="AD16" s="33"/>
      <c r="AE16" s="33"/>
      <c r="AF16" s="33"/>
      <c r="AG16" s="33"/>
      <c r="AH16" s="32"/>
      <c r="AI16" s="33"/>
      <c r="AJ16" s="33"/>
      <c r="AK16" s="33"/>
      <c r="AL16" s="33"/>
      <c r="AM16" s="33"/>
      <c r="AN16" s="33"/>
      <c r="AO16" s="33"/>
      <c r="AP16" s="32"/>
      <c r="AQ16" s="33"/>
      <c r="AR16" s="33"/>
      <c r="AS16" s="33"/>
      <c r="AT16" s="33"/>
      <c r="AU16" s="33"/>
      <c r="AV16" s="33"/>
      <c r="AW16" s="33"/>
      <c r="AX16" s="32"/>
      <c r="AY16" s="33"/>
      <c r="AZ16" s="33"/>
      <c r="BA16" s="33"/>
      <c r="BB16" s="33"/>
      <c r="BC16" s="33"/>
      <c r="BD16" s="33"/>
      <c r="BE16" s="33"/>
      <c r="BF16" s="32"/>
      <c r="BG16" s="33"/>
      <c r="BH16" s="33"/>
      <c r="BI16" s="33"/>
      <c r="BJ16" s="33"/>
      <c r="BK16" s="33"/>
      <c r="BL16" s="33"/>
      <c r="BM16" s="33"/>
      <c r="BN16" s="32"/>
      <c r="BO16" s="33"/>
      <c r="BP16" s="33"/>
      <c r="BQ16" s="33"/>
      <c r="BR16" s="33"/>
      <c r="BS16" s="33"/>
      <c r="BT16" s="33"/>
      <c r="BU16" s="33"/>
      <c r="BV16" s="32"/>
      <c r="BW16" s="33"/>
      <c r="BX16" s="33"/>
      <c r="BY16" s="33"/>
      <c r="BZ16" s="33"/>
      <c r="CA16" s="33"/>
      <c r="CB16" s="33"/>
      <c r="CC16" s="33"/>
      <c r="CD16" s="32"/>
      <c r="CE16" s="33"/>
      <c r="CF16" s="33"/>
      <c r="CG16" s="33"/>
      <c r="CH16" s="33"/>
      <c r="CI16" s="33"/>
      <c r="CJ16" s="33"/>
      <c r="CK16" s="33"/>
      <c r="CL16" s="32"/>
      <c r="CM16" s="33"/>
      <c r="CN16" s="33"/>
      <c r="CO16" s="33"/>
      <c r="CP16" s="33"/>
      <c r="CQ16" s="33"/>
      <c r="CR16" s="33"/>
      <c r="CS16" s="33"/>
      <c r="CT16" s="32"/>
      <c r="CU16" s="33"/>
      <c r="CV16" s="33"/>
      <c r="CW16" s="33"/>
      <c r="CX16" s="33"/>
      <c r="CY16" s="33"/>
      <c r="CZ16" s="33"/>
      <c r="DA16" s="33"/>
      <c r="DB16" s="32"/>
      <c r="DC16" s="33"/>
      <c r="DD16" s="33"/>
      <c r="DE16" s="33"/>
      <c r="DF16" s="33"/>
      <c r="DG16" s="33"/>
      <c r="DH16" s="33"/>
      <c r="DI16" s="33"/>
      <c r="DJ16" s="32"/>
      <c r="DK16" s="33"/>
      <c r="DL16" s="33"/>
      <c r="DM16" s="33"/>
      <c r="DN16" s="33"/>
      <c r="DO16" s="33"/>
      <c r="DP16" s="33"/>
      <c r="DQ16" s="33"/>
      <c r="DR16" s="32"/>
      <c r="DS16" s="33"/>
      <c r="DT16" s="33"/>
      <c r="DU16" s="33"/>
      <c r="DV16" s="33"/>
      <c r="DW16" s="33"/>
      <c r="DX16" s="33"/>
      <c r="DY16" s="33"/>
      <c r="DZ16" s="32"/>
      <c r="EA16" s="33"/>
      <c r="EB16" s="33"/>
      <c r="EC16" s="33"/>
      <c r="ED16" s="33"/>
      <c r="EE16" s="33"/>
      <c r="EF16" s="33"/>
      <c r="EG16" s="33"/>
      <c r="EH16" s="32"/>
      <c r="EI16" s="33"/>
      <c r="EJ16" s="33"/>
      <c r="EK16" s="33"/>
      <c r="EL16" s="33"/>
      <c r="EM16" s="33"/>
      <c r="EN16" s="33"/>
      <c r="EO16" s="33"/>
      <c r="EP16" s="32"/>
      <c r="EQ16" s="33"/>
      <c r="ER16" s="33"/>
      <c r="ES16" s="33"/>
      <c r="ET16" s="33"/>
      <c r="EU16" s="33"/>
      <c r="EV16" s="33"/>
      <c r="EW16" s="33"/>
      <c r="EX16" s="34" t="s">
        <v>79</v>
      </c>
      <c r="EY16" s="35"/>
      <c r="EZ16" s="35"/>
      <c r="FA16" s="35"/>
      <c r="FB16" s="35"/>
      <c r="FC16" s="35"/>
      <c r="FD16" s="35"/>
      <c r="FE16" s="35"/>
      <c r="FF16" s="32"/>
      <c r="FG16" s="33"/>
      <c r="FH16" s="33"/>
      <c r="FI16" s="33"/>
      <c r="FJ16" s="33"/>
      <c r="FK16" s="33"/>
      <c r="FL16" s="33"/>
      <c r="FM16" s="33"/>
    </row>
    <row r="17" hidden="1">
      <c r="A17" s="36" t="str">
        <f>CONCATENATE(A18," TM")</f>
        <v>Bench Press TM</v>
      </c>
      <c r="B17" s="37">
        <f>if(D17="",'Quick Setup'!D6,D17/'Quick Setup'!E6)</f>
        <v>325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325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325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325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325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325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325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Setup'!$E6)</f>
        <v>325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325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325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325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325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325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325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Setup'!$E6)</f>
        <v>325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325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325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325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325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325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325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Setup!A4</f>
        <v>Bench Press</v>
      </c>
      <c r="B18" s="40">
        <f>mround(B17*Setup!B4,'Quick Setup'!$A$2)</f>
        <v>227.5</v>
      </c>
      <c r="C18" s="2">
        <f>Setup!C4</f>
        <v>5</v>
      </c>
      <c r="D18" s="2">
        <f>Setup!D4</f>
        <v>3</v>
      </c>
      <c r="E18" s="2">
        <f>Setup!E4</f>
        <v>5</v>
      </c>
      <c r="F18" s="8"/>
      <c r="G18" s="8"/>
      <c r="H18" s="8"/>
      <c r="I18" s="8"/>
      <c r="J18" s="40">
        <f>mround(J17*Setup!N4,'Quick Setup'!$A$2)</f>
        <v>245</v>
      </c>
      <c r="K18" s="2">
        <f>Setup!O4</f>
        <v>4</v>
      </c>
      <c r="L18" s="2">
        <f>Setup!P4</f>
        <v>2</v>
      </c>
      <c r="M18" s="2">
        <f>Setup!Q4</f>
        <v>5</v>
      </c>
      <c r="N18" s="8"/>
      <c r="O18" s="8"/>
      <c r="P18" s="8"/>
      <c r="Q18" s="8"/>
      <c r="R18" s="40">
        <f>mround(R17*Setup!Z4,'Quick Setup'!$A$2)</f>
        <v>260</v>
      </c>
      <c r="S18" s="2">
        <f>Setup!AA4</f>
        <v>3</v>
      </c>
      <c r="T18" s="2">
        <f>Setup!AB4</f>
        <v>2</v>
      </c>
      <c r="U18" s="2">
        <f>Setup!AC4</f>
        <v>5</v>
      </c>
      <c r="V18" s="8"/>
      <c r="W18" s="8"/>
      <c r="X18" s="8"/>
      <c r="Y18" s="8"/>
      <c r="Z18" s="40">
        <f>mround(Z17*Setup!AL4,'Quick Setup'!$A$2)</f>
        <v>235</v>
      </c>
      <c r="AA18" s="2">
        <f>Setup!AM4</f>
        <v>5</v>
      </c>
      <c r="AB18" s="2">
        <f>Setup!AN4</f>
        <v>3</v>
      </c>
      <c r="AC18" s="2">
        <f>Setup!AO4</f>
        <v>5</v>
      </c>
      <c r="AD18" s="8"/>
      <c r="AE18" s="8"/>
      <c r="AF18" s="8"/>
      <c r="AG18" s="8"/>
      <c r="AH18" s="40">
        <f>mround(AH17*Setup!AX4,'Quick Setup'!$A$2)</f>
        <v>252.5</v>
      </c>
      <c r="AI18" s="2">
        <f>Setup!AY4</f>
        <v>4</v>
      </c>
      <c r="AJ18" s="2">
        <f>Setup!AZ4</f>
        <v>2</v>
      </c>
      <c r="AK18" s="2">
        <f>Setup!BA4</f>
        <v>5</v>
      </c>
      <c r="AL18" s="8"/>
      <c r="AM18" s="8"/>
      <c r="AN18" s="8"/>
      <c r="AO18" s="8"/>
      <c r="AP18" s="40">
        <f>mround(AP17*Setup!BJ4,'Quick Setup'!$A$2)</f>
        <v>267.5</v>
      </c>
      <c r="AQ18" s="2">
        <f>Setup!BK4</f>
        <v>3</v>
      </c>
      <c r="AR18" s="2">
        <f>Setup!BL4</f>
        <v>2</v>
      </c>
      <c r="AS18" s="2">
        <f>Setup!BM4</f>
        <v>5</v>
      </c>
      <c r="AT18" s="8"/>
      <c r="AU18" s="8"/>
      <c r="AV18" s="8"/>
      <c r="AW18" s="8"/>
      <c r="AX18" s="40">
        <f>mround(AX17*Setup!BV4,'Quick Setup'!$A$2)</f>
        <v>195</v>
      </c>
      <c r="AY18" s="1">
        <v>5.0</v>
      </c>
      <c r="AZ18" s="1" t="s">
        <v>80</v>
      </c>
      <c r="BA18" s="2">
        <f>Setup!BY4</f>
        <v>5</v>
      </c>
      <c r="BB18" s="8"/>
      <c r="BC18" s="8"/>
      <c r="BD18" s="8"/>
      <c r="BE18" s="8"/>
      <c r="BF18" s="40">
        <f>mround(BF17*Setup!CH4,'Quick Setup'!$A$2)</f>
        <v>245</v>
      </c>
      <c r="BG18" s="2">
        <f>Setup!CI4</f>
        <v>4</v>
      </c>
      <c r="BH18" s="2">
        <f>Setup!CJ4</f>
        <v>2</v>
      </c>
      <c r="BI18" s="2">
        <f>Setup!CK4</f>
        <v>5</v>
      </c>
      <c r="BJ18" s="8"/>
      <c r="BK18" s="8"/>
      <c r="BL18" s="8"/>
      <c r="BM18" s="8"/>
      <c r="BN18" s="40">
        <f>mround(BN17*Setup!CT4,'Quick Setup'!$A$2)</f>
        <v>260</v>
      </c>
      <c r="BO18" s="2">
        <f>Setup!CU4</f>
        <v>3</v>
      </c>
      <c r="BP18" s="2">
        <f>Setup!CV4</f>
        <v>2</v>
      </c>
      <c r="BQ18" s="2">
        <f>Setup!CW4</f>
        <v>5</v>
      </c>
      <c r="BR18" s="8"/>
      <c r="BS18" s="8"/>
      <c r="BT18" s="8"/>
      <c r="BU18" s="8"/>
      <c r="BV18" s="40">
        <f>mround(BV17*Setup!DF4,'Quick Setup'!$A$2)</f>
        <v>277.5</v>
      </c>
      <c r="BW18" s="2">
        <f>Setup!DG4</f>
        <v>2</v>
      </c>
      <c r="BX18" s="2">
        <f>Setup!DH4</f>
        <v>1</v>
      </c>
      <c r="BY18" s="2">
        <f>Setup!DI4</f>
        <v>5</v>
      </c>
      <c r="BZ18" s="8"/>
      <c r="CA18" s="8"/>
      <c r="CB18" s="8"/>
      <c r="CC18" s="8"/>
      <c r="CD18" s="40">
        <f>mround(CD17*Setup!DR4,'Quick Setup'!$A$2)</f>
        <v>252.5</v>
      </c>
      <c r="CE18" s="2">
        <f>Setup!DS4</f>
        <v>4</v>
      </c>
      <c r="CF18" s="2">
        <f>Setup!DT4</f>
        <v>2</v>
      </c>
      <c r="CG18" s="2">
        <f>Setup!DU4</f>
        <v>5</v>
      </c>
      <c r="CH18" s="8"/>
      <c r="CI18" s="8"/>
      <c r="CJ18" s="8"/>
      <c r="CK18" s="8"/>
      <c r="CL18" s="40">
        <f>mround(CL17*Setup!ED4,'Quick Setup'!$A$2)</f>
        <v>267.5</v>
      </c>
      <c r="CM18" s="2">
        <f>Setup!EE4</f>
        <v>3</v>
      </c>
      <c r="CN18" s="2">
        <f>Setup!EF4</f>
        <v>2</v>
      </c>
      <c r="CO18" s="2">
        <f>Setup!EG4</f>
        <v>5</v>
      </c>
      <c r="CP18" s="8"/>
      <c r="CQ18" s="8"/>
      <c r="CR18" s="8"/>
      <c r="CS18" s="8"/>
      <c r="CT18" s="40">
        <f>mround(CT17*Setup!EP4,'Quick Setup'!$A$2)</f>
        <v>285</v>
      </c>
      <c r="CU18" s="2">
        <f>Setup!EQ4</f>
        <v>2</v>
      </c>
      <c r="CV18" s="2">
        <f>Setup!ER4</f>
        <v>1</v>
      </c>
      <c r="CW18" s="2">
        <f>Setup!ES4</f>
        <v>5</v>
      </c>
      <c r="CX18" s="8"/>
      <c r="CY18" s="8"/>
      <c r="CZ18" s="8"/>
      <c r="DA18" s="8"/>
      <c r="DB18" s="40">
        <f>mround(DB17*Setup!FB4,'Quick Setup'!$A$2)</f>
        <v>195</v>
      </c>
      <c r="DC18" s="1">
        <v>5.0</v>
      </c>
      <c r="DD18" s="1" t="s">
        <v>80</v>
      </c>
      <c r="DE18" s="2">
        <f>Setup!FE4</f>
        <v>5</v>
      </c>
      <c r="DF18" s="8"/>
      <c r="DG18" s="8"/>
      <c r="DH18" s="8"/>
      <c r="DI18" s="8"/>
      <c r="DJ18" s="40">
        <f>mround(DJ17*Setup!FN4,'Quick Setup'!$A$2)</f>
        <v>260</v>
      </c>
      <c r="DK18" s="2">
        <f>Setup!FO4</f>
        <v>3</v>
      </c>
      <c r="DL18" s="2">
        <f>Setup!FP4</f>
        <v>2</v>
      </c>
      <c r="DM18" s="2">
        <f>Setup!FQ4</f>
        <v>5</v>
      </c>
      <c r="DN18" s="8"/>
      <c r="DO18" s="8"/>
      <c r="DP18" s="8"/>
      <c r="DQ18" s="8"/>
      <c r="DR18" s="40">
        <f>mround(DR17*Setup!FZ4,'Quick Setup'!$A$2)</f>
        <v>277.5</v>
      </c>
      <c r="DS18" s="2">
        <f>Setup!GA4</f>
        <v>2</v>
      </c>
      <c r="DT18" s="2">
        <f>Setup!GB4</f>
        <v>1</v>
      </c>
      <c r="DU18" s="2">
        <f>Setup!GC4</f>
        <v>5</v>
      </c>
      <c r="DV18" s="8"/>
      <c r="DW18" s="8"/>
      <c r="DX18" s="8"/>
      <c r="DY18" s="8"/>
      <c r="DZ18" s="40">
        <f>mround(DZ17*Setup!GL4,'Quick Setup'!$A$2)</f>
        <v>292.5</v>
      </c>
      <c r="EA18" s="2">
        <f>Setup!GM4</f>
        <v>1</v>
      </c>
      <c r="EB18" s="2">
        <f>Setup!GN4</f>
        <v>1</v>
      </c>
      <c r="EC18" s="2">
        <f>Setup!GO4</f>
        <v>5</v>
      </c>
      <c r="ED18" s="8"/>
      <c r="EE18" s="8"/>
      <c r="EF18" s="8"/>
      <c r="EG18" s="8"/>
      <c r="EH18" s="40">
        <f>mround(EH17*Setup!GX4,'Quick Setup'!$A$2)</f>
        <v>277.5</v>
      </c>
      <c r="EI18" s="2">
        <f>Setup!GY4</f>
        <v>2</v>
      </c>
      <c r="EJ18" s="2">
        <f>Setup!GZ4</f>
        <v>1</v>
      </c>
      <c r="EK18" s="2">
        <f>Setup!HA4</f>
        <v>5</v>
      </c>
      <c r="EL18" s="8"/>
      <c r="EM18" s="8"/>
      <c r="EN18" s="8"/>
      <c r="EO18" s="8"/>
      <c r="EP18" s="40">
        <f>mround(EP17*Setup!HJ4,'Quick Setup'!$A$2)</f>
        <v>292.5</v>
      </c>
      <c r="EQ18" s="2">
        <f>Setup!HK4</f>
        <v>1</v>
      </c>
      <c r="ER18" s="2">
        <f>Setup!HL4</f>
        <v>1</v>
      </c>
      <c r="ES18" s="2">
        <f>Setup!HM4</f>
        <v>5</v>
      </c>
      <c r="ET18" s="8"/>
      <c r="EU18" s="8"/>
      <c r="EV18" s="8"/>
      <c r="EW18" s="8"/>
      <c r="EX18" s="40">
        <f>mround(EX17*Setup!HV4,'Quick Setup'!$A$2)</f>
        <v>310</v>
      </c>
      <c r="EY18" s="2">
        <f>Setup!HW4</f>
        <v>1</v>
      </c>
      <c r="EZ18" s="2">
        <f>Setup!HX4</f>
        <v>1</v>
      </c>
      <c r="FA18" s="2">
        <f>Setup!HY4</f>
        <v>5</v>
      </c>
      <c r="FB18" s="8"/>
      <c r="FC18" s="8"/>
      <c r="FD18" s="8"/>
      <c r="FE18" s="8"/>
      <c r="FF18" s="40">
        <f>mround(FF17*Setup!IH4,'Quick Setup'!$A$2)</f>
        <v>195</v>
      </c>
      <c r="FG18" s="1">
        <v>5.0</v>
      </c>
      <c r="FH18" s="1" t="s">
        <v>80</v>
      </c>
      <c r="FI18" s="2">
        <f>Setup!IK4</f>
        <v>5</v>
      </c>
      <c r="FJ18" s="8"/>
      <c r="FK18" s="8"/>
      <c r="FL18" s="8"/>
      <c r="FM18" s="8"/>
    </row>
    <row r="19" hidden="1">
      <c r="A19" s="36" t="str">
        <f>CONCATENATE(A20," TM")</f>
        <v>OHP TM</v>
      </c>
      <c r="B19" s="37">
        <f>if(D19="",'Quick Setup'!D8,D19/'Quick Setup'!E8)</f>
        <v>200</v>
      </c>
      <c r="C19" s="36" t="s">
        <v>77</v>
      </c>
      <c r="D19" s="38"/>
      <c r="E19" s="39"/>
      <c r="F19" s="39"/>
      <c r="G19" s="39"/>
      <c r="H19" s="39"/>
      <c r="I19" s="39"/>
      <c r="J19" s="37">
        <f>if(L19="", if(F20="",B19, if((F20-E20)&lt;-1.9,B19*(1+Setup!F6),if((F20-E20)=-1,B19*(1+Setup!G6),if(G20&lt;D20,B19*(1+Setup!G6),if(G20=D20,B19*(1+Setup!H6),if((G20-D20)=1,B19*(1+Setup!I6),if((G20-D20)=2,B19*(1+Setup!J6),if((G20-D20)=3,B19*(1+Setup!K6),if((G20-D20)=4,B19*(1+Setup!L6),if((G20-D20)&gt;4.1,B19*(1+Setup!M6),B19)))))))))),L19/'Quick Setup'!$E8)</f>
        <v>200</v>
      </c>
      <c r="K19" s="36" t="s">
        <v>77</v>
      </c>
      <c r="L19" s="38"/>
      <c r="M19" s="39"/>
      <c r="N19" s="39"/>
      <c r="O19" s="39"/>
      <c r="P19" s="39"/>
      <c r="Q19" s="39"/>
      <c r="R19" s="37">
        <f>if(T19="", if(N20="",J19, if((N20-M20)&lt;-1.9,J19*(1+Setup!R6),if((N20-M20)=-1,J19*(1+Setup!S6),if(O20&lt;L20,J19*(1+Setup!S6),if(O20=L20,J19*(1+Setup!T6),if((O20-L20)=1,J19*(1+Setup!U6),if((O20-L20)=2,J19*(1+Setup!V6),if((O20-L20)=3,J19*(1+Setup!W6),if((O20-L20)=4,J19*(1+Setup!X6),if((O20-L20)&gt;4.1,J19*(1+Setup!Y6),J19)))))))))),T19/'Quick Setup'!$E8)</f>
        <v>200</v>
      </c>
      <c r="S19" s="36" t="s">
        <v>77</v>
      </c>
      <c r="T19" s="38"/>
      <c r="U19" s="39"/>
      <c r="V19" s="39"/>
      <c r="W19" s="39"/>
      <c r="X19" s="39"/>
      <c r="Y19" s="39"/>
      <c r="Z19" s="37">
        <f>if(AB19="", if(V20="",R19, if((V20-U20)&lt;-1.9,R19*(1+Setup!AD6),if((V20-U20)=-1,R19*(1+Setup!AE6),if(W20&lt;T20,R19*(1+Setup!AE6),if(W20=T20,R19*(1+Setup!AF6),if((W20-T20)=1,R19*(1+Setup!AG6),if((W20-T20)=2,R19*(1+Setup!AH6),if((W20-T20)=3,R19*(1+Setup!AI6),if((W20-T20)=4,R19*(1+Setup!AJ6),if((W20-T20)&gt;4.1,R19*(1+Setup!AK6),R19)))))))))),AB19/'Quick Setup'!$E8)</f>
        <v>200</v>
      </c>
      <c r="AA19" s="36" t="s">
        <v>77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6),if((AD20-AC20)=-1,Z19*(1+Setup!AQ6),if(AE20&lt;AB20,Z19*(1+Setup!AQ6),if(AE20=AB20,Z19*(1+Setup!AR6),if((AE20-AB20)=1,Z19*(1+Setup!AS6),if((AE20-AB20)=2,Z19*(1+Setup!AT6),if((AE20-AB20)=3,Z19*(1+Setup!AU6),if((AE20-AB20)=4,Z19*(1+Setup!AV6),if((AE20-AB20)&gt;4.1,Z19*(1+Setup!AW6),Z19)))))))))),AJ19/'Quick Setup'!$E8)</f>
        <v>200</v>
      </c>
      <c r="AI19" s="36" t="s">
        <v>77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6),if((AL20-AK20)=-1,AH19*(1+Setup!BC6),if(AM20&lt;AJ20,AH19*(1+Setup!BC6),if(AM20=AJ20,AH19*(1+Setup!BD6),if((AM20-AJ20)=1,AH19*(1+Setup!BE6),if((AM20-AJ20)=2,AH19*(1+Setup!BF6),if((AM20-AJ20)=3,AH19*(1+Setup!BG6),if((AM20-AJ20)=4,AH19*(1+Setup!BH6),if((AM20-AJ20)&gt;4.1,AH19*(1+Setup!BI6),AH19)))))))))),AR19/'Quick Setup'!$E8)</f>
        <v>200</v>
      </c>
      <c r="AQ19" s="36" t="s">
        <v>77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6),if((AT20-AS20)=-1,AP19*(1+Setup!BO6),if(AU20&lt;AR20,AP19*(1+Setup!BO6),if(AU20=AR20,AP19*(1+Setup!BP6),if((AU20-AR20)=1,AP19*(1+Setup!BQ6),if((AU20-AR20)=2,AP19*(1+Setup!BR6),if((AU20-AR20)=3,AP19*(1+Setup!BS6),if((AU20-AR20)=4,AP19*(1+Setup!BT6),if((AU20-AR20)&gt;4.1,AP19*(1+Setup!BU6),AP19)))))))))),AZ19/'Quick Setup'!$E8)</f>
        <v>200</v>
      </c>
      <c r="AY19" s="36" t="s">
        <v>77</v>
      </c>
      <c r="AZ19" s="38"/>
      <c r="BA19" s="39"/>
      <c r="BB19" s="39"/>
      <c r="BC19" s="39"/>
      <c r="BD19" s="39"/>
      <c r="BE19" s="39"/>
      <c r="BF19" s="37">
        <f>if(BH19="",AX19,BH19/'Quick Setup'!$E8)</f>
        <v>200</v>
      </c>
      <c r="BG19" s="36" t="s">
        <v>77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6),if((BJ20-BI20)=-1,BF19*(1+Setup!CM6),if(BK20&lt;BH20,BF19*(1+Setup!CM6),if(BK20=BH20,BF19*(1+Setup!CN6),if((BK20-BH20)=1,BF19*(1+Setup!CO6),if((BK20-BH20)=2,BF19*(1+Setup!CP6),if((BK20-BH20)=3,BF19*(1+Setup!CQ6),if((BK20-BH20)=4,BF19*(1+Setup!CR6),if((BK20-BH20)&gt;4.1,BF19*(1+Setup!CS6),BF19)))))))))),BP19/'Quick Setup'!$E8)</f>
        <v>200</v>
      </c>
      <c r="BO19" s="36" t="s">
        <v>77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6),if((BR20-BQ20)=-1,BN19*(1+Setup!CY6),if(BS20&lt;BP20,BN19*(1+Setup!CY6),if(BS20=BP20,BN19*(1+Setup!CZ6),if((BS20-BP20)=1,BN19*(1+Setup!DA6),if((BS20-BP20)=2,BN19*(1+Setup!DB6),if((BS20-BP20)=3,BN19*(1+Setup!DC6),if((BS20-BP20)=4,BN19*(1+Setup!DD6),if((BS20-BP20)&gt;4.1,BN19*(1+Setup!DE6),BN19)))))))))),BX19/'Quick Setup'!$E8)</f>
        <v>200</v>
      </c>
      <c r="BW19" s="36" t="s">
        <v>77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6),if((BZ20-BY20)=-1,BV19*(1+Setup!DK6),if(CA20&lt;BX20,BV19*(1+Setup!DK6),if(CA20=BX20,BV19*(1+Setup!DL6),if((CA20-BX20)=1,BV19*(1+Setup!DM6),if((CA20-BX20)=2,BV19*(1+Setup!DN6),if((CA20-BX20)=3,BV19*(1+Setup!DO6),if((CA20-BX20)=4,BV19*(1+Setup!DP6),if((CA20-BX20)&gt;4.1,BV19*(1+Setup!DQ6),BV19)))))))))),CF19/'Quick Setup'!$E8)</f>
        <v>200</v>
      </c>
      <c r="CE19" s="36" t="s">
        <v>77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6),if((CH20-CG20)=-1,CD19*(1+Setup!DW6),if(CI20&lt;CF20,CD19*(1+Setup!DW6),if(CI20=CF20,CD19*(1+Setup!DX6),if((CI20-CF20)=1,CD19*(1+Setup!DY6),if((CI20-CF20)=2,CD19*(1+Setup!DZ6),if((CI20-CF20)=3,CD19*(1+Setup!EA6),if((CI20-CF20)=4,CD19*(1+Setup!EB6),if((CI20-CF20)&gt;4.1,CD19*(1+Setup!EC6),CD19)))))))))),CN19/'Quick Setup'!$E8)</f>
        <v>200</v>
      </c>
      <c r="CM19" s="36" t="s">
        <v>77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6),if((CP20-CO20)=-1,CL19*(1+Setup!EI6),if(CQ20&lt;CN20,CL19*(1+Setup!EI6),if(CQ20=CN20,CL19*(1+Setup!EJ6),if((CQ20-CN20)=1,CL19*(1+Setup!EK6),if((CQ20-CN20)=2,CL19*(1+Setup!EL6),if((CQ20-CN20)=3,CL19*(1+Setup!EM6),if((CQ20-CN20)=4,CL19*(1+Setup!EN6),if((CQ20-CN20)&gt;4.1,CL19*(1+Setup!EO6),CL19)))))))))),CV19/'Quick Setup'!$E8)</f>
        <v>200</v>
      </c>
      <c r="CU19" s="36" t="s">
        <v>77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6),if((CX20-CW20)=-1,CT19*(1+Setup!EU6),if(CY20&lt;CV20,CT19*(1+Setup!EU6),if(CY20=CV20,CT19*(1+Setup!EV6),if((CY20-CV20)=1,CT19*(1+Setup!EW6),if((CY20-CV20)=2,CT19*(1+Setup!EX6),if((CY20-CV20)=3,CT19*(1+Setup!EY6),if((CY20-CV20)=4,CT19*(1+Setup!EZ6),if((CY20-CV20)&gt;4.1,CT19*(1+Setup!FA6),CT19)))))))))),DD19/'Quick Setup'!$E8)</f>
        <v>200</v>
      </c>
      <c r="DC19" s="36" t="s">
        <v>77</v>
      </c>
      <c r="DD19" s="38"/>
      <c r="DE19" s="39"/>
      <c r="DF19" s="39"/>
      <c r="DG19" s="39"/>
      <c r="DH19" s="39"/>
      <c r="DI19" s="39"/>
      <c r="DJ19" s="37">
        <f>if(DL19="",DB19,DL19/'Quick Setup'!$E8)</f>
        <v>200</v>
      </c>
      <c r="DK19" s="36" t="s">
        <v>77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6),if((DN20-DM20)=-1,DJ19*(1+Setup!FS6),if(DO20&lt;DL20,DJ19*(1+Setup!FS6),if(DO20=DL20,DJ19*(1+Setup!FT6),if((DO20-DL20)=1,DJ19*(1+Setup!FU6),if((DO20-DL20)=2,DJ19*(1+Setup!FV6),if((DO20-DL20)=3,DJ19*(1+Setup!FW6),if((DO20-DL20)=4,DJ19*(1+Setup!FX6),if((DO20-DL20)&gt;4.1,DJ19*(1+Setup!FY6),DJ19)))))))))),DT19/'Quick Setup'!$E8)</f>
        <v>200</v>
      </c>
      <c r="DS19" s="36" t="s">
        <v>77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6),if((DV20-DU20)=-1,DR19*(1+Setup!GE6),if(DW20&lt;DT20,DR19*(1+Setup!GE6),if(DW20=DT20,DR19*(1+Setup!GF6),if((DW20-DT20)=1,DR19*(1+Setup!GG6),if((DW20-DT20)=2,DR19*(1+Setup!GH6),if((DW20-DT20)=3,DR19*(1+Setup!GI6),if((DW20-DT20)=4,DR19*(1+Setup!GJ6),if((DW20-DT20)&gt;4.1,DR19*(1+Setup!GK6),DR19)))))))))),EB19/'Quick Setup'!$E8)</f>
        <v>200</v>
      </c>
      <c r="EA19" s="36" t="s">
        <v>77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6),if((ED20-EC20)=-1,DZ19*(1+Setup!GQ6),if(EE20&lt;EB20,DZ19*(1+Setup!GQ6),if(EE20=EB20,DZ19*(1+Setup!GR6),if((EE20-EB20)=1,DZ19*(1+Setup!GS6),if((EE20-EB20)=2,DZ19*(1+Setup!GT6),if((EE20-EB20)=3,DZ19*(1+Setup!GU6),if((EE20-EB20)=4,DZ19*(1+Setup!GV6),if((EE20-EB20)&gt;4.1,DZ19*(1+Setup!GW6),DZ19)))))))))),EJ19/'Quick Setup'!$E8)</f>
        <v>200</v>
      </c>
      <c r="EI19" s="36" t="s">
        <v>77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6),if((EL20-EK20)=-1,EH19*(1+Setup!HC6),if(EM20&lt;EJ20,EH19*(1+Setup!HC6),if(EM20=EJ20,EH19*(1+Setup!HD6),if((EM20-EJ20)=1,EH19*(1+Setup!HE6),if((EM20-EJ20)=2,EH19*(1+Setup!HF6),if((EM20-EJ20)=3,EH19*(1+Setup!HG6),if((EM20-EJ20)=4,EH19*(1+Setup!HH6),if((EM20-EJ20)&gt;4.1,EH19*(1+Setup!HI6),EH19)))))))))),ER19/'Quick Setup'!$E8)</f>
        <v>200</v>
      </c>
      <c r="EQ19" s="36" t="s">
        <v>77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6),if((ET20-ES20)=-1,EP19*(1+Setup!HO6),if(EU20&lt;ER20,EP19*(1+Setup!HO6),if(EU20=ER20,EP19*(1+Setup!HP6),if((EU20-ER20)=1,EP19*(1+Setup!HQ6),if((EU20-ER20)=2,EP19*(1+Setup!HR6),if((EU20-ER20)=3,EP19*(1+Setup!HS6),if((EU20-ER20)=4,EP19*(1+Setup!HT6),if((EU20-ER20)&gt;4.1,EP19*(1+Setup!HU6),EP19)))))))))),EZ19/'Quick Setup'!$E8)</f>
        <v>200</v>
      </c>
      <c r="EY19" s="36" t="s">
        <v>77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6),if((FB20-FA20)=-1,EX19*(1+Setup!IA6),if(FC20&lt;EZ20,EX19*(1+Setup!IA6),if(FC20=EZ20,EX19*(1+Setup!IB6),if((FC20-EZ20)=1,EX19*(1+Setup!IC6),if((FC20-EZ20)=2,EX19*(1+Setup!ID6),if((FC20-EZ20)=3,EX19*(1+Setup!IE6),if((FC20-EZ20)=4,EX19*(1+Setup!IF6),if((FC20-EZ20)&gt;4.1,EX19*(1+Setup!IG6),EX19)))))))))),FH19/'Quick Setup'!$E8)</f>
        <v>200</v>
      </c>
      <c r="FG19" s="36" t="s">
        <v>77</v>
      </c>
      <c r="FH19" s="38"/>
      <c r="FI19" s="39"/>
      <c r="FJ19" s="39"/>
      <c r="FK19" s="39"/>
      <c r="FL19" s="39"/>
      <c r="FM19" s="39"/>
    </row>
    <row r="20">
      <c r="A20" s="1" t="str">
        <f>Setup!A6</f>
        <v>OHP</v>
      </c>
      <c r="B20" s="40">
        <f>mround(B19*Setup!B6,'Quick Setup'!$A$2)</f>
        <v>140</v>
      </c>
      <c r="C20" s="2">
        <f>Setup!C6</f>
        <v>5</v>
      </c>
      <c r="D20" s="2">
        <f>Setup!D6</f>
        <v>3</v>
      </c>
      <c r="E20" s="2">
        <f>Setup!E6</f>
        <v>5</v>
      </c>
      <c r="F20" s="8"/>
      <c r="G20" s="8"/>
      <c r="H20" s="8"/>
      <c r="I20" s="8"/>
      <c r="J20" s="40">
        <f>mround(J19*Setup!N6,'Quick Setup'!$A$2)</f>
        <v>150</v>
      </c>
      <c r="K20" s="2">
        <f>Setup!O6</f>
        <v>4</v>
      </c>
      <c r="L20" s="2">
        <f>Setup!P6</f>
        <v>2</v>
      </c>
      <c r="M20" s="2">
        <f>Setup!Q6</f>
        <v>5</v>
      </c>
      <c r="N20" s="8"/>
      <c r="O20" s="8"/>
      <c r="P20" s="8"/>
      <c r="Q20" s="8"/>
      <c r="R20" s="40">
        <f>mround(R19*Setup!Z6,'Quick Setup'!$A$2)</f>
        <v>160</v>
      </c>
      <c r="S20" s="2">
        <f>Setup!AA6</f>
        <v>3</v>
      </c>
      <c r="T20" s="2">
        <f>Setup!AB6</f>
        <v>2</v>
      </c>
      <c r="U20" s="2">
        <f>Setup!AC6</f>
        <v>5</v>
      </c>
      <c r="V20" s="8"/>
      <c r="W20" s="8"/>
      <c r="X20" s="8"/>
      <c r="Y20" s="8"/>
      <c r="Z20" s="40">
        <f>mround(Z19*Setup!AL6,'Quick Setup'!$A$2)</f>
        <v>145</v>
      </c>
      <c r="AA20" s="2">
        <f>Setup!AM6</f>
        <v>5</v>
      </c>
      <c r="AB20" s="2">
        <f>Setup!AN6</f>
        <v>3</v>
      </c>
      <c r="AC20" s="2">
        <f>Setup!AO6</f>
        <v>5</v>
      </c>
      <c r="AD20" s="8"/>
      <c r="AE20" s="8"/>
      <c r="AF20" s="8"/>
      <c r="AG20" s="8"/>
      <c r="AH20" s="40">
        <f>mround(AH19*Setup!AX6,'Quick Setup'!$A$2)</f>
        <v>155</v>
      </c>
      <c r="AI20" s="2">
        <f>Setup!AY6</f>
        <v>4</v>
      </c>
      <c r="AJ20" s="2">
        <f>Setup!AZ6</f>
        <v>2</v>
      </c>
      <c r="AK20" s="2">
        <f>Setup!BA6</f>
        <v>5</v>
      </c>
      <c r="AL20" s="8"/>
      <c r="AM20" s="8"/>
      <c r="AN20" s="8"/>
      <c r="AO20" s="8"/>
      <c r="AP20" s="40">
        <f>mround(AP19*Setup!BJ6,'Quick Setup'!$A$2)</f>
        <v>165</v>
      </c>
      <c r="AQ20" s="2">
        <f>Setup!BK6</f>
        <v>3</v>
      </c>
      <c r="AR20" s="2">
        <f>Setup!BL6</f>
        <v>2</v>
      </c>
      <c r="AS20" s="2">
        <f>Setup!BM6</f>
        <v>5</v>
      </c>
      <c r="AT20" s="8"/>
      <c r="AU20" s="8"/>
      <c r="AV20" s="8"/>
      <c r="AW20" s="8"/>
      <c r="AX20" s="40">
        <f>mround(AX19*Setup!BV6,'Quick Setup'!$A$2)</f>
        <v>120</v>
      </c>
      <c r="AY20" s="1">
        <v>5.0</v>
      </c>
      <c r="AZ20" s="1" t="s">
        <v>80</v>
      </c>
      <c r="BA20" s="2">
        <f>Setup!BY6</f>
        <v>5</v>
      </c>
      <c r="BB20" s="8"/>
      <c r="BC20" s="8"/>
      <c r="BD20" s="8"/>
      <c r="BE20" s="8"/>
      <c r="BF20" s="40">
        <f>mround(BF19*Setup!CH6,'Quick Setup'!$A$2)</f>
        <v>150</v>
      </c>
      <c r="BG20" s="2">
        <f>Setup!CI6</f>
        <v>4</v>
      </c>
      <c r="BH20" s="2">
        <f>Setup!CJ6</f>
        <v>2</v>
      </c>
      <c r="BI20" s="2">
        <f>Setup!CK6</f>
        <v>5</v>
      </c>
      <c r="BJ20" s="8"/>
      <c r="BK20" s="8"/>
      <c r="BL20" s="8"/>
      <c r="BM20" s="8"/>
      <c r="BN20" s="40">
        <f>mround(BN19*Setup!CT6,'Quick Setup'!$A$2)</f>
        <v>160</v>
      </c>
      <c r="BO20" s="2">
        <f>Setup!CU6</f>
        <v>3</v>
      </c>
      <c r="BP20" s="2">
        <f>Setup!CV6</f>
        <v>2</v>
      </c>
      <c r="BQ20" s="2">
        <f>Setup!CW6</f>
        <v>5</v>
      </c>
      <c r="BR20" s="8"/>
      <c r="BS20" s="8"/>
      <c r="BT20" s="8"/>
      <c r="BU20" s="8"/>
      <c r="BV20" s="40">
        <f>mround(BV19*Setup!DF6,'Quick Setup'!$A$2)</f>
        <v>170</v>
      </c>
      <c r="BW20" s="2">
        <f>Setup!DG6</f>
        <v>2</v>
      </c>
      <c r="BX20" s="2">
        <f>Setup!DH6</f>
        <v>1</v>
      </c>
      <c r="BY20" s="2">
        <f>Setup!DI6</f>
        <v>5</v>
      </c>
      <c r="BZ20" s="8"/>
      <c r="CA20" s="8"/>
      <c r="CB20" s="8"/>
      <c r="CC20" s="8"/>
      <c r="CD20" s="40">
        <f>mround(CD19*Setup!DR6,'Quick Setup'!$A$2)</f>
        <v>155</v>
      </c>
      <c r="CE20" s="2">
        <f>Setup!DS6</f>
        <v>4</v>
      </c>
      <c r="CF20" s="2">
        <f>Setup!DT6</f>
        <v>2</v>
      </c>
      <c r="CG20" s="2">
        <f>Setup!DU6</f>
        <v>5</v>
      </c>
      <c r="CH20" s="8"/>
      <c r="CI20" s="8"/>
      <c r="CJ20" s="8"/>
      <c r="CK20" s="8"/>
      <c r="CL20" s="40">
        <f>mround(CL19*Setup!ED6,'Quick Setup'!$A$2)</f>
        <v>165</v>
      </c>
      <c r="CM20" s="2">
        <f>Setup!EE6</f>
        <v>3</v>
      </c>
      <c r="CN20" s="2">
        <f>Setup!EF6</f>
        <v>2</v>
      </c>
      <c r="CO20" s="2">
        <f>Setup!EG6</f>
        <v>5</v>
      </c>
      <c r="CP20" s="8"/>
      <c r="CQ20" s="8"/>
      <c r="CR20" s="8"/>
      <c r="CS20" s="8"/>
      <c r="CT20" s="40">
        <f>mround(CT19*Setup!EP6,'Quick Setup'!$A$2)</f>
        <v>175</v>
      </c>
      <c r="CU20" s="2">
        <f>Setup!EQ6</f>
        <v>2</v>
      </c>
      <c r="CV20" s="2">
        <f>Setup!ER6</f>
        <v>1</v>
      </c>
      <c r="CW20" s="2">
        <f>Setup!ES6</f>
        <v>5</v>
      </c>
      <c r="CX20" s="8"/>
      <c r="CY20" s="8"/>
      <c r="CZ20" s="8"/>
      <c r="DA20" s="8"/>
      <c r="DB20" s="40">
        <f>mround(DB19*Setup!FB6,'Quick Setup'!$A$2)</f>
        <v>120</v>
      </c>
      <c r="DC20" s="1">
        <v>5.0</v>
      </c>
      <c r="DD20" s="1" t="s">
        <v>80</v>
      </c>
      <c r="DE20" s="2">
        <f>Setup!FE6</f>
        <v>5</v>
      </c>
      <c r="DF20" s="8"/>
      <c r="DG20" s="8"/>
      <c r="DH20" s="8"/>
      <c r="DI20" s="8"/>
      <c r="DJ20" s="40">
        <f>mround(DJ19*Setup!FN6,'Quick Setup'!$A$2)</f>
        <v>160</v>
      </c>
      <c r="DK20" s="2">
        <f>Setup!FO6</f>
        <v>3</v>
      </c>
      <c r="DL20" s="2">
        <f>Setup!FP6</f>
        <v>2</v>
      </c>
      <c r="DM20" s="2">
        <f>Setup!FQ6</f>
        <v>5</v>
      </c>
      <c r="DN20" s="8"/>
      <c r="DO20" s="8"/>
      <c r="DP20" s="8"/>
      <c r="DQ20" s="8"/>
      <c r="DR20" s="40">
        <f>mround(DR19*Setup!FZ6,'Quick Setup'!$A$2)</f>
        <v>170</v>
      </c>
      <c r="DS20" s="2">
        <f>Setup!GA6</f>
        <v>2</v>
      </c>
      <c r="DT20" s="2">
        <f>Setup!GB6</f>
        <v>1</v>
      </c>
      <c r="DU20" s="2">
        <f>Setup!GC6</f>
        <v>5</v>
      </c>
      <c r="DV20" s="8"/>
      <c r="DW20" s="8"/>
      <c r="DX20" s="8"/>
      <c r="DY20" s="8"/>
      <c r="DZ20" s="40">
        <f>mround(DZ19*Setup!GL6,'Quick Setup'!$A$2)</f>
        <v>180</v>
      </c>
      <c r="EA20" s="2">
        <f>Setup!GM6</f>
        <v>1</v>
      </c>
      <c r="EB20" s="2">
        <f>Setup!GN6</f>
        <v>1</v>
      </c>
      <c r="EC20" s="2">
        <f>Setup!GO6</f>
        <v>5</v>
      </c>
      <c r="ED20" s="8"/>
      <c r="EE20" s="8"/>
      <c r="EF20" s="8"/>
      <c r="EG20" s="8"/>
      <c r="EH20" s="40">
        <f>mround(EH19*Setup!GX6,'Quick Setup'!$A$2)</f>
        <v>170</v>
      </c>
      <c r="EI20" s="2">
        <f>Setup!GY6</f>
        <v>2</v>
      </c>
      <c r="EJ20" s="2">
        <f>Setup!GZ6</f>
        <v>1</v>
      </c>
      <c r="EK20" s="2">
        <f>Setup!HA6</f>
        <v>5</v>
      </c>
      <c r="EL20" s="8"/>
      <c r="EM20" s="8"/>
      <c r="EN20" s="8"/>
      <c r="EO20" s="8"/>
      <c r="EP20" s="40">
        <f>mround(EP19*Setup!HJ6,'Quick Setup'!$A$2)</f>
        <v>180</v>
      </c>
      <c r="EQ20" s="2">
        <f>Setup!HK6</f>
        <v>1</v>
      </c>
      <c r="ER20" s="2">
        <f>Setup!HL6</f>
        <v>1</v>
      </c>
      <c r="ES20" s="2">
        <f>Setup!HM6</f>
        <v>5</v>
      </c>
      <c r="ET20" s="8"/>
      <c r="EU20" s="8"/>
      <c r="EV20" s="8"/>
      <c r="EW20" s="8"/>
      <c r="EX20" s="40">
        <f>mround(EX19*Setup!HV6,'Quick Setup'!$A$2)</f>
        <v>190</v>
      </c>
      <c r="EY20" s="2">
        <f>Setup!HW6</f>
        <v>1</v>
      </c>
      <c r="EZ20" s="2">
        <f>Setup!HX6</f>
        <v>1</v>
      </c>
      <c r="FA20" s="2">
        <f>Setup!HY6</f>
        <v>5</v>
      </c>
      <c r="FB20" s="8"/>
      <c r="FC20" s="8"/>
      <c r="FD20" s="8"/>
      <c r="FE20" s="8"/>
      <c r="FF20" s="40">
        <f>mround(FF19*Setup!IH6,'Quick Setup'!$A$2)</f>
        <v>120</v>
      </c>
      <c r="FG20" s="1">
        <v>5.0</v>
      </c>
      <c r="FH20" s="1" t="s">
        <v>80</v>
      </c>
      <c r="FI20" s="2">
        <f>Setup!IK6</f>
        <v>5</v>
      </c>
      <c r="FJ20" s="8"/>
      <c r="FK20" s="8"/>
      <c r="FL20" s="8"/>
      <c r="FM20" s="8"/>
    </row>
    <row r="21" hidden="1">
      <c r="A21" s="36" t="str">
        <f>CONCATENATE(A22," TM")</f>
        <v>Front Squat TM</v>
      </c>
      <c r="B21" s="37">
        <f>if(D21="",'Quick Setup'!D11,D21/'Quick Setup'!E11)</f>
        <v>420</v>
      </c>
      <c r="C21" s="36" t="s">
        <v>77</v>
      </c>
      <c r="D21" s="38"/>
      <c r="E21" s="39"/>
      <c r="F21" s="39"/>
      <c r="G21" s="39"/>
      <c r="H21" s="39"/>
      <c r="I21" s="39"/>
      <c r="J21" s="37">
        <f>if(L21="", if(F22="",B21, if((F22-E22)&lt;-1.9,B21*(1+Setup!F9),if((F22-E22)=-1,B21*(1+Setup!G9),if(G22&lt;D22,B21*(1+Setup!G9),if(G22=D22,B21*(1+Setup!H9),if((G22-D22)=1,B21*(1+Setup!I9),if((G22-D22)=2,B21*(1+Setup!J9),if((G22-D22)=3,B21*(1+Setup!K9),if((G22-D22)=4,B21*(1+Setup!L9),if((G22-D22)&gt;4.1,B21*(1+Setup!M9),B21)))))))))),L21/'Quick Setup'!$E11)</f>
        <v>420</v>
      </c>
      <c r="K21" s="36" t="s">
        <v>77</v>
      </c>
      <c r="L21" s="38"/>
      <c r="M21" s="39"/>
      <c r="N21" s="39"/>
      <c r="O21" s="39"/>
      <c r="P21" s="39"/>
      <c r="Q21" s="39"/>
      <c r="R21" s="37">
        <f>if(T21="", if(N22="",J21, if((N22-M22)&lt;-1.9,J21*(1+Setup!R9),if((N22-M22)=-1,J21*(1+Setup!S9),if(O22&lt;L22,J21*(1+Setup!S9),if(O22=L22,J21*(1+Setup!T9),if((O22-L22)=1,J21*(1+Setup!U9),if((O22-L22)=2,J21*(1+Setup!V9),if((O22-L22)=3,J21*(1+Setup!W9),if((O22-L22)=4,J21*(1+Setup!X9),if((O22-L22)&gt;4.1,J21*(1+Setup!Y9),J21)))))))))),T21/'Quick Setup'!$E11)</f>
        <v>420</v>
      </c>
      <c r="S21" s="36" t="s">
        <v>77</v>
      </c>
      <c r="T21" s="38"/>
      <c r="U21" s="39"/>
      <c r="V21" s="39"/>
      <c r="W21" s="39"/>
      <c r="X21" s="39"/>
      <c r="Y21" s="39"/>
      <c r="Z21" s="37">
        <f>if(AB21="", if(V22="",R21, if((V22-U22)&lt;-1.9,R21*(1+Setup!AD9),if((V22-U22)=-1,R21*(1+Setup!AE9),if(W22&lt;T22,R21*(1+Setup!AE9),if(W22=T22,R21*(1+Setup!AF9),if((W22-T22)=1,R21*(1+Setup!AG9),if((W22-T22)=2,R21*(1+Setup!AH9),if((W22-T22)=3,R21*(1+Setup!AI9),if((W22-T22)=4,R21*(1+Setup!AJ9),if((W22-T22)&gt;4.1,R21*(1+Setup!AK9),R21)))))))))),AB21/'Quick Setup'!$E11)</f>
        <v>420</v>
      </c>
      <c r="AA21" s="36" t="s">
        <v>77</v>
      </c>
      <c r="AB21" s="38"/>
      <c r="AC21" s="39"/>
      <c r="AD21" s="39"/>
      <c r="AE21" s="39"/>
      <c r="AF21" s="39"/>
      <c r="AG21" s="39"/>
      <c r="AH21" s="37">
        <f>if(AJ21="", if(AD22="",Z21, if((AD22-AC22)&lt;-1.9,Z21*(1+Setup!AP9),if((AD22-AC22)=-1,Z21*(1+Setup!AQ9),if(AE22&lt;AB22,Z21*(1+Setup!AQ9),if(AE22=AB22,Z21*(1+Setup!AR9),if((AE22-AB22)=1,Z21*(1+Setup!AS9),if((AE22-AB22)=2,Z21*(1+Setup!AT9),if((AE22-AB22)=3,Z21*(1+Setup!AU9),if((AE22-AB22)=4,Z21*(1+Setup!AV9),if((AE22-AB22)&gt;4.1,Z21*(1+Setup!AW9),Z21)))))))))),AJ21/'Quick Setup'!$E11)</f>
        <v>420</v>
      </c>
      <c r="AI21" s="36" t="s">
        <v>77</v>
      </c>
      <c r="AJ21" s="38"/>
      <c r="AK21" s="39"/>
      <c r="AL21" s="39"/>
      <c r="AM21" s="39"/>
      <c r="AN21" s="39"/>
      <c r="AO21" s="39"/>
      <c r="AP21" s="37">
        <f>if(AR21="", if(AL22="",AH21, if((AL22-AK22)&lt;-1.9,AH21*(1+Setup!BB9),if((AL22-AK22)=-1,AH21*(1+Setup!BC9),if(AM22&lt;AJ22,AH21*(1+Setup!BC9),if(AM22=AJ22,AH21*(1+Setup!BD9),if((AM22-AJ22)=1,AH21*(1+Setup!BE9),if((AM22-AJ22)=2,AH21*(1+Setup!BF9),if((AM22-AJ22)=3,AH21*(1+Setup!BG9),if((AM22-AJ22)=4,AH21*(1+Setup!BH9),if((AM22-AJ22)&gt;4.1,AH21*(1+Setup!BI9),AH21)))))))))),AR21/'Quick Setup'!$E11)</f>
        <v>420</v>
      </c>
      <c r="AQ21" s="36" t="s">
        <v>77</v>
      </c>
      <c r="AR21" s="38"/>
      <c r="AS21" s="39"/>
      <c r="AT21" s="39"/>
      <c r="AU21" s="39"/>
      <c r="AV21" s="39"/>
      <c r="AW21" s="39"/>
      <c r="AX21" s="37">
        <f>if(AZ21="", if(AT22="",AP21, if((AT22-AS22)&lt;-1.9,AP21*(1+Setup!BN9),if((AT22-AS22)=-1,AP21*(1+Setup!BO9),if(AU22&lt;AR22,AP21*(1+Setup!BO9),if(AU22=AR22,AP21*(1+Setup!BP9),if((AU22-AR22)=1,AP21*(1+Setup!BQ9),if((AU22-AR22)=2,AP21*(1+Setup!BR9),if((AU22-AR22)=3,AP21*(1+Setup!BS9),if((AU22-AR22)=4,AP21*(1+Setup!BT9),if((AU22-AR22)&gt;4.1,AP21*(1+Setup!BU9),AP21)))))))))),AZ21/'Quick Setup'!$E11)</f>
        <v>420</v>
      </c>
      <c r="AY21" s="36" t="s">
        <v>77</v>
      </c>
      <c r="AZ21" s="38"/>
      <c r="BA21" s="39"/>
      <c r="BB21" s="39"/>
      <c r="BC21" s="39"/>
      <c r="BD21" s="39"/>
      <c r="BE21" s="39"/>
      <c r="BF21" s="37">
        <f>if(BH21="",AX21,BH21/'Quick Setup'!$E11)</f>
        <v>420</v>
      </c>
      <c r="BG21" s="36" t="s">
        <v>77</v>
      </c>
      <c r="BH21" s="38"/>
      <c r="BI21" s="39"/>
      <c r="BJ21" s="39"/>
      <c r="BK21" s="39"/>
      <c r="BL21" s="39"/>
      <c r="BM21" s="39"/>
      <c r="BN21" s="37">
        <f>if(BP21="", if(BJ22="",BF21, if((BJ22-BI22)&lt;-1.9,BF21*(1+Setup!CL9),if((BJ22-BI22)=-1,BF21*(1+Setup!CM9),if(BK22&lt;BH22,BF21*(1+Setup!CM9),if(BK22=BH22,BF21*(1+Setup!CN9),if((BK22-BH22)=1,BF21*(1+Setup!CO9),if((BK22-BH22)=2,BF21*(1+Setup!CP9),if((BK22-BH22)=3,BF21*(1+Setup!CQ9),if((BK22-BH22)=4,BF21*(1+Setup!CR9),if((BK22-BH22)&gt;4.1,BF21*(1+Setup!CS9),BF21)))))))))),BP21/'Quick Setup'!$E11)</f>
        <v>420</v>
      </c>
      <c r="BO21" s="36" t="s">
        <v>77</v>
      </c>
      <c r="BP21" s="38"/>
      <c r="BQ21" s="39"/>
      <c r="BR21" s="39"/>
      <c r="BS21" s="39"/>
      <c r="BT21" s="39"/>
      <c r="BU21" s="39"/>
      <c r="BV21" s="37">
        <f>if(BX21="", if(BR22="",BN21, if((BR22-BQ22)&lt;-1.9,BN21*(1+Setup!CX9),if((BR22-BQ22)=-1,BN21*(1+Setup!CY9),if(BS22&lt;BP22,BN21*(1+Setup!CY9),if(BS22=BP22,BN21*(1+Setup!CZ9),if((BS22-BP22)=1,BN21*(1+Setup!DA9),if((BS22-BP22)=2,BN21*(1+Setup!DB9),if((BS22-BP22)=3,BN21*(1+Setup!DC9),if((BS22-BP22)=4,BN21*(1+Setup!DD9),if((BS22-BP22)&gt;4.1,BN21*(1+Setup!DE9),BN21)))))))))),BX21/'Quick Setup'!$E11)</f>
        <v>420</v>
      </c>
      <c r="BW21" s="36" t="s">
        <v>77</v>
      </c>
      <c r="BX21" s="38"/>
      <c r="BY21" s="39"/>
      <c r="BZ21" s="39"/>
      <c r="CA21" s="39"/>
      <c r="CB21" s="39"/>
      <c r="CC21" s="39"/>
      <c r="CD21" s="37">
        <f>if(CF21="", if(BZ22="",BV21, if((BZ22-BY22)&lt;-1.9,BV21*(1+Setup!DJ9),if((BZ22-BY22)=-1,BV21*(1+Setup!DK9),if(CA22&lt;BX22,BV21*(1+Setup!DK9),if(CA22=BX22,BV21*(1+Setup!DL9),if((CA22-BX22)=1,BV21*(1+Setup!DM9),if((CA22-BX22)=2,BV21*(1+Setup!DN9),if((CA22-BX22)=3,BV21*(1+Setup!DO9),if((CA22-BX22)=4,BV21*(1+Setup!DP9),if((CA22-BX22)&gt;4.1,BV21*(1+Setup!DQ9),BV21)))))))))),CF21/'Quick Setup'!$E11)</f>
        <v>420</v>
      </c>
      <c r="CE21" s="36" t="s">
        <v>77</v>
      </c>
      <c r="CF21" s="38"/>
      <c r="CG21" s="39"/>
      <c r="CH21" s="39"/>
      <c r="CI21" s="39"/>
      <c r="CJ21" s="39"/>
      <c r="CK21" s="39"/>
      <c r="CL21" s="37">
        <f>if(CN21="", if(CH22="",CD21, if((CH22-CG22)&lt;-1.9,CD21*(1+Setup!DV9),if((CH22-CG22)=-1,CD21*(1+Setup!DW9),if(CI22&lt;CF22,CD21*(1+Setup!DW9),if(CI22=CF22,CD21*(1+Setup!DX9),if((CI22-CF22)=1,CD21*(1+Setup!DY9),if((CI22-CF22)=2,CD21*(1+Setup!DZ9),if((CI22-CF22)=3,CD21*(1+Setup!EA9),if((CI22-CF22)=4,CD21*(1+Setup!EB9),if((CI22-CF22)&gt;4.1,CD21*(1+Setup!EC9),CD21)))))))))),CN21/'Quick Setup'!$E11)</f>
        <v>420</v>
      </c>
      <c r="CM21" s="36" t="s">
        <v>77</v>
      </c>
      <c r="CN21" s="38"/>
      <c r="CO21" s="39"/>
      <c r="CP21" s="39"/>
      <c r="CQ21" s="39"/>
      <c r="CR21" s="39"/>
      <c r="CS21" s="39"/>
      <c r="CT21" s="37">
        <f>if(CV21="", if(CP22="",CL21, if((CP22-CO22)&lt;-1.9,CL21*(1+Setup!EH9),if((CP22-CO22)=-1,CL21*(1+Setup!EI9),if(CQ22&lt;CN22,CL21*(1+Setup!EI9),if(CQ22=CN22,CL21*(1+Setup!EJ9),if((CQ22-CN22)=1,CL21*(1+Setup!EK9),if((CQ22-CN22)=2,CL21*(1+Setup!EL9),if((CQ22-CN22)=3,CL21*(1+Setup!EM9),if((CQ22-CN22)=4,CL21*(1+Setup!EN9),if((CQ22-CN22)&gt;4.1,CL21*(1+Setup!EO9),CL21)))))))))),CV21/'Quick Setup'!$E11)</f>
        <v>420</v>
      </c>
      <c r="CU21" s="36" t="s">
        <v>77</v>
      </c>
      <c r="CV21" s="38"/>
      <c r="CW21" s="39"/>
      <c r="CX21" s="39"/>
      <c r="CY21" s="39"/>
      <c r="CZ21" s="39"/>
      <c r="DA21" s="39"/>
      <c r="DB21" s="37">
        <f>if(DD21="", if(CX22="",CT21, if((CX22-CW22)&lt;-1.9,CT21*(1+Setup!ET9),if((CX22-CW22)=-1,CT21*(1+Setup!EU9),if(CY22&lt;CV22,CT21*(1+Setup!EU9),if(CY22=CV22,CT21*(1+Setup!EV9),if((CY22-CV22)=1,CT21*(1+Setup!EW9),if((CY22-CV22)=2,CT21*(1+Setup!EX9),if((CY22-CV22)=3,CT21*(1+Setup!EY9),if((CY22-CV22)=4,CT21*(1+Setup!EZ9),if((CY22-CV22)&gt;4.1,CT21*(1+Setup!FA9),CT21)))))))))),DD21/'Quick Setup'!$E11)</f>
        <v>420</v>
      </c>
      <c r="DC21" s="36" t="s">
        <v>77</v>
      </c>
      <c r="DD21" s="38"/>
      <c r="DE21" s="39"/>
      <c r="DF21" s="39"/>
      <c r="DG21" s="39"/>
      <c r="DH21" s="39"/>
      <c r="DI21" s="39"/>
      <c r="DJ21" s="37">
        <f>if(DL21="",DB21,DL21/'Quick Setup'!$E11)</f>
        <v>420</v>
      </c>
      <c r="DK21" s="36" t="s">
        <v>77</v>
      </c>
      <c r="DL21" s="38"/>
      <c r="DM21" s="39"/>
      <c r="DN21" s="39"/>
      <c r="DO21" s="39"/>
      <c r="DP21" s="39"/>
      <c r="DQ21" s="39"/>
      <c r="DR21" s="37">
        <f>if(DT21="", if(DN22="",DJ21, if((DN22-DM22)&lt;-1.9,DJ21*(1+Setup!FR9),if((DN22-DM22)=-1,DJ21*(1+Setup!FS9),if(DO22&lt;DL22,DJ21*(1+Setup!FS9),if(DO22=DL22,DJ21*(1+Setup!FT9),if((DO22-DL22)=1,DJ21*(1+Setup!FU9),if((DO22-DL22)=2,DJ21*(1+Setup!FV9),if((DO22-DL22)=3,DJ21*(1+Setup!FW9),if((DO22-DL22)=4,DJ21*(1+Setup!FX9),if((DO22-DL22)&gt;4.1,DJ21*(1+Setup!FY9),DJ21)))))))))),DT21/'Quick Setup'!$E11)</f>
        <v>420</v>
      </c>
      <c r="DS21" s="36" t="s">
        <v>77</v>
      </c>
      <c r="DT21" s="38"/>
      <c r="DU21" s="39"/>
      <c r="DV21" s="39"/>
      <c r="DW21" s="39"/>
      <c r="DX21" s="39"/>
      <c r="DY21" s="39"/>
      <c r="DZ21" s="37">
        <f>if(EB21="", if(DV22="",DR21, if((DV22-DU22)&lt;-1.9,DR21*(1+Setup!GD9),if((DV22-DU22)=-1,DR21*(1+Setup!GE9),if(DW22&lt;DT22,DR21*(1+Setup!GE9),if(DW22=DT22,DR21*(1+Setup!GF9),if((DW22-DT22)=1,DR21*(1+Setup!GG9),if((DW22-DT22)=2,DR21*(1+Setup!GH9),if((DW22-DT22)=3,DR21*(1+Setup!GI9),if((DW22-DT22)=4,DR21*(1+Setup!GJ9),if((DW22-DT22)&gt;4.1,DR21*(1+Setup!GK9),DR21)))))))))),EB21/'Quick Setup'!$E11)</f>
        <v>420</v>
      </c>
      <c r="EA21" s="36" t="s">
        <v>77</v>
      </c>
      <c r="EB21" s="38"/>
      <c r="EC21" s="39"/>
      <c r="ED21" s="39"/>
      <c r="EE21" s="39"/>
      <c r="EF21" s="39"/>
      <c r="EG21" s="39"/>
      <c r="EH21" s="37">
        <f>if(EJ21="", if(ED22="",DZ21, if((ED22-EC22)&lt;-1.9,DZ21*(1+Setup!GP9),if((ED22-EC22)=-1,DZ21*(1+Setup!GQ9),if(EE22&lt;EB22,DZ21*(1+Setup!GQ9),if(EE22=EB22,DZ21*(1+Setup!GR9),if((EE22-EB22)=1,DZ21*(1+Setup!GS9),if((EE22-EB22)=2,DZ21*(1+Setup!GT9),if((EE22-EB22)=3,DZ21*(1+Setup!GU9),if((EE22-EB22)=4,DZ21*(1+Setup!GV9),if((EE22-EB22)&gt;4.1,DZ21*(1+Setup!GW9),DZ21)))))))))),EJ21/'Quick Setup'!$E11)</f>
        <v>420</v>
      </c>
      <c r="EI21" s="36" t="s">
        <v>77</v>
      </c>
      <c r="EJ21" s="38"/>
      <c r="EK21" s="39"/>
      <c r="EL21" s="39"/>
      <c r="EM21" s="39"/>
      <c r="EN21" s="39"/>
      <c r="EO21" s="39"/>
      <c r="EP21" s="37">
        <f>if(ER21="", if(EL22="",EH21, if((EL22-EK22)&lt;-1.9,EH21*(1+Setup!HB9),if((EL22-EK22)=-1,EH21*(1+Setup!HC9),if(EM22&lt;EJ22,EH21*(1+Setup!HC9),if(EM22=EJ22,EH21*(1+Setup!HD9),if((EM22-EJ22)=1,EH21*(1+Setup!HE9),if((EM22-EJ22)=2,EH21*(1+Setup!HF9),if((EM22-EJ22)=3,EH21*(1+Setup!HG9),if((EM22-EJ22)=4,EH21*(1+Setup!HH9),if((EM22-EJ22)&gt;4.1,EH21*(1+Setup!HI9),EH21)))))))))),ER21/'Quick Setup'!$E11)</f>
        <v>420</v>
      </c>
      <c r="EQ21" s="36" t="s">
        <v>77</v>
      </c>
      <c r="ER21" s="38"/>
      <c r="ES21" s="39"/>
      <c r="ET21" s="39"/>
      <c r="EU21" s="39"/>
      <c r="EV21" s="39"/>
      <c r="EW21" s="39"/>
      <c r="EX21" s="37">
        <f>if(EZ21="", if(ET22="",EP21, if((ET22-ES22)&lt;-1.9,EP21*(1+Setup!HN9),if((ET22-ES22)=-1,EP21*(1+Setup!HO9),if(EU22&lt;ER22,EP21*(1+Setup!HO9),if(EU22=ER22,EP21*(1+Setup!HP9),if((EU22-ER22)=1,EP21*(1+Setup!HQ9),if((EU22-ER22)=2,EP21*(1+Setup!HR9),if((EU22-ER22)=3,EP21*(1+Setup!HS9),if((EU22-ER22)=4,EP21*(1+Setup!HT9),if((EU22-ER22)&gt;4.1,EP21*(1+Setup!HU9),EP21)))))))))),EZ21/'Quick Setup'!$E11)</f>
        <v>420</v>
      </c>
      <c r="EY21" s="36" t="s">
        <v>77</v>
      </c>
      <c r="EZ21" s="38"/>
      <c r="FA21" s="39"/>
      <c r="FB21" s="39"/>
      <c r="FC21" s="39"/>
      <c r="FD21" s="39"/>
      <c r="FE21" s="39"/>
      <c r="FF21" s="37">
        <f>if(FH21="", if(FB22="",EX21, if((FB22-FA22)&lt;-1.9,EX21*(1+Setup!HZ9),if((FB22-FA22)=-1,EX21*(1+Setup!IA9),if(FC22&lt;EZ22,EX21*(1+Setup!IA9),if(FC22=EZ22,EX21*(1+Setup!IB9),if((FC22-EZ22)=1,EX21*(1+Setup!IC9),if((FC22-EZ22)=2,EX21*(1+Setup!ID9),if((FC22-EZ22)=3,EX21*(1+Setup!IE9),if((FC22-EZ22)=4,EX21*(1+Setup!IF9),if((FC22-EZ22)&gt;4.1,EX21*(1+Setup!IG9),EX21)))))))))),FH21/'Quick Setup'!$E11)</f>
        <v>420</v>
      </c>
      <c r="FG21" s="36" t="s">
        <v>77</v>
      </c>
      <c r="FH21" s="38"/>
      <c r="FI21" s="39"/>
      <c r="FJ21" s="39"/>
      <c r="FK21" s="39"/>
      <c r="FL21" s="39"/>
      <c r="FM21" s="39"/>
    </row>
    <row r="22">
      <c r="A22" s="1" t="str">
        <f>Setup!A9</f>
        <v>Front Squat</v>
      </c>
      <c r="B22" s="40">
        <f>mround(B21*Setup!B9,'Quick Setup'!$A$2)</f>
        <v>252.5</v>
      </c>
      <c r="C22" s="2">
        <f>Setup!C9</f>
        <v>7</v>
      </c>
      <c r="D22" s="2">
        <f>Setup!D9</f>
        <v>3</v>
      </c>
      <c r="E22" s="2">
        <f>Setup!E9</f>
        <v>5</v>
      </c>
      <c r="F22" s="8"/>
      <c r="G22" s="8"/>
      <c r="H22" s="8"/>
      <c r="I22" s="8"/>
      <c r="J22" s="40">
        <f>mround(J21*Setup!N9,'Quick Setup'!$A$2)</f>
        <v>272.5</v>
      </c>
      <c r="K22" s="2">
        <f>Setup!O9</f>
        <v>6</v>
      </c>
      <c r="L22" s="2">
        <f>Setup!P9</f>
        <v>3</v>
      </c>
      <c r="M22" s="2">
        <f>Setup!Q9</f>
        <v>5</v>
      </c>
      <c r="N22" s="8"/>
      <c r="O22" s="8"/>
      <c r="P22" s="8"/>
      <c r="Q22" s="8"/>
      <c r="R22" s="40">
        <f>mround(R21*Setup!Z9,'Quick Setup'!$A$2)</f>
        <v>295</v>
      </c>
      <c r="S22" s="2">
        <f>Setup!AA9</f>
        <v>5</v>
      </c>
      <c r="T22" s="2">
        <f>Setup!AB9</f>
        <v>3</v>
      </c>
      <c r="U22" s="2">
        <f>Setup!AC9</f>
        <v>5</v>
      </c>
      <c r="V22" s="8"/>
      <c r="W22" s="8"/>
      <c r="X22" s="8"/>
      <c r="Y22" s="8"/>
      <c r="Z22" s="40">
        <f>mround(Z21*Setup!AL9,'Quick Setup'!$A$2)</f>
        <v>262.5</v>
      </c>
      <c r="AA22" s="2">
        <f>Setup!AM9</f>
        <v>7</v>
      </c>
      <c r="AB22" s="2">
        <f>Setup!AN9</f>
        <v>3</v>
      </c>
      <c r="AC22" s="2">
        <f>Setup!AO9</f>
        <v>5</v>
      </c>
      <c r="AD22" s="8"/>
      <c r="AE22" s="8"/>
      <c r="AF22" s="8"/>
      <c r="AG22" s="8"/>
      <c r="AH22" s="40">
        <f>mround(AH21*Setup!AX9,'Quick Setup'!$A$2)</f>
        <v>282.5</v>
      </c>
      <c r="AI22" s="2">
        <f>Setup!AY9</f>
        <v>6</v>
      </c>
      <c r="AJ22" s="2">
        <f>Setup!AZ9</f>
        <v>3</v>
      </c>
      <c r="AK22" s="2">
        <f>Setup!BA9</f>
        <v>5</v>
      </c>
      <c r="AL22" s="8"/>
      <c r="AM22" s="8"/>
      <c r="AN22" s="8"/>
      <c r="AO22" s="8"/>
      <c r="AP22" s="40">
        <f>mround(AP21*Setup!BJ9,'Quick Setup'!$A$2)</f>
        <v>305</v>
      </c>
      <c r="AQ22" s="2">
        <f>Setup!BK9</f>
        <v>5</v>
      </c>
      <c r="AR22" s="2">
        <f>Setup!BL9</f>
        <v>3</v>
      </c>
      <c r="AS22" s="2">
        <f>Setup!BM9</f>
        <v>5</v>
      </c>
      <c r="AT22" s="8"/>
      <c r="AU22" s="8"/>
      <c r="AV22" s="8"/>
      <c r="AW22" s="8"/>
      <c r="AX22" s="40">
        <f>mround(AX21*Setup!BV9,'Quick Setup'!$A$2)</f>
        <v>210</v>
      </c>
      <c r="AY22" s="1">
        <v>5.0</v>
      </c>
      <c r="AZ22" s="1" t="s">
        <v>80</v>
      </c>
      <c r="BA22" s="2">
        <f>Setup!BY9</f>
        <v>5</v>
      </c>
      <c r="BB22" s="8"/>
      <c r="BC22" s="8"/>
      <c r="BD22" s="8"/>
      <c r="BE22" s="8"/>
      <c r="BF22" s="40">
        <f>mround(BF21*Setup!CH9,'Quick Setup'!$A$2)</f>
        <v>272.5</v>
      </c>
      <c r="BG22" s="2">
        <f>Setup!CI9</f>
        <v>6</v>
      </c>
      <c r="BH22" s="2">
        <f>Setup!CJ9</f>
        <v>3</v>
      </c>
      <c r="BI22" s="2">
        <f>Setup!CK9</f>
        <v>5</v>
      </c>
      <c r="BJ22" s="8"/>
      <c r="BK22" s="8"/>
      <c r="BL22" s="8"/>
      <c r="BM22" s="8"/>
      <c r="BN22" s="40">
        <f>mround(BN21*Setup!CT9,'Quick Setup'!$A$2)</f>
        <v>295</v>
      </c>
      <c r="BO22" s="2">
        <f>Setup!CU9</f>
        <v>5</v>
      </c>
      <c r="BP22" s="2">
        <f>Setup!CV9</f>
        <v>3</v>
      </c>
      <c r="BQ22" s="2">
        <f>Setup!CW9</f>
        <v>5</v>
      </c>
      <c r="BR22" s="8"/>
      <c r="BS22" s="8"/>
      <c r="BT22" s="8"/>
      <c r="BU22" s="8"/>
      <c r="BV22" s="40">
        <f>mround(BV21*Setup!DF9,'Quick Setup'!$A$2)</f>
        <v>315</v>
      </c>
      <c r="BW22" s="2">
        <f>Setup!DG9</f>
        <v>4</v>
      </c>
      <c r="BX22" s="2">
        <f>Setup!DH9</f>
        <v>2</v>
      </c>
      <c r="BY22" s="2">
        <f>Setup!DI9</f>
        <v>5</v>
      </c>
      <c r="BZ22" s="8"/>
      <c r="CA22" s="8"/>
      <c r="CB22" s="8"/>
      <c r="CC22" s="8"/>
      <c r="CD22" s="40">
        <f>mround(CD21*Setup!DR9,'Quick Setup'!$A$2)</f>
        <v>282.5</v>
      </c>
      <c r="CE22" s="2">
        <f>Setup!DS9</f>
        <v>6</v>
      </c>
      <c r="CF22" s="2">
        <f>Setup!DT9</f>
        <v>3</v>
      </c>
      <c r="CG22" s="2">
        <f>Setup!DU9</f>
        <v>5</v>
      </c>
      <c r="CH22" s="8"/>
      <c r="CI22" s="8"/>
      <c r="CJ22" s="8"/>
      <c r="CK22" s="8"/>
      <c r="CL22" s="40">
        <f>mround(CL21*Setup!ED9,'Quick Setup'!$A$2)</f>
        <v>305</v>
      </c>
      <c r="CM22" s="2">
        <f>Setup!EE9</f>
        <v>5</v>
      </c>
      <c r="CN22" s="2">
        <f>Setup!EF9</f>
        <v>3</v>
      </c>
      <c r="CO22" s="2">
        <f>Setup!EG9</f>
        <v>5</v>
      </c>
      <c r="CP22" s="8"/>
      <c r="CQ22" s="8"/>
      <c r="CR22" s="8"/>
      <c r="CS22" s="8"/>
      <c r="CT22" s="40">
        <f>mround(CT21*Setup!EP9,'Quick Setup'!$A$2)</f>
        <v>325</v>
      </c>
      <c r="CU22" s="2">
        <f>Setup!EQ9</f>
        <v>4</v>
      </c>
      <c r="CV22" s="2">
        <f>Setup!ER9</f>
        <v>2</v>
      </c>
      <c r="CW22" s="2">
        <f>Setup!ES9</f>
        <v>5</v>
      </c>
      <c r="CX22" s="8"/>
      <c r="CY22" s="8"/>
      <c r="CZ22" s="8"/>
      <c r="DA22" s="8"/>
      <c r="DB22" s="40">
        <f>mround(DB21*Setup!FB9,'Quick Setup'!$A$2)</f>
        <v>210</v>
      </c>
      <c r="DC22" s="1">
        <v>5.0</v>
      </c>
      <c r="DD22" s="1" t="s">
        <v>80</v>
      </c>
      <c r="DE22" s="2">
        <f>Setup!FE9</f>
        <v>5</v>
      </c>
      <c r="DF22" s="8"/>
      <c r="DG22" s="8"/>
      <c r="DH22" s="8"/>
      <c r="DI22" s="8"/>
      <c r="DJ22" s="40">
        <f>mround(DJ21*Setup!FN9,'Quick Setup'!$A$2)</f>
        <v>295</v>
      </c>
      <c r="DK22" s="2">
        <f>Setup!FO9</f>
        <v>5</v>
      </c>
      <c r="DL22" s="2">
        <f>Setup!FP9</f>
        <v>3</v>
      </c>
      <c r="DM22" s="2">
        <f>Setup!FQ9</f>
        <v>5</v>
      </c>
      <c r="DN22" s="8"/>
      <c r="DO22" s="8"/>
      <c r="DP22" s="8"/>
      <c r="DQ22" s="8"/>
      <c r="DR22" s="40">
        <f>mround(DR21*Setup!FZ9,'Quick Setup'!$A$2)</f>
        <v>315</v>
      </c>
      <c r="DS22" s="2">
        <f>Setup!GA9</f>
        <v>4</v>
      </c>
      <c r="DT22" s="2">
        <f>Setup!GB9</f>
        <v>2</v>
      </c>
      <c r="DU22" s="2">
        <f>Setup!GC9</f>
        <v>5</v>
      </c>
      <c r="DV22" s="8"/>
      <c r="DW22" s="8"/>
      <c r="DX22" s="8"/>
      <c r="DY22" s="8"/>
      <c r="DZ22" s="40">
        <f>mround(DZ21*Setup!GL9,'Quick Setup'!$A$2)</f>
        <v>335</v>
      </c>
      <c r="EA22" s="2">
        <f>Setup!GM9</f>
        <v>3</v>
      </c>
      <c r="EB22" s="2">
        <f>Setup!GN9</f>
        <v>2</v>
      </c>
      <c r="EC22" s="2">
        <f>Setup!GO9</f>
        <v>5</v>
      </c>
      <c r="ED22" s="8"/>
      <c r="EE22" s="8"/>
      <c r="EF22" s="8"/>
      <c r="EG22" s="8"/>
      <c r="EH22" s="40">
        <f>mround(EH21*Setup!GX9,'Quick Setup'!$A$2)</f>
        <v>315</v>
      </c>
      <c r="EI22" s="2">
        <f>Setup!GY9</f>
        <v>4</v>
      </c>
      <c r="EJ22" s="2">
        <f>Setup!GZ9</f>
        <v>2</v>
      </c>
      <c r="EK22" s="2">
        <f>Setup!HA9</f>
        <v>5</v>
      </c>
      <c r="EL22" s="8"/>
      <c r="EM22" s="8"/>
      <c r="EN22" s="8"/>
      <c r="EO22" s="8"/>
      <c r="EP22" s="40">
        <f>mround(EP21*Setup!HJ9,'Quick Setup'!$A$2)</f>
        <v>335</v>
      </c>
      <c r="EQ22" s="2">
        <f>Setup!HK9</f>
        <v>3</v>
      </c>
      <c r="ER22" s="2">
        <f>Setup!HL9</f>
        <v>2</v>
      </c>
      <c r="ES22" s="2">
        <f>Setup!HM9</f>
        <v>5</v>
      </c>
      <c r="ET22" s="8"/>
      <c r="EU22" s="8"/>
      <c r="EV22" s="8"/>
      <c r="EW22" s="8"/>
      <c r="EX22" s="40">
        <f>mround(EX21*Setup!HV9,'Quick Setup'!$A$2)</f>
        <v>357.5</v>
      </c>
      <c r="EY22" s="2">
        <f>Setup!HW9</f>
        <v>2</v>
      </c>
      <c r="EZ22" s="2">
        <f>Setup!HX9</f>
        <v>1</v>
      </c>
      <c r="FA22" s="2">
        <f>Setup!HY9</f>
        <v>5</v>
      </c>
      <c r="FB22" s="8"/>
      <c r="FC22" s="8"/>
      <c r="FD22" s="8"/>
      <c r="FE22" s="8"/>
      <c r="FF22" s="40">
        <f>mround(FF21*Setup!IH9,'Quick Setup'!$A$2)</f>
        <v>210</v>
      </c>
      <c r="FG22" s="1">
        <v>5.0</v>
      </c>
      <c r="FH22" s="1" t="s">
        <v>80</v>
      </c>
      <c r="FI22" s="2">
        <f>Setup!IK9</f>
        <v>5</v>
      </c>
      <c r="FJ22" s="8"/>
      <c r="FK22" s="8"/>
      <c r="FL22" s="8"/>
      <c r="FM22" s="8"/>
    </row>
    <row r="23">
      <c r="A23" s="5"/>
      <c r="B23" s="41"/>
      <c r="C23" s="8"/>
      <c r="D23" s="8"/>
      <c r="E23" s="8"/>
      <c r="F23" s="8"/>
      <c r="G23" s="8"/>
      <c r="H23" s="8"/>
      <c r="I23" s="8"/>
      <c r="J23" s="41" t="str">
        <f t="shared" ref="J23:O23" si="81">B23</f>
        <v/>
      </c>
      <c r="K23" s="8" t="str">
        <f t="shared" si="81"/>
        <v/>
      </c>
      <c r="L23" s="8" t="str">
        <f t="shared" si="81"/>
        <v/>
      </c>
      <c r="M23" s="8" t="str">
        <f t="shared" si="81"/>
        <v/>
      </c>
      <c r="N23" s="8" t="str">
        <f t="shared" si="81"/>
        <v/>
      </c>
      <c r="O23" s="8" t="str">
        <f t="shared" si="81"/>
        <v/>
      </c>
      <c r="P23" s="8"/>
      <c r="Q23" s="8"/>
      <c r="R23" s="41" t="str">
        <f t="shared" ref="R23:W23" si="82">J23</f>
        <v/>
      </c>
      <c r="S23" s="8" t="str">
        <f t="shared" si="82"/>
        <v/>
      </c>
      <c r="T23" s="8" t="str">
        <f t="shared" si="82"/>
        <v/>
      </c>
      <c r="U23" s="8" t="str">
        <f t="shared" si="82"/>
        <v/>
      </c>
      <c r="V23" s="8" t="str">
        <f t="shared" si="82"/>
        <v/>
      </c>
      <c r="W23" s="8" t="str">
        <f t="shared" si="82"/>
        <v/>
      </c>
      <c r="X23" s="8"/>
      <c r="Y23" s="8"/>
      <c r="Z23" s="41" t="str">
        <f t="shared" ref="Z23:AE23" si="83">R23</f>
        <v/>
      </c>
      <c r="AA23" s="8" t="str">
        <f t="shared" si="83"/>
        <v/>
      </c>
      <c r="AB23" s="8" t="str">
        <f t="shared" si="83"/>
        <v/>
      </c>
      <c r="AC23" s="8" t="str">
        <f t="shared" si="83"/>
        <v/>
      </c>
      <c r="AD23" s="8" t="str">
        <f t="shared" si="83"/>
        <v/>
      </c>
      <c r="AE23" s="8" t="str">
        <f t="shared" si="83"/>
        <v/>
      </c>
      <c r="AF23" s="8"/>
      <c r="AG23" s="8"/>
      <c r="AH23" s="41" t="str">
        <f t="shared" ref="AH23:AM23" si="84">Z23</f>
        <v/>
      </c>
      <c r="AI23" s="8" t="str">
        <f t="shared" si="84"/>
        <v/>
      </c>
      <c r="AJ23" s="8" t="str">
        <f t="shared" si="84"/>
        <v/>
      </c>
      <c r="AK23" s="8" t="str">
        <f t="shared" si="84"/>
        <v/>
      </c>
      <c r="AL23" s="8" t="str">
        <f t="shared" si="84"/>
        <v/>
      </c>
      <c r="AM23" s="8" t="str">
        <f t="shared" si="84"/>
        <v/>
      </c>
      <c r="AN23" s="8"/>
      <c r="AO23" s="8"/>
      <c r="AP23" s="41" t="str">
        <f t="shared" ref="AP23:AU23" si="85">AH23</f>
        <v/>
      </c>
      <c r="AQ23" s="8" t="str">
        <f t="shared" si="85"/>
        <v/>
      </c>
      <c r="AR23" s="8" t="str">
        <f t="shared" si="85"/>
        <v/>
      </c>
      <c r="AS23" s="8" t="str">
        <f t="shared" si="85"/>
        <v/>
      </c>
      <c r="AT23" s="8" t="str">
        <f t="shared" si="85"/>
        <v/>
      </c>
      <c r="AU23" s="8" t="str">
        <f t="shared" si="85"/>
        <v/>
      </c>
      <c r="AV23" s="8"/>
      <c r="AW23" s="8"/>
      <c r="AX23" s="41" t="str">
        <f t="shared" ref="AX23:BC23" si="86">AP23</f>
        <v/>
      </c>
      <c r="AY23" s="8" t="str">
        <f t="shared" si="86"/>
        <v/>
      </c>
      <c r="AZ23" s="8" t="str">
        <f t="shared" si="86"/>
        <v/>
      </c>
      <c r="BA23" s="8" t="str">
        <f t="shared" si="86"/>
        <v/>
      </c>
      <c r="BB23" s="8" t="str">
        <f t="shared" si="86"/>
        <v/>
      </c>
      <c r="BC23" s="8" t="str">
        <f t="shared" si="86"/>
        <v/>
      </c>
      <c r="BD23" s="8"/>
      <c r="BE23" s="8"/>
      <c r="BF23" s="41" t="str">
        <f t="shared" ref="BF23:BK23" si="87">AX23</f>
        <v/>
      </c>
      <c r="BG23" s="8" t="str">
        <f t="shared" si="87"/>
        <v/>
      </c>
      <c r="BH23" s="8" t="str">
        <f t="shared" si="87"/>
        <v/>
      </c>
      <c r="BI23" s="8" t="str">
        <f t="shared" si="87"/>
        <v/>
      </c>
      <c r="BJ23" s="8" t="str">
        <f t="shared" si="87"/>
        <v/>
      </c>
      <c r="BK23" s="8" t="str">
        <f t="shared" si="87"/>
        <v/>
      </c>
      <c r="BL23" s="8"/>
      <c r="BM23" s="8"/>
      <c r="BN23" s="41" t="str">
        <f t="shared" ref="BN23:BS23" si="88">BF23</f>
        <v/>
      </c>
      <c r="BO23" s="8" t="str">
        <f t="shared" si="88"/>
        <v/>
      </c>
      <c r="BP23" s="8" t="str">
        <f t="shared" si="88"/>
        <v/>
      </c>
      <c r="BQ23" s="8" t="str">
        <f t="shared" si="88"/>
        <v/>
      </c>
      <c r="BR23" s="8" t="str">
        <f t="shared" si="88"/>
        <v/>
      </c>
      <c r="BS23" s="8" t="str">
        <f t="shared" si="88"/>
        <v/>
      </c>
      <c r="BT23" s="8"/>
      <c r="BU23" s="8"/>
      <c r="BV23" s="41" t="str">
        <f t="shared" ref="BV23:CA23" si="89">BN23</f>
        <v/>
      </c>
      <c r="BW23" s="8" t="str">
        <f t="shared" si="89"/>
        <v/>
      </c>
      <c r="BX23" s="8" t="str">
        <f t="shared" si="89"/>
        <v/>
      </c>
      <c r="BY23" s="8" t="str">
        <f t="shared" si="89"/>
        <v/>
      </c>
      <c r="BZ23" s="8" t="str">
        <f t="shared" si="89"/>
        <v/>
      </c>
      <c r="CA23" s="8" t="str">
        <f t="shared" si="89"/>
        <v/>
      </c>
      <c r="CB23" s="8"/>
      <c r="CC23" s="8"/>
      <c r="CD23" s="41" t="str">
        <f t="shared" ref="CD23:CI23" si="90">BV23</f>
        <v/>
      </c>
      <c r="CE23" s="8" t="str">
        <f t="shared" si="90"/>
        <v/>
      </c>
      <c r="CF23" s="8" t="str">
        <f t="shared" si="90"/>
        <v/>
      </c>
      <c r="CG23" s="8" t="str">
        <f t="shared" si="90"/>
        <v/>
      </c>
      <c r="CH23" s="8" t="str">
        <f t="shared" si="90"/>
        <v/>
      </c>
      <c r="CI23" s="8" t="str">
        <f t="shared" si="90"/>
        <v/>
      </c>
      <c r="CJ23" s="8"/>
      <c r="CK23" s="8"/>
      <c r="CL23" s="41" t="str">
        <f t="shared" ref="CL23:CQ23" si="91">CD23</f>
        <v/>
      </c>
      <c r="CM23" s="8" t="str">
        <f t="shared" si="91"/>
        <v/>
      </c>
      <c r="CN23" s="8" t="str">
        <f t="shared" si="91"/>
        <v/>
      </c>
      <c r="CO23" s="8" t="str">
        <f t="shared" si="91"/>
        <v/>
      </c>
      <c r="CP23" s="8" t="str">
        <f t="shared" si="91"/>
        <v/>
      </c>
      <c r="CQ23" s="8" t="str">
        <f t="shared" si="91"/>
        <v/>
      </c>
      <c r="CR23" s="8"/>
      <c r="CS23" s="8"/>
      <c r="CT23" s="41" t="str">
        <f t="shared" ref="CT23:CY23" si="92">CL23</f>
        <v/>
      </c>
      <c r="CU23" s="8" t="str">
        <f t="shared" si="92"/>
        <v/>
      </c>
      <c r="CV23" s="8" t="str">
        <f t="shared" si="92"/>
        <v/>
      </c>
      <c r="CW23" s="8" t="str">
        <f t="shared" si="92"/>
        <v/>
      </c>
      <c r="CX23" s="8" t="str">
        <f t="shared" si="92"/>
        <v/>
      </c>
      <c r="CY23" s="8" t="str">
        <f t="shared" si="92"/>
        <v/>
      </c>
      <c r="CZ23" s="8"/>
      <c r="DA23" s="8"/>
      <c r="DB23" s="41" t="str">
        <f t="shared" ref="DB23:DG23" si="93">CT23</f>
        <v/>
      </c>
      <c r="DC23" s="8" t="str">
        <f t="shared" si="93"/>
        <v/>
      </c>
      <c r="DD23" s="8" t="str">
        <f t="shared" si="93"/>
        <v/>
      </c>
      <c r="DE23" s="8" t="str">
        <f t="shared" si="93"/>
        <v/>
      </c>
      <c r="DF23" s="8" t="str">
        <f t="shared" si="93"/>
        <v/>
      </c>
      <c r="DG23" s="8" t="str">
        <f t="shared" si="93"/>
        <v/>
      </c>
      <c r="DH23" s="8"/>
      <c r="DI23" s="8"/>
      <c r="DJ23" s="41" t="str">
        <f t="shared" ref="DJ23:DO23" si="94">DB23</f>
        <v/>
      </c>
      <c r="DK23" s="8" t="str">
        <f t="shared" si="94"/>
        <v/>
      </c>
      <c r="DL23" s="8" t="str">
        <f t="shared" si="94"/>
        <v/>
      </c>
      <c r="DM23" s="8" t="str">
        <f t="shared" si="94"/>
        <v/>
      </c>
      <c r="DN23" s="8" t="str">
        <f t="shared" si="94"/>
        <v/>
      </c>
      <c r="DO23" s="8" t="str">
        <f t="shared" si="94"/>
        <v/>
      </c>
      <c r="DP23" s="8"/>
      <c r="DQ23" s="8"/>
      <c r="DR23" s="41" t="str">
        <f t="shared" ref="DR23:DW23" si="95">DJ23</f>
        <v/>
      </c>
      <c r="DS23" s="8" t="str">
        <f t="shared" si="95"/>
        <v/>
      </c>
      <c r="DT23" s="8" t="str">
        <f t="shared" si="95"/>
        <v/>
      </c>
      <c r="DU23" s="8" t="str">
        <f t="shared" si="95"/>
        <v/>
      </c>
      <c r="DV23" s="8" t="str">
        <f t="shared" si="95"/>
        <v/>
      </c>
      <c r="DW23" s="8" t="str">
        <f t="shared" si="95"/>
        <v/>
      </c>
      <c r="DX23" s="8"/>
      <c r="DY23" s="8"/>
      <c r="DZ23" s="41" t="str">
        <f t="shared" ref="DZ23:EE23" si="96">DR23</f>
        <v/>
      </c>
      <c r="EA23" s="8" t="str">
        <f t="shared" si="96"/>
        <v/>
      </c>
      <c r="EB23" s="8" t="str">
        <f t="shared" si="96"/>
        <v/>
      </c>
      <c r="EC23" s="8" t="str">
        <f t="shared" si="96"/>
        <v/>
      </c>
      <c r="ED23" s="8" t="str">
        <f t="shared" si="96"/>
        <v/>
      </c>
      <c r="EE23" s="8" t="str">
        <f t="shared" si="96"/>
        <v/>
      </c>
      <c r="EF23" s="8"/>
      <c r="EG23" s="8"/>
      <c r="EH23" s="41" t="str">
        <f t="shared" ref="EH23:EM23" si="97">DZ23</f>
        <v/>
      </c>
      <c r="EI23" s="8" t="str">
        <f t="shared" si="97"/>
        <v/>
      </c>
      <c r="EJ23" s="8" t="str">
        <f t="shared" si="97"/>
        <v/>
      </c>
      <c r="EK23" s="8" t="str">
        <f t="shared" si="97"/>
        <v/>
      </c>
      <c r="EL23" s="8" t="str">
        <f t="shared" si="97"/>
        <v/>
      </c>
      <c r="EM23" s="8" t="str">
        <f t="shared" si="97"/>
        <v/>
      </c>
      <c r="EN23" s="8"/>
      <c r="EO23" s="8"/>
      <c r="EP23" s="41" t="str">
        <f t="shared" ref="EP23:EU23" si="98">EH23</f>
        <v/>
      </c>
      <c r="EQ23" s="8" t="str">
        <f t="shared" si="98"/>
        <v/>
      </c>
      <c r="ER23" s="8" t="str">
        <f t="shared" si="98"/>
        <v/>
      </c>
      <c r="ES23" s="8" t="str">
        <f t="shared" si="98"/>
        <v/>
      </c>
      <c r="ET23" s="8" t="str">
        <f t="shared" si="98"/>
        <v/>
      </c>
      <c r="EU23" s="8" t="str">
        <f t="shared" si="98"/>
        <v/>
      </c>
      <c r="EV23" s="8"/>
      <c r="EW23" s="8"/>
      <c r="EX23" s="41" t="str">
        <f t="shared" ref="EX23:FC23" si="99">EP23</f>
        <v/>
      </c>
      <c r="EY23" s="8" t="str">
        <f t="shared" si="99"/>
        <v/>
      </c>
      <c r="EZ23" s="8" t="str">
        <f t="shared" si="99"/>
        <v/>
      </c>
      <c r="FA23" s="8" t="str">
        <f t="shared" si="99"/>
        <v/>
      </c>
      <c r="FB23" s="8" t="str">
        <f t="shared" si="99"/>
        <v/>
      </c>
      <c r="FC23" s="8" t="str">
        <f t="shared" si="99"/>
        <v/>
      </c>
      <c r="FD23" s="8"/>
      <c r="FE23" s="8"/>
      <c r="FF23" s="41" t="str">
        <f t="shared" ref="FF23:FK23" si="100">EX23</f>
        <v/>
      </c>
      <c r="FG23" s="8" t="str">
        <f t="shared" si="100"/>
        <v/>
      </c>
      <c r="FH23" s="8" t="str">
        <f t="shared" si="100"/>
        <v/>
      </c>
      <c r="FI23" s="8" t="str">
        <f t="shared" si="100"/>
        <v/>
      </c>
      <c r="FJ23" s="8" t="str">
        <f t="shared" si="100"/>
        <v/>
      </c>
      <c r="FK23" s="8" t="str">
        <f t="shared" si="100"/>
        <v/>
      </c>
      <c r="FL23" s="8"/>
      <c r="FM23" s="8"/>
    </row>
    <row r="24">
      <c r="A24" s="1" t="s">
        <v>81</v>
      </c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42"/>
      <c r="B25" s="41"/>
      <c r="C25" s="8"/>
      <c r="D25" s="8"/>
      <c r="E25" s="8"/>
      <c r="F25" s="8"/>
      <c r="G25" s="8"/>
      <c r="H25" s="8"/>
      <c r="I25" s="8"/>
      <c r="J25" s="41" t="str">
        <f t="shared" ref="J25:O25" si="101">B25</f>
        <v/>
      </c>
      <c r="K25" s="8" t="str">
        <f t="shared" si="101"/>
        <v/>
      </c>
      <c r="L25" s="8" t="str">
        <f t="shared" si="101"/>
        <v/>
      </c>
      <c r="M25" s="8" t="str">
        <f t="shared" si="101"/>
        <v/>
      </c>
      <c r="N25" s="8" t="str">
        <f t="shared" si="101"/>
        <v/>
      </c>
      <c r="O25" s="8" t="str">
        <f t="shared" si="101"/>
        <v/>
      </c>
      <c r="P25" s="8"/>
      <c r="Q25" s="8"/>
      <c r="R25" s="41" t="str">
        <f t="shared" ref="R25:W25" si="102">J25</f>
        <v/>
      </c>
      <c r="S25" s="8" t="str">
        <f t="shared" si="102"/>
        <v/>
      </c>
      <c r="T25" s="8" t="str">
        <f t="shared" si="102"/>
        <v/>
      </c>
      <c r="U25" s="8" t="str">
        <f t="shared" si="102"/>
        <v/>
      </c>
      <c r="V25" s="8" t="str">
        <f t="shared" si="102"/>
        <v/>
      </c>
      <c r="W25" s="8" t="str">
        <f t="shared" si="102"/>
        <v/>
      </c>
      <c r="X25" s="8"/>
      <c r="Y25" s="8"/>
      <c r="Z25" s="41" t="str">
        <f t="shared" ref="Z25:AE25" si="103">R25</f>
        <v/>
      </c>
      <c r="AA25" s="8" t="str">
        <f t="shared" si="103"/>
        <v/>
      </c>
      <c r="AB25" s="8" t="str">
        <f t="shared" si="103"/>
        <v/>
      </c>
      <c r="AC25" s="8" t="str">
        <f t="shared" si="103"/>
        <v/>
      </c>
      <c r="AD25" s="8" t="str">
        <f t="shared" si="103"/>
        <v/>
      </c>
      <c r="AE25" s="8" t="str">
        <f t="shared" si="103"/>
        <v/>
      </c>
      <c r="AF25" s="8"/>
      <c r="AG25" s="8"/>
      <c r="AH25" s="41" t="str">
        <f t="shared" ref="AH25:AM25" si="104">Z25</f>
        <v/>
      </c>
      <c r="AI25" s="8" t="str">
        <f t="shared" si="104"/>
        <v/>
      </c>
      <c r="AJ25" s="8" t="str">
        <f t="shared" si="104"/>
        <v/>
      </c>
      <c r="AK25" s="8" t="str">
        <f t="shared" si="104"/>
        <v/>
      </c>
      <c r="AL25" s="8" t="str">
        <f t="shared" si="104"/>
        <v/>
      </c>
      <c r="AM25" s="8" t="str">
        <f t="shared" si="104"/>
        <v/>
      </c>
      <c r="AN25" s="8"/>
      <c r="AO25" s="8"/>
      <c r="AP25" s="41" t="str">
        <f t="shared" ref="AP25:AU25" si="105">AH25</f>
        <v/>
      </c>
      <c r="AQ25" s="8" t="str">
        <f t="shared" si="105"/>
        <v/>
      </c>
      <c r="AR25" s="8" t="str">
        <f t="shared" si="105"/>
        <v/>
      </c>
      <c r="AS25" s="8" t="str">
        <f t="shared" si="105"/>
        <v/>
      </c>
      <c r="AT25" s="8" t="str">
        <f t="shared" si="105"/>
        <v/>
      </c>
      <c r="AU25" s="8" t="str">
        <f t="shared" si="105"/>
        <v/>
      </c>
      <c r="AV25" s="8"/>
      <c r="AW25" s="8"/>
      <c r="AX25" s="41" t="str">
        <f t="shared" ref="AX25:BC25" si="106">AP25</f>
        <v/>
      </c>
      <c r="AY25" s="8" t="str">
        <f t="shared" si="106"/>
        <v/>
      </c>
      <c r="AZ25" s="8" t="str">
        <f t="shared" si="106"/>
        <v/>
      </c>
      <c r="BA25" s="8" t="str">
        <f t="shared" si="106"/>
        <v/>
      </c>
      <c r="BB25" s="8" t="str">
        <f t="shared" si="106"/>
        <v/>
      </c>
      <c r="BC25" s="8" t="str">
        <f t="shared" si="106"/>
        <v/>
      </c>
      <c r="BD25" s="8"/>
      <c r="BE25" s="8"/>
      <c r="BF25" s="41" t="str">
        <f t="shared" ref="BF25:BK25" si="107">AX25</f>
        <v/>
      </c>
      <c r="BG25" s="8" t="str">
        <f t="shared" si="107"/>
        <v/>
      </c>
      <c r="BH25" s="8" t="str">
        <f t="shared" si="107"/>
        <v/>
      </c>
      <c r="BI25" s="8" t="str">
        <f t="shared" si="107"/>
        <v/>
      </c>
      <c r="BJ25" s="8" t="str">
        <f t="shared" si="107"/>
        <v/>
      </c>
      <c r="BK25" s="8" t="str">
        <f t="shared" si="107"/>
        <v/>
      </c>
      <c r="BL25" s="8"/>
      <c r="BM25" s="8"/>
      <c r="BN25" s="41" t="str">
        <f t="shared" ref="BN25:BS25" si="108">BF25</f>
        <v/>
      </c>
      <c r="BO25" s="8" t="str">
        <f t="shared" si="108"/>
        <v/>
      </c>
      <c r="BP25" s="8" t="str">
        <f t="shared" si="108"/>
        <v/>
      </c>
      <c r="BQ25" s="8" t="str">
        <f t="shared" si="108"/>
        <v/>
      </c>
      <c r="BR25" s="8" t="str">
        <f t="shared" si="108"/>
        <v/>
      </c>
      <c r="BS25" s="8" t="str">
        <f t="shared" si="108"/>
        <v/>
      </c>
      <c r="BT25" s="8"/>
      <c r="BU25" s="8"/>
      <c r="BV25" s="41" t="str">
        <f t="shared" ref="BV25:CA25" si="109">BN25</f>
        <v/>
      </c>
      <c r="BW25" s="8" t="str">
        <f t="shared" si="109"/>
        <v/>
      </c>
      <c r="BX25" s="8" t="str">
        <f t="shared" si="109"/>
        <v/>
      </c>
      <c r="BY25" s="8" t="str">
        <f t="shared" si="109"/>
        <v/>
      </c>
      <c r="BZ25" s="8" t="str">
        <f t="shared" si="109"/>
        <v/>
      </c>
      <c r="CA25" s="8" t="str">
        <f t="shared" si="109"/>
        <v/>
      </c>
      <c r="CB25" s="8"/>
      <c r="CC25" s="8"/>
      <c r="CD25" s="41" t="str">
        <f t="shared" ref="CD25:CI25" si="110">BV25</f>
        <v/>
      </c>
      <c r="CE25" s="8" t="str">
        <f t="shared" si="110"/>
        <v/>
      </c>
      <c r="CF25" s="8" t="str">
        <f t="shared" si="110"/>
        <v/>
      </c>
      <c r="CG25" s="8" t="str">
        <f t="shared" si="110"/>
        <v/>
      </c>
      <c r="CH25" s="8" t="str">
        <f t="shared" si="110"/>
        <v/>
      </c>
      <c r="CI25" s="8" t="str">
        <f t="shared" si="110"/>
        <v/>
      </c>
      <c r="CJ25" s="8"/>
      <c r="CK25" s="8"/>
      <c r="CL25" s="41" t="str">
        <f t="shared" ref="CL25:CQ25" si="111">CD25</f>
        <v/>
      </c>
      <c r="CM25" s="8" t="str">
        <f t="shared" si="111"/>
        <v/>
      </c>
      <c r="CN25" s="8" t="str">
        <f t="shared" si="111"/>
        <v/>
      </c>
      <c r="CO25" s="8" t="str">
        <f t="shared" si="111"/>
        <v/>
      </c>
      <c r="CP25" s="8" t="str">
        <f t="shared" si="111"/>
        <v/>
      </c>
      <c r="CQ25" s="8" t="str">
        <f t="shared" si="111"/>
        <v/>
      </c>
      <c r="CR25" s="8"/>
      <c r="CS25" s="8"/>
      <c r="CT25" s="41" t="str">
        <f t="shared" ref="CT25:CY25" si="112">CL25</f>
        <v/>
      </c>
      <c r="CU25" s="8" t="str">
        <f t="shared" si="112"/>
        <v/>
      </c>
      <c r="CV25" s="8" t="str">
        <f t="shared" si="112"/>
        <v/>
      </c>
      <c r="CW25" s="8" t="str">
        <f t="shared" si="112"/>
        <v/>
      </c>
      <c r="CX25" s="8" t="str">
        <f t="shared" si="112"/>
        <v/>
      </c>
      <c r="CY25" s="8" t="str">
        <f t="shared" si="112"/>
        <v/>
      </c>
      <c r="CZ25" s="8"/>
      <c r="DA25" s="8"/>
      <c r="DB25" s="41" t="str">
        <f t="shared" ref="DB25:DG25" si="113">CT25</f>
        <v/>
      </c>
      <c r="DC25" s="8" t="str">
        <f t="shared" si="113"/>
        <v/>
      </c>
      <c r="DD25" s="8" t="str">
        <f t="shared" si="113"/>
        <v/>
      </c>
      <c r="DE25" s="8" t="str">
        <f t="shared" si="113"/>
        <v/>
      </c>
      <c r="DF25" s="8" t="str">
        <f t="shared" si="113"/>
        <v/>
      </c>
      <c r="DG25" s="8" t="str">
        <f t="shared" si="113"/>
        <v/>
      </c>
      <c r="DH25" s="8"/>
      <c r="DI25" s="8"/>
      <c r="DJ25" s="41" t="str">
        <f t="shared" ref="DJ25:DO25" si="114">DB25</f>
        <v/>
      </c>
      <c r="DK25" s="8" t="str">
        <f t="shared" si="114"/>
        <v/>
      </c>
      <c r="DL25" s="8" t="str">
        <f t="shared" si="114"/>
        <v/>
      </c>
      <c r="DM25" s="8" t="str">
        <f t="shared" si="114"/>
        <v/>
      </c>
      <c r="DN25" s="8" t="str">
        <f t="shared" si="114"/>
        <v/>
      </c>
      <c r="DO25" s="8" t="str">
        <f t="shared" si="114"/>
        <v/>
      </c>
      <c r="DP25" s="8"/>
      <c r="DQ25" s="8"/>
      <c r="DR25" s="41" t="str">
        <f t="shared" ref="DR25:DW25" si="115">DJ25</f>
        <v/>
      </c>
      <c r="DS25" s="8" t="str">
        <f t="shared" si="115"/>
        <v/>
      </c>
      <c r="DT25" s="8" t="str">
        <f t="shared" si="115"/>
        <v/>
      </c>
      <c r="DU25" s="8" t="str">
        <f t="shared" si="115"/>
        <v/>
      </c>
      <c r="DV25" s="8" t="str">
        <f t="shared" si="115"/>
        <v/>
      </c>
      <c r="DW25" s="8" t="str">
        <f t="shared" si="115"/>
        <v/>
      </c>
      <c r="DX25" s="8"/>
      <c r="DY25" s="8"/>
      <c r="DZ25" s="41" t="str">
        <f t="shared" ref="DZ25:EE25" si="116">DR25</f>
        <v/>
      </c>
      <c r="EA25" s="8" t="str">
        <f t="shared" si="116"/>
        <v/>
      </c>
      <c r="EB25" s="8" t="str">
        <f t="shared" si="116"/>
        <v/>
      </c>
      <c r="EC25" s="8" t="str">
        <f t="shared" si="116"/>
        <v/>
      </c>
      <c r="ED25" s="8" t="str">
        <f t="shared" si="116"/>
        <v/>
      </c>
      <c r="EE25" s="8" t="str">
        <f t="shared" si="116"/>
        <v/>
      </c>
      <c r="EF25" s="8"/>
      <c r="EG25" s="8"/>
      <c r="EH25" s="41" t="str">
        <f t="shared" ref="EH25:EM25" si="117">DZ25</f>
        <v/>
      </c>
      <c r="EI25" s="8" t="str">
        <f t="shared" si="117"/>
        <v/>
      </c>
      <c r="EJ25" s="8" t="str">
        <f t="shared" si="117"/>
        <v/>
      </c>
      <c r="EK25" s="8" t="str">
        <f t="shared" si="117"/>
        <v/>
      </c>
      <c r="EL25" s="8" t="str">
        <f t="shared" si="117"/>
        <v/>
      </c>
      <c r="EM25" s="8" t="str">
        <f t="shared" si="117"/>
        <v/>
      </c>
      <c r="EN25" s="8"/>
      <c r="EO25" s="8"/>
      <c r="EP25" s="41" t="str">
        <f t="shared" ref="EP25:EU25" si="118">EH25</f>
        <v/>
      </c>
      <c r="EQ25" s="8" t="str">
        <f t="shared" si="118"/>
        <v/>
      </c>
      <c r="ER25" s="8" t="str">
        <f t="shared" si="118"/>
        <v/>
      </c>
      <c r="ES25" s="8" t="str">
        <f t="shared" si="118"/>
        <v/>
      </c>
      <c r="ET25" s="8" t="str">
        <f t="shared" si="118"/>
        <v/>
      </c>
      <c r="EU25" s="8" t="str">
        <f t="shared" si="118"/>
        <v/>
      </c>
      <c r="EV25" s="8"/>
      <c r="EW25" s="8"/>
      <c r="EX25" s="41" t="str">
        <f t="shared" ref="EX25:FC25" si="119">EP25</f>
        <v/>
      </c>
      <c r="EY25" s="8" t="str">
        <f t="shared" si="119"/>
        <v/>
      </c>
      <c r="EZ25" s="8" t="str">
        <f t="shared" si="119"/>
        <v/>
      </c>
      <c r="FA25" s="8" t="str">
        <f t="shared" si="119"/>
        <v/>
      </c>
      <c r="FB25" s="8" t="str">
        <f t="shared" si="119"/>
        <v/>
      </c>
      <c r="FC25" s="8" t="str">
        <f t="shared" si="119"/>
        <v/>
      </c>
      <c r="FD25" s="8"/>
      <c r="FE25" s="8"/>
      <c r="FF25" s="41" t="str">
        <f t="shared" ref="FF25:FK25" si="120">EX25</f>
        <v/>
      </c>
      <c r="FG25" s="8" t="str">
        <f t="shared" si="120"/>
        <v/>
      </c>
      <c r="FH25" s="8" t="str">
        <f t="shared" si="120"/>
        <v/>
      </c>
      <c r="FI25" s="8" t="str">
        <f t="shared" si="120"/>
        <v/>
      </c>
      <c r="FJ25" s="8" t="str">
        <f t="shared" si="120"/>
        <v/>
      </c>
      <c r="FK25" s="8" t="str">
        <f t="shared" si="120"/>
        <v/>
      </c>
      <c r="FL25" s="8"/>
      <c r="FM25" s="8"/>
    </row>
    <row r="26">
      <c r="A26" s="42"/>
      <c r="B26" s="41"/>
      <c r="C26" s="8"/>
      <c r="D26" s="8"/>
      <c r="E26" s="8"/>
      <c r="F26" s="8"/>
      <c r="G26" s="8"/>
      <c r="H26" s="8"/>
      <c r="I26" s="8"/>
      <c r="J26" s="41" t="str">
        <f t="shared" ref="J26:O26" si="121">B26</f>
        <v/>
      </c>
      <c r="K26" s="8" t="str">
        <f t="shared" si="121"/>
        <v/>
      </c>
      <c r="L26" s="8" t="str">
        <f t="shared" si="121"/>
        <v/>
      </c>
      <c r="M26" s="8" t="str">
        <f t="shared" si="121"/>
        <v/>
      </c>
      <c r="N26" s="8" t="str">
        <f t="shared" si="121"/>
        <v/>
      </c>
      <c r="O26" s="8" t="str">
        <f t="shared" si="121"/>
        <v/>
      </c>
      <c r="P26" s="8"/>
      <c r="Q26" s="8"/>
      <c r="R26" s="41" t="str">
        <f t="shared" ref="R26:W26" si="122">J26</f>
        <v/>
      </c>
      <c r="S26" s="8" t="str">
        <f t="shared" si="122"/>
        <v/>
      </c>
      <c r="T26" s="8" t="str">
        <f t="shared" si="122"/>
        <v/>
      </c>
      <c r="U26" s="8" t="str">
        <f t="shared" si="122"/>
        <v/>
      </c>
      <c r="V26" s="8" t="str">
        <f t="shared" si="122"/>
        <v/>
      </c>
      <c r="W26" s="8" t="str">
        <f t="shared" si="122"/>
        <v/>
      </c>
      <c r="X26" s="8"/>
      <c r="Y26" s="8"/>
      <c r="Z26" s="41" t="str">
        <f t="shared" ref="Z26:AE26" si="123">R26</f>
        <v/>
      </c>
      <c r="AA26" s="8" t="str">
        <f t="shared" si="123"/>
        <v/>
      </c>
      <c r="AB26" s="8" t="str">
        <f t="shared" si="123"/>
        <v/>
      </c>
      <c r="AC26" s="8" t="str">
        <f t="shared" si="123"/>
        <v/>
      </c>
      <c r="AD26" s="8" t="str">
        <f t="shared" si="123"/>
        <v/>
      </c>
      <c r="AE26" s="8" t="str">
        <f t="shared" si="123"/>
        <v/>
      </c>
      <c r="AF26" s="8"/>
      <c r="AG26" s="8"/>
      <c r="AH26" s="41" t="str">
        <f t="shared" ref="AH26:AM26" si="124">Z26</f>
        <v/>
      </c>
      <c r="AI26" s="8" t="str">
        <f t="shared" si="124"/>
        <v/>
      </c>
      <c r="AJ26" s="8" t="str">
        <f t="shared" si="124"/>
        <v/>
      </c>
      <c r="AK26" s="8" t="str">
        <f t="shared" si="124"/>
        <v/>
      </c>
      <c r="AL26" s="8" t="str">
        <f t="shared" si="124"/>
        <v/>
      </c>
      <c r="AM26" s="8" t="str">
        <f t="shared" si="124"/>
        <v/>
      </c>
      <c r="AN26" s="8"/>
      <c r="AO26" s="8"/>
      <c r="AP26" s="41" t="str">
        <f t="shared" ref="AP26:AU26" si="125">AH26</f>
        <v/>
      </c>
      <c r="AQ26" s="8" t="str">
        <f t="shared" si="125"/>
        <v/>
      </c>
      <c r="AR26" s="8" t="str">
        <f t="shared" si="125"/>
        <v/>
      </c>
      <c r="AS26" s="8" t="str">
        <f t="shared" si="125"/>
        <v/>
      </c>
      <c r="AT26" s="8" t="str">
        <f t="shared" si="125"/>
        <v/>
      </c>
      <c r="AU26" s="8" t="str">
        <f t="shared" si="125"/>
        <v/>
      </c>
      <c r="AV26" s="8"/>
      <c r="AW26" s="8"/>
      <c r="AX26" s="41" t="str">
        <f t="shared" ref="AX26:BC26" si="126">AP26</f>
        <v/>
      </c>
      <c r="AY26" s="8" t="str">
        <f t="shared" si="126"/>
        <v/>
      </c>
      <c r="AZ26" s="8" t="str">
        <f t="shared" si="126"/>
        <v/>
      </c>
      <c r="BA26" s="8" t="str">
        <f t="shared" si="126"/>
        <v/>
      </c>
      <c r="BB26" s="8" t="str">
        <f t="shared" si="126"/>
        <v/>
      </c>
      <c r="BC26" s="8" t="str">
        <f t="shared" si="126"/>
        <v/>
      </c>
      <c r="BD26" s="8"/>
      <c r="BE26" s="8"/>
      <c r="BF26" s="41" t="str">
        <f t="shared" ref="BF26:BK26" si="127">AX26</f>
        <v/>
      </c>
      <c r="BG26" s="8" t="str">
        <f t="shared" si="127"/>
        <v/>
      </c>
      <c r="BH26" s="8" t="str">
        <f t="shared" si="127"/>
        <v/>
      </c>
      <c r="BI26" s="8" t="str">
        <f t="shared" si="127"/>
        <v/>
      </c>
      <c r="BJ26" s="8" t="str">
        <f t="shared" si="127"/>
        <v/>
      </c>
      <c r="BK26" s="8" t="str">
        <f t="shared" si="127"/>
        <v/>
      </c>
      <c r="BL26" s="8"/>
      <c r="BM26" s="8"/>
      <c r="BN26" s="41" t="str">
        <f t="shared" ref="BN26:BS26" si="128">BF26</f>
        <v/>
      </c>
      <c r="BO26" s="8" t="str">
        <f t="shared" si="128"/>
        <v/>
      </c>
      <c r="BP26" s="8" t="str">
        <f t="shared" si="128"/>
        <v/>
      </c>
      <c r="BQ26" s="8" t="str">
        <f t="shared" si="128"/>
        <v/>
      </c>
      <c r="BR26" s="8" t="str">
        <f t="shared" si="128"/>
        <v/>
      </c>
      <c r="BS26" s="8" t="str">
        <f t="shared" si="128"/>
        <v/>
      </c>
      <c r="BT26" s="8"/>
      <c r="BU26" s="8"/>
      <c r="BV26" s="41" t="str">
        <f t="shared" ref="BV26:CA26" si="129">BN26</f>
        <v/>
      </c>
      <c r="BW26" s="8" t="str">
        <f t="shared" si="129"/>
        <v/>
      </c>
      <c r="BX26" s="8" t="str">
        <f t="shared" si="129"/>
        <v/>
      </c>
      <c r="BY26" s="8" t="str">
        <f t="shared" si="129"/>
        <v/>
      </c>
      <c r="BZ26" s="8" t="str">
        <f t="shared" si="129"/>
        <v/>
      </c>
      <c r="CA26" s="8" t="str">
        <f t="shared" si="129"/>
        <v/>
      </c>
      <c r="CB26" s="8"/>
      <c r="CC26" s="8"/>
      <c r="CD26" s="41" t="str">
        <f t="shared" ref="CD26:CI26" si="130">BV26</f>
        <v/>
      </c>
      <c r="CE26" s="8" t="str">
        <f t="shared" si="130"/>
        <v/>
      </c>
      <c r="CF26" s="8" t="str">
        <f t="shared" si="130"/>
        <v/>
      </c>
      <c r="CG26" s="8" t="str">
        <f t="shared" si="130"/>
        <v/>
      </c>
      <c r="CH26" s="8" t="str">
        <f t="shared" si="130"/>
        <v/>
      </c>
      <c r="CI26" s="8" t="str">
        <f t="shared" si="130"/>
        <v/>
      </c>
      <c r="CJ26" s="8"/>
      <c r="CK26" s="8"/>
      <c r="CL26" s="41" t="str">
        <f t="shared" ref="CL26:CQ26" si="131">CD26</f>
        <v/>
      </c>
      <c r="CM26" s="8" t="str">
        <f t="shared" si="131"/>
        <v/>
      </c>
      <c r="CN26" s="8" t="str">
        <f t="shared" si="131"/>
        <v/>
      </c>
      <c r="CO26" s="8" t="str">
        <f t="shared" si="131"/>
        <v/>
      </c>
      <c r="CP26" s="8" t="str">
        <f t="shared" si="131"/>
        <v/>
      </c>
      <c r="CQ26" s="8" t="str">
        <f t="shared" si="131"/>
        <v/>
      </c>
      <c r="CR26" s="8"/>
      <c r="CS26" s="8"/>
      <c r="CT26" s="41" t="str">
        <f t="shared" ref="CT26:CY26" si="132">CL26</f>
        <v/>
      </c>
      <c r="CU26" s="8" t="str">
        <f t="shared" si="132"/>
        <v/>
      </c>
      <c r="CV26" s="8" t="str">
        <f t="shared" si="132"/>
        <v/>
      </c>
      <c r="CW26" s="8" t="str">
        <f t="shared" si="132"/>
        <v/>
      </c>
      <c r="CX26" s="8" t="str">
        <f t="shared" si="132"/>
        <v/>
      </c>
      <c r="CY26" s="8" t="str">
        <f t="shared" si="132"/>
        <v/>
      </c>
      <c r="CZ26" s="8"/>
      <c r="DA26" s="8"/>
      <c r="DB26" s="41" t="str">
        <f t="shared" ref="DB26:DG26" si="133">CT26</f>
        <v/>
      </c>
      <c r="DC26" s="8" t="str">
        <f t="shared" si="133"/>
        <v/>
      </c>
      <c r="DD26" s="8" t="str">
        <f t="shared" si="133"/>
        <v/>
      </c>
      <c r="DE26" s="8" t="str">
        <f t="shared" si="133"/>
        <v/>
      </c>
      <c r="DF26" s="8" t="str">
        <f t="shared" si="133"/>
        <v/>
      </c>
      <c r="DG26" s="8" t="str">
        <f t="shared" si="133"/>
        <v/>
      </c>
      <c r="DH26" s="8"/>
      <c r="DI26" s="8"/>
      <c r="DJ26" s="41" t="str">
        <f t="shared" ref="DJ26:DO26" si="134">DB26</f>
        <v/>
      </c>
      <c r="DK26" s="8" t="str">
        <f t="shared" si="134"/>
        <v/>
      </c>
      <c r="DL26" s="8" t="str">
        <f t="shared" si="134"/>
        <v/>
      </c>
      <c r="DM26" s="8" t="str">
        <f t="shared" si="134"/>
        <v/>
      </c>
      <c r="DN26" s="8" t="str">
        <f t="shared" si="134"/>
        <v/>
      </c>
      <c r="DO26" s="8" t="str">
        <f t="shared" si="134"/>
        <v/>
      </c>
      <c r="DP26" s="8"/>
      <c r="DQ26" s="8"/>
      <c r="DR26" s="41" t="str">
        <f t="shared" ref="DR26:DW26" si="135">DJ26</f>
        <v/>
      </c>
      <c r="DS26" s="8" t="str">
        <f t="shared" si="135"/>
        <v/>
      </c>
      <c r="DT26" s="8" t="str">
        <f t="shared" si="135"/>
        <v/>
      </c>
      <c r="DU26" s="8" t="str">
        <f t="shared" si="135"/>
        <v/>
      </c>
      <c r="DV26" s="8" t="str">
        <f t="shared" si="135"/>
        <v/>
      </c>
      <c r="DW26" s="8" t="str">
        <f t="shared" si="135"/>
        <v/>
      </c>
      <c r="DX26" s="8"/>
      <c r="DY26" s="8"/>
      <c r="DZ26" s="41" t="str">
        <f t="shared" ref="DZ26:EE26" si="136">DR26</f>
        <v/>
      </c>
      <c r="EA26" s="8" t="str">
        <f t="shared" si="136"/>
        <v/>
      </c>
      <c r="EB26" s="8" t="str">
        <f t="shared" si="136"/>
        <v/>
      </c>
      <c r="EC26" s="8" t="str">
        <f t="shared" si="136"/>
        <v/>
      </c>
      <c r="ED26" s="8" t="str">
        <f t="shared" si="136"/>
        <v/>
      </c>
      <c r="EE26" s="8" t="str">
        <f t="shared" si="136"/>
        <v/>
      </c>
      <c r="EF26" s="8"/>
      <c r="EG26" s="8"/>
      <c r="EH26" s="41" t="str">
        <f t="shared" ref="EH26:EM26" si="137">DZ26</f>
        <v/>
      </c>
      <c r="EI26" s="8" t="str">
        <f t="shared" si="137"/>
        <v/>
      </c>
      <c r="EJ26" s="8" t="str">
        <f t="shared" si="137"/>
        <v/>
      </c>
      <c r="EK26" s="8" t="str">
        <f t="shared" si="137"/>
        <v/>
      </c>
      <c r="EL26" s="8" t="str">
        <f t="shared" si="137"/>
        <v/>
      </c>
      <c r="EM26" s="8" t="str">
        <f t="shared" si="137"/>
        <v/>
      </c>
      <c r="EN26" s="8"/>
      <c r="EO26" s="8"/>
      <c r="EP26" s="41" t="str">
        <f t="shared" ref="EP26:EU26" si="138">EH26</f>
        <v/>
      </c>
      <c r="EQ26" s="8" t="str">
        <f t="shared" si="138"/>
        <v/>
      </c>
      <c r="ER26" s="8" t="str">
        <f t="shared" si="138"/>
        <v/>
      </c>
      <c r="ES26" s="8" t="str">
        <f t="shared" si="138"/>
        <v/>
      </c>
      <c r="ET26" s="8" t="str">
        <f t="shared" si="138"/>
        <v/>
      </c>
      <c r="EU26" s="8" t="str">
        <f t="shared" si="138"/>
        <v/>
      </c>
      <c r="EV26" s="8"/>
      <c r="EW26" s="8"/>
      <c r="EX26" s="41" t="str">
        <f t="shared" ref="EX26:FC26" si="139">EP26</f>
        <v/>
      </c>
      <c r="EY26" s="8" t="str">
        <f t="shared" si="139"/>
        <v/>
      </c>
      <c r="EZ26" s="8" t="str">
        <f t="shared" si="139"/>
        <v/>
      </c>
      <c r="FA26" s="8" t="str">
        <f t="shared" si="139"/>
        <v/>
      </c>
      <c r="FB26" s="8" t="str">
        <f t="shared" si="139"/>
        <v/>
      </c>
      <c r="FC26" s="8" t="str">
        <f t="shared" si="139"/>
        <v/>
      </c>
      <c r="FD26" s="8"/>
      <c r="FE26" s="8"/>
      <c r="FF26" s="41" t="str">
        <f t="shared" ref="FF26:FK26" si="140">EX26</f>
        <v/>
      </c>
      <c r="FG26" s="8" t="str">
        <f t="shared" si="140"/>
        <v/>
      </c>
      <c r="FH26" s="8" t="str">
        <f t="shared" si="140"/>
        <v/>
      </c>
      <c r="FI26" s="8" t="str">
        <f t="shared" si="140"/>
        <v/>
      </c>
      <c r="FJ26" s="8" t="str">
        <f t="shared" si="140"/>
        <v/>
      </c>
      <c r="FK26" s="8" t="str">
        <f t="shared" si="140"/>
        <v/>
      </c>
      <c r="FL26" s="8"/>
      <c r="FM26" s="8"/>
    </row>
    <row r="27">
      <c r="A27" s="43"/>
      <c r="B27" s="44"/>
      <c r="C27" s="45"/>
      <c r="D27" s="45"/>
      <c r="E27" s="45"/>
      <c r="F27" s="45"/>
      <c r="G27" s="45"/>
      <c r="H27" s="45"/>
      <c r="I27" s="45"/>
      <c r="J27" s="44" t="str">
        <f t="shared" ref="J27:O27" si="141">B27</f>
        <v/>
      </c>
      <c r="K27" s="45" t="str">
        <f t="shared" si="141"/>
        <v/>
      </c>
      <c r="L27" s="45" t="str">
        <f t="shared" si="141"/>
        <v/>
      </c>
      <c r="M27" s="45" t="str">
        <f t="shared" si="141"/>
        <v/>
      </c>
      <c r="N27" s="45" t="str">
        <f t="shared" si="141"/>
        <v/>
      </c>
      <c r="O27" s="45" t="str">
        <f t="shared" si="141"/>
        <v/>
      </c>
      <c r="P27" s="45"/>
      <c r="Q27" s="45"/>
      <c r="R27" s="44" t="str">
        <f t="shared" ref="R27:W27" si="142">J27</f>
        <v/>
      </c>
      <c r="S27" s="45" t="str">
        <f t="shared" si="142"/>
        <v/>
      </c>
      <c r="T27" s="45" t="str">
        <f t="shared" si="142"/>
        <v/>
      </c>
      <c r="U27" s="45" t="str">
        <f t="shared" si="142"/>
        <v/>
      </c>
      <c r="V27" s="45" t="str">
        <f t="shared" si="142"/>
        <v/>
      </c>
      <c r="W27" s="45" t="str">
        <f t="shared" si="142"/>
        <v/>
      </c>
      <c r="X27" s="45"/>
      <c r="Y27" s="45"/>
      <c r="Z27" s="44" t="str">
        <f t="shared" ref="Z27:AE27" si="143">R27</f>
        <v/>
      </c>
      <c r="AA27" s="45" t="str">
        <f t="shared" si="143"/>
        <v/>
      </c>
      <c r="AB27" s="45" t="str">
        <f t="shared" si="143"/>
        <v/>
      </c>
      <c r="AC27" s="45" t="str">
        <f t="shared" si="143"/>
        <v/>
      </c>
      <c r="AD27" s="45" t="str">
        <f t="shared" si="143"/>
        <v/>
      </c>
      <c r="AE27" s="45" t="str">
        <f t="shared" si="143"/>
        <v/>
      </c>
      <c r="AF27" s="45"/>
      <c r="AG27" s="45"/>
      <c r="AH27" s="44" t="str">
        <f t="shared" ref="AH27:AM27" si="144">Z27</f>
        <v/>
      </c>
      <c r="AI27" s="45" t="str">
        <f t="shared" si="144"/>
        <v/>
      </c>
      <c r="AJ27" s="45" t="str">
        <f t="shared" si="144"/>
        <v/>
      </c>
      <c r="AK27" s="45" t="str">
        <f t="shared" si="144"/>
        <v/>
      </c>
      <c r="AL27" s="45" t="str">
        <f t="shared" si="144"/>
        <v/>
      </c>
      <c r="AM27" s="45" t="str">
        <f t="shared" si="144"/>
        <v/>
      </c>
      <c r="AN27" s="45"/>
      <c r="AO27" s="45"/>
      <c r="AP27" s="44" t="str">
        <f t="shared" ref="AP27:AU27" si="145">AH27</f>
        <v/>
      </c>
      <c r="AQ27" s="45" t="str">
        <f t="shared" si="145"/>
        <v/>
      </c>
      <c r="AR27" s="45" t="str">
        <f t="shared" si="145"/>
        <v/>
      </c>
      <c r="AS27" s="45" t="str">
        <f t="shared" si="145"/>
        <v/>
      </c>
      <c r="AT27" s="45" t="str">
        <f t="shared" si="145"/>
        <v/>
      </c>
      <c r="AU27" s="45" t="str">
        <f t="shared" si="145"/>
        <v/>
      </c>
      <c r="AV27" s="45"/>
      <c r="AW27" s="45"/>
      <c r="AX27" s="44" t="str">
        <f t="shared" ref="AX27:BC27" si="146">AP27</f>
        <v/>
      </c>
      <c r="AY27" s="45" t="str">
        <f t="shared" si="146"/>
        <v/>
      </c>
      <c r="AZ27" s="45" t="str">
        <f t="shared" si="146"/>
        <v/>
      </c>
      <c r="BA27" s="45" t="str">
        <f t="shared" si="146"/>
        <v/>
      </c>
      <c r="BB27" s="45" t="str">
        <f t="shared" si="146"/>
        <v/>
      </c>
      <c r="BC27" s="45" t="str">
        <f t="shared" si="146"/>
        <v/>
      </c>
      <c r="BD27" s="45"/>
      <c r="BE27" s="45"/>
      <c r="BF27" s="44" t="str">
        <f t="shared" ref="BF27:BK27" si="147">AX27</f>
        <v/>
      </c>
      <c r="BG27" s="45" t="str">
        <f t="shared" si="147"/>
        <v/>
      </c>
      <c r="BH27" s="45" t="str">
        <f t="shared" si="147"/>
        <v/>
      </c>
      <c r="BI27" s="45" t="str">
        <f t="shared" si="147"/>
        <v/>
      </c>
      <c r="BJ27" s="45" t="str">
        <f t="shared" si="147"/>
        <v/>
      </c>
      <c r="BK27" s="45" t="str">
        <f t="shared" si="147"/>
        <v/>
      </c>
      <c r="BL27" s="45"/>
      <c r="BM27" s="45"/>
      <c r="BN27" s="44" t="str">
        <f t="shared" ref="BN27:BS27" si="148">BF27</f>
        <v/>
      </c>
      <c r="BO27" s="45" t="str">
        <f t="shared" si="148"/>
        <v/>
      </c>
      <c r="BP27" s="45" t="str">
        <f t="shared" si="148"/>
        <v/>
      </c>
      <c r="BQ27" s="45" t="str">
        <f t="shared" si="148"/>
        <v/>
      </c>
      <c r="BR27" s="45" t="str">
        <f t="shared" si="148"/>
        <v/>
      </c>
      <c r="BS27" s="45" t="str">
        <f t="shared" si="148"/>
        <v/>
      </c>
      <c r="BT27" s="45"/>
      <c r="BU27" s="45"/>
      <c r="BV27" s="44" t="str">
        <f t="shared" ref="BV27:CA27" si="149">BN27</f>
        <v/>
      </c>
      <c r="BW27" s="45" t="str">
        <f t="shared" si="149"/>
        <v/>
      </c>
      <c r="BX27" s="45" t="str">
        <f t="shared" si="149"/>
        <v/>
      </c>
      <c r="BY27" s="45" t="str">
        <f t="shared" si="149"/>
        <v/>
      </c>
      <c r="BZ27" s="45" t="str">
        <f t="shared" si="149"/>
        <v/>
      </c>
      <c r="CA27" s="45" t="str">
        <f t="shared" si="149"/>
        <v/>
      </c>
      <c r="CB27" s="45"/>
      <c r="CC27" s="45"/>
      <c r="CD27" s="44" t="str">
        <f t="shared" ref="CD27:CI27" si="150">BV27</f>
        <v/>
      </c>
      <c r="CE27" s="45" t="str">
        <f t="shared" si="150"/>
        <v/>
      </c>
      <c r="CF27" s="45" t="str">
        <f t="shared" si="150"/>
        <v/>
      </c>
      <c r="CG27" s="45" t="str">
        <f t="shared" si="150"/>
        <v/>
      </c>
      <c r="CH27" s="45" t="str">
        <f t="shared" si="150"/>
        <v/>
      </c>
      <c r="CI27" s="45" t="str">
        <f t="shared" si="150"/>
        <v/>
      </c>
      <c r="CJ27" s="45"/>
      <c r="CK27" s="45"/>
      <c r="CL27" s="44" t="str">
        <f t="shared" ref="CL27:CQ27" si="151">CD27</f>
        <v/>
      </c>
      <c r="CM27" s="45" t="str">
        <f t="shared" si="151"/>
        <v/>
      </c>
      <c r="CN27" s="45" t="str">
        <f t="shared" si="151"/>
        <v/>
      </c>
      <c r="CO27" s="45" t="str">
        <f t="shared" si="151"/>
        <v/>
      </c>
      <c r="CP27" s="45" t="str">
        <f t="shared" si="151"/>
        <v/>
      </c>
      <c r="CQ27" s="45" t="str">
        <f t="shared" si="151"/>
        <v/>
      </c>
      <c r="CR27" s="45"/>
      <c r="CS27" s="45"/>
      <c r="CT27" s="44" t="str">
        <f t="shared" ref="CT27:CY27" si="152">CL27</f>
        <v/>
      </c>
      <c r="CU27" s="45" t="str">
        <f t="shared" si="152"/>
        <v/>
      </c>
      <c r="CV27" s="45" t="str">
        <f t="shared" si="152"/>
        <v/>
      </c>
      <c r="CW27" s="45" t="str">
        <f t="shared" si="152"/>
        <v/>
      </c>
      <c r="CX27" s="45" t="str">
        <f t="shared" si="152"/>
        <v/>
      </c>
      <c r="CY27" s="45" t="str">
        <f t="shared" si="152"/>
        <v/>
      </c>
      <c r="CZ27" s="45"/>
      <c r="DA27" s="45"/>
      <c r="DB27" s="44" t="str">
        <f t="shared" ref="DB27:DG27" si="153">CT27</f>
        <v/>
      </c>
      <c r="DC27" s="45" t="str">
        <f t="shared" si="153"/>
        <v/>
      </c>
      <c r="DD27" s="45" t="str">
        <f t="shared" si="153"/>
        <v/>
      </c>
      <c r="DE27" s="45" t="str">
        <f t="shared" si="153"/>
        <v/>
      </c>
      <c r="DF27" s="45" t="str">
        <f t="shared" si="153"/>
        <v/>
      </c>
      <c r="DG27" s="45" t="str">
        <f t="shared" si="153"/>
        <v/>
      </c>
      <c r="DH27" s="45"/>
      <c r="DI27" s="45"/>
      <c r="DJ27" s="44" t="str">
        <f t="shared" ref="DJ27:DO27" si="154">DB27</f>
        <v/>
      </c>
      <c r="DK27" s="45" t="str">
        <f t="shared" si="154"/>
        <v/>
      </c>
      <c r="DL27" s="45" t="str">
        <f t="shared" si="154"/>
        <v/>
      </c>
      <c r="DM27" s="45" t="str">
        <f t="shared" si="154"/>
        <v/>
      </c>
      <c r="DN27" s="45" t="str">
        <f t="shared" si="154"/>
        <v/>
      </c>
      <c r="DO27" s="45" t="str">
        <f t="shared" si="154"/>
        <v/>
      </c>
      <c r="DP27" s="45"/>
      <c r="DQ27" s="45"/>
      <c r="DR27" s="44" t="str">
        <f t="shared" ref="DR27:DW27" si="155">DJ27</f>
        <v/>
      </c>
      <c r="DS27" s="45" t="str">
        <f t="shared" si="155"/>
        <v/>
      </c>
      <c r="DT27" s="45" t="str">
        <f t="shared" si="155"/>
        <v/>
      </c>
      <c r="DU27" s="45" t="str">
        <f t="shared" si="155"/>
        <v/>
      </c>
      <c r="DV27" s="45" t="str">
        <f t="shared" si="155"/>
        <v/>
      </c>
      <c r="DW27" s="45" t="str">
        <f t="shared" si="155"/>
        <v/>
      </c>
      <c r="DX27" s="45"/>
      <c r="DY27" s="45"/>
      <c r="DZ27" s="44" t="str">
        <f t="shared" ref="DZ27:EE27" si="156">DR27</f>
        <v/>
      </c>
      <c r="EA27" s="45" t="str">
        <f t="shared" si="156"/>
        <v/>
      </c>
      <c r="EB27" s="45" t="str">
        <f t="shared" si="156"/>
        <v/>
      </c>
      <c r="EC27" s="45" t="str">
        <f t="shared" si="156"/>
        <v/>
      </c>
      <c r="ED27" s="45" t="str">
        <f t="shared" si="156"/>
        <v/>
      </c>
      <c r="EE27" s="45" t="str">
        <f t="shared" si="156"/>
        <v/>
      </c>
      <c r="EF27" s="45"/>
      <c r="EG27" s="45"/>
      <c r="EH27" s="44" t="str">
        <f t="shared" ref="EH27:EM27" si="157">DZ27</f>
        <v/>
      </c>
      <c r="EI27" s="45" t="str">
        <f t="shared" si="157"/>
        <v/>
      </c>
      <c r="EJ27" s="45" t="str">
        <f t="shared" si="157"/>
        <v/>
      </c>
      <c r="EK27" s="45" t="str">
        <f t="shared" si="157"/>
        <v/>
      </c>
      <c r="EL27" s="45" t="str">
        <f t="shared" si="157"/>
        <v/>
      </c>
      <c r="EM27" s="45" t="str">
        <f t="shared" si="157"/>
        <v/>
      </c>
      <c r="EN27" s="45"/>
      <c r="EO27" s="45"/>
      <c r="EP27" s="44" t="str">
        <f t="shared" ref="EP27:EU27" si="158">EH27</f>
        <v/>
      </c>
      <c r="EQ27" s="45" t="str">
        <f t="shared" si="158"/>
        <v/>
      </c>
      <c r="ER27" s="45" t="str">
        <f t="shared" si="158"/>
        <v/>
      </c>
      <c r="ES27" s="45" t="str">
        <f t="shared" si="158"/>
        <v/>
      </c>
      <c r="ET27" s="45" t="str">
        <f t="shared" si="158"/>
        <v/>
      </c>
      <c r="EU27" s="45" t="str">
        <f t="shared" si="158"/>
        <v/>
      </c>
      <c r="EV27" s="45"/>
      <c r="EW27" s="45"/>
      <c r="EX27" s="44" t="str">
        <f t="shared" ref="EX27:FC27" si="159">EP27</f>
        <v/>
      </c>
      <c r="EY27" s="45" t="str">
        <f t="shared" si="159"/>
        <v/>
      </c>
      <c r="EZ27" s="45" t="str">
        <f t="shared" si="159"/>
        <v/>
      </c>
      <c r="FA27" s="45" t="str">
        <f t="shared" si="159"/>
        <v/>
      </c>
      <c r="FB27" s="45" t="str">
        <f t="shared" si="159"/>
        <v/>
      </c>
      <c r="FC27" s="45" t="str">
        <f t="shared" si="159"/>
        <v/>
      </c>
      <c r="FD27" s="45"/>
      <c r="FE27" s="45"/>
      <c r="FF27" s="44" t="str">
        <f t="shared" ref="FF27:FK27" si="160">EX27</f>
        <v/>
      </c>
      <c r="FG27" s="45" t="str">
        <f t="shared" si="160"/>
        <v/>
      </c>
      <c r="FH27" s="45" t="str">
        <f t="shared" si="160"/>
        <v/>
      </c>
      <c r="FI27" s="45" t="str">
        <f t="shared" si="160"/>
        <v/>
      </c>
      <c r="FJ27" s="45" t="str">
        <f t="shared" si="160"/>
        <v/>
      </c>
      <c r="FK27" s="45" t="str">
        <f t="shared" si="160"/>
        <v/>
      </c>
      <c r="FL27" s="45"/>
      <c r="FM27" s="45"/>
    </row>
    <row r="28">
      <c r="A28" s="2"/>
      <c r="B28" s="40"/>
      <c r="C28" s="2"/>
      <c r="D28" s="2"/>
      <c r="E28" s="2"/>
      <c r="F28" s="2"/>
      <c r="G28" s="2"/>
      <c r="H28" s="2"/>
      <c r="I28" s="2"/>
      <c r="J28" s="40"/>
      <c r="K28" s="2"/>
      <c r="L28" s="2"/>
      <c r="M28" s="2"/>
      <c r="N28" s="2"/>
      <c r="O28" s="2"/>
      <c r="P28" s="2"/>
      <c r="Q28" s="2"/>
      <c r="R28" s="40"/>
      <c r="S28" s="2"/>
      <c r="T28" s="2"/>
      <c r="U28" s="2"/>
      <c r="V28" s="2"/>
      <c r="W28" s="2"/>
      <c r="X28" s="2"/>
      <c r="Y28" s="2"/>
      <c r="Z28" s="40"/>
      <c r="AA28" s="2"/>
      <c r="AB28" s="2"/>
      <c r="AC28" s="2"/>
      <c r="AD28" s="2"/>
      <c r="AE28" s="2"/>
      <c r="AF28" s="2"/>
      <c r="AG28" s="2"/>
      <c r="AH28" s="40"/>
      <c r="AI28" s="2"/>
      <c r="AJ28" s="2"/>
      <c r="AK28" s="2"/>
      <c r="AL28" s="2"/>
      <c r="AM28" s="2"/>
      <c r="AN28" s="2"/>
      <c r="AO28" s="2"/>
      <c r="AP28" s="40"/>
      <c r="AQ28" s="2"/>
      <c r="AR28" s="2"/>
      <c r="AS28" s="2"/>
      <c r="AT28" s="2"/>
      <c r="AU28" s="2"/>
      <c r="AV28" s="2"/>
      <c r="AW28" s="2"/>
      <c r="AX28" s="40"/>
      <c r="AY28" s="2"/>
      <c r="AZ28" s="2"/>
      <c r="BA28" s="2"/>
      <c r="BB28" s="2"/>
      <c r="BC28" s="2"/>
      <c r="BD28" s="2"/>
      <c r="BE28" s="2"/>
      <c r="BF28" s="40"/>
      <c r="BG28" s="2"/>
      <c r="BH28" s="2"/>
      <c r="BI28" s="2"/>
      <c r="BJ28" s="2"/>
      <c r="BK28" s="2"/>
      <c r="BL28" s="2"/>
      <c r="BM28" s="2"/>
      <c r="BN28" s="40"/>
      <c r="BO28" s="2"/>
      <c r="BP28" s="2"/>
      <c r="BQ28" s="2"/>
      <c r="BR28" s="2"/>
      <c r="BS28" s="2"/>
      <c r="BT28" s="2"/>
      <c r="BU28" s="2"/>
      <c r="BV28" s="40"/>
      <c r="BW28" s="2"/>
      <c r="BX28" s="2"/>
      <c r="BY28" s="2"/>
      <c r="BZ28" s="2"/>
      <c r="CA28" s="2"/>
      <c r="CB28" s="2"/>
      <c r="CC28" s="2"/>
      <c r="CD28" s="40"/>
      <c r="CE28" s="2"/>
      <c r="CF28" s="2"/>
      <c r="CG28" s="2"/>
      <c r="CH28" s="2"/>
      <c r="CI28" s="2"/>
      <c r="CJ28" s="2"/>
      <c r="CK28" s="2"/>
      <c r="CL28" s="40"/>
      <c r="CM28" s="2"/>
      <c r="CN28" s="2"/>
      <c r="CO28" s="2"/>
      <c r="CP28" s="2"/>
      <c r="CQ28" s="2"/>
      <c r="CR28" s="2"/>
      <c r="CS28" s="2"/>
      <c r="CT28" s="40"/>
      <c r="CU28" s="2"/>
      <c r="CV28" s="2"/>
      <c r="CW28" s="2"/>
      <c r="CX28" s="2"/>
      <c r="CY28" s="2"/>
      <c r="CZ28" s="2"/>
      <c r="DA28" s="2"/>
      <c r="DB28" s="40"/>
      <c r="DC28" s="2"/>
      <c r="DD28" s="2"/>
      <c r="DE28" s="2"/>
      <c r="DF28" s="2"/>
      <c r="DG28" s="2"/>
      <c r="DH28" s="2"/>
      <c r="DI28" s="2"/>
      <c r="DJ28" s="40"/>
      <c r="DK28" s="2"/>
      <c r="DL28" s="2"/>
      <c r="DM28" s="2"/>
      <c r="DN28" s="2"/>
      <c r="DO28" s="2"/>
      <c r="DP28" s="2"/>
      <c r="DQ28" s="2"/>
      <c r="DR28" s="40"/>
      <c r="DS28" s="2"/>
      <c r="DT28" s="2"/>
      <c r="DU28" s="2"/>
      <c r="DV28" s="2"/>
      <c r="DW28" s="2"/>
      <c r="DX28" s="2"/>
      <c r="DY28" s="2"/>
      <c r="DZ28" s="40"/>
      <c r="EA28" s="2"/>
      <c r="EB28" s="2"/>
      <c r="EC28" s="2"/>
      <c r="ED28" s="2"/>
      <c r="EE28" s="2"/>
      <c r="EF28" s="2"/>
      <c r="EG28" s="2"/>
      <c r="EH28" s="40"/>
      <c r="EI28" s="2"/>
      <c r="EJ28" s="2"/>
      <c r="EK28" s="2"/>
      <c r="EL28" s="2"/>
      <c r="EM28" s="2"/>
      <c r="EN28" s="2"/>
      <c r="EO28" s="2"/>
      <c r="EP28" s="40"/>
      <c r="EQ28" s="2"/>
      <c r="ER28" s="2"/>
      <c r="ES28" s="2"/>
      <c r="ET28" s="2"/>
      <c r="EU28" s="2"/>
      <c r="EV28" s="2"/>
      <c r="EW28" s="2"/>
      <c r="EX28" s="40"/>
      <c r="EY28" s="2"/>
      <c r="EZ28" s="2"/>
      <c r="FA28" s="2"/>
      <c r="FB28" s="2"/>
      <c r="FC28" s="2"/>
      <c r="FD28" s="2"/>
      <c r="FE28" s="2"/>
      <c r="FF28" s="40"/>
      <c r="FG28" s="2"/>
      <c r="FH28" s="2"/>
      <c r="FI28" s="2"/>
      <c r="FJ28" s="2"/>
      <c r="FK28" s="2"/>
      <c r="FL28" s="2"/>
      <c r="FM28" s="2"/>
    </row>
    <row r="29">
      <c r="A29" s="31" t="s">
        <v>83</v>
      </c>
      <c r="B29" s="32"/>
      <c r="C29" s="33"/>
      <c r="D29" s="33"/>
      <c r="E29" s="33"/>
      <c r="F29" s="33"/>
      <c r="G29" s="33"/>
      <c r="H29" s="33"/>
      <c r="I29" s="33"/>
      <c r="J29" s="32"/>
      <c r="K29" s="33"/>
      <c r="L29" s="33"/>
      <c r="M29" s="33"/>
      <c r="N29" s="33"/>
      <c r="O29" s="33"/>
      <c r="P29" s="33"/>
      <c r="Q29" s="33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J29" s="33"/>
      <c r="AK29" s="33"/>
      <c r="AL29" s="33"/>
      <c r="AM29" s="33"/>
      <c r="AN29" s="33"/>
      <c r="AO29" s="33"/>
      <c r="AP29" s="32"/>
      <c r="AQ29" s="33"/>
      <c r="AR29" s="33"/>
      <c r="AS29" s="33"/>
      <c r="AT29" s="33"/>
      <c r="AU29" s="33"/>
      <c r="AV29" s="33"/>
      <c r="AW29" s="33"/>
      <c r="AX29" s="32"/>
      <c r="AY29" s="33"/>
      <c r="AZ29" s="33"/>
      <c r="BA29" s="33"/>
      <c r="BB29" s="33"/>
      <c r="BC29" s="33"/>
      <c r="BD29" s="33"/>
      <c r="BE29" s="33"/>
      <c r="BF29" s="32"/>
      <c r="BG29" s="33"/>
      <c r="BH29" s="33"/>
      <c r="BI29" s="33"/>
      <c r="BJ29" s="33"/>
      <c r="BK29" s="33"/>
      <c r="BL29" s="33"/>
      <c r="BM29" s="33"/>
      <c r="BN29" s="32"/>
      <c r="BO29" s="33"/>
      <c r="BP29" s="33"/>
      <c r="BQ29" s="33"/>
      <c r="BR29" s="33"/>
      <c r="BS29" s="33"/>
      <c r="BT29" s="33"/>
      <c r="BU29" s="33"/>
      <c r="BV29" s="32"/>
      <c r="BW29" s="33"/>
      <c r="BX29" s="33"/>
      <c r="BY29" s="33"/>
      <c r="BZ29" s="33"/>
      <c r="CA29" s="33"/>
      <c r="CB29" s="33"/>
      <c r="CC29" s="33"/>
      <c r="CD29" s="32"/>
      <c r="CE29" s="33"/>
      <c r="CF29" s="33"/>
      <c r="CG29" s="33"/>
      <c r="CH29" s="33"/>
      <c r="CI29" s="33"/>
      <c r="CJ29" s="33"/>
      <c r="CK29" s="33"/>
      <c r="CL29" s="32"/>
      <c r="CM29" s="33"/>
      <c r="CN29" s="33"/>
      <c r="CO29" s="33"/>
      <c r="CP29" s="33"/>
      <c r="CQ29" s="33"/>
      <c r="CR29" s="33"/>
      <c r="CS29" s="33"/>
      <c r="CT29" s="32"/>
      <c r="CU29" s="33"/>
      <c r="CV29" s="33"/>
      <c r="CW29" s="33"/>
      <c r="CX29" s="33"/>
      <c r="CY29" s="33"/>
      <c r="CZ29" s="33"/>
      <c r="DA29" s="33"/>
      <c r="DB29" s="32"/>
      <c r="DC29" s="33"/>
      <c r="DD29" s="33"/>
      <c r="DE29" s="33"/>
      <c r="DF29" s="33"/>
      <c r="DG29" s="33"/>
      <c r="DH29" s="33"/>
      <c r="DI29" s="33"/>
      <c r="DJ29" s="32"/>
      <c r="DK29" s="33"/>
      <c r="DL29" s="33"/>
      <c r="DM29" s="33"/>
      <c r="DN29" s="33"/>
      <c r="DO29" s="33"/>
      <c r="DP29" s="33"/>
      <c r="DQ29" s="33"/>
      <c r="DR29" s="32"/>
      <c r="DS29" s="33"/>
      <c r="DT29" s="33"/>
      <c r="DU29" s="33"/>
      <c r="DV29" s="33"/>
      <c r="DW29" s="33"/>
      <c r="DX29" s="33"/>
      <c r="DY29" s="33"/>
      <c r="DZ29" s="32"/>
      <c r="EA29" s="33"/>
      <c r="EB29" s="33"/>
      <c r="EC29" s="33"/>
      <c r="ED29" s="33"/>
      <c r="EE29" s="33"/>
      <c r="EF29" s="33"/>
      <c r="EG29" s="33"/>
      <c r="EH29" s="32"/>
      <c r="EI29" s="33"/>
      <c r="EJ29" s="33"/>
      <c r="EK29" s="33"/>
      <c r="EL29" s="33"/>
      <c r="EM29" s="33"/>
      <c r="EN29" s="33"/>
      <c r="EO29" s="33"/>
      <c r="EP29" s="32"/>
      <c r="EQ29" s="33"/>
      <c r="ER29" s="33"/>
      <c r="ES29" s="33"/>
      <c r="ET29" s="33"/>
      <c r="EU29" s="33"/>
      <c r="EV29" s="33"/>
      <c r="EW29" s="33"/>
      <c r="EX29" s="34" t="s">
        <v>79</v>
      </c>
      <c r="EY29" s="35"/>
      <c r="EZ29" s="35"/>
      <c r="FA29" s="35"/>
      <c r="FB29" s="35"/>
      <c r="FC29" s="35"/>
      <c r="FD29" s="35"/>
      <c r="FE29" s="35"/>
      <c r="FF29" s="32"/>
      <c r="FG29" s="33"/>
      <c r="FH29" s="33"/>
      <c r="FI29" s="33"/>
      <c r="FJ29" s="33"/>
      <c r="FK29" s="33"/>
      <c r="FL29" s="33"/>
      <c r="FM29" s="33"/>
    </row>
    <row r="30" hidden="1">
      <c r="A30" s="36" t="str">
        <f>CONCATENATE(A31," TM")</f>
        <v>Deadlift TM</v>
      </c>
      <c r="B30" s="37">
        <f>if(D30="",'Quick Setup'!D7,D30/'Quick Setup'!E7)</f>
        <v>525</v>
      </c>
      <c r="C30" s="36" t="s">
        <v>77</v>
      </c>
      <c r="D30" s="38"/>
      <c r="E30" s="39"/>
      <c r="F30" s="39"/>
      <c r="G30" s="39"/>
      <c r="H30" s="39"/>
      <c r="I30" s="39"/>
      <c r="J30" s="37">
        <f>if(L30="", if(F31="",B30, if((F31-E31)&lt;-1.9,B30*(1+Setup!F5),if((F31-E31)=-1,B30*(1+Setup!G5),if(G31&lt;D31,B30*(1+Setup!G5),if(G31=D31,B30*(1+Setup!H5),if((G31-D31)=1,B30*(1+Setup!I5),if((G31-D31)=2,B30*(1+Setup!J5),if((G31-D31)=3,B30*(1+Setup!K5),if((G31-D31)=4,B30*(1+Setup!L5),if((G31-D31)&gt;4.1,B30*(1+Setup!M5),B30)))))))))),L30/'Quick Setup'!$E7)</f>
        <v>525</v>
      </c>
      <c r="K30" s="36" t="s">
        <v>77</v>
      </c>
      <c r="L30" s="38"/>
      <c r="M30" s="39"/>
      <c r="N30" s="39"/>
      <c r="O30" s="39"/>
      <c r="P30" s="39"/>
      <c r="Q30" s="39"/>
      <c r="R30" s="37">
        <f>if(T30="", if(N31="",J30, if((N31-M31)&lt;-1.9,J30*(1+Setup!R5),if((N31-M31)=-1,J30*(1+Setup!S5),if(O31&lt;L31,J30*(1+Setup!S5),if(O31=L31,J30*(1+Setup!T5),if((O31-L31)=1,J30*(1+Setup!U5),if((O31-L31)=2,J30*(1+Setup!V5),if((O31-L31)=3,J30*(1+Setup!W5),if((O31-L31)=4,J30*(1+Setup!X5),if((O31-L31)&gt;4.1,J30*(1+Setup!Y5),J30)))))))))),T30/'Quick Setup'!$E7)</f>
        <v>525</v>
      </c>
      <c r="S30" s="36" t="s">
        <v>77</v>
      </c>
      <c r="T30" s="38"/>
      <c r="U30" s="39"/>
      <c r="V30" s="39"/>
      <c r="W30" s="39"/>
      <c r="X30" s="39"/>
      <c r="Y30" s="39"/>
      <c r="Z30" s="37">
        <f>if(AB30="", if(V31="",R30, if((V31-U31)&lt;-1.9,R30*(1+Setup!AD5),if((V31-U31)=-1,R30*(1+Setup!AE5),if(W31&lt;T31,R30*(1+Setup!AE5),if(W31=T31,R30*(1+Setup!AF5),if((W31-T31)=1,R30*(1+Setup!AG5),if((W31-T31)=2,R30*(1+Setup!AH5),if((W31-T31)=3,R30*(1+Setup!AI5),if((W31-T31)=4,R30*(1+Setup!AJ5),if((W31-T31)&gt;4.1,R30*(1+Setup!AK5),R30)))))))))),AB30/'Quick Setup'!$E7)</f>
        <v>525</v>
      </c>
      <c r="AA30" s="36" t="s">
        <v>77</v>
      </c>
      <c r="AB30" s="38"/>
      <c r="AC30" s="39"/>
      <c r="AD30" s="39"/>
      <c r="AE30" s="39"/>
      <c r="AF30" s="39"/>
      <c r="AG30" s="39"/>
      <c r="AH30" s="37">
        <f>if(AJ30="", if(AD31="",Z30, if((AD31-AC31)&lt;-1.9,Z30*(1+Setup!AP5),if((AD31-AC31)=-1,Z30*(1+Setup!AQ5),if(AE31&lt;AB31,Z30*(1+Setup!AQ5),if(AE31=AB31,Z30*(1+Setup!AR5),if((AE31-AB31)=1,Z30*(1+Setup!AS5),if((AE31-AB31)=2,Z30*(1+Setup!AT5),if((AE31-AB31)=3,Z30*(1+Setup!AU5),if((AE31-AB31)=4,Z30*(1+Setup!AV5),if((AE31-AB31)&gt;4.1,Z30*(1+Setup!AW5),Z30)))))))))),AJ30/'Quick Setup'!$E7)</f>
        <v>525</v>
      </c>
      <c r="AI30" s="36" t="s">
        <v>77</v>
      </c>
      <c r="AJ30" s="38"/>
      <c r="AK30" s="39"/>
      <c r="AL30" s="39"/>
      <c r="AM30" s="39"/>
      <c r="AN30" s="39"/>
      <c r="AO30" s="39"/>
      <c r="AP30" s="37">
        <f>if(AR30="", if(AL31="",AH30, if((AL31-AK31)&lt;-1.9,AH30*(1+Setup!BB5),if((AL31-AK31)=-1,AH30*(1+Setup!BC5),if(AM31&lt;AJ31,AH30*(1+Setup!BC5),if(AM31=AJ31,AH30*(1+Setup!BD5),if((AM31-AJ31)=1,AH30*(1+Setup!BE5),if((AM31-AJ31)=2,AH30*(1+Setup!BF5),if((AM31-AJ31)=3,AH30*(1+Setup!BG5),if((AM31-AJ31)=4,AH30*(1+Setup!BH5),if((AM31-AJ31)&gt;4.1,AH30*(1+Setup!BI5),AH30)))))))))),AR30/'Quick Setup'!$E7)</f>
        <v>525</v>
      </c>
      <c r="AQ30" s="36" t="s">
        <v>77</v>
      </c>
      <c r="AR30" s="38"/>
      <c r="AS30" s="39"/>
      <c r="AT30" s="39"/>
      <c r="AU30" s="39"/>
      <c r="AV30" s="39"/>
      <c r="AW30" s="39"/>
      <c r="AX30" s="37">
        <f>if(AZ30="", if(AT31="",AP30, if((AT31-AS31)&lt;-1.9,AP30*(1+Setup!BN5),if((AT31-AS31)=-1,AP30*(1+Setup!BO5),if(AU31&lt;AR31,AP30*(1+Setup!BO5),if(AU31=AR31,AP30*(1+Setup!BP5),if((AU31-AR31)=1,AP30*(1+Setup!BQ5),if((AU31-AR31)=2,AP30*(1+Setup!BR5),if((AU31-AR31)=3,AP30*(1+Setup!BS5),if((AU31-AR31)=4,AP30*(1+Setup!BT5),if((AU31-AR31)&gt;4.1,AP30*(1+Setup!BU5),AP30)))))))))),AZ30/'Quick Setup'!$E7)</f>
        <v>525</v>
      </c>
      <c r="AY30" s="36" t="s">
        <v>77</v>
      </c>
      <c r="AZ30" s="38"/>
      <c r="BA30" s="39"/>
      <c r="BB30" s="39"/>
      <c r="BC30" s="39"/>
      <c r="BD30" s="39"/>
      <c r="BE30" s="39"/>
      <c r="BF30" s="37">
        <f>if(BH30="",AX30,BH30/'Quick Setup'!$E7)</f>
        <v>525</v>
      </c>
      <c r="BG30" s="36" t="s">
        <v>77</v>
      </c>
      <c r="BH30" s="38"/>
      <c r="BI30" s="39"/>
      <c r="BJ30" s="39"/>
      <c r="BK30" s="39"/>
      <c r="BL30" s="39"/>
      <c r="BM30" s="39"/>
      <c r="BN30" s="37">
        <f>if(BP30="", if(BJ31="",BF30, if((BJ31-BI31)&lt;-1.9,BF30*(1+Setup!CL5),if((BJ31-BI31)=-1,BF30*(1+Setup!CM5),if(BK31&lt;BH31,BF30*(1+Setup!CM5),if(BK31=BH31,BF30*(1+Setup!CN5),if((BK31-BH31)=1,BF30*(1+Setup!CO5),if((BK31-BH31)=2,BF30*(1+Setup!CP5),if((BK31-BH31)=3,BF30*(1+Setup!CQ5),if((BK31-BH31)=4,BF30*(1+Setup!CR5),if((BK31-BH31)&gt;4.1,BF30*(1+Setup!CS5),BF30)))))))))),BP30/'Quick Setup'!$E7)</f>
        <v>525</v>
      </c>
      <c r="BO30" s="36" t="s">
        <v>77</v>
      </c>
      <c r="BP30" s="38"/>
      <c r="BQ30" s="39"/>
      <c r="BR30" s="39"/>
      <c r="BS30" s="39"/>
      <c r="BT30" s="39"/>
      <c r="BU30" s="39"/>
      <c r="BV30" s="37">
        <f>if(BX30="", if(BR31="",BN30, if((BR31-BQ31)&lt;-1.9,BN30*(1+Setup!CX5),if((BR31-BQ31)=-1,BN30*(1+Setup!CY5),if(BS31&lt;BP31,BN30*(1+Setup!CY5),if(BS31=BP31,BN30*(1+Setup!CZ5),if((BS31-BP31)=1,BN30*(1+Setup!DA5),if((BS31-BP31)=2,BN30*(1+Setup!DB5),if((BS31-BP31)=3,BN30*(1+Setup!DC5),if((BS31-BP31)=4,BN30*(1+Setup!DD5),if((BS31-BP31)&gt;4.1,BN30*(1+Setup!DE5),BN30)))))))))),BX30/'Quick Setup'!$E7)</f>
        <v>525</v>
      </c>
      <c r="BW30" s="36" t="s">
        <v>77</v>
      </c>
      <c r="BX30" s="38"/>
      <c r="BY30" s="39"/>
      <c r="BZ30" s="39"/>
      <c r="CA30" s="39"/>
      <c r="CB30" s="39"/>
      <c r="CC30" s="39"/>
      <c r="CD30" s="37">
        <f>if(CF30="", if(BZ31="",BV30, if((BZ31-BY31)&lt;-1.9,BV30*(1+Setup!DJ5),if((BZ31-BY31)=-1,BV30*(1+Setup!DK5),if(CA31&lt;BX31,BV30*(1+Setup!DK5),if(CA31=BX31,BV30*(1+Setup!DL5),if((CA31-BX31)=1,BV30*(1+Setup!DM5),if((CA31-BX31)=2,BV30*(1+Setup!DN5),if((CA31-BX31)=3,BV30*(1+Setup!DO5),if((CA31-BX31)=4,BV30*(1+Setup!DP5),if((CA31-BX31)&gt;4.1,BV30*(1+Setup!DQ5),BV30)))))))))),CF30/'Quick Setup'!$E7)</f>
        <v>525</v>
      </c>
      <c r="CE30" s="36" t="s">
        <v>77</v>
      </c>
      <c r="CF30" s="38"/>
      <c r="CG30" s="39"/>
      <c r="CH30" s="39"/>
      <c r="CI30" s="39"/>
      <c r="CJ30" s="39"/>
      <c r="CK30" s="39"/>
      <c r="CL30" s="37">
        <f>if(CN30="", if(CH31="",CD30, if((CH31-CG31)&lt;-1.9,CD30*(1+Setup!DV5),if((CH31-CG31)=-1,CD30*(1+Setup!DW5),if(CI31&lt;CF31,CD30*(1+Setup!DW5),if(CI31=CF31,CD30*(1+Setup!DX5),if((CI31-CF31)=1,CD30*(1+Setup!DY5),if((CI31-CF31)=2,CD30*(1+Setup!DZ5),if((CI31-CF31)=3,CD30*(1+Setup!EA5),if((CI31-CF31)=4,CD30*(1+Setup!EB5),if((CI31-CF31)&gt;4.1,CD30*(1+Setup!EC5),CD30)))))))))),CN30/'Quick Setup'!$E7)</f>
        <v>525</v>
      </c>
      <c r="CM30" s="36" t="s">
        <v>77</v>
      </c>
      <c r="CN30" s="38"/>
      <c r="CO30" s="39"/>
      <c r="CP30" s="39"/>
      <c r="CQ30" s="39"/>
      <c r="CR30" s="39"/>
      <c r="CS30" s="39"/>
      <c r="CT30" s="37">
        <f>if(CV30="", if(CP31="",CL30, if((CP31-CO31)&lt;-1.9,CL30*(1+Setup!EH5),if((CP31-CO31)=-1,CL30*(1+Setup!EI5),if(CQ31&lt;CN31,CL30*(1+Setup!EI5),if(CQ31=CN31,CL30*(1+Setup!EJ5),if((CQ31-CN31)=1,CL30*(1+Setup!EK5),if((CQ31-CN31)=2,CL30*(1+Setup!EL5),if((CQ31-CN31)=3,CL30*(1+Setup!EM5),if((CQ31-CN31)=4,CL30*(1+Setup!EN5),if((CQ31-CN31)&gt;4.1,CL30*(1+Setup!EO5),CL30)))))))))),CV30/'Quick Setup'!$E7)</f>
        <v>525</v>
      </c>
      <c r="CU30" s="36" t="s">
        <v>77</v>
      </c>
      <c r="CV30" s="38"/>
      <c r="CW30" s="39"/>
      <c r="CX30" s="39"/>
      <c r="CY30" s="39"/>
      <c r="CZ30" s="39"/>
      <c r="DA30" s="39"/>
      <c r="DB30" s="37">
        <f>if(DD30="", if(CX31="",CT30, if((CX31-CW31)&lt;-1.9,CT30*(1+Setup!ET5),if((CX31-CW31)=-1,CT30*(1+Setup!EU5),if(CY31&lt;CV31,CT30*(1+Setup!EU5),if(CY31=CV31,CT30*(1+Setup!EV5),if((CY31-CV31)=1,CT30*(1+Setup!EW5),if((CY31-CV31)=2,CT30*(1+Setup!EX5),if((CY31-CV31)=3,CT30*(1+Setup!EY5),if((CY31-CV31)=4,CT30*(1+Setup!EZ5),if((CY31-CV31)&gt;4.1,CT30*(1+Setup!FA5),CT30)))))))))),DD30/'Quick Setup'!$E7)</f>
        <v>525</v>
      </c>
      <c r="DC30" s="36" t="s">
        <v>77</v>
      </c>
      <c r="DD30" s="38"/>
      <c r="DE30" s="39"/>
      <c r="DF30" s="39"/>
      <c r="DG30" s="39"/>
      <c r="DH30" s="39"/>
      <c r="DI30" s="39"/>
      <c r="DJ30" s="37">
        <f>if(DL30="",DB30,DL30/'Quick Setup'!$E7)</f>
        <v>525</v>
      </c>
      <c r="DK30" s="36" t="s">
        <v>77</v>
      </c>
      <c r="DL30" s="38"/>
      <c r="DM30" s="39"/>
      <c r="DN30" s="39"/>
      <c r="DO30" s="39"/>
      <c r="DP30" s="39"/>
      <c r="DQ30" s="39"/>
      <c r="DR30" s="37">
        <f>if(DT30="", if(DN31="",DJ30, if((DN31-DM31)&lt;-1.9,DJ30*(1+Setup!FR5),if((DN31-DM31)=-1,DJ30*(1+Setup!FS5),if(DO31&lt;DL31,DJ30*(1+Setup!FS5),if(DO31=DL31,DJ30*(1+Setup!FT5),if((DO31-DL31)=1,DJ30*(1+Setup!FU5),if((DO31-DL31)=2,DJ30*(1+Setup!FV5),if((DO31-DL31)=3,DJ30*(1+Setup!FW5),if((DO31-DL31)=4,DJ30*(1+Setup!FX5),if((DO31-DL31)&gt;4.1,DJ30*(1+Setup!FY5),DJ30)))))))))),DT30/'Quick Setup'!$E7)</f>
        <v>525</v>
      </c>
      <c r="DS30" s="36" t="s">
        <v>77</v>
      </c>
      <c r="DT30" s="38"/>
      <c r="DU30" s="39"/>
      <c r="DV30" s="39"/>
      <c r="DW30" s="39"/>
      <c r="DX30" s="39"/>
      <c r="DY30" s="39"/>
      <c r="DZ30" s="37">
        <f>if(EB30="", if(DV31="",DR30, if((DV31-DU31)&lt;-1.9,DR30*(1+Setup!GD5),if((DV31-DU31)=-1,DR30*(1+Setup!GE5),if(DW31&lt;DT31,DR30*(1+Setup!GE5),if(DW31=DT31,DR30*(1+Setup!GF5),if((DW31-DT31)=1,DR30*(1+Setup!GG5),if((DW31-DT31)=2,DR30*(1+Setup!GH5),if((DW31-DT31)=3,DR30*(1+Setup!GI5),if((DW31-DT31)=4,DR30*(1+Setup!GJ5),if((DW31-DT31)&gt;4.1,DR30*(1+Setup!GK5),DR30)))))))))),EB30/'Quick Setup'!$E7)</f>
        <v>525</v>
      </c>
      <c r="EA30" s="36" t="s">
        <v>77</v>
      </c>
      <c r="EB30" s="38"/>
      <c r="EC30" s="39"/>
      <c r="ED30" s="39"/>
      <c r="EE30" s="39"/>
      <c r="EF30" s="39"/>
      <c r="EG30" s="39"/>
      <c r="EH30" s="37">
        <f>if(EJ30="", if(ED31="",DZ30, if((ED31-EC31)&lt;-1.9,DZ30*(1+Setup!GP5),if((ED31-EC31)=-1,DZ30*(1+Setup!GQ5),if(EE31&lt;EB31,DZ30*(1+Setup!GQ5),if(EE31=EB31,DZ30*(1+Setup!GR5),if((EE31-EB31)=1,DZ30*(1+Setup!GS5),if((EE31-EB31)=2,DZ30*(1+Setup!GT5),if((EE31-EB31)=3,DZ30*(1+Setup!GU5),if((EE31-EB31)=4,DZ30*(1+Setup!GV5),if((EE31-EB31)&gt;4.1,DZ30*(1+Setup!GW5),DZ30)))))))))),EJ30/'Quick Setup'!$E7)</f>
        <v>525</v>
      </c>
      <c r="EI30" s="36" t="s">
        <v>77</v>
      </c>
      <c r="EJ30" s="38"/>
      <c r="EK30" s="39"/>
      <c r="EL30" s="39"/>
      <c r="EM30" s="39"/>
      <c r="EN30" s="39"/>
      <c r="EO30" s="39"/>
      <c r="EP30" s="37">
        <f>if(ER30="", if(EL31="",EH30, if((EL31-EK31)&lt;-1.9,EH30*(1+Setup!HB5),if((EL31-EK31)=-1,EH30*(1+Setup!HC5),if(EM31&lt;EJ31,EH30*(1+Setup!HC5),if(EM31=EJ31,EH30*(1+Setup!HD5),if((EM31-EJ31)=1,EH30*(1+Setup!HE5),if((EM31-EJ31)=2,EH30*(1+Setup!HF5),if((EM31-EJ31)=3,EH30*(1+Setup!HG5),if((EM31-EJ31)=4,EH30*(1+Setup!HH5),if((EM31-EJ31)&gt;4.1,EH30*(1+Setup!HI5),EH30)))))))))),ER30/'Quick Setup'!$E7)</f>
        <v>525</v>
      </c>
      <c r="EQ30" s="36" t="s">
        <v>77</v>
      </c>
      <c r="ER30" s="38"/>
      <c r="ES30" s="39"/>
      <c r="ET30" s="39"/>
      <c r="EU30" s="39"/>
      <c r="EV30" s="39"/>
      <c r="EW30" s="39"/>
      <c r="EX30" s="37">
        <f>if(EZ30="", if(ET31="",EP30, if((ET31-ES31)&lt;-1.9,EP30*(1+Setup!HN5),if((ET31-ES31)=-1,EP30*(1+Setup!HO5),if(EU31&lt;ER31,EP30*(1+Setup!HO5),if(EU31=ER31,EP30*(1+Setup!HP5),if((EU31-ER31)=1,EP30*(1+Setup!HQ5),if((EU31-ER31)=2,EP30*(1+Setup!HR5),if((EU31-ER31)=3,EP30*(1+Setup!HS5),if((EU31-ER31)=4,EP30*(1+Setup!HT5),if((EU31-ER31)&gt;4.1,EP30*(1+Setup!HU5),EP30)))))))))),EZ30/'Quick Setup'!$E7)</f>
        <v>525</v>
      </c>
      <c r="EY30" s="36" t="s">
        <v>77</v>
      </c>
      <c r="EZ30" s="38"/>
      <c r="FA30" s="39"/>
      <c r="FB30" s="39"/>
      <c r="FC30" s="39"/>
      <c r="FD30" s="39"/>
      <c r="FE30" s="39"/>
      <c r="FF30" s="37">
        <f>if(FH30="", if(FB31="",EX30, if((FB31-FA31)&lt;-1.9,EX30*(1+Setup!HZ5),if((FB31-FA31)=-1,EX30*(1+Setup!IA5),if(FC31&lt;EZ31,EX30*(1+Setup!IA5),if(FC31=EZ31,EX30*(1+Setup!IB5),if((FC31-EZ31)=1,EX30*(1+Setup!IC5),if((FC31-EZ31)=2,EX30*(1+Setup!ID5),if((FC31-EZ31)=3,EX30*(1+Setup!IE5),if((FC31-EZ31)=4,EX30*(1+Setup!IF5),if((FC31-EZ31)&gt;4.1,EX30*(1+Setup!IG5),EX30)))))))))),FH30/'Quick Setup'!$E7)</f>
        <v>525</v>
      </c>
      <c r="FG30" s="36" t="s">
        <v>77</v>
      </c>
      <c r="FH30" s="38"/>
      <c r="FI30" s="39"/>
      <c r="FJ30" s="39"/>
      <c r="FK30" s="39"/>
      <c r="FL30" s="39"/>
      <c r="FM30" s="39"/>
    </row>
    <row r="31">
      <c r="A31" s="1" t="str">
        <f>Setup!A5</f>
        <v>Deadlift</v>
      </c>
      <c r="B31" s="40">
        <f>mround(B30*Setup!B5,'Quick Setup'!$A$2)</f>
        <v>367.5</v>
      </c>
      <c r="C31" s="2">
        <f>Setup!C5</f>
        <v>5</v>
      </c>
      <c r="D31" s="2">
        <f>Setup!D5</f>
        <v>3</v>
      </c>
      <c r="E31" s="2">
        <f>Setup!E5</f>
        <v>5</v>
      </c>
      <c r="F31" s="8"/>
      <c r="G31" s="8"/>
      <c r="H31" s="8"/>
      <c r="I31" s="8"/>
      <c r="J31" s="40">
        <f>mround(J30*Setup!N5,'Quick Setup'!$A$2)</f>
        <v>395</v>
      </c>
      <c r="K31" s="2">
        <f>Setup!O5</f>
        <v>4</v>
      </c>
      <c r="L31" s="2">
        <f>Setup!P5</f>
        <v>2</v>
      </c>
      <c r="M31" s="2">
        <f>Setup!Q5</f>
        <v>5</v>
      </c>
      <c r="N31" s="8"/>
      <c r="O31" s="8"/>
      <c r="P31" s="8"/>
      <c r="Q31" s="8"/>
      <c r="R31" s="40">
        <f>mround(R30*Setup!Z5,'Quick Setup'!$A$2)</f>
        <v>420</v>
      </c>
      <c r="S31" s="2">
        <f>Setup!AA5</f>
        <v>3</v>
      </c>
      <c r="T31" s="2">
        <f>Setup!AB5</f>
        <v>2</v>
      </c>
      <c r="U31" s="2">
        <f>Setup!AC5</f>
        <v>5</v>
      </c>
      <c r="V31" s="8"/>
      <c r="W31" s="8"/>
      <c r="X31" s="8"/>
      <c r="Y31" s="8"/>
      <c r="Z31" s="40">
        <f>mround(Z30*Setup!AL5,'Quick Setup'!$A$2)</f>
        <v>380</v>
      </c>
      <c r="AA31" s="2">
        <f>Setup!AM5</f>
        <v>5</v>
      </c>
      <c r="AB31" s="2">
        <f>Setup!AN5</f>
        <v>3</v>
      </c>
      <c r="AC31" s="2">
        <f>Setup!AO5</f>
        <v>5</v>
      </c>
      <c r="AD31" s="8"/>
      <c r="AE31" s="8"/>
      <c r="AF31" s="8"/>
      <c r="AG31" s="8"/>
      <c r="AH31" s="40">
        <f>mround(AH30*Setup!AX5,'Quick Setup'!$A$2)</f>
        <v>407.5</v>
      </c>
      <c r="AI31" s="2">
        <f>Setup!AY5</f>
        <v>4</v>
      </c>
      <c r="AJ31" s="2">
        <f>Setup!AZ5</f>
        <v>2</v>
      </c>
      <c r="AK31" s="2">
        <f>Setup!BA5</f>
        <v>5</v>
      </c>
      <c r="AL31" s="8"/>
      <c r="AM31" s="8"/>
      <c r="AN31" s="8"/>
      <c r="AO31" s="8"/>
      <c r="AP31" s="40">
        <f>mround(AP30*Setup!BJ5,'Quick Setup'!$A$2)</f>
        <v>432.5</v>
      </c>
      <c r="AQ31" s="2">
        <f>Setup!BK5</f>
        <v>3</v>
      </c>
      <c r="AR31" s="2">
        <f>Setup!BL5</f>
        <v>2</v>
      </c>
      <c r="AS31" s="2">
        <f>Setup!BM5</f>
        <v>5</v>
      </c>
      <c r="AT31" s="8"/>
      <c r="AU31" s="8"/>
      <c r="AV31" s="8"/>
      <c r="AW31" s="8"/>
      <c r="AX31" s="40">
        <f>mround(AX30*Setup!BV5,'Quick Setup'!$A$2)</f>
        <v>315</v>
      </c>
      <c r="AY31" s="1">
        <v>5.0</v>
      </c>
      <c r="AZ31" s="1" t="s">
        <v>80</v>
      </c>
      <c r="BA31" s="2">
        <f>Setup!BY5</f>
        <v>5</v>
      </c>
      <c r="BB31" s="8"/>
      <c r="BC31" s="8"/>
      <c r="BD31" s="8"/>
      <c r="BE31" s="8"/>
      <c r="BF31" s="40">
        <f>mround(BF30*Setup!CH5,'Quick Setup'!$A$2)</f>
        <v>395</v>
      </c>
      <c r="BG31" s="2">
        <f>Setup!CI5</f>
        <v>4</v>
      </c>
      <c r="BH31" s="2">
        <f>Setup!CJ5</f>
        <v>2</v>
      </c>
      <c r="BI31" s="2">
        <f>Setup!CK5</f>
        <v>5</v>
      </c>
      <c r="BJ31" s="8"/>
      <c r="BK31" s="8"/>
      <c r="BL31" s="8"/>
      <c r="BM31" s="8"/>
      <c r="BN31" s="40">
        <f>mround(BN30*Setup!CT5,'Quick Setup'!$A$2)</f>
        <v>420</v>
      </c>
      <c r="BO31" s="2">
        <f>Setup!CU5</f>
        <v>3</v>
      </c>
      <c r="BP31" s="2">
        <f>Setup!CV5</f>
        <v>2</v>
      </c>
      <c r="BQ31" s="2">
        <f>Setup!CW5</f>
        <v>5</v>
      </c>
      <c r="BR31" s="8"/>
      <c r="BS31" s="8"/>
      <c r="BT31" s="8"/>
      <c r="BU31" s="8"/>
      <c r="BV31" s="40">
        <f>mround(BV30*Setup!DF5,'Quick Setup'!$A$2)</f>
        <v>447.5</v>
      </c>
      <c r="BW31" s="2">
        <f>Setup!DG5</f>
        <v>2</v>
      </c>
      <c r="BX31" s="2">
        <f>Setup!DH5</f>
        <v>1</v>
      </c>
      <c r="BY31" s="2">
        <f>Setup!DI5</f>
        <v>5</v>
      </c>
      <c r="BZ31" s="8"/>
      <c r="CA31" s="8"/>
      <c r="CB31" s="8"/>
      <c r="CC31" s="8"/>
      <c r="CD31" s="40">
        <f>mround(CD30*Setup!DR5,'Quick Setup'!$A$2)</f>
        <v>407.5</v>
      </c>
      <c r="CE31" s="2">
        <f>Setup!DS5</f>
        <v>4</v>
      </c>
      <c r="CF31" s="2">
        <f>Setup!DT5</f>
        <v>2</v>
      </c>
      <c r="CG31" s="2">
        <f>Setup!DU5</f>
        <v>5</v>
      </c>
      <c r="CH31" s="8"/>
      <c r="CI31" s="8"/>
      <c r="CJ31" s="8"/>
      <c r="CK31" s="8"/>
      <c r="CL31" s="40">
        <f>mround(CL30*Setup!ED5,'Quick Setup'!$A$2)</f>
        <v>432.5</v>
      </c>
      <c r="CM31" s="2">
        <f>Setup!EE5</f>
        <v>3</v>
      </c>
      <c r="CN31" s="2">
        <f>Setup!EF5</f>
        <v>2</v>
      </c>
      <c r="CO31" s="2">
        <f>Setup!EG5</f>
        <v>5</v>
      </c>
      <c r="CP31" s="8"/>
      <c r="CQ31" s="8"/>
      <c r="CR31" s="8"/>
      <c r="CS31" s="8"/>
      <c r="CT31" s="40">
        <f>mround(CT30*Setup!EP5,'Quick Setup'!$A$2)</f>
        <v>460</v>
      </c>
      <c r="CU31" s="2">
        <f>Setup!EQ5</f>
        <v>2</v>
      </c>
      <c r="CV31" s="2">
        <f>Setup!ER5</f>
        <v>1</v>
      </c>
      <c r="CW31" s="2">
        <f>Setup!ES5</f>
        <v>5</v>
      </c>
      <c r="CX31" s="8"/>
      <c r="CY31" s="8"/>
      <c r="CZ31" s="8"/>
      <c r="DA31" s="8"/>
      <c r="DB31" s="40">
        <f>mround(DB30*Setup!FB5,'Quick Setup'!$A$2)</f>
        <v>315</v>
      </c>
      <c r="DC31" s="1">
        <v>5.0</v>
      </c>
      <c r="DD31" s="1" t="s">
        <v>80</v>
      </c>
      <c r="DE31" s="2">
        <f>Setup!FE5</f>
        <v>5</v>
      </c>
      <c r="DF31" s="8"/>
      <c r="DG31" s="8"/>
      <c r="DH31" s="8"/>
      <c r="DI31" s="8"/>
      <c r="DJ31" s="40">
        <f>mround(DJ30*Setup!FN5,'Quick Setup'!$A$2)</f>
        <v>420</v>
      </c>
      <c r="DK31" s="2">
        <f>Setup!FO5</f>
        <v>3</v>
      </c>
      <c r="DL31" s="2">
        <f>Setup!FP5</f>
        <v>2</v>
      </c>
      <c r="DM31" s="2">
        <f>Setup!FQ5</f>
        <v>5</v>
      </c>
      <c r="DN31" s="8"/>
      <c r="DO31" s="8"/>
      <c r="DP31" s="8"/>
      <c r="DQ31" s="8"/>
      <c r="DR31" s="40">
        <f>mround(DR30*Setup!FZ5,'Quick Setup'!$A$2)</f>
        <v>447.5</v>
      </c>
      <c r="DS31" s="2">
        <f>Setup!GA5</f>
        <v>2</v>
      </c>
      <c r="DT31" s="2">
        <f>Setup!GB5</f>
        <v>1</v>
      </c>
      <c r="DU31" s="2">
        <f>Setup!GC5</f>
        <v>5</v>
      </c>
      <c r="DV31" s="8"/>
      <c r="DW31" s="8"/>
      <c r="DX31" s="8"/>
      <c r="DY31" s="8"/>
      <c r="DZ31" s="40">
        <f>mround(DZ30*Setup!GL5,'Quick Setup'!$A$2)</f>
        <v>472.5</v>
      </c>
      <c r="EA31" s="2">
        <f>Setup!GM5</f>
        <v>1</v>
      </c>
      <c r="EB31" s="2">
        <f>Setup!GN5</f>
        <v>1</v>
      </c>
      <c r="EC31" s="2">
        <f>Setup!GO5</f>
        <v>5</v>
      </c>
      <c r="ED31" s="8"/>
      <c r="EE31" s="8"/>
      <c r="EF31" s="8"/>
      <c r="EG31" s="8"/>
      <c r="EH31" s="40">
        <f>mround(EH30*Setup!GX5,'Quick Setup'!$A$2)</f>
        <v>447.5</v>
      </c>
      <c r="EI31" s="2">
        <f>Setup!GY5</f>
        <v>2</v>
      </c>
      <c r="EJ31" s="2">
        <f>Setup!GZ5</f>
        <v>1</v>
      </c>
      <c r="EK31" s="2">
        <f>Setup!HA5</f>
        <v>5</v>
      </c>
      <c r="EL31" s="8"/>
      <c r="EM31" s="8"/>
      <c r="EN31" s="8"/>
      <c r="EO31" s="8"/>
      <c r="EP31" s="40">
        <f>mround(EP30*Setup!HJ5,'Quick Setup'!$A$2)</f>
        <v>472.5</v>
      </c>
      <c r="EQ31" s="2">
        <f>Setup!HK5</f>
        <v>1</v>
      </c>
      <c r="ER31" s="2">
        <f>Setup!HL5</f>
        <v>1</v>
      </c>
      <c r="ES31" s="2">
        <f>Setup!HM5</f>
        <v>5</v>
      </c>
      <c r="ET31" s="8"/>
      <c r="EU31" s="8"/>
      <c r="EV31" s="8"/>
      <c r="EW31" s="8"/>
      <c r="EX31" s="40">
        <f>mround(EX30*Setup!HV5,'Quick Setup'!$A$2)</f>
        <v>500</v>
      </c>
      <c r="EY31" s="2">
        <f>Setup!HW5</f>
        <v>1</v>
      </c>
      <c r="EZ31" s="2">
        <f>Setup!HX5</f>
        <v>1</v>
      </c>
      <c r="FA31" s="2">
        <f>Setup!HY5</f>
        <v>5</v>
      </c>
      <c r="FB31" s="8"/>
      <c r="FC31" s="8"/>
      <c r="FD31" s="8"/>
      <c r="FE31" s="8"/>
      <c r="FF31" s="40">
        <f>mround(FF30*Setup!IH5,'Quick Setup'!$A$2)</f>
        <v>315</v>
      </c>
      <c r="FG31" s="1">
        <v>5.0</v>
      </c>
      <c r="FH31" s="1" t="s">
        <v>80</v>
      </c>
      <c r="FI31" s="2">
        <f>Setup!IK5</f>
        <v>5</v>
      </c>
      <c r="FJ31" s="8"/>
      <c r="FK31" s="8"/>
      <c r="FL31" s="8"/>
      <c r="FM31" s="8"/>
    </row>
    <row r="32" hidden="1">
      <c r="A32" s="36" t="str">
        <f>CONCATENATE(A33," TM")</f>
        <v>Close Grip Bench TM</v>
      </c>
      <c r="B32" s="37">
        <f>if(D32="",'Quick Setup'!D13,D32/'Quick Setup'!E13)</f>
        <v>310</v>
      </c>
      <c r="C32" s="36" t="s">
        <v>77</v>
      </c>
      <c r="D32" s="38"/>
      <c r="E32" s="39"/>
      <c r="F32" s="39"/>
      <c r="G32" s="39"/>
      <c r="H32" s="39"/>
      <c r="I32" s="39"/>
      <c r="J32" s="37">
        <f>if(L32="", if(F33="",B32, if((F33-E33)&lt;-1.9,B32*(1+Setup!F11),if((F33-E33)=-1,B32*(1+Setup!G11),if(G33&lt;D33,B32*(1+Setup!G11),if(G33=D33,B32*(1+Setup!H11),if((G33-D33)=1,B32*(1+Setup!I11),if((G33-D33)=2,B32*(1+Setup!J11),if((G33-D33)=3,B32*(1+Setup!K11),if((G33-D33)=4,B32*(1+Setup!L11),if((G33-D33)&gt;4.1,B32*(1+Setup!M11),B32)))))))))),L32/'Quick Setup'!$E13)</f>
        <v>310</v>
      </c>
      <c r="K32" s="36" t="s">
        <v>77</v>
      </c>
      <c r="L32" s="38"/>
      <c r="M32" s="39"/>
      <c r="N32" s="39"/>
      <c r="O32" s="39"/>
      <c r="P32" s="39"/>
      <c r="Q32" s="39"/>
      <c r="R32" s="37">
        <f>if(T32="", if(N33="",J32, if((N33-M33)&lt;-1.9,J32*(1+Setup!R11),if((N33-M33)=-1,J32*(1+Setup!S11),if(O33&lt;L33,J32*(1+Setup!S11),if(O33=L33,J32*(1+Setup!T11),if((O33-L33)=1,J32*(1+Setup!U11),if((O33-L33)=2,J32*(1+Setup!V11),if((O33-L33)=3,J32*(1+Setup!W11),if((O33-L33)=4,J32*(1+Setup!X11),if((O33-L33)&gt;4.1,J32*(1+Setup!Y11),J32)))))))))),T32/'Quick Setup'!$E13)</f>
        <v>310</v>
      </c>
      <c r="S32" s="36" t="s">
        <v>77</v>
      </c>
      <c r="T32" s="38"/>
      <c r="U32" s="39"/>
      <c r="V32" s="39"/>
      <c r="W32" s="39"/>
      <c r="X32" s="39"/>
      <c r="Y32" s="39"/>
      <c r="Z32" s="37">
        <f>if(AB32="", if(V33="",R32, if((V33-U33)&lt;-1.9,R32*(1+Setup!AD11),if((V33-U33)=-1,R32*(1+Setup!AE11),if(W33&lt;T33,R32*(1+Setup!AE11),if(W33=T33,R32*(1+Setup!AF11),if((W33-T33)=1,R32*(1+Setup!AG11),if((W33-T33)=2,R32*(1+Setup!AH11),if((W33-T33)=3,R32*(1+Setup!AI11),if((W33-T33)=4,R32*(1+Setup!AJ11),if((W33-T33)&gt;4.1,R32*(1+Setup!AK11),R32)))))))))),AB32/'Quick Setup'!$E13)</f>
        <v>310</v>
      </c>
      <c r="AA32" s="36" t="s">
        <v>77</v>
      </c>
      <c r="AB32" s="38"/>
      <c r="AC32" s="39"/>
      <c r="AD32" s="39"/>
      <c r="AE32" s="39"/>
      <c r="AF32" s="39"/>
      <c r="AG32" s="39"/>
      <c r="AH32" s="37">
        <f>if(AJ32="", if(AD33="",Z32, if((AD33-AC33)&lt;-1.9,Z32*(1+Setup!AP11),if((AD33-AC33)=-1,Z32*(1+Setup!AQ11),if(AE33&lt;AB33,Z32*(1+Setup!AQ11),if(AE33=AB33,Z32*(1+Setup!AR11),if((AE33-AB33)=1,Z32*(1+Setup!AS11),if((AE33-AB33)=2,Z32*(1+Setup!AT11),if((AE33-AB33)=3,Z32*(1+Setup!AU11),if((AE33-AB33)=4,Z32*(1+Setup!AV11),if((AE33-AB33)&gt;4.1,Z32*(1+Setup!AW11),Z32)))))))))),AJ32/'Quick Setup'!$E13)</f>
        <v>310</v>
      </c>
      <c r="AI32" s="36" t="s">
        <v>77</v>
      </c>
      <c r="AJ32" s="38"/>
      <c r="AK32" s="39"/>
      <c r="AL32" s="39"/>
      <c r="AM32" s="39"/>
      <c r="AN32" s="39"/>
      <c r="AO32" s="39"/>
      <c r="AP32" s="37">
        <f>if(AR32="", if(AL33="",AH32, if((AL33-AK33)&lt;-1.9,AH32*(1+Setup!BB11),if((AL33-AK33)=-1,AH32*(1+Setup!BC11),if(AM33&lt;AJ33,AH32*(1+Setup!BC11),if(AM33=AJ33,AH32*(1+Setup!BD11),if((AM33-AJ33)=1,AH32*(1+Setup!BE11),if((AM33-AJ33)=2,AH32*(1+Setup!BF11),if((AM33-AJ33)=3,AH32*(1+Setup!BG11),if((AM33-AJ33)=4,AH32*(1+Setup!BH11),if((AM33-AJ33)&gt;4.1,AH32*(1+Setup!BI11),AH32)))))))))),AR32/'Quick Setup'!$E13)</f>
        <v>310</v>
      </c>
      <c r="AQ32" s="36" t="s">
        <v>77</v>
      </c>
      <c r="AR32" s="38"/>
      <c r="AS32" s="39"/>
      <c r="AT32" s="39"/>
      <c r="AU32" s="39"/>
      <c r="AV32" s="39"/>
      <c r="AW32" s="39"/>
      <c r="AX32" s="37">
        <f>if(AZ32="", if(AT33="",AP32, if((AT33-AS33)&lt;-1.9,AP32*(1+Setup!BN11),if((AT33-AS33)=-1,AP32*(1+Setup!BO11),if(AU33&lt;AR33,AP32*(1+Setup!BO11),if(AU33=AR33,AP32*(1+Setup!BP11),if((AU33-AR33)=1,AP32*(1+Setup!BQ11),if((AU33-AR33)=2,AP32*(1+Setup!BR11),if((AU33-AR33)=3,AP32*(1+Setup!BS11),if((AU33-AR33)=4,AP32*(1+Setup!BT11),if((AU33-AR33)&gt;4.1,AP32*(1+Setup!BU11),AP32)))))))))),AZ32/'Quick Setup'!$E13)</f>
        <v>310</v>
      </c>
      <c r="AY32" s="36" t="s">
        <v>77</v>
      </c>
      <c r="AZ32" s="38"/>
      <c r="BA32" s="39"/>
      <c r="BB32" s="39"/>
      <c r="BC32" s="39"/>
      <c r="BD32" s="39"/>
      <c r="BE32" s="39"/>
      <c r="BF32" s="37">
        <f>if(BH32="",AX32,BH32/'Quick Setup'!$E13)</f>
        <v>310</v>
      </c>
      <c r="BG32" s="36" t="s">
        <v>77</v>
      </c>
      <c r="BH32" s="38"/>
      <c r="BI32" s="39"/>
      <c r="BJ32" s="39"/>
      <c r="BK32" s="39"/>
      <c r="BL32" s="39"/>
      <c r="BM32" s="39"/>
      <c r="BN32" s="37">
        <f>if(BP32="", if(BJ33="",BF32, if((BJ33-BI33)&lt;-1.9,BF32*(1+Setup!CL11),if((BJ33-BI33)=-1,BF32*(1+Setup!CM11),if(BK33&lt;BH33,BF32*(1+Setup!CM11),if(BK33=BH33,BF32*(1+Setup!CN11),if((BK33-BH33)=1,BF32*(1+Setup!CO11),if((BK33-BH33)=2,BF32*(1+Setup!CP11),if((BK33-BH33)=3,BF32*(1+Setup!CQ11),if((BK33-BH33)=4,BF32*(1+Setup!CR11),if((BK33-BH33)&gt;4.1,BF32*(1+Setup!CS11),BF32)))))))))),BP32/'Quick Setup'!$E13)</f>
        <v>310</v>
      </c>
      <c r="BO32" s="36" t="s">
        <v>77</v>
      </c>
      <c r="BP32" s="38"/>
      <c r="BQ32" s="39"/>
      <c r="BR32" s="39"/>
      <c r="BS32" s="39"/>
      <c r="BT32" s="39"/>
      <c r="BU32" s="39"/>
      <c r="BV32" s="37">
        <f>if(BX32="", if(BR33="",BN32, if((BR33-BQ33)&lt;-1.9,BN32*(1+Setup!CX11),if((BR33-BQ33)=-1,BN32*(1+Setup!CY11),if(BS33&lt;BP33,BN32*(1+Setup!CY11),if(BS33=BP33,BN32*(1+Setup!CZ11),if((BS33-BP33)=1,BN32*(1+Setup!DA11),if((BS33-BP33)=2,BN32*(1+Setup!DB11),if((BS33-BP33)=3,BN32*(1+Setup!DC11),if((BS33-BP33)=4,BN32*(1+Setup!DD11),if((BS33-BP33)&gt;4.1,BN32*(1+Setup!DE11),BN32)))))))))),BX32/'Quick Setup'!$E13)</f>
        <v>310</v>
      </c>
      <c r="BW32" s="36" t="s">
        <v>77</v>
      </c>
      <c r="BX32" s="38"/>
      <c r="BY32" s="39"/>
      <c r="BZ32" s="39"/>
      <c r="CA32" s="39"/>
      <c r="CB32" s="39"/>
      <c r="CC32" s="39"/>
      <c r="CD32" s="37">
        <f>if(CF32="", if(BZ33="",BV32, if((BZ33-BY33)&lt;-1.9,BV32*(1+Setup!DJ11),if((BZ33-BY33)=-1,BV32*(1+Setup!DK11),if(CA33&lt;BX33,BV32*(1+Setup!DK11),if(CA33=BX33,BV32*(1+Setup!DL11),if((CA33-BX33)=1,BV32*(1+Setup!DM11),if((CA33-BX33)=2,BV32*(1+Setup!DN11),if((CA33-BX33)=3,BV32*(1+Setup!DO11),if((CA33-BX33)=4,BV32*(1+Setup!DP11),if((CA33-BX33)&gt;4.1,BV32*(1+Setup!DQ11),BV32)))))))))),CF32/'Quick Setup'!$E13)</f>
        <v>310</v>
      </c>
      <c r="CE32" s="36" t="s">
        <v>77</v>
      </c>
      <c r="CF32" s="38"/>
      <c r="CG32" s="39"/>
      <c r="CH32" s="39"/>
      <c r="CI32" s="39"/>
      <c r="CJ32" s="39"/>
      <c r="CK32" s="39"/>
      <c r="CL32" s="37">
        <f>if(CN32="", if(CH33="",CD32, if((CH33-CG33)&lt;-1.9,CD32*(1+Setup!DV11),if((CH33-CG33)=-1,CD32*(1+Setup!DW11),if(CI33&lt;CF33,CD32*(1+Setup!DW11),if(CI33=CF33,CD32*(1+Setup!DX11),if((CI33-CF33)=1,CD32*(1+Setup!DY11),if((CI33-CF33)=2,CD32*(1+Setup!DZ11),if((CI33-CF33)=3,CD32*(1+Setup!EA11),if((CI33-CF33)=4,CD32*(1+Setup!EB11),if((CI33-CF33)&gt;4.1,CD32*(1+Setup!EC11),CD32)))))))))),CN32/'Quick Setup'!$E13)</f>
        <v>310</v>
      </c>
      <c r="CM32" s="36" t="s">
        <v>77</v>
      </c>
      <c r="CN32" s="38"/>
      <c r="CO32" s="39"/>
      <c r="CP32" s="39"/>
      <c r="CQ32" s="39"/>
      <c r="CR32" s="39"/>
      <c r="CS32" s="39"/>
      <c r="CT32" s="37">
        <f>if(CV32="", if(CP33="",CL32, if((CP33-CO33)&lt;-1.9,CL32*(1+Setup!EH11),if((CP33-CO33)=-1,CL32*(1+Setup!EI11),if(CQ33&lt;CN33,CL32*(1+Setup!EI11),if(CQ33=CN33,CL32*(1+Setup!EJ11),if((CQ33-CN33)=1,CL32*(1+Setup!EK11),if((CQ33-CN33)=2,CL32*(1+Setup!EL11),if((CQ33-CN33)=3,CL32*(1+Setup!EM11),if((CQ33-CN33)=4,CL32*(1+Setup!EN11),if((CQ33-CN33)&gt;4.1,CL32*(1+Setup!EO11),CL32)))))))))),CV32/'Quick Setup'!$E13)</f>
        <v>310</v>
      </c>
      <c r="CU32" s="36" t="s">
        <v>77</v>
      </c>
      <c r="CV32" s="38"/>
      <c r="CW32" s="39"/>
      <c r="CX32" s="39"/>
      <c r="CY32" s="39"/>
      <c r="CZ32" s="39"/>
      <c r="DA32" s="39"/>
      <c r="DB32" s="37">
        <f>if(DD32="", if(CX33="",CT32, if((CX33-CW33)&lt;-1.9,CT32*(1+Setup!ET11),if((CX33-CW33)=-1,CT32*(1+Setup!EU11),if(CY33&lt;CV33,CT32*(1+Setup!EU11),if(CY33=CV33,CT32*(1+Setup!EV11),if((CY33-CV33)=1,CT32*(1+Setup!EW11),if((CY33-CV33)=2,CT32*(1+Setup!EX11),if((CY33-CV33)=3,CT32*(1+Setup!EY11),if((CY33-CV33)=4,CT32*(1+Setup!EZ11),if((CY33-CV33)&gt;4.1,CT32*(1+Setup!FA11),CT32)))))))))),DD32/'Quick Setup'!$E13)</f>
        <v>310</v>
      </c>
      <c r="DC32" s="36" t="s">
        <v>77</v>
      </c>
      <c r="DD32" s="38"/>
      <c r="DE32" s="39"/>
      <c r="DF32" s="39"/>
      <c r="DG32" s="39"/>
      <c r="DH32" s="39"/>
      <c r="DI32" s="39"/>
      <c r="DJ32" s="37">
        <f>if(DL32="",DB32,DL32/'Quick Setup'!$E13)</f>
        <v>310</v>
      </c>
      <c r="DK32" s="36" t="s">
        <v>77</v>
      </c>
      <c r="DL32" s="38"/>
      <c r="DM32" s="39"/>
      <c r="DN32" s="39"/>
      <c r="DO32" s="39"/>
      <c r="DP32" s="39"/>
      <c r="DQ32" s="39"/>
      <c r="DR32" s="37">
        <f>if(DT32="", if(DN33="",DJ32, if((DN33-DM33)&lt;-1.9,DJ32*(1+Setup!FR11),if((DN33-DM33)=-1,DJ32*(1+Setup!FS11),if(DO33&lt;DL33,DJ32*(1+Setup!FS11),if(DO33=DL33,DJ32*(1+Setup!FT11),if((DO33-DL33)=1,DJ32*(1+Setup!FU11),if((DO33-DL33)=2,DJ32*(1+Setup!FV11),if((DO33-DL33)=3,DJ32*(1+Setup!FW11),if((DO33-DL33)=4,DJ32*(1+Setup!FX11),if((DO33-DL33)&gt;4.1,DJ32*(1+Setup!FY11),DJ32)))))))))),DT32/'Quick Setup'!$E13)</f>
        <v>310</v>
      </c>
      <c r="DS32" s="36" t="s">
        <v>77</v>
      </c>
      <c r="DT32" s="38"/>
      <c r="DU32" s="39"/>
      <c r="DV32" s="39"/>
      <c r="DW32" s="39"/>
      <c r="DX32" s="39"/>
      <c r="DY32" s="39"/>
      <c r="DZ32" s="37">
        <f>if(EB32="", if(DV33="",DR32, if((DV33-DU33)&lt;-1.9,DR32*(1+Setup!GD11),if((DV33-DU33)=-1,DR32*(1+Setup!GE11),if(DW33&lt;DT33,DR32*(1+Setup!GE11),if(DW33=DT33,DR32*(1+Setup!GF11),if((DW33-DT33)=1,DR32*(1+Setup!GG11),if((DW33-DT33)=2,DR32*(1+Setup!GH11),if((DW33-DT33)=3,DR32*(1+Setup!GI11),if((DW33-DT33)=4,DR32*(1+Setup!GJ11),if((DW33-DT33)&gt;4.1,DR32*(1+Setup!GK11),DR32)))))))))),EB32/'Quick Setup'!$E13)</f>
        <v>310</v>
      </c>
      <c r="EA32" s="36" t="s">
        <v>77</v>
      </c>
      <c r="EB32" s="38"/>
      <c r="EC32" s="39"/>
      <c r="ED32" s="39"/>
      <c r="EE32" s="39"/>
      <c r="EF32" s="39"/>
      <c r="EG32" s="39"/>
      <c r="EH32" s="37">
        <f>if(EJ32="", if(ED33="",DZ32, if((ED33-EC33)&lt;-1.9,DZ32*(1+Setup!GP11),if((ED33-EC33)=-1,DZ32*(1+Setup!GQ11),if(EE33&lt;EB33,DZ32*(1+Setup!GQ11),if(EE33=EB33,DZ32*(1+Setup!GR11),if((EE33-EB33)=1,DZ32*(1+Setup!GS11),if((EE33-EB33)=2,DZ32*(1+Setup!GT11),if((EE33-EB33)=3,DZ32*(1+Setup!GU11),if((EE33-EB33)=4,DZ32*(1+Setup!GV11),if((EE33-EB33)&gt;4.1,DZ32*(1+Setup!GW11),DZ32)))))))))),EJ32/'Quick Setup'!$E13)</f>
        <v>310</v>
      </c>
      <c r="EI32" s="36" t="s">
        <v>77</v>
      </c>
      <c r="EJ32" s="38"/>
      <c r="EK32" s="39"/>
      <c r="EL32" s="39"/>
      <c r="EM32" s="39"/>
      <c r="EN32" s="39"/>
      <c r="EO32" s="39"/>
      <c r="EP32" s="37">
        <f>if(ER32="", if(EL33="",EH32, if((EL33-EK33)&lt;-1.9,EH32*(1+Setup!HB11),if((EL33-EK33)=-1,EH32*(1+Setup!HC11),if(EM33&lt;EJ33,EH32*(1+Setup!HC11),if(EM33=EJ33,EH32*(1+Setup!HD11),if((EM33-EJ33)=1,EH32*(1+Setup!HE11),if((EM33-EJ33)=2,EH32*(1+Setup!HF11),if((EM33-EJ33)=3,EH32*(1+Setup!HG11),if((EM33-EJ33)=4,EH32*(1+Setup!HH11),if((EM33-EJ33)&gt;4.1,EH32*(1+Setup!HI11),EH32)))))))))),ER32/'Quick Setup'!$E13)</f>
        <v>310</v>
      </c>
      <c r="EQ32" s="36" t="s">
        <v>77</v>
      </c>
      <c r="ER32" s="38"/>
      <c r="ES32" s="39"/>
      <c r="ET32" s="39"/>
      <c r="EU32" s="39"/>
      <c r="EV32" s="39"/>
      <c r="EW32" s="39"/>
      <c r="EX32" s="37">
        <f>if(EZ32="", if(ET33="",EP32, if((ET33-ES33)&lt;-1.9,EP32*(1+Setup!HN11),if((ET33-ES33)=-1,EP32*(1+Setup!HO11),if(EU33&lt;ER33,EP32*(1+Setup!HO11),if(EU33=ER33,EP32*(1+Setup!HP11),if((EU33-ER33)=1,EP32*(1+Setup!HQ11),if((EU33-ER33)=2,EP32*(1+Setup!HR11),if((EU33-ER33)=3,EP32*(1+Setup!HS11),if((EU33-ER33)=4,EP32*(1+Setup!HT11),if((EU33-ER33)&gt;4.1,EP32*(1+Setup!HU11),EP32)))))))))),EZ32/'Quick Setup'!$E13)</f>
        <v>310</v>
      </c>
      <c r="EY32" s="36" t="s">
        <v>77</v>
      </c>
      <c r="EZ32" s="38"/>
      <c r="FA32" s="39"/>
      <c r="FB32" s="39"/>
      <c r="FC32" s="39"/>
      <c r="FD32" s="39"/>
      <c r="FE32" s="39"/>
      <c r="FF32" s="37">
        <f>if(FH32="", if(FB33="",EX32, if((FB33-FA33)&lt;-1.9,EX32*(1+Setup!HZ11),if((FB33-FA33)=-1,EX32*(1+Setup!IA11),if(FC33&lt;EZ33,EX32*(1+Setup!IA11),if(FC33=EZ33,EX32*(1+Setup!IB11),if((FC33-EZ33)=1,EX32*(1+Setup!IC11),if((FC33-EZ33)=2,EX32*(1+Setup!ID11),if((FC33-EZ33)=3,EX32*(1+Setup!IE11),if((FC33-EZ33)=4,EX32*(1+Setup!IF11),if((FC33-EZ33)&gt;4.1,EX32*(1+Setup!IG11),EX32)))))))))),FH32/'Quick Setup'!$E13)</f>
        <v>310</v>
      </c>
      <c r="FG32" s="36" t="s">
        <v>77</v>
      </c>
      <c r="FH32" s="38"/>
      <c r="FI32" s="39"/>
      <c r="FJ32" s="39"/>
      <c r="FK32" s="39"/>
      <c r="FL32" s="39"/>
      <c r="FM32" s="39"/>
    </row>
    <row r="33">
      <c r="A33" s="1" t="str">
        <f>Setup!A11</f>
        <v>Close Grip Bench</v>
      </c>
      <c r="B33" s="40">
        <f>mround(B32*Setup!B11,'Quick Setup'!$A$2)</f>
        <v>185</v>
      </c>
      <c r="C33" s="2">
        <f>Setup!C11</f>
        <v>7</v>
      </c>
      <c r="D33" s="2">
        <f>Setup!D11</f>
        <v>3</v>
      </c>
      <c r="E33" s="2">
        <f>Setup!E11</f>
        <v>5</v>
      </c>
      <c r="F33" s="8"/>
      <c r="G33" s="8"/>
      <c r="H33" s="8"/>
      <c r="I33" s="8"/>
      <c r="J33" s="40">
        <f>mround(J32*Setup!N11,'Quick Setup'!$A$2)</f>
        <v>202.5</v>
      </c>
      <c r="K33" s="2">
        <f>Setup!O11</f>
        <v>6</v>
      </c>
      <c r="L33" s="2">
        <f>Setup!P11</f>
        <v>3</v>
      </c>
      <c r="M33" s="2">
        <f>Setup!Q11</f>
        <v>5</v>
      </c>
      <c r="N33" s="8"/>
      <c r="O33" s="8"/>
      <c r="P33" s="8"/>
      <c r="Q33" s="8"/>
      <c r="R33" s="40">
        <f>mround(R32*Setup!Z11,'Quick Setup'!$A$2)</f>
        <v>217.5</v>
      </c>
      <c r="S33" s="2">
        <f>Setup!AA11</f>
        <v>5</v>
      </c>
      <c r="T33" s="2">
        <f>Setup!AB11</f>
        <v>3</v>
      </c>
      <c r="U33" s="2">
        <f>Setup!AC11</f>
        <v>5</v>
      </c>
      <c r="V33" s="8"/>
      <c r="W33" s="8"/>
      <c r="X33" s="8"/>
      <c r="Y33" s="8"/>
      <c r="Z33" s="40">
        <f>mround(Z32*Setup!AL11,'Quick Setup'!$A$2)</f>
        <v>195</v>
      </c>
      <c r="AA33" s="2">
        <f>Setup!AM11</f>
        <v>7</v>
      </c>
      <c r="AB33" s="2">
        <f>Setup!AN11</f>
        <v>3</v>
      </c>
      <c r="AC33" s="2">
        <f>Setup!AO11</f>
        <v>5</v>
      </c>
      <c r="AD33" s="8"/>
      <c r="AE33" s="8"/>
      <c r="AF33" s="8"/>
      <c r="AG33" s="8"/>
      <c r="AH33" s="40">
        <f>mround(AH32*Setup!AX11,'Quick Setup'!$A$2)</f>
        <v>210</v>
      </c>
      <c r="AI33" s="2">
        <f>Setup!AY11</f>
        <v>6</v>
      </c>
      <c r="AJ33" s="2">
        <f>Setup!AZ11</f>
        <v>3</v>
      </c>
      <c r="AK33" s="2">
        <f>Setup!BA11</f>
        <v>5</v>
      </c>
      <c r="AL33" s="8"/>
      <c r="AM33" s="8"/>
      <c r="AN33" s="8"/>
      <c r="AO33" s="8"/>
      <c r="AP33" s="40">
        <f>mround(AP32*Setup!BJ11,'Quick Setup'!$A$2)</f>
        <v>225</v>
      </c>
      <c r="AQ33" s="2">
        <f>Setup!BK11</f>
        <v>5</v>
      </c>
      <c r="AR33" s="2">
        <f>Setup!BL11</f>
        <v>3</v>
      </c>
      <c r="AS33" s="2">
        <f>Setup!BM11</f>
        <v>5</v>
      </c>
      <c r="AT33" s="8"/>
      <c r="AU33" s="8"/>
      <c r="AV33" s="8"/>
      <c r="AW33" s="8"/>
      <c r="AX33" s="40">
        <f>mround(AX32*Setup!BV11,'Quick Setup'!$A$2)</f>
        <v>155</v>
      </c>
      <c r="AY33" s="1">
        <v>5.0</v>
      </c>
      <c r="AZ33" s="1" t="s">
        <v>80</v>
      </c>
      <c r="BA33" s="2">
        <f>Setup!BY11</f>
        <v>5</v>
      </c>
      <c r="BB33" s="8"/>
      <c r="BC33" s="8"/>
      <c r="BD33" s="8"/>
      <c r="BE33" s="8"/>
      <c r="BF33" s="40">
        <f>mround(BF32*Setup!CH11,'Quick Setup'!$A$2)</f>
        <v>202.5</v>
      </c>
      <c r="BG33" s="2">
        <f>Setup!CI11</f>
        <v>6</v>
      </c>
      <c r="BH33" s="2">
        <f>Setup!CJ11</f>
        <v>3</v>
      </c>
      <c r="BI33" s="2">
        <f>Setup!CK11</f>
        <v>5</v>
      </c>
      <c r="BJ33" s="8"/>
      <c r="BK33" s="8"/>
      <c r="BL33" s="8"/>
      <c r="BM33" s="8"/>
      <c r="BN33" s="40">
        <f>mround(BN32*Setup!CT11,'Quick Setup'!$A$2)</f>
        <v>217.5</v>
      </c>
      <c r="BO33" s="2">
        <f>Setup!CU11</f>
        <v>5</v>
      </c>
      <c r="BP33" s="2">
        <f>Setup!CV11</f>
        <v>3</v>
      </c>
      <c r="BQ33" s="2">
        <f>Setup!CW11</f>
        <v>5</v>
      </c>
      <c r="BR33" s="8"/>
      <c r="BS33" s="8"/>
      <c r="BT33" s="8"/>
      <c r="BU33" s="8"/>
      <c r="BV33" s="40">
        <f>mround(BV32*Setup!DF11,'Quick Setup'!$A$2)</f>
        <v>232.5</v>
      </c>
      <c r="BW33" s="2">
        <f>Setup!DG11</f>
        <v>4</v>
      </c>
      <c r="BX33" s="2">
        <f>Setup!DH11</f>
        <v>2</v>
      </c>
      <c r="BY33" s="2">
        <f>Setup!DI11</f>
        <v>5</v>
      </c>
      <c r="BZ33" s="8"/>
      <c r="CA33" s="8"/>
      <c r="CB33" s="8"/>
      <c r="CC33" s="8"/>
      <c r="CD33" s="40">
        <f>mround(CD32*Setup!DR11,'Quick Setup'!$A$2)</f>
        <v>210</v>
      </c>
      <c r="CE33" s="2">
        <f>Setup!DS11</f>
        <v>6</v>
      </c>
      <c r="CF33" s="2">
        <f>Setup!DT11</f>
        <v>3</v>
      </c>
      <c r="CG33" s="2">
        <f>Setup!DU11</f>
        <v>5</v>
      </c>
      <c r="CH33" s="8"/>
      <c r="CI33" s="8"/>
      <c r="CJ33" s="8"/>
      <c r="CK33" s="8"/>
      <c r="CL33" s="40">
        <f>mround(CL32*Setup!ED11,'Quick Setup'!$A$2)</f>
        <v>225</v>
      </c>
      <c r="CM33" s="2">
        <f>Setup!EE11</f>
        <v>5</v>
      </c>
      <c r="CN33" s="2">
        <f>Setup!EF11</f>
        <v>3</v>
      </c>
      <c r="CO33" s="2">
        <f>Setup!EG11</f>
        <v>5</v>
      </c>
      <c r="CP33" s="8"/>
      <c r="CQ33" s="8"/>
      <c r="CR33" s="8"/>
      <c r="CS33" s="8"/>
      <c r="CT33" s="40">
        <f>mround(CT32*Setup!EP11,'Quick Setup'!$A$2)</f>
        <v>240</v>
      </c>
      <c r="CU33" s="2">
        <f>Setup!EQ11</f>
        <v>4</v>
      </c>
      <c r="CV33" s="2">
        <f>Setup!ER11</f>
        <v>2</v>
      </c>
      <c r="CW33" s="2">
        <f>Setup!ES11</f>
        <v>5</v>
      </c>
      <c r="CX33" s="8"/>
      <c r="CY33" s="8"/>
      <c r="CZ33" s="8"/>
      <c r="DA33" s="8"/>
      <c r="DB33" s="40">
        <f>mround(DB32*Setup!FB11,'Quick Setup'!$A$2)</f>
        <v>155</v>
      </c>
      <c r="DC33" s="1">
        <v>5.0</v>
      </c>
      <c r="DD33" s="1" t="s">
        <v>80</v>
      </c>
      <c r="DE33" s="2">
        <f>Setup!FE11</f>
        <v>5</v>
      </c>
      <c r="DF33" s="8"/>
      <c r="DG33" s="8"/>
      <c r="DH33" s="8"/>
      <c r="DI33" s="8"/>
      <c r="DJ33" s="40">
        <f>mround(DJ32*Setup!FN11,'Quick Setup'!$A$2)</f>
        <v>217.5</v>
      </c>
      <c r="DK33" s="2">
        <f>Setup!FO11</f>
        <v>5</v>
      </c>
      <c r="DL33" s="2">
        <f>Setup!FP11</f>
        <v>3</v>
      </c>
      <c r="DM33" s="2">
        <f>Setup!FQ11</f>
        <v>5</v>
      </c>
      <c r="DN33" s="8"/>
      <c r="DO33" s="8"/>
      <c r="DP33" s="8"/>
      <c r="DQ33" s="8"/>
      <c r="DR33" s="40">
        <f>mround(DR32*Setup!FZ11,'Quick Setup'!$A$2)</f>
        <v>232.5</v>
      </c>
      <c r="DS33" s="2">
        <f>Setup!GA11</f>
        <v>4</v>
      </c>
      <c r="DT33" s="2">
        <f>Setup!GB11</f>
        <v>2</v>
      </c>
      <c r="DU33" s="2">
        <f>Setup!GC11</f>
        <v>5</v>
      </c>
      <c r="DV33" s="8"/>
      <c r="DW33" s="8"/>
      <c r="DX33" s="8"/>
      <c r="DY33" s="8"/>
      <c r="DZ33" s="40">
        <f>mround(DZ32*Setup!GL11,'Quick Setup'!$A$2)</f>
        <v>247.5</v>
      </c>
      <c r="EA33" s="2">
        <f>Setup!GM11</f>
        <v>3</v>
      </c>
      <c r="EB33" s="2">
        <f>Setup!GN11</f>
        <v>2</v>
      </c>
      <c r="EC33" s="2">
        <f>Setup!GO11</f>
        <v>5</v>
      </c>
      <c r="ED33" s="8"/>
      <c r="EE33" s="8"/>
      <c r="EF33" s="8"/>
      <c r="EG33" s="8"/>
      <c r="EH33" s="40">
        <f>mround(EH32*Setup!GX11,'Quick Setup'!$A$2)</f>
        <v>232.5</v>
      </c>
      <c r="EI33" s="2">
        <f>Setup!GY11</f>
        <v>4</v>
      </c>
      <c r="EJ33" s="2">
        <f>Setup!GZ11</f>
        <v>2</v>
      </c>
      <c r="EK33" s="2">
        <f>Setup!HA11</f>
        <v>5</v>
      </c>
      <c r="EL33" s="8"/>
      <c r="EM33" s="8"/>
      <c r="EN33" s="8"/>
      <c r="EO33" s="8"/>
      <c r="EP33" s="40">
        <f>mround(EP32*Setup!HJ11,'Quick Setup'!$A$2)</f>
        <v>247.5</v>
      </c>
      <c r="EQ33" s="2">
        <f>Setup!HK11</f>
        <v>3</v>
      </c>
      <c r="ER33" s="2">
        <f>Setup!HL11</f>
        <v>2</v>
      </c>
      <c r="ES33" s="2">
        <f>Setup!HM11</f>
        <v>5</v>
      </c>
      <c r="ET33" s="8"/>
      <c r="EU33" s="8"/>
      <c r="EV33" s="8"/>
      <c r="EW33" s="8"/>
      <c r="EX33" s="40">
        <f>mround(EX32*Setup!HV11,'Quick Setup'!$A$2)</f>
        <v>262.5</v>
      </c>
      <c r="EY33" s="2">
        <f>Setup!HW11</f>
        <v>2</v>
      </c>
      <c r="EZ33" s="2">
        <f>Setup!HX11</f>
        <v>1</v>
      </c>
      <c r="FA33" s="2">
        <f>Setup!HY11</f>
        <v>5</v>
      </c>
      <c r="FB33" s="8"/>
      <c r="FC33" s="8"/>
      <c r="FD33" s="8"/>
      <c r="FE33" s="8"/>
      <c r="FF33" s="40">
        <f>mround(FF32*Setup!IH11,'Quick Setup'!$A$2)</f>
        <v>155</v>
      </c>
      <c r="FG33" s="1">
        <v>5.0</v>
      </c>
      <c r="FH33" s="1" t="s">
        <v>80</v>
      </c>
      <c r="FI33" s="2">
        <f>Setup!IK11</f>
        <v>5</v>
      </c>
      <c r="FJ33" s="8"/>
      <c r="FK33" s="8"/>
      <c r="FL33" s="8"/>
      <c r="FM33" s="8"/>
    </row>
    <row r="34" hidden="1">
      <c r="A34" s="36" t="str">
        <f>CONCATENATE(A35," TM")</f>
        <v>Paused Squat TM</v>
      </c>
      <c r="B34" s="37">
        <f>if(D34="",'Quick Setup'!D12,D34/'Quick Setup'!E12)</f>
        <v>460</v>
      </c>
      <c r="C34" s="36" t="s">
        <v>77</v>
      </c>
      <c r="D34" s="38"/>
      <c r="E34" s="39"/>
      <c r="F34" s="39"/>
      <c r="G34" s="39"/>
      <c r="H34" s="39"/>
      <c r="I34" s="39"/>
      <c r="J34" s="37">
        <f>if(L34="", if(F35="",B34, if((F35-E35)&lt;-1.9,B34*(1+Setup!F10),if((F35-E35)=-1,B34*(1+Setup!G10),if(G35&lt;D35,B34*(1+Setup!G10),if(G35=D35,B34*(1+Setup!H10),if((G35-D35)=1,B34*(1+Setup!I10),if((G35-D35)=2,B34*(1+Setup!J10),if((G35-D35)=3,B34*(1+Setup!K10),if((G35-D35)=4,B34*(1+Setup!L10),if((G35-D35)&gt;4.1,B34*(1+Setup!M10),B34)))))))))),L34/'Quick Setup'!$E12)</f>
        <v>460</v>
      </c>
      <c r="K34" s="36" t="s">
        <v>77</v>
      </c>
      <c r="L34" s="38"/>
      <c r="M34" s="39"/>
      <c r="N34" s="39"/>
      <c r="O34" s="39"/>
      <c r="P34" s="39"/>
      <c r="Q34" s="39"/>
      <c r="R34" s="37">
        <f>if(T34="", if(N35="",J34, if((N35-M35)&lt;-1.9,J34*(1+Setup!R10),if((N35-M35)=-1,J34*(1+Setup!S10),if(O35&lt;L35,J34*(1+Setup!S10),if(O35=L35,J34*(1+Setup!T10),if((O35-L35)=1,J34*(1+Setup!U10),if((O35-L35)=2,J34*(1+Setup!V10),if((O35-L35)=3,J34*(1+Setup!W10),if((O35-L35)=4,J34*(1+Setup!X10),if((O35-L35)&gt;4.1,J34*(1+Setup!Y10),J34)))))))))),T34/'Quick Setup'!$E12)</f>
        <v>460</v>
      </c>
      <c r="S34" s="36" t="s">
        <v>77</v>
      </c>
      <c r="T34" s="38"/>
      <c r="U34" s="39"/>
      <c r="V34" s="39"/>
      <c r="W34" s="39"/>
      <c r="X34" s="39"/>
      <c r="Y34" s="39"/>
      <c r="Z34" s="37">
        <f>if(AB34="", if(V35="",R34, if((V35-U35)&lt;-1.9,R34*(1+Setup!AD10),if((V35-U35)=-1,R34*(1+Setup!AE10),if(W35&lt;T35,R34*(1+Setup!AE10),if(W35=T35,R34*(1+Setup!AF10),if((W35-T35)=1,R34*(1+Setup!AG10),if((W35-T35)=2,R34*(1+Setup!AH10),if((W35-T35)=3,R34*(1+Setup!AI10),if((W35-T35)=4,R34*(1+Setup!AJ10),if((W35-T35)&gt;4.1,R34*(1+Setup!AK10),R34)))))))))),AB34/'Quick Setup'!$E12)</f>
        <v>460</v>
      </c>
      <c r="AA34" s="36" t="s">
        <v>77</v>
      </c>
      <c r="AB34" s="38"/>
      <c r="AC34" s="39"/>
      <c r="AD34" s="39"/>
      <c r="AE34" s="39"/>
      <c r="AF34" s="39"/>
      <c r="AG34" s="39"/>
      <c r="AH34" s="37">
        <f>if(AJ34="", if(AD35="",Z34, if((AD35-AC35)&lt;-1.9,Z34*(1+Setup!AP10),if((AD35-AC35)=-1,Z34*(1+Setup!AQ10),if(AE35&lt;AB35,Z34*(1+Setup!AQ10),if(AE35=AB35,Z34*(1+Setup!AR10),if((AE35-AB35)=1,Z34*(1+Setup!AS10),if((AE35-AB35)=2,Z34*(1+Setup!AT10),if((AE35-AB35)=3,Z34*(1+Setup!AU10),if((AE35-AB35)=4,Z34*(1+Setup!AV10),if((AE35-AB35)&gt;4.1,Z34*(1+Setup!AW10),Z34)))))))))),AJ34/'Quick Setup'!$E12)</f>
        <v>460</v>
      </c>
      <c r="AI34" s="36" t="s">
        <v>77</v>
      </c>
      <c r="AJ34" s="38"/>
      <c r="AK34" s="39"/>
      <c r="AL34" s="39"/>
      <c r="AM34" s="39"/>
      <c r="AN34" s="39"/>
      <c r="AO34" s="39"/>
      <c r="AP34" s="37">
        <f>if(AR34="", if(AL35="",AH34, if((AL35-AK35)&lt;-1.9,AH34*(1+Setup!BB10),if((AL35-AK35)=-1,AH34*(1+Setup!BC10),if(AM35&lt;AJ35,AH34*(1+Setup!BC10),if(AM35=AJ35,AH34*(1+Setup!BD10),if((AM35-AJ35)=1,AH34*(1+Setup!BE10),if((AM35-AJ35)=2,AH34*(1+Setup!BF10),if((AM35-AJ35)=3,AH34*(1+Setup!BG10),if((AM35-AJ35)=4,AH34*(1+Setup!BH10),if((AM35-AJ35)&gt;4.1,AH34*(1+Setup!BI10),AH34)))))))))),AR34/'Quick Setup'!$E12)</f>
        <v>460</v>
      </c>
      <c r="AQ34" s="36" t="s">
        <v>77</v>
      </c>
      <c r="AR34" s="38"/>
      <c r="AS34" s="39"/>
      <c r="AT34" s="39"/>
      <c r="AU34" s="39"/>
      <c r="AV34" s="39"/>
      <c r="AW34" s="39"/>
      <c r="AX34" s="37">
        <f>if(AZ34="", if(AT35="",AP34, if((AT35-AS35)&lt;-1.9,AP34*(1+Setup!BN10),if((AT35-AS35)=-1,AP34*(1+Setup!BO10),if(AU35&lt;AR35,AP34*(1+Setup!BO10),if(AU35=AR35,AP34*(1+Setup!BP10),if((AU35-AR35)=1,AP34*(1+Setup!BQ10),if((AU35-AR35)=2,AP34*(1+Setup!BR10),if((AU35-AR35)=3,AP34*(1+Setup!BS10),if((AU35-AR35)=4,AP34*(1+Setup!BT10),if((AU35-AR35)&gt;4.1,AP34*(1+Setup!BU10),AP34)))))))))),AZ34/'Quick Setup'!$E12)</f>
        <v>460</v>
      </c>
      <c r="AY34" s="36" t="s">
        <v>77</v>
      </c>
      <c r="AZ34" s="38"/>
      <c r="BA34" s="39"/>
      <c r="BB34" s="39"/>
      <c r="BC34" s="39"/>
      <c r="BD34" s="39"/>
      <c r="BE34" s="39"/>
      <c r="BF34" s="37">
        <f>if(BH34="",AX34,BH34/'Quick Setup'!$E12)</f>
        <v>460</v>
      </c>
      <c r="BG34" s="36" t="s">
        <v>77</v>
      </c>
      <c r="BH34" s="38"/>
      <c r="BI34" s="39"/>
      <c r="BJ34" s="39"/>
      <c r="BK34" s="39"/>
      <c r="BL34" s="39"/>
      <c r="BM34" s="39"/>
      <c r="BN34" s="37">
        <f>if(BP34="", if(BJ35="",BF34, if((BJ35-BI35)&lt;-1.9,BF34*(1+Setup!CL10),if((BJ35-BI35)=-1,BF34*(1+Setup!CM10),if(BK35&lt;BH35,BF34*(1+Setup!CM10),if(BK35=BH35,BF34*(1+Setup!CN10),if((BK35-BH35)=1,BF34*(1+Setup!CO10),if((BK35-BH35)=2,BF34*(1+Setup!CP10),if((BK35-BH35)=3,BF34*(1+Setup!CQ10),if((BK35-BH35)=4,BF34*(1+Setup!CR10),if((BK35-BH35)&gt;4.1,BF34*(1+Setup!CS10),BF34)))))))))),BP34/'Quick Setup'!$E12)</f>
        <v>460</v>
      </c>
      <c r="BO34" s="36" t="s">
        <v>77</v>
      </c>
      <c r="BP34" s="38"/>
      <c r="BQ34" s="39"/>
      <c r="BR34" s="39"/>
      <c r="BS34" s="39"/>
      <c r="BT34" s="39"/>
      <c r="BU34" s="39"/>
      <c r="BV34" s="37">
        <f>if(BX34="", if(BR35="",BN34, if((BR35-BQ35)&lt;-1.9,BN34*(1+Setup!CX10),if((BR35-BQ35)=-1,BN34*(1+Setup!CY10),if(BS35&lt;BP35,BN34*(1+Setup!CY10),if(BS35=BP35,BN34*(1+Setup!CZ10),if((BS35-BP35)=1,BN34*(1+Setup!DA10),if((BS35-BP35)=2,BN34*(1+Setup!DB10),if((BS35-BP35)=3,BN34*(1+Setup!DC10),if((BS35-BP35)=4,BN34*(1+Setup!DD10),if((BS35-BP35)&gt;4.1,BN34*(1+Setup!DE10),BN34)))))))))),BX34/'Quick Setup'!$E12)</f>
        <v>460</v>
      </c>
      <c r="BW34" s="36" t="s">
        <v>77</v>
      </c>
      <c r="BX34" s="38"/>
      <c r="BY34" s="39"/>
      <c r="BZ34" s="39"/>
      <c r="CA34" s="39"/>
      <c r="CB34" s="39"/>
      <c r="CC34" s="39"/>
      <c r="CD34" s="37">
        <f>if(CF34="", if(BZ35="",BV34, if((BZ35-BY35)&lt;-1.9,BV34*(1+Setup!DJ10),if((BZ35-BY35)=-1,BV34*(1+Setup!DK10),if(CA35&lt;BX35,BV34*(1+Setup!DK10),if(CA35=BX35,BV34*(1+Setup!DL10),if((CA35-BX35)=1,BV34*(1+Setup!DM10),if((CA35-BX35)=2,BV34*(1+Setup!DN10),if((CA35-BX35)=3,BV34*(1+Setup!DO10),if((CA35-BX35)=4,BV34*(1+Setup!DP10),if((CA35-BX35)&gt;4.1,BV34*(1+Setup!DQ10),BV34)))))))))),CF34/'Quick Setup'!$E12)</f>
        <v>460</v>
      </c>
      <c r="CE34" s="36" t="s">
        <v>77</v>
      </c>
      <c r="CF34" s="38"/>
      <c r="CG34" s="39"/>
      <c r="CH34" s="39"/>
      <c r="CI34" s="39"/>
      <c r="CJ34" s="39"/>
      <c r="CK34" s="39"/>
      <c r="CL34" s="37">
        <f>if(CN34="", if(CH35="",CD34, if((CH35-CG35)&lt;-1.9,CD34*(1+Setup!DV10),if((CH35-CG35)=-1,CD34*(1+Setup!DW10),if(CI35&lt;CF35,CD34*(1+Setup!DW10),if(CI35=CF35,CD34*(1+Setup!DX10),if((CI35-CF35)=1,CD34*(1+Setup!DY10),if((CI35-CF35)=2,CD34*(1+Setup!DZ10),if((CI35-CF35)=3,CD34*(1+Setup!EA10),if((CI35-CF35)=4,CD34*(1+Setup!EB10),if((CI35-CF35)&gt;4.1,CD34*(1+Setup!EC10),CD34)))))))))),CN34/'Quick Setup'!$E12)</f>
        <v>460</v>
      </c>
      <c r="CM34" s="36" t="s">
        <v>77</v>
      </c>
      <c r="CN34" s="38"/>
      <c r="CO34" s="39"/>
      <c r="CP34" s="39"/>
      <c r="CQ34" s="39"/>
      <c r="CR34" s="39"/>
      <c r="CS34" s="39"/>
      <c r="CT34" s="37">
        <f>if(CV34="", if(CP35="",CL34, if((CP35-CO35)&lt;-1.9,CL34*(1+Setup!EH10),if((CP35-CO35)=-1,CL34*(1+Setup!EI10),if(CQ35&lt;CN35,CL34*(1+Setup!EI10),if(CQ35=CN35,CL34*(1+Setup!EJ10),if((CQ35-CN35)=1,CL34*(1+Setup!EK10),if((CQ35-CN35)=2,CL34*(1+Setup!EL10),if((CQ35-CN35)=3,CL34*(1+Setup!EM10),if((CQ35-CN35)=4,CL34*(1+Setup!EN10),if((CQ35-CN35)&gt;4.1,CL34*(1+Setup!EO10),CL34)))))))))),CV34/'Quick Setup'!$E12)</f>
        <v>460</v>
      </c>
      <c r="CU34" s="36" t="s">
        <v>77</v>
      </c>
      <c r="CV34" s="38"/>
      <c r="CW34" s="39"/>
      <c r="CX34" s="39"/>
      <c r="CY34" s="39"/>
      <c r="CZ34" s="39"/>
      <c r="DA34" s="39"/>
      <c r="DB34" s="37">
        <f>if(DD34="", if(CX35="",CT34, if((CX35-CW35)&lt;-1.9,CT34*(1+Setup!ET10),if((CX35-CW35)=-1,CT34*(1+Setup!EU10),if(CY35&lt;CV35,CT34*(1+Setup!EU10),if(CY35=CV35,CT34*(1+Setup!EV10),if((CY35-CV35)=1,CT34*(1+Setup!EW10),if((CY35-CV35)=2,CT34*(1+Setup!EX10),if((CY35-CV35)=3,CT34*(1+Setup!EY10),if((CY35-CV35)=4,CT34*(1+Setup!EZ10),if((CY35-CV35)&gt;4.1,CT34*(1+Setup!FA10),CT34)))))))))),DD34/'Quick Setup'!$E12)</f>
        <v>460</v>
      </c>
      <c r="DC34" s="36" t="s">
        <v>77</v>
      </c>
      <c r="DD34" s="38"/>
      <c r="DE34" s="39"/>
      <c r="DF34" s="39"/>
      <c r="DG34" s="39"/>
      <c r="DH34" s="39"/>
      <c r="DI34" s="39"/>
      <c r="DJ34" s="37">
        <f>if(DL34="",DB34,DL34/'Quick Setup'!$E12)</f>
        <v>460</v>
      </c>
      <c r="DK34" s="36" t="s">
        <v>77</v>
      </c>
      <c r="DL34" s="38"/>
      <c r="DM34" s="39"/>
      <c r="DN34" s="39"/>
      <c r="DO34" s="39"/>
      <c r="DP34" s="39"/>
      <c r="DQ34" s="39"/>
      <c r="DR34" s="37">
        <f>if(DT34="", if(DN35="",DJ34, if((DN35-DM35)&lt;-1.9,DJ34*(1+Setup!FR10),if((DN35-DM35)=-1,DJ34*(1+Setup!FS10),if(DO35&lt;DL35,DJ34*(1+Setup!FS10),if(DO35=DL35,DJ34*(1+Setup!FT10),if((DO35-DL35)=1,DJ34*(1+Setup!FU10),if((DO35-DL35)=2,DJ34*(1+Setup!FV10),if((DO35-DL35)=3,DJ34*(1+Setup!FW10),if((DO35-DL35)=4,DJ34*(1+Setup!FX10),if((DO35-DL35)&gt;4.1,DJ34*(1+Setup!FY10),DJ34)))))))))),DT34/'Quick Setup'!$E12)</f>
        <v>460</v>
      </c>
      <c r="DS34" s="36" t="s">
        <v>77</v>
      </c>
      <c r="DT34" s="38"/>
      <c r="DU34" s="39"/>
      <c r="DV34" s="39"/>
      <c r="DW34" s="39"/>
      <c r="DX34" s="39"/>
      <c r="DY34" s="39"/>
      <c r="DZ34" s="37">
        <f>if(EB34="", if(DV35="",DR34, if((DV35-DU35)&lt;-1.9,DR34*(1+Setup!GD10),if((DV35-DU35)=-1,DR34*(1+Setup!GE10),if(DW35&lt;DT35,DR34*(1+Setup!GE10),if(DW35=DT35,DR34*(1+Setup!GF10),if((DW35-DT35)=1,DR34*(1+Setup!GG10),if((DW35-DT35)=2,DR34*(1+Setup!GH10),if((DW35-DT35)=3,DR34*(1+Setup!GI10),if((DW35-DT35)=4,DR34*(1+Setup!GJ10),if((DW35-DT35)&gt;4.1,DR34*(1+Setup!GK10),DR34)))))))))),EB34/'Quick Setup'!$E12)</f>
        <v>460</v>
      </c>
      <c r="EA34" s="36" t="s">
        <v>77</v>
      </c>
      <c r="EB34" s="38"/>
      <c r="EC34" s="39"/>
      <c r="ED34" s="39"/>
      <c r="EE34" s="39"/>
      <c r="EF34" s="39"/>
      <c r="EG34" s="39"/>
      <c r="EH34" s="37">
        <f>if(EJ34="", if(ED35="",DZ34, if((ED35-EC35)&lt;-1.9,DZ34*(1+Setup!GP10),if((ED35-EC35)=-1,DZ34*(1+Setup!GQ10),if(EE35&lt;EB35,DZ34*(1+Setup!GQ10),if(EE35=EB35,DZ34*(1+Setup!GR10),if((EE35-EB35)=1,DZ34*(1+Setup!GS10),if((EE35-EB35)=2,DZ34*(1+Setup!GT10),if((EE35-EB35)=3,DZ34*(1+Setup!GU10),if((EE35-EB35)=4,DZ34*(1+Setup!GV10),if((EE35-EB35)&gt;4.1,DZ34*(1+Setup!GW10),DZ34)))))))))),EJ34/'Quick Setup'!$E12)</f>
        <v>460</v>
      </c>
      <c r="EI34" s="36" t="s">
        <v>77</v>
      </c>
      <c r="EJ34" s="38"/>
      <c r="EK34" s="39"/>
      <c r="EL34" s="39"/>
      <c r="EM34" s="39"/>
      <c r="EN34" s="39"/>
      <c r="EO34" s="39"/>
      <c r="EP34" s="37">
        <f>if(ER34="", if(EL35="",EH34, if((EL35-EK35)&lt;-1.9,EH34*(1+Setup!HB10),if((EL35-EK35)=-1,EH34*(1+Setup!HC10),if(EM35&lt;EJ35,EH34*(1+Setup!HC10),if(EM35=EJ35,EH34*(1+Setup!HD10),if((EM35-EJ35)=1,EH34*(1+Setup!HE10),if((EM35-EJ35)=2,EH34*(1+Setup!HF10),if((EM35-EJ35)=3,EH34*(1+Setup!HG10),if((EM35-EJ35)=4,EH34*(1+Setup!HH10),if((EM35-EJ35)&gt;4.1,EH34*(1+Setup!HI10),EH34)))))))))),ER34/'Quick Setup'!$E12)</f>
        <v>460</v>
      </c>
      <c r="EQ34" s="36" t="s">
        <v>77</v>
      </c>
      <c r="ER34" s="38"/>
      <c r="ES34" s="39"/>
      <c r="ET34" s="39"/>
      <c r="EU34" s="39"/>
      <c r="EV34" s="39"/>
      <c r="EW34" s="39"/>
      <c r="EX34" s="37">
        <f>if(EZ34="", if(ET35="",EP34, if((ET35-ES35)&lt;-1.9,EP34*(1+Setup!HN10),if((ET35-ES35)=-1,EP34*(1+Setup!HO10),if(EU35&lt;ER35,EP34*(1+Setup!HO10),if(EU35=ER35,EP34*(1+Setup!HP10),if((EU35-ER35)=1,EP34*(1+Setup!HQ10),if((EU35-ER35)=2,EP34*(1+Setup!HR10),if((EU35-ER35)=3,EP34*(1+Setup!HS10),if((EU35-ER35)=4,EP34*(1+Setup!HT10),if((EU35-ER35)&gt;4.1,EP34*(1+Setup!HU10),EP34)))))))))),EZ34/'Quick Setup'!$E12)</f>
        <v>460</v>
      </c>
      <c r="EY34" s="36" t="s">
        <v>77</v>
      </c>
      <c r="EZ34" s="38"/>
      <c r="FA34" s="39"/>
      <c r="FB34" s="39"/>
      <c r="FC34" s="39"/>
      <c r="FD34" s="39"/>
      <c r="FE34" s="39"/>
      <c r="FF34" s="37">
        <f>if(FH34="", if(FB35="",EX34, if((FB35-FA35)&lt;-1.9,EX34*(1+Setup!HZ10),if((FB35-FA35)=-1,EX34*(1+Setup!IA10),if(FC35&lt;EZ35,EX34*(1+Setup!IA10),if(FC35=EZ35,EX34*(1+Setup!IB10),if((FC35-EZ35)=1,EX34*(1+Setup!IC10),if((FC35-EZ35)=2,EX34*(1+Setup!ID10),if((FC35-EZ35)=3,EX34*(1+Setup!IE10),if((FC35-EZ35)=4,EX34*(1+Setup!IF10),if((FC35-EZ35)&gt;4.1,EX34*(1+Setup!IG10),EX34)))))))))),FH34/'Quick Setup'!$E12)</f>
        <v>460</v>
      </c>
      <c r="FG34" s="36" t="s">
        <v>77</v>
      </c>
      <c r="FH34" s="38"/>
      <c r="FI34" s="39"/>
      <c r="FJ34" s="39"/>
      <c r="FK34" s="39"/>
      <c r="FL34" s="39"/>
      <c r="FM34" s="39"/>
    </row>
    <row r="35">
      <c r="A35" s="1" t="str">
        <f>Setup!A10</f>
        <v>Paused Squat</v>
      </c>
      <c r="B35" s="40">
        <f>mround(B34*Setup!B10,'Quick Setup'!$A$2)</f>
        <v>275</v>
      </c>
      <c r="C35" s="2">
        <f>Setup!C10</f>
        <v>7</v>
      </c>
      <c r="D35" s="2">
        <f>Setup!D10</f>
        <v>3</v>
      </c>
      <c r="E35" s="2">
        <f>Setup!E10</f>
        <v>5</v>
      </c>
      <c r="F35" s="8"/>
      <c r="G35" s="8"/>
      <c r="H35" s="8"/>
      <c r="I35" s="8"/>
      <c r="J35" s="40">
        <f>mround(J34*Setup!N10,'Quick Setup'!$A$2)</f>
        <v>300</v>
      </c>
      <c r="K35" s="2">
        <f>Setup!O10</f>
        <v>6</v>
      </c>
      <c r="L35" s="2">
        <f>Setup!P10</f>
        <v>3</v>
      </c>
      <c r="M35" s="2">
        <f>Setup!Q10</f>
        <v>5</v>
      </c>
      <c r="N35" s="8"/>
      <c r="O35" s="8"/>
      <c r="P35" s="8"/>
      <c r="Q35" s="8"/>
      <c r="R35" s="40">
        <f>mround(R34*Setup!Z10,'Quick Setup'!$A$2)</f>
        <v>322.5</v>
      </c>
      <c r="S35" s="2">
        <f>Setup!AA10</f>
        <v>5</v>
      </c>
      <c r="T35" s="2">
        <f>Setup!AB10</f>
        <v>3</v>
      </c>
      <c r="U35" s="2">
        <f>Setup!AC10</f>
        <v>5</v>
      </c>
      <c r="V35" s="8"/>
      <c r="W35" s="8"/>
      <c r="X35" s="8"/>
      <c r="Y35" s="8"/>
      <c r="Z35" s="40">
        <f>mround(Z34*Setup!AL10,'Quick Setup'!$A$2)</f>
        <v>287.5</v>
      </c>
      <c r="AA35" s="2">
        <f>Setup!AM10</f>
        <v>7</v>
      </c>
      <c r="AB35" s="2">
        <f>Setup!AN10</f>
        <v>3</v>
      </c>
      <c r="AC35" s="2">
        <f>Setup!AO10</f>
        <v>5</v>
      </c>
      <c r="AD35" s="8"/>
      <c r="AE35" s="8"/>
      <c r="AF35" s="8"/>
      <c r="AG35" s="8"/>
      <c r="AH35" s="40">
        <f>mround(AH34*Setup!AX10,'Quick Setup'!$A$2)</f>
        <v>310</v>
      </c>
      <c r="AI35" s="2">
        <f>Setup!AY10</f>
        <v>6</v>
      </c>
      <c r="AJ35" s="2">
        <f>Setup!AZ10</f>
        <v>3</v>
      </c>
      <c r="AK35" s="2">
        <f>Setup!BA10</f>
        <v>5</v>
      </c>
      <c r="AL35" s="8"/>
      <c r="AM35" s="8"/>
      <c r="AN35" s="8"/>
      <c r="AO35" s="8"/>
      <c r="AP35" s="40">
        <f>mround(AP34*Setup!BJ10,'Quick Setup'!$A$2)</f>
        <v>332.5</v>
      </c>
      <c r="AQ35" s="2">
        <f>Setup!BK10</f>
        <v>5</v>
      </c>
      <c r="AR35" s="2">
        <f>Setup!BL10</f>
        <v>3</v>
      </c>
      <c r="AS35" s="2">
        <f>Setup!BM10</f>
        <v>5</v>
      </c>
      <c r="AT35" s="8"/>
      <c r="AU35" s="8"/>
      <c r="AV35" s="8"/>
      <c r="AW35" s="8"/>
      <c r="AX35" s="40">
        <f>mround(AX34*Setup!BV10,'Quick Setup'!$A$2)</f>
        <v>230</v>
      </c>
      <c r="AY35" s="1">
        <v>5.0</v>
      </c>
      <c r="AZ35" s="1" t="s">
        <v>80</v>
      </c>
      <c r="BA35" s="2">
        <f>Setup!BY10</f>
        <v>5</v>
      </c>
      <c r="BB35" s="8"/>
      <c r="BC35" s="8"/>
      <c r="BD35" s="8"/>
      <c r="BE35" s="8"/>
      <c r="BF35" s="40">
        <f>mround(BF34*Setup!CH10,'Quick Setup'!$A$2)</f>
        <v>300</v>
      </c>
      <c r="BG35" s="2">
        <f>Setup!CI10</f>
        <v>6</v>
      </c>
      <c r="BH35" s="2">
        <f>Setup!CJ10</f>
        <v>3</v>
      </c>
      <c r="BI35" s="2">
        <f>Setup!CK10</f>
        <v>5</v>
      </c>
      <c r="BJ35" s="8"/>
      <c r="BK35" s="8"/>
      <c r="BL35" s="8"/>
      <c r="BM35" s="8"/>
      <c r="BN35" s="40">
        <f>mround(BN34*Setup!CT10,'Quick Setup'!$A$2)</f>
        <v>322.5</v>
      </c>
      <c r="BO35" s="2">
        <f>Setup!CU10</f>
        <v>5</v>
      </c>
      <c r="BP35" s="2">
        <f>Setup!CV10</f>
        <v>3</v>
      </c>
      <c r="BQ35" s="2">
        <f>Setup!CW10</f>
        <v>5</v>
      </c>
      <c r="BR35" s="8"/>
      <c r="BS35" s="8"/>
      <c r="BT35" s="8"/>
      <c r="BU35" s="8"/>
      <c r="BV35" s="40">
        <f>mround(BV34*Setup!DF10,'Quick Setup'!$A$2)</f>
        <v>345</v>
      </c>
      <c r="BW35" s="2">
        <f>Setup!DG10</f>
        <v>4</v>
      </c>
      <c r="BX35" s="2">
        <f>Setup!DH10</f>
        <v>2</v>
      </c>
      <c r="BY35" s="2">
        <f>Setup!DI10</f>
        <v>5</v>
      </c>
      <c r="BZ35" s="8"/>
      <c r="CA35" s="8"/>
      <c r="CB35" s="8"/>
      <c r="CC35" s="8"/>
      <c r="CD35" s="40">
        <f>mround(CD34*Setup!DR10,'Quick Setup'!$A$2)</f>
        <v>310</v>
      </c>
      <c r="CE35" s="2">
        <f>Setup!DS10</f>
        <v>6</v>
      </c>
      <c r="CF35" s="2">
        <f>Setup!DT10</f>
        <v>3</v>
      </c>
      <c r="CG35" s="2">
        <f>Setup!DU10</f>
        <v>5</v>
      </c>
      <c r="CH35" s="8"/>
      <c r="CI35" s="8"/>
      <c r="CJ35" s="8"/>
      <c r="CK35" s="8"/>
      <c r="CL35" s="40">
        <f>mround(CL34*Setup!ED10,'Quick Setup'!$A$2)</f>
        <v>332.5</v>
      </c>
      <c r="CM35" s="2">
        <f>Setup!EE10</f>
        <v>5</v>
      </c>
      <c r="CN35" s="2">
        <f>Setup!EF10</f>
        <v>3</v>
      </c>
      <c r="CO35" s="2">
        <f>Setup!EG10</f>
        <v>5</v>
      </c>
      <c r="CP35" s="8"/>
      <c r="CQ35" s="8"/>
      <c r="CR35" s="8"/>
      <c r="CS35" s="8"/>
      <c r="CT35" s="40">
        <f>mround(CT34*Setup!EP10,'Quick Setup'!$A$2)</f>
        <v>357.5</v>
      </c>
      <c r="CU35" s="2">
        <f>Setup!EQ10</f>
        <v>4</v>
      </c>
      <c r="CV35" s="2">
        <f>Setup!ER10</f>
        <v>2</v>
      </c>
      <c r="CW35" s="2">
        <f>Setup!ES10</f>
        <v>5</v>
      </c>
      <c r="CX35" s="8"/>
      <c r="CY35" s="8"/>
      <c r="CZ35" s="8"/>
      <c r="DA35" s="8"/>
      <c r="DB35" s="40">
        <f>mround(DB34*Setup!FB10,'Quick Setup'!$A$2)</f>
        <v>230</v>
      </c>
      <c r="DC35" s="1">
        <v>5.0</v>
      </c>
      <c r="DD35" s="1" t="s">
        <v>80</v>
      </c>
      <c r="DE35" s="2">
        <f>Setup!FE10</f>
        <v>5</v>
      </c>
      <c r="DF35" s="8"/>
      <c r="DG35" s="8"/>
      <c r="DH35" s="8"/>
      <c r="DI35" s="8"/>
      <c r="DJ35" s="40">
        <f>mround(DJ34*Setup!FN10,'Quick Setup'!$A$2)</f>
        <v>322.5</v>
      </c>
      <c r="DK35" s="2">
        <f>Setup!FO10</f>
        <v>5</v>
      </c>
      <c r="DL35" s="2">
        <f>Setup!FP10</f>
        <v>3</v>
      </c>
      <c r="DM35" s="2">
        <f>Setup!FQ10</f>
        <v>5</v>
      </c>
      <c r="DN35" s="8"/>
      <c r="DO35" s="8"/>
      <c r="DP35" s="8"/>
      <c r="DQ35" s="8"/>
      <c r="DR35" s="40">
        <f>mround(DR34*Setup!FZ10,'Quick Setup'!$A$2)</f>
        <v>345</v>
      </c>
      <c r="DS35" s="2">
        <f>Setup!GA10</f>
        <v>4</v>
      </c>
      <c r="DT35" s="2">
        <f>Setup!GB10</f>
        <v>2</v>
      </c>
      <c r="DU35" s="2">
        <f>Setup!GC10</f>
        <v>5</v>
      </c>
      <c r="DV35" s="8"/>
      <c r="DW35" s="8"/>
      <c r="DX35" s="8"/>
      <c r="DY35" s="8"/>
      <c r="DZ35" s="40">
        <f>mround(DZ34*Setup!GL10,'Quick Setup'!$A$2)</f>
        <v>367.5</v>
      </c>
      <c r="EA35" s="2">
        <f>Setup!GM10</f>
        <v>3</v>
      </c>
      <c r="EB35" s="2">
        <f>Setup!GN10</f>
        <v>2</v>
      </c>
      <c r="EC35" s="2">
        <f>Setup!GO10</f>
        <v>5</v>
      </c>
      <c r="ED35" s="8"/>
      <c r="EE35" s="8"/>
      <c r="EF35" s="8"/>
      <c r="EG35" s="8"/>
      <c r="EH35" s="40">
        <f>mround(EH34*Setup!GX10,'Quick Setup'!$A$2)</f>
        <v>345</v>
      </c>
      <c r="EI35" s="2">
        <f>Setup!GY10</f>
        <v>4</v>
      </c>
      <c r="EJ35" s="2">
        <f>Setup!GZ10</f>
        <v>2</v>
      </c>
      <c r="EK35" s="2">
        <f>Setup!HA10</f>
        <v>5</v>
      </c>
      <c r="EL35" s="8"/>
      <c r="EM35" s="8"/>
      <c r="EN35" s="8"/>
      <c r="EO35" s="8"/>
      <c r="EP35" s="40">
        <f>mround(EP34*Setup!HJ10,'Quick Setup'!$A$2)</f>
        <v>367.5</v>
      </c>
      <c r="EQ35" s="2">
        <f>Setup!HK10</f>
        <v>3</v>
      </c>
      <c r="ER35" s="2">
        <f>Setup!HL10</f>
        <v>2</v>
      </c>
      <c r="ES35" s="2">
        <f>Setup!HM10</f>
        <v>5</v>
      </c>
      <c r="ET35" s="8"/>
      <c r="EU35" s="8"/>
      <c r="EV35" s="8"/>
      <c r="EW35" s="8"/>
      <c r="EX35" s="40">
        <f>mround(EX34*Setup!HV10,'Quick Setup'!$A$2)</f>
        <v>390</v>
      </c>
      <c r="EY35" s="2">
        <f>Setup!HW10</f>
        <v>2</v>
      </c>
      <c r="EZ35" s="2">
        <f>Setup!HX10</f>
        <v>1</v>
      </c>
      <c r="FA35" s="2">
        <f>Setup!HY10</f>
        <v>5</v>
      </c>
      <c r="FB35" s="8"/>
      <c r="FC35" s="8"/>
      <c r="FD35" s="8"/>
      <c r="FE35" s="8"/>
      <c r="FF35" s="40">
        <f>mround(FF34*Setup!IH10,'Quick Setup'!$A$2)</f>
        <v>230</v>
      </c>
      <c r="FG35" s="1">
        <v>5.0</v>
      </c>
      <c r="FH35" s="1" t="s">
        <v>80</v>
      </c>
      <c r="FI35" s="2">
        <f>Setup!IK10</f>
        <v>5</v>
      </c>
      <c r="FJ35" s="8"/>
      <c r="FK35" s="8"/>
      <c r="FL35" s="8"/>
      <c r="FM35" s="8"/>
    </row>
    <row r="36" hidden="1">
      <c r="A36" s="36" t="str">
        <f>CONCATENATE(A37," TM")</f>
        <v>Push Press TM</v>
      </c>
      <c r="B36" s="37">
        <f>if(D36="",'Quick Setup'!D16,D36/'Quick Setup'!E16)</f>
        <v>245</v>
      </c>
      <c r="C36" s="36" t="s">
        <v>77</v>
      </c>
      <c r="D36" s="38"/>
      <c r="E36" s="39"/>
      <c r="F36" s="39"/>
      <c r="G36" s="39"/>
      <c r="H36" s="39"/>
      <c r="I36" s="39"/>
      <c r="J36" s="37">
        <f>if(L36="", if(F37="",B36, if((F37-E37)&lt;-1.9,B36*(1+Setup!F14),if((F37-E37)=-1,B36*(1+Setup!G14),if(G37&lt;D37,B36*(1+Setup!G14),if(G37=D37,B36*(1+Setup!H14),if((G37-D37)=1,B36*(1+Setup!I14),if((G37-D37)=2,B36*(1+Setup!J14),if((G37-D37)=3,B36*(1+Setup!K14),if((G37-D37)=4,B36*(1+Setup!L14),if((G37-D37)&gt;4.1,B36*(1+Setup!M14),B36)))))))))),L36/'Quick Setup'!$E16)</f>
        <v>245</v>
      </c>
      <c r="K36" s="36" t="s">
        <v>77</v>
      </c>
      <c r="L36" s="38"/>
      <c r="M36" s="39"/>
      <c r="N36" s="39"/>
      <c r="O36" s="39"/>
      <c r="P36" s="39"/>
      <c r="Q36" s="39"/>
      <c r="R36" s="37">
        <f>if(T36="", if(N37="",J36, if((N37-M37)&lt;-1.9,J36*(1+Setup!R14),if((N37-M37)=-1,J36*(1+Setup!S14),if(O37&lt;L37,J36*(1+Setup!S14),if(O37=L37,J36*(1+Setup!T14),if((O37-L37)=1,J36*(1+Setup!U14),if((O37-L37)=2,J36*(1+Setup!V14),if((O37-L37)=3,J36*(1+Setup!W14),if((O37-L37)=4,J36*(1+Setup!X14),if((O37-L37)&gt;4.1,J36*(1+Setup!Y14),J36)))))))))),T36/'Quick Setup'!$E16)</f>
        <v>245</v>
      </c>
      <c r="S36" s="36" t="s">
        <v>77</v>
      </c>
      <c r="T36" s="38"/>
      <c r="U36" s="39"/>
      <c r="V36" s="39"/>
      <c r="W36" s="39"/>
      <c r="X36" s="39"/>
      <c r="Y36" s="39"/>
      <c r="Z36" s="37">
        <f>if(AB36="", if(V37="",R36, if((V37-U37)&lt;-1.9,R36*(1+Setup!AD14),if((V37-U37)=-1,R36*(1+Setup!AE14),if(W37&lt;T37,R36*(1+Setup!AE14),if(W37=T37,R36*(1+Setup!AF14),if((W37-T37)=1,R36*(1+Setup!AG14),if((W37-T37)=2,R36*(1+Setup!AH14),if((W37-T37)=3,R36*(1+Setup!AI14),if((W37-T37)=4,R36*(1+Setup!AJ14),if((W37-T37)&gt;4.1,R36*(1+Setup!AK14),R36)))))))))),AB36/'Quick Setup'!$E16)</f>
        <v>245</v>
      </c>
      <c r="AA36" s="36" t="s">
        <v>77</v>
      </c>
      <c r="AB36" s="38"/>
      <c r="AC36" s="39"/>
      <c r="AD36" s="39"/>
      <c r="AE36" s="39"/>
      <c r="AF36" s="39"/>
      <c r="AG36" s="39"/>
      <c r="AH36" s="37">
        <f>if(AJ36="", if(AD37="",Z36, if((AD37-AC37)&lt;-1.9,Z36*(1+Setup!AP14),if((AD37-AC37)=-1,Z36*(1+Setup!AQ14),if(AE37&lt;AB37,Z36*(1+Setup!AQ14),if(AE37=AB37,Z36*(1+Setup!AR14),if((AE37-AB37)=1,Z36*(1+Setup!AS14),if((AE37-AB37)=2,Z36*(1+Setup!AT14),if((AE37-AB37)=3,Z36*(1+Setup!AU14),if((AE37-AB37)=4,Z36*(1+Setup!AV14),if((AE37-AB37)&gt;4.1,Z36*(1+Setup!AW14),Z36)))))))))),AJ36/'Quick Setup'!$E16)</f>
        <v>245</v>
      </c>
      <c r="AI36" s="36" t="s">
        <v>77</v>
      </c>
      <c r="AJ36" s="38"/>
      <c r="AK36" s="39"/>
      <c r="AL36" s="39"/>
      <c r="AM36" s="39"/>
      <c r="AN36" s="39"/>
      <c r="AO36" s="39"/>
      <c r="AP36" s="37">
        <f>if(AR36="", if(AL37="",AH36, if((AL37-AK37)&lt;-1.9,AH36*(1+Setup!BB14),if((AL37-AK37)=-1,AH36*(1+Setup!BC14),if(AM37&lt;AJ37,AH36*(1+Setup!BC14),if(AM37=AJ37,AH36*(1+Setup!BD14),if((AM37-AJ37)=1,AH36*(1+Setup!BE14),if((AM37-AJ37)=2,AH36*(1+Setup!BF14),if((AM37-AJ37)=3,AH36*(1+Setup!BG14),if((AM37-AJ37)=4,AH36*(1+Setup!BH14),if((AM37-AJ37)&gt;4.1,AH36*(1+Setup!BI14),AH36)))))))))),AR36/'Quick Setup'!$E16)</f>
        <v>245</v>
      </c>
      <c r="AQ36" s="36" t="s">
        <v>77</v>
      </c>
      <c r="AR36" s="38"/>
      <c r="AS36" s="39"/>
      <c r="AT36" s="39"/>
      <c r="AU36" s="39"/>
      <c r="AV36" s="39"/>
      <c r="AW36" s="39"/>
      <c r="AX36" s="37">
        <f>if(AZ36="", if(AT37="",AP36, if((AT37-AS37)&lt;-1.9,AP36*(1+Setup!BN14),if((AT37-AS37)=-1,AP36*(1+Setup!BO14),if(AU37&lt;AR37,AP36*(1+Setup!BO14),if(AU37=AR37,AP36*(1+Setup!BP14),if((AU37-AR37)=1,AP36*(1+Setup!BQ14),if((AU37-AR37)=2,AP36*(1+Setup!BR14),if((AU37-AR37)=3,AP36*(1+Setup!BS14),if((AU37-AR37)=4,AP36*(1+Setup!BT14),if((AU37-AR37)&gt;4.1,AP36*(1+Setup!BU14),AP36)))))))))),AZ36/'Quick Setup'!$E16)</f>
        <v>245</v>
      </c>
      <c r="AY36" s="36" t="s">
        <v>77</v>
      </c>
      <c r="AZ36" s="38"/>
      <c r="BA36" s="39"/>
      <c r="BB36" s="39"/>
      <c r="BC36" s="39"/>
      <c r="BD36" s="39"/>
      <c r="BE36" s="39"/>
      <c r="BF36" s="37">
        <f>if(BH36="",AX36,BH36/'Quick Setup'!$E16)</f>
        <v>245</v>
      </c>
      <c r="BG36" s="36" t="s">
        <v>77</v>
      </c>
      <c r="BH36" s="38"/>
      <c r="BI36" s="39"/>
      <c r="BJ36" s="39"/>
      <c r="BK36" s="39"/>
      <c r="BL36" s="39"/>
      <c r="BM36" s="39"/>
      <c r="BN36" s="37">
        <f>if(BP36="", if(BJ37="",BF36, if((BJ37-BI37)&lt;-1.9,BF36*(1+Setup!CL14),if((BJ37-BI37)=-1,BF36*(1+Setup!CM14),if(BK37&lt;BH37,BF36*(1+Setup!CM14),if(BK37=BH37,BF36*(1+Setup!CN14),if((BK37-BH37)=1,BF36*(1+Setup!CO14),if((BK37-BH37)=2,BF36*(1+Setup!CP14),if((BK37-BH37)=3,BF36*(1+Setup!CQ14),if((BK37-BH37)=4,BF36*(1+Setup!CR14),if((BK37-BH37)&gt;4.1,BF36*(1+Setup!CS14),BF36)))))))))),BP36/'Quick Setup'!$E16)</f>
        <v>245</v>
      </c>
      <c r="BO36" s="36" t="s">
        <v>77</v>
      </c>
      <c r="BP36" s="38"/>
      <c r="BQ36" s="39"/>
      <c r="BR36" s="39"/>
      <c r="BS36" s="39"/>
      <c r="BT36" s="39"/>
      <c r="BU36" s="39"/>
      <c r="BV36" s="37">
        <f>if(BX36="", if(BR37="",BN36, if((BR37-BQ37)&lt;-1.9,BN36*(1+Setup!CX14),if((BR37-BQ37)=-1,BN36*(1+Setup!CY14),if(BS37&lt;BP37,BN36*(1+Setup!CY14),if(BS37=BP37,BN36*(1+Setup!CZ14),if((BS37-BP37)=1,BN36*(1+Setup!DA14),if((BS37-BP37)=2,BN36*(1+Setup!DB14),if((BS37-BP37)=3,BN36*(1+Setup!DC14),if((BS37-BP37)=4,BN36*(1+Setup!DD14),if((BS37-BP37)&gt;4.1,BN36*(1+Setup!DE14),BN36)))))))))),BX36/'Quick Setup'!$E16)</f>
        <v>245</v>
      </c>
      <c r="BW36" s="36" t="s">
        <v>77</v>
      </c>
      <c r="BX36" s="38"/>
      <c r="BY36" s="39"/>
      <c r="BZ36" s="39"/>
      <c r="CA36" s="39"/>
      <c r="CB36" s="39"/>
      <c r="CC36" s="39"/>
      <c r="CD36" s="37">
        <f>if(CF36="", if(BZ37="",BV36, if((BZ37-BY37)&lt;-1.9,BV36*(1+Setup!DJ14),if((BZ37-BY37)=-1,BV36*(1+Setup!DK14),if(CA37&lt;BX37,BV36*(1+Setup!DK14),if(CA37=BX37,BV36*(1+Setup!DL14),if((CA37-BX37)=1,BV36*(1+Setup!DM14),if((CA37-BX37)=2,BV36*(1+Setup!DN14),if((CA37-BX37)=3,BV36*(1+Setup!DO14),if((CA37-BX37)=4,BV36*(1+Setup!DP14),if((CA37-BX37)&gt;4.1,BV36*(1+Setup!DQ14),BV36)))))))))),CF36/'Quick Setup'!$E16)</f>
        <v>245</v>
      </c>
      <c r="CE36" s="36" t="s">
        <v>77</v>
      </c>
      <c r="CF36" s="38"/>
      <c r="CG36" s="39"/>
      <c r="CH36" s="39"/>
      <c r="CI36" s="39"/>
      <c r="CJ36" s="39"/>
      <c r="CK36" s="39"/>
      <c r="CL36" s="37">
        <f>if(CN36="", if(CH37="",CD36, if((CH37-CG37)&lt;-1.9,CD36*(1+Setup!DV14),if((CH37-CG37)=-1,CD36*(1+Setup!DW14),if(CI37&lt;CF37,CD36*(1+Setup!DW14),if(CI37=CF37,CD36*(1+Setup!DX14),if((CI37-CF37)=1,CD36*(1+Setup!DY14),if((CI37-CF37)=2,CD36*(1+Setup!DZ14),if((CI37-CF37)=3,CD36*(1+Setup!EA14),if((CI37-CF37)=4,CD36*(1+Setup!EB14),if((CI37-CF37)&gt;4.1,CD36*(1+Setup!EC14),CD36)))))))))),CN36/'Quick Setup'!$E16)</f>
        <v>245</v>
      </c>
      <c r="CM36" s="36" t="s">
        <v>77</v>
      </c>
      <c r="CN36" s="38"/>
      <c r="CO36" s="39"/>
      <c r="CP36" s="39"/>
      <c r="CQ36" s="39"/>
      <c r="CR36" s="39"/>
      <c r="CS36" s="39"/>
      <c r="CT36" s="37">
        <f>if(CV36="", if(CP37="",CL36, if((CP37-CO37)&lt;-1.9,CL36*(1+Setup!EH14),if((CP37-CO37)=-1,CL36*(1+Setup!EI14),if(CQ37&lt;CN37,CL36*(1+Setup!EI14),if(CQ37=CN37,CL36*(1+Setup!EJ14),if((CQ37-CN37)=1,CL36*(1+Setup!EK14),if((CQ37-CN37)=2,CL36*(1+Setup!EL14),if((CQ37-CN37)=3,CL36*(1+Setup!EM14),if((CQ37-CN37)=4,CL36*(1+Setup!EN14),if((CQ37-CN37)&gt;4.1,CL36*(1+Setup!EO14),CL36)))))))))),CV36/'Quick Setup'!$E16)</f>
        <v>245</v>
      </c>
      <c r="CU36" s="36" t="s">
        <v>77</v>
      </c>
      <c r="CV36" s="38"/>
      <c r="CW36" s="39"/>
      <c r="CX36" s="39"/>
      <c r="CY36" s="39"/>
      <c r="CZ36" s="39"/>
      <c r="DA36" s="39"/>
      <c r="DB36" s="37">
        <f>if(DD36="", if(CX37="",CT36, if((CX37-CW37)&lt;-1.9,CT36*(1+Setup!ET14),if((CX37-CW37)=-1,CT36*(1+Setup!EU14),if(CY37&lt;CV37,CT36*(1+Setup!EU14),if(CY37=CV37,CT36*(1+Setup!EV14),if((CY37-CV37)=1,CT36*(1+Setup!EW14),if((CY37-CV37)=2,CT36*(1+Setup!EX14),if((CY37-CV37)=3,CT36*(1+Setup!EY14),if((CY37-CV37)=4,CT36*(1+Setup!EZ14),if((CY37-CV37)&gt;4.1,CT36*(1+Setup!FA14),CT36)))))))))),DD36/'Quick Setup'!$E16)</f>
        <v>245</v>
      </c>
      <c r="DC36" s="36" t="s">
        <v>77</v>
      </c>
      <c r="DD36" s="38"/>
      <c r="DE36" s="39"/>
      <c r="DF36" s="39"/>
      <c r="DG36" s="39"/>
      <c r="DH36" s="39"/>
      <c r="DI36" s="39"/>
      <c r="DJ36" s="37">
        <f>if(DL36="",DB36,DL36/'Quick Setup'!$E16)</f>
        <v>245</v>
      </c>
      <c r="DK36" s="36" t="s">
        <v>77</v>
      </c>
      <c r="DL36" s="38"/>
      <c r="DM36" s="39"/>
      <c r="DN36" s="39"/>
      <c r="DO36" s="39"/>
      <c r="DP36" s="39"/>
      <c r="DQ36" s="39"/>
      <c r="DR36" s="37">
        <f>if(DT36="", if(DN37="",DJ36, if((DN37-DM37)&lt;-1.9,DJ36*(1+Setup!FR14),if((DN37-DM37)=-1,DJ36*(1+Setup!FS14),if(DO37&lt;DL37,DJ36*(1+Setup!FS14),if(DO37=DL37,DJ36*(1+Setup!FT14),if((DO37-DL37)=1,DJ36*(1+Setup!FU14),if((DO37-DL37)=2,DJ36*(1+Setup!FV14),if((DO37-DL37)=3,DJ36*(1+Setup!FW14),if((DO37-DL37)=4,DJ36*(1+Setup!FX14),if((DO37-DL37)&gt;4.1,DJ36*(1+Setup!FY14),DJ36)))))))))),DT36/'Quick Setup'!$E16)</f>
        <v>245</v>
      </c>
      <c r="DS36" s="36" t="s">
        <v>77</v>
      </c>
      <c r="DT36" s="38"/>
      <c r="DU36" s="39"/>
      <c r="DV36" s="39"/>
      <c r="DW36" s="39"/>
      <c r="DX36" s="39"/>
      <c r="DY36" s="39"/>
      <c r="DZ36" s="37">
        <f>if(EB36="", if(DV37="",DR36, if((DV37-DU37)&lt;-1.9,DR36*(1+Setup!GD14),if((DV37-DU37)=-1,DR36*(1+Setup!GE14),if(DW37&lt;DT37,DR36*(1+Setup!GE14),if(DW37=DT37,DR36*(1+Setup!GF14),if((DW37-DT37)=1,DR36*(1+Setup!GG14),if((DW37-DT37)=2,DR36*(1+Setup!GH14),if((DW37-DT37)=3,DR36*(1+Setup!GI14),if((DW37-DT37)=4,DR36*(1+Setup!GJ14),if((DW37-DT37)&gt;4.1,DR36*(1+Setup!GK14),DR36)))))))))),EB36/'Quick Setup'!$E16)</f>
        <v>245</v>
      </c>
      <c r="EA36" s="36" t="s">
        <v>77</v>
      </c>
      <c r="EB36" s="38"/>
      <c r="EC36" s="39"/>
      <c r="ED36" s="39"/>
      <c r="EE36" s="39"/>
      <c r="EF36" s="39"/>
      <c r="EG36" s="39"/>
      <c r="EH36" s="37">
        <f>if(EJ36="", if(ED37="",DZ36, if((ED37-EC37)&lt;-1.9,DZ36*(1+Setup!GP14),if((ED37-EC37)=-1,DZ36*(1+Setup!GQ14),if(EE37&lt;EB37,DZ36*(1+Setup!GQ14),if(EE37=EB37,DZ36*(1+Setup!GR14),if((EE37-EB37)=1,DZ36*(1+Setup!GS14),if((EE37-EB37)=2,DZ36*(1+Setup!GT14),if((EE37-EB37)=3,DZ36*(1+Setup!GU14),if((EE37-EB37)=4,DZ36*(1+Setup!GV14),if((EE37-EB37)&gt;4.1,DZ36*(1+Setup!GW14),DZ36)))))))))),EJ36/'Quick Setup'!$E16)</f>
        <v>245</v>
      </c>
      <c r="EI36" s="36" t="s">
        <v>77</v>
      </c>
      <c r="EJ36" s="38"/>
      <c r="EK36" s="39"/>
      <c r="EL36" s="39"/>
      <c r="EM36" s="39"/>
      <c r="EN36" s="39"/>
      <c r="EO36" s="39"/>
      <c r="EP36" s="37">
        <f>if(ER36="", if(EL37="",EH36, if((EL37-EK37)&lt;-1.9,EH36*(1+Setup!HB14),if((EL37-EK37)=-1,EH36*(1+Setup!HC14),if(EM37&lt;EJ37,EH36*(1+Setup!HC14),if(EM37=EJ37,EH36*(1+Setup!HD14),if((EM37-EJ37)=1,EH36*(1+Setup!HE14),if((EM37-EJ37)=2,EH36*(1+Setup!HF14),if((EM37-EJ37)=3,EH36*(1+Setup!HG14),if((EM37-EJ37)=4,EH36*(1+Setup!HH14),if((EM37-EJ37)&gt;4.1,EH36*(1+Setup!HI14),EH36)))))))))),ER36/'Quick Setup'!$E16)</f>
        <v>245</v>
      </c>
      <c r="EQ36" s="36" t="s">
        <v>77</v>
      </c>
      <c r="ER36" s="38"/>
      <c r="ES36" s="39"/>
      <c r="ET36" s="39"/>
      <c r="EU36" s="39"/>
      <c r="EV36" s="39"/>
      <c r="EW36" s="39"/>
      <c r="EX36" s="37">
        <f>if(EZ36="", if(ET37="",EP36, if((ET37-ES37)&lt;-1.9,EP36*(1+Setup!HN14),if((ET37-ES37)=-1,EP36*(1+Setup!HO14),if(EU37&lt;ER37,EP36*(1+Setup!HO14),if(EU37=ER37,EP36*(1+Setup!HP14),if((EU37-ER37)=1,EP36*(1+Setup!HQ14),if((EU37-ER37)=2,EP36*(1+Setup!HR14),if((EU37-ER37)=3,EP36*(1+Setup!HS14),if((EU37-ER37)=4,EP36*(1+Setup!HT14),if((EU37-ER37)&gt;4.1,EP36*(1+Setup!HU14),EP36)))))))))),EZ36/'Quick Setup'!$E16)</f>
        <v>245</v>
      </c>
      <c r="EY36" s="36" t="s">
        <v>77</v>
      </c>
      <c r="EZ36" s="38"/>
      <c r="FA36" s="39"/>
      <c r="FB36" s="39"/>
      <c r="FC36" s="39"/>
      <c r="FD36" s="39"/>
      <c r="FE36" s="39"/>
      <c r="FF36" s="37">
        <f>if(FH36="", if(FB37="",EX36, if((FB37-FA37)&lt;-1.9,EX36*(1+Setup!HZ14),if((FB37-FA37)=-1,EX36*(1+Setup!IA14),if(FC37&lt;EZ37,EX36*(1+Setup!IA14),if(FC37=EZ37,EX36*(1+Setup!IB14),if((FC37-EZ37)=1,EX36*(1+Setup!IC14),if((FC37-EZ37)=2,EX36*(1+Setup!ID14),if((FC37-EZ37)=3,EX36*(1+Setup!IE14),if((FC37-EZ37)=4,EX36*(1+Setup!IF14),if((FC37-EZ37)&gt;4.1,EX36*(1+Setup!IG14),EX36)))))))))),FH36/'Quick Setup'!$E16)</f>
        <v>245</v>
      </c>
      <c r="FG36" s="36" t="s">
        <v>77</v>
      </c>
      <c r="FH36" s="38"/>
      <c r="FI36" s="39"/>
      <c r="FJ36" s="39"/>
      <c r="FK36" s="39"/>
      <c r="FL36" s="39"/>
      <c r="FM36" s="39"/>
    </row>
    <row r="37">
      <c r="A37" s="1" t="str">
        <f>Setup!A14</f>
        <v>Push Press</v>
      </c>
      <c r="B37" s="40">
        <f>mround(B36*Setup!B14,'Quick Setup'!$A$2)</f>
        <v>147.5</v>
      </c>
      <c r="C37" s="2">
        <f>Setup!C14</f>
        <v>7</v>
      </c>
      <c r="D37" s="2">
        <f>Setup!D14</f>
        <v>3</v>
      </c>
      <c r="E37" s="2">
        <f>Setup!E14</f>
        <v>5</v>
      </c>
      <c r="F37" s="8"/>
      <c r="G37" s="8"/>
      <c r="H37" s="8"/>
      <c r="I37" s="8"/>
      <c r="J37" s="40">
        <f>mround(J36*Setup!N14,'Quick Setup'!$A$2)</f>
        <v>160</v>
      </c>
      <c r="K37" s="2">
        <f>Setup!O14</f>
        <v>6</v>
      </c>
      <c r="L37" s="2">
        <f>Setup!P14</f>
        <v>3</v>
      </c>
      <c r="M37" s="2">
        <f>Setup!Q14</f>
        <v>5</v>
      </c>
      <c r="N37" s="8"/>
      <c r="O37" s="8"/>
      <c r="P37" s="8"/>
      <c r="Q37" s="8"/>
      <c r="R37" s="40">
        <f>mround(R36*Setup!Z14,'Quick Setup'!$A$2)</f>
        <v>172.5</v>
      </c>
      <c r="S37" s="2">
        <f>Setup!AA14</f>
        <v>5</v>
      </c>
      <c r="T37" s="2">
        <f>Setup!AB14</f>
        <v>3</v>
      </c>
      <c r="U37" s="2">
        <f>Setup!AC14</f>
        <v>5</v>
      </c>
      <c r="V37" s="8"/>
      <c r="W37" s="8"/>
      <c r="X37" s="8"/>
      <c r="Y37" s="8"/>
      <c r="Z37" s="40">
        <f>mround(Z36*Setup!AL14,'Quick Setup'!$A$2)</f>
        <v>152.5</v>
      </c>
      <c r="AA37" s="2">
        <f>Setup!AM14</f>
        <v>7</v>
      </c>
      <c r="AB37" s="2">
        <f>Setup!AN14</f>
        <v>3</v>
      </c>
      <c r="AC37" s="2">
        <f>Setup!AO14</f>
        <v>5</v>
      </c>
      <c r="AD37" s="8"/>
      <c r="AE37" s="8"/>
      <c r="AF37" s="8"/>
      <c r="AG37" s="8"/>
      <c r="AH37" s="40">
        <f>mround(AH36*Setup!AX14,'Quick Setup'!$A$2)</f>
        <v>165</v>
      </c>
      <c r="AI37" s="2">
        <f>Setup!AY14</f>
        <v>6</v>
      </c>
      <c r="AJ37" s="2">
        <f>Setup!AZ14</f>
        <v>3</v>
      </c>
      <c r="AK37" s="2">
        <f>Setup!BA14</f>
        <v>5</v>
      </c>
      <c r="AL37" s="8"/>
      <c r="AM37" s="8"/>
      <c r="AN37" s="8"/>
      <c r="AO37" s="8"/>
      <c r="AP37" s="40">
        <f>mround(AP36*Setup!BJ14,'Quick Setup'!$A$2)</f>
        <v>177.5</v>
      </c>
      <c r="AQ37" s="2">
        <f>Setup!BK14</f>
        <v>5</v>
      </c>
      <c r="AR37" s="2">
        <f>Setup!BL14</f>
        <v>3</v>
      </c>
      <c r="AS37" s="2">
        <f>Setup!BM14</f>
        <v>5</v>
      </c>
      <c r="AT37" s="8"/>
      <c r="AU37" s="8"/>
      <c r="AV37" s="8"/>
      <c r="AW37" s="8"/>
      <c r="AX37" s="40">
        <f>mround(AX36*Setup!BV14,'Quick Setup'!$A$2)</f>
        <v>122.5</v>
      </c>
      <c r="AY37" s="1">
        <v>5.0</v>
      </c>
      <c r="AZ37" s="1" t="s">
        <v>80</v>
      </c>
      <c r="BA37" s="2">
        <f>Setup!BY14</f>
        <v>5</v>
      </c>
      <c r="BB37" s="8"/>
      <c r="BC37" s="8"/>
      <c r="BD37" s="8"/>
      <c r="BE37" s="8"/>
      <c r="BF37" s="40">
        <f>mround(BF36*Setup!CH14,'Quick Setup'!$A$2)</f>
        <v>160</v>
      </c>
      <c r="BG37" s="2">
        <f>Setup!CI14</f>
        <v>6</v>
      </c>
      <c r="BH37" s="2">
        <f>Setup!CJ14</f>
        <v>3</v>
      </c>
      <c r="BI37" s="2">
        <f>Setup!CK14</f>
        <v>5</v>
      </c>
      <c r="BJ37" s="8"/>
      <c r="BK37" s="8"/>
      <c r="BL37" s="8"/>
      <c r="BM37" s="8"/>
      <c r="BN37" s="40">
        <f>mround(BN36*Setup!CT14,'Quick Setup'!$A$2)</f>
        <v>172.5</v>
      </c>
      <c r="BO37" s="2">
        <f>Setup!CU14</f>
        <v>5</v>
      </c>
      <c r="BP37" s="2">
        <f>Setup!CV14</f>
        <v>3</v>
      </c>
      <c r="BQ37" s="2">
        <f>Setup!CW14</f>
        <v>5</v>
      </c>
      <c r="BR37" s="8"/>
      <c r="BS37" s="8"/>
      <c r="BT37" s="8"/>
      <c r="BU37" s="8"/>
      <c r="BV37" s="40">
        <f>mround(BV36*Setup!DF14,'Quick Setup'!$A$2)</f>
        <v>185</v>
      </c>
      <c r="BW37" s="2">
        <f>Setup!DG14</f>
        <v>4</v>
      </c>
      <c r="BX37" s="2">
        <f>Setup!DH14</f>
        <v>2</v>
      </c>
      <c r="BY37" s="2">
        <f>Setup!DI14</f>
        <v>5</v>
      </c>
      <c r="BZ37" s="8"/>
      <c r="CA37" s="8"/>
      <c r="CB37" s="8"/>
      <c r="CC37" s="8"/>
      <c r="CD37" s="40">
        <f>mround(CD36*Setup!DR14,'Quick Setup'!$A$2)</f>
        <v>165</v>
      </c>
      <c r="CE37" s="2">
        <f>Setup!DS14</f>
        <v>6</v>
      </c>
      <c r="CF37" s="2">
        <f>Setup!DT14</f>
        <v>3</v>
      </c>
      <c r="CG37" s="2">
        <f>Setup!DU14</f>
        <v>5</v>
      </c>
      <c r="CH37" s="8"/>
      <c r="CI37" s="8"/>
      <c r="CJ37" s="8"/>
      <c r="CK37" s="8"/>
      <c r="CL37" s="40">
        <f>mround(CL36*Setup!ED14,'Quick Setup'!$A$2)</f>
        <v>177.5</v>
      </c>
      <c r="CM37" s="2">
        <f>Setup!EE14</f>
        <v>5</v>
      </c>
      <c r="CN37" s="2">
        <f>Setup!EF14</f>
        <v>3</v>
      </c>
      <c r="CO37" s="2">
        <f>Setup!EG14</f>
        <v>5</v>
      </c>
      <c r="CP37" s="8"/>
      <c r="CQ37" s="8"/>
      <c r="CR37" s="8"/>
      <c r="CS37" s="8"/>
      <c r="CT37" s="40">
        <f>mround(CT36*Setup!EP14,'Quick Setup'!$A$2)</f>
        <v>190</v>
      </c>
      <c r="CU37" s="2">
        <f>Setup!EQ14</f>
        <v>4</v>
      </c>
      <c r="CV37" s="2">
        <f>Setup!ER14</f>
        <v>2</v>
      </c>
      <c r="CW37" s="2">
        <f>Setup!ES14</f>
        <v>5</v>
      </c>
      <c r="CX37" s="8"/>
      <c r="CY37" s="8"/>
      <c r="CZ37" s="8"/>
      <c r="DA37" s="8"/>
      <c r="DB37" s="40">
        <f>mround(DB36*Setup!FB14,'Quick Setup'!$A$2)</f>
        <v>122.5</v>
      </c>
      <c r="DC37" s="1">
        <v>5.0</v>
      </c>
      <c r="DD37" s="1" t="s">
        <v>80</v>
      </c>
      <c r="DE37" s="2">
        <f>Setup!FE14</f>
        <v>5</v>
      </c>
      <c r="DF37" s="8"/>
      <c r="DG37" s="8"/>
      <c r="DH37" s="8"/>
      <c r="DI37" s="8"/>
      <c r="DJ37" s="40">
        <f>mround(DJ36*Setup!FN14,'Quick Setup'!$A$2)</f>
        <v>172.5</v>
      </c>
      <c r="DK37" s="2">
        <f>Setup!FO14</f>
        <v>5</v>
      </c>
      <c r="DL37" s="2">
        <f>Setup!FP14</f>
        <v>3</v>
      </c>
      <c r="DM37" s="2">
        <f>Setup!FQ14</f>
        <v>5</v>
      </c>
      <c r="DN37" s="8"/>
      <c r="DO37" s="8"/>
      <c r="DP37" s="8"/>
      <c r="DQ37" s="8"/>
      <c r="DR37" s="40">
        <f>mround(DR36*Setup!FZ14,'Quick Setup'!$A$2)</f>
        <v>185</v>
      </c>
      <c r="DS37" s="2">
        <f>Setup!GA14</f>
        <v>4</v>
      </c>
      <c r="DT37" s="2">
        <f>Setup!GB14</f>
        <v>2</v>
      </c>
      <c r="DU37" s="2">
        <f>Setup!GC14</f>
        <v>5</v>
      </c>
      <c r="DV37" s="8"/>
      <c r="DW37" s="8"/>
      <c r="DX37" s="8"/>
      <c r="DY37" s="8"/>
      <c r="DZ37" s="40">
        <f>mround(DZ36*Setup!GL14,'Quick Setup'!$A$2)</f>
        <v>195</v>
      </c>
      <c r="EA37" s="2">
        <f>Setup!GM14</f>
        <v>3</v>
      </c>
      <c r="EB37" s="2">
        <f>Setup!GN14</f>
        <v>2</v>
      </c>
      <c r="EC37" s="2">
        <f>Setup!GO14</f>
        <v>5</v>
      </c>
      <c r="ED37" s="2"/>
      <c r="EE37" s="2"/>
      <c r="EF37" s="2"/>
      <c r="EG37" s="2"/>
      <c r="EH37" s="40">
        <f>mround(EH36*Setup!GX14,'Quick Setup'!$A$2)</f>
        <v>185</v>
      </c>
      <c r="EI37" s="2">
        <f>Setup!GY14</f>
        <v>4</v>
      </c>
      <c r="EJ37" s="2">
        <f>Setup!GZ14</f>
        <v>2</v>
      </c>
      <c r="EK37" s="2">
        <f>Setup!HA14</f>
        <v>5</v>
      </c>
      <c r="EL37" s="8"/>
      <c r="EM37" s="8"/>
      <c r="EN37" s="8"/>
      <c r="EO37" s="8"/>
      <c r="EP37" s="40">
        <f>mround(EP36*Setup!HJ14,'Quick Setup'!$A$2)</f>
        <v>195</v>
      </c>
      <c r="EQ37" s="2">
        <f>Setup!HK14</f>
        <v>3</v>
      </c>
      <c r="ER37" s="2">
        <f>Setup!HL14</f>
        <v>2</v>
      </c>
      <c r="ES37" s="2">
        <f>Setup!HM14</f>
        <v>5</v>
      </c>
      <c r="ET37" s="8"/>
      <c r="EU37" s="8"/>
      <c r="EV37" s="8"/>
      <c r="EW37" s="8"/>
      <c r="EX37" s="40">
        <f>mround(EX36*Setup!HV14,'Quick Setup'!$A$2)</f>
        <v>207.5</v>
      </c>
      <c r="EY37" s="2">
        <f>Setup!HW14</f>
        <v>2</v>
      </c>
      <c r="EZ37" s="2">
        <f>Setup!HX14</f>
        <v>1</v>
      </c>
      <c r="FA37" s="2">
        <f>Setup!HY14</f>
        <v>5</v>
      </c>
      <c r="FB37" s="8"/>
      <c r="FC37" s="8"/>
      <c r="FD37" s="8"/>
      <c r="FE37" s="8"/>
      <c r="FF37" s="40">
        <f>mround(FF36*Setup!IH14,'Quick Setup'!$A$2)</f>
        <v>122.5</v>
      </c>
      <c r="FG37" s="1">
        <v>5.0</v>
      </c>
      <c r="FH37" s="1" t="s">
        <v>80</v>
      </c>
      <c r="FI37" s="2">
        <f>Setup!IK14</f>
        <v>5</v>
      </c>
      <c r="FJ37" s="8"/>
      <c r="FK37" s="8"/>
      <c r="FL37" s="8"/>
      <c r="FM37" s="8"/>
    </row>
    <row r="38">
      <c r="A38" s="5"/>
      <c r="B38" s="41"/>
      <c r="C38" s="8"/>
      <c r="D38" s="8"/>
      <c r="E38" s="8"/>
      <c r="F38" s="8"/>
      <c r="G38" s="8"/>
      <c r="H38" s="8"/>
      <c r="I38" s="8"/>
      <c r="J38" s="41" t="str">
        <f t="shared" ref="J38:O38" si="161">B38</f>
        <v/>
      </c>
      <c r="K38" s="8" t="str">
        <f t="shared" si="161"/>
        <v/>
      </c>
      <c r="L38" s="8" t="str">
        <f t="shared" si="161"/>
        <v/>
      </c>
      <c r="M38" s="8" t="str">
        <f t="shared" si="161"/>
        <v/>
      </c>
      <c r="N38" s="8" t="str">
        <f t="shared" si="161"/>
        <v/>
      </c>
      <c r="O38" s="8" t="str">
        <f t="shared" si="161"/>
        <v/>
      </c>
      <c r="P38" s="8"/>
      <c r="Q38" s="8"/>
      <c r="R38" s="41" t="str">
        <f t="shared" ref="R38:W38" si="162">J38</f>
        <v/>
      </c>
      <c r="S38" s="8" t="str">
        <f t="shared" si="162"/>
        <v/>
      </c>
      <c r="T38" s="8" t="str">
        <f t="shared" si="162"/>
        <v/>
      </c>
      <c r="U38" s="8" t="str">
        <f t="shared" si="162"/>
        <v/>
      </c>
      <c r="V38" s="8" t="str">
        <f t="shared" si="162"/>
        <v/>
      </c>
      <c r="W38" s="8" t="str">
        <f t="shared" si="162"/>
        <v/>
      </c>
      <c r="X38" s="8"/>
      <c r="Y38" s="8"/>
      <c r="Z38" s="41" t="str">
        <f t="shared" ref="Z38:AE38" si="163">R38</f>
        <v/>
      </c>
      <c r="AA38" s="8" t="str">
        <f t="shared" si="163"/>
        <v/>
      </c>
      <c r="AB38" s="8" t="str">
        <f t="shared" si="163"/>
        <v/>
      </c>
      <c r="AC38" s="8" t="str">
        <f t="shared" si="163"/>
        <v/>
      </c>
      <c r="AD38" s="8" t="str">
        <f t="shared" si="163"/>
        <v/>
      </c>
      <c r="AE38" s="8" t="str">
        <f t="shared" si="163"/>
        <v/>
      </c>
      <c r="AF38" s="8"/>
      <c r="AG38" s="8"/>
      <c r="AH38" s="41" t="str">
        <f t="shared" ref="AH38:AM38" si="164">Z38</f>
        <v/>
      </c>
      <c r="AI38" s="8" t="str">
        <f t="shared" si="164"/>
        <v/>
      </c>
      <c r="AJ38" s="8" t="str">
        <f t="shared" si="164"/>
        <v/>
      </c>
      <c r="AK38" s="8" t="str">
        <f t="shared" si="164"/>
        <v/>
      </c>
      <c r="AL38" s="8" t="str">
        <f t="shared" si="164"/>
        <v/>
      </c>
      <c r="AM38" s="8" t="str">
        <f t="shared" si="164"/>
        <v/>
      </c>
      <c r="AN38" s="8"/>
      <c r="AO38" s="8"/>
      <c r="AP38" s="41" t="str">
        <f t="shared" ref="AP38:AU38" si="165">AH38</f>
        <v/>
      </c>
      <c r="AQ38" s="8" t="str">
        <f t="shared" si="165"/>
        <v/>
      </c>
      <c r="AR38" s="8" t="str">
        <f t="shared" si="165"/>
        <v/>
      </c>
      <c r="AS38" s="8" t="str">
        <f t="shared" si="165"/>
        <v/>
      </c>
      <c r="AT38" s="8" t="str">
        <f t="shared" si="165"/>
        <v/>
      </c>
      <c r="AU38" s="8" t="str">
        <f t="shared" si="165"/>
        <v/>
      </c>
      <c r="AV38" s="8"/>
      <c r="AW38" s="8"/>
      <c r="AX38" s="41" t="str">
        <f t="shared" ref="AX38:BC38" si="166">AP38</f>
        <v/>
      </c>
      <c r="AY38" s="8" t="str">
        <f t="shared" si="166"/>
        <v/>
      </c>
      <c r="AZ38" s="8" t="str">
        <f t="shared" si="166"/>
        <v/>
      </c>
      <c r="BA38" s="8" t="str">
        <f t="shared" si="166"/>
        <v/>
      </c>
      <c r="BB38" s="8" t="str">
        <f t="shared" si="166"/>
        <v/>
      </c>
      <c r="BC38" s="8" t="str">
        <f t="shared" si="166"/>
        <v/>
      </c>
      <c r="BD38" s="8"/>
      <c r="BE38" s="8"/>
      <c r="BF38" s="41" t="str">
        <f t="shared" ref="BF38:BK38" si="167">AX38</f>
        <v/>
      </c>
      <c r="BG38" s="8" t="str">
        <f t="shared" si="167"/>
        <v/>
      </c>
      <c r="BH38" s="8" t="str">
        <f t="shared" si="167"/>
        <v/>
      </c>
      <c r="BI38" s="8" t="str">
        <f t="shared" si="167"/>
        <v/>
      </c>
      <c r="BJ38" s="8" t="str">
        <f t="shared" si="167"/>
        <v/>
      </c>
      <c r="BK38" s="8" t="str">
        <f t="shared" si="167"/>
        <v/>
      </c>
      <c r="BL38" s="8"/>
      <c r="BM38" s="8"/>
      <c r="BN38" s="41" t="str">
        <f t="shared" ref="BN38:BS38" si="168">BF38</f>
        <v/>
      </c>
      <c r="BO38" s="8" t="str">
        <f t="shared" si="168"/>
        <v/>
      </c>
      <c r="BP38" s="8" t="str">
        <f t="shared" si="168"/>
        <v/>
      </c>
      <c r="BQ38" s="8" t="str">
        <f t="shared" si="168"/>
        <v/>
      </c>
      <c r="BR38" s="8" t="str">
        <f t="shared" si="168"/>
        <v/>
      </c>
      <c r="BS38" s="8" t="str">
        <f t="shared" si="168"/>
        <v/>
      </c>
      <c r="BT38" s="8"/>
      <c r="BU38" s="8"/>
      <c r="BV38" s="41" t="str">
        <f t="shared" ref="BV38:CA38" si="169">BN38</f>
        <v/>
      </c>
      <c r="BW38" s="8" t="str">
        <f t="shared" si="169"/>
        <v/>
      </c>
      <c r="BX38" s="8" t="str">
        <f t="shared" si="169"/>
        <v/>
      </c>
      <c r="BY38" s="8" t="str">
        <f t="shared" si="169"/>
        <v/>
      </c>
      <c r="BZ38" s="8" t="str">
        <f t="shared" si="169"/>
        <v/>
      </c>
      <c r="CA38" s="8" t="str">
        <f t="shared" si="169"/>
        <v/>
      </c>
      <c r="CB38" s="8"/>
      <c r="CC38" s="8"/>
      <c r="CD38" s="41" t="str">
        <f t="shared" ref="CD38:CI38" si="170">BV38</f>
        <v/>
      </c>
      <c r="CE38" s="8" t="str">
        <f t="shared" si="170"/>
        <v/>
      </c>
      <c r="CF38" s="8" t="str">
        <f t="shared" si="170"/>
        <v/>
      </c>
      <c r="CG38" s="8" t="str">
        <f t="shared" si="170"/>
        <v/>
      </c>
      <c r="CH38" s="8" t="str">
        <f t="shared" si="170"/>
        <v/>
      </c>
      <c r="CI38" s="8" t="str">
        <f t="shared" si="170"/>
        <v/>
      </c>
      <c r="CJ38" s="8"/>
      <c r="CK38" s="8"/>
      <c r="CL38" s="41" t="str">
        <f t="shared" ref="CL38:CQ38" si="171">CD38</f>
        <v/>
      </c>
      <c r="CM38" s="8" t="str">
        <f t="shared" si="171"/>
        <v/>
      </c>
      <c r="CN38" s="8" t="str">
        <f t="shared" si="171"/>
        <v/>
      </c>
      <c r="CO38" s="8" t="str">
        <f t="shared" si="171"/>
        <v/>
      </c>
      <c r="CP38" s="8" t="str">
        <f t="shared" si="171"/>
        <v/>
      </c>
      <c r="CQ38" s="8" t="str">
        <f t="shared" si="171"/>
        <v/>
      </c>
      <c r="CR38" s="8"/>
      <c r="CS38" s="8"/>
      <c r="CT38" s="41" t="str">
        <f t="shared" ref="CT38:CY38" si="172">CL38</f>
        <v/>
      </c>
      <c r="CU38" s="8" t="str">
        <f t="shared" si="172"/>
        <v/>
      </c>
      <c r="CV38" s="8" t="str">
        <f t="shared" si="172"/>
        <v/>
      </c>
      <c r="CW38" s="8" t="str">
        <f t="shared" si="172"/>
        <v/>
      </c>
      <c r="CX38" s="8" t="str">
        <f t="shared" si="172"/>
        <v/>
      </c>
      <c r="CY38" s="8" t="str">
        <f t="shared" si="172"/>
        <v/>
      </c>
      <c r="CZ38" s="8"/>
      <c r="DA38" s="8"/>
      <c r="DB38" s="41" t="str">
        <f t="shared" ref="DB38:DG38" si="173">CT38</f>
        <v/>
      </c>
      <c r="DC38" s="8" t="str">
        <f t="shared" si="173"/>
        <v/>
      </c>
      <c r="DD38" s="8" t="str">
        <f t="shared" si="173"/>
        <v/>
      </c>
      <c r="DE38" s="8" t="str">
        <f t="shared" si="173"/>
        <v/>
      </c>
      <c r="DF38" s="8" t="str">
        <f t="shared" si="173"/>
        <v/>
      </c>
      <c r="DG38" s="8" t="str">
        <f t="shared" si="173"/>
        <v/>
      </c>
      <c r="DH38" s="8"/>
      <c r="DI38" s="8"/>
      <c r="DJ38" s="41" t="str">
        <f t="shared" ref="DJ38:DO38" si="174">DB38</f>
        <v/>
      </c>
      <c r="DK38" s="8" t="str">
        <f t="shared" si="174"/>
        <v/>
      </c>
      <c r="DL38" s="8" t="str">
        <f t="shared" si="174"/>
        <v/>
      </c>
      <c r="DM38" s="8" t="str">
        <f t="shared" si="174"/>
        <v/>
      </c>
      <c r="DN38" s="8" t="str">
        <f t="shared" si="174"/>
        <v/>
      </c>
      <c r="DO38" s="8" t="str">
        <f t="shared" si="174"/>
        <v/>
      </c>
      <c r="DP38" s="8"/>
      <c r="DQ38" s="8"/>
      <c r="DR38" s="41" t="str">
        <f t="shared" ref="DR38:DW38" si="175">DJ38</f>
        <v/>
      </c>
      <c r="DS38" s="8" t="str">
        <f t="shared" si="175"/>
        <v/>
      </c>
      <c r="DT38" s="8" t="str">
        <f t="shared" si="175"/>
        <v/>
      </c>
      <c r="DU38" s="8" t="str">
        <f t="shared" si="175"/>
        <v/>
      </c>
      <c r="DV38" s="8" t="str">
        <f t="shared" si="175"/>
        <v/>
      </c>
      <c r="DW38" s="8" t="str">
        <f t="shared" si="175"/>
        <v/>
      </c>
      <c r="DX38" s="8"/>
      <c r="DY38" s="8"/>
      <c r="DZ38" s="41" t="str">
        <f t="shared" ref="DZ38:EE38" si="176">DR38</f>
        <v/>
      </c>
      <c r="EA38" s="8" t="str">
        <f t="shared" si="176"/>
        <v/>
      </c>
      <c r="EB38" s="8" t="str">
        <f t="shared" si="176"/>
        <v/>
      </c>
      <c r="EC38" s="8" t="str">
        <f t="shared" si="176"/>
        <v/>
      </c>
      <c r="ED38" s="8" t="str">
        <f t="shared" si="176"/>
        <v/>
      </c>
      <c r="EE38" s="8" t="str">
        <f t="shared" si="176"/>
        <v/>
      </c>
      <c r="EF38" s="8"/>
      <c r="EG38" s="8"/>
      <c r="EH38" s="41" t="str">
        <f t="shared" ref="EH38:EM38" si="177">DZ38</f>
        <v/>
      </c>
      <c r="EI38" s="8" t="str">
        <f t="shared" si="177"/>
        <v/>
      </c>
      <c r="EJ38" s="8" t="str">
        <f t="shared" si="177"/>
        <v/>
      </c>
      <c r="EK38" s="8" t="str">
        <f t="shared" si="177"/>
        <v/>
      </c>
      <c r="EL38" s="8" t="str">
        <f t="shared" si="177"/>
        <v/>
      </c>
      <c r="EM38" s="8" t="str">
        <f t="shared" si="177"/>
        <v/>
      </c>
      <c r="EN38" s="8"/>
      <c r="EO38" s="8"/>
      <c r="EP38" s="41" t="str">
        <f t="shared" ref="EP38:EU38" si="178">EH38</f>
        <v/>
      </c>
      <c r="EQ38" s="8" t="str">
        <f t="shared" si="178"/>
        <v/>
      </c>
      <c r="ER38" s="8" t="str">
        <f t="shared" si="178"/>
        <v/>
      </c>
      <c r="ES38" s="8" t="str">
        <f t="shared" si="178"/>
        <v/>
      </c>
      <c r="ET38" s="8" t="str">
        <f t="shared" si="178"/>
        <v/>
      </c>
      <c r="EU38" s="8" t="str">
        <f t="shared" si="178"/>
        <v/>
      </c>
      <c r="EV38" s="8"/>
      <c r="EW38" s="8"/>
      <c r="EX38" s="41" t="str">
        <f t="shared" ref="EX38:FC38" si="179">EP38</f>
        <v/>
      </c>
      <c r="EY38" s="8" t="str">
        <f t="shared" si="179"/>
        <v/>
      </c>
      <c r="EZ38" s="8" t="str">
        <f t="shared" si="179"/>
        <v/>
      </c>
      <c r="FA38" s="8" t="str">
        <f t="shared" si="179"/>
        <v/>
      </c>
      <c r="FB38" s="8" t="str">
        <f t="shared" si="179"/>
        <v/>
      </c>
      <c r="FC38" s="8" t="str">
        <f t="shared" si="179"/>
        <v/>
      </c>
      <c r="FD38" s="8"/>
      <c r="FE38" s="8"/>
      <c r="FF38" s="41" t="str">
        <f t="shared" ref="FF38:FK38" si="180">EX38</f>
        <v/>
      </c>
      <c r="FG38" s="8" t="str">
        <f t="shared" si="180"/>
        <v/>
      </c>
      <c r="FH38" s="8" t="str">
        <f t="shared" si="180"/>
        <v/>
      </c>
      <c r="FI38" s="8" t="str">
        <f t="shared" si="180"/>
        <v/>
      </c>
      <c r="FJ38" s="8" t="str">
        <f t="shared" si="180"/>
        <v/>
      </c>
      <c r="FK38" s="8" t="str">
        <f t="shared" si="180"/>
        <v/>
      </c>
      <c r="FL38" s="8"/>
      <c r="FM38" s="8"/>
    </row>
    <row r="39">
      <c r="A39" s="1" t="s">
        <v>81</v>
      </c>
      <c r="B39" s="40"/>
      <c r="C39" s="2"/>
      <c r="D39" s="2"/>
      <c r="E39" s="2"/>
      <c r="F39" s="2"/>
      <c r="G39" s="2"/>
      <c r="H39" s="2"/>
      <c r="I39" s="2"/>
      <c r="J39" s="40"/>
      <c r="K39" s="2"/>
      <c r="L39" s="2"/>
      <c r="M39" s="2"/>
      <c r="N39" s="2"/>
      <c r="O39" s="2"/>
      <c r="P39" s="2"/>
      <c r="Q39" s="2"/>
      <c r="R39" s="40"/>
      <c r="S39" s="2"/>
      <c r="T39" s="2"/>
      <c r="U39" s="2"/>
      <c r="V39" s="2"/>
      <c r="W39" s="2"/>
      <c r="X39" s="2"/>
      <c r="Y39" s="2"/>
      <c r="Z39" s="40"/>
      <c r="AA39" s="2"/>
      <c r="AB39" s="2"/>
      <c r="AC39" s="2"/>
      <c r="AD39" s="2"/>
      <c r="AE39" s="2"/>
      <c r="AF39" s="2"/>
      <c r="AG39" s="2"/>
      <c r="AH39" s="40"/>
      <c r="AI39" s="2"/>
      <c r="AJ39" s="2"/>
      <c r="AK39" s="2"/>
      <c r="AL39" s="2"/>
      <c r="AM39" s="2"/>
      <c r="AN39" s="2"/>
      <c r="AO39" s="2"/>
      <c r="AP39" s="40"/>
      <c r="AQ39" s="2"/>
      <c r="AR39" s="2"/>
      <c r="AS39" s="2"/>
      <c r="AT39" s="2"/>
      <c r="AU39" s="2"/>
      <c r="AV39" s="2"/>
      <c r="AW39" s="2"/>
      <c r="AX39" s="40"/>
      <c r="AY39" s="2"/>
      <c r="AZ39" s="2"/>
      <c r="BA39" s="2"/>
      <c r="BB39" s="2"/>
      <c r="BC39" s="2"/>
      <c r="BD39" s="2"/>
      <c r="BE39" s="2"/>
      <c r="BF39" s="40"/>
      <c r="BG39" s="2"/>
      <c r="BH39" s="2"/>
      <c r="BI39" s="2"/>
      <c r="BJ39" s="2"/>
      <c r="BK39" s="2"/>
      <c r="BL39" s="2"/>
      <c r="BM39" s="2"/>
      <c r="BN39" s="40"/>
      <c r="BO39" s="2"/>
      <c r="BP39" s="2"/>
      <c r="BQ39" s="2"/>
      <c r="BR39" s="2"/>
      <c r="BS39" s="2"/>
      <c r="BT39" s="2"/>
      <c r="BU39" s="2"/>
      <c r="BV39" s="40"/>
      <c r="BW39" s="2"/>
      <c r="BX39" s="2"/>
      <c r="BY39" s="2"/>
      <c r="BZ39" s="2"/>
      <c r="CA39" s="2"/>
      <c r="CB39" s="2"/>
      <c r="CC39" s="2"/>
      <c r="CD39" s="40"/>
      <c r="CE39" s="2"/>
      <c r="CF39" s="2"/>
      <c r="CG39" s="2"/>
      <c r="CH39" s="2"/>
      <c r="CI39" s="2"/>
      <c r="CJ39" s="2"/>
      <c r="CK39" s="2"/>
      <c r="CL39" s="40"/>
      <c r="CM39" s="2"/>
      <c r="CN39" s="2"/>
      <c r="CO39" s="2"/>
      <c r="CP39" s="2"/>
      <c r="CQ39" s="2"/>
      <c r="CR39" s="2"/>
      <c r="CS39" s="2"/>
      <c r="CT39" s="40"/>
      <c r="CU39" s="2"/>
      <c r="CV39" s="2"/>
      <c r="CW39" s="2"/>
      <c r="CX39" s="2"/>
      <c r="CY39" s="2"/>
      <c r="CZ39" s="2"/>
      <c r="DA39" s="2"/>
      <c r="DB39" s="40"/>
      <c r="DC39" s="2"/>
      <c r="DD39" s="2"/>
      <c r="DE39" s="2"/>
      <c r="DF39" s="2"/>
      <c r="DG39" s="2"/>
      <c r="DH39" s="2"/>
      <c r="DI39" s="2"/>
      <c r="DJ39" s="40"/>
      <c r="DK39" s="2"/>
      <c r="DL39" s="2"/>
      <c r="DM39" s="2"/>
      <c r="DN39" s="2"/>
      <c r="DO39" s="2"/>
      <c r="DP39" s="2"/>
      <c r="DQ39" s="2"/>
      <c r="DR39" s="40"/>
      <c r="DS39" s="2"/>
      <c r="DT39" s="2"/>
      <c r="DU39" s="2"/>
      <c r="DV39" s="2"/>
      <c r="DW39" s="2"/>
      <c r="DX39" s="2"/>
      <c r="DY39" s="2"/>
      <c r="DZ39" s="40"/>
      <c r="EA39" s="2"/>
      <c r="EB39" s="2"/>
      <c r="EC39" s="2"/>
      <c r="ED39" s="2"/>
      <c r="EE39" s="2"/>
      <c r="EF39" s="2"/>
      <c r="EG39" s="2"/>
      <c r="EH39" s="40"/>
      <c r="EI39" s="2"/>
      <c r="EJ39" s="2"/>
      <c r="EK39" s="2"/>
      <c r="EL39" s="2"/>
      <c r="EM39" s="2"/>
      <c r="EN39" s="2"/>
      <c r="EO39" s="2"/>
      <c r="EP39" s="40"/>
      <c r="EQ39" s="2"/>
      <c r="ER39" s="2"/>
      <c r="ES39" s="2"/>
      <c r="ET39" s="2"/>
      <c r="EU39" s="2"/>
      <c r="EV39" s="2"/>
      <c r="EW39" s="2"/>
      <c r="EX39" s="40"/>
      <c r="EY39" s="2"/>
      <c r="EZ39" s="2"/>
      <c r="FA39" s="2"/>
      <c r="FB39" s="2"/>
      <c r="FC39" s="2"/>
      <c r="FD39" s="2"/>
      <c r="FE39" s="2"/>
      <c r="FF39" s="40"/>
      <c r="FG39" s="2"/>
      <c r="FH39" s="2"/>
      <c r="FI39" s="2"/>
      <c r="FJ39" s="2"/>
      <c r="FK39" s="2"/>
      <c r="FL39" s="2"/>
      <c r="FM39" s="2"/>
    </row>
    <row r="40">
      <c r="A40" s="42"/>
      <c r="B40" s="41"/>
      <c r="C40" s="8"/>
      <c r="D40" s="8"/>
      <c r="E40" s="8"/>
      <c r="F40" s="8"/>
      <c r="G40" s="8"/>
      <c r="H40" s="8"/>
      <c r="I40" s="8"/>
      <c r="J40" s="41" t="str">
        <f t="shared" ref="J40:O40" si="181">B40</f>
        <v/>
      </c>
      <c r="K40" s="8" t="str">
        <f t="shared" si="181"/>
        <v/>
      </c>
      <c r="L40" s="8" t="str">
        <f t="shared" si="181"/>
        <v/>
      </c>
      <c r="M40" s="8" t="str">
        <f t="shared" si="181"/>
        <v/>
      </c>
      <c r="N40" s="8" t="str">
        <f t="shared" si="181"/>
        <v/>
      </c>
      <c r="O40" s="8" t="str">
        <f t="shared" si="181"/>
        <v/>
      </c>
      <c r="P40" s="8"/>
      <c r="Q40" s="8"/>
      <c r="R40" s="41" t="str">
        <f t="shared" ref="R40:W40" si="182">J40</f>
        <v/>
      </c>
      <c r="S40" s="8" t="str">
        <f t="shared" si="182"/>
        <v/>
      </c>
      <c r="T40" s="8" t="str">
        <f t="shared" si="182"/>
        <v/>
      </c>
      <c r="U40" s="8" t="str">
        <f t="shared" si="182"/>
        <v/>
      </c>
      <c r="V40" s="8" t="str">
        <f t="shared" si="182"/>
        <v/>
      </c>
      <c r="W40" s="8" t="str">
        <f t="shared" si="182"/>
        <v/>
      </c>
      <c r="X40" s="8"/>
      <c r="Y40" s="8"/>
      <c r="Z40" s="41" t="str">
        <f t="shared" ref="Z40:AE40" si="183">R40</f>
        <v/>
      </c>
      <c r="AA40" s="8" t="str">
        <f t="shared" si="183"/>
        <v/>
      </c>
      <c r="AB40" s="8" t="str">
        <f t="shared" si="183"/>
        <v/>
      </c>
      <c r="AC40" s="8" t="str">
        <f t="shared" si="183"/>
        <v/>
      </c>
      <c r="AD40" s="8" t="str">
        <f t="shared" si="183"/>
        <v/>
      </c>
      <c r="AE40" s="8" t="str">
        <f t="shared" si="183"/>
        <v/>
      </c>
      <c r="AF40" s="8"/>
      <c r="AG40" s="8"/>
      <c r="AH40" s="41" t="str">
        <f t="shared" ref="AH40:AM40" si="184">Z40</f>
        <v/>
      </c>
      <c r="AI40" s="8" t="str">
        <f t="shared" si="184"/>
        <v/>
      </c>
      <c r="AJ40" s="8" t="str">
        <f t="shared" si="184"/>
        <v/>
      </c>
      <c r="AK40" s="8" t="str">
        <f t="shared" si="184"/>
        <v/>
      </c>
      <c r="AL40" s="8" t="str">
        <f t="shared" si="184"/>
        <v/>
      </c>
      <c r="AM40" s="8" t="str">
        <f t="shared" si="184"/>
        <v/>
      </c>
      <c r="AN40" s="8"/>
      <c r="AO40" s="8"/>
      <c r="AP40" s="41" t="str">
        <f t="shared" ref="AP40:AU40" si="185">AH40</f>
        <v/>
      </c>
      <c r="AQ40" s="8" t="str">
        <f t="shared" si="185"/>
        <v/>
      </c>
      <c r="AR40" s="8" t="str">
        <f t="shared" si="185"/>
        <v/>
      </c>
      <c r="AS40" s="8" t="str">
        <f t="shared" si="185"/>
        <v/>
      </c>
      <c r="AT40" s="8" t="str">
        <f t="shared" si="185"/>
        <v/>
      </c>
      <c r="AU40" s="8" t="str">
        <f t="shared" si="185"/>
        <v/>
      </c>
      <c r="AV40" s="8"/>
      <c r="AW40" s="8"/>
      <c r="AX40" s="41" t="str">
        <f t="shared" ref="AX40:BC40" si="186">AP40</f>
        <v/>
      </c>
      <c r="AY40" s="8" t="str">
        <f t="shared" si="186"/>
        <v/>
      </c>
      <c r="AZ40" s="8" t="str">
        <f t="shared" si="186"/>
        <v/>
      </c>
      <c r="BA40" s="8" t="str">
        <f t="shared" si="186"/>
        <v/>
      </c>
      <c r="BB40" s="8" t="str">
        <f t="shared" si="186"/>
        <v/>
      </c>
      <c r="BC40" s="8" t="str">
        <f t="shared" si="186"/>
        <v/>
      </c>
      <c r="BD40" s="8"/>
      <c r="BE40" s="8"/>
      <c r="BF40" s="41" t="str">
        <f t="shared" ref="BF40:BK40" si="187">AX40</f>
        <v/>
      </c>
      <c r="BG40" s="8" t="str">
        <f t="shared" si="187"/>
        <v/>
      </c>
      <c r="BH40" s="8" t="str">
        <f t="shared" si="187"/>
        <v/>
      </c>
      <c r="BI40" s="8" t="str">
        <f t="shared" si="187"/>
        <v/>
      </c>
      <c r="BJ40" s="8" t="str">
        <f t="shared" si="187"/>
        <v/>
      </c>
      <c r="BK40" s="8" t="str">
        <f t="shared" si="187"/>
        <v/>
      </c>
      <c r="BL40" s="8"/>
      <c r="BM40" s="8"/>
      <c r="BN40" s="41" t="str">
        <f t="shared" ref="BN40:BS40" si="188">BF40</f>
        <v/>
      </c>
      <c r="BO40" s="8" t="str">
        <f t="shared" si="188"/>
        <v/>
      </c>
      <c r="BP40" s="8" t="str">
        <f t="shared" si="188"/>
        <v/>
      </c>
      <c r="BQ40" s="8" t="str">
        <f t="shared" si="188"/>
        <v/>
      </c>
      <c r="BR40" s="8" t="str">
        <f t="shared" si="188"/>
        <v/>
      </c>
      <c r="BS40" s="8" t="str">
        <f t="shared" si="188"/>
        <v/>
      </c>
      <c r="BT40" s="8"/>
      <c r="BU40" s="8"/>
      <c r="BV40" s="41" t="str">
        <f t="shared" ref="BV40:CA40" si="189">BN40</f>
        <v/>
      </c>
      <c r="BW40" s="8" t="str">
        <f t="shared" si="189"/>
        <v/>
      </c>
      <c r="BX40" s="8" t="str">
        <f t="shared" si="189"/>
        <v/>
      </c>
      <c r="BY40" s="8" t="str">
        <f t="shared" si="189"/>
        <v/>
      </c>
      <c r="BZ40" s="8" t="str">
        <f t="shared" si="189"/>
        <v/>
      </c>
      <c r="CA40" s="8" t="str">
        <f t="shared" si="189"/>
        <v/>
      </c>
      <c r="CB40" s="8"/>
      <c r="CC40" s="8"/>
      <c r="CD40" s="41" t="str">
        <f t="shared" ref="CD40:CI40" si="190">BV40</f>
        <v/>
      </c>
      <c r="CE40" s="8" t="str">
        <f t="shared" si="190"/>
        <v/>
      </c>
      <c r="CF40" s="8" t="str">
        <f t="shared" si="190"/>
        <v/>
      </c>
      <c r="CG40" s="8" t="str">
        <f t="shared" si="190"/>
        <v/>
      </c>
      <c r="CH40" s="8" t="str">
        <f t="shared" si="190"/>
        <v/>
      </c>
      <c r="CI40" s="8" t="str">
        <f t="shared" si="190"/>
        <v/>
      </c>
      <c r="CJ40" s="8"/>
      <c r="CK40" s="8"/>
      <c r="CL40" s="41" t="str">
        <f t="shared" ref="CL40:CQ40" si="191">CD40</f>
        <v/>
      </c>
      <c r="CM40" s="8" t="str">
        <f t="shared" si="191"/>
        <v/>
      </c>
      <c r="CN40" s="8" t="str">
        <f t="shared" si="191"/>
        <v/>
      </c>
      <c r="CO40" s="8" t="str">
        <f t="shared" si="191"/>
        <v/>
      </c>
      <c r="CP40" s="8" t="str">
        <f t="shared" si="191"/>
        <v/>
      </c>
      <c r="CQ40" s="8" t="str">
        <f t="shared" si="191"/>
        <v/>
      </c>
      <c r="CR40" s="8"/>
      <c r="CS40" s="8"/>
      <c r="CT40" s="41" t="str">
        <f t="shared" ref="CT40:CY40" si="192">CL40</f>
        <v/>
      </c>
      <c r="CU40" s="8" t="str">
        <f t="shared" si="192"/>
        <v/>
      </c>
      <c r="CV40" s="8" t="str">
        <f t="shared" si="192"/>
        <v/>
      </c>
      <c r="CW40" s="8" t="str">
        <f t="shared" si="192"/>
        <v/>
      </c>
      <c r="CX40" s="8" t="str">
        <f t="shared" si="192"/>
        <v/>
      </c>
      <c r="CY40" s="8" t="str">
        <f t="shared" si="192"/>
        <v/>
      </c>
      <c r="CZ40" s="8"/>
      <c r="DA40" s="8"/>
      <c r="DB40" s="41" t="str">
        <f t="shared" ref="DB40:DG40" si="193">CT40</f>
        <v/>
      </c>
      <c r="DC40" s="8" t="str">
        <f t="shared" si="193"/>
        <v/>
      </c>
      <c r="DD40" s="8" t="str">
        <f t="shared" si="193"/>
        <v/>
      </c>
      <c r="DE40" s="8" t="str">
        <f t="shared" si="193"/>
        <v/>
      </c>
      <c r="DF40" s="8" t="str">
        <f t="shared" si="193"/>
        <v/>
      </c>
      <c r="DG40" s="8" t="str">
        <f t="shared" si="193"/>
        <v/>
      </c>
      <c r="DH40" s="8"/>
      <c r="DI40" s="8"/>
      <c r="DJ40" s="41" t="str">
        <f t="shared" ref="DJ40:DO40" si="194">DB40</f>
        <v/>
      </c>
      <c r="DK40" s="8" t="str">
        <f t="shared" si="194"/>
        <v/>
      </c>
      <c r="DL40" s="8" t="str">
        <f t="shared" si="194"/>
        <v/>
      </c>
      <c r="DM40" s="8" t="str">
        <f t="shared" si="194"/>
        <v/>
      </c>
      <c r="DN40" s="8" t="str">
        <f t="shared" si="194"/>
        <v/>
      </c>
      <c r="DO40" s="8" t="str">
        <f t="shared" si="194"/>
        <v/>
      </c>
      <c r="DP40" s="8"/>
      <c r="DQ40" s="8"/>
      <c r="DR40" s="41" t="str">
        <f t="shared" ref="DR40:DW40" si="195">DJ40</f>
        <v/>
      </c>
      <c r="DS40" s="8" t="str">
        <f t="shared" si="195"/>
        <v/>
      </c>
      <c r="DT40" s="8" t="str">
        <f t="shared" si="195"/>
        <v/>
      </c>
      <c r="DU40" s="8" t="str">
        <f t="shared" si="195"/>
        <v/>
      </c>
      <c r="DV40" s="8" t="str">
        <f t="shared" si="195"/>
        <v/>
      </c>
      <c r="DW40" s="8" t="str">
        <f t="shared" si="195"/>
        <v/>
      </c>
      <c r="DX40" s="8"/>
      <c r="DY40" s="8"/>
      <c r="DZ40" s="41" t="str">
        <f t="shared" ref="DZ40:EE40" si="196">DR40</f>
        <v/>
      </c>
      <c r="EA40" s="8" t="str">
        <f t="shared" si="196"/>
        <v/>
      </c>
      <c r="EB40" s="8" t="str">
        <f t="shared" si="196"/>
        <v/>
      </c>
      <c r="EC40" s="8" t="str">
        <f t="shared" si="196"/>
        <v/>
      </c>
      <c r="ED40" s="8" t="str">
        <f t="shared" si="196"/>
        <v/>
      </c>
      <c r="EE40" s="8" t="str">
        <f t="shared" si="196"/>
        <v/>
      </c>
      <c r="EF40" s="8"/>
      <c r="EG40" s="8"/>
      <c r="EH40" s="41" t="str">
        <f t="shared" ref="EH40:EM40" si="197">DZ40</f>
        <v/>
      </c>
      <c r="EI40" s="8" t="str">
        <f t="shared" si="197"/>
        <v/>
      </c>
      <c r="EJ40" s="8" t="str">
        <f t="shared" si="197"/>
        <v/>
      </c>
      <c r="EK40" s="8" t="str">
        <f t="shared" si="197"/>
        <v/>
      </c>
      <c r="EL40" s="8" t="str">
        <f t="shared" si="197"/>
        <v/>
      </c>
      <c r="EM40" s="8" t="str">
        <f t="shared" si="197"/>
        <v/>
      </c>
      <c r="EN40" s="8"/>
      <c r="EO40" s="8"/>
      <c r="EP40" s="41" t="str">
        <f t="shared" ref="EP40:EU40" si="198">EH40</f>
        <v/>
      </c>
      <c r="EQ40" s="8" t="str">
        <f t="shared" si="198"/>
        <v/>
      </c>
      <c r="ER40" s="8" t="str">
        <f t="shared" si="198"/>
        <v/>
      </c>
      <c r="ES40" s="8" t="str">
        <f t="shared" si="198"/>
        <v/>
      </c>
      <c r="ET40" s="8" t="str">
        <f t="shared" si="198"/>
        <v/>
      </c>
      <c r="EU40" s="8" t="str">
        <f t="shared" si="198"/>
        <v/>
      </c>
      <c r="EV40" s="8"/>
      <c r="EW40" s="8"/>
      <c r="EX40" s="41" t="str">
        <f t="shared" ref="EX40:FC40" si="199">EP40</f>
        <v/>
      </c>
      <c r="EY40" s="8" t="str">
        <f t="shared" si="199"/>
        <v/>
      </c>
      <c r="EZ40" s="8" t="str">
        <f t="shared" si="199"/>
        <v/>
      </c>
      <c r="FA40" s="8" t="str">
        <f t="shared" si="199"/>
        <v/>
      </c>
      <c r="FB40" s="8" t="str">
        <f t="shared" si="199"/>
        <v/>
      </c>
      <c r="FC40" s="8" t="str">
        <f t="shared" si="199"/>
        <v/>
      </c>
      <c r="FD40" s="8"/>
      <c r="FE40" s="8"/>
      <c r="FF40" s="41" t="str">
        <f t="shared" ref="FF40:FK40" si="200">EX40</f>
        <v/>
      </c>
      <c r="FG40" s="8" t="str">
        <f t="shared" si="200"/>
        <v/>
      </c>
      <c r="FH40" s="8" t="str">
        <f t="shared" si="200"/>
        <v/>
      </c>
      <c r="FI40" s="8" t="str">
        <f t="shared" si="200"/>
        <v/>
      </c>
      <c r="FJ40" s="8" t="str">
        <f t="shared" si="200"/>
        <v/>
      </c>
      <c r="FK40" s="8" t="str">
        <f t="shared" si="200"/>
        <v/>
      </c>
      <c r="FL40" s="8"/>
      <c r="FM40" s="8"/>
    </row>
    <row r="41">
      <c r="A41" s="42"/>
      <c r="B41" s="41"/>
      <c r="C41" s="8"/>
      <c r="D41" s="8"/>
      <c r="E41" s="8"/>
      <c r="F41" s="8"/>
      <c r="G41" s="8"/>
      <c r="H41" s="8"/>
      <c r="I41" s="8"/>
      <c r="J41" s="41" t="str">
        <f t="shared" ref="J41:O41" si="201">B41</f>
        <v/>
      </c>
      <c r="K41" s="8" t="str">
        <f t="shared" si="201"/>
        <v/>
      </c>
      <c r="L41" s="8" t="str">
        <f t="shared" si="201"/>
        <v/>
      </c>
      <c r="M41" s="8" t="str">
        <f t="shared" si="201"/>
        <v/>
      </c>
      <c r="N41" s="8" t="str">
        <f t="shared" si="201"/>
        <v/>
      </c>
      <c r="O41" s="8" t="str">
        <f t="shared" si="201"/>
        <v/>
      </c>
      <c r="P41" s="8"/>
      <c r="Q41" s="8"/>
      <c r="R41" s="41" t="str">
        <f t="shared" ref="R41:W41" si="202">J41</f>
        <v/>
      </c>
      <c r="S41" s="8" t="str">
        <f t="shared" si="202"/>
        <v/>
      </c>
      <c r="T41" s="8" t="str">
        <f t="shared" si="202"/>
        <v/>
      </c>
      <c r="U41" s="8" t="str">
        <f t="shared" si="202"/>
        <v/>
      </c>
      <c r="V41" s="8" t="str">
        <f t="shared" si="202"/>
        <v/>
      </c>
      <c r="W41" s="8" t="str">
        <f t="shared" si="202"/>
        <v/>
      </c>
      <c r="X41" s="8"/>
      <c r="Y41" s="8"/>
      <c r="Z41" s="41" t="str">
        <f t="shared" ref="Z41:AE41" si="203">R41</f>
        <v/>
      </c>
      <c r="AA41" s="8" t="str">
        <f t="shared" si="203"/>
        <v/>
      </c>
      <c r="AB41" s="8" t="str">
        <f t="shared" si="203"/>
        <v/>
      </c>
      <c r="AC41" s="8" t="str">
        <f t="shared" si="203"/>
        <v/>
      </c>
      <c r="AD41" s="8" t="str">
        <f t="shared" si="203"/>
        <v/>
      </c>
      <c r="AE41" s="8" t="str">
        <f t="shared" si="203"/>
        <v/>
      </c>
      <c r="AF41" s="8"/>
      <c r="AG41" s="8"/>
      <c r="AH41" s="41" t="str">
        <f t="shared" ref="AH41:AM41" si="204">Z41</f>
        <v/>
      </c>
      <c r="AI41" s="8" t="str">
        <f t="shared" si="204"/>
        <v/>
      </c>
      <c r="AJ41" s="8" t="str">
        <f t="shared" si="204"/>
        <v/>
      </c>
      <c r="AK41" s="8" t="str">
        <f t="shared" si="204"/>
        <v/>
      </c>
      <c r="AL41" s="8" t="str">
        <f t="shared" si="204"/>
        <v/>
      </c>
      <c r="AM41" s="8" t="str">
        <f t="shared" si="204"/>
        <v/>
      </c>
      <c r="AN41" s="8"/>
      <c r="AO41" s="8"/>
      <c r="AP41" s="41" t="str">
        <f t="shared" ref="AP41:AU41" si="205">AH41</f>
        <v/>
      </c>
      <c r="AQ41" s="8" t="str">
        <f t="shared" si="205"/>
        <v/>
      </c>
      <c r="AR41" s="8" t="str">
        <f t="shared" si="205"/>
        <v/>
      </c>
      <c r="AS41" s="8" t="str">
        <f t="shared" si="205"/>
        <v/>
      </c>
      <c r="AT41" s="8" t="str">
        <f t="shared" si="205"/>
        <v/>
      </c>
      <c r="AU41" s="8" t="str">
        <f t="shared" si="205"/>
        <v/>
      </c>
      <c r="AV41" s="8"/>
      <c r="AW41" s="8"/>
      <c r="AX41" s="41" t="str">
        <f t="shared" ref="AX41:BC41" si="206">AP41</f>
        <v/>
      </c>
      <c r="AY41" s="8" t="str">
        <f t="shared" si="206"/>
        <v/>
      </c>
      <c r="AZ41" s="8" t="str">
        <f t="shared" si="206"/>
        <v/>
      </c>
      <c r="BA41" s="8" t="str">
        <f t="shared" si="206"/>
        <v/>
      </c>
      <c r="BB41" s="8" t="str">
        <f t="shared" si="206"/>
        <v/>
      </c>
      <c r="BC41" s="8" t="str">
        <f t="shared" si="206"/>
        <v/>
      </c>
      <c r="BD41" s="8"/>
      <c r="BE41" s="8"/>
      <c r="BF41" s="41" t="str">
        <f t="shared" ref="BF41:BK41" si="207">AX41</f>
        <v/>
      </c>
      <c r="BG41" s="8" t="str">
        <f t="shared" si="207"/>
        <v/>
      </c>
      <c r="BH41" s="8" t="str">
        <f t="shared" si="207"/>
        <v/>
      </c>
      <c r="BI41" s="8" t="str">
        <f t="shared" si="207"/>
        <v/>
      </c>
      <c r="BJ41" s="8" t="str">
        <f t="shared" si="207"/>
        <v/>
      </c>
      <c r="BK41" s="8" t="str">
        <f t="shared" si="207"/>
        <v/>
      </c>
      <c r="BL41" s="8"/>
      <c r="BM41" s="8"/>
      <c r="BN41" s="41" t="str">
        <f t="shared" ref="BN41:BS41" si="208">BF41</f>
        <v/>
      </c>
      <c r="BO41" s="8" t="str">
        <f t="shared" si="208"/>
        <v/>
      </c>
      <c r="BP41" s="8" t="str">
        <f t="shared" si="208"/>
        <v/>
      </c>
      <c r="BQ41" s="8" t="str">
        <f t="shared" si="208"/>
        <v/>
      </c>
      <c r="BR41" s="8" t="str">
        <f t="shared" si="208"/>
        <v/>
      </c>
      <c r="BS41" s="8" t="str">
        <f t="shared" si="208"/>
        <v/>
      </c>
      <c r="BT41" s="8"/>
      <c r="BU41" s="8"/>
      <c r="BV41" s="41" t="str">
        <f t="shared" ref="BV41:CA41" si="209">BN41</f>
        <v/>
      </c>
      <c r="BW41" s="8" t="str">
        <f t="shared" si="209"/>
        <v/>
      </c>
      <c r="BX41" s="8" t="str">
        <f t="shared" si="209"/>
        <v/>
      </c>
      <c r="BY41" s="8" t="str">
        <f t="shared" si="209"/>
        <v/>
      </c>
      <c r="BZ41" s="8" t="str">
        <f t="shared" si="209"/>
        <v/>
      </c>
      <c r="CA41" s="8" t="str">
        <f t="shared" si="209"/>
        <v/>
      </c>
      <c r="CB41" s="8"/>
      <c r="CC41" s="8"/>
      <c r="CD41" s="41" t="str">
        <f t="shared" ref="CD41:CI41" si="210">BV41</f>
        <v/>
      </c>
      <c r="CE41" s="8" t="str">
        <f t="shared" si="210"/>
        <v/>
      </c>
      <c r="CF41" s="8" t="str">
        <f t="shared" si="210"/>
        <v/>
      </c>
      <c r="CG41" s="8" t="str">
        <f t="shared" si="210"/>
        <v/>
      </c>
      <c r="CH41" s="8" t="str">
        <f t="shared" si="210"/>
        <v/>
      </c>
      <c r="CI41" s="8" t="str">
        <f t="shared" si="210"/>
        <v/>
      </c>
      <c r="CJ41" s="8"/>
      <c r="CK41" s="8"/>
      <c r="CL41" s="41" t="str">
        <f t="shared" ref="CL41:CQ41" si="211">CD41</f>
        <v/>
      </c>
      <c r="CM41" s="8" t="str">
        <f t="shared" si="211"/>
        <v/>
      </c>
      <c r="CN41" s="8" t="str">
        <f t="shared" si="211"/>
        <v/>
      </c>
      <c r="CO41" s="8" t="str">
        <f t="shared" si="211"/>
        <v/>
      </c>
      <c r="CP41" s="8" t="str">
        <f t="shared" si="211"/>
        <v/>
      </c>
      <c r="CQ41" s="8" t="str">
        <f t="shared" si="211"/>
        <v/>
      </c>
      <c r="CR41" s="8"/>
      <c r="CS41" s="8"/>
      <c r="CT41" s="41" t="str">
        <f t="shared" ref="CT41:CY41" si="212">CL41</f>
        <v/>
      </c>
      <c r="CU41" s="8" t="str">
        <f t="shared" si="212"/>
        <v/>
      </c>
      <c r="CV41" s="8" t="str">
        <f t="shared" si="212"/>
        <v/>
      </c>
      <c r="CW41" s="8" t="str">
        <f t="shared" si="212"/>
        <v/>
      </c>
      <c r="CX41" s="8" t="str">
        <f t="shared" si="212"/>
        <v/>
      </c>
      <c r="CY41" s="8" t="str">
        <f t="shared" si="212"/>
        <v/>
      </c>
      <c r="CZ41" s="8"/>
      <c r="DA41" s="8"/>
      <c r="DB41" s="41" t="str">
        <f t="shared" ref="DB41:DG41" si="213">CT41</f>
        <v/>
      </c>
      <c r="DC41" s="8" t="str">
        <f t="shared" si="213"/>
        <v/>
      </c>
      <c r="DD41" s="8" t="str">
        <f t="shared" si="213"/>
        <v/>
      </c>
      <c r="DE41" s="8" t="str">
        <f t="shared" si="213"/>
        <v/>
      </c>
      <c r="DF41" s="8" t="str">
        <f t="shared" si="213"/>
        <v/>
      </c>
      <c r="DG41" s="8" t="str">
        <f t="shared" si="213"/>
        <v/>
      </c>
      <c r="DH41" s="8"/>
      <c r="DI41" s="8"/>
      <c r="DJ41" s="41" t="str">
        <f t="shared" ref="DJ41:DO41" si="214">DB41</f>
        <v/>
      </c>
      <c r="DK41" s="8" t="str">
        <f t="shared" si="214"/>
        <v/>
      </c>
      <c r="DL41" s="8" t="str">
        <f t="shared" si="214"/>
        <v/>
      </c>
      <c r="DM41" s="8" t="str">
        <f t="shared" si="214"/>
        <v/>
      </c>
      <c r="DN41" s="8" t="str">
        <f t="shared" si="214"/>
        <v/>
      </c>
      <c r="DO41" s="8" t="str">
        <f t="shared" si="214"/>
        <v/>
      </c>
      <c r="DP41" s="8"/>
      <c r="DQ41" s="8"/>
      <c r="DR41" s="41" t="str">
        <f t="shared" ref="DR41:DW41" si="215">DJ41</f>
        <v/>
      </c>
      <c r="DS41" s="8" t="str">
        <f t="shared" si="215"/>
        <v/>
      </c>
      <c r="DT41" s="8" t="str">
        <f t="shared" si="215"/>
        <v/>
      </c>
      <c r="DU41" s="8" t="str">
        <f t="shared" si="215"/>
        <v/>
      </c>
      <c r="DV41" s="8" t="str">
        <f t="shared" si="215"/>
        <v/>
      </c>
      <c r="DW41" s="8" t="str">
        <f t="shared" si="215"/>
        <v/>
      </c>
      <c r="DX41" s="8"/>
      <c r="DY41" s="8"/>
      <c r="DZ41" s="41" t="str">
        <f t="shared" ref="DZ41:EE41" si="216">DR41</f>
        <v/>
      </c>
      <c r="EA41" s="8" t="str">
        <f t="shared" si="216"/>
        <v/>
      </c>
      <c r="EB41" s="8" t="str">
        <f t="shared" si="216"/>
        <v/>
      </c>
      <c r="EC41" s="8" t="str">
        <f t="shared" si="216"/>
        <v/>
      </c>
      <c r="ED41" s="8" t="str">
        <f t="shared" si="216"/>
        <v/>
      </c>
      <c r="EE41" s="8" t="str">
        <f t="shared" si="216"/>
        <v/>
      </c>
      <c r="EF41" s="8"/>
      <c r="EG41" s="8"/>
      <c r="EH41" s="41" t="str">
        <f t="shared" ref="EH41:EM41" si="217">DZ41</f>
        <v/>
      </c>
      <c r="EI41" s="8" t="str">
        <f t="shared" si="217"/>
        <v/>
      </c>
      <c r="EJ41" s="8" t="str">
        <f t="shared" si="217"/>
        <v/>
      </c>
      <c r="EK41" s="8" t="str">
        <f t="shared" si="217"/>
        <v/>
      </c>
      <c r="EL41" s="8" t="str">
        <f t="shared" si="217"/>
        <v/>
      </c>
      <c r="EM41" s="8" t="str">
        <f t="shared" si="217"/>
        <v/>
      </c>
      <c r="EN41" s="8"/>
      <c r="EO41" s="8"/>
      <c r="EP41" s="41" t="str">
        <f t="shared" ref="EP41:EU41" si="218">EH41</f>
        <v/>
      </c>
      <c r="EQ41" s="8" t="str">
        <f t="shared" si="218"/>
        <v/>
      </c>
      <c r="ER41" s="8" t="str">
        <f t="shared" si="218"/>
        <v/>
      </c>
      <c r="ES41" s="8" t="str">
        <f t="shared" si="218"/>
        <v/>
      </c>
      <c r="ET41" s="8" t="str">
        <f t="shared" si="218"/>
        <v/>
      </c>
      <c r="EU41" s="8" t="str">
        <f t="shared" si="218"/>
        <v/>
      </c>
      <c r="EV41" s="8"/>
      <c r="EW41" s="8"/>
      <c r="EX41" s="41" t="str">
        <f t="shared" ref="EX41:FC41" si="219">EP41</f>
        <v/>
      </c>
      <c r="EY41" s="8" t="str">
        <f t="shared" si="219"/>
        <v/>
      </c>
      <c r="EZ41" s="8" t="str">
        <f t="shared" si="219"/>
        <v/>
      </c>
      <c r="FA41" s="8" t="str">
        <f t="shared" si="219"/>
        <v/>
      </c>
      <c r="FB41" s="8" t="str">
        <f t="shared" si="219"/>
        <v/>
      </c>
      <c r="FC41" s="8" t="str">
        <f t="shared" si="219"/>
        <v/>
      </c>
      <c r="FD41" s="8"/>
      <c r="FE41" s="8"/>
      <c r="FF41" s="41" t="str">
        <f t="shared" ref="FF41:FK41" si="220">EX41</f>
        <v/>
      </c>
      <c r="FG41" s="8" t="str">
        <f t="shared" si="220"/>
        <v/>
      </c>
      <c r="FH41" s="8" t="str">
        <f t="shared" si="220"/>
        <v/>
      </c>
      <c r="FI41" s="8" t="str">
        <f t="shared" si="220"/>
        <v/>
      </c>
      <c r="FJ41" s="8" t="str">
        <f t="shared" si="220"/>
        <v/>
      </c>
      <c r="FK41" s="8" t="str">
        <f t="shared" si="220"/>
        <v/>
      </c>
      <c r="FL41" s="8"/>
      <c r="FM41" s="8"/>
    </row>
    <row r="42">
      <c r="A42" s="43"/>
      <c r="B42" s="44"/>
      <c r="C42" s="45"/>
      <c r="D42" s="45"/>
      <c r="E42" s="45"/>
      <c r="F42" s="45"/>
      <c r="G42" s="45"/>
      <c r="H42" s="45"/>
      <c r="I42" s="45"/>
      <c r="J42" s="44" t="str">
        <f t="shared" ref="J42:O42" si="221">B42</f>
        <v/>
      </c>
      <c r="K42" s="45" t="str">
        <f t="shared" si="221"/>
        <v/>
      </c>
      <c r="L42" s="45" t="str">
        <f t="shared" si="221"/>
        <v/>
      </c>
      <c r="M42" s="45" t="str">
        <f t="shared" si="221"/>
        <v/>
      </c>
      <c r="N42" s="45" t="str">
        <f t="shared" si="221"/>
        <v/>
      </c>
      <c r="O42" s="45" t="str">
        <f t="shared" si="221"/>
        <v/>
      </c>
      <c r="P42" s="45"/>
      <c r="Q42" s="45"/>
      <c r="R42" s="44" t="str">
        <f t="shared" ref="R42:W42" si="222">J42</f>
        <v/>
      </c>
      <c r="S42" s="45" t="str">
        <f t="shared" si="222"/>
        <v/>
      </c>
      <c r="T42" s="45" t="str">
        <f t="shared" si="222"/>
        <v/>
      </c>
      <c r="U42" s="45" t="str">
        <f t="shared" si="222"/>
        <v/>
      </c>
      <c r="V42" s="45" t="str">
        <f t="shared" si="222"/>
        <v/>
      </c>
      <c r="W42" s="45" t="str">
        <f t="shared" si="222"/>
        <v/>
      </c>
      <c r="X42" s="45"/>
      <c r="Y42" s="45"/>
      <c r="Z42" s="44" t="str">
        <f t="shared" ref="Z42:AE42" si="223">R42</f>
        <v/>
      </c>
      <c r="AA42" s="45" t="str">
        <f t="shared" si="223"/>
        <v/>
      </c>
      <c r="AB42" s="45" t="str">
        <f t="shared" si="223"/>
        <v/>
      </c>
      <c r="AC42" s="45" t="str">
        <f t="shared" si="223"/>
        <v/>
      </c>
      <c r="AD42" s="45" t="str">
        <f t="shared" si="223"/>
        <v/>
      </c>
      <c r="AE42" s="45" t="str">
        <f t="shared" si="223"/>
        <v/>
      </c>
      <c r="AF42" s="45"/>
      <c r="AG42" s="45"/>
      <c r="AH42" s="44" t="str">
        <f t="shared" ref="AH42:AM42" si="224">Z42</f>
        <v/>
      </c>
      <c r="AI42" s="45" t="str">
        <f t="shared" si="224"/>
        <v/>
      </c>
      <c r="AJ42" s="45" t="str">
        <f t="shared" si="224"/>
        <v/>
      </c>
      <c r="AK42" s="45" t="str">
        <f t="shared" si="224"/>
        <v/>
      </c>
      <c r="AL42" s="45" t="str">
        <f t="shared" si="224"/>
        <v/>
      </c>
      <c r="AM42" s="45" t="str">
        <f t="shared" si="224"/>
        <v/>
      </c>
      <c r="AN42" s="45"/>
      <c r="AO42" s="45"/>
      <c r="AP42" s="44" t="str">
        <f t="shared" ref="AP42:AU42" si="225">AH42</f>
        <v/>
      </c>
      <c r="AQ42" s="45" t="str">
        <f t="shared" si="225"/>
        <v/>
      </c>
      <c r="AR42" s="45" t="str">
        <f t="shared" si="225"/>
        <v/>
      </c>
      <c r="AS42" s="45" t="str">
        <f t="shared" si="225"/>
        <v/>
      </c>
      <c r="AT42" s="45" t="str">
        <f t="shared" si="225"/>
        <v/>
      </c>
      <c r="AU42" s="45" t="str">
        <f t="shared" si="225"/>
        <v/>
      </c>
      <c r="AV42" s="45"/>
      <c r="AW42" s="45"/>
      <c r="AX42" s="44" t="str">
        <f t="shared" ref="AX42:BC42" si="226">AP42</f>
        <v/>
      </c>
      <c r="AY42" s="45" t="str">
        <f t="shared" si="226"/>
        <v/>
      </c>
      <c r="AZ42" s="45" t="str">
        <f t="shared" si="226"/>
        <v/>
      </c>
      <c r="BA42" s="45" t="str">
        <f t="shared" si="226"/>
        <v/>
      </c>
      <c r="BB42" s="45" t="str">
        <f t="shared" si="226"/>
        <v/>
      </c>
      <c r="BC42" s="45" t="str">
        <f t="shared" si="226"/>
        <v/>
      </c>
      <c r="BD42" s="45"/>
      <c r="BE42" s="45"/>
      <c r="BF42" s="44" t="str">
        <f t="shared" ref="BF42:BK42" si="227">AX42</f>
        <v/>
      </c>
      <c r="BG42" s="45" t="str">
        <f t="shared" si="227"/>
        <v/>
      </c>
      <c r="BH42" s="45" t="str">
        <f t="shared" si="227"/>
        <v/>
      </c>
      <c r="BI42" s="45" t="str">
        <f t="shared" si="227"/>
        <v/>
      </c>
      <c r="BJ42" s="45" t="str">
        <f t="shared" si="227"/>
        <v/>
      </c>
      <c r="BK42" s="45" t="str">
        <f t="shared" si="227"/>
        <v/>
      </c>
      <c r="BL42" s="45"/>
      <c r="BM42" s="45"/>
      <c r="BN42" s="44" t="str">
        <f t="shared" ref="BN42:BS42" si="228">BF42</f>
        <v/>
      </c>
      <c r="BO42" s="45" t="str">
        <f t="shared" si="228"/>
        <v/>
      </c>
      <c r="BP42" s="45" t="str">
        <f t="shared" si="228"/>
        <v/>
      </c>
      <c r="BQ42" s="45" t="str">
        <f t="shared" si="228"/>
        <v/>
      </c>
      <c r="BR42" s="45" t="str">
        <f t="shared" si="228"/>
        <v/>
      </c>
      <c r="BS42" s="45" t="str">
        <f t="shared" si="228"/>
        <v/>
      </c>
      <c r="BT42" s="45"/>
      <c r="BU42" s="45"/>
      <c r="BV42" s="44" t="str">
        <f t="shared" ref="BV42:CA42" si="229">BN42</f>
        <v/>
      </c>
      <c r="BW42" s="45" t="str">
        <f t="shared" si="229"/>
        <v/>
      </c>
      <c r="BX42" s="45" t="str">
        <f t="shared" si="229"/>
        <v/>
      </c>
      <c r="BY42" s="45" t="str">
        <f t="shared" si="229"/>
        <v/>
      </c>
      <c r="BZ42" s="45" t="str">
        <f t="shared" si="229"/>
        <v/>
      </c>
      <c r="CA42" s="45" t="str">
        <f t="shared" si="229"/>
        <v/>
      </c>
      <c r="CB42" s="45"/>
      <c r="CC42" s="45"/>
      <c r="CD42" s="44" t="str">
        <f t="shared" ref="CD42:CI42" si="230">BV42</f>
        <v/>
      </c>
      <c r="CE42" s="45" t="str">
        <f t="shared" si="230"/>
        <v/>
      </c>
      <c r="CF42" s="45" t="str">
        <f t="shared" si="230"/>
        <v/>
      </c>
      <c r="CG42" s="45" t="str">
        <f t="shared" si="230"/>
        <v/>
      </c>
      <c r="CH42" s="45" t="str">
        <f t="shared" si="230"/>
        <v/>
      </c>
      <c r="CI42" s="45" t="str">
        <f t="shared" si="230"/>
        <v/>
      </c>
      <c r="CJ42" s="45"/>
      <c r="CK42" s="45"/>
      <c r="CL42" s="44" t="str">
        <f t="shared" ref="CL42:CQ42" si="231">CD42</f>
        <v/>
      </c>
      <c r="CM42" s="45" t="str">
        <f t="shared" si="231"/>
        <v/>
      </c>
      <c r="CN42" s="45" t="str">
        <f t="shared" si="231"/>
        <v/>
      </c>
      <c r="CO42" s="45" t="str">
        <f t="shared" si="231"/>
        <v/>
      </c>
      <c r="CP42" s="45" t="str">
        <f t="shared" si="231"/>
        <v/>
      </c>
      <c r="CQ42" s="45" t="str">
        <f t="shared" si="231"/>
        <v/>
      </c>
      <c r="CR42" s="45"/>
      <c r="CS42" s="45"/>
      <c r="CT42" s="44" t="str">
        <f t="shared" ref="CT42:CY42" si="232">CL42</f>
        <v/>
      </c>
      <c r="CU42" s="45" t="str">
        <f t="shared" si="232"/>
        <v/>
      </c>
      <c r="CV42" s="45" t="str">
        <f t="shared" si="232"/>
        <v/>
      </c>
      <c r="CW42" s="45" t="str">
        <f t="shared" si="232"/>
        <v/>
      </c>
      <c r="CX42" s="45" t="str">
        <f t="shared" si="232"/>
        <v/>
      </c>
      <c r="CY42" s="45" t="str">
        <f t="shared" si="232"/>
        <v/>
      </c>
      <c r="CZ42" s="45"/>
      <c r="DA42" s="45"/>
      <c r="DB42" s="44" t="str">
        <f t="shared" ref="DB42:DG42" si="233">CT42</f>
        <v/>
      </c>
      <c r="DC42" s="45" t="str">
        <f t="shared" si="233"/>
        <v/>
      </c>
      <c r="DD42" s="45" t="str">
        <f t="shared" si="233"/>
        <v/>
      </c>
      <c r="DE42" s="45" t="str">
        <f t="shared" si="233"/>
        <v/>
      </c>
      <c r="DF42" s="45" t="str">
        <f t="shared" si="233"/>
        <v/>
      </c>
      <c r="DG42" s="45" t="str">
        <f t="shared" si="233"/>
        <v/>
      </c>
      <c r="DH42" s="45"/>
      <c r="DI42" s="45"/>
      <c r="DJ42" s="44" t="str">
        <f t="shared" ref="DJ42:DO42" si="234">DB42</f>
        <v/>
      </c>
      <c r="DK42" s="45" t="str">
        <f t="shared" si="234"/>
        <v/>
      </c>
      <c r="DL42" s="45" t="str">
        <f t="shared" si="234"/>
        <v/>
      </c>
      <c r="DM42" s="45" t="str">
        <f t="shared" si="234"/>
        <v/>
      </c>
      <c r="DN42" s="45" t="str">
        <f t="shared" si="234"/>
        <v/>
      </c>
      <c r="DO42" s="45" t="str">
        <f t="shared" si="234"/>
        <v/>
      </c>
      <c r="DP42" s="45"/>
      <c r="DQ42" s="45"/>
      <c r="DR42" s="44" t="str">
        <f t="shared" ref="DR42:DW42" si="235">DJ42</f>
        <v/>
      </c>
      <c r="DS42" s="45" t="str">
        <f t="shared" si="235"/>
        <v/>
      </c>
      <c r="DT42" s="45" t="str">
        <f t="shared" si="235"/>
        <v/>
      </c>
      <c r="DU42" s="45" t="str">
        <f t="shared" si="235"/>
        <v/>
      </c>
      <c r="DV42" s="45" t="str">
        <f t="shared" si="235"/>
        <v/>
      </c>
      <c r="DW42" s="45" t="str">
        <f t="shared" si="235"/>
        <v/>
      </c>
      <c r="DX42" s="45"/>
      <c r="DY42" s="45"/>
      <c r="DZ42" s="44" t="str">
        <f t="shared" ref="DZ42:EE42" si="236">DR42</f>
        <v/>
      </c>
      <c r="EA42" s="45" t="str">
        <f t="shared" si="236"/>
        <v/>
      </c>
      <c r="EB42" s="45" t="str">
        <f t="shared" si="236"/>
        <v/>
      </c>
      <c r="EC42" s="45" t="str">
        <f t="shared" si="236"/>
        <v/>
      </c>
      <c r="ED42" s="45" t="str">
        <f t="shared" si="236"/>
        <v/>
      </c>
      <c r="EE42" s="45" t="str">
        <f t="shared" si="236"/>
        <v/>
      </c>
      <c r="EF42" s="45"/>
      <c r="EG42" s="45"/>
      <c r="EH42" s="44" t="str">
        <f t="shared" ref="EH42:EM42" si="237">DZ42</f>
        <v/>
      </c>
      <c r="EI42" s="45" t="str">
        <f t="shared" si="237"/>
        <v/>
      </c>
      <c r="EJ42" s="45" t="str">
        <f t="shared" si="237"/>
        <v/>
      </c>
      <c r="EK42" s="45" t="str">
        <f t="shared" si="237"/>
        <v/>
      </c>
      <c r="EL42" s="45" t="str">
        <f t="shared" si="237"/>
        <v/>
      </c>
      <c r="EM42" s="45" t="str">
        <f t="shared" si="237"/>
        <v/>
      </c>
      <c r="EN42" s="45"/>
      <c r="EO42" s="45"/>
      <c r="EP42" s="44" t="str">
        <f t="shared" ref="EP42:EU42" si="238">EH42</f>
        <v/>
      </c>
      <c r="EQ42" s="45" t="str">
        <f t="shared" si="238"/>
        <v/>
      </c>
      <c r="ER42" s="45" t="str">
        <f t="shared" si="238"/>
        <v/>
      </c>
      <c r="ES42" s="45" t="str">
        <f t="shared" si="238"/>
        <v/>
      </c>
      <c r="ET42" s="45" t="str">
        <f t="shared" si="238"/>
        <v/>
      </c>
      <c r="EU42" s="45" t="str">
        <f t="shared" si="238"/>
        <v/>
      </c>
      <c r="EV42" s="45"/>
      <c r="EW42" s="45"/>
      <c r="EX42" s="44" t="str">
        <f t="shared" ref="EX42:FC42" si="239">EP42</f>
        <v/>
      </c>
      <c r="EY42" s="45" t="str">
        <f t="shared" si="239"/>
        <v/>
      </c>
      <c r="EZ42" s="45" t="str">
        <f t="shared" si="239"/>
        <v/>
      </c>
      <c r="FA42" s="45" t="str">
        <f t="shared" si="239"/>
        <v/>
      </c>
      <c r="FB42" s="45" t="str">
        <f t="shared" si="239"/>
        <v/>
      </c>
      <c r="FC42" s="45" t="str">
        <f t="shared" si="239"/>
        <v/>
      </c>
      <c r="FD42" s="45"/>
      <c r="FE42" s="45"/>
      <c r="FF42" s="44" t="str">
        <f t="shared" ref="FF42:FK42" si="240">EX42</f>
        <v/>
      </c>
      <c r="FG42" s="45" t="str">
        <f t="shared" si="240"/>
        <v/>
      </c>
      <c r="FH42" s="45" t="str">
        <f t="shared" si="240"/>
        <v/>
      </c>
      <c r="FI42" s="45" t="str">
        <f t="shared" si="240"/>
        <v/>
      </c>
      <c r="FJ42" s="45" t="str">
        <f t="shared" si="240"/>
        <v/>
      </c>
      <c r="FK42" s="45" t="str">
        <f t="shared" si="240"/>
        <v/>
      </c>
      <c r="FL42" s="45"/>
      <c r="FM42" s="45"/>
    </row>
  </sheetData>
  <mergeCells count="24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6:FE16"/>
    <mergeCell ref="EX29:FE29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4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490</v>
      </c>
      <c r="C4" s="36" t="s">
        <v>77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36" t="s">
        <v>77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36" t="s">
        <v>77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36" t="s">
        <v>77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36" t="s">
        <v>77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36" t="s">
        <v>77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36" t="s">
        <v>77</v>
      </c>
      <c r="AZ4" s="38"/>
      <c r="BA4" s="39"/>
      <c r="BB4" s="39"/>
      <c r="BC4" s="39"/>
      <c r="BD4" s="39"/>
      <c r="BE4" s="39"/>
      <c r="BF4" s="37">
        <f>if(BH4="",AX4,BH4/'Quick Setup'!$E5)</f>
        <v>490</v>
      </c>
      <c r="BG4" s="36" t="s">
        <v>77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36" t="s">
        <v>77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36" t="s">
        <v>77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36" t="s">
        <v>77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36" t="s">
        <v>77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36" t="s">
        <v>77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36" t="s">
        <v>77</v>
      </c>
      <c r="DD4" s="38"/>
      <c r="DE4" s="39"/>
      <c r="DF4" s="39"/>
      <c r="DG4" s="39"/>
      <c r="DH4" s="39"/>
      <c r="DI4" s="39"/>
      <c r="DJ4" s="37">
        <f>if(DL4="",DB4,DL4/'Quick Setup'!$E5)</f>
        <v>490</v>
      </c>
      <c r="DK4" s="36" t="s">
        <v>77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36" t="s">
        <v>77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36" t="s">
        <v>77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36" t="s">
        <v>77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36" t="s">
        <v>77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36" t="s">
        <v>77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36" t="s">
        <v>77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Incline Press TM</v>
      </c>
      <c r="B6" s="37">
        <f>if(D6="",'Quick Setup'!D14,D6/'Quick Setup'!E14)</f>
        <v>280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12),if((F7-E7)=-1,B6*(1+Setup!G12),if(G7&lt;D7,B6*(1+Setup!G12),if(G7=D7,B6*(1+Setup!H12),if((G7-D7)=1,B6*(1+Setup!I12),if((G7-D7)=2,B6*(1+Setup!J12),if((G7-D7)=3,B6*(1+Setup!K12),if((G7-D7)=4,B6*(1+Setup!L12),if((G7-D7)&gt;4.1,B6*(1+Setup!M12),B6)))))))))),L6/'Quick Setup'!$E14)</f>
        <v>280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12),if((N7-M7)=-1,J6*(1+Setup!S12),if(O7&lt;L7,J6*(1+Setup!S12),if(O7=L7,J6*(1+Setup!T12),if((O7-L7)=1,J6*(1+Setup!U12),if((O7-L7)=2,J6*(1+Setup!V12),if((O7-L7)=3,J6*(1+Setup!W12),if((O7-L7)=4,J6*(1+Setup!X12),if((O7-L7)&gt;4.1,J6*(1+Setup!Y12),J6)))))))))),T6/'Quick Setup'!$E14)</f>
        <v>280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12),if((V7-U7)=-1,R6*(1+Setup!AE12),if(W7&lt;T7,R6*(1+Setup!AE12),if(W7=T7,R6*(1+Setup!AF12),if((W7-T7)=1,R6*(1+Setup!AG12),if((W7-T7)=2,R6*(1+Setup!AH12),if((W7-T7)=3,R6*(1+Setup!AI12),if((W7-T7)=4,R6*(1+Setup!AJ12),if((W7-T7)&gt;4.1,R6*(1+Setup!AK12),R6)))))))))),AB6/'Quick Setup'!$E14)</f>
        <v>280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12),if((AD7-AC7)=-1,Z6*(1+Setup!AQ12),if(AE7&lt;AB7,Z6*(1+Setup!AQ12),if(AE7=AB7,Z6*(1+Setup!AR12),if((AE7-AB7)=1,Z6*(1+Setup!AS12),if((AE7-AB7)=2,Z6*(1+Setup!AT12),if((AE7-AB7)=3,Z6*(1+Setup!AU12),if((AE7-AB7)=4,Z6*(1+Setup!AV12),if((AE7-AB7)&gt;4.1,Z6*(1+Setup!AW12),Z6)))))))))),AJ6/'Quick Setup'!$E14)</f>
        <v>280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12),if((AL7-AK7)=-1,AH6*(1+Setup!BC12),if(AM7&lt;AJ7,AH6*(1+Setup!BC12),if(AM7=AJ7,AH6*(1+Setup!BD12),if((AM7-AJ7)=1,AH6*(1+Setup!BE12),if((AM7-AJ7)=2,AH6*(1+Setup!BF12),if((AM7-AJ7)=3,AH6*(1+Setup!BG12),if((AM7-AJ7)=4,AH6*(1+Setup!BH12),if((AM7-AJ7)&gt;4.1,AH6*(1+Setup!BI12),AH6)))))))))),AR6/'Quick Setup'!$E14)</f>
        <v>280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12),if((AT7-AS7)=-1,AP6*(1+Setup!BO12),if(AU7&lt;AR7,AP6*(1+Setup!BO12),if(AU7=AR7,AP6*(1+Setup!BP12),if((AU7-AR7)=1,AP6*(1+Setup!BQ12),if((AU7-AR7)=2,AP6*(1+Setup!BR12),if((AU7-AR7)=3,AP6*(1+Setup!BS12),if((AU7-AR7)=4,AP6*(1+Setup!BT12),if((AU7-AR7)&gt;4.1,AP6*(1+Setup!BU12),AP6)))))))))),AZ6/'Quick Setup'!$E14)</f>
        <v>280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Setup'!$E14)</f>
        <v>280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12),if((BJ7-BI7)=-1,BF6*(1+Setup!CM12),if(BK7&lt;BH7,BF6*(1+Setup!CM12),if(BK7=BH7,BF6*(1+Setup!CN12),if((BK7-BH7)=1,BF6*(1+Setup!CO12),if((BK7-BH7)=2,BF6*(1+Setup!CP12),if((BK7-BH7)=3,BF6*(1+Setup!CQ12),if((BK7-BH7)=4,BF6*(1+Setup!CR12),if((BK7-BH7)&gt;4.1,BF6*(1+Setup!CS12),BF6)))))))))),BP6/'Quick Setup'!$E14)</f>
        <v>280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12),if((BR7-BQ7)=-1,BN6*(1+Setup!CY12),if(BS7&lt;BP7,BN6*(1+Setup!CY12),if(BS7=BP7,BN6*(1+Setup!CZ12),if((BS7-BP7)=1,BN6*(1+Setup!DA12),if((BS7-BP7)=2,BN6*(1+Setup!DB12),if((BS7-BP7)=3,BN6*(1+Setup!DC12),if((BS7-BP7)=4,BN6*(1+Setup!DD12),if((BS7-BP7)&gt;4.1,BN6*(1+Setup!DE12),BN6)))))))))),BX6/'Quick Setup'!$E14)</f>
        <v>280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12),if((BZ7-BY7)=-1,BV6*(1+Setup!DK12),if(CA7&lt;BX7,BV6*(1+Setup!DK12),if(CA7=BX7,BV6*(1+Setup!DL12),if((CA7-BX7)=1,BV6*(1+Setup!DM12),if((CA7-BX7)=2,BV6*(1+Setup!DN12),if((CA7-BX7)=3,BV6*(1+Setup!DO12),if((CA7-BX7)=4,BV6*(1+Setup!DP12),if((CA7-BX7)&gt;4.1,BV6*(1+Setup!DQ12),BV6)))))))))),CF6/'Quick Setup'!$E14)</f>
        <v>280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12),if((CH7-CG7)=-1,CD6*(1+Setup!DW12),if(CI7&lt;CF7,CD6*(1+Setup!DW12),if(CI7=CF7,CD6*(1+Setup!DX12),if((CI7-CF7)=1,CD6*(1+Setup!DY12),if((CI7-CF7)=2,CD6*(1+Setup!DZ12),if((CI7-CF7)=3,CD6*(1+Setup!EA12),if((CI7-CF7)=4,CD6*(1+Setup!EB12),if((CI7-CF7)&gt;4.1,CD6*(1+Setup!EC12),CD6)))))))))),CN6/'Quick Setup'!$E14)</f>
        <v>280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12),if((CP7-CO7)=-1,CL6*(1+Setup!EI12),if(CQ7&lt;CN7,CL6*(1+Setup!EI12),if(CQ7=CN7,CL6*(1+Setup!EJ12),if((CQ7-CN7)=1,CL6*(1+Setup!EK12),if((CQ7-CN7)=2,CL6*(1+Setup!EL12),if((CQ7-CN7)=3,CL6*(1+Setup!EM12),if((CQ7-CN7)=4,CL6*(1+Setup!EN12),if((CQ7-CN7)&gt;4.1,CL6*(1+Setup!EO12),CL6)))))))))),CV6/'Quick Setup'!$E14)</f>
        <v>280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12),if((CX7-CW7)=-1,CT6*(1+Setup!EU12),if(CY7&lt;CV7,CT6*(1+Setup!EU12),if(CY7=CV7,CT6*(1+Setup!EV12),if((CY7-CV7)=1,CT6*(1+Setup!EW12),if((CY7-CV7)=2,CT6*(1+Setup!EX12),if((CY7-CV7)=3,CT6*(1+Setup!EY12),if((CY7-CV7)=4,CT6*(1+Setup!EZ12),if((CY7-CV7)&gt;4.1,CT6*(1+Setup!FA12),CT6)))))))))),DD6/'Quick Setup'!$E14)</f>
        <v>280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Setup'!$E14)</f>
        <v>280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12),if((DN7-DM7)=-1,DJ6*(1+Setup!FS12),if(DO7&lt;DL7,DJ6*(1+Setup!FS12),if(DO7=DL7,DJ6*(1+Setup!FT12),if((DO7-DL7)=1,DJ6*(1+Setup!FU12),if((DO7-DL7)=2,DJ6*(1+Setup!FV12),if((DO7-DL7)=3,DJ6*(1+Setup!FW12),if((DO7-DL7)=4,DJ6*(1+Setup!FX12),if((DO7-DL7)&gt;4.1,DJ6*(1+Setup!FY12),DJ6)))))))))),DT6/'Quick Setup'!$E14)</f>
        <v>280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12),if((DV7-DU7)=-1,DR6*(1+Setup!GE12),if(DW7&lt;DT7,DR6*(1+Setup!GE12),if(DW7=DT7,DR6*(1+Setup!GF12),if((DW7-DT7)=1,DR6*(1+Setup!GG12),if((DW7-DT7)=2,DR6*(1+Setup!GH12),if((DW7-DT7)=3,DR6*(1+Setup!GI12),if((DW7-DT7)=4,DR6*(1+Setup!GJ12),if((DW7-DT7)&gt;4.1,DR6*(1+Setup!GK12),DR6)))))))))),EB6/'Quick Setup'!$E14)</f>
        <v>280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12),if((ED7-EC7)=-1,DZ6*(1+Setup!GQ12),if(EE7&lt;EB7,DZ6*(1+Setup!GQ12),if(EE7=EB7,DZ6*(1+Setup!GR12),if((EE7-EB7)=1,DZ6*(1+Setup!GS12),if((EE7-EB7)=2,DZ6*(1+Setup!GT12),if((EE7-EB7)=3,DZ6*(1+Setup!GU12),if((EE7-EB7)=4,DZ6*(1+Setup!GV12),if((EE7-EB7)&gt;4.1,DZ6*(1+Setup!GW12),DZ6)))))))))),EJ6/'Quick Setup'!$E14)</f>
        <v>280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12),if((EL7-EK7)=-1,EH6*(1+Setup!HC12),if(EM7&lt;EJ7,EH6*(1+Setup!HC12),if(EM7=EJ7,EH6*(1+Setup!HD12),if((EM7-EJ7)=1,EH6*(1+Setup!HE12),if((EM7-EJ7)=2,EH6*(1+Setup!HF12),if((EM7-EJ7)=3,EH6*(1+Setup!HG12),if((EM7-EJ7)=4,EH6*(1+Setup!HH12),if((EM7-EJ7)&gt;4.1,EH6*(1+Setup!HI12),EH6)))))))))),ER6/'Quick Setup'!$E14)</f>
        <v>280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12),if((ET7-ES7)=-1,EP6*(1+Setup!HO12),if(EU7&lt;ER7,EP6*(1+Setup!HO12),if(EU7=ER7,EP6*(1+Setup!HP12),if((EU7-ER7)=1,EP6*(1+Setup!HQ12),if((EU7-ER7)=2,EP6*(1+Setup!HR12),if((EU7-ER7)=3,EP6*(1+Setup!HS12),if((EU7-ER7)=4,EP6*(1+Setup!HT12),if((EU7-ER7)&gt;4.1,EP6*(1+Setup!HU12),EP6)))))))))),EZ6/'Quick Setup'!$E14)</f>
        <v>280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12),if((FB7-FA7)=-1,EX6*(1+Setup!IA12),if(FC7&lt;EZ7,EX6*(1+Setup!IA12),if(FC7=EZ7,EX6*(1+Setup!IB12),if((FC7-EZ7)=1,EX6*(1+Setup!IC12),if((FC7-EZ7)=2,EX6*(1+Setup!ID12),if((FC7-EZ7)=3,EX6*(1+Setup!IE12),if((FC7-EZ7)=4,EX6*(1+Setup!IF12),if((FC7-EZ7)&gt;4.1,EX6*(1+Setup!IG12),EX6)))))))))),FH6/'Quick Setup'!$E14)</f>
        <v>280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Setup!A12</f>
        <v>Incline Press</v>
      </c>
      <c r="B7" s="40">
        <f>mround(B6*Setup!B12,'Quick Setup'!$A$2)</f>
        <v>167.5</v>
      </c>
      <c r="C7" s="2">
        <f>Setup!C12</f>
        <v>7</v>
      </c>
      <c r="D7" s="2">
        <f>Setup!D12</f>
        <v>3</v>
      </c>
      <c r="E7" s="2">
        <f>Setup!E12</f>
        <v>5</v>
      </c>
      <c r="F7" s="8"/>
      <c r="G7" s="8"/>
      <c r="H7" s="8"/>
      <c r="I7" s="8"/>
      <c r="J7" s="40">
        <f>mround(J6*Setup!N12,'Quick Setup'!$A$2)</f>
        <v>182.5</v>
      </c>
      <c r="K7" s="2">
        <f>Setup!O12</f>
        <v>6</v>
      </c>
      <c r="L7" s="2">
        <f>Setup!P12</f>
        <v>3</v>
      </c>
      <c r="M7" s="2">
        <f>Setup!Q12</f>
        <v>5</v>
      </c>
      <c r="N7" s="8"/>
      <c r="O7" s="8"/>
      <c r="P7" s="8"/>
      <c r="Q7" s="8"/>
      <c r="R7" s="40">
        <f>mround(R6*Setup!Z12,'Quick Setup'!$A$2)</f>
        <v>195</v>
      </c>
      <c r="S7" s="2">
        <f>Setup!AA12</f>
        <v>5</v>
      </c>
      <c r="T7" s="2">
        <f>Setup!AB12</f>
        <v>3</v>
      </c>
      <c r="U7" s="2">
        <f>Setup!AC12</f>
        <v>5</v>
      </c>
      <c r="V7" s="8"/>
      <c r="W7" s="8"/>
      <c r="X7" s="8"/>
      <c r="Y7" s="8"/>
      <c r="Z7" s="40">
        <f>mround(Z6*Setup!AL12,'Quick Setup'!$A$2)</f>
        <v>175</v>
      </c>
      <c r="AA7" s="2">
        <f>Setup!AM12</f>
        <v>7</v>
      </c>
      <c r="AB7" s="2">
        <f>Setup!AN12</f>
        <v>3</v>
      </c>
      <c r="AC7" s="2">
        <f>Setup!AO12</f>
        <v>5</v>
      </c>
      <c r="AD7" s="8"/>
      <c r="AE7" s="8"/>
      <c r="AF7" s="8"/>
      <c r="AG7" s="8"/>
      <c r="AH7" s="40">
        <f>mround(AH6*Setup!AX12,'Quick Setup'!$A$2)</f>
        <v>190</v>
      </c>
      <c r="AI7" s="2">
        <f>Setup!AY12</f>
        <v>6</v>
      </c>
      <c r="AJ7" s="2">
        <f>Setup!AZ12</f>
        <v>3</v>
      </c>
      <c r="AK7" s="2">
        <f>Setup!BA12</f>
        <v>5</v>
      </c>
      <c r="AL7" s="8"/>
      <c r="AM7" s="8"/>
      <c r="AN7" s="8"/>
      <c r="AO7" s="8"/>
      <c r="AP7" s="40">
        <f>mround(AP6*Setup!BJ12,'Quick Setup'!$A$2)</f>
        <v>202.5</v>
      </c>
      <c r="AQ7" s="2">
        <f>Setup!BK12</f>
        <v>5</v>
      </c>
      <c r="AR7" s="2">
        <f>Setup!BL12</f>
        <v>3</v>
      </c>
      <c r="AS7" s="2">
        <f>Setup!BM12</f>
        <v>5</v>
      </c>
      <c r="AT7" s="8"/>
      <c r="AU7" s="8"/>
      <c r="AV7" s="8"/>
      <c r="AW7" s="8"/>
      <c r="AX7" s="40">
        <f>mround(AX6*Setup!BV12,'Quick Setup'!$A$2)</f>
        <v>140</v>
      </c>
      <c r="AY7" s="1">
        <v>5.0</v>
      </c>
      <c r="AZ7" s="1" t="s">
        <v>80</v>
      </c>
      <c r="BA7" s="2">
        <f>Setup!BY12</f>
        <v>5</v>
      </c>
      <c r="BB7" s="8"/>
      <c r="BC7" s="8"/>
      <c r="BD7" s="8"/>
      <c r="BE7" s="8"/>
      <c r="BF7" s="40">
        <f>mround(BF6*Setup!CH12,'Quick Setup'!$A$2)</f>
        <v>182.5</v>
      </c>
      <c r="BG7" s="2">
        <f>Setup!CI12</f>
        <v>6</v>
      </c>
      <c r="BH7" s="2">
        <f>Setup!CJ12</f>
        <v>3</v>
      </c>
      <c r="BI7" s="2">
        <f>Setup!CK12</f>
        <v>5</v>
      </c>
      <c r="BJ7" s="8"/>
      <c r="BK7" s="8"/>
      <c r="BL7" s="8"/>
      <c r="BM7" s="8"/>
      <c r="BN7" s="40">
        <f>mround(BN6*Setup!CT12,'Quick Setup'!$A$2)</f>
        <v>195</v>
      </c>
      <c r="BO7" s="2">
        <f>Setup!CU12</f>
        <v>5</v>
      </c>
      <c r="BP7" s="2">
        <f>Setup!CV12</f>
        <v>3</v>
      </c>
      <c r="BQ7" s="2">
        <f>Setup!CW12</f>
        <v>5</v>
      </c>
      <c r="BR7" s="8"/>
      <c r="BS7" s="8"/>
      <c r="BT7" s="8"/>
      <c r="BU7" s="8"/>
      <c r="BV7" s="40">
        <f>mround(BV6*Setup!DF12,'Quick Setup'!$A$2)</f>
        <v>210</v>
      </c>
      <c r="BW7" s="2">
        <f>Setup!DG12</f>
        <v>4</v>
      </c>
      <c r="BX7" s="2">
        <f>Setup!DH12</f>
        <v>2</v>
      </c>
      <c r="BY7" s="2">
        <f>Setup!DI12</f>
        <v>5</v>
      </c>
      <c r="BZ7" s="8"/>
      <c r="CA7" s="8"/>
      <c r="CB7" s="8"/>
      <c r="CC7" s="8"/>
      <c r="CD7" s="40">
        <f>mround(CD6*Setup!DR12,'Quick Setup'!$A$2)</f>
        <v>190</v>
      </c>
      <c r="CE7" s="2">
        <f>Setup!DS12</f>
        <v>6</v>
      </c>
      <c r="CF7" s="2">
        <f>Setup!DT12</f>
        <v>3</v>
      </c>
      <c r="CG7" s="2">
        <f>Setup!DU12</f>
        <v>5</v>
      </c>
      <c r="CH7" s="8"/>
      <c r="CI7" s="8"/>
      <c r="CJ7" s="8"/>
      <c r="CK7" s="8"/>
      <c r="CL7" s="40">
        <f>mround(CL6*Setup!ED12,'Quick Setup'!$A$2)</f>
        <v>202.5</v>
      </c>
      <c r="CM7" s="2">
        <f>Setup!EE12</f>
        <v>5</v>
      </c>
      <c r="CN7" s="2">
        <f>Setup!EF12</f>
        <v>3</v>
      </c>
      <c r="CO7" s="2">
        <f>Setup!EG12</f>
        <v>5</v>
      </c>
      <c r="CP7" s="8"/>
      <c r="CQ7" s="8"/>
      <c r="CR7" s="8"/>
      <c r="CS7" s="8"/>
      <c r="CT7" s="40">
        <f>mround(CT6*Setup!EP12,'Quick Setup'!$A$2)</f>
        <v>217.5</v>
      </c>
      <c r="CU7" s="2">
        <f>Setup!EQ12</f>
        <v>4</v>
      </c>
      <c r="CV7" s="2">
        <f>Setup!ER12</f>
        <v>2</v>
      </c>
      <c r="CW7" s="2">
        <f>Setup!ES12</f>
        <v>5</v>
      </c>
      <c r="CX7" s="8"/>
      <c r="CY7" s="8"/>
      <c r="CZ7" s="8"/>
      <c r="DA7" s="8"/>
      <c r="DB7" s="40">
        <f>mround(DB6*Setup!FB12,'Quick Setup'!$A$2)</f>
        <v>140</v>
      </c>
      <c r="DC7" s="1">
        <v>5.0</v>
      </c>
      <c r="DD7" s="1" t="s">
        <v>80</v>
      </c>
      <c r="DE7" s="2">
        <f>Setup!FE12</f>
        <v>5</v>
      </c>
      <c r="DF7" s="8"/>
      <c r="DG7" s="8"/>
      <c r="DH7" s="8"/>
      <c r="DI7" s="8"/>
      <c r="DJ7" s="40">
        <f>mround(DJ6*Setup!FN12,'Quick Setup'!$A$2)</f>
        <v>195</v>
      </c>
      <c r="DK7" s="2">
        <f>Setup!FO12</f>
        <v>5</v>
      </c>
      <c r="DL7" s="2">
        <f>Setup!FP12</f>
        <v>3</v>
      </c>
      <c r="DM7" s="2">
        <f>Setup!FQ12</f>
        <v>5</v>
      </c>
      <c r="DN7" s="8"/>
      <c r="DO7" s="8"/>
      <c r="DP7" s="8"/>
      <c r="DQ7" s="8"/>
      <c r="DR7" s="40">
        <f>mround(DR6*Setup!FZ12,'Quick Setup'!$A$2)</f>
        <v>210</v>
      </c>
      <c r="DS7" s="2">
        <f>Setup!GA12</f>
        <v>4</v>
      </c>
      <c r="DT7" s="2">
        <f>Setup!GB12</f>
        <v>2</v>
      </c>
      <c r="DU7" s="2">
        <f>Setup!GC12</f>
        <v>5</v>
      </c>
      <c r="DV7" s="8"/>
      <c r="DW7" s="8"/>
      <c r="DX7" s="8"/>
      <c r="DY7" s="8"/>
      <c r="DZ7" s="40">
        <f>mround(DZ6*Setup!GL12,'Quick Setup'!$A$2)</f>
        <v>225</v>
      </c>
      <c r="EA7" s="2">
        <f>Setup!GM12</f>
        <v>3</v>
      </c>
      <c r="EB7" s="2">
        <f>Setup!GN12</f>
        <v>2</v>
      </c>
      <c r="EC7" s="2">
        <f>Setup!GO12</f>
        <v>5</v>
      </c>
      <c r="ED7" s="8"/>
      <c r="EE7" s="8"/>
      <c r="EF7" s="8"/>
      <c r="EG7" s="8"/>
      <c r="EH7" s="40">
        <f>mround(EH6*Setup!GX12,'Quick Setup'!$A$2)</f>
        <v>210</v>
      </c>
      <c r="EI7" s="2">
        <f>Setup!GY12</f>
        <v>4</v>
      </c>
      <c r="EJ7" s="2">
        <f>Setup!GZ12</f>
        <v>2</v>
      </c>
      <c r="EK7" s="2">
        <f>Setup!HA12</f>
        <v>5</v>
      </c>
      <c r="EL7" s="8"/>
      <c r="EM7" s="8"/>
      <c r="EN7" s="8"/>
      <c r="EO7" s="8"/>
      <c r="EP7" s="40">
        <f>mround(EP6*Setup!HJ12,'Quick Setup'!$A$2)</f>
        <v>225</v>
      </c>
      <c r="EQ7" s="2">
        <f>Setup!HK12</f>
        <v>3</v>
      </c>
      <c r="ER7" s="2">
        <f>Setup!HL12</f>
        <v>2</v>
      </c>
      <c r="ES7" s="2">
        <f>Setup!HM12</f>
        <v>5</v>
      </c>
      <c r="ET7" s="8"/>
      <c r="EU7" s="8"/>
      <c r="EV7" s="8"/>
      <c r="EW7" s="8"/>
      <c r="EX7" s="40">
        <f>mround(EX6*Setup!HV12,'Quick Setup'!$A$2)</f>
        <v>237.5</v>
      </c>
      <c r="EY7" s="2">
        <f>Setup!HW12</f>
        <v>2</v>
      </c>
      <c r="EZ7" s="2">
        <f>Setup!HX12</f>
        <v>1</v>
      </c>
      <c r="FA7" s="2">
        <f>Setup!HY12</f>
        <v>5</v>
      </c>
      <c r="FB7" s="8"/>
      <c r="FC7" s="8"/>
      <c r="FD7" s="8"/>
      <c r="FE7" s="8"/>
      <c r="FF7" s="40">
        <f>mround(FF6*Setup!IH12,'Quick Setup'!$A$2)</f>
        <v>140</v>
      </c>
      <c r="FG7" s="1">
        <v>5.0</v>
      </c>
      <c r="FH7" s="1" t="s">
        <v>80</v>
      </c>
      <c r="FI7" s="2">
        <f>Setup!IK12</f>
        <v>5</v>
      </c>
      <c r="FJ7" s="8"/>
      <c r="FK7" s="8"/>
      <c r="FL7" s="8"/>
      <c r="FM7" s="8"/>
    </row>
    <row r="8" hidden="1">
      <c r="A8" s="36" t="str">
        <f>CONCATENATE(A9," TM")</f>
        <v>Sumo Deadlift TM</v>
      </c>
      <c r="B8" s="37">
        <f>if(D8="",'Quick Setup'!D15,D8/'Quick Setup'!E15)</f>
        <v>500</v>
      </c>
      <c r="C8" s="36" t="s">
        <v>77</v>
      </c>
      <c r="D8" s="38"/>
      <c r="E8" s="39"/>
      <c r="F8" s="39"/>
      <c r="G8" s="39"/>
      <c r="H8" s="39"/>
      <c r="I8" s="39"/>
      <c r="J8" s="37">
        <f>if(L8="", if(F9="",B8, if((F9-E9)&lt;-1.9,B8*(1+Setup!F13),if((F9-E9)=-1,B8*(1+Setup!G13),if(G9&lt;D9,B8*(1+Setup!G13),if(G9=D9,B8*(1+Setup!H13),if((G9-D9)=1,B8*(1+Setup!I13),if((G9-D9)=2,B8*(1+Setup!J13),if((G9-D9)=3,B8*(1+Setup!K13),if((G9-D9)=4,B8*(1+Setup!L13),if((G9-D9)&gt;4.1,B8*(1+Setup!M13),B8)))))))))),L8/'Quick Setup'!$E15)</f>
        <v>500</v>
      </c>
      <c r="K8" s="36" t="s">
        <v>77</v>
      </c>
      <c r="L8" s="38"/>
      <c r="M8" s="39"/>
      <c r="N8" s="39"/>
      <c r="O8" s="39"/>
      <c r="P8" s="39"/>
      <c r="Q8" s="39"/>
      <c r="R8" s="37">
        <f>if(T8="", if(N9="",J8, if((N9-M9)&lt;-1.9,J8*(1+Setup!R13),if((N9-M9)=-1,J8*(1+Setup!S13),if(O9&lt;L9,J8*(1+Setup!S13),if(O9=L9,J8*(1+Setup!T13),if((O9-L9)=1,J8*(1+Setup!U13),if((O9-L9)=2,J8*(1+Setup!V13),if((O9-L9)=3,J8*(1+Setup!W13),if((O9-L9)=4,J8*(1+Setup!X13),if((O9-L9)&gt;4.1,J8*(1+Setup!Y13),J8)))))))))),T8/'Quick Setup'!$E15)</f>
        <v>500</v>
      </c>
      <c r="S8" s="36" t="s">
        <v>77</v>
      </c>
      <c r="T8" s="38"/>
      <c r="U8" s="39"/>
      <c r="V8" s="39"/>
      <c r="W8" s="39"/>
      <c r="X8" s="39"/>
      <c r="Y8" s="39"/>
      <c r="Z8" s="37">
        <f>if(AB8="", if(V9="",R8, if((V9-U9)&lt;-1.9,R8*(1+Setup!AD13),if((V9-U9)=-1,R8*(1+Setup!AE13),if(W9&lt;T9,R8*(1+Setup!AE13),if(W9=T9,R8*(1+Setup!AF13),if((W9-T9)=1,R8*(1+Setup!AG13),if((W9-T9)=2,R8*(1+Setup!AH13),if((W9-T9)=3,R8*(1+Setup!AI13),if((W9-T9)=4,R8*(1+Setup!AJ13),if((W9-T9)&gt;4.1,R8*(1+Setup!AK13),R8)))))))))),AB8/'Quick Setup'!$E15)</f>
        <v>500</v>
      </c>
      <c r="AA8" s="36" t="s">
        <v>77</v>
      </c>
      <c r="AB8" s="38"/>
      <c r="AC8" s="39"/>
      <c r="AD8" s="39"/>
      <c r="AE8" s="39"/>
      <c r="AF8" s="39"/>
      <c r="AG8" s="39"/>
      <c r="AH8" s="37">
        <f>if(AJ8="", if(AD9="",Z8, if((AD9-AC9)&lt;-1.9,Z8*(1+Setup!AP13),if((AD9-AC9)=-1,Z8*(1+Setup!AQ13),if(AE9&lt;AB9,Z8*(1+Setup!AQ13),if(AE9=AB9,Z8*(1+Setup!AR13),if((AE9-AB9)=1,Z8*(1+Setup!AS13),if((AE9-AB9)=2,Z8*(1+Setup!AT13),if((AE9-AB9)=3,Z8*(1+Setup!AU13),if((AE9-AB9)=4,Z8*(1+Setup!AV13),if((AE9-AB9)&gt;4.1,Z8*(1+Setup!AW13),Z8)))))))))),AJ8/'Quick Setup'!$E15)</f>
        <v>500</v>
      </c>
      <c r="AI8" s="36" t="s">
        <v>77</v>
      </c>
      <c r="AJ8" s="38"/>
      <c r="AK8" s="39"/>
      <c r="AL8" s="39"/>
      <c r="AM8" s="39"/>
      <c r="AN8" s="39"/>
      <c r="AO8" s="39"/>
      <c r="AP8" s="37">
        <f>if(AR8="", if(AL9="",AH8, if((AL9-AK9)&lt;-1.9,AH8*(1+Setup!BB13),if((AL9-AK9)=-1,AH8*(1+Setup!BC13),if(AM9&lt;AJ9,AH8*(1+Setup!BC13),if(AM9=AJ9,AH8*(1+Setup!BD13),if((AM9-AJ9)=1,AH8*(1+Setup!BE13),if((AM9-AJ9)=2,AH8*(1+Setup!BF13),if((AM9-AJ9)=3,AH8*(1+Setup!BG13),if((AM9-AJ9)=4,AH8*(1+Setup!BH13),if((AM9-AJ9)&gt;4.1,AH8*(1+Setup!BI13),AH8)))))))))),AR8/'Quick Setup'!$E15)</f>
        <v>500</v>
      </c>
      <c r="AQ8" s="36" t="s">
        <v>77</v>
      </c>
      <c r="AR8" s="38"/>
      <c r="AS8" s="39"/>
      <c r="AT8" s="39"/>
      <c r="AU8" s="39"/>
      <c r="AV8" s="39"/>
      <c r="AW8" s="39"/>
      <c r="AX8" s="37">
        <f>if(AZ8="", if(AT9="",AP8, if((AT9-AS9)&lt;-1.9,AP8*(1+Setup!BN13),if((AT9-AS9)=-1,AP8*(1+Setup!BO13),if(AU9&lt;AR9,AP8*(1+Setup!BO13),if(AU9=AR9,AP8*(1+Setup!BP13),if((AU9-AR9)=1,AP8*(1+Setup!BQ13),if((AU9-AR9)=2,AP8*(1+Setup!BR13),if((AU9-AR9)=3,AP8*(1+Setup!BS13),if((AU9-AR9)=4,AP8*(1+Setup!BT13),if((AU9-AR9)&gt;4.1,AP8*(1+Setup!BU13),AP8)))))))))),AZ8/'Quick Setup'!$E15)</f>
        <v>500</v>
      </c>
      <c r="AY8" s="36" t="s">
        <v>77</v>
      </c>
      <c r="AZ8" s="38"/>
      <c r="BA8" s="39"/>
      <c r="BB8" s="39"/>
      <c r="BC8" s="39"/>
      <c r="BD8" s="39"/>
      <c r="BE8" s="39"/>
      <c r="BF8" s="37">
        <f>if(BH8="",AX8,BH8/'Quick Setup'!$E15)</f>
        <v>500</v>
      </c>
      <c r="BG8" s="36" t="s">
        <v>77</v>
      </c>
      <c r="BH8" s="38"/>
      <c r="BI8" s="39"/>
      <c r="BJ8" s="39"/>
      <c r="BK8" s="39"/>
      <c r="BL8" s="39"/>
      <c r="BM8" s="39"/>
      <c r="BN8" s="37">
        <f>if(BP8="", if(BJ9="",BF8, if((BJ9-BI9)&lt;-1.9,BF8*(1+Setup!CL13),if((BJ9-BI9)=-1,BF8*(1+Setup!CM13),if(BK9&lt;BH9,BF8*(1+Setup!CM13),if(BK9=BH9,BF8*(1+Setup!CN13),if((BK9-BH9)=1,BF8*(1+Setup!CO13),if((BK9-BH9)=2,BF8*(1+Setup!CP13),if((BK9-BH9)=3,BF8*(1+Setup!CQ13),if((BK9-BH9)=4,BF8*(1+Setup!CR13),if((BK9-BH9)&gt;4.1,BF8*(1+Setup!CS13),BF8)))))))))),BP8/'Quick Setup'!$E15)</f>
        <v>500</v>
      </c>
      <c r="BO8" s="36" t="s">
        <v>77</v>
      </c>
      <c r="BP8" s="38"/>
      <c r="BQ8" s="39"/>
      <c r="BR8" s="39"/>
      <c r="BS8" s="39"/>
      <c r="BT8" s="39"/>
      <c r="BU8" s="39"/>
      <c r="BV8" s="37">
        <f>if(BX8="", if(BR9="",BN8, if((BR9-BQ9)&lt;-1.9,BN8*(1+Setup!CX13),if((BR9-BQ9)=-1,BN8*(1+Setup!CY13),if(BS9&lt;BP9,BN8*(1+Setup!CY13),if(BS9=BP9,BN8*(1+Setup!CZ13),if((BS9-BP9)=1,BN8*(1+Setup!DA13),if((BS9-BP9)=2,BN8*(1+Setup!DB13),if((BS9-BP9)=3,BN8*(1+Setup!DC13),if((BS9-BP9)=4,BN8*(1+Setup!DD13),if((BS9-BP9)&gt;4.1,BN8*(1+Setup!DE13),BN8)))))))))),BX8/'Quick Setup'!$E15)</f>
        <v>500</v>
      </c>
      <c r="BW8" s="36" t="s">
        <v>77</v>
      </c>
      <c r="BX8" s="38"/>
      <c r="BY8" s="39"/>
      <c r="BZ8" s="39"/>
      <c r="CA8" s="39"/>
      <c r="CB8" s="39"/>
      <c r="CC8" s="39"/>
      <c r="CD8" s="37">
        <f>if(CF8="", if(BZ9="",BV8, if((BZ9-BY9)&lt;-1.9,BV8*(1+Setup!DJ13),if((BZ9-BY9)=-1,BV8*(1+Setup!DK13),if(CA9&lt;BX9,BV8*(1+Setup!DK13),if(CA9=BX9,BV8*(1+Setup!DL13),if((CA9-BX9)=1,BV8*(1+Setup!DM13),if((CA9-BX9)=2,BV8*(1+Setup!DN13),if((CA9-BX9)=3,BV8*(1+Setup!DO13),if((CA9-BX9)=4,BV8*(1+Setup!DP13),if((CA9-BX9)&gt;4.1,BV8*(1+Setup!DQ13),BV8)))))))))),CF8/'Quick Setup'!$E15)</f>
        <v>500</v>
      </c>
      <c r="CE8" s="36" t="s">
        <v>77</v>
      </c>
      <c r="CF8" s="38"/>
      <c r="CG8" s="39"/>
      <c r="CH8" s="39"/>
      <c r="CI8" s="39"/>
      <c r="CJ8" s="39"/>
      <c r="CK8" s="39"/>
      <c r="CL8" s="37">
        <f>if(CN8="", if(CH9="",CD8, if((CH9-CG9)&lt;-1.9,CD8*(1+Setup!DV13),if((CH9-CG9)=-1,CD8*(1+Setup!DW13),if(CI9&lt;CF9,CD8*(1+Setup!DW13),if(CI9=CF9,CD8*(1+Setup!DX13),if((CI9-CF9)=1,CD8*(1+Setup!DY13),if((CI9-CF9)=2,CD8*(1+Setup!DZ13),if((CI9-CF9)=3,CD8*(1+Setup!EA13),if((CI9-CF9)=4,CD8*(1+Setup!EB13),if((CI9-CF9)&gt;4.1,CD8*(1+Setup!EC13),CD8)))))))))),CN8/'Quick Setup'!$E15)</f>
        <v>500</v>
      </c>
      <c r="CM8" s="36" t="s">
        <v>77</v>
      </c>
      <c r="CN8" s="38"/>
      <c r="CO8" s="39"/>
      <c r="CP8" s="39"/>
      <c r="CQ8" s="39"/>
      <c r="CR8" s="39"/>
      <c r="CS8" s="39"/>
      <c r="CT8" s="37">
        <f>if(CV8="", if(CP9="",CL8, if((CP9-CO9)&lt;-1.9,CL8*(1+Setup!EH13),if((CP9-CO9)=-1,CL8*(1+Setup!EI13),if(CQ9&lt;CN9,CL8*(1+Setup!EI13),if(CQ9=CN9,CL8*(1+Setup!EJ13),if((CQ9-CN9)=1,CL8*(1+Setup!EK13),if((CQ9-CN9)=2,CL8*(1+Setup!EL13),if((CQ9-CN9)=3,CL8*(1+Setup!EM13),if((CQ9-CN9)=4,CL8*(1+Setup!EN13),if((CQ9-CN9)&gt;4.1,CL8*(1+Setup!EO13),CL8)))))))))),CV8/'Quick Setup'!$E15)</f>
        <v>500</v>
      </c>
      <c r="CU8" s="36" t="s">
        <v>77</v>
      </c>
      <c r="CV8" s="38"/>
      <c r="CW8" s="39"/>
      <c r="CX8" s="39"/>
      <c r="CY8" s="39"/>
      <c r="CZ8" s="39"/>
      <c r="DA8" s="39"/>
      <c r="DB8" s="37">
        <f>if(DD8="", if(CX9="",CT8, if((CX9-CW9)&lt;-1.9,CT8*(1+Setup!ET13),if((CX9-CW9)=-1,CT8*(1+Setup!EU13),if(CY9&lt;CV9,CT8*(1+Setup!EU13),if(CY9=CV9,CT8*(1+Setup!EV13),if((CY9-CV9)=1,CT8*(1+Setup!EW13),if((CY9-CV9)=2,CT8*(1+Setup!EX13),if((CY9-CV9)=3,CT8*(1+Setup!EY13),if((CY9-CV9)=4,CT8*(1+Setup!EZ13),if((CY9-CV9)&gt;4.1,CT8*(1+Setup!FA13),CT8)))))))))),DD8/'Quick Setup'!$E15)</f>
        <v>500</v>
      </c>
      <c r="DC8" s="36" t="s">
        <v>77</v>
      </c>
      <c r="DD8" s="38"/>
      <c r="DE8" s="39"/>
      <c r="DF8" s="39"/>
      <c r="DG8" s="39"/>
      <c r="DH8" s="39"/>
      <c r="DI8" s="39"/>
      <c r="DJ8" s="37">
        <f>if(DL8="",DB8,DL8/'Quick Setup'!$E15)</f>
        <v>500</v>
      </c>
      <c r="DK8" s="36" t="s">
        <v>77</v>
      </c>
      <c r="DL8" s="38"/>
      <c r="DM8" s="39"/>
      <c r="DN8" s="39"/>
      <c r="DO8" s="39"/>
      <c r="DP8" s="39"/>
      <c r="DQ8" s="39"/>
      <c r="DR8" s="37">
        <f>if(DT8="", if(DN9="",DJ8, if((DN9-DM9)&lt;-1.9,DJ8*(1+Setup!FR13),if((DN9-DM9)=-1,DJ8*(1+Setup!FS13),if(DO9&lt;DL9,DJ8*(1+Setup!FS13),if(DO9=DL9,DJ8*(1+Setup!FT13),if((DO9-DL9)=1,DJ8*(1+Setup!FU13),if((DO9-DL9)=2,DJ8*(1+Setup!FV13),if((DO9-DL9)=3,DJ8*(1+Setup!FW13),if((DO9-DL9)=4,DJ8*(1+Setup!FX13),if((DO9-DL9)&gt;4.1,DJ8*(1+Setup!FY13),DJ8)))))))))),DT8/'Quick Setup'!$E15)</f>
        <v>500</v>
      </c>
      <c r="DS8" s="36" t="s">
        <v>77</v>
      </c>
      <c r="DT8" s="38"/>
      <c r="DU8" s="39"/>
      <c r="DV8" s="39"/>
      <c r="DW8" s="39"/>
      <c r="DX8" s="39"/>
      <c r="DY8" s="39"/>
      <c r="DZ8" s="37">
        <f>if(EB8="", if(DV9="",DR8, if((DV9-DU9)&lt;-1.9,DR8*(1+Setup!GD13),if((DV9-DU9)=-1,DR8*(1+Setup!GE13),if(DW9&lt;DT9,DR8*(1+Setup!GE13),if(DW9=DT9,DR8*(1+Setup!GF13),if((DW9-DT9)=1,DR8*(1+Setup!GG13),if((DW9-DT9)=2,DR8*(1+Setup!GH13),if((DW9-DT9)=3,DR8*(1+Setup!GI13),if((DW9-DT9)=4,DR8*(1+Setup!GJ13),if((DW9-DT9)&gt;4.1,DR8*(1+Setup!GK13),DR8)))))))))),EB8/'Quick Setup'!$E15)</f>
        <v>500</v>
      </c>
      <c r="EA8" s="36" t="s">
        <v>77</v>
      </c>
      <c r="EB8" s="38"/>
      <c r="EC8" s="39"/>
      <c r="ED8" s="39"/>
      <c r="EE8" s="39"/>
      <c r="EF8" s="39"/>
      <c r="EG8" s="39"/>
      <c r="EH8" s="37">
        <f>if(EJ8="", if(ED9="",DZ8, if((ED9-EC9)&lt;-1.9,DZ8*(1+Setup!GP13),if((ED9-EC9)=-1,DZ8*(1+Setup!GQ13),if(EE9&lt;EB9,DZ8*(1+Setup!GQ13),if(EE9=EB9,DZ8*(1+Setup!GR13),if((EE9-EB9)=1,DZ8*(1+Setup!GS13),if((EE9-EB9)=2,DZ8*(1+Setup!GT13),if((EE9-EB9)=3,DZ8*(1+Setup!GU13),if((EE9-EB9)=4,DZ8*(1+Setup!GV13),if((EE9-EB9)&gt;4.1,DZ8*(1+Setup!GW13),DZ8)))))))))),EJ8/'Quick Setup'!$E15)</f>
        <v>500</v>
      </c>
      <c r="EI8" s="36" t="s">
        <v>77</v>
      </c>
      <c r="EJ8" s="38"/>
      <c r="EK8" s="39"/>
      <c r="EL8" s="39"/>
      <c r="EM8" s="39"/>
      <c r="EN8" s="39"/>
      <c r="EO8" s="39"/>
      <c r="EP8" s="37">
        <f>if(ER8="", if(EL9="",EH8, if((EL9-EK9)&lt;-1.9,EH8*(1+Setup!HB13),if((EL9-EK9)=-1,EH8*(1+Setup!HC13),if(EM9&lt;EJ9,EH8*(1+Setup!HC13),if(EM9=EJ9,EH8*(1+Setup!HD13),if((EM9-EJ9)=1,EH8*(1+Setup!HE13),if((EM9-EJ9)=2,EH8*(1+Setup!HF13),if((EM9-EJ9)=3,EH8*(1+Setup!HG13),if((EM9-EJ9)=4,EH8*(1+Setup!HH13),if((EM9-EJ9)&gt;4.1,EH8*(1+Setup!HI13),EH8)))))))))),ER8/'Quick Setup'!$E15)</f>
        <v>500</v>
      </c>
      <c r="EQ8" s="36" t="s">
        <v>77</v>
      </c>
      <c r="ER8" s="38"/>
      <c r="ES8" s="39"/>
      <c r="ET8" s="39"/>
      <c r="EU8" s="39"/>
      <c r="EV8" s="39"/>
      <c r="EW8" s="39"/>
      <c r="EX8" s="37">
        <f>if(EZ8="", if(ET9="",EP8, if((ET9-ES9)&lt;-1.9,EP8*(1+Setup!HN13),if((ET9-ES9)=-1,EP8*(1+Setup!HO13),if(EU9&lt;ER9,EP8*(1+Setup!HO13),if(EU9=ER9,EP8*(1+Setup!HP13),if((EU9-ER9)=1,EP8*(1+Setup!HQ13),if((EU9-ER9)=2,EP8*(1+Setup!HR13),if((EU9-ER9)=3,EP8*(1+Setup!HS13),if((EU9-ER9)=4,EP8*(1+Setup!HT13),if((EU9-ER9)&gt;4.1,EP8*(1+Setup!HU13),EP8)))))))))),EZ8/'Quick Setup'!$E15)</f>
        <v>500</v>
      </c>
      <c r="EY8" s="36" t="s">
        <v>77</v>
      </c>
      <c r="EZ8" s="38"/>
      <c r="FA8" s="39"/>
      <c r="FB8" s="39"/>
      <c r="FC8" s="39"/>
      <c r="FD8" s="39"/>
      <c r="FE8" s="39"/>
      <c r="FF8" s="37">
        <f>if(FH8="", if(FB9="",EX8, if((FB9-FA9)&lt;-1.9,EX8*(1+Setup!HZ13),if((FB9-FA9)=-1,EX8*(1+Setup!IA13),if(FC9&lt;EZ9,EX8*(1+Setup!IA13),if(FC9=EZ9,EX8*(1+Setup!IB13),if((FC9-EZ9)=1,EX8*(1+Setup!IC13),if((FC9-EZ9)=2,EX8*(1+Setup!ID13),if((FC9-EZ9)=3,EX8*(1+Setup!IE13),if((FC9-EZ9)=4,EX8*(1+Setup!IF13),if((FC9-EZ9)&gt;4.1,EX8*(1+Setup!IG13),EX8)))))))))),FH8/'Quick Setup'!$E15)</f>
        <v>500</v>
      </c>
      <c r="FG8" s="36" t="s">
        <v>77</v>
      </c>
      <c r="FH8" s="38"/>
      <c r="FI8" s="39"/>
      <c r="FJ8" s="39"/>
      <c r="FK8" s="39"/>
      <c r="FL8" s="39"/>
      <c r="FM8" s="39"/>
    </row>
    <row r="9">
      <c r="A9" s="1" t="str">
        <f>Setup!A13</f>
        <v>Sumo Deadlift</v>
      </c>
      <c r="B9" s="40">
        <f>mround(B8*Setup!B13,'Quick Setup'!$A$2)</f>
        <v>300</v>
      </c>
      <c r="C9" s="2">
        <f>Setup!C13</f>
        <v>7</v>
      </c>
      <c r="D9" s="2">
        <f>Setup!D13</f>
        <v>3</v>
      </c>
      <c r="E9" s="2">
        <f>Setup!E13</f>
        <v>5</v>
      </c>
      <c r="F9" s="8"/>
      <c r="G9" s="8"/>
      <c r="H9" s="8"/>
      <c r="I9" s="8"/>
      <c r="J9" s="40">
        <f>mround(J8*Setup!N13,'Quick Setup'!$A$2)</f>
        <v>325</v>
      </c>
      <c r="K9" s="2">
        <f>Setup!O13</f>
        <v>6</v>
      </c>
      <c r="L9" s="2">
        <f>Setup!P13</f>
        <v>3</v>
      </c>
      <c r="M9" s="2">
        <f>Setup!Q13</f>
        <v>5</v>
      </c>
      <c r="N9" s="8"/>
      <c r="O9" s="8"/>
      <c r="P9" s="8"/>
      <c r="Q9" s="8"/>
      <c r="R9" s="40">
        <f>mround(R8*Setup!Z13,'Quick Setup'!$A$2)</f>
        <v>350</v>
      </c>
      <c r="S9" s="2">
        <f>Setup!AA13</f>
        <v>5</v>
      </c>
      <c r="T9" s="2">
        <f>Setup!AB13</f>
        <v>3</v>
      </c>
      <c r="U9" s="2">
        <f>Setup!AC13</f>
        <v>5</v>
      </c>
      <c r="V9" s="8"/>
      <c r="W9" s="8"/>
      <c r="X9" s="8"/>
      <c r="Y9" s="8"/>
      <c r="Z9" s="40">
        <f>mround(Z8*Setup!AL13,'Quick Setup'!$A$2)</f>
        <v>312.5</v>
      </c>
      <c r="AA9" s="2">
        <f>Setup!AM13</f>
        <v>7</v>
      </c>
      <c r="AB9" s="2">
        <f>Setup!AN13</f>
        <v>3</v>
      </c>
      <c r="AC9" s="2">
        <f>Setup!AO13</f>
        <v>5</v>
      </c>
      <c r="AD9" s="8"/>
      <c r="AE9" s="8"/>
      <c r="AF9" s="8"/>
      <c r="AG9" s="8"/>
      <c r="AH9" s="40">
        <f>mround(AH8*Setup!AX13,'Quick Setup'!$A$2)</f>
        <v>337.5</v>
      </c>
      <c r="AI9" s="2">
        <f>Setup!AY13</f>
        <v>6</v>
      </c>
      <c r="AJ9" s="2">
        <f>Setup!AZ13</f>
        <v>3</v>
      </c>
      <c r="AK9" s="2">
        <f>Setup!BA13</f>
        <v>5</v>
      </c>
      <c r="AL9" s="8"/>
      <c r="AM9" s="8"/>
      <c r="AN9" s="8"/>
      <c r="AO9" s="8"/>
      <c r="AP9" s="40">
        <f>mround(AP8*Setup!BJ13,'Quick Setup'!$A$2)</f>
        <v>362.5</v>
      </c>
      <c r="AQ9" s="2">
        <f>Setup!BK13</f>
        <v>5</v>
      </c>
      <c r="AR9" s="2">
        <f>Setup!BL13</f>
        <v>3</v>
      </c>
      <c r="AS9" s="2">
        <f>Setup!BM13</f>
        <v>5</v>
      </c>
      <c r="AT9" s="8"/>
      <c r="AU9" s="8"/>
      <c r="AV9" s="8"/>
      <c r="AW9" s="8"/>
      <c r="AX9" s="40">
        <f>mround(AX8*Setup!BV13,'Quick Setup'!$A$2)</f>
        <v>250</v>
      </c>
      <c r="AY9" s="1">
        <v>5.0</v>
      </c>
      <c r="AZ9" s="1" t="s">
        <v>80</v>
      </c>
      <c r="BA9" s="2">
        <f>Setup!BY13</f>
        <v>5</v>
      </c>
      <c r="BB9" s="8"/>
      <c r="BC9" s="8"/>
      <c r="BD9" s="8"/>
      <c r="BE9" s="8"/>
      <c r="BF9" s="40">
        <f>mround(BF8*Setup!CH13,'Quick Setup'!$A$2)</f>
        <v>325</v>
      </c>
      <c r="BG9" s="2">
        <f>Setup!CI13</f>
        <v>6</v>
      </c>
      <c r="BH9" s="2">
        <f>Setup!CJ13</f>
        <v>3</v>
      </c>
      <c r="BI9" s="2">
        <f>Setup!CK13</f>
        <v>5</v>
      </c>
      <c r="BJ9" s="8"/>
      <c r="BK9" s="8"/>
      <c r="BL9" s="8"/>
      <c r="BM9" s="8"/>
      <c r="BN9" s="40">
        <f>mround(BN8*Setup!CT13,'Quick Setup'!$A$2)</f>
        <v>350</v>
      </c>
      <c r="BO9" s="2">
        <f>Setup!CU13</f>
        <v>5</v>
      </c>
      <c r="BP9" s="2">
        <f>Setup!CV13</f>
        <v>3</v>
      </c>
      <c r="BQ9" s="2">
        <f>Setup!CW13</f>
        <v>5</v>
      </c>
      <c r="BR9" s="8"/>
      <c r="BS9" s="8"/>
      <c r="BT9" s="8"/>
      <c r="BU9" s="8"/>
      <c r="BV9" s="40">
        <f>mround(BV8*Setup!DF13,'Quick Setup'!$A$2)</f>
        <v>375</v>
      </c>
      <c r="BW9" s="2">
        <f>Setup!DG13</f>
        <v>4</v>
      </c>
      <c r="BX9" s="2">
        <f>Setup!DH13</f>
        <v>2</v>
      </c>
      <c r="BY9" s="2">
        <f>Setup!DI13</f>
        <v>5</v>
      </c>
      <c r="BZ9" s="8"/>
      <c r="CA9" s="8"/>
      <c r="CB9" s="8"/>
      <c r="CC9" s="8"/>
      <c r="CD9" s="40">
        <f>mround(CD8*Setup!DR13,'Quick Setup'!$A$2)</f>
        <v>337.5</v>
      </c>
      <c r="CE9" s="2">
        <f>Setup!DS13</f>
        <v>6</v>
      </c>
      <c r="CF9" s="2">
        <f>Setup!DT13</f>
        <v>3</v>
      </c>
      <c r="CG9" s="2">
        <f>Setup!DU13</f>
        <v>5</v>
      </c>
      <c r="CH9" s="8"/>
      <c r="CI9" s="8"/>
      <c r="CJ9" s="8"/>
      <c r="CK9" s="8"/>
      <c r="CL9" s="40">
        <f>mround(CL8*Setup!ED13,'Quick Setup'!$A$2)</f>
        <v>362.5</v>
      </c>
      <c r="CM9" s="2">
        <f>Setup!EE13</f>
        <v>5</v>
      </c>
      <c r="CN9" s="2">
        <f>Setup!EF13</f>
        <v>3</v>
      </c>
      <c r="CO9" s="2">
        <f>Setup!EG13</f>
        <v>5</v>
      </c>
      <c r="CP9" s="8"/>
      <c r="CQ9" s="8"/>
      <c r="CR9" s="8"/>
      <c r="CS9" s="8"/>
      <c r="CT9" s="40">
        <f>mround(CT8*Setup!EP13,'Quick Setup'!$A$2)</f>
        <v>387.5</v>
      </c>
      <c r="CU9" s="2">
        <f>Setup!EQ13</f>
        <v>4</v>
      </c>
      <c r="CV9" s="2">
        <f>Setup!ER13</f>
        <v>2</v>
      </c>
      <c r="CW9" s="2">
        <f>Setup!ES13</f>
        <v>5</v>
      </c>
      <c r="CX9" s="8"/>
      <c r="CY9" s="8"/>
      <c r="CZ9" s="8"/>
      <c r="DA9" s="8"/>
      <c r="DB9" s="40">
        <f>mround(DB8*Setup!FB13,'Quick Setup'!$A$2)</f>
        <v>250</v>
      </c>
      <c r="DC9" s="1">
        <v>5.0</v>
      </c>
      <c r="DD9" s="1" t="s">
        <v>80</v>
      </c>
      <c r="DE9" s="2">
        <f>Setup!FE13</f>
        <v>5</v>
      </c>
      <c r="DF9" s="8"/>
      <c r="DG9" s="8"/>
      <c r="DH9" s="8"/>
      <c r="DI9" s="8"/>
      <c r="DJ9" s="40">
        <f>mround(DJ8*Setup!FN13,'Quick Setup'!$A$2)</f>
        <v>350</v>
      </c>
      <c r="DK9" s="2">
        <f>Setup!FO13</f>
        <v>5</v>
      </c>
      <c r="DL9" s="2">
        <f>Setup!FP13</f>
        <v>3</v>
      </c>
      <c r="DM9" s="2">
        <f>Setup!FQ13</f>
        <v>5</v>
      </c>
      <c r="DN9" s="8"/>
      <c r="DO9" s="8"/>
      <c r="DP9" s="8"/>
      <c r="DQ9" s="8"/>
      <c r="DR9" s="40">
        <f>mround(DR8*Setup!FZ13,'Quick Setup'!$A$2)</f>
        <v>375</v>
      </c>
      <c r="DS9" s="2">
        <f>Setup!GA13</f>
        <v>4</v>
      </c>
      <c r="DT9" s="2">
        <f>Setup!GB13</f>
        <v>2</v>
      </c>
      <c r="DU9" s="2">
        <f>Setup!GC13</f>
        <v>5</v>
      </c>
      <c r="DV9" s="8"/>
      <c r="DW9" s="8"/>
      <c r="DX9" s="8"/>
      <c r="DY9" s="8"/>
      <c r="DZ9" s="40">
        <f>mround(DZ8*Setup!GL13,'Quick Setup'!$A$2)</f>
        <v>400</v>
      </c>
      <c r="EA9" s="2">
        <f>Setup!GM13</f>
        <v>3</v>
      </c>
      <c r="EB9" s="2">
        <f>Setup!GN13</f>
        <v>2</v>
      </c>
      <c r="EC9" s="2">
        <f>Setup!GO13</f>
        <v>5</v>
      </c>
      <c r="ED9" s="8"/>
      <c r="EE9" s="8"/>
      <c r="EF9" s="8"/>
      <c r="EG9" s="8"/>
      <c r="EH9" s="40">
        <f>mround(EH8*Setup!GX13,'Quick Setup'!$A$2)</f>
        <v>375</v>
      </c>
      <c r="EI9" s="2">
        <f>Setup!GY13</f>
        <v>4</v>
      </c>
      <c r="EJ9" s="2">
        <f>Setup!GZ13</f>
        <v>2</v>
      </c>
      <c r="EK9" s="2">
        <f>Setup!HA13</f>
        <v>5</v>
      </c>
      <c r="EL9" s="8"/>
      <c r="EM9" s="8"/>
      <c r="EN9" s="8"/>
      <c r="EO9" s="8"/>
      <c r="EP9" s="40">
        <f>mround(EP8*Setup!HJ13,'Quick Setup'!$A$2)</f>
        <v>400</v>
      </c>
      <c r="EQ9" s="2">
        <f>Setup!HK13</f>
        <v>3</v>
      </c>
      <c r="ER9" s="2">
        <f>Setup!HL13</f>
        <v>2</v>
      </c>
      <c r="ES9" s="2">
        <f>Setup!HM13</f>
        <v>5</v>
      </c>
      <c r="ET9" s="8"/>
      <c r="EU9" s="8"/>
      <c r="EV9" s="8"/>
      <c r="EW9" s="8"/>
      <c r="EX9" s="40">
        <f>mround(EX8*Setup!HV13,'Quick Setup'!$A$2)</f>
        <v>425</v>
      </c>
      <c r="EY9" s="2">
        <f>Setup!HW13</f>
        <v>2</v>
      </c>
      <c r="EZ9" s="2">
        <f>Setup!HX13</f>
        <v>1</v>
      </c>
      <c r="FA9" s="2">
        <f>Setup!HY13</f>
        <v>5</v>
      </c>
      <c r="FB9" s="8"/>
      <c r="FC9" s="8"/>
      <c r="FD9" s="8"/>
      <c r="FE9" s="8"/>
      <c r="FF9" s="40">
        <f>mround(FF8*Setup!IH13,'Quick Setup'!$A$2)</f>
        <v>250</v>
      </c>
      <c r="FG9" s="1">
        <v>5.0</v>
      </c>
      <c r="FH9" s="1" t="s">
        <v>80</v>
      </c>
      <c r="FI9" s="2">
        <f>Setup!IK13</f>
        <v>5</v>
      </c>
      <c r="FJ9" s="8"/>
      <c r="FK9" s="8"/>
      <c r="FL9" s="8"/>
      <c r="FM9" s="8"/>
    </row>
    <row r="10">
      <c r="A10" s="5"/>
      <c r="B10" s="41"/>
      <c r="C10" s="8"/>
      <c r="D10" s="8"/>
      <c r="E10" s="8"/>
      <c r="F10" s="8"/>
      <c r="G10" s="8"/>
      <c r="H10" s="8"/>
      <c r="I10" s="8"/>
      <c r="J10" s="41" t="str">
        <f t="shared" ref="J10:O10" si="1">B10</f>
        <v/>
      </c>
      <c r="K10" s="8" t="str">
        <f t="shared" si="1"/>
        <v/>
      </c>
      <c r="L10" s="8" t="str">
        <f t="shared" si="1"/>
        <v/>
      </c>
      <c r="M10" s="8" t="str">
        <f t="shared" si="1"/>
        <v/>
      </c>
      <c r="N10" s="8" t="str">
        <f t="shared" si="1"/>
        <v/>
      </c>
      <c r="O10" s="8" t="str">
        <f t="shared" si="1"/>
        <v/>
      </c>
      <c r="P10" s="8"/>
      <c r="Q10" s="8"/>
      <c r="R10" s="41" t="str">
        <f t="shared" ref="R10:W10" si="2">J10</f>
        <v/>
      </c>
      <c r="S10" s="8" t="str">
        <f t="shared" si="2"/>
        <v/>
      </c>
      <c r="T10" s="8" t="str">
        <f t="shared" si="2"/>
        <v/>
      </c>
      <c r="U10" s="8" t="str">
        <f t="shared" si="2"/>
        <v/>
      </c>
      <c r="V10" s="8" t="str">
        <f t="shared" si="2"/>
        <v/>
      </c>
      <c r="W10" s="8" t="str">
        <f t="shared" si="2"/>
        <v/>
      </c>
      <c r="X10" s="8"/>
      <c r="Y10" s="8"/>
      <c r="Z10" s="41" t="str">
        <f t="shared" ref="Z10:AE10" si="3">R10</f>
        <v/>
      </c>
      <c r="AA10" s="8" t="str">
        <f t="shared" si="3"/>
        <v/>
      </c>
      <c r="AB10" s="8" t="str">
        <f t="shared" si="3"/>
        <v/>
      </c>
      <c r="AC10" s="8" t="str">
        <f t="shared" si="3"/>
        <v/>
      </c>
      <c r="AD10" s="8" t="str">
        <f t="shared" si="3"/>
        <v/>
      </c>
      <c r="AE10" s="8" t="str">
        <f t="shared" si="3"/>
        <v/>
      </c>
      <c r="AF10" s="8"/>
      <c r="AG10" s="8"/>
      <c r="AH10" s="41" t="str">
        <f t="shared" ref="AH10:AM10" si="4">Z10</f>
        <v/>
      </c>
      <c r="AI10" s="8" t="str">
        <f t="shared" si="4"/>
        <v/>
      </c>
      <c r="AJ10" s="8" t="str">
        <f t="shared" si="4"/>
        <v/>
      </c>
      <c r="AK10" s="8" t="str">
        <f t="shared" si="4"/>
        <v/>
      </c>
      <c r="AL10" s="8" t="str">
        <f t="shared" si="4"/>
        <v/>
      </c>
      <c r="AM10" s="8" t="str">
        <f t="shared" si="4"/>
        <v/>
      </c>
      <c r="AN10" s="8"/>
      <c r="AO10" s="8"/>
      <c r="AP10" s="41" t="str">
        <f t="shared" ref="AP10:AU10" si="5">AH10</f>
        <v/>
      </c>
      <c r="AQ10" s="8" t="str">
        <f t="shared" si="5"/>
        <v/>
      </c>
      <c r="AR10" s="8" t="str">
        <f t="shared" si="5"/>
        <v/>
      </c>
      <c r="AS10" s="8" t="str">
        <f t="shared" si="5"/>
        <v/>
      </c>
      <c r="AT10" s="8" t="str">
        <f t="shared" si="5"/>
        <v/>
      </c>
      <c r="AU10" s="8" t="str">
        <f t="shared" si="5"/>
        <v/>
      </c>
      <c r="AV10" s="8"/>
      <c r="AW10" s="8"/>
      <c r="AX10" s="41" t="str">
        <f t="shared" ref="AX10:BC10" si="6">AP10</f>
        <v/>
      </c>
      <c r="AY10" s="8" t="str">
        <f t="shared" si="6"/>
        <v/>
      </c>
      <c r="AZ10" s="8" t="str">
        <f t="shared" si="6"/>
        <v/>
      </c>
      <c r="BA10" s="8" t="str">
        <f t="shared" si="6"/>
        <v/>
      </c>
      <c r="BB10" s="8" t="str">
        <f t="shared" si="6"/>
        <v/>
      </c>
      <c r="BC10" s="8" t="str">
        <f t="shared" si="6"/>
        <v/>
      </c>
      <c r="BD10" s="8"/>
      <c r="BE10" s="8"/>
      <c r="BF10" s="41" t="str">
        <f t="shared" ref="BF10:BK10" si="7">AX10</f>
        <v/>
      </c>
      <c r="BG10" s="8" t="str">
        <f t="shared" si="7"/>
        <v/>
      </c>
      <c r="BH10" s="8" t="str">
        <f t="shared" si="7"/>
        <v/>
      </c>
      <c r="BI10" s="8" t="str">
        <f t="shared" si="7"/>
        <v/>
      </c>
      <c r="BJ10" s="8" t="str">
        <f t="shared" si="7"/>
        <v/>
      </c>
      <c r="BK10" s="8" t="str">
        <f t="shared" si="7"/>
        <v/>
      </c>
      <c r="BL10" s="8"/>
      <c r="BM10" s="8"/>
      <c r="BN10" s="41" t="str">
        <f t="shared" ref="BN10:BS10" si="8">BF10</f>
        <v/>
      </c>
      <c r="BO10" s="8" t="str">
        <f t="shared" si="8"/>
        <v/>
      </c>
      <c r="BP10" s="8" t="str">
        <f t="shared" si="8"/>
        <v/>
      </c>
      <c r="BQ10" s="8" t="str">
        <f t="shared" si="8"/>
        <v/>
      </c>
      <c r="BR10" s="8" t="str">
        <f t="shared" si="8"/>
        <v/>
      </c>
      <c r="BS10" s="8" t="str">
        <f t="shared" si="8"/>
        <v/>
      </c>
      <c r="BT10" s="8"/>
      <c r="BU10" s="8"/>
      <c r="BV10" s="41" t="str">
        <f t="shared" ref="BV10:CA10" si="9">BN10</f>
        <v/>
      </c>
      <c r="BW10" s="8" t="str">
        <f t="shared" si="9"/>
        <v/>
      </c>
      <c r="BX10" s="8" t="str">
        <f t="shared" si="9"/>
        <v/>
      </c>
      <c r="BY10" s="8" t="str">
        <f t="shared" si="9"/>
        <v/>
      </c>
      <c r="BZ10" s="8" t="str">
        <f t="shared" si="9"/>
        <v/>
      </c>
      <c r="CA10" s="8" t="str">
        <f t="shared" si="9"/>
        <v/>
      </c>
      <c r="CB10" s="8"/>
      <c r="CC10" s="8"/>
      <c r="CD10" s="41" t="str">
        <f t="shared" ref="CD10:CI10" si="10">BV10</f>
        <v/>
      </c>
      <c r="CE10" s="8" t="str">
        <f t="shared" si="10"/>
        <v/>
      </c>
      <c r="CF10" s="8" t="str">
        <f t="shared" si="10"/>
        <v/>
      </c>
      <c r="CG10" s="8" t="str">
        <f t="shared" si="10"/>
        <v/>
      </c>
      <c r="CH10" s="8" t="str">
        <f t="shared" si="10"/>
        <v/>
      </c>
      <c r="CI10" s="8" t="str">
        <f t="shared" si="10"/>
        <v/>
      </c>
      <c r="CJ10" s="8"/>
      <c r="CK10" s="8"/>
      <c r="CL10" s="41" t="str">
        <f t="shared" ref="CL10:CQ10" si="11">CD10</f>
        <v/>
      </c>
      <c r="CM10" s="8" t="str">
        <f t="shared" si="11"/>
        <v/>
      </c>
      <c r="CN10" s="8" t="str">
        <f t="shared" si="11"/>
        <v/>
      </c>
      <c r="CO10" s="8" t="str">
        <f t="shared" si="11"/>
        <v/>
      </c>
      <c r="CP10" s="8" t="str">
        <f t="shared" si="11"/>
        <v/>
      </c>
      <c r="CQ10" s="8" t="str">
        <f t="shared" si="11"/>
        <v/>
      </c>
      <c r="CR10" s="8"/>
      <c r="CS10" s="8"/>
      <c r="CT10" s="41" t="str">
        <f t="shared" ref="CT10:CY10" si="12">CL10</f>
        <v/>
      </c>
      <c r="CU10" s="8" t="str">
        <f t="shared" si="12"/>
        <v/>
      </c>
      <c r="CV10" s="8" t="str">
        <f t="shared" si="12"/>
        <v/>
      </c>
      <c r="CW10" s="8" t="str">
        <f t="shared" si="12"/>
        <v/>
      </c>
      <c r="CX10" s="8" t="str">
        <f t="shared" si="12"/>
        <v/>
      </c>
      <c r="CY10" s="8" t="str">
        <f t="shared" si="12"/>
        <v/>
      </c>
      <c r="CZ10" s="8"/>
      <c r="DA10" s="8"/>
      <c r="DB10" s="41" t="str">
        <f t="shared" ref="DB10:DG10" si="13">CT10</f>
        <v/>
      </c>
      <c r="DC10" s="8" t="str">
        <f t="shared" si="13"/>
        <v/>
      </c>
      <c r="DD10" s="8" t="str">
        <f t="shared" si="13"/>
        <v/>
      </c>
      <c r="DE10" s="8" t="str">
        <f t="shared" si="13"/>
        <v/>
      </c>
      <c r="DF10" s="8" t="str">
        <f t="shared" si="13"/>
        <v/>
      </c>
      <c r="DG10" s="8" t="str">
        <f t="shared" si="13"/>
        <v/>
      </c>
      <c r="DH10" s="8"/>
      <c r="DI10" s="8"/>
      <c r="DJ10" s="41" t="str">
        <f t="shared" ref="DJ10:DO10" si="14">DB10</f>
        <v/>
      </c>
      <c r="DK10" s="8" t="str">
        <f t="shared" si="14"/>
        <v/>
      </c>
      <c r="DL10" s="8" t="str">
        <f t="shared" si="14"/>
        <v/>
      </c>
      <c r="DM10" s="8" t="str">
        <f t="shared" si="14"/>
        <v/>
      </c>
      <c r="DN10" s="8" t="str">
        <f t="shared" si="14"/>
        <v/>
      </c>
      <c r="DO10" s="8" t="str">
        <f t="shared" si="14"/>
        <v/>
      </c>
      <c r="DP10" s="8"/>
      <c r="DQ10" s="8"/>
      <c r="DR10" s="41" t="str">
        <f t="shared" ref="DR10:DW10" si="15">DJ10</f>
        <v/>
      </c>
      <c r="DS10" s="8" t="str">
        <f t="shared" si="15"/>
        <v/>
      </c>
      <c r="DT10" s="8" t="str">
        <f t="shared" si="15"/>
        <v/>
      </c>
      <c r="DU10" s="8" t="str">
        <f t="shared" si="15"/>
        <v/>
      </c>
      <c r="DV10" s="8" t="str">
        <f t="shared" si="15"/>
        <v/>
      </c>
      <c r="DW10" s="8" t="str">
        <f t="shared" si="15"/>
        <v/>
      </c>
      <c r="DX10" s="8"/>
      <c r="DY10" s="8"/>
      <c r="DZ10" s="41" t="str">
        <f t="shared" ref="DZ10:EE10" si="16">DR10</f>
        <v/>
      </c>
      <c r="EA10" s="8" t="str">
        <f t="shared" si="16"/>
        <v/>
      </c>
      <c r="EB10" s="8" t="str">
        <f t="shared" si="16"/>
        <v/>
      </c>
      <c r="EC10" s="8" t="str">
        <f t="shared" si="16"/>
        <v/>
      </c>
      <c r="ED10" s="8" t="str">
        <f t="shared" si="16"/>
        <v/>
      </c>
      <c r="EE10" s="8" t="str">
        <f t="shared" si="16"/>
        <v/>
      </c>
      <c r="EF10" s="8"/>
      <c r="EG10" s="8"/>
      <c r="EH10" s="41" t="str">
        <f t="shared" ref="EH10:EM10" si="17">DZ10</f>
        <v/>
      </c>
      <c r="EI10" s="8" t="str">
        <f t="shared" si="17"/>
        <v/>
      </c>
      <c r="EJ10" s="8" t="str">
        <f t="shared" si="17"/>
        <v/>
      </c>
      <c r="EK10" s="8" t="str">
        <f t="shared" si="17"/>
        <v/>
      </c>
      <c r="EL10" s="8" t="str">
        <f t="shared" si="17"/>
        <v/>
      </c>
      <c r="EM10" s="8" t="str">
        <f t="shared" si="17"/>
        <v/>
      </c>
      <c r="EN10" s="8"/>
      <c r="EO10" s="8"/>
      <c r="EP10" s="41" t="str">
        <f t="shared" ref="EP10:EU10" si="18">EH10</f>
        <v/>
      </c>
      <c r="EQ10" s="8" t="str">
        <f t="shared" si="18"/>
        <v/>
      </c>
      <c r="ER10" s="8" t="str">
        <f t="shared" si="18"/>
        <v/>
      </c>
      <c r="ES10" s="8" t="str">
        <f t="shared" si="18"/>
        <v/>
      </c>
      <c r="ET10" s="8" t="str">
        <f t="shared" si="18"/>
        <v/>
      </c>
      <c r="EU10" s="8" t="str">
        <f t="shared" si="18"/>
        <v/>
      </c>
      <c r="EV10" s="8"/>
      <c r="EW10" s="8"/>
      <c r="EX10" s="41" t="str">
        <f t="shared" ref="EX10:FC10" si="19">EP10</f>
        <v/>
      </c>
      <c r="EY10" s="8" t="str">
        <f t="shared" si="19"/>
        <v/>
      </c>
      <c r="EZ10" s="8" t="str">
        <f t="shared" si="19"/>
        <v/>
      </c>
      <c r="FA10" s="8" t="str">
        <f t="shared" si="19"/>
        <v/>
      </c>
      <c r="FB10" s="8" t="str">
        <f t="shared" si="19"/>
        <v/>
      </c>
      <c r="FC10" s="8" t="str">
        <f t="shared" si="19"/>
        <v/>
      </c>
      <c r="FD10" s="8"/>
      <c r="FE10" s="8"/>
      <c r="FF10" s="41" t="str">
        <f t="shared" ref="FF10:FK10" si="20">EX10</f>
        <v/>
      </c>
      <c r="FG10" s="8" t="str">
        <f t="shared" si="20"/>
        <v/>
      </c>
      <c r="FH10" s="8" t="str">
        <f t="shared" si="20"/>
        <v/>
      </c>
      <c r="FI10" s="8" t="str">
        <f t="shared" si="20"/>
        <v/>
      </c>
      <c r="FJ10" s="8" t="str">
        <f t="shared" si="20"/>
        <v/>
      </c>
      <c r="FK10" s="8" t="str">
        <f t="shared" si="20"/>
        <v/>
      </c>
      <c r="FL10" s="8"/>
      <c r="FM10" s="8"/>
    </row>
    <row r="11">
      <c r="A11" s="1" t="s">
        <v>81</v>
      </c>
      <c r="B11" s="40"/>
      <c r="C11" s="2"/>
      <c r="D11" s="2"/>
      <c r="E11" s="2"/>
      <c r="F11" s="2"/>
      <c r="G11" s="2"/>
      <c r="H11" s="2"/>
      <c r="I11" s="2"/>
      <c r="J11" s="40"/>
      <c r="K11" s="2"/>
      <c r="L11" s="2"/>
      <c r="M11" s="2"/>
      <c r="N11" s="2"/>
      <c r="O11" s="2"/>
      <c r="P11" s="2"/>
      <c r="Q11" s="2"/>
      <c r="R11" s="40"/>
      <c r="S11" s="2"/>
      <c r="T11" s="2"/>
      <c r="U11" s="2"/>
      <c r="V11" s="2"/>
      <c r="W11" s="2"/>
      <c r="X11" s="2"/>
      <c r="Y11" s="2"/>
      <c r="Z11" s="40"/>
      <c r="AA11" s="2"/>
      <c r="AB11" s="2"/>
      <c r="AC11" s="2"/>
      <c r="AD11" s="2"/>
      <c r="AE11" s="2"/>
      <c r="AF11" s="2"/>
      <c r="AG11" s="2"/>
      <c r="AH11" s="40"/>
      <c r="AI11" s="2"/>
      <c r="AJ11" s="2"/>
      <c r="AK11" s="2"/>
      <c r="AL11" s="2"/>
      <c r="AM11" s="2"/>
      <c r="AN11" s="2"/>
      <c r="AO11" s="2"/>
      <c r="AP11" s="40"/>
      <c r="AQ11" s="2"/>
      <c r="AR11" s="2"/>
      <c r="AS11" s="2"/>
      <c r="AT11" s="2"/>
      <c r="AU11" s="2"/>
      <c r="AV11" s="2"/>
      <c r="AW11" s="2"/>
      <c r="AX11" s="40"/>
      <c r="AY11" s="2"/>
      <c r="AZ11" s="2"/>
      <c r="BA11" s="2"/>
      <c r="BB11" s="2"/>
      <c r="BC11" s="2"/>
      <c r="BD11" s="2"/>
      <c r="BE11" s="2"/>
      <c r="BF11" s="40"/>
      <c r="BG11" s="2"/>
      <c r="BH11" s="2"/>
      <c r="BI11" s="2"/>
      <c r="BJ11" s="2"/>
      <c r="BK11" s="2"/>
      <c r="BL11" s="2"/>
      <c r="BM11" s="2"/>
      <c r="BN11" s="40"/>
      <c r="BO11" s="2"/>
      <c r="BP11" s="2"/>
      <c r="BQ11" s="2"/>
      <c r="BR11" s="2"/>
      <c r="BS11" s="2"/>
      <c r="BT11" s="2"/>
      <c r="BU11" s="2"/>
      <c r="BV11" s="40"/>
      <c r="BW11" s="2"/>
      <c r="BX11" s="2"/>
      <c r="BY11" s="2"/>
      <c r="BZ11" s="2"/>
      <c r="CA11" s="2"/>
      <c r="CB11" s="2"/>
      <c r="CC11" s="2"/>
      <c r="CD11" s="40"/>
      <c r="CE11" s="2"/>
      <c r="CF11" s="2"/>
      <c r="CG11" s="2"/>
      <c r="CH11" s="2"/>
      <c r="CI11" s="2"/>
      <c r="CJ11" s="2"/>
      <c r="CK11" s="2"/>
      <c r="CL11" s="40"/>
      <c r="CM11" s="2"/>
      <c r="CN11" s="2"/>
      <c r="CO11" s="2"/>
      <c r="CP11" s="2"/>
      <c r="CQ11" s="2"/>
      <c r="CR11" s="2"/>
      <c r="CS11" s="2"/>
      <c r="CT11" s="40"/>
      <c r="CU11" s="2"/>
      <c r="CV11" s="2"/>
      <c r="CW11" s="2"/>
      <c r="CX11" s="2"/>
      <c r="CY11" s="2"/>
      <c r="CZ11" s="2"/>
      <c r="DA11" s="2"/>
      <c r="DB11" s="40"/>
      <c r="DC11" s="2"/>
      <c r="DD11" s="2"/>
      <c r="DE11" s="2"/>
      <c r="DF11" s="2"/>
      <c r="DG11" s="2"/>
      <c r="DH11" s="2"/>
      <c r="DI11" s="2"/>
      <c r="DJ11" s="40"/>
      <c r="DK11" s="2"/>
      <c r="DL11" s="2"/>
      <c r="DM11" s="2"/>
      <c r="DN11" s="2"/>
      <c r="DO11" s="2"/>
      <c r="DP11" s="2"/>
      <c r="DQ11" s="2"/>
      <c r="DR11" s="40"/>
      <c r="DS11" s="2"/>
      <c r="DT11" s="2"/>
      <c r="DU11" s="2"/>
      <c r="DV11" s="2"/>
      <c r="DW11" s="2"/>
      <c r="DX11" s="2"/>
      <c r="DY11" s="2"/>
      <c r="DZ11" s="40"/>
      <c r="EA11" s="2"/>
      <c r="EB11" s="2"/>
      <c r="EC11" s="2"/>
      <c r="ED11" s="2"/>
      <c r="EE11" s="2"/>
      <c r="EF11" s="2"/>
      <c r="EG11" s="2"/>
      <c r="EH11" s="40"/>
      <c r="EI11" s="2"/>
      <c r="EJ11" s="2"/>
      <c r="EK11" s="2"/>
      <c r="EL11" s="2"/>
      <c r="EM11" s="2"/>
      <c r="EN11" s="2"/>
      <c r="EO11" s="2"/>
      <c r="EP11" s="40"/>
      <c r="EQ11" s="2"/>
      <c r="ER11" s="2"/>
      <c r="ES11" s="2"/>
      <c r="ET11" s="2"/>
      <c r="EU11" s="2"/>
      <c r="EV11" s="2"/>
      <c r="EW11" s="2"/>
      <c r="EX11" s="40"/>
      <c r="EY11" s="2"/>
      <c r="EZ11" s="2"/>
      <c r="FA11" s="2"/>
      <c r="FB11" s="2"/>
      <c r="FC11" s="2"/>
      <c r="FD11" s="2"/>
      <c r="FE11" s="2"/>
      <c r="FF11" s="40"/>
      <c r="FG11" s="2"/>
      <c r="FH11" s="2"/>
      <c r="FI11" s="2"/>
      <c r="FJ11" s="2"/>
      <c r="FK11" s="2"/>
      <c r="FL11" s="2"/>
      <c r="FM11" s="2"/>
    </row>
    <row r="12">
      <c r="A12" s="42"/>
      <c r="B12" s="41"/>
      <c r="C12" s="8"/>
      <c r="D12" s="8"/>
      <c r="E12" s="8"/>
      <c r="F12" s="8"/>
      <c r="G12" s="8"/>
      <c r="H12" s="8"/>
      <c r="I12" s="8"/>
      <c r="J12" s="41" t="str">
        <f t="shared" ref="J12:O12" si="21">B12</f>
        <v/>
      </c>
      <c r="K12" s="8" t="str">
        <f t="shared" si="21"/>
        <v/>
      </c>
      <c r="L12" s="8" t="str">
        <f t="shared" si="21"/>
        <v/>
      </c>
      <c r="M12" s="8" t="str">
        <f t="shared" si="21"/>
        <v/>
      </c>
      <c r="N12" s="8" t="str">
        <f t="shared" si="21"/>
        <v/>
      </c>
      <c r="O12" s="8" t="str">
        <f t="shared" si="21"/>
        <v/>
      </c>
      <c r="P12" s="8"/>
      <c r="Q12" s="8"/>
      <c r="R12" s="41" t="str">
        <f t="shared" ref="R12:W12" si="22">J12</f>
        <v/>
      </c>
      <c r="S12" s="8" t="str">
        <f t="shared" si="22"/>
        <v/>
      </c>
      <c r="T12" s="8" t="str">
        <f t="shared" si="22"/>
        <v/>
      </c>
      <c r="U12" s="8" t="str">
        <f t="shared" si="22"/>
        <v/>
      </c>
      <c r="V12" s="8" t="str">
        <f t="shared" si="22"/>
        <v/>
      </c>
      <c r="W12" s="8" t="str">
        <f t="shared" si="22"/>
        <v/>
      </c>
      <c r="X12" s="8"/>
      <c r="Y12" s="8"/>
      <c r="Z12" s="41" t="str">
        <f t="shared" ref="Z12:AE12" si="23">R12</f>
        <v/>
      </c>
      <c r="AA12" s="8" t="str">
        <f t="shared" si="23"/>
        <v/>
      </c>
      <c r="AB12" s="8" t="str">
        <f t="shared" si="23"/>
        <v/>
      </c>
      <c r="AC12" s="8" t="str">
        <f t="shared" si="23"/>
        <v/>
      </c>
      <c r="AD12" s="8" t="str">
        <f t="shared" si="23"/>
        <v/>
      </c>
      <c r="AE12" s="8" t="str">
        <f t="shared" si="23"/>
        <v/>
      </c>
      <c r="AF12" s="8"/>
      <c r="AG12" s="8"/>
      <c r="AH12" s="41" t="str">
        <f t="shared" ref="AH12:AM12" si="24">Z12</f>
        <v/>
      </c>
      <c r="AI12" s="8" t="str">
        <f t="shared" si="24"/>
        <v/>
      </c>
      <c r="AJ12" s="8" t="str">
        <f t="shared" si="24"/>
        <v/>
      </c>
      <c r="AK12" s="8" t="str">
        <f t="shared" si="24"/>
        <v/>
      </c>
      <c r="AL12" s="8" t="str">
        <f t="shared" si="24"/>
        <v/>
      </c>
      <c r="AM12" s="8" t="str">
        <f t="shared" si="24"/>
        <v/>
      </c>
      <c r="AN12" s="8"/>
      <c r="AO12" s="8"/>
      <c r="AP12" s="41" t="str">
        <f t="shared" ref="AP12:AU12" si="25">AH12</f>
        <v/>
      </c>
      <c r="AQ12" s="8" t="str">
        <f t="shared" si="25"/>
        <v/>
      </c>
      <c r="AR12" s="8" t="str">
        <f t="shared" si="25"/>
        <v/>
      </c>
      <c r="AS12" s="8" t="str">
        <f t="shared" si="25"/>
        <v/>
      </c>
      <c r="AT12" s="8" t="str">
        <f t="shared" si="25"/>
        <v/>
      </c>
      <c r="AU12" s="8" t="str">
        <f t="shared" si="25"/>
        <v/>
      </c>
      <c r="AV12" s="8"/>
      <c r="AW12" s="8"/>
      <c r="AX12" s="41" t="str">
        <f t="shared" ref="AX12:BC12" si="26">AP12</f>
        <v/>
      </c>
      <c r="AY12" s="8" t="str">
        <f t="shared" si="26"/>
        <v/>
      </c>
      <c r="AZ12" s="8" t="str">
        <f t="shared" si="26"/>
        <v/>
      </c>
      <c r="BA12" s="8" t="str">
        <f t="shared" si="26"/>
        <v/>
      </c>
      <c r="BB12" s="8" t="str">
        <f t="shared" si="26"/>
        <v/>
      </c>
      <c r="BC12" s="8" t="str">
        <f t="shared" si="26"/>
        <v/>
      </c>
      <c r="BD12" s="8"/>
      <c r="BE12" s="8"/>
      <c r="BF12" s="41" t="str">
        <f t="shared" ref="BF12:BK12" si="27">AX12</f>
        <v/>
      </c>
      <c r="BG12" s="8" t="str">
        <f t="shared" si="27"/>
        <v/>
      </c>
      <c r="BH12" s="8" t="str">
        <f t="shared" si="27"/>
        <v/>
      </c>
      <c r="BI12" s="8" t="str">
        <f t="shared" si="27"/>
        <v/>
      </c>
      <c r="BJ12" s="8" t="str">
        <f t="shared" si="27"/>
        <v/>
      </c>
      <c r="BK12" s="8" t="str">
        <f t="shared" si="27"/>
        <v/>
      </c>
      <c r="BL12" s="8"/>
      <c r="BM12" s="8"/>
      <c r="BN12" s="41" t="str">
        <f t="shared" ref="BN12:BS12" si="28">BF12</f>
        <v/>
      </c>
      <c r="BO12" s="8" t="str">
        <f t="shared" si="28"/>
        <v/>
      </c>
      <c r="BP12" s="8" t="str">
        <f t="shared" si="28"/>
        <v/>
      </c>
      <c r="BQ12" s="8" t="str">
        <f t="shared" si="28"/>
        <v/>
      </c>
      <c r="BR12" s="8" t="str">
        <f t="shared" si="28"/>
        <v/>
      </c>
      <c r="BS12" s="8" t="str">
        <f t="shared" si="28"/>
        <v/>
      </c>
      <c r="BT12" s="8"/>
      <c r="BU12" s="8"/>
      <c r="BV12" s="41" t="str">
        <f t="shared" ref="BV12:CA12" si="29">BN12</f>
        <v/>
      </c>
      <c r="BW12" s="8" t="str">
        <f t="shared" si="29"/>
        <v/>
      </c>
      <c r="BX12" s="8" t="str">
        <f t="shared" si="29"/>
        <v/>
      </c>
      <c r="BY12" s="8" t="str">
        <f t="shared" si="29"/>
        <v/>
      </c>
      <c r="BZ12" s="8" t="str">
        <f t="shared" si="29"/>
        <v/>
      </c>
      <c r="CA12" s="8" t="str">
        <f t="shared" si="29"/>
        <v/>
      </c>
      <c r="CB12" s="8"/>
      <c r="CC12" s="8"/>
      <c r="CD12" s="41" t="str">
        <f t="shared" ref="CD12:CI12" si="30">BV12</f>
        <v/>
      </c>
      <c r="CE12" s="8" t="str">
        <f t="shared" si="30"/>
        <v/>
      </c>
      <c r="CF12" s="8" t="str">
        <f t="shared" si="30"/>
        <v/>
      </c>
      <c r="CG12" s="8" t="str">
        <f t="shared" si="30"/>
        <v/>
      </c>
      <c r="CH12" s="8" t="str">
        <f t="shared" si="30"/>
        <v/>
      </c>
      <c r="CI12" s="8" t="str">
        <f t="shared" si="30"/>
        <v/>
      </c>
      <c r="CJ12" s="8"/>
      <c r="CK12" s="8"/>
      <c r="CL12" s="41" t="str">
        <f t="shared" ref="CL12:CQ12" si="31">CD12</f>
        <v/>
      </c>
      <c r="CM12" s="8" t="str">
        <f t="shared" si="31"/>
        <v/>
      </c>
      <c r="CN12" s="8" t="str">
        <f t="shared" si="31"/>
        <v/>
      </c>
      <c r="CO12" s="8" t="str">
        <f t="shared" si="31"/>
        <v/>
      </c>
      <c r="CP12" s="8" t="str">
        <f t="shared" si="31"/>
        <v/>
      </c>
      <c r="CQ12" s="8" t="str">
        <f t="shared" si="31"/>
        <v/>
      </c>
      <c r="CR12" s="8"/>
      <c r="CS12" s="8"/>
      <c r="CT12" s="41" t="str">
        <f t="shared" ref="CT12:CY12" si="32">CL12</f>
        <v/>
      </c>
      <c r="CU12" s="8" t="str">
        <f t="shared" si="32"/>
        <v/>
      </c>
      <c r="CV12" s="8" t="str">
        <f t="shared" si="32"/>
        <v/>
      </c>
      <c r="CW12" s="8" t="str">
        <f t="shared" si="32"/>
        <v/>
      </c>
      <c r="CX12" s="8" t="str">
        <f t="shared" si="32"/>
        <v/>
      </c>
      <c r="CY12" s="8" t="str">
        <f t="shared" si="32"/>
        <v/>
      </c>
      <c r="CZ12" s="8"/>
      <c r="DA12" s="8"/>
      <c r="DB12" s="41" t="str">
        <f t="shared" ref="DB12:DG12" si="33">CT12</f>
        <v/>
      </c>
      <c r="DC12" s="8" t="str">
        <f t="shared" si="33"/>
        <v/>
      </c>
      <c r="DD12" s="8" t="str">
        <f t="shared" si="33"/>
        <v/>
      </c>
      <c r="DE12" s="8" t="str">
        <f t="shared" si="33"/>
        <v/>
      </c>
      <c r="DF12" s="8" t="str">
        <f t="shared" si="33"/>
        <v/>
      </c>
      <c r="DG12" s="8" t="str">
        <f t="shared" si="33"/>
        <v/>
      </c>
      <c r="DH12" s="8"/>
      <c r="DI12" s="8"/>
      <c r="DJ12" s="41" t="str">
        <f t="shared" ref="DJ12:DO12" si="34">DB12</f>
        <v/>
      </c>
      <c r="DK12" s="8" t="str">
        <f t="shared" si="34"/>
        <v/>
      </c>
      <c r="DL12" s="8" t="str">
        <f t="shared" si="34"/>
        <v/>
      </c>
      <c r="DM12" s="8" t="str">
        <f t="shared" si="34"/>
        <v/>
      </c>
      <c r="DN12" s="8" t="str">
        <f t="shared" si="34"/>
        <v/>
      </c>
      <c r="DO12" s="8" t="str">
        <f t="shared" si="34"/>
        <v/>
      </c>
      <c r="DP12" s="8"/>
      <c r="DQ12" s="8"/>
      <c r="DR12" s="41" t="str">
        <f t="shared" ref="DR12:DW12" si="35">DJ12</f>
        <v/>
      </c>
      <c r="DS12" s="8" t="str">
        <f t="shared" si="35"/>
        <v/>
      </c>
      <c r="DT12" s="8" t="str">
        <f t="shared" si="35"/>
        <v/>
      </c>
      <c r="DU12" s="8" t="str">
        <f t="shared" si="35"/>
        <v/>
      </c>
      <c r="DV12" s="8" t="str">
        <f t="shared" si="35"/>
        <v/>
      </c>
      <c r="DW12" s="8" t="str">
        <f t="shared" si="35"/>
        <v/>
      </c>
      <c r="DX12" s="8"/>
      <c r="DY12" s="8"/>
      <c r="DZ12" s="41" t="str">
        <f t="shared" ref="DZ12:EE12" si="36">DR12</f>
        <v/>
      </c>
      <c r="EA12" s="8" t="str">
        <f t="shared" si="36"/>
        <v/>
      </c>
      <c r="EB12" s="8" t="str">
        <f t="shared" si="36"/>
        <v/>
      </c>
      <c r="EC12" s="8" t="str">
        <f t="shared" si="36"/>
        <v/>
      </c>
      <c r="ED12" s="8" t="str">
        <f t="shared" si="36"/>
        <v/>
      </c>
      <c r="EE12" s="8" t="str">
        <f t="shared" si="36"/>
        <v/>
      </c>
      <c r="EF12" s="8"/>
      <c r="EG12" s="8"/>
      <c r="EH12" s="41" t="str">
        <f t="shared" ref="EH12:EM12" si="37">DZ12</f>
        <v/>
      </c>
      <c r="EI12" s="8" t="str">
        <f t="shared" si="37"/>
        <v/>
      </c>
      <c r="EJ12" s="8" t="str">
        <f t="shared" si="37"/>
        <v/>
      </c>
      <c r="EK12" s="8" t="str">
        <f t="shared" si="37"/>
        <v/>
      </c>
      <c r="EL12" s="8" t="str">
        <f t="shared" si="37"/>
        <v/>
      </c>
      <c r="EM12" s="8" t="str">
        <f t="shared" si="37"/>
        <v/>
      </c>
      <c r="EN12" s="8"/>
      <c r="EO12" s="8"/>
      <c r="EP12" s="41" t="str">
        <f t="shared" ref="EP12:EU12" si="38">EH12</f>
        <v/>
      </c>
      <c r="EQ12" s="8" t="str">
        <f t="shared" si="38"/>
        <v/>
      </c>
      <c r="ER12" s="8" t="str">
        <f t="shared" si="38"/>
        <v/>
      </c>
      <c r="ES12" s="8" t="str">
        <f t="shared" si="38"/>
        <v/>
      </c>
      <c r="ET12" s="8" t="str">
        <f t="shared" si="38"/>
        <v/>
      </c>
      <c r="EU12" s="8" t="str">
        <f t="shared" si="38"/>
        <v/>
      </c>
      <c r="EV12" s="8"/>
      <c r="EW12" s="8"/>
      <c r="EX12" s="41" t="str">
        <f t="shared" ref="EX12:FC12" si="39">EP12</f>
        <v/>
      </c>
      <c r="EY12" s="8" t="str">
        <f t="shared" si="39"/>
        <v/>
      </c>
      <c r="EZ12" s="8" t="str">
        <f t="shared" si="39"/>
        <v/>
      </c>
      <c r="FA12" s="8" t="str">
        <f t="shared" si="39"/>
        <v/>
      </c>
      <c r="FB12" s="8" t="str">
        <f t="shared" si="39"/>
        <v/>
      </c>
      <c r="FC12" s="8" t="str">
        <f t="shared" si="39"/>
        <v/>
      </c>
      <c r="FD12" s="8"/>
      <c r="FE12" s="8"/>
      <c r="FF12" s="41" t="str">
        <f t="shared" ref="FF12:FK12" si="40">EX12</f>
        <v/>
      </c>
      <c r="FG12" s="8" t="str">
        <f t="shared" si="40"/>
        <v/>
      </c>
      <c r="FH12" s="8" t="str">
        <f t="shared" si="40"/>
        <v/>
      </c>
      <c r="FI12" s="8" t="str">
        <f t="shared" si="40"/>
        <v/>
      </c>
      <c r="FJ12" s="8" t="str">
        <f t="shared" si="40"/>
        <v/>
      </c>
      <c r="FK12" s="8" t="str">
        <f t="shared" si="40"/>
        <v/>
      </c>
      <c r="FL12" s="8"/>
      <c r="FM12" s="8"/>
    </row>
    <row r="13">
      <c r="A13" s="42"/>
      <c r="B13" s="41"/>
      <c r="C13" s="8"/>
      <c r="D13" s="8"/>
      <c r="E13" s="8"/>
      <c r="F13" s="8"/>
      <c r="G13" s="8"/>
      <c r="H13" s="8"/>
      <c r="I13" s="8"/>
      <c r="J13" s="41" t="str">
        <f t="shared" ref="J13:O13" si="41">B13</f>
        <v/>
      </c>
      <c r="K13" s="8" t="str">
        <f t="shared" si="41"/>
        <v/>
      </c>
      <c r="L13" s="8" t="str">
        <f t="shared" si="41"/>
        <v/>
      </c>
      <c r="M13" s="8" t="str">
        <f t="shared" si="41"/>
        <v/>
      </c>
      <c r="N13" s="8" t="str">
        <f t="shared" si="41"/>
        <v/>
      </c>
      <c r="O13" s="8" t="str">
        <f t="shared" si="41"/>
        <v/>
      </c>
      <c r="P13" s="8"/>
      <c r="Q13" s="8"/>
      <c r="R13" s="41" t="str">
        <f t="shared" ref="R13:W13" si="42">J13</f>
        <v/>
      </c>
      <c r="S13" s="8" t="str">
        <f t="shared" si="42"/>
        <v/>
      </c>
      <c r="T13" s="8" t="str">
        <f t="shared" si="42"/>
        <v/>
      </c>
      <c r="U13" s="8" t="str">
        <f t="shared" si="42"/>
        <v/>
      </c>
      <c r="V13" s="8" t="str">
        <f t="shared" si="42"/>
        <v/>
      </c>
      <c r="W13" s="8" t="str">
        <f t="shared" si="42"/>
        <v/>
      </c>
      <c r="X13" s="8"/>
      <c r="Y13" s="8"/>
      <c r="Z13" s="41" t="str">
        <f t="shared" ref="Z13:AE13" si="43">R13</f>
        <v/>
      </c>
      <c r="AA13" s="8" t="str">
        <f t="shared" si="43"/>
        <v/>
      </c>
      <c r="AB13" s="8" t="str">
        <f t="shared" si="43"/>
        <v/>
      </c>
      <c r="AC13" s="8" t="str">
        <f t="shared" si="43"/>
        <v/>
      </c>
      <c r="AD13" s="8" t="str">
        <f t="shared" si="43"/>
        <v/>
      </c>
      <c r="AE13" s="8" t="str">
        <f t="shared" si="43"/>
        <v/>
      </c>
      <c r="AF13" s="8"/>
      <c r="AG13" s="8"/>
      <c r="AH13" s="41" t="str">
        <f t="shared" ref="AH13:AM13" si="44">Z13</f>
        <v/>
      </c>
      <c r="AI13" s="8" t="str">
        <f t="shared" si="44"/>
        <v/>
      </c>
      <c r="AJ13" s="8" t="str">
        <f t="shared" si="44"/>
        <v/>
      </c>
      <c r="AK13" s="8" t="str">
        <f t="shared" si="44"/>
        <v/>
      </c>
      <c r="AL13" s="8" t="str">
        <f t="shared" si="44"/>
        <v/>
      </c>
      <c r="AM13" s="8" t="str">
        <f t="shared" si="44"/>
        <v/>
      </c>
      <c r="AN13" s="8"/>
      <c r="AO13" s="8"/>
      <c r="AP13" s="41" t="str">
        <f t="shared" ref="AP13:AU13" si="45">AH13</f>
        <v/>
      </c>
      <c r="AQ13" s="8" t="str">
        <f t="shared" si="45"/>
        <v/>
      </c>
      <c r="AR13" s="8" t="str">
        <f t="shared" si="45"/>
        <v/>
      </c>
      <c r="AS13" s="8" t="str">
        <f t="shared" si="45"/>
        <v/>
      </c>
      <c r="AT13" s="8" t="str">
        <f t="shared" si="45"/>
        <v/>
      </c>
      <c r="AU13" s="8" t="str">
        <f t="shared" si="45"/>
        <v/>
      </c>
      <c r="AV13" s="8"/>
      <c r="AW13" s="8"/>
      <c r="AX13" s="41" t="str">
        <f t="shared" ref="AX13:BC13" si="46">AP13</f>
        <v/>
      </c>
      <c r="AY13" s="8" t="str">
        <f t="shared" si="46"/>
        <v/>
      </c>
      <c r="AZ13" s="8" t="str">
        <f t="shared" si="46"/>
        <v/>
      </c>
      <c r="BA13" s="8" t="str">
        <f t="shared" si="46"/>
        <v/>
      </c>
      <c r="BB13" s="8" t="str">
        <f t="shared" si="46"/>
        <v/>
      </c>
      <c r="BC13" s="8" t="str">
        <f t="shared" si="46"/>
        <v/>
      </c>
      <c r="BD13" s="8"/>
      <c r="BE13" s="8"/>
      <c r="BF13" s="41" t="str">
        <f t="shared" ref="BF13:BK13" si="47">AX13</f>
        <v/>
      </c>
      <c r="BG13" s="8" t="str">
        <f t="shared" si="47"/>
        <v/>
      </c>
      <c r="BH13" s="8" t="str">
        <f t="shared" si="47"/>
        <v/>
      </c>
      <c r="BI13" s="8" t="str">
        <f t="shared" si="47"/>
        <v/>
      </c>
      <c r="BJ13" s="8" t="str">
        <f t="shared" si="47"/>
        <v/>
      </c>
      <c r="BK13" s="8" t="str">
        <f t="shared" si="47"/>
        <v/>
      </c>
      <c r="BL13" s="8"/>
      <c r="BM13" s="8"/>
      <c r="BN13" s="41" t="str">
        <f t="shared" ref="BN13:BS13" si="48">BF13</f>
        <v/>
      </c>
      <c r="BO13" s="8" t="str">
        <f t="shared" si="48"/>
        <v/>
      </c>
      <c r="BP13" s="8" t="str">
        <f t="shared" si="48"/>
        <v/>
      </c>
      <c r="BQ13" s="8" t="str">
        <f t="shared" si="48"/>
        <v/>
      </c>
      <c r="BR13" s="8" t="str">
        <f t="shared" si="48"/>
        <v/>
      </c>
      <c r="BS13" s="8" t="str">
        <f t="shared" si="48"/>
        <v/>
      </c>
      <c r="BT13" s="8"/>
      <c r="BU13" s="8"/>
      <c r="BV13" s="41" t="str">
        <f t="shared" ref="BV13:CA13" si="49">BN13</f>
        <v/>
      </c>
      <c r="BW13" s="8" t="str">
        <f t="shared" si="49"/>
        <v/>
      </c>
      <c r="BX13" s="8" t="str">
        <f t="shared" si="49"/>
        <v/>
      </c>
      <c r="BY13" s="8" t="str">
        <f t="shared" si="49"/>
        <v/>
      </c>
      <c r="BZ13" s="8" t="str">
        <f t="shared" si="49"/>
        <v/>
      </c>
      <c r="CA13" s="8" t="str">
        <f t="shared" si="49"/>
        <v/>
      </c>
      <c r="CB13" s="8"/>
      <c r="CC13" s="8"/>
      <c r="CD13" s="41" t="str">
        <f t="shared" ref="CD13:CI13" si="50">BV13</f>
        <v/>
      </c>
      <c r="CE13" s="8" t="str">
        <f t="shared" si="50"/>
        <v/>
      </c>
      <c r="CF13" s="8" t="str">
        <f t="shared" si="50"/>
        <v/>
      </c>
      <c r="CG13" s="8" t="str">
        <f t="shared" si="50"/>
        <v/>
      </c>
      <c r="CH13" s="8" t="str">
        <f t="shared" si="50"/>
        <v/>
      </c>
      <c r="CI13" s="8" t="str">
        <f t="shared" si="50"/>
        <v/>
      </c>
      <c r="CJ13" s="8"/>
      <c r="CK13" s="8"/>
      <c r="CL13" s="41" t="str">
        <f t="shared" ref="CL13:CQ13" si="51">CD13</f>
        <v/>
      </c>
      <c r="CM13" s="8" t="str">
        <f t="shared" si="51"/>
        <v/>
      </c>
      <c r="CN13" s="8" t="str">
        <f t="shared" si="51"/>
        <v/>
      </c>
      <c r="CO13" s="8" t="str">
        <f t="shared" si="51"/>
        <v/>
      </c>
      <c r="CP13" s="8" t="str">
        <f t="shared" si="51"/>
        <v/>
      </c>
      <c r="CQ13" s="8" t="str">
        <f t="shared" si="51"/>
        <v/>
      </c>
      <c r="CR13" s="8"/>
      <c r="CS13" s="8"/>
      <c r="CT13" s="41" t="str">
        <f t="shared" ref="CT13:CY13" si="52">CL13</f>
        <v/>
      </c>
      <c r="CU13" s="8" t="str">
        <f t="shared" si="52"/>
        <v/>
      </c>
      <c r="CV13" s="8" t="str">
        <f t="shared" si="52"/>
        <v/>
      </c>
      <c r="CW13" s="8" t="str">
        <f t="shared" si="52"/>
        <v/>
      </c>
      <c r="CX13" s="8" t="str">
        <f t="shared" si="52"/>
        <v/>
      </c>
      <c r="CY13" s="8" t="str">
        <f t="shared" si="52"/>
        <v/>
      </c>
      <c r="CZ13" s="8"/>
      <c r="DA13" s="8"/>
      <c r="DB13" s="41" t="str">
        <f t="shared" ref="DB13:DG13" si="53">CT13</f>
        <v/>
      </c>
      <c r="DC13" s="8" t="str">
        <f t="shared" si="53"/>
        <v/>
      </c>
      <c r="DD13" s="8" t="str">
        <f t="shared" si="53"/>
        <v/>
      </c>
      <c r="DE13" s="8" t="str">
        <f t="shared" si="53"/>
        <v/>
      </c>
      <c r="DF13" s="8" t="str">
        <f t="shared" si="53"/>
        <v/>
      </c>
      <c r="DG13" s="8" t="str">
        <f t="shared" si="53"/>
        <v/>
      </c>
      <c r="DH13" s="8"/>
      <c r="DI13" s="8"/>
      <c r="DJ13" s="41" t="str">
        <f t="shared" ref="DJ13:DO13" si="54">DB13</f>
        <v/>
      </c>
      <c r="DK13" s="8" t="str">
        <f t="shared" si="54"/>
        <v/>
      </c>
      <c r="DL13" s="8" t="str">
        <f t="shared" si="54"/>
        <v/>
      </c>
      <c r="DM13" s="8" t="str">
        <f t="shared" si="54"/>
        <v/>
      </c>
      <c r="DN13" s="8" t="str">
        <f t="shared" si="54"/>
        <v/>
      </c>
      <c r="DO13" s="8" t="str">
        <f t="shared" si="54"/>
        <v/>
      </c>
      <c r="DP13" s="8"/>
      <c r="DQ13" s="8"/>
      <c r="DR13" s="41" t="str">
        <f t="shared" ref="DR13:DW13" si="55">DJ13</f>
        <v/>
      </c>
      <c r="DS13" s="8" t="str">
        <f t="shared" si="55"/>
        <v/>
      </c>
      <c r="DT13" s="8" t="str">
        <f t="shared" si="55"/>
        <v/>
      </c>
      <c r="DU13" s="8" t="str">
        <f t="shared" si="55"/>
        <v/>
      </c>
      <c r="DV13" s="8" t="str">
        <f t="shared" si="55"/>
        <v/>
      </c>
      <c r="DW13" s="8" t="str">
        <f t="shared" si="55"/>
        <v/>
      </c>
      <c r="DX13" s="8"/>
      <c r="DY13" s="8"/>
      <c r="DZ13" s="41" t="str">
        <f t="shared" ref="DZ13:EE13" si="56">DR13</f>
        <v/>
      </c>
      <c r="EA13" s="8" t="str">
        <f t="shared" si="56"/>
        <v/>
      </c>
      <c r="EB13" s="8" t="str">
        <f t="shared" si="56"/>
        <v/>
      </c>
      <c r="EC13" s="8" t="str">
        <f t="shared" si="56"/>
        <v/>
      </c>
      <c r="ED13" s="8" t="str">
        <f t="shared" si="56"/>
        <v/>
      </c>
      <c r="EE13" s="8" t="str">
        <f t="shared" si="56"/>
        <v/>
      </c>
      <c r="EF13" s="8"/>
      <c r="EG13" s="8"/>
      <c r="EH13" s="41" t="str">
        <f t="shared" ref="EH13:EM13" si="57">DZ13</f>
        <v/>
      </c>
      <c r="EI13" s="8" t="str">
        <f t="shared" si="57"/>
        <v/>
      </c>
      <c r="EJ13" s="8" t="str">
        <f t="shared" si="57"/>
        <v/>
      </c>
      <c r="EK13" s="8" t="str">
        <f t="shared" si="57"/>
        <v/>
      </c>
      <c r="EL13" s="8" t="str">
        <f t="shared" si="57"/>
        <v/>
      </c>
      <c r="EM13" s="8" t="str">
        <f t="shared" si="57"/>
        <v/>
      </c>
      <c r="EN13" s="8"/>
      <c r="EO13" s="8"/>
      <c r="EP13" s="41" t="str">
        <f t="shared" ref="EP13:EU13" si="58">EH13</f>
        <v/>
      </c>
      <c r="EQ13" s="8" t="str">
        <f t="shared" si="58"/>
        <v/>
      </c>
      <c r="ER13" s="8" t="str">
        <f t="shared" si="58"/>
        <v/>
      </c>
      <c r="ES13" s="8" t="str">
        <f t="shared" si="58"/>
        <v/>
      </c>
      <c r="ET13" s="8" t="str">
        <f t="shared" si="58"/>
        <v/>
      </c>
      <c r="EU13" s="8" t="str">
        <f t="shared" si="58"/>
        <v/>
      </c>
      <c r="EV13" s="8"/>
      <c r="EW13" s="8"/>
      <c r="EX13" s="41" t="str">
        <f t="shared" ref="EX13:FC13" si="59">EP13</f>
        <v/>
      </c>
      <c r="EY13" s="8" t="str">
        <f t="shared" si="59"/>
        <v/>
      </c>
      <c r="EZ13" s="8" t="str">
        <f t="shared" si="59"/>
        <v/>
      </c>
      <c r="FA13" s="8" t="str">
        <f t="shared" si="59"/>
        <v/>
      </c>
      <c r="FB13" s="8" t="str">
        <f t="shared" si="59"/>
        <v/>
      </c>
      <c r="FC13" s="8" t="str">
        <f t="shared" si="59"/>
        <v/>
      </c>
      <c r="FD13" s="8"/>
      <c r="FE13" s="8"/>
      <c r="FF13" s="41" t="str">
        <f t="shared" ref="FF13:FK13" si="60">EX13</f>
        <v/>
      </c>
      <c r="FG13" s="8" t="str">
        <f t="shared" si="60"/>
        <v/>
      </c>
      <c r="FH13" s="8" t="str">
        <f t="shared" si="60"/>
        <v/>
      </c>
      <c r="FI13" s="8" t="str">
        <f t="shared" si="60"/>
        <v/>
      </c>
      <c r="FJ13" s="8" t="str">
        <f t="shared" si="60"/>
        <v/>
      </c>
      <c r="FK13" s="8" t="str">
        <f t="shared" si="60"/>
        <v/>
      </c>
      <c r="FL13" s="8"/>
      <c r="FM13" s="8"/>
    </row>
    <row r="14">
      <c r="A14" s="43"/>
      <c r="B14" s="44"/>
      <c r="C14" s="45"/>
      <c r="D14" s="45"/>
      <c r="E14" s="45"/>
      <c r="F14" s="45"/>
      <c r="G14" s="45"/>
      <c r="H14" s="45"/>
      <c r="I14" s="45"/>
      <c r="J14" s="44" t="str">
        <f t="shared" ref="J14:O14" si="61">B14</f>
        <v/>
      </c>
      <c r="K14" s="45" t="str">
        <f t="shared" si="61"/>
        <v/>
      </c>
      <c r="L14" s="45" t="str">
        <f t="shared" si="61"/>
        <v/>
      </c>
      <c r="M14" s="45" t="str">
        <f t="shared" si="61"/>
        <v/>
      </c>
      <c r="N14" s="45" t="str">
        <f t="shared" si="61"/>
        <v/>
      </c>
      <c r="O14" s="45" t="str">
        <f t="shared" si="61"/>
        <v/>
      </c>
      <c r="P14" s="45"/>
      <c r="Q14" s="45"/>
      <c r="R14" s="44" t="str">
        <f t="shared" ref="R14:W14" si="62">J14</f>
        <v/>
      </c>
      <c r="S14" s="45" t="str">
        <f t="shared" si="62"/>
        <v/>
      </c>
      <c r="T14" s="45" t="str">
        <f t="shared" si="62"/>
        <v/>
      </c>
      <c r="U14" s="45" t="str">
        <f t="shared" si="62"/>
        <v/>
      </c>
      <c r="V14" s="45" t="str">
        <f t="shared" si="62"/>
        <v/>
      </c>
      <c r="W14" s="45" t="str">
        <f t="shared" si="62"/>
        <v/>
      </c>
      <c r="X14" s="45"/>
      <c r="Y14" s="45"/>
      <c r="Z14" s="44" t="str">
        <f t="shared" ref="Z14:AE14" si="63">R14</f>
        <v/>
      </c>
      <c r="AA14" s="45" t="str">
        <f t="shared" si="63"/>
        <v/>
      </c>
      <c r="AB14" s="45" t="str">
        <f t="shared" si="63"/>
        <v/>
      </c>
      <c r="AC14" s="45" t="str">
        <f t="shared" si="63"/>
        <v/>
      </c>
      <c r="AD14" s="45" t="str">
        <f t="shared" si="63"/>
        <v/>
      </c>
      <c r="AE14" s="45" t="str">
        <f t="shared" si="63"/>
        <v/>
      </c>
      <c r="AF14" s="45"/>
      <c r="AG14" s="45"/>
      <c r="AH14" s="44" t="str">
        <f t="shared" ref="AH14:AM14" si="64">Z14</f>
        <v/>
      </c>
      <c r="AI14" s="45" t="str">
        <f t="shared" si="64"/>
        <v/>
      </c>
      <c r="AJ14" s="45" t="str">
        <f t="shared" si="64"/>
        <v/>
      </c>
      <c r="AK14" s="45" t="str">
        <f t="shared" si="64"/>
        <v/>
      </c>
      <c r="AL14" s="45" t="str">
        <f t="shared" si="64"/>
        <v/>
      </c>
      <c r="AM14" s="45" t="str">
        <f t="shared" si="64"/>
        <v/>
      </c>
      <c r="AN14" s="45"/>
      <c r="AO14" s="45"/>
      <c r="AP14" s="44" t="str">
        <f t="shared" ref="AP14:AU14" si="65">AH14</f>
        <v/>
      </c>
      <c r="AQ14" s="45" t="str">
        <f t="shared" si="65"/>
        <v/>
      </c>
      <c r="AR14" s="45" t="str">
        <f t="shared" si="65"/>
        <v/>
      </c>
      <c r="AS14" s="45" t="str">
        <f t="shared" si="65"/>
        <v/>
      </c>
      <c r="AT14" s="45" t="str">
        <f t="shared" si="65"/>
        <v/>
      </c>
      <c r="AU14" s="45" t="str">
        <f t="shared" si="65"/>
        <v/>
      </c>
      <c r="AV14" s="45"/>
      <c r="AW14" s="45"/>
      <c r="AX14" s="44" t="str">
        <f t="shared" ref="AX14:BC14" si="66">AP14</f>
        <v/>
      </c>
      <c r="AY14" s="45" t="str">
        <f t="shared" si="66"/>
        <v/>
      </c>
      <c r="AZ14" s="45" t="str">
        <f t="shared" si="66"/>
        <v/>
      </c>
      <c r="BA14" s="45" t="str">
        <f t="shared" si="66"/>
        <v/>
      </c>
      <c r="BB14" s="45" t="str">
        <f t="shared" si="66"/>
        <v/>
      </c>
      <c r="BC14" s="45" t="str">
        <f t="shared" si="66"/>
        <v/>
      </c>
      <c r="BD14" s="45"/>
      <c r="BE14" s="45"/>
      <c r="BF14" s="44" t="str">
        <f t="shared" ref="BF14:BK14" si="67">AX14</f>
        <v/>
      </c>
      <c r="BG14" s="45" t="str">
        <f t="shared" si="67"/>
        <v/>
      </c>
      <c r="BH14" s="45" t="str">
        <f t="shared" si="67"/>
        <v/>
      </c>
      <c r="BI14" s="45" t="str">
        <f t="shared" si="67"/>
        <v/>
      </c>
      <c r="BJ14" s="45" t="str">
        <f t="shared" si="67"/>
        <v/>
      </c>
      <c r="BK14" s="45" t="str">
        <f t="shared" si="67"/>
        <v/>
      </c>
      <c r="BL14" s="45"/>
      <c r="BM14" s="45"/>
      <c r="BN14" s="44" t="str">
        <f t="shared" ref="BN14:BS14" si="68">BF14</f>
        <v/>
      </c>
      <c r="BO14" s="45" t="str">
        <f t="shared" si="68"/>
        <v/>
      </c>
      <c r="BP14" s="45" t="str">
        <f t="shared" si="68"/>
        <v/>
      </c>
      <c r="BQ14" s="45" t="str">
        <f t="shared" si="68"/>
        <v/>
      </c>
      <c r="BR14" s="45" t="str">
        <f t="shared" si="68"/>
        <v/>
      </c>
      <c r="BS14" s="45" t="str">
        <f t="shared" si="68"/>
        <v/>
      </c>
      <c r="BT14" s="45"/>
      <c r="BU14" s="45"/>
      <c r="BV14" s="44" t="str">
        <f t="shared" ref="BV14:CA14" si="69">BN14</f>
        <v/>
      </c>
      <c r="BW14" s="45" t="str">
        <f t="shared" si="69"/>
        <v/>
      </c>
      <c r="BX14" s="45" t="str">
        <f t="shared" si="69"/>
        <v/>
      </c>
      <c r="BY14" s="45" t="str">
        <f t="shared" si="69"/>
        <v/>
      </c>
      <c r="BZ14" s="45" t="str">
        <f t="shared" si="69"/>
        <v/>
      </c>
      <c r="CA14" s="45" t="str">
        <f t="shared" si="69"/>
        <v/>
      </c>
      <c r="CB14" s="45"/>
      <c r="CC14" s="45"/>
      <c r="CD14" s="44" t="str">
        <f t="shared" ref="CD14:CI14" si="70">BV14</f>
        <v/>
      </c>
      <c r="CE14" s="45" t="str">
        <f t="shared" si="70"/>
        <v/>
      </c>
      <c r="CF14" s="45" t="str">
        <f t="shared" si="70"/>
        <v/>
      </c>
      <c r="CG14" s="45" t="str">
        <f t="shared" si="70"/>
        <v/>
      </c>
      <c r="CH14" s="45" t="str">
        <f t="shared" si="70"/>
        <v/>
      </c>
      <c r="CI14" s="45" t="str">
        <f t="shared" si="70"/>
        <v/>
      </c>
      <c r="CJ14" s="45"/>
      <c r="CK14" s="45"/>
      <c r="CL14" s="44" t="str">
        <f t="shared" ref="CL14:CQ14" si="71">CD14</f>
        <v/>
      </c>
      <c r="CM14" s="45" t="str">
        <f t="shared" si="71"/>
        <v/>
      </c>
      <c r="CN14" s="45" t="str">
        <f t="shared" si="71"/>
        <v/>
      </c>
      <c r="CO14" s="45" t="str">
        <f t="shared" si="71"/>
        <v/>
      </c>
      <c r="CP14" s="45" t="str">
        <f t="shared" si="71"/>
        <v/>
      </c>
      <c r="CQ14" s="45" t="str">
        <f t="shared" si="71"/>
        <v/>
      </c>
      <c r="CR14" s="45"/>
      <c r="CS14" s="45"/>
      <c r="CT14" s="44" t="str">
        <f t="shared" ref="CT14:CY14" si="72">CL14</f>
        <v/>
      </c>
      <c r="CU14" s="45" t="str">
        <f t="shared" si="72"/>
        <v/>
      </c>
      <c r="CV14" s="45" t="str">
        <f t="shared" si="72"/>
        <v/>
      </c>
      <c r="CW14" s="45" t="str">
        <f t="shared" si="72"/>
        <v/>
      </c>
      <c r="CX14" s="45" t="str">
        <f t="shared" si="72"/>
        <v/>
      </c>
      <c r="CY14" s="45" t="str">
        <f t="shared" si="72"/>
        <v/>
      </c>
      <c r="CZ14" s="45"/>
      <c r="DA14" s="45"/>
      <c r="DB14" s="44" t="str">
        <f t="shared" ref="DB14:DG14" si="73">CT14</f>
        <v/>
      </c>
      <c r="DC14" s="45" t="str">
        <f t="shared" si="73"/>
        <v/>
      </c>
      <c r="DD14" s="45" t="str">
        <f t="shared" si="73"/>
        <v/>
      </c>
      <c r="DE14" s="45" t="str">
        <f t="shared" si="73"/>
        <v/>
      </c>
      <c r="DF14" s="45" t="str">
        <f t="shared" si="73"/>
        <v/>
      </c>
      <c r="DG14" s="45" t="str">
        <f t="shared" si="73"/>
        <v/>
      </c>
      <c r="DH14" s="45"/>
      <c r="DI14" s="45"/>
      <c r="DJ14" s="44" t="str">
        <f t="shared" ref="DJ14:DO14" si="74">DB14</f>
        <v/>
      </c>
      <c r="DK14" s="45" t="str">
        <f t="shared" si="74"/>
        <v/>
      </c>
      <c r="DL14" s="45" t="str">
        <f t="shared" si="74"/>
        <v/>
      </c>
      <c r="DM14" s="45" t="str">
        <f t="shared" si="74"/>
        <v/>
      </c>
      <c r="DN14" s="45" t="str">
        <f t="shared" si="74"/>
        <v/>
      </c>
      <c r="DO14" s="45" t="str">
        <f t="shared" si="74"/>
        <v/>
      </c>
      <c r="DP14" s="45"/>
      <c r="DQ14" s="45"/>
      <c r="DR14" s="44" t="str">
        <f t="shared" ref="DR14:DW14" si="75">DJ14</f>
        <v/>
      </c>
      <c r="DS14" s="45" t="str">
        <f t="shared" si="75"/>
        <v/>
      </c>
      <c r="DT14" s="45" t="str">
        <f t="shared" si="75"/>
        <v/>
      </c>
      <c r="DU14" s="45" t="str">
        <f t="shared" si="75"/>
        <v/>
      </c>
      <c r="DV14" s="45" t="str">
        <f t="shared" si="75"/>
        <v/>
      </c>
      <c r="DW14" s="45" t="str">
        <f t="shared" si="75"/>
        <v/>
      </c>
      <c r="DX14" s="45"/>
      <c r="DY14" s="45"/>
      <c r="DZ14" s="44" t="str">
        <f t="shared" ref="DZ14:EE14" si="76">DR14</f>
        <v/>
      </c>
      <c r="EA14" s="45" t="str">
        <f t="shared" si="76"/>
        <v/>
      </c>
      <c r="EB14" s="45" t="str">
        <f t="shared" si="76"/>
        <v/>
      </c>
      <c r="EC14" s="45" t="str">
        <f t="shared" si="76"/>
        <v/>
      </c>
      <c r="ED14" s="45" t="str">
        <f t="shared" si="76"/>
        <v/>
      </c>
      <c r="EE14" s="45" t="str">
        <f t="shared" si="76"/>
        <v/>
      </c>
      <c r="EF14" s="45"/>
      <c r="EG14" s="45"/>
      <c r="EH14" s="44" t="str">
        <f t="shared" ref="EH14:EM14" si="77">DZ14</f>
        <v/>
      </c>
      <c r="EI14" s="45" t="str">
        <f t="shared" si="77"/>
        <v/>
      </c>
      <c r="EJ14" s="45" t="str">
        <f t="shared" si="77"/>
        <v/>
      </c>
      <c r="EK14" s="45" t="str">
        <f t="shared" si="77"/>
        <v/>
      </c>
      <c r="EL14" s="45" t="str">
        <f t="shared" si="77"/>
        <v/>
      </c>
      <c r="EM14" s="45" t="str">
        <f t="shared" si="77"/>
        <v/>
      </c>
      <c r="EN14" s="45"/>
      <c r="EO14" s="45"/>
      <c r="EP14" s="44" t="str">
        <f t="shared" ref="EP14:EU14" si="78">EH14</f>
        <v/>
      </c>
      <c r="EQ14" s="45" t="str">
        <f t="shared" si="78"/>
        <v/>
      </c>
      <c r="ER14" s="45" t="str">
        <f t="shared" si="78"/>
        <v/>
      </c>
      <c r="ES14" s="45" t="str">
        <f t="shared" si="78"/>
        <v/>
      </c>
      <c r="ET14" s="45" t="str">
        <f t="shared" si="78"/>
        <v/>
      </c>
      <c r="EU14" s="45" t="str">
        <f t="shared" si="78"/>
        <v/>
      </c>
      <c r="EV14" s="45"/>
      <c r="EW14" s="45"/>
      <c r="EX14" s="44" t="str">
        <f t="shared" ref="EX14:FC14" si="79">EP14</f>
        <v/>
      </c>
      <c r="EY14" s="45" t="str">
        <f t="shared" si="79"/>
        <v/>
      </c>
      <c r="EZ14" s="45" t="str">
        <f t="shared" si="79"/>
        <v/>
      </c>
      <c r="FA14" s="45" t="str">
        <f t="shared" si="79"/>
        <v/>
      </c>
      <c r="FB14" s="45" t="str">
        <f t="shared" si="79"/>
        <v/>
      </c>
      <c r="FC14" s="45" t="str">
        <f t="shared" si="79"/>
        <v/>
      </c>
      <c r="FD14" s="45"/>
      <c r="FE14" s="45"/>
      <c r="FF14" s="44" t="str">
        <f t="shared" ref="FF14:FK14" si="80">EX14</f>
        <v/>
      </c>
      <c r="FG14" s="45" t="str">
        <f t="shared" si="80"/>
        <v/>
      </c>
      <c r="FH14" s="45" t="str">
        <f t="shared" si="80"/>
        <v/>
      </c>
      <c r="FI14" s="45" t="str">
        <f t="shared" si="80"/>
        <v/>
      </c>
      <c r="FJ14" s="45" t="str">
        <f t="shared" si="80"/>
        <v/>
      </c>
      <c r="FK14" s="45" t="str">
        <f t="shared" si="80"/>
        <v/>
      </c>
      <c r="FL14" s="45"/>
      <c r="FM14" s="45"/>
    </row>
    <row r="15">
      <c r="A15" s="2"/>
      <c r="B15" s="40"/>
      <c r="C15" s="2"/>
      <c r="D15" s="2"/>
      <c r="E15" s="2"/>
      <c r="F15" s="2"/>
      <c r="G15" s="2"/>
      <c r="H15" s="2"/>
      <c r="I15" s="2"/>
      <c r="J15" s="40"/>
      <c r="K15" s="2"/>
      <c r="L15" s="2"/>
      <c r="M15" s="2"/>
      <c r="N15" s="2"/>
      <c r="O15" s="2"/>
      <c r="P15" s="2"/>
      <c r="Q15" s="2"/>
      <c r="R15" s="40"/>
      <c r="S15" s="2"/>
      <c r="T15" s="2"/>
      <c r="U15" s="2"/>
      <c r="V15" s="2"/>
      <c r="W15" s="2"/>
      <c r="X15" s="2"/>
      <c r="Y15" s="2"/>
      <c r="Z15" s="40"/>
      <c r="AA15" s="2"/>
      <c r="AB15" s="2"/>
      <c r="AC15" s="2"/>
      <c r="AD15" s="2"/>
      <c r="AE15" s="2"/>
      <c r="AF15" s="2"/>
      <c r="AG15" s="2"/>
      <c r="AH15" s="40"/>
      <c r="AI15" s="2"/>
      <c r="AJ15" s="2"/>
      <c r="AK15" s="2"/>
      <c r="AL15" s="2"/>
      <c r="AM15" s="2"/>
      <c r="AN15" s="2"/>
      <c r="AO15" s="2"/>
      <c r="AP15" s="40"/>
      <c r="AQ15" s="2"/>
      <c r="AR15" s="2"/>
      <c r="AS15" s="2"/>
      <c r="AT15" s="2"/>
      <c r="AU15" s="2"/>
      <c r="AV15" s="2"/>
      <c r="AW15" s="2"/>
      <c r="AX15" s="40"/>
      <c r="AY15" s="2"/>
      <c r="AZ15" s="2"/>
      <c r="BA15" s="2"/>
      <c r="BB15" s="2"/>
      <c r="BC15" s="2"/>
      <c r="BD15" s="2"/>
      <c r="BE15" s="2"/>
      <c r="BF15" s="40"/>
      <c r="BG15" s="2"/>
      <c r="BH15" s="2"/>
      <c r="BI15" s="2"/>
      <c r="BJ15" s="2"/>
      <c r="BK15" s="2"/>
      <c r="BL15" s="2"/>
      <c r="BM15" s="2"/>
      <c r="BN15" s="40"/>
      <c r="BO15" s="2"/>
      <c r="BP15" s="2"/>
      <c r="BQ15" s="2"/>
      <c r="BR15" s="2"/>
      <c r="BS15" s="2"/>
      <c r="BT15" s="2"/>
      <c r="BU15" s="2"/>
      <c r="BV15" s="40"/>
      <c r="BW15" s="2"/>
      <c r="BX15" s="2"/>
      <c r="BY15" s="2"/>
      <c r="BZ15" s="2"/>
      <c r="CA15" s="2"/>
      <c r="CB15" s="2"/>
      <c r="CC15" s="2"/>
      <c r="CD15" s="40"/>
      <c r="CE15" s="2"/>
      <c r="CF15" s="2"/>
      <c r="CG15" s="2"/>
      <c r="CH15" s="2"/>
      <c r="CI15" s="2"/>
      <c r="CJ15" s="2"/>
      <c r="CK15" s="2"/>
      <c r="CL15" s="40"/>
      <c r="CM15" s="2"/>
      <c r="CN15" s="2"/>
      <c r="CO15" s="2"/>
      <c r="CP15" s="2"/>
      <c r="CQ15" s="2"/>
      <c r="CR15" s="2"/>
      <c r="CS15" s="2"/>
      <c r="CT15" s="40"/>
      <c r="CU15" s="2"/>
      <c r="CV15" s="2"/>
      <c r="CW15" s="2"/>
      <c r="CX15" s="2"/>
      <c r="CY15" s="2"/>
      <c r="CZ15" s="2"/>
      <c r="DA15" s="2"/>
      <c r="DB15" s="40"/>
      <c r="DC15" s="2"/>
      <c r="DD15" s="2"/>
      <c r="DE15" s="2"/>
      <c r="DF15" s="2"/>
      <c r="DG15" s="2"/>
      <c r="DH15" s="2"/>
      <c r="DI15" s="2"/>
      <c r="DJ15" s="40"/>
      <c r="DK15" s="2"/>
      <c r="DL15" s="2"/>
      <c r="DM15" s="2"/>
      <c r="DN15" s="2"/>
      <c r="DO15" s="2"/>
      <c r="DP15" s="2"/>
      <c r="DQ15" s="2"/>
      <c r="DR15" s="40"/>
      <c r="DS15" s="2"/>
      <c r="DT15" s="2"/>
      <c r="DU15" s="2"/>
      <c r="DV15" s="2"/>
      <c r="DW15" s="2"/>
      <c r="DX15" s="2"/>
      <c r="DY15" s="2"/>
      <c r="DZ15" s="40"/>
      <c r="EA15" s="2"/>
      <c r="EB15" s="2"/>
      <c r="EC15" s="2"/>
      <c r="ED15" s="2"/>
      <c r="EE15" s="2"/>
      <c r="EF15" s="2"/>
      <c r="EG15" s="2"/>
      <c r="EH15" s="40"/>
      <c r="EI15" s="2"/>
      <c r="EJ15" s="2"/>
      <c r="EK15" s="2"/>
      <c r="EL15" s="2"/>
      <c r="EM15" s="2"/>
      <c r="EN15" s="2"/>
      <c r="EO15" s="2"/>
      <c r="EP15" s="40"/>
      <c r="EQ15" s="2"/>
      <c r="ER15" s="2"/>
      <c r="ES15" s="2"/>
      <c r="ET15" s="2"/>
      <c r="EU15" s="2"/>
      <c r="EV15" s="2"/>
      <c r="EW15" s="2"/>
      <c r="EX15" s="40"/>
      <c r="EY15" s="2"/>
      <c r="EZ15" s="2"/>
      <c r="FA15" s="2"/>
      <c r="FB15" s="2"/>
      <c r="FC15" s="2"/>
      <c r="FD15" s="2"/>
      <c r="FE15" s="2"/>
      <c r="FF15" s="40"/>
      <c r="FG15" s="2"/>
      <c r="FH15" s="2"/>
      <c r="FI15" s="2"/>
      <c r="FJ15" s="2"/>
      <c r="FK15" s="2"/>
      <c r="FL15" s="2"/>
      <c r="FM15" s="2"/>
    </row>
    <row r="16">
      <c r="A16" s="31" t="s">
        <v>82</v>
      </c>
      <c r="B16" s="32"/>
      <c r="C16" s="33"/>
      <c r="D16" s="33"/>
      <c r="E16" s="33"/>
      <c r="F16" s="33"/>
      <c r="G16" s="33"/>
      <c r="H16" s="33"/>
      <c r="I16" s="33"/>
      <c r="J16" s="32"/>
      <c r="K16" s="33"/>
      <c r="L16" s="33"/>
      <c r="M16" s="33"/>
      <c r="N16" s="33"/>
      <c r="O16" s="33"/>
      <c r="P16" s="33"/>
      <c r="Q16" s="33"/>
      <c r="R16" s="32"/>
      <c r="S16" s="33"/>
      <c r="T16" s="33"/>
      <c r="U16" s="33"/>
      <c r="V16" s="33"/>
      <c r="W16" s="33"/>
      <c r="X16" s="33"/>
      <c r="Y16" s="33"/>
      <c r="Z16" s="32"/>
      <c r="AA16" s="33"/>
      <c r="AB16" s="33"/>
      <c r="AC16" s="33"/>
      <c r="AD16" s="33"/>
      <c r="AE16" s="33"/>
      <c r="AF16" s="33"/>
      <c r="AG16" s="33"/>
      <c r="AH16" s="32"/>
      <c r="AI16" s="33"/>
      <c r="AJ16" s="33"/>
      <c r="AK16" s="33"/>
      <c r="AL16" s="33"/>
      <c r="AM16" s="33"/>
      <c r="AN16" s="33"/>
      <c r="AO16" s="33"/>
      <c r="AP16" s="32"/>
      <c r="AQ16" s="33"/>
      <c r="AR16" s="33"/>
      <c r="AS16" s="33"/>
      <c r="AT16" s="33"/>
      <c r="AU16" s="33"/>
      <c r="AV16" s="33"/>
      <c r="AW16" s="33"/>
      <c r="AX16" s="32"/>
      <c r="AY16" s="33"/>
      <c r="AZ16" s="33"/>
      <c r="BA16" s="33"/>
      <c r="BB16" s="33"/>
      <c r="BC16" s="33"/>
      <c r="BD16" s="33"/>
      <c r="BE16" s="33"/>
      <c r="BF16" s="32"/>
      <c r="BG16" s="33"/>
      <c r="BH16" s="33"/>
      <c r="BI16" s="33"/>
      <c r="BJ16" s="33"/>
      <c r="BK16" s="33"/>
      <c r="BL16" s="33"/>
      <c r="BM16" s="33"/>
      <c r="BN16" s="32"/>
      <c r="BO16" s="33"/>
      <c r="BP16" s="33"/>
      <c r="BQ16" s="33"/>
      <c r="BR16" s="33"/>
      <c r="BS16" s="33"/>
      <c r="BT16" s="33"/>
      <c r="BU16" s="33"/>
      <c r="BV16" s="32"/>
      <c r="BW16" s="33"/>
      <c r="BX16" s="33"/>
      <c r="BY16" s="33"/>
      <c r="BZ16" s="33"/>
      <c r="CA16" s="33"/>
      <c r="CB16" s="33"/>
      <c r="CC16" s="33"/>
      <c r="CD16" s="32"/>
      <c r="CE16" s="33"/>
      <c r="CF16" s="33"/>
      <c r="CG16" s="33"/>
      <c r="CH16" s="33"/>
      <c r="CI16" s="33"/>
      <c r="CJ16" s="33"/>
      <c r="CK16" s="33"/>
      <c r="CL16" s="32"/>
      <c r="CM16" s="33"/>
      <c r="CN16" s="33"/>
      <c r="CO16" s="33"/>
      <c r="CP16" s="33"/>
      <c r="CQ16" s="33"/>
      <c r="CR16" s="33"/>
      <c r="CS16" s="33"/>
      <c r="CT16" s="32"/>
      <c r="CU16" s="33"/>
      <c r="CV16" s="33"/>
      <c r="CW16" s="33"/>
      <c r="CX16" s="33"/>
      <c r="CY16" s="33"/>
      <c r="CZ16" s="33"/>
      <c r="DA16" s="33"/>
      <c r="DB16" s="32"/>
      <c r="DC16" s="33"/>
      <c r="DD16" s="33"/>
      <c r="DE16" s="33"/>
      <c r="DF16" s="33"/>
      <c r="DG16" s="33"/>
      <c r="DH16" s="33"/>
      <c r="DI16" s="33"/>
      <c r="DJ16" s="32"/>
      <c r="DK16" s="33"/>
      <c r="DL16" s="33"/>
      <c r="DM16" s="33"/>
      <c r="DN16" s="33"/>
      <c r="DO16" s="33"/>
      <c r="DP16" s="33"/>
      <c r="DQ16" s="33"/>
      <c r="DR16" s="32"/>
      <c r="DS16" s="33"/>
      <c r="DT16" s="33"/>
      <c r="DU16" s="33"/>
      <c r="DV16" s="33"/>
      <c r="DW16" s="33"/>
      <c r="DX16" s="33"/>
      <c r="DY16" s="33"/>
      <c r="DZ16" s="32"/>
      <c r="EA16" s="33"/>
      <c r="EB16" s="33"/>
      <c r="EC16" s="33"/>
      <c r="ED16" s="33"/>
      <c r="EE16" s="33"/>
      <c r="EF16" s="33"/>
      <c r="EG16" s="33"/>
      <c r="EH16" s="32"/>
      <c r="EI16" s="33"/>
      <c r="EJ16" s="33"/>
      <c r="EK16" s="33"/>
      <c r="EL16" s="33"/>
      <c r="EM16" s="33"/>
      <c r="EN16" s="33"/>
      <c r="EO16" s="33"/>
      <c r="EP16" s="32"/>
      <c r="EQ16" s="33"/>
      <c r="ER16" s="33"/>
      <c r="ES16" s="33"/>
      <c r="ET16" s="33"/>
      <c r="EU16" s="33"/>
      <c r="EV16" s="33"/>
      <c r="EW16" s="33"/>
      <c r="EX16" s="34" t="s">
        <v>79</v>
      </c>
      <c r="EY16" s="35"/>
      <c r="EZ16" s="35"/>
      <c r="FA16" s="35"/>
      <c r="FB16" s="35"/>
      <c r="FC16" s="35"/>
      <c r="FD16" s="35"/>
      <c r="FE16" s="35"/>
      <c r="FF16" s="32"/>
      <c r="FG16" s="33"/>
      <c r="FH16" s="33"/>
      <c r="FI16" s="33"/>
      <c r="FJ16" s="33"/>
      <c r="FK16" s="33"/>
      <c r="FL16" s="33"/>
      <c r="FM16" s="33"/>
    </row>
    <row r="17" hidden="1">
      <c r="A17" s="36" t="str">
        <f>CONCATENATE(A18," TM")</f>
        <v>Bench Press TM</v>
      </c>
      <c r="B17" s="37">
        <f>if(D17="",'Quick Setup'!D6,D17/'Quick Setup'!E6)</f>
        <v>325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325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325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325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325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325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325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Setup'!$E6)</f>
        <v>325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325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325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325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325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325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325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Setup'!$E6)</f>
        <v>325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325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325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325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325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325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325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Setup!A4</f>
        <v>Bench Press</v>
      </c>
      <c r="B18" s="40">
        <f>mround(B17*Setup!B4,'Quick Setup'!$A$2)</f>
        <v>227.5</v>
      </c>
      <c r="C18" s="2">
        <f>Setup!C4</f>
        <v>5</v>
      </c>
      <c r="D18" s="2">
        <f>Setup!D4</f>
        <v>3</v>
      </c>
      <c r="E18" s="2">
        <f>Setup!E4</f>
        <v>5</v>
      </c>
      <c r="F18" s="8"/>
      <c r="G18" s="8"/>
      <c r="H18" s="8"/>
      <c r="I18" s="8"/>
      <c r="J18" s="40">
        <f>mround(J17*Setup!N4,'Quick Setup'!$A$2)</f>
        <v>245</v>
      </c>
      <c r="K18" s="2">
        <f>Setup!O4</f>
        <v>4</v>
      </c>
      <c r="L18" s="2">
        <f>Setup!P4</f>
        <v>2</v>
      </c>
      <c r="M18" s="2">
        <f>Setup!Q4</f>
        <v>5</v>
      </c>
      <c r="N18" s="8"/>
      <c r="O18" s="8"/>
      <c r="P18" s="8"/>
      <c r="Q18" s="8"/>
      <c r="R18" s="40">
        <f>mround(R17*Setup!Z4,'Quick Setup'!$A$2)</f>
        <v>260</v>
      </c>
      <c r="S18" s="2">
        <f>Setup!AA4</f>
        <v>3</v>
      </c>
      <c r="T18" s="2">
        <f>Setup!AB4</f>
        <v>2</v>
      </c>
      <c r="U18" s="2">
        <f>Setup!AC4</f>
        <v>5</v>
      </c>
      <c r="V18" s="8"/>
      <c r="W18" s="8"/>
      <c r="X18" s="8"/>
      <c r="Y18" s="8"/>
      <c r="Z18" s="40">
        <f>mround(Z17*Setup!AL4,'Quick Setup'!$A$2)</f>
        <v>235</v>
      </c>
      <c r="AA18" s="2">
        <f>Setup!AM4</f>
        <v>5</v>
      </c>
      <c r="AB18" s="2">
        <f>Setup!AN4</f>
        <v>3</v>
      </c>
      <c r="AC18" s="2">
        <f>Setup!AO4</f>
        <v>5</v>
      </c>
      <c r="AD18" s="8"/>
      <c r="AE18" s="8"/>
      <c r="AF18" s="8"/>
      <c r="AG18" s="8"/>
      <c r="AH18" s="40">
        <f>mround(AH17*Setup!AX4,'Quick Setup'!$A$2)</f>
        <v>252.5</v>
      </c>
      <c r="AI18" s="2">
        <f>Setup!AY4</f>
        <v>4</v>
      </c>
      <c r="AJ18" s="2">
        <f>Setup!AZ4</f>
        <v>2</v>
      </c>
      <c r="AK18" s="2">
        <f>Setup!BA4</f>
        <v>5</v>
      </c>
      <c r="AL18" s="8"/>
      <c r="AM18" s="8"/>
      <c r="AN18" s="8"/>
      <c r="AO18" s="8"/>
      <c r="AP18" s="40">
        <f>mround(AP17*Setup!BJ4,'Quick Setup'!$A$2)</f>
        <v>267.5</v>
      </c>
      <c r="AQ18" s="2">
        <f>Setup!BK4</f>
        <v>3</v>
      </c>
      <c r="AR18" s="2">
        <f>Setup!BL4</f>
        <v>2</v>
      </c>
      <c r="AS18" s="2">
        <f>Setup!BM4</f>
        <v>5</v>
      </c>
      <c r="AT18" s="8"/>
      <c r="AU18" s="8"/>
      <c r="AV18" s="8"/>
      <c r="AW18" s="8"/>
      <c r="AX18" s="40">
        <f>mround(AX17*Setup!BV4,'Quick Setup'!$A$2)</f>
        <v>195</v>
      </c>
      <c r="AY18" s="1">
        <v>5.0</v>
      </c>
      <c r="AZ18" s="1" t="s">
        <v>80</v>
      </c>
      <c r="BA18" s="2">
        <f>Setup!BY4</f>
        <v>5</v>
      </c>
      <c r="BB18" s="8"/>
      <c r="BC18" s="8"/>
      <c r="BD18" s="8"/>
      <c r="BE18" s="8"/>
      <c r="BF18" s="40">
        <f>mround(BF17*Setup!CH4,'Quick Setup'!$A$2)</f>
        <v>245</v>
      </c>
      <c r="BG18" s="2">
        <f>Setup!CI4</f>
        <v>4</v>
      </c>
      <c r="BH18" s="2">
        <f>Setup!CJ4</f>
        <v>2</v>
      </c>
      <c r="BI18" s="2">
        <f>Setup!CK4</f>
        <v>5</v>
      </c>
      <c r="BJ18" s="8"/>
      <c r="BK18" s="8"/>
      <c r="BL18" s="8"/>
      <c r="BM18" s="8"/>
      <c r="BN18" s="40">
        <f>mround(BN17*Setup!CT4,'Quick Setup'!$A$2)</f>
        <v>260</v>
      </c>
      <c r="BO18" s="2">
        <f>Setup!CU4</f>
        <v>3</v>
      </c>
      <c r="BP18" s="2">
        <f>Setup!CV4</f>
        <v>2</v>
      </c>
      <c r="BQ18" s="2">
        <f>Setup!CW4</f>
        <v>5</v>
      </c>
      <c r="BR18" s="8"/>
      <c r="BS18" s="8"/>
      <c r="BT18" s="8"/>
      <c r="BU18" s="8"/>
      <c r="BV18" s="40">
        <f>mround(BV17*Setup!DF4,'Quick Setup'!$A$2)</f>
        <v>277.5</v>
      </c>
      <c r="BW18" s="2">
        <f>Setup!DG4</f>
        <v>2</v>
      </c>
      <c r="BX18" s="2">
        <f>Setup!DH4</f>
        <v>1</v>
      </c>
      <c r="BY18" s="2">
        <f>Setup!DI4</f>
        <v>5</v>
      </c>
      <c r="BZ18" s="8"/>
      <c r="CA18" s="8"/>
      <c r="CB18" s="8"/>
      <c r="CC18" s="8"/>
      <c r="CD18" s="40">
        <f>mround(CD17*Setup!DR4,'Quick Setup'!$A$2)</f>
        <v>252.5</v>
      </c>
      <c r="CE18" s="2">
        <f>Setup!DS4</f>
        <v>4</v>
      </c>
      <c r="CF18" s="2">
        <f>Setup!DT4</f>
        <v>2</v>
      </c>
      <c r="CG18" s="2">
        <f>Setup!DU4</f>
        <v>5</v>
      </c>
      <c r="CH18" s="8"/>
      <c r="CI18" s="8"/>
      <c r="CJ18" s="8"/>
      <c r="CK18" s="8"/>
      <c r="CL18" s="40">
        <f>mround(CL17*Setup!ED4,'Quick Setup'!$A$2)</f>
        <v>267.5</v>
      </c>
      <c r="CM18" s="2">
        <f>Setup!EE4</f>
        <v>3</v>
      </c>
      <c r="CN18" s="2">
        <f>Setup!EF4</f>
        <v>2</v>
      </c>
      <c r="CO18" s="2">
        <f>Setup!EG4</f>
        <v>5</v>
      </c>
      <c r="CP18" s="8"/>
      <c r="CQ18" s="8"/>
      <c r="CR18" s="8"/>
      <c r="CS18" s="8"/>
      <c r="CT18" s="40">
        <f>mround(CT17*Setup!EP4,'Quick Setup'!$A$2)</f>
        <v>285</v>
      </c>
      <c r="CU18" s="2">
        <f>Setup!EQ4</f>
        <v>2</v>
      </c>
      <c r="CV18" s="2">
        <f>Setup!ER4</f>
        <v>1</v>
      </c>
      <c r="CW18" s="2">
        <f>Setup!ES4</f>
        <v>5</v>
      </c>
      <c r="CX18" s="8"/>
      <c r="CY18" s="8"/>
      <c r="CZ18" s="8"/>
      <c r="DA18" s="8"/>
      <c r="DB18" s="40">
        <f>mround(DB17*Setup!FB4,'Quick Setup'!$A$2)</f>
        <v>195</v>
      </c>
      <c r="DC18" s="1">
        <v>5.0</v>
      </c>
      <c r="DD18" s="1" t="s">
        <v>80</v>
      </c>
      <c r="DE18" s="2">
        <f>Setup!FE4</f>
        <v>5</v>
      </c>
      <c r="DF18" s="8"/>
      <c r="DG18" s="8"/>
      <c r="DH18" s="8"/>
      <c r="DI18" s="8"/>
      <c r="DJ18" s="40">
        <f>mround(DJ17*Setup!FN4,'Quick Setup'!$A$2)</f>
        <v>260</v>
      </c>
      <c r="DK18" s="2">
        <f>Setup!FO4</f>
        <v>3</v>
      </c>
      <c r="DL18" s="2">
        <f>Setup!FP4</f>
        <v>2</v>
      </c>
      <c r="DM18" s="2">
        <f>Setup!FQ4</f>
        <v>5</v>
      </c>
      <c r="DN18" s="8"/>
      <c r="DO18" s="8"/>
      <c r="DP18" s="8"/>
      <c r="DQ18" s="8"/>
      <c r="DR18" s="40">
        <f>mround(DR17*Setup!FZ4,'Quick Setup'!$A$2)</f>
        <v>277.5</v>
      </c>
      <c r="DS18" s="2">
        <f>Setup!GA4</f>
        <v>2</v>
      </c>
      <c r="DT18" s="2">
        <f>Setup!GB4</f>
        <v>1</v>
      </c>
      <c r="DU18" s="2">
        <f>Setup!GC4</f>
        <v>5</v>
      </c>
      <c r="DV18" s="8"/>
      <c r="DW18" s="8"/>
      <c r="DX18" s="8"/>
      <c r="DY18" s="8"/>
      <c r="DZ18" s="40">
        <f>mround(DZ17*Setup!GL4,'Quick Setup'!$A$2)</f>
        <v>292.5</v>
      </c>
      <c r="EA18" s="2">
        <f>Setup!GM4</f>
        <v>1</v>
      </c>
      <c r="EB18" s="2">
        <f>Setup!GN4</f>
        <v>1</v>
      </c>
      <c r="EC18" s="2">
        <f>Setup!GO4</f>
        <v>5</v>
      </c>
      <c r="ED18" s="8"/>
      <c r="EE18" s="8"/>
      <c r="EF18" s="8"/>
      <c r="EG18" s="8"/>
      <c r="EH18" s="40">
        <f>mround(EH17*Setup!GX4,'Quick Setup'!$A$2)</f>
        <v>277.5</v>
      </c>
      <c r="EI18" s="2">
        <f>Setup!GY4</f>
        <v>2</v>
      </c>
      <c r="EJ18" s="2">
        <f>Setup!GZ4</f>
        <v>1</v>
      </c>
      <c r="EK18" s="2">
        <f>Setup!HA4</f>
        <v>5</v>
      </c>
      <c r="EL18" s="8"/>
      <c r="EM18" s="8"/>
      <c r="EN18" s="8"/>
      <c r="EO18" s="8"/>
      <c r="EP18" s="40">
        <f>mround(EP17*Setup!HJ4,'Quick Setup'!$A$2)</f>
        <v>292.5</v>
      </c>
      <c r="EQ18" s="2">
        <f>Setup!HK4</f>
        <v>1</v>
      </c>
      <c r="ER18" s="2">
        <f>Setup!HL4</f>
        <v>1</v>
      </c>
      <c r="ES18" s="2">
        <f>Setup!HM4</f>
        <v>5</v>
      </c>
      <c r="ET18" s="8"/>
      <c r="EU18" s="8"/>
      <c r="EV18" s="8"/>
      <c r="EW18" s="8"/>
      <c r="EX18" s="40">
        <f>mround(EX17*Setup!HV4,'Quick Setup'!$A$2)</f>
        <v>310</v>
      </c>
      <c r="EY18" s="2">
        <f>Setup!HW4</f>
        <v>1</v>
      </c>
      <c r="EZ18" s="2">
        <f>Setup!HX4</f>
        <v>1</v>
      </c>
      <c r="FA18" s="2">
        <f>Setup!HY4</f>
        <v>5</v>
      </c>
      <c r="FB18" s="8"/>
      <c r="FC18" s="8"/>
      <c r="FD18" s="8"/>
      <c r="FE18" s="8"/>
      <c r="FF18" s="40">
        <f>mround(FF17*Setup!IH4,'Quick Setup'!$A$2)</f>
        <v>195</v>
      </c>
      <c r="FG18" s="1">
        <v>5.0</v>
      </c>
      <c r="FH18" s="1" t="s">
        <v>80</v>
      </c>
      <c r="FI18" s="2">
        <f>Setup!IK4</f>
        <v>5</v>
      </c>
      <c r="FJ18" s="8"/>
      <c r="FK18" s="8"/>
      <c r="FL18" s="8"/>
      <c r="FM18" s="8"/>
    </row>
    <row r="19" hidden="1">
      <c r="A19" s="36" t="str">
        <f>CONCATENATE(A20," TM")</f>
        <v>Front Squat TM</v>
      </c>
      <c r="B19" s="37">
        <f>if(D19="",'Quick Setup'!D11,D19/'Quick Setup'!E11)</f>
        <v>420</v>
      </c>
      <c r="C19" s="36" t="s">
        <v>77</v>
      </c>
      <c r="D19" s="38"/>
      <c r="E19" s="39"/>
      <c r="F19" s="39"/>
      <c r="G19" s="39"/>
      <c r="H19" s="39"/>
      <c r="I19" s="39"/>
      <c r="J19" s="37">
        <f>if(L19="", if(F20="",B19, if((F20-E20)&lt;-1.9,B19*(1+Setup!F9),if((F20-E20)=-1,B19*(1+Setup!G9),if(G20&lt;D20,B19*(1+Setup!G9),if(G20=D20,B19*(1+Setup!H9),if((G20-D20)=1,B19*(1+Setup!I9),if((G20-D20)=2,B19*(1+Setup!J9),if((G20-D20)=3,B19*(1+Setup!K9),if((G20-D20)=4,B19*(1+Setup!L9),if((G20-D20)&gt;4.1,B19*(1+Setup!M9),B19)))))))))),L19/'Quick Setup'!$E11)</f>
        <v>420</v>
      </c>
      <c r="K19" s="36" t="s">
        <v>77</v>
      </c>
      <c r="L19" s="38"/>
      <c r="M19" s="39"/>
      <c r="N19" s="39"/>
      <c r="O19" s="39"/>
      <c r="P19" s="39"/>
      <c r="Q19" s="39"/>
      <c r="R19" s="37">
        <f>if(T19="", if(N20="",J19, if((N20-M20)&lt;-1.9,J19*(1+Setup!R9),if((N20-M20)=-1,J19*(1+Setup!S9),if(O20&lt;L20,J19*(1+Setup!S9),if(O20=L20,J19*(1+Setup!T9),if((O20-L20)=1,J19*(1+Setup!U9),if((O20-L20)=2,J19*(1+Setup!V9),if((O20-L20)=3,J19*(1+Setup!W9),if((O20-L20)=4,J19*(1+Setup!X9),if((O20-L20)&gt;4.1,J19*(1+Setup!Y9),J19)))))))))),T19/'Quick Setup'!$E11)</f>
        <v>420</v>
      </c>
      <c r="S19" s="36" t="s">
        <v>77</v>
      </c>
      <c r="T19" s="38"/>
      <c r="U19" s="39"/>
      <c r="V19" s="39"/>
      <c r="W19" s="39"/>
      <c r="X19" s="39"/>
      <c r="Y19" s="39"/>
      <c r="Z19" s="37">
        <f>if(AB19="", if(V20="",R19, if((V20-U20)&lt;-1.9,R19*(1+Setup!AD9),if((V20-U20)=-1,R19*(1+Setup!AE9),if(W20&lt;T20,R19*(1+Setup!AE9),if(W20=T20,R19*(1+Setup!AF9),if((W20-T20)=1,R19*(1+Setup!AG9),if((W20-T20)=2,R19*(1+Setup!AH9),if((W20-T20)=3,R19*(1+Setup!AI9),if((W20-T20)=4,R19*(1+Setup!AJ9),if((W20-T20)&gt;4.1,R19*(1+Setup!AK9),R19)))))))))),AB19/'Quick Setup'!$E11)</f>
        <v>420</v>
      </c>
      <c r="AA19" s="36" t="s">
        <v>77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9),if((AD20-AC20)=-1,Z19*(1+Setup!AQ9),if(AE20&lt;AB20,Z19*(1+Setup!AQ9),if(AE20=AB20,Z19*(1+Setup!AR9),if((AE20-AB20)=1,Z19*(1+Setup!AS9),if((AE20-AB20)=2,Z19*(1+Setup!AT9),if((AE20-AB20)=3,Z19*(1+Setup!AU9),if((AE20-AB20)=4,Z19*(1+Setup!AV9),if((AE20-AB20)&gt;4.1,Z19*(1+Setup!AW9),Z19)))))))))),AJ19/'Quick Setup'!$E11)</f>
        <v>420</v>
      </c>
      <c r="AI19" s="36" t="s">
        <v>77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9),if((AL20-AK20)=-1,AH19*(1+Setup!BC9),if(AM20&lt;AJ20,AH19*(1+Setup!BC9),if(AM20=AJ20,AH19*(1+Setup!BD9),if((AM20-AJ20)=1,AH19*(1+Setup!BE9),if((AM20-AJ20)=2,AH19*(1+Setup!BF9),if((AM20-AJ20)=3,AH19*(1+Setup!BG9),if((AM20-AJ20)=4,AH19*(1+Setup!BH9),if((AM20-AJ20)&gt;4.1,AH19*(1+Setup!BI9),AH19)))))))))),AR19/'Quick Setup'!$E11)</f>
        <v>420</v>
      </c>
      <c r="AQ19" s="36" t="s">
        <v>77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9),if((AT20-AS20)=-1,AP19*(1+Setup!BO9),if(AU20&lt;AR20,AP19*(1+Setup!BO9),if(AU20=AR20,AP19*(1+Setup!BP9),if((AU20-AR20)=1,AP19*(1+Setup!BQ9),if((AU20-AR20)=2,AP19*(1+Setup!BR9),if((AU20-AR20)=3,AP19*(1+Setup!BS9),if((AU20-AR20)=4,AP19*(1+Setup!BT9),if((AU20-AR20)&gt;4.1,AP19*(1+Setup!BU9),AP19)))))))))),AZ19/'Quick Setup'!$E11)</f>
        <v>420</v>
      </c>
      <c r="AY19" s="36" t="s">
        <v>77</v>
      </c>
      <c r="AZ19" s="38"/>
      <c r="BA19" s="39"/>
      <c r="BB19" s="39"/>
      <c r="BC19" s="39"/>
      <c r="BD19" s="39"/>
      <c r="BE19" s="39"/>
      <c r="BF19" s="37">
        <f>if(BH19="",AX19,BH19/'Quick Setup'!$E11)</f>
        <v>420</v>
      </c>
      <c r="BG19" s="36" t="s">
        <v>77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9),if((BJ20-BI20)=-1,BF19*(1+Setup!CM9),if(BK20&lt;BH20,BF19*(1+Setup!CM9),if(BK20=BH20,BF19*(1+Setup!CN9),if((BK20-BH20)=1,BF19*(1+Setup!CO9),if((BK20-BH20)=2,BF19*(1+Setup!CP9),if((BK20-BH20)=3,BF19*(1+Setup!CQ9),if((BK20-BH20)=4,BF19*(1+Setup!CR9),if((BK20-BH20)&gt;4.1,BF19*(1+Setup!CS9),BF19)))))))))),BP19/'Quick Setup'!$E11)</f>
        <v>420</v>
      </c>
      <c r="BO19" s="36" t="s">
        <v>77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9),if((BR20-BQ20)=-1,BN19*(1+Setup!CY9),if(BS20&lt;BP20,BN19*(1+Setup!CY9),if(BS20=BP20,BN19*(1+Setup!CZ9),if((BS20-BP20)=1,BN19*(1+Setup!DA9),if((BS20-BP20)=2,BN19*(1+Setup!DB9),if((BS20-BP20)=3,BN19*(1+Setup!DC9),if((BS20-BP20)=4,BN19*(1+Setup!DD9),if((BS20-BP20)&gt;4.1,BN19*(1+Setup!DE9),BN19)))))))))),BX19/'Quick Setup'!$E11)</f>
        <v>420</v>
      </c>
      <c r="BW19" s="36" t="s">
        <v>77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9),if((BZ20-BY20)=-1,BV19*(1+Setup!DK9),if(CA20&lt;BX20,BV19*(1+Setup!DK9),if(CA20=BX20,BV19*(1+Setup!DL9),if((CA20-BX20)=1,BV19*(1+Setup!DM9),if((CA20-BX20)=2,BV19*(1+Setup!DN9),if((CA20-BX20)=3,BV19*(1+Setup!DO9),if((CA20-BX20)=4,BV19*(1+Setup!DP9),if((CA20-BX20)&gt;4.1,BV19*(1+Setup!DQ9),BV19)))))))))),CF19/'Quick Setup'!$E11)</f>
        <v>420</v>
      </c>
      <c r="CE19" s="36" t="s">
        <v>77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9),if((CH20-CG20)=-1,CD19*(1+Setup!DW9),if(CI20&lt;CF20,CD19*(1+Setup!DW9),if(CI20=CF20,CD19*(1+Setup!DX9),if((CI20-CF20)=1,CD19*(1+Setup!DY9),if((CI20-CF20)=2,CD19*(1+Setup!DZ9),if((CI20-CF20)=3,CD19*(1+Setup!EA9),if((CI20-CF20)=4,CD19*(1+Setup!EB9),if((CI20-CF20)&gt;4.1,CD19*(1+Setup!EC9),CD19)))))))))),CN19/'Quick Setup'!$E11)</f>
        <v>420</v>
      </c>
      <c r="CM19" s="36" t="s">
        <v>77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9),if((CP20-CO20)=-1,CL19*(1+Setup!EI9),if(CQ20&lt;CN20,CL19*(1+Setup!EI9),if(CQ20=CN20,CL19*(1+Setup!EJ9),if((CQ20-CN20)=1,CL19*(1+Setup!EK9),if((CQ20-CN20)=2,CL19*(1+Setup!EL9),if((CQ20-CN20)=3,CL19*(1+Setup!EM9),if((CQ20-CN20)=4,CL19*(1+Setup!EN9),if((CQ20-CN20)&gt;4.1,CL19*(1+Setup!EO9),CL19)))))))))),CV19/'Quick Setup'!$E11)</f>
        <v>420</v>
      </c>
      <c r="CU19" s="36" t="s">
        <v>77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9),if((CX20-CW20)=-1,CT19*(1+Setup!EU9),if(CY20&lt;CV20,CT19*(1+Setup!EU9),if(CY20=CV20,CT19*(1+Setup!EV9),if((CY20-CV20)=1,CT19*(1+Setup!EW9),if((CY20-CV20)=2,CT19*(1+Setup!EX9),if((CY20-CV20)=3,CT19*(1+Setup!EY9),if((CY20-CV20)=4,CT19*(1+Setup!EZ9),if((CY20-CV20)&gt;4.1,CT19*(1+Setup!FA9),CT19)))))))))),DD19/'Quick Setup'!$E11)</f>
        <v>420</v>
      </c>
      <c r="DC19" s="36" t="s">
        <v>77</v>
      </c>
      <c r="DD19" s="38"/>
      <c r="DE19" s="39"/>
      <c r="DF19" s="39"/>
      <c r="DG19" s="39"/>
      <c r="DH19" s="39"/>
      <c r="DI19" s="39"/>
      <c r="DJ19" s="37">
        <f>if(DL19="",DB19,DL19/'Quick Setup'!$E11)</f>
        <v>420</v>
      </c>
      <c r="DK19" s="36" t="s">
        <v>77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9),if((DN20-DM20)=-1,DJ19*(1+Setup!FS9),if(DO20&lt;DL20,DJ19*(1+Setup!FS9),if(DO20=DL20,DJ19*(1+Setup!FT9),if((DO20-DL20)=1,DJ19*(1+Setup!FU9),if((DO20-DL20)=2,DJ19*(1+Setup!FV9),if((DO20-DL20)=3,DJ19*(1+Setup!FW9),if((DO20-DL20)=4,DJ19*(1+Setup!FX9),if((DO20-DL20)&gt;4.1,DJ19*(1+Setup!FY9),DJ19)))))))))),DT19/'Quick Setup'!$E11)</f>
        <v>420</v>
      </c>
      <c r="DS19" s="36" t="s">
        <v>77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9),if((DV20-DU20)=-1,DR19*(1+Setup!GE9),if(DW20&lt;DT20,DR19*(1+Setup!GE9),if(DW20=DT20,DR19*(1+Setup!GF9),if((DW20-DT20)=1,DR19*(1+Setup!GG9),if((DW20-DT20)=2,DR19*(1+Setup!GH9),if((DW20-DT20)=3,DR19*(1+Setup!GI9),if((DW20-DT20)=4,DR19*(1+Setup!GJ9),if((DW20-DT20)&gt;4.1,DR19*(1+Setup!GK9),DR19)))))))))),EB19/'Quick Setup'!$E11)</f>
        <v>420</v>
      </c>
      <c r="EA19" s="36" t="s">
        <v>77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9),if((ED20-EC20)=-1,DZ19*(1+Setup!GQ9),if(EE20&lt;EB20,DZ19*(1+Setup!GQ9),if(EE20=EB20,DZ19*(1+Setup!GR9),if((EE20-EB20)=1,DZ19*(1+Setup!GS9),if((EE20-EB20)=2,DZ19*(1+Setup!GT9),if((EE20-EB20)=3,DZ19*(1+Setup!GU9),if((EE20-EB20)=4,DZ19*(1+Setup!GV9),if((EE20-EB20)&gt;4.1,DZ19*(1+Setup!GW9),DZ19)))))))))),EJ19/'Quick Setup'!$E11)</f>
        <v>420</v>
      </c>
      <c r="EI19" s="36" t="s">
        <v>77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9),if((EL20-EK20)=-1,EH19*(1+Setup!HC9),if(EM20&lt;EJ20,EH19*(1+Setup!HC9),if(EM20=EJ20,EH19*(1+Setup!HD9),if((EM20-EJ20)=1,EH19*(1+Setup!HE9),if((EM20-EJ20)=2,EH19*(1+Setup!HF9),if((EM20-EJ20)=3,EH19*(1+Setup!HG9),if((EM20-EJ20)=4,EH19*(1+Setup!HH9),if((EM20-EJ20)&gt;4.1,EH19*(1+Setup!HI9),EH19)))))))))),ER19/'Quick Setup'!$E11)</f>
        <v>420</v>
      </c>
      <c r="EQ19" s="36" t="s">
        <v>77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9),if((ET20-ES20)=-1,EP19*(1+Setup!HO9),if(EU20&lt;ER20,EP19*(1+Setup!HO9),if(EU20=ER20,EP19*(1+Setup!HP9),if((EU20-ER20)=1,EP19*(1+Setup!HQ9),if((EU20-ER20)=2,EP19*(1+Setup!HR9),if((EU20-ER20)=3,EP19*(1+Setup!HS9),if((EU20-ER20)=4,EP19*(1+Setup!HT9),if((EU20-ER20)&gt;4.1,EP19*(1+Setup!HU9),EP19)))))))))),EZ19/'Quick Setup'!$E11)</f>
        <v>420</v>
      </c>
      <c r="EY19" s="36" t="s">
        <v>77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9),if((FB20-FA20)=-1,EX19*(1+Setup!IA9),if(FC20&lt;EZ20,EX19*(1+Setup!IA9),if(FC20=EZ20,EX19*(1+Setup!IB9),if((FC20-EZ20)=1,EX19*(1+Setup!IC9),if((FC20-EZ20)=2,EX19*(1+Setup!ID9),if((FC20-EZ20)=3,EX19*(1+Setup!IE9),if((FC20-EZ20)=4,EX19*(1+Setup!IF9),if((FC20-EZ20)&gt;4.1,EX19*(1+Setup!IG9),EX19)))))))))),FH19/'Quick Setup'!$E11)</f>
        <v>420</v>
      </c>
      <c r="FG19" s="36" t="s">
        <v>77</v>
      </c>
      <c r="FH19" s="38"/>
      <c r="FI19" s="39"/>
      <c r="FJ19" s="39"/>
      <c r="FK19" s="39"/>
      <c r="FL19" s="39"/>
      <c r="FM19" s="39"/>
    </row>
    <row r="20">
      <c r="A20" s="1" t="str">
        <f>Setup!A9</f>
        <v>Front Squat</v>
      </c>
      <c r="B20" s="40">
        <f>mround(B19*Setup!B9,'Quick Setup'!$A$2)</f>
        <v>252.5</v>
      </c>
      <c r="C20" s="2">
        <f>Setup!C9</f>
        <v>7</v>
      </c>
      <c r="D20" s="2">
        <f>Setup!D9</f>
        <v>3</v>
      </c>
      <c r="E20" s="2">
        <f>Setup!E9</f>
        <v>5</v>
      </c>
      <c r="F20" s="8"/>
      <c r="G20" s="8"/>
      <c r="H20" s="8"/>
      <c r="I20" s="8"/>
      <c r="J20" s="40">
        <f>mround(J19*Setup!N9,'Quick Setup'!$A$2)</f>
        <v>272.5</v>
      </c>
      <c r="K20" s="2">
        <f>Setup!O9</f>
        <v>6</v>
      </c>
      <c r="L20" s="2">
        <f>Setup!P9</f>
        <v>3</v>
      </c>
      <c r="M20" s="2">
        <f>Setup!Q9</f>
        <v>5</v>
      </c>
      <c r="N20" s="8"/>
      <c r="O20" s="8"/>
      <c r="P20" s="8"/>
      <c r="Q20" s="8"/>
      <c r="R20" s="40">
        <f>mround(R19*Setup!Z9,'Quick Setup'!$A$2)</f>
        <v>295</v>
      </c>
      <c r="S20" s="2">
        <f>Setup!AA9</f>
        <v>5</v>
      </c>
      <c r="T20" s="2">
        <f>Setup!AB9</f>
        <v>3</v>
      </c>
      <c r="U20" s="2">
        <f>Setup!AC9</f>
        <v>5</v>
      </c>
      <c r="V20" s="8"/>
      <c r="W20" s="8"/>
      <c r="X20" s="8"/>
      <c r="Y20" s="8"/>
      <c r="Z20" s="40">
        <f>mround(Z19*Setup!AL9,'Quick Setup'!$A$2)</f>
        <v>262.5</v>
      </c>
      <c r="AA20" s="2">
        <f>Setup!AM9</f>
        <v>7</v>
      </c>
      <c r="AB20" s="2">
        <f>Setup!AN9</f>
        <v>3</v>
      </c>
      <c r="AC20" s="2">
        <f>Setup!AO9</f>
        <v>5</v>
      </c>
      <c r="AD20" s="8"/>
      <c r="AE20" s="8"/>
      <c r="AF20" s="8"/>
      <c r="AG20" s="8"/>
      <c r="AH20" s="40">
        <f>mround(AH19*Setup!AX9,'Quick Setup'!$A$2)</f>
        <v>282.5</v>
      </c>
      <c r="AI20" s="2">
        <f>Setup!AY9</f>
        <v>6</v>
      </c>
      <c r="AJ20" s="2">
        <f>Setup!AZ9</f>
        <v>3</v>
      </c>
      <c r="AK20" s="2">
        <f>Setup!BA9</f>
        <v>5</v>
      </c>
      <c r="AL20" s="8"/>
      <c r="AM20" s="8"/>
      <c r="AN20" s="8"/>
      <c r="AO20" s="8"/>
      <c r="AP20" s="40">
        <f>mround(AP19*Setup!BJ9,'Quick Setup'!$A$2)</f>
        <v>305</v>
      </c>
      <c r="AQ20" s="2">
        <f>Setup!BK9</f>
        <v>5</v>
      </c>
      <c r="AR20" s="2">
        <f>Setup!BL9</f>
        <v>3</v>
      </c>
      <c r="AS20" s="2">
        <f>Setup!BM9</f>
        <v>5</v>
      </c>
      <c r="AT20" s="8"/>
      <c r="AU20" s="8"/>
      <c r="AV20" s="8"/>
      <c r="AW20" s="8"/>
      <c r="AX20" s="40">
        <f>mround(AX19*Setup!BV9,'Quick Setup'!$A$2)</f>
        <v>210</v>
      </c>
      <c r="AY20" s="1">
        <v>5.0</v>
      </c>
      <c r="AZ20" s="1" t="s">
        <v>80</v>
      </c>
      <c r="BA20" s="2">
        <f>Setup!BY9</f>
        <v>5</v>
      </c>
      <c r="BB20" s="8"/>
      <c r="BC20" s="8"/>
      <c r="BD20" s="8"/>
      <c r="BE20" s="8"/>
      <c r="BF20" s="40">
        <f>mround(BF19*Setup!CH9,'Quick Setup'!$A$2)</f>
        <v>272.5</v>
      </c>
      <c r="BG20" s="2">
        <f>Setup!CI9</f>
        <v>6</v>
      </c>
      <c r="BH20" s="2">
        <f>Setup!CJ9</f>
        <v>3</v>
      </c>
      <c r="BI20" s="2">
        <f>Setup!CK9</f>
        <v>5</v>
      </c>
      <c r="BJ20" s="8"/>
      <c r="BK20" s="8"/>
      <c r="BL20" s="8"/>
      <c r="BM20" s="8"/>
      <c r="BN20" s="40">
        <f>mround(BN19*Setup!CT9,'Quick Setup'!$A$2)</f>
        <v>295</v>
      </c>
      <c r="BO20" s="2">
        <f>Setup!CU9</f>
        <v>5</v>
      </c>
      <c r="BP20" s="2">
        <f>Setup!CV9</f>
        <v>3</v>
      </c>
      <c r="BQ20" s="2">
        <f>Setup!CW9</f>
        <v>5</v>
      </c>
      <c r="BR20" s="8"/>
      <c r="BS20" s="8"/>
      <c r="BT20" s="8"/>
      <c r="BU20" s="8"/>
      <c r="BV20" s="40">
        <f>mround(BV19*Setup!DF9,'Quick Setup'!$A$2)</f>
        <v>315</v>
      </c>
      <c r="BW20" s="2">
        <f>Setup!DG9</f>
        <v>4</v>
      </c>
      <c r="BX20" s="2">
        <f>Setup!DH9</f>
        <v>2</v>
      </c>
      <c r="BY20" s="2">
        <f>Setup!DI9</f>
        <v>5</v>
      </c>
      <c r="BZ20" s="8"/>
      <c r="CA20" s="8"/>
      <c r="CB20" s="8"/>
      <c r="CC20" s="8"/>
      <c r="CD20" s="40">
        <f>mround(CD19*Setup!DR9,'Quick Setup'!$A$2)</f>
        <v>282.5</v>
      </c>
      <c r="CE20" s="2">
        <f>Setup!DS9</f>
        <v>6</v>
      </c>
      <c r="CF20" s="2">
        <f>Setup!DT9</f>
        <v>3</v>
      </c>
      <c r="CG20" s="2">
        <f>Setup!DU9</f>
        <v>5</v>
      </c>
      <c r="CH20" s="8"/>
      <c r="CI20" s="8"/>
      <c r="CJ20" s="8"/>
      <c r="CK20" s="8"/>
      <c r="CL20" s="40">
        <f>mround(CL19*Setup!ED9,'Quick Setup'!$A$2)</f>
        <v>305</v>
      </c>
      <c r="CM20" s="2">
        <f>Setup!EE9</f>
        <v>5</v>
      </c>
      <c r="CN20" s="2">
        <f>Setup!EF9</f>
        <v>3</v>
      </c>
      <c r="CO20" s="2">
        <f>Setup!EG9</f>
        <v>5</v>
      </c>
      <c r="CP20" s="8"/>
      <c r="CQ20" s="8"/>
      <c r="CR20" s="8"/>
      <c r="CS20" s="8"/>
      <c r="CT20" s="40">
        <f>mround(CT19*Setup!EP9,'Quick Setup'!$A$2)</f>
        <v>325</v>
      </c>
      <c r="CU20" s="2">
        <f>Setup!EQ9</f>
        <v>4</v>
      </c>
      <c r="CV20" s="2">
        <f>Setup!ER9</f>
        <v>2</v>
      </c>
      <c r="CW20" s="2">
        <f>Setup!ES9</f>
        <v>5</v>
      </c>
      <c r="CX20" s="8"/>
      <c r="CY20" s="8"/>
      <c r="CZ20" s="8"/>
      <c r="DA20" s="8"/>
      <c r="DB20" s="40">
        <f>mround(DB19*Setup!FB9,'Quick Setup'!$A$2)</f>
        <v>210</v>
      </c>
      <c r="DC20" s="1">
        <v>5.0</v>
      </c>
      <c r="DD20" s="1" t="s">
        <v>80</v>
      </c>
      <c r="DE20" s="2">
        <f>Setup!FE9</f>
        <v>5</v>
      </c>
      <c r="DF20" s="8"/>
      <c r="DG20" s="8"/>
      <c r="DH20" s="8"/>
      <c r="DI20" s="8"/>
      <c r="DJ20" s="40">
        <f>mround(DJ19*Setup!FN9,'Quick Setup'!$A$2)</f>
        <v>295</v>
      </c>
      <c r="DK20" s="2">
        <f>Setup!FO9</f>
        <v>5</v>
      </c>
      <c r="DL20" s="2">
        <f>Setup!FP9</f>
        <v>3</v>
      </c>
      <c r="DM20" s="2">
        <f>Setup!FQ9</f>
        <v>5</v>
      </c>
      <c r="DN20" s="8"/>
      <c r="DO20" s="8"/>
      <c r="DP20" s="8"/>
      <c r="DQ20" s="8"/>
      <c r="DR20" s="40">
        <f>mround(DR19*Setup!FZ9,'Quick Setup'!$A$2)</f>
        <v>315</v>
      </c>
      <c r="DS20" s="2">
        <f>Setup!GA9</f>
        <v>4</v>
      </c>
      <c r="DT20" s="2">
        <f>Setup!GB9</f>
        <v>2</v>
      </c>
      <c r="DU20" s="2">
        <f>Setup!GC9</f>
        <v>5</v>
      </c>
      <c r="DV20" s="8"/>
      <c r="DW20" s="8"/>
      <c r="DX20" s="8"/>
      <c r="DY20" s="8"/>
      <c r="DZ20" s="40">
        <f>mround(DZ19*Setup!GL9,'Quick Setup'!$A$2)</f>
        <v>335</v>
      </c>
      <c r="EA20" s="2">
        <f>Setup!GM9</f>
        <v>3</v>
      </c>
      <c r="EB20" s="2">
        <f>Setup!GN9</f>
        <v>2</v>
      </c>
      <c r="EC20" s="2">
        <f>Setup!GO9</f>
        <v>5</v>
      </c>
      <c r="ED20" s="8"/>
      <c r="EE20" s="8"/>
      <c r="EF20" s="8"/>
      <c r="EG20" s="8"/>
      <c r="EH20" s="40">
        <f>mround(EH19*Setup!GX9,'Quick Setup'!$A$2)</f>
        <v>315</v>
      </c>
      <c r="EI20" s="2">
        <f>Setup!GY9</f>
        <v>4</v>
      </c>
      <c r="EJ20" s="2">
        <f>Setup!GZ9</f>
        <v>2</v>
      </c>
      <c r="EK20" s="2">
        <f>Setup!HA9</f>
        <v>5</v>
      </c>
      <c r="EL20" s="8"/>
      <c r="EM20" s="8"/>
      <c r="EN20" s="8"/>
      <c r="EO20" s="8"/>
      <c r="EP20" s="40">
        <f>mround(EP19*Setup!HJ9,'Quick Setup'!$A$2)</f>
        <v>335</v>
      </c>
      <c r="EQ20" s="2">
        <f>Setup!HK9</f>
        <v>3</v>
      </c>
      <c r="ER20" s="2">
        <f>Setup!HL9</f>
        <v>2</v>
      </c>
      <c r="ES20" s="2">
        <f>Setup!HM9</f>
        <v>5</v>
      </c>
      <c r="ET20" s="8"/>
      <c r="EU20" s="8"/>
      <c r="EV20" s="8"/>
      <c r="EW20" s="8"/>
      <c r="EX20" s="40">
        <f>mround(EX19*Setup!HV9,'Quick Setup'!$A$2)</f>
        <v>357.5</v>
      </c>
      <c r="EY20" s="2">
        <f>Setup!HW9</f>
        <v>2</v>
      </c>
      <c r="EZ20" s="2">
        <f>Setup!HX9</f>
        <v>1</v>
      </c>
      <c r="FA20" s="2">
        <f>Setup!HY9</f>
        <v>5</v>
      </c>
      <c r="FB20" s="8"/>
      <c r="FC20" s="8"/>
      <c r="FD20" s="8"/>
      <c r="FE20" s="8"/>
      <c r="FF20" s="40">
        <f>mround(FF19*Setup!IH9,'Quick Setup'!$A$2)</f>
        <v>210</v>
      </c>
      <c r="FG20" s="1">
        <v>5.0</v>
      </c>
      <c r="FH20" s="1" t="s">
        <v>80</v>
      </c>
      <c r="FI20" s="2">
        <f>Setup!IK9</f>
        <v>5</v>
      </c>
      <c r="FJ20" s="8"/>
      <c r="FK20" s="8"/>
      <c r="FL20" s="8"/>
      <c r="FM20" s="8"/>
    </row>
    <row r="21" hidden="1">
      <c r="A21" s="36" t="str">
        <f>CONCATENATE(A22," TM")</f>
        <v>Push Press TM</v>
      </c>
      <c r="B21" s="37">
        <f>if(D21="",'Quick Setup'!D16,D21/'Quick Setup'!E16)</f>
        <v>245</v>
      </c>
      <c r="C21" s="36" t="s">
        <v>77</v>
      </c>
      <c r="D21" s="38"/>
      <c r="E21" s="39"/>
      <c r="F21" s="39"/>
      <c r="G21" s="39"/>
      <c r="H21" s="39"/>
      <c r="I21" s="39"/>
      <c r="J21" s="37">
        <f>if(L21="", if(F22="",B21, if((F22-E22)&lt;-1.9,B21*(1+Setup!F14),if((F22-E22)=-1,B21*(1+Setup!G14),if(G22&lt;D22,B21*(1+Setup!G14),if(G22=D22,B21*(1+Setup!H14),if((G22-D22)=1,B21*(1+Setup!I14),if((G22-D22)=2,B21*(1+Setup!J14),if((G22-D22)=3,B21*(1+Setup!K14),if((G22-D22)=4,B21*(1+Setup!L14),if((G22-D22)&gt;4.1,B21*(1+Setup!M14),B21)))))))))),L21/'Quick Setup'!$E16)</f>
        <v>245</v>
      </c>
      <c r="K21" s="36" t="s">
        <v>77</v>
      </c>
      <c r="L21" s="38"/>
      <c r="M21" s="39"/>
      <c r="N21" s="39"/>
      <c r="O21" s="39"/>
      <c r="P21" s="39"/>
      <c r="Q21" s="39"/>
      <c r="R21" s="37">
        <f>if(T21="", if(N22="",J21, if((N22-M22)&lt;-1.9,J21*(1+Setup!R14),if((N22-M22)=-1,J21*(1+Setup!S14),if(O22&lt;L22,J21*(1+Setup!S14),if(O22=L22,J21*(1+Setup!T14),if((O22-L22)=1,J21*(1+Setup!U14),if((O22-L22)=2,J21*(1+Setup!V14),if((O22-L22)=3,J21*(1+Setup!W14),if((O22-L22)=4,J21*(1+Setup!X14),if((O22-L22)&gt;4.1,J21*(1+Setup!Y14),J21)))))))))),T21/'Quick Setup'!$E16)</f>
        <v>245</v>
      </c>
      <c r="S21" s="36" t="s">
        <v>77</v>
      </c>
      <c r="T21" s="38"/>
      <c r="U21" s="39"/>
      <c r="V21" s="39"/>
      <c r="W21" s="39"/>
      <c r="X21" s="39"/>
      <c r="Y21" s="39"/>
      <c r="Z21" s="37">
        <f>if(AB21="", if(V22="",R21, if((V22-U22)&lt;-1.9,R21*(1+Setup!AD14),if((V22-U22)=-1,R21*(1+Setup!AE14),if(W22&lt;T22,R21*(1+Setup!AE14),if(W22=T22,R21*(1+Setup!AF14),if((W22-T22)=1,R21*(1+Setup!AG14),if((W22-T22)=2,R21*(1+Setup!AH14),if((W22-T22)=3,R21*(1+Setup!AI14),if((W22-T22)=4,R21*(1+Setup!AJ14),if((W22-T22)&gt;4.1,R21*(1+Setup!AK14),R21)))))))))),AB21/'Quick Setup'!$E16)</f>
        <v>245</v>
      </c>
      <c r="AA21" s="36" t="s">
        <v>77</v>
      </c>
      <c r="AB21" s="38"/>
      <c r="AC21" s="39"/>
      <c r="AD21" s="39"/>
      <c r="AE21" s="39"/>
      <c r="AF21" s="39"/>
      <c r="AG21" s="39"/>
      <c r="AH21" s="37">
        <f>if(AJ21="", if(AD22="",Z21, if((AD22-AC22)&lt;-1.9,Z21*(1+Setup!AP14),if((AD22-AC22)=-1,Z21*(1+Setup!AQ14),if(AE22&lt;AB22,Z21*(1+Setup!AQ14),if(AE22=AB22,Z21*(1+Setup!AR14),if((AE22-AB22)=1,Z21*(1+Setup!AS14),if((AE22-AB22)=2,Z21*(1+Setup!AT14),if((AE22-AB22)=3,Z21*(1+Setup!AU14),if((AE22-AB22)=4,Z21*(1+Setup!AV14),if((AE22-AB22)&gt;4.1,Z21*(1+Setup!AW14),Z21)))))))))),AJ21/'Quick Setup'!$E16)</f>
        <v>245</v>
      </c>
      <c r="AI21" s="36" t="s">
        <v>77</v>
      </c>
      <c r="AJ21" s="38"/>
      <c r="AK21" s="39"/>
      <c r="AL21" s="39"/>
      <c r="AM21" s="39"/>
      <c r="AN21" s="39"/>
      <c r="AO21" s="39"/>
      <c r="AP21" s="37">
        <f>if(AR21="", if(AL22="",AH21, if((AL22-AK22)&lt;-1.9,AH21*(1+Setup!BB14),if((AL22-AK22)=-1,AH21*(1+Setup!BC14),if(AM22&lt;AJ22,AH21*(1+Setup!BC14),if(AM22=AJ22,AH21*(1+Setup!BD14),if((AM22-AJ22)=1,AH21*(1+Setup!BE14),if((AM22-AJ22)=2,AH21*(1+Setup!BF14),if((AM22-AJ22)=3,AH21*(1+Setup!BG14),if((AM22-AJ22)=4,AH21*(1+Setup!BH14),if((AM22-AJ22)&gt;4.1,AH21*(1+Setup!BI14),AH21)))))))))),AR21/'Quick Setup'!$E16)</f>
        <v>245</v>
      </c>
      <c r="AQ21" s="36" t="s">
        <v>77</v>
      </c>
      <c r="AR21" s="38"/>
      <c r="AS21" s="39"/>
      <c r="AT21" s="39"/>
      <c r="AU21" s="39"/>
      <c r="AV21" s="39"/>
      <c r="AW21" s="39"/>
      <c r="AX21" s="37">
        <f>if(AZ21="", if(AT22="",AP21, if((AT22-AS22)&lt;-1.9,AP21*(1+Setup!BN14),if((AT22-AS22)=-1,AP21*(1+Setup!BO14),if(AU22&lt;AR22,AP21*(1+Setup!BO14),if(AU22=AR22,AP21*(1+Setup!BP14),if((AU22-AR22)=1,AP21*(1+Setup!BQ14),if((AU22-AR22)=2,AP21*(1+Setup!BR14),if((AU22-AR22)=3,AP21*(1+Setup!BS14),if((AU22-AR22)=4,AP21*(1+Setup!BT14),if((AU22-AR22)&gt;4.1,AP21*(1+Setup!BU14),AP21)))))))))),AZ21/'Quick Setup'!$E16)</f>
        <v>245</v>
      </c>
      <c r="AY21" s="36" t="s">
        <v>77</v>
      </c>
      <c r="AZ21" s="38"/>
      <c r="BA21" s="39"/>
      <c r="BB21" s="39"/>
      <c r="BC21" s="39"/>
      <c r="BD21" s="39"/>
      <c r="BE21" s="39"/>
      <c r="BF21" s="37">
        <f>if(BH21="",AX21,BH21/'Quick Setup'!$E16)</f>
        <v>245</v>
      </c>
      <c r="BG21" s="36" t="s">
        <v>77</v>
      </c>
      <c r="BH21" s="38"/>
      <c r="BI21" s="39"/>
      <c r="BJ21" s="39"/>
      <c r="BK21" s="39"/>
      <c r="BL21" s="39"/>
      <c r="BM21" s="39"/>
      <c r="BN21" s="37">
        <f>if(BP21="", if(BJ22="",BF21, if((BJ22-BI22)&lt;-1.9,BF21*(1+Setup!CL14),if((BJ22-BI22)=-1,BF21*(1+Setup!CM14),if(BK22&lt;BH22,BF21*(1+Setup!CM14),if(BK22=BH22,BF21*(1+Setup!CN14),if((BK22-BH22)=1,BF21*(1+Setup!CO14),if((BK22-BH22)=2,BF21*(1+Setup!CP14),if((BK22-BH22)=3,BF21*(1+Setup!CQ14),if((BK22-BH22)=4,BF21*(1+Setup!CR14),if((BK22-BH22)&gt;4.1,BF21*(1+Setup!CS14),BF21)))))))))),BP21/'Quick Setup'!$E16)</f>
        <v>245</v>
      </c>
      <c r="BO21" s="36" t="s">
        <v>77</v>
      </c>
      <c r="BP21" s="38"/>
      <c r="BQ21" s="39"/>
      <c r="BR21" s="39"/>
      <c r="BS21" s="39"/>
      <c r="BT21" s="39"/>
      <c r="BU21" s="39"/>
      <c r="BV21" s="37">
        <f>if(BX21="", if(BR22="",BN21, if((BR22-BQ22)&lt;-1.9,BN21*(1+Setup!CX14),if((BR22-BQ22)=-1,BN21*(1+Setup!CY14),if(BS22&lt;BP22,BN21*(1+Setup!CY14),if(BS22=BP22,BN21*(1+Setup!CZ14),if((BS22-BP22)=1,BN21*(1+Setup!DA14),if((BS22-BP22)=2,BN21*(1+Setup!DB14),if((BS22-BP22)=3,BN21*(1+Setup!DC14),if((BS22-BP22)=4,BN21*(1+Setup!DD14),if((BS22-BP22)&gt;4.1,BN21*(1+Setup!DE14),BN21)))))))))),BX21/'Quick Setup'!$E16)</f>
        <v>245</v>
      </c>
      <c r="BW21" s="36" t="s">
        <v>77</v>
      </c>
      <c r="BX21" s="38"/>
      <c r="BY21" s="39"/>
      <c r="BZ21" s="39"/>
      <c r="CA21" s="39"/>
      <c r="CB21" s="39"/>
      <c r="CC21" s="39"/>
      <c r="CD21" s="37">
        <f>if(CF21="", if(BZ22="",BV21, if((BZ22-BY22)&lt;-1.9,BV21*(1+Setup!DJ14),if((BZ22-BY22)=-1,BV21*(1+Setup!DK14),if(CA22&lt;BX22,BV21*(1+Setup!DK14),if(CA22=BX22,BV21*(1+Setup!DL14),if((CA22-BX22)=1,BV21*(1+Setup!DM14),if((CA22-BX22)=2,BV21*(1+Setup!DN14),if((CA22-BX22)=3,BV21*(1+Setup!DO14),if((CA22-BX22)=4,BV21*(1+Setup!DP14),if((CA22-BX22)&gt;4.1,BV21*(1+Setup!DQ14),BV21)))))))))),CF21/'Quick Setup'!$E16)</f>
        <v>245</v>
      </c>
      <c r="CE21" s="36" t="s">
        <v>77</v>
      </c>
      <c r="CF21" s="38"/>
      <c r="CG21" s="39"/>
      <c r="CH21" s="39"/>
      <c r="CI21" s="39"/>
      <c r="CJ21" s="39"/>
      <c r="CK21" s="39"/>
      <c r="CL21" s="37">
        <f>if(CN21="", if(CH22="",CD21, if((CH22-CG22)&lt;-1.9,CD21*(1+Setup!DV14),if((CH22-CG22)=-1,CD21*(1+Setup!DW14),if(CI22&lt;CF22,CD21*(1+Setup!DW14),if(CI22=CF22,CD21*(1+Setup!DX14),if((CI22-CF22)=1,CD21*(1+Setup!DY14),if((CI22-CF22)=2,CD21*(1+Setup!DZ14),if((CI22-CF22)=3,CD21*(1+Setup!EA14),if((CI22-CF22)=4,CD21*(1+Setup!EB14),if((CI22-CF22)&gt;4.1,CD21*(1+Setup!EC14),CD21)))))))))),CN21/'Quick Setup'!$E16)</f>
        <v>245</v>
      </c>
      <c r="CM21" s="36" t="s">
        <v>77</v>
      </c>
      <c r="CN21" s="38"/>
      <c r="CO21" s="39"/>
      <c r="CP21" s="39"/>
      <c r="CQ21" s="39"/>
      <c r="CR21" s="39"/>
      <c r="CS21" s="39"/>
      <c r="CT21" s="37">
        <f>if(CV21="", if(CP22="",CL21, if((CP22-CO22)&lt;-1.9,CL21*(1+Setup!EH14),if((CP22-CO22)=-1,CL21*(1+Setup!EI14),if(CQ22&lt;CN22,CL21*(1+Setup!EI14),if(CQ22=CN22,CL21*(1+Setup!EJ14),if((CQ22-CN22)=1,CL21*(1+Setup!EK14),if((CQ22-CN22)=2,CL21*(1+Setup!EL14),if((CQ22-CN22)=3,CL21*(1+Setup!EM14),if((CQ22-CN22)=4,CL21*(1+Setup!EN14),if((CQ22-CN22)&gt;4.1,CL21*(1+Setup!EO14),CL21)))))))))),CV21/'Quick Setup'!$E16)</f>
        <v>245</v>
      </c>
      <c r="CU21" s="36" t="s">
        <v>77</v>
      </c>
      <c r="CV21" s="38"/>
      <c r="CW21" s="39"/>
      <c r="CX21" s="39"/>
      <c r="CY21" s="39"/>
      <c r="CZ21" s="39"/>
      <c r="DA21" s="39"/>
      <c r="DB21" s="37">
        <f>if(DD21="", if(CX22="",CT21, if((CX22-CW22)&lt;-1.9,CT21*(1+Setup!ET14),if((CX22-CW22)=-1,CT21*(1+Setup!EU14),if(CY22&lt;CV22,CT21*(1+Setup!EU14),if(CY22=CV22,CT21*(1+Setup!EV14),if((CY22-CV22)=1,CT21*(1+Setup!EW14),if((CY22-CV22)=2,CT21*(1+Setup!EX14),if((CY22-CV22)=3,CT21*(1+Setup!EY14),if((CY22-CV22)=4,CT21*(1+Setup!EZ14),if((CY22-CV22)&gt;4.1,CT21*(1+Setup!FA14),CT21)))))))))),DD21/'Quick Setup'!$E16)</f>
        <v>245</v>
      </c>
      <c r="DC21" s="36" t="s">
        <v>77</v>
      </c>
      <c r="DD21" s="38"/>
      <c r="DE21" s="39"/>
      <c r="DF21" s="39"/>
      <c r="DG21" s="39"/>
      <c r="DH21" s="39"/>
      <c r="DI21" s="39"/>
      <c r="DJ21" s="37">
        <f>if(DL21="",DB21,DL21/'Quick Setup'!$E16)</f>
        <v>245</v>
      </c>
      <c r="DK21" s="36" t="s">
        <v>77</v>
      </c>
      <c r="DL21" s="38"/>
      <c r="DM21" s="39"/>
      <c r="DN21" s="39"/>
      <c r="DO21" s="39"/>
      <c r="DP21" s="39"/>
      <c r="DQ21" s="39"/>
      <c r="DR21" s="37">
        <f>if(DT21="", if(DN22="",DJ21, if((DN22-DM22)&lt;-1.9,DJ21*(1+Setup!FR14),if((DN22-DM22)=-1,DJ21*(1+Setup!FS14),if(DO22&lt;DL22,DJ21*(1+Setup!FS14),if(DO22=DL22,DJ21*(1+Setup!FT14),if((DO22-DL22)=1,DJ21*(1+Setup!FU14),if((DO22-DL22)=2,DJ21*(1+Setup!FV14),if((DO22-DL22)=3,DJ21*(1+Setup!FW14),if((DO22-DL22)=4,DJ21*(1+Setup!FX14),if((DO22-DL22)&gt;4.1,DJ21*(1+Setup!FY14),DJ21)))))))))),DT21/'Quick Setup'!$E16)</f>
        <v>245</v>
      </c>
      <c r="DS21" s="36" t="s">
        <v>77</v>
      </c>
      <c r="DT21" s="38"/>
      <c r="DU21" s="39"/>
      <c r="DV21" s="39"/>
      <c r="DW21" s="39"/>
      <c r="DX21" s="39"/>
      <c r="DY21" s="39"/>
      <c r="DZ21" s="37">
        <f>if(EB21="", if(DV22="",DR21, if((DV22-DU22)&lt;-1.9,DR21*(1+Setup!GD14),if((DV22-DU22)=-1,DR21*(1+Setup!GE14),if(DW22&lt;DT22,DR21*(1+Setup!GE14),if(DW22=DT22,DR21*(1+Setup!GF14),if((DW22-DT22)=1,DR21*(1+Setup!GG14),if((DW22-DT22)=2,DR21*(1+Setup!GH14),if((DW22-DT22)=3,DR21*(1+Setup!GI14),if((DW22-DT22)=4,DR21*(1+Setup!GJ14),if((DW22-DT22)&gt;4.1,DR21*(1+Setup!GK14),DR21)))))))))),EB21/'Quick Setup'!$E16)</f>
        <v>245</v>
      </c>
      <c r="EA21" s="36" t="s">
        <v>77</v>
      </c>
      <c r="EB21" s="38"/>
      <c r="EC21" s="39"/>
      <c r="ED21" s="39"/>
      <c r="EE21" s="39"/>
      <c r="EF21" s="39"/>
      <c r="EG21" s="39"/>
      <c r="EH21" s="37">
        <f>if(EJ21="", if(ED22="",DZ21, if((ED22-EC22)&lt;-1.9,DZ21*(1+Setup!GP14),if((ED22-EC22)=-1,DZ21*(1+Setup!GQ14),if(EE22&lt;EB22,DZ21*(1+Setup!GQ14),if(EE22=EB22,DZ21*(1+Setup!GR14),if((EE22-EB22)=1,DZ21*(1+Setup!GS14),if((EE22-EB22)=2,DZ21*(1+Setup!GT14),if((EE22-EB22)=3,DZ21*(1+Setup!GU14),if((EE22-EB22)=4,DZ21*(1+Setup!GV14),if((EE22-EB22)&gt;4.1,DZ21*(1+Setup!GW14),DZ21)))))))))),EJ21/'Quick Setup'!$E16)</f>
        <v>245</v>
      </c>
      <c r="EI21" s="36" t="s">
        <v>77</v>
      </c>
      <c r="EJ21" s="38"/>
      <c r="EK21" s="39"/>
      <c r="EL21" s="39"/>
      <c r="EM21" s="39"/>
      <c r="EN21" s="39"/>
      <c r="EO21" s="39"/>
      <c r="EP21" s="37">
        <f>if(ER21="", if(EL22="",EH21, if((EL22-EK22)&lt;-1.9,EH21*(1+Setup!HB14),if((EL22-EK22)=-1,EH21*(1+Setup!HC14),if(EM22&lt;EJ22,EH21*(1+Setup!HC14),if(EM22=EJ22,EH21*(1+Setup!HD14),if((EM22-EJ22)=1,EH21*(1+Setup!HE14),if((EM22-EJ22)=2,EH21*(1+Setup!HF14),if((EM22-EJ22)=3,EH21*(1+Setup!HG14),if((EM22-EJ22)=4,EH21*(1+Setup!HH14),if((EM22-EJ22)&gt;4.1,EH21*(1+Setup!HI14),EH21)))))))))),ER21/'Quick Setup'!$E16)</f>
        <v>245</v>
      </c>
      <c r="EQ21" s="36" t="s">
        <v>77</v>
      </c>
      <c r="ER21" s="38"/>
      <c r="ES21" s="39"/>
      <c r="ET21" s="39"/>
      <c r="EU21" s="39"/>
      <c r="EV21" s="39"/>
      <c r="EW21" s="39"/>
      <c r="EX21" s="37">
        <f>if(EZ21="", if(ET22="",EP21, if((ET22-ES22)&lt;-1.9,EP21*(1+Setup!HN14),if((ET22-ES22)=-1,EP21*(1+Setup!HO14),if(EU22&lt;ER22,EP21*(1+Setup!HO14),if(EU22=ER22,EP21*(1+Setup!HP14),if((EU22-ER22)=1,EP21*(1+Setup!HQ14),if((EU22-ER22)=2,EP21*(1+Setup!HR14),if((EU22-ER22)=3,EP21*(1+Setup!HS14),if((EU22-ER22)=4,EP21*(1+Setup!HT14),if((EU22-ER22)&gt;4.1,EP21*(1+Setup!HU14),EP21)))))))))),EZ21/'Quick Setup'!$E16)</f>
        <v>245</v>
      </c>
      <c r="EY21" s="36" t="s">
        <v>77</v>
      </c>
      <c r="EZ21" s="38"/>
      <c r="FA21" s="39"/>
      <c r="FB21" s="39"/>
      <c r="FC21" s="39"/>
      <c r="FD21" s="39"/>
      <c r="FE21" s="39"/>
      <c r="FF21" s="37">
        <f>if(FH21="", if(FB22="",EX21, if((FB22-FA22)&lt;-1.9,EX21*(1+Setup!HZ14),if((FB22-FA22)=-1,EX21*(1+Setup!IA14),if(FC22&lt;EZ22,EX21*(1+Setup!IA14),if(FC22=EZ22,EX21*(1+Setup!IB14),if((FC22-EZ22)=1,EX21*(1+Setup!IC14),if((FC22-EZ22)=2,EX21*(1+Setup!ID14),if((FC22-EZ22)=3,EX21*(1+Setup!IE14),if((FC22-EZ22)=4,EX21*(1+Setup!IF14),if((FC22-EZ22)&gt;4.1,EX21*(1+Setup!IG14),EX21)))))))))),FH21/'Quick Setup'!$E16)</f>
        <v>245</v>
      </c>
      <c r="FG21" s="36" t="s">
        <v>77</v>
      </c>
      <c r="FH21" s="38"/>
      <c r="FI21" s="39"/>
      <c r="FJ21" s="39"/>
      <c r="FK21" s="39"/>
      <c r="FL21" s="39"/>
      <c r="FM21" s="39"/>
    </row>
    <row r="22">
      <c r="A22" s="1" t="str">
        <f>Setup!A14</f>
        <v>Push Press</v>
      </c>
      <c r="B22" s="40">
        <f>mround(B21*Setup!B14,'Quick Setup'!$A$2)</f>
        <v>147.5</v>
      </c>
      <c r="C22" s="2">
        <f>Setup!C14</f>
        <v>7</v>
      </c>
      <c r="D22" s="2">
        <f>Setup!D14</f>
        <v>3</v>
      </c>
      <c r="E22" s="2">
        <f>Setup!E14</f>
        <v>5</v>
      </c>
      <c r="F22" s="8"/>
      <c r="G22" s="8"/>
      <c r="H22" s="8"/>
      <c r="I22" s="8"/>
      <c r="J22" s="40">
        <f>mround(J21*Setup!N14,'Quick Setup'!$A$2)</f>
        <v>160</v>
      </c>
      <c r="K22" s="2">
        <f>Setup!O14</f>
        <v>6</v>
      </c>
      <c r="L22" s="2">
        <f>Setup!P14</f>
        <v>3</v>
      </c>
      <c r="M22" s="2">
        <f>Setup!Q14</f>
        <v>5</v>
      </c>
      <c r="N22" s="8"/>
      <c r="O22" s="8"/>
      <c r="P22" s="8"/>
      <c r="Q22" s="8"/>
      <c r="R22" s="40">
        <f>mround(R21*Setup!Z14,'Quick Setup'!$A$2)</f>
        <v>172.5</v>
      </c>
      <c r="S22" s="2">
        <f>Setup!AA14</f>
        <v>5</v>
      </c>
      <c r="T22" s="2">
        <f>Setup!AB14</f>
        <v>3</v>
      </c>
      <c r="U22" s="2">
        <f>Setup!AC14</f>
        <v>5</v>
      </c>
      <c r="V22" s="8"/>
      <c r="W22" s="8"/>
      <c r="X22" s="8"/>
      <c r="Y22" s="8"/>
      <c r="Z22" s="40">
        <f>mround(Z21*Setup!AL14,'Quick Setup'!$A$2)</f>
        <v>152.5</v>
      </c>
      <c r="AA22" s="2">
        <f>Setup!AM14</f>
        <v>7</v>
      </c>
      <c r="AB22" s="2">
        <f>Setup!AN14</f>
        <v>3</v>
      </c>
      <c r="AC22" s="2">
        <f>Setup!AO14</f>
        <v>5</v>
      </c>
      <c r="AD22" s="8"/>
      <c r="AE22" s="8"/>
      <c r="AF22" s="8"/>
      <c r="AG22" s="8"/>
      <c r="AH22" s="40">
        <f>mround(AH21*Setup!AX14,'Quick Setup'!$A$2)</f>
        <v>165</v>
      </c>
      <c r="AI22" s="2">
        <f>Setup!AY14</f>
        <v>6</v>
      </c>
      <c r="AJ22" s="2">
        <f>Setup!AZ14</f>
        <v>3</v>
      </c>
      <c r="AK22" s="2">
        <f>Setup!BA14</f>
        <v>5</v>
      </c>
      <c r="AL22" s="8"/>
      <c r="AM22" s="8"/>
      <c r="AN22" s="8"/>
      <c r="AO22" s="8"/>
      <c r="AP22" s="40">
        <f>mround(AP21*Setup!BJ14,'Quick Setup'!$A$2)</f>
        <v>177.5</v>
      </c>
      <c r="AQ22" s="2">
        <f>Setup!BK14</f>
        <v>5</v>
      </c>
      <c r="AR22" s="2">
        <f>Setup!BL14</f>
        <v>3</v>
      </c>
      <c r="AS22" s="2">
        <f>Setup!BM14</f>
        <v>5</v>
      </c>
      <c r="AT22" s="8"/>
      <c r="AU22" s="8"/>
      <c r="AV22" s="8"/>
      <c r="AW22" s="8"/>
      <c r="AX22" s="40">
        <f>mround(AX21*Setup!BV14,'Quick Setup'!$A$2)</f>
        <v>122.5</v>
      </c>
      <c r="AY22" s="1">
        <v>5.0</v>
      </c>
      <c r="AZ22" s="1" t="s">
        <v>80</v>
      </c>
      <c r="BA22" s="2">
        <f>Setup!BY14</f>
        <v>5</v>
      </c>
      <c r="BB22" s="8"/>
      <c r="BC22" s="8"/>
      <c r="BD22" s="8"/>
      <c r="BE22" s="8"/>
      <c r="BF22" s="40">
        <f>mround(BF21*Setup!CH14,'Quick Setup'!$A$2)</f>
        <v>160</v>
      </c>
      <c r="BG22" s="2">
        <f>Setup!CI14</f>
        <v>6</v>
      </c>
      <c r="BH22" s="2">
        <f>Setup!CJ14</f>
        <v>3</v>
      </c>
      <c r="BI22" s="2">
        <f>Setup!CK14</f>
        <v>5</v>
      </c>
      <c r="BJ22" s="8"/>
      <c r="BK22" s="8"/>
      <c r="BL22" s="8"/>
      <c r="BM22" s="8"/>
      <c r="BN22" s="40">
        <f>mround(BN21*Setup!CT14,'Quick Setup'!$A$2)</f>
        <v>172.5</v>
      </c>
      <c r="BO22" s="2">
        <f>Setup!CU14</f>
        <v>5</v>
      </c>
      <c r="BP22" s="2">
        <f>Setup!CV14</f>
        <v>3</v>
      </c>
      <c r="BQ22" s="2">
        <f>Setup!CW14</f>
        <v>5</v>
      </c>
      <c r="BR22" s="8"/>
      <c r="BS22" s="8"/>
      <c r="BT22" s="8"/>
      <c r="BU22" s="8"/>
      <c r="BV22" s="40">
        <f>mround(BV21*Setup!DF14,'Quick Setup'!$A$2)</f>
        <v>185</v>
      </c>
      <c r="BW22" s="2">
        <f>Setup!DG14</f>
        <v>4</v>
      </c>
      <c r="BX22" s="2">
        <f>Setup!DH14</f>
        <v>2</v>
      </c>
      <c r="BY22" s="2">
        <f>Setup!DI14</f>
        <v>5</v>
      </c>
      <c r="BZ22" s="8"/>
      <c r="CA22" s="8"/>
      <c r="CB22" s="8"/>
      <c r="CC22" s="8"/>
      <c r="CD22" s="40">
        <f>mround(CD21*Setup!DR14,'Quick Setup'!$A$2)</f>
        <v>165</v>
      </c>
      <c r="CE22" s="2">
        <f>Setup!DS14</f>
        <v>6</v>
      </c>
      <c r="CF22" s="2">
        <f>Setup!DT14</f>
        <v>3</v>
      </c>
      <c r="CG22" s="2">
        <f>Setup!DU14</f>
        <v>5</v>
      </c>
      <c r="CH22" s="8"/>
      <c r="CI22" s="8"/>
      <c r="CJ22" s="8"/>
      <c r="CK22" s="8"/>
      <c r="CL22" s="40">
        <f>mround(CL21*Setup!ED14,'Quick Setup'!$A$2)</f>
        <v>177.5</v>
      </c>
      <c r="CM22" s="2">
        <f>Setup!EE14</f>
        <v>5</v>
      </c>
      <c r="CN22" s="2">
        <f>Setup!EF14</f>
        <v>3</v>
      </c>
      <c r="CO22" s="2">
        <f>Setup!EG14</f>
        <v>5</v>
      </c>
      <c r="CP22" s="8"/>
      <c r="CQ22" s="8"/>
      <c r="CR22" s="8"/>
      <c r="CS22" s="8"/>
      <c r="CT22" s="40">
        <f>mround(CT21*Setup!EP14,'Quick Setup'!$A$2)</f>
        <v>190</v>
      </c>
      <c r="CU22" s="2">
        <f>Setup!EQ14</f>
        <v>4</v>
      </c>
      <c r="CV22" s="2">
        <f>Setup!ER14</f>
        <v>2</v>
      </c>
      <c r="CW22" s="2">
        <f>Setup!ES14</f>
        <v>5</v>
      </c>
      <c r="CX22" s="8"/>
      <c r="CY22" s="8"/>
      <c r="CZ22" s="8"/>
      <c r="DA22" s="8"/>
      <c r="DB22" s="40">
        <f>mround(DB21*Setup!FB14,'Quick Setup'!$A$2)</f>
        <v>122.5</v>
      </c>
      <c r="DC22" s="1">
        <v>5.0</v>
      </c>
      <c r="DD22" s="1" t="s">
        <v>80</v>
      </c>
      <c r="DE22" s="2">
        <f>Setup!FE14</f>
        <v>5</v>
      </c>
      <c r="DF22" s="8"/>
      <c r="DG22" s="8"/>
      <c r="DH22" s="8"/>
      <c r="DI22" s="8"/>
      <c r="DJ22" s="40">
        <f>mround(DJ21*Setup!FN14,'Quick Setup'!$A$2)</f>
        <v>172.5</v>
      </c>
      <c r="DK22" s="2">
        <f>Setup!FO14</f>
        <v>5</v>
      </c>
      <c r="DL22" s="2">
        <f>Setup!FP14</f>
        <v>3</v>
      </c>
      <c r="DM22" s="2">
        <f>Setup!FQ14</f>
        <v>5</v>
      </c>
      <c r="DN22" s="8"/>
      <c r="DO22" s="8"/>
      <c r="DP22" s="8"/>
      <c r="DQ22" s="8"/>
      <c r="DR22" s="40">
        <f>mround(DR21*Setup!FZ14,'Quick Setup'!$A$2)</f>
        <v>185</v>
      </c>
      <c r="DS22" s="2">
        <f>Setup!GA14</f>
        <v>4</v>
      </c>
      <c r="DT22" s="2">
        <f>Setup!GB14</f>
        <v>2</v>
      </c>
      <c r="DU22" s="2">
        <f>Setup!GC14</f>
        <v>5</v>
      </c>
      <c r="DV22" s="8"/>
      <c r="DW22" s="8"/>
      <c r="DX22" s="8"/>
      <c r="DY22" s="8"/>
      <c r="DZ22" s="40">
        <f>mround(DZ21*Setup!GL14,'Quick Setup'!$A$2)</f>
        <v>195</v>
      </c>
      <c r="EA22" s="2">
        <f>Setup!GM14</f>
        <v>3</v>
      </c>
      <c r="EB22" s="2">
        <f>Setup!GN14</f>
        <v>2</v>
      </c>
      <c r="EC22" s="2">
        <f>Setup!GO14</f>
        <v>5</v>
      </c>
      <c r="ED22" s="2"/>
      <c r="EE22" s="2"/>
      <c r="EF22" s="2"/>
      <c r="EG22" s="2"/>
      <c r="EH22" s="40">
        <f>mround(EH21*Setup!GX14,'Quick Setup'!$A$2)</f>
        <v>185</v>
      </c>
      <c r="EI22" s="2">
        <f>Setup!GY14</f>
        <v>4</v>
      </c>
      <c r="EJ22" s="2">
        <f>Setup!GZ14</f>
        <v>2</v>
      </c>
      <c r="EK22" s="2">
        <f>Setup!HA14</f>
        <v>5</v>
      </c>
      <c r="EL22" s="8"/>
      <c r="EM22" s="8"/>
      <c r="EN22" s="8"/>
      <c r="EO22" s="8"/>
      <c r="EP22" s="40">
        <f>mround(EP21*Setup!HJ14,'Quick Setup'!$A$2)</f>
        <v>195</v>
      </c>
      <c r="EQ22" s="2">
        <f>Setup!HK14</f>
        <v>3</v>
      </c>
      <c r="ER22" s="2">
        <f>Setup!HL14</f>
        <v>2</v>
      </c>
      <c r="ES22" s="2">
        <f>Setup!HM14</f>
        <v>5</v>
      </c>
      <c r="ET22" s="8"/>
      <c r="EU22" s="8"/>
      <c r="EV22" s="8"/>
      <c r="EW22" s="8"/>
      <c r="EX22" s="40">
        <f>mround(EX21*Setup!HV14,'Quick Setup'!$A$2)</f>
        <v>207.5</v>
      </c>
      <c r="EY22" s="2">
        <f>Setup!HW14</f>
        <v>2</v>
      </c>
      <c r="EZ22" s="2">
        <f>Setup!HX14</f>
        <v>1</v>
      </c>
      <c r="FA22" s="2">
        <f>Setup!HY14</f>
        <v>5</v>
      </c>
      <c r="FB22" s="8"/>
      <c r="FC22" s="8"/>
      <c r="FD22" s="8"/>
      <c r="FE22" s="8"/>
      <c r="FF22" s="40">
        <f>mround(FF21*Setup!IH14,'Quick Setup'!$A$2)</f>
        <v>122.5</v>
      </c>
      <c r="FG22" s="1">
        <v>5.0</v>
      </c>
      <c r="FH22" s="1" t="s">
        <v>80</v>
      </c>
      <c r="FI22" s="2">
        <f>Setup!IK14</f>
        <v>5</v>
      </c>
      <c r="FJ22" s="8"/>
      <c r="FK22" s="8"/>
      <c r="FL22" s="8"/>
      <c r="FM22" s="8"/>
    </row>
    <row r="23">
      <c r="A23" s="5"/>
      <c r="B23" s="41"/>
      <c r="C23" s="8"/>
      <c r="D23" s="8"/>
      <c r="E23" s="8"/>
      <c r="F23" s="8"/>
      <c r="G23" s="8"/>
      <c r="H23" s="8"/>
      <c r="I23" s="8"/>
      <c r="J23" s="41" t="str">
        <f t="shared" ref="J23:O23" si="81">B23</f>
        <v/>
      </c>
      <c r="K23" s="8" t="str">
        <f t="shared" si="81"/>
        <v/>
      </c>
      <c r="L23" s="8" t="str">
        <f t="shared" si="81"/>
        <v/>
      </c>
      <c r="M23" s="8" t="str">
        <f t="shared" si="81"/>
        <v/>
      </c>
      <c r="N23" s="8" t="str">
        <f t="shared" si="81"/>
        <v/>
      </c>
      <c r="O23" s="8" t="str">
        <f t="shared" si="81"/>
        <v/>
      </c>
      <c r="P23" s="8"/>
      <c r="Q23" s="8"/>
      <c r="R23" s="41" t="str">
        <f t="shared" ref="R23:W23" si="82">J23</f>
        <v/>
      </c>
      <c r="S23" s="8" t="str">
        <f t="shared" si="82"/>
        <v/>
      </c>
      <c r="T23" s="8" t="str">
        <f t="shared" si="82"/>
        <v/>
      </c>
      <c r="U23" s="8" t="str">
        <f t="shared" si="82"/>
        <v/>
      </c>
      <c r="V23" s="8" t="str">
        <f t="shared" si="82"/>
        <v/>
      </c>
      <c r="W23" s="8" t="str">
        <f t="shared" si="82"/>
        <v/>
      </c>
      <c r="X23" s="8"/>
      <c r="Y23" s="8"/>
      <c r="Z23" s="41" t="str">
        <f t="shared" ref="Z23:AE23" si="83">R23</f>
        <v/>
      </c>
      <c r="AA23" s="8" t="str">
        <f t="shared" si="83"/>
        <v/>
      </c>
      <c r="AB23" s="8" t="str">
        <f t="shared" si="83"/>
        <v/>
      </c>
      <c r="AC23" s="8" t="str">
        <f t="shared" si="83"/>
        <v/>
      </c>
      <c r="AD23" s="8" t="str">
        <f t="shared" si="83"/>
        <v/>
      </c>
      <c r="AE23" s="8" t="str">
        <f t="shared" si="83"/>
        <v/>
      </c>
      <c r="AF23" s="8"/>
      <c r="AG23" s="8"/>
      <c r="AH23" s="41" t="str">
        <f t="shared" ref="AH23:AM23" si="84">Z23</f>
        <v/>
      </c>
      <c r="AI23" s="8" t="str">
        <f t="shared" si="84"/>
        <v/>
      </c>
      <c r="AJ23" s="8" t="str">
        <f t="shared" si="84"/>
        <v/>
      </c>
      <c r="AK23" s="8" t="str">
        <f t="shared" si="84"/>
        <v/>
      </c>
      <c r="AL23" s="8" t="str">
        <f t="shared" si="84"/>
        <v/>
      </c>
      <c r="AM23" s="8" t="str">
        <f t="shared" si="84"/>
        <v/>
      </c>
      <c r="AN23" s="8"/>
      <c r="AO23" s="8"/>
      <c r="AP23" s="41" t="str">
        <f t="shared" ref="AP23:AU23" si="85">AH23</f>
        <v/>
      </c>
      <c r="AQ23" s="8" t="str">
        <f t="shared" si="85"/>
        <v/>
      </c>
      <c r="AR23" s="8" t="str">
        <f t="shared" si="85"/>
        <v/>
      </c>
      <c r="AS23" s="8" t="str">
        <f t="shared" si="85"/>
        <v/>
      </c>
      <c r="AT23" s="8" t="str">
        <f t="shared" si="85"/>
        <v/>
      </c>
      <c r="AU23" s="8" t="str">
        <f t="shared" si="85"/>
        <v/>
      </c>
      <c r="AV23" s="8"/>
      <c r="AW23" s="8"/>
      <c r="AX23" s="41" t="str">
        <f t="shared" ref="AX23:BC23" si="86">AP23</f>
        <v/>
      </c>
      <c r="AY23" s="8" t="str">
        <f t="shared" si="86"/>
        <v/>
      </c>
      <c r="AZ23" s="8" t="str">
        <f t="shared" si="86"/>
        <v/>
      </c>
      <c r="BA23" s="8" t="str">
        <f t="shared" si="86"/>
        <v/>
      </c>
      <c r="BB23" s="8" t="str">
        <f t="shared" si="86"/>
        <v/>
      </c>
      <c r="BC23" s="8" t="str">
        <f t="shared" si="86"/>
        <v/>
      </c>
      <c r="BD23" s="8"/>
      <c r="BE23" s="8"/>
      <c r="BF23" s="41" t="str">
        <f t="shared" ref="BF23:BK23" si="87">AX23</f>
        <v/>
      </c>
      <c r="BG23" s="8" t="str">
        <f t="shared" si="87"/>
        <v/>
      </c>
      <c r="BH23" s="8" t="str">
        <f t="shared" si="87"/>
        <v/>
      </c>
      <c r="BI23" s="8" t="str">
        <f t="shared" si="87"/>
        <v/>
      </c>
      <c r="BJ23" s="8" t="str">
        <f t="shared" si="87"/>
        <v/>
      </c>
      <c r="BK23" s="8" t="str">
        <f t="shared" si="87"/>
        <v/>
      </c>
      <c r="BL23" s="8"/>
      <c r="BM23" s="8"/>
      <c r="BN23" s="41" t="str">
        <f t="shared" ref="BN23:BS23" si="88">BF23</f>
        <v/>
      </c>
      <c r="BO23" s="8" t="str">
        <f t="shared" si="88"/>
        <v/>
      </c>
      <c r="BP23" s="8" t="str">
        <f t="shared" si="88"/>
        <v/>
      </c>
      <c r="BQ23" s="8" t="str">
        <f t="shared" si="88"/>
        <v/>
      </c>
      <c r="BR23" s="8" t="str">
        <f t="shared" si="88"/>
        <v/>
      </c>
      <c r="BS23" s="8" t="str">
        <f t="shared" si="88"/>
        <v/>
      </c>
      <c r="BT23" s="8"/>
      <c r="BU23" s="8"/>
      <c r="BV23" s="41" t="str">
        <f t="shared" ref="BV23:CA23" si="89">BN23</f>
        <v/>
      </c>
      <c r="BW23" s="8" t="str">
        <f t="shared" si="89"/>
        <v/>
      </c>
      <c r="BX23" s="8" t="str">
        <f t="shared" si="89"/>
        <v/>
      </c>
      <c r="BY23" s="8" t="str">
        <f t="shared" si="89"/>
        <v/>
      </c>
      <c r="BZ23" s="8" t="str">
        <f t="shared" si="89"/>
        <v/>
      </c>
      <c r="CA23" s="8" t="str">
        <f t="shared" si="89"/>
        <v/>
      </c>
      <c r="CB23" s="8"/>
      <c r="CC23" s="8"/>
      <c r="CD23" s="41" t="str">
        <f t="shared" ref="CD23:CI23" si="90">BV23</f>
        <v/>
      </c>
      <c r="CE23" s="8" t="str">
        <f t="shared" si="90"/>
        <v/>
      </c>
      <c r="CF23" s="8" t="str">
        <f t="shared" si="90"/>
        <v/>
      </c>
      <c r="CG23" s="8" t="str">
        <f t="shared" si="90"/>
        <v/>
      </c>
      <c r="CH23" s="8" t="str">
        <f t="shared" si="90"/>
        <v/>
      </c>
      <c r="CI23" s="8" t="str">
        <f t="shared" si="90"/>
        <v/>
      </c>
      <c r="CJ23" s="8"/>
      <c r="CK23" s="8"/>
      <c r="CL23" s="41" t="str">
        <f t="shared" ref="CL23:CQ23" si="91">CD23</f>
        <v/>
      </c>
      <c r="CM23" s="8" t="str">
        <f t="shared" si="91"/>
        <v/>
      </c>
      <c r="CN23" s="8" t="str">
        <f t="shared" si="91"/>
        <v/>
      </c>
      <c r="CO23" s="8" t="str">
        <f t="shared" si="91"/>
        <v/>
      </c>
      <c r="CP23" s="8" t="str">
        <f t="shared" si="91"/>
        <v/>
      </c>
      <c r="CQ23" s="8" t="str">
        <f t="shared" si="91"/>
        <v/>
      </c>
      <c r="CR23" s="8"/>
      <c r="CS23" s="8"/>
      <c r="CT23" s="41" t="str">
        <f t="shared" ref="CT23:CY23" si="92">CL23</f>
        <v/>
      </c>
      <c r="CU23" s="8" t="str">
        <f t="shared" si="92"/>
        <v/>
      </c>
      <c r="CV23" s="8" t="str">
        <f t="shared" si="92"/>
        <v/>
      </c>
      <c r="CW23" s="8" t="str">
        <f t="shared" si="92"/>
        <v/>
      </c>
      <c r="CX23" s="8" t="str">
        <f t="shared" si="92"/>
        <v/>
      </c>
      <c r="CY23" s="8" t="str">
        <f t="shared" si="92"/>
        <v/>
      </c>
      <c r="CZ23" s="8"/>
      <c r="DA23" s="8"/>
      <c r="DB23" s="41" t="str">
        <f t="shared" ref="DB23:DG23" si="93">CT23</f>
        <v/>
      </c>
      <c r="DC23" s="8" t="str">
        <f t="shared" si="93"/>
        <v/>
      </c>
      <c r="DD23" s="8" t="str">
        <f t="shared" si="93"/>
        <v/>
      </c>
      <c r="DE23" s="8" t="str">
        <f t="shared" si="93"/>
        <v/>
      </c>
      <c r="DF23" s="8" t="str">
        <f t="shared" si="93"/>
        <v/>
      </c>
      <c r="DG23" s="8" t="str">
        <f t="shared" si="93"/>
        <v/>
      </c>
      <c r="DH23" s="8"/>
      <c r="DI23" s="8"/>
      <c r="DJ23" s="41" t="str">
        <f t="shared" ref="DJ23:DO23" si="94">DB23</f>
        <v/>
      </c>
      <c r="DK23" s="8" t="str">
        <f t="shared" si="94"/>
        <v/>
      </c>
      <c r="DL23" s="8" t="str">
        <f t="shared" si="94"/>
        <v/>
      </c>
      <c r="DM23" s="8" t="str">
        <f t="shared" si="94"/>
        <v/>
      </c>
      <c r="DN23" s="8" t="str">
        <f t="shared" si="94"/>
        <v/>
      </c>
      <c r="DO23" s="8" t="str">
        <f t="shared" si="94"/>
        <v/>
      </c>
      <c r="DP23" s="8"/>
      <c r="DQ23" s="8"/>
      <c r="DR23" s="41" t="str">
        <f t="shared" ref="DR23:DW23" si="95">DJ23</f>
        <v/>
      </c>
      <c r="DS23" s="8" t="str">
        <f t="shared" si="95"/>
        <v/>
      </c>
      <c r="DT23" s="8" t="str">
        <f t="shared" si="95"/>
        <v/>
      </c>
      <c r="DU23" s="8" t="str">
        <f t="shared" si="95"/>
        <v/>
      </c>
      <c r="DV23" s="8" t="str">
        <f t="shared" si="95"/>
        <v/>
      </c>
      <c r="DW23" s="8" t="str">
        <f t="shared" si="95"/>
        <v/>
      </c>
      <c r="DX23" s="8"/>
      <c r="DY23" s="8"/>
      <c r="DZ23" s="41" t="str">
        <f t="shared" ref="DZ23:EE23" si="96">DR23</f>
        <v/>
      </c>
      <c r="EA23" s="8" t="str">
        <f t="shared" si="96"/>
        <v/>
      </c>
      <c r="EB23" s="8" t="str">
        <f t="shared" si="96"/>
        <v/>
      </c>
      <c r="EC23" s="8" t="str">
        <f t="shared" si="96"/>
        <v/>
      </c>
      <c r="ED23" s="8" t="str">
        <f t="shared" si="96"/>
        <v/>
      </c>
      <c r="EE23" s="8" t="str">
        <f t="shared" si="96"/>
        <v/>
      </c>
      <c r="EF23" s="8"/>
      <c r="EG23" s="8"/>
      <c r="EH23" s="41" t="str">
        <f t="shared" ref="EH23:EM23" si="97">DZ23</f>
        <v/>
      </c>
      <c r="EI23" s="8" t="str">
        <f t="shared" si="97"/>
        <v/>
      </c>
      <c r="EJ23" s="8" t="str">
        <f t="shared" si="97"/>
        <v/>
      </c>
      <c r="EK23" s="8" t="str">
        <f t="shared" si="97"/>
        <v/>
      </c>
      <c r="EL23" s="8" t="str">
        <f t="shared" si="97"/>
        <v/>
      </c>
      <c r="EM23" s="8" t="str">
        <f t="shared" si="97"/>
        <v/>
      </c>
      <c r="EN23" s="8"/>
      <c r="EO23" s="8"/>
      <c r="EP23" s="41" t="str">
        <f t="shared" ref="EP23:EU23" si="98">EH23</f>
        <v/>
      </c>
      <c r="EQ23" s="8" t="str">
        <f t="shared" si="98"/>
        <v/>
      </c>
      <c r="ER23" s="8" t="str">
        <f t="shared" si="98"/>
        <v/>
      </c>
      <c r="ES23" s="8" t="str">
        <f t="shared" si="98"/>
        <v/>
      </c>
      <c r="ET23" s="8" t="str">
        <f t="shared" si="98"/>
        <v/>
      </c>
      <c r="EU23" s="8" t="str">
        <f t="shared" si="98"/>
        <v/>
      </c>
      <c r="EV23" s="8"/>
      <c r="EW23" s="8"/>
      <c r="EX23" s="41" t="str">
        <f t="shared" ref="EX23:FC23" si="99">EP23</f>
        <v/>
      </c>
      <c r="EY23" s="8" t="str">
        <f t="shared" si="99"/>
        <v/>
      </c>
      <c r="EZ23" s="8" t="str">
        <f t="shared" si="99"/>
        <v/>
      </c>
      <c r="FA23" s="8" t="str">
        <f t="shared" si="99"/>
        <v/>
      </c>
      <c r="FB23" s="8" t="str">
        <f t="shared" si="99"/>
        <v/>
      </c>
      <c r="FC23" s="8" t="str">
        <f t="shared" si="99"/>
        <v/>
      </c>
      <c r="FD23" s="8"/>
      <c r="FE23" s="8"/>
      <c r="FF23" s="41" t="str">
        <f t="shared" ref="FF23:FK23" si="100">EX23</f>
        <v/>
      </c>
      <c r="FG23" s="8" t="str">
        <f t="shared" si="100"/>
        <v/>
      </c>
      <c r="FH23" s="8" t="str">
        <f t="shared" si="100"/>
        <v/>
      </c>
      <c r="FI23" s="8" t="str">
        <f t="shared" si="100"/>
        <v/>
      </c>
      <c r="FJ23" s="8" t="str">
        <f t="shared" si="100"/>
        <v/>
      </c>
      <c r="FK23" s="8" t="str">
        <f t="shared" si="100"/>
        <v/>
      </c>
      <c r="FL23" s="8"/>
      <c r="FM23" s="8"/>
    </row>
    <row r="24">
      <c r="A24" s="1" t="s">
        <v>81</v>
      </c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42"/>
      <c r="B25" s="41"/>
      <c r="C25" s="8"/>
      <c r="D25" s="8"/>
      <c r="E25" s="8"/>
      <c r="F25" s="8"/>
      <c r="G25" s="8"/>
      <c r="H25" s="8"/>
      <c r="I25" s="8"/>
      <c r="J25" s="41" t="str">
        <f t="shared" ref="J25:O25" si="101">B25</f>
        <v/>
      </c>
      <c r="K25" s="8" t="str">
        <f t="shared" si="101"/>
        <v/>
      </c>
      <c r="L25" s="8" t="str">
        <f t="shared" si="101"/>
        <v/>
      </c>
      <c r="M25" s="8" t="str">
        <f t="shared" si="101"/>
        <v/>
      </c>
      <c r="N25" s="8" t="str">
        <f t="shared" si="101"/>
        <v/>
      </c>
      <c r="O25" s="8" t="str">
        <f t="shared" si="101"/>
        <v/>
      </c>
      <c r="P25" s="8"/>
      <c r="Q25" s="8"/>
      <c r="R25" s="41" t="str">
        <f t="shared" ref="R25:W25" si="102">J25</f>
        <v/>
      </c>
      <c r="S25" s="8" t="str">
        <f t="shared" si="102"/>
        <v/>
      </c>
      <c r="T25" s="8" t="str">
        <f t="shared" si="102"/>
        <v/>
      </c>
      <c r="U25" s="8" t="str">
        <f t="shared" si="102"/>
        <v/>
      </c>
      <c r="V25" s="8" t="str">
        <f t="shared" si="102"/>
        <v/>
      </c>
      <c r="W25" s="8" t="str">
        <f t="shared" si="102"/>
        <v/>
      </c>
      <c r="X25" s="8"/>
      <c r="Y25" s="8"/>
      <c r="Z25" s="41" t="str">
        <f t="shared" ref="Z25:AE25" si="103">R25</f>
        <v/>
      </c>
      <c r="AA25" s="8" t="str">
        <f t="shared" si="103"/>
        <v/>
      </c>
      <c r="AB25" s="8" t="str">
        <f t="shared" si="103"/>
        <v/>
      </c>
      <c r="AC25" s="8" t="str">
        <f t="shared" si="103"/>
        <v/>
      </c>
      <c r="AD25" s="8" t="str">
        <f t="shared" si="103"/>
        <v/>
      </c>
      <c r="AE25" s="8" t="str">
        <f t="shared" si="103"/>
        <v/>
      </c>
      <c r="AF25" s="8"/>
      <c r="AG25" s="8"/>
      <c r="AH25" s="41" t="str">
        <f t="shared" ref="AH25:AM25" si="104">Z25</f>
        <v/>
      </c>
      <c r="AI25" s="8" t="str">
        <f t="shared" si="104"/>
        <v/>
      </c>
      <c r="AJ25" s="8" t="str">
        <f t="shared" si="104"/>
        <v/>
      </c>
      <c r="AK25" s="8" t="str">
        <f t="shared" si="104"/>
        <v/>
      </c>
      <c r="AL25" s="8" t="str">
        <f t="shared" si="104"/>
        <v/>
      </c>
      <c r="AM25" s="8" t="str">
        <f t="shared" si="104"/>
        <v/>
      </c>
      <c r="AN25" s="8"/>
      <c r="AO25" s="8"/>
      <c r="AP25" s="41" t="str">
        <f t="shared" ref="AP25:AU25" si="105">AH25</f>
        <v/>
      </c>
      <c r="AQ25" s="8" t="str">
        <f t="shared" si="105"/>
        <v/>
      </c>
      <c r="AR25" s="8" t="str">
        <f t="shared" si="105"/>
        <v/>
      </c>
      <c r="AS25" s="8" t="str">
        <f t="shared" si="105"/>
        <v/>
      </c>
      <c r="AT25" s="8" t="str">
        <f t="shared" si="105"/>
        <v/>
      </c>
      <c r="AU25" s="8" t="str">
        <f t="shared" si="105"/>
        <v/>
      </c>
      <c r="AV25" s="8"/>
      <c r="AW25" s="8"/>
      <c r="AX25" s="41" t="str">
        <f t="shared" ref="AX25:BC25" si="106">AP25</f>
        <v/>
      </c>
      <c r="AY25" s="8" t="str">
        <f t="shared" si="106"/>
        <v/>
      </c>
      <c r="AZ25" s="8" t="str">
        <f t="shared" si="106"/>
        <v/>
      </c>
      <c r="BA25" s="8" t="str">
        <f t="shared" si="106"/>
        <v/>
      </c>
      <c r="BB25" s="8" t="str">
        <f t="shared" si="106"/>
        <v/>
      </c>
      <c r="BC25" s="8" t="str">
        <f t="shared" si="106"/>
        <v/>
      </c>
      <c r="BD25" s="8"/>
      <c r="BE25" s="8"/>
      <c r="BF25" s="41" t="str">
        <f t="shared" ref="BF25:BK25" si="107">AX25</f>
        <v/>
      </c>
      <c r="BG25" s="8" t="str">
        <f t="shared" si="107"/>
        <v/>
      </c>
      <c r="BH25" s="8" t="str">
        <f t="shared" si="107"/>
        <v/>
      </c>
      <c r="BI25" s="8" t="str">
        <f t="shared" si="107"/>
        <v/>
      </c>
      <c r="BJ25" s="8" t="str">
        <f t="shared" si="107"/>
        <v/>
      </c>
      <c r="BK25" s="8" t="str">
        <f t="shared" si="107"/>
        <v/>
      </c>
      <c r="BL25" s="8"/>
      <c r="BM25" s="8"/>
      <c r="BN25" s="41" t="str">
        <f t="shared" ref="BN25:BS25" si="108">BF25</f>
        <v/>
      </c>
      <c r="BO25" s="8" t="str">
        <f t="shared" si="108"/>
        <v/>
      </c>
      <c r="BP25" s="8" t="str">
        <f t="shared" si="108"/>
        <v/>
      </c>
      <c r="BQ25" s="8" t="str">
        <f t="shared" si="108"/>
        <v/>
      </c>
      <c r="BR25" s="8" t="str">
        <f t="shared" si="108"/>
        <v/>
      </c>
      <c r="BS25" s="8" t="str">
        <f t="shared" si="108"/>
        <v/>
      </c>
      <c r="BT25" s="8"/>
      <c r="BU25" s="8"/>
      <c r="BV25" s="41" t="str">
        <f t="shared" ref="BV25:CA25" si="109">BN25</f>
        <v/>
      </c>
      <c r="BW25" s="8" t="str">
        <f t="shared" si="109"/>
        <v/>
      </c>
      <c r="BX25" s="8" t="str">
        <f t="shared" si="109"/>
        <v/>
      </c>
      <c r="BY25" s="8" t="str">
        <f t="shared" si="109"/>
        <v/>
      </c>
      <c r="BZ25" s="8" t="str">
        <f t="shared" si="109"/>
        <v/>
      </c>
      <c r="CA25" s="8" t="str">
        <f t="shared" si="109"/>
        <v/>
      </c>
      <c r="CB25" s="8"/>
      <c r="CC25" s="8"/>
      <c r="CD25" s="41" t="str">
        <f t="shared" ref="CD25:CI25" si="110">BV25</f>
        <v/>
      </c>
      <c r="CE25" s="8" t="str">
        <f t="shared" si="110"/>
        <v/>
      </c>
      <c r="CF25" s="8" t="str">
        <f t="shared" si="110"/>
        <v/>
      </c>
      <c r="CG25" s="8" t="str">
        <f t="shared" si="110"/>
        <v/>
      </c>
      <c r="CH25" s="8" t="str">
        <f t="shared" si="110"/>
        <v/>
      </c>
      <c r="CI25" s="8" t="str">
        <f t="shared" si="110"/>
        <v/>
      </c>
      <c r="CJ25" s="8"/>
      <c r="CK25" s="8"/>
      <c r="CL25" s="41" t="str">
        <f t="shared" ref="CL25:CQ25" si="111">CD25</f>
        <v/>
      </c>
      <c r="CM25" s="8" t="str">
        <f t="shared" si="111"/>
        <v/>
      </c>
      <c r="CN25" s="8" t="str">
        <f t="shared" si="111"/>
        <v/>
      </c>
      <c r="CO25" s="8" t="str">
        <f t="shared" si="111"/>
        <v/>
      </c>
      <c r="CP25" s="8" t="str">
        <f t="shared" si="111"/>
        <v/>
      </c>
      <c r="CQ25" s="8" t="str">
        <f t="shared" si="111"/>
        <v/>
      </c>
      <c r="CR25" s="8"/>
      <c r="CS25" s="8"/>
      <c r="CT25" s="41" t="str">
        <f t="shared" ref="CT25:CY25" si="112">CL25</f>
        <v/>
      </c>
      <c r="CU25" s="8" t="str">
        <f t="shared" si="112"/>
        <v/>
      </c>
      <c r="CV25" s="8" t="str">
        <f t="shared" si="112"/>
        <v/>
      </c>
      <c r="CW25" s="8" t="str">
        <f t="shared" si="112"/>
        <v/>
      </c>
      <c r="CX25" s="8" t="str">
        <f t="shared" si="112"/>
        <v/>
      </c>
      <c r="CY25" s="8" t="str">
        <f t="shared" si="112"/>
        <v/>
      </c>
      <c r="CZ25" s="8"/>
      <c r="DA25" s="8"/>
      <c r="DB25" s="41" t="str">
        <f t="shared" ref="DB25:DG25" si="113">CT25</f>
        <v/>
      </c>
      <c r="DC25" s="8" t="str">
        <f t="shared" si="113"/>
        <v/>
      </c>
      <c r="DD25" s="8" t="str">
        <f t="shared" si="113"/>
        <v/>
      </c>
      <c r="DE25" s="8" t="str">
        <f t="shared" si="113"/>
        <v/>
      </c>
      <c r="DF25" s="8" t="str">
        <f t="shared" si="113"/>
        <v/>
      </c>
      <c r="DG25" s="8" t="str">
        <f t="shared" si="113"/>
        <v/>
      </c>
      <c r="DH25" s="8"/>
      <c r="DI25" s="8"/>
      <c r="DJ25" s="41" t="str">
        <f t="shared" ref="DJ25:DO25" si="114">DB25</f>
        <v/>
      </c>
      <c r="DK25" s="8" t="str">
        <f t="shared" si="114"/>
        <v/>
      </c>
      <c r="DL25" s="8" t="str">
        <f t="shared" si="114"/>
        <v/>
      </c>
      <c r="DM25" s="8" t="str">
        <f t="shared" si="114"/>
        <v/>
      </c>
      <c r="DN25" s="8" t="str">
        <f t="shared" si="114"/>
        <v/>
      </c>
      <c r="DO25" s="8" t="str">
        <f t="shared" si="114"/>
        <v/>
      </c>
      <c r="DP25" s="8"/>
      <c r="DQ25" s="8"/>
      <c r="DR25" s="41" t="str">
        <f t="shared" ref="DR25:DW25" si="115">DJ25</f>
        <v/>
      </c>
      <c r="DS25" s="8" t="str">
        <f t="shared" si="115"/>
        <v/>
      </c>
      <c r="DT25" s="8" t="str">
        <f t="shared" si="115"/>
        <v/>
      </c>
      <c r="DU25" s="8" t="str">
        <f t="shared" si="115"/>
        <v/>
      </c>
      <c r="DV25" s="8" t="str">
        <f t="shared" si="115"/>
        <v/>
      </c>
      <c r="DW25" s="8" t="str">
        <f t="shared" si="115"/>
        <v/>
      </c>
      <c r="DX25" s="8"/>
      <c r="DY25" s="8"/>
      <c r="DZ25" s="41" t="str">
        <f t="shared" ref="DZ25:EE25" si="116">DR25</f>
        <v/>
      </c>
      <c r="EA25" s="8" t="str">
        <f t="shared" si="116"/>
        <v/>
      </c>
      <c r="EB25" s="8" t="str">
        <f t="shared" si="116"/>
        <v/>
      </c>
      <c r="EC25" s="8" t="str">
        <f t="shared" si="116"/>
        <v/>
      </c>
      <c r="ED25" s="8" t="str">
        <f t="shared" si="116"/>
        <v/>
      </c>
      <c r="EE25" s="8" t="str">
        <f t="shared" si="116"/>
        <v/>
      </c>
      <c r="EF25" s="8"/>
      <c r="EG25" s="8"/>
      <c r="EH25" s="41" t="str">
        <f t="shared" ref="EH25:EM25" si="117">DZ25</f>
        <v/>
      </c>
      <c r="EI25" s="8" t="str">
        <f t="shared" si="117"/>
        <v/>
      </c>
      <c r="EJ25" s="8" t="str">
        <f t="shared" si="117"/>
        <v/>
      </c>
      <c r="EK25" s="8" t="str">
        <f t="shared" si="117"/>
        <v/>
      </c>
      <c r="EL25" s="8" t="str">
        <f t="shared" si="117"/>
        <v/>
      </c>
      <c r="EM25" s="8" t="str">
        <f t="shared" si="117"/>
        <v/>
      </c>
      <c r="EN25" s="8"/>
      <c r="EO25" s="8"/>
      <c r="EP25" s="41" t="str">
        <f t="shared" ref="EP25:EU25" si="118">EH25</f>
        <v/>
      </c>
      <c r="EQ25" s="8" t="str">
        <f t="shared" si="118"/>
        <v/>
      </c>
      <c r="ER25" s="8" t="str">
        <f t="shared" si="118"/>
        <v/>
      </c>
      <c r="ES25" s="8" t="str">
        <f t="shared" si="118"/>
        <v/>
      </c>
      <c r="ET25" s="8" t="str">
        <f t="shared" si="118"/>
        <v/>
      </c>
      <c r="EU25" s="8" t="str">
        <f t="shared" si="118"/>
        <v/>
      </c>
      <c r="EV25" s="8"/>
      <c r="EW25" s="8"/>
      <c r="EX25" s="41" t="str">
        <f t="shared" ref="EX25:FC25" si="119">EP25</f>
        <v/>
      </c>
      <c r="EY25" s="8" t="str">
        <f t="shared" si="119"/>
        <v/>
      </c>
      <c r="EZ25" s="8" t="str">
        <f t="shared" si="119"/>
        <v/>
      </c>
      <c r="FA25" s="8" t="str">
        <f t="shared" si="119"/>
        <v/>
      </c>
      <c r="FB25" s="8" t="str">
        <f t="shared" si="119"/>
        <v/>
      </c>
      <c r="FC25" s="8" t="str">
        <f t="shared" si="119"/>
        <v/>
      </c>
      <c r="FD25" s="8"/>
      <c r="FE25" s="8"/>
      <c r="FF25" s="41" t="str">
        <f t="shared" ref="FF25:FK25" si="120">EX25</f>
        <v/>
      </c>
      <c r="FG25" s="8" t="str">
        <f t="shared" si="120"/>
        <v/>
      </c>
      <c r="FH25" s="8" t="str">
        <f t="shared" si="120"/>
        <v/>
      </c>
      <c r="FI25" s="8" t="str">
        <f t="shared" si="120"/>
        <v/>
      </c>
      <c r="FJ25" s="8" t="str">
        <f t="shared" si="120"/>
        <v/>
      </c>
      <c r="FK25" s="8" t="str">
        <f t="shared" si="120"/>
        <v/>
      </c>
      <c r="FL25" s="8"/>
      <c r="FM25" s="8"/>
    </row>
    <row r="26">
      <c r="A26" s="42"/>
      <c r="B26" s="41"/>
      <c r="C26" s="8"/>
      <c r="D26" s="8"/>
      <c r="E26" s="8"/>
      <c r="F26" s="8"/>
      <c r="G26" s="8"/>
      <c r="H26" s="8"/>
      <c r="I26" s="8"/>
      <c r="J26" s="41" t="str">
        <f t="shared" ref="J26:O26" si="121">B26</f>
        <v/>
      </c>
      <c r="K26" s="8" t="str">
        <f t="shared" si="121"/>
        <v/>
      </c>
      <c r="L26" s="8" t="str">
        <f t="shared" si="121"/>
        <v/>
      </c>
      <c r="M26" s="8" t="str">
        <f t="shared" si="121"/>
        <v/>
      </c>
      <c r="N26" s="8" t="str">
        <f t="shared" si="121"/>
        <v/>
      </c>
      <c r="O26" s="8" t="str">
        <f t="shared" si="121"/>
        <v/>
      </c>
      <c r="P26" s="8"/>
      <c r="Q26" s="8"/>
      <c r="R26" s="41" t="str">
        <f t="shared" ref="R26:W26" si="122">J26</f>
        <v/>
      </c>
      <c r="S26" s="8" t="str">
        <f t="shared" si="122"/>
        <v/>
      </c>
      <c r="T26" s="8" t="str">
        <f t="shared" si="122"/>
        <v/>
      </c>
      <c r="U26" s="8" t="str">
        <f t="shared" si="122"/>
        <v/>
      </c>
      <c r="V26" s="8" t="str">
        <f t="shared" si="122"/>
        <v/>
      </c>
      <c r="W26" s="8" t="str">
        <f t="shared" si="122"/>
        <v/>
      </c>
      <c r="X26" s="8"/>
      <c r="Y26" s="8"/>
      <c r="Z26" s="41" t="str">
        <f t="shared" ref="Z26:AE26" si="123">R26</f>
        <v/>
      </c>
      <c r="AA26" s="8" t="str">
        <f t="shared" si="123"/>
        <v/>
      </c>
      <c r="AB26" s="8" t="str">
        <f t="shared" si="123"/>
        <v/>
      </c>
      <c r="AC26" s="8" t="str">
        <f t="shared" si="123"/>
        <v/>
      </c>
      <c r="AD26" s="8" t="str">
        <f t="shared" si="123"/>
        <v/>
      </c>
      <c r="AE26" s="8" t="str">
        <f t="shared" si="123"/>
        <v/>
      </c>
      <c r="AF26" s="8"/>
      <c r="AG26" s="8"/>
      <c r="AH26" s="41" t="str">
        <f t="shared" ref="AH26:AM26" si="124">Z26</f>
        <v/>
      </c>
      <c r="AI26" s="8" t="str">
        <f t="shared" si="124"/>
        <v/>
      </c>
      <c r="AJ26" s="8" t="str">
        <f t="shared" si="124"/>
        <v/>
      </c>
      <c r="AK26" s="8" t="str">
        <f t="shared" si="124"/>
        <v/>
      </c>
      <c r="AL26" s="8" t="str">
        <f t="shared" si="124"/>
        <v/>
      </c>
      <c r="AM26" s="8" t="str">
        <f t="shared" si="124"/>
        <v/>
      </c>
      <c r="AN26" s="8"/>
      <c r="AO26" s="8"/>
      <c r="AP26" s="41" t="str">
        <f t="shared" ref="AP26:AU26" si="125">AH26</f>
        <v/>
      </c>
      <c r="AQ26" s="8" t="str">
        <f t="shared" si="125"/>
        <v/>
      </c>
      <c r="AR26" s="8" t="str">
        <f t="shared" si="125"/>
        <v/>
      </c>
      <c r="AS26" s="8" t="str">
        <f t="shared" si="125"/>
        <v/>
      </c>
      <c r="AT26" s="8" t="str">
        <f t="shared" si="125"/>
        <v/>
      </c>
      <c r="AU26" s="8" t="str">
        <f t="shared" si="125"/>
        <v/>
      </c>
      <c r="AV26" s="8"/>
      <c r="AW26" s="8"/>
      <c r="AX26" s="41" t="str">
        <f t="shared" ref="AX26:BC26" si="126">AP26</f>
        <v/>
      </c>
      <c r="AY26" s="8" t="str">
        <f t="shared" si="126"/>
        <v/>
      </c>
      <c r="AZ26" s="8" t="str">
        <f t="shared" si="126"/>
        <v/>
      </c>
      <c r="BA26" s="8" t="str">
        <f t="shared" si="126"/>
        <v/>
      </c>
      <c r="BB26" s="8" t="str">
        <f t="shared" si="126"/>
        <v/>
      </c>
      <c r="BC26" s="8" t="str">
        <f t="shared" si="126"/>
        <v/>
      </c>
      <c r="BD26" s="8"/>
      <c r="BE26" s="8"/>
      <c r="BF26" s="41" t="str">
        <f t="shared" ref="BF26:BK26" si="127">AX26</f>
        <v/>
      </c>
      <c r="BG26" s="8" t="str">
        <f t="shared" si="127"/>
        <v/>
      </c>
      <c r="BH26" s="8" t="str">
        <f t="shared" si="127"/>
        <v/>
      </c>
      <c r="BI26" s="8" t="str">
        <f t="shared" si="127"/>
        <v/>
      </c>
      <c r="BJ26" s="8" t="str">
        <f t="shared" si="127"/>
        <v/>
      </c>
      <c r="BK26" s="8" t="str">
        <f t="shared" si="127"/>
        <v/>
      </c>
      <c r="BL26" s="8"/>
      <c r="BM26" s="8"/>
      <c r="BN26" s="41" t="str">
        <f t="shared" ref="BN26:BS26" si="128">BF26</f>
        <v/>
      </c>
      <c r="BO26" s="8" t="str">
        <f t="shared" si="128"/>
        <v/>
      </c>
      <c r="BP26" s="8" t="str">
        <f t="shared" si="128"/>
        <v/>
      </c>
      <c r="BQ26" s="8" t="str">
        <f t="shared" si="128"/>
        <v/>
      </c>
      <c r="BR26" s="8" t="str">
        <f t="shared" si="128"/>
        <v/>
      </c>
      <c r="BS26" s="8" t="str">
        <f t="shared" si="128"/>
        <v/>
      </c>
      <c r="BT26" s="8"/>
      <c r="BU26" s="8"/>
      <c r="BV26" s="41" t="str">
        <f t="shared" ref="BV26:CA26" si="129">BN26</f>
        <v/>
      </c>
      <c r="BW26" s="8" t="str">
        <f t="shared" si="129"/>
        <v/>
      </c>
      <c r="BX26" s="8" t="str">
        <f t="shared" si="129"/>
        <v/>
      </c>
      <c r="BY26" s="8" t="str">
        <f t="shared" si="129"/>
        <v/>
      </c>
      <c r="BZ26" s="8" t="str">
        <f t="shared" si="129"/>
        <v/>
      </c>
      <c r="CA26" s="8" t="str">
        <f t="shared" si="129"/>
        <v/>
      </c>
      <c r="CB26" s="8"/>
      <c r="CC26" s="8"/>
      <c r="CD26" s="41" t="str">
        <f t="shared" ref="CD26:CI26" si="130">BV26</f>
        <v/>
      </c>
      <c r="CE26" s="8" t="str">
        <f t="shared" si="130"/>
        <v/>
      </c>
      <c r="CF26" s="8" t="str">
        <f t="shared" si="130"/>
        <v/>
      </c>
      <c r="CG26" s="8" t="str">
        <f t="shared" si="130"/>
        <v/>
      </c>
      <c r="CH26" s="8" t="str">
        <f t="shared" si="130"/>
        <v/>
      </c>
      <c r="CI26" s="8" t="str">
        <f t="shared" si="130"/>
        <v/>
      </c>
      <c r="CJ26" s="8"/>
      <c r="CK26" s="8"/>
      <c r="CL26" s="41" t="str">
        <f t="shared" ref="CL26:CQ26" si="131">CD26</f>
        <v/>
      </c>
      <c r="CM26" s="8" t="str">
        <f t="shared" si="131"/>
        <v/>
      </c>
      <c r="CN26" s="8" t="str">
        <f t="shared" si="131"/>
        <v/>
      </c>
      <c r="CO26" s="8" t="str">
        <f t="shared" si="131"/>
        <v/>
      </c>
      <c r="CP26" s="8" t="str">
        <f t="shared" si="131"/>
        <v/>
      </c>
      <c r="CQ26" s="8" t="str">
        <f t="shared" si="131"/>
        <v/>
      </c>
      <c r="CR26" s="8"/>
      <c r="CS26" s="8"/>
      <c r="CT26" s="41" t="str">
        <f t="shared" ref="CT26:CY26" si="132">CL26</f>
        <v/>
      </c>
      <c r="CU26" s="8" t="str">
        <f t="shared" si="132"/>
        <v/>
      </c>
      <c r="CV26" s="8" t="str">
        <f t="shared" si="132"/>
        <v/>
      </c>
      <c r="CW26" s="8" t="str">
        <f t="shared" si="132"/>
        <v/>
      </c>
      <c r="CX26" s="8" t="str">
        <f t="shared" si="132"/>
        <v/>
      </c>
      <c r="CY26" s="8" t="str">
        <f t="shared" si="132"/>
        <v/>
      </c>
      <c r="CZ26" s="8"/>
      <c r="DA26" s="8"/>
      <c r="DB26" s="41" t="str">
        <f t="shared" ref="DB26:DG26" si="133">CT26</f>
        <v/>
      </c>
      <c r="DC26" s="8" t="str">
        <f t="shared" si="133"/>
        <v/>
      </c>
      <c r="DD26" s="8" t="str">
        <f t="shared" si="133"/>
        <v/>
      </c>
      <c r="DE26" s="8" t="str">
        <f t="shared" si="133"/>
        <v/>
      </c>
      <c r="DF26" s="8" t="str">
        <f t="shared" si="133"/>
        <v/>
      </c>
      <c r="DG26" s="8" t="str">
        <f t="shared" si="133"/>
        <v/>
      </c>
      <c r="DH26" s="8"/>
      <c r="DI26" s="8"/>
      <c r="DJ26" s="41" t="str">
        <f t="shared" ref="DJ26:DO26" si="134">DB26</f>
        <v/>
      </c>
      <c r="DK26" s="8" t="str">
        <f t="shared" si="134"/>
        <v/>
      </c>
      <c r="DL26" s="8" t="str">
        <f t="shared" si="134"/>
        <v/>
      </c>
      <c r="DM26" s="8" t="str">
        <f t="shared" si="134"/>
        <v/>
      </c>
      <c r="DN26" s="8" t="str">
        <f t="shared" si="134"/>
        <v/>
      </c>
      <c r="DO26" s="8" t="str">
        <f t="shared" si="134"/>
        <v/>
      </c>
      <c r="DP26" s="8"/>
      <c r="DQ26" s="8"/>
      <c r="DR26" s="41" t="str">
        <f t="shared" ref="DR26:DW26" si="135">DJ26</f>
        <v/>
      </c>
      <c r="DS26" s="8" t="str">
        <f t="shared" si="135"/>
        <v/>
      </c>
      <c r="DT26" s="8" t="str">
        <f t="shared" si="135"/>
        <v/>
      </c>
      <c r="DU26" s="8" t="str">
        <f t="shared" si="135"/>
        <v/>
      </c>
      <c r="DV26" s="8" t="str">
        <f t="shared" si="135"/>
        <v/>
      </c>
      <c r="DW26" s="8" t="str">
        <f t="shared" si="135"/>
        <v/>
      </c>
      <c r="DX26" s="8"/>
      <c r="DY26" s="8"/>
      <c r="DZ26" s="41" t="str">
        <f t="shared" ref="DZ26:EE26" si="136">DR26</f>
        <v/>
      </c>
      <c r="EA26" s="8" t="str">
        <f t="shared" si="136"/>
        <v/>
      </c>
      <c r="EB26" s="8" t="str">
        <f t="shared" si="136"/>
        <v/>
      </c>
      <c r="EC26" s="8" t="str">
        <f t="shared" si="136"/>
        <v/>
      </c>
      <c r="ED26" s="8" t="str">
        <f t="shared" si="136"/>
        <v/>
      </c>
      <c r="EE26" s="8" t="str">
        <f t="shared" si="136"/>
        <v/>
      </c>
      <c r="EF26" s="8"/>
      <c r="EG26" s="8"/>
      <c r="EH26" s="41" t="str">
        <f t="shared" ref="EH26:EM26" si="137">DZ26</f>
        <v/>
      </c>
      <c r="EI26" s="8" t="str">
        <f t="shared" si="137"/>
        <v/>
      </c>
      <c r="EJ26" s="8" t="str">
        <f t="shared" si="137"/>
        <v/>
      </c>
      <c r="EK26" s="8" t="str">
        <f t="shared" si="137"/>
        <v/>
      </c>
      <c r="EL26" s="8" t="str">
        <f t="shared" si="137"/>
        <v/>
      </c>
      <c r="EM26" s="8" t="str">
        <f t="shared" si="137"/>
        <v/>
      </c>
      <c r="EN26" s="8"/>
      <c r="EO26" s="8"/>
      <c r="EP26" s="41" t="str">
        <f t="shared" ref="EP26:EU26" si="138">EH26</f>
        <v/>
      </c>
      <c r="EQ26" s="8" t="str">
        <f t="shared" si="138"/>
        <v/>
      </c>
      <c r="ER26" s="8" t="str">
        <f t="shared" si="138"/>
        <v/>
      </c>
      <c r="ES26" s="8" t="str">
        <f t="shared" si="138"/>
        <v/>
      </c>
      <c r="ET26" s="8" t="str">
        <f t="shared" si="138"/>
        <v/>
      </c>
      <c r="EU26" s="8" t="str">
        <f t="shared" si="138"/>
        <v/>
      </c>
      <c r="EV26" s="8"/>
      <c r="EW26" s="8"/>
      <c r="EX26" s="41" t="str">
        <f t="shared" ref="EX26:FC26" si="139">EP26</f>
        <v/>
      </c>
      <c r="EY26" s="8" t="str">
        <f t="shared" si="139"/>
        <v/>
      </c>
      <c r="EZ26" s="8" t="str">
        <f t="shared" si="139"/>
        <v/>
      </c>
      <c r="FA26" s="8" t="str">
        <f t="shared" si="139"/>
        <v/>
      </c>
      <c r="FB26" s="8" t="str">
        <f t="shared" si="139"/>
        <v/>
      </c>
      <c r="FC26" s="8" t="str">
        <f t="shared" si="139"/>
        <v/>
      </c>
      <c r="FD26" s="8"/>
      <c r="FE26" s="8"/>
      <c r="FF26" s="41" t="str">
        <f t="shared" ref="FF26:FK26" si="140">EX26</f>
        <v/>
      </c>
      <c r="FG26" s="8" t="str">
        <f t="shared" si="140"/>
        <v/>
      </c>
      <c r="FH26" s="8" t="str">
        <f t="shared" si="140"/>
        <v/>
      </c>
      <c r="FI26" s="8" t="str">
        <f t="shared" si="140"/>
        <v/>
      </c>
      <c r="FJ26" s="8" t="str">
        <f t="shared" si="140"/>
        <v/>
      </c>
      <c r="FK26" s="8" t="str">
        <f t="shared" si="140"/>
        <v/>
      </c>
      <c r="FL26" s="8"/>
      <c r="FM26" s="8"/>
    </row>
    <row r="27">
      <c r="A27" s="43"/>
      <c r="B27" s="44"/>
      <c r="C27" s="45"/>
      <c r="D27" s="45"/>
      <c r="E27" s="45"/>
      <c r="F27" s="45"/>
      <c r="G27" s="45"/>
      <c r="H27" s="45"/>
      <c r="I27" s="45"/>
      <c r="J27" s="44" t="str">
        <f t="shared" ref="J27:O27" si="141">B27</f>
        <v/>
      </c>
      <c r="K27" s="45" t="str">
        <f t="shared" si="141"/>
        <v/>
      </c>
      <c r="L27" s="45" t="str">
        <f t="shared" si="141"/>
        <v/>
      </c>
      <c r="M27" s="45" t="str">
        <f t="shared" si="141"/>
        <v/>
      </c>
      <c r="N27" s="45" t="str">
        <f t="shared" si="141"/>
        <v/>
      </c>
      <c r="O27" s="45" t="str">
        <f t="shared" si="141"/>
        <v/>
      </c>
      <c r="P27" s="45"/>
      <c r="Q27" s="45"/>
      <c r="R27" s="44" t="str">
        <f t="shared" ref="R27:W27" si="142">J27</f>
        <v/>
      </c>
      <c r="S27" s="45" t="str">
        <f t="shared" si="142"/>
        <v/>
      </c>
      <c r="T27" s="45" t="str">
        <f t="shared" si="142"/>
        <v/>
      </c>
      <c r="U27" s="45" t="str">
        <f t="shared" si="142"/>
        <v/>
      </c>
      <c r="V27" s="45" t="str">
        <f t="shared" si="142"/>
        <v/>
      </c>
      <c r="W27" s="45" t="str">
        <f t="shared" si="142"/>
        <v/>
      </c>
      <c r="X27" s="45"/>
      <c r="Y27" s="45"/>
      <c r="Z27" s="44" t="str">
        <f t="shared" ref="Z27:AE27" si="143">R27</f>
        <v/>
      </c>
      <c r="AA27" s="45" t="str">
        <f t="shared" si="143"/>
        <v/>
      </c>
      <c r="AB27" s="45" t="str">
        <f t="shared" si="143"/>
        <v/>
      </c>
      <c r="AC27" s="45" t="str">
        <f t="shared" si="143"/>
        <v/>
      </c>
      <c r="AD27" s="45" t="str">
        <f t="shared" si="143"/>
        <v/>
      </c>
      <c r="AE27" s="45" t="str">
        <f t="shared" si="143"/>
        <v/>
      </c>
      <c r="AF27" s="45"/>
      <c r="AG27" s="45"/>
      <c r="AH27" s="44" t="str">
        <f t="shared" ref="AH27:AM27" si="144">Z27</f>
        <v/>
      </c>
      <c r="AI27" s="45" t="str">
        <f t="shared" si="144"/>
        <v/>
      </c>
      <c r="AJ27" s="45" t="str">
        <f t="shared" si="144"/>
        <v/>
      </c>
      <c r="AK27" s="45" t="str">
        <f t="shared" si="144"/>
        <v/>
      </c>
      <c r="AL27" s="45" t="str">
        <f t="shared" si="144"/>
        <v/>
      </c>
      <c r="AM27" s="45" t="str">
        <f t="shared" si="144"/>
        <v/>
      </c>
      <c r="AN27" s="45"/>
      <c r="AO27" s="45"/>
      <c r="AP27" s="44" t="str">
        <f t="shared" ref="AP27:AU27" si="145">AH27</f>
        <v/>
      </c>
      <c r="AQ27" s="45" t="str">
        <f t="shared" si="145"/>
        <v/>
      </c>
      <c r="AR27" s="45" t="str">
        <f t="shared" si="145"/>
        <v/>
      </c>
      <c r="AS27" s="45" t="str">
        <f t="shared" si="145"/>
        <v/>
      </c>
      <c r="AT27" s="45" t="str">
        <f t="shared" si="145"/>
        <v/>
      </c>
      <c r="AU27" s="45" t="str">
        <f t="shared" si="145"/>
        <v/>
      </c>
      <c r="AV27" s="45"/>
      <c r="AW27" s="45"/>
      <c r="AX27" s="44" t="str">
        <f t="shared" ref="AX27:BC27" si="146">AP27</f>
        <v/>
      </c>
      <c r="AY27" s="45" t="str">
        <f t="shared" si="146"/>
        <v/>
      </c>
      <c r="AZ27" s="45" t="str">
        <f t="shared" si="146"/>
        <v/>
      </c>
      <c r="BA27" s="45" t="str">
        <f t="shared" si="146"/>
        <v/>
      </c>
      <c r="BB27" s="45" t="str">
        <f t="shared" si="146"/>
        <v/>
      </c>
      <c r="BC27" s="45" t="str">
        <f t="shared" si="146"/>
        <v/>
      </c>
      <c r="BD27" s="45"/>
      <c r="BE27" s="45"/>
      <c r="BF27" s="44" t="str">
        <f t="shared" ref="BF27:BK27" si="147">AX27</f>
        <v/>
      </c>
      <c r="BG27" s="45" t="str">
        <f t="shared" si="147"/>
        <v/>
      </c>
      <c r="BH27" s="45" t="str">
        <f t="shared" si="147"/>
        <v/>
      </c>
      <c r="BI27" s="45" t="str">
        <f t="shared" si="147"/>
        <v/>
      </c>
      <c r="BJ27" s="45" t="str">
        <f t="shared" si="147"/>
        <v/>
      </c>
      <c r="BK27" s="45" t="str">
        <f t="shared" si="147"/>
        <v/>
      </c>
      <c r="BL27" s="45"/>
      <c r="BM27" s="45"/>
      <c r="BN27" s="44" t="str">
        <f t="shared" ref="BN27:BS27" si="148">BF27</f>
        <v/>
      </c>
      <c r="BO27" s="45" t="str">
        <f t="shared" si="148"/>
        <v/>
      </c>
      <c r="BP27" s="45" t="str">
        <f t="shared" si="148"/>
        <v/>
      </c>
      <c r="BQ27" s="45" t="str">
        <f t="shared" si="148"/>
        <v/>
      </c>
      <c r="BR27" s="45" t="str">
        <f t="shared" si="148"/>
        <v/>
      </c>
      <c r="BS27" s="45" t="str">
        <f t="shared" si="148"/>
        <v/>
      </c>
      <c r="BT27" s="45"/>
      <c r="BU27" s="45"/>
      <c r="BV27" s="44" t="str">
        <f t="shared" ref="BV27:CA27" si="149">BN27</f>
        <v/>
      </c>
      <c r="BW27" s="45" t="str">
        <f t="shared" si="149"/>
        <v/>
      </c>
      <c r="BX27" s="45" t="str">
        <f t="shared" si="149"/>
        <v/>
      </c>
      <c r="BY27" s="45" t="str">
        <f t="shared" si="149"/>
        <v/>
      </c>
      <c r="BZ27" s="45" t="str">
        <f t="shared" si="149"/>
        <v/>
      </c>
      <c r="CA27" s="45" t="str">
        <f t="shared" si="149"/>
        <v/>
      </c>
      <c r="CB27" s="45"/>
      <c r="CC27" s="45"/>
      <c r="CD27" s="44" t="str">
        <f t="shared" ref="CD27:CI27" si="150">BV27</f>
        <v/>
      </c>
      <c r="CE27" s="45" t="str">
        <f t="shared" si="150"/>
        <v/>
      </c>
      <c r="CF27" s="45" t="str">
        <f t="shared" si="150"/>
        <v/>
      </c>
      <c r="CG27" s="45" t="str">
        <f t="shared" si="150"/>
        <v/>
      </c>
      <c r="CH27" s="45" t="str">
        <f t="shared" si="150"/>
        <v/>
      </c>
      <c r="CI27" s="45" t="str">
        <f t="shared" si="150"/>
        <v/>
      </c>
      <c r="CJ27" s="45"/>
      <c r="CK27" s="45"/>
      <c r="CL27" s="44" t="str">
        <f t="shared" ref="CL27:CQ27" si="151">CD27</f>
        <v/>
      </c>
      <c r="CM27" s="45" t="str">
        <f t="shared" si="151"/>
        <v/>
      </c>
      <c r="CN27" s="45" t="str">
        <f t="shared" si="151"/>
        <v/>
      </c>
      <c r="CO27" s="45" t="str">
        <f t="shared" si="151"/>
        <v/>
      </c>
      <c r="CP27" s="45" t="str">
        <f t="shared" si="151"/>
        <v/>
      </c>
      <c r="CQ27" s="45" t="str">
        <f t="shared" si="151"/>
        <v/>
      </c>
      <c r="CR27" s="45"/>
      <c r="CS27" s="45"/>
      <c r="CT27" s="44" t="str">
        <f t="shared" ref="CT27:CY27" si="152">CL27</f>
        <v/>
      </c>
      <c r="CU27" s="45" t="str">
        <f t="shared" si="152"/>
        <v/>
      </c>
      <c r="CV27" s="45" t="str">
        <f t="shared" si="152"/>
        <v/>
      </c>
      <c r="CW27" s="45" t="str">
        <f t="shared" si="152"/>
        <v/>
      </c>
      <c r="CX27" s="45" t="str">
        <f t="shared" si="152"/>
        <v/>
      </c>
      <c r="CY27" s="45" t="str">
        <f t="shared" si="152"/>
        <v/>
      </c>
      <c r="CZ27" s="45"/>
      <c r="DA27" s="45"/>
      <c r="DB27" s="44" t="str">
        <f t="shared" ref="DB27:DG27" si="153">CT27</f>
        <v/>
      </c>
      <c r="DC27" s="45" t="str">
        <f t="shared" si="153"/>
        <v/>
      </c>
      <c r="DD27" s="45" t="str">
        <f t="shared" si="153"/>
        <v/>
      </c>
      <c r="DE27" s="45" t="str">
        <f t="shared" si="153"/>
        <v/>
      </c>
      <c r="DF27" s="45" t="str">
        <f t="shared" si="153"/>
        <v/>
      </c>
      <c r="DG27" s="45" t="str">
        <f t="shared" si="153"/>
        <v/>
      </c>
      <c r="DH27" s="45"/>
      <c r="DI27" s="45"/>
      <c r="DJ27" s="44" t="str">
        <f t="shared" ref="DJ27:DO27" si="154">DB27</f>
        <v/>
      </c>
      <c r="DK27" s="45" t="str">
        <f t="shared" si="154"/>
        <v/>
      </c>
      <c r="DL27" s="45" t="str">
        <f t="shared" si="154"/>
        <v/>
      </c>
      <c r="DM27" s="45" t="str">
        <f t="shared" si="154"/>
        <v/>
      </c>
      <c r="DN27" s="45" t="str">
        <f t="shared" si="154"/>
        <v/>
      </c>
      <c r="DO27" s="45" t="str">
        <f t="shared" si="154"/>
        <v/>
      </c>
      <c r="DP27" s="45"/>
      <c r="DQ27" s="45"/>
      <c r="DR27" s="44" t="str">
        <f t="shared" ref="DR27:DW27" si="155">DJ27</f>
        <v/>
      </c>
      <c r="DS27" s="45" t="str">
        <f t="shared" si="155"/>
        <v/>
      </c>
      <c r="DT27" s="45" t="str">
        <f t="shared" si="155"/>
        <v/>
      </c>
      <c r="DU27" s="45" t="str">
        <f t="shared" si="155"/>
        <v/>
      </c>
      <c r="DV27" s="45" t="str">
        <f t="shared" si="155"/>
        <v/>
      </c>
      <c r="DW27" s="45" t="str">
        <f t="shared" si="155"/>
        <v/>
      </c>
      <c r="DX27" s="45"/>
      <c r="DY27" s="45"/>
      <c r="DZ27" s="44" t="str">
        <f t="shared" ref="DZ27:EE27" si="156">DR27</f>
        <v/>
      </c>
      <c r="EA27" s="45" t="str">
        <f t="shared" si="156"/>
        <v/>
      </c>
      <c r="EB27" s="45" t="str">
        <f t="shared" si="156"/>
        <v/>
      </c>
      <c r="EC27" s="45" t="str">
        <f t="shared" si="156"/>
        <v/>
      </c>
      <c r="ED27" s="45" t="str">
        <f t="shared" si="156"/>
        <v/>
      </c>
      <c r="EE27" s="45" t="str">
        <f t="shared" si="156"/>
        <v/>
      </c>
      <c r="EF27" s="45"/>
      <c r="EG27" s="45"/>
      <c r="EH27" s="44" t="str">
        <f t="shared" ref="EH27:EM27" si="157">DZ27</f>
        <v/>
      </c>
      <c r="EI27" s="45" t="str">
        <f t="shared" si="157"/>
        <v/>
      </c>
      <c r="EJ27" s="45" t="str">
        <f t="shared" si="157"/>
        <v/>
      </c>
      <c r="EK27" s="45" t="str">
        <f t="shared" si="157"/>
        <v/>
      </c>
      <c r="EL27" s="45" t="str">
        <f t="shared" si="157"/>
        <v/>
      </c>
      <c r="EM27" s="45" t="str">
        <f t="shared" si="157"/>
        <v/>
      </c>
      <c r="EN27" s="45"/>
      <c r="EO27" s="45"/>
      <c r="EP27" s="44" t="str">
        <f t="shared" ref="EP27:EU27" si="158">EH27</f>
        <v/>
      </c>
      <c r="EQ27" s="45" t="str">
        <f t="shared" si="158"/>
        <v/>
      </c>
      <c r="ER27" s="45" t="str">
        <f t="shared" si="158"/>
        <v/>
      </c>
      <c r="ES27" s="45" t="str">
        <f t="shared" si="158"/>
        <v/>
      </c>
      <c r="ET27" s="45" t="str">
        <f t="shared" si="158"/>
        <v/>
      </c>
      <c r="EU27" s="45" t="str">
        <f t="shared" si="158"/>
        <v/>
      </c>
      <c r="EV27" s="45"/>
      <c r="EW27" s="45"/>
      <c r="EX27" s="44" t="str">
        <f t="shared" ref="EX27:FC27" si="159">EP27</f>
        <v/>
      </c>
      <c r="EY27" s="45" t="str">
        <f t="shared" si="159"/>
        <v/>
      </c>
      <c r="EZ27" s="45" t="str">
        <f t="shared" si="159"/>
        <v/>
      </c>
      <c r="FA27" s="45" t="str">
        <f t="shared" si="159"/>
        <v/>
      </c>
      <c r="FB27" s="45" t="str">
        <f t="shared" si="159"/>
        <v/>
      </c>
      <c r="FC27" s="45" t="str">
        <f t="shared" si="159"/>
        <v/>
      </c>
      <c r="FD27" s="45"/>
      <c r="FE27" s="45"/>
      <c r="FF27" s="44" t="str">
        <f t="shared" ref="FF27:FK27" si="160">EX27</f>
        <v/>
      </c>
      <c r="FG27" s="45" t="str">
        <f t="shared" si="160"/>
        <v/>
      </c>
      <c r="FH27" s="45" t="str">
        <f t="shared" si="160"/>
        <v/>
      </c>
      <c r="FI27" s="45" t="str">
        <f t="shared" si="160"/>
        <v/>
      </c>
      <c r="FJ27" s="45" t="str">
        <f t="shared" si="160"/>
        <v/>
      </c>
      <c r="FK27" s="45" t="str">
        <f t="shared" si="160"/>
        <v/>
      </c>
      <c r="FL27" s="45"/>
      <c r="FM27" s="45"/>
    </row>
    <row r="28">
      <c r="A28" s="2"/>
      <c r="B28" s="40"/>
      <c r="C28" s="2"/>
      <c r="D28" s="2"/>
      <c r="E28" s="2"/>
      <c r="F28" s="2"/>
      <c r="G28" s="2"/>
      <c r="H28" s="2"/>
      <c r="I28" s="2"/>
      <c r="J28" s="40"/>
      <c r="K28" s="2"/>
      <c r="L28" s="2"/>
      <c r="M28" s="2"/>
      <c r="N28" s="2"/>
      <c r="O28" s="2"/>
      <c r="P28" s="2"/>
      <c r="Q28" s="2"/>
      <c r="R28" s="40"/>
      <c r="S28" s="2"/>
      <c r="T28" s="2"/>
      <c r="U28" s="2"/>
      <c r="V28" s="2"/>
      <c r="W28" s="2"/>
      <c r="X28" s="2"/>
      <c r="Y28" s="2"/>
      <c r="Z28" s="40"/>
      <c r="AA28" s="2"/>
      <c r="AB28" s="2"/>
      <c r="AC28" s="2"/>
      <c r="AD28" s="2"/>
      <c r="AE28" s="2"/>
      <c r="AF28" s="2"/>
      <c r="AG28" s="2"/>
      <c r="AH28" s="40"/>
      <c r="AI28" s="2"/>
      <c r="AJ28" s="2"/>
      <c r="AK28" s="2"/>
      <c r="AL28" s="2"/>
      <c r="AM28" s="2"/>
      <c r="AN28" s="2"/>
      <c r="AO28" s="2"/>
      <c r="AP28" s="40"/>
      <c r="AQ28" s="2"/>
      <c r="AR28" s="2"/>
      <c r="AS28" s="2"/>
      <c r="AT28" s="2"/>
      <c r="AU28" s="2"/>
      <c r="AV28" s="2"/>
      <c r="AW28" s="2"/>
      <c r="AX28" s="40"/>
      <c r="AY28" s="2"/>
      <c r="AZ28" s="2"/>
      <c r="BA28" s="2"/>
      <c r="BB28" s="2"/>
      <c r="BC28" s="2"/>
      <c r="BD28" s="2"/>
      <c r="BE28" s="2"/>
      <c r="BF28" s="40"/>
      <c r="BG28" s="2"/>
      <c r="BH28" s="2"/>
      <c r="BI28" s="2"/>
      <c r="BJ28" s="2"/>
      <c r="BK28" s="2"/>
      <c r="BL28" s="2"/>
      <c r="BM28" s="2"/>
      <c r="BN28" s="40"/>
      <c r="BO28" s="2"/>
      <c r="BP28" s="2"/>
      <c r="BQ28" s="2"/>
      <c r="BR28" s="2"/>
      <c r="BS28" s="2"/>
      <c r="BT28" s="2"/>
      <c r="BU28" s="2"/>
      <c r="BV28" s="40"/>
      <c r="BW28" s="2"/>
      <c r="BX28" s="2"/>
      <c r="BY28" s="2"/>
      <c r="BZ28" s="2"/>
      <c r="CA28" s="2"/>
      <c r="CB28" s="2"/>
      <c r="CC28" s="2"/>
      <c r="CD28" s="40"/>
      <c r="CE28" s="2"/>
      <c r="CF28" s="2"/>
      <c r="CG28" s="2"/>
      <c r="CH28" s="2"/>
      <c r="CI28" s="2"/>
      <c r="CJ28" s="2"/>
      <c r="CK28" s="2"/>
      <c r="CL28" s="40"/>
      <c r="CM28" s="2"/>
      <c r="CN28" s="2"/>
      <c r="CO28" s="2"/>
      <c r="CP28" s="2"/>
      <c r="CQ28" s="2"/>
      <c r="CR28" s="2"/>
      <c r="CS28" s="2"/>
      <c r="CT28" s="40"/>
      <c r="CU28" s="2"/>
      <c r="CV28" s="2"/>
      <c r="CW28" s="2"/>
      <c r="CX28" s="2"/>
      <c r="CY28" s="2"/>
      <c r="CZ28" s="2"/>
      <c r="DA28" s="2"/>
      <c r="DB28" s="40"/>
      <c r="DC28" s="2"/>
      <c r="DD28" s="2"/>
      <c r="DE28" s="2"/>
      <c r="DF28" s="2"/>
      <c r="DG28" s="2"/>
      <c r="DH28" s="2"/>
      <c r="DI28" s="2"/>
      <c r="DJ28" s="40"/>
      <c r="DK28" s="2"/>
      <c r="DL28" s="2"/>
      <c r="DM28" s="2"/>
      <c r="DN28" s="2"/>
      <c r="DO28" s="2"/>
      <c r="DP28" s="2"/>
      <c r="DQ28" s="2"/>
      <c r="DR28" s="40"/>
      <c r="DS28" s="2"/>
      <c r="DT28" s="2"/>
      <c r="DU28" s="2"/>
      <c r="DV28" s="2"/>
      <c r="DW28" s="2"/>
      <c r="DX28" s="2"/>
      <c r="DY28" s="2"/>
      <c r="DZ28" s="40"/>
      <c r="EA28" s="2"/>
      <c r="EB28" s="2"/>
      <c r="EC28" s="2"/>
      <c r="ED28" s="2"/>
      <c r="EE28" s="2"/>
      <c r="EF28" s="2"/>
      <c r="EG28" s="2"/>
      <c r="EH28" s="40"/>
      <c r="EI28" s="2"/>
      <c r="EJ28" s="2"/>
      <c r="EK28" s="2"/>
      <c r="EL28" s="2"/>
      <c r="EM28" s="2"/>
      <c r="EN28" s="2"/>
      <c r="EO28" s="2"/>
      <c r="EP28" s="40"/>
      <c r="EQ28" s="2"/>
      <c r="ER28" s="2"/>
      <c r="ES28" s="2"/>
      <c r="ET28" s="2"/>
      <c r="EU28" s="2"/>
      <c r="EV28" s="2"/>
      <c r="EW28" s="2"/>
      <c r="EX28" s="40"/>
      <c r="EY28" s="2"/>
      <c r="EZ28" s="2"/>
      <c r="FA28" s="2"/>
      <c r="FB28" s="2"/>
      <c r="FC28" s="2"/>
      <c r="FD28" s="2"/>
      <c r="FE28" s="2"/>
      <c r="FF28" s="40"/>
      <c r="FG28" s="2"/>
      <c r="FH28" s="2"/>
      <c r="FI28" s="2"/>
      <c r="FJ28" s="2"/>
      <c r="FK28" s="2"/>
      <c r="FL28" s="2"/>
      <c r="FM28" s="2"/>
    </row>
    <row r="29">
      <c r="A29" s="31" t="s">
        <v>83</v>
      </c>
      <c r="B29" s="32"/>
      <c r="C29" s="33"/>
      <c r="D29" s="33"/>
      <c r="E29" s="33"/>
      <c r="F29" s="33"/>
      <c r="G29" s="33"/>
      <c r="H29" s="33"/>
      <c r="I29" s="33"/>
      <c r="J29" s="32"/>
      <c r="K29" s="33"/>
      <c r="L29" s="33"/>
      <c r="M29" s="33"/>
      <c r="N29" s="33"/>
      <c r="O29" s="33"/>
      <c r="P29" s="33"/>
      <c r="Q29" s="33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J29" s="33"/>
      <c r="AK29" s="33"/>
      <c r="AL29" s="33"/>
      <c r="AM29" s="33"/>
      <c r="AN29" s="33"/>
      <c r="AO29" s="33"/>
      <c r="AP29" s="32"/>
      <c r="AQ29" s="33"/>
      <c r="AR29" s="33"/>
      <c r="AS29" s="33"/>
      <c r="AT29" s="33"/>
      <c r="AU29" s="33"/>
      <c r="AV29" s="33"/>
      <c r="AW29" s="33"/>
      <c r="AX29" s="32"/>
      <c r="AY29" s="33"/>
      <c r="AZ29" s="33"/>
      <c r="BA29" s="33"/>
      <c r="BB29" s="33"/>
      <c r="BC29" s="33"/>
      <c r="BD29" s="33"/>
      <c r="BE29" s="33"/>
      <c r="BF29" s="32"/>
      <c r="BG29" s="33"/>
      <c r="BH29" s="33"/>
      <c r="BI29" s="33"/>
      <c r="BJ29" s="33"/>
      <c r="BK29" s="33"/>
      <c r="BL29" s="33"/>
      <c r="BM29" s="33"/>
      <c r="BN29" s="32"/>
      <c r="BO29" s="33"/>
      <c r="BP29" s="33"/>
      <c r="BQ29" s="33"/>
      <c r="BR29" s="33"/>
      <c r="BS29" s="33"/>
      <c r="BT29" s="33"/>
      <c r="BU29" s="33"/>
      <c r="BV29" s="32"/>
      <c r="BW29" s="33"/>
      <c r="BX29" s="33"/>
      <c r="BY29" s="33"/>
      <c r="BZ29" s="33"/>
      <c r="CA29" s="33"/>
      <c r="CB29" s="33"/>
      <c r="CC29" s="33"/>
      <c r="CD29" s="32"/>
      <c r="CE29" s="33"/>
      <c r="CF29" s="33"/>
      <c r="CG29" s="33"/>
      <c r="CH29" s="33"/>
      <c r="CI29" s="33"/>
      <c r="CJ29" s="33"/>
      <c r="CK29" s="33"/>
      <c r="CL29" s="32"/>
      <c r="CM29" s="33"/>
      <c r="CN29" s="33"/>
      <c r="CO29" s="33"/>
      <c r="CP29" s="33"/>
      <c r="CQ29" s="33"/>
      <c r="CR29" s="33"/>
      <c r="CS29" s="33"/>
      <c r="CT29" s="32"/>
      <c r="CU29" s="33"/>
      <c r="CV29" s="33"/>
      <c r="CW29" s="33"/>
      <c r="CX29" s="33"/>
      <c r="CY29" s="33"/>
      <c r="CZ29" s="33"/>
      <c r="DA29" s="33"/>
      <c r="DB29" s="32"/>
      <c r="DC29" s="33"/>
      <c r="DD29" s="33"/>
      <c r="DE29" s="33"/>
      <c r="DF29" s="33"/>
      <c r="DG29" s="33"/>
      <c r="DH29" s="33"/>
      <c r="DI29" s="33"/>
      <c r="DJ29" s="32"/>
      <c r="DK29" s="33"/>
      <c r="DL29" s="33"/>
      <c r="DM29" s="33"/>
      <c r="DN29" s="33"/>
      <c r="DO29" s="33"/>
      <c r="DP29" s="33"/>
      <c r="DQ29" s="33"/>
      <c r="DR29" s="32"/>
      <c r="DS29" s="33"/>
      <c r="DT29" s="33"/>
      <c r="DU29" s="33"/>
      <c r="DV29" s="33"/>
      <c r="DW29" s="33"/>
      <c r="DX29" s="33"/>
      <c r="DY29" s="33"/>
      <c r="DZ29" s="32"/>
      <c r="EA29" s="33"/>
      <c r="EB29" s="33"/>
      <c r="EC29" s="33"/>
      <c r="ED29" s="33"/>
      <c r="EE29" s="33"/>
      <c r="EF29" s="33"/>
      <c r="EG29" s="33"/>
      <c r="EH29" s="32"/>
      <c r="EI29" s="33"/>
      <c r="EJ29" s="33"/>
      <c r="EK29" s="33"/>
      <c r="EL29" s="33"/>
      <c r="EM29" s="33"/>
      <c r="EN29" s="33"/>
      <c r="EO29" s="33"/>
      <c r="EP29" s="32"/>
      <c r="EQ29" s="33"/>
      <c r="ER29" s="33"/>
      <c r="ES29" s="33"/>
      <c r="ET29" s="33"/>
      <c r="EU29" s="33"/>
      <c r="EV29" s="33"/>
      <c r="EW29" s="33"/>
      <c r="EX29" s="34" t="s">
        <v>79</v>
      </c>
      <c r="EY29" s="35"/>
      <c r="EZ29" s="35"/>
      <c r="FA29" s="35"/>
      <c r="FB29" s="35"/>
      <c r="FC29" s="35"/>
      <c r="FD29" s="35"/>
      <c r="FE29" s="35"/>
      <c r="FF29" s="32"/>
      <c r="FG29" s="33"/>
      <c r="FH29" s="33"/>
      <c r="FI29" s="33"/>
      <c r="FJ29" s="33"/>
      <c r="FK29" s="33"/>
      <c r="FL29" s="33"/>
      <c r="FM29" s="33"/>
    </row>
    <row r="30" hidden="1">
      <c r="A30" s="36" t="str">
        <f>CONCATENATE(A31," TM")</f>
        <v>Deadlift TM</v>
      </c>
      <c r="B30" s="37">
        <f>if(D30="",'Quick Setup'!D7,D30/'Quick Setup'!E7)</f>
        <v>525</v>
      </c>
      <c r="C30" s="36" t="s">
        <v>77</v>
      </c>
      <c r="D30" s="38"/>
      <c r="E30" s="39"/>
      <c r="F30" s="39"/>
      <c r="G30" s="39"/>
      <c r="H30" s="39"/>
      <c r="I30" s="39"/>
      <c r="J30" s="37">
        <f>if(L30="", if(F31="",B30, if((F31-E31)&lt;-1.9,B30*(1+Setup!F5),if((F31-E31)=-1,B30*(1+Setup!G5),if(G31&lt;D31,B30*(1+Setup!G5),if(G31=D31,B30*(1+Setup!H5),if((G31-D31)=1,B30*(1+Setup!I5),if((G31-D31)=2,B30*(1+Setup!J5),if((G31-D31)=3,B30*(1+Setup!K5),if((G31-D31)=4,B30*(1+Setup!L5),if((G31-D31)&gt;4.1,B30*(1+Setup!M5),B30)))))))))),L30/'Quick Setup'!$E7)</f>
        <v>525</v>
      </c>
      <c r="K30" s="36" t="s">
        <v>77</v>
      </c>
      <c r="L30" s="38"/>
      <c r="M30" s="39"/>
      <c r="N30" s="39"/>
      <c r="O30" s="39"/>
      <c r="P30" s="39"/>
      <c r="Q30" s="39"/>
      <c r="R30" s="37">
        <f>if(T30="", if(N31="",J30, if((N31-M31)&lt;-1.9,J30*(1+Setup!R5),if((N31-M31)=-1,J30*(1+Setup!S5),if(O31&lt;L31,J30*(1+Setup!S5),if(O31=L31,J30*(1+Setup!T5),if((O31-L31)=1,J30*(1+Setup!U5),if((O31-L31)=2,J30*(1+Setup!V5),if((O31-L31)=3,J30*(1+Setup!W5),if((O31-L31)=4,J30*(1+Setup!X5),if((O31-L31)&gt;4.1,J30*(1+Setup!Y5),J30)))))))))),T30/'Quick Setup'!$E7)</f>
        <v>525</v>
      </c>
      <c r="S30" s="36" t="s">
        <v>77</v>
      </c>
      <c r="T30" s="38"/>
      <c r="U30" s="39"/>
      <c r="V30" s="39"/>
      <c r="W30" s="39"/>
      <c r="X30" s="39"/>
      <c r="Y30" s="39"/>
      <c r="Z30" s="37">
        <f>if(AB30="", if(V31="",R30, if((V31-U31)&lt;-1.9,R30*(1+Setup!AD5),if((V31-U31)=-1,R30*(1+Setup!AE5),if(W31&lt;T31,R30*(1+Setup!AE5),if(W31=T31,R30*(1+Setup!AF5),if((W31-T31)=1,R30*(1+Setup!AG5),if((W31-T31)=2,R30*(1+Setup!AH5),if((W31-T31)=3,R30*(1+Setup!AI5),if((W31-T31)=4,R30*(1+Setup!AJ5),if((W31-T31)&gt;4.1,R30*(1+Setup!AK5),R30)))))))))),AB30/'Quick Setup'!$E7)</f>
        <v>525</v>
      </c>
      <c r="AA30" s="36" t="s">
        <v>77</v>
      </c>
      <c r="AB30" s="38"/>
      <c r="AC30" s="39"/>
      <c r="AD30" s="39"/>
      <c r="AE30" s="39"/>
      <c r="AF30" s="39"/>
      <c r="AG30" s="39"/>
      <c r="AH30" s="37">
        <f>if(AJ30="", if(AD31="",Z30, if((AD31-AC31)&lt;-1.9,Z30*(1+Setup!AP5),if((AD31-AC31)=-1,Z30*(1+Setup!AQ5),if(AE31&lt;AB31,Z30*(1+Setup!AQ5),if(AE31=AB31,Z30*(1+Setup!AR5),if((AE31-AB31)=1,Z30*(1+Setup!AS5),if((AE31-AB31)=2,Z30*(1+Setup!AT5),if((AE31-AB31)=3,Z30*(1+Setup!AU5),if((AE31-AB31)=4,Z30*(1+Setup!AV5),if((AE31-AB31)&gt;4.1,Z30*(1+Setup!AW5),Z30)))))))))),AJ30/'Quick Setup'!$E7)</f>
        <v>525</v>
      </c>
      <c r="AI30" s="36" t="s">
        <v>77</v>
      </c>
      <c r="AJ30" s="38"/>
      <c r="AK30" s="39"/>
      <c r="AL30" s="39"/>
      <c r="AM30" s="39"/>
      <c r="AN30" s="39"/>
      <c r="AO30" s="39"/>
      <c r="AP30" s="37">
        <f>if(AR30="", if(AL31="",AH30, if((AL31-AK31)&lt;-1.9,AH30*(1+Setup!BB5),if((AL31-AK31)=-1,AH30*(1+Setup!BC5),if(AM31&lt;AJ31,AH30*(1+Setup!BC5),if(AM31=AJ31,AH30*(1+Setup!BD5),if((AM31-AJ31)=1,AH30*(1+Setup!BE5),if((AM31-AJ31)=2,AH30*(1+Setup!BF5),if((AM31-AJ31)=3,AH30*(1+Setup!BG5),if((AM31-AJ31)=4,AH30*(1+Setup!BH5),if((AM31-AJ31)&gt;4.1,AH30*(1+Setup!BI5),AH30)))))))))),AR30/'Quick Setup'!$E7)</f>
        <v>525</v>
      </c>
      <c r="AQ30" s="36" t="s">
        <v>77</v>
      </c>
      <c r="AR30" s="38"/>
      <c r="AS30" s="39"/>
      <c r="AT30" s="39"/>
      <c r="AU30" s="39"/>
      <c r="AV30" s="39"/>
      <c r="AW30" s="39"/>
      <c r="AX30" s="37">
        <f>if(AZ30="", if(AT31="",AP30, if((AT31-AS31)&lt;-1.9,AP30*(1+Setup!BN5),if((AT31-AS31)=-1,AP30*(1+Setup!BO5),if(AU31&lt;AR31,AP30*(1+Setup!BO5),if(AU31=AR31,AP30*(1+Setup!BP5),if((AU31-AR31)=1,AP30*(1+Setup!BQ5),if((AU31-AR31)=2,AP30*(1+Setup!BR5),if((AU31-AR31)=3,AP30*(1+Setup!BS5),if((AU31-AR31)=4,AP30*(1+Setup!BT5),if((AU31-AR31)&gt;4.1,AP30*(1+Setup!BU5),AP30)))))))))),AZ30/'Quick Setup'!$E7)</f>
        <v>525</v>
      </c>
      <c r="AY30" s="36" t="s">
        <v>77</v>
      </c>
      <c r="AZ30" s="38"/>
      <c r="BA30" s="39"/>
      <c r="BB30" s="39"/>
      <c r="BC30" s="39"/>
      <c r="BD30" s="39"/>
      <c r="BE30" s="39"/>
      <c r="BF30" s="37">
        <f>if(BH30="",AX30,BH30/'Quick Setup'!$E7)</f>
        <v>525</v>
      </c>
      <c r="BG30" s="36" t="s">
        <v>77</v>
      </c>
      <c r="BH30" s="38"/>
      <c r="BI30" s="39"/>
      <c r="BJ30" s="39"/>
      <c r="BK30" s="39"/>
      <c r="BL30" s="39"/>
      <c r="BM30" s="39"/>
      <c r="BN30" s="37">
        <f>if(BP30="", if(BJ31="",BF30, if((BJ31-BI31)&lt;-1.9,BF30*(1+Setup!CL5),if((BJ31-BI31)=-1,BF30*(1+Setup!CM5),if(BK31&lt;BH31,BF30*(1+Setup!CM5),if(BK31=BH31,BF30*(1+Setup!CN5),if((BK31-BH31)=1,BF30*(1+Setup!CO5),if((BK31-BH31)=2,BF30*(1+Setup!CP5),if((BK31-BH31)=3,BF30*(1+Setup!CQ5),if((BK31-BH31)=4,BF30*(1+Setup!CR5),if((BK31-BH31)&gt;4.1,BF30*(1+Setup!CS5),BF30)))))))))),BP30/'Quick Setup'!$E7)</f>
        <v>525</v>
      </c>
      <c r="BO30" s="36" t="s">
        <v>77</v>
      </c>
      <c r="BP30" s="38"/>
      <c r="BQ30" s="39"/>
      <c r="BR30" s="39"/>
      <c r="BS30" s="39"/>
      <c r="BT30" s="39"/>
      <c r="BU30" s="39"/>
      <c r="BV30" s="37">
        <f>if(BX30="", if(BR31="",BN30, if((BR31-BQ31)&lt;-1.9,BN30*(1+Setup!CX5),if((BR31-BQ31)=-1,BN30*(1+Setup!CY5),if(BS31&lt;BP31,BN30*(1+Setup!CY5),if(BS31=BP31,BN30*(1+Setup!CZ5),if((BS31-BP31)=1,BN30*(1+Setup!DA5),if((BS31-BP31)=2,BN30*(1+Setup!DB5),if((BS31-BP31)=3,BN30*(1+Setup!DC5),if((BS31-BP31)=4,BN30*(1+Setup!DD5),if((BS31-BP31)&gt;4.1,BN30*(1+Setup!DE5),BN30)))))))))),BX30/'Quick Setup'!$E7)</f>
        <v>525</v>
      </c>
      <c r="BW30" s="36" t="s">
        <v>77</v>
      </c>
      <c r="BX30" s="38"/>
      <c r="BY30" s="39"/>
      <c r="BZ30" s="39"/>
      <c r="CA30" s="39"/>
      <c r="CB30" s="39"/>
      <c r="CC30" s="39"/>
      <c r="CD30" s="37">
        <f>if(CF30="", if(BZ31="",BV30, if((BZ31-BY31)&lt;-1.9,BV30*(1+Setup!DJ5),if((BZ31-BY31)=-1,BV30*(1+Setup!DK5),if(CA31&lt;BX31,BV30*(1+Setup!DK5),if(CA31=BX31,BV30*(1+Setup!DL5),if((CA31-BX31)=1,BV30*(1+Setup!DM5),if((CA31-BX31)=2,BV30*(1+Setup!DN5),if((CA31-BX31)=3,BV30*(1+Setup!DO5),if((CA31-BX31)=4,BV30*(1+Setup!DP5),if((CA31-BX31)&gt;4.1,BV30*(1+Setup!DQ5),BV30)))))))))),CF30/'Quick Setup'!$E7)</f>
        <v>525</v>
      </c>
      <c r="CE30" s="36" t="s">
        <v>77</v>
      </c>
      <c r="CF30" s="38"/>
      <c r="CG30" s="39"/>
      <c r="CH30" s="39"/>
      <c r="CI30" s="39"/>
      <c r="CJ30" s="39"/>
      <c r="CK30" s="39"/>
      <c r="CL30" s="37">
        <f>if(CN30="", if(CH31="",CD30, if((CH31-CG31)&lt;-1.9,CD30*(1+Setup!DV5),if((CH31-CG31)=-1,CD30*(1+Setup!DW5),if(CI31&lt;CF31,CD30*(1+Setup!DW5),if(CI31=CF31,CD30*(1+Setup!DX5),if((CI31-CF31)=1,CD30*(1+Setup!DY5),if((CI31-CF31)=2,CD30*(1+Setup!DZ5),if((CI31-CF31)=3,CD30*(1+Setup!EA5),if((CI31-CF31)=4,CD30*(1+Setup!EB5),if((CI31-CF31)&gt;4.1,CD30*(1+Setup!EC5),CD30)))))))))),CN30/'Quick Setup'!$E7)</f>
        <v>525</v>
      </c>
      <c r="CM30" s="36" t="s">
        <v>77</v>
      </c>
      <c r="CN30" s="38"/>
      <c r="CO30" s="39"/>
      <c r="CP30" s="39"/>
      <c r="CQ30" s="39"/>
      <c r="CR30" s="39"/>
      <c r="CS30" s="39"/>
      <c r="CT30" s="37">
        <f>if(CV30="", if(CP31="",CL30, if((CP31-CO31)&lt;-1.9,CL30*(1+Setup!EH5),if((CP31-CO31)=-1,CL30*(1+Setup!EI5),if(CQ31&lt;CN31,CL30*(1+Setup!EI5),if(CQ31=CN31,CL30*(1+Setup!EJ5),if((CQ31-CN31)=1,CL30*(1+Setup!EK5),if((CQ31-CN31)=2,CL30*(1+Setup!EL5),if((CQ31-CN31)=3,CL30*(1+Setup!EM5),if((CQ31-CN31)=4,CL30*(1+Setup!EN5),if((CQ31-CN31)&gt;4.1,CL30*(1+Setup!EO5),CL30)))))))))),CV30/'Quick Setup'!$E7)</f>
        <v>525</v>
      </c>
      <c r="CU30" s="36" t="s">
        <v>77</v>
      </c>
      <c r="CV30" s="38"/>
      <c r="CW30" s="39"/>
      <c r="CX30" s="39"/>
      <c r="CY30" s="39"/>
      <c r="CZ30" s="39"/>
      <c r="DA30" s="39"/>
      <c r="DB30" s="37">
        <f>if(DD30="", if(CX31="",CT30, if((CX31-CW31)&lt;-1.9,CT30*(1+Setup!ET5),if((CX31-CW31)=-1,CT30*(1+Setup!EU5),if(CY31&lt;CV31,CT30*(1+Setup!EU5),if(CY31=CV31,CT30*(1+Setup!EV5),if((CY31-CV31)=1,CT30*(1+Setup!EW5),if((CY31-CV31)=2,CT30*(1+Setup!EX5),if((CY31-CV31)=3,CT30*(1+Setup!EY5),if((CY31-CV31)=4,CT30*(1+Setup!EZ5),if((CY31-CV31)&gt;4.1,CT30*(1+Setup!FA5),CT30)))))))))),DD30/'Quick Setup'!$E7)</f>
        <v>525</v>
      </c>
      <c r="DC30" s="36" t="s">
        <v>77</v>
      </c>
      <c r="DD30" s="38"/>
      <c r="DE30" s="39"/>
      <c r="DF30" s="39"/>
      <c r="DG30" s="39"/>
      <c r="DH30" s="39"/>
      <c r="DI30" s="39"/>
      <c r="DJ30" s="37">
        <f>if(DL30="",DB30,DL30/'Quick Setup'!$E7)</f>
        <v>525</v>
      </c>
      <c r="DK30" s="36" t="s">
        <v>77</v>
      </c>
      <c r="DL30" s="38"/>
      <c r="DM30" s="39"/>
      <c r="DN30" s="39"/>
      <c r="DO30" s="39"/>
      <c r="DP30" s="39"/>
      <c r="DQ30" s="39"/>
      <c r="DR30" s="37">
        <f>if(DT30="", if(DN31="",DJ30, if((DN31-DM31)&lt;-1.9,DJ30*(1+Setup!FR5),if((DN31-DM31)=-1,DJ30*(1+Setup!FS5),if(DO31&lt;DL31,DJ30*(1+Setup!FS5),if(DO31=DL31,DJ30*(1+Setup!FT5),if((DO31-DL31)=1,DJ30*(1+Setup!FU5),if((DO31-DL31)=2,DJ30*(1+Setup!FV5),if((DO31-DL31)=3,DJ30*(1+Setup!FW5),if((DO31-DL31)=4,DJ30*(1+Setup!FX5),if((DO31-DL31)&gt;4.1,DJ30*(1+Setup!FY5),DJ30)))))))))),DT30/'Quick Setup'!$E7)</f>
        <v>525</v>
      </c>
      <c r="DS30" s="36" t="s">
        <v>77</v>
      </c>
      <c r="DT30" s="38"/>
      <c r="DU30" s="39"/>
      <c r="DV30" s="39"/>
      <c r="DW30" s="39"/>
      <c r="DX30" s="39"/>
      <c r="DY30" s="39"/>
      <c r="DZ30" s="37">
        <f>if(EB30="", if(DV31="",DR30, if((DV31-DU31)&lt;-1.9,DR30*(1+Setup!GD5),if((DV31-DU31)=-1,DR30*(1+Setup!GE5),if(DW31&lt;DT31,DR30*(1+Setup!GE5),if(DW31=DT31,DR30*(1+Setup!GF5),if((DW31-DT31)=1,DR30*(1+Setup!GG5),if((DW31-DT31)=2,DR30*(1+Setup!GH5),if((DW31-DT31)=3,DR30*(1+Setup!GI5),if((DW31-DT31)=4,DR30*(1+Setup!GJ5),if((DW31-DT31)&gt;4.1,DR30*(1+Setup!GK5),DR30)))))))))),EB30/'Quick Setup'!$E7)</f>
        <v>525</v>
      </c>
      <c r="EA30" s="36" t="s">
        <v>77</v>
      </c>
      <c r="EB30" s="38"/>
      <c r="EC30" s="39"/>
      <c r="ED30" s="39"/>
      <c r="EE30" s="39"/>
      <c r="EF30" s="39"/>
      <c r="EG30" s="39"/>
      <c r="EH30" s="37">
        <f>if(EJ30="", if(ED31="",DZ30, if((ED31-EC31)&lt;-1.9,DZ30*(1+Setup!GP5),if((ED31-EC31)=-1,DZ30*(1+Setup!GQ5),if(EE31&lt;EB31,DZ30*(1+Setup!GQ5),if(EE31=EB31,DZ30*(1+Setup!GR5),if((EE31-EB31)=1,DZ30*(1+Setup!GS5),if((EE31-EB31)=2,DZ30*(1+Setup!GT5),if((EE31-EB31)=3,DZ30*(1+Setup!GU5),if((EE31-EB31)=4,DZ30*(1+Setup!GV5),if((EE31-EB31)&gt;4.1,DZ30*(1+Setup!GW5),DZ30)))))))))),EJ30/'Quick Setup'!$E7)</f>
        <v>525</v>
      </c>
      <c r="EI30" s="36" t="s">
        <v>77</v>
      </c>
      <c r="EJ30" s="38"/>
      <c r="EK30" s="39"/>
      <c r="EL30" s="39"/>
      <c r="EM30" s="39"/>
      <c r="EN30" s="39"/>
      <c r="EO30" s="39"/>
      <c r="EP30" s="37">
        <f>if(ER30="", if(EL31="",EH30, if((EL31-EK31)&lt;-1.9,EH30*(1+Setup!HB5),if((EL31-EK31)=-1,EH30*(1+Setup!HC5),if(EM31&lt;EJ31,EH30*(1+Setup!HC5),if(EM31=EJ31,EH30*(1+Setup!HD5),if((EM31-EJ31)=1,EH30*(1+Setup!HE5),if((EM31-EJ31)=2,EH30*(1+Setup!HF5),if((EM31-EJ31)=3,EH30*(1+Setup!HG5),if((EM31-EJ31)=4,EH30*(1+Setup!HH5),if((EM31-EJ31)&gt;4.1,EH30*(1+Setup!HI5),EH30)))))))))),ER30/'Quick Setup'!$E7)</f>
        <v>525</v>
      </c>
      <c r="EQ30" s="36" t="s">
        <v>77</v>
      </c>
      <c r="ER30" s="38"/>
      <c r="ES30" s="39"/>
      <c r="ET30" s="39"/>
      <c r="EU30" s="39"/>
      <c r="EV30" s="39"/>
      <c r="EW30" s="39"/>
      <c r="EX30" s="37">
        <f>if(EZ30="", if(ET31="",EP30, if((ET31-ES31)&lt;-1.9,EP30*(1+Setup!HN5),if((ET31-ES31)=-1,EP30*(1+Setup!HO5),if(EU31&lt;ER31,EP30*(1+Setup!HO5),if(EU31=ER31,EP30*(1+Setup!HP5),if((EU31-ER31)=1,EP30*(1+Setup!HQ5),if((EU31-ER31)=2,EP30*(1+Setup!HR5),if((EU31-ER31)=3,EP30*(1+Setup!HS5),if((EU31-ER31)=4,EP30*(1+Setup!HT5),if((EU31-ER31)&gt;4.1,EP30*(1+Setup!HU5),EP30)))))))))),EZ30/'Quick Setup'!$E7)</f>
        <v>525</v>
      </c>
      <c r="EY30" s="36" t="s">
        <v>77</v>
      </c>
      <c r="EZ30" s="38"/>
      <c r="FA30" s="39"/>
      <c r="FB30" s="39"/>
      <c r="FC30" s="39"/>
      <c r="FD30" s="39"/>
      <c r="FE30" s="39"/>
      <c r="FF30" s="37">
        <f>if(FH30="", if(FB31="",EX30, if((FB31-FA31)&lt;-1.9,EX30*(1+Setup!HZ5),if((FB31-FA31)=-1,EX30*(1+Setup!IA5),if(FC31&lt;EZ31,EX30*(1+Setup!IA5),if(FC31=EZ31,EX30*(1+Setup!IB5),if((FC31-EZ31)=1,EX30*(1+Setup!IC5),if((FC31-EZ31)=2,EX30*(1+Setup!ID5),if((FC31-EZ31)=3,EX30*(1+Setup!IE5),if((FC31-EZ31)=4,EX30*(1+Setup!IF5),if((FC31-EZ31)&gt;4.1,EX30*(1+Setup!IG5),EX30)))))))))),FH30/'Quick Setup'!$E7)</f>
        <v>525</v>
      </c>
      <c r="FG30" s="36" t="s">
        <v>77</v>
      </c>
      <c r="FH30" s="38"/>
      <c r="FI30" s="39"/>
      <c r="FJ30" s="39"/>
      <c r="FK30" s="39"/>
      <c r="FL30" s="39"/>
      <c r="FM30" s="39"/>
    </row>
    <row r="31">
      <c r="A31" s="1" t="str">
        <f>Setup!A5</f>
        <v>Deadlift</v>
      </c>
      <c r="B31" s="40">
        <f>mround(B30*Setup!B5,'Quick Setup'!$A$2)</f>
        <v>367.5</v>
      </c>
      <c r="C31" s="2">
        <f>Setup!C5</f>
        <v>5</v>
      </c>
      <c r="D31" s="2">
        <f>Setup!D5</f>
        <v>3</v>
      </c>
      <c r="E31" s="2">
        <f>Setup!E5</f>
        <v>5</v>
      </c>
      <c r="F31" s="8"/>
      <c r="G31" s="8"/>
      <c r="H31" s="8"/>
      <c r="I31" s="8"/>
      <c r="J31" s="40">
        <f>mround(J30*Setup!N5,'Quick Setup'!$A$2)</f>
        <v>395</v>
      </c>
      <c r="K31" s="2">
        <f>Setup!O5</f>
        <v>4</v>
      </c>
      <c r="L31" s="2">
        <f>Setup!P5</f>
        <v>2</v>
      </c>
      <c r="M31" s="2">
        <f>Setup!Q5</f>
        <v>5</v>
      </c>
      <c r="N31" s="8"/>
      <c r="O31" s="8"/>
      <c r="P31" s="8"/>
      <c r="Q31" s="8"/>
      <c r="R31" s="40">
        <f>mround(R30*Setup!Z5,'Quick Setup'!$A$2)</f>
        <v>420</v>
      </c>
      <c r="S31" s="2">
        <f>Setup!AA5</f>
        <v>3</v>
      </c>
      <c r="T31" s="2">
        <f>Setup!AB5</f>
        <v>2</v>
      </c>
      <c r="U31" s="2">
        <f>Setup!AC5</f>
        <v>5</v>
      </c>
      <c r="V31" s="8"/>
      <c r="W31" s="8"/>
      <c r="X31" s="8"/>
      <c r="Y31" s="8"/>
      <c r="Z31" s="40">
        <f>mround(Z30*Setup!AL5,'Quick Setup'!$A$2)</f>
        <v>380</v>
      </c>
      <c r="AA31" s="2">
        <f>Setup!AM5</f>
        <v>5</v>
      </c>
      <c r="AB31" s="2">
        <f>Setup!AN5</f>
        <v>3</v>
      </c>
      <c r="AC31" s="2">
        <f>Setup!AO5</f>
        <v>5</v>
      </c>
      <c r="AD31" s="8"/>
      <c r="AE31" s="8"/>
      <c r="AF31" s="8"/>
      <c r="AG31" s="8"/>
      <c r="AH31" s="40">
        <f>mround(AH30*Setup!AX5,'Quick Setup'!$A$2)</f>
        <v>407.5</v>
      </c>
      <c r="AI31" s="2">
        <f>Setup!AY5</f>
        <v>4</v>
      </c>
      <c r="AJ31" s="2">
        <f>Setup!AZ5</f>
        <v>2</v>
      </c>
      <c r="AK31" s="2">
        <f>Setup!BA5</f>
        <v>5</v>
      </c>
      <c r="AL31" s="8"/>
      <c r="AM31" s="8"/>
      <c r="AN31" s="8"/>
      <c r="AO31" s="8"/>
      <c r="AP31" s="40">
        <f>mround(AP30*Setup!BJ5,'Quick Setup'!$A$2)</f>
        <v>432.5</v>
      </c>
      <c r="AQ31" s="2">
        <f>Setup!BK5</f>
        <v>3</v>
      </c>
      <c r="AR31" s="2">
        <f>Setup!BL5</f>
        <v>2</v>
      </c>
      <c r="AS31" s="2">
        <f>Setup!BM5</f>
        <v>5</v>
      </c>
      <c r="AT31" s="8"/>
      <c r="AU31" s="8"/>
      <c r="AV31" s="8"/>
      <c r="AW31" s="8"/>
      <c r="AX31" s="40">
        <f>mround(AX30*Setup!BV5,'Quick Setup'!$A$2)</f>
        <v>315</v>
      </c>
      <c r="AY31" s="1">
        <v>5.0</v>
      </c>
      <c r="AZ31" s="1" t="s">
        <v>80</v>
      </c>
      <c r="BA31" s="2">
        <f>Setup!BY5</f>
        <v>5</v>
      </c>
      <c r="BB31" s="8"/>
      <c r="BC31" s="8"/>
      <c r="BD31" s="8"/>
      <c r="BE31" s="8"/>
      <c r="BF31" s="40">
        <f>mround(BF30*Setup!CH5,'Quick Setup'!$A$2)</f>
        <v>395</v>
      </c>
      <c r="BG31" s="2">
        <f>Setup!CI5</f>
        <v>4</v>
      </c>
      <c r="BH31" s="2">
        <f>Setup!CJ5</f>
        <v>2</v>
      </c>
      <c r="BI31" s="2">
        <f>Setup!CK5</f>
        <v>5</v>
      </c>
      <c r="BJ31" s="8"/>
      <c r="BK31" s="8"/>
      <c r="BL31" s="8"/>
      <c r="BM31" s="8"/>
      <c r="BN31" s="40">
        <f>mround(BN30*Setup!CT5,'Quick Setup'!$A$2)</f>
        <v>420</v>
      </c>
      <c r="BO31" s="2">
        <f>Setup!CU5</f>
        <v>3</v>
      </c>
      <c r="BP31" s="2">
        <f>Setup!CV5</f>
        <v>2</v>
      </c>
      <c r="BQ31" s="2">
        <f>Setup!CW5</f>
        <v>5</v>
      </c>
      <c r="BR31" s="8"/>
      <c r="BS31" s="8"/>
      <c r="BT31" s="8"/>
      <c r="BU31" s="8"/>
      <c r="BV31" s="40">
        <f>mround(BV30*Setup!DF5,'Quick Setup'!$A$2)</f>
        <v>447.5</v>
      </c>
      <c r="BW31" s="2">
        <f>Setup!DG5</f>
        <v>2</v>
      </c>
      <c r="BX31" s="2">
        <f>Setup!DH5</f>
        <v>1</v>
      </c>
      <c r="BY31" s="2">
        <f>Setup!DI5</f>
        <v>5</v>
      </c>
      <c r="BZ31" s="8"/>
      <c r="CA31" s="8"/>
      <c r="CB31" s="8"/>
      <c r="CC31" s="8"/>
      <c r="CD31" s="40">
        <f>mround(CD30*Setup!DR5,'Quick Setup'!$A$2)</f>
        <v>407.5</v>
      </c>
      <c r="CE31" s="2">
        <f>Setup!DS5</f>
        <v>4</v>
      </c>
      <c r="CF31" s="2">
        <f>Setup!DT5</f>
        <v>2</v>
      </c>
      <c r="CG31" s="2">
        <f>Setup!DU5</f>
        <v>5</v>
      </c>
      <c r="CH31" s="8"/>
      <c r="CI31" s="8"/>
      <c r="CJ31" s="8"/>
      <c r="CK31" s="8"/>
      <c r="CL31" s="40">
        <f>mround(CL30*Setup!ED5,'Quick Setup'!$A$2)</f>
        <v>432.5</v>
      </c>
      <c r="CM31" s="2">
        <f>Setup!EE5</f>
        <v>3</v>
      </c>
      <c r="CN31" s="2">
        <f>Setup!EF5</f>
        <v>2</v>
      </c>
      <c r="CO31" s="2">
        <f>Setup!EG5</f>
        <v>5</v>
      </c>
      <c r="CP31" s="8"/>
      <c r="CQ31" s="8"/>
      <c r="CR31" s="8"/>
      <c r="CS31" s="8"/>
      <c r="CT31" s="40">
        <f>mround(CT30*Setup!EP5,'Quick Setup'!$A$2)</f>
        <v>460</v>
      </c>
      <c r="CU31" s="2">
        <f>Setup!EQ5</f>
        <v>2</v>
      </c>
      <c r="CV31" s="2">
        <f>Setup!ER5</f>
        <v>1</v>
      </c>
      <c r="CW31" s="2">
        <f>Setup!ES5</f>
        <v>5</v>
      </c>
      <c r="CX31" s="8"/>
      <c r="CY31" s="8"/>
      <c r="CZ31" s="8"/>
      <c r="DA31" s="8"/>
      <c r="DB31" s="40">
        <f>mround(DB30*Setup!FB5,'Quick Setup'!$A$2)</f>
        <v>315</v>
      </c>
      <c r="DC31" s="1">
        <v>5.0</v>
      </c>
      <c r="DD31" s="1" t="s">
        <v>80</v>
      </c>
      <c r="DE31" s="2">
        <f>Setup!FE5</f>
        <v>5</v>
      </c>
      <c r="DF31" s="8"/>
      <c r="DG31" s="8"/>
      <c r="DH31" s="8"/>
      <c r="DI31" s="8"/>
      <c r="DJ31" s="40">
        <f>mround(DJ30*Setup!FN5,'Quick Setup'!$A$2)</f>
        <v>420</v>
      </c>
      <c r="DK31" s="2">
        <f>Setup!FO5</f>
        <v>3</v>
      </c>
      <c r="DL31" s="2">
        <f>Setup!FP5</f>
        <v>2</v>
      </c>
      <c r="DM31" s="2">
        <f>Setup!FQ5</f>
        <v>5</v>
      </c>
      <c r="DN31" s="8"/>
      <c r="DO31" s="8"/>
      <c r="DP31" s="8"/>
      <c r="DQ31" s="8"/>
      <c r="DR31" s="40">
        <f>mround(DR30*Setup!FZ5,'Quick Setup'!$A$2)</f>
        <v>447.5</v>
      </c>
      <c r="DS31" s="2">
        <f>Setup!GA5</f>
        <v>2</v>
      </c>
      <c r="DT31" s="2">
        <f>Setup!GB5</f>
        <v>1</v>
      </c>
      <c r="DU31" s="2">
        <f>Setup!GC5</f>
        <v>5</v>
      </c>
      <c r="DV31" s="8"/>
      <c r="DW31" s="8"/>
      <c r="DX31" s="8"/>
      <c r="DY31" s="8"/>
      <c r="DZ31" s="40">
        <f>mround(DZ30*Setup!GL5,'Quick Setup'!$A$2)</f>
        <v>472.5</v>
      </c>
      <c r="EA31" s="2">
        <f>Setup!GM5</f>
        <v>1</v>
      </c>
      <c r="EB31" s="2">
        <f>Setup!GN5</f>
        <v>1</v>
      </c>
      <c r="EC31" s="2">
        <f>Setup!GO5</f>
        <v>5</v>
      </c>
      <c r="ED31" s="8"/>
      <c r="EE31" s="8"/>
      <c r="EF31" s="8"/>
      <c r="EG31" s="8"/>
      <c r="EH31" s="40">
        <f>mround(EH30*Setup!GX5,'Quick Setup'!$A$2)</f>
        <v>447.5</v>
      </c>
      <c r="EI31" s="2">
        <f>Setup!GY5</f>
        <v>2</v>
      </c>
      <c r="EJ31" s="2">
        <f>Setup!GZ5</f>
        <v>1</v>
      </c>
      <c r="EK31" s="2">
        <f>Setup!HA5</f>
        <v>5</v>
      </c>
      <c r="EL31" s="8"/>
      <c r="EM31" s="8"/>
      <c r="EN31" s="8"/>
      <c r="EO31" s="8"/>
      <c r="EP31" s="40">
        <f>mround(EP30*Setup!HJ5,'Quick Setup'!$A$2)</f>
        <v>472.5</v>
      </c>
      <c r="EQ31" s="2">
        <f>Setup!HK5</f>
        <v>1</v>
      </c>
      <c r="ER31" s="2">
        <f>Setup!HL5</f>
        <v>1</v>
      </c>
      <c r="ES31" s="2">
        <f>Setup!HM5</f>
        <v>5</v>
      </c>
      <c r="ET31" s="8"/>
      <c r="EU31" s="8"/>
      <c r="EV31" s="8"/>
      <c r="EW31" s="8"/>
      <c r="EX31" s="40">
        <f>mround(EX30*Setup!HV5,'Quick Setup'!$A$2)</f>
        <v>500</v>
      </c>
      <c r="EY31" s="2">
        <f>Setup!HW5</f>
        <v>1</v>
      </c>
      <c r="EZ31" s="2">
        <f>Setup!HX5</f>
        <v>1</v>
      </c>
      <c r="FA31" s="2">
        <f>Setup!HY5</f>
        <v>5</v>
      </c>
      <c r="FB31" s="8"/>
      <c r="FC31" s="8"/>
      <c r="FD31" s="8"/>
      <c r="FE31" s="8"/>
      <c r="FF31" s="40">
        <f>mround(FF30*Setup!IH5,'Quick Setup'!$A$2)</f>
        <v>315</v>
      </c>
      <c r="FG31" s="1">
        <v>5.0</v>
      </c>
      <c r="FH31" s="1" t="s">
        <v>80</v>
      </c>
      <c r="FI31" s="2">
        <f>Setup!IK5</f>
        <v>5</v>
      </c>
      <c r="FJ31" s="8"/>
      <c r="FK31" s="8"/>
      <c r="FL31" s="8"/>
      <c r="FM31" s="8"/>
    </row>
    <row r="32" hidden="1">
      <c r="A32" s="36" t="str">
        <f>CONCATENATE(A33," TM")</f>
        <v>Close Grip Bench TM</v>
      </c>
      <c r="B32" s="37">
        <f>if(D32="",'Quick Setup'!D13,D32/'Quick Setup'!E13)</f>
        <v>310</v>
      </c>
      <c r="C32" s="36" t="s">
        <v>77</v>
      </c>
      <c r="D32" s="38"/>
      <c r="E32" s="39"/>
      <c r="F32" s="39"/>
      <c r="G32" s="39"/>
      <c r="H32" s="39"/>
      <c r="I32" s="39"/>
      <c r="J32" s="37">
        <f>if(L32="", if(F33="",B32, if((F33-E33)&lt;-1.9,B32*(1+Setup!F11),if((F33-E33)=-1,B32*(1+Setup!G11),if(G33&lt;D33,B32*(1+Setup!G11),if(G33=D33,B32*(1+Setup!H11),if((G33-D33)=1,B32*(1+Setup!I11),if((G33-D33)=2,B32*(1+Setup!J11),if((G33-D33)=3,B32*(1+Setup!K11),if((G33-D33)=4,B32*(1+Setup!L11),if((G33-D33)&gt;4.1,B32*(1+Setup!M11),B32)))))))))),L32/'Quick Setup'!$E13)</f>
        <v>310</v>
      </c>
      <c r="K32" s="36" t="s">
        <v>77</v>
      </c>
      <c r="L32" s="38"/>
      <c r="M32" s="39"/>
      <c r="N32" s="39"/>
      <c r="O32" s="39"/>
      <c r="P32" s="39"/>
      <c r="Q32" s="39"/>
      <c r="R32" s="37">
        <f>if(T32="", if(N33="",J32, if((N33-M33)&lt;-1.9,J32*(1+Setup!R11),if((N33-M33)=-1,J32*(1+Setup!S11),if(O33&lt;L33,J32*(1+Setup!S11),if(O33=L33,J32*(1+Setup!T11),if((O33-L33)=1,J32*(1+Setup!U11),if((O33-L33)=2,J32*(1+Setup!V11),if((O33-L33)=3,J32*(1+Setup!W11),if((O33-L33)=4,J32*(1+Setup!X11),if((O33-L33)&gt;4.1,J32*(1+Setup!Y11),J32)))))))))),T32/'Quick Setup'!$E13)</f>
        <v>310</v>
      </c>
      <c r="S32" s="36" t="s">
        <v>77</v>
      </c>
      <c r="T32" s="38"/>
      <c r="U32" s="39"/>
      <c r="V32" s="39"/>
      <c r="W32" s="39"/>
      <c r="X32" s="39"/>
      <c r="Y32" s="39"/>
      <c r="Z32" s="37">
        <f>if(AB32="", if(V33="",R32, if((V33-U33)&lt;-1.9,R32*(1+Setup!AD11),if((V33-U33)=-1,R32*(1+Setup!AE11),if(W33&lt;T33,R32*(1+Setup!AE11),if(W33=T33,R32*(1+Setup!AF11),if((W33-T33)=1,R32*(1+Setup!AG11),if((W33-T33)=2,R32*(1+Setup!AH11),if((W33-T33)=3,R32*(1+Setup!AI11),if((W33-T33)=4,R32*(1+Setup!AJ11),if((W33-T33)&gt;4.1,R32*(1+Setup!AK11),R32)))))))))),AB32/'Quick Setup'!$E13)</f>
        <v>310</v>
      </c>
      <c r="AA32" s="36" t="s">
        <v>77</v>
      </c>
      <c r="AB32" s="38"/>
      <c r="AC32" s="39"/>
      <c r="AD32" s="39"/>
      <c r="AE32" s="39"/>
      <c r="AF32" s="39"/>
      <c r="AG32" s="39"/>
      <c r="AH32" s="37">
        <f>if(AJ32="", if(AD33="",Z32, if((AD33-AC33)&lt;-1.9,Z32*(1+Setup!AP11),if((AD33-AC33)=-1,Z32*(1+Setup!AQ11),if(AE33&lt;AB33,Z32*(1+Setup!AQ11),if(AE33=AB33,Z32*(1+Setup!AR11),if((AE33-AB33)=1,Z32*(1+Setup!AS11),if((AE33-AB33)=2,Z32*(1+Setup!AT11),if((AE33-AB33)=3,Z32*(1+Setup!AU11),if((AE33-AB33)=4,Z32*(1+Setup!AV11),if((AE33-AB33)&gt;4.1,Z32*(1+Setup!AW11),Z32)))))))))),AJ32/'Quick Setup'!$E13)</f>
        <v>310</v>
      </c>
      <c r="AI32" s="36" t="s">
        <v>77</v>
      </c>
      <c r="AJ32" s="38"/>
      <c r="AK32" s="39"/>
      <c r="AL32" s="39"/>
      <c r="AM32" s="39"/>
      <c r="AN32" s="39"/>
      <c r="AO32" s="39"/>
      <c r="AP32" s="37">
        <f>if(AR32="", if(AL33="",AH32, if((AL33-AK33)&lt;-1.9,AH32*(1+Setup!BB11),if((AL33-AK33)=-1,AH32*(1+Setup!BC11),if(AM33&lt;AJ33,AH32*(1+Setup!BC11),if(AM33=AJ33,AH32*(1+Setup!BD11),if((AM33-AJ33)=1,AH32*(1+Setup!BE11),if((AM33-AJ33)=2,AH32*(1+Setup!BF11),if((AM33-AJ33)=3,AH32*(1+Setup!BG11),if((AM33-AJ33)=4,AH32*(1+Setup!BH11),if((AM33-AJ33)&gt;4.1,AH32*(1+Setup!BI11),AH32)))))))))),AR32/'Quick Setup'!$E13)</f>
        <v>310</v>
      </c>
      <c r="AQ32" s="36" t="s">
        <v>77</v>
      </c>
      <c r="AR32" s="38"/>
      <c r="AS32" s="39"/>
      <c r="AT32" s="39"/>
      <c r="AU32" s="39"/>
      <c r="AV32" s="39"/>
      <c r="AW32" s="39"/>
      <c r="AX32" s="37">
        <f>if(AZ32="", if(AT33="",AP32, if((AT33-AS33)&lt;-1.9,AP32*(1+Setup!BN11),if((AT33-AS33)=-1,AP32*(1+Setup!BO11),if(AU33&lt;AR33,AP32*(1+Setup!BO11),if(AU33=AR33,AP32*(1+Setup!BP11),if((AU33-AR33)=1,AP32*(1+Setup!BQ11),if((AU33-AR33)=2,AP32*(1+Setup!BR11),if((AU33-AR33)=3,AP32*(1+Setup!BS11),if((AU33-AR33)=4,AP32*(1+Setup!BT11),if((AU33-AR33)&gt;4.1,AP32*(1+Setup!BU11),AP32)))))))))),AZ32/'Quick Setup'!$E13)</f>
        <v>310</v>
      </c>
      <c r="AY32" s="36" t="s">
        <v>77</v>
      </c>
      <c r="AZ32" s="38"/>
      <c r="BA32" s="39"/>
      <c r="BB32" s="39"/>
      <c r="BC32" s="39"/>
      <c r="BD32" s="39"/>
      <c r="BE32" s="39"/>
      <c r="BF32" s="37">
        <f>if(BH32="",AX32,BH32/'Quick Setup'!$E13)</f>
        <v>310</v>
      </c>
      <c r="BG32" s="36" t="s">
        <v>77</v>
      </c>
      <c r="BH32" s="38"/>
      <c r="BI32" s="39"/>
      <c r="BJ32" s="39"/>
      <c r="BK32" s="39"/>
      <c r="BL32" s="39"/>
      <c r="BM32" s="39"/>
      <c r="BN32" s="37">
        <f>if(BP32="", if(BJ33="",BF32, if((BJ33-BI33)&lt;-1.9,BF32*(1+Setup!CL11),if((BJ33-BI33)=-1,BF32*(1+Setup!CM11),if(BK33&lt;BH33,BF32*(1+Setup!CM11),if(BK33=BH33,BF32*(1+Setup!CN11),if((BK33-BH33)=1,BF32*(1+Setup!CO11),if((BK33-BH33)=2,BF32*(1+Setup!CP11),if((BK33-BH33)=3,BF32*(1+Setup!CQ11),if((BK33-BH33)=4,BF32*(1+Setup!CR11),if((BK33-BH33)&gt;4.1,BF32*(1+Setup!CS11),BF32)))))))))),BP32/'Quick Setup'!$E13)</f>
        <v>310</v>
      </c>
      <c r="BO32" s="36" t="s">
        <v>77</v>
      </c>
      <c r="BP32" s="38"/>
      <c r="BQ32" s="39"/>
      <c r="BR32" s="39"/>
      <c r="BS32" s="39"/>
      <c r="BT32" s="39"/>
      <c r="BU32" s="39"/>
      <c r="BV32" s="37">
        <f>if(BX32="", if(BR33="",BN32, if((BR33-BQ33)&lt;-1.9,BN32*(1+Setup!CX11),if((BR33-BQ33)=-1,BN32*(1+Setup!CY11),if(BS33&lt;BP33,BN32*(1+Setup!CY11),if(BS33=BP33,BN32*(1+Setup!CZ11),if((BS33-BP33)=1,BN32*(1+Setup!DA11),if((BS33-BP33)=2,BN32*(1+Setup!DB11),if((BS33-BP33)=3,BN32*(1+Setup!DC11),if((BS33-BP33)=4,BN32*(1+Setup!DD11),if((BS33-BP33)&gt;4.1,BN32*(1+Setup!DE11),BN32)))))))))),BX32/'Quick Setup'!$E13)</f>
        <v>310</v>
      </c>
      <c r="BW32" s="36" t="s">
        <v>77</v>
      </c>
      <c r="BX32" s="38"/>
      <c r="BY32" s="39"/>
      <c r="BZ32" s="39"/>
      <c r="CA32" s="39"/>
      <c r="CB32" s="39"/>
      <c r="CC32" s="39"/>
      <c r="CD32" s="37">
        <f>if(CF32="", if(BZ33="",BV32, if((BZ33-BY33)&lt;-1.9,BV32*(1+Setup!DJ11),if((BZ33-BY33)=-1,BV32*(1+Setup!DK11),if(CA33&lt;BX33,BV32*(1+Setup!DK11),if(CA33=BX33,BV32*(1+Setup!DL11),if((CA33-BX33)=1,BV32*(1+Setup!DM11),if((CA33-BX33)=2,BV32*(1+Setup!DN11),if((CA33-BX33)=3,BV32*(1+Setup!DO11),if((CA33-BX33)=4,BV32*(1+Setup!DP11),if((CA33-BX33)&gt;4.1,BV32*(1+Setup!DQ11),BV32)))))))))),CF32/'Quick Setup'!$E13)</f>
        <v>310</v>
      </c>
      <c r="CE32" s="36" t="s">
        <v>77</v>
      </c>
      <c r="CF32" s="38"/>
      <c r="CG32" s="39"/>
      <c r="CH32" s="39"/>
      <c r="CI32" s="39"/>
      <c r="CJ32" s="39"/>
      <c r="CK32" s="39"/>
      <c r="CL32" s="37">
        <f>if(CN32="", if(CH33="",CD32, if((CH33-CG33)&lt;-1.9,CD32*(1+Setup!DV11),if((CH33-CG33)=-1,CD32*(1+Setup!DW11),if(CI33&lt;CF33,CD32*(1+Setup!DW11),if(CI33=CF33,CD32*(1+Setup!DX11),if((CI33-CF33)=1,CD32*(1+Setup!DY11),if((CI33-CF33)=2,CD32*(1+Setup!DZ11),if((CI33-CF33)=3,CD32*(1+Setup!EA11),if((CI33-CF33)=4,CD32*(1+Setup!EB11),if((CI33-CF33)&gt;4.1,CD32*(1+Setup!EC11),CD32)))))))))),CN32/'Quick Setup'!$E13)</f>
        <v>310</v>
      </c>
      <c r="CM32" s="36" t="s">
        <v>77</v>
      </c>
      <c r="CN32" s="38"/>
      <c r="CO32" s="39"/>
      <c r="CP32" s="39"/>
      <c r="CQ32" s="39"/>
      <c r="CR32" s="39"/>
      <c r="CS32" s="39"/>
      <c r="CT32" s="37">
        <f>if(CV32="", if(CP33="",CL32, if((CP33-CO33)&lt;-1.9,CL32*(1+Setup!EH11),if((CP33-CO33)=-1,CL32*(1+Setup!EI11),if(CQ33&lt;CN33,CL32*(1+Setup!EI11),if(CQ33=CN33,CL32*(1+Setup!EJ11),if((CQ33-CN33)=1,CL32*(1+Setup!EK11),if((CQ33-CN33)=2,CL32*(1+Setup!EL11),if((CQ33-CN33)=3,CL32*(1+Setup!EM11),if((CQ33-CN33)=4,CL32*(1+Setup!EN11),if((CQ33-CN33)&gt;4.1,CL32*(1+Setup!EO11),CL32)))))))))),CV32/'Quick Setup'!$E13)</f>
        <v>310</v>
      </c>
      <c r="CU32" s="36" t="s">
        <v>77</v>
      </c>
      <c r="CV32" s="38"/>
      <c r="CW32" s="39"/>
      <c r="CX32" s="39"/>
      <c r="CY32" s="39"/>
      <c r="CZ32" s="39"/>
      <c r="DA32" s="39"/>
      <c r="DB32" s="37">
        <f>if(DD32="", if(CX33="",CT32, if((CX33-CW33)&lt;-1.9,CT32*(1+Setup!ET11),if((CX33-CW33)=-1,CT32*(1+Setup!EU11),if(CY33&lt;CV33,CT32*(1+Setup!EU11),if(CY33=CV33,CT32*(1+Setup!EV11),if((CY33-CV33)=1,CT32*(1+Setup!EW11),if((CY33-CV33)=2,CT32*(1+Setup!EX11),if((CY33-CV33)=3,CT32*(1+Setup!EY11),if((CY33-CV33)=4,CT32*(1+Setup!EZ11),if((CY33-CV33)&gt;4.1,CT32*(1+Setup!FA11),CT32)))))))))),DD32/'Quick Setup'!$E13)</f>
        <v>310</v>
      </c>
      <c r="DC32" s="36" t="s">
        <v>77</v>
      </c>
      <c r="DD32" s="38"/>
      <c r="DE32" s="39"/>
      <c r="DF32" s="39"/>
      <c r="DG32" s="39"/>
      <c r="DH32" s="39"/>
      <c r="DI32" s="39"/>
      <c r="DJ32" s="37">
        <f>if(DL32="",DB32,DL32/'Quick Setup'!$E13)</f>
        <v>310</v>
      </c>
      <c r="DK32" s="36" t="s">
        <v>77</v>
      </c>
      <c r="DL32" s="38"/>
      <c r="DM32" s="39"/>
      <c r="DN32" s="39"/>
      <c r="DO32" s="39"/>
      <c r="DP32" s="39"/>
      <c r="DQ32" s="39"/>
      <c r="DR32" s="37">
        <f>if(DT32="", if(DN33="",DJ32, if((DN33-DM33)&lt;-1.9,DJ32*(1+Setup!FR11),if((DN33-DM33)=-1,DJ32*(1+Setup!FS11),if(DO33&lt;DL33,DJ32*(1+Setup!FS11),if(DO33=DL33,DJ32*(1+Setup!FT11),if((DO33-DL33)=1,DJ32*(1+Setup!FU11),if((DO33-DL33)=2,DJ32*(1+Setup!FV11),if((DO33-DL33)=3,DJ32*(1+Setup!FW11),if((DO33-DL33)=4,DJ32*(1+Setup!FX11),if((DO33-DL33)&gt;4.1,DJ32*(1+Setup!FY11),DJ32)))))))))),DT32/'Quick Setup'!$E13)</f>
        <v>310</v>
      </c>
      <c r="DS32" s="36" t="s">
        <v>77</v>
      </c>
      <c r="DT32" s="38"/>
      <c r="DU32" s="39"/>
      <c r="DV32" s="39"/>
      <c r="DW32" s="39"/>
      <c r="DX32" s="39"/>
      <c r="DY32" s="39"/>
      <c r="DZ32" s="37">
        <f>if(EB32="", if(DV33="",DR32, if((DV33-DU33)&lt;-1.9,DR32*(1+Setup!GD11),if((DV33-DU33)=-1,DR32*(1+Setup!GE11),if(DW33&lt;DT33,DR32*(1+Setup!GE11),if(DW33=DT33,DR32*(1+Setup!GF11),if((DW33-DT33)=1,DR32*(1+Setup!GG11),if((DW33-DT33)=2,DR32*(1+Setup!GH11),if((DW33-DT33)=3,DR32*(1+Setup!GI11),if((DW33-DT33)=4,DR32*(1+Setup!GJ11),if((DW33-DT33)&gt;4.1,DR32*(1+Setup!GK11),DR32)))))))))),EB32/'Quick Setup'!$E13)</f>
        <v>310</v>
      </c>
      <c r="EA32" s="36" t="s">
        <v>77</v>
      </c>
      <c r="EB32" s="38"/>
      <c r="EC32" s="39"/>
      <c r="ED32" s="39"/>
      <c r="EE32" s="39"/>
      <c r="EF32" s="39"/>
      <c r="EG32" s="39"/>
      <c r="EH32" s="37">
        <f>if(EJ32="", if(ED33="",DZ32, if((ED33-EC33)&lt;-1.9,DZ32*(1+Setup!GP11),if((ED33-EC33)=-1,DZ32*(1+Setup!GQ11),if(EE33&lt;EB33,DZ32*(1+Setup!GQ11),if(EE33=EB33,DZ32*(1+Setup!GR11),if((EE33-EB33)=1,DZ32*(1+Setup!GS11),if((EE33-EB33)=2,DZ32*(1+Setup!GT11),if((EE33-EB33)=3,DZ32*(1+Setup!GU11),if((EE33-EB33)=4,DZ32*(1+Setup!GV11),if((EE33-EB33)&gt;4.1,DZ32*(1+Setup!GW11),DZ32)))))))))),EJ32/'Quick Setup'!$E13)</f>
        <v>310</v>
      </c>
      <c r="EI32" s="36" t="s">
        <v>77</v>
      </c>
      <c r="EJ32" s="38"/>
      <c r="EK32" s="39"/>
      <c r="EL32" s="39"/>
      <c r="EM32" s="39"/>
      <c r="EN32" s="39"/>
      <c r="EO32" s="39"/>
      <c r="EP32" s="37">
        <f>if(ER32="", if(EL33="",EH32, if((EL33-EK33)&lt;-1.9,EH32*(1+Setup!HB11),if((EL33-EK33)=-1,EH32*(1+Setup!HC11),if(EM33&lt;EJ33,EH32*(1+Setup!HC11),if(EM33=EJ33,EH32*(1+Setup!HD11),if((EM33-EJ33)=1,EH32*(1+Setup!HE11),if((EM33-EJ33)=2,EH32*(1+Setup!HF11),if((EM33-EJ33)=3,EH32*(1+Setup!HG11),if((EM33-EJ33)=4,EH32*(1+Setup!HH11),if((EM33-EJ33)&gt;4.1,EH32*(1+Setup!HI11),EH32)))))))))),ER32/'Quick Setup'!$E13)</f>
        <v>310</v>
      </c>
      <c r="EQ32" s="36" t="s">
        <v>77</v>
      </c>
      <c r="ER32" s="38"/>
      <c r="ES32" s="39"/>
      <c r="ET32" s="39"/>
      <c r="EU32" s="39"/>
      <c r="EV32" s="39"/>
      <c r="EW32" s="39"/>
      <c r="EX32" s="37">
        <f>if(EZ32="", if(ET33="",EP32, if((ET33-ES33)&lt;-1.9,EP32*(1+Setup!HN11),if((ET33-ES33)=-1,EP32*(1+Setup!HO11),if(EU33&lt;ER33,EP32*(1+Setup!HO11),if(EU33=ER33,EP32*(1+Setup!HP11),if((EU33-ER33)=1,EP32*(1+Setup!HQ11),if((EU33-ER33)=2,EP32*(1+Setup!HR11),if((EU33-ER33)=3,EP32*(1+Setup!HS11),if((EU33-ER33)=4,EP32*(1+Setup!HT11),if((EU33-ER33)&gt;4.1,EP32*(1+Setup!HU11),EP32)))))))))),EZ32/'Quick Setup'!$E13)</f>
        <v>310</v>
      </c>
      <c r="EY32" s="36" t="s">
        <v>77</v>
      </c>
      <c r="EZ32" s="38"/>
      <c r="FA32" s="39"/>
      <c r="FB32" s="39"/>
      <c r="FC32" s="39"/>
      <c r="FD32" s="39"/>
      <c r="FE32" s="39"/>
      <c r="FF32" s="37">
        <f>if(FH32="", if(FB33="",EX32, if((FB33-FA33)&lt;-1.9,EX32*(1+Setup!HZ11),if((FB33-FA33)=-1,EX32*(1+Setup!IA11),if(FC33&lt;EZ33,EX32*(1+Setup!IA11),if(FC33=EZ33,EX32*(1+Setup!IB11),if((FC33-EZ33)=1,EX32*(1+Setup!IC11),if((FC33-EZ33)=2,EX32*(1+Setup!ID11),if((FC33-EZ33)=3,EX32*(1+Setup!IE11),if((FC33-EZ33)=4,EX32*(1+Setup!IF11),if((FC33-EZ33)&gt;4.1,EX32*(1+Setup!IG11),EX32)))))))))),FH32/'Quick Setup'!$E13)</f>
        <v>310</v>
      </c>
      <c r="FG32" s="36" t="s">
        <v>77</v>
      </c>
      <c r="FH32" s="38"/>
      <c r="FI32" s="39"/>
      <c r="FJ32" s="39"/>
      <c r="FK32" s="39"/>
      <c r="FL32" s="39"/>
      <c r="FM32" s="39"/>
    </row>
    <row r="33">
      <c r="A33" s="1" t="str">
        <f>Setup!A11</f>
        <v>Close Grip Bench</v>
      </c>
      <c r="B33" s="40">
        <f>mround(B32*Setup!B11,'Quick Setup'!$A$2)</f>
        <v>185</v>
      </c>
      <c r="C33" s="2">
        <f>Setup!C11</f>
        <v>7</v>
      </c>
      <c r="D33" s="2">
        <f>Setup!D11</f>
        <v>3</v>
      </c>
      <c r="E33" s="2">
        <f>Setup!E11</f>
        <v>5</v>
      </c>
      <c r="F33" s="8"/>
      <c r="G33" s="8"/>
      <c r="H33" s="8"/>
      <c r="I33" s="8"/>
      <c r="J33" s="40">
        <f>mround(J32*Setup!N11,'Quick Setup'!$A$2)</f>
        <v>202.5</v>
      </c>
      <c r="K33" s="2">
        <f>Setup!O11</f>
        <v>6</v>
      </c>
      <c r="L33" s="2">
        <f>Setup!P11</f>
        <v>3</v>
      </c>
      <c r="M33" s="2">
        <f>Setup!Q11</f>
        <v>5</v>
      </c>
      <c r="N33" s="8"/>
      <c r="O33" s="8"/>
      <c r="P33" s="8"/>
      <c r="Q33" s="8"/>
      <c r="R33" s="40">
        <f>mround(R32*Setup!Z11,'Quick Setup'!$A$2)</f>
        <v>217.5</v>
      </c>
      <c r="S33" s="2">
        <f>Setup!AA11</f>
        <v>5</v>
      </c>
      <c r="T33" s="2">
        <f>Setup!AB11</f>
        <v>3</v>
      </c>
      <c r="U33" s="2">
        <f>Setup!AC11</f>
        <v>5</v>
      </c>
      <c r="V33" s="8"/>
      <c r="W33" s="8"/>
      <c r="X33" s="8"/>
      <c r="Y33" s="8"/>
      <c r="Z33" s="40">
        <f>mround(Z32*Setup!AL11,'Quick Setup'!$A$2)</f>
        <v>195</v>
      </c>
      <c r="AA33" s="2">
        <f>Setup!AM11</f>
        <v>7</v>
      </c>
      <c r="AB33" s="2">
        <f>Setup!AN11</f>
        <v>3</v>
      </c>
      <c r="AC33" s="2">
        <f>Setup!AO11</f>
        <v>5</v>
      </c>
      <c r="AD33" s="8"/>
      <c r="AE33" s="8"/>
      <c r="AF33" s="8"/>
      <c r="AG33" s="8"/>
      <c r="AH33" s="40">
        <f>mround(AH32*Setup!AX11,'Quick Setup'!$A$2)</f>
        <v>210</v>
      </c>
      <c r="AI33" s="2">
        <f>Setup!AY11</f>
        <v>6</v>
      </c>
      <c r="AJ33" s="2">
        <f>Setup!AZ11</f>
        <v>3</v>
      </c>
      <c r="AK33" s="2">
        <f>Setup!BA11</f>
        <v>5</v>
      </c>
      <c r="AL33" s="8"/>
      <c r="AM33" s="8"/>
      <c r="AN33" s="8"/>
      <c r="AO33" s="8"/>
      <c r="AP33" s="40">
        <f>mround(AP32*Setup!BJ11,'Quick Setup'!$A$2)</f>
        <v>225</v>
      </c>
      <c r="AQ33" s="2">
        <f>Setup!BK11</f>
        <v>5</v>
      </c>
      <c r="AR33" s="2">
        <f>Setup!BL11</f>
        <v>3</v>
      </c>
      <c r="AS33" s="2">
        <f>Setup!BM11</f>
        <v>5</v>
      </c>
      <c r="AT33" s="8"/>
      <c r="AU33" s="8"/>
      <c r="AV33" s="8"/>
      <c r="AW33" s="8"/>
      <c r="AX33" s="40">
        <f>mround(AX32*Setup!BV11,'Quick Setup'!$A$2)</f>
        <v>155</v>
      </c>
      <c r="AY33" s="1">
        <v>5.0</v>
      </c>
      <c r="AZ33" s="1" t="s">
        <v>80</v>
      </c>
      <c r="BA33" s="2">
        <f>Setup!BY11</f>
        <v>5</v>
      </c>
      <c r="BB33" s="8"/>
      <c r="BC33" s="8"/>
      <c r="BD33" s="8"/>
      <c r="BE33" s="8"/>
      <c r="BF33" s="40">
        <f>mround(BF32*Setup!CH11,'Quick Setup'!$A$2)</f>
        <v>202.5</v>
      </c>
      <c r="BG33" s="2">
        <f>Setup!CI11</f>
        <v>6</v>
      </c>
      <c r="BH33" s="2">
        <f>Setup!CJ11</f>
        <v>3</v>
      </c>
      <c r="BI33" s="2">
        <f>Setup!CK11</f>
        <v>5</v>
      </c>
      <c r="BJ33" s="8"/>
      <c r="BK33" s="8"/>
      <c r="BL33" s="8"/>
      <c r="BM33" s="8"/>
      <c r="BN33" s="40">
        <f>mround(BN32*Setup!CT11,'Quick Setup'!$A$2)</f>
        <v>217.5</v>
      </c>
      <c r="BO33" s="2">
        <f>Setup!CU11</f>
        <v>5</v>
      </c>
      <c r="BP33" s="2">
        <f>Setup!CV11</f>
        <v>3</v>
      </c>
      <c r="BQ33" s="2">
        <f>Setup!CW11</f>
        <v>5</v>
      </c>
      <c r="BR33" s="8"/>
      <c r="BS33" s="8"/>
      <c r="BT33" s="8"/>
      <c r="BU33" s="8"/>
      <c r="BV33" s="40">
        <f>mround(BV32*Setup!DF11,'Quick Setup'!$A$2)</f>
        <v>232.5</v>
      </c>
      <c r="BW33" s="2">
        <f>Setup!DG11</f>
        <v>4</v>
      </c>
      <c r="BX33" s="2">
        <f>Setup!DH11</f>
        <v>2</v>
      </c>
      <c r="BY33" s="2">
        <f>Setup!DI11</f>
        <v>5</v>
      </c>
      <c r="BZ33" s="8"/>
      <c r="CA33" s="8"/>
      <c r="CB33" s="8"/>
      <c r="CC33" s="8"/>
      <c r="CD33" s="40">
        <f>mround(CD32*Setup!DR11,'Quick Setup'!$A$2)</f>
        <v>210</v>
      </c>
      <c r="CE33" s="2">
        <f>Setup!DS11</f>
        <v>6</v>
      </c>
      <c r="CF33" s="2">
        <f>Setup!DT11</f>
        <v>3</v>
      </c>
      <c r="CG33" s="2">
        <f>Setup!DU11</f>
        <v>5</v>
      </c>
      <c r="CH33" s="8"/>
      <c r="CI33" s="8"/>
      <c r="CJ33" s="8"/>
      <c r="CK33" s="8"/>
      <c r="CL33" s="40">
        <f>mround(CL32*Setup!ED11,'Quick Setup'!$A$2)</f>
        <v>225</v>
      </c>
      <c r="CM33" s="2">
        <f>Setup!EE11</f>
        <v>5</v>
      </c>
      <c r="CN33" s="2">
        <f>Setup!EF11</f>
        <v>3</v>
      </c>
      <c r="CO33" s="2">
        <f>Setup!EG11</f>
        <v>5</v>
      </c>
      <c r="CP33" s="8"/>
      <c r="CQ33" s="8"/>
      <c r="CR33" s="8"/>
      <c r="CS33" s="8"/>
      <c r="CT33" s="40">
        <f>mround(CT32*Setup!EP11,'Quick Setup'!$A$2)</f>
        <v>240</v>
      </c>
      <c r="CU33" s="2">
        <f>Setup!EQ11</f>
        <v>4</v>
      </c>
      <c r="CV33" s="2">
        <f>Setup!ER11</f>
        <v>2</v>
      </c>
      <c r="CW33" s="2">
        <f>Setup!ES11</f>
        <v>5</v>
      </c>
      <c r="CX33" s="8"/>
      <c r="CY33" s="8"/>
      <c r="CZ33" s="8"/>
      <c r="DA33" s="8"/>
      <c r="DB33" s="40">
        <f>mround(DB32*Setup!FB11,'Quick Setup'!$A$2)</f>
        <v>155</v>
      </c>
      <c r="DC33" s="1">
        <v>5.0</v>
      </c>
      <c r="DD33" s="1" t="s">
        <v>80</v>
      </c>
      <c r="DE33" s="2">
        <f>Setup!FE11</f>
        <v>5</v>
      </c>
      <c r="DF33" s="8"/>
      <c r="DG33" s="8"/>
      <c r="DH33" s="8"/>
      <c r="DI33" s="8"/>
      <c r="DJ33" s="40">
        <f>mround(DJ32*Setup!FN11,'Quick Setup'!$A$2)</f>
        <v>217.5</v>
      </c>
      <c r="DK33" s="2">
        <f>Setup!FO11</f>
        <v>5</v>
      </c>
      <c r="DL33" s="2">
        <f>Setup!FP11</f>
        <v>3</v>
      </c>
      <c r="DM33" s="2">
        <f>Setup!FQ11</f>
        <v>5</v>
      </c>
      <c r="DN33" s="8"/>
      <c r="DO33" s="8"/>
      <c r="DP33" s="8"/>
      <c r="DQ33" s="8"/>
      <c r="DR33" s="40">
        <f>mround(DR32*Setup!FZ11,'Quick Setup'!$A$2)</f>
        <v>232.5</v>
      </c>
      <c r="DS33" s="2">
        <f>Setup!GA11</f>
        <v>4</v>
      </c>
      <c r="DT33" s="2">
        <f>Setup!GB11</f>
        <v>2</v>
      </c>
      <c r="DU33" s="2">
        <f>Setup!GC11</f>
        <v>5</v>
      </c>
      <c r="DV33" s="8"/>
      <c r="DW33" s="8"/>
      <c r="DX33" s="8"/>
      <c r="DY33" s="8"/>
      <c r="DZ33" s="40">
        <f>mround(DZ32*Setup!GL11,'Quick Setup'!$A$2)</f>
        <v>247.5</v>
      </c>
      <c r="EA33" s="2">
        <f>Setup!GM11</f>
        <v>3</v>
      </c>
      <c r="EB33" s="2">
        <f>Setup!GN11</f>
        <v>2</v>
      </c>
      <c r="EC33" s="2">
        <f>Setup!GO11</f>
        <v>5</v>
      </c>
      <c r="ED33" s="8"/>
      <c r="EE33" s="8"/>
      <c r="EF33" s="8"/>
      <c r="EG33" s="8"/>
      <c r="EH33" s="40">
        <f>mround(EH32*Setup!GX11,'Quick Setup'!$A$2)</f>
        <v>232.5</v>
      </c>
      <c r="EI33" s="2">
        <f>Setup!GY11</f>
        <v>4</v>
      </c>
      <c r="EJ33" s="2">
        <f>Setup!GZ11</f>
        <v>2</v>
      </c>
      <c r="EK33" s="2">
        <f>Setup!HA11</f>
        <v>5</v>
      </c>
      <c r="EL33" s="8"/>
      <c r="EM33" s="8"/>
      <c r="EN33" s="8"/>
      <c r="EO33" s="8"/>
      <c r="EP33" s="40">
        <f>mround(EP32*Setup!HJ11,'Quick Setup'!$A$2)</f>
        <v>247.5</v>
      </c>
      <c r="EQ33" s="2">
        <f>Setup!HK11</f>
        <v>3</v>
      </c>
      <c r="ER33" s="2">
        <f>Setup!HL11</f>
        <v>2</v>
      </c>
      <c r="ES33" s="2">
        <f>Setup!HM11</f>
        <v>5</v>
      </c>
      <c r="ET33" s="8"/>
      <c r="EU33" s="8"/>
      <c r="EV33" s="8"/>
      <c r="EW33" s="8"/>
      <c r="EX33" s="40">
        <f>mround(EX32*Setup!HV11,'Quick Setup'!$A$2)</f>
        <v>262.5</v>
      </c>
      <c r="EY33" s="2">
        <f>Setup!HW11</f>
        <v>2</v>
      </c>
      <c r="EZ33" s="2">
        <f>Setup!HX11</f>
        <v>1</v>
      </c>
      <c r="FA33" s="2">
        <f>Setup!HY11</f>
        <v>5</v>
      </c>
      <c r="FB33" s="8"/>
      <c r="FC33" s="8"/>
      <c r="FD33" s="8"/>
      <c r="FE33" s="8"/>
      <c r="FF33" s="40">
        <f>mround(FF32*Setup!IH11,'Quick Setup'!$A$2)</f>
        <v>155</v>
      </c>
      <c r="FG33" s="1">
        <v>5.0</v>
      </c>
      <c r="FH33" s="1" t="s">
        <v>80</v>
      </c>
      <c r="FI33" s="2">
        <f>Setup!IK11</f>
        <v>5</v>
      </c>
      <c r="FJ33" s="8"/>
      <c r="FK33" s="8"/>
      <c r="FL33" s="8"/>
      <c r="FM33" s="8"/>
    </row>
    <row r="34">
      <c r="A34" s="5"/>
      <c r="B34" s="41"/>
      <c r="C34" s="8"/>
      <c r="D34" s="8"/>
      <c r="E34" s="8"/>
      <c r="F34" s="8"/>
      <c r="G34" s="8"/>
      <c r="H34" s="8"/>
      <c r="I34" s="8"/>
      <c r="J34" s="41" t="str">
        <f t="shared" ref="J34:O34" si="161">B34</f>
        <v/>
      </c>
      <c r="K34" s="8" t="str">
        <f t="shared" si="161"/>
        <v/>
      </c>
      <c r="L34" s="8" t="str">
        <f t="shared" si="161"/>
        <v/>
      </c>
      <c r="M34" s="8" t="str">
        <f t="shared" si="161"/>
        <v/>
      </c>
      <c r="N34" s="8" t="str">
        <f t="shared" si="161"/>
        <v/>
      </c>
      <c r="O34" s="8" t="str">
        <f t="shared" si="161"/>
        <v/>
      </c>
      <c r="P34" s="8"/>
      <c r="Q34" s="8"/>
      <c r="R34" s="41" t="str">
        <f t="shared" ref="R34:W34" si="162">J34</f>
        <v/>
      </c>
      <c r="S34" s="8" t="str">
        <f t="shared" si="162"/>
        <v/>
      </c>
      <c r="T34" s="8" t="str">
        <f t="shared" si="162"/>
        <v/>
      </c>
      <c r="U34" s="8" t="str">
        <f t="shared" si="162"/>
        <v/>
      </c>
      <c r="V34" s="8" t="str">
        <f t="shared" si="162"/>
        <v/>
      </c>
      <c r="W34" s="8" t="str">
        <f t="shared" si="162"/>
        <v/>
      </c>
      <c r="X34" s="8"/>
      <c r="Y34" s="8"/>
      <c r="Z34" s="41" t="str">
        <f t="shared" ref="Z34:AE34" si="163">R34</f>
        <v/>
      </c>
      <c r="AA34" s="8" t="str">
        <f t="shared" si="163"/>
        <v/>
      </c>
      <c r="AB34" s="8" t="str">
        <f t="shared" si="163"/>
        <v/>
      </c>
      <c r="AC34" s="8" t="str">
        <f t="shared" si="163"/>
        <v/>
      </c>
      <c r="AD34" s="8" t="str">
        <f t="shared" si="163"/>
        <v/>
      </c>
      <c r="AE34" s="8" t="str">
        <f t="shared" si="163"/>
        <v/>
      </c>
      <c r="AF34" s="8"/>
      <c r="AG34" s="8"/>
      <c r="AH34" s="41" t="str">
        <f t="shared" ref="AH34:AM34" si="164">Z34</f>
        <v/>
      </c>
      <c r="AI34" s="8" t="str">
        <f t="shared" si="164"/>
        <v/>
      </c>
      <c r="AJ34" s="8" t="str">
        <f t="shared" si="164"/>
        <v/>
      </c>
      <c r="AK34" s="8" t="str">
        <f t="shared" si="164"/>
        <v/>
      </c>
      <c r="AL34" s="8" t="str">
        <f t="shared" si="164"/>
        <v/>
      </c>
      <c r="AM34" s="8" t="str">
        <f t="shared" si="164"/>
        <v/>
      </c>
      <c r="AN34" s="8"/>
      <c r="AO34" s="8"/>
      <c r="AP34" s="41" t="str">
        <f t="shared" ref="AP34:AU34" si="165">AH34</f>
        <v/>
      </c>
      <c r="AQ34" s="8" t="str">
        <f t="shared" si="165"/>
        <v/>
      </c>
      <c r="AR34" s="8" t="str">
        <f t="shared" si="165"/>
        <v/>
      </c>
      <c r="AS34" s="8" t="str">
        <f t="shared" si="165"/>
        <v/>
      </c>
      <c r="AT34" s="8" t="str">
        <f t="shared" si="165"/>
        <v/>
      </c>
      <c r="AU34" s="8" t="str">
        <f t="shared" si="165"/>
        <v/>
      </c>
      <c r="AV34" s="8"/>
      <c r="AW34" s="8"/>
      <c r="AX34" s="41" t="str">
        <f t="shared" ref="AX34:BC34" si="166">AP34</f>
        <v/>
      </c>
      <c r="AY34" s="8" t="str">
        <f t="shared" si="166"/>
        <v/>
      </c>
      <c r="AZ34" s="8" t="str">
        <f t="shared" si="166"/>
        <v/>
      </c>
      <c r="BA34" s="8" t="str">
        <f t="shared" si="166"/>
        <v/>
      </c>
      <c r="BB34" s="8" t="str">
        <f t="shared" si="166"/>
        <v/>
      </c>
      <c r="BC34" s="8" t="str">
        <f t="shared" si="166"/>
        <v/>
      </c>
      <c r="BD34" s="8"/>
      <c r="BE34" s="8"/>
      <c r="BF34" s="41" t="str">
        <f t="shared" ref="BF34:BK34" si="167">AX34</f>
        <v/>
      </c>
      <c r="BG34" s="8" t="str">
        <f t="shared" si="167"/>
        <v/>
      </c>
      <c r="BH34" s="8" t="str">
        <f t="shared" si="167"/>
        <v/>
      </c>
      <c r="BI34" s="8" t="str">
        <f t="shared" si="167"/>
        <v/>
      </c>
      <c r="BJ34" s="8" t="str">
        <f t="shared" si="167"/>
        <v/>
      </c>
      <c r="BK34" s="8" t="str">
        <f t="shared" si="167"/>
        <v/>
      </c>
      <c r="BL34" s="8"/>
      <c r="BM34" s="8"/>
      <c r="BN34" s="41" t="str">
        <f t="shared" ref="BN34:BS34" si="168">BF34</f>
        <v/>
      </c>
      <c r="BO34" s="8" t="str">
        <f t="shared" si="168"/>
        <v/>
      </c>
      <c r="BP34" s="8" t="str">
        <f t="shared" si="168"/>
        <v/>
      </c>
      <c r="BQ34" s="8" t="str">
        <f t="shared" si="168"/>
        <v/>
      </c>
      <c r="BR34" s="8" t="str">
        <f t="shared" si="168"/>
        <v/>
      </c>
      <c r="BS34" s="8" t="str">
        <f t="shared" si="168"/>
        <v/>
      </c>
      <c r="BT34" s="8"/>
      <c r="BU34" s="8"/>
      <c r="BV34" s="41" t="str">
        <f t="shared" ref="BV34:CA34" si="169">BN34</f>
        <v/>
      </c>
      <c r="BW34" s="8" t="str">
        <f t="shared" si="169"/>
        <v/>
      </c>
      <c r="BX34" s="8" t="str">
        <f t="shared" si="169"/>
        <v/>
      </c>
      <c r="BY34" s="8" t="str">
        <f t="shared" si="169"/>
        <v/>
      </c>
      <c r="BZ34" s="8" t="str">
        <f t="shared" si="169"/>
        <v/>
      </c>
      <c r="CA34" s="8" t="str">
        <f t="shared" si="169"/>
        <v/>
      </c>
      <c r="CB34" s="8"/>
      <c r="CC34" s="8"/>
      <c r="CD34" s="41" t="str">
        <f t="shared" ref="CD34:CI34" si="170">BV34</f>
        <v/>
      </c>
      <c r="CE34" s="8" t="str">
        <f t="shared" si="170"/>
        <v/>
      </c>
      <c r="CF34" s="8" t="str">
        <f t="shared" si="170"/>
        <v/>
      </c>
      <c r="CG34" s="8" t="str">
        <f t="shared" si="170"/>
        <v/>
      </c>
      <c r="CH34" s="8" t="str">
        <f t="shared" si="170"/>
        <v/>
      </c>
      <c r="CI34" s="8" t="str">
        <f t="shared" si="170"/>
        <v/>
      </c>
      <c r="CJ34" s="8"/>
      <c r="CK34" s="8"/>
      <c r="CL34" s="41" t="str">
        <f t="shared" ref="CL34:CQ34" si="171">CD34</f>
        <v/>
      </c>
      <c r="CM34" s="8" t="str">
        <f t="shared" si="171"/>
        <v/>
      </c>
      <c r="CN34" s="8" t="str">
        <f t="shared" si="171"/>
        <v/>
      </c>
      <c r="CO34" s="8" t="str">
        <f t="shared" si="171"/>
        <v/>
      </c>
      <c r="CP34" s="8" t="str">
        <f t="shared" si="171"/>
        <v/>
      </c>
      <c r="CQ34" s="8" t="str">
        <f t="shared" si="171"/>
        <v/>
      </c>
      <c r="CR34" s="8"/>
      <c r="CS34" s="8"/>
      <c r="CT34" s="41" t="str">
        <f t="shared" ref="CT34:CY34" si="172">CL34</f>
        <v/>
      </c>
      <c r="CU34" s="8" t="str">
        <f t="shared" si="172"/>
        <v/>
      </c>
      <c r="CV34" s="8" t="str">
        <f t="shared" si="172"/>
        <v/>
      </c>
      <c r="CW34" s="8" t="str">
        <f t="shared" si="172"/>
        <v/>
      </c>
      <c r="CX34" s="8" t="str">
        <f t="shared" si="172"/>
        <v/>
      </c>
      <c r="CY34" s="8" t="str">
        <f t="shared" si="172"/>
        <v/>
      </c>
      <c r="CZ34" s="8"/>
      <c r="DA34" s="8"/>
      <c r="DB34" s="41" t="str">
        <f t="shared" ref="DB34:DG34" si="173">CT34</f>
        <v/>
      </c>
      <c r="DC34" s="8" t="str">
        <f t="shared" si="173"/>
        <v/>
      </c>
      <c r="DD34" s="8" t="str">
        <f t="shared" si="173"/>
        <v/>
      </c>
      <c r="DE34" s="8" t="str">
        <f t="shared" si="173"/>
        <v/>
      </c>
      <c r="DF34" s="8" t="str">
        <f t="shared" si="173"/>
        <v/>
      </c>
      <c r="DG34" s="8" t="str">
        <f t="shared" si="173"/>
        <v/>
      </c>
      <c r="DH34" s="8"/>
      <c r="DI34" s="8"/>
      <c r="DJ34" s="41" t="str">
        <f t="shared" ref="DJ34:DO34" si="174">DB34</f>
        <v/>
      </c>
      <c r="DK34" s="8" t="str">
        <f t="shared" si="174"/>
        <v/>
      </c>
      <c r="DL34" s="8" t="str">
        <f t="shared" si="174"/>
        <v/>
      </c>
      <c r="DM34" s="8" t="str">
        <f t="shared" si="174"/>
        <v/>
      </c>
      <c r="DN34" s="8" t="str">
        <f t="shared" si="174"/>
        <v/>
      </c>
      <c r="DO34" s="8" t="str">
        <f t="shared" si="174"/>
        <v/>
      </c>
      <c r="DP34" s="8"/>
      <c r="DQ34" s="8"/>
      <c r="DR34" s="41" t="str">
        <f t="shared" ref="DR34:DW34" si="175">DJ34</f>
        <v/>
      </c>
      <c r="DS34" s="8" t="str">
        <f t="shared" si="175"/>
        <v/>
      </c>
      <c r="DT34" s="8" t="str">
        <f t="shared" si="175"/>
        <v/>
      </c>
      <c r="DU34" s="8" t="str">
        <f t="shared" si="175"/>
        <v/>
      </c>
      <c r="DV34" s="8" t="str">
        <f t="shared" si="175"/>
        <v/>
      </c>
      <c r="DW34" s="8" t="str">
        <f t="shared" si="175"/>
        <v/>
      </c>
      <c r="DX34" s="8"/>
      <c r="DY34" s="8"/>
      <c r="DZ34" s="41" t="str">
        <f t="shared" ref="DZ34:EE34" si="176">DR34</f>
        <v/>
      </c>
      <c r="EA34" s="8" t="str">
        <f t="shared" si="176"/>
        <v/>
      </c>
      <c r="EB34" s="8" t="str">
        <f t="shared" si="176"/>
        <v/>
      </c>
      <c r="EC34" s="8" t="str">
        <f t="shared" si="176"/>
        <v/>
      </c>
      <c r="ED34" s="8" t="str">
        <f t="shared" si="176"/>
        <v/>
      </c>
      <c r="EE34" s="8" t="str">
        <f t="shared" si="176"/>
        <v/>
      </c>
      <c r="EF34" s="8"/>
      <c r="EG34" s="8"/>
      <c r="EH34" s="41" t="str">
        <f t="shared" ref="EH34:EM34" si="177">DZ34</f>
        <v/>
      </c>
      <c r="EI34" s="8" t="str">
        <f t="shared" si="177"/>
        <v/>
      </c>
      <c r="EJ34" s="8" t="str">
        <f t="shared" si="177"/>
        <v/>
      </c>
      <c r="EK34" s="8" t="str">
        <f t="shared" si="177"/>
        <v/>
      </c>
      <c r="EL34" s="8" t="str">
        <f t="shared" si="177"/>
        <v/>
      </c>
      <c r="EM34" s="8" t="str">
        <f t="shared" si="177"/>
        <v/>
      </c>
      <c r="EN34" s="8"/>
      <c r="EO34" s="8"/>
      <c r="EP34" s="41" t="str">
        <f t="shared" ref="EP34:EU34" si="178">EH34</f>
        <v/>
      </c>
      <c r="EQ34" s="8" t="str">
        <f t="shared" si="178"/>
        <v/>
      </c>
      <c r="ER34" s="8" t="str">
        <f t="shared" si="178"/>
        <v/>
      </c>
      <c r="ES34" s="8" t="str">
        <f t="shared" si="178"/>
        <v/>
      </c>
      <c r="ET34" s="8" t="str">
        <f t="shared" si="178"/>
        <v/>
      </c>
      <c r="EU34" s="8" t="str">
        <f t="shared" si="178"/>
        <v/>
      </c>
      <c r="EV34" s="8"/>
      <c r="EW34" s="8"/>
      <c r="EX34" s="41" t="str">
        <f t="shared" ref="EX34:FC34" si="179">EP34</f>
        <v/>
      </c>
      <c r="EY34" s="8" t="str">
        <f t="shared" si="179"/>
        <v/>
      </c>
      <c r="EZ34" s="8" t="str">
        <f t="shared" si="179"/>
        <v/>
      </c>
      <c r="FA34" s="8" t="str">
        <f t="shared" si="179"/>
        <v/>
      </c>
      <c r="FB34" s="8" t="str">
        <f t="shared" si="179"/>
        <v/>
      </c>
      <c r="FC34" s="8" t="str">
        <f t="shared" si="179"/>
        <v/>
      </c>
      <c r="FD34" s="8"/>
      <c r="FE34" s="8"/>
      <c r="FF34" s="41" t="str">
        <f t="shared" ref="FF34:FK34" si="180">EX34</f>
        <v/>
      </c>
      <c r="FG34" s="8" t="str">
        <f t="shared" si="180"/>
        <v/>
      </c>
      <c r="FH34" s="8" t="str">
        <f t="shared" si="180"/>
        <v/>
      </c>
      <c r="FI34" s="8" t="str">
        <f t="shared" si="180"/>
        <v/>
      </c>
      <c r="FJ34" s="8" t="str">
        <f t="shared" si="180"/>
        <v/>
      </c>
      <c r="FK34" s="8" t="str">
        <f t="shared" si="180"/>
        <v/>
      </c>
      <c r="FL34" s="8"/>
      <c r="FM34" s="8"/>
    </row>
    <row r="35">
      <c r="A35" s="1" t="s">
        <v>81</v>
      </c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42"/>
      <c r="B36" s="41"/>
      <c r="C36" s="8"/>
      <c r="D36" s="8"/>
      <c r="E36" s="8"/>
      <c r="F36" s="8"/>
      <c r="G36" s="8"/>
      <c r="H36" s="8"/>
      <c r="I36" s="8"/>
      <c r="J36" s="41" t="str">
        <f t="shared" ref="J36:O36" si="181">B36</f>
        <v/>
      </c>
      <c r="K36" s="8" t="str">
        <f t="shared" si="181"/>
        <v/>
      </c>
      <c r="L36" s="8" t="str">
        <f t="shared" si="181"/>
        <v/>
      </c>
      <c r="M36" s="8" t="str">
        <f t="shared" si="181"/>
        <v/>
      </c>
      <c r="N36" s="8" t="str">
        <f t="shared" si="181"/>
        <v/>
      </c>
      <c r="O36" s="8" t="str">
        <f t="shared" si="181"/>
        <v/>
      </c>
      <c r="P36" s="8"/>
      <c r="Q36" s="8"/>
      <c r="R36" s="41" t="str">
        <f t="shared" ref="R36:W36" si="182">J36</f>
        <v/>
      </c>
      <c r="S36" s="8" t="str">
        <f t="shared" si="182"/>
        <v/>
      </c>
      <c r="T36" s="8" t="str">
        <f t="shared" si="182"/>
        <v/>
      </c>
      <c r="U36" s="8" t="str">
        <f t="shared" si="182"/>
        <v/>
      </c>
      <c r="V36" s="8" t="str">
        <f t="shared" si="182"/>
        <v/>
      </c>
      <c r="W36" s="8" t="str">
        <f t="shared" si="182"/>
        <v/>
      </c>
      <c r="X36" s="8"/>
      <c r="Y36" s="8"/>
      <c r="Z36" s="41" t="str">
        <f t="shared" ref="Z36:AE36" si="183">R36</f>
        <v/>
      </c>
      <c r="AA36" s="8" t="str">
        <f t="shared" si="183"/>
        <v/>
      </c>
      <c r="AB36" s="8" t="str">
        <f t="shared" si="183"/>
        <v/>
      </c>
      <c r="AC36" s="8" t="str">
        <f t="shared" si="183"/>
        <v/>
      </c>
      <c r="AD36" s="8" t="str">
        <f t="shared" si="183"/>
        <v/>
      </c>
      <c r="AE36" s="8" t="str">
        <f t="shared" si="183"/>
        <v/>
      </c>
      <c r="AF36" s="8"/>
      <c r="AG36" s="8"/>
      <c r="AH36" s="41" t="str">
        <f t="shared" ref="AH36:AM36" si="184">Z36</f>
        <v/>
      </c>
      <c r="AI36" s="8" t="str">
        <f t="shared" si="184"/>
        <v/>
      </c>
      <c r="AJ36" s="8" t="str">
        <f t="shared" si="184"/>
        <v/>
      </c>
      <c r="AK36" s="8" t="str">
        <f t="shared" si="184"/>
        <v/>
      </c>
      <c r="AL36" s="8" t="str">
        <f t="shared" si="184"/>
        <v/>
      </c>
      <c r="AM36" s="8" t="str">
        <f t="shared" si="184"/>
        <v/>
      </c>
      <c r="AN36" s="8"/>
      <c r="AO36" s="8"/>
      <c r="AP36" s="41" t="str">
        <f t="shared" ref="AP36:AU36" si="185">AH36</f>
        <v/>
      </c>
      <c r="AQ36" s="8" t="str">
        <f t="shared" si="185"/>
        <v/>
      </c>
      <c r="AR36" s="8" t="str">
        <f t="shared" si="185"/>
        <v/>
      </c>
      <c r="AS36" s="8" t="str">
        <f t="shared" si="185"/>
        <v/>
      </c>
      <c r="AT36" s="8" t="str">
        <f t="shared" si="185"/>
        <v/>
      </c>
      <c r="AU36" s="8" t="str">
        <f t="shared" si="185"/>
        <v/>
      </c>
      <c r="AV36" s="8"/>
      <c r="AW36" s="8"/>
      <c r="AX36" s="41" t="str">
        <f t="shared" ref="AX36:BC36" si="186">AP36</f>
        <v/>
      </c>
      <c r="AY36" s="8" t="str">
        <f t="shared" si="186"/>
        <v/>
      </c>
      <c r="AZ36" s="8" t="str">
        <f t="shared" si="186"/>
        <v/>
      </c>
      <c r="BA36" s="8" t="str">
        <f t="shared" si="186"/>
        <v/>
      </c>
      <c r="BB36" s="8" t="str">
        <f t="shared" si="186"/>
        <v/>
      </c>
      <c r="BC36" s="8" t="str">
        <f t="shared" si="186"/>
        <v/>
      </c>
      <c r="BD36" s="8"/>
      <c r="BE36" s="8"/>
      <c r="BF36" s="41" t="str">
        <f t="shared" ref="BF36:BK36" si="187">AX36</f>
        <v/>
      </c>
      <c r="BG36" s="8" t="str">
        <f t="shared" si="187"/>
        <v/>
      </c>
      <c r="BH36" s="8" t="str">
        <f t="shared" si="187"/>
        <v/>
      </c>
      <c r="BI36" s="8" t="str">
        <f t="shared" si="187"/>
        <v/>
      </c>
      <c r="BJ36" s="8" t="str">
        <f t="shared" si="187"/>
        <v/>
      </c>
      <c r="BK36" s="8" t="str">
        <f t="shared" si="187"/>
        <v/>
      </c>
      <c r="BL36" s="8"/>
      <c r="BM36" s="8"/>
      <c r="BN36" s="41" t="str">
        <f t="shared" ref="BN36:BS36" si="188">BF36</f>
        <v/>
      </c>
      <c r="BO36" s="8" t="str">
        <f t="shared" si="188"/>
        <v/>
      </c>
      <c r="BP36" s="8" t="str">
        <f t="shared" si="188"/>
        <v/>
      </c>
      <c r="BQ36" s="8" t="str">
        <f t="shared" si="188"/>
        <v/>
      </c>
      <c r="BR36" s="8" t="str">
        <f t="shared" si="188"/>
        <v/>
      </c>
      <c r="BS36" s="8" t="str">
        <f t="shared" si="188"/>
        <v/>
      </c>
      <c r="BT36" s="8"/>
      <c r="BU36" s="8"/>
      <c r="BV36" s="41" t="str">
        <f t="shared" ref="BV36:CA36" si="189">BN36</f>
        <v/>
      </c>
      <c r="BW36" s="8" t="str">
        <f t="shared" si="189"/>
        <v/>
      </c>
      <c r="BX36" s="8" t="str">
        <f t="shared" si="189"/>
        <v/>
      </c>
      <c r="BY36" s="8" t="str">
        <f t="shared" si="189"/>
        <v/>
      </c>
      <c r="BZ36" s="8" t="str">
        <f t="shared" si="189"/>
        <v/>
      </c>
      <c r="CA36" s="8" t="str">
        <f t="shared" si="189"/>
        <v/>
      </c>
      <c r="CB36" s="8"/>
      <c r="CC36" s="8"/>
      <c r="CD36" s="41" t="str">
        <f t="shared" ref="CD36:CI36" si="190">BV36</f>
        <v/>
      </c>
      <c r="CE36" s="8" t="str">
        <f t="shared" si="190"/>
        <v/>
      </c>
      <c r="CF36" s="8" t="str">
        <f t="shared" si="190"/>
        <v/>
      </c>
      <c r="CG36" s="8" t="str">
        <f t="shared" si="190"/>
        <v/>
      </c>
      <c r="CH36" s="8" t="str">
        <f t="shared" si="190"/>
        <v/>
      </c>
      <c r="CI36" s="8" t="str">
        <f t="shared" si="190"/>
        <v/>
      </c>
      <c r="CJ36" s="8"/>
      <c r="CK36" s="8"/>
      <c r="CL36" s="41" t="str">
        <f t="shared" ref="CL36:CQ36" si="191">CD36</f>
        <v/>
      </c>
      <c r="CM36" s="8" t="str">
        <f t="shared" si="191"/>
        <v/>
      </c>
      <c r="CN36" s="8" t="str">
        <f t="shared" si="191"/>
        <v/>
      </c>
      <c r="CO36" s="8" t="str">
        <f t="shared" si="191"/>
        <v/>
      </c>
      <c r="CP36" s="8" t="str">
        <f t="shared" si="191"/>
        <v/>
      </c>
      <c r="CQ36" s="8" t="str">
        <f t="shared" si="191"/>
        <v/>
      </c>
      <c r="CR36" s="8"/>
      <c r="CS36" s="8"/>
      <c r="CT36" s="41" t="str">
        <f t="shared" ref="CT36:CY36" si="192">CL36</f>
        <v/>
      </c>
      <c r="CU36" s="8" t="str">
        <f t="shared" si="192"/>
        <v/>
      </c>
      <c r="CV36" s="8" t="str">
        <f t="shared" si="192"/>
        <v/>
      </c>
      <c r="CW36" s="8" t="str">
        <f t="shared" si="192"/>
        <v/>
      </c>
      <c r="CX36" s="8" t="str">
        <f t="shared" si="192"/>
        <v/>
      </c>
      <c r="CY36" s="8" t="str">
        <f t="shared" si="192"/>
        <v/>
      </c>
      <c r="CZ36" s="8"/>
      <c r="DA36" s="8"/>
      <c r="DB36" s="41" t="str">
        <f t="shared" ref="DB36:DG36" si="193">CT36</f>
        <v/>
      </c>
      <c r="DC36" s="8" t="str">
        <f t="shared" si="193"/>
        <v/>
      </c>
      <c r="DD36" s="8" t="str">
        <f t="shared" si="193"/>
        <v/>
      </c>
      <c r="DE36" s="8" t="str">
        <f t="shared" si="193"/>
        <v/>
      </c>
      <c r="DF36" s="8" t="str">
        <f t="shared" si="193"/>
        <v/>
      </c>
      <c r="DG36" s="8" t="str">
        <f t="shared" si="193"/>
        <v/>
      </c>
      <c r="DH36" s="8"/>
      <c r="DI36" s="8"/>
      <c r="DJ36" s="41" t="str">
        <f t="shared" ref="DJ36:DO36" si="194">DB36</f>
        <v/>
      </c>
      <c r="DK36" s="8" t="str">
        <f t="shared" si="194"/>
        <v/>
      </c>
      <c r="DL36" s="8" t="str">
        <f t="shared" si="194"/>
        <v/>
      </c>
      <c r="DM36" s="8" t="str">
        <f t="shared" si="194"/>
        <v/>
      </c>
      <c r="DN36" s="8" t="str">
        <f t="shared" si="194"/>
        <v/>
      </c>
      <c r="DO36" s="8" t="str">
        <f t="shared" si="194"/>
        <v/>
      </c>
      <c r="DP36" s="8"/>
      <c r="DQ36" s="8"/>
      <c r="DR36" s="41" t="str">
        <f t="shared" ref="DR36:DW36" si="195">DJ36</f>
        <v/>
      </c>
      <c r="DS36" s="8" t="str">
        <f t="shared" si="195"/>
        <v/>
      </c>
      <c r="DT36" s="8" t="str">
        <f t="shared" si="195"/>
        <v/>
      </c>
      <c r="DU36" s="8" t="str">
        <f t="shared" si="195"/>
        <v/>
      </c>
      <c r="DV36" s="8" t="str">
        <f t="shared" si="195"/>
        <v/>
      </c>
      <c r="DW36" s="8" t="str">
        <f t="shared" si="195"/>
        <v/>
      </c>
      <c r="DX36" s="8"/>
      <c r="DY36" s="8"/>
      <c r="DZ36" s="41" t="str">
        <f t="shared" ref="DZ36:EE36" si="196">DR36</f>
        <v/>
      </c>
      <c r="EA36" s="8" t="str">
        <f t="shared" si="196"/>
        <v/>
      </c>
      <c r="EB36" s="8" t="str">
        <f t="shared" si="196"/>
        <v/>
      </c>
      <c r="EC36" s="8" t="str">
        <f t="shared" si="196"/>
        <v/>
      </c>
      <c r="ED36" s="8" t="str">
        <f t="shared" si="196"/>
        <v/>
      </c>
      <c r="EE36" s="8" t="str">
        <f t="shared" si="196"/>
        <v/>
      </c>
      <c r="EF36" s="8"/>
      <c r="EG36" s="8"/>
      <c r="EH36" s="41" t="str">
        <f t="shared" ref="EH36:EM36" si="197">DZ36</f>
        <v/>
      </c>
      <c r="EI36" s="8" t="str">
        <f t="shared" si="197"/>
        <v/>
      </c>
      <c r="EJ36" s="8" t="str">
        <f t="shared" si="197"/>
        <v/>
      </c>
      <c r="EK36" s="8" t="str">
        <f t="shared" si="197"/>
        <v/>
      </c>
      <c r="EL36" s="8" t="str">
        <f t="shared" si="197"/>
        <v/>
      </c>
      <c r="EM36" s="8" t="str">
        <f t="shared" si="197"/>
        <v/>
      </c>
      <c r="EN36" s="8"/>
      <c r="EO36" s="8"/>
      <c r="EP36" s="41" t="str">
        <f t="shared" ref="EP36:EU36" si="198">EH36</f>
        <v/>
      </c>
      <c r="EQ36" s="8" t="str">
        <f t="shared" si="198"/>
        <v/>
      </c>
      <c r="ER36" s="8" t="str">
        <f t="shared" si="198"/>
        <v/>
      </c>
      <c r="ES36" s="8" t="str">
        <f t="shared" si="198"/>
        <v/>
      </c>
      <c r="ET36" s="8" t="str">
        <f t="shared" si="198"/>
        <v/>
      </c>
      <c r="EU36" s="8" t="str">
        <f t="shared" si="198"/>
        <v/>
      </c>
      <c r="EV36" s="8"/>
      <c r="EW36" s="8"/>
      <c r="EX36" s="41" t="str">
        <f t="shared" ref="EX36:FC36" si="199">EP36</f>
        <v/>
      </c>
      <c r="EY36" s="8" t="str">
        <f t="shared" si="199"/>
        <v/>
      </c>
      <c r="EZ36" s="8" t="str">
        <f t="shared" si="199"/>
        <v/>
      </c>
      <c r="FA36" s="8" t="str">
        <f t="shared" si="199"/>
        <v/>
      </c>
      <c r="FB36" s="8" t="str">
        <f t="shared" si="199"/>
        <v/>
      </c>
      <c r="FC36" s="8" t="str">
        <f t="shared" si="199"/>
        <v/>
      </c>
      <c r="FD36" s="8"/>
      <c r="FE36" s="8"/>
      <c r="FF36" s="41" t="str">
        <f t="shared" ref="FF36:FK36" si="200">EX36</f>
        <v/>
      </c>
      <c r="FG36" s="8" t="str">
        <f t="shared" si="200"/>
        <v/>
      </c>
      <c r="FH36" s="8" t="str">
        <f t="shared" si="200"/>
        <v/>
      </c>
      <c r="FI36" s="8" t="str">
        <f t="shared" si="200"/>
        <v/>
      </c>
      <c r="FJ36" s="8" t="str">
        <f t="shared" si="200"/>
        <v/>
      </c>
      <c r="FK36" s="8" t="str">
        <f t="shared" si="200"/>
        <v/>
      </c>
      <c r="FL36" s="8"/>
      <c r="FM36" s="8"/>
    </row>
    <row r="37">
      <c r="A37" s="42"/>
      <c r="B37" s="41"/>
      <c r="C37" s="8"/>
      <c r="D37" s="8"/>
      <c r="E37" s="8"/>
      <c r="F37" s="8"/>
      <c r="G37" s="8"/>
      <c r="H37" s="8"/>
      <c r="I37" s="8"/>
      <c r="J37" s="41" t="str">
        <f t="shared" ref="J37:O37" si="201">B37</f>
        <v/>
      </c>
      <c r="K37" s="8" t="str">
        <f t="shared" si="201"/>
        <v/>
      </c>
      <c r="L37" s="8" t="str">
        <f t="shared" si="201"/>
        <v/>
      </c>
      <c r="M37" s="8" t="str">
        <f t="shared" si="201"/>
        <v/>
      </c>
      <c r="N37" s="8" t="str">
        <f t="shared" si="201"/>
        <v/>
      </c>
      <c r="O37" s="8" t="str">
        <f t="shared" si="201"/>
        <v/>
      </c>
      <c r="P37" s="8"/>
      <c r="Q37" s="8"/>
      <c r="R37" s="41" t="str">
        <f t="shared" ref="R37:W37" si="202">J37</f>
        <v/>
      </c>
      <c r="S37" s="8" t="str">
        <f t="shared" si="202"/>
        <v/>
      </c>
      <c r="T37" s="8" t="str">
        <f t="shared" si="202"/>
        <v/>
      </c>
      <c r="U37" s="8" t="str">
        <f t="shared" si="202"/>
        <v/>
      </c>
      <c r="V37" s="8" t="str">
        <f t="shared" si="202"/>
        <v/>
      </c>
      <c r="W37" s="8" t="str">
        <f t="shared" si="202"/>
        <v/>
      </c>
      <c r="X37" s="8"/>
      <c r="Y37" s="8"/>
      <c r="Z37" s="41" t="str">
        <f t="shared" ref="Z37:AE37" si="203">R37</f>
        <v/>
      </c>
      <c r="AA37" s="8" t="str">
        <f t="shared" si="203"/>
        <v/>
      </c>
      <c r="AB37" s="8" t="str">
        <f t="shared" si="203"/>
        <v/>
      </c>
      <c r="AC37" s="8" t="str">
        <f t="shared" si="203"/>
        <v/>
      </c>
      <c r="AD37" s="8" t="str">
        <f t="shared" si="203"/>
        <v/>
      </c>
      <c r="AE37" s="8" t="str">
        <f t="shared" si="203"/>
        <v/>
      </c>
      <c r="AF37" s="8"/>
      <c r="AG37" s="8"/>
      <c r="AH37" s="41" t="str">
        <f t="shared" ref="AH37:AM37" si="204">Z37</f>
        <v/>
      </c>
      <c r="AI37" s="8" t="str">
        <f t="shared" si="204"/>
        <v/>
      </c>
      <c r="AJ37" s="8" t="str">
        <f t="shared" si="204"/>
        <v/>
      </c>
      <c r="AK37" s="8" t="str">
        <f t="shared" si="204"/>
        <v/>
      </c>
      <c r="AL37" s="8" t="str">
        <f t="shared" si="204"/>
        <v/>
      </c>
      <c r="AM37" s="8" t="str">
        <f t="shared" si="204"/>
        <v/>
      </c>
      <c r="AN37" s="8"/>
      <c r="AO37" s="8"/>
      <c r="AP37" s="41" t="str">
        <f t="shared" ref="AP37:AU37" si="205">AH37</f>
        <v/>
      </c>
      <c r="AQ37" s="8" t="str">
        <f t="shared" si="205"/>
        <v/>
      </c>
      <c r="AR37" s="8" t="str">
        <f t="shared" si="205"/>
        <v/>
      </c>
      <c r="AS37" s="8" t="str">
        <f t="shared" si="205"/>
        <v/>
      </c>
      <c r="AT37" s="8" t="str">
        <f t="shared" si="205"/>
        <v/>
      </c>
      <c r="AU37" s="8" t="str">
        <f t="shared" si="205"/>
        <v/>
      </c>
      <c r="AV37" s="8"/>
      <c r="AW37" s="8"/>
      <c r="AX37" s="41" t="str">
        <f t="shared" ref="AX37:BC37" si="206">AP37</f>
        <v/>
      </c>
      <c r="AY37" s="8" t="str">
        <f t="shared" si="206"/>
        <v/>
      </c>
      <c r="AZ37" s="8" t="str">
        <f t="shared" si="206"/>
        <v/>
      </c>
      <c r="BA37" s="8" t="str">
        <f t="shared" si="206"/>
        <v/>
      </c>
      <c r="BB37" s="8" t="str">
        <f t="shared" si="206"/>
        <v/>
      </c>
      <c r="BC37" s="8" t="str">
        <f t="shared" si="206"/>
        <v/>
      </c>
      <c r="BD37" s="8"/>
      <c r="BE37" s="8"/>
      <c r="BF37" s="41" t="str">
        <f t="shared" ref="BF37:BK37" si="207">AX37</f>
        <v/>
      </c>
      <c r="BG37" s="8" t="str">
        <f t="shared" si="207"/>
        <v/>
      </c>
      <c r="BH37" s="8" t="str">
        <f t="shared" si="207"/>
        <v/>
      </c>
      <c r="BI37" s="8" t="str">
        <f t="shared" si="207"/>
        <v/>
      </c>
      <c r="BJ37" s="8" t="str">
        <f t="shared" si="207"/>
        <v/>
      </c>
      <c r="BK37" s="8" t="str">
        <f t="shared" si="207"/>
        <v/>
      </c>
      <c r="BL37" s="8"/>
      <c r="BM37" s="8"/>
      <c r="BN37" s="41" t="str">
        <f t="shared" ref="BN37:BS37" si="208">BF37</f>
        <v/>
      </c>
      <c r="BO37" s="8" t="str">
        <f t="shared" si="208"/>
        <v/>
      </c>
      <c r="BP37" s="8" t="str">
        <f t="shared" si="208"/>
        <v/>
      </c>
      <c r="BQ37" s="8" t="str">
        <f t="shared" si="208"/>
        <v/>
      </c>
      <c r="BR37" s="8" t="str">
        <f t="shared" si="208"/>
        <v/>
      </c>
      <c r="BS37" s="8" t="str">
        <f t="shared" si="208"/>
        <v/>
      </c>
      <c r="BT37" s="8"/>
      <c r="BU37" s="8"/>
      <c r="BV37" s="41" t="str">
        <f t="shared" ref="BV37:CA37" si="209">BN37</f>
        <v/>
      </c>
      <c r="BW37" s="8" t="str">
        <f t="shared" si="209"/>
        <v/>
      </c>
      <c r="BX37" s="8" t="str">
        <f t="shared" si="209"/>
        <v/>
      </c>
      <c r="BY37" s="8" t="str">
        <f t="shared" si="209"/>
        <v/>
      </c>
      <c r="BZ37" s="8" t="str">
        <f t="shared" si="209"/>
        <v/>
      </c>
      <c r="CA37" s="8" t="str">
        <f t="shared" si="209"/>
        <v/>
      </c>
      <c r="CB37" s="8"/>
      <c r="CC37" s="8"/>
      <c r="CD37" s="41" t="str">
        <f t="shared" ref="CD37:CI37" si="210">BV37</f>
        <v/>
      </c>
      <c r="CE37" s="8" t="str">
        <f t="shared" si="210"/>
        <v/>
      </c>
      <c r="CF37" s="8" t="str">
        <f t="shared" si="210"/>
        <v/>
      </c>
      <c r="CG37" s="8" t="str">
        <f t="shared" si="210"/>
        <v/>
      </c>
      <c r="CH37" s="8" t="str">
        <f t="shared" si="210"/>
        <v/>
      </c>
      <c r="CI37" s="8" t="str">
        <f t="shared" si="210"/>
        <v/>
      </c>
      <c r="CJ37" s="8"/>
      <c r="CK37" s="8"/>
      <c r="CL37" s="41" t="str">
        <f t="shared" ref="CL37:CQ37" si="211">CD37</f>
        <v/>
      </c>
      <c r="CM37" s="8" t="str">
        <f t="shared" si="211"/>
        <v/>
      </c>
      <c r="CN37" s="8" t="str">
        <f t="shared" si="211"/>
        <v/>
      </c>
      <c r="CO37" s="8" t="str">
        <f t="shared" si="211"/>
        <v/>
      </c>
      <c r="CP37" s="8" t="str">
        <f t="shared" si="211"/>
        <v/>
      </c>
      <c r="CQ37" s="8" t="str">
        <f t="shared" si="211"/>
        <v/>
      </c>
      <c r="CR37" s="8"/>
      <c r="CS37" s="8"/>
      <c r="CT37" s="41" t="str">
        <f t="shared" ref="CT37:CY37" si="212">CL37</f>
        <v/>
      </c>
      <c r="CU37" s="8" t="str">
        <f t="shared" si="212"/>
        <v/>
      </c>
      <c r="CV37" s="8" t="str">
        <f t="shared" si="212"/>
        <v/>
      </c>
      <c r="CW37" s="8" t="str">
        <f t="shared" si="212"/>
        <v/>
      </c>
      <c r="CX37" s="8" t="str">
        <f t="shared" si="212"/>
        <v/>
      </c>
      <c r="CY37" s="8" t="str">
        <f t="shared" si="212"/>
        <v/>
      </c>
      <c r="CZ37" s="8"/>
      <c r="DA37" s="8"/>
      <c r="DB37" s="41" t="str">
        <f t="shared" ref="DB37:DG37" si="213">CT37</f>
        <v/>
      </c>
      <c r="DC37" s="8" t="str">
        <f t="shared" si="213"/>
        <v/>
      </c>
      <c r="DD37" s="8" t="str">
        <f t="shared" si="213"/>
        <v/>
      </c>
      <c r="DE37" s="8" t="str">
        <f t="shared" si="213"/>
        <v/>
      </c>
      <c r="DF37" s="8" t="str">
        <f t="shared" si="213"/>
        <v/>
      </c>
      <c r="DG37" s="8" t="str">
        <f t="shared" si="213"/>
        <v/>
      </c>
      <c r="DH37" s="8"/>
      <c r="DI37" s="8"/>
      <c r="DJ37" s="41" t="str">
        <f t="shared" ref="DJ37:DO37" si="214">DB37</f>
        <v/>
      </c>
      <c r="DK37" s="8" t="str">
        <f t="shared" si="214"/>
        <v/>
      </c>
      <c r="DL37" s="8" t="str">
        <f t="shared" si="214"/>
        <v/>
      </c>
      <c r="DM37" s="8" t="str">
        <f t="shared" si="214"/>
        <v/>
      </c>
      <c r="DN37" s="8" t="str">
        <f t="shared" si="214"/>
        <v/>
      </c>
      <c r="DO37" s="8" t="str">
        <f t="shared" si="214"/>
        <v/>
      </c>
      <c r="DP37" s="8"/>
      <c r="DQ37" s="8"/>
      <c r="DR37" s="41" t="str">
        <f t="shared" ref="DR37:DW37" si="215">DJ37</f>
        <v/>
      </c>
      <c r="DS37" s="8" t="str">
        <f t="shared" si="215"/>
        <v/>
      </c>
      <c r="DT37" s="8" t="str">
        <f t="shared" si="215"/>
        <v/>
      </c>
      <c r="DU37" s="8" t="str">
        <f t="shared" si="215"/>
        <v/>
      </c>
      <c r="DV37" s="8" t="str">
        <f t="shared" si="215"/>
        <v/>
      </c>
      <c r="DW37" s="8" t="str">
        <f t="shared" si="215"/>
        <v/>
      </c>
      <c r="DX37" s="8"/>
      <c r="DY37" s="8"/>
      <c r="DZ37" s="41" t="str">
        <f t="shared" ref="DZ37:EE37" si="216">DR37</f>
        <v/>
      </c>
      <c r="EA37" s="8" t="str">
        <f t="shared" si="216"/>
        <v/>
      </c>
      <c r="EB37" s="8" t="str">
        <f t="shared" si="216"/>
        <v/>
      </c>
      <c r="EC37" s="8" t="str">
        <f t="shared" si="216"/>
        <v/>
      </c>
      <c r="ED37" s="8" t="str">
        <f t="shared" si="216"/>
        <v/>
      </c>
      <c r="EE37" s="8" t="str">
        <f t="shared" si="216"/>
        <v/>
      </c>
      <c r="EF37" s="8"/>
      <c r="EG37" s="8"/>
      <c r="EH37" s="41" t="str">
        <f t="shared" ref="EH37:EM37" si="217">DZ37</f>
        <v/>
      </c>
      <c r="EI37" s="8" t="str">
        <f t="shared" si="217"/>
        <v/>
      </c>
      <c r="EJ37" s="8" t="str">
        <f t="shared" si="217"/>
        <v/>
      </c>
      <c r="EK37" s="8" t="str">
        <f t="shared" si="217"/>
        <v/>
      </c>
      <c r="EL37" s="8" t="str">
        <f t="shared" si="217"/>
        <v/>
      </c>
      <c r="EM37" s="8" t="str">
        <f t="shared" si="217"/>
        <v/>
      </c>
      <c r="EN37" s="8"/>
      <c r="EO37" s="8"/>
      <c r="EP37" s="41" t="str">
        <f t="shared" ref="EP37:EU37" si="218">EH37</f>
        <v/>
      </c>
      <c r="EQ37" s="8" t="str">
        <f t="shared" si="218"/>
        <v/>
      </c>
      <c r="ER37" s="8" t="str">
        <f t="shared" si="218"/>
        <v/>
      </c>
      <c r="ES37" s="8" t="str">
        <f t="shared" si="218"/>
        <v/>
      </c>
      <c r="ET37" s="8" t="str">
        <f t="shared" si="218"/>
        <v/>
      </c>
      <c r="EU37" s="8" t="str">
        <f t="shared" si="218"/>
        <v/>
      </c>
      <c r="EV37" s="8"/>
      <c r="EW37" s="8"/>
      <c r="EX37" s="41" t="str">
        <f t="shared" ref="EX37:FC37" si="219">EP37</f>
        <v/>
      </c>
      <c r="EY37" s="8" t="str">
        <f t="shared" si="219"/>
        <v/>
      </c>
      <c r="EZ37" s="8" t="str">
        <f t="shared" si="219"/>
        <v/>
      </c>
      <c r="FA37" s="8" t="str">
        <f t="shared" si="219"/>
        <v/>
      </c>
      <c r="FB37" s="8" t="str">
        <f t="shared" si="219"/>
        <v/>
      </c>
      <c r="FC37" s="8" t="str">
        <f t="shared" si="219"/>
        <v/>
      </c>
      <c r="FD37" s="8"/>
      <c r="FE37" s="8"/>
      <c r="FF37" s="41" t="str">
        <f t="shared" ref="FF37:FK37" si="220">EX37</f>
        <v/>
      </c>
      <c r="FG37" s="8" t="str">
        <f t="shared" si="220"/>
        <v/>
      </c>
      <c r="FH37" s="8" t="str">
        <f t="shared" si="220"/>
        <v/>
      </c>
      <c r="FI37" s="8" t="str">
        <f t="shared" si="220"/>
        <v/>
      </c>
      <c r="FJ37" s="8" t="str">
        <f t="shared" si="220"/>
        <v/>
      </c>
      <c r="FK37" s="8" t="str">
        <f t="shared" si="220"/>
        <v/>
      </c>
      <c r="FL37" s="8"/>
      <c r="FM37" s="8"/>
    </row>
    <row r="38">
      <c r="A38" s="43"/>
      <c r="B38" s="44"/>
      <c r="C38" s="45"/>
      <c r="D38" s="45"/>
      <c r="E38" s="45"/>
      <c r="F38" s="45"/>
      <c r="G38" s="45"/>
      <c r="H38" s="45"/>
      <c r="I38" s="45"/>
      <c r="J38" s="44" t="str">
        <f t="shared" ref="J38:O38" si="221">B38</f>
        <v/>
      </c>
      <c r="K38" s="45" t="str">
        <f t="shared" si="221"/>
        <v/>
      </c>
      <c r="L38" s="45" t="str">
        <f t="shared" si="221"/>
        <v/>
      </c>
      <c r="M38" s="45" t="str">
        <f t="shared" si="221"/>
        <v/>
      </c>
      <c r="N38" s="45" t="str">
        <f t="shared" si="221"/>
        <v/>
      </c>
      <c r="O38" s="45" t="str">
        <f t="shared" si="221"/>
        <v/>
      </c>
      <c r="P38" s="45"/>
      <c r="Q38" s="45"/>
      <c r="R38" s="44" t="str">
        <f t="shared" ref="R38:W38" si="222">J38</f>
        <v/>
      </c>
      <c r="S38" s="45" t="str">
        <f t="shared" si="222"/>
        <v/>
      </c>
      <c r="T38" s="45" t="str">
        <f t="shared" si="222"/>
        <v/>
      </c>
      <c r="U38" s="45" t="str">
        <f t="shared" si="222"/>
        <v/>
      </c>
      <c r="V38" s="45" t="str">
        <f t="shared" si="222"/>
        <v/>
      </c>
      <c r="W38" s="45" t="str">
        <f t="shared" si="222"/>
        <v/>
      </c>
      <c r="X38" s="45"/>
      <c r="Y38" s="45"/>
      <c r="Z38" s="44" t="str">
        <f t="shared" ref="Z38:AE38" si="223">R38</f>
        <v/>
      </c>
      <c r="AA38" s="45" t="str">
        <f t="shared" si="223"/>
        <v/>
      </c>
      <c r="AB38" s="45" t="str">
        <f t="shared" si="223"/>
        <v/>
      </c>
      <c r="AC38" s="45" t="str">
        <f t="shared" si="223"/>
        <v/>
      </c>
      <c r="AD38" s="45" t="str">
        <f t="shared" si="223"/>
        <v/>
      </c>
      <c r="AE38" s="45" t="str">
        <f t="shared" si="223"/>
        <v/>
      </c>
      <c r="AF38" s="45"/>
      <c r="AG38" s="45"/>
      <c r="AH38" s="44" t="str">
        <f t="shared" ref="AH38:AM38" si="224">Z38</f>
        <v/>
      </c>
      <c r="AI38" s="45" t="str">
        <f t="shared" si="224"/>
        <v/>
      </c>
      <c r="AJ38" s="45" t="str">
        <f t="shared" si="224"/>
        <v/>
      </c>
      <c r="AK38" s="45" t="str">
        <f t="shared" si="224"/>
        <v/>
      </c>
      <c r="AL38" s="45" t="str">
        <f t="shared" si="224"/>
        <v/>
      </c>
      <c r="AM38" s="45" t="str">
        <f t="shared" si="224"/>
        <v/>
      </c>
      <c r="AN38" s="45"/>
      <c r="AO38" s="45"/>
      <c r="AP38" s="44" t="str">
        <f t="shared" ref="AP38:AU38" si="225">AH38</f>
        <v/>
      </c>
      <c r="AQ38" s="45" t="str">
        <f t="shared" si="225"/>
        <v/>
      </c>
      <c r="AR38" s="45" t="str">
        <f t="shared" si="225"/>
        <v/>
      </c>
      <c r="AS38" s="45" t="str">
        <f t="shared" si="225"/>
        <v/>
      </c>
      <c r="AT38" s="45" t="str">
        <f t="shared" si="225"/>
        <v/>
      </c>
      <c r="AU38" s="45" t="str">
        <f t="shared" si="225"/>
        <v/>
      </c>
      <c r="AV38" s="45"/>
      <c r="AW38" s="45"/>
      <c r="AX38" s="44" t="str">
        <f t="shared" ref="AX38:BC38" si="226">AP38</f>
        <v/>
      </c>
      <c r="AY38" s="45" t="str">
        <f t="shared" si="226"/>
        <v/>
      </c>
      <c r="AZ38" s="45" t="str">
        <f t="shared" si="226"/>
        <v/>
      </c>
      <c r="BA38" s="45" t="str">
        <f t="shared" si="226"/>
        <v/>
      </c>
      <c r="BB38" s="45" t="str">
        <f t="shared" si="226"/>
        <v/>
      </c>
      <c r="BC38" s="45" t="str">
        <f t="shared" si="226"/>
        <v/>
      </c>
      <c r="BD38" s="45"/>
      <c r="BE38" s="45"/>
      <c r="BF38" s="44" t="str">
        <f t="shared" ref="BF38:BK38" si="227">AX38</f>
        <v/>
      </c>
      <c r="BG38" s="45" t="str">
        <f t="shared" si="227"/>
        <v/>
      </c>
      <c r="BH38" s="45" t="str">
        <f t="shared" si="227"/>
        <v/>
      </c>
      <c r="BI38" s="45" t="str">
        <f t="shared" si="227"/>
        <v/>
      </c>
      <c r="BJ38" s="45" t="str">
        <f t="shared" si="227"/>
        <v/>
      </c>
      <c r="BK38" s="45" t="str">
        <f t="shared" si="227"/>
        <v/>
      </c>
      <c r="BL38" s="45"/>
      <c r="BM38" s="45"/>
      <c r="BN38" s="44" t="str">
        <f t="shared" ref="BN38:BS38" si="228">BF38</f>
        <v/>
      </c>
      <c r="BO38" s="45" t="str">
        <f t="shared" si="228"/>
        <v/>
      </c>
      <c r="BP38" s="45" t="str">
        <f t="shared" si="228"/>
        <v/>
      </c>
      <c r="BQ38" s="45" t="str">
        <f t="shared" si="228"/>
        <v/>
      </c>
      <c r="BR38" s="45" t="str">
        <f t="shared" si="228"/>
        <v/>
      </c>
      <c r="BS38" s="45" t="str">
        <f t="shared" si="228"/>
        <v/>
      </c>
      <c r="BT38" s="45"/>
      <c r="BU38" s="45"/>
      <c r="BV38" s="44" t="str">
        <f t="shared" ref="BV38:CA38" si="229">BN38</f>
        <v/>
      </c>
      <c r="BW38" s="45" t="str">
        <f t="shared" si="229"/>
        <v/>
      </c>
      <c r="BX38" s="45" t="str">
        <f t="shared" si="229"/>
        <v/>
      </c>
      <c r="BY38" s="45" t="str">
        <f t="shared" si="229"/>
        <v/>
      </c>
      <c r="BZ38" s="45" t="str">
        <f t="shared" si="229"/>
        <v/>
      </c>
      <c r="CA38" s="45" t="str">
        <f t="shared" si="229"/>
        <v/>
      </c>
      <c r="CB38" s="45"/>
      <c r="CC38" s="45"/>
      <c r="CD38" s="44" t="str">
        <f t="shared" ref="CD38:CI38" si="230">BV38</f>
        <v/>
      </c>
      <c r="CE38" s="45" t="str">
        <f t="shared" si="230"/>
        <v/>
      </c>
      <c r="CF38" s="45" t="str">
        <f t="shared" si="230"/>
        <v/>
      </c>
      <c r="CG38" s="45" t="str">
        <f t="shared" si="230"/>
        <v/>
      </c>
      <c r="CH38" s="45" t="str">
        <f t="shared" si="230"/>
        <v/>
      </c>
      <c r="CI38" s="45" t="str">
        <f t="shared" si="230"/>
        <v/>
      </c>
      <c r="CJ38" s="45"/>
      <c r="CK38" s="45"/>
      <c r="CL38" s="44" t="str">
        <f t="shared" ref="CL38:CQ38" si="231">CD38</f>
        <v/>
      </c>
      <c r="CM38" s="45" t="str">
        <f t="shared" si="231"/>
        <v/>
      </c>
      <c r="CN38" s="45" t="str">
        <f t="shared" si="231"/>
        <v/>
      </c>
      <c r="CO38" s="45" t="str">
        <f t="shared" si="231"/>
        <v/>
      </c>
      <c r="CP38" s="45" t="str">
        <f t="shared" si="231"/>
        <v/>
      </c>
      <c r="CQ38" s="45" t="str">
        <f t="shared" si="231"/>
        <v/>
      </c>
      <c r="CR38" s="45"/>
      <c r="CS38" s="45"/>
      <c r="CT38" s="44" t="str">
        <f t="shared" ref="CT38:CY38" si="232">CL38</f>
        <v/>
      </c>
      <c r="CU38" s="45" t="str">
        <f t="shared" si="232"/>
        <v/>
      </c>
      <c r="CV38" s="45" t="str">
        <f t="shared" si="232"/>
        <v/>
      </c>
      <c r="CW38" s="45" t="str">
        <f t="shared" si="232"/>
        <v/>
      </c>
      <c r="CX38" s="45" t="str">
        <f t="shared" si="232"/>
        <v/>
      </c>
      <c r="CY38" s="45" t="str">
        <f t="shared" si="232"/>
        <v/>
      </c>
      <c r="CZ38" s="45"/>
      <c r="DA38" s="45"/>
      <c r="DB38" s="44" t="str">
        <f t="shared" ref="DB38:DG38" si="233">CT38</f>
        <v/>
      </c>
      <c r="DC38" s="45" t="str">
        <f t="shared" si="233"/>
        <v/>
      </c>
      <c r="DD38" s="45" t="str">
        <f t="shared" si="233"/>
        <v/>
      </c>
      <c r="DE38" s="45" t="str">
        <f t="shared" si="233"/>
        <v/>
      </c>
      <c r="DF38" s="45" t="str">
        <f t="shared" si="233"/>
        <v/>
      </c>
      <c r="DG38" s="45" t="str">
        <f t="shared" si="233"/>
        <v/>
      </c>
      <c r="DH38" s="45"/>
      <c r="DI38" s="45"/>
      <c r="DJ38" s="44" t="str">
        <f t="shared" ref="DJ38:DO38" si="234">DB38</f>
        <v/>
      </c>
      <c r="DK38" s="45" t="str">
        <f t="shared" si="234"/>
        <v/>
      </c>
      <c r="DL38" s="45" t="str">
        <f t="shared" si="234"/>
        <v/>
      </c>
      <c r="DM38" s="45" t="str">
        <f t="shared" si="234"/>
        <v/>
      </c>
      <c r="DN38" s="45" t="str">
        <f t="shared" si="234"/>
        <v/>
      </c>
      <c r="DO38" s="45" t="str">
        <f t="shared" si="234"/>
        <v/>
      </c>
      <c r="DP38" s="45"/>
      <c r="DQ38" s="45"/>
      <c r="DR38" s="44" t="str">
        <f t="shared" ref="DR38:DW38" si="235">DJ38</f>
        <v/>
      </c>
      <c r="DS38" s="45" t="str">
        <f t="shared" si="235"/>
        <v/>
      </c>
      <c r="DT38" s="45" t="str">
        <f t="shared" si="235"/>
        <v/>
      </c>
      <c r="DU38" s="45" t="str">
        <f t="shared" si="235"/>
        <v/>
      </c>
      <c r="DV38" s="45" t="str">
        <f t="shared" si="235"/>
        <v/>
      </c>
      <c r="DW38" s="45" t="str">
        <f t="shared" si="235"/>
        <v/>
      </c>
      <c r="DX38" s="45"/>
      <c r="DY38" s="45"/>
      <c r="DZ38" s="44" t="str">
        <f t="shared" ref="DZ38:EE38" si="236">DR38</f>
        <v/>
      </c>
      <c r="EA38" s="45" t="str">
        <f t="shared" si="236"/>
        <v/>
      </c>
      <c r="EB38" s="45" t="str">
        <f t="shared" si="236"/>
        <v/>
      </c>
      <c r="EC38" s="45" t="str">
        <f t="shared" si="236"/>
        <v/>
      </c>
      <c r="ED38" s="45" t="str">
        <f t="shared" si="236"/>
        <v/>
      </c>
      <c r="EE38" s="45" t="str">
        <f t="shared" si="236"/>
        <v/>
      </c>
      <c r="EF38" s="45"/>
      <c r="EG38" s="45"/>
      <c r="EH38" s="44" t="str">
        <f t="shared" ref="EH38:EM38" si="237">DZ38</f>
        <v/>
      </c>
      <c r="EI38" s="45" t="str">
        <f t="shared" si="237"/>
        <v/>
      </c>
      <c r="EJ38" s="45" t="str">
        <f t="shared" si="237"/>
        <v/>
      </c>
      <c r="EK38" s="45" t="str">
        <f t="shared" si="237"/>
        <v/>
      </c>
      <c r="EL38" s="45" t="str">
        <f t="shared" si="237"/>
        <v/>
      </c>
      <c r="EM38" s="45" t="str">
        <f t="shared" si="237"/>
        <v/>
      </c>
      <c r="EN38" s="45"/>
      <c r="EO38" s="45"/>
      <c r="EP38" s="44" t="str">
        <f t="shared" ref="EP38:EU38" si="238">EH38</f>
        <v/>
      </c>
      <c r="EQ38" s="45" t="str">
        <f t="shared" si="238"/>
        <v/>
      </c>
      <c r="ER38" s="45" t="str">
        <f t="shared" si="238"/>
        <v/>
      </c>
      <c r="ES38" s="45" t="str">
        <f t="shared" si="238"/>
        <v/>
      </c>
      <c r="ET38" s="45" t="str">
        <f t="shared" si="238"/>
        <v/>
      </c>
      <c r="EU38" s="45" t="str">
        <f t="shared" si="238"/>
        <v/>
      </c>
      <c r="EV38" s="45"/>
      <c r="EW38" s="45"/>
      <c r="EX38" s="44" t="str">
        <f t="shared" ref="EX38:FC38" si="239">EP38</f>
        <v/>
      </c>
      <c r="EY38" s="45" t="str">
        <f t="shared" si="239"/>
        <v/>
      </c>
      <c r="EZ38" s="45" t="str">
        <f t="shared" si="239"/>
        <v/>
      </c>
      <c r="FA38" s="45" t="str">
        <f t="shared" si="239"/>
        <v/>
      </c>
      <c r="FB38" s="45" t="str">
        <f t="shared" si="239"/>
        <v/>
      </c>
      <c r="FC38" s="45" t="str">
        <f t="shared" si="239"/>
        <v/>
      </c>
      <c r="FD38" s="45"/>
      <c r="FE38" s="45"/>
      <c r="FF38" s="44" t="str">
        <f t="shared" ref="FF38:FK38" si="240">EX38</f>
        <v/>
      </c>
      <c r="FG38" s="45" t="str">
        <f t="shared" si="240"/>
        <v/>
      </c>
      <c r="FH38" s="45" t="str">
        <f t="shared" si="240"/>
        <v/>
      </c>
      <c r="FI38" s="45" t="str">
        <f t="shared" si="240"/>
        <v/>
      </c>
      <c r="FJ38" s="45" t="str">
        <f t="shared" si="240"/>
        <v/>
      </c>
      <c r="FK38" s="45" t="str">
        <f t="shared" si="240"/>
        <v/>
      </c>
      <c r="FL38" s="45"/>
      <c r="FM38" s="45"/>
    </row>
    <row r="39">
      <c r="A39" s="2"/>
      <c r="B39" s="40"/>
      <c r="C39" s="2"/>
      <c r="D39" s="2"/>
      <c r="E39" s="2"/>
      <c r="F39" s="2"/>
      <c r="G39" s="2"/>
      <c r="H39" s="2"/>
      <c r="I39" s="2"/>
      <c r="J39" s="40"/>
      <c r="K39" s="2"/>
      <c r="L39" s="2"/>
      <c r="M39" s="2"/>
      <c r="N39" s="2"/>
      <c r="O39" s="2"/>
      <c r="P39" s="2"/>
      <c r="Q39" s="2"/>
      <c r="R39" s="40"/>
      <c r="S39" s="2"/>
      <c r="T39" s="2"/>
      <c r="U39" s="2"/>
      <c r="V39" s="2"/>
      <c r="W39" s="2"/>
      <c r="X39" s="2"/>
      <c r="Y39" s="2"/>
      <c r="Z39" s="40"/>
      <c r="AA39" s="2"/>
      <c r="AB39" s="2"/>
      <c r="AC39" s="2"/>
      <c r="AD39" s="2"/>
      <c r="AE39" s="2"/>
      <c r="AF39" s="2"/>
      <c r="AG39" s="2"/>
      <c r="AH39" s="40"/>
      <c r="AI39" s="2"/>
      <c r="AJ39" s="2"/>
      <c r="AK39" s="2"/>
      <c r="AL39" s="2"/>
      <c r="AM39" s="2"/>
      <c r="AN39" s="2"/>
      <c r="AO39" s="2"/>
      <c r="AP39" s="40"/>
      <c r="AQ39" s="2"/>
      <c r="AR39" s="2"/>
      <c r="AS39" s="2"/>
      <c r="AT39" s="2"/>
      <c r="AU39" s="2"/>
      <c r="AV39" s="2"/>
      <c r="AW39" s="2"/>
      <c r="AX39" s="40"/>
      <c r="AY39" s="2"/>
      <c r="AZ39" s="2"/>
      <c r="BA39" s="2"/>
      <c r="BB39" s="2"/>
      <c r="BC39" s="2"/>
      <c r="BD39" s="2"/>
      <c r="BE39" s="2"/>
      <c r="BF39" s="40"/>
      <c r="BG39" s="2"/>
      <c r="BH39" s="2"/>
      <c r="BI39" s="2"/>
      <c r="BJ39" s="2"/>
      <c r="BK39" s="2"/>
      <c r="BL39" s="2"/>
      <c r="BM39" s="2"/>
      <c r="BN39" s="40"/>
      <c r="BO39" s="2"/>
      <c r="BP39" s="2"/>
      <c r="BQ39" s="2"/>
      <c r="BR39" s="2"/>
      <c r="BS39" s="2"/>
      <c r="BT39" s="2"/>
      <c r="BU39" s="2"/>
      <c r="BV39" s="40"/>
      <c r="BW39" s="2"/>
      <c r="BX39" s="2"/>
      <c r="BY39" s="2"/>
      <c r="BZ39" s="2"/>
      <c r="CA39" s="2"/>
      <c r="CB39" s="2"/>
      <c r="CC39" s="2"/>
      <c r="CD39" s="40"/>
      <c r="CE39" s="2"/>
      <c r="CF39" s="2"/>
      <c r="CG39" s="2"/>
      <c r="CH39" s="2"/>
      <c r="CI39" s="2"/>
      <c r="CJ39" s="2"/>
      <c r="CK39" s="2"/>
      <c r="CL39" s="40"/>
      <c r="CM39" s="2"/>
      <c r="CN39" s="2"/>
      <c r="CO39" s="2"/>
      <c r="CP39" s="2"/>
      <c r="CQ39" s="2"/>
      <c r="CR39" s="2"/>
      <c r="CS39" s="2"/>
      <c r="CT39" s="40"/>
      <c r="CU39" s="2"/>
      <c r="CV39" s="2"/>
      <c r="CW39" s="2"/>
      <c r="CX39" s="2"/>
      <c r="CY39" s="2"/>
      <c r="CZ39" s="2"/>
      <c r="DA39" s="2"/>
      <c r="DB39" s="40"/>
      <c r="DC39" s="2"/>
      <c r="DD39" s="2"/>
      <c r="DE39" s="2"/>
      <c r="DF39" s="2"/>
      <c r="DG39" s="2"/>
      <c r="DH39" s="2"/>
      <c r="DI39" s="2"/>
      <c r="DJ39" s="40"/>
      <c r="DK39" s="2"/>
      <c r="DL39" s="2"/>
      <c r="DM39" s="2"/>
      <c r="DN39" s="2"/>
      <c r="DO39" s="2"/>
      <c r="DP39" s="2"/>
      <c r="DQ39" s="2"/>
      <c r="DR39" s="40"/>
      <c r="DS39" s="2"/>
      <c r="DT39" s="2"/>
      <c r="DU39" s="2"/>
      <c r="DV39" s="2"/>
      <c r="DW39" s="2"/>
      <c r="DX39" s="2"/>
      <c r="DY39" s="2"/>
      <c r="DZ39" s="40"/>
      <c r="EA39" s="2"/>
      <c r="EB39" s="2"/>
      <c r="EC39" s="2"/>
      <c r="ED39" s="2"/>
      <c r="EE39" s="2"/>
      <c r="EF39" s="2"/>
      <c r="EG39" s="2"/>
      <c r="EH39" s="40"/>
      <c r="EI39" s="2"/>
      <c r="EJ39" s="2"/>
      <c r="EK39" s="2"/>
      <c r="EL39" s="2"/>
      <c r="EM39" s="2"/>
      <c r="EN39" s="2"/>
      <c r="EO39" s="2"/>
      <c r="EP39" s="40"/>
      <c r="EQ39" s="2"/>
      <c r="ER39" s="2"/>
      <c r="ES39" s="2"/>
      <c r="ET39" s="2"/>
      <c r="EU39" s="2"/>
      <c r="EV39" s="2"/>
      <c r="EW39" s="2"/>
      <c r="EX39" s="40"/>
      <c r="EY39" s="2"/>
      <c r="EZ39" s="2"/>
      <c r="FA39" s="2"/>
      <c r="FB39" s="2"/>
      <c r="FC39" s="2"/>
      <c r="FD39" s="2"/>
      <c r="FE39" s="2"/>
      <c r="FF39" s="40"/>
      <c r="FG39" s="2"/>
      <c r="FH39" s="2"/>
      <c r="FI39" s="2"/>
      <c r="FJ39" s="2"/>
      <c r="FK39" s="2"/>
      <c r="FL39" s="2"/>
      <c r="FM39" s="2"/>
    </row>
    <row r="40">
      <c r="A40" s="31" t="s">
        <v>84</v>
      </c>
      <c r="B40" s="32"/>
      <c r="C40" s="33"/>
      <c r="D40" s="33"/>
      <c r="E40" s="33"/>
      <c r="F40" s="33"/>
      <c r="G40" s="33"/>
      <c r="H40" s="33"/>
      <c r="I40" s="33"/>
      <c r="J40" s="32"/>
      <c r="K40" s="33"/>
      <c r="L40" s="33"/>
      <c r="M40" s="33"/>
      <c r="N40" s="33"/>
      <c r="O40" s="33"/>
      <c r="P40" s="33"/>
      <c r="Q40" s="33"/>
      <c r="R40" s="32"/>
      <c r="S40" s="33"/>
      <c r="T40" s="33"/>
      <c r="U40" s="33"/>
      <c r="V40" s="33"/>
      <c r="W40" s="33"/>
      <c r="X40" s="33"/>
      <c r="Y40" s="33"/>
      <c r="Z40" s="32"/>
      <c r="AA40" s="33"/>
      <c r="AB40" s="33"/>
      <c r="AC40" s="33"/>
      <c r="AD40" s="33"/>
      <c r="AE40" s="33"/>
      <c r="AF40" s="33"/>
      <c r="AG40" s="33"/>
      <c r="AH40" s="32"/>
      <c r="AI40" s="33"/>
      <c r="AJ40" s="33"/>
      <c r="AK40" s="33"/>
      <c r="AL40" s="33"/>
      <c r="AM40" s="33"/>
      <c r="AN40" s="33"/>
      <c r="AO40" s="33"/>
      <c r="AP40" s="32"/>
      <c r="AQ40" s="33"/>
      <c r="AR40" s="33"/>
      <c r="AS40" s="33"/>
      <c r="AT40" s="33"/>
      <c r="AU40" s="33"/>
      <c r="AV40" s="33"/>
      <c r="AW40" s="33"/>
      <c r="AX40" s="32"/>
      <c r="AY40" s="33"/>
      <c r="AZ40" s="33"/>
      <c r="BA40" s="33"/>
      <c r="BB40" s="33"/>
      <c r="BC40" s="33"/>
      <c r="BD40" s="33"/>
      <c r="BE40" s="33"/>
      <c r="BF40" s="32"/>
      <c r="BG40" s="33"/>
      <c r="BH40" s="33"/>
      <c r="BI40" s="33"/>
      <c r="BJ40" s="33"/>
      <c r="BK40" s="33"/>
      <c r="BL40" s="33"/>
      <c r="BM40" s="33"/>
      <c r="BN40" s="32"/>
      <c r="BO40" s="33"/>
      <c r="BP40" s="33"/>
      <c r="BQ40" s="33"/>
      <c r="BR40" s="33"/>
      <c r="BS40" s="33"/>
      <c r="BT40" s="33"/>
      <c r="BU40" s="33"/>
      <c r="BV40" s="32"/>
      <c r="BW40" s="33"/>
      <c r="BX40" s="33"/>
      <c r="BY40" s="33"/>
      <c r="BZ40" s="33"/>
      <c r="CA40" s="33"/>
      <c r="CB40" s="33"/>
      <c r="CC40" s="33"/>
      <c r="CD40" s="32"/>
      <c r="CE40" s="33"/>
      <c r="CF40" s="33"/>
      <c r="CG40" s="33"/>
      <c r="CH40" s="33"/>
      <c r="CI40" s="33"/>
      <c r="CJ40" s="33"/>
      <c r="CK40" s="33"/>
      <c r="CL40" s="32"/>
      <c r="CM40" s="33"/>
      <c r="CN40" s="33"/>
      <c r="CO40" s="33"/>
      <c r="CP40" s="33"/>
      <c r="CQ40" s="33"/>
      <c r="CR40" s="33"/>
      <c r="CS40" s="33"/>
      <c r="CT40" s="32"/>
      <c r="CU40" s="33"/>
      <c r="CV40" s="33"/>
      <c r="CW40" s="33"/>
      <c r="CX40" s="33"/>
      <c r="CY40" s="33"/>
      <c r="CZ40" s="33"/>
      <c r="DA40" s="33"/>
      <c r="DB40" s="32"/>
      <c r="DC40" s="33"/>
      <c r="DD40" s="33"/>
      <c r="DE40" s="33"/>
      <c r="DF40" s="33"/>
      <c r="DG40" s="33"/>
      <c r="DH40" s="33"/>
      <c r="DI40" s="33"/>
      <c r="DJ40" s="32"/>
      <c r="DK40" s="33"/>
      <c r="DL40" s="33"/>
      <c r="DM40" s="33"/>
      <c r="DN40" s="33"/>
      <c r="DO40" s="33"/>
      <c r="DP40" s="33"/>
      <c r="DQ40" s="33"/>
      <c r="DR40" s="32"/>
      <c r="DS40" s="33"/>
      <c r="DT40" s="33"/>
      <c r="DU40" s="33"/>
      <c r="DV40" s="33"/>
      <c r="DW40" s="33"/>
      <c r="DX40" s="33"/>
      <c r="DY40" s="33"/>
      <c r="DZ40" s="32"/>
      <c r="EA40" s="33"/>
      <c r="EB40" s="33"/>
      <c r="EC40" s="33"/>
      <c r="ED40" s="33"/>
      <c r="EE40" s="33"/>
      <c r="EF40" s="33"/>
      <c r="EG40" s="33"/>
      <c r="EH40" s="32"/>
      <c r="EI40" s="33"/>
      <c r="EJ40" s="33"/>
      <c r="EK40" s="33"/>
      <c r="EL40" s="33"/>
      <c r="EM40" s="33"/>
      <c r="EN40" s="33"/>
      <c r="EO40" s="33"/>
      <c r="EP40" s="32"/>
      <c r="EQ40" s="33"/>
      <c r="ER40" s="33"/>
      <c r="ES40" s="33"/>
      <c r="ET40" s="33"/>
      <c r="EU40" s="33"/>
      <c r="EV40" s="33"/>
      <c r="EW40" s="33"/>
      <c r="EX40" s="34" t="s">
        <v>79</v>
      </c>
      <c r="EY40" s="35"/>
      <c r="EZ40" s="35"/>
      <c r="FA40" s="35"/>
      <c r="FB40" s="35"/>
      <c r="FC40" s="35"/>
      <c r="FD40" s="35"/>
      <c r="FE40" s="35"/>
      <c r="FF40" s="32"/>
      <c r="FG40" s="33"/>
      <c r="FH40" s="33"/>
      <c r="FI40" s="33"/>
      <c r="FJ40" s="33"/>
      <c r="FK40" s="33"/>
      <c r="FL40" s="33"/>
      <c r="FM40" s="33"/>
    </row>
    <row r="41" hidden="1">
      <c r="A41" s="36" t="str">
        <f>CONCATENATE(A42," TM")</f>
        <v>OHP TM</v>
      </c>
      <c r="B41" s="37">
        <f>if(D41="",'Quick Setup'!D8,D41/'Quick Setup'!E8)</f>
        <v>200</v>
      </c>
      <c r="C41" s="36" t="s">
        <v>77</v>
      </c>
      <c r="D41" s="38"/>
      <c r="E41" s="39"/>
      <c r="F41" s="39"/>
      <c r="G41" s="39"/>
      <c r="H41" s="39"/>
      <c r="I41" s="39"/>
      <c r="J41" s="37">
        <f>if(L41="", if(F42="",B41, if((F42-E42)&lt;-1.9,B41*(1+Setup!F6),if((F42-E42)=-1,B41*(1+Setup!G6),if(G42&lt;D42,B41*(1+Setup!G6),if(G42=D42,B41*(1+Setup!H6),if((G42-D42)=1,B41*(1+Setup!I6),if((G42-D42)=2,B41*(1+Setup!J6),if((G42-D42)=3,B41*(1+Setup!K6),if((G42-D42)=4,B41*(1+Setup!L6),if((G42-D42)&gt;4.1,B41*(1+Setup!M6),B41)))))))))),L41/'Quick Setup'!$E8)</f>
        <v>200</v>
      </c>
      <c r="K41" s="36" t="s">
        <v>77</v>
      </c>
      <c r="L41" s="38"/>
      <c r="M41" s="39"/>
      <c r="N41" s="39"/>
      <c r="O41" s="39"/>
      <c r="P41" s="39"/>
      <c r="Q41" s="39"/>
      <c r="R41" s="37">
        <f>if(T41="", if(N42="",J41, if((N42-M42)&lt;-1.9,J41*(1+Setup!R6),if((N42-M42)=-1,J41*(1+Setup!S6),if(O42&lt;L42,J41*(1+Setup!S6),if(O42=L42,J41*(1+Setup!T6),if((O42-L42)=1,J41*(1+Setup!U6),if((O42-L42)=2,J41*(1+Setup!V6),if((O42-L42)=3,J41*(1+Setup!W6),if((O42-L42)=4,J41*(1+Setup!X6),if((O42-L42)&gt;4.1,J41*(1+Setup!Y6),J41)))))))))),T41/'Quick Setup'!$E8)</f>
        <v>200</v>
      </c>
      <c r="S41" s="36" t="s">
        <v>77</v>
      </c>
      <c r="T41" s="38"/>
      <c r="U41" s="39"/>
      <c r="V41" s="39"/>
      <c r="W41" s="39"/>
      <c r="X41" s="39"/>
      <c r="Y41" s="39"/>
      <c r="Z41" s="37">
        <f>if(AB41="", if(V42="",R41, if((V42-U42)&lt;-1.9,R41*(1+Setup!AD6),if((V42-U42)=-1,R41*(1+Setup!AE6),if(W42&lt;T42,R41*(1+Setup!AE6),if(W42=T42,R41*(1+Setup!AF6),if((W42-T42)=1,R41*(1+Setup!AG6),if((W42-T42)=2,R41*(1+Setup!AH6),if((W42-T42)=3,R41*(1+Setup!AI6),if((W42-T42)=4,R41*(1+Setup!AJ6),if((W42-T42)&gt;4.1,R41*(1+Setup!AK6),R41)))))))))),AB41/'Quick Setup'!$E8)</f>
        <v>200</v>
      </c>
      <c r="AA41" s="36" t="s">
        <v>77</v>
      </c>
      <c r="AB41" s="38"/>
      <c r="AC41" s="39"/>
      <c r="AD41" s="39"/>
      <c r="AE41" s="39"/>
      <c r="AF41" s="39"/>
      <c r="AG41" s="39"/>
      <c r="AH41" s="37">
        <f>if(AJ41="", if(AD42="",Z41, if((AD42-AC42)&lt;-1.9,Z41*(1+Setup!AP6),if((AD42-AC42)=-1,Z41*(1+Setup!AQ6),if(AE42&lt;AB42,Z41*(1+Setup!AQ6),if(AE42=AB42,Z41*(1+Setup!AR6),if((AE42-AB42)=1,Z41*(1+Setup!AS6),if((AE42-AB42)=2,Z41*(1+Setup!AT6),if((AE42-AB42)=3,Z41*(1+Setup!AU6),if((AE42-AB42)=4,Z41*(1+Setup!AV6),if((AE42-AB42)&gt;4.1,Z41*(1+Setup!AW6),Z41)))))))))),AJ41/'Quick Setup'!$E8)</f>
        <v>200</v>
      </c>
      <c r="AI41" s="36" t="s">
        <v>77</v>
      </c>
      <c r="AJ41" s="38"/>
      <c r="AK41" s="39"/>
      <c r="AL41" s="39"/>
      <c r="AM41" s="39"/>
      <c r="AN41" s="39"/>
      <c r="AO41" s="39"/>
      <c r="AP41" s="37">
        <f>if(AR41="", if(AL42="",AH41, if((AL42-AK42)&lt;-1.9,AH41*(1+Setup!BB6),if((AL42-AK42)=-1,AH41*(1+Setup!BC6),if(AM42&lt;AJ42,AH41*(1+Setup!BC6),if(AM42=AJ42,AH41*(1+Setup!BD6),if((AM42-AJ42)=1,AH41*(1+Setup!BE6),if((AM42-AJ42)=2,AH41*(1+Setup!BF6),if((AM42-AJ42)=3,AH41*(1+Setup!BG6),if((AM42-AJ42)=4,AH41*(1+Setup!BH6),if((AM42-AJ42)&gt;4.1,AH41*(1+Setup!BI6),AH41)))))))))),AR41/'Quick Setup'!$E8)</f>
        <v>200</v>
      </c>
      <c r="AQ41" s="36" t="s">
        <v>77</v>
      </c>
      <c r="AR41" s="38"/>
      <c r="AS41" s="39"/>
      <c r="AT41" s="39"/>
      <c r="AU41" s="39"/>
      <c r="AV41" s="39"/>
      <c r="AW41" s="39"/>
      <c r="AX41" s="37">
        <f>if(AZ41="", if(AT42="",AP41, if((AT42-AS42)&lt;-1.9,AP41*(1+Setup!BN6),if((AT42-AS42)=-1,AP41*(1+Setup!BO6),if(AU42&lt;AR42,AP41*(1+Setup!BO6),if(AU42=AR42,AP41*(1+Setup!BP6),if((AU42-AR42)=1,AP41*(1+Setup!BQ6),if((AU42-AR42)=2,AP41*(1+Setup!BR6),if((AU42-AR42)=3,AP41*(1+Setup!BS6),if((AU42-AR42)=4,AP41*(1+Setup!BT6),if((AU42-AR42)&gt;4.1,AP41*(1+Setup!BU6),AP41)))))))))),AZ41/'Quick Setup'!$E8)</f>
        <v>200</v>
      </c>
      <c r="AY41" s="36" t="s">
        <v>77</v>
      </c>
      <c r="AZ41" s="38"/>
      <c r="BA41" s="39"/>
      <c r="BB41" s="39"/>
      <c r="BC41" s="39"/>
      <c r="BD41" s="39"/>
      <c r="BE41" s="39"/>
      <c r="BF41" s="37">
        <f>if(BH41="",AX41,BH41/'Quick Setup'!$E8)</f>
        <v>200</v>
      </c>
      <c r="BG41" s="36" t="s">
        <v>77</v>
      </c>
      <c r="BH41" s="38"/>
      <c r="BI41" s="39"/>
      <c r="BJ41" s="39"/>
      <c r="BK41" s="39"/>
      <c r="BL41" s="39"/>
      <c r="BM41" s="39"/>
      <c r="BN41" s="37">
        <f>if(BP41="", if(BJ42="",BF41, if((BJ42-BI42)&lt;-1.9,BF41*(1+Setup!CL6),if((BJ42-BI42)=-1,BF41*(1+Setup!CM6),if(BK42&lt;BH42,BF41*(1+Setup!CM6),if(BK42=BH42,BF41*(1+Setup!CN6),if((BK42-BH42)=1,BF41*(1+Setup!CO6),if((BK42-BH42)=2,BF41*(1+Setup!CP6),if((BK42-BH42)=3,BF41*(1+Setup!CQ6),if((BK42-BH42)=4,BF41*(1+Setup!CR6),if((BK42-BH42)&gt;4.1,BF41*(1+Setup!CS6),BF41)))))))))),BP41/'Quick Setup'!$E8)</f>
        <v>200</v>
      </c>
      <c r="BO41" s="36" t="s">
        <v>77</v>
      </c>
      <c r="BP41" s="38"/>
      <c r="BQ41" s="39"/>
      <c r="BR41" s="39"/>
      <c r="BS41" s="39"/>
      <c r="BT41" s="39"/>
      <c r="BU41" s="39"/>
      <c r="BV41" s="37">
        <f>if(BX41="", if(BR42="",BN41, if((BR42-BQ42)&lt;-1.9,BN41*(1+Setup!CX6),if((BR42-BQ42)=-1,BN41*(1+Setup!CY6),if(BS42&lt;BP42,BN41*(1+Setup!CY6),if(BS42=BP42,BN41*(1+Setup!CZ6),if((BS42-BP42)=1,BN41*(1+Setup!DA6),if((BS42-BP42)=2,BN41*(1+Setup!DB6),if((BS42-BP42)=3,BN41*(1+Setup!DC6),if((BS42-BP42)=4,BN41*(1+Setup!DD6),if((BS42-BP42)&gt;4.1,BN41*(1+Setup!DE6),BN41)))))))))),BX41/'Quick Setup'!$E8)</f>
        <v>200</v>
      </c>
      <c r="BW41" s="36" t="s">
        <v>77</v>
      </c>
      <c r="BX41" s="38"/>
      <c r="BY41" s="39"/>
      <c r="BZ41" s="39"/>
      <c r="CA41" s="39"/>
      <c r="CB41" s="39"/>
      <c r="CC41" s="39"/>
      <c r="CD41" s="37">
        <f>if(CF41="", if(BZ42="",BV41, if((BZ42-BY42)&lt;-1.9,BV41*(1+Setup!DJ6),if((BZ42-BY42)=-1,BV41*(1+Setup!DK6),if(CA42&lt;BX42,BV41*(1+Setup!DK6),if(CA42=BX42,BV41*(1+Setup!DL6),if((CA42-BX42)=1,BV41*(1+Setup!DM6),if((CA42-BX42)=2,BV41*(1+Setup!DN6),if((CA42-BX42)=3,BV41*(1+Setup!DO6),if((CA42-BX42)=4,BV41*(1+Setup!DP6),if((CA42-BX42)&gt;4.1,BV41*(1+Setup!DQ6),BV41)))))))))),CF41/'Quick Setup'!$E8)</f>
        <v>200</v>
      </c>
      <c r="CE41" s="36" t="s">
        <v>77</v>
      </c>
      <c r="CF41" s="38"/>
      <c r="CG41" s="39"/>
      <c r="CH41" s="39"/>
      <c r="CI41" s="39"/>
      <c r="CJ41" s="39"/>
      <c r="CK41" s="39"/>
      <c r="CL41" s="37">
        <f>if(CN41="", if(CH42="",CD41, if((CH42-CG42)&lt;-1.9,CD41*(1+Setup!DV6),if((CH42-CG42)=-1,CD41*(1+Setup!DW6),if(CI42&lt;CF42,CD41*(1+Setup!DW6),if(CI42=CF42,CD41*(1+Setup!DX6),if((CI42-CF42)=1,CD41*(1+Setup!DY6),if((CI42-CF42)=2,CD41*(1+Setup!DZ6),if((CI42-CF42)=3,CD41*(1+Setup!EA6),if((CI42-CF42)=4,CD41*(1+Setup!EB6),if((CI42-CF42)&gt;4.1,CD41*(1+Setup!EC6),CD41)))))))))),CN41/'Quick Setup'!$E8)</f>
        <v>200</v>
      </c>
      <c r="CM41" s="36" t="s">
        <v>77</v>
      </c>
      <c r="CN41" s="38"/>
      <c r="CO41" s="39"/>
      <c r="CP41" s="39"/>
      <c r="CQ41" s="39"/>
      <c r="CR41" s="39"/>
      <c r="CS41" s="39"/>
      <c r="CT41" s="37">
        <f>if(CV41="", if(CP42="",CL41, if((CP42-CO42)&lt;-1.9,CL41*(1+Setup!EH6),if((CP42-CO42)=-1,CL41*(1+Setup!EI6),if(CQ42&lt;CN42,CL41*(1+Setup!EI6),if(CQ42=CN42,CL41*(1+Setup!EJ6),if((CQ42-CN42)=1,CL41*(1+Setup!EK6),if((CQ42-CN42)=2,CL41*(1+Setup!EL6),if((CQ42-CN42)=3,CL41*(1+Setup!EM6),if((CQ42-CN42)=4,CL41*(1+Setup!EN6),if((CQ42-CN42)&gt;4.1,CL41*(1+Setup!EO6),CL41)))))))))),CV41/'Quick Setup'!$E8)</f>
        <v>200</v>
      </c>
      <c r="CU41" s="36" t="s">
        <v>77</v>
      </c>
      <c r="CV41" s="38"/>
      <c r="CW41" s="39"/>
      <c r="CX41" s="39"/>
      <c r="CY41" s="39"/>
      <c r="CZ41" s="39"/>
      <c r="DA41" s="39"/>
      <c r="DB41" s="37">
        <f>if(DD41="", if(CX42="",CT41, if((CX42-CW42)&lt;-1.9,CT41*(1+Setup!ET6),if((CX42-CW42)=-1,CT41*(1+Setup!EU6),if(CY42&lt;CV42,CT41*(1+Setup!EU6),if(CY42=CV42,CT41*(1+Setup!EV6),if((CY42-CV42)=1,CT41*(1+Setup!EW6),if((CY42-CV42)=2,CT41*(1+Setup!EX6),if((CY42-CV42)=3,CT41*(1+Setup!EY6),if((CY42-CV42)=4,CT41*(1+Setup!EZ6),if((CY42-CV42)&gt;4.1,CT41*(1+Setup!FA6),CT41)))))))))),DD41/'Quick Setup'!$E8)</f>
        <v>200</v>
      </c>
      <c r="DC41" s="36" t="s">
        <v>77</v>
      </c>
      <c r="DD41" s="38"/>
      <c r="DE41" s="39"/>
      <c r="DF41" s="39"/>
      <c r="DG41" s="39"/>
      <c r="DH41" s="39"/>
      <c r="DI41" s="39"/>
      <c r="DJ41" s="37">
        <f>if(DL41="",DB41,DL41/'Quick Setup'!$E8)</f>
        <v>200</v>
      </c>
      <c r="DK41" s="36" t="s">
        <v>77</v>
      </c>
      <c r="DL41" s="38"/>
      <c r="DM41" s="39"/>
      <c r="DN41" s="39"/>
      <c r="DO41" s="39"/>
      <c r="DP41" s="39"/>
      <c r="DQ41" s="39"/>
      <c r="DR41" s="37">
        <f>if(DT41="", if(DN42="",DJ41, if((DN42-DM42)&lt;-1.9,DJ41*(1+Setup!FR6),if((DN42-DM42)=-1,DJ41*(1+Setup!FS6),if(DO42&lt;DL42,DJ41*(1+Setup!FS6),if(DO42=DL42,DJ41*(1+Setup!FT6),if((DO42-DL42)=1,DJ41*(1+Setup!FU6),if((DO42-DL42)=2,DJ41*(1+Setup!FV6),if((DO42-DL42)=3,DJ41*(1+Setup!FW6),if((DO42-DL42)=4,DJ41*(1+Setup!FX6),if((DO42-DL42)&gt;4.1,DJ41*(1+Setup!FY6),DJ41)))))))))),DT41/'Quick Setup'!$E8)</f>
        <v>200</v>
      </c>
      <c r="DS41" s="36" t="s">
        <v>77</v>
      </c>
      <c r="DT41" s="38"/>
      <c r="DU41" s="39"/>
      <c r="DV41" s="39"/>
      <c r="DW41" s="39"/>
      <c r="DX41" s="39"/>
      <c r="DY41" s="39"/>
      <c r="DZ41" s="37">
        <f>if(EB41="", if(DV42="",DR41, if((DV42-DU42)&lt;-1.9,DR41*(1+Setup!GD6),if((DV42-DU42)=-1,DR41*(1+Setup!GE6),if(DW42&lt;DT42,DR41*(1+Setup!GE6),if(DW42=DT42,DR41*(1+Setup!GF6),if((DW42-DT42)=1,DR41*(1+Setup!GG6),if((DW42-DT42)=2,DR41*(1+Setup!GH6),if((DW42-DT42)=3,DR41*(1+Setup!GI6),if((DW42-DT42)=4,DR41*(1+Setup!GJ6),if((DW42-DT42)&gt;4.1,DR41*(1+Setup!GK6),DR41)))))))))),EB41/'Quick Setup'!$E8)</f>
        <v>200</v>
      </c>
      <c r="EA41" s="36" t="s">
        <v>77</v>
      </c>
      <c r="EB41" s="38"/>
      <c r="EC41" s="39"/>
      <c r="ED41" s="39"/>
      <c r="EE41" s="39"/>
      <c r="EF41" s="39"/>
      <c r="EG41" s="39"/>
      <c r="EH41" s="37">
        <f>if(EJ41="", if(ED42="",DZ41, if((ED42-EC42)&lt;-1.9,DZ41*(1+Setup!GP6),if((ED42-EC42)=-1,DZ41*(1+Setup!GQ6),if(EE42&lt;EB42,DZ41*(1+Setup!GQ6),if(EE42=EB42,DZ41*(1+Setup!GR6),if((EE42-EB42)=1,DZ41*(1+Setup!GS6),if((EE42-EB42)=2,DZ41*(1+Setup!GT6),if((EE42-EB42)=3,DZ41*(1+Setup!GU6),if((EE42-EB42)=4,DZ41*(1+Setup!GV6),if((EE42-EB42)&gt;4.1,DZ41*(1+Setup!GW6),DZ41)))))))))),EJ41/'Quick Setup'!$E8)</f>
        <v>200</v>
      </c>
      <c r="EI41" s="36" t="s">
        <v>77</v>
      </c>
      <c r="EJ41" s="38"/>
      <c r="EK41" s="39"/>
      <c r="EL41" s="39"/>
      <c r="EM41" s="39"/>
      <c r="EN41" s="39"/>
      <c r="EO41" s="39"/>
      <c r="EP41" s="37">
        <f>if(ER41="", if(EL42="",EH41, if((EL42-EK42)&lt;-1.9,EH41*(1+Setup!HB6),if((EL42-EK42)=-1,EH41*(1+Setup!HC6),if(EM42&lt;EJ42,EH41*(1+Setup!HC6),if(EM42=EJ42,EH41*(1+Setup!HD6),if((EM42-EJ42)=1,EH41*(1+Setup!HE6),if((EM42-EJ42)=2,EH41*(1+Setup!HF6),if((EM42-EJ42)=3,EH41*(1+Setup!HG6),if((EM42-EJ42)=4,EH41*(1+Setup!HH6),if((EM42-EJ42)&gt;4.1,EH41*(1+Setup!HI6),EH41)))))))))),ER41/'Quick Setup'!$E8)</f>
        <v>200</v>
      </c>
      <c r="EQ41" s="36" t="s">
        <v>77</v>
      </c>
      <c r="ER41" s="38"/>
      <c r="ES41" s="39"/>
      <c r="ET41" s="39"/>
      <c r="EU41" s="39"/>
      <c r="EV41" s="39"/>
      <c r="EW41" s="39"/>
      <c r="EX41" s="37">
        <f>if(EZ41="", if(ET42="",EP41, if((ET42-ES42)&lt;-1.9,EP41*(1+Setup!HN6),if((ET42-ES42)=-1,EP41*(1+Setup!HO6),if(EU42&lt;ER42,EP41*(1+Setup!HO6),if(EU42=ER42,EP41*(1+Setup!HP6),if((EU42-ER42)=1,EP41*(1+Setup!HQ6),if((EU42-ER42)=2,EP41*(1+Setup!HR6),if((EU42-ER42)=3,EP41*(1+Setup!HS6),if((EU42-ER42)=4,EP41*(1+Setup!HT6),if((EU42-ER42)&gt;4.1,EP41*(1+Setup!HU6),EP41)))))))))),EZ41/'Quick Setup'!$E8)</f>
        <v>200</v>
      </c>
      <c r="EY41" s="36" t="s">
        <v>77</v>
      </c>
      <c r="EZ41" s="38"/>
      <c r="FA41" s="39"/>
      <c r="FB41" s="39"/>
      <c r="FC41" s="39"/>
      <c r="FD41" s="39"/>
      <c r="FE41" s="39"/>
      <c r="FF41" s="37">
        <f>if(FH41="", if(FB42="",EX41, if((FB42-FA42)&lt;-1.9,EX41*(1+Setup!HZ6),if((FB42-FA42)=-1,EX41*(1+Setup!IA6),if(FC42&lt;EZ42,EX41*(1+Setup!IA6),if(FC42=EZ42,EX41*(1+Setup!IB6),if((FC42-EZ42)=1,EX41*(1+Setup!IC6),if((FC42-EZ42)=2,EX41*(1+Setup!ID6),if((FC42-EZ42)=3,EX41*(1+Setup!IE6),if((FC42-EZ42)=4,EX41*(1+Setup!IF6),if((FC42-EZ42)&gt;4.1,EX41*(1+Setup!IG6),EX41)))))))))),FH41/'Quick Setup'!$E8)</f>
        <v>200</v>
      </c>
      <c r="FG41" s="36" t="s">
        <v>77</v>
      </c>
      <c r="FH41" s="38"/>
      <c r="FI41" s="39"/>
      <c r="FJ41" s="39"/>
      <c r="FK41" s="39"/>
      <c r="FL41" s="39"/>
      <c r="FM41" s="39"/>
    </row>
    <row r="42">
      <c r="A42" s="1" t="str">
        <f>Setup!A6</f>
        <v>OHP</v>
      </c>
      <c r="B42" s="40">
        <f>mround(B41*Setup!B6,'Quick Setup'!$A$2)</f>
        <v>140</v>
      </c>
      <c r="C42" s="2">
        <f>Setup!C6</f>
        <v>5</v>
      </c>
      <c r="D42" s="2">
        <f>Setup!D6</f>
        <v>3</v>
      </c>
      <c r="E42" s="2">
        <f>Setup!E6</f>
        <v>5</v>
      </c>
      <c r="F42" s="8"/>
      <c r="G42" s="8"/>
      <c r="H42" s="8"/>
      <c r="I42" s="8"/>
      <c r="J42" s="40">
        <f>mround(J41*Setup!N6,'Quick Setup'!$A$2)</f>
        <v>150</v>
      </c>
      <c r="K42" s="2">
        <f>Setup!O6</f>
        <v>4</v>
      </c>
      <c r="L42" s="2">
        <f>Setup!P6</f>
        <v>2</v>
      </c>
      <c r="M42" s="2">
        <f>Setup!Q6</f>
        <v>5</v>
      </c>
      <c r="N42" s="8"/>
      <c r="O42" s="8"/>
      <c r="P42" s="8"/>
      <c r="Q42" s="8"/>
      <c r="R42" s="40">
        <f>mround(R41*Setup!Z6,'Quick Setup'!$A$2)</f>
        <v>160</v>
      </c>
      <c r="S42" s="2">
        <f>Setup!AA6</f>
        <v>3</v>
      </c>
      <c r="T42" s="2">
        <f>Setup!AB6</f>
        <v>2</v>
      </c>
      <c r="U42" s="2">
        <f>Setup!AC6</f>
        <v>5</v>
      </c>
      <c r="V42" s="8"/>
      <c r="W42" s="8"/>
      <c r="X42" s="8"/>
      <c r="Y42" s="8"/>
      <c r="Z42" s="40">
        <f>mround(Z41*Setup!AL6,'Quick Setup'!$A$2)</f>
        <v>145</v>
      </c>
      <c r="AA42" s="2">
        <f>Setup!AM6</f>
        <v>5</v>
      </c>
      <c r="AB42" s="2">
        <f>Setup!AN6</f>
        <v>3</v>
      </c>
      <c r="AC42" s="2">
        <f>Setup!AO6</f>
        <v>5</v>
      </c>
      <c r="AD42" s="8"/>
      <c r="AE42" s="8"/>
      <c r="AF42" s="8"/>
      <c r="AG42" s="8"/>
      <c r="AH42" s="40">
        <f>mround(AH41*Setup!AX6,'Quick Setup'!$A$2)</f>
        <v>155</v>
      </c>
      <c r="AI42" s="2">
        <f>Setup!AY6</f>
        <v>4</v>
      </c>
      <c r="AJ42" s="2">
        <f>Setup!AZ6</f>
        <v>2</v>
      </c>
      <c r="AK42" s="2">
        <f>Setup!BA6</f>
        <v>5</v>
      </c>
      <c r="AL42" s="8"/>
      <c r="AM42" s="8"/>
      <c r="AN42" s="8"/>
      <c r="AO42" s="8"/>
      <c r="AP42" s="40">
        <f>mround(AP41*Setup!BJ6,'Quick Setup'!$A$2)</f>
        <v>165</v>
      </c>
      <c r="AQ42" s="2">
        <f>Setup!BK6</f>
        <v>3</v>
      </c>
      <c r="AR42" s="2">
        <f>Setup!BL6</f>
        <v>2</v>
      </c>
      <c r="AS42" s="2">
        <f>Setup!BM6</f>
        <v>5</v>
      </c>
      <c r="AT42" s="8"/>
      <c r="AU42" s="8"/>
      <c r="AV42" s="8"/>
      <c r="AW42" s="8"/>
      <c r="AX42" s="40">
        <f>mround(AX41*Setup!BV6,'Quick Setup'!$A$2)</f>
        <v>120</v>
      </c>
      <c r="AY42" s="1">
        <v>5.0</v>
      </c>
      <c r="AZ42" s="1" t="s">
        <v>80</v>
      </c>
      <c r="BA42" s="2">
        <f>Setup!BY6</f>
        <v>5</v>
      </c>
      <c r="BB42" s="8"/>
      <c r="BC42" s="8"/>
      <c r="BD42" s="8"/>
      <c r="BE42" s="8"/>
      <c r="BF42" s="40">
        <f>mround(BF41*Setup!CH6,'Quick Setup'!$A$2)</f>
        <v>150</v>
      </c>
      <c r="BG42" s="2">
        <f>Setup!CI6</f>
        <v>4</v>
      </c>
      <c r="BH42" s="2">
        <f>Setup!CJ6</f>
        <v>2</v>
      </c>
      <c r="BI42" s="2">
        <f>Setup!CK6</f>
        <v>5</v>
      </c>
      <c r="BJ42" s="8"/>
      <c r="BK42" s="8"/>
      <c r="BL42" s="8"/>
      <c r="BM42" s="8"/>
      <c r="BN42" s="40">
        <f>mround(BN41*Setup!CT6,'Quick Setup'!$A$2)</f>
        <v>160</v>
      </c>
      <c r="BO42" s="2">
        <f>Setup!CU6</f>
        <v>3</v>
      </c>
      <c r="BP42" s="2">
        <f>Setup!CV6</f>
        <v>2</v>
      </c>
      <c r="BQ42" s="2">
        <f>Setup!CW6</f>
        <v>5</v>
      </c>
      <c r="BR42" s="8"/>
      <c r="BS42" s="8"/>
      <c r="BT42" s="8"/>
      <c r="BU42" s="8"/>
      <c r="BV42" s="40">
        <f>mround(BV41*Setup!DF6,'Quick Setup'!$A$2)</f>
        <v>170</v>
      </c>
      <c r="BW42" s="2">
        <f>Setup!DG6</f>
        <v>2</v>
      </c>
      <c r="BX42" s="2">
        <f>Setup!DH6</f>
        <v>1</v>
      </c>
      <c r="BY42" s="2">
        <f>Setup!DI6</f>
        <v>5</v>
      </c>
      <c r="BZ42" s="8"/>
      <c r="CA42" s="8"/>
      <c r="CB42" s="8"/>
      <c r="CC42" s="8"/>
      <c r="CD42" s="40">
        <f>mround(CD41*Setup!DR6,'Quick Setup'!$A$2)</f>
        <v>155</v>
      </c>
      <c r="CE42" s="2">
        <f>Setup!DS6</f>
        <v>4</v>
      </c>
      <c r="CF42" s="2">
        <f>Setup!DT6</f>
        <v>2</v>
      </c>
      <c r="CG42" s="2">
        <f>Setup!DU6</f>
        <v>5</v>
      </c>
      <c r="CH42" s="8"/>
      <c r="CI42" s="8"/>
      <c r="CJ42" s="8"/>
      <c r="CK42" s="8"/>
      <c r="CL42" s="40">
        <f>mround(CL41*Setup!ED6,'Quick Setup'!$A$2)</f>
        <v>165</v>
      </c>
      <c r="CM42" s="2">
        <f>Setup!EE6</f>
        <v>3</v>
      </c>
      <c r="CN42" s="2">
        <f>Setup!EF6</f>
        <v>2</v>
      </c>
      <c r="CO42" s="2">
        <f>Setup!EG6</f>
        <v>5</v>
      </c>
      <c r="CP42" s="8"/>
      <c r="CQ42" s="8"/>
      <c r="CR42" s="8"/>
      <c r="CS42" s="8"/>
      <c r="CT42" s="40">
        <f>mround(CT41*Setup!EP6,'Quick Setup'!$A$2)</f>
        <v>175</v>
      </c>
      <c r="CU42" s="2">
        <f>Setup!EQ6</f>
        <v>2</v>
      </c>
      <c r="CV42" s="2">
        <f>Setup!ER6</f>
        <v>1</v>
      </c>
      <c r="CW42" s="2">
        <f>Setup!ES6</f>
        <v>5</v>
      </c>
      <c r="CX42" s="8"/>
      <c r="CY42" s="8"/>
      <c r="CZ42" s="8"/>
      <c r="DA42" s="8"/>
      <c r="DB42" s="40">
        <f>mround(DB41*Setup!FB6,'Quick Setup'!$A$2)</f>
        <v>120</v>
      </c>
      <c r="DC42" s="1">
        <v>5.0</v>
      </c>
      <c r="DD42" s="1" t="s">
        <v>80</v>
      </c>
      <c r="DE42" s="2">
        <f>Setup!FE6</f>
        <v>5</v>
      </c>
      <c r="DF42" s="8"/>
      <c r="DG42" s="8"/>
      <c r="DH42" s="8"/>
      <c r="DI42" s="8"/>
      <c r="DJ42" s="40">
        <f>mround(DJ41*Setup!FN6,'Quick Setup'!$A$2)</f>
        <v>160</v>
      </c>
      <c r="DK42" s="2">
        <f>Setup!FO6</f>
        <v>3</v>
      </c>
      <c r="DL42" s="2">
        <f>Setup!FP6</f>
        <v>2</v>
      </c>
      <c r="DM42" s="2">
        <f>Setup!FQ6</f>
        <v>5</v>
      </c>
      <c r="DN42" s="8"/>
      <c r="DO42" s="8"/>
      <c r="DP42" s="8"/>
      <c r="DQ42" s="8"/>
      <c r="DR42" s="40">
        <f>mround(DR41*Setup!FZ6,'Quick Setup'!$A$2)</f>
        <v>170</v>
      </c>
      <c r="DS42" s="2">
        <f>Setup!GA6</f>
        <v>2</v>
      </c>
      <c r="DT42" s="2">
        <f>Setup!GB6</f>
        <v>1</v>
      </c>
      <c r="DU42" s="2">
        <f>Setup!GC6</f>
        <v>5</v>
      </c>
      <c r="DV42" s="8"/>
      <c r="DW42" s="8"/>
      <c r="DX42" s="8"/>
      <c r="DY42" s="8"/>
      <c r="DZ42" s="40">
        <f>mround(DZ41*Setup!GL6,'Quick Setup'!$A$2)</f>
        <v>180</v>
      </c>
      <c r="EA42" s="2">
        <f>Setup!GM6</f>
        <v>1</v>
      </c>
      <c r="EB42" s="2">
        <f>Setup!GN6</f>
        <v>1</v>
      </c>
      <c r="EC42" s="2">
        <f>Setup!GO6</f>
        <v>5</v>
      </c>
      <c r="ED42" s="8"/>
      <c r="EE42" s="8"/>
      <c r="EF42" s="8"/>
      <c r="EG42" s="8"/>
      <c r="EH42" s="40">
        <f>mround(EH41*Setup!GX6,'Quick Setup'!$A$2)</f>
        <v>170</v>
      </c>
      <c r="EI42" s="2">
        <f>Setup!GY6</f>
        <v>2</v>
      </c>
      <c r="EJ42" s="2">
        <f>Setup!GZ6</f>
        <v>1</v>
      </c>
      <c r="EK42" s="2">
        <f>Setup!HA6</f>
        <v>5</v>
      </c>
      <c r="EL42" s="8"/>
      <c r="EM42" s="8"/>
      <c r="EN42" s="8"/>
      <c r="EO42" s="8"/>
      <c r="EP42" s="40">
        <f>mround(EP41*Setup!HJ6,'Quick Setup'!$A$2)</f>
        <v>180</v>
      </c>
      <c r="EQ42" s="2">
        <f>Setup!HK6</f>
        <v>1</v>
      </c>
      <c r="ER42" s="2">
        <f>Setup!HL6</f>
        <v>1</v>
      </c>
      <c r="ES42" s="2">
        <f>Setup!HM6</f>
        <v>5</v>
      </c>
      <c r="ET42" s="8"/>
      <c r="EU42" s="8"/>
      <c r="EV42" s="8"/>
      <c r="EW42" s="8"/>
      <c r="EX42" s="40">
        <f>mround(EX41*Setup!HV6,'Quick Setup'!$A$2)</f>
        <v>190</v>
      </c>
      <c r="EY42" s="2">
        <f>Setup!HW6</f>
        <v>1</v>
      </c>
      <c r="EZ42" s="2">
        <f>Setup!HX6</f>
        <v>1</v>
      </c>
      <c r="FA42" s="2">
        <f>Setup!HY6</f>
        <v>5</v>
      </c>
      <c r="FB42" s="8"/>
      <c r="FC42" s="8"/>
      <c r="FD42" s="8"/>
      <c r="FE42" s="8"/>
      <c r="FF42" s="40">
        <f>mround(FF41*Setup!IH6,'Quick Setup'!$A$2)</f>
        <v>120</v>
      </c>
      <c r="FG42" s="1">
        <v>5.0</v>
      </c>
      <c r="FH42" s="1" t="s">
        <v>80</v>
      </c>
      <c r="FI42" s="2">
        <f>Setup!IK6</f>
        <v>5</v>
      </c>
      <c r="FJ42" s="8"/>
      <c r="FK42" s="8"/>
      <c r="FL42" s="8"/>
      <c r="FM42" s="8"/>
    </row>
    <row r="43" hidden="1">
      <c r="A43" s="36" t="str">
        <f>CONCATENATE(A44," TM")</f>
        <v>Paused Squat TM</v>
      </c>
      <c r="B43" s="37">
        <f>if(D43="",'Quick Setup'!D12,D43/'Quick Setup'!E12)</f>
        <v>460</v>
      </c>
      <c r="C43" s="36" t="s">
        <v>77</v>
      </c>
      <c r="D43" s="38"/>
      <c r="E43" s="39"/>
      <c r="F43" s="39"/>
      <c r="G43" s="39"/>
      <c r="H43" s="39"/>
      <c r="I43" s="39"/>
      <c r="J43" s="37">
        <f>if(L43="", if(F44="",B43, if((F44-E44)&lt;-1.9,B43*(1+Setup!F10),if((F44-E44)=-1,B43*(1+Setup!G10),if(G44&lt;D44,B43*(1+Setup!G10),if(G44=D44,B43*(1+Setup!H10),if((G44-D44)=1,B43*(1+Setup!I10),if((G44-D44)=2,B43*(1+Setup!J10),if((G44-D44)=3,B43*(1+Setup!K10),if((G44-D44)=4,B43*(1+Setup!L10),if((G44-D44)&gt;4.1,B43*(1+Setup!M10),B43)))))))))),L43/'Quick Setup'!$E12)</f>
        <v>460</v>
      </c>
      <c r="K43" s="36" t="s">
        <v>77</v>
      </c>
      <c r="L43" s="38"/>
      <c r="M43" s="39"/>
      <c r="N43" s="39"/>
      <c r="O43" s="39"/>
      <c r="P43" s="39"/>
      <c r="Q43" s="39"/>
      <c r="R43" s="37">
        <f>if(T43="", if(N44="",J43, if((N44-M44)&lt;-1.9,J43*(1+Setup!R10),if((N44-M44)=-1,J43*(1+Setup!S10),if(O44&lt;L44,J43*(1+Setup!S10),if(O44=L44,J43*(1+Setup!T10),if((O44-L44)=1,J43*(1+Setup!U10),if((O44-L44)=2,J43*(1+Setup!V10),if((O44-L44)=3,J43*(1+Setup!W10),if((O44-L44)=4,J43*(1+Setup!X10),if((O44-L44)&gt;4.1,J43*(1+Setup!Y10),J43)))))))))),T43/'Quick Setup'!$E12)</f>
        <v>460</v>
      </c>
      <c r="S43" s="36" t="s">
        <v>77</v>
      </c>
      <c r="T43" s="38"/>
      <c r="U43" s="39"/>
      <c r="V43" s="39"/>
      <c r="W43" s="39"/>
      <c r="X43" s="39"/>
      <c r="Y43" s="39"/>
      <c r="Z43" s="37">
        <f>if(AB43="", if(V44="",R43, if((V44-U44)&lt;-1.9,R43*(1+Setup!AD10),if((V44-U44)=-1,R43*(1+Setup!AE10),if(W44&lt;T44,R43*(1+Setup!AE10),if(W44=T44,R43*(1+Setup!AF10),if((W44-T44)=1,R43*(1+Setup!AG10),if((W44-T44)=2,R43*(1+Setup!AH10),if((W44-T44)=3,R43*(1+Setup!AI10),if((W44-T44)=4,R43*(1+Setup!AJ10),if((W44-T44)&gt;4.1,R43*(1+Setup!AK10),R43)))))))))),AB43/'Quick Setup'!$E12)</f>
        <v>460</v>
      </c>
      <c r="AA43" s="36" t="s">
        <v>77</v>
      </c>
      <c r="AB43" s="38"/>
      <c r="AC43" s="39"/>
      <c r="AD43" s="39"/>
      <c r="AE43" s="39"/>
      <c r="AF43" s="39"/>
      <c r="AG43" s="39"/>
      <c r="AH43" s="37">
        <f>if(AJ43="", if(AD44="",Z43, if((AD44-AC44)&lt;-1.9,Z43*(1+Setup!AP10),if((AD44-AC44)=-1,Z43*(1+Setup!AQ10),if(AE44&lt;AB44,Z43*(1+Setup!AQ10),if(AE44=AB44,Z43*(1+Setup!AR10),if((AE44-AB44)=1,Z43*(1+Setup!AS10),if((AE44-AB44)=2,Z43*(1+Setup!AT10),if((AE44-AB44)=3,Z43*(1+Setup!AU10),if((AE44-AB44)=4,Z43*(1+Setup!AV10),if((AE44-AB44)&gt;4.1,Z43*(1+Setup!AW10),Z43)))))))))),AJ43/'Quick Setup'!$E12)</f>
        <v>460</v>
      </c>
      <c r="AI43" s="36" t="s">
        <v>77</v>
      </c>
      <c r="AJ43" s="38"/>
      <c r="AK43" s="39"/>
      <c r="AL43" s="39"/>
      <c r="AM43" s="39"/>
      <c r="AN43" s="39"/>
      <c r="AO43" s="39"/>
      <c r="AP43" s="37">
        <f>if(AR43="", if(AL44="",AH43, if((AL44-AK44)&lt;-1.9,AH43*(1+Setup!BB10),if((AL44-AK44)=-1,AH43*(1+Setup!BC10),if(AM44&lt;AJ44,AH43*(1+Setup!BC10),if(AM44=AJ44,AH43*(1+Setup!BD10),if((AM44-AJ44)=1,AH43*(1+Setup!BE10),if((AM44-AJ44)=2,AH43*(1+Setup!BF10),if((AM44-AJ44)=3,AH43*(1+Setup!BG10),if((AM44-AJ44)=4,AH43*(1+Setup!BH10),if((AM44-AJ44)&gt;4.1,AH43*(1+Setup!BI10),AH43)))))))))),AR43/'Quick Setup'!$E12)</f>
        <v>460</v>
      </c>
      <c r="AQ43" s="36" t="s">
        <v>77</v>
      </c>
      <c r="AR43" s="38"/>
      <c r="AS43" s="39"/>
      <c r="AT43" s="39"/>
      <c r="AU43" s="39"/>
      <c r="AV43" s="39"/>
      <c r="AW43" s="39"/>
      <c r="AX43" s="37">
        <f>if(AZ43="", if(AT44="",AP43, if((AT44-AS44)&lt;-1.9,AP43*(1+Setup!BN10),if((AT44-AS44)=-1,AP43*(1+Setup!BO10),if(AU44&lt;AR44,AP43*(1+Setup!BO10),if(AU44=AR44,AP43*(1+Setup!BP10),if((AU44-AR44)=1,AP43*(1+Setup!BQ10),if((AU44-AR44)=2,AP43*(1+Setup!BR10),if((AU44-AR44)=3,AP43*(1+Setup!BS10),if((AU44-AR44)=4,AP43*(1+Setup!BT10),if((AU44-AR44)&gt;4.1,AP43*(1+Setup!BU10),AP43)))))))))),AZ43/'Quick Setup'!$E12)</f>
        <v>460</v>
      </c>
      <c r="AY43" s="36" t="s">
        <v>77</v>
      </c>
      <c r="AZ43" s="38"/>
      <c r="BA43" s="39"/>
      <c r="BB43" s="39"/>
      <c r="BC43" s="39"/>
      <c r="BD43" s="39"/>
      <c r="BE43" s="39"/>
      <c r="BF43" s="37">
        <f>if(BH43="",AX43,BH43/'Quick Setup'!$E12)</f>
        <v>460</v>
      </c>
      <c r="BG43" s="36" t="s">
        <v>77</v>
      </c>
      <c r="BH43" s="38"/>
      <c r="BI43" s="39"/>
      <c r="BJ43" s="39"/>
      <c r="BK43" s="39"/>
      <c r="BL43" s="39"/>
      <c r="BM43" s="39"/>
      <c r="BN43" s="37">
        <f>if(BP43="", if(BJ44="",BF43, if((BJ44-BI44)&lt;-1.9,BF43*(1+Setup!CL10),if((BJ44-BI44)=-1,BF43*(1+Setup!CM10),if(BK44&lt;BH44,BF43*(1+Setup!CM10),if(BK44=BH44,BF43*(1+Setup!CN10),if((BK44-BH44)=1,BF43*(1+Setup!CO10),if((BK44-BH44)=2,BF43*(1+Setup!CP10),if((BK44-BH44)=3,BF43*(1+Setup!CQ10),if((BK44-BH44)=4,BF43*(1+Setup!CR10),if((BK44-BH44)&gt;4.1,BF43*(1+Setup!CS10),BF43)))))))))),BP43/'Quick Setup'!$E12)</f>
        <v>460</v>
      </c>
      <c r="BO43" s="36" t="s">
        <v>77</v>
      </c>
      <c r="BP43" s="38"/>
      <c r="BQ43" s="39"/>
      <c r="BR43" s="39"/>
      <c r="BS43" s="39"/>
      <c r="BT43" s="39"/>
      <c r="BU43" s="39"/>
      <c r="BV43" s="37">
        <f>if(BX43="", if(BR44="",BN43, if((BR44-BQ44)&lt;-1.9,BN43*(1+Setup!CX10),if((BR44-BQ44)=-1,BN43*(1+Setup!CY10),if(BS44&lt;BP44,BN43*(1+Setup!CY10),if(BS44=BP44,BN43*(1+Setup!CZ10),if((BS44-BP44)=1,BN43*(1+Setup!DA10),if((BS44-BP44)=2,BN43*(1+Setup!DB10),if((BS44-BP44)=3,BN43*(1+Setup!DC10),if((BS44-BP44)=4,BN43*(1+Setup!DD10),if((BS44-BP44)&gt;4.1,BN43*(1+Setup!DE10),BN43)))))))))),BX43/'Quick Setup'!$E12)</f>
        <v>460</v>
      </c>
      <c r="BW43" s="36" t="s">
        <v>77</v>
      </c>
      <c r="BX43" s="38"/>
      <c r="BY43" s="39"/>
      <c r="BZ43" s="39"/>
      <c r="CA43" s="39"/>
      <c r="CB43" s="39"/>
      <c r="CC43" s="39"/>
      <c r="CD43" s="37">
        <f>if(CF43="", if(BZ44="",BV43, if((BZ44-BY44)&lt;-1.9,BV43*(1+Setup!DJ10),if((BZ44-BY44)=-1,BV43*(1+Setup!DK10),if(CA44&lt;BX44,BV43*(1+Setup!DK10),if(CA44=BX44,BV43*(1+Setup!DL10),if((CA44-BX44)=1,BV43*(1+Setup!DM10),if((CA44-BX44)=2,BV43*(1+Setup!DN10),if((CA44-BX44)=3,BV43*(1+Setup!DO10),if((CA44-BX44)=4,BV43*(1+Setup!DP10),if((CA44-BX44)&gt;4.1,BV43*(1+Setup!DQ10),BV43)))))))))),CF43/'Quick Setup'!$E12)</f>
        <v>460</v>
      </c>
      <c r="CE43" s="36" t="s">
        <v>77</v>
      </c>
      <c r="CF43" s="38"/>
      <c r="CG43" s="39"/>
      <c r="CH43" s="39"/>
      <c r="CI43" s="39"/>
      <c r="CJ43" s="39"/>
      <c r="CK43" s="39"/>
      <c r="CL43" s="37">
        <f>if(CN43="", if(CH44="",CD43, if((CH44-CG44)&lt;-1.9,CD43*(1+Setup!DV10),if((CH44-CG44)=-1,CD43*(1+Setup!DW10),if(CI44&lt;CF44,CD43*(1+Setup!DW10),if(CI44=CF44,CD43*(1+Setup!DX10),if((CI44-CF44)=1,CD43*(1+Setup!DY10),if((CI44-CF44)=2,CD43*(1+Setup!DZ10),if((CI44-CF44)=3,CD43*(1+Setup!EA10),if((CI44-CF44)=4,CD43*(1+Setup!EB10),if((CI44-CF44)&gt;4.1,CD43*(1+Setup!EC10),CD43)))))))))),CN43/'Quick Setup'!$E12)</f>
        <v>460</v>
      </c>
      <c r="CM43" s="36" t="s">
        <v>77</v>
      </c>
      <c r="CN43" s="38"/>
      <c r="CO43" s="39"/>
      <c r="CP43" s="39"/>
      <c r="CQ43" s="39"/>
      <c r="CR43" s="39"/>
      <c r="CS43" s="39"/>
      <c r="CT43" s="37">
        <f>if(CV43="", if(CP44="",CL43, if((CP44-CO44)&lt;-1.9,CL43*(1+Setup!EH10),if((CP44-CO44)=-1,CL43*(1+Setup!EI10),if(CQ44&lt;CN44,CL43*(1+Setup!EI10),if(CQ44=CN44,CL43*(1+Setup!EJ10),if((CQ44-CN44)=1,CL43*(1+Setup!EK10),if((CQ44-CN44)=2,CL43*(1+Setup!EL10),if((CQ44-CN44)=3,CL43*(1+Setup!EM10),if((CQ44-CN44)=4,CL43*(1+Setup!EN10),if((CQ44-CN44)&gt;4.1,CL43*(1+Setup!EO10),CL43)))))))))),CV43/'Quick Setup'!$E12)</f>
        <v>460</v>
      </c>
      <c r="CU43" s="36" t="s">
        <v>77</v>
      </c>
      <c r="CV43" s="38"/>
      <c r="CW43" s="39"/>
      <c r="CX43" s="39"/>
      <c r="CY43" s="39"/>
      <c r="CZ43" s="39"/>
      <c r="DA43" s="39"/>
      <c r="DB43" s="37">
        <f>if(DD43="", if(CX44="",CT43, if((CX44-CW44)&lt;-1.9,CT43*(1+Setup!ET10),if((CX44-CW44)=-1,CT43*(1+Setup!EU10),if(CY44&lt;CV44,CT43*(1+Setup!EU10),if(CY44=CV44,CT43*(1+Setup!EV10),if((CY44-CV44)=1,CT43*(1+Setup!EW10),if((CY44-CV44)=2,CT43*(1+Setup!EX10),if((CY44-CV44)=3,CT43*(1+Setup!EY10),if((CY44-CV44)=4,CT43*(1+Setup!EZ10),if((CY44-CV44)&gt;4.1,CT43*(1+Setup!FA10),CT43)))))))))),DD43/'Quick Setup'!$E12)</f>
        <v>460</v>
      </c>
      <c r="DC43" s="36" t="s">
        <v>77</v>
      </c>
      <c r="DD43" s="38"/>
      <c r="DE43" s="39"/>
      <c r="DF43" s="39"/>
      <c r="DG43" s="39"/>
      <c r="DH43" s="39"/>
      <c r="DI43" s="39"/>
      <c r="DJ43" s="37">
        <f>if(DL43="",DB43,DL43/'Quick Setup'!$E12)</f>
        <v>460</v>
      </c>
      <c r="DK43" s="36" t="s">
        <v>77</v>
      </c>
      <c r="DL43" s="38"/>
      <c r="DM43" s="39"/>
      <c r="DN43" s="39"/>
      <c r="DO43" s="39"/>
      <c r="DP43" s="39"/>
      <c r="DQ43" s="39"/>
      <c r="DR43" s="37">
        <f>if(DT43="", if(DN44="",DJ43, if((DN44-DM44)&lt;-1.9,DJ43*(1+Setup!FR10),if((DN44-DM44)=-1,DJ43*(1+Setup!FS10),if(DO44&lt;DL44,DJ43*(1+Setup!FS10),if(DO44=DL44,DJ43*(1+Setup!FT10),if((DO44-DL44)=1,DJ43*(1+Setup!FU10),if((DO44-DL44)=2,DJ43*(1+Setup!FV10),if((DO44-DL44)=3,DJ43*(1+Setup!FW10),if((DO44-DL44)=4,DJ43*(1+Setup!FX10),if((DO44-DL44)&gt;4.1,DJ43*(1+Setup!FY10),DJ43)))))))))),DT43/'Quick Setup'!$E12)</f>
        <v>460</v>
      </c>
      <c r="DS43" s="36" t="s">
        <v>77</v>
      </c>
      <c r="DT43" s="38"/>
      <c r="DU43" s="39"/>
      <c r="DV43" s="39"/>
      <c r="DW43" s="39"/>
      <c r="DX43" s="39"/>
      <c r="DY43" s="39"/>
      <c r="DZ43" s="37">
        <f>if(EB43="", if(DV44="",DR43, if((DV44-DU44)&lt;-1.9,DR43*(1+Setup!GD10),if((DV44-DU44)=-1,DR43*(1+Setup!GE10),if(DW44&lt;DT44,DR43*(1+Setup!GE10),if(DW44=DT44,DR43*(1+Setup!GF10),if((DW44-DT44)=1,DR43*(1+Setup!GG10),if((DW44-DT44)=2,DR43*(1+Setup!GH10),if((DW44-DT44)=3,DR43*(1+Setup!GI10),if((DW44-DT44)=4,DR43*(1+Setup!GJ10),if((DW44-DT44)&gt;4.1,DR43*(1+Setup!GK10),DR43)))))))))),EB43/'Quick Setup'!$E12)</f>
        <v>460</v>
      </c>
      <c r="EA43" s="36" t="s">
        <v>77</v>
      </c>
      <c r="EB43" s="38"/>
      <c r="EC43" s="39"/>
      <c r="ED43" s="39"/>
      <c r="EE43" s="39"/>
      <c r="EF43" s="39"/>
      <c r="EG43" s="39"/>
      <c r="EH43" s="37">
        <f>if(EJ43="", if(ED44="",DZ43, if((ED44-EC44)&lt;-1.9,DZ43*(1+Setup!GP10),if((ED44-EC44)=-1,DZ43*(1+Setup!GQ10),if(EE44&lt;EB44,DZ43*(1+Setup!GQ10),if(EE44=EB44,DZ43*(1+Setup!GR10),if((EE44-EB44)=1,DZ43*(1+Setup!GS10),if((EE44-EB44)=2,DZ43*(1+Setup!GT10),if((EE44-EB44)=3,DZ43*(1+Setup!GU10),if((EE44-EB44)=4,DZ43*(1+Setup!GV10),if((EE44-EB44)&gt;4.1,DZ43*(1+Setup!GW10),DZ43)))))))))),EJ43/'Quick Setup'!$E12)</f>
        <v>460</v>
      </c>
      <c r="EI43" s="36" t="s">
        <v>77</v>
      </c>
      <c r="EJ43" s="38"/>
      <c r="EK43" s="39"/>
      <c r="EL43" s="39"/>
      <c r="EM43" s="39"/>
      <c r="EN43" s="39"/>
      <c r="EO43" s="39"/>
      <c r="EP43" s="37">
        <f>if(ER43="", if(EL44="",EH43, if((EL44-EK44)&lt;-1.9,EH43*(1+Setup!HB10),if((EL44-EK44)=-1,EH43*(1+Setup!HC10),if(EM44&lt;EJ44,EH43*(1+Setup!HC10),if(EM44=EJ44,EH43*(1+Setup!HD10),if((EM44-EJ44)=1,EH43*(1+Setup!HE10),if((EM44-EJ44)=2,EH43*(1+Setup!HF10),if((EM44-EJ44)=3,EH43*(1+Setup!HG10),if((EM44-EJ44)=4,EH43*(1+Setup!HH10),if((EM44-EJ44)&gt;4.1,EH43*(1+Setup!HI10),EH43)))))))))),ER43/'Quick Setup'!$E12)</f>
        <v>460</v>
      </c>
      <c r="EQ43" s="36" t="s">
        <v>77</v>
      </c>
      <c r="ER43" s="38"/>
      <c r="ES43" s="39"/>
      <c r="ET43" s="39"/>
      <c r="EU43" s="39"/>
      <c r="EV43" s="39"/>
      <c r="EW43" s="39"/>
      <c r="EX43" s="37">
        <f>if(EZ43="", if(ET44="",EP43, if((ET44-ES44)&lt;-1.9,EP43*(1+Setup!HN10),if((ET44-ES44)=-1,EP43*(1+Setup!HO10),if(EU44&lt;ER44,EP43*(1+Setup!HO10),if(EU44=ER44,EP43*(1+Setup!HP10),if((EU44-ER44)=1,EP43*(1+Setup!HQ10),if((EU44-ER44)=2,EP43*(1+Setup!HR10),if((EU44-ER44)=3,EP43*(1+Setup!HS10),if((EU44-ER44)=4,EP43*(1+Setup!HT10),if((EU44-ER44)&gt;4.1,EP43*(1+Setup!HU10),EP43)))))))))),EZ43/'Quick Setup'!$E12)</f>
        <v>460</v>
      </c>
      <c r="EY43" s="36" t="s">
        <v>77</v>
      </c>
      <c r="EZ43" s="38"/>
      <c r="FA43" s="39"/>
      <c r="FB43" s="39"/>
      <c r="FC43" s="39"/>
      <c r="FD43" s="39"/>
      <c r="FE43" s="39"/>
      <c r="FF43" s="37">
        <f>if(FH43="", if(FB44="",EX43, if((FB44-FA44)&lt;-1.9,EX43*(1+Setup!HZ10),if((FB44-FA44)=-1,EX43*(1+Setup!IA10),if(FC44&lt;EZ44,EX43*(1+Setup!IA10),if(FC44=EZ44,EX43*(1+Setup!IB10),if((FC44-EZ44)=1,EX43*(1+Setup!IC10),if((FC44-EZ44)=2,EX43*(1+Setup!ID10),if((FC44-EZ44)=3,EX43*(1+Setup!IE10),if((FC44-EZ44)=4,EX43*(1+Setup!IF10),if((FC44-EZ44)&gt;4.1,EX43*(1+Setup!IG10),EX43)))))))))),FH43/'Quick Setup'!$E12)</f>
        <v>460</v>
      </c>
      <c r="FG43" s="36" t="s">
        <v>77</v>
      </c>
      <c r="FH43" s="38"/>
      <c r="FI43" s="39"/>
      <c r="FJ43" s="39"/>
      <c r="FK43" s="39"/>
      <c r="FL43" s="39"/>
      <c r="FM43" s="39"/>
    </row>
    <row r="44">
      <c r="A44" s="1" t="str">
        <f>Setup!A10</f>
        <v>Paused Squat</v>
      </c>
      <c r="B44" s="40">
        <f>mround(B43*Setup!B10,'Quick Setup'!$A$2)</f>
        <v>275</v>
      </c>
      <c r="C44" s="2">
        <f>Setup!C10</f>
        <v>7</v>
      </c>
      <c r="D44" s="2">
        <f>Setup!D10</f>
        <v>3</v>
      </c>
      <c r="E44" s="2">
        <f>Setup!E10</f>
        <v>5</v>
      </c>
      <c r="F44" s="8"/>
      <c r="G44" s="8"/>
      <c r="H44" s="8"/>
      <c r="I44" s="8"/>
      <c r="J44" s="40">
        <f>mround(J43*Setup!N10,'Quick Setup'!$A$2)</f>
        <v>300</v>
      </c>
      <c r="K44" s="2">
        <f>Setup!O10</f>
        <v>6</v>
      </c>
      <c r="L44" s="2">
        <f>Setup!P10</f>
        <v>3</v>
      </c>
      <c r="M44" s="2">
        <f>Setup!Q10</f>
        <v>5</v>
      </c>
      <c r="N44" s="8"/>
      <c r="O44" s="8"/>
      <c r="P44" s="8"/>
      <c r="Q44" s="8"/>
      <c r="R44" s="40">
        <f>mround(R43*Setup!Z10,'Quick Setup'!$A$2)</f>
        <v>322.5</v>
      </c>
      <c r="S44" s="2">
        <f>Setup!AA10</f>
        <v>5</v>
      </c>
      <c r="T44" s="2">
        <f>Setup!AB10</f>
        <v>3</v>
      </c>
      <c r="U44" s="2">
        <f>Setup!AC10</f>
        <v>5</v>
      </c>
      <c r="V44" s="8"/>
      <c r="W44" s="8"/>
      <c r="X44" s="8"/>
      <c r="Y44" s="8"/>
      <c r="Z44" s="40">
        <f>mround(Z43*Setup!AL10,'Quick Setup'!$A$2)</f>
        <v>287.5</v>
      </c>
      <c r="AA44" s="2">
        <f>Setup!AM10</f>
        <v>7</v>
      </c>
      <c r="AB44" s="2">
        <f>Setup!AN10</f>
        <v>3</v>
      </c>
      <c r="AC44" s="2">
        <f>Setup!AO10</f>
        <v>5</v>
      </c>
      <c r="AD44" s="8"/>
      <c r="AE44" s="8"/>
      <c r="AF44" s="8"/>
      <c r="AG44" s="8"/>
      <c r="AH44" s="40">
        <f>mround(AH43*Setup!AX10,'Quick Setup'!$A$2)</f>
        <v>310</v>
      </c>
      <c r="AI44" s="2">
        <f>Setup!AY10</f>
        <v>6</v>
      </c>
      <c r="AJ44" s="2">
        <f>Setup!AZ10</f>
        <v>3</v>
      </c>
      <c r="AK44" s="2">
        <f>Setup!BA10</f>
        <v>5</v>
      </c>
      <c r="AL44" s="8"/>
      <c r="AM44" s="8"/>
      <c r="AN44" s="8"/>
      <c r="AO44" s="8"/>
      <c r="AP44" s="40">
        <f>mround(AP43*Setup!BJ10,'Quick Setup'!$A$2)</f>
        <v>332.5</v>
      </c>
      <c r="AQ44" s="2">
        <f>Setup!BK10</f>
        <v>5</v>
      </c>
      <c r="AR44" s="2">
        <f>Setup!BL10</f>
        <v>3</v>
      </c>
      <c r="AS44" s="2">
        <f>Setup!BM10</f>
        <v>5</v>
      </c>
      <c r="AT44" s="8"/>
      <c r="AU44" s="8"/>
      <c r="AV44" s="8"/>
      <c r="AW44" s="8"/>
      <c r="AX44" s="40">
        <f>mround(AX43*Setup!BV10,'Quick Setup'!$A$2)</f>
        <v>230</v>
      </c>
      <c r="AY44" s="1">
        <v>5.0</v>
      </c>
      <c r="AZ44" s="1" t="s">
        <v>80</v>
      </c>
      <c r="BA44" s="2">
        <f>Setup!BY10</f>
        <v>5</v>
      </c>
      <c r="BB44" s="8"/>
      <c r="BC44" s="8"/>
      <c r="BD44" s="8"/>
      <c r="BE44" s="8"/>
      <c r="BF44" s="40">
        <f>mround(BF43*Setup!CH10,'Quick Setup'!$A$2)</f>
        <v>300</v>
      </c>
      <c r="BG44" s="2">
        <f>Setup!CI10</f>
        <v>6</v>
      </c>
      <c r="BH44" s="2">
        <f>Setup!CJ10</f>
        <v>3</v>
      </c>
      <c r="BI44" s="2">
        <f>Setup!CK10</f>
        <v>5</v>
      </c>
      <c r="BJ44" s="8"/>
      <c r="BK44" s="8"/>
      <c r="BL44" s="8"/>
      <c r="BM44" s="8"/>
      <c r="BN44" s="40">
        <f>mround(BN43*Setup!CT10,'Quick Setup'!$A$2)</f>
        <v>322.5</v>
      </c>
      <c r="BO44" s="2">
        <f>Setup!CU10</f>
        <v>5</v>
      </c>
      <c r="BP44" s="2">
        <f>Setup!CV10</f>
        <v>3</v>
      </c>
      <c r="BQ44" s="2">
        <f>Setup!CW10</f>
        <v>5</v>
      </c>
      <c r="BR44" s="8"/>
      <c r="BS44" s="8"/>
      <c r="BT44" s="8"/>
      <c r="BU44" s="8"/>
      <c r="BV44" s="40">
        <f>mround(BV43*Setup!DF10,'Quick Setup'!$A$2)</f>
        <v>345</v>
      </c>
      <c r="BW44" s="2">
        <f>Setup!DG10</f>
        <v>4</v>
      </c>
      <c r="BX44" s="2">
        <f>Setup!DH10</f>
        <v>2</v>
      </c>
      <c r="BY44" s="2">
        <f>Setup!DI10</f>
        <v>5</v>
      </c>
      <c r="BZ44" s="8"/>
      <c r="CA44" s="8"/>
      <c r="CB44" s="8"/>
      <c r="CC44" s="8"/>
      <c r="CD44" s="40">
        <f>mround(CD43*Setup!DR10,'Quick Setup'!$A$2)</f>
        <v>310</v>
      </c>
      <c r="CE44" s="2">
        <f>Setup!DS10</f>
        <v>6</v>
      </c>
      <c r="CF44" s="2">
        <f>Setup!DT10</f>
        <v>3</v>
      </c>
      <c r="CG44" s="2">
        <f>Setup!DU10</f>
        <v>5</v>
      </c>
      <c r="CH44" s="8"/>
      <c r="CI44" s="8"/>
      <c r="CJ44" s="8"/>
      <c r="CK44" s="8"/>
      <c r="CL44" s="40">
        <f>mround(CL43*Setup!ED10,'Quick Setup'!$A$2)</f>
        <v>332.5</v>
      </c>
      <c r="CM44" s="2">
        <f>Setup!EE10</f>
        <v>5</v>
      </c>
      <c r="CN44" s="2">
        <f>Setup!EF10</f>
        <v>3</v>
      </c>
      <c r="CO44" s="2">
        <f>Setup!EG10</f>
        <v>5</v>
      </c>
      <c r="CP44" s="8"/>
      <c r="CQ44" s="8"/>
      <c r="CR44" s="8"/>
      <c r="CS44" s="8"/>
      <c r="CT44" s="40">
        <f>mround(CT43*Setup!EP10,'Quick Setup'!$A$2)</f>
        <v>357.5</v>
      </c>
      <c r="CU44" s="2">
        <f>Setup!EQ10</f>
        <v>4</v>
      </c>
      <c r="CV44" s="2">
        <f>Setup!ER10</f>
        <v>2</v>
      </c>
      <c r="CW44" s="2">
        <f>Setup!ES10</f>
        <v>5</v>
      </c>
      <c r="CX44" s="8"/>
      <c r="CY44" s="8"/>
      <c r="CZ44" s="8"/>
      <c r="DA44" s="8"/>
      <c r="DB44" s="40">
        <f>mround(DB43*Setup!FB10,'Quick Setup'!$A$2)</f>
        <v>230</v>
      </c>
      <c r="DC44" s="1">
        <v>5.0</v>
      </c>
      <c r="DD44" s="1" t="s">
        <v>80</v>
      </c>
      <c r="DE44" s="2">
        <f>Setup!FE10</f>
        <v>5</v>
      </c>
      <c r="DF44" s="8"/>
      <c r="DG44" s="8"/>
      <c r="DH44" s="8"/>
      <c r="DI44" s="8"/>
      <c r="DJ44" s="40">
        <f>mround(DJ43*Setup!FN10,'Quick Setup'!$A$2)</f>
        <v>322.5</v>
      </c>
      <c r="DK44" s="2">
        <f>Setup!FO10</f>
        <v>5</v>
      </c>
      <c r="DL44" s="2">
        <f>Setup!FP10</f>
        <v>3</v>
      </c>
      <c r="DM44" s="2">
        <f>Setup!FQ10</f>
        <v>5</v>
      </c>
      <c r="DN44" s="8"/>
      <c r="DO44" s="8"/>
      <c r="DP44" s="8"/>
      <c r="DQ44" s="8"/>
      <c r="DR44" s="40">
        <f>mround(DR43*Setup!FZ10,'Quick Setup'!$A$2)</f>
        <v>345</v>
      </c>
      <c r="DS44" s="2">
        <f>Setup!GA10</f>
        <v>4</v>
      </c>
      <c r="DT44" s="2">
        <f>Setup!GB10</f>
        <v>2</v>
      </c>
      <c r="DU44" s="2">
        <f>Setup!GC10</f>
        <v>5</v>
      </c>
      <c r="DV44" s="8"/>
      <c r="DW44" s="8"/>
      <c r="DX44" s="8"/>
      <c r="DY44" s="8"/>
      <c r="DZ44" s="40">
        <f>mround(DZ43*Setup!GL10,'Quick Setup'!$A$2)</f>
        <v>367.5</v>
      </c>
      <c r="EA44" s="2">
        <f>Setup!GM10</f>
        <v>3</v>
      </c>
      <c r="EB44" s="2">
        <f>Setup!GN10</f>
        <v>2</v>
      </c>
      <c r="EC44" s="2">
        <f>Setup!GO10</f>
        <v>5</v>
      </c>
      <c r="ED44" s="8"/>
      <c r="EE44" s="8"/>
      <c r="EF44" s="8"/>
      <c r="EG44" s="8"/>
      <c r="EH44" s="40">
        <f>mround(EH43*Setup!GX10,'Quick Setup'!$A$2)</f>
        <v>345</v>
      </c>
      <c r="EI44" s="2">
        <f>Setup!GY10</f>
        <v>4</v>
      </c>
      <c r="EJ44" s="2">
        <f>Setup!GZ10</f>
        <v>2</v>
      </c>
      <c r="EK44" s="2">
        <f>Setup!HA10</f>
        <v>5</v>
      </c>
      <c r="EL44" s="8"/>
      <c r="EM44" s="8"/>
      <c r="EN44" s="8"/>
      <c r="EO44" s="8"/>
      <c r="EP44" s="40">
        <f>mround(EP43*Setup!HJ10,'Quick Setup'!$A$2)</f>
        <v>367.5</v>
      </c>
      <c r="EQ44" s="2">
        <f>Setup!HK10</f>
        <v>3</v>
      </c>
      <c r="ER44" s="2">
        <f>Setup!HL10</f>
        <v>2</v>
      </c>
      <c r="ES44" s="2">
        <f>Setup!HM10</f>
        <v>5</v>
      </c>
      <c r="ET44" s="8"/>
      <c r="EU44" s="8"/>
      <c r="EV44" s="8"/>
      <c r="EW44" s="8"/>
      <c r="EX44" s="40">
        <f>mround(EX43*Setup!HV10,'Quick Setup'!$A$2)</f>
        <v>390</v>
      </c>
      <c r="EY44" s="2">
        <f>Setup!HW10</f>
        <v>2</v>
      </c>
      <c r="EZ44" s="2">
        <f>Setup!HX10</f>
        <v>1</v>
      </c>
      <c r="FA44" s="2">
        <f>Setup!HY10</f>
        <v>5</v>
      </c>
      <c r="FB44" s="8"/>
      <c r="FC44" s="8"/>
      <c r="FD44" s="8"/>
      <c r="FE44" s="8"/>
      <c r="FF44" s="40">
        <f>mround(FF43*Setup!IH10,'Quick Setup'!$A$2)</f>
        <v>230</v>
      </c>
      <c r="FG44" s="1">
        <v>5.0</v>
      </c>
      <c r="FH44" s="1" t="s">
        <v>80</v>
      </c>
      <c r="FI44" s="2">
        <f>Setup!IK10</f>
        <v>5</v>
      </c>
      <c r="FJ44" s="8"/>
      <c r="FK44" s="8"/>
      <c r="FL44" s="8"/>
      <c r="FM44" s="8"/>
    </row>
    <row r="45">
      <c r="A45" s="5"/>
      <c r="B45" s="41"/>
      <c r="C45" s="8"/>
      <c r="D45" s="8"/>
      <c r="E45" s="8"/>
      <c r="F45" s="8"/>
      <c r="G45" s="8"/>
      <c r="H45" s="8"/>
      <c r="I45" s="8"/>
      <c r="J45" s="41" t="str">
        <f t="shared" ref="J45:O45" si="241">B45</f>
        <v/>
      </c>
      <c r="K45" s="8" t="str">
        <f t="shared" si="241"/>
        <v/>
      </c>
      <c r="L45" s="8" t="str">
        <f t="shared" si="241"/>
        <v/>
      </c>
      <c r="M45" s="8" t="str">
        <f t="shared" si="241"/>
        <v/>
      </c>
      <c r="N45" s="8" t="str">
        <f t="shared" si="241"/>
        <v/>
      </c>
      <c r="O45" s="8" t="str">
        <f t="shared" si="241"/>
        <v/>
      </c>
      <c r="P45" s="8"/>
      <c r="Q45" s="8"/>
      <c r="R45" s="41" t="str">
        <f t="shared" ref="R45:W45" si="242">J45</f>
        <v/>
      </c>
      <c r="S45" s="8" t="str">
        <f t="shared" si="242"/>
        <v/>
      </c>
      <c r="T45" s="8" t="str">
        <f t="shared" si="242"/>
        <v/>
      </c>
      <c r="U45" s="8" t="str">
        <f t="shared" si="242"/>
        <v/>
      </c>
      <c r="V45" s="8" t="str">
        <f t="shared" si="242"/>
        <v/>
      </c>
      <c r="W45" s="8" t="str">
        <f t="shared" si="242"/>
        <v/>
      </c>
      <c r="X45" s="8"/>
      <c r="Y45" s="8"/>
      <c r="Z45" s="41" t="str">
        <f t="shared" ref="Z45:AE45" si="243">R45</f>
        <v/>
      </c>
      <c r="AA45" s="8" t="str">
        <f t="shared" si="243"/>
        <v/>
      </c>
      <c r="AB45" s="8" t="str">
        <f t="shared" si="243"/>
        <v/>
      </c>
      <c r="AC45" s="8" t="str">
        <f t="shared" si="243"/>
        <v/>
      </c>
      <c r="AD45" s="8" t="str">
        <f t="shared" si="243"/>
        <v/>
      </c>
      <c r="AE45" s="8" t="str">
        <f t="shared" si="243"/>
        <v/>
      </c>
      <c r="AF45" s="8"/>
      <c r="AG45" s="8"/>
      <c r="AH45" s="41" t="str">
        <f t="shared" ref="AH45:AM45" si="244">Z45</f>
        <v/>
      </c>
      <c r="AI45" s="8" t="str">
        <f t="shared" si="244"/>
        <v/>
      </c>
      <c r="AJ45" s="8" t="str">
        <f t="shared" si="244"/>
        <v/>
      </c>
      <c r="AK45" s="8" t="str">
        <f t="shared" si="244"/>
        <v/>
      </c>
      <c r="AL45" s="8" t="str">
        <f t="shared" si="244"/>
        <v/>
      </c>
      <c r="AM45" s="8" t="str">
        <f t="shared" si="244"/>
        <v/>
      </c>
      <c r="AN45" s="8"/>
      <c r="AO45" s="8"/>
      <c r="AP45" s="41" t="str">
        <f t="shared" ref="AP45:AU45" si="245">AH45</f>
        <v/>
      </c>
      <c r="AQ45" s="8" t="str">
        <f t="shared" si="245"/>
        <v/>
      </c>
      <c r="AR45" s="8" t="str">
        <f t="shared" si="245"/>
        <v/>
      </c>
      <c r="AS45" s="8" t="str">
        <f t="shared" si="245"/>
        <v/>
      </c>
      <c r="AT45" s="8" t="str">
        <f t="shared" si="245"/>
        <v/>
      </c>
      <c r="AU45" s="8" t="str">
        <f t="shared" si="245"/>
        <v/>
      </c>
      <c r="AV45" s="8"/>
      <c r="AW45" s="8"/>
      <c r="AX45" s="41" t="str">
        <f t="shared" ref="AX45:BC45" si="246">AP45</f>
        <v/>
      </c>
      <c r="AY45" s="8" t="str">
        <f t="shared" si="246"/>
        <v/>
      </c>
      <c r="AZ45" s="8" t="str">
        <f t="shared" si="246"/>
        <v/>
      </c>
      <c r="BA45" s="8" t="str">
        <f t="shared" si="246"/>
        <v/>
      </c>
      <c r="BB45" s="8" t="str">
        <f t="shared" si="246"/>
        <v/>
      </c>
      <c r="BC45" s="8" t="str">
        <f t="shared" si="246"/>
        <v/>
      </c>
      <c r="BD45" s="8"/>
      <c r="BE45" s="8"/>
      <c r="BF45" s="41" t="str">
        <f t="shared" ref="BF45:BK45" si="247">AX45</f>
        <v/>
      </c>
      <c r="BG45" s="8" t="str">
        <f t="shared" si="247"/>
        <v/>
      </c>
      <c r="BH45" s="8" t="str">
        <f t="shared" si="247"/>
        <v/>
      </c>
      <c r="BI45" s="8" t="str">
        <f t="shared" si="247"/>
        <v/>
      </c>
      <c r="BJ45" s="8" t="str">
        <f t="shared" si="247"/>
        <v/>
      </c>
      <c r="BK45" s="8" t="str">
        <f t="shared" si="247"/>
        <v/>
      </c>
      <c r="BL45" s="8"/>
      <c r="BM45" s="8"/>
      <c r="BN45" s="41" t="str">
        <f t="shared" ref="BN45:BS45" si="248">BF45</f>
        <v/>
      </c>
      <c r="BO45" s="8" t="str">
        <f t="shared" si="248"/>
        <v/>
      </c>
      <c r="BP45" s="8" t="str">
        <f t="shared" si="248"/>
        <v/>
      </c>
      <c r="BQ45" s="8" t="str">
        <f t="shared" si="248"/>
        <v/>
      </c>
      <c r="BR45" s="8" t="str">
        <f t="shared" si="248"/>
        <v/>
      </c>
      <c r="BS45" s="8" t="str">
        <f t="shared" si="248"/>
        <v/>
      </c>
      <c r="BT45" s="8"/>
      <c r="BU45" s="8"/>
      <c r="BV45" s="41" t="str">
        <f t="shared" ref="BV45:CA45" si="249">BN45</f>
        <v/>
      </c>
      <c r="BW45" s="8" t="str">
        <f t="shared" si="249"/>
        <v/>
      </c>
      <c r="BX45" s="8" t="str">
        <f t="shared" si="249"/>
        <v/>
      </c>
      <c r="BY45" s="8" t="str">
        <f t="shared" si="249"/>
        <v/>
      </c>
      <c r="BZ45" s="8" t="str">
        <f t="shared" si="249"/>
        <v/>
      </c>
      <c r="CA45" s="8" t="str">
        <f t="shared" si="249"/>
        <v/>
      </c>
      <c r="CB45" s="8"/>
      <c r="CC45" s="8"/>
      <c r="CD45" s="41" t="str">
        <f t="shared" ref="CD45:CI45" si="250">BV45</f>
        <v/>
      </c>
      <c r="CE45" s="8" t="str">
        <f t="shared" si="250"/>
        <v/>
      </c>
      <c r="CF45" s="8" t="str">
        <f t="shared" si="250"/>
        <v/>
      </c>
      <c r="CG45" s="8" t="str">
        <f t="shared" si="250"/>
        <v/>
      </c>
      <c r="CH45" s="8" t="str">
        <f t="shared" si="250"/>
        <v/>
      </c>
      <c r="CI45" s="8" t="str">
        <f t="shared" si="250"/>
        <v/>
      </c>
      <c r="CJ45" s="8"/>
      <c r="CK45" s="8"/>
      <c r="CL45" s="41" t="str">
        <f t="shared" ref="CL45:CQ45" si="251">CD45</f>
        <v/>
      </c>
      <c r="CM45" s="8" t="str">
        <f t="shared" si="251"/>
        <v/>
      </c>
      <c r="CN45" s="8" t="str">
        <f t="shared" si="251"/>
        <v/>
      </c>
      <c r="CO45" s="8" t="str">
        <f t="shared" si="251"/>
        <v/>
      </c>
      <c r="CP45" s="8" t="str">
        <f t="shared" si="251"/>
        <v/>
      </c>
      <c r="CQ45" s="8" t="str">
        <f t="shared" si="251"/>
        <v/>
      </c>
      <c r="CR45" s="8"/>
      <c r="CS45" s="8"/>
      <c r="CT45" s="41" t="str">
        <f t="shared" ref="CT45:CY45" si="252">CL45</f>
        <v/>
      </c>
      <c r="CU45" s="8" t="str">
        <f t="shared" si="252"/>
        <v/>
      </c>
      <c r="CV45" s="8" t="str">
        <f t="shared" si="252"/>
        <v/>
      </c>
      <c r="CW45" s="8" t="str">
        <f t="shared" si="252"/>
        <v/>
      </c>
      <c r="CX45" s="8" t="str">
        <f t="shared" si="252"/>
        <v/>
      </c>
      <c r="CY45" s="8" t="str">
        <f t="shared" si="252"/>
        <v/>
      </c>
      <c r="CZ45" s="8"/>
      <c r="DA45" s="8"/>
      <c r="DB45" s="41" t="str">
        <f t="shared" ref="DB45:DG45" si="253">CT45</f>
        <v/>
      </c>
      <c r="DC45" s="8" t="str">
        <f t="shared" si="253"/>
        <v/>
      </c>
      <c r="DD45" s="8" t="str">
        <f t="shared" si="253"/>
        <v/>
      </c>
      <c r="DE45" s="8" t="str">
        <f t="shared" si="253"/>
        <v/>
      </c>
      <c r="DF45" s="8" t="str">
        <f t="shared" si="253"/>
        <v/>
      </c>
      <c r="DG45" s="8" t="str">
        <f t="shared" si="253"/>
        <v/>
      </c>
      <c r="DH45" s="8"/>
      <c r="DI45" s="8"/>
      <c r="DJ45" s="41" t="str">
        <f t="shared" ref="DJ45:DO45" si="254">DB45</f>
        <v/>
      </c>
      <c r="DK45" s="8" t="str">
        <f t="shared" si="254"/>
        <v/>
      </c>
      <c r="DL45" s="8" t="str">
        <f t="shared" si="254"/>
        <v/>
      </c>
      <c r="DM45" s="8" t="str">
        <f t="shared" si="254"/>
        <v/>
      </c>
      <c r="DN45" s="8" t="str">
        <f t="shared" si="254"/>
        <v/>
      </c>
      <c r="DO45" s="8" t="str">
        <f t="shared" si="254"/>
        <v/>
      </c>
      <c r="DP45" s="8"/>
      <c r="DQ45" s="8"/>
      <c r="DR45" s="41" t="str">
        <f t="shared" ref="DR45:DW45" si="255">DJ45</f>
        <v/>
      </c>
      <c r="DS45" s="8" t="str">
        <f t="shared" si="255"/>
        <v/>
      </c>
      <c r="DT45" s="8" t="str">
        <f t="shared" si="255"/>
        <v/>
      </c>
      <c r="DU45" s="8" t="str">
        <f t="shared" si="255"/>
        <v/>
      </c>
      <c r="DV45" s="8" t="str">
        <f t="shared" si="255"/>
        <v/>
      </c>
      <c r="DW45" s="8" t="str">
        <f t="shared" si="255"/>
        <v/>
      </c>
      <c r="DX45" s="8"/>
      <c r="DY45" s="8"/>
      <c r="DZ45" s="41" t="str">
        <f t="shared" ref="DZ45:EE45" si="256">DR45</f>
        <v/>
      </c>
      <c r="EA45" s="8" t="str">
        <f t="shared" si="256"/>
        <v/>
      </c>
      <c r="EB45" s="8" t="str">
        <f t="shared" si="256"/>
        <v/>
      </c>
      <c r="EC45" s="8" t="str">
        <f t="shared" si="256"/>
        <v/>
      </c>
      <c r="ED45" s="8" t="str">
        <f t="shared" si="256"/>
        <v/>
      </c>
      <c r="EE45" s="8" t="str">
        <f t="shared" si="256"/>
        <v/>
      </c>
      <c r="EF45" s="8"/>
      <c r="EG45" s="8"/>
      <c r="EH45" s="41" t="str">
        <f t="shared" ref="EH45:EM45" si="257">DZ45</f>
        <v/>
      </c>
      <c r="EI45" s="8" t="str">
        <f t="shared" si="257"/>
        <v/>
      </c>
      <c r="EJ45" s="8" t="str">
        <f t="shared" si="257"/>
        <v/>
      </c>
      <c r="EK45" s="8" t="str">
        <f t="shared" si="257"/>
        <v/>
      </c>
      <c r="EL45" s="8" t="str">
        <f t="shared" si="257"/>
        <v/>
      </c>
      <c r="EM45" s="8" t="str">
        <f t="shared" si="257"/>
        <v/>
      </c>
      <c r="EN45" s="8"/>
      <c r="EO45" s="8"/>
      <c r="EP45" s="41" t="str">
        <f t="shared" ref="EP45:EU45" si="258">EH45</f>
        <v/>
      </c>
      <c r="EQ45" s="8" t="str">
        <f t="shared" si="258"/>
        <v/>
      </c>
      <c r="ER45" s="8" t="str">
        <f t="shared" si="258"/>
        <v/>
      </c>
      <c r="ES45" s="8" t="str">
        <f t="shared" si="258"/>
        <v/>
      </c>
      <c r="ET45" s="8" t="str">
        <f t="shared" si="258"/>
        <v/>
      </c>
      <c r="EU45" s="8" t="str">
        <f t="shared" si="258"/>
        <v/>
      </c>
      <c r="EV45" s="8"/>
      <c r="EW45" s="8"/>
      <c r="EX45" s="41" t="str">
        <f t="shared" ref="EX45:FC45" si="259">EP45</f>
        <v/>
      </c>
      <c r="EY45" s="8" t="str">
        <f t="shared" si="259"/>
        <v/>
      </c>
      <c r="EZ45" s="8" t="str">
        <f t="shared" si="259"/>
        <v/>
      </c>
      <c r="FA45" s="8" t="str">
        <f t="shared" si="259"/>
        <v/>
      </c>
      <c r="FB45" s="8" t="str">
        <f t="shared" si="259"/>
        <v/>
      </c>
      <c r="FC45" s="8" t="str">
        <f t="shared" si="259"/>
        <v/>
      </c>
      <c r="FD45" s="8"/>
      <c r="FE45" s="8"/>
      <c r="FF45" s="41" t="str">
        <f t="shared" ref="FF45:FK45" si="260">EX45</f>
        <v/>
      </c>
      <c r="FG45" s="8" t="str">
        <f t="shared" si="260"/>
        <v/>
      </c>
      <c r="FH45" s="8" t="str">
        <f t="shared" si="260"/>
        <v/>
      </c>
      <c r="FI45" s="8" t="str">
        <f t="shared" si="260"/>
        <v/>
      </c>
      <c r="FJ45" s="8" t="str">
        <f t="shared" si="260"/>
        <v/>
      </c>
      <c r="FK45" s="8" t="str">
        <f t="shared" si="260"/>
        <v/>
      </c>
      <c r="FL45" s="8"/>
      <c r="FM45" s="8"/>
    </row>
    <row r="46">
      <c r="A46" s="1" t="s">
        <v>81</v>
      </c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42"/>
      <c r="B47" s="41"/>
      <c r="C47" s="8"/>
      <c r="D47" s="8"/>
      <c r="E47" s="8"/>
      <c r="F47" s="8"/>
      <c r="G47" s="8"/>
      <c r="H47" s="8"/>
      <c r="I47" s="8"/>
      <c r="J47" s="41" t="str">
        <f t="shared" ref="J47:O47" si="261">B47</f>
        <v/>
      </c>
      <c r="K47" s="8" t="str">
        <f t="shared" si="261"/>
        <v/>
      </c>
      <c r="L47" s="8" t="str">
        <f t="shared" si="261"/>
        <v/>
      </c>
      <c r="M47" s="8" t="str">
        <f t="shared" si="261"/>
        <v/>
      </c>
      <c r="N47" s="8" t="str">
        <f t="shared" si="261"/>
        <v/>
      </c>
      <c r="O47" s="8" t="str">
        <f t="shared" si="261"/>
        <v/>
      </c>
      <c r="P47" s="8"/>
      <c r="Q47" s="8"/>
      <c r="R47" s="41" t="str">
        <f t="shared" ref="R47:W47" si="262">J47</f>
        <v/>
      </c>
      <c r="S47" s="8" t="str">
        <f t="shared" si="262"/>
        <v/>
      </c>
      <c r="T47" s="8" t="str">
        <f t="shared" si="262"/>
        <v/>
      </c>
      <c r="U47" s="8" t="str">
        <f t="shared" si="262"/>
        <v/>
      </c>
      <c r="V47" s="8" t="str">
        <f t="shared" si="262"/>
        <v/>
      </c>
      <c r="W47" s="8" t="str">
        <f t="shared" si="262"/>
        <v/>
      </c>
      <c r="X47" s="8"/>
      <c r="Y47" s="8"/>
      <c r="Z47" s="41" t="str">
        <f t="shared" ref="Z47:AE47" si="263">R47</f>
        <v/>
      </c>
      <c r="AA47" s="8" t="str">
        <f t="shared" si="263"/>
        <v/>
      </c>
      <c r="AB47" s="8" t="str">
        <f t="shared" si="263"/>
        <v/>
      </c>
      <c r="AC47" s="8" t="str">
        <f t="shared" si="263"/>
        <v/>
      </c>
      <c r="AD47" s="8" t="str">
        <f t="shared" si="263"/>
        <v/>
      </c>
      <c r="AE47" s="8" t="str">
        <f t="shared" si="263"/>
        <v/>
      </c>
      <c r="AF47" s="8"/>
      <c r="AG47" s="8"/>
      <c r="AH47" s="41" t="str">
        <f t="shared" ref="AH47:AM47" si="264">Z47</f>
        <v/>
      </c>
      <c r="AI47" s="8" t="str">
        <f t="shared" si="264"/>
        <v/>
      </c>
      <c r="AJ47" s="8" t="str">
        <f t="shared" si="264"/>
        <v/>
      </c>
      <c r="AK47" s="8" t="str">
        <f t="shared" si="264"/>
        <v/>
      </c>
      <c r="AL47" s="8" t="str">
        <f t="shared" si="264"/>
        <v/>
      </c>
      <c r="AM47" s="8" t="str">
        <f t="shared" si="264"/>
        <v/>
      </c>
      <c r="AN47" s="8"/>
      <c r="AO47" s="8"/>
      <c r="AP47" s="41" t="str">
        <f t="shared" ref="AP47:AU47" si="265">AH47</f>
        <v/>
      </c>
      <c r="AQ47" s="8" t="str">
        <f t="shared" si="265"/>
        <v/>
      </c>
      <c r="AR47" s="8" t="str">
        <f t="shared" si="265"/>
        <v/>
      </c>
      <c r="AS47" s="8" t="str">
        <f t="shared" si="265"/>
        <v/>
      </c>
      <c r="AT47" s="8" t="str">
        <f t="shared" si="265"/>
        <v/>
      </c>
      <c r="AU47" s="8" t="str">
        <f t="shared" si="265"/>
        <v/>
      </c>
      <c r="AV47" s="8"/>
      <c r="AW47" s="8"/>
      <c r="AX47" s="41" t="str">
        <f t="shared" ref="AX47:BC47" si="266">AP47</f>
        <v/>
      </c>
      <c r="AY47" s="8" t="str">
        <f t="shared" si="266"/>
        <v/>
      </c>
      <c r="AZ47" s="8" t="str">
        <f t="shared" si="266"/>
        <v/>
      </c>
      <c r="BA47" s="8" t="str">
        <f t="shared" si="266"/>
        <v/>
      </c>
      <c r="BB47" s="8" t="str">
        <f t="shared" si="266"/>
        <v/>
      </c>
      <c r="BC47" s="8" t="str">
        <f t="shared" si="266"/>
        <v/>
      </c>
      <c r="BD47" s="8"/>
      <c r="BE47" s="8"/>
      <c r="BF47" s="41" t="str">
        <f t="shared" ref="BF47:BK47" si="267">AX47</f>
        <v/>
      </c>
      <c r="BG47" s="8" t="str">
        <f t="shared" si="267"/>
        <v/>
      </c>
      <c r="BH47" s="8" t="str">
        <f t="shared" si="267"/>
        <v/>
      </c>
      <c r="BI47" s="8" t="str">
        <f t="shared" si="267"/>
        <v/>
      </c>
      <c r="BJ47" s="8" t="str">
        <f t="shared" si="267"/>
        <v/>
      </c>
      <c r="BK47" s="8" t="str">
        <f t="shared" si="267"/>
        <v/>
      </c>
      <c r="BL47" s="8"/>
      <c r="BM47" s="8"/>
      <c r="BN47" s="41" t="str">
        <f t="shared" ref="BN47:BS47" si="268">BF47</f>
        <v/>
      </c>
      <c r="BO47" s="8" t="str">
        <f t="shared" si="268"/>
        <v/>
      </c>
      <c r="BP47" s="8" t="str">
        <f t="shared" si="268"/>
        <v/>
      </c>
      <c r="BQ47" s="8" t="str">
        <f t="shared" si="268"/>
        <v/>
      </c>
      <c r="BR47" s="8" t="str">
        <f t="shared" si="268"/>
        <v/>
      </c>
      <c r="BS47" s="8" t="str">
        <f t="shared" si="268"/>
        <v/>
      </c>
      <c r="BT47" s="8"/>
      <c r="BU47" s="8"/>
      <c r="BV47" s="41" t="str">
        <f t="shared" ref="BV47:CA47" si="269">BN47</f>
        <v/>
      </c>
      <c r="BW47" s="8" t="str">
        <f t="shared" si="269"/>
        <v/>
      </c>
      <c r="BX47" s="8" t="str">
        <f t="shared" si="269"/>
        <v/>
      </c>
      <c r="BY47" s="8" t="str">
        <f t="shared" si="269"/>
        <v/>
      </c>
      <c r="BZ47" s="8" t="str">
        <f t="shared" si="269"/>
        <v/>
      </c>
      <c r="CA47" s="8" t="str">
        <f t="shared" si="269"/>
        <v/>
      </c>
      <c r="CB47" s="8"/>
      <c r="CC47" s="8"/>
      <c r="CD47" s="41" t="str">
        <f t="shared" ref="CD47:CI47" si="270">BV47</f>
        <v/>
      </c>
      <c r="CE47" s="8" t="str">
        <f t="shared" si="270"/>
        <v/>
      </c>
      <c r="CF47" s="8" t="str">
        <f t="shared" si="270"/>
        <v/>
      </c>
      <c r="CG47" s="8" t="str">
        <f t="shared" si="270"/>
        <v/>
      </c>
      <c r="CH47" s="8" t="str">
        <f t="shared" si="270"/>
        <v/>
      </c>
      <c r="CI47" s="8" t="str">
        <f t="shared" si="270"/>
        <v/>
      </c>
      <c r="CJ47" s="8"/>
      <c r="CK47" s="8"/>
      <c r="CL47" s="41" t="str">
        <f t="shared" ref="CL47:CQ47" si="271">CD47</f>
        <v/>
      </c>
      <c r="CM47" s="8" t="str">
        <f t="shared" si="271"/>
        <v/>
      </c>
      <c r="CN47" s="8" t="str">
        <f t="shared" si="271"/>
        <v/>
      </c>
      <c r="CO47" s="8" t="str">
        <f t="shared" si="271"/>
        <v/>
      </c>
      <c r="CP47" s="8" t="str">
        <f t="shared" si="271"/>
        <v/>
      </c>
      <c r="CQ47" s="8" t="str">
        <f t="shared" si="271"/>
        <v/>
      </c>
      <c r="CR47" s="8"/>
      <c r="CS47" s="8"/>
      <c r="CT47" s="41" t="str">
        <f t="shared" ref="CT47:CY47" si="272">CL47</f>
        <v/>
      </c>
      <c r="CU47" s="8" t="str">
        <f t="shared" si="272"/>
        <v/>
      </c>
      <c r="CV47" s="8" t="str">
        <f t="shared" si="272"/>
        <v/>
      </c>
      <c r="CW47" s="8" t="str">
        <f t="shared" si="272"/>
        <v/>
      </c>
      <c r="CX47" s="8" t="str">
        <f t="shared" si="272"/>
        <v/>
      </c>
      <c r="CY47" s="8" t="str">
        <f t="shared" si="272"/>
        <v/>
      </c>
      <c r="CZ47" s="8"/>
      <c r="DA47" s="8"/>
      <c r="DB47" s="41" t="str">
        <f t="shared" ref="DB47:DG47" si="273">CT47</f>
        <v/>
      </c>
      <c r="DC47" s="8" t="str">
        <f t="shared" si="273"/>
        <v/>
      </c>
      <c r="DD47" s="8" t="str">
        <f t="shared" si="273"/>
        <v/>
      </c>
      <c r="DE47" s="8" t="str">
        <f t="shared" si="273"/>
        <v/>
      </c>
      <c r="DF47" s="8" t="str">
        <f t="shared" si="273"/>
        <v/>
      </c>
      <c r="DG47" s="8" t="str">
        <f t="shared" si="273"/>
        <v/>
      </c>
      <c r="DH47" s="8"/>
      <c r="DI47" s="8"/>
      <c r="DJ47" s="41" t="str">
        <f t="shared" ref="DJ47:DO47" si="274">DB47</f>
        <v/>
      </c>
      <c r="DK47" s="8" t="str">
        <f t="shared" si="274"/>
        <v/>
      </c>
      <c r="DL47" s="8" t="str">
        <f t="shared" si="274"/>
        <v/>
      </c>
      <c r="DM47" s="8" t="str">
        <f t="shared" si="274"/>
        <v/>
      </c>
      <c r="DN47" s="8" t="str">
        <f t="shared" si="274"/>
        <v/>
      </c>
      <c r="DO47" s="8" t="str">
        <f t="shared" si="274"/>
        <v/>
      </c>
      <c r="DP47" s="8"/>
      <c r="DQ47" s="8"/>
      <c r="DR47" s="41" t="str">
        <f t="shared" ref="DR47:DW47" si="275">DJ47</f>
        <v/>
      </c>
      <c r="DS47" s="8" t="str">
        <f t="shared" si="275"/>
        <v/>
      </c>
      <c r="DT47" s="8" t="str">
        <f t="shared" si="275"/>
        <v/>
      </c>
      <c r="DU47" s="8" t="str">
        <f t="shared" si="275"/>
        <v/>
      </c>
      <c r="DV47" s="8" t="str">
        <f t="shared" si="275"/>
        <v/>
      </c>
      <c r="DW47" s="8" t="str">
        <f t="shared" si="275"/>
        <v/>
      </c>
      <c r="DX47" s="8"/>
      <c r="DY47" s="8"/>
      <c r="DZ47" s="41" t="str">
        <f t="shared" ref="DZ47:EE47" si="276">DR47</f>
        <v/>
      </c>
      <c r="EA47" s="8" t="str">
        <f t="shared" si="276"/>
        <v/>
      </c>
      <c r="EB47" s="8" t="str">
        <f t="shared" si="276"/>
        <v/>
      </c>
      <c r="EC47" s="8" t="str">
        <f t="shared" si="276"/>
        <v/>
      </c>
      <c r="ED47" s="8" t="str">
        <f t="shared" si="276"/>
        <v/>
      </c>
      <c r="EE47" s="8" t="str">
        <f t="shared" si="276"/>
        <v/>
      </c>
      <c r="EF47" s="8"/>
      <c r="EG47" s="8"/>
      <c r="EH47" s="41" t="str">
        <f t="shared" ref="EH47:EM47" si="277">DZ47</f>
        <v/>
      </c>
      <c r="EI47" s="8" t="str">
        <f t="shared" si="277"/>
        <v/>
      </c>
      <c r="EJ47" s="8" t="str">
        <f t="shared" si="277"/>
        <v/>
      </c>
      <c r="EK47" s="8" t="str">
        <f t="shared" si="277"/>
        <v/>
      </c>
      <c r="EL47" s="8" t="str">
        <f t="shared" si="277"/>
        <v/>
      </c>
      <c r="EM47" s="8" t="str">
        <f t="shared" si="277"/>
        <v/>
      </c>
      <c r="EN47" s="8"/>
      <c r="EO47" s="8"/>
      <c r="EP47" s="41" t="str">
        <f t="shared" ref="EP47:EU47" si="278">EH47</f>
        <v/>
      </c>
      <c r="EQ47" s="8" t="str">
        <f t="shared" si="278"/>
        <v/>
      </c>
      <c r="ER47" s="8" t="str">
        <f t="shared" si="278"/>
        <v/>
      </c>
      <c r="ES47" s="8" t="str">
        <f t="shared" si="278"/>
        <v/>
      </c>
      <c r="ET47" s="8" t="str">
        <f t="shared" si="278"/>
        <v/>
      </c>
      <c r="EU47" s="8" t="str">
        <f t="shared" si="278"/>
        <v/>
      </c>
      <c r="EV47" s="8"/>
      <c r="EW47" s="8"/>
      <c r="EX47" s="41" t="str">
        <f t="shared" ref="EX47:FC47" si="279">EP47</f>
        <v/>
      </c>
      <c r="EY47" s="8" t="str">
        <f t="shared" si="279"/>
        <v/>
      </c>
      <c r="EZ47" s="8" t="str">
        <f t="shared" si="279"/>
        <v/>
      </c>
      <c r="FA47" s="8" t="str">
        <f t="shared" si="279"/>
        <v/>
      </c>
      <c r="FB47" s="8" t="str">
        <f t="shared" si="279"/>
        <v/>
      </c>
      <c r="FC47" s="8" t="str">
        <f t="shared" si="279"/>
        <v/>
      </c>
      <c r="FD47" s="8"/>
      <c r="FE47" s="8"/>
      <c r="FF47" s="41" t="str">
        <f t="shared" ref="FF47:FK47" si="280">EX47</f>
        <v/>
      </c>
      <c r="FG47" s="8" t="str">
        <f t="shared" si="280"/>
        <v/>
      </c>
      <c r="FH47" s="8" t="str">
        <f t="shared" si="280"/>
        <v/>
      </c>
      <c r="FI47" s="8" t="str">
        <f t="shared" si="280"/>
        <v/>
      </c>
      <c r="FJ47" s="8" t="str">
        <f t="shared" si="280"/>
        <v/>
      </c>
      <c r="FK47" s="8" t="str">
        <f t="shared" si="280"/>
        <v/>
      </c>
      <c r="FL47" s="8"/>
      <c r="FM47" s="8"/>
    </row>
    <row r="48">
      <c r="A48" s="42"/>
      <c r="B48" s="41"/>
      <c r="C48" s="8"/>
      <c r="D48" s="8"/>
      <c r="E48" s="8"/>
      <c r="F48" s="8"/>
      <c r="G48" s="8"/>
      <c r="H48" s="8"/>
      <c r="I48" s="8"/>
      <c r="J48" s="41" t="str">
        <f t="shared" ref="J48:O48" si="281">B48</f>
        <v/>
      </c>
      <c r="K48" s="8" t="str">
        <f t="shared" si="281"/>
        <v/>
      </c>
      <c r="L48" s="8" t="str">
        <f t="shared" si="281"/>
        <v/>
      </c>
      <c r="M48" s="8" t="str">
        <f t="shared" si="281"/>
        <v/>
      </c>
      <c r="N48" s="8" t="str">
        <f t="shared" si="281"/>
        <v/>
      </c>
      <c r="O48" s="8" t="str">
        <f t="shared" si="281"/>
        <v/>
      </c>
      <c r="P48" s="8"/>
      <c r="Q48" s="8"/>
      <c r="R48" s="41" t="str">
        <f t="shared" ref="R48:W48" si="282">J48</f>
        <v/>
      </c>
      <c r="S48" s="8" t="str">
        <f t="shared" si="282"/>
        <v/>
      </c>
      <c r="T48" s="8" t="str">
        <f t="shared" si="282"/>
        <v/>
      </c>
      <c r="U48" s="8" t="str">
        <f t="shared" si="282"/>
        <v/>
      </c>
      <c r="V48" s="8" t="str">
        <f t="shared" si="282"/>
        <v/>
      </c>
      <c r="W48" s="8" t="str">
        <f t="shared" si="282"/>
        <v/>
      </c>
      <c r="X48" s="8"/>
      <c r="Y48" s="8"/>
      <c r="Z48" s="41" t="str">
        <f t="shared" ref="Z48:AE48" si="283">R48</f>
        <v/>
      </c>
      <c r="AA48" s="8" t="str">
        <f t="shared" si="283"/>
        <v/>
      </c>
      <c r="AB48" s="8" t="str">
        <f t="shared" si="283"/>
        <v/>
      </c>
      <c r="AC48" s="8" t="str">
        <f t="shared" si="283"/>
        <v/>
      </c>
      <c r="AD48" s="8" t="str">
        <f t="shared" si="283"/>
        <v/>
      </c>
      <c r="AE48" s="8" t="str">
        <f t="shared" si="283"/>
        <v/>
      </c>
      <c r="AF48" s="8"/>
      <c r="AG48" s="8"/>
      <c r="AH48" s="41" t="str">
        <f t="shared" ref="AH48:AM48" si="284">Z48</f>
        <v/>
      </c>
      <c r="AI48" s="8" t="str">
        <f t="shared" si="284"/>
        <v/>
      </c>
      <c r="AJ48" s="8" t="str">
        <f t="shared" si="284"/>
        <v/>
      </c>
      <c r="AK48" s="8" t="str">
        <f t="shared" si="284"/>
        <v/>
      </c>
      <c r="AL48" s="8" t="str">
        <f t="shared" si="284"/>
        <v/>
      </c>
      <c r="AM48" s="8" t="str">
        <f t="shared" si="284"/>
        <v/>
      </c>
      <c r="AN48" s="8"/>
      <c r="AO48" s="8"/>
      <c r="AP48" s="41" t="str">
        <f t="shared" ref="AP48:AU48" si="285">AH48</f>
        <v/>
      </c>
      <c r="AQ48" s="8" t="str">
        <f t="shared" si="285"/>
        <v/>
      </c>
      <c r="AR48" s="8" t="str">
        <f t="shared" si="285"/>
        <v/>
      </c>
      <c r="AS48" s="8" t="str">
        <f t="shared" si="285"/>
        <v/>
      </c>
      <c r="AT48" s="8" t="str">
        <f t="shared" si="285"/>
        <v/>
      </c>
      <c r="AU48" s="8" t="str">
        <f t="shared" si="285"/>
        <v/>
      </c>
      <c r="AV48" s="8"/>
      <c r="AW48" s="8"/>
      <c r="AX48" s="41" t="str">
        <f t="shared" ref="AX48:BC48" si="286">AP48</f>
        <v/>
      </c>
      <c r="AY48" s="8" t="str">
        <f t="shared" si="286"/>
        <v/>
      </c>
      <c r="AZ48" s="8" t="str">
        <f t="shared" si="286"/>
        <v/>
      </c>
      <c r="BA48" s="8" t="str">
        <f t="shared" si="286"/>
        <v/>
      </c>
      <c r="BB48" s="8" t="str">
        <f t="shared" si="286"/>
        <v/>
      </c>
      <c r="BC48" s="8" t="str">
        <f t="shared" si="286"/>
        <v/>
      </c>
      <c r="BD48" s="8"/>
      <c r="BE48" s="8"/>
      <c r="BF48" s="41" t="str">
        <f t="shared" ref="BF48:BK48" si="287">AX48</f>
        <v/>
      </c>
      <c r="BG48" s="8" t="str">
        <f t="shared" si="287"/>
        <v/>
      </c>
      <c r="BH48" s="8" t="str">
        <f t="shared" si="287"/>
        <v/>
      </c>
      <c r="BI48" s="8" t="str">
        <f t="shared" si="287"/>
        <v/>
      </c>
      <c r="BJ48" s="8" t="str">
        <f t="shared" si="287"/>
        <v/>
      </c>
      <c r="BK48" s="8" t="str">
        <f t="shared" si="287"/>
        <v/>
      </c>
      <c r="BL48" s="8"/>
      <c r="BM48" s="8"/>
      <c r="BN48" s="41" t="str">
        <f t="shared" ref="BN48:BS48" si="288">BF48</f>
        <v/>
      </c>
      <c r="BO48" s="8" t="str">
        <f t="shared" si="288"/>
        <v/>
      </c>
      <c r="BP48" s="8" t="str">
        <f t="shared" si="288"/>
        <v/>
      </c>
      <c r="BQ48" s="8" t="str">
        <f t="shared" si="288"/>
        <v/>
      </c>
      <c r="BR48" s="8" t="str">
        <f t="shared" si="288"/>
        <v/>
      </c>
      <c r="BS48" s="8" t="str">
        <f t="shared" si="288"/>
        <v/>
      </c>
      <c r="BT48" s="8"/>
      <c r="BU48" s="8"/>
      <c r="BV48" s="41" t="str">
        <f t="shared" ref="BV48:CA48" si="289">BN48</f>
        <v/>
      </c>
      <c r="BW48" s="8" t="str">
        <f t="shared" si="289"/>
        <v/>
      </c>
      <c r="BX48" s="8" t="str">
        <f t="shared" si="289"/>
        <v/>
      </c>
      <c r="BY48" s="8" t="str">
        <f t="shared" si="289"/>
        <v/>
      </c>
      <c r="BZ48" s="8" t="str">
        <f t="shared" si="289"/>
        <v/>
      </c>
      <c r="CA48" s="8" t="str">
        <f t="shared" si="289"/>
        <v/>
      </c>
      <c r="CB48" s="8"/>
      <c r="CC48" s="8"/>
      <c r="CD48" s="41" t="str">
        <f t="shared" ref="CD48:CI48" si="290">BV48</f>
        <v/>
      </c>
      <c r="CE48" s="8" t="str">
        <f t="shared" si="290"/>
        <v/>
      </c>
      <c r="CF48" s="8" t="str">
        <f t="shared" si="290"/>
        <v/>
      </c>
      <c r="CG48" s="8" t="str">
        <f t="shared" si="290"/>
        <v/>
      </c>
      <c r="CH48" s="8" t="str">
        <f t="shared" si="290"/>
        <v/>
      </c>
      <c r="CI48" s="8" t="str">
        <f t="shared" si="290"/>
        <v/>
      </c>
      <c r="CJ48" s="8"/>
      <c r="CK48" s="8"/>
      <c r="CL48" s="41" t="str">
        <f t="shared" ref="CL48:CQ48" si="291">CD48</f>
        <v/>
      </c>
      <c r="CM48" s="8" t="str">
        <f t="shared" si="291"/>
        <v/>
      </c>
      <c r="CN48" s="8" t="str">
        <f t="shared" si="291"/>
        <v/>
      </c>
      <c r="CO48" s="8" t="str">
        <f t="shared" si="291"/>
        <v/>
      </c>
      <c r="CP48" s="8" t="str">
        <f t="shared" si="291"/>
        <v/>
      </c>
      <c r="CQ48" s="8" t="str">
        <f t="shared" si="291"/>
        <v/>
      </c>
      <c r="CR48" s="8"/>
      <c r="CS48" s="8"/>
      <c r="CT48" s="41" t="str">
        <f t="shared" ref="CT48:CY48" si="292">CL48</f>
        <v/>
      </c>
      <c r="CU48" s="8" t="str">
        <f t="shared" si="292"/>
        <v/>
      </c>
      <c r="CV48" s="8" t="str">
        <f t="shared" si="292"/>
        <v/>
      </c>
      <c r="CW48" s="8" t="str">
        <f t="shared" si="292"/>
        <v/>
      </c>
      <c r="CX48" s="8" t="str">
        <f t="shared" si="292"/>
        <v/>
      </c>
      <c r="CY48" s="8" t="str">
        <f t="shared" si="292"/>
        <v/>
      </c>
      <c r="CZ48" s="8"/>
      <c r="DA48" s="8"/>
      <c r="DB48" s="41" t="str">
        <f t="shared" ref="DB48:DG48" si="293">CT48</f>
        <v/>
      </c>
      <c r="DC48" s="8" t="str">
        <f t="shared" si="293"/>
        <v/>
      </c>
      <c r="DD48" s="8" t="str">
        <f t="shared" si="293"/>
        <v/>
      </c>
      <c r="DE48" s="8" t="str">
        <f t="shared" si="293"/>
        <v/>
      </c>
      <c r="DF48" s="8" t="str">
        <f t="shared" si="293"/>
        <v/>
      </c>
      <c r="DG48" s="8" t="str">
        <f t="shared" si="293"/>
        <v/>
      </c>
      <c r="DH48" s="8"/>
      <c r="DI48" s="8"/>
      <c r="DJ48" s="41" t="str">
        <f t="shared" ref="DJ48:DO48" si="294">DB48</f>
        <v/>
      </c>
      <c r="DK48" s="8" t="str">
        <f t="shared" si="294"/>
        <v/>
      </c>
      <c r="DL48" s="8" t="str">
        <f t="shared" si="294"/>
        <v/>
      </c>
      <c r="DM48" s="8" t="str">
        <f t="shared" si="294"/>
        <v/>
      </c>
      <c r="DN48" s="8" t="str">
        <f t="shared" si="294"/>
        <v/>
      </c>
      <c r="DO48" s="8" t="str">
        <f t="shared" si="294"/>
        <v/>
      </c>
      <c r="DP48" s="8"/>
      <c r="DQ48" s="8"/>
      <c r="DR48" s="41" t="str">
        <f t="shared" ref="DR48:DW48" si="295">DJ48</f>
        <v/>
      </c>
      <c r="DS48" s="8" t="str">
        <f t="shared" si="295"/>
        <v/>
      </c>
      <c r="DT48" s="8" t="str">
        <f t="shared" si="295"/>
        <v/>
      </c>
      <c r="DU48" s="8" t="str">
        <f t="shared" si="295"/>
        <v/>
      </c>
      <c r="DV48" s="8" t="str">
        <f t="shared" si="295"/>
        <v/>
      </c>
      <c r="DW48" s="8" t="str">
        <f t="shared" si="295"/>
        <v/>
      </c>
      <c r="DX48" s="8"/>
      <c r="DY48" s="8"/>
      <c r="DZ48" s="41" t="str">
        <f t="shared" ref="DZ48:EE48" si="296">DR48</f>
        <v/>
      </c>
      <c r="EA48" s="8" t="str">
        <f t="shared" si="296"/>
        <v/>
      </c>
      <c r="EB48" s="8" t="str">
        <f t="shared" si="296"/>
        <v/>
      </c>
      <c r="EC48" s="8" t="str">
        <f t="shared" si="296"/>
        <v/>
      </c>
      <c r="ED48" s="8" t="str">
        <f t="shared" si="296"/>
        <v/>
      </c>
      <c r="EE48" s="8" t="str">
        <f t="shared" si="296"/>
        <v/>
      </c>
      <c r="EF48" s="8"/>
      <c r="EG48" s="8"/>
      <c r="EH48" s="41" t="str">
        <f t="shared" ref="EH48:EM48" si="297">DZ48</f>
        <v/>
      </c>
      <c r="EI48" s="8" t="str">
        <f t="shared" si="297"/>
        <v/>
      </c>
      <c r="EJ48" s="8" t="str">
        <f t="shared" si="297"/>
        <v/>
      </c>
      <c r="EK48" s="8" t="str">
        <f t="shared" si="297"/>
        <v/>
      </c>
      <c r="EL48" s="8" t="str">
        <f t="shared" si="297"/>
        <v/>
      </c>
      <c r="EM48" s="8" t="str">
        <f t="shared" si="297"/>
        <v/>
      </c>
      <c r="EN48" s="8"/>
      <c r="EO48" s="8"/>
      <c r="EP48" s="41" t="str">
        <f t="shared" ref="EP48:EU48" si="298">EH48</f>
        <v/>
      </c>
      <c r="EQ48" s="8" t="str">
        <f t="shared" si="298"/>
        <v/>
      </c>
      <c r="ER48" s="8" t="str">
        <f t="shared" si="298"/>
        <v/>
      </c>
      <c r="ES48" s="8" t="str">
        <f t="shared" si="298"/>
        <v/>
      </c>
      <c r="ET48" s="8" t="str">
        <f t="shared" si="298"/>
        <v/>
      </c>
      <c r="EU48" s="8" t="str">
        <f t="shared" si="298"/>
        <v/>
      </c>
      <c r="EV48" s="8"/>
      <c r="EW48" s="8"/>
      <c r="EX48" s="41" t="str">
        <f t="shared" ref="EX48:FC48" si="299">EP48</f>
        <v/>
      </c>
      <c r="EY48" s="8" t="str">
        <f t="shared" si="299"/>
        <v/>
      </c>
      <c r="EZ48" s="8" t="str">
        <f t="shared" si="299"/>
        <v/>
      </c>
      <c r="FA48" s="8" t="str">
        <f t="shared" si="299"/>
        <v/>
      </c>
      <c r="FB48" s="8" t="str">
        <f t="shared" si="299"/>
        <v/>
      </c>
      <c r="FC48" s="8" t="str">
        <f t="shared" si="299"/>
        <v/>
      </c>
      <c r="FD48" s="8"/>
      <c r="FE48" s="8"/>
      <c r="FF48" s="41" t="str">
        <f t="shared" ref="FF48:FK48" si="300">EX48</f>
        <v/>
      </c>
      <c r="FG48" s="8" t="str">
        <f t="shared" si="300"/>
        <v/>
      </c>
      <c r="FH48" s="8" t="str">
        <f t="shared" si="300"/>
        <v/>
      </c>
      <c r="FI48" s="8" t="str">
        <f t="shared" si="300"/>
        <v/>
      </c>
      <c r="FJ48" s="8" t="str">
        <f t="shared" si="300"/>
        <v/>
      </c>
      <c r="FK48" s="8" t="str">
        <f t="shared" si="300"/>
        <v/>
      </c>
      <c r="FL48" s="8"/>
      <c r="FM48" s="8"/>
    </row>
    <row r="49">
      <c r="A49" s="43"/>
      <c r="B49" s="44"/>
      <c r="C49" s="45"/>
      <c r="D49" s="45"/>
      <c r="E49" s="45"/>
      <c r="F49" s="45"/>
      <c r="G49" s="45"/>
      <c r="H49" s="45"/>
      <c r="I49" s="45"/>
      <c r="J49" s="44" t="str">
        <f t="shared" ref="J49:O49" si="301">B49</f>
        <v/>
      </c>
      <c r="K49" s="45" t="str">
        <f t="shared" si="301"/>
        <v/>
      </c>
      <c r="L49" s="45" t="str">
        <f t="shared" si="301"/>
        <v/>
      </c>
      <c r="M49" s="45" t="str">
        <f t="shared" si="301"/>
        <v/>
      </c>
      <c r="N49" s="45" t="str">
        <f t="shared" si="301"/>
        <v/>
      </c>
      <c r="O49" s="45" t="str">
        <f t="shared" si="301"/>
        <v/>
      </c>
      <c r="P49" s="45"/>
      <c r="Q49" s="45"/>
      <c r="R49" s="44" t="str">
        <f t="shared" ref="R49:W49" si="302">J49</f>
        <v/>
      </c>
      <c r="S49" s="45" t="str">
        <f t="shared" si="302"/>
        <v/>
      </c>
      <c r="T49" s="45" t="str">
        <f t="shared" si="302"/>
        <v/>
      </c>
      <c r="U49" s="45" t="str">
        <f t="shared" si="302"/>
        <v/>
      </c>
      <c r="V49" s="45" t="str">
        <f t="shared" si="302"/>
        <v/>
      </c>
      <c r="W49" s="45" t="str">
        <f t="shared" si="302"/>
        <v/>
      </c>
      <c r="X49" s="45"/>
      <c r="Y49" s="45"/>
      <c r="Z49" s="44" t="str">
        <f t="shared" ref="Z49:AE49" si="303">R49</f>
        <v/>
      </c>
      <c r="AA49" s="45" t="str">
        <f t="shared" si="303"/>
        <v/>
      </c>
      <c r="AB49" s="45" t="str">
        <f t="shared" si="303"/>
        <v/>
      </c>
      <c r="AC49" s="45" t="str">
        <f t="shared" si="303"/>
        <v/>
      </c>
      <c r="AD49" s="45" t="str">
        <f t="shared" si="303"/>
        <v/>
      </c>
      <c r="AE49" s="45" t="str">
        <f t="shared" si="303"/>
        <v/>
      </c>
      <c r="AF49" s="45"/>
      <c r="AG49" s="45"/>
      <c r="AH49" s="44" t="str">
        <f t="shared" ref="AH49:AM49" si="304">Z49</f>
        <v/>
      </c>
      <c r="AI49" s="45" t="str">
        <f t="shared" si="304"/>
        <v/>
      </c>
      <c r="AJ49" s="45" t="str">
        <f t="shared" si="304"/>
        <v/>
      </c>
      <c r="AK49" s="45" t="str">
        <f t="shared" si="304"/>
        <v/>
      </c>
      <c r="AL49" s="45" t="str">
        <f t="shared" si="304"/>
        <v/>
      </c>
      <c r="AM49" s="45" t="str">
        <f t="shared" si="304"/>
        <v/>
      </c>
      <c r="AN49" s="45"/>
      <c r="AO49" s="45"/>
      <c r="AP49" s="44" t="str">
        <f t="shared" ref="AP49:AU49" si="305">AH49</f>
        <v/>
      </c>
      <c r="AQ49" s="45" t="str">
        <f t="shared" si="305"/>
        <v/>
      </c>
      <c r="AR49" s="45" t="str">
        <f t="shared" si="305"/>
        <v/>
      </c>
      <c r="AS49" s="45" t="str">
        <f t="shared" si="305"/>
        <v/>
      </c>
      <c r="AT49" s="45" t="str">
        <f t="shared" si="305"/>
        <v/>
      </c>
      <c r="AU49" s="45" t="str">
        <f t="shared" si="305"/>
        <v/>
      </c>
      <c r="AV49" s="45"/>
      <c r="AW49" s="45"/>
      <c r="AX49" s="44" t="str">
        <f t="shared" ref="AX49:BC49" si="306">AP49</f>
        <v/>
      </c>
      <c r="AY49" s="45" t="str">
        <f t="shared" si="306"/>
        <v/>
      </c>
      <c r="AZ49" s="45" t="str">
        <f t="shared" si="306"/>
        <v/>
      </c>
      <c r="BA49" s="45" t="str">
        <f t="shared" si="306"/>
        <v/>
      </c>
      <c r="BB49" s="45" t="str">
        <f t="shared" si="306"/>
        <v/>
      </c>
      <c r="BC49" s="45" t="str">
        <f t="shared" si="306"/>
        <v/>
      </c>
      <c r="BD49" s="45"/>
      <c r="BE49" s="45"/>
      <c r="BF49" s="44" t="str">
        <f t="shared" ref="BF49:BK49" si="307">AX49</f>
        <v/>
      </c>
      <c r="BG49" s="45" t="str">
        <f t="shared" si="307"/>
        <v/>
      </c>
      <c r="BH49" s="45" t="str">
        <f t="shared" si="307"/>
        <v/>
      </c>
      <c r="BI49" s="45" t="str">
        <f t="shared" si="307"/>
        <v/>
      </c>
      <c r="BJ49" s="45" t="str">
        <f t="shared" si="307"/>
        <v/>
      </c>
      <c r="BK49" s="45" t="str">
        <f t="shared" si="307"/>
        <v/>
      </c>
      <c r="BL49" s="45"/>
      <c r="BM49" s="45"/>
      <c r="BN49" s="44" t="str">
        <f t="shared" ref="BN49:BS49" si="308">BF49</f>
        <v/>
      </c>
      <c r="BO49" s="45" t="str">
        <f t="shared" si="308"/>
        <v/>
      </c>
      <c r="BP49" s="45" t="str">
        <f t="shared" si="308"/>
        <v/>
      </c>
      <c r="BQ49" s="45" t="str">
        <f t="shared" si="308"/>
        <v/>
      </c>
      <c r="BR49" s="45" t="str">
        <f t="shared" si="308"/>
        <v/>
      </c>
      <c r="BS49" s="45" t="str">
        <f t="shared" si="308"/>
        <v/>
      </c>
      <c r="BT49" s="45"/>
      <c r="BU49" s="45"/>
      <c r="BV49" s="44" t="str">
        <f t="shared" ref="BV49:CA49" si="309">BN49</f>
        <v/>
      </c>
      <c r="BW49" s="45" t="str">
        <f t="shared" si="309"/>
        <v/>
      </c>
      <c r="BX49" s="45" t="str">
        <f t="shared" si="309"/>
        <v/>
      </c>
      <c r="BY49" s="45" t="str">
        <f t="shared" si="309"/>
        <v/>
      </c>
      <c r="BZ49" s="45" t="str">
        <f t="shared" si="309"/>
        <v/>
      </c>
      <c r="CA49" s="45" t="str">
        <f t="shared" si="309"/>
        <v/>
      </c>
      <c r="CB49" s="45"/>
      <c r="CC49" s="45"/>
      <c r="CD49" s="44" t="str">
        <f t="shared" ref="CD49:CI49" si="310">BV49</f>
        <v/>
      </c>
      <c r="CE49" s="45" t="str">
        <f t="shared" si="310"/>
        <v/>
      </c>
      <c r="CF49" s="45" t="str">
        <f t="shared" si="310"/>
        <v/>
      </c>
      <c r="CG49" s="45" t="str">
        <f t="shared" si="310"/>
        <v/>
      </c>
      <c r="CH49" s="45" t="str">
        <f t="shared" si="310"/>
        <v/>
      </c>
      <c r="CI49" s="45" t="str">
        <f t="shared" si="310"/>
        <v/>
      </c>
      <c r="CJ49" s="45"/>
      <c r="CK49" s="45"/>
      <c r="CL49" s="44" t="str">
        <f t="shared" ref="CL49:CQ49" si="311">CD49</f>
        <v/>
      </c>
      <c r="CM49" s="45" t="str">
        <f t="shared" si="311"/>
        <v/>
      </c>
      <c r="CN49" s="45" t="str">
        <f t="shared" si="311"/>
        <v/>
      </c>
      <c r="CO49" s="45" t="str">
        <f t="shared" si="311"/>
        <v/>
      </c>
      <c r="CP49" s="45" t="str">
        <f t="shared" si="311"/>
        <v/>
      </c>
      <c r="CQ49" s="45" t="str">
        <f t="shared" si="311"/>
        <v/>
      </c>
      <c r="CR49" s="45"/>
      <c r="CS49" s="45"/>
      <c r="CT49" s="44" t="str">
        <f t="shared" ref="CT49:CY49" si="312">CL49</f>
        <v/>
      </c>
      <c r="CU49" s="45" t="str">
        <f t="shared" si="312"/>
        <v/>
      </c>
      <c r="CV49" s="45" t="str">
        <f t="shared" si="312"/>
        <v/>
      </c>
      <c r="CW49" s="45" t="str">
        <f t="shared" si="312"/>
        <v/>
      </c>
      <c r="CX49" s="45" t="str">
        <f t="shared" si="312"/>
        <v/>
      </c>
      <c r="CY49" s="45" t="str">
        <f t="shared" si="312"/>
        <v/>
      </c>
      <c r="CZ49" s="45"/>
      <c r="DA49" s="45"/>
      <c r="DB49" s="44" t="str">
        <f t="shared" ref="DB49:DG49" si="313">CT49</f>
        <v/>
      </c>
      <c r="DC49" s="45" t="str">
        <f t="shared" si="313"/>
        <v/>
      </c>
      <c r="DD49" s="45" t="str">
        <f t="shared" si="313"/>
        <v/>
      </c>
      <c r="DE49" s="45" t="str">
        <f t="shared" si="313"/>
        <v/>
      </c>
      <c r="DF49" s="45" t="str">
        <f t="shared" si="313"/>
        <v/>
      </c>
      <c r="DG49" s="45" t="str">
        <f t="shared" si="313"/>
        <v/>
      </c>
      <c r="DH49" s="45"/>
      <c r="DI49" s="45"/>
      <c r="DJ49" s="44" t="str">
        <f t="shared" ref="DJ49:DO49" si="314">DB49</f>
        <v/>
      </c>
      <c r="DK49" s="45" t="str">
        <f t="shared" si="314"/>
        <v/>
      </c>
      <c r="DL49" s="45" t="str">
        <f t="shared" si="314"/>
        <v/>
      </c>
      <c r="DM49" s="45" t="str">
        <f t="shared" si="314"/>
        <v/>
      </c>
      <c r="DN49" s="45" t="str">
        <f t="shared" si="314"/>
        <v/>
      </c>
      <c r="DO49" s="45" t="str">
        <f t="shared" si="314"/>
        <v/>
      </c>
      <c r="DP49" s="45"/>
      <c r="DQ49" s="45"/>
      <c r="DR49" s="44" t="str">
        <f t="shared" ref="DR49:DW49" si="315">DJ49</f>
        <v/>
      </c>
      <c r="DS49" s="45" t="str">
        <f t="shared" si="315"/>
        <v/>
      </c>
      <c r="DT49" s="45" t="str">
        <f t="shared" si="315"/>
        <v/>
      </c>
      <c r="DU49" s="45" t="str">
        <f t="shared" si="315"/>
        <v/>
      </c>
      <c r="DV49" s="45" t="str">
        <f t="shared" si="315"/>
        <v/>
      </c>
      <c r="DW49" s="45" t="str">
        <f t="shared" si="315"/>
        <v/>
      </c>
      <c r="DX49" s="45"/>
      <c r="DY49" s="45"/>
      <c r="DZ49" s="44" t="str">
        <f t="shared" ref="DZ49:EE49" si="316">DR49</f>
        <v/>
      </c>
      <c r="EA49" s="45" t="str">
        <f t="shared" si="316"/>
        <v/>
      </c>
      <c r="EB49" s="45" t="str">
        <f t="shared" si="316"/>
        <v/>
      </c>
      <c r="EC49" s="45" t="str">
        <f t="shared" si="316"/>
        <v/>
      </c>
      <c r="ED49" s="45" t="str">
        <f t="shared" si="316"/>
        <v/>
      </c>
      <c r="EE49" s="45" t="str">
        <f t="shared" si="316"/>
        <v/>
      </c>
      <c r="EF49" s="45"/>
      <c r="EG49" s="45"/>
      <c r="EH49" s="44" t="str">
        <f t="shared" ref="EH49:EM49" si="317">DZ49</f>
        <v/>
      </c>
      <c r="EI49" s="45" t="str">
        <f t="shared" si="317"/>
        <v/>
      </c>
      <c r="EJ49" s="45" t="str">
        <f t="shared" si="317"/>
        <v/>
      </c>
      <c r="EK49" s="45" t="str">
        <f t="shared" si="317"/>
        <v/>
      </c>
      <c r="EL49" s="45" t="str">
        <f t="shared" si="317"/>
        <v/>
      </c>
      <c r="EM49" s="45" t="str">
        <f t="shared" si="317"/>
        <v/>
      </c>
      <c r="EN49" s="45"/>
      <c r="EO49" s="45"/>
      <c r="EP49" s="44" t="str">
        <f t="shared" ref="EP49:EU49" si="318">EH49</f>
        <v/>
      </c>
      <c r="EQ49" s="45" t="str">
        <f t="shared" si="318"/>
        <v/>
      </c>
      <c r="ER49" s="45" t="str">
        <f t="shared" si="318"/>
        <v/>
      </c>
      <c r="ES49" s="45" t="str">
        <f t="shared" si="318"/>
        <v/>
      </c>
      <c r="ET49" s="45" t="str">
        <f t="shared" si="318"/>
        <v/>
      </c>
      <c r="EU49" s="45" t="str">
        <f t="shared" si="318"/>
        <v/>
      </c>
      <c r="EV49" s="45"/>
      <c r="EW49" s="45"/>
      <c r="EX49" s="44" t="str">
        <f t="shared" ref="EX49:FC49" si="319">EP49</f>
        <v/>
      </c>
      <c r="EY49" s="45" t="str">
        <f t="shared" si="319"/>
        <v/>
      </c>
      <c r="EZ49" s="45" t="str">
        <f t="shared" si="319"/>
        <v/>
      </c>
      <c r="FA49" s="45" t="str">
        <f t="shared" si="319"/>
        <v/>
      </c>
      <c r="FB49" s="45" t="str">
        <f t="shared" si="319"/>
        <v/>
      </c>
      <c r="FC49" s="45" t="str">
        <f t="shared" si="319"/>
        <v/>
      </c>
      <c r="FD49" s="45"/>
      <c r="FE49" s="45"/>
      <c r="FF49" s="44" t="str">
        <f t="shared" ref="FF49:FK49" si="320">EX49</f>
        <v/>
      </c>
      <c r="FG49" s="45" t="str">
        <f t="shared" si="320"/>
        <v/>
      </c>
      <c r="FH49" s="45" t="str">
        <f t="shared" si="320"/>
        <v/>
      </c>
      <c r="FI49" s="45" t="str">
        <f t="shared" si="320"/>
        <v/>
      </c>
      <c r="FJ49" s="45" t="str">
        <f t="shared" si="320"/>
        <v/>
      </c>
      <c r="FK49" s="45" t="str">
        <f t="shared" si="320"/>
        <v/>
      </c>
      <c r="FL49" s="45"/>
      <c r="FM49" s="45"/>
    </row>
  </sheetData>
  <mergeCells count="25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6:FE16"/>
    <mergeCell ref="EX29:FE29"/>
    <mergeCell ref="EX40:FE40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4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490</v>
      </c>
      <c r="C4" s="36" t="s">
        <v>77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36" t="s">
        <v>77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36" t="s">
        <v>77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36" t="s">
        <v>77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36" t="s">
        <v>77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36" t="s">
        <v>77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36" t="s">
        <v>77</v>
      </c>
      <c r="AZ4" s="38"/>
      <c r="BA4" s="39"/>
      <c r="BB4" s="39"/>
      <c r="BC4" s="39"/>
      <c r="BD4" s="39"/>
      <c r="BE4" s="39"/>
      <c r="BF4" s="37">
        <f>if(BH4="",AX4,BH4/'Quick Setup'!$E5)</f>
        <v>490</v>
      </c>
      <c r="BG4" s="36" t="s">
        <v>77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36" t="s">
        <v>77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36" t="s">
        <v>77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36" t="s">
        <v>77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36" t="s">
        <v>77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36" t="s">
        <v>77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36" t="s">
        <v>77</v>
      </c>
      <c r="DD4" s="38"/>
      <c r="DE4" s="39"/>
      <c r="DF4" s="39"/>
      <c r="DG4" s="39"/>
      <c r="DH4" s="39"/>
      <c r="DI4" s="39"/>
      <c r="DJ4" s="37">
        <f>if(DL4="",DB4,DL4/'Quick Setup'!$E5)</f>
        <v>490</v>
      </c>
      <c r="DK4" s="36" t="s">
        <v>77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36" t="s">
        <v>77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36" t="s">
        <v>77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36" t="s">
        <v>77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36" t="s">
        <v>77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36" t="s">
        <v>77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36" t="s">
        <v>77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Push Press TM</v>
      </c>
      <c r="B6" s="37">
        <f>if(D6="",'Quick Setup'!D16,D6/'Quick Setup'!E16)</f>
        <v>245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14),if((F7-E7)=-1,B6*(1+Setup!G14),if(G7&lt;D7,B6*(1+Setup!G14),if(G7=D7,B6*(1+Setup!H14),if((G7-D7)=1,B6*(1+Setup!I14),if((G7-D7)=2,B6*(1+Setup!J14),if((G7-D7)=3,B6*(1+Setup!K14),if((G7-D7)=4,B6*(1+Setup!L14),if((G7-D7)&gt;4.1,B6*(1+Setup!M14),B6)))))))))),L6/'Quick Setup'!$E16)</f>
        <v>245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14),if((N7-M7)=-1,J6*(1+Setup!S14),if(O7&lt;L7,J6*(1+Setup!S14),if(O7=L7,J6*(1+Setup!T14),if((O7-L7)=1,J6*(1+Setup!U14),if((O7-L7)=2,J6*(1+Setup!V14),if((O7-L7)=3,J6*(1+Setup!W14),if((O7-L7)=4,J6*(1+Setup!X14),if((O7-L7)&gt;4.1,J6*(1+Setup!Y14),J6)))))))))),T6/'Quick Setup'!$E16)</f>
        <v>245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14),if((V7-U7)=-1,R6*(1+Setup!AE14),if(W7&lt;T7,R6*(1+Setup!AE14),if(W7=T7,R6*(1+Setup!AF14),if((W7-T7)=1,R6*(1+Setup!AG14),if((W7-T7)=2,R6*(1+Setup!AH14),if((W7-T7)=3,R6*(1+Setup!AI14),if((W7-T7)=4,R6*(1+Setup!AJ14),if((W7-T7)&gt;4.1,R6*(1+Setup!AK14),R6)))))))))),AB6/'Quick Setup'!$E16)</f>
        <v>245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14),if((AD7-AC7)=-1,Z6*(1+Setup!AQ14),if(AE7&lt;AB7,Z6*(1+Setup!AQ14),if(AE7=AB7,Z6*(1+Setup!AR14),if((AE7-AB7)=1,Z6*(1+Setup!AS14),if((AE7-AB7)=2,Z6*(1+Setup!AT14),if((AE7-AB7)=3,Z6*(1+Setup!AU14),if((AE7-AB7)=4,Z6*(1+Setup!AV14),if((AE7-AB7)&gt;4.1,Z6*(1+Setup!AW14),Z6)))))))))),AJ6/'Quick Setup'!$E16)</f>
        <v>245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14),if((AL7-AK7)=-1,AH6*(1+Setup!BC14),if(AM7&lt;AJ7,AH6*(1+Setup!BC14),if(AM7=AJ7,AH6*(1+Setup!BD14),if((AM7-AJ7)=1,AH6*(1+Setup!BE14),if((AM7-AJ7)=2,AH6*(1+Setup!BF14),if((AM7-AJ7)=3,AH6*(1+Setup!BG14),if((AM7-AJ7)=4,AH6*(1+Setup!BH14),if((AM7-AJ7)&gt;4.1,AH6*(1+Setup!BI14),AH6)))))))))),AR6/'Quick Setup'!$E16)</f>
        <v>245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14),if((AT7-AS7)=-1,AP6*(1+Setup!BO14),if(AU7&lt;AR7,AP6*(1+Setup!BO14),if(AU7=AR7,AP6*(1+Setup!BP14),if((AU7-AR7)=1,AP6*(1+Setup!BQ14),if((AU7-AR7)=2,AP6*(1+Setup!BR14),if((AU7-AR7)=3,AP6*(1+Setup!BS14),if((AU7-AR7)=4,AP6*(1+Setup!BT14),if((AU7-AR7)&gt;4.1,AP6*(1+Setup!BU14),AP6)))))))))),AZ6/'Quick Setup'!$E16)</f>
        <v>245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Setup'!$E16)</f>
        <v>245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14),if((BJ7-BI7)=-1,BF6*(1+Setup!CM14),if(BK7&lt;BH7,BF6*(1+Setup!CM14),if(BK7=BH7,BF6*(1+Setup!CN14),if((BK7-BH7)=1,BF6*(1+Setup!CO14),if((BK7-BH7)=2,BF6*(1+Setup!CP14),if((BK7-BH7)=3,BF6*(1+Setup!CQ14),if((BK7-BH7)=4,BF6*(1+Setup!CR14),if((BK7-BH7)&gt;4.1,BF6*(1+Setup!CS14),BF6)))))))))),BP6/'Quick Setup'!$E16)</f>
        <v>245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14),if((BR7-BQ7)=-1,BN6*(1+Setup!CY14),if(BS7&lt;BP7,BN6*(1+Setup!CY14),if(BS7=BP7,BN6*(1+Setup!CZ14),if((BS7-BP7)=1,BN6*(1+Setup!DA14),if((BS7-BP7)=2,BN6*(1+Setup!DB14),if((BS7-BP7)=3,BN6*(1+Setup!DC14),if((BS7-BP7)=4,BN6*(1+Setup!DD14),if((BS7-BP7)&gt;4.1,BN6*(1+Setup!DE14),BN6)))))))))),BX6/'Quick Setup'!$E16)</f>
        <v>245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14),if((BZ7-BY7)=-1,BV6*(1+Setup!DK14),if(CA7&lt;BX7,BV6*(1+Setup!DK14),if(CA7=BX7,BV6*(1+Setup!DL14),if((CA7-BX7)=1,BV6*(1+Setup!DM14),if((CA7-BX7)=2,BV6*(1+Setup!DN14),if((CA7-BX7)=3,BV6*(1+Setup!DO14),if((CA7-BX7)=4,BV6*(1+Setup!DP14),if((CA7-BX7)&gt;4.1,BV6*(1+Setup!DQ14),BV6)))))))))),CF6/'Quick Setup'!$E16)</f>
        <v>245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14),if((CH7-CG7)=-1,CD6*(1+Setup!DW14),if(CI7&lt;CF7,CD6*(1+Setup!DW14),if(CI7=CF7,CD6*(1+Setup!DX14),if((CI7-CF7)=1,CD6*(1+Setup!DY14),if((CI7-CF7)=2,CD6*(1+Setup!DZ14),if((CI7-CF7)=3,CD6*(1+Setup!EA14),if((CI7-CF7)=4,CD6*(1+Setup!EB14),if((CI7-CF7)&gt;4.1,CD6*(1+Setup!EC14),CD6)))))))))),CN6/'Quick Setup'!$E16)</f>
        <v>245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14),if((CP7-CO7)=-1,CL6*(1+Setup!EI14),if(CQ7&lt;CN7,CL6*(1+Setup!EI14),if(CQ7=CN7,CL6*(1+Setup!EJ14),if((CQ7-CN7)=1,CL6*(1+Setup!EK14),if((CQ7-CN7)=2,CL6*(1+Setup!EL14),if((CQ7-CN7)=3,CL6*(1+Setup!EM14),if((CQ7-CN7)=4,CL6*(1+Setup!EN14),if((CQ7-CN7)&gt;4.1,CL6*(1+Setup!EO14),CL6)))))))))),CV6/'Quick Setup'!$E16)</f>
        <v>245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14),if((CX7-CW7)=-1,CT6*(1+Setup!EU14),if(CY7&lt;CV7,CT6*(1+Setup!EU14),if(CY7=CV7,CT6*(1+Setup!EV14),if((CY7-CV7)=1,CT6*(1+Setup!EW14),if((CY7-CV7)=2,CT6*(1+Setup!EX14),if((CY7-CV7)=3,CT6*(1+Setup!EY14),if((CY7-CV7)=4,CT6*(1+Setup!EZ14),if((CY7-CV7)&gt;4.1,CT6*(1+Setup!FA14),CT6)))))))))),DD6/'Quick Setup'!$E16)</f>
        <v>245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Setup'!$E16)</f>
        <v>245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14),if((DN7-DM7)=-1,DJ6*(1+Setup!FS14),if(DO7&lt;DL7,DJ6*(1+Setup!FS14),if(DO7=DL7,DJ6*(1+Setup!FT14),if((DO7-DL7)=1,DJ6*(1+Setup!FU14),if((DO7-DL7)=2,DJ6*(1+Setup!FV14),if((DO7-DL7)=3,DJ6*(1+Setup!FW14),if((DO7-DL7)=4,DJ6*(1+Setup!FX14),if((DO7-DL7)&gt;4.1,DJ6*(1+Setup!FY14),DJ6)))))))))),DT6/'Quick Setup'!$E16)</f>
        <v>245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14),if((DV7-DU7)=-1,DR6*(1+Setup!GE14),if(DW7&lt;DT7,DR6*(1+Setup!GE14),if(DW7=DT7,DR6*(1+Setup!GF14),if((DW7-DT7)=1,DR6*(1+Setup!GG14),if((DW7-DT7)=2,DR6*(1+Setup!GH14),if((DW7-DT7)=3,DR6*(1+Setup!GI14),if((DW7-DT7)=4,DR6*(1+Setup!GJ14),if((DW7-DT7)&gt;4.1,DR6*(1+Setup!GK14),DR6)))))))))),EB6/'Quick Setup'!$E16)</f>
        <v>245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14),if((ED7-EC7)=-1,DZ6*(1+Setup!GQ14),if(EE7&lt;EB7,DZ6*(1+Setup!GQ14),if(EE7=EB7,DZ6*(1+Setup!GR14),if((EE7-EB7)=1,DZ6*(1+Setup!GS14),if((EE7-EB7)=2,DZ6*(1+Setup!GT14),if((EE7-EB7)=3,DZ6*(1+Setup!GU14),if((EE7-EB7)=4,DZ6*(1+Setup!GV14),if((EE7-EB7)&gt;4.1,DZ6*(1+Setup!GW14),DZ6)))))))))),EJ6/'Quick Setup'!$E16)</f>
        <v>245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14),if((EL7-EK7)=-1,EH6*(1+Setup!HC14),if(EM7&lt;EJ7,EH6*(1+Setup!HC14),if(EM7=EJ7,EH6*(1+Setup!HD14),if((EM7-EJ7)=1,EH6*(1+Setup!HE14),if((EM7-EJ7)=2,EH6*(1+Setup!HF14),if((EM7-EJ7)=3,EH6*(1+Setup!HG14),if((EM7-EJ7)=4,EH6*(1+Setup!HH14),if((EM7-EJ7)&gt;4.1,EH6*(1+Setup!HI14),EH6)))))))))),ER6/'Quick Setup'!$E16)</f>
        <v>245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14),if((ET7-ES7)=-1,EP6*(1+Setup!HO14),if(EU7&lt;ER7,EP6*(1+Setup!HO14),if(EU7=ER7,EP6*(1+Setup!HP14),if((EU7-ER7)=1,EP6*(1+Setup!HQ14),if((EU7-ER7)=2,EP6*(1+Setup!HR14),if((EU7-ER7)=3,EP6*(1+Setup!HS14),if((EU7-ER7)=4,EP6*(1+Setup!HT14),if((EU7-ER7)&gt;4.1,EP6*(1+Setup!HU14),EP6)))))))))),EZ6/'Quick Setup'!$E16)</f>
        <v>245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14),if((FB7-FA7)=-1,EX6*(1+Setup!IA14),if(FC7&lt;EZ7,EX6*(1+Setup!IA14),if(FC7=EZ7,EX6*(1+Setup!IB14),if((FC7-EZ7)=1,EX6*(1+Setup!IC14),if((FC7-EZ7)=2,EX6*(1+Setup!ID14),if((FC7-EZ7)=3,EX6*(1+Setup!IE14),if((FC7-EZ7)=4,EX6*(1+Setup!IF14),if((FC7-EZ7)&gt;4.1,EX6*(1+Setup!IG14),EX6)))))))))),FH6/'Quick Setup'!$E16)</f>
        <v>245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Setup!A14</f>
        <v>Push Press</v>
      </c>
      <c r="B7" s="40">
        <f>mround(B6*Setup!B14,'Quick Setup'!$A$2)</f>
        <v>147.5</v>
      </c>
      <c r="C7" s="2">
        <f>Setup!C14</f>
        <v>7</v>
      </c>
      <c r="D7" s="2">
        <f>Setup!D14</f>
        <v>3</v>
      </c>
      <c r="E7" s="2">
        <f>Setup!E14</f>
        <v>5</v>
      </c>
      <c r="F7" s="8"/>
      <c r="G7" s="8"/>
      <c r="H7" s="8"/>
      <c r="I7" s="8"/>
      <c r="J7" s="40">
        <f>mround(J6*Setup!N14,'Quick Setup'!$A$2)</f>
        <v>160</v>
      </c>
      <c r="K7" s="2">
        <f>Setup!O14</f>
        <v>6</v>
      </c>
      <c r="L7" s="2">
        <f>Setup!P14</f>
        <v>3</v>
      </c>
      <c r="M7" s="2">
        <f>Setup!Q14</f>
        <v>5</v>
      </c>
      <c r="N7" s="8"/>
      <c r="O7" s="8"/>
      <c r="P7" s="8"/>
      <c r="Q7" s="8"/>
      <c r="R7" s="40">
        <f>mround(R6*Setup!Z14,'Quick Setup'!$A$2)</f>
        <v>172.5</v>
      </c>
      <c r="S7" s="2">
        <f>Setup!AA14</f>
        <v>5</v>
      </c>
      <c r="T7" s="2">
        <f>Setup!AB14</f>
        <v>3</v>
      </c>
      <c r="U7" s="2">
        <f>Setup!AC14</f>
        <v>5</v>
      </c>
      <c r="V7" s="8"/>
      <c r="W7" s="8"/>
      <c r="X7" s="8"/>
      <c r="Y7" s="8"/>
      <c r="Z7" s="40">
        <f>mround(Z6*Setup!AL14,'Quick Setup'!$A$2)</f>
        <v>152.5</v>
      </c>
      <c r="AA7" s="2">
        <f>Setup!AM14</f>
        <v>7</v>
      </c>
      <c r="AB7" s="2">
        <f>Setup!AN14</f>
        <v>3</v>
      </c>
      <c r="AC7" s="2">
        <f>Setup!AO14</f>
        <v>5</v>
      </c>
      <c r="AD7" s="8"/>
      <c r="AE7" s="8"/>
      <c r="AF7" s="8"/>
      <c r="AG7" s="8"/>
      <c r="AH7" s="40">
        <f>mround(AH6*Setup!AX14,'Quick Setup'!$A$2)</f>
        <v>165</v>
      </c>
      <c r="AI7" s="2">
        <f>Setup!AY14</f>
        <v>6</v>
      </c>
      <c r="AJ7" s="2">
        <f>Setup!AZ14</f>
        <v>3</v>
      </c>
      <c r="AK7" s="2">
        <f>Setup!BA14</f>
        <v>5</v>
      </c>
      <c r="AL7" s="8"/>
      <c r="AM7" s="8"/>
      <c r="AN7" s="8"/>
      <c r="AO7" s="8"/>
      <c r="AP7" s="40">
        <f>mround(AP6*Setup!BJ14,'Quick Setup'!$A$2)</f>
        <v>177.5</v>
      </c>
      <c r="AQ7" s="2">
        <f>Setup!BK14</f>
        <v>5</v>
      </c>
      <c r="AR7" s="2">
        <f>Setup!BL14</f>
        <v>3</v>
      </c>
      <c r="AS7" s="2">
        <f>Setup!BM14</f>
        <v>5</v>
      </c>
      <c r="AT7" s="8"/>
      <c r="AU7" s="8"/>
      <c r="AV7" s="8"/>
      <c r="AW7" s="8"/>
      <c r="AX7" s="40">
        <f>mround(AX6*Setup!BV14,'Quick Setup'!$A$2)</f>
        <v>122.5</v>
      </c>
      <c r="AY7" s="1">
        <v>5.0</v>
      </c>
      <c r="AZ7" s="1" t="s">
        <v>80</v>
      </c>
      <c r="BA7" s="2">
        <f>Setup!BY14</f>
        <v>5</v>
      </c>
      <c r="BB7" s="8"/>
      <c r="BC7" s="8"/>
      <c r="BD7" s="8"/>
      <c r="BE7" s="8"/>
      <c r="BF7" s="40">
        <f>mround(BF6*Setup!CH14,'Quick Setup'!$A$2)</f>
        <v>160</v>
      </c>
      <c r="BG7" s="2">
        <f>Setup!CI14</f>
        <v>6</v>
      </c>
      <c r="BH7" s="2">
        <f>Setup!CJ14</f>
        <v>3</v>
      </c>
      <c r="BI7" s="2">
        <f>Setup!CK14</f>
        <v>5</v>
      </c>
      <c r="BJ7" s="8"/>
      <c r="BK7" s="8"/>
      <c r="BL7" s="8"/>
      <c r="BM7" s="8"/>
      <c r="BN7" s="40">
        <f>mround(BN6*Setup!CT14,'Quick Setup'!$A$2)</f>
        <v>172.5</v>
      </c>
      <c r="BO7" s="2">
        <f>Setup!CU14</f>
        <v>5</v>
      </c>
      <c r="BP7" s="2">
        <f>Setup!CV14</f>
        <v>3</v>
      </c>
      <c r="BQ7" s="2">
        <f>Setup!CW14</f>
        <v>5</v>
      </c>
      <c r="BR7" s="8"/>
      <c r="BS7" s="8"/>
      <c r="BT7" s="8"/>
      <c r="BU7" s="8"/>
      <c r="BV7" s="40">
        <f>mround(BV6*Setup!DF14,'Quick Setup'!$A$2)</f>
        <v>185</v>
      </c>
      <c r="BW7" s="2">
        <f>Setup!DG14</f>
        <v>4</v>
      </c>
      <c r="BX7" s="2">
        <f>Setup!DH14</f>
        <v>2</v>
      </c>
      <c r="BY7" s="2">
        <f>Setup!DI14</f>
        <v>5</v>
      </c>
      <c r="BZ7" s="8"/>
      <c r="CA7" s="8"/>
      <c r="CB7" s="8"/>
      <c r="CC7" s="8"/>
      <c r="CD7" s="40">
        <f>mround(CD6*Setup!DR14,'Quick Setup'!$A$2)</f>
        <v>165</v>
      </c>
      <c r="CE7" s="2">
        <f>Setup!DS14</f>
        <v>6</v>
      </c>
      <c r="CF7" s="2">
        <f>Setup!DT14</f>
        <v>3</v>
      </c>
      <c r="CG7" s="2">
        <f>Setup!DU14</f>
        <v>5</v>
      </c>
      <c r="CH7" s="8"/>
      <c r="CI7" s="8"/>
      <c r="CJ7" s="8"/>
      <c r="CK7" s="8"/>
      <c r="CL7" s="40">
        <f>mround(CL6*Setup!ED14,'Quick Setup'!$A$2)</f>
        <v>177.5</v>
      </c>
      <c r="CM7" s="2">
        <f>Setup!EE14</f>
        <v>5</v>
      </c>
      <c r="CN7" s="2">
        <f>Setup!EF14</f>
        <v>3</v>
      </c>
      <c r="CO7" s="2">
        <f>Setup!EG14</f>
        <v>5</v>
      </c>
      <c r="CP7" s="8"/>
      <c r="CQ7" s="8"/>
      <c r="CR7" s="8"/>
      <c r="CS7" s="8"/>
      <c r="CT7" s="40">
        <f>mround(CT6*Setup!EP14,'Quick Setup'!$A$2)</f>
        <v>190</v>
      </c>
      <c r="CU7" s="2">
        <f>Setup!EQ14</f>
        <v>4</v>
      </c>
      <c r="CV7" s="2">
        <f>Setup!ER14</f>
        <v>2</v>
      </c>
      <c r="CW7" s="2">
        <f>Setup!ES14</f>
        <v>5</v>
      </c>
      <c r="CX7" s="8"/>
      <c r="CY7" s="8"/>
      <c r="CZ7" s="8"/>
      <c r="DA7" s="8"/>
      <c r="DB7" s="40">
        <f>mround(DB6*Setup!FB14,'Quick Setup'!$A$2)</f>
        <v>122.5</v>
      </c>
      <c r="DC7" s="1">
        <v>5.0</v>
      </c>
      <c r="DD7" s="1" t="s">
        <v>80</v>
      </c>
      <c r="DE7" s="2">
        <f>Setup!FE14</f>
        <v>5</v>
      </c>
      <c r="DF7" s="8"/>
      <c r="DG7" s="8"/>
      <c r="DH7" s="8"/>
      <c r="DI7" s="8"/>
      <c r="DJ7" s="40">
        <f>mround(DJ6*Setup!FN14,'Quick Setup'!$A$2)</f>
        <v>172.5</v>
      </c>
      <c r="DK7" s="2">
        <f>Setup!FO14</f>
        <v>5</v>
      </c>
      <c r="DL7" s="2">
        <f>Setup!FP14</f>
        <v>3</v>
      </c>
      <c r="DM7" s="2">
        <f>Setup!FQ14</f>
        <v>5</v>
      </c>
      <c r="DN7" s="8"/>
      <c r="DO7" s="8"/>
      <c r="DP7" s="8"/>
      <c r="DQ7" s="8"/>
      <c r="DR7" s="40">
        <f>mround(DR6*Setup!FZ14,'Quick Setup'!$A$2)</f>
        <v>185</v>
      </c>
      <c r="DS7" s="2">
        <f>Setup!GA14</f>
        <v>4</v>
      </c>
      <c r="DT7" s="2">
        <f>Setup!GB14</f>
        <v>2</v>
      </c>
      <c r="DU7" s="2">
        <f>Setup!GC14</f>
        <v>5</v>
      </c>
      <c r="DV7" s="8"/>
      <c r="DW7" s="8"/>
      <c r="DX7" s="8"/>
      <c r="DY7" s="8"/>
      <c r="DZ7" s="40">
        <f>mround(DZ6*Setup!GL14,'Quick Setup'!$A$2)</f>
        <v>195</v>
      </c>
      <c r="EA7" s="2">
        <f>Setup!GM14</f>
        <v>3</v>
      </c>
      <c r="EB7" s="2">
        <f>Setup!GN14</f>
        <v>2</v>
      </c>
      <c r="EC7" s="2">
        <f>Setup!GO14</f>
        <v>5</v>
      </c>
      <c r="ED7" s="2"/>
      <c r="EE7" s="2"/>
      <c r="EF7" s="2"/>
      <c r="EG7" s="2"/>
      <c r="EH7" s="40">
        <f>mround(EH6*Setup!GX14,'Quick Setup'!$A$2)</f>
        <v>185</v>
      </c>
      <c r="EI7" s="2">
        <f>Setup!GY14</f>
        <v>4</v>
      </c>
      <c r="EJ7" s="2">
        <f>Setup!GZ14</f>
        <v>2</v>
      </c>
      <c r="EK7" s="2">
        <f>Setup!HA14</f>
        <v>5</v>
      </c>
      <c r="EL7" s="8"/>
      <c r="EM7" s="8"/>
      <c r="EN7" s="8"/>
      <c r="EO7" s="8"/>
      <c r="EP7" s="40">
        <f>mround(EP6*Setup!HJ14,'Quick Setup'!$A$2)</f>
        <v>195</v>
      </c>
      <c r="EQ7" s="2">
        <f>Setup!HK14</f>
        <v>3</v>
      </c>
      <c r="ER7" s="2">
        <f>Setup!HL14</f>
        <v>2</v>
      </c>
      <c r="ES7" s="2">
        <f>Setup!HM14</f>
        <v>5</v>
      </c>
      <c r="ET7" s="8"/>
      <c r="EU7" s="8"/>
      <c r="EV7" s="8"/>
      <c r="EW7" s="8"/>
      <c r="EX7" s="40">
        <f>mround(EX6*Setup!HV14,'Quick Setup'!$A$2)</f>
        <v>207.5</v>
      </c>
      <c r="EY7" s="2">
        <f>Setup!HW14</f>
        <v>2</v>
      </c>
      <c r="EZ7" s="2">
        <f>Setup!HX14</f>
        <v>1</v>
      </c>
      <c r="FA7" s="2">
        <f>Setup!HY14</f>
        <v>5</v>
      </c>
      <c r="FB7" s="8"/>
      <c r="FC7" s="8"/>
      <c r="FD7" s="8"/>
      <c r="FE7" s="8"/>
      <c r="FF7" s="40">
        <f>mround(FF6*Setup!IH14,'Quick Setup'!$A$2)</f>
        <v>122.5</v>
      </c>
      <c r="FG7" s="1">
        <v>5.0</v>
      </c>
      <c r="FH7" s="1" t="s">
        <v>80</v>
      </c>
      <c r="FI7" s="2">
        <f>Setup!IK14</f>
        <v>5</v>
      </c>
      <c r="FJ7" s="8"/>
      <c r="FK7" s="8"/>
      <c r="FL7" s="8"/>
      <c r="FM7" s="8"/>
    </row>
    <row r="8">
      <c r="A8" s="5"/>
      <c r="B8" s="41"/>
      <c r="C8" s="8"/>
      <c r="D8" s="8"/>
      <c r="E8" s="8"/>
      <c r="F8" s="8"/>
      <c r="G8" s="8"/>
      <c r="H8" s="8"/>
      <c r="I8" s="8"/>
      <c r="J8" s="41" t="str">
        <f t="shared" ref="J8:O8" si="1">B8</f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/>
      <c r="Q8" s="8"/>
      <c r="R8" s="41" t="str">
        <f t="shared" ref="R8:W8" si="2">J8</f>
        <v/>
      </c>
      <c r="S8" s="8" t="str">
        <f t="shared" si="2"/>
        <v/>
      </c>
      <c r="T8" s="8" t="str">
        <f t="shared" si="2"/>
        <v/>
      </c>
      <c r="U8" s="8" t="str">
        <f t="shared" si="2"/>
        <v/>
      </c>
      <c r="V8" s="8" t="str">
        <f t="shared" si="2"/>
        <v/>
      </c>
      <c r="W8" s="8" t="str">
        <f t="shared" si="2"/>
        <v/>
      </c>
      <c r="X8" s="8"/>
      <c r="Y8" s="8"/>
      <c r="Z8" s="41" t="str">
        <f t="shared" ref="Z8:AE8" si="3">R8</f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/>
      <c r="AG8" s="8"/>
      <c r="AH8" s="41" t="str">
        <f t="shared" ref="AH8:AM8" si="4">Z8</f>
        <v/>
      </c>
      <c r="AI8" s="8" t="str">
        <f t="shared" si="4"/>
        <v/>
      </c>
      <c r="AJ8" s="8" t="str">
        <f t="shared" si="4"/>
        <v/>
      </c>
      <c r="AK8" s="8" t="str">
        <f t="shared" si="4"/>
        <v/>
      </c>
      <c r="AL8" s="8" t="str">
        <f t="shared" si="4"/>
        <v/>
      </c>
      <c r="AM8" s="8" t="str">
        <f t="shared" si="4"/>
        <v/>
      </c>
      <c r="AN8" s="8"/>
      <c r="AO8" s="8"/>
      <c r="AP8" s="41" t="str">
        <f t="shared" ref="AP8:AU8" si="5">AH8</f>
        <v/>
      </c>
      <c r="AQ8" s="8" t="str">
        <f t="shared" si="5"/>
        <v/>
      </c>
      <c r="AR8" s="8" t="str">
        <f t="shared" si="5"/>
        <v/>
      </c>
      <c r="AS8" s="8" t="str">
        <f t="shared" si="5"/>
        <v/>
      </c>
      <c r="AT8" s="8" t="str">
        <f t="shared" si="5"/>
        <v/>
      </c>
      <c r="AU8" s="8" t="str">
        <f t="shared" si="5"/>
        <v/>
      </c>
      <c r="AV8" s="8"/>
      <c r="AW8" s="8"/>
      <c r="AX8" s="41" t="str">
        <f t="shared" ref="AX8:BC8" si="6">AP8</f>
        <v/>
      </c>
      <c r="AY8" s="8" t="str">
        <f t="shared" si="6"/>
        <v/>
      </c>
      <c r="AZ8" s="8" t="str">
        <f t="shared" si="6"/>
        <v/>
      </c>
      <c r="BA8" s="8" t="str">
        <f t="shared" si="6"/>
        <v/>
      </c>
      <c r="BB8" s="8" t="str">
        <f t="shared" si="6"/>
        <v/>
      </c>
      <c r="BC8" s="8" t="str">
        <f t="shared" si="6"/>
        <v/>
      </c>
      <c r="BD8" s="8"/>
      <c r="BE8" s="8"/>
      <c r="BF8" s="41" t="str">
        <f t="shared" ref="BF8:BK8" si="7">AX8</f>
        <v/>
      </c>
      <c r="BG8" s="8" t="str">
        <f t="shared" si="7"/>
        <v/>
      </c>
      <c r="BH8" s="8" t="str">
        <f t="shared" si="7"/>
        <v/>
      </c>
      <c r="BI8" s="8" t="str">
        <f t="shared" si="7"/>
        <v/>
      </c>
      <c r="BJ8" s="8" t="str">
        <f t="shared" si="7"/>
        <v/>
      </c>
      <c r="BK8" s="8" t="str">
        <f t="shared" si="7"/>
        <v/>
      </c>
      <c r="BL8" s="8"/>
      <c r="BM8" s="8"/>
      <c r="BN8" s="41" t="str">
        <f t="shared" ref="BN8:BS8" si="8">BF8</f>
        <v/>
      </c>
      <c r="BO8" s="8" t="str">
        <f t="shared" si="8"/>
        <v/>
      </c>
      <c r="BP8" s="8" t="str">
        <f t="shared" si="8"/>
        <v/>
      </c>
      <c r="BQ8" s="8" t="str">
        <f t="shared" si="8"/>
        <v/>
      </c>
      <c r="BR8" s="8" t="str">
        <f t="shared" si="8"/>
        <v/>
      </c>
      <c r="BS8" s="8" t="str">
        <f t="shared" si="8"/>
        <v/>
      </c>
      <c r="BT8" s="8"/>
      <c r="BU8" s="8"/>
      <c r="BV8" s="41" t="str">
        <f t="shared" ref="BV8:CA8" si="9">BN8</f>
        <v/>
      </c>
      <c r="BW8" s="8" t="str">
        <f t="shared" si="9"/>
        <v/>
      </c>
      <c r="BX8" s="8" t="str">
        <f t="shared" si="9"/>
        <v/>
      </c>
      <c r="BY8" s="8" t="str">
        <f t="shared" si="9"/>
        <v/>
      </c>
      <c r="BZ8" s="8" t="str">
        <f t="shared" si="9"/>
        <v/>
      </c>
      <c r="CA8" s="8" t="str">
        <f t="shared" si="9"/>
        <v/>
      </c>
      <c r="CB8" s="8"/>
      <c r="CC8" s="8"/>
      <c r="CD8" s="41" t="str">
        <f t="shared" ref="CD8:CI8" si="10">BV8</f>
        <v/>
      </c>
      <c r="CE8" s="8" t="str">
        <f t="shared" si="10"/>
        <v/>
      </c>
      <c r="CF8" s="8" t="str">
        <f t="shared" si="10"/>
        <v/>
      </c>
      <c r="CG8" s="8" t="str">
        <f t="shared" si="10"/>
        <v/>
      </c>
      <c r="CH8" s="8" t="str">
        <f t="shared" si="10"/>
        <v/>
      </c>
      <c r="CI8" s="8" t="str">
        <f t="shared" si="10"/>
        <v/>
      </c>
      <c r="CJ8" s="8"/>
      <c r="CK8" s="8"/>
      <c r="CL8" s="41" t="str">
        <f t="shared" ref="CL8:CQ8" si="11">CD8</f>
        <v/>
      </c>
      <c r="CM8" s="8" t="str">
        <f t="shared" si="11"/>
        <v/>
      </c>
      <c r="CN8" s="8" t="str">
        <f t="shared" si="11"/>
        <v/>
      </c>
      <c r="CO8" s="8" t="str">
        <f t="shared" si="11"/>
        <v/>
      </c>
      <c r="CP8" s="8" t="str">
        <f t="shared" si="11"/>
        <v/>
      </c>
      <c r="CQ8" s="8" t="str">
        <f t="shared" si="11"/>
        <v/>
      </c>
      <c r="CR8" s="8"/>
      <c r="CS8" s="8"/>
      <c r="CT8" s="41" t="str">
        <f t="shared" ref="CT8:CY8" si="12">CL8</f>
        <v/>
      </c>
      <c r="CU8" s="8" t="str">
        <f t="shared" si="12"/>
        <v/>
      </c>
      <c r="CV8" s="8" t="str">
        <f t="shared" si="12"/>
        <v/>
      </c>
      <c r="CW8" s="8" t="str">
        <f t="shared" si="12"/>
        <v/>
      </c>
      <c r="CX8" s="8" t="str">
        <f t="shared" si="12"/>
        <v/>
      </c>
      <c r="CY8" s="8" t="str">
        <f t="shared" si="12"/>
        <v/>
      </c>
      <c r="CZ8" s="8"/>
      <c r="DA8" s="8"/>
      <c r="DB8" s="41" t="str">
        <f t="shared" ref="DB8:DG8" si="13">CT8</f>
        <v/>
      </c>
      <c r="DC8" s="8" t="str">
        <f t="shared" si="13"/>
        <v/>
      </c>
      <c r="DD8" s="8" t="str">
        <f t="shared" si="13"/>
        <v/>
      </c>
      <c r="DE8" s="8" t="str">
        <f t="shared" si="13"/>
        <v/>
      </c>
      <c r="DF8" s="8" t="str">
        <f t="shared" si="13"/>
        <v/>
      </c>
      <c r="DG8" s="8" t="str">
        <f t="shared" si="13"/>
        <v/>
      </c>
      <c r="DH8" s="8"/>
      <c r="DI8" s="8"/>
      <c r="DJ8" s="41" t="str">
        <f t="shared" ref="DJ8:DO8" si="14">DB8</f>
        <v/>
      </c>
      <c r="DK8" s="8" t="str">
        <f t="shared" si="14"/>
        <v/>
      </c>
      <c r="DL8" s="8" t="str">
        <f t="shared" si="14"/>
        <v/>
      </c>
      <c r="DM8" s="8" t="str">
        <f t="shared" si="14"/>
        <v/>
      </c>
      <c r="DN8" s="8" t="str">
        <f t="shared" si="14"/>
        <v/>
      </c>
      <c r="DO8" s="8" t="str">
        <f t="shared" si="14"/>
        <v/>
      </c>
      <c r="DP8" s="8"/>
      <c r="DQ8" s="8"/>
      <c r="DR8" s="41" t="str">
        <f t="shared" ref="DR8:DW8" si="15">DJ8</f>
        <v/>
      </c>
      <c r="DS8" s="8" t="str">
        <f t="shared" si="15"/>
        <v/>
      </c>
      <c r="DT8" s="8" t="str">
        <f t="shared" si="15"/>
        <v/>
      </c>
      <c r="DU8" s="8" t="str">
        <f t="shared" si="15"/>
        <v/>
      </c>
      <c r="DV8" s="8" t="str">
        <f t="shared" si="15"/>
        <v/>
      </c>
      <c r="DW8" s="8" t="str">
        <f t="shared" si="15"/>
        <v/>
      </c>
      <c r="DX8" s="8"/>
      <c r="DY8" s="8"/>
      <c r="DZ8" s="41" t="str">
        <f t="shared" ref="DZ8:EE8" si="16">DR8</f>
        <v/>
      </c>
      <c r="EA8" s="8" t="str">
        <f t="shared" si="16"/>
        <v/>
      </c>
      <c r="EB8" s="8" t="str">
        <f t="shared" si="16"/>
        <v/>
      </c>
      <c r="EC8" s="8" t="str">
        <f t="shared" si="16"/>
        <v/>
      </c>
      <c r="ED8" s="8" t="str">
        <f t="shared" si="16"/>
        <v/>
      </c>
      <c r="EE8" s="8" t="str">
        <f t="shared" si="16"/>
        <v/>
      </c>
      <c r="EF8" s="8"/>
      <c r="EG8" s="8"/>
      <c r="EH8" s="41" t="str">
        <f t="shared" ref="EH8:EM8" si="17">DZ8</f>
        <v/>
      </c>
      <c r="EI8" s="8" t="str">
        <f t="shared" si="17"/>
        <v/>
      </c>
      <c r="EJ8" s="8" t="str">
        <f t="shared" si="17"/>
        <v/>
      </c>
      <c r="EK8" s="8" t="str">
        <f t="shared" si="17"/>
        <v/>
      </c>
      <c r="EL8" s="8" t="str">
        <f t="shared" si="17"/>
        <v/>
      </c>
      <c r="EM8" s="8" t="str">
        <f t="shared" si="17"/>
        <v/>
      </c>
      <c r="EN8" s="8"/>
      <c r="EO8" s="8"/>
      <c r="EP8" s="41" t="str">
        <f t="shared" ref="EP8:EU8" si="18">EH8</f>
        <v/>
      </c>
      <c r="EQ8" s="8" t="str">
        <f t="shared" si="18"/>
        <v/>
      </c>
      <c r="ER8" s="8" t="str">
        <f t="shared" si="18"/>
        <v/>
      </c>
      <c r="ES8" s="8" t="str">
        <f t="shared" si="18"/>
        <v/>
      </c>
      <c r="ET8" s="8" t="str">
        <f t="shared" si="18"/>
        <v/>
      </c>
      <c r="EU8" s="8" t="str">
        <f t="shared" si="18"/>
        <v/>
      </c>
      <c r="EV8" s="8"/>
      <c r="EW8" s="8"/>
      <c r="EX8" s="41" t="str">
        <f t="shared" ref="EX8:FC8" si="19">EP8</f>
        <v/>
      </c>
      <c r="EY8" s="8" t="str">
        <f t="shared" si="19"/>
        <v/>
      </c>
      <c r="EZ8" s="8" t="str">
        <f t="shared" si="19"/>
        <v/>
      </c>
      <c r="FA8" s="8" t="str">
        <f t="shared" si="19"/>
        <v/>
      </c>
      <c r="FB8" s="8" t="str">
        <f t="shared" si="19"/>
        <v/>
      </c>
      <c r="FC8" s="8" t="str">
        <f t="shared" si="19"/>
        <v/>
      </c>
      <c r="FD8" s="8"/>
      <c r="FE8" s="8"/>
      <c r="FF8" s="41" t="str">
        <f t="shared" ref="FF8:FK8" si="20">EX8</f>
        <v/>
      </c>
      <c r="FG8" s="8" t="str">
        <f t="shared" si="20"/>
        <v/>
      </c>
      <c r="FH8" s="8" t="str">
        <f t="shared" si="20"/>
        <v/>
      </c>
      <c r="FI8" s="8" t="str">
        <f t="shared" si="20"/>
        <v/>
      </c>
      <c r="FJ8" s="8" t="str">
        <f t="shared" si="20"/>
        <v/>
      </c>
      <c r="FK8" s="8" t="str">
        <f t="shared" si="20"/>
        <v/>
      </c>
      <c r="FL8" s="8"/>
      <c r="FM8" s="8"/>
    </row>
    <row r="9">
      <c r="A9" s="1" t="s">
        <v>81</v>
      </c>
      <c r="B9" s="40"/>
      <c r="C9" s="2"/>
      <c r="D9" s="2"/>
      <c r="E9" s="2"/>
      <c r="F9" s="2"/>
      <c r="G9" s="2"/>
      <c r="H9" s="2"/>
      <c r="I9" s="2"/>
      <c r="J9" s="40"/>
      <c r="K9" s="2"/>
      <c r="L9" s="2"/>
      <c r="M9" s="2"/>
      <c r="N9" s="2"/>
      <c r="O9" s="2"/>
      <c r="P9" s="2"/>
      <c r="Q9" s="2"/>
      <c r="R9" s="40"/>
      <c r="S9" s="2"/>
      <c r="T9" s="2"/>
      <c r="U9" s="2"/>
      <c r="V9" s="2"/>
      <c r="W9" s="2"/>
      <c r="X9" s="2"/>
      <c r="Y9" s="2"/>
      <c r="Z9" s="40"/>
      <c r="AA9" s="2"/>
      <c r="AB9" s="2"/>
      <c r="AC9" s="2"/>
      <c r="AD9" s="2"/>
      <c r="AE9" s="2"/>
      <c r="AF9" s="2"/>
      <c r="AG9" s="2"/>
      <c r="AH9" s="40"/>
      <c r="AI9" s="2"/>
      <c r="AJ9" s="2"/>
      <c r="AK9" s="2"/>
      <c r="AL9" s="2"/>
      <c r="AM9" s="2"/>
      <c r="AN9" s="2"/>
      <c r="AO9" s="2"/>
      <c r="AP9" s="40"/>
      <c r="AQ9" s="2"/>
      <c r="AR9" s="2"/>
      <c r="AS9" s="2"/>
      <c r="AT9" s="2"/>
      <c r="AU9" s="2"/>
      <c r="AV9" s="2"/>
      <c r="AW9" s="2"/>
      <c r="AX9" s="40"/>
      <c r="AY9" s="2"/>
      <c r="AZ9" s="2"/>
      <c r="BA9" s="2"/>
      <c r="BB9" s="2"/>
      <c r="BC9" s="2"/>
      <c r="BD9" s="2"/>
      <c r="BE9" s="2"/>
      <c r="BF9" s="40"/>
      <c r="BG9" s="2"/>
      <c r="BH9" s="2"/>
      <c r="BI9" s="2"/>
      <c r="BJ9" s="2"/>
      <c r="BK9" s="2"/>
      <c r="BL9" s="2"/>
      <c r="BM9" s="2"/>
      <c r="BN9" s="40"/>
      <c r="BO9" s="2"/>
      <c r="BP9" s="2"/>
      <c r="BQ9" s="2"/>
      <c r="BR9" s="2"/>
      <c r="BS9" s="2"/>
      <c r="BT9" s="2"/>
      <c r="BU9" s="2"/>
      <c r="BV9" s="40"/>
      <c r="BW9" s="2"/>
      <c r="BX9" s="2"/>
      <c r="BY9" s="2"/>
      <c r="BZ9" s="2"/>
      <c r="CA9" s="2"/>
      <c r="CB9" s="2"/>
      <c r="CC9" s="2"/>
      <c r="CD9" s="40"/>
      <c r="CE9" s="2"/>
      <c r="CF9" s="2"/>
      <c r="CG9" s="2"/>
      <c r="CH9" s="2"/>
      <c r="CI9" s="2"/>
      <c r="CJ9" s="2"/>
      <c r="CK9" s="2"/>
      <c r="CL9" s="40"/>
      <c r="CM9" s="2"/>
      <c r="CN9" s="2"/>
      <c r="CO9" s="2"/>
      <c r="CP9" s="2"/>
      <c r="CQ9" s="2"/>
      <c r="CR9" s="2"/>
      <c r="CS9" s="2"/>
      <c r="CT9" s="40"/>
      <c r="CU9" s="2"/>
      <c r="CV9" s="2"/>
      <c r="CW9" s="2"/>
      <c r="CX9" s="2"/>
      <c r="CY9" s="2"/>
      <c r="CZ9" s="2"/>
      <c r="DA9" s="2"/>
      <c r="DB9" s="40"/>
      <c r="DC9" s="2"/>
      <c r="DD9" s="2"/>
      <c r="DE9" s="2"/>
      <c r="DF9" s="2"/>
      <c r="DG9" s="2"/>
      <c r="DH9" s="2"/>
      <c r="DI9" s="2"/>
      <c r="DJ9" s="40"/>
      <c r="DK9" s="2"/>
      <c r="DL9" s="2"/>
      <c r="DM9" s="2"/>
      <c r="DN9" s="2"/>
      <c r="DO9" s="2"/>
      <c r="DP9" s="2"/>
      <c r="DQ9" s="2"/>
      <c r="DR9" s="40"/>
      <c r="DS9" s="2"/>
      <c r="DT9" s="2"/>
      <c r="DU9" s="2"/>
      <c r="DV9" s="2"/>
      <c r="DW9" s="2"/>
      <c r="DX9" s="2"/>
      <c r="DY9" s="2"/>
      <c r="DZ9" s="40"/>
      <c r="EA9" s="2"/>
      <c r="EB9" s="2"/>
      <c r="EC9" s="2"/>
      <c r="ED9" s="2"/>
      <c r="EE9" s="2"/>
      <c r="EF9" s="2"/>
      <c r="EG9" s="2"/>
      <c r="EH9" s="40"/>
      <c r="EI9" s="2"/>
      <c r="EJ9" s="2"/>
      <c r="EK9" s="2"/>
      <c r="EL9" s="2"/>
      <c r="EM9" s="2"/>
      <c r="EN9" s="2"/>
      <c r="EO9" s="2"/>
      <c r="EP9" s="40"/>
      <c r="EQ9" s="2"/>
      <c r="ER9" s="2"/>
      <c r="ES9" s="2"/>
      <c r="ET9" s="2"/>
      <c r="EU9" s="2"/>
      <c r="EV9" s="2"/>
      <c r="EW9" s="2"/>
      <c r="EX9" s="40"/>
      <c r="EY9" s="2"/>
      <c r="EZ9" s="2"/>
      <c r="FA9" s="2"/>
      <c r="FB9" s="2"/>
      <c r="FC9" s="2"/>
      <c r="FD9" s="2"/>
      <c r="FE9" s="2"/>
      <c r="FF9" s="40"/>
      <c r="FG9" s="2"/>
      <c r="FH9" s="2"/>
      <c r="FI9" s="2"/>
      <c r="FJ9" s="2"/>
      <c r="FK9" s="2"/>
      <c r="FL9" s="2"/>
      <c r="FM9" s="2"/>
    </row>
    <row r="10">
      <c r="A10" s="42"/>
      <c r="B10" s="41"/>
      <c r="C10" s="8"/>
      <c r="D10" s="8"/>
      <c r="E10" s="8"/>
      <c r="F10" s="8"/>
      <c r="G10" s="8"/>
      <c r="H10" s="8"/>
      <c r="I10" s="8"/>
      <c r="J10" s="41" t="str">
        <f t="shared" ref="J10:O10" si="21">B10</f>
        <v/>
      </c>
      <c r="K10" s="8" t="str">
        <f t="shared" si="21"/>
        <v/>
      </c>
      <c r="L10" s="8" t="str">
        <f t="shared" si="21"/>
        <v/>
      </c>
      <c r="M10" s="8" t="str">
        <f t="shared" si="21"/>
        <v/>
      </c>
      <c r="N10" s="8" t="str">
        <f t="shared" si="21"/>
        <v/>
      </c>
      <c r="O10" s="8" t="str">
        <f t="shared" si="21"/>
        <v/>
      </c>
      <c r="P10" s="8"/>
      <c r="Q10" s="8"/>
      <c r="R10" s="41" t="str">
        <f t="shared" ref="R10:W10" si="22">J10</f>
        <v/>
      </c>
      <c r="S10" s="8" t="str">
        <f t="shared" si="22"/>
        <v/>
      </c>
      <c r="T10" s="8" t="str">
        <f t="shared" si="22"/>
        <v/>
      </c>
      <c r="U10" s="8" t="str">
        <f t="shared" si="22"/>
        <v/>
      </c>
      <c r="V10" s="8" t="str">
        <f t="shared" si="22"/>
        <v/>
      </c>
      <c r="W10" s="8" t="str">
        <f t="shared" si="22"/>
        <v/>
      </c>
      <c r="X10" s="8"/>
      <c r="Y10" s="8"/>
      <c r="Z10" s="41" t="str">
        <f t="shared" ref="Z10:AE10" si="23">R10</f>
        <v/>
      </c>
      <c r="AA10" s="8" t="str">
        <f t="shared" si="23"/>
        <v/>
      </c>
      <c r="AB10" s="8" t="str">
        <f t="shared" si="23"/>
        <v/>
      </c>
      <c r="AC10" s="8" t="str">
        <f t="shared" si="23"/>
        <v/>
      </c>
      <c r="AD10" s="8" t="str">
        <f t="shared" si="23"/>
        <v/>
      </c>
      <c r="AE10" s="8" t="str">
        <f t="shared" si="23"/>
        <v/>
      </c>
      <c r="AF10" s="8"/>
      <c r="AG10" s="8"/>
      <c r="AH10" s="41" t="str">
        <f t="shared" ref="AH10:AM10" si="24">Z10</f>
        <v/>
      </c>
      <c r="AI10" s="8" t="str">
        <f t="shared" si="24"/>
        <v/>
      </c>
      <c r="AJ10" s="8" t="str">
        <f t="shared" si="24"/>
        <v/>
      </c>
      <c r="AK10" s="8" t="str">
        <f t="shared" si="24"/>
        <v/>
      </c>
      <c r="AL10" s="8" t="str">
        <f t="shared" si="24"/>
        <v/>
      </c>
      <c r="AM10" s="8" t="str">
        <f t="shared" si="24"/>
        <v/>
      </c>
      <c r="AN10" s="8"/>
      <c r="AO10" s="8"/>
      <c r="AP10" s="41" t="str">
        <f t="shared" ref="AP10:AU10" si="25">AH10</f>
        <v/>
      </c>
      <c r="AQ10" s="8" t="str">
        <f t="shared" si="25"/>
        <v/>
      </c>
      <c r="AR10" s="8" t="str">
        <f t="shared" si="25"/>
        <v/>
      </c>
      <c r="AS10" s="8" t="str">
        <f t="shared" si="25"/>
        <v/>
      </c>
      <c r="AT10" s="8" t="str">
        <f t="shared" si="25"/>
        <v/>
      </c>
      <c r="AU10" s="8" t="str">
        <f t="shared" si="25"/>
        <v/>
      </c>
      <c r="AV10" s="8"/>
      <c r="AW10" s="8"/>
      <c r="AX10" s="41" t="str">
        <f t="shared" ref="AX10:BC10" si="26">AP10</f>
        <v/>
      </c>
      <c r="AY10" s="8" t="str">
        <f t="shared" si="26"/>
        <v/>
      </c>
      <c r="AZ10" s="8" t="str">
        <f t="shared" si="26"/>
        <v/>
      </c>
      <c r="BA10" s="8" t="str">
        <f t="shared" si="26"/>
        <v/>
      </c>
      <c r="BB10" s="8" t="str">
        <f t="shared" si="26"/>
        <v/>
      </c>
      <c r="BC10" s="8" t="str">
        <f t="shared" si="26"/>
        <v/>
      </c>
      <c r="BD10" s="8"/>
      <c r="BE10" s="8"/>
      <c r="BF10" s="41" t="str">
        <f t="shared" ref="BF10:BK10" si="27">AX10</f>
        <v/>
      </c>
      <c r="BG10" s="8" t="str">
        <f t="shared" si="27"/>
        <v/>
      </c>
      <c r="BH10" s="8" t="str">
        <f t="shared" si="27"/>
        <v/>
      </c>
      <c r="BI10" s="8" t="str">
        <f t="shared" si="27"/>
        <v/>
      </c>
      <c r="BJ10" s="8" t="str">
        <f t="shared" si="27"/>
        <v/>
      </c>
      <c r="BK10" s="8" t="str">
        <f t="shared" si="27"/>
        <v/>
      </c>
      <c r="BL10" s="8"/>
      <c r="BM10" s="8"/>
      <c r="BN10" s="41" t="str">
        <f t="shared" ref="BN10:BS10" si="28">BF10</f>
        <v/>
      </c>
      <c r="BO10" s="8" t="str">
        <f t="shared" si="28"/>
        <v/>
      </c>
      <c r="BP10" s="8" t="str">
        <f t="shared" si="28"/>
        <v/>
      </c>
      <c r="BQ10" s="8" t="str">
        <f t="shared" si="28"/>
        <v/>
      </c>
      <c r="BR10" s="8" t="str">
        <f t="shared" si="28"/>
        <v/>
      </c>
      <c r="BS10" s="8" t="str">
        <f t="shared" si="28"/>
        <v/>
      </c>
      <c r="BT10" s="8"/>
      <c r="BU10" s="8"/>
      <c r="BV10" s="41" t="str">
        <f t="shared" ref="BV10:CA10" si="29">BN10</f>
        <v/>
      </c>
      <c r="BW10" s="8" t="str">
        <f t="shared" si="29"/>
        <v/>
      </c>
      <c r="BX10" s="8" t="str">
        <f t="shared" si="29"/>
        <v/>
      </c>
      <c r="BY10" s="8" t="str">
        <f t="shared" si="29"/>
        <v/>
      </c>
      <c r="BZ10" s="8" t="str">
        <f t="shared" si="29"/>
        <v/>
      </c>
      <c r="CA10" s="8" t="str">
        <f t="shared" si="29"/>
        <v/>
      </c>
      <c r="CB10" s="8"/>
      <c r="CC10" s="8"/>
      <c r="CD10" s="41" t="str">
        <f t="shared" ref="CD10:CI10" si="30">BV10</f>
        <v/>
      </c>
      <c r="CE10" s="8" t="str">
        <f t="shared" si="30"/>
        <v/>
      </c>
      <c r="CF10" s="8" t="str">
        <f t="shared" si="30"/>
        <v/>
      </c>
      <c r="CG10" s="8" t="str">
        <f t="shared" si="30"/>
        <v/>
      </c>
      <c r="CH10" s="8" t="str">
        <f t="shared" si="30"/>
        <v/>
      </c>
      <c r="CI10" s="8" t="str">
        <f t="shared" si="30"/>
        <v/>
      </c>
      <c r="CJ10" s="8"/>
      <c r="CK10" s="8"/>
      <c r="CL10" s="41" t="str">
        <f t="shared" ref="CL10:CQ10" si="31">CD10</f>
        <v/>
      </c>
      <c r="CM10" s="8" t="str">
        <f t="shared" si="31"/>
        <v/>
      </c>
      <c r="CN10" s="8" t="str">
        <f t="shared" si="31"/>
        <v/>
      </c>
      <c r="CO10" s="8" t="str">
        <f t="shared" si="31"/>
        <v/>
      </c>
      <c r="CP10" s="8" t="str">
        <f t="shared" si="31"/>
        <v/>
      </c>
      <c r="CQ10" s="8" t="str">
        <f t="shared" si="31"/>
        <v/>
      </c>
      <c r="CR10" s="8"/>
      <c r="CS10" s="8"/>
      <c r="CT10" s="41" t="str">
        <f t="shared" ref="CT10:CY10" si="32">CL10</f>
        <v/>
      </c>
      <c r="CU10" s="8" t="str">
        <f t="shared" si="32"/>
        <v/>
      </c>
      <c r="CV10" s="8" t="str">
        <f t="shared" si="32"/>
        <v/>
      </c>
      <c r="CW10" s="8" t="str">
        <f t="shared" si="32"/>
        <v/>
      </c>
      <c r="CX10" s="8" t="str">
        <f t="shared" si="32"/>
        <v/>
      </c>
      <c r="CY10" s="8" t="str">
        <f t="shared" si="32"/>
        <v/>
      </c>
      <c r="CZ10" s="8"/>
      <c r="DA10" s="8"/>
      <c r="DB10" s="41" t="str">
        <f t="shared" ref="DB10:DG10" si="33">CT10</f>
        <v/>
      </c>
      <c r="DC10" s="8" t="str">
        <f t="shared" si="33"/>
        <v/>
      </c>
      <c r="DD10" s="8" t="str">
        <f t="shared" si="33"/>
        <v/>
      </c>
      <c r="DE10" s="8" t="str">
        <f t="shared" si="33"/>
        <v/>
      </c>
      <c r="DF10" s="8" t="str">
        <f t="shared" si="33"/>
        <v/>
      </c>
      <c r="DG10" s="8" t="str">
        <f t="shared" si="33"/>
        <v/>
      </c>
      <c r="DH10" s="8"/>
      <c r="DI10" s="8"/>
      <c r="DJ10" s="41" t="str">
        <f t="shared" ref="DJ10:DO10" si="34">DB10</f>
        <v/>
      </c>
      <c r="DK10" s="8" t="str">
        <f t="shared" si="34"/>
        <v/>
      </c>
      <c r="DL10" s="8" t="str">
        <f t="shared" si="34"/>
        <v/>
      </c>
      <c r="DM10" s="8" t="str">
        <f t="shared" si="34"/>
        <v/>
      </c>
      <c r="DN10" s="8" t="str">
        <f t="shared" si="34"/>
        <v/>
      </c>
      <c r="DO10" s="8" t="str">
        <f t="shared" si="34"/>
        <v/>
      </c>
      <c r="DP10" s="8"/>
      <c r="DQ10" s="8"/>
      <c r="DR10" s="41" t="str">
        <f t="shared" ref="DR10:DW10" si="35">DJ10</f>
        <v/>
      </c>
      <c r="DS10" s="8" t="str">
        <f t="shared" si="35"/>
        <v/>
      </c>
      <c r="DT10" s="8" t="str">
        <f t="shared" si="35"/>
        <v/>
      </c>
      <c r="DU10" s="8" t="str">
        <f t="shared" si="35"/>
        <v/>
      </c>
      <c r="DV10" s="8" t="str">
        <f t="shared" si="35"/>
        <v/>
      </c>
      <c r="DW10" s="8" t="str">
        <f t="shared" si="35"/>
        <v/>
      </c>
      <c r="DX10" s="8"/>
      <c r="DY10" s="8"/>
      <c r="DZ10" s="41" t="str">
        <f t="shared" ref="DZ10:EE10" si="36">DR10</f>
        <v/>
      </c>
      <c r="EA10" s="8" t="str">
        <f t="shared" si="36"/>
        <v/>
      </c>
      <c r="EB10" s="8" t="str">
        <f t="shared" si="36"/>
        <v/>
      </c>
      <c r="EC10" s="8" t="str">
        <f t="shared" si="36"/>
        <v/>
      </c>
      <c r="ED10" s="8" t="str">
        <f t="shared" si="36"/>
        <v/>
      </c>
      <c r="EE10" s="8" t="str">
        <f t="shared" si="36"/>
        <v/>
      </c>
      <c r="EF10" s="8"/>
      <c r="EG10" s="8"/>
      <c r="EH10" s="41" t="str">
        <f t="shared" ref="EH10:EM10" si="37">DZ10</f>
        <v/>
      </c>
      <c r="EI10" s="8" t="str">
        <f t="shared" si="37"/>
        <v/>
      </c>
      <c r="EJ10" s="8" t="str">
        <f t="shared" si="37"/>
        <v/>
      </c>
      <c r="EK10" s="8" t="str">
        <f t="shared" si="37"/>
        <v/>
      </c>
      <c r="EL10" s="8" t="str">
        <f t="shared" si="37"/>
        <v/>
      </c>
      <c r="EM10" s="8" t="str">
        <f t="shared" si="37"/>
        <v/>
      </c>
      <c r="EN10" s="8"/>
      <c r="EO10" s="8"/>
      <c r="EP10" s="41" t="str">
        <f t="shared" ref="EP10:EU10" si="38">EH10</f>
        <v/>
      </c>
      <c r="EQ10" s="8" t="str">
        <f t="shared" si="38"/>
        <v/>
      </c>
      <c r="ER10" s="8" t="str">
        <f t="shared" si="38"/>
        <v/>
      </c>
      <c r="ES10" s="8" t="str">
        <f t="shared" si="38"/>
        <v/>
      </c>
      <c r="ET10" s="8" t="str">
        <f t="shared" si="38"/>
        <v/>
      </c>
      <c r="EU10" s="8" t="str">
        <f t="shared" si="38"/>
        <v/>
      </c>
      <c r="EV10" s="8"/>
      <c r="EW10" s="8"/>
      <c r="EX10" s="41" t="str">
        <f t="shared" ref="EX10:FC10" si="39">EP10</f>
        <v/>
      </c>
      <c r="EY10" s="8" t="str">
        <f t="shared" si="39"/>
        <v/>
      </c>
      <c r="EZ10" s="8" t="str">
        <f t="shared" si="39"/>
        <v/>
      </c>
      <c r="FA10" s="8" t="str">
        <f t="shared" si="39"/>
        <v/>
      </c>
      <c r="FB10" s="8" t="str">
        <f t="shared" si="39"/>
        <v/>
      </c>
      <c r="FC10" s="8" t="str">
        <f t="shared" si="39"/>
        <v/>
      </c>
      <c r="FD10" s="8"/>
      <c r="FE10" s="8"/>
      <c r="FF10" s="41" t="str">
        <f t="shared" ref="FF10:FK10" si="40">EX10</f>
        <v/>
      </c>
      <c r="FG10" s="8" t="str">
        <f t="shared" si="40"/>
        <v/>
      </c>
      <c r="FH10" s="8" t="str">
        <f t="shared" si="40"/>
        <v/>
      </c>
      <c r="FI10" s="8" t="str">
        <f t="shared" si="40"/>
        <v/>
      </c>
      <c r="FJ10" s="8" t="str">
        <f t="shared" si="40"/>
        <v/>
      </c>
      <c r="FK10" s="8" t="str">
        <f t="shared" si="40"/>
        <v/>
      </c>
      <c r="FL10" s="8"/>
      <c r="FM10" s="8"/>
    </row>
    <row r="11">
      <c r="A11" s="42"/>
      <c r="B11" s="41"/>
      <c r="C11" s="8"/>
      <c r="D11" s="8"/>
      <c r="E11" s="8"/>
      <c r="F11" s="8"/>
      <c r="G11" s="8"/>
      <c r="H11" s="8"/>
      <c r="I11" s="8"/>
      <c r="J11" s="41" t="str">
        <f t="shared" ref="J11:O11" si="41">B11</f>
        <v/>
      </c>
      <c r="K11" s="8" t="str">
        <f t="shared" si="41"/>
        <v/>
      </c>
      <c r="L11" s="8" t="str">
        <f t="shared" si="41"/>
        <v/>
      </c>
      <c r="M11" s="8" t="str">
        <f t="shared" si="41"/>
        <v/>
      </c>
      <c r="N11" s="8" t="str">
        <f t="shared" si="41"/>
        <v/>
      </c>
      <c r="O11" s="8" t="str">
        <f t="shared" si="41"/>
        <v/>
      </c>
      <c r="P11" s="8"/>
      <c r="Q11" s="8"/>
      <c r="R11" s="41" t="str">
        <f t="shared" ref="R11:W11" si="42">J11</f>
        <v/>
      </c>
      <c r="S11" s="8" t="str">
        <f t="shared" si="42"/>
        <v/>
      </c>
      <c r="T11" s="8" t="str">
        <f t="shared" si="42"/>
        <v/>
      </c>
      <c r="U11" s="8" t="str">
        <f t="shared" si="42"/>
        <v/>
      </c>
      <c r="V11" s="8" t="str">
        <f t="shared" si="42"/>
        <v/>
      </c>
      <c r="W11" s="8" t="str">
        <f t="shared" si="42"/>
        <v/>
      </c>
      <c r="X11" s="8"/>
      <c r="Y11" s="8"/>
      <c r="Z11" s="41" t="str">
        <f t="shared" ref="Z11:AE11" si="43">R11</f>
        <v/>
      </c>
      <c r="AA11" s="8" t="str">
        <f t="shared" si="43"/>
        <v/>
      </c>
      <c r="AB11" s="8" t="str">
        <f t="shared" si="43"/>
        <v/>
      </c>
      <c r="AC11" s="8" t="str">
        <f t="shared" si="43"/>
        <v/>
      </c>
      <c r="AD11" s="8" t="str">
        <f t="shared" si="43"/>
        <v/>
      </c>
      <c r="AE11" s="8" t="str">
        <f t="shared" si="43"/>
        <v/>
      </c>
      <c r="AF11" s="8"/>
      <c r="AG11" s="8"/>
      <c r="AH11" s="41" t="str">
        <f t="shared" ref="AH11:AM11" si="44">Z11</f>
        <v/>
      </c>
      <c r="AI11" s="8" t="str">
        <f t="shared" si="44"/>
        <v/>
      </c>
      <c r="AJ11" s="8" t="str">
        <f t="shared" si="44"/>
        <v/>
      </c>
      <c r="AK11" s="8" t="str">
        <f t="shared" si="44"/>
        <v/>
      </c>
      <c r="AL11" s="8" t="str">
        <f t="shared" si="44"/>
        <v/>
      </c>
      <c r="AM11" s="8" t="str">
        <f t="shared" si="44"/>
        <v/>
      </c>
      <c r="AN11" s="8"/>
      <c r="AO11" s="8"/>
      <c r="AP11" s="41" t="str">
        <f t="shared" ref="AP11:AU11" si="45">AH11</f>
        <v/>
      </c>
      <c r="AQ11" s="8" t="str">
        <f t="shared" si="45"/>
        <v/>
      </c>
      <c r="AR11" s="8" t="str">
        <f t="shared" si="45"/>
        <v/>
      </c>
      <c r="AS11" s="8" t="str">
        <f t="shared" si="45"/>
        <v/>
      </c>
      <c r="AT11" s="8" t="str">
        <f t="shared" si="45"/>
        <v/>
      </c>
      <c r="AU11" s="8" t="str">
        <f t="shared" si="45"/>
        <v/>
      </c>
      <c r="AV11" s="8"/>
      <c r="AW11" s="8"/>
      <c r="AX11" s="41" t="str">
        <f t="shared" ref="AX11:BC11" si="46">AP11</f>
        <v/>
      </c>
      <c r="AY11" s="8" t="str">
        <f t="shared" si="46"/>
        <v/>
      </c>
      <c r="AZ11" s="8" t="str">
        <f t="shared" si="46"/>
        <v/>
      </c>
      <c r="BA11" s="8" t="str">
        <f t="shared" si="46"/>
        <v/>
      </c>
      <c r="BB11" s="8" t="str">
        <f t="shared" si="46"/>
        <v/>
      </c>
      <c r="BC11" s="8" t="str">
        <f t="shared" si="46"/>
        <v/>
      </c>
      <c r="BD11" s="8"/>
      <c r="BE11" s="8"/>
      <c r="BF11" s="41" t="str">
        <f t="shared" ref="BF11:BK11" si="47">AX11</f>
        <v/>
      </c>
      <c r="BG11" s="8" t="str">
        <f t="shared" si="47"/>
        <v/>
      </c>
      <c r="BH11" s="8" t="str">
        <f t="shared" si="47"/>
        <v/>
      </c>
      <c r="BI11" s="8" t="str">
        <f t="shared" si="47"/>
        <v/>
      </c>
      <c r="BJ11" s="8" t="str">
        <f t="shared" si="47"/>
        <v/>
      </c>
      <c r="BK11" s="8" t="str">
        <f t="shared" si="47"/>
        <v/>
      </c>
      <c r="BL11" s="8"/>
      <c r="BM11" s="8"/>
      <c r="BN11" s="41" t="str">
        <f t="shared" ref="BN11:BS11" si="48">BF11</f>
        <v/>
      </c>
      <c r="BO11" s="8" t="str">
        <f t="shared" si="48"/>
        <v/>
      </c>
      <c r="BP11" s="8" t="str">
        <f t="shared" si="48"/>
        <v/>
      </c>
      <c r="BQ11" s="8" t="str">
        <f t="shared" si="48"/>
        <v/>
      </c>
      <c r="BR11" s="8" t="str">
        <f t="shared" si="48"/>
        <v/>
      </c>
      <c r="BS11" s="8" t="str">
        <f t="shared" si="48"/>
        <v/>
      </c>
      <c r="BT11" s="8"/>
      <c r="BU11" s="8"/>
      <c r="BV11" s="41" t="str">
        <f t="shared" ref="BV11:CA11" si="49">BN11</f>
        <v/>
      </c>
      <c r="BW11" s="8" t="str">
        <f t="shared" si="49"/>
        <v/>
      </c>
      <c r="BX11" s="8" t="str">
        <f t="shared" si="49"/>
        <v/>
      </c>
      <c r="BY11" s="8" t="str">
        <f t="shared" si="49"/>
        <v/>
      </c>
      <c r="BZ11" s="8" t="str">
        <f t="shared" si="49"/>
        <v/>
      </c>
      <c r="CA11" s="8" t="str">
        <f t="shared" si="49"/>
        <v/>
      </c>
      <c r="CB11" s="8"/>
      <c r="CC11" s="8"/>
      <c r="CD11" s="41" t="str">
        <f t="shared" ref="CD11:CI11" si="50">BV11</f>
        <v/>
      </c>
      <c r="CE11" s="8" t="str">
        <f t="shared" si="50"/>
        <v/>
      </c>
      <c r="CF11" s="8" t="str">
        <f t="shared" si="50"/>
        <v/>
      </c>
      <c r="CG11" s="8" t="str">
        <f t="shared" si="50"/>
        <v/>
      </c>
      <c r="CH11" s="8" t="str">
        <f t="shared" si="50"/>
        <v/>
      </c>
      <c r="CI11" s="8" t="str">
        <f t="shared" si="50"/>
        <v/>
      </c>
      <c r="CJ11" s="8"/>
      <c r="CK11" s="8"/>
      <c r="CL11" s="41" t="str">
        <f t="shared" ref="CL11:CQ11" si="51">CD11</f>
        <v/>
      </c>
      <c r="CM11" s="8" t="str">
        <f t="shared" si="51"/>
        <v/>
      </c>
      <c r="CN11" s="8" t="str">
        <f t="shared" si="51"/>
        <v/>
      </c>
      <c r="CO11" s="8" t="str">
        <f t="shared" si="51"/>
        <v/>
      </c>
      <c r="CP11" s="8" t="str">
        <f t="shared" si="51"/>
        <v/>
      </c>
      <c r="CQ11" s="8" t="str">
        <f t="shared" si="51"/>
        <v/>
      </c>
      <c r="CR11" s="8"/>
      <c r="CS11" s="8"/>
      <c r="CT11" s="41" t="str">
        <f t="shared" ref="CT11:CY11" si="52">CL11</f>
        <v/>
      </c>
      <c r="CU11" s="8" t="str">
        <f t="shared" si="52"/>
        <v/>
      </c>
      <c r="CV11" s="8" t="str">
        <f t="shared" si="52"/>
        <v/>
      </c>
      <c r="CW11" s="8" t="str">
        <f t="shared" si="52"/>
        <v/>
      </c>
      <c r="CX11" s="8" t="str">
        <f t="shared" si="52"/>
        <v/>
      </c>
      <c r="CY11" s="8" t="str">
        <f t="shared" si="52"/>
        <v/>
      </c>
      <c r="CZ11" s="8"/>
      <c r="DA11" s="8"/>
      <c r="DB11" s="41" t="str">
        <f t="shared" ref="DB11:DG11" si="53">CT11</f>
        <v/>
      </c>
      <c r="DC11" s="8" t="str">
        <f t="shared" si="53"/>
        <v/>
      </c>
      <c r="DD11" s="8" t="str">
        <f t="shared" si="53"/>
        <v/>
      </c>
      <c r="DE11" s="8" t="str">
        <f t="shared" si="53"/>
        <v/>
      </c>
      <c r="DF11" s="8" t="str">
        <f t="shared" si="53"/>
        <v/>
      </c>
      <c r="DG11" s="8" t="str">
        <f t="shared" si="53"/>
        <v/>
      </c>
      <c r="DH11" s="8"/>
      <c r="DI11" s="8"/>
      <c r="DJ11" s="41" t="str">
        <f t="shared" ref="DJ11:DO11" si="54">DB11</f>
        <v/>
      </c>
      <c r="DK11" s="8" t="str">
        <f t="shared" si="54"/>
        <v/>
      </c>
      <c r="DL11" s="8" t="str">
        <f t="shared" si="54"/>
        <v/>
      </c>
      <c r="DM11" s="8" t="str">
        <f t="shared" si="54"/>
        <v/>
      </c>
      <c r="DN11" s="8" t="str">
        <f t="shared" si="54"/>
        <v/>
      </c>
      <c r="DO11" s="8" t="str">
        <f t="shared" si="54"/>
        <v/>
      </c>
      <c r="DP11" s="8"/>
      <c r="DQ11" s="8"/>
      <c r="DR11" s="41" t="str">
        <f t="shared" ref="DR11:DW11" si="55">DJ11</f>
        <v/>
      </c>
      <c r="DS11" s="8" t="str">
        <f t="shared" si="55"/>
        <v/>
      </c>
      <c r="DT11" s="8" t="str">
        <f t="shared" si="55"/>
        <v/>
      </c>
      <c r="DU11" s="8" t="str">
        <f t="shared" si="55"/>
        <v/>
      </c>
      <c r="DV11" s="8" t="str">
        <f t="shared" si="55"/>
        <v/>
      </c>
      <c r="DW11" s="8" t="str">
        <f t="shared" si="55"/>
        <v/>
      </c>
      <c r="DX11" s="8"/>
      <c r="DY11" s="8"/>
      <c r="DZ11" s="41" t="str">
        <f t="shared" ref="DZ11:EE11" si="56">DR11</f>
        <v/>
      </c>
      <c r="EA11" s="8" t="str">
        <f t="shared" si="56"/>
        <v/>
      </c>
      <c r="EB11" s="8" t="str">
        <f t="shared" si="56"/>
        <v/>
      </c>
      <c r="EC11" s="8" t="str">
        <f t="shared" si="56"/>
        <v/>
      </c>
      <c r="ED11" s="8" t="str">
        <f t="shared" si="56"/>
        <v/>
      </c>
      <c r="EE11" s="8" t="str">
        <f t="shared" si="56"/>
        <v/>
      </c>
      <c r="EF11" s="8"/>
      <c r="EG11" s="8"/>
      <c r="EH11" s="41" t="str">
        <f t="shared" ref="EH11:EM11" si="57">DZ11</f>
        <v/>
      </c>
      <c r="EI11" s="8" t="str">
        <f t="shared" si="57"/>
        <v/>
      </c>
      <c r="EJ11" s="8" t="str">
        <f t="shared" si="57"/>
        <v/>
      </c>
      <c r="EK11" s="8" t="str">
        <f t="shared" si="57"/>
        <v/>
      </c>
      <c r="EL11" s="8" t="str">
        <f t="shared" si="57"/>
        <v/>
      </c>
      <c r="EM11" s="8" t="str">
        <f t="shared" si="57"/>
        <v/>
      </c>
      <c r="EN11" s="8"/>
      <c r="EO11" s="8"/>
      <c r="EP11" s="41" t="str">
        <f t="shared" ref="EP11:EU11" si="58">EH11</f>
        <v/>
      </c>
      <c r="EQ11" s="8" t="str">
        <f t="shared" si="58"/>
        <v/>
      </c>
      <c r="ER11" s="8" t="str">
        <f t="shared" si="58"/>
        <v/>
      </c>
      <c r="ES11" s="8" t="str">
        <f t="shared" si="58"/>
        <v/>
      </c>
      <c r="ET11" s="8" t="str">
        <f t="shared" si="58"/>
        <v/>
      </c>
      <c r="EU11" s="8" t="str">
        <f t="shared" si="58"/>
        <v/>
      </c>
      <c r="EV11" s="8"/>
      <c r="EW11" s="8"/>
      <c r="EX11" s="41" t="str">
        <f t="shared" ref="EX11:FC11" si="59">EP11</f>
        <v/>
      </c>
      <c r="EY11" s="8" t="str">
        <f t="shared" si="59"/>
        <v/>
      </c>
      <c r="EZ11" s="8" t="str">
        <f t="shared" si="59"/>
        <v/>
      </c>
      <c r="FA11" s="8" t="str">
        <f t="shared" si="59"/>
        <v/>
      </c>
      <c r="FB11" s="8" t="str">
        <f t="shared" si="59"/>
        <v/>
      </c>
      <c r="FC11" s="8" t="str">
        <f t="shared" si="59"/>
        <v/>
      </c>
      <c r="FD11" s="8"/>
      <c r="FE11" s="8"/>
      <c r="FF11" s="41" t="str">
        <f t="shared" ref="FF11:FK11" si="60">EX11</f>
        <v/>
      </c>
      <c r="FG11" s="8" t="str">
        <f t="shared" si="60"/>
        <v/>
      </c>
      <c r="FH11" s="8" t="str">
        <f t="shared" si="60"/>
        <v/>
      </c>
      <c r="FI11" s="8" t="str">
        <f t="shared" si="60"/>
        <v/>
      </c>
      <c r="FJ11" s="8" t="str">
        <f t="shared" si="60"/>
        <v/>
      </c>
      <c r="FK11" s="8" t="str">
        <f t="shared" si="60"/>
        <v/>
      </c>
      <c r="FL11" s="8"/>
      <c r="FM11" s="8"/>
    </row>
    <row r="12">
      <c r="A12" s="43"/>
      <c r="B12" s="44"/>
      <c r="C12" s="45"/>
      <c r="D12" s="45"/>
      <c r="E12" s="45"/>
      <c r="F12" s="45"/>
      <c r="G12" s="45"/>
      <c r="H12" s="45"/>
      <c r="I12" s="45"/>
      <c r="J12" s="44" t="str">
        <f t="shared" ref="J12:O12" si="61">B12</f>
        <v/>
      </c>
      <c r="K12" s="45" t="str">
        <f t="shared" si="61"/>
        <v/>
      </c>
      <c r="L12" s="45" t="str">
        <f t="shared" si="61"/>
        <v/>
      </c>
      <c r="M12" s="45" t="str">
        <f t="shared" si="61"/>
        <v/>
      </c>
      <c r="N12" s="45" t="str">
        <f t="shared" si="61"/>
        <v/>
      </c>
      <c r="O12" s="45" t="str">
        <f t="shared" si="61"/>
        <v/>
      </c>
      <c r="P12" s="45"/>
      <c r="Q12" s="45"/>
      <c r="R12" s="44" t="str">
        <f t="shared" ref="R12:W12" si="62">J12</f>
        <v/>
      </c>
      <c r="S12" s="45" t="str">
        <f t="shared" si="62"/>
        <v/>
      </c>
      <c r="T12" s="45" t="str">
        <f t="shared" si="62"/>
        <v/>
      </c>
      <c r="U12" s="45" t="str">
        <f t="shared" si="62"/>
        <v/>
      </c>
      <c r="V12" s="45" t="str">
        <f t="shared" si="62"/>
        <v/>
      </c>
      <c r="W12" s="45" t="str">
        <f t="shared" si="62"/>
        <v/>
      </c>
      <c r="X12" s="45"/>
      <c r="Y12" s="45"/>
      <c r="Z12" s="44" t="str">
        <f t="shared" ref="Z12:AE12" si="63">R12</f>
        <v/>
      </c>
      <c r="AA12" s="45" t="str">
        <f t="shared" si="63"/>
        <v/>
      </c>
      <c r="AB12" s="45" t="str">
        <f t="shared" si="63"/>
        <v/>
      </c>
      <c r="AC12" s="45" t="str">
        <f t="shared" si="63"/>
        <v/>
      </c>
      <c r="AD12" s="45" t="str">
        <f t="shared" si="63"/>
        <v/>
      </c>
      <c r="AE12" s="45" t="str">
        <f t="shared" si="63"/>
        <v/>
      </c>
      <c r="AF12" s="45"/>
      <c r="AG12" s="45"/>
      <c r="AH12" s="44" t="str">
        <f t="shared" ref="AH12:AM12" si="64">Z12</f>
        <v/>
      </c>
      <c r="AI12" s="45" t="str">
        <f t="shared" si="64"/>
        <v/>
      </c>
      <c r="AJ12" s="45" t="str">
        <f t="shared" si="64"/>
        <v/>
      </c>
      <c r="AK12" s="45" t="str">
        <f t="shared" si="64"/>
        <v/>
      </c>
      <c r="AL12" s="45" t="str">
        <f t="shared" si="64"/>
        <v/>
      </c>
      <c r="AM12" s="45" t="str">
        <f t="shared" si="64"/>
        <v/>
      </c>
      <c r="AN12" s="45"/>
      <c r="AO12" s="45"/>
      <c r="AP12" s="44" t="str">
        <f t="shared" ref="AP12:AU12" si="65">AH12</f>
        <v/>
      </c>
      <c r="AQ12" s="45" t="str">
        <f t="shared" si="65"/>
        <v/>
      </c>
      <c r="AR12" s="45" t="str">
        <f t="shared" si="65"/>
        <v/>
      </c>
      <c r="AS12" s="45" t="str">
        <f t="shared" si="65"/>
        <v/>
      </c>
      <c r="AT12" s="45" t="str">
        <f t="shared" si="65"/>
        <v/>
      </c>
      <c r="AU12" s="45" t="str">
        <f t="shared" si="65"/>
        <v/>
      </c>
      <c r="AV12" s="45"/>
      <c r="AW12" s="45"/>
      <c r="AX12" s="44" t="str">
        <f t="shared" ref="AX12:BC12" si="66">AP12</f>
        <v/>
      </c>
      <c r="AY12" s="45" t="str">
        <f t="shared" si="66"/>
        <v/>
      </c>
      <c r="AZ12" s="45" t="str">
        <f t="shared" si="66"/>
        <v/>
      </c>
      <c r="BA12" s="45" t="str">
        <f t="shared" si="66"/>
        <v/>
      </c>
      <c r="BB12" s="45" t="str">
        <f t="shared" si="66"/>
        <v/>
      </c>
      <c r="BC12" s="45" t="str">
        <f t="shared" si="66"/>
        <v/>
      </c>
      <c r="BD12" s="45"/>
      <c r="BE12" s="45"/>
      <c r="BF12" s="44" t="str">
        <f t="shared" ref="BF12:BK12" si="67">AX12</f>
        <v/>
      </c>
      <c r="BG12" s="45" t="str">
        <f t="shared" si="67"/>
        <v/>
      </c>
      <c r="BH12" s="45" t="str">
        <f t="shared" si="67"/>
        <v/>
      </c>
      <c r="BI12" s="45" t="str">
        <f t="shared" si="67"/>
        <v/>
      </c>
      <c r="BJ12" s="45" t="str">
        <f t="shared" si="67"/>
        <v/>
      </c>
      <c r="BK12" s="45" t="str">
        <f t="shared" si="67"/>
        <v/>
      </c>
      <c r="BL12" s="45"/>
      <c r="BM12" s="45"/>
      <c r="BN12" s="44" t="str">
        <f t="shared" ref="BN12:BS12" si="68">BF12</f>
        <v/>
      </c>
      <c r="BO12" s="45" t="str">
        <f t="shared" si="68"/>
        <v/>
      </c>
      <c r="BP12" s="45" t="str">
        <f t="shared" si="68"/>
        <v/>
      </c>
      <c r="BQ12" s="45" t="str">
        <f t="shared" si="68"/>
        <v/>
      </c>
      <c r="BR12" s="45" t="str">
        <f t="shared" si="68"/>
        <v/>
      </c>
      <c r="BS12" s="45" t="str">
        <f t="shared" si="68"/>
        <v/>
      </c>
      <c r="BT12" s="45"/>
      <c r="BU12" s="45"/>
      <c r="BV12" s="44" t="str">
        <f t="shared" ref="BV12:CA12" si="69">BN12</f>
        <v/>
      </c>
      <c r="BW12" s="45" t="str">
        <f t="shared" si="69"/>
        <v/>
      </c>
      <c r="BX12" s="45" t="str">
        <f t="shared" si="69"/>
        <v/>
      </c>
      <c r="BY12" s="45" t="str">
        <f t="shared" si="69"/>
        <v/>
      </c>
      <c r="BZ12" s="45" t="str">
        <f t="shared" si="69"/>
        <v/>
      </c>
      <c r="CA12" s="45" t="str">
        <f t="shared" si="69"/>
        <v/>
      </c>
      <c r="CB12" s="45"/>
      <c r="CC12" s="45"/>
      <c r="CD12" s="44" t="str">
        <f t="shared" ref="CD12:CI12" si="70">BV12</f>
        <v/>
      </c>
      <c r="CE12" s="45" t="str">
        <f t="shared" si="70"/>
        <v/>
      </c>
      <c r="CF12" s="45" t="str">
        <f t="shared" si="70"/>
        <v/>
      </c>
      <c r="CG12" s="45" t="str">
        <f t="shared" si="70"/>
        <v/>
      </c>
      <c r="CH12" s="45" t="str">
        <f t="shared" si="70"/>
        <v/>
      </c>
      <c r="CI12" s="45" t="str">
        <f t="shared" si="70"/>
        <v/>
      </c>
      <c r="CJ12" s="45"/>
      <c r="CK12" s="45"/>
      <c r="CL12" s="44" t="str">
        <f t="shared" ref="CL12:CQ12" si="71">CD12</f>
        <v/>
      </c>
      <c r="CM12" s="45" t="str">
        <f t="shared" si="71"/>
        <v/>
      </c>
      <c r="CN12" s="45" t="str">
        <f t="shared" si="71"/>
        <v/>
      </c>
      <c r="CO12" s="45" t="str">
        <f t="shared" si="71"/>
        <v/>
      </c>
      <c r="CP12" s="45" t="str">
        <f t="shared" si="71"/>
        <v/>
      </c>
      <c r="CQ12" s="45" t="str">
        <f t="shared" si="71"/>
        <v/>
      </c>
      <c r="CR12" s="45"/>
      <c r="CS12" s="45"/>
      <c r="CT12" s="44" t="str">
        <f t="shared" ref="CT12:CY12" si="72">CL12</f>
        <v/>
      </c>
      <c r="CU12" s="45" t="str">
        <f t="shared" si="72"/>
        <v/>
      </c>
      <c r="CV12" s="45" t="str">
        <f t="shared" si="72"/>
        <v/>
      </c>
      <c r="CW12" s="45" t="str">
        <f t="shared" si="72"/>
        <v/>
      </c>
      <c r="CX12" s="45" t="str">
        <f t="shared" si="72"/>
        <v/>
      </c>
      <c r="CY12" s="45" t="str">
        <f t="shared" si="72"/>
        <v/>
      </c>
      <c r="CZ12" s="45"/>
      <c r="DA12" s="45"/>
      <c r="DB12" s="44" t="str">
        <f t="shared" ref="DB12:DG12" si="73">CT12</f>
        <v/>
      </c>
      <c r="DC12" s="45" t="str">
        <f t="shared" si="73"/>
        <v/>
      </c>
      <c r="DD12" s="45" t="str">
        <f t="shared" si="73"/>
        <v/>
      </c>
      <c r="DE12" s="45" t="str">
        <f t="shared" si="73"/>
        <v/>
      </c>
      <c r="DF12" s="45" t="str">
        <f t="shared" si="73"/>
        <v/>
      </c>
      <c r="DG12" s="45" t="str">
        <f t="shared" si="73"/>
        <v/>
      </c>
      <c r="DH12" s="45"/>
      <c r="DI12" s="45"/>
      <c r="DJ12" s="44" t="str">
        <f t="shared" ref="DJ12:DO12" si="74">DB12</f>
        <v/>
      </c>
      <c r="DK12" s="45" t="str">
        <f t="shared" si="74"/>
        <v/>
      </c>
      <c r="DL12" s="45" t="str">
        <f t="shared" si="74"/>
        <v/>
      </c>
      <c r="DM12" s="45" t="str">
        <f t="shared" si="74"/>
        <v/>
      </c>
      <c r="DN12" s="45" t="str">
        <f t="shared" si="74"/>
        <v/>
      </c>
      <c r="DO12" s="45" t="str">
        <f t="shared" si="74"/>
        <v/>
      </c>
      <c r="DP12" s="45"/>
      <c r="DQ12" s="45"/>
      <c r="DR12" s="44" t="str">
        <f t="shared" ref="DR12:DW12" si="75">DJ12</f>
        <v/>
      </c>
      <c r="DS12" s="45" t="str">
        <f t="shared" si="75"/>
        <v/>
      </c>
      <c r="DT12" s="45" t="str">
        <f t="shared" si="75"/>
        <v/>
      </c>
      <c r="DU12" s="45" t="str">
        <f t="shared" si="75"/>
        <v/>
      </c>
      <c r="DV12" s="45" t="str">
        <f t="shared" si="75"/>
        <v/>
      </c>
      <c r="DW12" s="45" t="str">
        <f t="shared" si="75"/>
        <v/>
      </c>
      <c r="DX12" s="45"/>
      <c r="DY12" s="45"/>
      <c r="DZ12" s="44" t="str">
        <f t="shared" ref="DZ12:EE12" si="76">DR12</f>
        <v/>
      </c>
      <c r="EA12" s="45" t="str">
        <f t="shared" si="76"/>
        <v/>
      </c>
      <c r="EB12" s="45" t="str">
        <f t="shared" si="76"/>
        <v/>
      </c>
      <c r="EC12" s="45" t="str">
        <f t="shared" si="76"/>
        <v/>
      </c>
      <c r="ED12" s="45" t="str">
        <f t="shared" si="76"/>
        <v/>
      </c>
      <c r="EE12" s="45" t="str">
        <f t="shared" si="76"/>
        <v/>
      </c>
      <c r="EF12" s="45"/>
      <c r="EG12" s="45"/>
      <c r="EH12" s="44" t="str">
        <f t="shared" ref="EH12:EM12" si="77">DZ12</f>
        <v/>
      </c>
      <c r="EI12" s="45" t="str">
        <f t="shared" si="77"/>
        <v/>
      </c>
      <c r="EJ12" s="45" t="str">
        <f t="shared" si="77"/>
        <v/>
      </c>
      <c r="EK12" s="45" t="str">
        <f t="shared" si="77"/>
        <v/>
      </c>
      <c r="EL12" s="45" t="str">
        <f t="shared" si="77"/>
        <v/>
      </c>
      <c r="EM12" s="45" t="str">
        <f t="shared" si="77"/>
        <v/>
      </c>
      <c r="EN12" s="45"/>
      <c r="EO12" s="45"/>
      <c r="EP12" s="44" t="str">
        <f t="shared" ref="EP12:EU12" si="78">EH12</f>
        <v/>
      </c>
      <c r="EQ12" s="45" t="str">
        <f t="shared" si="78"/>
        <v/>
      </c>
      <c r="ER12" s="45" t="str">
        <f t="shared" si="78"/>
        <v/>
      </c>
      <c r="ES12" s="45" t="str">
        <f t="shared" si="78"/>
        <v/>
      </c>
      <c r="ET12" s="45" t="str">
        <f t="shared" si="78"/>
        <v/>
      </c>
      <c r="EU12" s="45" t="str">
        <f t="shared" si="78"/>
        <v/>
      </c>
      <c r="EV12" s="45"/>
      <c r="EW12" s="45"/>
      <c r="EX12" s="44" t="str">
        <f t="shared" ref="EX12:FC12" si="79">EP12</f>
        <v/>
      </c>
      <c r="EY12" s="45" t="str">
        <f t="shared" si="79"/>
        <v/>
      </c>
      <c r="EZ12" s="45" t="str">
        <f t="shared" si="79"/>
        <v/>
      </c>
      <c r="FA12" s="45" t="str">
        <f t="shared" si="79"/>
        <v/>
      </c>
      <c r="FB12" s="45" t="str">
        <f t="shared" si="79"/>
        <v/>
      </c>
      <c r="FC12" s="45" t="str">
        <f t="shared" si="79"/>
        <v/>
      </c>
      <c r="FD12" s="45"/>
      <c r="FE12" s="45"/>
      <c r="FF12" s="44" t="str">
        <f t="shared" ref="FF12:FK12" si="80">EX12</f>
        <v/>
      </c>
      <c r="FG12" s="45" t="str">
        <f t="shared" si="80"/>
        <v/>
      </c>
      <c r="FH12" s="45" t="str">
        <f t="shared" si="80"/>
        <v/>
      </c>
      <c r="FI12" s="45" t="str">
        <f t="shared" si="80"/>
        <v/>
      </c>
      <c r="FJ12" s="45" t="str">
        <f t="shared" si="80"/>
        <v/>
      </c>
      <c r="FK12" s="45" t="str">
        <f t="shared" si="80"/>
        <v/>
      </c>
      <c r="FL12" s="45"/>
      <c r="FM12" s="45"/>
    </row>
    <row r="13">
      <c r="A13" s="2"/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31" t="s">
        <v>82</v>
      </c>
      <c r="B14" s="32"/>
      <c r="C14" s="33"/>
      <c r="D14" s="33"/>
      <c r="E14" s="33"/>
      <c r="F14" s="33"/>
      <c r="G14" s="33"/>
      <c r="H14" s="33"/>
      <c r="I14" s="33"/>
      <c r="J14" s="32"/>
      <c r="K14" s="33"/>
      <c r="L14" s="33"/>
      <c r="M14" s="33"/>
      <c r="N14" s="33"/>
      <c r="O14" s="33"/>
      <c r="P14" s="33"/>
      <c r="Q14" s="33"/>
      <c r="R14" s="32"/>
      <c r="S14" s="33"/>
      <c r="T14" s="33"/>
      <c r="U14" s="33"/>
      <c r="V14" s="33"/>
      <c r="W14" s="33"/>
      <c r="X14" s="33"/>
      <c r="Y14" s="33"/>
      <c r="Z14" s="32"/>
      <c r="AA14" s="33"/>
      <c r="AB14" s="33"/>
      <c r="AC14" s="33"/>
      <c r="AD14" s="33"/>
      <c r="AE14" s="33"/>
      <c r="AF14" s="33"/>
      <c r="AG14" s="33"/>
      <c r="AH14" s="32"/>
      <c r="AI14" s="33"/>
      <c r="AJ14" s="33"/>
      <c r="AK14" s="33"/>
      <c r="AL14" s="33"/>
      <c r="AM14" s="33"/>
      <c r="AN14" s="33"/>
      <c r="AO14" s="33"/>
      <c r="AP14" s="32"/>
      <c r="AQ14" s="33"/>
      <c r="AR14" s="33"/>
      <c r="AS14" s="33"/>
      <c r="AT14" s="33"/>
      <c r="AU14" s="33"/>
      <c r="AV14" s="33"/>
      <c r="AW14" s="33"/>
      <c r="AX14" s="32"/>
      <c r="AY14" s="33"/>
      <c r="AZ14" s="33"/>
      <c r="BA14" s="33"/>
      <c r="BB14" s="33"/>
      <c r="BC14" s="33"/>
      <c r="BD14" s="33"/>
      <c r="BE14" s="33"/>
      <c r="BF14" s="32"/>
      <c r="BG14" s="33"/>
      <c r="BH14" s="33"/>
      <c r="BI14" s="33"/>
      <c r="BJ14" s="33"/>
      <c r="BK14" s="33"/>
      <c r="BL14" s="33"/>
      <c r="BM14" s="33"/>
      <c r="BN14" s="32"/>
      <c r="BO14" s="33"/>
      <c r="BP14" s="33"/>
      <c r="BQ14" s="33"/>
      <c r="BR14" s="33"/>
      <c r="BS14" s="33"/>
      <c r="BT14" s="33"/>
      <c r="BU14" s="33"/>
      <c r="BV14" s="32"/>
      <c r="BW14" s="33"/>
      <c r="BX14" s="33"/>
      <c r="BY14" s="33"/>
      <c r="BZ14" s="33"/>
      <c r="CA14" s="33"/>
      <c r="CB14" s="33"/>
      <c r="CC14" s="33"/>
      <c r="CD14" s="32"/>
      <c r="CE14" s="33"/>
      <c r="CF14" s="33"/>
      <c r="CG14" s="33"/>
      <c r="CH14" s="33"/>
      <c r="CI14" s="33"/>
      <c r="CJ14" s="33"/>
      <c r="CK14" s="33"/>
      <c r="CL14" s="32"/>
      <c r="CM14" s="33"/>
      <c r="CN14" s="33"/>
      <c r="CO14" s="33"/>
      <c r="CP14" s="33"/>
      <c r="CQ14" s="33"/>
      <c r="CR14" s="33"/>
      <c r="CS14" s="33"/>
      <c r="CT14" s="32"/>
      <c r="CU14" s="33"/>
      <c r="CV14" s="33"/>
      <c r="CW14" s="33"/>
      <c r="CX14" s="33"/>
      <c r="CY14" s="33"/>
      <c r="CZ14" s="33"/>
      <c r="DA14" s="33"/>
      <c r="DB14" s="32"/>
      <c r="DC14" s="33"/>
      <c r="DD14" s="33"/>
      <c r="DE14" s="33"/>
      <c r="DF14" s="33"/>
      <c r="DG14" s="33"/>
      <c r="DH14" s="33"/>
      <c r="DI14" s="33"/>
      <c r="DJ14" s="32"/>
      <c r="DK14" s="33"/>
      <c r="DL14" s="33"/>
      <c r="DM14" s="33"/>
      <c r="DN14" s="33"/>
      <c r="DO14" s="33"/>
      <c r="DP14" s="33"/>
      <c r="DQ14" s="33"/>
      <c r="DR14" s="32"/>
      <c r="DS14" s="33"/>
      <c r="DT14" s="33"/>
      <c r="DU14" s="33"/>
      <c r="DV14" s="33"/>
      <c r="DW14" s="33"/>
      <c r="DX14" s="33"/>
      <c r="DY14" s="33"/>
      <c r="DZ14" s="32"/>
      <c r="EA14" s="33"/>
      <c r="EB14" s="33"/>
      <c r="EC14" s="33"/>
      <c r="ED14" s="33"/>
      <c r="EE14" s="33"/>
      <c r="EF14" s="33"/>
      <c r="EG14" s="33"/>
      <c r="EH14" s="32"/>
      <c r="EI14" s="33"/>
      <c r="EJ14" s="33"/>
      <c r="EK14" s="33"/>
      <c r="EL14" s="33"/>
      <c r="EM14" s="33"/>
      <c r="EN14" s="33"/>
      <c r="EO14" s="33"/>
      <c r="EP14" s="32"/>
      <c r="EQ14" s="33"/>
      <c r="ER14" s="33"/>
      <c r="ES14" s="33"/>
      <c r="ET14" s="33"/>
      <c r="EU14" s="33"/>
      <c r="EV14" s="33"/>
      <c r="EW14" s="33"/>
      <c r="EX14" s="34" t="s">
        <v>79</v>
      </c>
      <c r="EY14" s="35"/>
      <c r="EZ14" s="35"/>
      <c r="FA14" s="35"/>
      <c r="FB14" s="35"/>
      <c r="FC14" s="35"/>
      <c r="FD14" s="35"/>
      <c r="FE14" s="35"/>
      <c r="FF14" s="32"/>
      <c r="FG14" s="33"/>
      <c r="FH14" s="33"/>
      <c r="FI14" s="33"/>
      <c r="FJ14" s="33"/>
      <c r="FK14" s="33"/>
      <c r="FL14" s="33"/>
      <c r="FM14" s="33"/>
    </row>
    <row r="15" hidden="1">
      <c r="A15" s="36" t="str">
        <f>CONCATENATE(A16," TM")</f>
        <v>Bench Press TM</v>
      </c>
      <c r="B15" s="37">
        <f>if(D15="",'Quick Setup'!D6,D15/'Quick Setup'!E6)</f>
        <v>325</v>
      </c>
      <c r="C15" s="36" t="s">
        <v>77</v>
      </c>
      <c r="D15" s="38"/>
      <c r="E15" s="39"/>
      <c r="F15" s="39"/>
      <c r="G15" s="39"/>
      <c r="H15" s="39"/>
      <c r="I15" s="39"/>
      <c r="J15" s="37">
        <f>if(L15="", if(F16="",B15, if((F16-E16)&lt;-1.9,B15*(1+Setup!F4),if((F16-E16)=-1,B15*(1+Setup!G4),if(G16&lt;D16,B15*(1+Setup!G4),if(G16=D16,B15*(1+Setup!H4),if((G16-D16)=1,B15*(1+Setup!I4),if((G16-D16)=2,B15*(1+Setup!J4),if((G16-D16)=3,B15*(1+Setup!K4),if((G16-D16)=4,B15*(1+Setup!L4),if((G16-D16)&gt;4.1,B15*(1+Setup!M4),B15)))))))))),L15/'Quick Setup'!$E6)</f>
        <v>325</v>
      </c>
      <c r="K15" s="36" t="s">
        <v>77</v>
      </c>
      <c r="L15" s="38"/>
      <c r="M15" s="39"/>
      <c r="N15" s="39"/>
      <c r="O15" s="39"/>
      <c r="P15" s="39"/>
      <c r="Q15" s="39"/>
      <c r="R15" s="37">
        <f>if(T15="", if(N16="",J15, if((N16-M16)&lt;-1.9,J15*(1+Setup!R4),if((N16-M16)=-1,J15*(1+Setup!S4),if(O16&lt;L16,J15*(1+Setup!S4),if(O16=L16,J15*(1+Setup!T4),if((O16-L16)=1,J15*(1+Setup!U4),if((O16-L16)=2,J15*(1+Setup!V4),if((O16-L16)=3,J15*(1+Setup!W4),if((O16-L16)=4,J15*(1+Setup!X4),if((O16-L16)&gt;4.1,J15*(1+Setup!Y4),J15)))))))))),T15/'Quick Setup'!$E6)</f>
        <v>325</v>
      </c>
      <c r="S15" s="36" t="s">
        <v>77</v>
      </c>
      <c r="T15" s="38"/>
      <c r="U15" s="39"/>
      <c r="V15" s="39"/>
      <c r="W15" s="39"/>
      <c r="X15" s="39"/>
      <c r="Y15" s="39"/>
      <c r="Z15" s="37">
        <f>if(AB15="", if(V16="",R15, if((V16-U16)&lt;-1.9,R15*(1+Setup!AD4),if((V16-U16)=-1,R15*(1+Setup!AE4),if(W16&lt;T16,R15*(1+Setup!AE4),if(W16=T16,R15*(1+Setup!AF4),if((W16-T16)=1,R15*(1+Setup!AG4),if((W16-T16)=2,R15*(1+Setup!AH4),if((W16-T16)=3,R15*(1+Setup!AI4),if((W16-T16)=4,R15*(1+Setup!AJ4),if((W16-T16)&gt;4.1,R15*(1+Setup!AK4),R15)))))))))),AB15/'Quick Setup'!$E6)</f>
        <v>325</v>
      </c>
      <c r="AA15" s="36" t="s">
        <v>77</v>
      </c>
      <c r="AB15" s="38"/>
      <c r="AC15" s="39"/>
      <c r="AD15" s="39"/>
      <c r="AE15" s="39"/>
      <c r="AF15" s="39"/>
      <c r="AG15" s="39"/>
      <c r="AH15" s="37">
        <f>if(AJ15="", if(AD16="",Z15, if((AD16-AC16)&lt;-1.9,Z15*(1+Setup!AP4),if((AD16-AC16)=-1,Z15*(1+Setup!AQ4),if(AE16&lt;AB16,Z15*(1+Setup!AQ4),if(AE16=AB16,Z15*(1+Setup!AR4),if((AE16-AB16)=1,Z15*(1+Setup!AS4),if((AE16-AB16)=2,Z15*(1+Setup!AT4),if((AE16-AB16)=3,Z15*(1+Setup!AU4),if((AE16-AB16)=4,Z15*(1+Setup!AV4),if((AE16-AB16)&gt;4.1,Z15*(1+Setup!AW4),Z15)))))))))),AJ15/'Quick Setup'!$E6)</f>
        <v>325</v>
      </c>
      <c r="AI15" s="36" t="s">
        <v>77</v>
      </c>
      <c r="AJ15" s="38"/>
      <c r="AK15" s="39"/>
      <c r="AL15" s="39"/>
      <c r="AM15" s="39"/>
      <c r="AN15" s="39"/>
      <c r="AO15" s="39"/>
      <c r="AP15" s="37">
        <f>if(AR15="", if(AL16="",AH15, if((AL16-AK16)&lt;-1.9,AH15*(1+Setup!BB4),if((AL16-AK16)=-1,AH15*(1+Setup!BC4),if(AM16&lt;AJ16,AH15*(1+Setup!BC4),if(AM16=AJ16,AH15*(1+Setup!BD4),if((AM16-AJ16)=1,AH15*(1+Setup!BE4),if((AM16-AJ16)=2,AH15*(1+Setup!BF4),if((AM16-AJ16)=3,AH15*(1+Setup!BG4),if((AM16-AJ16)=4,AH15*(1+Setup!BH4),if((AM16-AJ16)&gt;4.1,AH15*(1+Setup!BI4),AH15)))))))))),AR15/'Quick Setup'!$E6)</f>
        <v>325</v>
      </c>
      <c r="AQ15" s="36" t="s">
        <v>77</v>
      </c>
      <c r="AR15" s="38"/>
      <c r="AS15" s="39"/>
      <c r="AT15" s="39"/>
      <c r="AU15" s="39"/>
      <c r="AV15" s="39"/>
      <c r="AW15" s="39"/>
      <c r="AX15" s="37">
        <f>if(AZ15="", if(AT16="",AP15, if((AT16-AS16)&lt;-1.9,AP15*(1+Setup!BN4),if((AT16-AS16)=-1,AP15*(1+Setup!BO4),if(AU16&lt;AR16,AP15*(1+Setup!BO4),if(AU16=AR16,AP15*(1+Setup!BP4),if((AU16-AR16)=1,AP15*(1+Setup!BQ4),if((AU16-AR16)=2,AP15*(1+Setup!BR4),if((AU16-AR16)=3,AP15*(1+Setup!BS4),if((AU16-AR16)=4,AP15*(1+Setup!BT4),if((AU16-AR16)&gt;4.1,AP15*(1+Setup!BU4),AP15)))))))))),AZ15/'Quick Setup'!$E6)</f>
        <v>325</v>
      </c>
      <c r="AY15" s="36" t="s">
        <v>77</v>
      </c>
      <c r="AZ15" s="38"/>
      <c r="BA15" s="39"/>
      <c r="BB15" s="39"/>
      <c r="BC15" s="39"/>
      <c r="BD15" s="39"/>
      <c r="BE15" s="39"/>
      <c r="BF15" s="37">
        <f>if(BH15="",AX15,BH15/'Quick Setup'!$E6)</f>
        <v>325</v>
      </c>
      <c r="BG15" s="36" t="s">
        <v>77</v>
      </c>
      <c r="BH15" s="38"/>
      <c r="BI15" s="39"/>
      <c r="BJ15" s="39"/>
      <c r="BK15" s="39"/>
      <c r="BL15" s="39"/>
      <c r="BM15" s="39"/>
      <c r="BN15" s="37">
        <f>if(BP15="", if(BJ16="",BF15, if((BJ16-BI16)&lt;-1.9,BF15*(1+Setup!CL4),if((BJ16-BI16)=-1,BF15*(1+Setup!CM4),if(BK16&lt;BH16,BF15*(1+Setup!CM4),if(BK16=BH16,BF15*(1+Setup!CN4),if((BK16-BH16)=1,BF15*(1+Setup!CO4),if((BK16-BH16)=2,BF15*(1+Setup!CP4),if((BK16-BH16)=3,BF15*(1+Setup!CQ4),if((BK16-BH16)=4,BF15*(1+Setup!CR4),if((BK16-BH16)&gt;4.1,BF15*(1+Setup!CS4),BF15)))))))))),BP15/'Quick Setup'!$E6)</f>
        <v>325</v>
      </c>
      <c r="BO15" s="36" t="s">
        <v>77</v>
      </c>
      <c r="BP15" s="38"/>
      <c r="BQ15" s="39"/>
      <c r="BR15" s="39"/>
      <c r="BS15" s="39"/>
      <c r="BT15" s="39"/>
      <c r="BU15" s="39"/>
      <c r="BV15" s="37">
        <f>if(BX15="", if(BR16="",BN15, if((BR16-BQ16)&lt;-1.9,BN15*(1+Setup!CX4),if((BR16-BQ16)=-1,BN15*(1+Setup!CY4),if(BS16&lt;BP16,BN15*(1+Setup!CY4),if(BS16=BP16,BN15*(1+Setup!CZ4),if((BS16-BP16)=1,BN15*(1+Setup!DA4),if((BS16-BP16)=2,BN15*(1+Setup!DB4),if((BS16-BP16)=3,BN15*(1+Setup!DC4),if((BS16-BP16)=4,BN15*(1+Setup!DD4),if((BS16-BP16)&gt;4.1,BN15*(1+Setup!DE4),BN15)))))))))),BX15/'Quick Setup'!$E6)</f>
        <v>325</v>
      </c>
      <c r="BW15" s="36" t="s">
        <v>77</v>
      </c>
      <c r="BX15" s="38"/>
      <c r="BY15" s="39"/>
      <c r="BZ15" s="39"/>
      <c r="CA15" s="39"/>
      <c r="CB15" s="39"/>
      <c r="CC15" s="39"/>
      <c r="CD15" s="37">
        <f>if(CF15="", if(BZ16="",BV15, if((BZ16-BY16)&lt;-1.9,BV15*(1+Setup!DJ4),if((BZ16-BY16)=-1,BV15*(1+Setup!DK4),if(CA16&lt;BX16,BV15*(1+Setup!DK4),if(CA16=BX16,BV15*(1+Setup!DL4),if((CA16-BX16)=1,BV15*(1+Setup!DM4),if((CA16-BX16)=2,BV15*(1+Setup!DN4),if((CA16-BX16)=3,BV15*(1+Setup!DO4),if((CA16-BX16)=4,BV15*(1+Setup!DP4),if((CA16-BX16)&gt;4.1,BV15*(1+Setup!DQ4),BV15)))))))))),CF15/'Quick Setup'!$E6)</f>
        <v>325</v>
      </c>
      <c r="CE15" s="36" t="s">
        <v>77</v>
      </c>
      <c r="CF15" s="38"/>
      <c r="CG15" s="39"/>
      <c r="CH15" s="39"/>
      <c r="CI15" s="39"/>
      <c r="CJ15" s="39"/>
      <c r="CK15" s="39"/>
      <c r="CL15" s="37">
        <f>if(CN15="", if(CH16="",CD15, if((CH16-CG16)&lt;-1.9,CD15*(1+Setup!DV4),if((CH16-CG16)=-1,CD15*(1+Setup!DW4),if(CI16&lt;CF16,CD15*(1+Setup!DW4),if(CI16=CF16,CD15*(1+Setup!DX4),if((CI16-CF16)=1,CD15*(1+Setup!DY4),if((CI16-CF16)=2,CD15*(1+Setup!DZ4),if((CI16-CF16)=3,CD15*(1+Setup!EA4),if((CI16-CF16)=4,CD15*(1+Setup!EB4),if((CI16-CF16)&gt;4.1,CD15*(1+Setup!EC4),CD15)))))))))),CN15/'Quick Setup'!$E6)</f>
        <v>325</v>
      </c>
      <c r="CM15" s="36" t="s">
        <v>77</v>
      </c>
      <c r="CN15" s="38"/>
      <c r="CO15" s="39"/>
      <c r="CP15" s="39"/>
      <c r="CQ15" s="39"/>
      <c r="CR15" s="39"/>
      <c r="CS15" s="39"/>
      <c r="CT15" s="37">
        <f>if(CV15="", if(CP16="",CL15, if((CP16-CO16)&lt;-1.9,CL15*(1+Setup!EH4),if((CP16-CO16)=-1,CL15*(1+Setup!EI4),if(CQ16&lt;CN16,CL15*(1+Setup!EI4),if(CQ16=CN16,CL15*(1+Setup!EJ4),if((CQ16-CN16)=1,CL15*(1+Setup!EK4),if((CQ16-CN16)=2,CL15*(1+Setup!EL4),if((CQ16-CN16)=3,CL15*(1+Setup!EM4),if((CQ16-CN16)=4,CL15*(1+Setup!EN4),if((CQ16-CN16)&gt;4.1,CL15*(1+Setup!EO4),CL15)))))))))),CV15/'Quick Setup'!$E6)</f>
        <v>325</v>
      </c>
      <c r="CU15" s="36" t="s">
        <v>77</v>
      </c>
      <c r="CV15" s="38"/>
      <c r="CW15" s="39"/>
      <c r="CX15" s="39"/>
      <c r="CY15" s="39"/>
      <c r="CZ15" s="39"/>
      <c r="DA15" s="39"/>
      <c r="DB15" s="37">
        <f>if(DD15="", if(CX16="",CT15, if((CX16-CW16)&lt;-1.9,CT15*(1+Setup!ET4),if((CX16-CW16)=-1,CT15*(1+Setup!EU4),if(CY16&lt;CV16,CT15*(1+Setup!EU4),if(CY16=CV16,CT15*(1+Setup!EV4),if((CY16-CV16)=1,CT15*(1+Setup!EW4),if((CY16-CV16)=2,CT15*(1+Setup!EX4),if((CY16-CV16)=3,CT15*(1+Setup!EY4),if((CY16-CV16)=4,CT15*(1+Setup!EZ4),if((CY16-CV16)&gt;4.1,CT15*(1+Setup!FA4),CT15)))))))))),DD15/'Quick Setup'!$E6)</f>
        <v>325</v>
      </c>
      <c r="DC15" s="36" t="s">
        <v>77</v>
      </c>
      <c r="DD15" s="38"/>
      <c r="DE15" s="39"/>
      <c r="DF15" s="39"/>
      <c r="DG15" s="39"/>
      <c r="DH15" s="39"/>
      <c r="DI15" s="39"/>
      <c r="DJ15" s="37">
        <f>if(DL15="",DB15,DL15/'Quick Setup'!$E6)</f>
        <v>325</v>
      </c>
      <c r="DK15" s="36" t="s">
        <v>77</v>
      </c>
      <c r="DL15" s="38"/>
      <c r="DM15" s="39"/>
      <c r="DN15" s="39"/>
      <c r="DO15" s="39"/>
      <c r="DP15" s="39"/>
      <c r="DQ15" s="39"/>
      <c r="DR15" s="37">
        <f>if(DT15="", if(DN16="",DJ15, if((DN16-DM16)&lt;-1.9,DJ15*(1+Setup!FR4),if((DN16-DM16)=-1,DJ15*(1+Setup!FS4),if(DO16&lt;DL16,DJ15*(1+Setup!FS4),if(DO16=DL16,DJ15*(1+Setup!FT4),if((DO16-DL16)=1,DJ15*(1+Setup!FU4),if((DO16-DL16)=2,DJ15*(1+Setup!FV4),if((DO16-DL16)=3,DJ15*(1+Setup!FW4),if((DO16-DL16)=4,DJ15*(1+Setup!FX4),if((DO16-DL16)&gt;4.1,DJ15*(1+Setup!FY4),DJ15)))))))))),DT15/'Quick Setup'!$E6)</f>
        <v>325</v>
      </c>
      <c r="DS15" s="36" t="s">
        <v>77</v>
      </c>
      <c r="DT15" s="38"/>
      <c r="DU15" s="39"/>
      <c r="DV15" s="39"/>
      <c r="DW15" s="39"/>
      <c r="DX15" s="39"/>
      <c r="DY15" s="39"/>
      <c r="DZ15" s="37">
        <f>if(EB15="", if(DV16="",DR15, if((DV16-DU16)&lt;-1.9,DR15*(1+Setup!GD4),if((DV16-DU16)=-1,DR15*(1+Setup!GE4),if(DW16&lt;DT16,DR15*(1+Setup!GE4),if(DW16=DT16,DR15*(1+Setup!GF4),if((DW16-DT16)=1,DR15*(1+Setup!GG4),if((DW16-DT16)=2,DR15*(1+Setup!GH4),if((DW16-DT16)=3,DR15*(1+Setup!GI4),if((DW16-DT16)=4,DR15*(1+Setup!GJ4),if((DW16-DT16)&gt;4.1,DR15*(1+Setup!GK4),DR15)))))))))),EB15/'Quick Setup'!$E6)</f>
        <v>325</v>
      </c>
      <c r="EA15" s="36" t="s">
        <v>77</v>
      </c>
      <c r="EB15" s="38"/>
      <c r="EC15" s="39"/>
      <c r="ED15" s="39"/>
      <c r="EE15" s="39"/>
      <c r="EF15" s="39"/>
      <c r="EG15" s="39"/>
      <c r="EH15" s="37">
        <f>if(EJ15="", if(ED16="",DZ15, if((ED16-EC16)&lt;-1.9,DZ15*(1+Setup!GP4),if((ED16-EC16)=-1,DZ15*(1+Setup!GQ4),if(EE16&lt;EB16,DZ15*(1+Setup!GQ4),if(EE16=EB16,DZ15*(1+Setup!GR4),if((EE16-EB16)=1,DZ15*(1+Setup!GS4),if((EE16-EB16)=2,DZ15*(1+Setup!GT4),if((EE16-EB16)=3,DZ15*(1+Setup!GU4),if((EE16-EB16)=4,DZ15*(1+Setup!GV4),if((EE16-EB16)&gt;4.1,DZ15*(1+Setup!GW4),DZ15)))))))))),EJ15/'Quick Setup'!$E6)</f>
        <v>325</v>
      </c>
      <c r="EI15" s="36" t="s">
        <v>77</v>
      </c>
      <c r="EJ15" s="38"/>
      <c r="EK15" s="39"/>
      <c r="EL15" s="39"/>
      <c r="EM15" s="39"/>
      <c r="EN15" s="39"/>
      <c r="EO15" s="39"/>
      <c r="EP15" s="37">
        <f>if(ER15="", if(EL16="",EH15, if((EL16-EK16)&lt;-1.9,EH15*(1+Setup!HB4),if((EL16-EK16)=-1,EH15*(1+Setup!HC4),if(EM16&lt;EJ16,EH15*(1+Setup!HC4),if(EM16=EJ16,EH15*(1+Setup!HD4),if((EM16-EJ16)=1,EH15*(1+Setup!HE4),if((EM16-EJ16)=2,EH15*(1+Setup!HF4),if((EM16-EJ16)=3,EH15*(1+Setup!HG4),if((EM16-EJ16)=4,EH15*(1+Setup!HH4),if((EM16-EJ16)&gt;4.1,EH15*(1+Setup!HI4),EH15)))))))))),ER15/'Quick Setup'!$E6)</f>
        <v>325</v>
      </c>
      <c r="EQ15" s="36" t="s">
        <v>77</v>
      </c>
      <c r="ER15" s="38"/>
      <c r="ES15" s="39"/>
      <c r="ET15" s="39"/>
      <c r="EU15" s="39"/>
      <c r="EV15" s="39"/>
      <c r="EW15" s="39"/>
      <c r="EX15" s="37">
        <f>if(EZ15="", if(ET16="",EP15, if((ET16-ES16)&lt;-1.9,EP15*(1+Setup!HN4),if((ET16-ES16)=-1,EP15*(1+Setup!HO4),if(EU16&lt;ER16,EP15*(1+Setup!HO4),if(EU16=ER16,EP15*(1+Setup!HP4),if((EU16-ER16)=1,EP15*(1+Setup!HQ4),if((EU16-ER16)=2,EP15*(1+Setup!HR4),if((EU16-ER16)=3,EP15*(1+Setup!HS4),if((EU16-ER16)=4,EP15*(1+Setup!HT4),if((EU16-ER16)&gt;4.1,EP15*(1+Setup!HU4),EP15)))))))))),EZ15/'Quick Setup'!$E6)</f>
        <v>325</v>
      </c>
      <c r="EY15" s="36" t="s">
        <v>77</v>
      </c>
      <c r="EZ15" s="38"/>
      <c r="FA15" s="39"/>
      <c r="FB15" s="39"/>
      <c r="FC15" s="39"/>
      <c r="FD15" s="39"/>
      <c r="FE15" s="39"/>
      <c r="FF15" s="37">
        <f>if(FH15="", if(FB16="",EX15, if((FB16-FA16)&lt;-1.9,EX15*(1+Setup!HZ4),if((FB16-FA16)=-1,EX15*(1+Setup!IA4),if(FC16&lt;EZ16,EX15*(1+Setup!IA4),if(FC16=EZ16,EX15*(1+Setup!IB4),if((FC16-EZ16)=1,EX15*(1+Setup!IC4),if((FC16-EZ16)=2,EX15*(1+Setup!ID4),if((FC16-EZ16)=3,EX15*(1+Setup!IE4),if((FC16-EZ16)=4,EX15*(1+Setup!IF4),if((FC16-EZ16)&gt;4.1,EX15*(1+Setup!IG4),EX15)))))))))),FH15/'Quick Setup'!$E6)</f>
        <v>325</v>
      </c>
      <c r="FG15" s="36" t="s">
        <v>77</v>
      </c>
      <c r="FH15" s="38"/>
      <c r="FI15" s="39"/>
      <c r="FJ15" s="39"/>
      <c r="FK15" s="39"/>
      <c r="FL15" s="39"/>
      <c r="FM15" s="39"/>
    </row>
    <row r="16">
      <c r="A16" s="1" t="str">
        <f>Setup!A4</f>
        <v>Bench Press</v>
      </c>
      <c r="B16" s="40">
        <f>mround(B15*Setup!B4,'Quick Setup'!$A$2)</f>
        <v>227.5</v>
      </c>
      <c r="C16" s="2">
        <f>Setup!C4</f>
        <v>5</v>
      </c>
      <c r="D16" s="2">
        <f>Setup!D4</f>
        <v>3</v>
      </c>
      <c r="E16" s="2">
        <f>Setup!E4</f>
        <v>5</v>
      </c>
      <c r="F16" s="8"/>
      <c r="G16" s="8"/>
      <c r="H16" s="8"/>
      <c r="I16" s="8"/>
      <c r="J16" s="40">
        <f>mround(J15*Setup!N4,'Quick Setup'!$A$2)</f>
        <v>245</v>
      </c>
      <c r="K16" s="2">
        <f>Setup!O4</f>
        <v>4</v>
      </c>
      <c r="L16" s="2">
        <f>Setup!P4</f>
        <v>2</v>
      </c>
      <c r="M16" s="2">
        <f>Setup!Q4</f>
        <v>5</v>
      </c>
      <c r="N16" s="8"/>
      <c r="O16" s="8"/>
      <c r="P16" s="8"/>
      <c r="Q16" s="8"/>
      <c r="R16" s="40">
        <f>mround(R15*Setup!Z4,'Quick Setup'!$A$2)</f>
        <v>260</v>
      </c>
      <c r="S16" s="2">
        <f>Setup!AA4</f>
        <v>3</v>
      </c>
      <c r="T16" s="2">
        <f>Setup!AB4</f>
        <v>2</v>
      </c>
      <c r="U16" s="2">
        <f>Setup!AC4</f>
        <v>5</v>
      </c>
      <c r="V16" s="8"/>
      <c r="W16" s="8"/>
      <c r="X16" s="8"/>
      <c r="Y16" s="8"/>
      <c r="Z16" s="40">
        <f>mround(Z15*Setup!AL4,'Quick Setup'!$A$2)</f>
        <v>235</v>
      </c>
      <c r="AA16" s="2">
        <f>Setup!AM4</f>
        <v>5</v>
      </c>
      <c r="AB16" s="2">
        <f>Setup!AN4</f>
        <v>3</v>
      </c>
      <c r="AC16" s="2">
        <f>Setup!AO4</f>
        <v>5</v>
      </c>
      <c r="AD16" s="8"/>
      <c r="AE16" s="8"/>
      <c r="AF16" s="8"/>
      <c r="AG16" s="8"/>
      <c r="AH16" s="40">
        <f>mround(AH15*Setup!AX4,'Quick Setup'!$A$2)</f>
        <v>252.5</v>
      </c>
      <c r="AI16" s="2">
        <f>Setup!AY4</f>
        <v>4</v>
      </c>
      <c r="AJ16" s="2">
        <f>Setup!AZ4</f>
        <v>2</v>
      </c>
      <c r="AK16" s="2">
        <f>Setup!BA4</f>
        <v>5</v>
      </c>
      <c r="AL16" s="8"/>
      <c r="AM16" s="8"/>
      <c r="AN16" s="8"/>
      <c r="AO16" s="8"/>
      <c r="AP16" s="40">
        <f>mround(AP15*Setup!BJ4,'Quick Setup'!$A$2)</f>
        <v>267.5</v>
      </c>
      <c r="AQ16" s="2">
        <f>Setup!BK4</f>
        <v>3</v>
      </c>
      <c r="AR16" s="2">
        <f>Setup!BL4</f>
        <v>2</v>
      </c>
      <c r="AS16" s="2">
        <f>Setup!BM4</f>
        <v>5</v>
      </c>
      <c r="AT16" s="8"/>
      <c r="AU16" s="8"/>
      <c r="AV16" s="8"/>
      <c r="AW16" s="8"/>
      <c r="AX16" s="40">
        <f>mround(AX15*Setup!BV4,'Quick Setup'!$A$2)</f>
        <v>195</v>
      </c>
      <c r="AY16" s="1">
        <v>5.0</v>
      </c>
      <c r="AZ16" s="1" t="s">
        <v>80</v>
      </c>
      <c r="BA16" s="2">
        <f>Setup!BY4</f>
        <v>5</v>
      </c>
      <c r="BB16" s="8"/>
      <c r="BC16" s="8"/>
      <c r="BD16" s="8"/>
      <c r="BE16" s="8"/>
      <c r="BF16" s="40">
        <f>mround(BF15*Setup!CH4,'Quick Setup'!$A$2)</f>
        <v>245</v>
      </c>
      <c r="BG16" s="2">
        <f>Setup!CI4</f>
        <v>4</v>
      </c>
      <c r="BH16" s="2">
        <f>Setup!CJ4</f>
        <v>2</v>
      </c>
      <c r="BI16" s="2">
        <f>Setup!CK4</f>
        <v>5</v>
      </c>
      <c r="BJ16" s="8"/>
      <c r="BK16" s="8"/>
      <c r="BL16" s="8"/>
      <c r="BM16" s="8"/>
      <c r="BN16" s="40">
        <f>mround(BN15*Setup!CT4,'Quick Setup'!$A$2)</f>
        <v>260</v>
      </c>
      <c r="BO16" s="2">
        <f>Setup!CU4</f>
        <v>3</v>
      </c>
      <c r="BP16" s="2">
        <f>Setup!CV4</f>
        <v>2</v>
      </c>
      <c r="BQ16" s="2">
        <f>Setup!CW4</f>
        <v>5</v>
      </c>
      <c r="BR16" s="8"/>
      <c r="BS16" s="8"/>
      <c r="BT16" s="8"/>
      <c r="BU16" s="8"/>
      <c r="BV16" s="40">
        <f>mround(BV15*Setup!DF4,'Quick Setup'!$A$2)</f>
        <v>277.5</v>
      </c>
      <c r="BW16" s="2">
        <f>Setup!DG4</f>
        <v>2</v>
      </c>
      <c r="BX16" s="2">
        <f>Setup!DH4</f>
        <v>1</v>
      </c>
      <c r="BY16" s="2">
        <f>Setup!DI4</f>
        <v>5</v>
      </c>
      <c r="BZ16" s="8"/>
      <c r="CA16" s="8"/>
      <c r="CB16" s="8"/>
      <c r="CC16" s="8"/>
      <c r="CD16" s="40">
        <f>mround(CD15*Setup!DR4,'Quick Setup'!$A$2)</f>
        <v>252.5</v>
      </c>
      <c r="CE16" s="2">
        <f>Setup!DS4</f>
        <v>4</v>
      </c>
      <c r="CF16" s="2">
        <f>Setup!DT4</f>
        <v>2</v>
      </c>
      <c r="CG16" s="2">
        <f>Setup!DU4</f>
        <v>5</v>
      </c>
      <c r="CH16" s="8"/>
      <c r="CI16" s="8"/>
      <c r="CJ16" s="8"/>
      <c r="CK16" s="8"/>
      <c r="CL16" s="40">
        <f>mround(CL15*Setup!ED4,'Quick Setup'!$A$2)</f>
        <v>267.5</v>
      </c>
      <c r="CM16" s="2">
        <f>Setup!EE4</f>
        <v>3</v>
      </c>
      <c r="CN16" s="2">
        <f>Setup!EF4</f>
        <v>2</v>
      </c>
      <c r="CO16" s="2">
        <f>Setup!EG4</f>
        <v>5</v>
      </c>
      <c r="CP16" s="8"/>
      <c r="CQ16" s="8"/>
      <c r="CR16" s="8"/>
      <c r="CS16" s="8"/>
      <c r="CT16" s="40">
        <f>mround(CT15*Setup!EP4,'Quick Setup'!$A$2)</f>
        <v>285</v>
      </c>
      <c r="CU16" s="2">
        <f>Setup!EQ4</f>
        <v>2</v>
      </c>
      <c r="CV16" s="2">
        <f>Setup!ER4</f>
        <v>1</v>
      </c>
      <c r="CW16" s="2">
        <f>Setup!ES4</f>
        <v>5</v>
      </c>
      <c r="CX16" s="8"/>
      <c r="CY16" s="8"/>
      <c r="CZ16" s="8"/>
      <c r="DA16" s="8"/>
      <c r="DB16" s="40">
        <f>mround(DB15*Setup!FB4,'Quick Setup'!$A$2)</f>
        <v>195</v>
      </c>
      <c r="DC16" s="1">
        <v>5.0</v>
      </c>
      <c r="DD16" s="1" t="s">
        <v>80</v>
      </c>
      <c r="DE16" s="2">
        <f>Setup!FE4</f>
        <v>5</v>
      </c>
      <c r="DF16" s="8"/>
      <c r="DG16" s="8"/>
      <c r="DH16" s="8"/>
      <c r="DI16" s="8"/>
      <c r="DJ16" s="40">
        <f>mround(DJ15*Setup!FN4,'Quick Setup'!$A$2)</f>
        <v>260</v>
      </c>
      <c r="DK16" s="2">
        <f>Setup!FO4</f>
        <v>3</v>
      </c>
      <c r="DL16" s="2">
        <f>Setup!FP4</f>
        <v>2</v>
      </c>
      <c r="DM16" s="2">
        <f>Setup!FQ4</f>
        <v>5</v>
      </c>
      <c r="DN16" s="8"/>
      <c r="DO16" s="8"/>
      <c r="DP16" s="8"/>
      <c r="DQ16" s="8"/>
      <c r="DR16" s="40">
        <f>mround(DR15*Setup!FZ4,'Quick Setup'!$A$2)</f>
        <v>277.5</v>
      </c>
      <c r="DS16" s="2">
        <f>Setup!GA4</f>
        <v>2</v>
      </c>
      <c r="DT16" s="2">
        <f>Setup!GB4</f>
        <v>1</v>
      </c>
      <c r="DU16" s="2">
        <f>Setup!GC4</f>
        <v>5</v>
      </c>
      <c r="DV16" s="8"/>
      <c r="DW16" s="8"/>
      <c r="DX16" s="8"/>
      <c r="DY16" s="8"/>
      <c r="DZ16" s="40">
        <f>mround(DZ15*Setup!GL4,'Quick Setup'!$A$2)</f>
        <v>292.5</v>
      </c>
      <c r="EA16" s="2">
        <f>Setup!GM4</f>
        <v>1</v>
      </c>
      <c r="EB16" s="2">
        <f>Setup!GN4</f>
        <v>1</v>
      </c>
      <c r="EC16" s="2">
        <f>Setup!GO4</f>
        <v>5</v>
      </c>
      <c r="ED16" s="8"/>
      <c r="EE16" s="8"/>
      <c r="EF16" s="8"/>
      <c r="EG16" s="8"/>
      <c r="EH16" s="40">
        <f>mround(EH15*Setup!GX4,'Quick Setup'!$A$2)</f>
        <v>277.5</v>
      </c>
      <c r="EI16" s="2">
        <f>Setup!GY4</f>
        <v>2</v>
      </c>
      <c r="EJ16" s="2">
        <f>Setup!GZ4</f>
        <v>1</v>
      </c>
      <c r="EK16" s="2">
        <f>Setup!HA4</f>
        <v>5</v>
      </c>
      <c r="EL16" s="8"/>
      <c r="EM16" s="8"/>
      <c r="EN16" s="8"/>
      <c r="EO16" s="8"/>
      <c r="EP16" s="40">
        <f>mround(EP15*Setup!HJ4,'Quick Setup'!$A$2)</f>
        <v>292.5</v>
      </c>
      <c r="EQ16" s="2">
        <f>Setup!HK4</f>
        <v>1</v>
      </c>
      <c r="ER16" s="2">
        <f>Setup!HL4</f>
        <v>1</v>
      </c>
      <c r="ES16" s="2">
        <f>Setup!HM4</f>
        <v>5</v>
      </c>
      <c r="ET16" s="8"/>
      <c r="EU16" s="8"/>
      <c r="EV16" s="8"/>
      <c r="EW16" s="8"/>
      <c r="EX16" s="40">
        <f>mround(EX15*Setup!HV4,'Quick Setup'!$A$2)</f>
        <v>310</v>
      </c>
      <c r="EY16" s="2">
        <f>Setup!HW4</f>
        <v>1</v>
      </c>
      <c r="EZ16" s="2">
        <f>Setup!HX4</f>
        <v>1</v>
      </c>
      <c r="FA16" s="2">
        <f>Setup!HY4</f>
        <v>5</v>
      </c>
      <c r="FB16" s="8"/>
      <c r="FC16" s="8"/>
      <c r="FD16" s="8"/>
      <c r="FE16" s="8"/>
      <c r="FF16" s="40">
        <f>mround(FF15*Setup!IH4,'Quick Setup'!$A$2)</f>
        <v>195</v>
      </c>
      <c r="FG16" s="1">
        <v>5.0</v>
      </c>
      <c r="FH16" s="1" t="s">
        <v>80</v>
      </c>
      <c r="FI16" s="2">
        <f>Setup!IK4</f>
        <v>5</v>
      </c>
      <c r="FJ16" s="8"/>
      <c r="FK16" s="8"/>
      <c r="FL16" s="8"/>
      <c r="FM16" s="8"/>
    </row>
    <row r="17" hidden="1">
      <c r="A17" s="36" t="str">
        <f>CONCATENATE(A18," TM")</f>
        <v>Front Squat TM</v>
      </c>
      <c r="B17" s="37">
        <f>if(D17="",'Quick Setup'!D11,D17/'Quick Setup'!E11)</f>
        <v>420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9),if((F18-E18)=-1,B17*(1+Setup!G9),if(G18&lt;D18,B17*(1+Setup!G9),if(G18=D18,B17*(1+Setup!H9),if((G18-D18)=1,B17*(1+Setup!I9),if((G18-D18)=2,B17*(1+Setup!J9),if((G18-D18)=3,B17*(1+Setup!K9),if((G18-D18)=4,B17*(1+Setup!L9),if((G18-D18)&gt;4.1,B17*(1+Setup!M9),B17)))))))))),L17/'Quick Setup'!$E11)</f>
        <v>420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9),if((N18-M18)=-1,J17*(1+Setup!S9),if(O18&lt;L18,J17*(1+Setup!S9),if(O18=L18,J17*(1+Setup!T9),if((O18-L18)=1,J17*(1+Setup!U9),if((O18-L18)=2,J17*(1+Setup!V9),if((O18-L18)=3,J17*(1+Setup!W9),if((O18-L18)=4,J17*(1+Setup!X9),if((O18-L18)&gt;4.1,J17*(1+Setup!Y9),J17)))))))))),T17/'Quick Setup'!$E11)</f>
        <v>420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9),if((V18-U18)=-1,R17*(1+Setup!AE9),if(W18&lt;T18,R17*(1+Setup!AE9),if(W18=T18,R17*(1+Setup!AF9),if((W18-T18)=1,R17*(1+Setup!AG9),if((W18-T18)=2,R17*(1+Setup!AH9),if((W18-T18)=3,R17*(1+Setup!AI9),if((W18-T18)=4,R17*(1+Setup!AJ9),if((W18-T18)&gt;4.1,R17*(1+Setup!AK9),R17)))))))))),AB17/'Quick Setup'!$E11)</f>
        <v>420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9),if((AD18-AC18)=-1,Z17*(1+Setup!AQ9),if(AE18&lt;AB18,Z17*(1+Setup!AQ9),if(AE18=AB18,Z17*(1+Setup!AR9),if((AE18-AB18)=1,Z17*(1+Setup!AS9),if((AE18-AB18)=2,Z17*(1+Setup!AT9),if((AE18-AB18)=3,Z17*(1+Setup!AU9),if((AE18-AB18)=4,Z17*(1+Setup!AV9),if((AE18-AB18)&gt;4.1,Z17*(1+Setup!AW9),Z17)))))))))),AJ17/'Quick Setup'!$E11)</f>
        <v>420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9),if((AL18-AK18)=-1,AH17*(1+Setup!BC9),if(AM18&lt;AJ18,AH17*(1+Setup!BC9),if(AM18=AJ18,AH17*(1+Setup!BD9),if((AM18-AJ18)=1,AH17*(1+Setup!BE9),if((AM18-AJ18)=2,AH17*(1+Setup!BF9),if((AM18-AJ18)=3,AH17*(1+Setup!BG9),if((AM18-AJ18)=4,AH17*(1+Setup!BH9),if((AM18-AJ18)&gt;4.1,AH17*(1+Setup!BI9),AH17)))))))))),AR17/'Quick Setup'!$E11)</f>
        <v>420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9),if((AT18-AS18)=-1,AP17*(1+Setup!BO9),if(AU18&lt;AR18,AP17*(1+Setup!BO9),if(AU18=AR18,AP17*(1+Setup!BP9),if((AU18-AR18)=1,AP17*(1+Setup!BQ9),if((AU18-AR18)=2,AP17*(1+Setup!BR9),if((AU18-AR18)=3,AP17*(1+Setup!BS9),if((AU18-AR18)=4,AP17*(1+Setup!BT9),if((AU18-AR18)&gt;4.1,AP17*(1+Setup!BU9),AP17)))))))))),AZ17/'Quick Setup'!$E11)</f>
        <v>420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Setup'!$E11)</f>
        <v>420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9),if((BJ18-BI18)=-1,BF17*(1+Setup!CM9),if(BK18&lt;BH18,BF17*(1+Setup!CM9),if(BK18=BH18,BF17*(1+Setup!CN9),if((BK18-BH18)=1,BF17*(1+Setup!CO9),if((BK18-BH18)=2,BF17*(1+Setup!CP9),if((BK18-BH18)=3,BF17*(1+Setup!CQ9),if((BK18-BH18)=4,BF17*(1+Setup!CR9),if((BK18-BH18)&gt;4.1,BF17*(1+Setup!CS9),BF17)))))))))),BP17/'Quick Setup'!$E11)</f>
        <v>420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9),if((BR18-BQ18)=-1,BN17*(1+Setup!CY9),if(BS18&lt;BP18,BN17*(1+Setup!CY9),if(BS18=BP18,BN17*(1+Setup!CZ9),if((BS18-BP18)=1,BN17*(1+Setup!DA9),if((BS18-BP18)=2,BN17*(1+Setup!DB9),if((BS18-BP18)=3,BN17*(1+Setup!DC9),if((BS18-BP18)=4,BN17*(1+Setup!DD9),if((BS18-BP18)&gt;4.1,BN17*(1+Setup!DE9),BN17)))))))))),BX17/'Quick Setup'!$E11)</f>
        <v>420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9),if((BZ18-BY18)=-1,BV17*(1+Setup!DK9),if(CA18&lt;BX18,BV17*(1+Setup!DK9),if(CA18=BX18,BV17*(1+Setup!DL9),if((CA18-BX18)=1,BV17*(1+Setup!DM9),if((CA18-BX18)=2,BV17*(1+Setup!DN9),if((CA18-BX18)=3,BV17*(1+Setup!DO9),if((CA18-BX18)=4,BV17*(1+Setup!DP9),if((CA18-BX18)&gt;4.1,BV17*(1+Setup!DQ9),BV17)))))))))),CF17/'Quick Setup'!$E11)</f>
        <v>420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9),if((CH18-CG18)=-1,CD17*(1+Setup!DW9),if(CI18&lt;CF18,CD17*(1+Setup!DW9),if(CI18=CF18,CD17*(1+Setup!DX9),if((CI18-CF18)=1,CD17*(1+Setup!DY9),if((CI18-CF18)=2,CD17*(1+Setup!DZ9),if((CI18-CF18)=3,CD17*(1+Setup!EA9),if((CI18-CF18)=4,CD17*(1+Setup!EB9),if((CI18-CF18)&gt;4.1,CD17*(1+Setup!EC9),CD17)))))))))),CN17/'Quick Setup'!$E11)</f>
        <v>420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9),if((CP18-CO18)=-1,CL17*(1+Setup!EI9),if(CQ18&lt;CN18,CL17*(1+Setup!EI9),if(CQ18=CN18,CL17*(1+Setup!EJ9),if((CQ18-CN18)=1,CL17*(1+Setup!EK9),if((CQ18-CN18)=2,CL17*(1+Setup!EL9),if((CQ18-CN18)=3,CL17*(1+Setup!EM9),if((CQ18-CN18)=4,CL17*(1+Setup!EN9),if((CQ18-CN18)&gt;4.1,CL17*(1+Setup!EO9),CL17)))))))))),CV17/'Quick Setup'!$E11)</f>
        <v>420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9),if((CX18-CW18)=-1,CT17*(1+Setup!EU9),if(CY18&lt;CV18,CT17*(1+Setup!EU9),if(CY18=CV18,CT17*(1+Setup!EV9),if((CY18-CV18)=1,CT17*(1+Setup!EW9),if((CY18-CV18)=2,CT17*(1+Setup!EX9),if((CY18-CV18)=3,CT17*(1+Setup!EY9),if((CY18-CV18)=4,CT17*(1+Setup!EZ9),if((CY18-CV18)&gt;4.1,CT17*(1+Setup!FA9),CT17)))))))))),DD17/'Quick Setup'!$E11)</f>
        <v>420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Setup'!$E11)</f>
        <v>420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9),if((DN18-DM18)=-1,DJ17*(1+Setup!FS9),if(DO18&lt;DL18,DJ17*(1+Setup!FS9),if(DO18=DL18,DJ17*(1+Setup!FT9),if((DO18-DL18)=1,DJ17*(1+Setup!FU9),if((DO18-DL18)=2,DJ17*(1+Setup!FV9),if((DO18-DL18)=3,DJ17*(1+Setup!FW9),if((DO18-DL18)=4,DJ17*(1+Setup!FX9),if((DO18-DL18)&gt;4.1,DJ17*(1+Setup!FY9),DJ17)))))))))),DT17/'Quick Setup'!$E11)</f>
        <v>420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9),if((DV18-DU18)=-1,DR17*(1+Setup!GE9),if(DW18&lt;DT18,DR17*(1+Setup!GE9),if(DW18=DT18,DR17*(1+Setup!GF9),if((DW18-DT18)=1,DR17*(1+Setup!GG9),if((DW18-DT18)=2,DR17*(1+Setup!GH9),if((DW18-DT18)=3,DR17*(1+Setup!GI9),if((DW18-DT18)=4,DR17*(1+Setup!GJ9),if((DW18-DT18)&gt;4.1,DR17*(1+Setup!GK9),DR17)))))))))),EB17/'Quick Setup'!$E11)</f>
        <v>420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9),if((ED18-EC18)=-1,DZ17*(1+Setup!GQ9),if(EE18&lt;EB18,DZ17*(1+Setup!GQ9),if(EE18=EB18,DZ17*(1+Setup!GR9),if((EE18-EB18)=1,DZ17*(1+Setup!GS9),if((EE18-EB18)=2,DZ17*(1+Setup!GT9),if((EE18-EB18)=3,DZ17*(1+Setup!GU9),if((EE18-EB18)=4,DZ17*(1+Setup!GV9),if((EE18-EB18)&gt;4.1,DZ17*(1+Setup!GW9),DZ17)))))))))),EJ17/'Quick Setup'!$E11)</f>
        <v>420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9),if((EL18-EK18)=-1,EH17*(1+Setup!HC9),if(EM18&lt;EJ18,EH17*(1+Setup!HC9),if(EM18=EJ18,EH17*(1+Setup!HD9),if((EM18-EJ18)=1,EH17*(1+Setup!HE9),if((EM18-EJ18)=2,EH17*(1+Setup!HF9),if((EM18-EJ18)=3,EH17*(1+Setup!HG9),if((EM18-EJ18)=4,EH17*(1+Setup!HH9),if((EM18-EJ18)&gt;4.1,EH17*(1+Setup!HI9),EH17)))))))))),ER17/'Quick Setup'!$E11)</f>
        <v>420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9),if((ET18-ES18)=-1,EP17*(1+Setup!HO9),if(EU18&lt;ER18,EP17*(1+Setup!HO9),if(EU18=ER18,EP17*(1+Setup!HP9),if((EU18-ER18)=1,EP17*(1+Setup!HQ9),if((EU18-ER18)=2,EP17*(1+Setup!HR9),if((EU18-ER18)=3,EP17*(1+Setup!HS9),if((EU18-ER18)=4,EP17*(1+Setup!HT9),if((EU18-ER18)&gt;4.1,EP17*(1+Setup!HU9),EP17)))))))))),EZ17/'Quick Setup'!$E11)</f>
        <v>420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9),if((FB18-FA18)=-1,EX17*(1+Setup!IA9),if(FC18&lt;EZ18,EX17*(1+Setup!IA9),if(FC18=EZ18,EX17*(1+Setup!IB9),if((FC18-EZ18)=1,EX17*(1+Setup!IC9),if((FC18-EZ18)=2,EX17*(1+Setup!ID9),if((FC18-EZ18)=3,EX17*(1+Setup!IE9),if((FC18-EZ18)=4,EX17*(1+Setup!IF9),if((FC18-EZ18)&gt;4.1,EX17*(1+Setup!IG9),EX17)))))))))),FH17/'Quick Setup'!$E11)</f>
        <v>420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Setup!A9</f>
        <v>Front Squat</v>
      </c>
      <c r="B18" s="40">
        <f>mround(B17*Setup!B9,'Quick Setup'!$A$2)</f>
        <v>252.5</v>
      </c>
      <c r="C18" s="2">
        <f>Setup!C9</f>
        <v>7</v>
      </c>
      <c r="D18" s="2">
        <f>Setup!D9</f>
        <v>3</v>
      </c>
      <c r="E18" s="2">
        <f>Setup!E9</f>
        <v>5</v>
      </c>
      <c r="F18" s="8"/>
      <c r="G18" s="8"/>
      <c r="H18" s="8"/>
      <c r="I18" s="8"/>
      <c r="J18" s="40">
        <f>mround(J17*Setup!N9,'Quick Setup'!$A$2)</f>
        <v>272.5</v>
      </c>
      <c r="K18" s="2">
        <f>Setup!O9</f>
        <v>6</v>
      </c>
      <c r="L18" s="2">
        <f>Setup!P9</f>
        <v>3</v>
      </c>
      <c r="M18" s="2">
        <f>Setup!Q9</f>
        <v>5</v>
      </c>
      <c r="N18" s="8"/>
      <c r="O18" s="8"/>
      <c r="P18" s="8"/>
      <c r="Q18" s="8"/>
      <c r="R18" s="40">
        <f>mround(R17*Setup!Z9,'Quick Setup'!$A$2)</f>
        <v>295</v>
      </c>
      <c r="S18" s="2">
        <f>Setup!AA9</f>
        <v>5</v>
      </c>
      <c r="T18" s="2">
        <f>Setup!AB9</f>
        <v>3</v>
      </c>
      <c r="U18" s="2">
        <f>Setup!AC9</f>
        <v>5</v>
      </c>
      <c r="V18" s="8"/>
      <c r="W18" s="8"/>
      <c r="X18" s="8"/>
      <c r="Y18" s="8"/>
      <c r="Z18" s="40">
        <f>mround(Z17*Setup!AL9,'Quick Setup'!$A$2)</f>
        <v>262.5</v>
      </c>
      <c r="AA18" s="2">
        <f>Setup!AM9</f>
        <v>7</v>
      </c>
      <c r="AB18" s="2">
        <f>Setup!AN9</f>
        <v>3</v>
      </c>
      <c r="AC18" s="2">
        <f>Setup!AO9</f>
        <v>5</v>
      </c>
      <c r="AD18" s="8"/>
      <c r="AE18" s="8"/>
      <c r="AF18" s="8"/>
      <c r="AG18" s="8"/>
      <c r="AH18" s="40">
        <f>mround(AH17*Setup!AX9,'Quick Setup'!$A$2)</f>
        <v>282.5</v>
      </c>
      <c r="AI18" s="2">
        <f>Setup!AY9</f>
        <v>6</v>
      </c>
      <c r="AJ18" s="2">
        <f>Setup!AZ9</f>
        <v>3</v>
      </c>
      <c r="AK18" s="2">
        <f>Setup!BA9</f>
        <v>5</v>
      </c>
      <c r="AL18" s="8"/>
      <c r="AM18" s="8"/>
      <c r="AN18" s="8"/>
      <c r="AO18" s="8"/>
      <c r="AP18" s="40">
        <f>mround(AP17*Setup!BJ9,'Quick Setup'!$A$2)</f>
        <v>305</v>
      </c>
      <c r="AQ18" s="2">
        <f>Setup!BK9</f>
        <v>5</v>
      </c>
      <c r="AR18" s="2">
        <f>Setup!BL9</f>
        <v>3</v>
      </c>
      <c r="AS18" s="2">
        <f>Setup!BM9</f>
        <v>5</v>
      </c>
      <c r="AT18" s="8"/>
      <c r="AU18" s="8"/>
      <c r="AV18" s="8"/>
      <c r="AW18" s="8"/>
      <c r="AX18" s="40">
        <f>mround(AX17*Setup!BV9,'Quick Setup'!$A$2)</f>
        <v>210</v>
      </c>
      <c r="AY18" s="1">
        <v>5.0</v>
      </c>
      <c r="AZ18" s="1" t="s">
        <v>80</v>
      </c>
      <c r="BA18" s="2">
        <f>Setup!BY9</f>
        <v>5</v>
      </c>
      <c r="BB18" s="8"/>
      <c r="BC18" s="8"/>
      <c r="BD18" s="8"/>
      <c r="BE18" s="8"/>
      <c r="BF18" s="40">
        <f>mround(BF17*Setup!CH9,'Quick Setup'!$A$2)</f>
        <v>272.5</v>
      </c>
      <c r="BG18" s="2">
        <f>Setup!CI9</f>
        <v>6</v>
      </c>
      <c r="BH18" s="2">
        <f>Setup!CJ9</f>
        <v>3</v>
      </c>
      <c r="BI18" s="2">
        <f>Setup!CK9</f>
        <v>5</v>
      </c>
      <c r="BJ18" s="8"/>
      <c r="BK18" s="8"/>
      <c r="BL18" s="8"/>
      <c r="BM18" s="8"/>
      <c r="BN18" s="40">
        <f>mround(BN17*Setup!CT9,'Quick Setup'!$A$2)</f>
        <v>295</v>
      </c>
      <c r="BO18" s="2">
        <f>Setup!CU9</f>
        <v>5</v>
      </c>
      <c r="BP18" s="2">
        <f>Setup!CV9</f>
        <v>3</v>
      </c>
      <c r="BQ18" s="2">
        <f>Setup!CW9</f>
        <v>5</v>
      </c>
      <c r="BR18" s="8"/>
      <c r="BS18" s="8"/>
      <c r="BT18" s="8"/>
      <c r="BU18" s="8"/>
      <c r="BV18" s="40">
        <f>mround(BV17*Setup!DF9,'Quick Setup'!$A$2)</f>
        <v>315</v>
      </c>
      <c r="BW18" s="2">
        <f>Setup!DG9</f>
        <v>4</v>
      </c>
      <c r="BX18" s="2">
        <f>Setup!DH9</f>
        <v>2</v>
      </c>
      <c r="BY18" s="2">
        <f>Setup!DI9</f>
        <v>5</v>
      </c>
      <c r="BZ18" s="8"/>
      <c r="CA18" s="8"/>
      <c r="CB18" s="8"/>
      <c r="CC18" s="8"/>
      <c r="CD18" s="40">
        <f>mround(CD17*Setup!DR9,'Quick Setup'!$A$2)</f>
        <v>282.5</v>
      </c>
      <c r="CE18" s="2">
        <f>Setup!DS9</f>
        <v>6</v>
      </c>
      <c r="CF18" s="2">
        <f>Setup!DT9</f>
        <v>3</v>
      </c>
      <c r="CG18" s="2">
        <f>Setup!DU9</f>
        <v>5</v>
      </c>
      <c r="CH18" s="8"/>
      <c r="CI18" s="8"/>
      <c r="CJ18" s="8"/>
      <c r="CK18" s="8"/>
      <c r="CL18" s="40">
        <f>mround(CL17*Setup!ED9,'Quick Setup'!$A$2)</f>
        <v>305</v>
      </c>
      <c r="CM18" s="2">
        <f>Setup!EE9</f>
        <v>5</v>
      </c>
      <c r="CN18" s="2">
        <f>Setup!EF9</f>
        <v>3</v>
      </c>
      <c r="CO18" s="2">
        <f>Setup!EG9</f>
        <v>5</v>
      </c>
      <c r="CP18" s="8"/>
      <c r="CQ18" s="8"/>
      <c r="CR18" s="8"/>
      <c r="CS18" s="8"/>
      <c r="CT18" s="40">
        <f>mround(CT17*Setup!EP9,'Quick Setup'!$A$2)</f>
        <v>325</v>
      </c>
      <c r="CU18" s="2">
        <f>Setup!EQ9</f>
        <v>4</v>
      </c>
      <c r="CV18" s="2">
        <f>Setup!ER9</f>
        <v>2</v>
      </c>
      <c r="CW18" s="2">
        <f>Setup!ES9</f>
        <v>5</v>
      </c>
      <c r="CX18" s="8"/>
      <c r="CY18" s="8"/>
      <c r="CZ18" s="8"/>
      <c r="DA18" s="8"/>
      <c r="DB18" s="40">
        <f>mround(DB17*Setup!FB9,'Quick Setup'!$A$2)</f>
        <v>210</v>
      </c>
      <c r="DC18" s="1">
        <v>5.0</v>
      </c>
      <c r="DD18" s="1" t="s">
        <v>80</v>
      </c>
      <c r="DE18" s="2">
        <f>Setup!FE9</f>
        <v>5</v>
      </c>
      <c r="DF18" s="8"/>
      <c r="DG18" s="8"/>
      <c r="DH18" s="8"/>
      <c r="DI18" s="8"/>
      <c r="DJ18" s="40">
        <f>mround(DJ17*Setup!FN9,'Quick Setup'!$A$2)</f>
        <v>295</v>
      </c>
      <c r="DK18" s="2">
        <f>Setup!FO9</f>
        <v>5</v>
      </c>
      <c r="DL18" s="2">
        <f>Setup!FP9</f>
        <v>3</v>
      </c>
      <c r="DM18" s="2">
        <f>Setup!FQ9</f>
        <v>5</v>
      </c>
      <c r="DN18" s="8"/>
      <c r="DO18" s="8"/>
      <c r="DP18" s="8"/>
      <c r="DQ18" s="8"/>
      <c r="DR18" s="40">
        <f>mround(DR17*Setup!FZ9,'Quick Setup'!$A$2)</f>
        <v>315</v>
      </c>
      <c r="DS18" s="2">
        <f>Setup!GA9</f>
        <v>4</v>
      </c>
      <c r="DT18" s="2">
        <f>Setup!GB9</f>
        <v>2</v>
      </c>
      <c r="DU18" s="2">
        <f>Setup!GC9</f>
        <v>5</v>
      </c>
      <c r="DV18" s="8"/>
      <c r="DW18" s="8"/>
      <c r="DX18" s="8"/>
      <c r="DY18" s="8"/>
      <c r="DZ18" s="40">
        <f>mround(DZ17*Setup!GL9,'Quick Setup'!$A$2)</f>
        <v>335</v>
      </c>
      <c r="EA18" s="2">
        <f>Setup!GM9</f>
        <v>3</v>
      </c>
      <c r="EB18" s="2">
        <f>Setup!GN9</f>
        <v>2</v>
      </c>
      <c r="EC18" s="2">
        <f>Setup!GO9</f>
        <v>5</v>
      </c>
      <c r="ED18" s="8"/>
      <c r="EE18" s="8"/>
      <c r="EF18" s="8"/>
      <c r="EG18" s="8"/>
      <c r="EH18" s="40">
        <f>mround(EH17*Setup!GX9,'Quick Setup'!$A$2)</f>
        <v>315</v>
      </c>
      <c r="EI18" s="2">
        <f>Setup!GY9</f>
        <v>4</v>
      </c>
      <c r="EJ18" s="2">
        <f>Setup!GZ9</f>
        <v>2</v>
      </c>
      <c r="EK18" s="2">
        <f>Setup!HA9</f>
        <v>5</v>
      </c>
      <c r="EL18" s="8"/>
      <c r="EM18" s="8"/>
      <c r="EN18" s="8"/>
      <c r="EO18" s="8"/>
      <c r="EP18" s="40">
        <f>mround(EP17*Setup!HJ9,'Quick Setup'!$A$2)</f>
        <v>335</v>
      </c>
      <c r="EQ18" s="2">
        <f>Setup!HK9</f>
        <v>3</v>
      </c>
      <c r="ER18" s="2">
        <f>Setup!HL9</f>
        <v>2</v>
      </c>
      <c r="ES18" s="2">
        <f>Setup!HM9</f>
        <v>5</v>
      </c>
      <c r="ET18" s="8"/>
      <c r="EU18" s="8"/>
      <c r="EV18" s="8"/>
      <c r="EW18" s="8"/>
      <c r="EX18" s="40">
        <f>mround(EX17*Setup!HV9,'Quick Setup'!$A$2)</f>
        <v>357.5</v>
      </c>
      <c r="EY18" s="2">
        <f>Setup!HW9</f>
        <v>2</v>
      </c>
      <c r="EZ18" s="2">
        <f>Setup!HX9</f>
        <v>1</v>
      </c>
      <c r="FA18" s="2">
        <f>Setup!HY9</f>
        <v>5</v>
      </c>
      <c r="FB18" s="8"/>
      <c r="FC18" s="8"/>
      <c r="FD18" s="8"/>
      <c r="FE18" s="8"/>
      <c r="FF18" s="40">
        <f>mround(FF17*Setup!IH9,'Quick Setup'!$A$2)</f>
        <v>210</v>
      </c>
      <c r="FG18" s="1">
        <v>5.0</v>
      </c>
      <c r="FH18" s="1" t="s">
        <v>80</v>
      </c>
      <c r="FI18" s="2">
        <f>Setup!IK9</f>
        <v>5</v>
      </c>
      <c r="FJ18" s="8"/>
      <c r="FK18" s="8"/>
      <c r="FL18" s="8"/>
      <c r="FM18" s="8"/>
    </row>
    <row r="19">
      <c r="A19" s="5"/>
      <c r="B19" s="41"/>
      <c r="C19" s="8"/>
      <c r="D19" s="8"/>
      <c r="E19" s="8"/>
      <c r="F19" s="8"/>
      <c r="G19" s="8"/>
      <c r="H19" s="8"/>
      <c r="I19" s="8"/>
      <c r="J19" s="41" t="str">
        <f t="shared" ref="J19:O19" si="81">B19</f>
        <v/>
      </c>
      <c r="K19" s="8" t="str">
        <f t="shared" si="81"/>
        <v/>
      </c>
      <c r="L19" s="8" t="str">
        <f t="shared" si="81"/>
        <v/>
      </c>
      <c r="M19" s="8" t="str">
        <f t="shared" si="81"/>
        <v/>
      </c>
      <c r="N19" s="8" t="str">
        <f t="shared" si="81"/>
        <v/>
      </c>
      <c r="O19" s="8" t="str">
        <f t="shared" si="81"/>
        <v/>
      </c>
      <c r="P19" s="8"/>
      <c r="Q19" s="8"/>
      <c r="R19" s="41" t="str">
        <f t="shared" ref="R19:W19" si="82">J19</f>
        <v/>
      </c>
      <c r="S19" s="8" t="str">
        <f t="shared" si="82"/>
        <v/>
      </c>
      <c r="T19" s="8" t="str">
        <f t="shared" si="82"/>
        <v/>
      </c>
      <c r="U19" s="8" t="str">
        <f t="shared" si="82"/>
        <v/>
      </c>
      <c r="V19" s="8" t="str">
        <f t="shared" si="82"/>
        <v/>
      </c>
      <c r="W19" s="8" t="str">
        <f t="shared" si="82"/>
        <v/>
      </c>
      <c r="X19" s="8"/>
      <c r="Y19" s="8"/>
      <c r="Z19" s="41" t="str">
        <f t="shared" ref="Z19:AE19" si="83">R19</f>
        <v/>
      </c>
      <c r="AA19" s="8" t="str">
        <f t="shared" si="83"/>
        <v/>
      </c>
      <c r="AB19" s="8" t="str">
        <f t="shared" si="83"/>
        <v/>
      </c>
      <c r="AC19" s="8" t="str">
        <f t="shared" si="83"/>
        <v/>
      </c>
      <c r="AD19" s="8" t="str">
        <f t="shared" si="83"/>
        <v/>
      </c>
      <c r="AE19" s="8" t="str">
        <f t="shared" si="83"/>
        <v/>
      </c>
      <c r="AF19" s="8"/>
      <c r="AG19" s="8"/>
      <c r="AH19" s="41" t="str">
        <f t="shared" ref="AH19:AM19" si="84">Z19</f>
        <v/>
      </c>
      <c r="AI19" s="8" t="str">
        <f t="shared" si="84"/>
        <v/>
      </c>
      <c r="AJ19" s="8" t="str">
        <f t="shared" si="84"/>
        <v/>
      </c>
      <c r="AK19" s="8" t="str">
        <f t="shared" si="84"/>
        <v/>
      </c>
      <c r="AL19" s="8" t="str">
        <f t="shared" si="84"/>
        <v/>
      </c>
      <c r="AM19" s="8" t="str">
        <f t="shared" si="84"/>
        <v/>
      </c>
      <c r="AN19" s="8"/>
      <c r="AO19" s="8"/>
      <c r="AP19" s="41" t="str">
        <f t="shared" ref="AP19:AU19" si="85">AH19</f>
        <v/>
      </c>
      <c r="AQ19" s="8" t="str">
        <f t="shared" si="85"/>
        <v/>
      </c>
      <c r="AR19" s="8" t="str">
        <f t="shared" si="85"/>
        <v/>
      </c>
      <c r="AS19" s="8" t="str">
        <f t="shared" si="85"/>
        <v/>
      </c>
      <c r="AT19" s="8" t="str">
        <f t="shared" si="85"/>
        <v/>
      </c>
      <c r="AU19" s="8" t="str">
        <f t="shared" si="85"/>
        <v/>
      </c>
      <c r="AV19" s="8"/>
      <c r="AW19" s="8"/>
      <c r="AX19" s="41" t="str">
        <f t="shared" ref="AX19:BC19" si="86">AP19</f>
        <v/>
      </c>
      <c r="AY19" s="8" t="str">
        <f t="shared" si="86"/>
        <v/>
      </c>
      <c r="AZ19" s="8" t="str">
        <f t="shared" si="86"/>
        <v/>
      </c>
      <c r="BA19" s="8" t="str">
        <f t="shared" si="86"/>
        <v/>
      </c>
      <c r="BB19" s="8" t="str">
        <f t="shared" si="86"/>
        <v/>
      </c>
      <c r="BC19" s="8" t="str">
        <f t="shared" si="86"/>
        <v/>
      </c>
      <c r="BD19" s="8"/>
      <c r="BE19" s="8"/>
      <c r="BF19" s="41" t="str">
        <f t="shared" ref="BF19:BK19" si="87">AX19</f>
        <v/>
      </c>
      <c r="BG19" s="8" t="str">
        <f t="shared" si="87"/>
        <v/>
      </c>
      <c r="BH19" s="8" t="str">
        <f t="shared" si="87"/>
        <v/>
      </c>
      <c r="BI19" s="8" t="str">
        <f t="shared" si="87"/>
        <v/>
      </c>
      <c r="BJ19" s="8" t="str">
        <f t="shared" si="87"/>
        <v/>
      </c>
      <c r="BK19" s="8" t="str">
        <f t="shared" si="87"/>
        <v/>
      </c>
      <c r="BL19" s="8"/>
      <c r="BM19" s="8"/>
      <c r="BN19" s="41" t="str">
        <f t="shared" ref="BN19:BS19" si="88">BF19</f>
        <v/>
      </c>
      <c r="BO19" s="8" t="str">
        <f t="shared" si="88"/>
        <v/>
      </c>
      <c r="BP19" s="8" t="str">
        <f t="shared" si="88"/>
        <v/>
      </c>
      <c r="BQ19" s="8" t="str">
        <f t="shared" si="88"/>
        <v/>
      </c>
      <c r="BR19" s="8" t="str">
        <f t="shared" si="88"/>
        <v/>
      </c>
      <c r="BS19" s="8" t="str">
        <f t="shared" si="88"/>
        <v/>
      </c>
      <c r="BT19" s="8"/>
      <c r="BU19" s="8"/>
      <c r="BV19" s="41" t="str">
        <f t="shared" ref="BV19:CA19" si="89">BN19</f>
        <v/>
      </c>
      <c r="BW19" s="8" t="str">
        <f t="shared" si="89"/>
        <v/>
      </c>
      <c r="BX19" s="8" t="str">
        <f t="shared" si="89"/>
        <v/>
      </c>
      <c r="BY19" s="8" t="str">
        <f t="shared" si="89"/>
        <v/>
      </c>
      <c r="BZ19" s="8" t="str">
        <f t="shared" si="89"/>
        <v/>
      </c>
      <c r="CA19" s="8" t="str">
        <f t="shared" si="89"/>
        <v/>
      </c>
      <c r="CB19" s="8"/>
      <c r="CC19" s="8"/>
      <c r="CD19" s="41" t="str">
        <f t="shared" ref="CD19:CI19" si="90">BV19</f>
        <v/>
      </c>
      <c r="CE19" s="8" t="str">
        <f t="shared" si="90"/>
        <v/>
      </c>
      <c r="CF19" s="8" t="str">
        <f t="shared" si="90"/>
        <v/>
      </c>
      <c r="CG19" s="8" t="str">
        <f t="shared" si="90"/>
        <v/>
      </c>
      <c r="CH19" s="8" t="str">
        <f t="shared" si="90"/>
        <v/>
      </c>
      <c r="CI19" s="8" t="str">
        <f t="shared" si="90"/>
        <v/>
      </c>
      <c r="CJ19" s="8"/>
      <c r="CK19" s="8"/>
      <c r="CL19" s="41" t="str">
        <f t="shared" ref="CL19:CQ19" si="91">CD19</f>
        <v/>
      </c>
      <c r="CM19" s="8" t="str">
        <f t="shared" si="91"/>
        <v/>
      </c>
      <c r="CN19" s="8" t="str">
        <f t="shared" si="91"/>
        <v/>
      </c>
      <c r="CO19" s="8" t="str">
        <f t="shared" si="91"/>
        <v/>
      </c>
      <c r="CP19" s="8" t="str">
        <f t="shared" si="91"/>
        <v/>
      </c>
      <c r="CQ19" s="8" t="str">
        <f t="shared" si="91"/>
        <v/>
      </c>
      <c r="CR19" s="8"/>
      <c r="CS19" s="8"/>
      <c r="CT19" s="41" t="str">
        <f t="shared" ref="CT19:CY19" si="92">CL19</f>
        <v/>
      </c>
      <c r="CU19" s="8" t="str">
        <f t="shared" si="92"/>
        <v/>
      </c>
      <c r="CV19" s="8" t="str">
        <f t="shared" si="92"/>
        <v/>
      </c>
      <c r="CW19" s="8" t="str">
        <f t="shared" si="92"/>
        <v/>
      </c>
      <c r="CX19" s="8" t="str">
        <f t="shared" si="92"/>
        <v/>
      </c>
      <c r="CY19" s="8" t="str">
        <f t="shared" si="92"/>
        <v/>
      </c>
      <c r="CZ19" s="8"/>
      <c r="DA19" s="8"/>
      <c r="DB19" s="41" t="str">
        <f t="shared" ref="DB19:DG19" si="93">CT19</f>
        <v/>
      </c>
      <c r="DC19" s="8" t="str">
        <f t="shared" si="93"/>
        <v/>
      </c>
      <c r="DD19" s="8" t="str">
        <f t="shared" si="93"/>
        <v/>
      </c>
      <c r="DE19" s="8" t="str">
        <f t="shared" si="93"/>
        <v/>
      </c>
      <c r="DF19" s="8" t="str">
        <f t="shared" si="93"/>
        <v/>
      </c>
      <c r="DG19" s="8" t="str">
        <f t="shared" si="93"/>
        <v/>
      </c>
      <c r="DH19" s="8"/>
      <c r="DI19" s="8"/>
      <c r="DJ19" s="41" t="str">
        <f t="shared" ref="DJ19:DO19" si="94">DB19</f>
        <v/>
      </c>
      <c r="DK19" s="8" t="str">
        <f t="shared" si="94"/>
        <v/>
      </c>
      <c r="DL19" s="8" t="str">
        <f t="shared" si="94"/>
        <v/>
      </c>
      <c r="DM19" s="8" t="str">
        <f t="shared" si="94"/>
        <v/>
      </c>
      <c r="DN19" s="8" t="str">
        <f t="shared" si="94"/>
        <v/>
      </c>
      <c r="DO19" s="8" t="str">
        <f t="shared" si="94"/>
        <v/>
      </c>
      <c r="DP19" s="8"/>
      <c r="DQ19" s="8"/>
      <c r="DR19" s="41" t="str">
        <f t="shared" ref="DR19:DW19" si="95">DJ19</f>
        <v/>
      </c>
      <c r="DS19" s="8" t="str">
        <f t="shared" si="95"/>
        <v/>
      </c>
      <c r="DT19" s="8" t="str">
        <f t="shared" si="95"/>
        <v/>
      </c>
      <c r="DU19" s="8" t="str">
        <f t="shared" si="95"/>
        <v/>
      </c>
      <c r="DV19" s="8" t="str">
        <f t="shared" si="95"/>
        <v/>
      </c>
      <c r="DW19" s="8" t="str">
        <f t="shared" si="95"/>
        <v/>
      </c>
      <c r="DX19" s="8"/>
      <c r="DY19" s="8"/>
      <c r="DZ19" s="41" t="str">
        <f t="shared" ref="DZ19:EE19" si="96">DR19</f>
        <v/>
      </c>
      <c r="EA19" s="8" t="str">
        <f t="shared" si="96"/>
        <v/>
      </c>
      <c r="EB19" s="8" t="str">
        <f t="shared" si="96"/>
        <v/>
      </c>
      <c r="EC19" s="8" t="str">
        <f t="shared" si="96"/>
        <v/>
      </c>
      <c r="ED19" s="8" t="str">
        <f t="shared" si="96"/>
        <v/>
      </c>
      <c r="EE19" s="8" t="str">
        <f t="shared" si="96"/>
        <v/>
      </c>
      <c r="EF19" s="8"/>
      <c r="EG19" s="8"/>
      <c r="EH19" s="41" t="str">
        <f t="shared" ref="EH19:EM19" si="97">DZ19</f>
        <v/>
      </c>
      <c r="EI19" s="8" t="str">
        <f t="shared" si="97"/>
        <v/>
      </c>
      <c r="EJ19" s="8" t="str">
        <f t="shared" si="97"/>
        <v/>
      </c>
      <c r="EK19" s="8" t="str">
        <f t="shared" si="97"/>
        <v/>
      </c>
      <c r="EL19" s="8" t="str">
        <f t="shared" si="97"/>
        <v/>
      </c>
      <c r="EM19" s="8" t="str">
        <f t="shared" si="97"/>
        <v/>
      </c>
      <c r="EN19" s="8"/>
      <c r="EO19" s="8"/>
      <c r="EP19" s="41" t="str">
        <f t="shared" ref="EP19:EU19" si="98">EH19</f>
        <v/>
      </c>
      <c r="EQ19" s="8" t="str">
        <f t="shared" si="98"/>
        <v/>
      </c>
      <c r="ER19" s="8" t="str">
        <f t="shared" si="98"/>
        <v/>
      </c>
      <c r="ES19" s="8" t="str">
        <f t="shared" si="98"/>
        <v/>
      </c>
      <c r="ET19" s="8" t="str">
        <f t="shared" si="98"/>
        <v/>
      </c>
      <c r="EU19" s="8" t="str">
        <f t="shared" si="98"/>
        <v/>
      </c>
      <c r="EV19" s="8"/>
      <c r="EW19" s="8"/>
      <c r="EX19" s="41" t="str">
        <f t="shared" ref="EX19:FC19" si="99">EP19</f>
        <v/>
      </c>
      <c r="EY19" s="8" t="str">
        <f t="shared" si="99"/>
        <v/>
      </c>
      <c r="EZ19" s="8" t="str">
        <f t="shared" si="99"/>
        <v/>
      </c>
      <c r="FA19" s="8" t="str">
        <f t="shared" si="99"/>
        <v/>
      </c>
      <c r="FB19" s="8" t="str">
        <f t="shared" si="99"/>
        <v/>
      </c>
      <c r="FC19" s="8" t="str">
        <f t="shared" si="99"/>
        <v/>
      </c>
      <c r="FD19" s="8"/>
      <c r="FE19" s="8"/>
      <c r="FF19" s="41" t="str">
        <f t="shared" ref="FF19:FK19" si="100">EX19</f>
        <v/>
      </c>
      <c r="FG19" s="8" t="str">
        <f t="shared" si="100"/>
        <v/>
      </c>
      <c r="FH19" s="8" t="str">
        <f t="shared" si="100"/>
        <v/>
      </c>
      <c r="FI19" s="8" t="str">
        <f t="shared" si="100"/>
        <v/>
      </c>
      <c r="FJ19" s="8" t="str">
        <f t="shared" si="100"/>
        <v/>
      </c>
      <c r="FK19" s="8" t="str">
        <f t="shared" si="100"/>
        <v/>
      </c>
      <c r="FL19" s="8"/>
      <c r="FM19" s="8"/>
    </row>
    <row r="20">
      <c r="A20" s="1" t="s">
        <v>81</v>
      </c>
      <c r="B20" s="40"/>
      <c r="C20" s="2"/>
      <c r="D20" s="2"/>
      <c r="E20" s="2"/>
      <c r="F20" s="2"/>
      <c r="G20" s="2"/>
      <c r="H20" s="2"/>
      <c r="I20" s="2"/>
      <c r="J20" s="40"/>
      <c r="K20" s="2"/>
      <c r="L20" s="2"/>
      <c r="M20" s="2"/>
      <c r="N20" s="2"/>
      <c r="O20" s="2"/>
      <c r="P20" s="2"/>
      <c r="Q20" s="2"/>
      <c r="R20" s="40"/>
      <c r="S20" s="2"/>
      <c r="T20" s="2"/>
      <c r="U20" s="2"/>
      <c r="V20" s="2"/>
      <c r="W20" s="2"/>
      <c r="X20" s="2"/>
      <c r="Y20" s="2"/>
      <c r="Z20" s="40"/>
      <c r="AA20" s="2"/>
      <c r="AB20" s="2"/>
      <c r="AC20" s="2"/>
      <c r="AD20" s="2"/>
      <c r="AE20" s="2"/>
      <c r="AF20" s="2"/>
      <c r="AG20" s="2"/>
      <c r="AH20" s="40"/>
      <c r="AI20" s="2"/>
      <c r="AJ20" s="2"/>
      <c r="AK20" s="2"/>
      <c r="AL20" s="2"/>
      <c r="AM20" s="2"/>
      <c r="AN20" s="2"/>
      <c r="AO20" s="2"/>
      <c r="AP20" s="40"/>
      <c r="AQ20" s="2"/>
      <c r="AR20" s="2"/>
      <c r="AS20" s="2"/>
      <c r="AT20" s="2"/>
      <c r="AU20" s="2"/>
      <c r="AV20" s="2"/>
      <c r="AW20" s="2"/>
      <c r="AX20" s="40"/>
      <c r="AY20" s="2"/>
      <c r="AZ20" s="2"/>
      <c r="BA20" s="2"/>
      <c r="BB20" s="2"/>
      <c r="BC20" s="2"/>
      <c r="BD20" s="2"/>
      <c r="BE20" s="2"/>
      <c r="BF20" s="40"/>
      <c r="BG20" s="2"/>
      <c r="BH20" s="2"/>
      <c r="BI20" s="2"/>
      <c r="BJ20" s="2"/>
      <c r="BK20" s="2"/>
      <c r="BL20" s="2"/>
      <c r="BM20" s="2"/>
      <c r="BN20" s="40"/>
      <c r="BO20" s="2"/>
      <c r="BP20" s="2"/>
      <c r="BQ20" s="2"/>
      <c r="BR20" s="2"/>
      <c r="BS20" s="2"/>
      <c r="BT20" s="2"/>
      <c r="BU20" s="2"/>
      <c r="BV20" s="40"/>
      <c r="BW20" s="2"/>
      <c r="BX20" s="2"/>
      <c r="BY20" s="2"/>
      <c r="BZ20" s="2"/>
      <c r="CA20" s="2"/>
      <c r="CB20" s="2"/>
      <c r="CC20" s="2"/>
      <c r="CD20" s="40"/>
      <c r="CE20" s="2"/>
      <c r="CF20" s="2"/>
      <c r="CG20" s="2"/>
      <c r="CH20" s="2"/>
      <c r="CI20" s="2"/>
      <c r="CJ20" s="2"/>
      <c r="CK20" s="2"/>
      <c r="CL20" s="40"/>
      <c r="CM20" s="2"/>
      <c r="CN20" s="2"/>
      <c r="CO20" s="2"/>
      <c r="CP20" s="2"/>
      <c r="CQ20" s="2"/>
      <c r="CR20" s="2"/>
      <c r="CS20" s="2"/>
      <c r="CT20" s="40"/>
      <c r="CU20" s="2"/>
      <c r="CV20" s="2"/>
      <c r="CW20" s="2"/>
      <c r="CX20" s="2"/>
      <c r="CY20" s="2"/>
      <c r="CZ20" s="2"/>
      <c r="DA20" s="2"/>
      <c r="DB20" s="40"/>
      <c r="DC20" s="2"/>
      <c r="DD20" s="2"/>
      <c r="DE20" s="2"/>
      <c r="DF20" s="2"/>
      <c r="DG20" s="2"/>
      <c r="DH20" s="2"/>
      <c r="DI20" s="2"/>
      <c r="DJ20" s="40"/>
      <c r="DK20" s="2"/>
      <c r="DL20" s="2"/>
      <c r="DM20" s="2"/>
      <c r="DN20" s="2"/>
      <c r="DO20" s="2"/>
      <c r="DP20" s="2"/>
      <c r="DQ20" s="2"/>
      <c r="DR20" s="40"/>
      <c r="DS20" s="2"/>
      <c r="DT20" s="2"/>
      <c r="DU20" s="2"/>
      <c r="DV20" s="2"/>
      <c r="DW20" s="2"/>
      <c r="DX20" s="2"/>
      <c r="DY20" s="2"/>
      <c r="DZ20" s="40"/>
      <c r="EA20" s="2"/>
      <c r="EB20" s="2"/>
      <c r="EC20" s="2"/>
      <c r="ED20" s="2"/>
      <c r="EE20" s="2"/>
      <c r="EF20" s="2"/>
      <c r="EG20" s="2"/>
      <c r="EH20" s="40"/>
      <c r="EI20" s="2"/>
      <c r="EJ20" s="2"/>
      <c r="EK20" s="2"/>
      <c r="EL20" s="2"/>
      <c r="EM20" s="2"/>
      <c r="EN20" s="2"/>
      <c r="EO20" s="2"/>
      <c r="EP20" s="40"/>
      <c r="EQ20" s="2"/>
      <c r="ER20" s="2"/>
      <c r="ES20" s="2"/>
      <c r="ET20" s="2"/>
      <c r="EU20" s="2"/>
      <c r="EV20" s="2"/>
      <c r="EW20" s="2"/>
      <c r="EX20" s="40"/>
      <c r="EY20" s="2"/>
      <c r="EZ20" s="2"/>
      <c r="FA20" s="2"/>
      <c r="FB20" s="2"/>
      <c r="FC20" s="2"/>
      <c r="FD20" s="2"/>
      <c r="FE20" s="2"/>
      <c r="FF20" s="40"/>
      <c r="FG20" s="2"/>
      <c r="FH20" s="2"/>
      <c r="FI20" s="2"/>
      <c r="FJ20" s="2"/>
      <c r="FK20" s="2"/>
      <c r="FL20" s="2"/>
      <c r="FM20" s="2"/>
    </row>
    <row r="21">
      <c r="A21" s="42"/>
      <c r="B21" s="41"/>
      <c r="C21" s="8"/>
      <c r="D21" s="8"/>
      <c r="E21" s="8"/>
      <c r="F21" s="8"/>
      <c r="G21" s="8"/>
      <c r="H21" s="8"/>
      <c r="I21" s="8"/>
      <c r="J21" s="41" t="str">
        <f t="shared" ref="J21:O21" si="101">B21</f>
        <v/>
      </c>
      <c r="K21" s="8" t="str">
        <f t="shared" si="101"/>
        <v/>
      </c>
      <c r="L21" s="8" t="str">
        <f t="shared" si="101"/>
        <v/>
      </c>
      <c r="M21" s="8" t="str">
        <f t="shared" si="101"/>
        <v/>
      </c>
      <c r="N21" s="8" t="str">
        <f t="shared" si="101"/>
        <v/>
      </c>
      <c r="O21" s="8" t="str">
        <f t="shared" si="101"/>
        <v/>
      </c>
      <c r="P21" s="8"/>
      <c r="Q21" s="8"/>
      <c r="R21" s="41" t="str">
        <f t="shared" ref="R21:W21" si="102">J21</f>
        <v/>
      </c>
      <c r="S21" s="8" t="str">
        <f t="shared" si="102"/>
        <v/>
      </c>
      <c r="T21" s="8" t="str">
        <f t="shared" si="102"/>
        <v/>
      </c>
      <c r="U21" s="8" t="str">
        <f t="shared" si="102"/>
        <v/>
      </c>
      <c r="V21" s="8" t="str">
        <f t="shared" si="102"/>
        <v/>
      </c>
      <c r="W21" s="8" t="str">
        <f t="shared" si="102"/>
        <v/>
      </c>
      <c r="X21" s="8"/>
      <c r="Y21" s="8"/>
      <c r="Z21" s="41" t="str">
        <f t="shared" ref="Z21:AE21" si="103">R21</f>
        <v/>
      </c>
      <c r="AA21" s="8" t="str">
        <f t="shared" si="103"/>
        <v/>
      </c>
      <c r="AB21" s="8" t="str">
        <f t="shared" si="103"/>
        <v/>
      </c>
      <c r="AC21" s="8" t="str">
        <f t="shared" si="103"/>
        <v/>
      </c>
      <c r="AD21" s="8" t="str">
        <f t="shared" si="103"/>
        <v/>
      </c>
      <c r="AE21" s="8" t="str">
        <f t="shared" si="103"/>
        <v/>
      </c>
      <c r="AF21" s="8"/>
      <c r="AG21" s="8"/>
      <c r="AH21" s="41" t="str">
        <f t="shared" ref="AH21:AM21" si="104">Z21</f>
        <v/>
      </c>
      <c r="AI21" s="8" t="str">
        <f t="shared" si="104"/>
        <v/>
      </c>
      <c r="AJ21" s="8" t="str">
        <f t="shared" si="104"/>
        <v/>
      </c>
      <c r="AK21" s="8" t="str">
        <f t="shared" si="104"/>
        <v/>
      </c>
      <c r="AL21" s="8" t="str">
        <f t="shared" si="104"/>
        <v/>
      </c>
      <c r="AM21" s="8" t="str">
        <f t="shared" si="104"/>
        <v/>
      </c>
      <c r="AN21" s="8"/>
      <c r="AO21" s="8"/>
      <c r="AP21" s="41" t="str">
        <f t="shared" ref="AP21:AU21" si="105">AH21</f>
        <v/>
      </c>
      <c r="AQ21" s="8" t="str">
        <f t="shared" si="105"/>
        <v/>
      </c>
      <c r="AR21" s="8" t="str">
        <f t="shared" si="105"/>
        <v/>
      </c>
      <c r="AS21" s="8" t="str">
        <f t="shared" si="105"/>
        <v/>
      </c>
      <c r="AT21" s="8" t="str">
        <f t="shared" si="105"/>
        <v/>
      </c>
      <c r="AU21" s="8" t="str">
        <f t="shared" si="105"/>
        <v/>
      </c>
      <c r="AV21" s="8"/>
      <c r="AW21" s="8"/>
      <c r="AX21" s="41" t="str">
        <f t="shared" ref="AX21:BC21" si="106">AP21</f>
        <v/>
      </c>
      <c r="AY21" s="8" t="str">
        <f t="shared" si="106"/>
        <v/>
      </c>
      <c r="AZ21" s="8" t="str">
        <f t="shared" si="106"/>
        <v/>
      </c>
      <c r="BA21" s="8" t="str">
        <f t="shared" si="106"/>
        <v/>
      </c>
      <c r="BB21" s="8" t="str">
        <f t="shared" si="106"/>
        <v/>
      </c>
      <c r="BC21" s="8" t="str">
        <f t="shared" si="106"/>
        <v/>
      </c>
      <c r="BD21" s="8"/>
      <c r="BE21" s="8"/>
      <c r="BF21" s="41" t="str">
        <f t="shared" ref="BF21:BK21" si="107">AX21</f>
        <v/>
      </c>
      <c r="BG21" s="8" t="str">
        <f t="shared" si="107"/>
        <v/>
      </c>
      <c r="BH21" s="8" t="str">
        <f t="shared" si="107"/>
        <v/>
      </c>
      <c r="BI21" s="8" t="str">
        <f t="shared" si="107"/>
        <v/>
      </c>
      <c r="BJ21" s="8" t="str">
        <f t="shared" si="107"/>
        <v/>
      </c>
      <c r="BK21" s="8" t="str">
        <f t="shared" si="107"/>
        <v/>
      </c>
      <c r="BL21" s="8"/>
      <c r="BM21" s="8"/>
      <c r="BN21" s="41" t="str">
        <f t="shared" ref="BN21:BS21" si="108">BF21</f>
        <v/>
      </c>
      <c r="BO21" s="8" t="str">
        <f t="shared" si="108"/>
        <v/>
      </c>
      <c r="BP21" s="8" t="str">
        <f t="shared" si="108"/>
        <v/>
      </c>
      <c r="BQ21" s="8" t="str">
        <f t="shared" si="108"/>
        <v/>
      </c>
      <c r="BR21" s="8" t="str">
        <f t="shared" si="108"/>
        <v/>
      </c>
      <c r="BS21" s="8" t="str">
        <f t="shared" si="108"/>
        <v/>
      </c>
      <c r="BT21" s="8"/>
      <c r="BU21" s="8"/>
      <c r="BV21" s="41" t="str">
        <f t="shared" ref="BV21:CA21" si="109">BN21</f>
        <v/>
      </c>
      <c r="BW21" s="8" t="str">
        <f t="shared" si="109"/>
        <v/>
      </c>
      <c r="BX21" s="8" t="str">
        <f t="shared" si="109"/>
        <v/>
      </c>
      <c r="BY21" s="8" t="str">
        <f t="shared" si="109"/>
        <v/>
      </c>
      <c r="BZ21" s="8" t="str">
        <f t="shared" si="109"/>
        <v/>
      </c>
      <c r="CA21" s="8" t="str">
        <f t="shared" si="109"/>
        <v/>
      </c>
      <c r="CB21" s="8"/>
      <c r="CC21" s="8"/>
      <c r="CD21" s="41" t="str">
        <f t="shared" ref="CD21:CI21" si="110">BV21</f>
        <v/>
      </c>
      <c r="CE21" s="8" t="str">
        <f t="shared" si="110"/>
        <v/>
      </c>
      <c r="CF21" s="8" t="str">
        <f t="shared" si="110"/>
        <v/>
      </c>
      <c r="CG21" s="8" t="str">
        <f t="shared" si="110"/>
        <v/>
      </c>
      <c r="CH21" s="8" t="str">
        <f t="shared" si="110"/>
        <v/>
      </c>
      <c r="CI21" s="8" t="str">
        <f t="shared" si="110"/>
        <v/>
      </c>
      <c r="CJ21" s="8"/>
      <c r="CK21" s="8"/>
      <c r="CL21" s="41" t="str">
        <f t="shared" ref="CL21:CQ21" si="111">CD21</f>
        <v/>
      </c>
      <c r="CM21" s="8" t="str">
        <f t="shared" si="111"/>
        <v/>
      </c>
      <c r="CN21" s="8" t="str">
        <f t="shared" si="111"/>
        <v/>
      </c>
      <c r="CO21" s="8" t="str">
        <f t="shared" si="111"/>
        <v/>
      </c>
      <c r="CP21" s="8" t="str">
        <f t="shared" si="111"/>
        <v/>
      </c>
      <c r="CQ21" s="8" t="str">
        <f t="shared" si="111"/>
        <v/>
      </c>
      <c r="CR21" s="8"/>
      <c r="CS21" s="8"/>
      <c r="CT21" s="41" t="str">
        <f t="shared" ref="CT21:CY21" si="112">CL21</f>
        <v/>
      </c>
      <c r="CU21" s="8" t="str">
        <f t="shared" si="112"/>
        <v/>
      </c>
      <c r="CV21" s="8" t="str">
        <f t="shared" si="112"/>
        <v/>
      </c>
      <c r="CW21" s="8" t="str">
        <f t="shared" si="112"/>
        <v/>
      </c>
      <c r="CX21" s="8" t="str">
        <f t="shared" si="112"/>
        <v/>
      </c>
      <c r="CY21" s="8" t="str">
        <f t="shared" si="112"/>
        <v/>
      </c>
      <c r="CZ21" s="8"/>
      <c r="DA21" s="8"/>
      <c r="DB21" s="41" t="str">
        <f t="shared" ref="DB21:DG21" si="113">CT21</f>
        <v/>
      </c>
      <c r="DC21" s="8" t="str">
        <f t="shared" si="113"/>
        <v/>
      </c>
      <c r="DD21" s="8" t="str">
        <f t="shared" si="113"/>
        <v/>
      </c>
      <c r="DE21" s="8" t="str">
        <f t="shared" si="113"/>
        <v/>
      </c>
      <c r="DF21" s="8" t="str">
        <f t="shared" si="113"/>
        <v/>
      </c>
      <c r="DG21" s="8" t="str">
        <f t="shared" si="113"/>
        <v/>
      </c>
      <c r="DH21" s="8"/>
      <c r="DI21" s="8"/>
      <c r="DJ21" s="41" t="str">
        <f t="shared" ref="DJ21:DO21" si="114">DB21</f>
        <v/>
      </c>
      <c r="DK21" s="8" t="str">
        <f t="shared" si="114"/>
        <v/>
      </c>
      <c r="DL21" s="8" t="str">
        <f t="shared" si="114"/>
        <v/>
      </c>
      <c r="DM21" s="8" t="str">
        <f t="shared" si="114"/>
        <v/>
      </c>
      <c r="DN21" s="8" t="str">
        <f t="shared" si="114"/>
        <v/>
      </c>
      <c r="DO21" s="8" t="str">
        <f t="shared" si="114"/>
        <v/>
      </c>
      <c r="DP21" s="8"/>
      <c r="DQ21" s="8"/>
      <c r="DR21" s="41" t="str">
        <f t="shared" ref="DR21:DW21" si="115">DJ21</f>
        <v/>
      </c>
      <c r="DS21" s="8" t="str">
        <f t="shared" si="115"/>
        <v/>
      </c>
      <c r="DT21" s="8" t="str">
        <f t="shared" si="115"/>
        <v/>
      </c>
      <c r="DU21" s="8" t="str">
        <f t="shared" si="115"/>
        <v/>
      </c>
      <c r="DV21" s="8" t="str">
        <f t="shared" si="115"/>
        <v/>
      </c>
      <c r="DW21" s="8" t="str">
        <f t="shared" si="115"/>
        <v/>
      </c>
      <c r="DX21" s="8"/>
      <c r="DY21" s="8"/>
      <c r="DZ21" s="41" t="str">
        <f t="shared" ref="DZ21:EE21" si="116">DR21</f>
        <v/>
      </c>
      <c r="EA21" s="8" t="str">
        <f t="shared" si="116"/>
        <v/>
      </c>
      <c r="EB21" s="8" t="str">
        <f t="shared" si="116"/>
        <v/>
      </c>
      <c r="EC21" s="8" t="str">
        <f t="shared" si="116"/>
        <v/>
      </c>
      <c r="ED21" s="8" t="str">
        <f t="shared" si="116"/>
        <v/>
      </c>
      <c r="EE21" s="8" t="str">
        <f t="shared" si="116"/>
        <v/>
      </c>
      <c r="EF21" s="8"/>
      <c r="EG21" s="8"/>
      <c r="EH21" s="41" t="str">
        <f t="shared" ref="EH21:EM21" si="117">DZ21</f>
        <v/>
      </c>
      <c r="EI21" s="8" t="str">
        <f t="shared" si="117"/>
        <v/>
      </c>
      <c r="EJ21" s="8" t="str">
        <f t="shared" si="117"/>
        <v/>
      </c>
      <c r="EK21" s="8" t="str">
        <f t="shared" si="117"/>
        <v/>
      </c>
      <c r="EL21" s="8" t="str">
        <f t="shared" si="117"/>
        <v/>
      </c>
      <c r="EM21" s="8" t="str">
        <f t="shared" si="117"/>
        <v/>
      </c>
      <c r="EN21" s="8"/>
      <c r="EO21" s="8"/>
      <c r="EP21" s="41" t="str">
        <f t="shared" ref="EP21:EU21" si="118">EH21</f>
        <v/>
      </c>
      <c r="EQ21" s="8" t="str">
        <f t="shared" si="118"/>
        <v/>
      </c>
      <c r="ER21" s="8" t="str">
        <f t="shared" si="118"/>
        <v/>
      </c>
      <c r="ES21" s="8" t="str">
        <f t="shared" si="118"/>
        <v/>
      </c>
      <c r="ET21" s="8" t="str">
        <f t="shared" si="118"/>
        <v/>
      </c>
      <c r="EU21" s="8" t="str">
        <f t="shared" si="118"/>
        <v/>
      </c>
      <c r="EV21" s="8"/>
      <c r="EW21" s="8"/>
      <c r="EX21" s="41" t="str">
        <f t="shared" ref="EX21:FC21" si="119">EP21</f>
        <v/>
      </c>
      <c r="EY21" s="8" t="str">
        <f t="shared" si="119"/>
        <v/>
      </c>
      <c r="EZ21" s="8" t="str">
        <f t="shared" si="119"/>
        <v/>
      </c>
      <c r="FA21" s="8" t="str">
        <f t="shared" si="119"/>
        <v/>
      </c>
      <c r="FB21" s="8" t="str">
        <f t="shared" si="119"/>
        <v/>
      </c>
      <c r="FC21" s="8" t="str">
        <f t="shared" si="119"/>
        <v/>
      </c>
      <c r="FD21" s="8"/>
      <c r="FE21" s="8"/>
      <c r="FF21" s="41" t="str">
        <f t="shared" ref="FF21:FK21" si="120">EX21</f>
        <v/>
      </c>
      <c r="FG21" s="8" t="str">
        <f t="shared" si="120"/>
        <v/>
      </c>
      <c r="FH21" s="8" t="str">
        <f t="shared" si="120"/>
        <v/>
      </c>
      <c r="FI21" s="8" t="str">
        <f t="shared" si="120"/>
        <v/>
      </c>
      <c r="FJ21" s="8" t="str">
        <f t="shared" si="120"/>
        <v/>
      </c>
      <c r="FK21" s="8" t="str">
        <f t="shared" si="120"/>
        <v/>
      </c>
      <c r="FL21" s="8"/>
      <c r="FM21" s="8"/>
    </row>
    <row r="22">
      <c r="A22" s="42"/>
      <c r="B22" s="41"/>
      <c r="C22" s="8"/>
      <c r="D22" s="8"/>
      <c r="E22" s="8"/>
      <c r="F22" s="8"/>
      <c r="G22" s="8"/>
      <c r="H22" s="8"/>
      <c r="I22" s="8"/>
      <c r="J22" s="41" t="str">
        <f t="shared" ref="J22:O22" si="121">B22</f>
        <v/>
      </c>
      <c r="K22" s="8" t="str">
        <f t="shared" si="121"/>
        <v/>
      </c>
      <c r="L22" s="8" t="str">
        <f t="shared" si="121"/>
        <v/>
      </c>
      <c r="M22" s="8" t="str">
        <f t="shared" si="121"/>
        <v/>
      </c>
      <c r="N22" s="8" t="str">
        <f t="shared" si="121"/>
        <v/>
      </c>
      <c r="O22" s="8" t="str">
        <f t="shared" si="121"/>
        <v/>
      </c>
      <c r="P22" s="8"/>
      <c r="Q22" s="8"/>
      <c r="R22" s="41" t="str">
        <f t="shared" ref="R22:W22" si="122">J22</f>
        <v/>
      </c>
      <c r="S22" s="8" t="str">
        <f t="shared" si="122"/>
        <v/>
      </c>
      <c r="T22" s="8" t="str">
        <f t="shared" si="122"/>
        <v/>
      </c>
      <c r="U22" s="8" t="str">
        <f t="shared" si="122"/>
        <v/>
      </c>
      <c r="V22" s="8" t="str">
        <f t="shared" si="122"/>
        <v/>
      </c>
      <c r="W22" s="8" t="str">
        <f t="shared" si="122"/>
        <v/>
      </c>
      <c r="X22" s="8"/>
      <c r="Y22" s="8"/>
      <c r="Z22" s="41" t="str">
        <f t="shared" ref="Z22:AE22" si="123">R22</f>
        <v/>
      </c>
      <c r="AA22" s="8" t="str">
        <f t="shared" si="123"/>
        <v/>
      </c>
      <c r="AB22" s="8" t="str">
        <f t="shared" si="123"/>
        <v/>
      </c>
      <c r="AC22" s="8" t="str">
        <f t="shared" si="123"/>
        <v/>
      </c>
      <c r="AD22" s="8" t="str">
        <f t="shared" si="123"/>
        <v/>
      </c>
      <c r="AE22" s="8" t="str">
        <f t="shared" si="123"/>
        <v/>
      </c>
      <c r="AF22" s="8"/>
      <c r="AG22" s="8"/>
      <c r="AH22" s="41" t="str">
        <f t="shared" ref="AH22:AM22" si="124">Z22</f>
        <v/>
      </c>
      <c r="AI22" s="8" t="str">
        <f t="shared" si="124"/>
        <v/>
      </c>
      <c r="AJ22" s="8" t="str">
        <f t="shared" si="124"/>
        <v/>
      </c>
      <c r="AK22" s="8" t="str">
        <f t="shared" si="124"/>
        <v/>
      </c>
      <c r="AL22" s="8" t="str">
        <f t="shared" si="124"/>
        <v/>
      </c>
      <c r="AM22" s="8" t="str">
        <f t="shared" si="124"/>
        <v/>
      </c>
      <c r="AN22" s="8"/>
      <c r="AO22" s="8"/>
      <c r="AP22" s="41" t="str">
        <f t="shared" ref="AP22:AU22" si="125">AH22</f>
        <v/>
      </c>
      <c r="AQ22" s="8" t="str">
        <f t="shared" si="125"/>
        <v/>
      </c>
      <c r="AR22" s="8" t="str">
        <f t="shared" si="125"/>
        <v/>
      </c>
      <c r="AS22" s="8" t="str">
        <f t="shared" si="125"/>
        <v/>
      </c>
      <c r="AT22" s="8" t="str">
        <f t="shared" si="125"/>
        <v/>
      </c>
      <c r="AU22" s="8" t="str">
        <f t="shared" si="125"/>
        <v/>
      </c>
      <c r="AV22" s="8"/>
      <c r="AW22" s="8"/>
      <c r="AX22" s="41" t="str">
        <f t="shared" ref="AX22:BC22" si="126">AP22</f>
        <v/>
      </c>
      <c r="AY22" s="8" t="str">
        <f t="shared" si="126"/>
        <v/>
      </c>
      <c r="AZ22" s="8" t="str">
        <f t="shared" si="126"/>
        <v/>
      </c>
      <c r="BA22" s="8" t="str">
        <f t="shared" si="126"/>
        <v/>
      </c>
      <c r="BB22" s="8" t="str">
        <f t="shared" si="126"/>
        <v/>
      </c>
      <c r="BC22" s="8" t="str">
        <f t="shared" si="126"/>
        <v/>
      </c>
      <c r="BD22" s="8"/>
      <c r="BE22" s="8"/>
      <c r="BF22" s="41" t="str">
        <f t="shared" ref="BF22:BK22" si="127">AX22</f>
        <v/>
      </c>
      <c r="BG22" s="8" t="str">
        <f t="shared" si="127"/>
        <v/>
      </c>
      <c r="BH22" s="8" t="str">
        <f t="shared" si="127"/>
        <v/>
      </c>
      <c r="BI22" s="8" t="str">
        <f t="shared" si="127"/>
        <v/>
      </c>
      <c r="BJ22" s="8" t="str">
        <f t="shared" si="127"/>
        <v/>
      </c>
      <c r="BK22" s="8" t="str">
        <f t="shared" si="127"/>
        <v/>
      </c>
      <c r="BL22" s="8"/>
      <c r="BM22" s="8"/>
      <c r="BN22" s="41" t="str">
        <f t="shared" ref="BN22:BS22" si="128">BF22</f>
        <v/>
      </c>
      <c r="BO22" s="8" t="str">
        <f t="shared" si="128"/>
        <v/>
      </c>
      <c r="BP22" s="8" t="str">
        <f t="shared" si="128"/>
        <v/>
      </c>
      <c r="BQ22" s="8" t="str">
        <f t="shared" si="128"/>
        <v/>
      </c>
      <c r="BR22" s="8" t="str">
        <f t="shared" si="128"/>
        <v/>
      </c>
      <c r="BS22" s="8" t="str">
        <f t="shared" si="128"/>
        <v/>
      </c>
      <c r="BT22" s="8"/>
      <c r="BU22" s="8"/>
      <c r="BV22" s="41" t="str">
        <f t="shared" ref="BV22:CA22" si="129">BN22</f>
        <v/>
      </c>
      <c r="BW22" s="8" t="str">
        <f t="shared" si="129"/>
        <v/>
      </c>
      <c r="BX22" s="8" t="str">
        <f t="shared" si="129"/>
        <v/>
      </c>
      <c r="BY22" s="8" t="str">
        <f t="shared" si="129"/>
        <v/>
      </c>
      <c r="BZ22" s="8" t="str">
        <f t="shared" si="129"/>
        <v/>
      </c>
      <c r="CA22" s="8" t="str">
        <f t="shared" si="129"/>
        <v/>
      </c>
      <c r="CB22" s="8"/>
      <c r="CC22" s="8"/>
      <c r="CD22" s="41" t="str">
        <f t="shared" ref="CD22:CI22" si="130">BV22</f>
        <v/>
      </c>
      <c r="CE22" s="8" t="str">
        <f t="shared" si="130"/>
        <v/>
      </c>
      <c r="CF22" s="8" t="str">
        <f t="shared" si="130"/>
        <v/>
      </c>
      <c r="CG22" s="8" t="str">
        <f t="shared" si="130"/>
        <v/>
      </c>
      <c r="CH22" s="8" t="str">
        <f t="shared" si="130"/>
        <v/>
      </c>
      <c r="CI22" s="8" t="str">
        <f t="shared" si="130"/>
        <v/>
      </c>
      <c r="CJ22" s="8"/>
      <c r="CK22" s="8"/>
      <c r="CL22" s="41" t="str">
        <f t="shared" ref="CL22:CQ22" si="131">CD22</f>
        <v/>
      </c>
      <c r="CM22" s="8" t="str">
        <f t="shared" si="131"/>
        <v/>
      </c>
      <c r="CN22" s="8" t="str">
        <f t="shared" si="131"/>
        <v/>
      </c>
      <c r="CO22" s="8" t="str">
        <f t="shared" si="131"/>
        <v/>
      </c>
      <c r="CP22" s="8" t="str">
        <f t="shared" si="131"/>
        <v/>
      </c>
      <c r="CQ22" s="8" t="str">
        <f t="shared" si="131"/>
        <v/>
      </c>
      <c r="CR22" s="8"/>
      <c r="CS22" s="8"/>
      <c r="CT22" s="41" t="str">
        <f t="shared" ref="CT22:CY22" si="132">CL22</f>
        <v/>
      </c>
      <c r="CU22" s="8" t="str">
        <f t="shared" si="132"/>
        <v/>
      </c>
      <c r="CV22" s="8" t="str">
        <f t="shared" si="132"/>
        <v/>
      </c>
      <c r="CW22" s="8" t="str">
        <f t="shared" si="132"/>
        <v/>
      </c>
      <c r="CX22" s="8" t="str">
        <f t="shared" si="132"/>
        <v/>
      </c>
      <c r="CY22" s="8" t="str">
        <f t="shared" si="132"/>
        <v/>
      </c>
      <c r="CZ22" s="8"/>
      <c r="DA22" s="8"/>
      <c r="DB22" s="41" t="str">
        <f t="shared" ref="DB22:DG22" si="133">CT22</f>
        <v/>
      </c>
      <c r="DC22" s="8" t="str">
        <f t="shared" si="133"/>
        <v/>
      </c>
      <c r="DD22" s="8" t="str">
        <f t="shared" si="133"/>
        <v/>
      </c>
      <c r="DE22" s="8" t="str">
        <f t="shared" si="133"/>
        <v/>
      </c>
      <c r="DF22" s="8" t="str">
        <f t="shared" si="133"/>
        <v/>
      </c>
      <c r="DG22" s="8" t="str">
        <f t="shared" si="133"/>
        <v/>
      </c>
      <c r="DH22" s="8"/>
      <c r="DI22" s="8"/>
      <c r="DJ22" s="41" t="str">
        <f t="shared" ref="DJ22:DO22" si="134">DB22</f>
        <v/>
      </c>
      <c r="DK22" s="8" t="str">
        <f t="shared" si="134"/>
        <v/>
      </c>
      <c r="DL22" s="8" t="str">
        <f t="shared" si="134"/>
        <v/>
      </c>
      <c r="DM22" s="8" t="str">
        <f t="shared" si="134"/>
        <v/>
      </c>
      <c r="DN22" s="8" t="str">
        <f t="shared" si="134"/>
        <v/>
      </c>
      <c r="DO22" s="8" t="str">
        <f t="shared" si="134"/>
        <v/>
      </c>
      <c r="DP22" s="8"/>
      <c r="DQ22" s="8"/>
      <c r="DR22" s="41" t="str">
        <f t="shared" ref="DR22:DW22" si="135">DJ22</f>
        <v/>
      </c>
      <c r="DS22" s="8" t="str">
        <f t="shared" si="135"/>
        <v/>
      </c>
      <c r="DT22" s="8" t="str">
        <f t="shared" si="135"/>
        <v/>
      </c>
      <c r="DU22" s="8" t="str">
        <f t="shared" si="135"/>
        <v/>
      </c>
      <c r="DV22" s="8" t="str">
        <f t="shared" si="135"/>
        <v/>
      </c>
      <c r="DW22" s="8" t="str">
        <f t="shared" si="135"/>
        <v/>
      </c>
      <c r="DX22" s="8"/>
      <c r="DY22" s="8"/>
      <c r="DZ22" s="41" t="str">
        <f t="shared" ref="DZ22:EE22" si="136">DR22</f>
        <v/>
      </c>
      <c r="EA22" s="8" t="str">
        <f t="shared" si="136"/>
        <v/>
      </c>
      <c r="EB22" s="8" t="str">
        <f t="shared" si="136"/>
        <v/>
      </c>
      <c r="EC22" s="8" t="str">
        <f t="shared" si="136"/>
        <v/>
      </c>
      <c r="ED22" s="8" t="str">
        <f t="shared" si="136"/>
        <v/>
      </c>
      <c r="EE22" s="8" t="str">
        <f t="shared" si="136"/>
        <v/>
      </c>
      <c r="EF22" s="8"/>
      <c r="EG22" s="8"/>
      <c r="EH22" s="41" t="str">
        <f t="shared" ref="EH22:EM22" si="137">DZ22</f>
        <v/>
      </c>
      <c r="EI22" s="8" t="str">
        <f t="shared" si="137"/>
        <v/>
      </c>
      <c r="EJ22" s="8" t="str">
        <f t="shared" si="137"/>
        <v/>
      </c>
      <c r="EK22" s="8" t="str">
        <f t="shared" si="137"/>
        <v/>
      </c>
      <c r="EL22" s="8" t="str">
        <f t="shared" si="137"/>
        <v/>
      </c>
      <c r="EM22" s="8" t="str">
        <f t="shared" si="137"/>
        <v/>
      </c>
      <c r="EN22" s="8"/>
      <c r="EO22" s="8"/>
      <c r="EP22" s="41" t="str">
        <f t="shared" ref="EP22:EU22" si="138">EH22</f>
        <v/>
      </c>
      <c r="EQ22" s="8" t="str">
        <f t="shared" si="138"/>
        <v/>
      </c>
      <c r="ER22" s="8" t="str">
        <f t="shared" si="138"/>
        <v/>
      </c>
      <c r="ES22" s="8" t="str">
        <f t="shared" si="138"/>
        <v/>
      </c>
      <c r="ET22" s="8" t="str">
        <f t="shared" si="138"/>
        <v/>
      </c>
      <c r="EU22" s="8" t="str">
        <f t="shared" si="138"/>
        <v/>
      </c>
      <c r="EV22" s="8"/>
      <c r="EW22" s="8"/>
      <c r="EX22" s="41" t="str">
        <f t="shared" ref="EX22:FC22" si="139">EP22</f>
        <v/>
      </c>
      <c r="EY22" s="8" t="str">
        <f t="shared" si="139"/>
        <v/>
      </c>
      <c r="EZ22" s="8" t="str">
        <f t="shared" si="139"/>
        <v/>
      </c>
      <c r="FA22" s="8" t="str">
        <f t="shared" si="139"/>
        <v/>
      </c>
      <c r="FB22" s="8" t="str">
        <f t="shared" si="139"/>
        <v/>
      </c>
      <c r="FC22" s="8" t="str">
        <f t="shared" si="139"/>
        <v/>
      </c>
      <c r="FD22" s="8"/>
      <c r="FE22" s="8"/>
      <c r="FF22" s="41" t="str">
        <f t="shared" ref="FF22:FK22" si="140">EX22</f>
        <v/>
      </c>
      <c r="FG22" s="8" t="str">
        <f t="shared" si="140"/>
        <v/>
      </c>
      <c r="FH22" s="8" t="str">
        <f t="shared" si="140"/>
        <v/>
      </c>
      <c r="FI22" s="8" t="str">
        <f t="shared" si="140"/>
        <v/>
      </c>
      <c r="FJ22" s="8" t="str">
        <f t="shared" si="140"/>
        <v/>
      </c>
      <c r="FK22" s="8" t="str">
        <f t="shared" si="140"/>
        <v/>
      </c>
      <c r="FL22" s="8"/>
      <c r="FM22" s="8"/>
    </row>
    <row r="23">
      <c r="A23" s="43"/>
      <c r="B23" s="44"/>
      <c r="C23" s="45"/>
      <c r="D23" s="45"/>
      <c r="E23" s="45"/>
      <c r="F23" s="45"/>
      <c r="G23" s="45"/>
      <c r="H23" s="45"/>
      <c r="I23" s="45"/>
      <c r="J23" s="44" t="str">
        <f t="shared" ref="J23:O23" si="141">B23</f>
        <v/>
      </c>
      <c r="K23" s="45" t="str">
        <f t="shared" si="141"/>
        <v/>
      </c>
      <c r="L23" s="45" t="str">
        <f t="shared" si="141"/>
        <v/>
      </c>
      <c r="M23" s="45" t="str">
        <f t="shared" si="141"/>
        <v/>
      </c>
      <c r="N23" s="45" t="str">
        <f t="shared" si="141"/>
        <v/>
      </c>
      <c r="O23" s="45" t="str">
        <f t="shared" si="141"/>
        <v/>
      </c>
      <c r="P23" s="45"/>
      <c r="Q23" s="45"/>
      <c r="R23" s="44" t="str">
        <f t="shared" ref="R23:W23" si="142">J23</f>
        <v/>
      </c>
      <c r="S23" s="45" t="str">
        <f t="shared" si="142"/>
        <v/>
      </c>
      <c r="T23" s="45" t="str">
        <f t="shared" si="142"/>
        <v/>
      </c>
      <c r="U23" s="45" t="str">
        <f t="shared" si="142"/>
        <v/>
      </c>
      <c r="V23" s="45" t="str">
        <f t="shared" si="142"/>
        <v/>
      </c>
      <c r="W23" s="45" t="str">
        <f t="shared" si="142"/>
        <v/>
      </c>
      <c r="X23" s="45"/>
      <c r="Y23" s="45"/>
      <c r="Z23" s="44" t="str">
        <f t="shared" ref="Z23:AE23" si="143">R23</f>
        <v/>
      </c>
      <c r="AA23" s="45" t="str">
        <f t="shared" si="143"/>
        <v/>
      </c>
      <c r="AB23" s="45" t="str">
        <f t="shared" si="143"/>
        <v/>
      </c>
      <c r="AC23" s="45" t="str">
        <f t="shared" si="143"/>
        <v/>
      </c>
      <c r="AD23" s="45" t="str">
        <f t="shared" si="143"/>
        <v/>
      </c>
      <c r="AE23" s="45" t="str">
        <f t="shared" si="143"/>
        <v/>
      </c>
      <c r="AF23" s="45"/>
      <c r="AG23" s="45"/>
      <c r="AH23" s="44" t="str">
        <f t="shared" ref="AH23:AM23" si="144">Z23</f>
        <v/>
      </c>
      <c r="AI23" s="45" t="str">
        <f t="shared" si="144"/>
        <v/>
      </c>
      <c r="AJ23" s="45" t="str">
        <f t="shared" si="144"/>
        <v/>
      </c>
      <c r="AK23" s="45" t="str">
        <f t="shared" si="144"/>
        <v/>
      </c>
      <c r="AL23" s="45" t="str">
        <f t="shared" si="144"/>
        <v/>
      </c>
      <c r="AM23" s="45" t="str">
        <f t="shared" si="144"/>
        <v/>
      </c>
      <c r="AN23" s="45"/>
      <c r="AO23" s="45"/>
      <c r="AP23" s="44" t="str">
        <f t="shared" ref="AP23:AU23" si="145">AH23</f>
        <v/>
      </c>
      <c r="AQ23" s="45" t="str">
        <f t="shared" si="145"/>
        <v/>
      </c>
      <c r="AR23" s="45" t="str">
        <f t="shared" si="145"/>
        <v/>
      </c>
      <c r="AS23" s="45" t="str">
        <f t="shared" si="145"/>
        <v/>
      </c>
      <c r="AT23" s="45" t="str">
        <f t="shared" si="145"/>
        <v/>
      </c>
      <c r="AU23" s="45" t="str">
        <f t="shared" si="145"/>
        <v/>
      </c>
      <c r="AV23" s="45"/>
      <c r="AW23" s="45"/>
      <c r="AX23" s="44" t="str">
        <f t="shared" ref="AX23:BC23" si="146">AP23</f>
        <v/>
      </c>
      <c r="AY23" s="45" t="str">
        <f t="shared" si="146"/>
        <v/>
      </c>
      <c r="AZ23" s="45" t="str">
        <f t="shared" si="146"/>
        <v/>
      </c>
      <c r="BA23" s="45" t="str">
        <f t="shared" si="146"/>
        <v/>
      </c>
      <c r="BB23" s="45" t="str">
        <f t="shared" si="146"/>
        <v/>
      </c>
      <c r="BC23" s="45" t="str">
        <f t="shared" si="146"/>
        <v/>
      </c>
      <c r="BD23" s="45"/>
      <c r="BE23" s="45"/>
      <c r="BF23" s="44" t="str">
        <f t="shared" ref="BF23:BK23" si="147">AX23</f>
        <v/>
      </c>
      <c r="BG23" s="45" t="str">
        <f t="shared" si="147"/>
        <v/>
      </c>
      <c r="BH23" s="45" t="str">
        <f t="shared" si="147"/>
        <v/>
      </c>
      <c r="BI23" s="45" t="str">
        <f t="shared" si="147"/>
        <v/>
      </c>
      <c r="BJ23" s="45" t="str">
        <f t="shared" si="147"/>
        <v/>
      </c>
      <c r="BK23" s="45" t="str">
        <f t="shared" si="147"/>
        <v/>
      </c>
      <c r="BL23" s="45"/>
      <c r="BM23" s="45"/>
      <c r="BN23" s="44" t="str">
        <f t="shared" ref="BN23:BS23" si="148">BF23</f>
        <v/>
      </c>
      <c r="BO23" s="45" t="str">
        <f t="shared" si="148"/>
        <v/>
      </c>
      <c r="BP23" s="45" t="str">
        <f t="shared" si="148"/>
        <v/>
      </c>
      <c r="BQ23" s="45" t="str">
        <f t="shared" si="148"/>
        <v/>
      </c>
      <c r="BR23" s="45" t="str">
        <f t="shared" si="148"/>
        <v/>
      </c>
      <c r="BS23" s="45" t="str">
        <f t="shared" si="148"/>
        <v/>
      </c>
      <c r="BT23" s="45"/>
      <c r="BU23" s="45"/>
      <c r="BV23" s="44" t="str">
        <f t="shared" ref="BV23:CA23" si="149">BN23</f>
        <v/>
      </c>
      <c r="BW23" s="45" t="str">
        <f t="shared" si="149"/>
        <v/>
      </c>
      <c r="BX23" s="45" t="str">
        <f t="shared" si="149"/>
        <v/>
      </c>
      <c r="BY23" s="45" t="str">
        <f t="shared" si="149"/>
        <v/>
      </c>
      <c r="BZ23" s="45" t="str">
        <f t="shared" si="149"/>
        <v/>
      </c>
      <c r="CA23" s="45" t="str">
        <f t="shared" si="149"/>
        <v/>
      </c>
      <c r="CB23" s="45"/>
      <c r="CC23" s="45"/>
      <c r="CD23" s="44" t="str">
        <f t="shared" ref="CD23:CI23" si="150">BV23</f>
        <v/>
      </c>
      <c r="CE23" s="45" t="str">
        <f t="shared" si="150"/>
        <v/>
      </c>
      <c r="CF23" s="45" t="str">
        <f t="shared" si="150"/>
        <v/>
      </c>
      <c r="CG23" s="45" t="str">
        <f t="shared" si="150"/>
        <v/>
      </c>
      <c r="CH23" s="45" t="str">
        <f t="shared" si="150"/>
        <v/>
      </c>
      <c r="CI23" s="45" t="str">
        <f t="shared" si="150"/>
        <v/>
      </c>
      <c r="CJ23" s="45"/>
      <c r="CK23" s="45"/>
      <c r="CL23" s="44" t="str">
        <f t="shared" ref="CL23:CQ23" si="151">CD23</f>
        <v/>
      </c>
      <c r="CM23" s="45" t="str">
        <f t="shared" si="151"/>
        <v/>
      </c>
      <c r="CN23" s="45" t="str">
        <f t="shared" si="151"/>
        <v/>
      </c>
      <c r="CO23" s="45" t="str">
        <f t="shared" si="151"/>
        <v/>
      </c>
      <c r="CP23" s="45" t="str">
        <f t="shared" si="151"/>
        <v/>
      </c>
      <c r="CQ23" s="45" t="str">
        <f t="shared" si="151"/>
        <v/>
      </c>
      <c r="CR23" s="45"/>
      <c r="CS23" s="45"/>
      <c r="CT23" s="44" t="str">
        <f t="shared" ref="CT23:CY23" si="152">CL23</f>
        <v/>
      </c>
      <c r="CU23" s="45" t="str">
        <f t="shared" si="152"/>
        <v/>
      </c>
      <c r="CV23" s="45" t="str">
        <f t="shared" si="152"/>
        <v/>
      </c>
      <c r="CW23" s="45" t="str">
        <f t="shared" si="152"/>
        <v/>
      </c>
      <c r="CX23" s="45" t="str">
        <f t="shared" si="152"/>
        <v/>
      </c>
      <c r="CY23" s="45" t="str">
        <f t="shared" si="152"/>
        <v/>
      </c>
      <c r="CZ23" s="45"/>
      <c r="DA23" s="45"/>
      <c r="DB23" s="44" t="str">
        <f t="shared" ref="DB23:DG23" si="153">CT23</f>
        <v/>
      </c>
      <c r="DC23" s="45" t="str">
        <f t="shared" si="153"/>
        <v/>
      </c>
      <c r="DD23" s="45" t="str">
        <f t="shared" si="153"/>
        <v/>
      </c>
      <c r="DE23" s="45" t="str">
        <f t="shared" si="153"/>
        <v/>
      </c>
      <c r="DF23" s="45" t="str">
        <f t="shared" si="153"/>
        <v/>
      </c>
      <c r="DG23" s="45" t="str">
        <f t="shared" si="153"/>
        <v/>
      </c>
      <c r="DH23" s="45"/>
      <c r="DI23" s="45"/>
      <c r="DJ23" s="44" t="str">
        <f t="shared" ref="DJ23:DO23" si="154">DB23</f>
        <v/>
      </c>
      <c r="DK23" s="45" t="str">
        <f t="shared" si="154"/>
        <v/>
      </c>
      <c r="DL23" s="45" t="str">
        <f t="shared" si="154"/>
        <v/>
      </c>
      <c r="DM23" s="45" t="str">
        <f t="shared" si="154"/>
        <v/>
      </c>
      <c r="DN23" s="45" t="str">
        <f t="shared" si="154"/>
        <v/>
      </c>
      <c r="DO23" s="45" t="str">
        <f t="shared" si="154"/>
        <v/>
      </c>
      <c r="DP23" s="45"/>
      <c r="DQ23" s="45"/>
      <c r="DR23" s="44" t="str">
        <f t="shared" ref="DR23:DW23" si="155">DJ23</f>
        <v/>
      </c>
      <c r="DS23" s="45" t="str">
        <f t="shared" si="155"/>
        <v/>
      </c>
      <c r="DT23" s="45" t="str">
        <f t="shared" si="155"/>
        <v/>
      </c>
      <c r="DU23" s="45" t="str">
        <f t="shared" si="155"/>
        <v/>
      </c>
      <c r="DV23" s="45" t="str">
        <f t="shared" si="155"/>
        <v/>
      </c>
      <c r="DW23" s="45" t="str">
        <f t="shared" si="155"/>
        <v/>
      </c>
      <c r="DX23" s="45"/>
      <c r="DY23" s="45"/>
      <c r="DZ23" s="44" t="str">
        <f t="shared" ref="DZ23:EE23" si="156">DR23</f>
        <v/>
      </c>
      <c r="EA23" s="45" t="str">
        <f t="shared" si="156"/>
        <v/>
      </c>
      <c r="EB23" s="45" t="str">
        <f t="shared" si="156"/>
        <v/>
      </c>
      <c r="EC23" s="45" t="str">
        <f t="shared" si="156"/>
        <v/>
      </c>
      <c r="ED23" s="45" t="str">
        <f t="shared" si="156"/>
        <v/>
      </c>
      <c r="EE23" s="45" t="str">
        <f t="shared" si="156"/>
        <v/>
      </c>
      <c r="EF23" s="45"/>
      <c r="EG23" s="45"/>
      <c r="EH23" s="44" t="str">
        <f t="shared" ref="EH23:EM23" si="157">DZ23</f>
        <v/>
      </c>
      <c r="EI23" s="45" t="str">
        <f t="shared" si="157"/>
        <v/>
      </c>
      <c r="EJ23" s="45" t="str">
        <f t="shared" si="157"/>
        <v/>
      </c>
      <c r="EK23" s="45" t="str">
        <f t="shared" si="157"/>
        <v/>
      </c>
      <c r="EL23" s="45" t="str">
        <f t="shared" si="157"/>
        <v/>
      </c>
      <c r="EM23" s="45" t="str">
        <f t="shared" si="157"/>
        <v/>
      </c>
      <c r="EN23" s="45"/>
      <c r="EO23" s="45"/>
      <c r="EP23" s="44" t="str">
        <f t="shared" ref="EP23:EU23" si="158">EH23</f>
        <v/>
      </c>
      <c r="EQ23" s="45" t="str">
        <f t="shared" si="158"/>
        <v/>
      </c>
      <c r="ER23" s="45" t="str">
        <f t="shared" si="158"/>
        <v/>
      </c>
      <c r="ES23" s="45" t="str">
        <f t="shared" si="158"/>
        <v/>
      </c>
      <c r="ET23" s="45" t="str">
        <f t="shared" si="158"/>
        <v/>
      </c>
      <c r="EU23" s="45" t="str">
        <f t="shared" si="158"/>
        <v/>
      </c>
      <c r="EV23" s="45"/>
      <c r="EW23" s="45"/>
      <c r="EX23" s="44" t="str">
        <f t="shared" ref="EX23:FC23" si="159">EP23</f>
        <v/>
      </c>
      <c r="EY23" s="45" t="str">
        <f t="shared" si="159"/>
        <v/>
      </c>
      <c r="EZ23" s="45" t="str">
        <f t="shared" si="159"/>
        <v/>
      </c>
      <c r="FA23" s="45" t="str">
        <f t="shared" si="159"/>
        <v/>
      </c>
      <c r="FB23" s="45" t="str">
        <f t="shared" si="159"/>
        <v/>
      </c>
      <c r="FC23" s="45" t="str">
        <f t="shared" si="159"/>
        <v/>
      </c>
      <c r="FD23" s="45"/>
      <c r="FE23" s="45"/>
      <c r="FF23" s="44" t="str">
        <f t="shared" ref="FF23:FK23" si="160">EX23</f>
        <v/>
      </c>
      <c r="FG23" s="45" t="str">
        <f t="shared" si="160"/>
        <v/>
      </c>
      <c r="FH23" s="45" t="str">
        <f t="shared" si="160"/>
        <v/>
      </c>
      <c r="FI23" s="45" t="str">
        <f t="shared" si="160"/>
        <v/>
      </c>
      <c r="FJ23" s="45" t="str">
        <f t="shared" si="160"/>
        <v/>
      </c>
      <c r="FK23" s="45" t="str">
        <f t="shared" si="160"/>
        <v/>
      </c>
      <c r="FL23" s="45"/>
      <c r="FM23" s="45"/>
    </row>
    <row r="24">
      <c r="A24" s="2"/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31" t="s">
        <v>83</v>
      </c>
      <c r="B25" s="32"/>
      <c r="C25" s="33"/>
      <c r="D25" s="33"/>
      <c r="E25" s="33"/>
      <c r="F25" s="33"/>
      <c r="G25" s="33"/>
      <c r="H25" s="33"/>
      <c r="I25" s="33"/>
      <c r="J25" s="32"/>
      <c r="K25" s="33"/>
      <c r="L25" s="33"/>
      <c r="M25" s="33"/>
      <c r="N25" s="33"/>
      <c r="O25" s="33"/>
      <c r="P25" s="33"/>
      <c r="Q25" s="33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J25" s="33"/>
      <c r="AK25" s="33"/>
      <c r="AL25" s="33"/>
      <c r="AM25" s="33"/>
      <c r="AN25" s="33"/>
      <c r="AO25" s="33"/>
      <c r="AP25" s="32"/>
      <c r="AQ25" s="33"/>
      <c r="AR25" s="33"/>
      <c r="AS25" s="33"/>
      <c r="AT25" s="33"/>
      <c r="AU25" s="33"/>
      <c r="AV25" s="33"/>
      <c r="AW25" s="33"/>
      <c r="AX25" s="32"/>
      <c r="AY25" s="33"/>
      <c r="AZ25" s="33"/>
      <c r="BA25" s="33"/>
      <c r="BB25" s="33"/>
      <c r="BC25" s="33"/>
      <c r="BD25" s="33"/>
      <c r="BE25" s="33"/>
      <c r="BF25" s="32"/>
      <c r="BG25" s="33"/>
      <c r="BH25" s="33"/>
      <c r="BI25" s="33"/>
      <c r="BJ25" s="33"/>
      <c r="BK25" s="33"/>
      <c r="BL25" s="33"/>
      <c r="BM25" s="33"/>
      <c r="BN25" s="32"/>
      <c r="BO25" s="33"/>
      <c r="BP25" s="33"/>
      <c r="BQ25" s="33"/>
      <c r="BR25" s="33"/>
      <c r="BS25" s="33"/>
      <c r="BT25" s="33"/>
      <c r="BU25" s="33"/>
      <c r="BV25" s="32"/>
      <c r="BW25" s="33"/>
      <c r="BX25" s="33"/>
      <c r="BY25" s="33"/>
      <c r="BZ25" s="33"/>
      <c r="CA25" s="33"/>
      <c r="CB25" s="33"/>
      <c r="CC25" s="33"/>
      <c r="CD25" s="32"/>
      <c r="CE25" s="33"/>
      <c r="CF25" s="33"/>
      <c r="CG25" s="33"/>
      <c r="CH25" s="33"/>
      <c r="CI25" s="33"/>
      <c r="CJ25" s="33"/>
      <c r="CK25" s="33"/>
      <c r="CL25" s="32"/>
      <c r="CM25" s="33"/>
      <c r="CN25" s="33"/>
      <c r="CO25" s="33"/>
      <c r="CP25" s="33"/>
      <c r="CQ25" s="33"/>
      <c r="CR25" s="33"/>
      <c r="CS25" s="33"/>
      <c r="CT25" s="32"/>
      <c r="CU25" s="33"/>
      <c r="CV25" s="33"/>
      <c r="CW25" s="33"/>
      <c r="CX25" s="33"/>
      <c r="CY25" s="33"/>
      <c r="CZ25" s="33"/>
      <c r="DA25" s="33"/>
      <c r="DB25" s="32"/>
      <c r="DC25" s="33"/>
      <c r="DD25" s="33"/>
      <c r="DE25" s="33"/>
      <c r="DF25" s="33"/>
      <c r="DG25" s="33"/>
      <c r="DH25" s="33"/>
      <c r="DI25" s="33"/>
      <c r="DJ25" s="32"/>
      <c r="DK25" s="33"/>
      <c r="DL25" s="33"/>
      <c r="DM25" s="33"/>
      <c r="DN25" s="33"/>
      <c r="DO25" s="33"/>
      <c r="DP25" s="33"/>
      <c r="DQ25" s="33"/>
      <c r="DR25" s="32"/>
      <c r="DS25" s="33"/>
      <c r="DT25" s="33"/>
      <c r="DU25" s="33"/>
      <c r="DV25" s="33"/>
      <c r="DW25" s="33"/>
      <c r="DX25" s="33"/>
      <c r="DY25" s="33"/>
      <c r="DZ25" s="32"/>
      <c r="EA25" s="33"/>
      <c r="EB25" s="33"/>
      <c r="EC25" s="33"/>
      <c r="ED25" s="33"/>
      <c r="EE25" s="33"/>
      <c r="EF25" s="33"/>
      <c r="EG25" s="33"/>
      <c r="EH25" s="32"/>
      <c r="EI25" s="33"/>
      <c r="EJ25" s="33"/>
      <c r="EK25" s="33"/>
      <c r="EL25" s="33"/>
      <c r="EM25" s="33"/>
      <c r="EN25" s="33"/>
      <c r="EO25" s="33"/>
      <c r="EP25" s="32"/>
      <c r="EQ25" s="33"/>
      <c r="ER25" s="33"/>
      <c r="ES25" s="33"/>
      <c r="ET25" s="33"/>
      <c r="EU25" s="33"/>
      <c r="EV25" s="33"/>
      <c r="EW25" s="33"/>
      <c r="EX25" s="34" t="s">
        <v>79</v>
      </c>
      <c r="EY25" s="35"/>
      <c r="EZ25" s="35"/>
      <c r="FA25" s="35"/>
      <c r="FB25" s="35"/>
      <c r="FC25" s="35"/>
      <c r="FD25" s="35"/>
      <c r="FE25" s="35"/>
      <c r="FF25" s="32"/>
      <c r="FG25" s="33"/>
      <c r="FH25" s="33"/>
      <c r="FI25" s="33"/>
      <c r="FJ25" s="33"/>
      <c r="FK25" s="33"/>
      <c r="FL25" s="33"/>
      <c r="FM25" s="33"/>
    </row>
    <row r="26" hidden="1">
      <c r="A26" s="36" t="str">
        <f>CONCATENATE(A27," TM")</f>
        <v>Deadlift TM</v>
      </c>
      <c r="B26" s="37">
        <f>if(D26="",'Quick Setup'!D7,D26/'Quick Setup'!E7)</f>
        <v>525</v>
      </c>
      <c r="C26" s="36" t="s">
        <v>77</v>
      </c>
      <c r="D26" s="38"/>
      <c r="E26" s="39"/>
      <c r="F26" s="39"/>
      <c r="G26" s="39"/>
      <c r="H26" s="39"/>
      <c r="I26" s="39"/>
      <c r="J26" s="37">
        <f>if(L26="", if(F27="",B26, if((F27-E27)&lt;-1.9,B26*(1+Setup!F5),if((F27-E27)=-1,B26*(1+Setup!G5),if(G27&lt;D27,B26*(1+Setup!G5),if(G27=D27,B26*(1+Setup!H5),if((G27-D27)=1,B26*(1+Setup!I5),if((G27-D27)=2,B26*(1+Setup!J5),if((G27-D27)=3,B26*(1+Setup!K5),if((G27-D27)=4,B26*(1+Setup!L5),if((G27-D27)&gt;4.1,B26*(1+Setup!M5),B26)))))))))),L26/'Quick Setup'!$E7)</f>
        <v>525</v>
      </c>
      <c r="K26" s="36" t="s">
        <v>77</v>
      </c>
      <c r="L26" s="38"/>
      <c r="M26" s="39"/>
      <c r="N26" s="39"/>
      <c r="O26" s="39"/>
      <c r="P26" s="39"/>
      <c r="Q26" s="39"/>
      <c r="R26" s="37">
        <f>if(T26="", if(N27="",J26, if((N27-M27)&lt;-1.9,J26*(1+Setup!R5),if((N27-M27)=-1,J26*(1+Setup!S5),if(O27&lt;L27,J26*(1+Setup!S5),if(O27=L27,J26*(1+Setup!T5),if((O27-L27)=1,J26*(1+Setup!U5),if((O27-L27)=2,J26*(1+Setup!V5),if((O27-L27)=3,J26*(1+Setup!W5),if((O27-L27)=4,J26*(1+Setup!X5),if((O27-L27)&gt;4.1,J26*(1+Setup!Y5),J26)))))))))),T26/'Quick Setup'!$E7)</f>
        <v>525</v>
      </c>
      <c r="S26" s="36" t="s">
        <v>77</v>
      </c>
      <c r="T26" s="38"/>
      <c r="U26" s="39"/>
      <c r="V26" s="39"/>
      <c r="W26" s="39"/>
      <c r="X26" s="39"/>
      <c r="Y26" s="39"/>
      <c r="Z26" s="37">
        <f>if(AB26="", if(V27="",R26, if((V27-U27)&lt;-1.9,R26*(1+Setup!AD5),if((V27-U27)=-1,R26*(1+Setup!AE5),if(W27&lt;T27,R26*(1+Setup!AE5),if(W27=T27,R26*(1+Setup!AF5),if((W27-T27)=1,R26*(1+Setup!AG5),if((W27-T27)=2,R26*(1+Setup!AH5),if((W27-T27)=3,R26*(1+Setup!AI5),if((W27-T27)=4,R26*(1+Setup!AJ5),if((W27-T27)&gt;4.1,R26*(1+Setup!AK5),R26)))))))))),AB26/'Quick Setup'!$E7)</f>
        <v>525</v>
      </c>
      <c r="AA26" s="36" t="s">
        <v>77</v>
      </c>
      <c r="AB26" s="38"/>
      <c r="AC26" s="39"/>
      <c r="AD26" s="39"/>
      <c r="AE26" s="39"/>
      <c r="AF26" s="39"/>
      <c r="AG26" s="39"/>
      <c r="AH26" s="37">
        <f>if(AJ26="", if(AD27="",Z26, if((AD27-AC27)&lt;-1.9,Z26*(1+Setup!AP5),if((AD27-AC27)=-1,Z26*(1+Setup!AQ5),if(AE27&lt;AB27,Z26*(1+Setup!AQ5),if(AE27=AB27,Z26*(1+Setup!AR5),if((AE27-AB27)=1,Z26*(1+Setup!AS5),if((AE27-AB27)=2,Z26*(1+Setup!AT5),if((AE27-AB27)=3,Z26*(1+Setup!AU5),if((AE27-AB27)=4,Z26*(1+Setup!AV5),if((AE27-AB27)&gt;4.1,Z26*(1+Setup!AW5),Z26)))))))))),AJ26/'Quick Setup'!$E7)</f>
        <v>525</v>
      </c>
      <c r="AI26" s="36" t="s">
        <v>77</v>
      </c>
      <c r="AJ26" s="38"/>
      <c r="AK26" s="39"/>
      <c r="AL26" s="39"/>
      <c r="AM26" s="39"/>
      <c r="AN26" s="39"/>
      <c r="AO26" s="39"/>
      <c r="AP26" s="37">
        <f>if(AR26="", if(AL27="",AH26, if((AL27-AK27)&lt;-1.9,AH26*(1+Setup!BB5),if((AL27-AK27)=-1,AH26*(1+Setup!BC5),if(AM27&lt;AJ27,AH26*(1+Setup!BC5),if(AM27=AJ27,AH26*(1+Setup!BD5),if((AM27-AJ27)=1,AH26*(1+Setup!BE5),if((AM27-AJ27)=2,AH26*(1+Setup!BF5),if((AM27-AJ27)=3,AH26*(1+Setup!BG5),if((AM27-AJ27)=4,AH26*(1+Setup!BH5),if((AM27-AJ27)&gt;4.1,AH26*(1+Setup!BI5),AH26)))))))))),AR26/'Quick Setup'!$E7)</f>
        <v>525</v>
      </c>
      <c r="AQ26" s="36" t="s">
        <v>77</v>
      </c>
      <c r="AR26" s="38"/>
      <c r="AS26" s="39"/>
      <c r="AT26" s="39"/>
      <c r="AU26" s="39"/>
      <c r="AV26" s="39"/>
      <c r="AW26" s="39"/>
      <c r="AX26" s="37">
        <f>if(AZ26="", if(AT27="",AP26, if((AT27-AS27)&lt;-1.9,AP26*(1+Setup!BN5),if((AT27-AS27)=-1,AP26*(1+Setup!BO5),if(AU27&lt;AR27,AP26*(1+Setup!BO5),if(AU27=AR27,AP26*(1+Setup!BP5),if((AU27-AR27)=1,AP26*(1+Setup!BQ5),if((AU27-AR27)=2,AP26*(1+Setup!BR5),if((AU27-AR27)=3,AP26*(1+Setup!BS5),if((AU27-AR27)=4,AP26*(1+Setup!BT5),if((AU27-AR27)&gt;4.1,AP26*(1+Setup!BU5),AP26)))))))))),AZ26/'Quick Setup'!$E7)</f>
        <v>525</v>
      </c>
      <c r="AY26" s="36" t="s">
        <v>77</v>
      </c>
      <c r="AZ26" s="38"/>
      <c r="BA26" s="39"/>
      <c r="BB26" s="39"/>
      <c r="BC26" s="39"/>
      <c r="BD26" s="39"/>
      <c r="BE26" s="39"/>
      <c r="BF26" s="37">
        <f>if(BH26="",AX26,BH26/'Quick Setup'!$E7)</f>
        <v>525</v>
      </c>
      <c r="BG26" s="36" t="s">
        <v>77</v>
      </c>
      <c r="BH26" s="38"/>
      <c r="BI26" s="39"/>
      <c r="BJ26" s="39"/>
      <c r="BK26" s="39"/>
      <c r="BL26" s="39"/>
      <c r="BM26" s="39"/>
      <c r="BN26" s="37">
        <f>if(BP26="", if(BJ27="",BF26, if((BJ27-BI27)&lt;-1.9,BF26*(1+Setup!CL5),if((BJ27-BI27)=-1,BF26*(1+Setup!CM5),if(BK27&lt;BH27,BF26*(1+Setup!CM5),if(BK27=BH27,BF26*(1+Setup!CN5),if((BK27-BH27)=1,BF26*(1+Setup!CO5),if((BK27-BH27)=2,BF26*(1+Setup!CP5),if((BK27-BH27)=3,BF26*(1+Setup!CQ5),if((BK27-BH27)=4,BF26*(1+Setup!CR5),if((BK27-BH27)&gt;4.1,BF26*(1+Setup!CS5),BF26)))))))))),BP26/'Quick Setup'!$E7)</f>
        <v>525</v>
      </c>
      <c r="BO26" s="36" t="s">
        <v>77</v>
      </c>
      <c r="BP26" s="38"/>
      <c r="BQ26" s="39"/>
      <c r="BR26" s="39"/>
      <c r="BS26" s="39"/>
      <c r="BT26" s="39"/>
      <c r="BU26" s="39"/>
      <c r="BV26" s="37">
        <f>if(BX26="", if(BR27="",BN26, if((BR27-BQ27)&lt;-1.9,BN26*(1+Setup!CX5),if((BR27-BQ27)=-1,BN26*(1+Setup!CY5),if(BS27&lt;BP27,BN26*(1+Setup!CY5),if(BS27=BP27,BN26*(1+Setup!CZ5),if((BS27-BP27)=1,BN26*(1+Setup!DA5),if((BS27-BP27)=2,BN26*(1+Setup!DB5),if((BS27-BP27)=3,BN26*(1+Setup!DC5),if((BS27-BP27)=4,BN26*(1+Setup!DD5),if((BS27-BP27)&gt;4.1,BN26*(1+Setup!DE5),BN26)))))))))),BX26/'Quick Setup'!$E7)</f>
        <v>525</v>
      </c>
      <c r="BW26" s="36" t="s">
        <v>77</v>
      </c>
      <c r="BX26" s="38"/>
      <c r="BY26" s="39"/>
      <c r="BZ26" s="39"/>
      <c r="CA26" s="39"/>
      <c r="CB26" s="39"/>
      <c r="CC26" s="39"/>
      <c r="CD26" s="37">
        <f>if(CF26="", if(BZ27="",BV26, if((BZ27-BY27)&lt;-1.9,BV26*(1+Setup!DJ5),if((BZ27-BY27)=-1,BV26*(1+Setup!DK5),if(CA27&lt;BX27,BV26*(1+Setup!DK5),if(CA27=BX27,BV26*(1+Setup!DL5),if((CA27-BX27)=1,BV26*(1+Setup!DM5),if((CA27-BX27)=2,BV26*(1+Setup!DN5),if((CA27-BX27)=3,BV26*(1+Setup!DO5),if((CA27-BX27)=4,BV26*(1+Setup!DP5),if((CA27-BX27)&gt;4.1,BV26*(1+Setup!DQ5),BV26)))))))))),CF26/'Quick Setup'!$E7)</f>
        <v>525</v>
      </c>
      <c r="CE26" s="36" t="s">
        <v>77</v>
      </c>
      <c r="CF26" s="38"/>
      <c r="CG26" s="39"/>
      <c r="CH26" s="39"/>
      <c r="CI26" s="39"/>
      <c r="CJ26" s="39"/>
      <c r="CK26" s="39"/>
      <c r="CL26" s="37">
        <f>if(CN26="", if(CH27="",CD26, if((CH27-CG27)&lt;-1.9,CD26*(1+Setup!DV5),if((CH27-CG27)=-1,CD26*(1+Setup!DW5),if(CI27&lt;CF27,CD26*(1+Setup!DW5),if(CI27=CF27,CD26*(1+Setup!DX5),if((CI27-CF27)=1,CD26*(1+Setup!DY5),if((CI27-CF27)=2,CD26*(1+Setup!DZ5),if((CI27-CF27)=3,CD26*(1+Setup!EA5),if((CI27-CF27)=4,CD26*(1+Setup!EB5),if((CI27-CF27)&gt;4.1,CD26*(1+Setup!EC5),CD26)))))))))),CN26/'Quick Setup'!$E7)</f>
        <v>525</v>
      </c>
      <c r="CM26" s="36" t="s">
        <v>77</v>
      </c>
      <c r="CN26" s="38"/>
      <c r="CO26" s="39"/>
      <c r="CP26" s="39"/>
      <c r="CQ26" s="39"/>
      <c r="CR26" s="39"/>
      <c r="CS26" s="39"/>
      <c r="CT26" s="37">
        <f>if(CV26="", if(CP27="",CL26, if((CP27-CO27)&lt;-1.9,CL26*(1+Setup!EH5),if((CP27-CO27)=-1,CL26*(1+Setup!EI5),if(CQ27&lt;CN27,CL26*(1+Setup!EI5),if(CQ27=CN27,CL26*(1+Setup!EJ5),if((CQ27-CN27)=1,CL26*(1+Setup!EK5),if((CQ27-CN27)=2,CL26*(1+Setup!EL5),if((CQ27-CN27)=3,CL26*(1+Setup!EM5),if((CQ27-CN27)=4,CL26*(1+Setup!EN5),if((CQ27-CN27)&gt;4.1,CL26*(1+Setup!EO5),CL26)))))))))),CV26/'Quick Setup'!$E7)</f>
        <v>525</v>
      </c>
      <c r="CU26" s="36" t="s">
        <v>77</v>
      </c>
      <c r="CV26" s="38"/>
      <c r="CW26" s="39"/>
      <c r="CX26" s="39"/>
      <c r="CY26" s="39"/>
      <c r="CZ26" s="39"/>
      <c r="DA26" s="39"/>
      <c r="DB26" s="37">
        <f>if(DD26="", if(CX27="",CT26, if((CX27-CW27)&lt;-1.9,CT26*(1+Setup!ET5),if((CX27-CW27)=-1,CT26*(1+Setup!EU5),if(CY27&lt;CV27,CT26*(1+Setup!EU5),if(CY27=CV27,CT26*(1+Setup!EV5),if((CY27-CV27)=1,CT26*(1+Setup!EW5),if((CY27-CV27)=2,CT26*(1+Setup!EX5),if((CY27-CV27)=3,CT26*(1+Setup!EY5),if((CY27-CV27)=4,CT26*(1+Setup!EZ5),if((CY27-CV27)&gt;4.1,CT26*(1+Setup!FA5),CT26)))))))))),DD26/'Quick Setup'!$E7)</f>
        <v>525</v>
      </c>
      <c r="DC26" s="36" t="s">
        <v>77</v>
      </c>
      <c r="DD26" s="38"/>
      <c r="DE26" s="39"/>
      <c r="DF26" s="39"/>
      <c r="DG26" s="39"/>
      <c r="DH26" s="39"/>
      <c r="DI26" s="39"/>
      <c r="DJ26" s="37">
        <f>if(DL26="",DB26,DL26/'Quick Setup'!$E7)</f>
        <v>525</v>
      </c>
      <c r="DK26" s="36" t="s">
        <v>77</v>
      </c>
      <c r="DL26" s="38"/>
      <c r="DM26" s="39"/>
      <c r="DN26" s="39"/>
      <c r="DO26" s="39"/>
      <c r="DP26" s="39"/>
      <c r="DQ26" s="39"/>
      <c r="DR26" s="37">
        <f>if(DT26="", if(DN27="",DJ26, if((DN27-DM27)&lt;-1.9,DJ26*(1+Setup!FR5),if((DN27-DM27)=-1,DJ26*(1+Setup!FS5),if(DO27&lt;DL27,DJ26*(1+Setup!FS5),if(DO27=DL27,DJ26*(1+Setup!FT5),if((DO27-DL27)=1,DJ26*(1+Setup!FU5),if((DO27-DL27)=2,DJ26*(1+Setup!FV5),if((DO27-DL27)=3,DJ26*(1+Setup!FW5),if((DO27-DL27)=4,DJ26*(1+Setup!FX5),if((DO27-DL27)&gt;4.1,DJ26*(1+Setup!FY5),DJ26)))))))))),DT26/'Quick Setup'!$E7)</f>
        <v>525</v>
      </c>
      <c r="DS26" s="36" t="s">
        <v>77</v>
      </c>
      <c r="DT26" s="38"/>
      <c r="DU26" s="39"/>
      <c r="DV26" s="39"/>
      <c r="DW26" s="39"/>
      <c r="DX26" s="39"/>
      <c r="DY26" s="39"/>
      <c r="DZ26" s="37">
        <f>if(EB26="", if(DV27="",DR26, if((DV27-DU27)&lt;-1.9,DR26*(1+Setup!GD5),if((DV27-DU27)=-1,DR26*(1+Setup!GE5),if(DW27&lt;DT27,DR26*(1+Setup!GE5),if(DW27=DT27,DR26*(1+Setup!GF5),if((DW27-DT27)=1,DR26*(1+Setup!GG5),if((DW27-DT27)=2,DR26*(1+Setup!GH5),if((DW27-DT27)=3,DR26*(1+Setup!GI5),if((DW27-DT27)=4,DR26*(1+Setup!GJ5),if((DW27-DT27)&gt;4.1,DR26*(1+Setup!GK5),DR26)))))))))),EB26/'Quick Setup'!$E7)</f>
        <v>525</v>
      </c>
      <c r="EA26" s="36" t="s">
        <v>77</v>
      </c>
      <c r="EB26" s="38"/>
      <c r="EC26" s="39"/>
      <c r="ED26" s="39"/>
      <c r="EE26" s="39"/>
      <c r="EF26" s="39"/>
      <c r="EG26" s="39"/>
      <c r="EH26" s="37">
        <f>if(EJ26="", if(ED27="",DZ26, if((ED27-EC27)&lt;-1.9,DZ26*(1+Setup!GP5),if((ED27-EC27)=-1,DZ26*(1+Setup!GQ5),if(EE27&lt;EB27,DZ26*(1+Setup!GQ5),if(EE27=EB27,DZ26*(1+Setup!GR5),if((EE27-EB27)=1,DZ26*(1+Setup!GS5),if((EE27-EB27)=2,DZ26*(1+Setup!GT5),if((EE27-EB27)=3,DZ26*(1+Setup!GU5),if((EE27-EB27)=4,DZ26*(1+Setup!GV5),if((EE27-EB27)&gt;4.1,DZ26*(1+Setup!GW5),DZ26)))))))))),EJ26/'Quick Setup'!$E7)</f>
        <v>525</v>
      </c>
      <c r="EI26" s="36" t="s">
        <v>77</v>
      </c>
      <c r="EJ26" s="38"/>
      <c r="EK26" s="39"/>
      <c r="EL26" s="39"/>
      <c r="EM26" s="39"/>
      <c r="EN26" s="39"/>
      <c r="EO26" s="39"/>
      <c r="EP26" s="37">
        <f>if(ER26="", if(EL27="",EH26, if((EL27-EK27)&lt;-1.9,EH26*(1+Setup!HB5),if((EL27-EK27)=-1,EH26*(1+Setup!HC5),if(EM27&lt;EJ27,EH26*(1+Setup!HC5),if(EM27=EJ27,EH26*(1+Setup!HD5),if((EM27-EJ27)=1,EH26*(1+Setup!HE5),if((EM27-EJ27)=2,EH26*(1+Setup!HF5),if((EM27-EJ27)=3,EH26*(1+Setup!HG5),if((EM27-EJ27)=4,EH26*(1+Setup!HH5),if((EM27-EJ27)&gt;4.1,EH26*(1+Setup!HI5),EH26)))))))))),ER26/'Quick Setup'!$E7)</f>
        <v>525</v>
      </c>
      <c r="EQ26" s="36" t="s">
        <v>77</v>
      </c>
      <c r="ER26" s="38"/>
      <c r="ES26" s="39"/>
      <c r="ET26" s="39"/>
      <c r="EU26" s="39"/>
      <c r="EV26" s="39"/>
      <c r="EW26" s="39"/>
      <c r="EX26" s="37">
        <f>if(EZ26="", if(ET27="",EP26, if((ET27-ES27)&lt;-1.9,EP26*(1+Setup!HN5),if((ET27-ES27)=-1,EP26*(1+Setup!HO5),if(EU27&lt;ER27,EP26*(1+Setup!HO5),if(EU27=ER27,EP26*(1+Setup!HP5),if((EU27-ER27)=1,EP26*(1+Setup!HQ5),if((EU27-ER27)=2,EP26*(1+Setup!HR5),if((EU27-ER27)=3,EP26*(1+Setup!HS5),if((EU27-ER27)=4,EP26*(1+Setup!HT5),if((EU27-ER27)&gt;4.1,EP26*(1+Setup!HU5),EP26)))))))))),EZ26/'Quick Setup'!$E7)</f>
        <v>525</v>
      </c>
      <c r="EY26" s="36" t="s">
        <v>77</v>
      </c>
      <c r="EZ26" s="38"/>
      <c r="FA26" s="39"/>
      <c r="FB26" s="39"/>
      <c r="FC26" s="39"/>
      <c r="FD26" s="39"/>
      <c r="FE26" s="39"/>
      <c r="FF26" s="37">
        <f>if(FH26="", if(FB27="",EX26, if((FB27-FA27)&lt;-1.9,EX26*(1+Setup!HZ5),if((FB27-FA27)=-1,EX26*(1+Setup!IA5),if(FC27&lt;EZ27,EX26*(1+Setup!IA5),if(FC27=EZ27,EX26*(1+Setup!IB5),if((FC27-EZ27)=1,EX26*(1+Setup!IC5),if((FC27-EZ27)=2,EX26*(1+Setup!ID5),if((FC27-EZ27)=3,EX26*(1+Setup!IE5),if((FC27-EZ27)=4,EX26*(1+Setup!IF5),if((FC27-EZ27)&gt;4.1,EX26*(1+Setup!IG5),EX26)))))))))),FH26/'Quick Setup'!$E7)</f>
        <v>525</v>
      </c>
      <c r="FG26" s="36" t="s">
        <v>77</v>
      </c>
      <c r="FH26" s="38"/>
      <c r="FI26" s="39"/>
      <c r="FJ26" s="39"/>
      <c r="FK26" s="39"/>
      <c r="FL26" s="39"/>
      <c r="FM26" s="39"/>
    </row>
    <row r="27">
      <c r="A27" s="1" t="str">
        <f>Setup!A5</f>
        <v>Deadlift</v>
      </c>
      <c r="B27" s="40">
        <f>mround(B26*Setup!B5,'Quick Setup'!$A$2)</f>
        <v>367.5</v>
      </c>
      <c r="C27" s="2">
        <f>Setup!C5</f>
        <v>5</v>
      </c>
      <c r="D27" s="2">
        <f>Setup!D5</f>
        <v>3</v>
      </c>
      <c r="E27" s="2">
        <f>Setup!E5</f>
        <v>5</v>
      </c>
      <c r="F27" s="8"/>
      <c r="G27" s="8"/>
      <c r="H27" s="8"/>
      <c r="I27" s="8"/>
      <c r="J27" s="40">
        <f>mround(J26*Setup!N5,'Quick Setup'!$A$2)</f>
        <v>395</v>
      </c>
      <c r="K27" s="2">
        <f>Setup!O5</f>
        <v>4</v>
      </c>
      <c r="L27" s="2">
        <f>Setup!P5</f>
        <v>2</v>
      </c>
      <c r="M27" s="2">
        <f>Setup!Q5</f>
        <v>5</v>
      </c>
      <c r="N27" s="8"/>
      <c r="O27" s="8"/>
      <c r="P27" s="8"/>
      <c r="Q27" s="8"/>
      <c r="R27" s="40">
        <f>mround(R26*Setup!Z5,'Quick Setup'!$A$2)</f>
        <v>420</v>
      </c>
      <c r="S27" s="2">
        <f>Setup!AA5</f>
        <v>3</v>
      </c>
      <c r="T27" s="2">
        <f>Setup!AB5</f>
        <v>2</v>
      </c>
      <c r="U27" s="2">
        <f>Setup!AC5</f>
        <v>5</v>
      </c>
      <c r="V27" s="8"/>
      <c r="W27" s="8"/>
      <c r="X27" s="8"/>
      <c r="Y27" s="8"/>
      <c r="Z27" s="40">
        <f>mround(Z26*Setup!AL5,'Quick Setup'!$A$2)</f>
        <v>380</v>
      </c>
      <c r="AA27" s="2">
        <f>Setup!AM5</f>
        <v>5</v>
      </c>
      <c r="AB27" s="2">
        <f>Setup!AN5</f>
        <v>3</v>
      </c>
      <c r="AC27" s="2">
        <f>Setup!AO5</f>
        <v>5</v>
      </c>
      <c r="AD27" s="8"/>
      <c r="AE27" s="8"/>
      <c r="AF27" s="8"/>
      <c r="AG27" s="8"/>
      <c r="AH27" s="40">
        <f>mround(AH26*Setup!AX5,'Quick Setup'!$A$2)</f>
        <v>407.5</v>
      </c>
      <c r="AI27" s="2">
        <f>Setup!AY5</f>
        <v>4</v>
      </c>
      <c r="AJ27" s="2">
        <f>Setup!AZ5</f>
        <v>2</v>
      </c>
      <c r="AK27" s="2">
        <f>Setup!BA5</f>
        <v>5</v>
      </c>
      <c r="AL27" s="8"/>
      <c r="AM27" s="8"/>
      <c r="AN27" s="8"/>
      <c r="AO27" s="8"/>
      <c r="AP27" s="40">
        <f>mround(AP26*Setup!BJ5,'Quick Setup'!$A$2)</f>
        <v>432.5</v>
      </c>
      <c r="AQ27" s="2">
        <f>Setup!BK5</f>
        <v>3</v>
      </c>
      <c r="AR27" s="2">
        <f>Setup!BL5</f>
        <v>2</v>
      </c>
      <c r="AS27" s="2">
        <f>Setup!BM5</f>
        <v>5</v>
      </c>
      <c r="AT27" s="8"/>
      <c r="AU27" s="8"/>
      <c r="AV27" s="8"/>
      <c r="AW27" s="8"/>
      <c r="AX27" s="40">
        <f>mround(AX26*Setup!BV5,'Quick Setup'!$A$2)</f>
        <v>315</v>
      </c>
      <c r="AY27" s="1">
        <v>5.0</v>
      </c>
      <c r="AZ27" s="1" t="s">
        <v>80</v>
      </c>
      <c r="BA27" s="2">
        <f>Setup!BY5</f>
        <v>5</v>
      </c>
      <c r="BB27" s="8"/>
      <c r="BC27" s="8"/>
      <c r="BD27" s="8"/>
      <c r="BE27" s="8"/>
      <c r="BF27" s="40">
        <f>mround(BF26*Setup!CH5,'Quick Setup'!$A$2)</f>
        <v>395</v>
      </c>
      <c r="BG27" s="2">
        <f>Setup!CI5</f>
        <v>4</v>
      </c>
      <c r="BH27" s="2">
        <f>Setup!CJ5</f>
        <v>2</v>
      </c>
      <c r="BI27" s="2">
        <f>Setup!CK5</f>
        <v>5</v>
      </c>
      <c r="BJ27" s="8"/>
      <c r="BK27" s="8"/>
      <c r="BL27" s="8"/>
      <c r="BM27" s="8"/>
      <c r="BN27" s="40">
        <f>mround(BN26*Setup!CT5,'Quick Setup'!$A$2)</f>
        <v>420</v>
      </c>
      <c r="BO27" s="2">
        <f>Setup!CU5</f>
        <v>3</v>
      </c>
      <c r="BP27" s="2">
        <f>Setup!CV5</f>
        <v>2</v>
      </c>
      <c r="BQ27" s="2">
        <f>Setup!CW5</f>
        <v>5</v>
      </c>
      <c r="BR27" s="8"/>
      <c r="BS27" s="8"/>
      <c r="BT27" s="8"/>
      <c r="BU27" s="8"/>
      <c r="BV27" s="40">
        <f>mround(BV26*Setup!DF5,'Quick Setup'!$A$2)</f>
        <v>447.5</v>
      </c>
      <c r="BW27" s="2">
        <f>Setup!DG5</f>
        <v>2</v>
      </c>
      <c r="BX27" s="2">
        <f>Setup!DH5</f>
        <v>1</v>
      </c>
      <c r="BY27" s="2">
        <f>Setup!DI5</f>
        <v>5</v>
      </c>
      <c r="BZ27" s="8"/>
      <c r="CA27" s="8"/>
      <c r="CB27" s="8"/>
      <c r="CC27" s="8"/>
      <c r="CD27" s="40">
        <f>mround(CD26*Setup!DR5,'Quick Setup'!$A$2)</f>
        <v>407.5</v>
      </c>
      <c r="CE27" s="2">
        <f>Setup!DS5</f>
        <v>4</v>
      </c>
      <c r="CF27" s="2">
        <f>Setup!DT5</f>
        <v>2</v>
      </c>
      <c r="CG27" s="2">
        <f>Setup!DU5</f>
        <v>5</v>
      </c>
      <c r="CH27" s="8"/>
      <c r="CI27" s="8"/>
      <c r="CJ27" s="8"/>
      <c r="CK27" s="8"/>
      <c r="CL27" s="40">
        <f>mround(CL26*Setup!ED5,'Quick Setup'!$A$2)</f>
        <v>432.5</v>
      </c>
      <c r="CM27" s="2">
        <f>Setup!EE5</f>
        <v>3</v>
      </c>
      <c r="CN27" s="2">
        <f>Setup!EF5</f>
        <v>2</v>
      </c>
      <c r="CO27" s="2">
        <f>Setup!EG5</f>
        <v>5</v>
      </c>
      <c r="CP27" s="8"/>
      <c r="CQ27" s="8"/>
      <c r="CR27" s="8"/>
      <c r="CS27" s="8"/>
      <c r="CT27" s="40">
        <f>mround(CT26*Setup!EP5,'Quick Setup'!$A$2)</f>
        <v>460</v>
      </c>
      <c r="CU27" s="2">
        <f>Setup!EQ5</f>
        <v>2</v>
      </c>
      <c r="CV27" s="2">
        <f>Setup!ER5</f>
        <v>1</v>
      </c>
      <c r="CW27" s="2">
        <f>Setup!ES5</f>
        <v>5</v>
      </c>
      <c r="CX27" s="8"/>
      <c r="CY27" s="8"/>
      <c r="CZ27" s="8"/>
      <c r="DA27" s="8"/>
      <c r="DB27" s="40">
        <f>mround(DB26*Setup!FB5,'Quick Setup'!$A$2)</f>
        <v>315</v>
      </c>
      <c r="DC27" s="1">
        <v>5.0</v>
      </c>
      <c r="DD27" s="1" t="s">
        <v>80</v>
      </c>
      <c r="DE27" s="2">
        <f>Setup!FE5</f>
        <v>5</v>
      </c>
      <c r="DF27" s="8"/>
      <c r="DG27" s="8"/>
      <c r="DH27" s="8"/>
      <c r="DI27" s="8"/>
      <c r="DJ27" s="40">
        <f>mround(DJ26*Setup!FN5,'Quick Setup'!$A$2)</f>
        <v>420</v>
      </c>
      <c r="DK27" s="2">
        <f>Setup!FO5</f>
        <v>3</v>
      </c>
      <c r="DL27" s="2">
        <f>Setup!FP5</f>
        <v>2</v>
      </c>
      <c r="DM27" s="2">
        <f>Setup!FQ5</f>
        <v>5</v>
      </c>
      <c r="DN27" s="8"/>
      <c r="DO27" s="8"/>
      <c r="DP27" s="8"/>
      <c r="DQ27" s="8"/>
      <c r="DR27" s="40">
        <f>mround(DR26*Setup!FZ5,'Quick Setup'!$A$2)</f>
        <v>447.5</v>
      </c>
      <c r="DS27" s="2">
        <f>Setup!GA5</f>
        <v>2</v>
      </c>
      <c r="DT27" s="2">
        <f>Setup!GB5</f>
        <v>1</v>
      </c>
      <c r="DU27" s="2">
        <f>Setup!GC5</f>
        <v>5</v>
      </c>
      <c r="DV27" s="8"/>
      <c r="DW27" s="8"/>
      <c r="DX27" s="8"/>
      <c r="DY27" s="8"/>
      <c r="DZ27" s="40">
        <f>mround(DZ26*Setup!GL5,'Quick Setup'!$A$2)</f>
        <v>472.5</v>
      </c>
      <c r="EA27" s="2">
        <f>Setup!GM5</f>
        <v>1</v>
      </c>
      <c r="EB27" s="2">
        <f>Setup!GN5</f>
        <v>1</v>
      </c>
      <c r="EC27" s="2">
        <f>Setup!GO5</f>
        <v>5</v>
      </c>
      <c r="ED27" s="8"/>
      <c r="EE27" s="8"/>
      <c r="EF27" s="8"/>
      <c r="EG27" s="8"/>
      <c r="EH27" s="40">
        <f>mround(EH26*Setup!GX5,'Quick Setup'!$A$2)</f>
        <v>447.5</v>
      </c>
      <c r="EI27" s="2">
        <f>Setup!GY5</f>
        <v>2</v>
      </c>
      <c r="EJ27" s="2">
        <f>Setup!GZ5</f>
        <v>1</v>
      </c>
      <c r="EK27" s="2">
        <f>Setup!HA5</f>
        <v>5</v>
      </c>
      <c r="EL27" s="8"/>
      <c r="EM27" s="8"/>
      <c r="EN27" s="8"/>
      <c r="EO27" s="8"/>
      <c r="EP27" s="40">
        <f>mround(EP26*Setup!HJ5,'Quick Setup'!$A$2)</f>
        <v>472.5</v>
      </c>
      <c r="EQ27" s="2">
        <f>Setup!HK5</f>
        <v>1</v>
      </c>
      <c r="ER27" s="2">
        <f>Setup!HL5</f>
        <v>1</v>
      </c>
      <c r="ES27" s="2">
        <f>Setup!HM5</f>
        <v>5</v>
      </c>
      <c r="ET27" s="8"/>
      <c r="EU27" s="8"/>
      <c r="EV27" s="8"/>
      <c r="EW27" s="8"/>
      <c r="EX27" s="40">
        <f>mround(EX26*Setup!HV5,'Quick Setup'!$A$2)</f>
        <v>500</v>
      </c>
      <c r="EY27" s="2">
        <f>Setup!HW5</f>
        <v>1</v>
      </c>
      <c r="EZ27" s="2">
        <f>Setup!HX5</f>
        <v>1</v>
      </c>
      <c r="FA27" s="2">
        <f>Setup!HY5</f>
        <v>5</v>
      </c>
      <c r="FB27" s="8"/>
      <c r="FC27" s="8"/>
      <c r="FD27" s="8"/>
      <c r="FE27" s="8"/>
      <c r="FF27" s="40">
        <f>mround(FF26*Setup!IH5,'Quick Setup'!$A$2)</f>
        <v>315</v>
      </c>
      <c r="FG27" s="1">
        <v>5.0</v>
      </c>
      <c r="FH27" s="1" t="s">
        <v>80</v>
      </c>
      <c r="FI27" s="2">
        <f>Setup!IK5</f>
        <v>5</v>
      </c>
      <c r="FJ27" s="8"/>
      <c r="FK27" s="8"/>
      <c r="FL27" s="8"/>
      <c r="FM27" s="8"/>
    </row>
    <row r="28" hidden="1">
      <c r="A28" s="36" t="str">
        <f>CONCATENATE(A29," TM")</f>
        <v>Close Grip Bench TM</v>
      </c>
      <c r="B28" s="37">
        <f>if(D28="",'Quick Setup'!D13,D28/'Quick Setup'!E13)</f>
        <v>310</v>
      </c>
      <c r="C28" s="36" t="s">
        <v>77</v>
      </c>
      <c r="D28" s="38"/>
      <c r="E28" s="39"/>
      <c r="F28" s="39"/>
      <c r="G28" s="39"/>
      <c r="H28" s="39"/>
      <c r="I28" s="39"/>
      <c r="J28" s="37">
        <f>if(L28="", if(F29="",B28, if((F29-E29)&lt;-1.9,B28*(1+Setup!F11),if((F29-E29)=-1,B28*(1+Setup!G11),if(G29&lt;D29,B28*(1+Setup!G11),if(G29=D29,B28*(1+Setup!H11),if((G29-D29)=1,B28*(1+Setup!I11),if((G29-D29)=2,B28*(1+Setup!J11),if((G29-D29)=3,B28*(1+Setup!K11),if((G29-D29)=4,B28*(1+Setup!L11),if((G29-D29)&gt;4.1,B28*(1+Setup!M11),B28)))))))))),L28/'Quick Setup'!$E13)</f>
        <v>310</v>
      </c>
      <c r="K28" s="36" t="s">
        <v>77</v>
      </c>
      <c r="L28" s="38"/>
      <c r="M28" s="39"/>
      <c r="N28" s="39"/>
      <c r="O28" s="39"/>
      <c r="P28" s="39"/>
      <c r="Q28" s="39"/>
      <c r="R28" s="37">
        <f>if(T28="", if(N29="",J28, if((N29-M29)&lt;-1.9,J28*(1+Setup!R11),if((N29-M29)=-1,J28*(1+Setup!S11),if(O29&lt;L29,J28*(1+Setup!S11),if(O29=L29,J28*(1+Setup!T11),if((O29-L29)=1,J28*(1+Setup!U11),if((O29-L29)=2,J28*(1+Setup!V11),if((O29-L29)=3,J28*(1+Setup!W11),if((O29-L29)=4,J28*(1+Setup!X11),if((O29-L29)&gt;4.1,J28*(1+Setup!Y11),J28)))))))))),T28/'Quick Setup'!$E13)</f>
        <v>310</v>
      </c>
      <c r="S28" s="36" t="s">
        <v>77</v>
      </c>
      <c r="T28" s="38"/>
      <c r="U28" s="39"/>
      <c r="V28" s="39"/>
      <c r="W28" s="39"/>
      <c r="X28" s="39"/>
      <c r="Y28" s="39"/>
      <c r="Z28" s="37">
        <f>if(AB28="", if(V29="",R28, if((V29-U29)&lt;-1.9,R28*(1+Setup!AD11),if((V29-U29)=-1,R28*(1+Setup!AE11),if(W29&lt;T29,R28*(1+Setup!AE11),if(W29=T29,R28*(1+Setup!AF11),if((W29-T29)=1,R28*(1+Setup!AG11),if((W29-T29)=2,R28*(1+Setup!AH11),if((W29-T29)=3,R28*(1+Setup!AI11),if((W29-T29)=4,R28*(1+Setup!AJ11),if((W29-T29)&gt;4.1,R28*(1+Setup!AK11),R28)))))))))),AB28/'Quick Setup'!$E13)</f>
        <v>310</v>
      </c>
      <c r="AA28" s="36" t="s">
        <v>77</v>
      </c>
      <c r="AB28" s="38"/>
      <c r="AC28" s="39"/>
      <c r="AD28" s="39"/>
      <c r="AE28" s="39"/>
      <c r="AF28" s="39"/>
      <c r="AG28" s="39"/>
      <c r="AH28" s="37">
        <f>if(AJ28="", if(AD29="",Z28, if((AD29-AC29)&lt;-1.9,Z28*(1+Setup!AP11),if((AD29-AC29)=-1,Z28*(1+Setup!AQ11),if(AE29&lt;AB29,Z28*(1+Setup!AQ11),if(AE29=AB29,Z28*(1+Setup!AR11),if((AE29-AB29)=1,Z28*(1+Setup!AS11),if((AE29-AB29)=2,Z28*(1+Setup!AT11),if((AE29-AB29)=3,Z28*(1+Setup!AU11),if((AE29-AB29)=4,Z28*(1+Setup!AV11),if((AE29-AB29)&gt;4.1,Z28*(1+Setup!AW11),Z28)))))))))),AJ28/'Quick Setup'!$E13)</f>
        <v>310</v>
      </c>
      <c r="AI28" s="36" t="s">
        <v>77</v>
      </c>
      <c r="AJ28" s="38"/>
      <c r="AK28" s="39"/>
      <c r="AL28" s="39"/>
      <c r="AM28" s="39"/>
      <c r="AN28" s="39"/>
      <c r="AO28" s="39"/>
      <c r="AP28" s="37">
        <f>if(AR28="", if(AL29="",AH28, if((AL29-AK29)&lt;-1.9,AH28*(1+Setup!BB11),if((AL29-AK29)=-1,AH28*(1+Setup!BC11),if(AM29&lt;AJ29,AH28*(1+Setup!BC11),if(AM29=AJ29,AH28*(1+Setup!BD11),if((AM29-AJ29)=1,AH28*(1+Setup!BE11),if((AM29-AJ29)=2,AH28*(1+Setup!BF11),if((AM29-AJ29)=3,AH28*(1+Setup!BG11),if((AM29-AJ29)=4,AH28*(1+Setup!BH11),if((AM29-AJ29)&gt;4.1,AH28*(1+Setup!BI11),AH28)))))))))),AR28/'Quick Setup'!$E13)</f>
        <v>310</v>
      </c>
      <c r="AQ28" s="36" t="s">
        <v>77</v>
      </c>
      <c r="AR28" s="38"/>
      <c r="AS28" s="39"/>
      <c r="AT28" s="39"/>
      <c r="AU28" s="39"/>
      <c r="AV28" s="39"/>
      <c r="AW28" s="39"/>
      <c r="AX28" s="37">
        <f>if(AZ28="", if(AT29="",AP28, if((AT29-AS29)&lt;-1.9,AP28*(1+Setup!BN11),if((AT29-AS29)=-1,AP28*(1+Setup!BO11),if(AU29&lt;AR29,AP28*(1+Setup!BO11),if(AU29=AR29,AP28*(1+Setup!BP11),if((AU29-AR29)=1,AP28*(1+Setup!BQ11),if((AU29-AR29)=2,AP28*(1+Setup!BR11),if((AU29-AR29)=3,AP28*(1+Setup!BS11),if((AU29-AR29)=4,AP28*(1+Setup!BT11),if((AU29-AR29)&gt;4.1,AP28*(1+Setup!BU11),AP28)))))))))),AZ28/'Quick Setup'!$E13)</f>
        <v>310</v>
      </c>
      <c r="AY28" s="36" t="s">
        <v>77</v>
      </c>
      <c r="AZ28" s="38"/>
      <c r="BA28" s="39"/>
      <c r="BB28" s="39"/>
      <c r="BC28" s="39"/>
      <c r="BD28" s="39"/>
      <c r="BE28" s="39"/>
      <c r="BF28" s="37">
        <f>if(BH28="",AX28,BH28/'Quick Setup'!$E13)</f>
        <v>310</v>
      </c>
      <c r="BG28" s="36" t="s">
        <v>77</v>
      </c>
      <c r="BH28" s="38"/>
      <c r="BI28" s="39"/>
      <c r="BJ28" s="39"/>
      <c r="BK28" s="39"/>
      <c r="BL28" s="39"/>
      <c r="BM28" s="39"/>
      <c r="BN28" s="37">
        <f>if(BP28="", if(BJ29="",BF28, if((BJ29-BI29)&lt;-1.9,BF28*(1+Setup!CL11),if((BJ29-BI29)=-1,BF28*(1+Setup!CM11),if(BK29&lt;BH29,BF28*(1+Setup!CM11),if(BK29=BH29,BF28*(1+Setup!CN11),if((BK29-BH29)=1,BF28*(1+Setup!CO11),if((BK29-BH29)=2,BF28*(1+Setup!CP11),if((BK29-BH29)=3,BF28*(1+Setup!CQ11),if((BK29-BH29)=4,BF28*(1+Setup!CR11),if((BK29-BH29)&gt;4.1,BF28*(1+Setup!CS11),BF28)))))))))),BP28/'Quick Setup'!$E13)</f>
        <v>310</v>
      </c>
      <c r="BO28" s="36" t="s">
        <v>77</v>
      </c>
      <c r="BP28" s="38"/>
      <c r="BQ28" s="39"/>
      <c r="BR28" s="39"/>
      <c r="BS28" s="39"/>
      <c r="BT28" s="39"/>
      <c r="BU28" s="39"/>
      <c r="BV28" s="37">
        <f>if(BX28="", if(BR29="",BN28, if((BR29-BQ29)&lt;-1.9,BN28*(1+Setup!CX11),if((BR29-BQ29)=-1,BN28*(1+Setup!CY11),if(BS29&lt;BP29,BN28*(1+Setup!CY11),if(BS29=BP29,BN28*(1+Setup!CZ11),if((BS29-BP29)=1,BN28*(1+Setup!DA11),if((BS29-BP29)=2,BN28*(1+Setup!DB11),if((BS29-BP29)=3,BN28*(1+Setup!DC11),if((BS29-BP29)=4,BN28*(1+Setup!DD11),if((BS29-BP29)&gt;4.1,BN28*(1+Setup!DE11),BN28)))))))))),BX28/'Quick Setup'!$E13)</f>
        <v>310</v>
      </c>
      <c r="BW28" s="36" t="s">
        <v>77</v>
      </c>
      <c r="BX28" s="38"/>
      <c r="BY28" s="39"/>
      <c r="BZ28" s="39"/>
      <c r="CA28" s="39"/>
      <c r="CB28" s="39"/>
      <c r="CC28" s="39"/>
      <c r="CD28" s="37">
        <f>if(CF28="", if(BZ29="",BV28, if((BZ29-BY29)&lt;-1.9,BV28*(1+Setup!DJ11),if((BZ29-BY29)=-1,BV28*(1+Setup!DK11),if(CA29&lt;BX29,BV28*(1+Setup!DK11),if(CA29=BX29,BV28*(1+Setup!DL11),if((CA29-BX29)=1,BV28*(1+Setup!DM11),if((CA29-BX29)=2,BV28*(1+Setup!DN11),if((CA29-BX29)=3,BV28*(1+Setup!DO11),if((CA29-BX29)=4,BV28*(1+Setup!DP11),if((CA29-BX29)&gt;4.1,BV28*(1+Setup!DQ11),BV28)))))))))),CF28/'Quick Setup'!$E13)</f>
        <v>310</v>
      </c>
      <c r="CE28" s="36" t="s">
        <v>77</v>
      </c>
      <c r="CF28" s="38"/>
      <c r="CG28" s="39"/>
      <c r="CH28" s="39"/>
      <c r="CI28" s="39"/>
      <c r="CJ28" s="39"/>
      <c r="CK28" s="39"/>
      <c r="CL28" s="37">
        <f>if(CN28="", if(CH29="",CD28, if((CH29-CG29)&lt;-1.9,CD28*(1+Setup!DV11),if((CH29-CG29)=-1,CD28*(1+Setup!DW11),if(CI29&lt;CF29,CD28*(1+Setup!DW11),if(CI29=CF29,CD28*(1+Setup!DX11),if((CI29-CF29)=1,CD28*(1+Setup!DY11),if((CI29-CF29)=2,CD28*(1+Setup!DZ11),if((CI29-CF29)=3,CD28*(1+Setup!EA11),if((CI29-CF29)=4,CD28*(1+Setup!EB11),if((CI29-CF29)&gt;4.1,CD28*(1+Setup!EC11),CD28)))))))))),CN28/'Quick Setup'!$E13)</f>
        <v>310</v>
      </c>
      <c r="CM28" s="36" t="s">
        <v>77</v>
      </c>
      <c r="CN28" s="38"/>
      <c r="CO28" s="39"/>
      <c r="CP28" s="39"/>
      <c r="CQ28" s="39"/>
      <c r="CR28" s="39"/>
      <c r="CS28" s="39"/>
      <c r="CT28" s="37">
        <f>if(CV28="", if(CP29="",CL28, if((CP29-CO29)&lt;-1.9,CL28*(1+Setup!EH11),if((CP29-CO29)=-1,CL28*(1+Setup!EI11),if(CQ29&lt;CN29,CL28*(1+Setup!EI11),if(CQ29=CN29,CL28*(1+Setup!EJ11),if((CQ29-CN29)=1,CL28*(1+Setup!EK11),if((CQ29-CN29)=2,CL28*(1+Setup!EL11),if((CQ29-CN29)=3,CL28*(1+Setup!EM11),if((CQ29-CN29)=4,CL28*(1+Setup!EN11),if((CQ29-CN29)&gt;4.1,CL28*(1+Setup!EO11),CL28)))))))))),CV28/'Quick Setup'!$E13)</f>
        <v>310</v>
      </c>
      <c r="CU28" s="36" t="s">
        <v>77</v>
      </c>
      <c r="CV28" s="38"/>
      <c r="CW28" s="39"/>
      <c r="CX28" s="39"/>
      <c r="CY28" s="39"/>
      <c r="CZ28" s="39"/>
      <c r="DA28" s="39"/>
      <c r="DB28" s="37">
        <f>if(DD28="", if(CX29="",CT28, if((CX29-CW29)&lt;-1.9,CT28*(1+Setup!ET11),if((CX29-CW29)=-1,CT28*(1+Setup!EU11),if(CY29&lt;CV29,CT28*(1+Setup!EU11),if(CY29=CV29,CT28*(1+Setup!EV11),if((CY29-CV29)=1,CT28*(1+Setup!EW11),if((CY29-CV29)=2,CT28*(1+Setup!EX11),if((CY29-CV29)=3,CT28*(1+Setup!EY11),if((CY29-CV29)=4,CT28*(1+Setup!EZ11),if((CY29-CV29)&gt;4.1,CT28*(1+Setup!FA11),CT28)))))))))),DD28/'Quick Setup'!$E13)</f>
        <v>310</v>
      </c>
      <c r="DC28" s="36" t="s">
        <v>77</v>
      </c>
      <c r="DD28" s="38"/>
      <c r="DE28" s="39"/>
      <c r="DF28" s="39"/>
      <c r="DG28" s="39"/>
      <c r="DH28" s="39"/>
      <c r="DI28" s="39"/>
      <c r="DJ28" s="37">
        <f>if(DL28="",DB28,DL28/'Quick Setup'!$E13)</f>
        <v>310</v>
      </c>
      <c r="DK28" s="36" t="s">
        <v>77</v>
      </c>
      <c r="DL28" s="38"/>
      <c r="DM28" s="39"/>
      <c r="DN28" s="39"/>
      <c r="DO28" s="39"/>
      <c r="DP28" s="39"/>
      <c r="DQ28" s="39"/>
      <c r="DR28" s="37">
        <f>if(DT28="", if(DN29="",DJ28, if((DN29-DM29)&lt;-1.9,DJ28*(1+Setup!FR11),if((DN29-DM29)=-1,DJ28*(1+Setup!FS11),if(DO29&lt;DL29,DJ28*(1+Setup!FS11),if(DO29=DL29,DJ28*(1+Setup!FT11),if((DO29-DL29)=1,DJ28*(1+Setup!FU11),if((DO29-DL29)=2,DJ28*(1+Setup!FV11),if((DO29-DL29)=3,DJ28*(1+Setup!FW11),if((DO29-DL29)=4,DJ28*(1+Setup!FX11),if((DO29-DL29)&gt;4.1,DJ28*(1+Setup!FY11),DJ28)))))))))),DT28/'Quick Setup'!$E13)</f>
        <v>310</v>
      </c>
      <c r="DS28" s="36" t="s">
        <v>77</v>
      </c>
      <c r="DT28" s="38"/>
      <c r="DU28" s="39"/>
      <c r="DV28" s="39"/>
      <c r="DW28" s="39"/>
      <c r="DX28" s="39"/>
      <c r="DY28" s="39"/>
      <c r="DZ28" s="37">
        <f>if(EB28="", if(DV29="",DR28, if((DV29-DU29)&lt;-1.9,DR28*(1+Setup!GD11),if((DV29-DU29)=-1,DR28*(1+Setup!GE11),if(DW29&lt;DT29,DR28*(1+Setup!GE11),if(DW29=DT29,DR28*(1+Setup!GF11),if((DW29-DT29)=1,DR28*(1+Setup!GG11),if((DW29-DT29)=2,DR28*(1+Setup!GH11),if((DW29-DT29)=3,DR28*(1+Setup!GI11),if((DW29-DT29)=4,DR28*(1+Setup!GJ11),if((DW29-DT29)&gt;4.1,DR28*(1+Setup!GK11),DR28)))))))))),EB28/'Quick Setup'!$E13)</f>
        <v>310</v>
      </c>
      <c r="EA28" s="36" t="s">
        <v>77</v>
      </c>
      <c r="EB28" s="38"/>
      <c r="EC28" s="39"/>
      <c r="ED28" s="39"/>
      <c r="EE28" s="39"/>
      <c r="EF28" s="39"/>
      <c r="EG28" s="39"/>
      <c r="EH28" s="37">
        <f>if(EJ28="", if(ED29="",DZ28, if((ED29-EC29)&lt;-1.9,DZ28*(1+Setup!GP11),if((ED29-EC29)=-1,DZ28*(1+Setup!GQ11),if(EE29&lt;EB29,DZ28*(1+Setup!GQ11),if(EE29=EB29,DZ28*(1+Setup!GR11),if((EE29-EB29)=1,DZ28*(1+Setup!GS11),if((EE29-EB29)=2,DZ28*(1+Setup!GT11),if((EE29-EB29)=3,DZ28*(1+Setup!GU11),if((EE29-EB29)=4,DZ28*(1+Setup!GV11),if((EE29-EB29)&gt;4.1,DZ28*(1+Setup!GW11),DZ28)))))))))),EJ28/'Quick Setup'!$E13)</f>
        <v>310</v>
      </c>
      <c r="EI28" s="36" t="s">
        <v>77</v>
      </c>
      <c r="EJ28" s="38"/>
      <c r="EK28" s="39"/>
      <c r="EL28" s="39"/>
      <c r="EM28" s="39"/>
      <c r="EN28" s="39"/>
      <c r="EO28" s="39"/>
      <c r="EP28" s="37">
        <f>if(ER28="", if(EL29="",EH28, if((EL29-EK29)&lt;-1.9,EH28*(1+Setup!HB11),if((EL29-EK29)=-1,EH28*(1+Setup!HC11),if(EM29&lt;EJ29,EH28*(1+Setup!HC11),if(EM29=EJ29,EH28*(1+Setup!HD11),if((EM29-EJ29)=1,EH28*(1+Setup!HE11),if((EM29-EJ29)=2,EH28*(1+Setup!HF11),if((EM29-EJ29)=3,EH28*(1+Setup!HG11),if((EM29-EJ29)=4,EH28*(1+Setup!HH11),if((EM29-EJ29)&gt;4.1,EH28*(1+Setup!HI11),EH28)))))))))),ER28/'Quick Setup'!$E13)</f>
        <v>310</v>
      </c>
      <c r="EQ28" s="36" t="s">
        <v>77</v>
      </c>
      <c r="ER28" s="38"/>
      <c r="ES28" s="39"/>
      <c r="ET28" s="39"/>
      <c r="EU28" s="39"/>
      <c r="EV28" s="39"/>
      <c r="EW28" s="39"/>
      <c r="EX28" s="37">
        <f>if(EZ28="", if(ET29="",EP28, if((ET29-ES29)&lt;-1.9,EP28*(1+Setup!HN11),if((ET29-ES29)=-1,EP28*(1+Setup!HO11),if(EU29&lt;ER29,EP28*(1+Setup!HO11),if(EU29=ER29,EP28*(1+Setup!HP11),if((EU29-ER29)=1,EP28*(1+Setup!HQ11),if((EU29-ER29)=2,EP28*(1+Setup!HR11),if((EU29-ER29)=3,EP28*(1+Setup!HS11),if((EU29-ER29)=4,EP28*(1+Setup!HT11),if((EU29-ER29)&gt;4.1,EP28*(1+Setup!HU11),EP28)))))))))),EZ28/'Quick Setup'!$E13)</f>
        <v>310</v>
      </c>
      <c r="EY28" s="36" t="s">
        <v>77</v>
      </c>
      <c r="EZ28" s="38"/>
      <c r="FA28" s="39"/>
      <c r="FB28" s="39"/>
      <c r="FC28" s="39"/>
      <c r="FD28" s="39"/>
      <c r="FE28" s="39"/>
      <c r="FF28" s="37">
        <f>if(FH28="", if(FB29="",EX28, if((FB29-FA29)&lt;-1.9,EX28*(1+Setup!HZ11),if((FB29-FA29)=-1,EX28*(1+Setup!IA11),if(FC29&lt;EZ29,EX28*(1+Setup!IA11),if(FC29=EZ29,EX28*(1+Setup!IB11),if((FC29-EZ29)=1,EX28*(1+Setup!IC11),if((FC29-EZ29)=2,EX28*(1+Setup!ID11),if((FC29-EZ29)=3,EX28*(1+Setup!IE11),if((FC29-EZ29)=4,EX28*(1+Setup!IF11),if((FC29-EZ29)&gt;4.1,EX28*(1+Setup!IG11),EX28)))))))))),FH28/'Quick Setup'!$E13)</f>
        <v>310</v>
      </c>
      <c r="FG28" s="36" t="s">
        <v>77</v>
      </c>
      <c r="FH28" s="38"/>
      <c r="FI28" s="39"/>
      <c r="FJ28" s="39"/>
      <c r="FK28" s="39"/>
      <c r="FL28" s="39"/>
      <c r="FM28" s="39"/>
    </row>
    <row r="29">
      <c r="A29" s="1" t="str">
        <f>Setup!A11</f>
        <v>Close Grip Bench</v>
      </c>
      <c r="B29" s="40">
        <f>mround(B28*Setup!B11,'Quick Setup'!$A$2)</f>
        <v>185</v>
      </c>
      <c r="C29" s="2">
        <f>Setup!C11</f>
        <v>7</v>
      </c>
      <c r="D29" s="2">
        <f>Setup!D11</f>
        <v>3</v>
      </c>
      <c r="E29" s="2">
        <f>Setup!E11</f>
        <v>5</v>
      </c>
      <c r="F29" s="8"/>
      <c r="G29" s="8"/>
      <c r="H29" s="8"/>
      <c r="I29" s="8"/>
      <c r="J29" s="40">
        <f>mround(J28*Setup!N11,'Quick Setup'!$A$2)</f>
        <v>202.5</v>
      </c>
      <c r="K29" s="2">
        <f>Setup!O11</f>
        <v>6</v>
      </c>
      <c r="L29" s="2">
        <f>Setup!P11</f>
        <v>3</v>
      </c>
      <c r="M29" s="2">
        <f>Setup!Q11</f>
        <v>5</v>
      </c>
      <c r="N29" s="8"/>
      <c r="O29" s="8"/>
      <c r="P29" s="8"/>
      <c r="Q29" s="8"/>
      <c r="R29" s="40">
        <f>mround(R28*Setup!Z11,'Quick Setup'!$A$2)</f>
        <v>217.5</v>
      </c>
      <c r="S29" s="2">
        <f>Setup!AA11</f>
        <v>5</v>
      </c>
      <c r="T29" s="2">
        <f>Setup!AB11</f>
        <v>3</v>
      </c>
      <c r="U29" s="2">
        <f>Setup!AC11</f>
        <v>5</v>
      </c>
      <c r="V29" s="8"/>
      <c r="W29" s="8"/>
      <c r="X29" s="8"/>
      <c r="Y29" s="8"/>
      <c r="Z29" s="40">
        <f>mround(Z28*Setup!AL11,'Quick Setup'!$A$2)</f>
        <v>195</v>
      </c>
      <c r="AA29" s="2">
        <f>Setup!AM11</f>
        <v>7</v>
      </c>
      <c r="AB29" s="2">
        <f>Setup!AN11</f>
        <v>3</v>
      </c>
      <c r="AC29" s="2">
        <f>Setup!AO11</f>
        <v>5</v>
      </c>
      <c r="AD29" s="8"/>
      <c r="AE29" s="8"/>
      <c r="AF29" s="8"/>
      <c r="AG29" s="8"/>
      <c r="AH29" s="40">
        <f>mround(AH28*Setup!AX11,'Quick Setup'!$A$2)</f>
        <v>210</v>
      </c>
      <c r="AI29" s="2">
        <f>Setup!AY11</f>
        <v>6</v>
      </c>
      <c r="AJ29" s="2">
        <f>Setup!AZ11</f>
        <v>3</v>
      </c>
      <c r="AK29" s="2">
        <f>Setup!BA11</f>
        <v>5</v>
      </c>
      <c r="AL29" s="8"/>
      <c r="AM29" s="8"/>
      <c r="AN29" s="8"/>
      <c r="AO29" s="8"/>
      <c r="AP29" s="40">
        <f>mround(AP28*Setup!BJ11,'Quick Setup'!$A$2)</f>
        <v>225</v>
      </c>
      <c r="AQ29" s="2">
        <f>Setup!BK11</f>
        <v>5</v>
      </c>
      <c r="AR29" s="2">
        <f>Setup!BL11</f>
        <v>3</v>
      </c>
      <c r="AS29" s="2">
        <f>Setup!BM11</f>
        <v>5</v>
      </c>
      <c r="AT29" s="8"/>
      <c r="AU29" s="8"/>
      <c r="AV29" s="8"/>
      <c r="AW29" s="8"/>
      <c r="AX29" s="40">
        <f>mround(AX28*Setup!BV11,'Quick Setup'!$A$2)</f>
        <v>155</v>
      </c>
      <c r="AY29" s="1">
        <v>5.0</v>
      </c>
      <c r="AZ29" s="1" t="s">
        <v>80</v>
      </c>
      <c r="BA29" s="2">
        <f>Setup!BY11</f>
        <v>5</v>
      </c>
      <c r="BB29" s="8"/>
      <c r="BC29" s="8"/>
      <c r="BD29" s="8"/>
      <c r="BE29" s="8"/>
      <c r="BF29" s="40">
        <f>mround(BF28*Setup!CH11,'Quick Setup'!$A$2)</f>
        <v>202.5</v>
      </c>
      <c r="BG29" s="2">
        <f>Setup!CI11</f>
        <v>6</v>
      </c>
      <c r="BH29" s="2">
        <f>Setup!CJ11</f>
        <v>3</v>
      </c>
      <c r="BI29" s="2">
        <f>Setup!CK11</f>
        <v>5</v>
      </c>
      <c r="BJ29" s="8"/>
      <c r="BK29" s="8"/>
      <c r="BL29" s="8"/>
      <c r="BM29" s="8"/>
      <c r="BN29" s="40">
        <f>mround(BN28*Setup!CT11,'Quick Setup'!$A$2)</f>
        <v>217.5</v>
      </c>
      <c r="BO29" s="2">
        <f>Setup!CU11</f>
        <v>5</v>
      </c>
      <c r="BP29" s="2">
        <f>Setup!CV11</f>
        <v>3</v>
      </c>
      <c r="BQ29" s="2">
        <f>Setup!CW11</f>
        <v>5</v>
      </c>
      <c r="BR29" s="8"/>
      <c r="BS29" s="8"/>
      <c r="BT29" s="8"/>
      <c r="BU29" s="8"/>
      <c r="BV29" s="40">
        <f>mround(BV28*Setup!DF11,'Quick Setup'!$A$2)</f>
        <v>232.5</v>
      </c>
      <c r="BW29" s="2">
        <f>Setup!DG11</f>
        <v>4</v>
      </c>
      <c r="BX29" s="2">
        <f>Setup!DH11</f>
        <v>2</v>
      </c>
      <c r="BY29" s="2">
        <f>Setup!DI11</f>
        <v>5</v>
      </c>
      <c r="BZ29" s="8"/>
      <c r="CA29" s="8"/>
      <c r="CB29" s="8"/>
      <c r="CC29" s="8"/>
      <c r="CD29" s="40">
        <f>mround(CD28*Setup!DR11,'Quick Setup'!$A$2)</f>
        <v>210</v>
      </c>
      <c r="CE29" s="2">
        <f>Setup!DS11</f>
        <v>6</v>
      </c>
      <c r="CF29" s="2">
        <f>Setup!DT11</f>
        <v>3</v>
      </c>
      <c r="CG29" s="2">
        <f>Setup!DU11</f>
        <v>5</v>
      </c>
      <c r="CH29" s="8"/>
      <c r="CI29" s="8"/>
      <c r="CJ29" s="8"/>
      <c r="CK29" s="8"/>
      <c r="CL29" s="40">
        <f>mround(CL28*Setup!ED11,'Quick Setup'!$A$2)</f>
        <v>225</v>
      </c>
      <c r="CM29" s="2">
        <f>Setup!EE11</f>
        <v>5</v>
      </c>
      <c r="CN29" s="2">
        <f>Setup!EF11</f>
        <v>3</v>
      </c>
      <c r="CO29" s="2">
        <f>Setup!EG11</f>
        <v>5</v>
      </c>
      <c r="CP29" s="8"/>
      <c r="CQ29" s="8"/>
      <c r="CR29" s="8"/>
      <c r="CS29" s="8"/>
      <c r="CT29" s="40">
        <f>mround(CT28*Setup!EP11,'Quick Setup'!$A$2)</f>
        <v>240</v>
      </c>
      <c r="CU29" s="2">
        <f>Setup!EQ11</f>
        <v>4</v>
      </c>
      <c r="CV29" s="2">
        <f>Setup!ER11</f>
        <v>2</v>
      </c>
      <c r="CW29" s="2">
        <f>Setup!ES11</f>
        <v>5</v>
      </c>
      <c r="CX29" s="8"/>
      <c r="CY29" s="8"/>
      <c r="CZ29" s="8"/>
      <c r="DA29" s="8"/>
      <c r="DB29" s="40">
        <f>mround(DB28*Setup!FB11,'Quick Setup'!$A$2)</f>
        <v>155</v>
      </c>
      <c r="DC29" s="1">
        <v>5.0</v>
      </c>
      <c r="DD29" s="1" t="s">
        <v>80</v>
      </c>
      <c r="DE29" s="2">
        <f>Setup!FE11</f>
        <v>5</v>
      </c>
      <c r="DF29" s="8"/>
      <c r="DG29" s="8"/>
      <c r="DH29" s="8"/>
      <c r="DI29" s="8"/>
      <c r="DJ29" s="40">
        <f>mround(DJ28*Setup!FN11,'Quick Setup'!$A$2)</f>
        <v>217.5</v>
      </c>
      <c r="DK29" s="2">
        <f>Setup!FO11</f>
        <v>5</v>
      </c>
      <c r="DL29" s="2">
        <f>Setup!FP11</f>
        <v>3</v>
      </c>
      <c r="DM29" s="2">
        <f>Setup!FQ11</f>
        <v>5</v>
      </c>
      <c r="DN29" s="8"/>
      <c r="DO29" s="8"/>
      <c r="DP29" s="8"/>
      <c r="DQ29" s="8"/>
      <c r="DR29" s="40">
        <f>mround(DR28*Setup!FZ11,'Quick Setup'!$A$2)</f>
        <v>232.5</v>
      </c>
      <c r="DS29" s="2">
        <f>Setup!GA11</f>
        <v>4</v>
      </c>
      <c r="DT29" s="2">
        <f>Setup!GB11</f>
        <v>2</v>
      </c>
      <c r="DU29" s="2">
        <f>Setup!GC11</f>
        <v>5</v>
      </c>
      <c r="DV29" s="8"/>
      <c r="DW29" s="8"/>
      <c r="DX29" s="8"/>
      <c r="DY29" s="8"/>
      <c r="DZ29" s="40">
        <f>mround(DZ28*Setup!GL11,'Quick Setup'!$A$2)</f>
        <v>247.5</v>
      </c>
      <c r="EA29" s="2">
        <f>Setup!GM11</f>
        <v>3</v>
      </c>
      <c r="EB29" s="2">
        <f>Setup!GN11</f>
        <v>2</v>
      </c>
      <c r="EC29" s="2">
        <f>Setup!GO11</f>
        <v>5</v>
      </c>
      <c r="ED29" s="8"/>
      <c r="EE29" s="8"/>
      <c r="EF29" s="8"/>
      <c r="EG29" s="8"/>
      <c r="EH29" s="40">
        <f>mround(EH28*Setup!GX11,'Quick Setup'!$A$2)</f>
        <v>232.5</v>
      </c>
      <c r="EI29" s="2">
        <f>Setup!GY11</f>
        <v>4</v>
      </c>
      <c r="EJ29" s="2">
        <f>Setup!GZ11</f>
        <v>2</v>
      </c>
      <c r="EK29" s="2">
        <f>Setup!HA11</f>
        <v>5</v>
      </c>
      <c r="EL29" s="8"/>
      <c r="EM29" s="8"/>
      <c r="EN29" s="8"/>
      <c r="EO29" s="8"/>
      <c r="EP29" s="40">
        <f>mround(EP28*Setup!HJ11,'Quick Setup'!$A$2)</f>
        <v>247.5</v>
      </c>
      <c r="EQ29" s="2">
        <f>Setup!HK11</f>
        <v>3</v>
      </c>
      <c r="ER29" s="2">
        <f>Setup!HL11</f>
        <v>2</v>
      </c>
      <c r="ES29" s="2">
        <f>Setup!HM11</f>
        <v>5</v>
      </c>
      <c r="ET29" s="8"/>
      <c r="EU29" s="8"/>
      <c r="EV29" s="8"/>
      <c r="EW29" s="8"/>
      <c r="EX29" s="40">
        <f>mround(EX28*Setup!HV11,'Quick Setup'!$A$2)</f>
        <v>262.5</v>
      </c>
      <c r="EY29" s="2">
        <f>Setup!HW11</f>
        <v>2</v>
      </c>
      <c r="EZ29" s="2">
        <f>Setup!HX11</f>
        <v>1</v>
      </c>
      <c r="FA29" s="2">
        <f>Setup!HY11</f>
        <v>5</v>
      </c>
      <c r="FB29" s="8"/>
      <c r="FC29" s="8"/>
      <c r="FD29" s="8"/>
      <c r="FE29" s="8"/>
      <c r="FF29" s="40">
        <f>mround(FF28*Setup!IH11,'Quick Setup'!$A$2)</f>
        <v>155</v>
      </c>
      <c r="FG29" s="1">
        <v>5.0</v>
      </c>
      <c r="FH29" s="1" t="s">
        <v>80</v>
      </c>
      <c r="FI29" s="2">
        <f>Setup!IK11</f>
        <v>5</v>
      </c>
      <c r="FJ29" s="8"/>
      <c r="FK29" s="8"/>
      <c r="FL29" s="8"/>
      <c r="FM29" s="8"/>
    </row>
    <row r="30">
      <c r="A30" s="5"/>
      <c r="B30" s="41"/>
      <c r="C30" s="8"/>
      <c r="D30" s="8"/>
      <c r="E30" s="8"/>
      <c r="F30" s="8"/>
      <c r="G30" s="8"/>
      <c r="H30" s="8"/>
      <c r="I30" s="8"/>
      <c r="J30" s="41" t="str">
        <f t="shared" ref="J30:O30" si="161">B30</f>
        <v/>
      </c>
      <c r="K30" s="8" t="str">
        <f t="shared" si="161"/>
        <v/>
      </c>
      <c r="L30" s="8" t="str">
        <f t="shared" si="161"/>
        <v/>
      </c>
      <c r="M30" s="8" t="str">
        <f t="shared" si="161"/>
        <v/>
      </c>
      <c r="N30" s="8" t="str">
        <f t="shared" si="161"/>
        <v/>
      </c>
      <c r="O30" s="8" t="str">
        <f t="shared" si="161"/>
        <v/>
      </c>
      <c r="P30" s="8"/>
      <c r="Q30" s="8"/>
      <c r="R30" s="41" t="str">
        <f t="shared" ref="R30:W30" si="162">J30</f>
        <v/>
      </c>
      <c r="S30" s="8" t="str">
        <f t="shared" si="162"/>
        <v/>
      </c>
      <c r="T30" s="8" t="str">
        <f t="shared" si="162"/>
        <v/>
      </c>
      <c r="U30" s="8" t="str">
        <f t="shared" si="162"/>
        <v/>
      </c>
      <c r="V30" s="8" t="str">
        <f t="shared" si="162"/>
        <v/>
      </c>
      <c r="W30" s="8" t="str">
        <f t="shared" si="162"/>
        <v/>
      </c>
      <c r="X30" s="8"/>
      <c r="Y30" s="8"/>
      <c r="Z30" s="41" t="str">
        <f t="shared" ref="Z30:AE30" si="163">R30</f>
        <v/>
      </c>
      <c r="AA30" s="8" t="str">
        <f t="shared" si="163"/>
        <v/>
      </c>
      <c r="AB30" s="8" t="str">
        <f t="shared" si="163"/>
        <v/>
      </c>
      <c r="AC30" s="8" t="str">
        <f t="shared" si="163"/>
        <v/>
      </c>
      <c r="AD30" s="8" t="str">
        <f t="shared" si="163"/>
        <v/>
      </c>
      <c r="AE30" s="8" t="str">
        <f t="shared" si="163"/>
        <v/>
      </c>
      <c r="AF30" s="8"/>
      <c r="AG30" s="8"/>
      <c r="AH30" s="41" t="str">
        <f t="shared" ref="AH30:AM30" si="164">Z30</f>
        <v/>
      </c>
      <c r="AI30" s="8" t="str">
        <f t="shared" si="164"/>
        <v/>
      </c>
      <c r="AJ30" s="8" t="str">
        <f t="shared" si="164"/>
        <v/>
      </c>
      <c r="AK30" s="8" t="str">
        <f t="shared" si="164"/>
        <v/>
      </c>
      <c r="AL30" s="8" t="str">
        <f t="shared" si="164"/>
        <v/>
      </c>
      <c r="AM30" s="8" t="str">
        <f t="shared" si="164"/>
        <v/>
      </c>
      <c r="AN30" s="8"/>
      <c r="AO30" s="8"/>
      <c r="AP30" s="41" t="str">
        <f t="shared" ref="AP30:AU30" si="165">AH30</f>
        <v/>
      </c>
      <c r="AQ30" s="8" t="str">
        <f t="shared" si="165"/>
        <v/>
      </c>
      <c r="AR30" s="8" t="str">
        <f t="shared" si="165"/>
        <v/>
      </c>
      <c r="AS30" s="8" t="str">
        <f t="shared" si="165"/>
        <v/>
      </c>
      <c r="AT30" s="8" t="str">
        <f t="shared" si="165"/>
        <v/>
      </c>
      <c r="AU30" s="8" t="str">
        <f t="shared" si="165"/>
        <v/>
      </c>
      <c r="AV30" s="8"/>
      <c r="AW30" s="8"/>
      <c r="AX30" s="41" t="str">
        <f t="shared" ref="AX30:BC30" si="166">AP30</f>
        <v/>
      </c>
      <c r="AY30" s="8" t="str">
        <f t="shared" si="166"/>
        <v/>
      </c>
      <c r="AZ30" s="8" t="str">
        <f t="shared" si="166"/>
        <v/>
      </c>
      <c r="BA30" s="8" t="str">
        <f t="shared" si="166"/>
        <v/>
      </c>
      <c r="BB30" s="8" t="str">
        <f t="shared" si="166"/>
        <v/>
      </c>
      <c r="BC30" s="8" t="str">
        <f t="shared" si="166"/>
        <v/>
      </c>
      <c r="BD30" s="8"/>
      <c r="BE30" s="8"/>
      <c r="BF30" s="41" t="str">
        <f t="shared" ref="BF30:BK30" si="167">AX30</f>
        <v/>
      </c>
      <c r="BG30" s="8" t="str">
        <f t="shared" si="167"/>
        <v/>
      </c>
      <c r="BH30" s="8" t="str">
        <f t="shared" si="167"/>
        <v/>
      </c>
      <c r="BI30" s="8" t="str">
        <f t="shared" si="167"/>
        <v/>
      </c>
      <c r="BJ30" s="8" t="str">
        <f t="shared" si="167"/>
        <v/>
      </c>
      <c r="BK30" s="8" t="str">
        <f t="shared" si="167"/>
        <v/>
      </c>
      <c r="BL30" s="8"/>
      <c r="BM30" s="8"/>
      <c r="BN30" s="41" t="str">
        <f t="shared" ref="BN30:BS30" si="168">BF30</f>
        <v/>
      </c>
      <c r="BO30" s="8" t="str">
        <f t="shared" si="168"/>
        <v/>
      </c>
      <c r="BP30" s="8" t="str">
        <f t="shared" si="168"/>
        <v/>
      </c>
      <c r="BQ30" s="8" t="str">
        <f t="shared" si="168"/>
        <v/>
      </c>
      <c r="BR30" s="8" t="str">
        <f t="shared" si="168"/>
        <v/>
      </c>
      <c r="BS30" s="8" t="str">
        <f t="shared" si="168"/>
        <v/>
      </c>
      <c r="BT30" s="8"/>
      <c r="BU30" s="8"/>
      <c r="BV30" s="41" t="str">
        <f t="shared" ref="BV30:CA30" si="169">BN30</f>
        <v/>
      </c>
      <c r="BW30" s="8" t="str">
        <f t="shared" si="169"/>
        <v/>
      </c>
      <c r="BX30" s="8" t="str">
        <f t="shared" si="169"/>
        <v/>
      </c>
      <c r="BY30" s="8" t="str">
        <f t="shared" si="169"/>
        <v/>
      </c>
      <c r="BZ30" s="8" t="str">
        <f t="shared" si="169"/>
        <v/>
      </c>
      <c r="CA30" s="8" t="str">
        <f t="shared" si="169"/>
        <v/>
      </c>
      <c r="CB30" s="8"/>
      <c r="CC30" s="8"/>
      <c r="CD30" s="41" t="str">
        <f t="shared" ref="CD30:CI30" si="170">BV30</f>
        <v/>
      </c>
      <c r="CE30" s="8" t="str">
        <f t="shared" si="170"/>
        <v/>
      </c>
      <c r="CF30" s="8" t="str">
        <f t="shared" si="170"/>
        <v/>
      </c>
      <c r="CG30" s="8" t="str">
        <f t="shared" si="170"/>
        <v/>
      </c>
      <c r="CH30" s="8" t="str">
        <f t="shared" si="170"/>
        <v/>
      </c>
      <c r="CI30" s="8" t="str">
        <f t="shared" si="170"/>
        <v/>
      </c>
      <c r="CJ30" s="8"/>
      <c r="CK30" s="8"/>
      <c r="CL30" s="41" t="str">
        <f t="shared" ref="CL30:CQ30" si="171">CD30</f>
        <v/>
      </c>
      <c r="CM30" s="8" t="str">
        <f t="shared" si="171"/>
        <v/>
      </c>
      <c r="CN30" s="8" t="str">
        <f t="shared" si="171"/>
        <v/>
      </c>
      <c r="CO30" s="8" t="str">
        <f t="shared" si="171"/>
        <v/>
      </c>
      <c r="CP30" s="8" t="str">
        <f t="shared" si="171"/>
        <v/>
      </c>
      <c r="CQ30" s="8" t="str">
        <f t="shared" si="171"/>
        <v/>
      </c>
      <c r="CR30" s="8"/>
      <c r="CS30" s="8"/>
      <c r="CT30" s="41" t="str">
        <f t="shared" ref="CT30:CY30" si="172">CL30</f>
        <v/>
      </c>
      <c r="CU30" s="8" t="str">
        <f t="shared" si="172"/>
        <v/>
      </c>
      <c r="CV30" s="8" t="str">
        <f t="shared" si="172"/>
        <v/>
      </c>
      <c r="CW30" s="8" t="str">
        <f t="shared" si="172"/>
        <v/>
      </c>
      <c r="CX30" s="8" t="str">
        <f t="shared" si="172"/>
        <v/>
      </c>
      <c r="CY30" s="8" t="str">
        <f t="shared" si="172"/>
        <v/>
      </c>
      <c r="CZ30" s="8"/>
      <c r="DA30" s="8"/>
      <c r="DB30" s="41" t="str">
        <f t="shared" ref="DB30:DG30" si="173">CT30</f>
        <v/>
      </c>
      <c r="DC30" s="8" t="str">
        <f t="shared" si="173"/>
        <v/>
      </c>
      <c r="DD30" s="8" t="str">
        <f t="shared" si="173"/>
        <v/>
      </c>
      <c r="DE30" s="8" t="str">
        <f t="shared" si="173"/>
        <v/>
      </c>
      <c r="DF30" s="8" t="str">
        <f t="shared" si="173"/>
        <v/>
      </c>
      <c r="DG30" s="8" t="str">
        <f t="shared" si="173"/>
        <v/>
      </c>
      <c r="DH30" s="8"/>
      <c r="DI30" s="8"/>
      <c r="DJ30" s="41" t="str">
        <f t="shared" ref="DJ30:DO30" si="174">DB30</f>
        <v/>
      </c>
      <c r="DK30" s="8" t="str">
        <f t="shared" si="174"/>
        <v/>
      </c>
      <c r="DL30" s="8" t="str">
        <f t="shared" si="174"/>
        <v/>
      </c>
      <c r="DM30" s="8" t="str">
        <f t="shared" si="174"/>
        <v/>
      </c>
      <c r="DN30" s="8" t="str">
        <f t="shared" si="174"/>
        <v/>
      </c>
      <c r="DO30" s="8" t="str">
        <f t="shared" si="174"/>
        <v/>
      </c>
      <c r="DP30" s="8"/>
      <c r="DQ30" s="8"/>
      <c r="DR30" s="41" t="str">
        <f t="shared" ref="DR30:DW30" si="175">DJ30</f>
        <v/>
      </c>
      <c r="DS30" s="8" t="str">
        <f t="shared" si="175"/>
        <v/>
      </c>
      <c r="DT30" s="8" t="str">
        <f t="shared" si="175"/>
        <v/>
      </c>
      <c r="DU30" s="8" t="str">
        <f t="shared" si="175"/>
        <v/>
      </c>
      <c r="DV30" s="8" t="str">
        <f t="shared" si="175"/>
        <v/>
      </c>
      <c r="DW30" s="8" t="str">
        <f t="shared" si="175"/>
        <v/>
      </c>
      <c r="DX30" s="8"/>
      <c r="DY30" s="8"/>
      <c r="DZ30" s="41" t="str">
        <f t="shared" ref="DZ30:EE30" si="176">DR30</f>
        <v/>
      </c>
      <c r="EA30" s="8" t="str">
        <f t="shared" si="176"/>
        <v/>
      </c>
      <c r="EB30" s="8" t="str">
        <f t="shared" si="176"/>
        <v/>
      </c>
      <c r="EC30" s="8" t="str">
        <f t="shared" si="176"/>
        <v/>
      </c>
      <c r="ED30" s="8" t="str">
        <f t="shared" si="176"/>
        <v/>
      </c>
      <c r="EE30" s="8" t="str">
        <f t="shared" si="176"/>
        <v/>
      </c>
      <c r="EF30" s="8"/>
      <c r="EG30" s="8"/>
      <c r="EH30" s="41" t="str">
        <f t="shared" ref="EH30:EM30" si="177">DZ30</f>
        <v/>
      </c>
      <c r="EI30" s="8" t="str">
        <f t="shared" si="177"/>
        <v/>
      </c>
      <c r="EJ30" s="8" t="str">
        <f t="shared" si="177"/>
        <v/>
      </c>
      <c r="EK30" s="8" t="str">
        <f t="shared" si="177"/>
        <v/>
      </c>
      <c r="EL30" s="8" t="str">
        <f t="shared" si="177"/>
        <v/>
      </c>
      <c r="EM30" s="8" t="str">
        <f t="shared" si="177"/>
        <v/>
      </c>
      <c r="EN30" s="8"/>
      <c r="EO30" s="8"/>
      <c r="EP30" s="41" t="str">
        <f t="shared" ref="EP30:EU30" si="178">EH30</f>
        <v/>
      </c>
      <c r="EQ30" s="8" t="str">
        <f t="shared" si="178"/>
        <v/>
      </c>
      <c r="ER30" s="8" t="str">
        <f t="shared" si="178"/>
        <v/>
      </c>
      <c r="ES30" s="8" t="str">
        <f t="shared" si="178"/>
        <v/>
      </c>
      <c r="ET30" s="8" t="str">
        <f t="shared" si="178"/>
        <v/>
      </c>
      <c r="EU30" s="8" t="str">
        <f t="shared" si="178"/>
        <v/>
      </c>
      <c r="EV30" s="8"/>
      <c r="EW30" s="8"/>
      <c r="EX30" s="41" t="str">
        <f t="shared" ref="EX30:FC30" si="179">EP30</f>
        <v/>
      </c>
      <c r="EY30" s="8" t="str">
        <f t="shared" si="179"/>
        <v/>
      </c>
      <c r="EZ30" s="8" t="str">
        <f t="shared" si="179"/>
        <v/>
      </c>
      <c r="FA30" s="8" t="str">
        <f t="shared" si="179"/>
        <v/>
      </c>
      <c r="FB30" s="8" t="str">
        <f t="shared" si="179"/>
        <v/>
      </c>
      <c r="FC30" s="8" t="str">
        <f t="shared" si="179"/>
        <v/>
      </c>
      <c r="FD30" s="8"/>
      <c r="FE30" s="8"/>
      <c r="FF30" s="41" t="str">
        <f t="shared" ref="FF30:FK30" si="180">EX30</f>
        <v/>
      </c>
      <c r="FG30" s="8" t="str">
        <f t="shared" si="180"/>
        <v/>
      </c>
      <c r="FH30" s="8" t="str">
        <f t="shared" si="180"/>
        <v/>
      </c>
      <c r="FI30" s="8" t="str">
        <f t="shared" si="180"/>
        <v/>
      </c>
      <c r="FJ30" s="8" t="str">
        <f t="shared" si="180"/>
        <v/>
      </c>
      <c r="FK30" s="8" t="str">
        <f t="shared" si="180"/>
        <v/>
      </c>
      <c r="FL30" s="8"/>
      <c r="FM30" s="8"/>
    </row>
    <row r="31">
      <c r="A31" s="1" t="s">
        <v>81</v>
      </c>
      <c r="B31" s="40"/>
      <c r="C31" s="2"/>
      <c r="D31" s="2"/>
      <c r="E31" s="2"/>
      <c r="F31" s="2"/>
      <c r="G31" s="2"/>
      <c r="H31" s="2"/>
      <c r="I31" s="2"/>
      <c r="J31" s="40"/>
      <c r="K31" s="2"/>
      <c r="L31" s="2"/>
      <c r="M31" s="2"/>
      <c r="N31" s="2"/>
      <c r="O31" s="2"/>
      <c r="P31" s="2"/>
      <c r="Q31" s="2"/>
      <c r="R31" s="40"/>
      <c r="S31" s="2"/>
      <c r="T31" s="2"/>
      <c r="U31" s="2"/>
      <c r="V31" s="2"/>
      <c r="W31" s="2"/>
      <c r="X31" s="2"/>
      <c r="Y31" s="2"/>
      <c r="Z31" s="40"/>
      <c r="AA31" s="2"/>
      <c r="AB31" s="2"/>
      <c r="AC31" s="2"/>
      <c r="AD31" s="2"/>
      <c r="AE31" s="2"/>
      <c r="AF31" s="2"/>
      <c r="AG31" s="2"/>
      <c r="AH31" s="40"/>
      <c r="AI31" s="2"/>
      <c r="AJ31" s="2"/>
      <c r="AK31" s="2"/>
      <c r="AL31" s="2"/>
      <c r="AM31" s="2"/>
      <c r="AN31" s="2"/>
      <c r="AO31" s="2"/>
      <c r="AP31" s="40"/>
      <c r="AQ31" s="2"/>
      <c r="AR31" s="2"/>
      <c r="AS31" s="2"/>
      <c r="AT31" s="2"/>
      <c r="AU31" s="2"/>
      <c r="AV31" s="2"/>
      <c r="AW31" s="2"/>
      <c r="AX31" s="40"/>
      <c r="AY31" s="2"/>
      <c r="AZ31" s="2"/>
      <c r="BA31" s="2"/>
      <c r="BB31" s="2"/>
      <c r="BC31" s="2"/>
      <c r="BD31" s="2"/>
      <c r="BE31" s="2"/>
      <c r="BF31" s="40"/>
      <c r="BG31" s="2"/>
      <c r="BH31" s="2"/>
      <c r="BI31" s="2"/>
      <c r="BJ31" s="2"/>
      <c r="BK31" s="2"/>
      <c r="BL31" s="2"/>
      <c r="BM31" s="2"/>
      <c r="BN31" s="40"/>
      <c r="BO31" s="2"/>
      <c r="BP31" s="2"/>
      <c r="BQ31" s="2"/>
      <c r="BR31" s="2"/>
      <c r="BS31" s="2"/>
      <c r="BT31" s="2"/>
      <c r="BU31" s="2"/>
      <c r="BV31" s="40"/>
      <c r="BW31" s="2"/>
      <c r="BX31" s="2"/>
      <c r="BY31" s="2"/>
      <c r="BZ31" s="2"/>
      <c r="CA31" s="2"/>
      <c r="CB31" s="2"/>
      <c r="CC31" s="2"/>
      <c r="CD31" s="40"/>
      <c r="CE31" s="2"/>
      <c r="CF31" s="2"/>
      <c r="CG31" s="2"/>
      <c r="CH31" s="2"/>
      <c r="CI31" s="2"/>
      <c r="CJ31" s="2"/>
      <c r="CK31" s="2"/>
      <c r="CL31" s="40"/>
      <c r="CM31" s="2"/>
      <c r="CN31" s="2"/>
      <c r="CO31" s="2"/>
      <c r="CP31" s="2"/>
      <c r="CQ31" s="2"/>
      <c r="CR31" s="2"/>
      <c r="CS31" s="2"/>
      <c r="CT31" s="40"/>
      <c r="CU31" s="2"/>
      <c r="CV31" s="2"/>
      <c r="CW31" s="2"/>
      <c r="CX31" s="2"/>
      <c r="CY31" s="2"/>
      <c r="CZ31" s="2"/>
      <c r="DA31" s="2"/>
      <c r="DB31" s="40"/>
      <c r="DC31" s="2"/>
      <c r="DD31" s="2"/>
      <c r="DE31" s="2"/>
      <c r="DF31" s="2"/>
      <c r="DG31" s="2"/>
      <c r="DH31" s="2"/>
      <c r="DI31" s="2"/>
      <c r="DJ31" s="40"/>
      <c r="DK31" s="2"/>
      <c r="DL31" s="2"/>
      <c r="DM31" s="2"/>
      <c r="DN31" s="2"/>
      <c r="DO31" s="2"/>
      <c r="DP31" s="2"/>
      <c r="DQ31" s="2"/>
      <c r="DR31" s="40"/>
      <c r="DS31" s="2"/>
      <c r="DT31" s="2"/>
      <c r="DU31" s="2"/>
      <c r="DV31" s="2"/>
      <c r="DW31" s="2"/>
      <c r="DX31" s="2"/>
      <c r="DY31" s="2"/>
      <c r="DZ31" s="40"/>
      <c r="EA31" s="2"/>
      <c r="EB31" s="2"/>
      <c r="EC31" s="2"/>
      <c r="ED31" s="2"/>
      <c r="EE31" s="2"/>
      <c r="EF31" s="2"/>
      <c r="EG31" s="2"/>
      <c r="EH31" s="40"/>
      <c r="EI31" s="2"/>
      <c r="EJ31" s="2"/>
      <c r="EK31" s="2"/>
      <c r="EL31" s="2"/>
      <c r="EM31" s="2"/>
      <c r="EN31" s="2"/>
      <c r="EO31" s="2"/>
      <c r="EP31" s="40"/>
      <c r="EQ31" s="2"/>
      <c r="ER31" s="2"/>
      <c r="ES31" s="2"/>
      <c r="ET31" s="2"/>
      <c r="EU31" s="2"/>
      <c r="EV31" s="2"/>
      <c r="EW31" s="2"/>
      <c r="EX31" s="40"/>
      <c r="EY31" s="2"/>
      <c r="EZ31" s="2"/>
      <c r="FA31" s="2"/>
      <c r="FB31" s="2"/>
      <c r="FC31" s="2"/>
      <c r="FD31" s="2"/>
      <c r="FE31" s="2"/>
      <c r="FF31" s="40"/>
      <c r="FG31" s="2"/>
      <c r="FH31" s="2"/>
      <c r="FI31" s="2"/>
      <c r="FJ31" s="2"/>
      <c r="FK31" s="2"/>
      <c r="FL31" s="2"/>
      <c r="FM31" s="2"/>
    </row>
    <row r="32">
      <c r="A32" s="42"/>
      <c r="B32" s="41"/>
      <c r="C32" s="8"/>
      <c r="D32" s="8"/>
      <c r="E32" s="8"/>
      <c r="F32" s="8"/>
      <c r="G32" s="8"/>
      <c r="H32" s="8"/>
      <c r="I32" s="8"/>
      <c r="J32" s="41" t="str">
        <f t="shared" ref="J32:O32" si="181">B32</f>
        <v/>
      </c>
      <c r="K32" s="8" t="str">
        <f t="shared" si="181"/>
        <v/>
      </c>
      <c r="L32" s="8" t="str">
        <f t="shared" si="181"/>
        <v/>
      </c>
      <c r="M32" s="8" t="str">
        <f t="shared" si="181"/>
        <v/>
      </c>
      <c r="N32" s="8" t="str">
        <f t="shared" si="181"/>
        <v/>
      </c>
      <c r="O32" s="8" t="str">
        <f t="shared" si="181"/>
        <v/>
      </c>
      <c r="P32" s="8"/>
      <c r="Q32" s="8"/>
      <c r="R32" s="41" t="str">
        <f t="shared" ref="R32:W32" si="182">J32</f>
        <v/>
      </c>
      <c r="S32" s="8" t="str">
        <f t="shared" si="182"/>
        <v/>
      </c>
      <c r="T32" s="8" t="str">
        <f t="shared" si="182"/>
        <v/>
      </c>
      <c r="U32" s="8" t="str">
        <f t="shared" si="182"/>
        <v/>
      </c>
      <c r="V32" s="8" t="str">
        <f t="shared" si="182"/>
        <v/>
      </c>
      <c r="W32" s="8" t="str">
        <f t="shared" si="182"/>
        <v/>
      </c>
      <c r="X32" s="8"/>
      <c r="Y32" s="8"/>
      <c r="Z32" s="41" t="str">
        <f t="shared" ref="Z32:AE32" si="183">R32</f>
        <v/>
      </c>
      <c r="AA32" s="8" t="str">
        <f t="shared" si="183"/>
        <v/>
      </c>
      <c r="AB32" s="8" t="str">
        <f t="shared" si="183"/>
        <v/>
      </c>
      <c r="AC32" s="8" t="str">
        <f t="shared" si="183"/>
        <v/>
      </c>
      <c r="AD32" s="8" t="str">
        <f t="shared" si="183"/>
        <v/>
      </c>
      <c r="AE32" s="8" t="str">
        <f t="shared" si="183"/>
        <v/>
      </c>
      <c r="AF32" s="8"/>
      <c r="AG32" s="8"/>
      <c r="AH32" s="41" t="str">
        <f t="shared" ref="AH32:AM32" si="184">Z32</f>
        <v/>
      </c>
      <c r="AI32" s="8" t="str">
        <f t="shared" si="184"/>
        <v/>
      </c>
      <c r="AJ32" s="8" t="str">
        <f t="shared" si="184"/>
        <v/>
      </c>
      <c r="AK32" s="8" t="str">
        <f t="shared" si="184"/>
        <v/>
      </c>
      <c r="AL32" s="8" t="str">
        <f t="shared" si="184"/>
        <v/>
      </c>
      <c r="AM32" s="8" t="str">
        <f t="shared" si="184"/>
        <v/>
      </c>
      <c r="AN32" s="8"/>
      <c r="AO32" s="8"/>
      <c r="AP32" s="41" t="str">
        <f t="shared" ref="AP32:AU32" si="185">AH32</f>
        <v/>
      </c>
      <c r="AQ32" s="8" t="str">
        <f t="shared" si="185"/>
        <v/>
      </c>
      <c r="AR32" s="8" t="str">
        <f t="shared" si="185"/>
        <v/>
      </c>
      <c r="AS32" s="8" t="str">
        <f t="shared" si="185"/>
        <v/>
      </c>
      <c r="AT32" s="8" t="str">
        <f t="shared" si="185"/>
        <v/>
      </c>
      <c r="AU32" s="8" t="str">
        <f t="shared" si="185"/>
        <v/>
      </c>
      <c r="AV32" s="8"/>
      <c r="AW32" s="8"/>
      <c r="AX32" s="41" t="str">
        <f t="shared" ref="AX32:BC32" si="186">AP32</f>
        <v/>
      </c>
      <c r="AY32" s="8" t="str">
        <f t="shared" si="186"/>
        <v/>
      </c>
      <c r="AZ32" s="8" t="str">
        <f t="shared" si="186"/>
        <v/>
      </c>
      <c r="BA32" s="8" t="str">
        <f t="shared" si="186"/>
        <v/>
      </c>
      <c r="BB32" s="8" t="str">
        <f t="shared" si="186"/>
        <v/>
      </c>
      <c r="BC32" s="8" t="str">
        <f t="shared" si="186"/>
        <v/>
      </c>
      <c r="BD32" s="8"/>
      <c r="BE32" s="8"/>
      <c r="BF32" s="41" t="str">
        <f t="shared" ref="BF32:BK32" si="187">AX32</f>
        <v/>
      </c>
      <c r="BG32" s="8" t="str">
        <f t="shared" si="187"/>
        <v/>
      </c>
      <c r="BH32" s="8" t="str">
        <f t="shared" si="187"/>
        <v/>
      </c>
      <c r="BI32" s="8" t="str">
        <f t="shared" si="187"/>
        <v/>
      </c>
      <c r="BJ32" s="8" t="str">
        <f t="shared" si="187"/>
        <v/>
      </c>
      <c r="BK32" s="8" t="str">
        <f t="shared" si="187"/>
        <v/>
      </c>
      <c r="BL32" s="8"/>
      <c r="BM32" s="8"/>
      <c r="BN32" s="41" t="str">
        <f t="shared" ref="BN32:BS32" si="188">BF32</f>
        <v/>
      </c>
      <c r="BO32" s="8" t="str">
        <f t="shared" si="188"/>
        <v/>
      </c>
      <c r="BP32" s="8" t="str">
        <f t="shared" si="188"/>
        <v/>
      </c>
      <c r="BQ32" s="8" t="str">
        <f t="shared" si="188"/>
        <v/>
      </c>
      <c r="BR32" s="8" t="str">
        <f t="shared" si="188"/>
        <v/>
      </c>
      <c r="BS32" s="8" t="str">
        <f t="shared" si="188"/>
        <v/>
      </c>
      <c r="BT32" s="8"/>
      <c r="BU32" s="8"/>
      <c r="BV32" s="41" t="str">
        <f t="shared" ref="BV32:CA32" si="189">BN32</f>
        <v/>
      </c>
      <c r="BW32" s="8" t="str">
        <f t="shared" si="189"/>
        <v/>
      </c>
      <c r="BX32" s="8" t="str">
        <f t="shared" si="189"/>
        <v/>
      </c>
      <c r="BY32" s="8" t="str">
        <f t="shared" si="189"/>
        <v/>
      </c>
      <c r="BZ32" s="8" t="str">
        <f t="shared" si="189"/>
        <v/>
      </c>
      <c r="CA32" s="8" t="str">
        <f t="shared" si="189"/>
        <v/>
      </c>
      <c r="CB32" s="8"/>
      <c r="CC32" s="8"/>
      <c r="CD32" s="41" t="str">
        <f t="shared" ref="CD32:CI32" si="190">BV32</f>
        <v/>
      </c>
      <c r="CE32" s="8" t="str">
        <f t="shared" si="190"/>
        <v/>
      </c>
      <c r="CF32" s="8" t="str">
        <f t="shared" si="190"/>
        <v/>
      </c>
      <c r="CG32" s="8" t="str">
        <f t="shared" si="190"/>
        <v/>
      </c>
      <c r="CH32" s="8" t="str">
        <f t="shared" si="190"/>
        <v/>
      </c>
      <c r="CI32" s="8" t="str">
        <f t="shared" si="190"/>
        <v/>
      </c>
      <c r="CJ32" s="8"/>
      <c r="CK32" s="8"/>
      <c r="CL32" s="41" t="str">
        <f t="shared" ref="CL32:CQ32" si="191">CD32</f>
        <v/>
      </c>
      <c r="CM32" s="8" t="str">
        <f t="shared" si="191"/>
        <v/>
      </c>
      <c r="CN32" s="8" t="str">
        <f t="shared" si="191"/>
        <v/>
      </c>
      <c r="CO32" s="8" t="str">
        <f t="shared" si="191"/>
        <v/>
      </c>
      <c r="CP32" s="8" t="str">
        <f t="shared" si="191"/>
        <v/>
      </c>
      <c r="CQ32" s="8" t="str">
        <f t="shared" si="191"/>
        <v/>
      </c>
      <c r="CR32" s="8"/>
      <c r="CS32" s="8"/>
      <c r="CT32" s="41" t="str">
        <f t="shared" ref="CT32:CY32" si="192">CL32</f>
        <v/>
      </c>
      <c r="CU32" s="8" t="str">
        <f t="shared" si="192"/>
        <v/>
      </c>
      <c r="CV32" s="8" t="str">
        <f t="shared" si="192"/>
        <v/>
      </c>
      <c r="CW32" s="8" t="str">
        <f t="shared" si="192"/>
        <v/>
      </c>
      <c r="CX32" s="8" t="str">
        <f t="shared" si="192"/>
        <v/>
      </c>
      <c r="CY32" s="8" t="str">
        <f t="shared" si="192"/>
        <v/>
      </c>
      <c r="CZ32" s="8"/>
      <c r="DA32" s="8"/>
      <c r="DB32" s="41" t="str">
        <f t="shared" ref="DB32:DG32" si="193">CT32</f>
        <v/>
      </c>
      <c r="DC32" s="8" t="str">
        <f t="shared" si="193"/>
        <v/>
      </c>
      <c r="DD32" s="8" t="str">
        <f t="shared" si="193"/>
        <v/>
      </c>
      <c r="DE32" s="8" t="str">
        <f t="shared" si="193"/>
        <v/>
      </c>
      <c r="DF32" s="8" t="str">
        <f t="shared" si="193"/>
        <v/>
      </c>
      <c r="DG32" s="8" t="str">
        <f t="shared" si="193"/>
        <v/>
      </c>
      <c r="DH32" s="8"/>
      <c r="DI32" s="8"/>
      <c r="DJ32" s="41" t="str">
        <f t="shared" ref="DJ32:DO32" si="194">DB32</f>
        <v/>
      </c>
      <c r="DK32" s="8" t="str">
        <f t="shared" si="194"/>
        <v/>
      </c>
      <c r="DL32" s="8" t="str">
        <f t="shared" si="194"/>
        <v/>
      </c>
      <c r="DM32" s="8" t="str">
        <f t="shared" si="194"/>
        <v/>
      </c>
      <c r="DN32" s="8" t="str">
        <f t="shared" si="194"/>
        <v/>
      </c>
      <c r="DO32" s="8" t="str">
        <f t="shared" si="194"/>
        <v/>
      </c>
      <c r="DP32" s="8"/>
      <c r="DQ32" s="8"/>
      <c r="DR32" s="41" t="str">
        <f t="shared" ref="DR32:DW32" si="195">DJ32</f>
        <v/>
      </c>
      <c r="DS32" s="8" t="str">
        <f t="shared" si="195"/>
        <v/>
      </c>
      <c r="DT32" s="8" t="str">
        <f t="shared" si="195"/>
        <v/>
      </c>
      <c r="DU32" s="8" t="str">
        <f t="shared" si="195"/>
        <v/>
      </c>
      <c r="DV32" s="8" t="str">
        <f t="shared" si="195"/>
        <v/>
      </c>
      <c r="DW32" s="8" t="str">
        <f t="shared" si="195"/>
        <v/>
      </c>
      <c r="DX32" s="8"/>
      <c r="DY32" s="8"/>
      <c r="DZ32" s="41" t="str">
        <f t="shared" ref="DZ32:EE32" si="196">DR32</f>
        <v/>
      </c>
      <c r="EA32" s="8" t="str">
        <f t="shared" si="196"/>
        <v/>
      </c>
      <c r="EB32" s="8" t="str">
        <f t="shared" si="196"/>
        <v/>
      </c>
      <c r="EC32" s="8" t="str">
        <f t="shared" si="196"/>
        <v/>
      </c>
      <c r="ED32" s="8" t="str">
        <f t="shared" si="196"/>
        <v/>
      </c>
      <c r="EE32" s="8" t="str">
        <f t="shared" si="196"/>
        <v/>
      </c>
      <c r="EF32" s="8"/>
      <c r="EG32" s="8"/>
      <c r="EH32" s="41" t="str">
        <f t="shared" ref="EH32:EM32" si="197">DZ32</f>
        <v/>
      </c>
      <c r="EI32" s="8" t="str">
        <f t="shared" si="197"/>
        <v/>
      </c>
      <c r="EJ32" s="8" t="str">
        <f t="shared" si="197"/>
        <v/>
      </c>
      <c r="EK32" s="8" t="str">
        <f t="shared" si="197"/>
        <v/>
      </c>
      <c r="EL32" s="8" t="str">
        <f t="shared" si="197"/>
        <v/>
      </c>
      <c r="EM32" s="8" t="str">
        <f t="shared" si="197"/>
        <v/>
      </c>
      <c r="EN32" s="8"/>
      <c r="EO32" s="8"/>
      <c r="EP32" s="41" t="str">
        <f t="shared" ref="EP32:EU32" si="198">EH32</f>
        <v/>
      </c>
      <c r="EQ32" s="8" t="str">
        <f t="shared" si="198"/>
        <v/>
      </c>
      <c r="ER32" s="8" t="str">
        <f t="shared" si="198"/>
        <v/>
      </c>
      <c r="ES32" s="8" t="str">
        <f t="shared" si="198"/>
        <v/>
      </c>
      <c r="ET32" s="8" t="str">
        <f t="shared" si="198"/>
        <v/>
      </c>
      <c r="EU32" s="8" t="str">
        <f t="shared" si="198"/>
        <v/>
      </c>
      <c r="EV32" s="8"/>
      <c r="EW32" s="8"/>
      <c r="EX32" s="41" t="str">
        <f t="shared" ref="EX32:FC32" si="199">EP32</f>
        <v/>
      </c>
      <c r="EY32" s="8" t="str">
        <f t="shared" si="199"/>
        <v/>
      </c>
      <c r="EZ32" s="8" t="str">
        <f t="shared" si="199"/>
        <v/>
      </c>
      <c r="FA32" s="8" t="str">
        <f t="shared" si="199"/>
        <v/>
      </c>
      <c r="FB32" s="8" t="str">
        <f t="shared" si="199"/>
        <v/>
      </c>
      <c r="FC32" s="8" t="str">
        <f t="shared" si="199"/>
        <v/>
      </c>
      <c r="FD32" s="8"/>
      <c r="FE32" s="8"/>
      <c r="FF32" s="41" t="str">
        <f t="shared" ref="FF32:FK32" si="200">EX32</f>
        <v/>
      </c>
      <c r="FG32" s="8" t="str">
        <f t="shared" si="200"/>
        <v/>
      </c>
      <c r="FH32" s="8" t="str">
        <f t="shared" si="200"/>
        <v/>
      </c>
      <c r="FI32" s="8" t="str">
        <f t="shared" si="200"/>
        <v/>
      </c>
      <c r="FJ32" s="8" t="str">
        <f t="shared" si="200"/>
        <v/>
      </c>
      <c r="FK32" s="8" t="str">
        <f t="shared" si="200"/>
        <v/>
      </c>
      <c r="FL32" s="8"/>
      <c r="FM32" s="8"/>
    </row>
    <row r="33">
      <c r="A33" s="42"/>
      <c r="B33" s="41"/>
      <c r="C33" s="8"/>
      <c r="D33" s="8"/>
      <c r="E33" s="8"/>
      <c r="F33" s="8"/>
      <c r="G33" s="8"/>
      <c r="H33" s="8"/>
      <c r="I33" s="8"/>
      <c r="J33" s="41" t="str">
        <f t="shared" ref="J33:O33" si="201">B33</f>
        <v/>
      </c>
      <c r="K33" s="8" t="str">
        <f t="shared" si="201"/>
        <v/>
      </c>
      <c r="L33" s="8" t="str">
        <f t="shared" si="201"/>
        <v/>
      </c>
      <c r="M33" s="8" t="str">
        <f t="shared" si="201"/>
        <v/>
      </c>
      <c r="N33" s="8" t="str">
        <f t="shared" si="201"/>
        <v/>
      </c>
      <c r="O33" s="8" t="str">
        <f t="shared" si="201"/>
        <v/>
      </c>
      <c r="P33" s="8"/>
      <c r="Q33" s="8"/>
      <c r="R33" s="41" t="str">
        <f t="shared" ref="R33:W33" si="202">J33</f>
        <v/>
      </c>
      <c r="S33" s="8" t="str">
        <f t="shared" si="202"/>
        <v/>
      </c>
      <c r="T33" s="8" t="str">
        <f t="shared" si="202"/>
        <v/>
      </c>
      <c r="U33" s="8" t="str">
        <f t="shared" si="202"/>
        <v/>
      </c>
      <c r="V33" s="8" t="str">
        <f t="shared" si="202"/>
        <v/>
      </c>
      <c r="W33" s="8" t="str">
        <f t="shared" si="202"/>
        <v/>
      </c>
      <c r="X33" s="8"/>
      <c r="Y33" s="8"/>
      <c r="Z33" s="41" t="str">
        <f t="shared" ref="Z33:AE33" si="203">R33</f>
        <v/>
      </c>
      <c r="AA33" s="8" t="str">
        <f t="shared" si="203"/>
        <v/>
      </c>
      <c r="AB33" s="8" t="str">
        <f t="shared" si="203"/>
        <v/>
      </c>
      <c r="AC33" s="8" t="str">
        <f t="shared" si="203"/>
        <v/>
      </c>
      <c r="AD33" s="8" t="str">
        <f t="shared" si="203"/>
        <v/>
      </c>
      <c r="AE33" s="8" t="str">
        <f t="shared" si="203"/>
        <v/>
      </c>
      <c r="AF33" s="8"/>
      <c r="AG33" s="8"/>
      <c r="AH33" s="41" t="str">
        <f t="shared" ref="AH33:AM33" si="204">Z33</f>
        <v/>
      </c>
      <c r="AI33" s="8" t="str">
        <f t="shared" si="204"/>
        <v/>
      </c>
      <c r="AJ33" s="8" t="str">
        <f t="shared" si="204"/>
        <v/>
      </c>
      <c r="AK33" s="8" t="str">
        <f t="shared" si="204"/>
        <v/>
      </c>
      <c r="AL33" s="8" t="str">
        <f t="shared" si="204"/>
        <v/>
      </c>
      <c r="AM33" s="8" t="str">
        <f t="shared" si="204"/>
        <v/>
      </c>
      <c r="AN33" s="8"/>
      <c r="AO33" s="8"/>
      <c r="AP33" s="41" t="str">
        <f t="shared" ref="AP33:AU33" si="205">AH33</f>
        <v/>
      </c>
      <c r="AQ33" s="8" t="str">
        <f t="shared" si="205"/>
        <v/>
      </c>
      <c r="AR33" s="8" t="str">
        <f t="shared" si="205"/>
        <v/>
      </c>
      <c r="AS33" s="8" t="str">
        <f t="shared" si="205"/>
        <v/>
      </c>
      <c r="AT33" s="8" t="str">
        <f t="shared" si="205"/>
        <v/>
      </c>
      <c r="AU33" s="8" t="str">
        <f t="shared" si="205"/>
        <v/>
      </c>
      <c r="AV33" s="8"/>
      <c r="AW33" s="8"/>
      <c r="AX33" s="41" t="str">
        <f t="shared" ref="AX33:BC33" si="206">AP33</f>
        <v/>
      </c>
      <c r="AY33" s="8" t="str">
        <f t="shared" si="206"/>
        <v/>
      </c>
      <c r="AZ33" s="8" t="str">
        <f t="shared" si="206"/>
        <v/>
      </c>
      <c r="BA33" s="8" t="str">
        <f t="shared" si="206"/>
        <v/>
      </c>
      <c r="BB33" s="8" t="str">
        <f t="shared" si="206"/>
        <v/>
      </c>
      <c r="BC33" s="8" t="str">
        <f t="shared" si="206"/>
        <v/>
      </c>
      <c r="BD33" s="8"/>
      <c r="BE33" s="8"/>
      <c r="BF33" s="41" t="str">
        <f t="shared" ref="BF33:BK33" si="207">AX33</f>
        <v/>
      </c>
      <c r="BG33" s="8" t="str">
        <f t="shared" si="207"/>
        <v/>
      </c>
      <c r="BH33" s="8" t="str">
        <f t="shared" si="207"/>
        <v/>
      </c>
      <c r="BI33" s="8" t="str">
        <f t="shared" si="207"/>
        <v/>
      </c>
      <c r="BJ33" s="8" t="str">
        <f t="shared" si="207"/>
        <v/>
      </c>
      <c r="BK33" s="8" t="str">
        <f t="shared" si="207"/>
        <v/>
      </c>
      <c r="BL33" s="8"/>
      <c r="BM33" s="8"/>
      <c r="BN33" s="41" t="str">
        <f t="shared" ref="BN33:BS33" si="208">BF33</f>
        <v/>
      </c>
      <c r="BO33" s="8" t="str">
        <f t="shared" si="208"/>
        <v/>
      </c>
      <c r="BP33" s="8" t="str">
        <f t="shared" si="208"/>
        <v/>
      </c>
      <c r="BQ33" s="8" t="str">
        <f t="shared" si="208"/>
        <v/>
      </c>
      <c r="BR33" s="8" t="str">
        <f t="shared" si="208"/>
        <v/>
      </c>
      <c r="BS33" s="8" t="str">
        <f t="shared" si="208"/>
        <v/>
      </c>
      <c r="BT33" s="8"/>
      <c r="BU33" s="8"/>
      <c r="BV33" s="41" t="str">
        <f t="shared" ref="BV33:CA33" si="209">BN33</f>
        <v/>
      </c>
      <c r="BW33" s="8" t="str">
        <f t="shared" si="209"/>
        <v/>
      </c>
      <c r="BX33" s="8" t="str">
        <f t="shared" si="209"/>
        <v/>
      </c>
      <c r="BY33" s="8" t="str">
        <f t="shared" si="209"/>
        <v/>
      </c>
      <c r="BZ33" s="8" t="str">
        <f t="shared" si="209"/>
        <v/>
      </c>
      <c r="CA33" s="8" t="str">
        <f t="shared" si="209"/>
        <v/>
      </c>
      <c r="CB33" s="8"/>
      <c r="CC33" s="8"/>
      <c r="CD33" s="41" t="str">
        <f t="shared" ref="CD33:CI33" si="210">BV33</f>
        <v/>
      </c>
      <c r="CE33" s="8" t="str">
        <f t="shared" si="210"/>
        <v/>
      </c>
      <c r="CF33" s="8" t="str">
        <f t="shared" si="210"/>
        <v/>
      </c>
      <c r="CG33" s="8" t="str">
        <f t="shared" si="210"/>
        <v/>
      </c>
      <c r="CH33" s="8" t="str">
        <f t="shared" si="210"/>
        <v/>
      </c>
      <c r="CI33" s="8" t="str">
        <f t="shared" si="210"/>
        <v/>
      </c>
      <c r="CJ33" s="8"/>
      <c r="CK33" s="8"/>
      <c r="CL33" s="41" t="str">
        <f t="shared" ref="CL33:CQ33" si="211">CD33</f>
        <v/>
      </c>
      <c r="CM33" s="8" t="str">
        <f t="shared" si="211"/>
        <v/>
      </c>
      <c r="CN33" s="8" t="str">
        <f t="shared" si="211"/>
        <v/>
      </c>
      <c r="CO33" s="8" t="str">
        <f t="shared" si="211"/>
        <v/>
      </c>
      <c r="CP33" s="8" t="str">
        <f t="shared" si="211"/>
        <v/>
      </c>
      <c r="CQ33" s="8" t="str">
        <f t="shared" si="211"/>
        <v/>
      </c>
      <c r="CR33" s="8"/>
      <c r="CS33" s="8"/>
      <c r="CT33" s="41" t="str">
        <f t="shared" ref="CT33:CY33" si="212">CL33</f>
        <v/>
      </c>
      <c r="CU33" s="8" t="str">
        <f t="shared" si="212"/>
        <v/>
      </c>
      <c r="CV33" s="8" t="str">
        <f t="shared" si="212"/>
        <v/>
      </c>
      <c r="CW33" s="8" t="str">
        <f t="shared" si="212"/>
        <v/>
      </c>
      <c r="CX33" s="8" t="str">
        <f t="shared" si="212"/>
        <v/>
      </c>
      <c r="CY33" s="8" t="str">
        <f t="shared" si="212"/>
        <v/>
      </c>
      <c r="CZ33" s="8"/>
      <c r="DA33" s="8"/>
      <c r="DB33" s="41" t="str">
        <f t="shared" ref="DB33:DG33" si="213">CT33</f>
        <v/>
      </c>
      <c r="DC33" s="8" t="str">
        <f t="shared" si="213"/>
        <v/>
      </c>
      <c r="DD33" s="8" t="str">
        <f t="shared" si="213"/>
        <v/>
      </c>
      <c r="DE33" s="8" t="str">
        <f t="shared" si="213"/>
        <v/>
      </c>
      <c r="DF33" s="8" t="str">
        <f t="shared" si="213"/>
        <v/>
      </c>
      <c r="DG33" s="8" t="str">
        <f t="shared" si="213"/>
        <v/>
      </c>
      <c r="DH33" s="8"/>
      <c r="DI33" s="8"/>
      <c r="DJ33" s="41" t="str">
        <f t="shared" ref="DJ33:DO33" si="214">DB33</f>
        <v/>
      </c>
      <c r="DK33" s="8" t="str">
        <f t="shared" si="214"/>
        <v/>
      </c>
      <c r="DL33" s="8" t="str">
        <f t="shared" si="214"/>
        <v/>
      </c>
      <c r="DM33" s="8" t="str">
        <f t="shared" si="214"/>
        <v/>
      </c>
      <c r="DN33" s="8" t="str">
        <f t="shared" si="214"/>
        <v/>
      </c>
      <c r="DO33" s="8" t="str">
        <f t="shared" si="214"/>
        <v/>
      </c>
      <c r="DP33" s="8"/>
      <c r="DQ33" s="8"/>
      <c r="DR33" s="41" t="str">
        <f t="shared" ref="DR33:DW33" si="215">DJ33</f>
        <v/>
      </c>
      <c r="DS33" s="8" t="str">
        <f t="shared" si="215"/>
        <v/>
      </c>
      <c r="DT33" s="8" t="str">
        <f t="shared" si="215"/>
        <v/>
      </c>
      <c r="DU33" s="8" t="str">
        <f t="shared" si="215"/>
        <v/>
      </c>
      <c r="DV33" s="8" t="str">
        <f t="shared" si="215"/>
        <v/>
      </c>
      <c r="DW33" s="8" t="str">
        <f t="shared" si="215"/>
        <v/>
      </c>
      <c r="DX33" s="8"/>
      <c r="DY33" s="8"/>
      <c r="DZ33" s="41" t="str">
        <f t="shared" ref="DZ33:EE33" si="216">DR33</f>
        <v/>
      </c>
      <c r="EA33" s="8" t="str">
        <f t="shared" si="216"/>
        <v/>
      </c>
      <c r="EB33" s="8" t="str">
        <f t="shared" si="216"/>
        <v/>
      </c>
      <c r="EC33" s="8" t="str">
        <f t="shared" si="216"/>
        <v/>
      </c>
      <c r="ED33" s="8" t="str">
        <f t="shared" si="216"/>
        <v/>
      </c>
      <c r="EE33" s="8" t="str">
        <f t="shared" si="216"/>
        <v/>
      </c>
      <c r="EF33" s="8"/>
      <c r="EG33" s="8"/>
      <c r="EH33" s="41" t="str">
        <f t="shared" ref="EH33:EM33" si="217">DZ33</f>
        <v/>
      </c>
      <c r="EI33" s="8" t="str">
        <f t="shared" si="217"/>
        <v/>
      </c>
      <c r="EJ33" s="8" t="str">
        <f t="shared" si="217"/>
        <v/>
      </c>
      <c r="EK33" s="8" t="str">
        <f t="shared" si="217"/>
        <v/>
      </c>
      <c r="EL33" s="8" t="str">
        <f t="shared" si="217"/>
        <v/>
      </c>
      <c r="EM33" s="8" t="str">
        <f t="shared" si="217"/>
        <v/>
      </c>
      <c r="EN33" s="8"/>
      <c r="EO33" s="8"/>
      <c r="EP33" s="41" t="str">
        <f t="shared" ref="EP33:EU33" si="218">EH33</f>
        <v/>
      </c>
      <c r="EQ33" s="8" t="str">
        <f t="shared" si="218"/>
        <v/>
      </c>
      <c r="ER33" s="8" t="str">
        <f t="shared" si="218"/>
        <v/>
      </c>
      <c r="ES33" s="8" t="str">
        <f t="shared" si="218"/>
        <v/>
      </c>
      <c r="ET33" s="8" t="str">
        <f t="shared" si="218"/>
        <v/>
      </c>
      <c r="EU33" s="8" t="str">
        <f t="shared" si="218"/>
        <v/>
      </c>
      <c r="EV33" s="8"/>
      <c r="EW33" s="8"/>
      <c r="EX33" s="41" t="str">
        <f t="shared" ref="EX33:FC33" si="219">EP33</f>
        <v/>
      </c>
      <c r="EY33" s="8" t="str">
        <f t="shared" si="219"/>
        <v/>
      </c>
      <c r="EZ33" s="8" t="str">
        <f t="shared" si="219"/>
        <v/>
      </c>
      <c r="FA33" s="8" t="str">
        <f t="shared" si="219"/>
        <v/>
      </c>
      <c r="FB33" s="8" t="str">
        <f t="shared" si="219"/>
        <v/>
      </c>
      <c r="FC33" s="8" t="str">
        <f t="shared" si="219"/>
        <v/>
      </c>
      <c r="FD33" s="8"/>
      <c r="FE33" s="8"/>
      <c r="FF33" s="41" t="str">
        <f t="shared" ref="FF33:FK33" si="220">EX33</f>
        <v/>
      </c>
      <c r="FG33" s="8" t="str">
        <f t="shared" si="220"/>
        <v/>
      </c>
      <c r="FH33" s="8" t="str">
        <f t="shared" si="220"/>
        <v/>
      </c>
      <c r="FI33" s="8" t="str">
        <f t="shared" si="220"/>
        <v/>
      </c>
      <c r="FJ33" s="8" t="str">
        <f t="shared" si="220"/>
        <v/>
      </c>
      <c r="FK33" s="8" t="str">
        <f t="shared" si="220"/>
        <v/>
      </c>
      <c r="FL33" s="8"/>
      <c r="FM33" s="8"/>
    </row>
    <row r="34">
      <c r="A34" s="43"/>
      <c r="B34" s="44"/>
      <c r="C34" s="45"/>
      <c r="D34" s="45"/>
      <c r="E34" s="45"/>
      <c r="F34" s="45"/>
      <c r="G34" s="45"/>
      <c r="H34" s="45"/>
      <c r="I34" s="45"/>
      <c r="J34" s="44" t="str">
        <f t="shared" ref="J34:O34" si="221">B34</f>
        <v/>
      </c>
      <c r="K34" s="45" t="str">
        <f t="shared" si="221"/>
        <v/>
      </c>
      <c r="L34" s="45" t="str">
        <f t="shared" si="221"/>
        <v/>
      </c>
      <c r="M34" s="45" t="str">
        <f t="shared" si="221"/>
        <v/>
      </c>
      <c r="N34" s="45" t="str">
        <f t="shared" si="221"/>
        <v/>
      </c>
      <c r="O34" s="45" t="str">
        <f t="shared" si="221"/>
        <v/>
      </c>
      <c r="P34" s="45"/>
      <c r="Q34" s="45"/>
      <c r="R34" s="44" t="str">
        <f t="shared" ref="R34:W34" si="222">J34</f>
        <v/>
      </c>
      <c r="S34" s="45" t="str">
        <f t="shared" si="222"/>
        <v/>
      </c>
      <c r="T34" s="45" t="str">
        <f t="shared" si="222"/>
        <v/>
      </c>
      <c r="U34" s="45" t="str">
        <f t="shared" si="222"/>
        <v/>
      </c>
      <c r="V34" s="45" t="str">
        <f t="shared" si="222"/>
        <v/>
      </c>
      <c r="W34" s="45" t="str">
        <f t="shared" si="222"/>
        <v/>
      </c>
      <c r="X34" s="45"/>
      <c r="Y34" s="45"/>
      <c r="Z34" s="44" t="str">
        <f t="shared" ref="Z34:AE34" si="223">R34</f>
        <v/>
      </c>
      <c r="AA34" s="45" t="str">
        <f t="shared" si="223"/>
        <v/>
      </c>
      <c r="AB34" s="45" t="str">
        <f t="shared" si="223"/>
        <v/>
      </c>
      <c r="AC34" s="45" t="str">
        <f t="shared" si="223"/>
        <v/>
      </c>
      <c r="AD34" s="45" t="str">
        <f t="shared" si="223"/>
        <v/>
      </c>
      <c r="AE34" s="45" t="str">
        <f t="shared" si="223"/>
        <v/>
      </c>
      <c r="AF34" s="45"/>
      <c r="AG34" s="45"/>
      <c r="AH34" s="44" t="str">
        <f t="shared" ref="AH34:AM34" si="224">Z34</f>
        <v/>
      </c>
      <c r="AI34" s="45" t="str">
        <f t="shared" si="224"/>
        <v/>
      </c>
      <c r="AJ34" s="45" t="str">
        <f t="shared" si="224"/>
        <v/>
      </c>
      <c r="AK34" s="45" t="str">
        <f t="shared" si="224"/>
        <v/>
      </c>
      <c r="AL34" s="45" t="str">
        <f t="shared" si="224"/>
        <v/>
      </c>
      <c r="AM34" s="45" t="str">
        <f t="shared" si="224"/>
        <v/>
      </c>
      <c r="AN34" s="45"/>
      <c r="AO34" s="45"/>
      <c r="AP34" s="44" t="str">
        <f t="shared" ref="AP34:AU34" si="225">AH34</f>
        <v/>
      </c>
      <c r="AQ34" s="45" t="str">
        <f t="shared" si="225"/>
        <v/>
      </c>
      <c r="AR34" s="45" t="str">
        <f t="shared" si="225"/>
        <v/>
      </c>
      <c r="AS34" s="45" t="str">
        <f t="shared" si="225"/>
        <v/>
      </c>
      <c r="AT34" s="45" t="str">
        <f t="shared" si="225"/>
        <v/>
      </c>
      <c r="AU34" s="45" t="str">
        <f t="shared" si="225"/>
        <v/>
      </c>
      <c r="AV34" s="45"/>
      <c r="AW34" s="45"/>
      <c r="AX34" s="44" t="str">
        <f t="shared" ref="AX34:BC34" si="226">AP34</f>
        <v/>
      </c>
      <c r="AY34" s="45" t="str">
        <f t="shared" si="226"/>
        <v/>
      </c>
      <c r="AZ34" s="45" t="str">
        <f t="shared" si="226"/>
        <v/>
      </c>
      <c r="BA34" s="45" t="str">
        <f t="shared" si="226"/>
        <v/>
      </c>
      <c r="BB34" s="45" t="str">
        <f t="shared" si="226"/>
        <v/>
      </c>
      <c r="BC34" s="45" t="str">
        <f t="shared" si="226"/>
        <v/>
      </c>
      <c r="BD34" s="45"/>
      <c r="BE34" s="45"/>
      <c r="BF34" s="44" t="str">
        <f t="shared" ref="BF34:BK34" si="227">AX34</f>
        <v/>
      </c>
      <c r="BG34" s="45" t="str">
        <f t="shared" si="227"/>
        <v/>
      </c>
      <c r="BH34" s="45" t="str">
        <f t="shared" si="227"/>
        <v/>
      </c>
      <c r="BI34" s="45" t="str">
        <f t="shared" si="227"/>
        <v/>
      </c>
      <c r="BJ34" s="45" t="str">
        <f t="shared" si="227"/>
        <v/>
      </c>
      <c r="BK34" s="45" t="str">
        <f t="shared" si="227"/>
        <v/>
      </c>
      <c r="BL34" s="45"/>
      <c r="BM34" s="45"/>
      <c r="BN34" s="44" t="str">
        <f t="shared" ref="BN34:BS34" si="228">BF34</f>
        <v/>
      </c>
      <c r="BO34" s="45" t="str">
        <f t="shared" si="228"/>
        <v/>
      </c>
      <c r="BP34" s="45" t="str">
        <f t="shared" si="228"/>
        <v/>
      </c>
      <c r="BQ34" s="45" t="str">
        <f t="shared" si="228"/>
        <v/>
      </c>
      <c r="BR34" s="45" t="str">
        <f t="shared" si="228"/>
        <v/>
      </c>
      <c r="BS34" s="45" t="str">
        <f t="shared" si="228"/>
        <v/>
      </c>
      <c r="BT34" s="45"/>
      <c r="BU34" s="45"/>
      <c r="BV34" s="44" t="str">
        <f t="shared" ref="BV34:CA34" si="229">BN34</f>
        <v/>
      </c>
      <c r="BW34" s="45" t="str">
        <f t="shared" si="229"/>
        <v/>
      </c>
      <c r="BX34" s="45" t="str">
        <f t="shared" si="229"/>
        <v/>
      </c>
      <c r="BY34" s="45" t="str">
        <f t="shared" si="229"/>
        <v/>
      </c>
      <c r="BZ34" s="45" t="str">
        <f t="shared" si="229"/>
        <v/>
      </c>
      <c r="CA34" s="45" t="str">
        <f t="shared" si="229"/>
        <v/>
      </c>
      <c r="CB34" s="45"/>
      <c r="CC34" s="45"/>
      <c r="CD34" s="44" t="str">
        <f t="shared" ref="CD34:CI34" si="230">BV34</f>
        <v/>
      </c>
      <c r="CE34" s="45" t="str">
        <f t="shared" si="230"/>
        <v/>
      </c>
      <c r="CF34" s="45" t="str">
        <f t="shared" si="230"/>
        <v/>
      </c>
      <c r="CG34" s="45" t="str">
        <f t="shared" si="230"/>
        <v/>
      </c>
      <c r="CH34" s="45" t="str">
        <f t="shared" si="230"/>
        <v/>
      </c>
      <c r="CI34" s="45" t="str">
        <f t="shared" si="230"/>
        <v/>
      </c>
      <c r="CJ34" s="45"/>
      <c r="CK34" s="45"/>
      <c r="CL34" s="44" t="str">
        <f t="shared" ref="CL34:CQ34" si="231">CD34</f>
        <v/>
      </c>
      <c r="CM34" s="45" t="str">
        <f t="shared" si="231"/>
        <v/>
      </c>
      <c r="CN34" s="45" t="str">
        <f t="shared" si="231"/>
        <v/>
      </c>
      <c r="CO34" s="45" t="str">
        <f t="shared" si="231"/>
        <v/>
      </c>
      <c r="CP34" s="45" t="str">
        <f t="shared" si="231"/>
        <v/>
      </c>
      <c r="CQ34" s="45" t="str">
        <f t="shared" si="231"/>
        <v/>
      </c>
      <c r="CR34" s="45"/>
      <c r="CS34" s="45"/>
      <c r="CT34" s="44" t="str">
        <f t="shared" ref="CT34:CY34" si="232">CL34</f>
        <v/>
      </c>
      <c r="CU34" s="45" t="str">
        <f t="shared" si="232"/>
        <v/>
      </c>
      <c r="CV34" s="45" t="str">
        <f t="shared" si="232"/>
        <v/>
      </c>
      <c r="CW34" s="45" t="str">
        <f t="shared" si="232"/>
        <v/>
      </c>
      <c r="CX34" s="45" t="str">
        <f t="shared" si="232"/>
        <v/>
      </c>
      <c r="CY34" s="45" t="str">
        <f t="shared" si="232"/>
        <v/>
      </c>
      <c r="CZ34" s="45"/>
      <c r="DA34" s="45"/>
      <c r="DB34" s="44" t="str">
        <f t="shared" ref="DB34:DG34" si="233">CT34</f>
        <v/>
      </c>
      <c r="DC34" s="45" t="str">
        <f t="shared" si="233"/>
        <v/>
      </c>
      <c r="DD34" s="45" t="str">
        <f t="shared" si="233"/>
        <v/>
      </c>
      <c r="DE34" s="45" t="str">
        <f t="shared" si="233"/>
        <v/>
      </c>
      <c r="DF34" s="45" t="str">
        <f t="shared" si="233"/>
        <v/>
      </c>
      <c r="DG34" s="45" t="str">
        <f t="shared" si="233"/>
        <v/>
      </c>
      <c r="DH34" s="45"/>
      <c r="DI34" s="45"/>
      <c r="DJ34" s="44" t="str">
        <f t="shared" ref="DJ34:DO34" si="234">DB34</f>
        <v/>
      </c>
      <c r="DK34" s="45" t="str">
        <f t="shared" si="234"/>
        <v/>
      </c>
      <c r="DL34" s="45" t="str">
        <f t="shared" si="234"/>
        <v/>
      </c>
      <c r="DM34" s="45" t="str">
        <f t="shared" si="234"/>
        <v/>
      </c>
      <c r="DN34" s="45" t="str">
        <f t="shared" si="234"/>
        <v/>
      </c>
      <c r="DO34" s="45" t="str">
        <f t="shared" si="234"/>
        <v/>
      </c>
      <c r="DP34" s="45"/>
      <c r="DQ34" s="45"/>
      <c r="DR34" s="44" t="str">
        <f t="shared" ref="DR34:DW34" si="235">DJ34</f>
        <v/>
      </c>
      <c r="DS34" s="45" t="str">
        <f t="shared" si="235"/>
        <v/>
      </c>
      <c r="DT34" s="45" t="str">
        <f t="shared" si="235"/>
        <v/>
      </c>
      <c r="DU34" s="45" t="str">
        <f t="shared" si="235"/>
        <v/>
      </c>
      <c r="DV34" s="45" t="str">
        <f t="shared" si="235"/>
        <v/>
      </c>
      <c r="DW34" s="45" t="str">
        <f t="shared" si="235"/>
        <v/>
      </c>
      <c r="DX34" s="45"/>
      <c r="DY34" s="45"/>
      <c r="DZ34" s="44" t="str">
        <f t="shared" ref="DZ34:EE34" si="236">DR34</f>
        <v/>
      </c>
      <c r="EA34" s="45" t="str">
        <f t="shared" si="236"/>
        <v/>
      </c>
      <c r="EB34" s="45" t="str">
        <f t="shared" si="236"/>
        <v/>
      </c>
      <c r="EC34" s="45" t="str">
        <f t="shared" si="236"/>
        <v/>
      </c>
      <c r="ED34" s="45" t="str">
        <f t="shared" si="236"/>
        <v/>
      </c>
      <c r="EE34" s="45" t="str">
        <f t="shared" si="236"/>
        <v/>
      </c>
      <c r="EF34" s="45"/>
      <c r="EG34" s="45"/>
      <c r="EH34" s="44" t="str">
        <f t="shared" ref="EH34:EM34" si="237">DZ34</f>
        <v/>
      </c>
      <c r="EI34" s="45" t="str">
        <f t="shared" si="237"/>
        <v/>
      </c>
      <c r="EJ34" s="45" t="str">
        <f t="shared" si="237"/>
        <v/>
      </c>
      <c r="EK34" s="45" t="str">
        <f t="shared" si="237"/>
        <v/>
      </c>
      <c r="EL34" s="45" t="str">
        <f t="shared" si="237"/>
        <v/>
      </c>
      <c r="EM34" s="45" t="str">
        <f t="shared" si="237"/>
        <v/>
      </c>
      <c r="EN34" s="45"/>
      <c r="EO34" s="45"/>
      <c r="EP34" s="44" t="str">
        <f t="shared" ref="EP34:EU34" si="238">EH34</f>
        <v/>
      </c>
      <c r="EQ34" s="45" t="str">
        <f t="shared" si="238"/>
        <v/>
      </c>
      <c r="ER34" s="45" t="str">
        <f t="shared" si="238"/>
        <v/>
      </c>
      <c r="ES34" s="45" t="str">
        <f t="shared" si="238"/>
        <v/>
      </c>
      <c r="ET34" s="45" t="str">
        <f t="shared" si="238"/>
        <v/>
      </c>
      <c r="EU34" s="45" t="str">
        <f t="shared" si="238"/>
        <v/>
      </c>
      <c r="EV34" s="45"/>
      <c r="EW34" s="45"/>
      <c r="EX34" s="44" t="str">
        <f t="shared" ref="EX34:FC34" si="239">EP34</f>
        <v/>
      </c>
      <c r="EY34" s="45" t="str">
        <f t="shared" si="239"/>
        <v/>
      </c>
      <c r="EZ34" s="45" t="str">
        <f t="shared" si="239"/>
        <v/>
      </c>
      <c r="FA34" s="45" t="str">
        <f t="shared" si="239"/>
        <v/>
      </c>
      <c r="FB34" s="45" t="str">
        <f t="shared" si="239"/>
        <v/>
      </c>
      <c r="FC34" s="45" t="str">
        <f t="shared" si="239"/>
        <v/>
      </c>
      <c r="FD34" s="45"/>
      <c r="FE34" s="45"/>
      <c r="FF34" s="44" t="str">
        <f t="shared" ref="FF34:FK34" si="240">EX34</f>
        <v/>
      </c>
      <c r="FG34" s="45" t="str">
        <f t="shared" si="240"/>
        <v/>
      </c>
      <c r="FH34" s="45" t="str">
        <f t="shared" si="240"/>
        <v/>
      </c>
      <c r="FI34" s="45" t="str">
        <f t="shared" si="240"/>
        <v/>
      </c>
      <c r="FJ34" s="45" t="str">
        <f t="shared" si="240"/>
        <v/>
      </c>
      <c r="FK34" s="45" t="str">
        <f t="shared" si="240"/>
        <v/>
      </c>
      <c r="FL34" s="45"/>
      <c r="FM34" s="45"/>
    </row>
    <row r="35">
      <c r="A35" s="2"/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31" t="s">
        <v>84</v>
      </c>
      <c r="B36" s="32"/>
      <c r="C36" s="33"/>
      <c r="D36" s="33"/>
      <c r="E36" s="33"/>
      <c r="F36" s="33"/>
      <c r="G36" s="33"/>
      <c r="H36" s="33"/>
      <c r="I36" s="33"/>
      <c r="J36" s="32"/>
      <c r="K36" s="33"/>
      <c r="L36" s="33"/>
      <c r="M36" s="33"/>
      <c r="N36" s="33"/>
      <c r="O36" s="33"/>
      <c r="P36" s="33"/>
      <c r="Q36" s="33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J36" s="33"/>
      <c r="AK36" s="33"/>
      <c r="AL36" s="33"/>
      <c r="AM36" s="33"/>
      <c r="AN36" s="33"/>
      <c r="AO36" s="33"/>
      <c r="AP36" s="32"/>
      <c r="AQ36" s="33"/>
      <c r="AR36" s="33"/>
      <c r="AS36" s="33"/>
      <c r="AT36" s="33"/>
      <c r="AU36" s="33"/>
      <c r="AV36" s="33"/>
      <c r="AW36" s="33"/>
      <c r="AX36" s="32"/>
      <c r="AY36" s="33"/>
      <c r="AZ36" s="33"/>
      <c r="BA36" s="33"/>
      <c r="BB36" s="33"/>
      <c r="BC36" s="33"/>
      <c r="BD36" s="33"/>
      <c r="BE36" s="33"/>
      <c r="BF36" s="32"/>
      <c r="BG36" s="33"/>
      <c r="BH36" s="33"/>
      <c r="BI36" s="33"/>
      <c r="BJ36" s="33"/>
      <c r="BK36" s="33"/>
      <c r="BL36" s="33"/>
      <c r="BM36" s="33"/>
      <c r="BN36" s="32"/>
      <c r="BO36" s="33"/>
      <c r="BP36" s="33"/>
      <c r="BQ36" s="33"/>
      <c r="BR36" s="33"/>
      <c r="BS36" s="33"/>
      <c r="BT36" s="33"/>
      <c r="BU36" s="33"/>
      <c r="BV36" s="32"/>
      <c r="BW36" s="33"/>
      <c r="BX36" s="33"/>
      <c r="BY36" s="33"/>
      <c r="BZ36" s="33"/>
      <c r="CA36" s="33"/>
      <c r="CB36" s="33"/>
      <c r="CC36" s="33"/>
      <c r="CD36" s="32"/>
      <c r="CE36" s="33"/>
      <c r="CF36" s="33"/>
      <c r="CG36" s="33"/>
      <c r="CH36" s="33"/>
      <c r="CI36" s="33"/>
      <c r="CJ36" s="33"/>
      <c r="CK36" s="33"/>
      <c r="CL36" s="32"/>
      <c r="CM36" s="33"/>
      <c r="CN36" s="33"/>
      <c r="CO36" s="33"/>
      <c r="CP36" s="33"/>
      <c r="CQ36" s="33"/>
      <c r="CR36" s="33"/>
      <c r="CS36" s="33"/>
      <c r="CT36" s="32"/>
      <c r="CU36" s="33"/>
      <c r="CV36" s="33"/>
      <c r="CW36" s="33"/>
      <c r="CX36" s="33"/>
      <c r="CY36" s="33"/>
      <c r="CZ36" s="33"/>
      <c r="DA36" s="33"/>
      <c r="DB36" s="32"/>
      <c r="DC36" s="33"/>
      <c r="DD36" s="33"/>
      <c r="DE36" s="33"/>
      <c r="DF36" s="33"/>
      <c r="DG36" s="33"/>
      <c r="DH36" s="33"/>
      <c r="DI36" s="33"/>
      <c r="DJ36" s="32"/>
      <c r="DK36" s="33"/>
      <c r="DL36" s="33"/>
      <c r="DM36" s="33"/>
      <c r="DN36" s="33"/>
      <c r="DO36" s="33"/>
      <c r="DP36" s="33"/>
      <c r="DQ36" s="33"/>
      <c r="DR36" s="32"/>
      <c r="DS36" s="33"/>
      <c r="DT36" s="33"/>
      <c r="DU36" s="33"/>
      <c r="DV36" s="33"/>
      <c r="DW36" s="33"/>
      <c r="DX36" s="33"/>
      <c r="DY36" s="33"/>
      <c r="DZ36" s="32"/>
      <c r="EA36" s="33"/>
      <c r="EB36" s="33"/>
      <c r="EC36" s="33"/>
      <c r="ED36" s="33"/>
      <c r="EE36" s="33"/>
      <c r="EF36" s="33"/>
      <c r="EG36" s="33"/>
      <c r="EH36" s="32"/>
      <c r="EI36" s="33"/>
      <c r="EJ36" s="33"/>
      <c r="EK36" s="33"/>
      <c r="EL36" s="33"/>
      <c r="EM36" s="33"/>
      <c r="EN36" s="33"/>
      <c r="EO36" s="33"/>
      <c r="EP36" s="32"/>
      <c r="EQ36" s="33"/>
      <c r="ER36" s="33"/>
      <c r="ES36" s="33"/>
      <c r="ET36" s="33"/>
      <c r="EU36" s="33"/>
      <c r="EV36" s="33"/>
      <c r="EW36" s="33"/>
      <c r="EX36" s="34" t="s">
        <v>79</v>
      </c>
      <c r="EY36" s="35"/>
      <c r="EZ36" s="35"/>
      <c r="FA36" s="35"/>
      <c r="FB36" s="35"/>
      <c r="FC36" s="35"/>
      <c r="FD36" s="35"/>
      <c r="FE36" s="35"/>
      <c r="FF36" s="32"/>
      <c r="FG36" s="33"/>
      <c r="FH36" s="33"/>
      <c r="FI36" s="33"/>
      <c r="FJ36" s="33"/>
      <c r="FK36" s="33"/>
      <c r="FL36" s="33"/>
      <c r="FM36" s="33"/>
    </row>
    <row r="37" hidden="1">
      <c r="A37" s="36" t="str">
        <f>CONCATENATE(A38," TM")</f>
        <v>OHP TM</v>
      </c>
      <c r="B37" s="37">
        <f>if(D37="",'Quick Setup'!D8,D37/'Quick Setup'!E8)</f>
        <v>200</v>
      </c>
      <c r="C37" s="36" t="s">
        <v>77</v>
      </c>
      <c r="D37" s="38"/>
      <c r="E37" s="39"/>
      <c r="F37" s="39"/>
      <c r="G37" s="39"/>
      <c r="H37" s="39"/>
      <c r="I37" s="39"/>
      <c r="J37" s="37">
        <f>if(L37="", if(F38="",B37, if((F38-E38)&lt;-1.9,B37*(1+Setup!F6),if((F38-E38)=-1,B37*(1+Setup!G6),if(G38&lt;D38,B37*(1+Setup!G6),if(G38=D38,B37*(1+Setup!H6),if((G38-D38)=1,B37*(1+Setup!I6),if((G38-D38)=2,B37*(1+Setup!J6),if((G38-D38)=3,B37*(1+Setup!K6),if((G38-D38)=4,B37*(1+Setup!L6),if((G38-D38)&gt;4.1,B37*(1+Setup!M6),B37)))))))))),L37/'Quick Setup'!$E8)</f>
        <v>200</v>
      </c>
      <c r="K37" s="36" t="s">
        <v>77</v>
      </c>
      <c r="L37" s="38"/>
      <c r="M37" s="39"/>
      <c r="N37" s="39"/>
      <c r="O37" s="39"/>
      <c r="P37" s="39"/>
      <c r="Q37" s="39"/>
      <c r="R37" s="37">
        <f>if(T37="", if(N38="",J37, if((N38-M38)&lt;-1.9,J37*(1+Setup!R6),if((N38-M38)=-1,J37*(1+Setup!S6),if(O38&lt;L38,J37*(1+Setup!S6),if(O38=L38,J37*(1+Setup!T6),if((O38-L38)=1,J37*(1+Setup!U6),if((O38-L38)=2,J37*(1+Setup!V6),if((O38-L38)=3,J37*(1+Setup!W6),if((O38-L38)=4,J37*(1+Setup!X6),if((O38-L38)&gt;4.1,J37*(1+Setup!Y6),J37)))))))))),T37/'Quick Setup'!$E8)</f>
        <v>200</v>
      </c>
      <c r="S37" s="36" t="s">
        <v>77</v>
      </c>
      <c r="T37" s="38"/>
      <c r="U37" s="39"/>
      <c r="V37" s="39"/>
      <c r="W37" s="39"/>
      <c r="X37" s="39"/>
      <c r="Y37" s="39"/>
      <c r="Z37" s="37">
        <f>if(AB37="", if(V38="",R37, if((V38-U38)&lt;-1.9,R37*(1+Setup!AD6),if((V38-U38)=-1,R37*(1+Setup!AE6),if(W38&lt;T38,R37*(1+Setup!AE6),if(W38=T38,R37*(1+Setup!AF6),if((W38-T38)=1,R37*(1+Setup!AG6),if((W38-T38)=2,R37*(1+Setup!AH6),if((W38-T38)=3,R37*(1+Setup!AI6),if((W38-T38)=4,R37*(1+Setup!AJ6),if((W38-T38)&gt;4.1,R37*(1+Setup!AK6),R37)))))))))),AB37/'Quick Setup'!$E8)</f>
        <v>200</v>
      </c>
      <c r="AA37" s="36" t="s">
        <v>77</v>
      </c>
      <c r="AB37" s="38"/>
      <c r="AC37" s="39"/>
      <c r="AD37" s="39"/>
      <c r="AE37" s="39"/>
      <c r="AF37" s="39"/>
      <c r="AG37" s="39"/>
      <c r="AH37" s="37">
        <f>if(AJ37="", if(AD38="",Z37, if((AD38-AC38)&lt;-1.9,Z37*(1+Setup!AP6),if((AD38-AC38)=-1,Z37*(1+Setup!AQ6),if(AE38&lt;AB38,Z37*(1+Setup!AQ6),if(AE38=AB38,Z37*(1+Setup!AR6),if((AE38-AB38)=1,Z37*(1+Setup!AS6),if((AE38-AB38)=2,Z37*(1+Setup!AT6),if((AE38-AB38)=3,Z37*(1+Setup!AU6),if((AE38-AB38)=4,Z37*(1+Setup!AV6),if((AE38-AB38)&gt;4.1,Z37*(1+Setup!AW6),Z37)))))))))),AJ37/'Quick Setup'!$E8)</f>
        <v>200</v>
      </c>
      <c r="AI37" s="36" t="s">
        <v>77</v>
      </c>
      <c r="AJ37" s="38"/>
      <c r="AK37" s="39"/>
      <c r="AL37" s="39"/>
      <c r="AM37" s="39"/>
      <c r="AN37" s="39"/>
      <c r="AO37" s="39"/>
      <c r="AP37" s="37">
        <f>if(AR37="", if(AL38="",AH37, if((AL38-AK38)&lt;-1.9,AH37*(1+Setup!BB6),if((AL38-AK38)=-1,AH37*(1+Setup!BC6),if(AM38&lt;AJ38,AH37*(1+Setup!BC6),if(AM38=AJ38,AH37*(1+Setup!BD6),if((AM38-AJ38)=1,AH37*(1+Setup!BE6),if((AM38-AJ38)=2,AH37*(1+Setup!BF6),if((AM38-AJ38)=3,AH37*(1+Setup!BG6),if((AM38-AJ38)=4,AH37*(1+Setup!BH6),if((AM38-AJ38)&gt;4.1,AH37*(1+Setup!BI6),AH37)))))))))),AR37/'Quick Setup'!$E8)</f>
        <v>200</v>
      </c>
      <c r="AQ37" s="36" t="s">
        <v>77</v>
      </c>
      <c r="AR37" s="38"/>
      <c r="AS37" s="39"/>
      <c r="AT37" s="39"/>
      <c r="AU37" s="39"/>
      <c r="AV37" s="39"/>
      <c r="AW37" s="39"/>
      <c r="AX37" s="37">
        <f>if(AZ37="", if(AT38="",AP37, if((AT38-AS38)&lt;-1.9,AP37*(1+Setup!BN6),if((AT38-AS38)=-1,AP37*(1+Setup!BO6),if(AU38&lt;AR38,AP37*(1+Setup!BO6),if(AU38=AR38,AP37*(1+Setup!BP6),if((AU38-AR38)=1,AP37*(1+Setup!BQ6),if((AU38-AR38)=2,AP37*(1+Setup!BR6),if((AU38-AR38)=3,AP37*(1+Setup!BS6),if((AU38-AR38)=4,AP37*(1+Setup!BT6),if((AU38-AR38)&gt;4.1,AP37*(1+Setup!BU6),AP37)))))))))),AZ37/'Quick Setup'!$E8)</f>
        <v>200</v>
      </c>
      <c r="AY37" s="36" t="s">
        <v>77</v>
      </c>
      <c r="AZ37" s="38"/>
      <c r="BA37" s="39"/>
      <c r="BB37" s="39"/>
      <c r="BC37" s="39"/>
      <c r="BD37" s="39"/>
      <c r="BE37" s="39"/>
      <c r="BF37" s="37">
        <f>if(BH37="",AX37,BH37/'Quick Setup'!$E8)</f>
        <v>200</v>
      </c>
      <c r="BG37" s="36" t="s">
        <v>77</v>
      </c>
      <c r="BH37" s="38"/>
      <c r="BI37" s="39"/>
      <c r="BJ37" s="39"/>
      <c r="BK37" s="39"/>
      <c r="BL37" s="39"/>
      <c r="BM37" s="39"/>
      <c r="BN37" s="37">
        <f>if(BP37="", if(BJ38="",BF37, if((BJ38-BI38)&lt;-1.9,BF37*(1+Setup!CL6),if((BJ38-BI38)=-1,BF37*(1+Setup!CM6),if(BK38&lt;BH38,BF37*(1+Setup!CM6),if(BK38=BH38,BF37*(1+Setup!CN6),if((BK38-BH38)=1,BF37*(1+Setup!CO6),if((BK38-BH38)=2,BF37*(1+Setup!CP6),if((BK38-BH38)=3,BF37*(1+Setup!CQ6),if((BK38-BH38)=4,BF37*(1+Setup!CR6),if((BK38-BH38)&gt;4.1,BF37*(1+Setup!CS6),BF37)))))))))),BP37/'Quick Setup'!$E8)</f>
        <v>200</v>
      </c>
      <c r="BO37" s="36" t="s">
        <v>77</v>
      </c>
      <c r="BP37" s="38"/>
      <c r="BQ37" s="39"/>
      <c r="BR37" s="39"/>
      <c r="BS37" s="39"/>
      <c r="BT37" s="39"/>
      <c r="BU37" s="39"/>
      <c r="BV37" s="37">
        <f>if(BX37="", if(BR38="",BN37, if((BR38-BQ38)&lt;-1.9,BN37*(1+Setup!CX6),if((BR38-BQ38)=-1,BN37*(1+Setup!CY6),if(BS38&lt;BP38,BN37*(1+Setup!CY6),if(BS38=BP38,BN37*(1+Setup!CZ6),if((BS38-BP38)=1,BN37*(1+Setup!DA6),if((BS38-BP38)=2,BN37*(1+Setup!DB6),if((BS38-BP38)=3,BN37*(1+Setup!DC6),if((BS38-BP38)=4,BN37*(1+Setup!DD6),if((BS38-BP38)&gt;4.1,BN37*(1+Setup!DE6),BN37)))))))))),BX37/'Quick Setup'!$E8)</f>
        <v>200</v>
      </c>
      <c r="BW37" s="36" t="s">
        <v>77</v>
      </c>
      <c r="BX37" s="38"/>
      <c r="BY37" s="39"/>
      <c r="BZ37" s="39"/>
      <c r="CA37" s="39"/>
      <c r="CB37" s="39"/>
      <c r="CC37" s="39"/>
      <c r="CD37" s="37">
        <f>if(CF37="", if(BZ38="",BV37, if((BZ38-BY38)&lt;-1.9,BV37*(1+Setup!DJ6),if((BZ38-BY38)=-1,BV37*(1+Setup!DK6),if(CA38&lt;BX38,BV37*(1+Setup!DK6),if(CA38=BX38,BV37*(1+Setup!DL6),if((CA38-BX38)=1,BV37*(1+Setup!DM6),if((CA38-BX38)=2,BV37*(1+Setup!DN6),if((CA38-BX38)=3,BV37*(1+Setup!DO6),if((CA38-BX38)=4,BV37*(1+Setup!DP6),if((CA38-BX38)&gt;4.1,BV37*(1+Setup!DQ6),BV37)))))))))),CF37/'Quick Setup'!$E8)</f>
        <v>200</v>
      </c>
      <c r="CE37" s="36" t="s">
        <v>77</v>
      </c>
      <c r="CF37" s="38"/>
      <c r="CG37" s="39"/>
      <c r="CH37" s="39"/>
      <c r="CI37" s="39"/>
      <c r="CJ37" s="39"/>
      <c r="CK37" s="39"/>
      <c r="CL37" s="37">
        <f>if(CN37="", if(CH38="",CD37, if((CH38-CG38)&lt;-1.9,CD37*(1+Setup!DV6),if((CH38-CG38)=-1,CD37*(1+Setup!DW6),if(CI38&lt;CF38,CD37*(1+Setup!DW6),if(CI38=CF38,CD37*(1+Setup!DX6),if((CI38-CF38)=1,CD37*(1+Setup!DY6),if((CI38-CF38)=2,CD37*(1+Setup!DZ6),if((CI38-CF38)=3,CD37*(1+Setup!EA6),if((CI38-CF38)=4,CD37*(1+Setup!EB6),if((CI38-CF38)&gt;4.1,CD37*(1+Setup!EC6),CD37)))))))))),CN37/'Quick Setup'!$E8)</f>
        <v>200</v>
      </c>
      <c r="CM37" s="36" t="s">
        <v>77</v>
      </c>
      <c r="CN37" s="38"/>
      <c r="CO37" s="39"/>
      <c r="CP37" s="39"/>
      <c r="CQ37" s="39"/>
      <c r="CR37" s="39"/>
      <c r="CS37" s="39"/>
      <c r="CT37" s="37">
        <f>if(CV37="", if(CP38="",CL37, if((CP38-CO38)&lt;-1.9,CL37*(1+Setup!EH6),if((CP38-CO38)=-1,CL37*(1+Setup!EI6),if(CQ38&lt;CN38,CL37*(1+Setup!EI6),if(CQ38=CN38,CL37*(1+Setup!EJ6),if((CQ38-CN38)=1,CL37*(1+Setup!EK6),if((CQ38-CN38)=2,CL37*(1+Setup!EL6),if((CQ38-CN38)=3,CL37*(1+Setup!EM6),if((CQ38-CN38)=4,CL37*(1+Setup!EN6),if((CQ38-CN38)&gt;4.1,CL37*(1+Setup!EO6),CL37)))))))))),CV37/'Quick Setup'!$E8)</f>
        <v>200</v>
      </c>
      <c r="CU37" s="36" t="s">
        <v>77</v>
      </c>
      <c r="CV37" s="38"/>
      <c r="CW37" s="39"/>
      <c r="CX37" s="39"/>
      <c r="CY37" s="39"/>
      <c r="CZ37" s="39"/>
      <c r="DA37" s="39"/>
      <c r="DB37" s="37">
        <f>if(DD37="", if(CX38="",CT37, if((CX38-CW38)&lt;-1.9,CT37*(1+Setup!ET6),if((CX38-CW38)=-1,CT37*(1+Setup!EU6),if(CY38&lt;CV38,CT37*(1+Setup!EU6),if(CY38=CV38,CT37*(1+Setup!EV6),if((CY38-CV38)=1,CT37*(1+Setup!EW6),if((CY38-CV38)=2,CT37*(1+Setup!EX6),if((CY38-CV38)=3,CT37*(1+Setup!EY6),if((CY38-CV38)=4,CT37*(1+Setup!EZ6),if((CY38-CV38)&gt;4.1,CT37*(1+Setup!FA6),CT37)))))))))),DD37/'Quick Setup'!$E8)</f>
        <v>200</v>
      </c>
      <c r="DC37" s="36" t="s">
        <v>77</v>
      </c>
      <c r="DD37" s="38"/>
      <c r="DE37" s="39"/>
      <c r="DF37" s="39"/>
      <c r="DG37" s="39"/>
      <c r="DH37" s="39"/>
      <c r="DI37" s="39"/>
      <c r="DJ37" s="37">
        <f>if(DL37="",DB37,DL37/'Quick Setup'!$E8)</f>
        <v>200</v>
      </c>
      <c r="DK37" s="36" t="s">
        <v>77</v>
      </c>
      <c r="DL37" s="38"/>
      <c r="DM37" s="39"/>
      <c r="DN37" s="39"/>
      <c r="DO37" s="39"/>
      <c r="DP37" s="39"/>
      <c r="DQ37" s="39"/>
      <c r="DR37" s="37">
        <f>if(DT37="", if(DN38="",DJ37, if((DN38-DM38)&lt;-1.9,DJ37*(1+Setup!FR6),if((DN38-DM38)=-1,DJ37*(1+Setup!FS6),if(DO38&lt;DL38,DJ37*(1+Setup!FS6),if(DO38=DL38,DJ37*(1+Setup!FT6),if((DO38-DL38)=1,DJ37*(1+Setup!FU6),if((DO38-DL38)=2,DJ37*(1+Setup!FV6),if((DO38-DL38)=3,DJ37*(1+Setup!FW6),if((DO38-DL38)=4,DJ37*(1+Setup!FX6),if((DO38-DL38)&gt;4.1,DJ37*(1+Setup!FY6),DJ37)))))))))),DT37/'Quick Setup'!$E8)</f>
        <v>200</v>
      </c>
      <c r="DS37" s="36" t="s">
        <v>77</v>
      </c>
      <c r="DT37" s="38"/>
      <c r="DU37" s="39"/>
      <c r="DV37" s="39"/>
      <c r="DW37" s="39"/>
      <c r="DX37" s="39"/>
      <c r="DY37" s="39"/>
      <c r="DZ37" s="37">
        <f>if(EB37="", if(DV38="",DR37, if((DV38-DU38)&lt;-1.9,DR37*(1+Setup!GD6),if((DV38-DU38)=-1,DR37*(1+Setup!GE6),if(DW38&lt;DT38,DR37*(1+Setup!GE6),if(DW38=DT38,DR37*(1+Setup!GF6),if((DW38-DT38)=1,DR37*(1+Setup!GG6),if((DW38-DT38)=2,DR37*(1+Setup!GH6),if((DW38-DT38)=3,DR37*(1+Setup!GI6),if((DW38-DT38)=4,DR37*(1+Setup!GJ6),if((DW38-DT38)&gt;4.1,DR37*(1+Setup!GK6),DR37)))))))))),EB37/'Quick Setup'!$E8)</f>
        <v>200</v>
      </c>
      <c r="EA37" s="36" t="s">
        <v>77</v>
      </c>
      <c r="EB37" s="38"/>
      <c r="EC37" s="39"/>
      <c r="ED37" s="39"/>
      <c r="EE37" s="39"/>
      <c r="EF37" s="39"/>
      <c r="EG37" s="39"/>
      <c r="EH37" s="37">
        <f>if(EJ37="", if(ED38="",DZ37, if((ED38-EC38)&lt;-1.9,DZ37*(1+Setup!GP6),if((ED38-EC38)=-1,DZ37*(1+Setup!GQ6),if(EE38&lt;EB38,DZ37*(1+Setup!GQ6),if(EE38=EB38,DZ37*(1+Setup!GR6),if((EE38-EB38)=1,DZ37*(1+Setup!GS6),if((EE38-EB38)=2,DZ37*(1+Setup!GT6),if((EE38-EB38)=3,DZ37*(1+Setup!GU6),if((EE38-EB38)=4,DZ37*(1+Setup!GV6),if((EE38-EB38)&gt;4.1,DZ37*(1+Setup!GW6),DZ37)))))))))),EJ37/'Quick Setup'!$E8)</f>
        <v>200</v>
      </c>
      <c r="EI37" s="36" t="s">
        <v>77</v>
      </c>
      <c r="EJ37" s="38"/>
      <c r="EK37" s="39"/>
      <c r="EL37" s="39"/>
      <c r="EM37" s="39"/>
      <c r="EN37" s="39"/>
      <c r="EO37" s="39"/>
      <c r="EP37" s="37">
        <f>if(ER37="", if(EL38="",EH37, if((EL38-EK38)&lt;-1.9,EH37*(1+Setup!HB6),if((EL38-EK38)=-1,EH37*(1+Setup!HC6),if(EM38&lt;EJ38,EH37*(1+Setup!HC6),if(EM38=EJ38,EH37*(1+Setup!HD6),if((EM38-EJ38)=1,EH37*(1+Setup!HE6),if((EM38-EJ38)=2,EH37*(1+Setup!HF6),if((EM38-EJ38)=3,EH37*(1+Setup!HG6),if((EM38-EJ38)=4,EH37*(1+Setup!HH6),if((EM38-EJ38)&gt;4.1,EH37*(1+Setup!HI6),EH37)))))))))),ER37/'Quick Setup'!$E8)</f>
        <v>200</v>
      </c>
      <c r="EQ37" s="36" t="s">
        <v>77</v>
      </c>
      <c r="ER37" s="38"/>
      <c r="ES37" s="39"/>
      <c r="ET37" s="39"/>
      <c r="EU37" s="39"/>
      <c r="EV37" s="39"/>
      <c r="EW37" s="39"/>
      <c r="EX37" s="37">
        <f>if(EZ37="", if(ET38="",EP37, if((ET38-ES38)&lt;-1.9,EP37*(1+Setup!HN6),if((ET38-ES38)=-1,EP37*(1+Setup!HO6),if(EU38&lt;ER38,EP37*(1+Setup!HO6),if(EU38=ER38,EP37*(1+Setup!HP6),if((EU38-ER38)=1,EP37*(1+Setup!HQ6),if((EU38-ER38)=2,EP37*(1+Setup!HR6),if((EU38-ER38)=3,EP37*(1+Setup!HS6),if((EU38-ER38)=4,EP37*(1+Setup!HT6),if((EU38-ER38)&gt;4.1,EP37*(1+Setup!HU6),EP37)))))))))),EZ37/'Quick Setup'!$E8)</f>
        <v>200</v>
      </c>
      <c r="EY37" s="36" t="s">
        <v>77</v>
      </c>
      <c r="EZ37" s="38"/>
      <c r="FA37" s="39"/>
      <c r="FB37" s="39"/>
      <c r="FC37" s="39"/>
      <c r="FD37" s="39"/>
      <c r="FE37" s="39"/>
      <c r="FF37" s="37">
        <f>if(FH37="", if(FB38="",EX37, if((FB38-FA38)&lt;-1.9,EX37*(1+Setup!HZ6),if((FB38-FA38)=-1,EX37*(1+Setup!IA6),if(FC38&lt;EZ38,EX37*(1+Setup!IA6),if(FC38=EZ38,EX37*(1+Setup!IB6),if((FC38-EZ38)=1,EX37*(1+Setup!IC6),if((FC38-EZ38)=2,EX37*(1+Setup!ID6),if((FC38-EZ38)=3,EX37*(1+Setup!IE6),if((FC38-EZ38)=4,EX37*(1+Setup!IF6),if((FC38-EZ38)&gt;4.1,EX37*(1+Setup!IG6),EX37)))))))))),FH37/'Quick Setup'!$E8)</f>
        <v>200</v>
      </c>
      <c r="FG37" s="36" t="s">
        <v>77</v>
      </c>
      <c r="FH37" s="38"/>
      <c r="FI37" s="39"/>
      <c r="FJ37" s="39"/>
      <c r="FK37" s="39"/>
      <c r="FL37" s="39"/>
      <c r="FM37" s="39"/>
    </row>
    <row r="38">
      <c r="A38" s="1" t="str">
        <f>Setup!A6</f>
        <v>OHP</v>
      </c>
      <c r="B38" s="40">
        <f>mround(B37*Setup!B6,'Quick Setup'!$A$2)</f>
        <v>140</v>
      </c>
      <c r="C38" s="2">
        <f>Setup!C6</f>
        <v>5</v>
      </c>
      <c r="D38" s="2">
        <f>Setup!D6</f>
        <v>3</v>
      </c>
      <c r="E38" s="2">
        <f>Setup!E6</f>
        <v>5</v>
      </c>
      <c r="F38" s="8"/>
      <c r="G38" s="8"/>
      <c r="H38" s="8"/>
      <c r="I38" s="8"/>
      <c r="J38" s="40">
        <f>mround(J37*Setup!N6,'Quick Setup'!$A$2)</f>
        <v>150</v>
      </c>
      <c r="K38" s="2">
        <f>Setup!O6</f>
        <v>4</v>
      </c>
      <c r="L38" s="2">
        <f>Setup!P6</f>
        <v>2</v>
      </c>
      <c r="M38" s="2">
        <f>Setup!Q6</f>
        <v>5</v>
      </c>
      <c r="N38" s="8"/>
      <c r="O38" s="8"/>
      <c r="P38" s="8"/>
      <c r="Q38" s="8"/>
      <c r="R38" s="40">
        <f>mround(R37*Setup!Z6,'Quick Setup'!$A$2)</f>
        <v>160</v>
      </c>
      <c r="S38" s="2">
        <f>Setup!AA6</f>
        <v>3</v>
      </c>
      <c r="T38" s="2">
        <f>Setup!AB6</f>
        <v>2</v>
      </c>
      <c r="U38" s="2">
        <f>Setup!AC6</f>
        <v>5</v>
      </c>
      <c r="V38" s="8"/>
      <c r="W38" s="8"/>
      <c r="X38" s="8"/>
      <c r="Y38" s="8"/>
      <c r="Z38" s="40">
        <f>mround(Z37*Setup!AL6,'Quick Setup'!$A$2)</f>
        <v>145</v>
      </c>
      <c r="AA38" s="2">
        <f>Setup!AM6</f>
        <v>5</v>
      </c>
      <c r="AB38" s="2">
        <f>Setup!AN6</f>
        <v>3</v>
      </c>
      <c r="AC38" s="2">
        <f>Setup!AO6</f>
        <v>5</v>
      </c>
      <c r="AD38" s="8"/>
      <c r="AE38" s="8"/>
      <c r="AF38" s="8"/>
      <c r="AG38" s="8"/>
      <c r="AH38" s="40">
        <f>mround(AH37*Setup!AX6,'Quick Setup'!$A$2)</f>
        <v>155</v>
      </c>
      <c r="AI38" s="2">
        <f>Setup!AY6</f>
        <v>4</v>
      </c>
      <c r="AJ38" s="2">
        <f>Setup!AZ6</f>
        <v>2</v>
      </c>
      <c r="AK38" s="2">
        <f>Setup!BA6</f>
        <v>5</v>
      </c>
      <c r="AL38" s="8"/>
      <c r="AM38" s="8"/>
      <c r="AN38" s="8"/>
      <c r="AO38" s="8"/>
      <c r="AP38" s="40">
        <f>mround(AP37*Setup!BJ6,'Quick Setup'!$A$2)</f>
        <v>165</v>
      </c>
      <c r="AQ38" s="2">
        <f>Setup!BK6</f>
        <v>3</v>
      </c>
      <c r="AR38" s="2">
        <f>Setup!BL6</f>
        <v>2</v>
      </c>
      <c r="AS38" s="2">
        <f>Setup!BM6</f>
        <v>5</v>
      </c>
      <c r="AT38" s="8"/>
      <c r="AU38" s="8"/>
      <c r="AV38" s="8"/>
      <c r="AW38" s="8"/>
      <c r="AX38" s="40">
        <f>mround(AX37*Setup!BV6,'Quick Setup'!$A$2)</f>
        <v>120</v>
      </c>
      <c r="AY38" s="1">
        <v>5.0</v>
      </c>
      <c r="AZ38" s="1" t="s">
        <v>80</v>
      </c>
      <c r="BA38" s="2">
        <f>Setup!BY6</f>
        <v>5</v>
      </c>
      <c r="BB38" s="8"/>
      <c r="BC38" s="8"/>
      <c r="BD38" s="8"/>
      <c r="BE38" s="8"/>
      <c r="BF38" s="40">
        <f>mround(BF37*Setup!CH6,'Quick Setup'!$A$2)</f>
        <v>150</v>
      </c>
      <c r="BG38" s="2">
        <f>Setup!CI6</f>
        <v>4</v>
      </c>
      <c r="BH38" s="2">
        <f>Setup!CJ6</f>
        <v>2</v>
      </c>
      <c r="BI38" s="2">
        <f>Setup!CK6</f>
        <v>5</v>
      </c>
      <c r="BJ38" s="8"/>
      <c r="BK38" s="8"/>
      <c r="BL38" s="8"/>
      <c r="BM38" s="8"/>
      <c r="BN38" s="40">
        <f>mround(BN37*Setup!CT6,'Quick Setup'!$A$2)</f>
        <v>160</v>
      </c>
      <c r="BO38" s="2">
        <f>Setup!CU6</f>
        <v>3</v>
      </c>
      <c r="BP38" s="2">
        <f>Setup!CV6</f>
        <v>2</v>
      </c>
      <c r="BQ38" s="2">
        <f>Setup!CW6</f>
        <v>5</v>
      </c>
      <c r="BR38" s="8"/>
      <c r="BS38" s="8"/>
      <c r="BT38" s="8"/>
      <c r="BU38" s="8"/>
      <c r="BV38" s="40">
        <f>mround(BV37*Setup!DF6,'Quick Setup'!$A$2)</f>
        <v>170</v>
      </c>
      <c r="BW38" s="2">
        <f>Setup!DG6</f>
        <v>2</v>
      </c>
      <c r="BX38" s="2">
        <f>Setup!DH6</f>
        <v>1</v>
      </c>
      <c r="BY38" s="2">
        <f>Setup!DI6</f>
        <v>5</v>
      </c>
      <c r="BZ38" s="8"/>
      <c r="CA38" s="8"/>
      <c r="CB38" s="8"/>
      <c r="CC38" s="8"/>
      <c r="CD38" s="40">
        <f>mround(CD37*Setup!DR6,'Quick Setup'!$A$2)</f>
        <v>155</v>
      </c>
      <c r="CE38" s="2">
        <f>Setup!DS6</f>
        <v>4</v>
      </c>
      <c r="CF38" s="2">
        <f>Setup!DT6</f>
        <v>2</v>
      </c>
      <c r="CG38" s="2">
        <f>Setup!DU6</f>
        <v>5</v>
      </c>
      <c r="CH38" s="8"/>
      <c r="CI38" s="8"/>
      <c r="CJ38" s="8"/>
      <c r="CK38" s="8"/>
      <c r="CL38" s="40">
        <f>mround(CL37*Setup!ED6,'Quick Setup'!$A$2)</f>
        <v>165</v>
      </c>
      <c r="CM38" s="2">
        <f>Setup!EE6</f>
        <v>3</v>
      </c>
      <c r="CN38" s="2">
        <f>Setup!EF6</f>
        <v>2</v>
      </c>
      <c r="CO38" s="2">
        <f>Setup!EG6</f>
        <v>5</v>
      </c>
      <c r="CP38" s="8"/>
      <c r="CQ38" s="8"/>
      <c r="CR38" s="8"/>
      <c r="CS38" s="8"/>
      <c r="CT38" s="40">
        <f>mround(CT37*Setup!EP6,'Quick Setup'!$A$2)</f>
        <v>175</v>
      </c>
      <c r="CU38" s="2">
        <f>Setup!EQ6</f>
        <v>2</v>
      </c>
      <c r="CV38" s="2">
        <f>Setup!ER6</f>
        <v>1</v>
      </c>
      <c r="CW38" s="2">
        <f>Setup!ES6</f>
        <v>5</v>
      </c>
      <c r="CX38" s="8"/>
      <c r="CY38" s="8"/>
      <c r="CZ38" s="8"/>
      <c r="DA38" s="8"/>
      <c r="DB38" s="40">
        <f>mround(DB37*Setup!FB6,'Quick Setup'!$A$2)</f>
        <v>120</v>
      </c>
      <c r="DC38" s="1">
        <v>5.0</v>
      </c>
      <c r="DD38" s="1" t="s">
        <v>80</v>
      </c>
      <c r="DE38" s="2">
        <f>Setup!FE6</f>
        <v>5</v>
      </c>
      <c r="DF38" s="8"/>
      <c r="DG38" s="8"/>
      <c r="DH38" s="8"/>
      <c r="DI38" s="8"/>
      <c r="DJ38" s="40">
        <f>mround(DJ37*Setup!FN6,'Quick Setup'!$A$2)</f>
        <v>160</v>
      </c>
      <c r="DK38" s="2">
        <f>Setup!FO6</f>
        <v>3</v>
      </c>
      <c r="DL38" s="2">
        <f>Setup!FP6</f>
        <v>2</v>
      </c>
      <c r="DM38" s="2">
        <f>Setup!FQ6</f>
        <v>5</v>
      </c>
      <c r="DN38" s="8"/>
      <c r="DO38" s="8"/>
      <c r="DP38" s="8"/>
      <c r="DQ38" s="8"/>
      <c r="DR38" s="40">
        <f>mround(DR37*Setup!FZ6,'Quick Setup'!$A$2)</f>
        <v>170</v>
      </c>
      <c r="DS38" s="2">
        <f>Setup!GA6</f>
        <v>2</v>
      </c>
      <c r="DT38" s="2">
        <f>Setup!GB6</f>
        <v>1</v>
      </c>
      <c r="DU38" s="2">
        <f>Setup!GC6</f>
        <v>5</v>
      </c>
      <c r="DV38" s="8"/>
      <c r="DW38" s="8"/>
      <c r="DX38" s="8"/>
      <c r="DY38" s="8"/>
      <c r="DZ38" s="40">
        <f>mround(DZ37*Setup!GL6,'Quick Setup'!$A$2)</f>
        <v>180</v>
      </c>
      <c r="EA38" s="2">
        <f>Setup!GM6</f>
        <v>1</v>
      </c>
      <c r="EB38" s="2">
        <f>Setup!GN6</f>
        <v>1</v>
      </c>
      <c r="EC38" s="2">
        <f>Setup!GO6</f>
        <v>5</v>
      </c>
      <c r="ED38" s="8"/>
      <c r="EE38" s="8"/>
      <c r="EF38" s="8"/>
      <c r="EG38" s="8"/>
      <c r="EH38" s="40">
        <f>mround(EH37*Setup!GX6,'Quick Setup'!$A$2)</f>
        <v>170</v>
      </c>
      <c r="EI38" s="2">
        <f>Setup!GY6</f>
        <v>2</v>
      </c>
      <c r="EJ38" s="2">
        <f>Setup!GZ6</f>
        <v>1</v>
      </c>
      <c r="EK38" s="2">
        <f>Setup!HA6</f>
        <v>5</v>
      </c>
      <c r="EL38" s="8"/>
      <c r="EM38" s="8"/>
      <c r="EN38" s="8"/>
      <c r="EO38" s="8"/>
      <c r="EP38" s="40">
        <f>mround(EP37*Setup!HJ6,'Quick Setup'!$A$2)</f>
        <v>180</v>
      </c>
      <c r="EQ38" s="2">
        <f>Setup!HK6</f>
        <v>1</v>
      </c>
      <c r="ER38" s="2">
        <f>Setup!HL6</f>
        <v>1</v>
      </c>
      <c r="ES38" s="2">
        <f>Setup!HM6</f>
        <v>5</v>
      </c>
      <c r="ET38" s="8"/>
      <c r="EU38" s="8"/>
      <c r="EV38" s="8"/>
      <c r="EW38" s="8"/>
      <c r="EX38" s="40">
        <f>mround(EX37*Setup!HV6,'Quick Setup'!$A$2)</f>
        <v>190</v>
      </c>
      <c r="EY38" s="2">
        <f>Setup!HW6</f>
        <v>1</v>
      </c>
      <c r="EZ38" s="2">
        <f>Setup!HX6</f>
        <v>1</v>
      </c>
      <c r="FA38" s="2">
        <f>Setup!HY6</f>
        <v>5</v>
      </c>
      <c r="FB38" s="8"/>
      <c r="FC38" s="8"/>
      <c r="FD38" s="8"/>
      <c r="FE38" s="8"/>
      <c r="FF38" s="40">
        <f>mround(FF37*Setup!IH6,'Quick Setup'!$A$2)</f>
        <v>120</v>
      </c>
      <c r="FG38" s="1">
        <v>5.0</v>
      </c>
      <c r="FH38" s="1" t="s">
        <v>80</v>
      </c>
      <c r="FI38" s="2">
        <f>Setup!IK6</f>
        <v>5</v>
      </c>
      <c r="FJ38" s="8"/>
      <c r="FK38" s="8"/>
      <c r="FL38" s="8"/>
      <c r="FM38" s="8"/>
    </row>
    <row r="39" hidden="1">
      <c r="A39" s="36" t="str">
        <f>CONCATENATE(A40," TM")</f>
        <v>Paused Squat TM</v>
      </c>
      <c r="B39" s="37">
        <f>if(D39="",'Quick Setup'!D12,D39/'Quick Setup'!E12)</f>
        <v>460</v>
      </c>
      <c r="C39" s="36" t="s">
        <v>77</v>
      </c>
      <c r="D39" s="38"/>
      <c r="E39" s="39"/>
      <c r="F39" s="39"/>
      <c r="G39" s="39"/>
      <c r="H39" s="39"/>
      <c r="I39" s="39"/>
      <c r="J39" s="37">
        <f>if(L39="", if(F40="",B39, if((F40-E40)&lt;-1.9,B39*(1+Setup!F10),if((F40-E40)=-1,B39*(1+Setup!G10),if(G40&lt;D40,B39*(1+Setup!G10),if(G40=D40,B39*(1+Setup!H10),if((G40-D40)=1,B39*(1+Setup!I10),if((G40-D40)=2,B39*(1+Setup!J10),if((G40-D40)=3,B39*(1+Setup!K10),if((G40-D40)=4,B39*(1+Setup!L10),if((G40-D40)&gt;4.1,B39*(1+Setup!M10),B39)))))))))),L39/'Quick Setup'!$E12)</f>
        <v>460</v>
      </c>
      <c r="K39" s="36" t="s">
        <v>77</v>
      </c>
      <c r="L39" s="38"/>
      <c r="M39" s="39"/>
      <c r="N39" s="39"/>
      <c r="O39" s="39"/>
      <c r="P39" s="39"/>
      <c r="Q39" s="39"/>
      <c r="R39" s="37">
        <f>if(T39="", if(N40="",J39, if((N40-M40)&lt;-1.9,J39*(1+Setup!R10),if((N40-M40)=-1,J39*(1+Setup!S10),if(O40&lt;L40,J39*(1+Setup!S10),if(O40=L40,J39*(1+Setup!T10),if((O40-L40)=1,J39*(1+Setup!U10),if((O40-L40)=2,J39*(1+Setup!V10),if((O40-L40)=3,J39*(1+Setup!W10),if((O40-L40)=4,J39*(1+Setup!X10),if((O40-L40)&gt;4.1,J39*(1+Setup!Y10),J39)))))))))),T39/'Quick Setup'!$E12)</f>
        <v>460</v>
      </c>
      <c r="S39" s="36" t="s">
        <v>77</v>
      </c>
      <c r="T39" s="38"/>
      <c r="U39" s="39"/>
      <c r="V39" s="39"/>
      <c r="W39" s="39"/>
      <c r="X39" s="39"/>
      <c r="Y39" s="39"/>
      <c r="Z39" s="37">
        <f>if(AB39="", if(V40="",R39, if((V40-U40)&lt;-1.9,R39*(1+Setup!AD10),if((V40-U40)=-1,R39*(1+Setup!AE10),if(W40&lt;T40,R39*(1+Setup!AE10),if(W40=T40,R39*(1+Setup!AF10),if((W40-T40)=1,R39*(1+Setup!AG10),if((W40-T40)=2,R39*(1+Setup!AH10),if((W40-T40)=3,R39*(1+Setup!AI10),if((W40-T40)=4,R39*(1+Setup!AJ10),if((W40-T40)&gt;4.1,R39*(1+Setup!AK10),R39)))))))))),AB39/'Quick Setup'!$E12)</f>
        <v>460</v>
      </c>
      <c r="AA39" s="36" t="s">
        <v>77</v>
      </c>
      <c r="AB39" s="38"/>
      <c r="AC39" s="39"/>
      <c r="AD39" s="39"/>
      <c r="AE39" s="39"/>
      <c r="AF39" s="39"/>
      <c r="AG39" s="39"/>
      <c r="AH39" s="37">
        <f>if(AJ39="", if(AD40="",Z39, if((AD40-AC40)&lt;-1.9,Z39*(1+Setup!AP10),if((AD40-AC40)=-1,Z39*(1+Setup!AQ10),if(AE40&lt;AB40,Z39*(1+Setup!AQ10),if(AE40=AB40,Z39*(1+Setup!AR10),if((AE40-AB40)=1,Z39*(1+Setup!AS10),if((AE40-AB40)=2,Z39*(1+Setup!AT10),if((AE40-AB40)=3,Z39*(1+Setup!AU10),if((AE40-AB40)=4,Z39*(1+Setup!AV10),if((AE40-AB40)&gt;4.1,Z39*(1+Setup!AW10),Z39)))))))))),AJ39/'Quick Setup'!$E12)</f>
        <v>460</v>
      </c>
      <c r="AI39" s="36" t="s">
        <v>77</v>
      </c>
      <c r="AJ39" s="38"/>
      <c r="AK39" s="39"/>
      <c r="AL39" s="39"/>
      <c r="AM39" s="39"/>
      <c r="AN39" s="39"/>
      <c r="AO39" s="39"/>
      <c r="AP39" s="37">
        <f>if(AR39="", if(AL40="",AH39, if((AL40-AK40)&lt;-1.9,AH39*(1+Setup!BB10),if((AL40-AK40)=-1,AH39*(1+Setup!BC10),if(AM40&lt;AJ40,AH39*(1+Setup!BC10),if(AM40=AJ40,AH39*(1+Setup!BD10),if((AM40-AJ40)=1,AH39*(1+Setup!BE10),if((AM40-AJ40)=2,AH39*(1+Setup!BF10),if((AM40-AJ40)=3,AH39*(1+Setup!BG10),if((AM40-AJ40)=4,AH39*(1+Setup!BH10),if((AM40-AJ40)&gt;4.1,AH39*(1+Setup!BI10),AH39)))))))))),AR39/'Quick Setup'!$E12)</f>
        <v>460</v>
      </c>
      <c r="AQ39" s="36" t="s">
        <v>77</v>
      </c>
      <c r="AR39" s="38"/>
      <c r="AS39" s="39"/>
      <c r="AT39" s="39"/>
      <c r="AU39" s="39"/>
      <c r="AV39" s="39"/>
      <c r="AW39" s="39"/>
      <c r="AX39" s="37">
        <f>if(AZ39="", if(AT40="",AP39, if((AT40-AS40)&lt;-1.9,AP39*(1+Setup!BN10),if((AT40-AS40)=-1,AP39*(1+Setup!BO10),if(AU40&lt;AR40,AP39*(1+Setup!BO10),if(AU40=AR40,AP39*(1+Setup!BP10),if((AU40-AR40)=1,AP39*(1+Setup!BQ10),if((AU40-AR40)=2,AP39*(1+Setup!BR10),if((AU40-AR40)=3,AP39*(1+Setup!BS10),if((AU40-AR40)=4,AP39*(1+Setup!BT10),if((AU40-AR40)&gt;4.1,AP39*(1+Setup!BU10),AP39)))))))))),AZ39/'Quick Setup'!$E12)</f>
        <v>460</v>
      </c>
      <c r="AY39" s="36" t="s">
        <v>77</v>
      </c>
      <c r="AZ39" s="38"/>
      <c r="BA39" s="39"/>
      <c r="BB39" s="39"/>
      <c r="BC39" s="39"/>
      <c r="BD39" s="39"/>
      <c r="BE39" s="39"/>
      <c r="BF39" s="37">
        <f>if(BH39="",AX39,BH39/'Quick Setup'!$E12)</f>
        <v>460</v>
      </c>
      <c r="BG39" s="36" t="s">
        <v>77</v>
      </c>
      <c r="BH39" s="38"/>
      <c r="BI39" s="39"/>
      <c r="BJ39" s="39"/>
      <c r="BK39" s="39"/>
      <c r="BL39" s="39"/>
      <c r="BM39" s="39"/>
      <c r="BN39" s="37">
        <f>if(BP39="", if(BJ40="",BF39, if((BJ40-BI40)&lt;-1.9,BF39*(1+Setup!CL10),if((BJ40-BI40)=-1,BF39*(1+Setup!CM10),if(BK40&lt;BH40,BF39*(1+Setup!CM10),if(BK40=BH40,BF39*(1+Setup!CN10),if((BK40-BH40)=1,BF39*(1+Setup!CO10),if((BK40-BH40)=2,BF39*(1+Setup!CP10),if((BK40-BH40)=3,BF39*(1+Setup!CQ10),if((BK40-BH40)=4,BF39*(1+Setup!CR10),if((BK40-BH40)&gt;4.1,BF39*(1+Setup!CS10),BF39)))))))))),BP39/'Quick Setup'!$E12)</f>
        <v>460</v>
      </c>
      <c r="BO39" s="36" t="s">
        <v>77</v>
      </c>
      <c r="BP39" s="38"/>
      <c r="BQ39" s="39"/>
      <c r="BR39" s="39"/>
      <c r="BS39" s="39"/>
      <c r="BT39" s="39"/>
      <c r="BU39" s="39"/>
      <c r="BV39" s="37">
        <f>if(BX39="", if(BR40="",BN39, if((BR40-BQ40)&lt;-1.9,BN39*(1+Setup!CX10),if((BR40-BQ40)=-1,BN39*(1+Setup!CY10),if(BS40&lt;BP40,BN39*(1+Setup!CY10),if(BS40=BP40,BN39*(1+Setup!CZ10),if((BS40-BP40)=1,BN39*(1+Setup!DA10),if((BS40-BP40)=2,BN39*(1+Setup!DB10),if((BS40-BP40)=3,BN39*(1+Setup!DC10),if((BS40-BP40)=4,BN39*(1+Setup!DD10),if((BS40-BP40)&gt;4.1,BN39*(1+Setup!DE10),BN39)))))))))),BX39/'Quick Setup'!$E12)</f>
        <v>460</v>
      </c>
      <c r="BW39" s="36" t="s">
        <v>77</v>
      </c>
      <c r="BX39" s="38"/>
      <c r="BY39" s="39"/>
      <c r="BZ39" s="39"/>
      <c r="CA39" s="39"/>
      <c r="CB39" s="39"/>
      <c r="CC39" s="39"/>
      <c r="CD39" s="37">
        <f>if(CF39="", if(BZ40="",BV39, if((BZ40-BY40)&lt;-1.9,BV39*(1+Setup!DJ10),if((BZ40-BY40)=-1,BV39*(1+Setup!DK10),if(CA40&lt;BX40,BV39*(1+Setup!DK10),if(CA40=BX40,BV39*(1+Setup!DL10),if((CA40-BX40)=1,BV39*(1+Setup!DM10),if((CA40-BX40)=2,BV39*(1+Setup!DN10),if((CA40-BX40)=3,BV39*(1+Setup!DO10),if((CA40-BX40)=4,BV39*(1+Setup!DP10),if((CA40-BX40)&gt;4.1,BV39*(1+Setup!DQ10),BV39)))))))))),CF39/'Quick Setup'!$E12)</f>
        <v>460</v>
      </c>
      <c r="CE39" s="36" t="s">
        <v>77</v>
      </c>
      <c r="CF39" s="38"/>
      <c r="CG39" s="39"/>
      <c r="CH39" s="39"/>
      <c r="CI39" s="39"/>
      <c r="CJ39" s="39"/>
      <c r="CK39" s="39"/>
      <c r="CL39" s="37">
        <f>if(CN39="", if(CH40="",CD39, if((CH40-CG40)&lt;-1.9,CD39*(1+Setup!DV10),if((CH40-CG40)=-1,CD39*(1+Setup!DW10),if(CI40&lt;CF40,CD39*(1+Setup!DW10),if(CI40=CF40,CD39*(1+Setup!DX10),if((CI40-CF40)=1,CD39*(1+Setup!DY10),if((CI40-CF40)=2,CD39*(1+Setup!DZ10),if((CI40-CF40)=3,CD39*(1+Setup!EA10),if((CI40-CF40)=4,CD39*(1+Setup!EB10),if((CI40-CF40)&gt;4.1,CD39*(1+Setup!EC10),CD39)))))))))),CN39/'Quick Setup'!$E12)</f>
        <v>460</v>
      </c>
      <c r="CM39" s="36" t="s">
        <v>77</v>
      </c>
      <c r="CN39" s="38"/>
      <c r="CO39" s="39"/>
      <c r="CP39" s="39"/>
      <c r="CQ39" s="39"/>
      <c r="CR39" s="39"/>
      <c r="CS39" s="39"/>
      <c r="CT39" s="37">
        <f>if(CV39="", if(CP40="",CL39, if((CP40-CO40)&lt;-1.9,CL39*(1+Setup!EH10),if((CP40-CO40)=-1,CL39*(1+Setup!EI10),if(CQ40&lt;CN40,CL39*(1+Setup!EI10),if(CQ40=CN40,CL39*(1+Setup!EJ10),if((CQ40-CN40)=1,CL39*(1+Setup!EK10),if((CQ40-CN40)=2,CL39*(1+Setup!EL10),if((CQ40-CN40)=3,CL39*(1+Setup!EM10),if((CQ40-CN40)=4,CL39*(1+Setup!EN10),if((CQ40-CN40)&gt;4.1,CL39*(1+Setup!EO10),CL39)))))))))),CV39/'Quick Setup'!$E12)</f>
        <v>460</v>
      </c>
      <c r="CU39" s="36" t="s">
        <v>77</v>
      </c>
      <c r="CV39" s="38"/>
      <c r="CW39" s="39"/>
      <c r="CX39" s="39"/>
      <c r="CY39" s="39"/>
      <c r="CZ39" s="39"/>
      <c r="DA39" s="39"/>
      <c r="DB39" s="37">
        <f>if(DD39="", if(CX40="",CT39, if((CX40-CW40)&lt;-1.9,CT39*(1+Setup!ET10),if((CX40-CW40)=-1,CT39*(1+Setup!EU10),if(CY40&lt;CV40,CT39*(1+Setup!EU10),if(CY40=CV40,CT39*(1+Setup!EV10),if((CY40-CV40)=1,CT39*(1+Setup!EW10),if((CY40-CV40)=2,CT39*(1+Setup!EX10),if((CY40-CV40)=3,CT39*(1+Setup!EY10),if((CY40-CV40)=4,CT39*(1+Setup!EZ10),if((CY40-CV40)&gt;4.1,CT39*(1+Setup!FA10),CT39)))))))))),DD39/'Quick Setup'!$E12)</f>
        <v>460</v>
      </c>
      <c r="DC39" s="36" t="s">
        <v>77</v>
      </c>
      <c r="DD39" s="38"/>
      <c r="DE39" s="39"/>
      <c r="DF39" s="39"/>
      <c r="DG39" s="39"/>
      <c r="DH39" s="39"/>
      <c r="DI39" s="39"/>
      <c r="DJ39" s="37">
        <f>if(DL39="",DB39,DL39/'Quick Setup'!$E12)</f>
        <v>460</v>
      </c>
      <c r="DK39" s="36" t="s">
        <v>77</v>
      </c>
      <c r="DL39" s="38"/>
      <c r="DM39" s="39"/>
      <c r="DN39" s="39"/>
      <c r="DO39" s="39"/>
      <c r="DP39" s="39"/>
      <c r="DQ39" s="39"/>
      <c r="DR39" s="37">
        <f>if(DT39="", if(DN40="",DJ39, if((DN40-DM40)&lt;-1.9,DJ39*(1+Setup!FR10),if((DN40-DM40)=-1,DJ39*(1+Setup!FS10),if(DO40&lt;DL40,DJ39*(1+Setup!FS10),if(DO40=DL40,DJ39*(1+Setup!FT10),if((DO40-DL40)=1,DJ39*(1+Setup!FU10),if((DO40-DL40)=2,DJ39*(1+Setup!FV10),if((DO40-DL40)=3,DJ39*(1+Setup!FW10),if((DO40-DL40)=4,DJ39*(1+Setup!FX10),if((DO40-DL40)&gt;4.1,DJ39*(1+Setup!FY10),DJ39)))))))))),DT39/'Quick Setup'!$E12)</f>
        <v>460</v>
      </c>
      <c r="DS39" s="36" t="s">
        <v>77</v>
      </c>
      <c r="DT39" s="38"/>
      <c r="DU39" s="39"/>
      <c r="DV39" s="39"/>
      <c r="DW39" s="39"/>
      <c r="DX39" s="39"/>
      <c r="DY39" s="39"/>
      <c r="DZ39" s="37">
        <f>if(EB39="", if(DV40="",DR39, if((DV40-DU40)&lt;-1.9,DR39*(1+Setup!GD10),if((DV40-DU40)=-1,DR39*(1+Setup!GE10),if(DW40&lt;DT40,DR39*(1+Setup!GE10),if(DW40=DT40,DR39*(1+Setup!GF10),if((DW40-DT40)=1,DR39*(1+Setup!GG10),if((DW40-DT40)=2,DR39*(1+Setup!GH10),if((DW40-DT40)=3,DR39*(1+Setup!GI10),if((DW40-DT40)=4,DR39*(1+Setup!GJ10),if((DW40-DT40)&gt;4.1,DR39*(1+Setup!GK10),DR39)))))))))),EB39/'Quick Setup'!$E12)</f>
        <v>460</v>
      </c>
      <c r="EA39" s="36" t="s">
        <v>77</v>
      </c>
      <c r="EB39" s="38"/>
      <c r="EC39" s="39"/>
      <c r="ED39" s="39"/>
      <c r="EE39" s="39"/>
      <c r="EF39" s="39"/>
      <c r="EG39" s="39"/>
      <c r="EH39" s="37">
        <f>if(EJ39="", if(ED40="",DZ39, if((ED40-EC40)&lt;-1.9,DZ39*(1+Setup!GP10),if((ED40-EC40)=-1,DZ39*(1+Setup!GQ10),if(EE40&lt;EB40,DZ39*(1+Setup!GQ10),if(EE40=EB40,DZ39*(1+Setup!GR10),if((EE40-EB40)=1,DZ39*(1+Setup!GS10),if((EE40-EB40)=2,DZ39*(1+Setup!GT10),if((EE40-EB40)=3,DZ39*(1+Setup!GU10),if((EE40-EB40)=4,DZ39*(1+Setup!GV10),if((EE40-EB40)&gt;4.1,DZ39*(1+Setup!GW10),DZ39)))))))))),EJ39/'Quick Setup'!$E12)</f>
        <v>460</v>
      </c>
      <c r="EI39" s="36" t="s">
        <v>77</v>
      </c>
      <c r="EJ39" s="38"/>
      <c r="EK39" s="39"/>
      <c r="EL39" s="39"/>
      <c r="EM39" s="39"/>
      <c r="EN39" s="39"/>
      <c r="EO39" s="39"/>
      <c r="EP39" s="37">
        <f>if(ER39="", if(EL40="",EH39, if((EL40-EK40)&lt;-1.9,EH39*(1+Setup!HB10),if((EL40-EK40)=-1,EH39*(1+Setup!HC10),if(EM40&lt;EJ40,EH39*(1+Setup!HC10),if(EM40=EJ40,EH39*(1+Setup!HD10),if((EM40-EJ40)=1,EH39*(1+Setup!HE10),if((EM40-EJ40)=2,EH39*(1+Setup!HF10),if((EM40-EJ40)=3,EH39*(1+Setup!HG10),if((EM40-EJ40)=4,EH39*(1+Setup!HH10),if((EM40-EJ40)&gt;4.1,EH39*(1+Setup!HI10),EH39)))))))))),ER39/'Quick Setup'!$E12)</f>
        <v>460</v>
      </c>
      <c r="EQ39" s="36" t="s">
        <v>77</v>
      </c>
      <c r="ER39" s="38"/>
      <c r="ES39" s="39"/>
      <c r="ET39" s="39"/>
      <c r="EU39" s="39"/>
      <c r="EV39" s="39"/>
      <c r="EW39" s="39"/>
      <c r="EX39" s="37">
        <f>if(EZ39="", if(ET40="",EP39, if((ET40-ES40)&lt;-1.9,EP39*(1+Setup!HN10),if((ET40-ES40)=-1,EP39*(1+Setup!HO10),if(EU40&lt;ER40,EP39*(1+Setup!HO10),if(EU40=ER40,EP39*(1+Setup!HP10),if((EU40-ER40)=1,EP39*(1+Setup!HQ10),if((EU40-ER40)=2,EP39*(1+Setup!HR10),if((EU40-ER40)=3,EP39*(1+Setup!HS10),if((EU40-ER40)=4,EP39*(1+Setup!HT10),if((EU40-ER40)&gt;4.1,EP39*(1+Setup!HU10),EP39)))))))))),EZ39/'Quick Setup'!$E12)</f>
        <v>460</v>
      </c>
      <c r="EY39" s="36" t="s">
        <v>77</v>
      </c>
      <c r="EZ39" s="38"/>
      <c r="FA39" s="39"/>
      <c r="FB39" s="39"/>
      <c r="FC39" s="39"/>
      <c r="FD39" s="39"/>
      <c r="FE39" s="39"/>
      <c r="FF39" s="37">
        <f>if(FH39="", if(FB40="",EX39, if((FB40-FA40)&lt;-1.9,EX39*(1+Setup!HZ10),if((FB40-FA40)=-1,EX39*(1+Setup!IA10),if(FC40&lt;EZ40,EX39*(1+Setup!IA10),if(FC40=EZ40,EX39*(1+Setup!IB10),if((FC40-EZ40)=1,EX39*(1+Setup!IC10),if((FC40-EZ40)=2,EX39*(1+Setup!ID10),if((FC40-EZ40)=3,EX39*(1+Setup!IE10),if((FC40-EZ40)=4,EX39*(1+Setup!IF10),if((FC40-EZ40)&gt;4.1,EX39*(1+Setup!IG10),EX39)))))))))),FH39/'Quick Setup'!$E12)</f>
        <v>460</v>
      </c>
      <c r="FG39" s="36" t="s">
        <v>77</v>
      </c>
      <c r="FH39" s="38"/>
      <c r="FI39" s="39"/>
      <c r="FJ39" s="39"/>
      <c r="FK39" s="39"/>
      <c r="FL39" s="39"/>
      <c r="FM39" s="39"/>
    </row>
    <row r="40">
      <c r="A40" s="1" t="str">
        <f>Setup!A10</f>
        <v>Paused Squat</v>
      </c>
      <c r="B40" s="40">
        <f>mround(B39*Setup!B10,'Quick Setup'!$A$2)</f>
        <v>275</v>
      </c>
      <c r="C40" s="2">
        <f>Setup!C10</f>
        <v>7</v>
      </c>
      <c r="D40" s="2">
        <f>Setup!D10</f>
        <v>3</v>
      </c>
      <c r="E40" s="2">
        <f>Setup!E10</f>
        <v>5</v>
      </c>
      <c r="F40" s="8"/>
      <c r="G40" s="8"/>
      <c r="H40" s="8"/>
      <c r="I40" s="8"/>
      <c r="J40" s="40">
        <f>mround(J39*Setup!N10,'Quick Setup'!$A$2)</f>
        <v>300</v>
      </c>
      <c r="K40" s="2">
        <f>Setup!O10</f>
        <v>6</v>
      </c>
      <c r="L40" s="2">
        <f>Setup!P10</f>
        <v>3</v>
      </c>
      <c r="M40" s="2">
        <f>Setup!Q10</f>
        <v>5</v>
      </c>
      <c r="N40" s="8"/>
      <c r="O40" s="8"/>
      <c r="P40" s="8"/>
      <c r="Q40" s="8"/>
      <c r="R40" s="40">
        <f>mround(R39*Setup!Z10,'Quick Setup'!$A$2)</f>
        <v>322.5</v>
      </c>
      <c r="S40" s="2">
        <f>Setup!AA10</f>
        <v>5</v>
      </c>
      <c r="T40" s="2">
        <f>Setup!AB10</f>
        <v>3</v>
      </c>
      <c r="U40" s="2">
        <f>Setup!AC10</f>
        <v>5</v>
      </c>
      <c r="V40" s="8"/>
      <c r="W40" s="8"/>
      <c r="X40" s="8"/>
      <c r="Y40" s="8"/>
      <c r="Z40" s="40">
        <f>mround(Z39*Setup!AL10,'Quick Setup'!$A$2)</f>
        <v>287.5</v>
      </c>
      <c r="AA40" s="2">
        <f>Setup!AM10</f>
        <v>7</v>
      </c>
      <c r="AB40" s="2">
        <f>Setup!AN10</f>
        <v>3</v>
      </c>
      <c r="AC40" s="2">
        <f>Setup!AO10</f>
        <v>5</v>
      </c>
      <c r="AD40" s="8"/>
      <c r="AE40" s="8"/>
      <c r="AF40" s="8"/>
      <c r="AG40" s="8"/>
      <c r="AH40" s="40">
        <f>mround(AH39*Setup!AX10,'Quick Setup'!$A$2)</f>
        <v>310</v>
      </c>
      <c r="AI40" s="2">
        <f>Setup!AY10</f>
        <v>6</v>
      </c>
      <c r="AJ40" s="2">
        <f>Setup!AZ10</f>
        <v>3</v>
      </c>
      <c r="AK40" s="2">
        <f>Setup!BA10</f>
        <v>5</v>
      </c>
      <c r="AL40" s="8"/>
      <c r="AM40" s="8"/>
      <c r="AN40" s="8"/>
      <c r="AO40" s="8"/>
      <c r="AP40" s="40">
        <f>mround(AP39*Setup!BJ10,'Quick Setup'!$A$2)</f>
        <v>332.5</v>
      </c>
      <c r="AQ40" s="2">
        <f>Setup!BK10</f>
        <v>5</v>
      </c>
      <c r="AR40" s="2">
        <f>Setup!BL10</f>
        <v>3</v>
      </c>
      <c r="AS40" s="2">
        <f>Setup!BM10</f>
        <v>5</v>
      </c>
      <c r="AT40" s="8"/>
      <c r="AU40" s="8"/>
      <c r="AV40" s="8"/>
      <c r="AW40" s="8"/>
      <c r="AX40" s="40">
        <f>mround(AX39*Setup!BV10,'Quick Setup'!$A$2)</f>
        <v>230</v>
      </c>
      <c r="AY40" s="1">
        <v>5.0</v>
      </c>
      <c r="AZ40" s="1" t="s">
        <v>80</v>
      </c>
      <c r="BA40" s="2">
        <f>Setup!BY10</f>
        <v>5</v>
      </c>
      <c r="BB40" s="8"/>
      <c r="BC40" s="8"/>
      <c r="BD40" s="8"/>
      <c r="BE40" s="8"/>
      <c r="BF40" s="40">
        <f>mround(BF39*Setup!CH10,'Quick Setup'!$A$2)</f>
        <v>300</v>
      </c>
      <c r="BG40" s="2">
        <f>Setup!CI10</f>
        <v>6</v>
      </c>
      <c r="BH40" s="2">
        <f>Setup!CJ10</f>
        <v>3</v>
      </c>
      <c r="BI40" s="2">
        <f>Setup!CK10</f>
        <v>5</v>
      </c>
      <c r="BJ40" s="8"/>
      <c r="BK40" s="8"/>
      <c r="BL40" s="8"/>
      <c r="BM40" s="8"/>
      <c r="BN40" s="40">
        <f>mround(BN39*Setup!CT10,'Quick Setup'!$A$2)</f>
        <v>322.5</v>
      </c>
      <c r="BO40" s="2">
        <f>Setup!CU10</f>
        <v>5</v>
      </c>
      <c r="BP40" s="2">
        <f>Setup!CV10</f>
        <v>3</v>
      </c>
      <c r="BQ40" s="2">
        <f>Setup!CW10</f>
        <v>5</v>
      </c>
      <c r="BR40" s="8"/>
      <c r="BS40" s="8"/>
      <c r="BT40" s="8"/>
      <c r="BU40" s="8"/>
      <c r="BV40" s="40">
        <f>mround(BV39*Setup!DF10,'Quick Setup'!$A$2)</f>
        <v>345</v>
      </c>
      <c r="BW40" s="2">
        <f>Setup!DG10</f>
        <v>4</v>
      </c>
      <c r="BX40" s="2">
        <f>Setup!DH10</f>
        <v>2</v>
      </c>
      <c r="BY40" s="2">
        <f>Setup!DI10</f>
        <v>5</v>
      </c>
      <c r="BZ40" s="8"/>
      <c r="CA40" s="8"/>
      <c r="CB40" s="8"/>
      <c r="CC40" s="8"/>
      <c r="CD40" s="40">
        <f>mround(CD39*Setup!DR10,'Quick Setup'!$A$2)</f>
        <v>310</v>
      </c>
      <c r="CE40" s="2">
        <f>Setup!DS10</f>
        <v>6</v>
      </c>
      <c r="CF40" s="2">
        <f>Setup!DT10</f>
        <v>3</v>
      </c>
      <c r="CG40" s="2">
        <f>Setup!DU10</f>
        <v>5</v>
      </c>
      <c r="CH40" s="8"/>
      <c r="CI40" s="8"/>
      <c r="CJ40" s="8"/>
      <c r="CK40" s="8"/>
      <c r="CL40" s="40">
        <f>mround(CL39*Setup!ED10,'Quick Setup'!$A$2)</f>
        <v>332.5</v>
      </c>
      <c r="CM40" s="2">
        <f>Setup!EE10</f>
        <v>5</v>
      </c>
      <c r="CN40" s="2">
        <f>Setup!EF10</f>
        <v>3</v>
      </c>
      <c r="CO40" s="2">
        <f>Setup!EG10</f>
        <v>5</v>
      </c>
      <c r="CP40" s="8"/>
      <c r="CQ40" s="8"/>
      <c r="CR40" s="8"/>
      <c r="CS40" s="8"/>
      <c r="CT40" s="40">
        <f>mround(CT39*Setup!EP10,'Quick Setup'!$A$2)</f>
        <v>357.5</v>
      </c>
      <c r="CU40" s="2">
        <f>Setup!EQ10</f>
        <v>4</v>
      </c>
      <c r="CV40" s="2">
        <f>Setup!ER10</f>
        <v>2</v>
      </c>
      <c r="CW40" s="2">
        <f>Setup!ES10</f>
        <v>5</v>
      </c>
      <c r="CX40" s="8"/>
      <c r="CY40" s="8"/>
      <c r="CZ40" s="8"/>
      <c r="DA40" s="8"/>
      <c r="DB40" s="40">
        <f>mround(DB39*Setup!FB10,'Quick Setup'!$A$2)</f>
        <v>230</v>
      </c>
      <c r="DC40" s="1">
        <v>5.0</v>
      </c>
      <c r="DD40" s="1" t="s">
        <v>80</v>
      </c>
      <c r="DE40" s="2">
        <f>Setup!FE10</f>
        <v>5</v>
      </c>
      <c r="DF40" s="8"/>
      <c r="DG40" s="8"/>
      <c r="DH40" s="8"/>
      <c r="DI40" s="8"/>
      <c r="DJ40" s="40">
        <f>mround(DJ39*Setup!FN10,'Quick Setup'!$A$2)</f>
        <v>322.5</v>
      </c>
      <c r="DK40" s="2">
        <f>Setup!FO10</f>
        <v>5</v>
      </c>
      <c r="DL40" s="2">
        <f>Setup!FP10</f>
        <v>3</v>
      </c>
      <c r="DM40" s="2">
        <f>Setup!FQ10</f>
        <v>5</v>
      </c>
      <c r="DN40" s="8"/>
      <c r="DO40" s="8"/>
      <c r="DP40" s="8"/>
      <c r="DQ40" s="8"/>
      <c r="DR40" s="40">
        <f>mround(DR39*Setup!FZ10,'Quick Setup'!$A$2)</f>
        <v>345</v>
      </c>
      <c r="DS40" s="2">
        <f>Setup!GA10</f>
        <v>4</v>
      </c>
      <c r="DT40" s="2">
        <f>Setup!GB10</f>
        <v>2</v>
      </c>
      <c r="DU40" s="2">
        <f>Setup!GC10</f>
        <v>5</v>
      </c>
      <c r="DV40" s="8"/>
      <c r="DW40" s="8"/>
      <c r="DX40" s="8"/>
      <c r="DY40" s="8"/>
      <c r="DZ40" s="40">
        <f>mround(DZ39*Setup!GL10,'Quick Setup'!$A$2)</f>
        <v>367.5</v>
      </c>
      <c r="EA40" s="2">
        <f>Setup!GM10</f>
        <v>3</v>
      </c>
      <c r="EB40" s="2">
        <f>Setup!GN10</f>
        <v>2</v>
      </c>
      <c r="EC40" s="2">
        <f>Setup!GO10</f>
        <v>5</v>
      </c>
      <c r="ED40" s="8"/>
      <c r="EE40" s="8"/>
      <c r="EF40" s="8"/>
      <c r="EG40" s="8"/>
      <c r="EH40" s="40">
        <f>mround(EH39*Setup!GX10,'Quick Setup'!$A$2)</f>
        <v>345</v>
      </c>
      <c r="EI40" s="2">
        <f>Setup!GY10</f>
        <v>4</v>
      </c>
      <c r="EJ40" s="2">
        <f>Setup!GZ10</f>
        <v>2</v>
      </c>
      <c r="EK40" s="2">
        <f>Setup!HA10</f>
        <v>5</v>
      </c>
      <c r="EL40" s="8"/>
      <c r="EM40" s="8"/>
      <c r="EN40" s="8"/>
      <c r="EO40" s="8"/>
      <c r="EP40" s="40">
        <f>mround(EP39*Setup!HJ10,'Quick Setup'!$A$2)</f>
        <v>367.5</v>
      </c>
      <c r="EQ40" s="2">
        <f>Setup!HK10</f>
        <v>3</v>
      </c>
      <c r="ER40" s="2">
        <f>Setup!HL10</f>
        <v>2</v>
      </c>
      <c r="ES40" s="2">
        <f>Setup!HM10</f>
        <v>5</v>
      </c>
      <c r="ET40" s="8"/>
      <c r="EU40" s="8"/>
      <c r="EV40" s="8"/>
      <c r="EW40" s="8"/>
      <c r="EX40" s="40">
        <f>mround(EX39*Setup!HV10,'Quick Setup'!$A$2)</f>
        <v>390</v>
      </c>
      <c r="EY40" s="2">
        <f>Setup!HW10</f>
        <v>2</v>
      </c>
      <c r="EZ40" s="2">
        <f>Setup!HX10</f>
        <v>1</v>
      </c>
      <c r="FA40" s="2">
        <f>Setup!HY10</f>
        <v>5</v>
      </c>
      <c r="FB40" s="8"/>
      <c r="FC40" s="8"/>
      <c r="FD40" s="8"/>
      <c r="FE40" s="8"/>
      <c r="FF40" s="40">
        <f>mround(FF39*Setup!IH10,'Quick Setup'!$A$2)</f>
        <v>230</v>
      </c>
      <c r="FG40" s="1">
        <v>5.0</v>
      </c>
      <c r="FH40" s="1" t="s">
        <v>80</v>
      </c>
      <c r="FI40" s="2">
        <f>Setup!IK10</f>
        <v>5</v>
      </c>
      <c r="FJ40" s="8"/>
      <c r="FK40" s="8"/>
      <c r="FL40" s="8"/>
      <c r="FM40" s="8"/>
    </row>
    <row r="41">
      <c r="A41" s="5"/>
      <c r="B41" s="41"/>
      <c r="C41" s="8"/>
      <c r="D41" s="8"/>
      <c r="E41" s="8"/>
      <c r="F41" s="8"/>
      <c r="G41" s="8"/>
      <c r="H41" s="8"/>
      <c r="I41" s="8"/>
      <c r="J41" s="41" t="str">
        <f t="shared" ref="J41:O41" si="241">B41</f>
        <v/>
      </c>
      <c r="K41" s="8" t="str">
        <f t="shared" si="241"/>
        <v/>
      </c>
      <c r="L41" s="8" t="str">
        <f t="shared" si="241"/>
        <v/>
      </c>
      <c r="M41" s="8" t="str">
        <f t="shared" si="241"/>
        <v/>
      </c>
      <c r="N41" s="8" t="str">
        <f t="shared" si="241"/>
        <v/>
      </c>
      <c r="O41" s="8" t="str">
        <f t="shared" si="241"/>
        <v/>
      </c>
      <c r="P41" s="8"/>
      <c r="Q41" s="8"/>
      <c r="R41" s="41" t="str">
        <f t="shared" ref="R41:W41" si="242">J41</f>
        <v/>
      </c>
      <c r="S41" s="8" t="str">
        <f t="shared" si="242"/>
        <v/>
      </c>
      <c r="T41" s="8" t="str">
        <f t="shared" si="242"/>
        <v/>
      </c>
      <c r="U41" s="8" t="str">
        <f t="shared" si="242"/>
        <v/>
      </c>
      <c r="V41" s="8" t="str">
        <f t="shared" si="242"/>
        <v/>
      </c>
      <c r="W41" s="8" t="str">
        <f t="shared" si="242"/>
        <v/>
      </c>
      <c r="X41" s="8"/>
      <c r="Y41" s="8"/>
      <c r="Z41" s="41" t="str">
        <f t="shared" ref="Z41:AE41" si="243">R41</f>
        <v/>
      </c>
      <c r="AA41" s="8" t="str">
        <f t="shared" si="243"/>
        <v/>
      </c>
      <c r="AB41" s="8" t="str">
        <f t="shared" si="243"/>
        <v/>
      </c>
      <c r="AC41" s="8" t="str">
        <f t="shared" si="243"/>
        <v/>
      </c>
      <c r="AD41" s="8" t="str">
        <f t="shared" si="243"/>
        <v/>
      </c>
      <c r="AE41" s="8" t="str">
        <f t="shared" si="243"/>
        <v/>
      </c>
      <c r="AF41" s="8"/>
      <c r="AG41" s="8"/>
      <c r="AH41" s="41" t="str">
        <f t="shared" ref="AH41:AM41" si="244">Z41</f>
        <v/>
      </c>
      <c r="AI41" s="8" t="str">
        <f t="shared" si="244"/>
        <v/>
      </c>
      <c r="AJ41" s="8" t="str">
        <f t="shared" si="244"/>
        <v/>
      </c>
      <c r="AK41" s="8" t="str">
        <f t="shared" si="244"/>
        <v/>
      </c>
      <c r="AL41" s="8" t="str">
        <f t="shared" si="244"/>
        <v/>
      </c>
      <c r="AM41" s="8" t="str">
        <f t="shared" si="244"/>
        <v/>
      </c>
      <c r="AN41" s="8"/>
      <c r="AO41" s="8"/>
      <c r="AP41" s="41" t="str">
        <f t="shared" ref="AP41:AU41" si="245">AH41</f>
        <v/>
      </c>
      <c r="AQ41" s="8" t="str">
        <f t="shared" si="245"/>
        <v/>
      </c>
      <c r="AR41" s="8" t="str">
        <f t="shared" si="245"/>
        <v/>
      </c>
      <c r="AS41" s="8" t="str">
        <f t="shared" si="245"/>
        <v/>
      </c>
      <c r="AT41" s="8" t="str">
        <f t="shared" si="245"/>
        <v/>
      </c>
      <c r="AU41" s="8" t="str">
        <f t="shared" si="245"/>
        <v/>
      </c>
      <c r="AV41" s="8"/>
      <c r="AW41" s="8"/>
      <c r="AX41" s="41" t="str">
        <f t="shared" ref="AX41:BC41" si="246">AP41</f>
        <v/>
      </c>
      <c r="AY41" s="8" t="str">
        <f t="shared" si="246"/>
        <v/>
      </c>
      <c r="AZ41" s="8" t="str">
        <f t="shared" si="246"/>
        <v/>
      </c>
      <c r="BA41" s="8" t="str">
        <f t="shared" si="246"/>
        <v/>
      </c>
      <c r="BB41" s="8" t="str">
        <f t="shared" si="246"/>
        <v/>
      </c>
      <c r="BC41" s="8" t="str">
        <f t="shared" si="246"/>
        <v/>
      </c>
      <c r="BD41" s="8"/>
      <c r="BE41" s="8"/>
      <c r="BF41" s="41" t="str">
        <f t="shared" ref="BF41:BK41" si="247">AX41</f>
        <v/>
      </c>
      <c r="BG41" s="8" t="str">
        <f t="shared" si="247"/>
        <v/>
      </c>
      <c r="BH41" s="8" t="str">
        <f t="shared" si="247"/>
        <v/>
      </c>
      <c r="BI41" s="8" t="str">
        <f t="shared" si="247"/>
        <v/>
      </c>
      <c r="BJ41" s="8" t="str">
        <f t="shared" si="247"/>
        <v/>
      </c>
      <c r="BK41" s="8" t="str">
        <f t="shared" si="247"/>
        <v/>
      </c>
      <c r="BL41" s="8"/>
      <c r="BM41" s="8"/>
      <c r="BN41" s="41" t="str">
        <f t="shared" ref="BN41:BS41" si="248">BF41</f>
        <v/>
      </c>
      <c r="BO41" s="8" t="str">
        <f t="shared" si="248"/>
        <v/>
      </c>
      <c r="BP41" s="8" t="str">
        <f t="shared" si="248"/>
        <v/>
      </c>
      <c r="BQ41" s="8" t="str">
        <f t="shared" si="248"/>
        <v/>
      </c>
      <c r="BR41" s="8" t="str">
        <f t="shared" si="248"/>
        <v/>
      </c>
      <c r="BS41" s="8" t="str">
        <f t="shared" si="248"/>
        <v/>
      </c>
      <c r="BT41" s="8"/>
      <c r="BU41" s="8"/>
      <c r="BV41" s="41" t="str">
        <f t="shared" ref="BV41:CA41" si="249">BN41</f>
        <v/>
      </c>
      <c r="BW41" s="8" t="str">
        <f t="shared" si="249"/>
        <v/>
      </c>
      <c r="BX41" s="8" t="str">
        <f t="shared" si="249"/>
        <v/>
      </c>
      <c r="BY41" s="8" t="str">
        <f t="shared" si="249"/>
        <v/>
      </c>
      <c r="BZ41" s="8" t="str">
        <f t="shared" si="249"/>
        <v/>
      </c>
      <c r="CA41" s="8" t="str">
        <f t="shared" si="249"/>
        <v/>
      </c>
      <c r="CB41" s="8"/>
      <c r="CC41" s="8"/>
      <c r="CD41" s="41" t="str">
        <f t="shared" ref="CD41:CI41" si="250">BV41</f>
        <v/>
      </c>
      <c r="CE41" s="8" t="str">
        <f t="shared" si="250"/>
        <v/>
      </c>
      <c r="CF41" s="8" t="str">
        <f t="shared" si="250"/>
        <v/>
      </c>
      <c r="CG41" s="8" t="str">
        <f t="shared" si="250"/>
        <v/>
      </c>
      <c r="CH41" s="8" t="str">
        <f t="shared" si="250"/>
        <v/>
      </c>
      <c r="CI41" s="8" t="str">
        <f t="shared" si="250"/>
        <v/>
      </c>
      <c r="CJ41" s="8"/>
      <c r="CK41" s="8"/>
      <c r="CL41" s="41" t="str">
        <f t="shared" ref="CL41:CQ41" si="251">CD41</f>
        <v/>
      </c>
      <c r="CM41" s="8" t="str">
        <f t="shared" si="251"/>
        <v/>
      </c>
      <c r="CN41" s="8" t="str">
        <f t="shared" si="251"/>
        <v/>
      </c>
      <c r="CO41" s="8" t="str">
        <f t="shared" si="251"/>
        <v/>
      </c>
      <c r="CP41" s="8" t="str">
        <f t="shared" si="251"/>
        <v/>
      </c>
      <c r="CQ41" s="8" t="str">
        <f t="shared" si="251"/>
        <v/>
      </c>
      <c r="CR41" s="8"/>
      <c r="CS41" s="8"/>
      <c r="CT41" s="41" t="str">
        <f t="shared" ref="CT41:CY41" si="252">CL41</f>
        <v/>
      </c>
      <c r="CU41" s="8" t="str">
        <f t="shared" si="252"/>
        <v/>
      </c>
      <c r="CV41" s="8" t="str">
        <f t="shared" si="252"/>
        <v/>
      </c>
      <c r="CW41" s="8" t="str">
        <f t="shared" si="252"/>
        <v/>
      </c>
      <c r="CX41" s="8" t="str">
        <f t="shared" si="252"/>
        <v/>
      </c>
      <c r="CY41" s="8" t="str">
        <f t="shared" si="252"/>
        <v/>
      </c>
      <c r="CZ41" s="8"/>
      <c r="DA41" s="8"/>
      <c r="DB41" s="41" t="str">
        <f t="shared" ref="DB41:DG41" si="253">CT41</f>
        <v/>
      </c>
      <c r="DC41" s="8" t="str">
        <f t="shared" si="253"/>
        <v/>
      </c>
      <c r="DD41" s="8" t="str">
        <f t="shared" si="253"/>
        <v/>
      </c>
      <c r="DE41" s="8" t="str">
        <f t="shared" si="253"/>
        <v/>
      </c>
      <c r="DF41" s="8" t="str">
        <f t="shared" si="253"/>
        <v/>
      </c>
      <c r="DG41" s="8" t="str">
        <f t="shared" si="253"/>
        <v/>
      </c>
      <c r="DH41" s="8"/>
      <c r="DI41" s="8"/>
      <c r="DJ41" s="41" t="str">
        <f t="shared" ref="DJ41:DO41" si="254">DB41</f>
        <v/>
      </c>
      <c r="DK41" s="8" t="str">
        <f t="shared" si="254"/>
        <v/>
      </c>
      <c r="DL41" s="8" t="str">
        <f t="shared" si="254"/>
        <v/>
      </c>
      <c r="DM41" s="8" t="str">
        <f t="shared" si="254"/>
        <v/>
      </c>
      <c r="DN41" s="8" t="str">
        <f t="shared" si="254"/>
        <v/>
      </c>
      <c r="DO41" s="8" t="str">
        <f t="shared" si="254"/>
        <v/>
      </c>
      <c r="DP41" s="8"/>
      <c r="DQ41" s="8"/>
      <c r="DR41" s="41" t="str">
        <f t="shared" ref="DR41:DW41" si="255">DJ41</f>
        <v/>
      </c>
      <c r="DS41" s="8" t="str">
        <f t="shared" si="255"/>
        <v/>
      </c>
      <c r="DT41" s="8" t="str">
        <f t="shared" si="255"/>
        <v/>
      </c>
      <c r="DU41" s="8" t="str">
        <f t="shared" si="255"/>
        <v/>
      </c>
      <c r="DV41" s="8" t="str">
        <f t="shared" si="255"/>
        <v/>
      </c>
      <c r="DW41" s="8" t="str">
        <f t="shared" si="255"/>
        <v/>
      </c>
      <c r="DX41" s="8"/>
      <c r="DY41" s="8"/>
      <c r="DZ41" s="41" t="str">
        <f t="shared" ref="DZ41:EE41" si="256">DR41</f>
        <v/>
      </c>
      <c r="EA41" s="8" t="str">
        <f t="shared" si="256"/>
        <v/>
      </c>
      <c r="EB41" s="8" t="str">
        <f t="shared" si="256"/>
        <v/>
      </c>
      <c r="EC41" s="8" t="str">
        <f t="shared" si="256"/>
        <v/>
      </c>
      <c r="ED41" s="8" t="str">
        <f t="shared" si="256"/>
        <v/>
      </c>
      <c r="EE41" s="8" t="str">
        <f t="shared" si="256"/>
        <v/>
      </c>
      <c r="EF41" s="8"/>
      <c r="EG41" s="8"/>
      <c r="EH41" s="41" t="str">
        <f t="shared" ref="EH41:EM41" si="257">DZ41</f>
        <v/>
      </c>
      <c r="EI41" s="8" t="str">
        <f t="shared" si="257"/>
        <v/>
      </c>
      <c r="EJ41" s="8" t="str">
        <f t="shared" si="257"/>
        <v/>
      </c>
      <c r="EK41" s="8" t="str">
        <f t="shared" si="257"/>
        <v/>
      </c>
      <c r="EL41" s="8" t="str">
        <f t="shared" si="257"/>
        <v/>
      </c>
      <c r="EM41" s="8" t="str">
        <f t="shared" si="257"/>
        <v/>
      </c>
      <c r="EN41" s="8"/>
      <c r="EO41" s="8"/>
      <c r="EP41" s="41" t="str">
        <f t="shared" ref="EP41:EU41" si="258">EH41</f>
        <v/>
      </c>
      <c r="EQ41" s="8" t="str">
        <f t="shared" si="258"/>
        <v/>
      </c>
      <c r="ER41" s="8" t="str">
        <f t="shared" si="258"/>
        <v/>
      </c>
      <c r="ES41" s="8" t="str">
        <f t="shared" si="258"/>
        <v/>
      </c>
      <c r="ET41" s="8" t="str">
        <f t="shared" si="258"/>
        <v/>
      </c>
      <c r="EU41" s="8" t="str">
        <f t="shared" si="258"/>
        <v/>
      </c>
      <c r="EV41" s="8"/>
      <c r="EW41" s="8"/>
      <c r="EX41" s="41" t="str">
        <f t="shared" ref="EX41:FC41" si="259">EP41</f>
        <v/>
      </c>
      <c r="EY41" s="8" t="str">
        <f t="shared" si="259"/>
        <v/>
      </c>
      <c r="EZ41" s="8" t="str">
        <f t="shared" si="259"/>
        <v/>
      </c>
      <c r="FA41" s="8" t="str">
        <f t="shared" si="259"/>
        <v/>
      </c>
      <c r="FB41" s="8" t="str">
        <f t="shared" si="259"/>
        <v/>
      </c>
      <c r="FC41" s="8" t="str">
        <f t="shared" si="259"/>
        <v/>
      </c>
      <c r="FD41" s="8"/>
      <c r="FE41" s="8"/>
      <c r="FF41" s="41" t="str">
        <f t="shared" ref="FF41:FK41" si="260">EX41</f>
        <v/>
      </c>
      <c r="FG41" s="8" t="str">
        <f t="shared" si="260"/>
        <v/>
      </c>
      <c r="FH41" s="8" t="str">
        <f t="shared" si="260"/>
        <v/>
      </c>
      <c r="FI41" s="8" t="str">
        <f t="shared" si="260"/>
        <v/>
      </c>
      <c r="FJ41" s="8" t="str">
        <f t="shared" si="260"/>
        <v/>
      </c>
      <c r="FK41" s="8" t="str">
        <f t="shared" si="260"/>
        <v/>
      </c>
      <c r="FL41" s="8"/>
      <c r="FM41" s="8"/>
    </row>
    <row r="42">
      <c r="A42" s="1" t="s">
        <v>81</v>
      </c>
      <c r="B42" s="40"/>
      <c r="C42" s="2"/>
      <c r="D42" s="2"/>
      <c r="E42" s="2"/>
      <c r="F42" s="2"/>
      <c r="G42" s="2"/>
      <c r="H42" s="2"/>
      <c r="I42" s="2"/>
      <c r="J42" s="40"/>
      <c r="K42" s="2"/>
      <c r="L42" s="2"/>
      <c r="M42" s="2"/>
      <c r="N42" s="2"/>
      <c r="O42" s="2"/>
      <c r="P42" s="2"/>
      <c r="Q42" s="2"/>
      <c r="R42" s="40"/>
      <c r="S42" s="2"/>
      <c r="T42" s="2"/>
      <c r="U42" s="2"/>
      <c r="V42" s="2"/>
      <c r="W42" s="2"/>
      <c r="X42" s="2"/>
      <c r="Y42" s="2"/>
      <c r="Z42" s="40"/>
      <c r="AA42" s="2"/>
      <c r="AB42" s="2"/>
      <c r="AC42" s="2"/>
      <c r="AD42" s="2"/>
      <c r="AE42" s="2"/>
      <c r="AF42" s="2"/>
      <c r="AG42" s="2"/>
      <c r="AH42" s="40"/>
      <c r="AI42" s="2"/>
      <c r="AJ42" s="2"/>
      <c r="AK42" s="2"/>
      <c r="AL42" s="2"/>
      <c r="AM42" s="2"/>
      <c r="AN42" s="2"/>
      <c r="AO42" s="2"/>
      <c r="AP42" s="40"/>
      <c r="AQ42" s="2"/>
      <c r="AR42" s="2"/>
      <c r="AS42" s="2"/>
      <c r="AT42" s="2"/>
      <c r="AU42" s="2"/>
      <c r="AV42" s="2"/>
      <c r="AW42" s="2"/>
      <c r="AX42" s="40"/>
      <c r="AY42" s="2"/>
      <c r="AZ42" s="2"/>
      <c r="BA42" s="2"/>
      <c r="BB42" s="2"/>
      <c r="BC42" s="2"/>
      <c r="BD42" s="2"/>
      <c r="BE42" s="2"/>
      <c r="BF42" s="40"/>
      <c r="BG42" s="2"/>
      <c r="BH42" s="2"/>
      <c r="BI42" s="2"/>
      <c r="BJ42" s="2"/>
      <c r="BK42" s="2"/>
      <c r="BL42" s="2"/>
      <c r="BM42" s="2"/>
      <c r="BN42" s="40"/>
      <c r="BO42" s="2"/>
      <c r="BP42" s="2"/>
      <c r="BQ42" s="2"/>
      <c r="BR42" s="2"/>
      <c r="BS42" s="2"/>
      <c r="BT42" s="2"/>
      <c r="BU42" s="2"/>
      <c r="BV42" s="40"/>
      <c r="BW42" s="2"/>
      <c r="BX42" s="2"/>
      <c r="BY42" s="2"/>
      <c r="BZ42" s="2"/>
      <c r="CA42" s="2"/>
      <c r="CB42" s="2"/>
      <c r="CC42" s="2"/>
      <c r="CD42" s="40"/>
      <c r="CE42" s="2"/>
      <c r="CF42" s="2"/>
      <c r="CG42" s="2"/>
      <c r="CH42" s="2"/>
      <c r="CI42" s="2"/>
      <c r="CJ42" s="2"/>
      <c r="CK42" s="2"/>
      <c r="CL42" s="40"/>
      <c r="CM42" s="2"/>
      <c r="CN42" s="2"/>
      <c r="CO42" s="2"/>
      <c r="CP42" s="2"/>
      <c r="CQ42" s="2"/>
      <c r="CR42" s="2"/>
      <c r="CS42" s="2"/>
      <c r="CT42" s="40"/>
      <c r="CU42" s="2"/>
      <c r="CV42" s="2"/>
      <c r="CW42" s="2"/>
      <c r="CX42" s="2"/>
      <c r="CY42" s="2"/>
      <c r="CZ42" s="2"/>
      <c r="DA42" s="2"/>
      <c r="DB42" s="40"/>
      <c r="DC42" s="2"/>
      <c r="DD42" s="2"/>
      <c r="DE42" s="2"/>
      <c r="DF42" s="2"/>
      <c r="DG42" s="2"/>
      <c r="DH42" s="2"/>
      <c r="DI42" s="2"/>
      <c r="DJ42" s="40"/>
      <c r="DK42" s="2"/>
      <c r="DL42" s="2"/>
      <c r="DM42" s="2"/>
      <c r="DN42" s="2"/>
      <c r="DO42" s="2"/>
      <c r="DP42" s="2"/>
      <c r="DQ42" s="2"/>
      <c r="DR42" s="40"/>
      <c r="DS42" s="2"/>
      <c r="DT42" s="2"/>
      <c r="DU42" s="2"/>
      <c r="DV42" s="2"/>
      <c r="DW42" s="2"/>
      <c r="DX42" s="2"/>
      <c r="DY42" s="2"/>
      <c r="DZ42" s="40"/>
      <c r="EA42" s="2"/>
      <c r="EB42" s="2"/>
      <c r="EC42" s="2"/>
      <c r="ED42" s="2"/>
      <c r="EE42" s="2"/>
      <c r="EF42" s="2"/>
      <c r="EG42" s="2"/>
      <c r="EH42" s="40"/>
      <c r="EI42" s="2"/>
      <c r="EJ42" s="2"/>
      <c r="EK42" s="2"/>
      <c r="EL42" s="2"/>
      <c r="EM42" s="2"/>
      <c r="EN42" s="2"/>
      <c r="EO42" s="2"/>
      <c r="EP42" s="40"/>
      <c r="EQ42" s="2"/>
      <c r="ER42" s="2"/>
      <c r="ES42" s="2"/>
      <c r="ET42" s="2"/>
      <c r="EU42" s="2"/>
      <c r="EV42" s="2"/>
      <c r="EW42" s="2"/>
      <c r="EX42" s="40"/>
      <c r="EY42" s="2"/>
      <c r="EZ42" s="2"/>
      <c r="FA42" s="2"/>
      <c r="FB42" s="2"/>
      <c r="FC42" s="2"/>
      <c r="FD42" s="2"/>
      <c r="FE42" s="2"/>
      <c r="FF42" s="40"/>
      <c r="FG42" s="2"/>
      <c r="FH42" s="2"/>
      <c r="FI42" s="2"/>
      <c r="FJ42" s="2"/>
      <c r="FK42" s="2"/>
      <c r="FL42" s="2"/>
      <c r="FM42" s="2"/>
    </row>
    <row r="43">
      <c r="A43" s="42"/>
      <c r="B43" s="41"/>
      <c r="C43" s="8"/>
      <c r="D43" s="8"/>
      <c r="E43" s="8"/>
      <c r="F43" s="8"/>
      <c r="G43" s="8"/>
      <c r="H43" s="8"/>
      <c r="I43" s="8"/>
      <c r="J43" s="41" t="str">
        <f t="shared" ref="J43:O43" si="261">B43</f>
        <v/>
      </c>
      <c r="K43" s="8" t="str">
        <f t="shared" si="261"/>
        <v/>
      </c>
      <c r="L43" s="8" t="str">
        <f t="shared" si="261"/>
        <v/>
      </c>
      <c r="M43" s="8" t="str">
        <f t="shared" si="261"/>
        <v/>
      </c>
      <c r="N43" s="8" t="str">
        <f t="shared" si="261"/>
        <v/>
      </c>
      <c r="O43" s="8" t="str">
        <f t="shared" si="261"/>
        <v/>
      </c>
      <c r="P43" s="8"/>
      <c r="Q43" s="8"/>
      <c r="R43" s="41" t="str">
        <f t="shared" ref="R43:W43" si="262">J43</f>
        <v/>
      </c>
      <c r="S43" s="8" t="str">
        <f t="shared" si="262"/>
        <v/>
      </c>
      <c r="T43" s="8" t="str">
        <f t="shared" si="262"/>
        <v/>
      </c>
      <c r="U43" s="8" t="str">
        <f t="shared" si="262"/>
        <v/>
      </c>
      <c r="V43" s="8" t="str">
        <f t="shared" si="262"/>
        <v/>
      </c>
      <c r="W43" s="8" t="str">
        <f t="shared" si="262"/>
        <v/>
      </c>
      <c r="X43" s="8"/>
      <c r="Y43" s="8"/>
      <c r="Z43" s="41" t="str">
        <f t="shared" ref="Z43:AE43" si="263">R43</f>
        <v/>
      </c>
      <c r="AA43" s="8" t="str">
        <f t="shared" si="263"/>
        <v/>
      </c>
      <c r="AB43" s="8" t="str">
        <f t="shared" si="263"/>
        <v/>
      </c>
      <c r="AC43" s="8" t="str">
        <f t="shared" si="263"/>
        <v/>
      </c>
      <c r="AD43" s="8" t="str">
        <f t="shared" si="263"/>
        <v/>
      </c>
      <c r="AE43" s="8" t="str">
        <f t="shared" si="263"/>
        <v/>
      </c>
      <c r="AF43" s="8"/>
      <c r="AG43" s="8"/>
      <c r="AH43" s="41" t="str">
        <f t="shared" ref="AH43:AM43" si="264">Z43</f>
        <v/>
      </c>
      <c r="AI43" s="8" t="str">
        <f t="shared" si="264"/>
        <v/>
      </c>
      <c r="AJ43" s="8" t="str">
        <f t="shared" si="264"/>
        <v/>
      </c>
      <c r="AK43" s="8" t="str">
        <f t="shared" si="264"/>
        <v/>
      </c>
      <c r="AL43" s="8" t="str">
        <f t="shared" si="264"/>
        <v/>
      </c>
      <c r="AM43" s="8" t="str">
        <f t="shared" si="264"/>
        <v/>
      </c>
      <c r="AN43" s="8"/>
      <c r="AO43" s="8"/>
      <c r="AP43" s="41" t="str">
        <f t="shared" ref="AP43:AU43" si="265">AH43</f>
        <v/>
      </c>
      <c r="AQ43" s="8" t="str">
        <f t="shared" si="265"/>
        <v/>
      </c>
      <c r="AR43" s="8" t="str">
        <f t="shared" si="265"/>
        <v/>
      </c>
      <c r="AS43" s="8" t="str">
        <f t="shared" si="265"/>
        <v/>
      </c>
      <c r="AT43" s="8" t="str">
        <f t="shared" si="265"/>
        <v/>
      </c>
      <c r="AU43" s="8" t="str">
        <f t="shared" si="265"/>
        <v/>
      </c>
      <c r="AV43" s="8"/>
      <c r="AW43" s="8"/>
      <c r="AX43" s="41" t="str">
        <f t="shared" ref="AX43:BC43" si="266">AP43</f>
        <v/>
      </c>
      <c r="AY43" s="8" t="str">
        <f t="shared" si="266"/>
        <v/>
      </c>
      <c r="AZ43" s="8" t="str">
        <f t="shared" si="266"/>
        <v/>
      </c>
      <c r="BA43" s="8" t="str">
        <f t="shared" si="266"/>
        <v/>
      </c>
      <c r="BB43" s="8" t="str">
        <f t="shared" si="266"/>
        <v/>
      </c>
      <c r="BC43" s="8" t="str">
        <f t="shared" si="266"/>
        <v/>
      </c>
      <c r="BD43" s="8"/>
      <c r="BE43" s="8"/>
      <c r="BF43" s="41" t="str">
        <f t="shared" ref="BF43:BK43" si="267">AX43</f>
        <v/>
      </c>
      <c r="BG43" s="8" t="str">
        <f t="shared" si="267"/>
        <v/>
      </c>
      <c r="BH43" s="8" t="str">
        <f t="shared" si="267"/>
        <v/>
      </c>
      <c r="BI43" s="8" t="str">
        <f t="shared" si="267"/>
        <v/>
      </c>
      <c r="BJ43" s="8" t="str">
        <f t="shared" si="267"/>
        <v/>
      </c>
      <c r="BK43" s="8" t="str">
        <f t="shared" si="267"/>
        <v/>
      </c>
      <c r="BL43" s="8"/>
      <c r="BM43" s="8"/>
      <c r="BN43" s="41" t="str">
        <f t="shared" ref="BN43:BS43" si="268">BF43</f>
        <v/>
      </c>
      <c r="BO43" s="8" t="str">
        <f t="shared" si="268"/>
        <v/>
      </c>
      <c r="BP43" s="8" t="str">
        <f t="shared" si="268"/>
        <v/>
      </c>
      <c r="BQ43" s="8" t="str">
        <f t="shared" si="268"/>
        <v/>
      </c>
      <c r="BR43" s="8" t="str">
        <f t="shared" si="268"/>
        <v/>
      </c>
      <c r="BS43" s="8" t="str">
        <f t="shared" si="268"/>
        <v/>
      </c>
      <c r="BT43" s="8"/>
      <c r="BU43" s="8"/>
      <c r="BV43" s="41" t="str">
        <f t="shared" ref="BV43:CA43" si="269">BN43</f>
        <v/>
      </c>
      <c r="BW43" s="8" t="str">
        <f t="shared" si="269"/>
        <v/>
      </c>
      <c r="BX43" s="8" t="str">
        <f t="shared" si="269"/>
        <v/>
      </c>
      <c r="BY43" s="8" t="str">
        <f t="shared" si="269"/>
        <v/>
      </c>
      <c r="BZ43" s="8" t="str">
        <f t="shared" si="269"/>
        <v/>
      </c>
      <c r="CA43" s="8" t="str">
        <f t="shared" si="269"/>
        <v/>
      </c>
      <c r="CB43" s="8"/>
      <c r="CC43" s="8"/>
      <c r="CD43" s="41" t="str">
        <f t="shared" ref="CD43:CI43" si="270">BV43</f>
        <v/>
      </c>
      <c r="CE43" s="8" t="str">
        <f t="shared" si="270"/>
        <v/>
      </c>
      <c r="CF43" s="8" t="str">
        <f t="shared" si="270"/>
        <v/>
      </c>
      <c r="CG43" s="8" t="str">
        <f t="shared" si="270"/>
        <v/>
      </c>
      <c r="CH43" s="8" t="str">
        <f t="shared" si="270"/>
        <v/>
      </c>
      <c r="CI43" s="8" t="str">
        <f t="shared" si="270"/>
        <v/>
      </c>
      <c r="CJ43" s="8"/>
      <c r="CK43" s="8"/>
      <c r="CL43" s="41" t="str">
        <f t="shared" ref="CL43:CQ43" si="271">CD43</f>
        <v/>
      </c>
      <c r="CM43" s="8" t="str">
        <f t="shared" si="271"/>
        <v/>
      </c>
      <c r="CN43" s="8" t="str">
        <f t="shared" si="271"/>
        <v/>
      </c>
      <c r="CO43" s="8" t="str">
        <f t="shared" si="271"/>
        <v/>
      </c>
      <c r="CP43" s="8" t="str">
        <f t="shared" si="271"/>
        <v/>
      </c>
      <c r="CQ43" s="8" t="str">
        <f t="shared" si="271"/>
        <v/>
      </c>
      <c r="CR43" s="8"/>
      <c r="CS43" s="8"/>
      <c r="CT43" s="41" t="str">
        <f t="shared" ref="CT43:CY43" si="272">CL43</f>
        <v/>
      </c>
      <c r="CU43" s="8" t="str">
        <f t="shared" si="272"/>
        <v/>
      </c>
      <c r="CV43" s="8" t="str">
        <f t="shared" si="272"/>
        <v/>
      </c>
      <c r="CW43" s="8" t="str">
        <f t="shared" si="272"/>
        <v/>
      </c>
      <c r="CX43" s="8" t="str">
        <f t="shared" si="272"/>
        <v/>
      </c>
      <c r="CY43" s="8" t="str">
        <f t="shared" si="272"/>
        <v/>
      </c>
      <c r="CZ43" s="8"/>
      <c r="DA43" s="8"/>
      <c r="DB43" s="41" t="str">
        <f t="shared" ref="DB43:DG43" si="273">CT43</f>
        <v/>
      </c>
      <c r="DC43" s="8" t="str">
        <f t="shared" si="273"/>
        <v/>
      </c>
      <c r="DD43" s="8" t="str">
        <f t="shared" si="273"/>
        <v/>
      </c>
      <c r="DE43" s="8" t="str">
        <f t="shared" si="273"/>
        <v/>
      </c>
      <c r="DF43" s="8" t="str">
        <f t="shared" si="273"/>
        <v/>
      </c>
      <c r="DG43" s="8" t="str">
        <f t="shared" si="273"/>
        <v/>
      </c>
      <c r="DH43" s="8"/>
      <c r="DI43" s="8"/>
      <c r="DJ43" s="41" t="str">
        <f t="shared" ref="DJ43:DO43" si="274">DB43</f>
        <v/>
      </c>
      <c r="DK43" s="8" t="str">
        <f t="shared" si="274"/>
        <v/>
      </c>
      <c r="DL43" s="8" t="str">
        <f t="shared" si="274"/>
        <v/>
      </c>
      <c r="DM43" s="8" t="str">
        <f t="shared" si="274"/>
        <v/>
      </c>
      <c r="DN43" s="8" t="str">
        <f t="shared" si="274"/>
        <v/>
      </c>
      <c r="DO43" s="8" t="str">
        <f t="shared" si="274"/>
        <v/>
      </c>
      <c r="DP43" s="8"/>
      <c r="DQ43" s="8"/>
      <c r="DR43" s="41" t="str">
        <f t="shared" ref="DR43:DW43" si="275">DJ43</f>
        <v/>
      </c>
      <c r="DS43" s="8" t="str">
        <f t="shared" si="275"/>
        <v/>
      </c>
      <c r="DT43" s="8" t="str">
        <f t="shared" si="275"/>
        <v/>
      </c>
      <c r="DU43" s="8" t="str">
        <f t="shared" si="275"/>
        <v/>
      </c>
      <c r="DV43" s="8" t="str">
        <f t="shared" si="275"/>
        <v/>
      </c>
      <c r="DW43" s="8" t="str">
        <f t="shared" si="275"/>
        <v/>
      </c>
      <c r="DX43" s="8"/>
      <c r="DY43" s="8"/>
      <c r="DZ43" s="41" t="str">
        <f t="shared" ref="DZ43:EE43" si="276">DR43</f>
        <v/>
      </c>
      <c r="EA43" s="8" t="str">
        <f t="shared" si="276"/>
        <v/>
      </c>
      <c r="EB43" s="8" t="str">
        <f t="shared" si="276"/>
        <v/>
      </c>
      <c r="EC43" s="8" t="str">
        <f t="shared" si="276"/>
        <v/>
      </c>
      <c r="ED43" s="8" t="str">
        <f t="shared" si="276"/>
        <v/>
      </c>
      <c r="EE43" s="8" t="str">
        <f t="shared" si="276"/>
        <v/>
      </c>
      <c r="EF43" s="8"/>
      <c r="EG43" s="8"/>
      <c r="EH43" s="41" t="str">
        <f t="shared" ref="EH43:EM43" si="277">DZ43</f>
        <v/>
      </c>
      <c r="EI43" s="8" t="str">
        <f t="shared" si="277"/>
        <v/>
      </c>
      <c r="EJ43" s="8" t="str">
        <f t="shared" si="277"/>
        <v/>
      </c>
      <c r="EK43" s="8" t="str">
        <f t="shared" si="277"/>
        <v/>
      </c>
      <c r="EL43" s="8" t="str">
        <f t="shared" si="277"/>
        <v/>
      </c>
      <c r="EM43" s="8" t="str">
        <f t="shared" si="277"/>
        <v/>
      </c>
      <c r="EN43" s="8"/>
      <c r="EO43" s="8"/>
      <c r="EP43" s="41" t="str">
        <f t="shared" ref="EP43:EU43" si="278">EH43</f>
        <v/>
      </c>
      <c r="EQ43" s="8" t="str">
        <f t="shared" si="278"/>
        <v/>
      </c>
      <c r="ER43" s="8" t="str">
        <f t="shared" si="278"/>
        <v/>
      </c>
      <c r="ES43" s="8" t="str">
        <f t="shared" si="278"/>
        <v/>
      </c>
      <c r="ET43" s="8" t="str">
        <f t="shared" si="278"/>
        <v/>
      </c>
      <c r="EU43" s="8" t="str">
        <f t="shared" si="278"/>
        <v/>
      </c>
      <c r="EV43" s="8"/>
      <c r="EW43" s="8"/>
      <c r="EX43" s="41" t="str">
        <f t="shared" ref="EX43:FC43" si="279">EP43</f>
        <v/>
      </c>
      <c r="EY43" s="8" t="str">
        <f t="shared" si="279"/>
        <v/>
      </c>
      <c r="EZ43" s="8" t="str">
        <f t="shared" si="279"/>
        <v/>
      </c>
      <c r="FA43" s="8" t="str">
        <f t="shared" si="279"/>
        <v/>
      </c>
      <c r="FB43" s="8" t="str">
        <f t="shared" si="279"/>
        <v/>
      </c>
      <c r="FC43" s="8" t="str">
        <f t="shared" si="279"/>
        <v/>
      </c>
      <c r="FD43" s="8"/>
      <c r="FE43" s="8"/>
      <c r="FF43" s="41" t="str">
        <f t="shared" ref="FF43:FK43" si="280">EX43</f>
        <v/>
      </c>
      <c r="FG43" s="8" t="str">
        <f t="shared" si="280"/>
        <v/>
      </c>
      <c r="FH43" s="8" t="str">
        <f t="shared" si="280"/>
        <v/>
      </c>
      <c r="FI43" s="8" t="str">
        <f t="shared" si="280"/>
        <v/>
      </c>
      <c r="FJ43" s="8" t="str">
        <f t="shared" si="280"/>
        <v/>
      </c>
      <c r="FK43" s="8" t="str">
        <f t="shared" si="280"/>
        <v/>
      </c>
      <c r="FL43" s="8"/>
      <c r="FM43" s="8"/>
    </row>
    <row r="44">
      <c r="A44" s="42"/>
      <c r="B44" s="41"/>
      <c r="C44" s="8"/>
      <c r="D44" s="8"/>
      <c r="E44" s="8"/>
      <c r="F44" s="8"/>
      <c r="G44" s="8"/>
      <c r="H44" s="8"/>
      <c r="I44" s="8"/>
      <c r="J44" s="41" t="str">
        <f t="shared" ref="J44:O44" si="281">B44</f>
        <v/>
      </c>
      <c r="K44" s="8" t="str">
        <f t="shared" si="281"/>
        <v/>
      </c>
      <c r="L44" s="8" t="str">
        <f t="shared" si="281"/>
        <v/>
      </c>
      <c r="M44" s="8" t="str">
        <f t="shared" si="281"/>
        <v/>
      </c>
      <c r="N44" s="8" t="str">
        <f t="shared" si="281"/>
        <v/>
      </c>
      <c r="O44" s="8" t="str">
        <f t="shared" si="281"/>
        <v/>
      </c>
      <c r="P44" s="8"/>
      <c r="Q44" s="8"/>
      <c r="R44" s="41" t="str">
        <f t="shared" ref="R44:W44" si="282">J44</f>
        <v/>
      </c>
      <c r="S44" s="8" t="str">
        <f t="shared" si="282"/>
        <v/>
      </c>
      <c r="T44" s="8" t="str">
        <f t="shared" si="282"/>
        <v/>
      </c>
      <c r="U44" s="8" t="str">
        <f t="shared" si="282"/>
        <v/>
      </c>
      <c r="V44" s="8" t="str">
        <f t="shared" si="282"/>
        <v/>
      </c>
      <c r="W44" s="8" t="str">
        <f t="shared" si="282"/>
        <v/>
      </c>
      <c r="X44" s="8"/>
      <c r="Y44" s="8"/>
      <c r="Z44" s="41" t="str">
        <f t="shared" ref="Z44:AE44" si="283">R44</f>
        <v/>
      </c>
      <c r="AA44" s="8" t="str">
        <f t="shared" si="283"/>
        <v/>
      </c>
      <c r="AB44" s="8" t="str">
        <f t="shared" si="283"/>
        <v/>
      </c>
      <c r="AC44" s="8" t="str">
        <f t="shared" si="283"/>
        <v/>
      </c>
      <c r="AD44" s="8" t="str">
        <f t="shared" si="283"/>
        <v/>
      </c>
      <c r="AE44" s="8" t="str">
        <f t="shared" si="283"/>
        <v/>
      </c>
      <c r="AF44" s="8"/>
      <c r="AG44" s="8"/>
      <c r="AH44" s="41" t="str">
        <f t="shared" ref="AH44:AM44" si="284">Z44</f>
        <v/>
      </c>
      <c r="AI44" s="8" t="str">
        <f t="shared" si="284"/>
        <v/>
      </c>
      <c r="AJ44" s="8" t="str">
        <f t="shared" si="284"/>
        <v/>
      </c>
      <c r="AK44" s="8" t="str">
        <f t="shared" si="284"/>
        <v/>
      </c>
      <c r="AL44" s="8" t="str">
        <f t="shared" si="284"/>
        <v/>
      </c>
      <c r="AM44" s="8" t="str">
        <f t="shared" si="284"/>
        <v/>
      </c>
      <c r="AN44" s="8"/>
      <c r="AO44" s="8"/>
      <c r="AP44" s="41" t="str">
        <f t="shared" ref="AP44:AU44" si="285">AH44</f>
        <v/>
      </c>
      <c r="AQ44" s="8" t="str">
        <f t="shared" si="285"/>
        <v/>
      </c>
      <c r="AR44" s="8" t="str">
        <f t="shared" si="285"/>
        <v/>
      </c>
      <c r="AS44" s="8" t="str">
        <f t="shared" si="285"/>
        <v/>
      </c>
      <c r="AT44" s="8" t="str">
        <f t="shared" si="285"/>
        <v/>
      </c>
      <c r="AU44" s="8" t="str">
        <f t="shared" si="285"/>
        <v/>
      </c>
      <c r="AV44" s="8"/>
      <c r="AW44" s="8"/>
      <c r="AX44" s="41" t="str">
        <f t="shared" ref="AX44:BC44" si="286">AP44</f>
        <v/>
      </c>
      <c r="AY44" s="8" t="str">
        <f t="shared" si="286"/>
        <v/>
      </c>
      <c r="AZ44" s="8" t="str">
        <f t="shared" si="286"/>
        <v/>
      </c>
      <c r="BA44" s="8" t="str">
        <f t="shared" si="286"/>
        <v/>
      </c>
      <c r="BB44" s="8" t="str">
        <f t="shared" si="286"/>
        <v/>
      </c>
      <c r="BC44" s="8" t="str">
        <f t="shared" si="286"/>
        <v/>
      </c>
      <c r="BD44" s="8"/>
      <c r="BE44" s="8"/>
      <c r="BF44" s="41" t="str">
        <f t="shared" ref="BF44:BK44" si="287">AX44</f>
        <v/>
      </c>
      <c r="BG44" s="8" t="str">
        <f t="shared" si="287"/>
        <v/>
      </c>
      <c r="BH44" s="8" t="str">
        <f t="shared" si="287"/>
        <v/>
      </c>
      <c r="BI44" s="8" t="str">
        <f t="shared" si="287"/>
        <v/>
      </c>
      <c r="BJ44" s="8" t="str">
        <f t="shared" si="287"/>
        <v/>
      </c>
      <c r="BK44" s="8" t="str">
        <f t="shared" si="287"/>
        <v/>
      </c>
      <c r="BL44" s="8"/>
      <c r="BM44" s="8"/>
      <c r="BN44" s="41" t="str">
        <f t="shared" ref="BN44:BS44" si="288">BF44</f>
        <v/>
      </c>
      <c r="BO44" s="8" t="str">
        <f t="shared" si="288"/>
        <v/>
      </c>
      <c r="BP44" s="8" t="str">
        <f t="shared" si="288"/>
        <v/>
      </c>
      <c r="BQ44" s="8" t="str">
        <f t="shared" si="288"/>
        <v/>
      </c>
      <c r="BR44" s="8" t="str">
        <f t="shared" si="288"/>
        <v/>
      </c>
      <c r="BS44" s="8" t="str">
        <f t="shared" si="288"/>
        <v/>
      </c>
      <c r="BT44" s="8"/>
      <c r="BU44" s="8"/>
      <c r="BV44" s="41" t="str">
        <f t="shared" ref="BV44:CA44" si="289">BN44</f>
        <v/>
      </c>
      <c r="BW44" s="8" t="str">
        <f t="shared" si="289"/>
        <v/>
      </c>
      <c r="BX44" s="8" t="str">
        <f t="shared" si="289"/>
        <v/>
      </c>
      <c r="BY44" s="8" t="str">
        <f t="shared" si="289"/>
        <v/>
      </c>
      <c r="BZ44" s="8" t="str">
        <f t="shared" si="289"/>
        <v/>
      </c>
      <c r="CA44" s="8" t="str">
        <f t="shared" si="289"/>
        <v/>
      </c>
      <c r="CB44" s="8"/>
      <c r="CC44" s="8"/>
      <c r="CD44" s="41" t="str">
        <f t="shared" ref="CD44:CI44" si="290">BV44</f>
        <v/>
      </c>
      <c r="CE44" s="8" t="str">
        <f t="shared" si="290"/>
        <v/>
      </c>
      <c r="CF44" s="8" t="str">
        <f t="shared" si="290"/>
        <v/>
      </c>
      <c r="CG44" s="8" t="str">
        <f t="shared" si="290"/>
        <v/>
      </c>
      <c r="CH44" s="8" t="str">
        <f t="shared" si="290"/>
        <v/>
      </c>
      <c r="CI44" s="8" t="str">
        <f t="shared" si="290"/>
        <v/>
      </c>
      <c r="CJ44" s="8"/>
      <c r="CK44" s="8"/>
      <c r="CL44" s="41" t="str">
        <f t="shared" ref="CL44:CQ44" si="291">CD44</f>
        <v/>
      </c>
      <c r="CM44" s="8" t="str">
        <f t="shared" si="291"/>
        <v/>
      </c>
      <c r="CN44" s="8" t="str">
        <f t="shared" si="291"/>
        <v/>
      </c>
      <c r="CO44" s="8" t="str">
        <f t="shared" si="291"/>
        <v/>
      </c>
      <c r="CP44" s="8" t="str">
        <f t="shared" si="291"/>
        <v/>
      </c>
      <c r="CQ44" s="8" t="str">
        <f t="shared" si="291"/>
        <v/>
      </c>
      <c r="CR44" s="8"/>
      <c r="CS44" s="8"/>
      <c r="CT44" s="41" t="str">
        <f t="shared" ref="CT44:CY44" si="292">CL44</f>
        <v/>
      </c>
      <c r="CU44" s="8" t="str">
        <f t="shared" si="292"/>
        <v/>
      </c>
      <c r="CV44" s="8" t="str">
        <f t="shared" si="292"/>
        <v/>
      </c>
      <c r="CW44" s="8" t="str">
        <f t="shared" si="292"/>
        <v/>
      </c>
      <c r="CX44" s="8" t="str">
        <f t="shared" si="292"/>
        <v/>
      </c>
      <c r="CY44" s="8" t="str">
        <f t="shared" si="292"/>
        <v/>
      </c>
      <c r="CZ44" s="8"/>
      <c r="DA44" s="8"/>
      <c r="DB44" s="41" t="str">
        <f t="shared" ref="DB44:DG44" si="293">CT44</f>
        <v/>
      </c>
      <c r="DC44" s="8" t="str">
        <f t="shared" si="293"/>
        <v/>
      </c>
      <c r="DD44" s="8" t="str">
        <f t="shared" si="293"/>
        <v/>
      </c>
      <c r="DE44" s="8" t="str">
        <f t="shared" si="293"/>
        <v/>
      </c>
      <c r="DF44" s="8" t="str">
        <f t="shared" si="293"/>
        <v/>
      </c>
      <c r="DG44" s="8" t="str">
        <f t="shared" si="293"/>
        <v/>
      </c>
      <c r="DH44" s="8"/>
      <c r="DI44" s="8"/>
      <c r="DJ44" s="41" t="str">
        <f t="shared" ref="DJ44:DO44" si="294">DB44</f>
        <v/>
      </c>
      <c r="DK44" s="8" t="str">
        <f t="shared" si="294"/>
        <v/>
      </c>
      <c r="DL44" s="8" t="str">
        <f t="shared" si="294"/>
        <v/>
      </c>
      <c r="DM44" s="8" t="str">
        <f t="shared" si="294"/>
        <v/>
      </c>
      <c r="DN44" s="8" t="str">
        <f t="shared" si="294"/>
        <v/>
      </c>
      <c r="DO44" s="8" t="str">
        <f t="shared" si="294"/>
        <v/>
      </c>
      <c r="DP44" s="8"/>
      <c r="DQ44" s="8"/>
      <c r="DR44" s="41" t="str">
        <f t="shared" ref="DR44:DW44" si="295">DJ44</f>
        <v/>
      </c>
      <c r="DS44" s="8" t="str">
        <f t="shared" si="295"/>
        <v/>
      </c>
      <c r="DT44" s="8" t="str">
        <f t="shared" si="295"/>
        <v/>
      </c>
      <c r="DU44" s="8" t="str">
        <f t="shared" si="295"/>
        <v/>
      </c>
      <c r="DV44" s="8" t="str">
        <f t="shared" si="295"/>
        <v/>
      </c>
      <c r="DW44" s="8" t="str">
        <f t="shared" si="295"/>
        <v/>
      </c>
      <c r="DX44" s="8"/>
      <c r="DY44" s="8"/>
      <c r="DZ44" s="41" t="str">
        <f t="shared" ref="DZ44:EE44" si="296">DR44</f>
        <v/>
      </c>
      <c r="EA44" s="8" t="str">
        <f t="shared" si="296"/>
        <v/>
      </c>
      <c r="EB44" s="8" t="str">
        <f t="shared" si="296"/>
        <v/>
      </c>
      <c r="EC44" s="8" t="str">
        <f t="shared" si="296"/>
        <v/>
      </c>
      <c r="ED44" s="8" t="str">
        <f t="shared" si="296"/>
        <v/>
      </c>
      <c r="EE44" s="8" t="str">
        <f t="shared" si="296"/>
        <v/>
      </c>
      <c r="EF44" s="8"/>
      <c r="EG44" s="8"/>
      <c r="EH44" s="41" t="str">
        <f t="shared" ref="EH44:EM44" si="297">DZ44</f>
        <v/>
      </c>
      <c r="EI44" s="8" t="str">
        <f t="shared" si="297"/>
        <v/>
      </c>
      <c r="EJ44" s="8" t="str">
        <f t="shared" si="297"/>
        <v/>
      </c>
      <c r="EK44" s="8" t="str">
        <f t="shared" si="297"/>
        <v/>
      </c>
      <c r="EL44" s="8" t="str">
        <f t="shared" si="297"/>
        <v/>
      </c>
      <c r="EM44" s="8" t="str">
        <f t="shared" si="297"/>
        <v/>
      </c>
      <c r="EN44" s="8"/>
      <c r="EO44" s="8"/>
      <c r="EP44" s="41" t="str">
        <f t="shared" ref="EP44:EU44" si="298">EH44</f>
        <v/>
      </c>
      <c r="EQ44" s="8" t="str">
        <f t="shared" si="298"/>
        <v/>
      </c>
      <c r="ER44" s="8" t="str">
        <f t="shared" si="298"/>
        <v/>
      </c>
      <c r="ES44" s="8" t="str">
        <f t="shared" si="298"/>
        <v/>
      </c>
      <c r="ET44" s="8" t="str">
        <f t="shared" si="298"/>
        <v/>
      </c>
      <c r="EU44" s="8" t="str">
        <f t="shared" si="298"/>
        <v/>
      </c>
      <c r="EV44" s="8"/>
      <c r="EW44" s="8"/>
      <c r="EX44" s="41" t="str">
        <f t="shared" ref="EX44:FC44" si="299">EP44</f>
        <v/>
      </c>
      <c r="EY44" s="8" t="str">
        <f t="shared" si="299"/>
        <v/>
      </c>
      <c r="EZ44" s="8" t="str">
        <f t="shared" si="299"/>
        <v/>
      </c>
      <c r="FA44" s="8" t="str">
        <f t="shared" si="299"/>
        <v/>
      </c>
      <c r="FB44" s="8" t="str">
        <f t="shared" si="299"/>
        <v/>
      </c>
      <c r="FC44" s="8" t="str">
        <f t="shared" si="299"/>
        <v/>
      </c>
      <c r="FD44" s="8"/>
      <c r="FE44" s="8"/>
      <c r="FF44" s="41" t="str">
        <f t="shared" ref="FF44:FK44" si="300">EX44</f>
        <v/>
      </c>
      <c r="FG44" s="8" t="str">
        <f t="shared" si="300"/>
        <v/>
      </c>
      <c r="FH44" s="8" t="str">
        <f t="shared" si="300"/>
        <v/>
      </c>
      <c r="FI44" s="8" t="str">
        <f t="shared" si="300"/>
        <v/>
      </c>
      <c r="FJ44" s="8" t="str">
        <f t="shared" si="300"/>
        <v/>
      </c>
      <c r="FK44" s="8" t="str">
        <f t="shared" si="300"/>
        <v/>
      </c>
      <c r="FL44" s="8"/>
      <c r="FM44" s="8"/>
    </row>
    <row r="45">
      <c r="A45" s="43"/>
      <c r="B45" s="44"/>
      <c r="C45" s="45"/>
      <c r="D45" s="45"/>
      <c r="E45" s="45"/>
      <c r="F45" s="45"/>
      <c r="G45" s="45"/>
      <c r="H45" s="45"/>
      <c r="I45" s="45"/>
      <c r="J45" s="44" t="str">
        <f t="shared" ref="J45:O45" si="301">B45</f>
        <v/>
      </c>
      <c r="K45" s="45" t="str">
        <f t="shared" si="301"/>
        <v/>
      </c>
      <c r="L45" s="45" t="str">
        <f t="shared" si="301"/>
        <v/>
      </c>
      <c r="M45" s="45" t="str">
        <f t="shared" si="301"/>
        <v/>
      </c>
      <c r="N45" s="45" t="str">
        <f t="shared" si="301"/>
        <v/>
      </c>
      <c r="O45" s="45" t="str">
        <f t="shared" si="301"/>
        <v/>
      </c>
      <c r="P45" s="45"/>
      <c r="Q45" s="45"/>
      <c r="R45" s="44" t="str">
        <f t="shared" ref="R45:W45" si="302">J45</f>
        <v/>
      </c>
      <c r="S45" s="45" t="str">
        <f t="shared" si="302"/>
        <v/>
      </c>
      <c r="T45" s="45" t="str">
        <f t="shared" si="302"/>
        <v/>
      </c>
      <c r="U45" s="45" t="str">
        <f t="shared" si="302"/>
        <v/>
      </c>
      <c r="V45" s="45" t="str">
        <f t="shared" si="302"/>
        <v/>
      </c>
      <c r="W45" s="45" t="str">
        <f t="shared" si="302"/>
        <v/>
      </c>
      <c r="X45" s="45"/>
      <c r="Y45" s="45"/>
      <c r="Z45" s="44" t="str">
        <f t="shared" ref="Z45:AE45" si="303">R45</f>
        <v/>
      </c>
      <c r="AA45" s="45" t="str">
        <f t="shared" si="303"/>
        <v/>
      </c>
      <c r="AB45" s="45" t="str">
        <f t="shared" si="303"/>
        <v/>
      </c>
      <c r="AC45" s="45" t="str">
        <f t="shared" si="303"/>
        <v/>
      </c>
      <c r="AD45" s="45" t="str">
        <f t="shared" si="303"/>
        <v/>
      </c>
      <c r="AE45" s="45" t="str">
        <f t="shared" si="303"/>
        <v/>
      </c>
      <c r="AF45" s="45"/>
      <c r="AG45" s="45"/>
      <c r="AH45" s="44" t="str">
        <f t="shared" ref="AH45:AM45" si="304">Z45</f>
        <v/>
      </c>
      <c r="AI45" s="45" t="str">
        <f t="shared" si="304"/>
        <v/>
      </c>
      <c r="AJ45" s="45" t="str">
        <f t="shared" si="304"/>
        <v/>
      </c>
      <c r="AK45" s="45" t="str">
        <f t="shared" si="304"/>
        <v/>
      </c>
      <c r="AL45" s="45" t="str">
        <f t="shared" si="304"/>
        <v/>
      </c>
      <c r="AM45" s="45" t="str">
        <f t="shared" si="304"/>
        <v/>
      </c>
      <c r="AN45" s="45"/>
      <c r="AO45" s="45"/>
      <c r="AP45" s="44" t="str">
        <f t="shared" ref="AP45:AU45" si="305">AH45</f>
        <v/>
      </c>
      <c r="AQ45" s="45" t="str">
        <f t="shared" si="305"/>
        <v/>
      </c>
      <c r="AR45" s="45" t="str">
        <f t="shared" si="305"/>
        <v/>
      </c>
      <c r="AS45" s="45" t="str">
        <f t="shared" si="305"/>
        <v/>
      </c>
      <c r="AT45" s="45" t="str">
        <f t="shared" si="305"/>
        <v/>
      </c>
      <c r="AU45" s="45" t="str">
        <f t="shared" si="305"/>
        <v/>
      </c>
      <c r="AV45" s="45"/>
      <c r="AW45" s="45"/>
      <c r="AX45" s="44" t="str">
        <f t="shared" ref="AX45:BC45" si="306">AP45</f>
        <v/>
      </c>
      <c r="AY45" s="45" t="str">
        <f t="shared" si="306"/>
        <v/>
      </c>
      <c r="AZ45" s="45" t="str">
        <f t="shared" si="306"/>
        <v/>
      </c>
      <c r="BA45" s="45" t="str">
        <f t="shared" si="306"/>
        <v/>
      </c>
      <c r="BB45" s="45" t="str">
        <f t="shared" si="306"/>
        <v/>
      </c>
      <c r="BC45" s="45" t="str">
        <f t="shared" si="306"/>
        <v/>
      </c>
      <c r="BD45" s="45"/>
      <c r="BE45" s="45"/>
      <c r="BF45" s="44" t="str">
        <f t="shared" ref="BF45:BK45" si="307">AX45</f>
        <v/>
      </c>
      <c r="BG45" s="45" t="str">
        <f t="shared" si="307"/>
        <v/>
      </c>
      <c r="BH45" s="45" t="str">
        <f t="shared" si="307"/>
        <v/>
      </c>
      <c r="BI45" s="45" t="str">
        <f t="shared" si="307"/>
        <v/>
      </c>
      <c r="BJ45" s="45" t="str">
        <f t="shared" si="307"/>
        <v/>
      </c>
      <c r="BK45" s="45" t="str">
        <f t="shared" si="307"/>
        <v/>
      </c>
      <c r="BL45" s="45"/>
      <c r="BM45" s="45"/>
      <c r="BN45" s="44" t="str">
        <f t="shared" ref="BN45:BS45" si="308">BF45</f>
        <v/>
      </c>
      <c r="BO45" s="45" t="str">
        <f t="shared" si="308"/>
        <v/>
      </c>
      <c r="BP45" s="45" t="str">
        <f t="shared" si="308"/>
        <v/>
      </c>
      <c r="BQ45" s="45" t="str">
        <f t="shared" si="308"/>
        <v/>
      </c>
      <c r="BR45" s="45" t="str">
        <f t="shared" si="308"/>
        <v/>
      </c>
      <c r="BS45" s="45" t="str">
        <f t="shared" si="308"/>
        <v/>
      </c>
      <c r="BT45" s="45"/>
      <c r="BU45" s="45"/>
      <c r="BV45" s="44" t="str">
        <f t="shared" ref="BV45:CA45" si="309">BN45</f>
        <v/>
      </c>
      <c r="BW45" s="45" t="str">
        <f t="shared" si="309"/>
        <v/>
      </c>
      <c r="BX45" s="45" t="str">
        <f t="shared" si="309"/>
        <v/>
      </c>
      <c r="BY45" s="45" t="str">
        <f t="shared" si="309"/>
        <v/>
      </c>
      <c r="BZ45" s="45" t="str">
        <f t="shared" si="309"/>
        <v/>
      </c>
      <c r="CA45" s="45" t="str">
        <f t="shared" si="309"/>
        <v/>
      </c>
      <c r="CB45" s="45"/>
      <c r="CC45" s="45"/>
      <c r="CD45" s="44" t="str">
        <f t="shared" ref="CD45:CI45" si="310">BV45</f>
        <v/>
      </c>
      <c r="CE45" s="45" t="str">
        <f t="shared" si="310"/>
        <v/>
      </c>
      <c r="CF45" s="45" t="str">
        <f t="shared" si="310"/>
        <v/>
      </c>
      <c r="CG45" s="45" t="str">
        <f t="shared" si="310"/>
        <v/>
      </c>
      <c r="CH45" s="45" t="str">
        <f t="shared" si="310"/>
        <v/>
      </c>
      <c r="CI45" s="45" t="str">
        <f t="shared" si="310"/>
        <v/>
      </c>
      <c r="CJ45" s="45"/>
      <c r="CK45" s="45"/>
      <c r="CL45" s="44" t="str">
        <f t="shared" ref="CL45:CQ45" si="311">CD45</f>
        <v/>
      </c>
      <c r="CM45" s="45" t="str">
        <f t="shared" si="311"/>
        <v/>
      </c>
      <c r="CN45" s="45" t="str">
        <f t="shared" si="311"/>
        <v/>
      </c>
      <c r="CO45" s="45" t="str">
        <f t="shared" si="311"/>
        <v/>
      </c>
      <c r="CP45" s="45" t="str">
        <f t="shared" si="311"/>
        <v/>
      </c>
      <c r="CQ45" s="45" t="str">
        <f t="shared" si="311"/>
        <v/>
      </c>
      <c r="CR45" s="45"/>
      <c r="CS45" s="45"/>
      <c r="CT45" s="44" t="str">
        <f t="shared" ref="CT45:CY45" si="312">CL45</f>
        <v/>
      </c>
      <c r="CU45" s="45" t="str">
        <f t="shared" si="312"/>
        <v/>
      </c>
      <c r="CV45" s="45" t="str">
        <f t="shared" si="312"/>
        <v/>
      </c>
      <c r="CW45" s="45" t="str">
        <f t="shared" si="312"/>
        <v/>
      </c>
      <c r="CX45" s="45" t="str">
        <f t="shared" si="312"/>
        <v/>
      </c>
      <c r="CY45" s="45" t="str">
        <f t="shared" si="312"/>
        <v/>
      </c>
      <c r="CZ45" s="45"/>
      <c r="DA45" s="45"/>
      <c r="DB45" s="44" t="str">
        <f t="shared" ref="DB45:DG45" si="313">CT45</f>
        <v/>
      </c>
      <c r="DC45" s="45" t="str">
        <f t="shared" si="313"/>
        <v/>
      </c>
      <c r="DD45" s="45" t="str">
        <f t="shared" si="313"/>
        <v/>
      </c>
      <c r="DE45" s="45" t="str">
        <f t="shared" si="313"/>
        <v/>
      </c>
      <c r="DF45" s="45" t="str">
        <f t="shared" si="313"/>
        <v/>
      </c>
      <c r="DG45" s="45" t="str">
        <f t="shared" si="313"/>
        <v/>
      </c>
      <c r="DH45" s="45"/>
      <c r="DI45" s="45"/>
      <c r="DJ45" s="44" t="str">
        <f t="shared" ref="DJ45:DO45" si="314">DB45</f>
        <v/>
      </c>
      <c r="DK45" s="45" t="str">
        <f t="shared" si="314"/>
        <v/>
      </c>
      <c r="DL45" s="45" t="str">
        <f t="shared" si="314"/>
        <v/>
      </c>
      <c r="DM45" s="45" t="str">
        <f t="shared" si="314"/>
        <v/>
      </c>
      <c r="DN45" s="45" t="str">
        <f t="shared" si="314"/>
        <v/>
      </c>
      <c r="DO45" s="45" t="str">
        <f t="shared" si="314"/>
        <v/>
      </c>
      <c r="DP45" s="45"/>
      <c r="DQ45" s="45"/>
      <c r="DR45" s="44" t="str">
        <f t="shared" ref="DR45:DW45" si="315">DJ45</f>
        <v/>
      </c>
      <c r="DS45" s="45" t="str">
        <f t="shared" si="315"/>
        <v/>
      </c>
      <c r="DT45" s="45" t="str">
        <f t="shared" si="315"/>
        <v/>
      </c>
      <c r="DU45" s="45" t="str">
        <f t="shared" si="315"/>
        <v/>
      </c>
      <c r="DV45" s="45" t="str">
        <f t="shared" si="315"/>
        <v/>
      </c>
      <c r="DW45" s="45" t="str">
        <f t="shared" si="315"/>
        <v/>
      </c>
      <c r="DX45" s="45"/>
      <c r="DY45" s="45"/>
      <c r="DZ45" s="44" t="str">
        <f t="shared" ref="DZ45:EE45" si="316">DR45</f>
        <v/>
      </c>
      <c r="EA45" s="45" t="str">
        <f t="shared" si="316"/>
        <v/>
      </c>
      <c r="EB45" s="45" t="str">
        <f t="shared" si="316"/>
        <v/>
      </c>
      <c r="EC45" s="45" t="str">
        <f t="shared" si="316"/>
        <v/>
      </c>
      <c r="ED45" s="45" t="str">
        <f t="shared" si="316"/>
        <v/>
      </c>
      <c r="EE45" s="45" t="str">
        <f t="shared" si="316"/>
        <v/>
      </c>
      <c r="EF45" s="45"/>
      <c r="EG45" s="45"/>
      <c r="EH45" s="44" t="str">
        <f t="shared" ref="EH45:EM45" si="317">DZ45</f>
        <v/>
      </c>
      <c r="EI45" s="45" t="str">
        <f t="shared" si="317"/>
        <v/>
      </c>
      <c r="EJ45" s="45" t="str">
        <f t="shared" si="317"/>
        <v/>
      </c>
      <c r="EK45" s="45" t="str">
        <f t="shared" si="317"/>
        <v/>
      </c>
      <c r="EL45" s="45" t="str">
        <f t="shared" si="317"/>
        <v/>
      </c>
      <c r="EM45" s="45" t="str">
        <f t="shared" si="317"/>
        <v/>
      </c>
      <c r="EN45" s="45"/>
      <c r="EO45" s="45"/>
      <c r="EP45" s="44" t="str">
        <f t="shared" ref="EP45:EU45" si="318">EH45</f>
        <v/>
      </c>
      <c r="EQ45" s="45" t="str">
        <f t="shared" si="318"/>
        <v/>
      </c>
      <c r="ER45" s="45" t="str">
        <f t="shared" si="318"/>
        <v/>
      </c>
      <c r="ES45" s="45" t="str">
        <f t="shared" si="318"/>
        <v/>
      </c>
      <c r="ET45" s="45" t="str">
        <f t="shared" si="318"/>
        <v/>
      </c>
      <c r="EU45" s="45" t="str">
        <f t="shared" si="318"/>
        <v/>
      </c>
      <c r="EV45" s="45"/>
      <c r="EW45" s="45"/>
      <c r="EX45" s="44" t="str">
        <f t="shared" ref="EX45:FC45" si="319">EP45</f>
        <v/>
      </c>
      <c r="EY45" s="45" t="str">
        <f t="shared" si="319"/>
        <v/>
      </c>
      <c r="EZ45" s="45" t="str">
        <f t="shared" si="319"/>
        <v/>
      </c>
      <c r="FA45" s="45" t="str">
        <f t="shared" si="319"/>
        <v/>
      </c>
      <c r="FB45" s="45" t="str">
        <f t="shared" si="319"/>
        <v/>
      </c>
      <c r="FC45" s="45" t="str">
        <f t="shared" si="319"/>
        <v/>
      </c>
      <c r="FD45" s="45"/>
      <c r="FE45" s="45"/>
      <c r="FF45" s="44" t="str">
        <f t="shared" ref="FF45:FK45" si="320">EX45</f>
        <v/>
      </c>
      <c r="FG45" s="45" t="str">
        <f t="shared" si="320"/>
        <v/>
      </c>
      <c r="FH45" s="45" t="str">
        <f t="shared" si="320"/>
        <v/>
      </c>
      <c r="FI45" s="45" t="str">
        <f t="shared" si="320"/>
        <v/>
      </c>
      <c r="FJ45" s="45" t="str">
        <f t="shared" si="320"/>
        <v/>
      </c>
      <c r="FK45" s="45" t="str">
        <f t="shared" si="320"/>
        <v/>
      </c>
      <c r="FL45" s="45"/>
      <c r="FM45" s="45"/>
    </row>
    <row r="46">
      <c r="A46" s="2"/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31" t="s">
        <v>85</v>
      </c>
      <c r="B47" s="32"/>
      <c r="C47" s="33"/>
      <c r="D47" s="33"/>
      <c r="E47" s="33"/>
      <c r="F47" s="33"/>
      <c r="G47" s="33"/>
      <c r="H47" s="33"/>
      <c r="I47" s="33"/>
      <c r="J47" s="32"/>
      <c r="K47" s="33"/>
      <c r="L47" s="33"/>
      <c r="M47" s="33"/>
      <c r="N47" s="33"/>
      <c r="O47" s="33"/>
      <c r="P47" s="33"/>
      <c r="Q47" s="33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J47" s="33"/>
      <c r="AK47" s="33"/>
      <c r="AL47" s="33"/>
      <c r="AM47" s="33"/>
      <c r="AN47" s="33"/>
      <c r="AO47" s="33"/>
      <c r="AP47" s="32"/>
      <c r="AQ47" s="33"/>
      <c r="AR47" s="33"/>
      <c r="AS47" s="33"/>
      <c r="AT47" s="33"/>
      <c r="AU47" s="33"/>
      <c r="AV47" s="33"/>
      <c r="AW47" s="33"/>
      <c r="AX47" s="32"/>
      <c r="AY47" s="33"/>
      <c r="AZ47" s="33"/>
      <c r="BA47" s="33"/>
      <c r="BB47" s="33"/>
      <c r="BC47" s="33"/>
      <c r="BD47" s="33"/>
      <c r="BE47" s="33"/>
      <c r="BF47" s="32"/>
      <c r="BG47" s="33"/>
      <c r="BH47" s="33"/>
      <c r="BI47" s="33"/>
      <c r="BJ47" s="33"/>
      <c r="BK47" s="33"/>
      <c r="BL47" s="33"/>
      <c r="BM47" s="33"/>
      <c r="BN47" s="32"/>
      <c r="BO47" s="33"/>
      <c r="BP47" s="33"/>
      <c r="BQ47" s="33"/>
      <c r="BR47" s="33"/>
      <c r="BS47" s="33"/>
      <c r="BT47" s="33"/>
      <c r="BU47" s="33"/>
      <c r="BV47" s="32"/>
      <c r="BW47" s="33"/>
      <c r="BX47" s="33"/>
      <c r="BY47" s="33"/>
      <c r="BZ47" s="33"/>
      <c r="CA47" s="33"/>
      <c r="CB47" s="33"/>
      <c r="CC47" s="33"/>
      <c r="CD47" s="32"/>
      <c r="CE47" s="33"/>
      <c r="CF47" s="33"/>
      <c r="CG47" s="33"/>
      <c r="CH47" s="33"/>
      <c r="CI47" s="33"/>
      <c r="CJ47" s="33"/>
      <c r="CK47" s="33"/>
      <c r="CL47" s="32"/>
      <c r="CM47" s="33"/>
      <c r="CN47" s="33"/>
      <c r="CO47" s="33"/>
      <c r="CP47" s="33"/>
      <c r="CQ47" s="33"/>
      <c r="CR47" s="33"/>
      <c r="CS47" s="33"/>
      <c r="CT47" s="32"/>
      <c r="CU47" s="33"/>
      <c r="CV47" s="33"/>
      <c r="CW47" s="33"/>
      <c r="CX47" s="33"/>
      <c r="CY47" s="33"/>
      <c r="CZ47" s="33"/>
      <c r="DA47" s="33"/>
      <c r="DB47" s="32"/>
      <c r="DC47" s="33"/>
      <c r="DD47" s="33"/>
      <c r="DE47" s="33"/>
      <c r="DF47" s="33"/>
      <c r="DG47" s="33"/>
      <c r="DH47" s="33"/>
      <c r="DI47" s="33"/>
      <c r="DJ47" s="32"/>
      <c r="DK47" s="33"/>
      <c r="DL47" s="33"/>
      <c r="DM47" s="33"/>
      <c r="DN47" s="33"/>
      <c r="DO47" s="33"/>
      <c r="DP47" s="33"/>
      <c r="DQ47" s="33"/>
      <c r="DR47" s="32"/>
      <c r="DS47" s="33"/>
      <c r="DT47" s="33"/>
      <c r="DU47" s="33"/>
      <c r="DV47" s="33"/>
      <c r="DW47" s="33"/>
      <c r="DX47" s="33"/>
      <c r="DY47" s="33"/>
      <c r="DZ47" s="32"/>
      <c r="EA47" s="33"/>
      <c r="EB47" s="33"/>
      <c r="EC47" s="33"/>
      <c r="ED47" s="33"/>
      <c r="EE47" s="33"/>
      <c r="EF47" s="33"/>
      <c r="EG47" s="33"/>
      <c r="EH47" s="32"/>
      <c r="EI47" s="33"/>
      <c r="EJ47" s="33"/>
      <c r="EK47" s="33"/>
      <c r="EL47" s="33"/>
      <c r="EM47" s="33"/>
      <c r="EN47" s="33"/>
      <c r="EO47" s="33"/>
      <c r="EP47" s="32"/>
      <c r="EQ47" s="33"/>
      <c r="ER47" s="33"/>
      <c r="ES47" s="33"/>
      <c r="ET47" s="33"/>
      <c r="EU47" s="33"/>
      <c r="EV47" s="33"/>
      <c r="EW47" s="33"/>
      <c r="EX47" s="34" t="s">
        <v>79</v>
      </c>
      <c r="EY47" s="35"/>
      <c r="EZ47" s="35"/>
      <c r="FA47" s="35"/>
      <c r="FB47" s="35"/>
      <c r="FC47" s="35"/>
      <c r="FD47" s="35"/>
      <c r="FE47" s="35"/>
      <c r="FF47" s="32"/>
      <c r="FG47" s="33"/>
      <c r="FH47" s="33"/>
      <c r="FI47" s="33"/>
      <c r="FJ47" s="33"/>
      <c r="FK47" s="33"/>
      <c r="FL47" s="33"/>
      <c r="FM47" s="33"/>
    </row>
    <row r="48" hidden="1">
      <c r="A48" s="36" t="str">
        <f>CONCATENATE(A49," TM")</f>
        <v>Incline Press TM</v>
      </c>
      <c r="B48" s="37">
        <f>if(D48="",'Quick Setup'!D14,D48/'Quick Setup'!E14)</f>
        <v>280</v>
      </c>
      <c r="C48" s="36" t="s">
        <v>77</v>
      </c>
      <c r="D48" s="38"/>
      <c r="E48" s="39"/>
      <c r="F48" s="39"/>
      <c r="G48" s="39"/>
      <c r="H48" s="39"/>
      <c r="I48" s="39"/>
      <c r="J48" s="37">
        <f>if(L48="", if(F49="",B48, if((F49-E49)&lt;-1.9,B48*(1+Setup!F12),if((F49-E49)=-1,B48*(1+Setup!G12),if(G49&lt;D49,B48*(1+Setup!G12),if(G49=D49,B48*(1+Setup!H12),if((G49-D49)=1,B48*(1+Setup!I12),if((G49-D49)=2,B48*(1+Setup!J12),if((G49-D49)=3,B48*(1+Setup!K12),if((G49-D49)=4,B48*(1+Setup!L12),if((G49-D49)&gt;4.1,B48*(1+Setup!M12),B48)))))))))),L48/'Quick Setup'!$E14)</f>
        <v>280</v>
      </c>
      <c r="K48" s="36" t="s">
        <v>77</v>
      </c>
      <c r="L48" s="38"/>
      <c r="M48" s="39"/>
      <c r="N48" s="39"/>
      <c r="O48" s="39"/>
      <c r="P48" s="39"/>
      <c r="Q48" s="39"/>
      <c r="R48" s="37">
        <f>if(T48="", if(N49="",J48, if((N49-M49)&lt;-1.9,J48*(1+Setup!R12),if((N49-M49)=-1,J48*(1+Setup!S12),if(O49&lt;L49,J48*(1+Setup!S12),if(O49=L49,J48*(1+Setup!T12),if((O49-L49)=1,J48*(1+Setup!U12),if((O49-L49)=2,J48*(1+Setup!V12),if((O49-L49)=3,J48*(1+Setup!W12),if((O49-L49)=4,J48*(1+Setup!X12),if((O49-L49)&gt;4.1,J48*(1+Setup!Y12),J48)))))))))),T48/'Quick Setup'!$E14)</f>
        <v>280</v>
      </c>
      <c r="S48" s="36" t="s">
        <v>77</v>
      </c>
      <c r="T48" s="38"/>
      <c r="U48" s="39"/>
      <c r="V48" s="39"/>
      <c r="W48" s="39"/>
      <c r="X48" s="39"/>
      <c r="Y48" s="39"/>
      <c r="Z48" s="37">
        <f>if(AB48="", if(V49="",R48, if((V49-U49)&lt;-1.9,R48*(1+Setup!AD12),if((V49-U49)=-1,R48*(1+Setup!AE12),if(W49&lt;T49,R48*(1+Setup!AE12),if(W49=T49,R48*(1+Setup!AF12),if((W49-T49)=1,R48*(1+Setup!AG12),if((W49-T49)=2,R48*(1+Setup!AH12),if((W49-T49)=3,R48*(1+Setup!AI12),if((W49-T49)=4,R48*(1+Setup!AJ12),if((W49-T49)&gt;4.1,R48*(1+Setup!AK12),R48)))))))))),AB48/'Quick Setup'!$E14)</f>
        <v>280</v>
      </c>
      <c r="AA48" s="36" t="s">
        <v>77</v>
      </c>
      <c r="AB48" s="38"/>
      <c r="AC48" s="39"/>
      <c r="AD48" s="39"/>
      <c r="AE48" s="39"/>
      <c r="AF48" s="39"/>
      <c r="AG48" s="39"/>
      <c r="AH48" s="37">
        <f>if(AJ48="", if(AD49="",Z48, if((AD49-AC49)&lt;-1.9,Z48*(1+Setup!AP12),if((AD49-AC49)=-1,Z48*(1+Setup!AQ12),if(AE49&lt;AB49,Z48*(1+Setup!AQ12),if(AE49=AB49,Z48*(1+Setup!AR12),if((AE49-AB49)=1,Z48*(1+Setup!AS12),if((AE49-AB49)=2,Z48*(1+Setup!AT12),if((AE49-AB49)=3,Z48*(1+Setup!AU12),if((AE49-AB49)=4,Z48*(1+Setup!AV12),if((AE49-AB49)&gt;4.1,Z48*(1+Setup!AW12),Z48)))))))))),AJ48/'Quick Setup'!$E14)</f>
        <v>280</v>
      </c>
      <c r="AI48" s="36" t="s">
        <v>77</v>
      </c>
      <c r="AJ48" s="38"/>
      <c r="AK48" s="39"/>
      <c r="AL48" s="39"/>
      <c r="AM48" s="39"/>
      <c r="AN48" s="39"/>
      <c r="AO48" s="39"/>
      <c r="AP48" s="37">
        <f>if(AR48="", if(AL49="",AH48, if((AL49-AK49)&lt;-1.9,AH48*(1+Setup!BB12),if((AL49-AK49)=-1,AH48*(1+Setup!BC12),if(AM49&lt;AJ49,AH48*(1+Setup!BC12),if(AM49=AJ49,AH48*(1+Setup!BD12),if((AM49-AJ49)=1,AH48*(1+Setup!BE12),if((AM49-AJ49)=2,AH48*(1+Setup!BF12),if((AM49-AJ49)=3,AH48*(1+Setup!BG12),if((AM49-AJ49)=4,AH48*(1+Setup!BH12),if((AM49-AJ49)&gt;4.1,AH48*(1+Setup!BI12),AH48)))))))))),AR48/'Quick Setup'!$E14)</f>
        <v>280</v>
      </c>
      <c r="AQ48" s="36" t="s">
        <v>77</v>
      </c>
      <c r="AR48" s="38"/>
      <c r="AS48" s="39"/>
      <c r="AT48" s="39"/>
      <c r="AU48" s="39"/>
      <c r="AV48" s="39"/>
      <c r="AW48" s="39"/>
      <c r="AX48" s="37">
        <f>if(AZ48="", if(AT49="",AP48, if((AT49-AS49)&lt;-1.9,AP48*(1+Setup!BN12),if((AT49-AS49)=-1,AP48*(1+Setup!BO12),if(AU49&lt;AR49,AP48*(1+Setup!BO12),if(AU49=AR49,AP48*(1+Setup!BP12),if((AU49-AR49)=1,AP48*(1+Setup!BQ12),if((AU49-AR49)=2,AP48*(1+Setup!BR12),if((AU49-AR49)=3,AP48*(1+Setup!BS12),if((AU49-AR49)=4,AP48*(1+Setup!BT12),if((AU49-AR49)&gt;4.1,AP48*(1+Setup!BU12),AP48)))))))))),AZ48/'Quick Setup'!$E14)</f>
        <v>280</v>
      </c>
      <c r="AY48" s="36" t="s">
        <v>77</v>
      </c>
      <c r="AZ48" s="38"/>
      <c r="BA48" s="39"/>
      <c r="BB48" s="39"/>
      <c r="BC48" s="39"/>
      <c r="BD48" s="39"/>
      <c r="BE48" s="39"/>
      <c r="BF48" s="37">
        <f>if(BH48="",AX48,BH48/'Quick Setup'!$E14)</f>
        <v>280</v>
      </c>
      <c r="BG48" s="36" t="s">
        <v>77</v>
      </c>
      <c r="BH48" s="38"/>
      <c r="BI48" s="39"/>
      <c r="BJ48" s="39"/>
      <c r="BK48" s="39"/>
      <c r="BL48" s="39"/>
      <c r="BM48" s="39"/>
      <c r="BN48" s="37">
        <f>if(BP48="", if(BJ49="",BF48, if((BJ49-BI49)&lt;-1.9,BF48*(1+Setup!CL12),if((BJ49-BI49)=-1,BF48*(1+Setup!CM12),if(BK49&lt;BH49,BF48*(1+Setup!CM12),if(BK49=BH49,BF48*(1+Setup!CN12),if((BK49-BH49)=1,BF48*(1+Setup!CO12),if((BK49-BH49)=2,BF48*(1+Setup!CP12),if((BK49-BH49)=3,BF48*(1+Setup!CQ12),if((BK49-BH49)=4,BF48*(1+Setup!CR12),if((BK49-BH49)&gt;4.1,BF48*(1+Setup!CS12),BF48)))))))))),BP48/'Quick Setup'!$E14)</f>
        <v>280</v>
      </c>
      <c r="BO48" s="36" t="s">
        <v>77</v>
      </c>
      <c r="BP48" s="38"/>
      <c r="BQ48" s="39"/>
      <c r="BR48" s="39"/>
      <c r="BS48" s="39"/>
      <c r="BT48" s="39"/>
      <c r="BU48" s="39"/>
      <c r="BV48" s="37">
        <f>if(BX48="", if(BR49="",BN48, if((BR49-BQ49)&lt;-1.9,BN48*(1+Setup!CX12),if((BR49-BQ49)=-1,BN48*(1+Setup!CY12),if(BS49&lt;BP49,BN48*(1+Setup!CY12),if(BS49=BP49,BN48*(1+Setup!CZ12),if((BS49-BP49)=1,BN48*(1+Setup!DA12),if((BS49-BP49)=2,BN48*(1+Setup!DB12),if((BS49-BP49)=3,BN48*(1+Setup!DC12),if((BS49-BP49)=4,BN48*(1+Setup!DD12),if((BS49-BP49)&gt;4.1,BN48*(1+Setup!DE12),BN48)))))))))),BX48/'Quick Setup'!$E14)</f>
        <v>280</v>
      </c>
      <c r="BW48" s="36" t="s">
        <v>77</v>
      </c>
      <c r="BX48" s="38"/>
      <c r="BY48" s="39"/>
      <c r="BZ48" s="39"/>
      <c r="CA48" s="39"/>
      <c r="CB48" s="39"/>
      <c r="CC48" s="39"/>
      <c r="CD48" s="37">
        <f>if(CF48="", if(BZ49="",BV48, if((BZ49-BY49)&lt;-1.9,BV48*(1+Setup!DJ12),if((BZ49-BY49)=-1,BV48*(1+Setup!DK12),if(CA49&lt;BX49,BV48*(1+Setup!DK12),if(CA49=BX49,BV48*(1+Setup!DL12),if((CA49-BX49)=1,BV48*(1+Setup!DM12),if((CA49-BX49)=2,BV48*(1+Setup!DN12),if((CA49-BX49)=3,BV48*(1+Setup!DO12),if((CA49-BX49)=4,BV48*(1+Setup!DP12),if((CA49-BX49)&gt;4.1,BV48*(1+Setup!DQ12),BV48)))))))))),CF48/'Quick Setup'!$E14)</f>
        <v>280</v>
      </c>
      <c r="CE48" s="36" t="s">
        <v>77</v>
      </c>
      <c r="CF48" s="38"/>
      <c r="CG48" s="39"/>
      <c r="CH48" s="39"/>
      <c r="CI48" s="39"/>
      <c r="CJ48" s="39"/>
      <c r="CK48" s="39"/>
      <c r="CL48" s="37">
        <f>if(CN48="", if(CH49="",CD48, if((CH49-CG49)&lt;-1.9,CD48*(1+Setup!DV12),if((CH49-CG49)=-1,CD48*(1+Setup!DW12),if(CI49&lt;CF49,CD48*(1+Setup!DW12),if(CI49=CF49,CD48*(1+Setup!DX12),if((CI49-CF49)=1,CD48*(1+Setup!DY12),if((CI49-CF49)=2,CD48*(1+Setup!DZ12),if((CI49-CF49)=3,CD48*(1+Setup!EA12),if((CI49-CF49)=4,CD48*(1+Setup!EB12),if((CI49-CF49)&gt;4.1,CD48*(1+Setup!EC12),CD48)))))))))),CN48/'Quick Setup'!$E14)</f>
        <v>280</v>
      </c>
      <c r="CM48" s="36" t="s">
        <v>77</v>
      </c>
      <c r="CN48" s="38"/>
      <c r="CO48" s="39"/>
      <c r="CP48" s="39"/>
      <c r="CQ48" s="39"/>
      <c r="CR48" s="39"/>
      <c r="CS48" s="39"/>
      <c r="CT48" s="37">
        <f>if(CV48="", if(CP49="",CL48, if((CP49-CO49)&lt;-1.9,CL48*(1+Setup!EH12),if((CP49-CO49)=-1,CL48*(1+Setup!EI12),if(CQ49&lt;CN49,CL48*(1+Setup!EI12),if(CQ49=CN49,CL48*(1+Setup!EJ12),if((CQ49-CN49)=1,CL48*(1+Setup!EK12),if((CQ49-CN49)=2,CL48*(1+Setup!EL12),if((CQ49-CN49)=3,CL48*(1+Setup!EM12),if((CQ49-CN49)=4,CL48*(1+Setup!EN12),if((CQ49-CN49)&gt;4.1,CL48*(1+Setup!EO12),CL48)))))))))),CV48/'Quick Setup'!$E14)</f>
        <v>280</v>
      </c>
      <c r="CU48" s="36" t="s">
        <v>77</v>
      </c>
      <c r="CV48" s="38"/>
      <c r="CW48" s="39"/>
      <c r="CX48" s="39"/>
      <c r="CY48" s="39"/>
      <c r="CZ48" s="39"/>
      <c r="DA48" s="39"/>
      <c r="DB48" s="37">
        <f>if(DD48="", if(CX49="",CT48, if((CX49-CW49)&lt;-1.9,CT48*(1+Setup!ET12),if((CX49-CW49)=-1,CT48*(1+Setup!EU12),if(CY49&lt;CV49,CT48*(1+Setup!EU12),if(CY49=CV49,CT48*(1+Setup!EV12),if((CY49-CV49)=1,CT48*(1+Setup!EW12),if((CY49-CV49)=2,CT48*(1+Setup!EX12),if((CY49-CV49)=3,CT48*(1+Setup!EY12),if((CY49-CV49)=4,CT48*(1+Setup!EZ12),if((CY49-CV49)&gt;4.1,CT48*(1+Setup!FA12),CT48)))))))))),DD48/'Quick Setup'!$E14)</f>
        <v>280</v>
      </c>
      <c r="DC48" s="36" t="s">
        <v>77</v>
      </c>
      <c r="DD48" s="38"/>
      <c r="DE48" s="39"/>
      <c r="DF48" s="39"/>
      <c r="DG48" s="39"/>
      <c r="DH48" s="39"/>
      <c r="DI48" s="39"/>
      <c r="DJ48" s="37">
        <f>if(DL48="",DB48,DL48/'Quick Setup'!$E14)</f>
        <v>280</v>
      </c>
      <c r="DK48" s="36" t="s">
        <v>77</v>
      </c>
      <c r="DL48" s="38"/>
      <c r="DM48" s="39"/>
      <c r="DN48" s="39"/>
      <c r="DO48" s="39"/>
      <c r="DP48" s="39"/>
      <c r="DQ48" s="39"/>
      <c r="DR48" s="37">
        <f>if(DT48="", if(DN49="",DJ48, if((DN49-DM49)&lt;-1.9,DJ48*(1+Setup!FR12),if((DN49-DM49)=-1,DJ48*(1+Setup!FS12),if(DO49&lt;DL49,DJ48*(1+Setup!FS12),if(DO49=DL49,DJ48*(1+Setup!FT12),if((DO49-DL49)=1,DJ48*(1+Setup!FU12),if((DO49-DL49)=2,DJ48*(1+Setup!FV12),if((DO49-DL49)=3,DJ48*(1+Setup!FW12),if((DO49-DL49)=4,DJ48*(1+Setup!FX12),if((DO49-DL49)&gt;4.1,DJ48*(1+Setup!FY12),DJ48)))))))))),DT48/'Quick Setup'!$E14)</f>
        <v>280</v>
      </c>
      <c r="DS48" s="36" t="s">
        <v>77</v>
      </c>
      <c r="DT48" s="38"/>
      <c r="DU48" s="39"/>
      <c r="DV48" s="39"/>
      <c r="DW48" s="39"/>
      <c r="DX48" s="39"/>
      <c r="DY48" s="39"/>
      <c r="DZ48" s="37">
        <f>if(EB48="", if(DV49="",DR48, if((DV49-DU49)&lt;-1.9,DR48*(1+Setup!GD12),if((DV49-DU49)=-1,DR48*(1+Setup!GE12),if(DW49&lt;DT49,DR48*(1+Setup!GE12),if(DW49=DT49,DR48*(1+Setup!GF12),if((DW49-DT49)=1,DR48*(1+Setup!GG12),if((DW49-DT49)=2,DR48*(1+Setup!GH12),if((DW49-DT49)=3,DR48*(1+Setup!GI12),if((DW49-DT49)=4,DR48*(1+Setup!GJ12),if((DW49-DT49)&gt;4.1,DR48*(1+Setup!GK12),DR48)))))))))),EB48/'Quick Setup'!$E14)</f>
        <v>280</v>
      </c>
      <c r="EA48" s="36" t="s">
        <v>77</v>
      </c>
      <c r="EB48" s="38"/>
      <c r="EC48" s="39"/>
      <c r="ED48" s="39"/>
      <c r="EE48" s="39"/>
      <c r="EF48" s="39"/>
      <c r="EG48" s="39"/>
      <c r="EH48" s="37">
        <f>if(EJ48="", if(ED49="",DZ48, if((ED49-EC49)&lt;-1.9,DZ48*(1+Setup!GP12),if((ED49-EC49)=-1,DZ48*(1+Setup!GQ12),if(EE49&lt;EB49,DZ48*(1+Setup!GQ12),if(EE49=EB49,DZ48*(1+Setup!GR12),if((EE49-EB49)=1,DZ48*(1+Setup!GS12),if((EE49-EB49)=2,DZ48*(1+Setup!GT12),if((EE49-EB49)=3,DZ48*(1+Setup!GU12),if((EE49-EB49)=4,DZ48*(1+Setup!GV12),if((EE49-EB49)&gt;4.1,DZ48*(1+Setup!GW12),DZ48)))))))))),EJ48/'Quick Setup'!$E14)</f>
        <v>280</v>
      </c>
      <c r="EI48" s="36" t="s">
        <v>77</v>
      </c>
      <c r="EJ48" s="38"/>
      <c r="EK48" s="39"/>
      <c r="EL48" s="39"/>
      <c r="EM48" s="39"/>
      <c r="EN48" s="39"/>
      <c r="EO48" s="39"/>
      <c r="EP48" s="37">
        <f>if(ER48="", if(EL49="",EH48, if((EL49-EK49)&lt;-1.9,EH48*(1+Setup!HB12),if((EL49-EK49)=-1,EH48*(1+Setup!HC12),if(EM49&lt;EJ49,EH48*(1+Setup!HC12),if(EM49=EJ49,EH48*(1+Setup!HD12),if((EM49-EJ49)=1,EH48*(1+Setup!HE12),if((EM49-EJ49)=2,EH48*(1+Setup!HF12),if((EM49-EJ49)=3,EH48*(1+Setup!HG12),if((EM49-EJ49)=4,EH48*(1+Setup!HH12),if((EM49-EJ49)&gt;4.1,EH48*(1+Setup!HI12),EH48)))))))))),ER48/'Quick Setup'!$E14)</f>
        <v>280</v>
      </c>
      <c r="EQ48" s="36" t="s">
        <v>77</v>
      </c>
      <c r="ER48" s="38"/>
      <c r="ES48" s="39"/>
      <c r="ET48" s="39"/>
      <c r="EU48" s="39"/>
      <c r="EV48" s="39"/>
      <c r="EW48" s="39"/>
      <c r="EX48" s="37">
        <f>if(EZ48="", if(ET49="",EP48, if((ET49-ES49)&lt;-1.9,EP48*(1+Setup!HN12),if((ET49-ES49)=-1,EP48*(1+Setup!HO12),if(EU49&lt;ER49,EP48*(1+Setup!HO12),if(EU49=ER49,EP48*(1+Setup!HP12),if((EU49-ER49)=1,EP48*(1+Setup!HQ12),if((EU49-ER49)=2,EP48*(1+Setup!HR12),if((EU49-ER49)=3,EP48*(1+Setup!HS12),if((EU49-ER49)=4,EP48*(1+Setup!HT12),if((EU49-ER49)&gt;4.1,EP48*(1+Setup!HU12),EP48)))))))))),EZ48/'Quick Setup'!$E14)</f>
        <v>280</v>
      </c>
      <c r="EY48" s="36" t="s">
        <v>77</v>
      </c>
      <c r="EZ48" s="38"/>
      <c r="FA48" s="39"/>
      <c r="FB48" s="39"/>
      <c r="FC48" s="39"/>
      <c r="FD48" s="39"/>
      <c r="FE48" s="39"/>
      <c r="FF48" s="37">
        <f>if(FH48="", if(FB49="",EX48, if((FB49-FA49)&lt;-1.9,EX48*(1+Setup!HZ12),if((FB49-FA49)=-1,EX48*(1+Setup!IA12),if(FC49&lt;EZ49,EX48*(1+Setup!IA12),if(FC49=EZ49,EX48*(1+Setup!IB12),if((FC49-EZ49)=1,EX48*(1+Setup!IC12),if((FC49-EZ49)=2,EX48*(1+Setup!ID12),if((FC49-EZ49)=3,EX48*(1+Setup!IE12),if((FC49-EZ49)=4,EX48*(1+Setup!IF12),if((FC49-EZ49)&gt;4.1,EX48*(1+Setup!IG12),EX48)))))))))),FH48/'Quick Setup'!$E14)</f>
        <v>280</v>
      </c>
      <c r="FG48" s="36" t="s">
        <v>77</v>
      </c>
      <c r="FH48" s="38"/>
      <c r="FI48" s="39"/>
      <c r="FJ48" s="39"/>
      <c r="FK48" s="39"/>
      <c r="FL48" s="39"/>
      <c r="FM48" s="39"/>
    </row>
    <row r="49">
      <c r="A49" s="1" t="str">
        <f>Setup!A12</f>
        <v>Incline Press</v>
      </c>
      <c r="B49" s="40">
        <f>mround(B48*Setup!B12,'Quick Setup'!$A$2)</f>
        <v>167.5</v>
      </c>
      <c r="C49" s="2">
        <f>Setup!C12</f>
        <v>7</v>
      </c>
      <c r="D49" s="2">
        <f>Setup!D12</f>
        <v>3</v>
      </c>
      <c r="E49" s="2">
        <f>Setup!E12</f>
        <v>5</v>
      </c>
      <c r="F49" s="8"/>
      <c r="G49" s="8"/>
      <c r="H49" s="8"/>
      <c r="I49" s="8"/>
      <c r="J49" s="40">
        <f>mround(J48*Setup!N12,'Quick Setup'!$A$2)</f>
        <v>182.5</v>
      </c>
      <c r="K49" s="2">
        <f>Setup!O12</f>
        <v>6</v>
      </c>
      <c r="L49" s="2">
        <f>Setup!P12</f>
        <v>3</v>
      </c>
      <c r="M49" s="2">
        <f>Setup!Q12</f>
        <v>5</v>
      </c>
      <c r="N49" s="8"/>
      <c r="O49" s="8"/>
      <c r="P49" s="8"/>
      <c r="Q49" s="8"/>
      <c r="R49" s="40">
        <f>mround(R48*Setup!Z12,'Quick Setup'!$A$2)</f>
        <v>195</v>
      </c>
      <c r="S49" s="2">
        <f>Setup!AA12</f>
        <v>5</v>
      </c>
      <c r="T49" s="2">
        <f>Setup!AB12</f>
        <v>3</v>
      </c>
      <c r="U49" s="2">
        <f>Setup!AC12</f>
        <v>5</v>
      </c>
      <c r="V49" s="8"/>
      <c r="W49" s="8"/>
      <c r="X49" s="8"/>
      <c r="Y49" s="8"/>
      <c r="Z49" s="40">
        <f>mround(Z48*Setup!AL12,'Quick Setup'!$A$2)</f>
        <v>175</v>
      </c>
      <c r="AA49" s="2">
        <f>Setup!AM12</f>
        <v>7</v>
      </c>
      <c r="AB49" s="2">
        <f>Setup!AN12</f>
        <v>3</v>
      </c>
      <c r="AC49" s="2">
        <f>Setup!AO12</f>
        <v>5</v>
      </c>
      <c r="AD49" s="8"/>
      <c r="AE49" s="8"/>
      <c r="AF49" s="8"/>
      <c r="AG49" s="8"/>
      <c r="AH49" s="40">
        <f>mround(AH48*Setup!AX12,'Quick Setup'!$A$2)</f>
        <v>190</v>
      </c>
      <c r="AI49" s="2">
        <f>Setup!AY12</f>
        <v>6</v>
      </c>
      <c r="AJ49" s="2">
        <f>Setup!AZ12</f>
        <v>3</v>
      </c>
      <c r="AK49" s="2">
        <f>Setup!BA12</f>
        <v>5</v>
      </c>
      <c r="AL49" s="8"/>
      <c r="AM49" s="8"/>
      <c r="AN49" s="8"/>
      <c r="AO49" s="8"/>
      <c r="AP49" s="40">
        <f>mround(AP48*Setup!BJ12,'Quick Setup'!$A$2)</f>
        <v>202.5</v>
      </c>
      <c r="AQ49" s="2">
        <f>Setup!BK12</f>
        <v>5</v>
      </c>
      <c r="AR49" s="2">
        <f>Setup!BL12</f>
        <v>3</v>
      </c>
      <c r="AS49" s="2">
        <f>Setup!BM12</f>
        <v>5</v>
      </c>
      <c r="AT49" s="8"/>
      <c r="AU49" s="8"/>
      <c r="AV49" s="8"/>
      <c r="AW49" s="8"/>
      <c r="AX49" s="40">
        <f>mround(AX48*Setup!BV12,'Quick Setup'!$A$2)</f>
        <v>140</v>
      </c>
      <c r="AY49" s="1">
        <v>5.0</v>
      </c>
      <c r="AZ49" s="1" t="s">
        <v>80</v>
      </c>
      <c r="BA49" s="2">
        <f>Setup!BY12</f>
        <v>5</v>
      </c>
      <c r="BB49" s="8"/>
      <c r="BC49" s="8"/>
      <c r="BD49" s="8"/>
      <c r="BE49" s="8"/>
      <c r="BF49" s="40">
        <f>mround(BF48*Setup!CH12,'Quick Setup'!$A$2)</f>
        <v>182.5</v>
      </c>
      <c r="BG49" s="2">
        <f>Setup!CI12</f>
        <v>6</v>
      </c>
      <c r="BH49" s="2">
        <f>Setup!CJ12</f>
        <v>3</v>
      </c>
      <c r="BI49" s="2">
        <f>Setup!CK12</f>
        <v>5</v>
      </c>
      <c r="BJ49" s="8"/>
      <c r="BK49" s="8"/>
      <c r="BL49" s="8"/>
      <c r="BM49" s="8"/>
      <c r="BN49" s="40">
        <f>mround(BN48*Setup!CT12,'Quick Setup'!$A$2)</f>
        <v>195</v>
      </c>
      <c r="BO49" s="2">
        <f>Setup!CU12</f>
        <v>5</v>
      </c>
      <c r="BP49" s="2">
        <f>Setup!CV12</f>
        <v>3</v>
      </c>
      <c r="BQ49" s="2">
        <f>Setup!CW12</f>
        <v>5</v>
      </c>
      <c r="BR49" s="8"/>
      <c r="BS49" s="8"/>
      <c r="BT49" s="8"/>
      <c r="BU49" s="8"/>
      <c r="BV49" s="40">
        <f>mround(BV48*Setup!DF12,'Quick Setup'!$A$2)</f>
        <v>210</v>
      </c>
      <c r="BW49" s="2">
        <f>Setup!DG12</f>
        <v>4</v>
      </c>
      <c r="BX49" s="2">
        <f>Setup!DH12</f>
        <v>2</v>
      </c>
      <c r="BY49" s="2">
        <f>Setup!DI12</f>
        <v>5</v>
      </c>
      <c r="BZ49" s="8"/>
      <c r="CA49" s="8"/>
      <c r="CB49" s="8"/>
      <c r="CC49" s="8"/>
      <c r="CD49" s="40">
        <f>mround(CD48*Setup!DR12,'Quick Setup'!$A$2)</f>
        <v>190</v>
      </c>
      <c r="CE49" s="2">
        <f>Setup!DS12</f>
        <v>6</v>
      </c>
      <c r="CF49" s="2">
        <f>Setup!DT12</f>
        <v>3</v>
      </c>
      <c r="CG49" s="2">
        <f>Setup!DU12</f>
        <v>5</v>
      </c>
      <c r="CH49" s="8"/>
      <c r="CI49" s="8"/>
      <c r="CJ49" s="8"/>
      <c r="CK49" s="8"/>
      <c r="CL49" s="40">
        <f>mround(CL48*Setup!ED12,'Quick Setup'!$A$2)</f>
        <v>202.5</v>
      </c>
      <c r="CM49" s="2">
        <f>Setup!EE12</f>
        <v>5</v>
      </c>
      <c r="CN49" s="2">
        <f>Setup!EF12</f>
        <v>3</v>
      </c>
      <c r="CO49" s="2">
        <f>Setup!EG12</f>
        <v>5</v>
      </c>
      <c r="CP49" s="8"/>
      <c r="CQ49" s="8"/>
      <c r="CR49" s="8"/>
      <c r="CS49" s="8"/>
      <c r="CT49" s="40">
        <f>mround(CT48*Setup!EP12,'Quick Setup'!$A$2)</f>
        <v>217.5</v>
      </c>
      <c r="CU49" s="2">
        <f>Setup!EQ12</f>
        <v>4</v>
      </c>
      <c r="CV49" s="2">
        <f>Setup!ER12</f>
        <v>2</v>
      </c>
      <c r="CW49" s="2">
        <f>Setup!ES12</f>
        <v>5</v>
      </c>
      <c r="CX49" s="8"/>
      <c r="CY49" s="8"/>
      <c r="CZ49" s="8"/>
      <c r="DA49" s="8"/>
      <c r="DB49" s="40">
        <f>mround(DB48*Setup!FB12,'Quick Setup'!$A$2)</f>
        <v>140</v>
      </c>
      <c r="DC49" s="1">
        <v>5.0</v>
      </c>
      <c r="DD49" s="1" t="s">
        <v>80</v>
      </c>
      <c r="DE49" s="2">
        <f>Setup!FE12</f>
        <v>5</v>
      </c>
      <c r="DF49" s="8"/>
      <c r="DG49" s="8"/>
      <c r="DH49" s="8"/>
      <c r="DI49" s="8"/>
      <c r="DJ49" s="40">
        <f>mround(DJ48*Setup!FN12,'Quick Setup'!$A$2)</f>
        <v>195</v>
      </c>
      <c r="DK49" s="2">
        <f>Setup!FO12</f>
        <v>5</v>
      </c>
      <c r="DL49" s="2">
        <f>Setup!FP12</f>
        <v>3</v>
      </c>
      <c r="DM49" s="2">
        <f>Setup!FQ12</f>
        <v>5</v>
      </c>
      <c r="DN49" s="8"/>
      <c r="DO49" s="8"/>
      <c r="DP49" s="8"/>
      <c r="DQ49" s="8"/>
      <c r="DR49" s="40">
        <f>mround(DR48*Setup!FZ12,'Quick Setup'!$A$2)</f>
        <v>210</v>
      </c>
      <c r="DS49" s="2">
        <f>Setup!GA12</f>
        <v>4</v>
      </c>
      <c r="DT49" s="2">
        <f>Setup!GB12</f>
        <v>2</v>
      </c>
      <c r="DU49" s="2">
        <f>Setup!GC12</f>
        <v>5</v>
      </c>
      <c r="DV49" s="8"/>
      <c r="DW49" s="8"/>
      <c r="DX49" s="8"/>
      <c r="DY49" s="8"/>
      <c r="DZ49" s="40">
        <f>mround(DZ48*Setup!GL12,'Quick Setup'!$A$2)</f>
        <v>225</v>
      </c>
      <c r="EA49" s="2">
        <f>Setup!GM12</f>
        <v>3</v>
      </c>
      <c r="EB49" s="2">
        <f>Setup!GN12</f>
        <v>2</v>
      </c>
      <c r="EC49" s="2">
        <f>Setup!GO12</f>
        <v>5</v>
      </c>
      <c r="ED49" s="8"/>
      <c r="EE49" s="8"/>
      <c r="EF49" s="8"/>
      <c r="EG49" s="8"/>
      <c r="EH49" s="40">
        <f>mround(EH48*Setup!GX12,'Quick Setup'!$A$2)</f>
        <v>210</v>
      </c>
      <c r="EI49" s="2">
        <f>Setup!GY12</f>
        <v>4</v>
      </c>
      <c r="EJ49" s="2">
        <f>Setup!GZ12</f>
        <v>2</v>
      </c>
      <c r="EK49" s="2">
        <f>Setup!HA12</f>
        <v>5</v>
      </c>
      <c r="EL49" s="8"/>
      <c r="EM49" s="8"/>
      <c r="EN49" s="8"/>
      <c r="EO49" s="8"/>
      <c r="EP49" s="40">
        <f>mround(EP48*Setup!HJ12,'Quick Setup'!$A$2)</f>
        <v>225</v>
      </c>
      <c r="EQ49" s="2">
        <f>Setup!HK12</f>
        <v>3</v>
      </c>
      <c r="ER49" s="2">
        <f>Setup!HL12</f>
        <v>2</v>
      </c>
      <c r="ES49" s="2">
        <f>Setup!HM12</f>
        <v>5</v>
      </c>
      <c r="ET49" s="8"/>
      <c r="EU49" s="8"/>
      <c r="EV49" s="8"/>
      <c r="EW49" s="8"/>
      <c r="EX49" s="40">
        <f>mround(EX48*Setup!HV12,'Quick Setup'!$A$2)</f>
        <v>237.5</v>
      </c>
      <c r="EY49" s="2">
        <f>Setup!HW12</f>
        <v>2</v>
      </c>
      <c r="EZ49" s="2">
        <f>Setup!HX12</f>
        <v>1</v>
      </c>
      <c r="FA49" s="2">
        <f>Setup!HY12</f>
        <v>5</v>
      </c>
      <c r="FB49" s="8"/>
      <c r="FC49" s="8"/>
      <c r="FD49" s="8"/>
      <c r="FE49" s="8"/>
      <c r="FF49" s="40">
        <f>mround(FF48*Setup!IH12,'Quick Setup'!$A$2)</f>
        <v>140</v>
      </c>
      <c r="FG49" s="1">
        <v>5.0</v>
      </c>
      <c r="FH49" s="1" t="s">
        <v>80</v>
      </c>
      <c r="FI49" s="2">
        <f>Setup!IK12</f>
        <v>5</v>
      </c>
      <c r="FJ49" s="8"/>
      <c r="FK49" s="8"/>
      <c r="FL49" s="8"/>
      <c r="FM49" s="8"/>
    </row>
    <row r="50" hidden="1">
      <c r="A50" s="36" t="str">
        <f>CONCATENATE(A51," TM")</f>
        <v>Sumo Deadlift TM</v>
      </c>
      <c r="B50" s="37">
        <f>if(D50="",'Quick Setup'!D15,D50/'Quick Setup'!E15)</f>
        <v>500</v>
      </c>
      <c r="C50" s="36" t="s">
        <v>77</v>
      </c>
      <c r="D50" s="38"/>
      <c r="E50" s="39"/>
      <c r="F50" s="39"/>
      <c r="G50" s="39"/>
      <c r="H50" s="39"/>
      <c r="I50" s="39"/>
      <c r="J50" s="37">
        <f>if(L50="", if(F51="",B50, if((F51-E51)&lt;-1.9,B50*(1+Setup!F13),if((F51-E51)=-1,B50*(1+Setup!G13),if(G51&lt;D51,B50*(1+Setup!G13),if(G51=D51,B50*(1+Setup!H13),if((G51-D51)=1,B50*(1+Setup!I13),if((G51-D51)=2,B50*(1+Setup!J13),if((G51-D51)=3,B50*(1+Setup!K13),if((G51-D51)=4,B50*(1+Setup!L13),if((G51-D51)&gt;4.1,B50*(1+Setup!M13),B50)))))))))),L50/'Quick Setup'!$E15)</f>
        <v>500</v>
      </c>
      <c r="K50" s="36" t="s">
        <v>77</v>
      </c>
      <c r="L50" s="38"/>
      <c r="M50" s="39"/>
      <c r="N50" s="39"/>
      <c r="O50" s="39"/>
      <c r="P50" s="39"/>
      <c r="Q50" s="39"/>
      <c r="R50" s="37">
        <f>if(T50="", if(N51="",J50, if((N51-M51)&lt;-1.9,J50*(1+Setup!R13),if((N51-M51)=-1,J50*(1+Setup!S13),if(O51&lt;L51,J50*(1+Setup!S13),if(O51=L51,J50*(1+Setup!T13),if((O51-L51)=1,J50*(1+Setup!U13),if((O51-L51)=2,J50*(1+Setup!V13),if((O51-L51)=3,J50*(1+Setup!W13),if((O51-L51)=4,J50*(1+Setup!X13),if((O51-L51)&gt;4.1,J50*(1+Setup!Y13),J50)))))))))),T50/'Quick Setup'!$E15)</f>
        <v>500</v>
      </c>
      <c r="S50" s="36" t="s">
        <v>77</v>
      </c>
      <c r="T50" s="38"/>
      <c r="U50" s="39"/>
      <c r="V50" s="39"/>
      <c r="W50" s="39"/>
      <c r="X50" s="39"/>
      <c r="Y50" s="39"/>
      <c r="Z50" s="37">
        <f>if(AB50="", if(V51="",R50, if((V51-U51)&lt;-1.9,R50*(1+Setup!AD13),if((V51-U51)=-1,R50*(1+Setup!AE13),if(W51&lt;T51,R50*(1+Setup!AE13),if(W51=T51,R50*(1+Setup!AF13),if((W51-T51)=1,R50*(1+Setup!AG13),if((W51-T51)=2,R50*(1+Setup!AH13),if((W51-T51)=3,R50*(1+Setup!AI13),if((W51-T51)=4,R50*(1+Setup!AJ13),if((W51-T51)&gt;4.1,R50*(1+Setup!AK13),R50)))))))))),AB50/'Quick Setup'!$E15)</f>
        <v>500</v>
      </c>
      <c r="AA50" s="36" t="s">
        <v>77</v>
      </c>
      <c r="AB50" s="38"/>
      <c r="AC50" s="39"/>
      <c r="AD50" s="39"/>
      <c r="AE50" s="39"/>
      <c r="AF50" s="39"/>
      <c r="AG50" s="39"/>
      <c r="AH50" s="37">
        <f>if(AJ50="", if(AD51="",Z50, if((AD51-AC51)&lt;-1.9,Z50*(1+Setup!AP13),if((AD51-AC51)=-1,Z50*(1+Setup!AQ13),if(AE51&lt;AB51,Z50*(1+Setup!AQ13),if(AE51=AB51,Z50*(1+Setup!AR13),if((AE51-AB51)=1,Z50*(1+Setup!AS13),if((AE51-AB51)=2,Z50*(1+Setup!AT13),if((AE51-AB51)=3,Z50*(1+Setup!AU13),if((AE51-AB51)=4,Z50*(1+Setup!AV13),if((AE51-AB51)&gt;4.1,Z50*(1+Setup!AW13),Z50)))))))))),AJ50/'Quick Setup'!$E15)</f>
        <v>500</v>
      </c>
      <c r="AI50" s="36" t="s">
        <v>77</v>
      </c>
      <c r="AJ50" s="38"/>
      <c r="AK50" s="39"/>
      <c r="AL50" s="39"/>
      <c r="AM50" s="39"/>
      <c r="AN50" s="39"/>
      <c r="AO50" s="39"/>
      <c r="AP50" s="37">
        <f>if(AR50="", if(AL51="",AH50, if((AL51-AK51)&lt;-1.9,AH50*(1+Setup!BB13),if((AL51-AK51)=-1,AH50*(1+Setup!BC13),if(AM51&lt;AJ51,AH50*(1+Setup!BC13),if(AM51=AJ51,AH50*(1+Setup!BD13),if((AM51-AJ51)=1,AH50*(1+Setup!BE13),if((AM51-AJ51)=2,AH50*(1+Setup!BF13),if((AM51-AJ51)=3,AH50*(1+Setup!BG13),if((AM51-AJ51)=4,AH50*(1+Setup!BH13),if((AM51-AJ51)&gt;4.1,AH50*(1+Setup!BI13),AH50)))))))))),AR50/'Quick Setup'!$E15)</f>
        <v>500</v>
      </c>
      <c r="AQ50" s="36" t="s">
        <v>77</v>
      </c>
      <c r="AR50" s="38"/>
      <c r="AS50" s="39"/>
      <c r="AT50" s="39"/>
      <c r="AU50" s="39"/>
      <c r="AV50" s="39"/>
      <c r="AW50" s="39"/>
      <c r="AX50" s="37">
        <f>if(AZ50="", if(AT51="",AP50, if((AT51-AS51)&lt;-1.9,AP50*(1+Setup!BN13),if((AT51-AS51)=-1,AP50*(1+Setup!BO13),if(AU51&lt;AR51,AP50*(1+Setup!BO13),if(AU51=AR51,AP50*(1+Setup!BP13),if((AU51-AR51)=1,AP50*(1+Setup!BQ13),if((AU51-AR51)=2,AP50*(1+Setup!BR13),if((AU51-AR51)=3,AP50*(1+Setup!BS13),if((AU51-AR51)=4,AP50*(1+Setup!BT13),if((AU51-AR51)&gt;4.1,AP50*(1+Setup!BU13),AP50)))))))))),AZ50/'Quick Setup'!$E15)</f>
        <v>500</v>
      </c>
      <c r="AY50" s="36" t="s">
        <v>77</v>
      </c>
      <c r="AZ50" s="38"/>
      <c r="BA50" s="39"/>
      <c r="BB50" s="39"/>
      <c r="BC50" s="39"/>
      <c r="BD50" s="39"/>
      <c r="BE50" s="39"/>
      <c r="BF50" s="37">
        <f>if(BH50="",AX50,BH50/'Quick Setup'!$E15)</f>
        <v>500</v>
      </c>
      <c r="BG50" s="36" t="s">
        <v>77</v>
      </c>
      <c r="BH50" s="38"/>
      <c r="BI50" s="39"/>
      <c r="BJ50" s="39"/>
      <c r="BK50" s="39"/>
      <c r="BL50" s="39"/>
      <c r="BM50" s="39"/>
      <c r="BN50" s="37">
        <f>if(BP50="", if(BJ51="",BF50, if((BJ51-BI51)&lt;-1.9,BF50*(1+Setup!CL13),if((BJ51-BI51)=-1,BF50*(1+Setup!CM13),if(BK51&lt;BH51,BF50*(1+Setup!CM13),if(BK51=BH51,BF50*(1+Setup!CN13),if((BK51-BH51)=1,BF50*(1+Setup!CO13),if((BK51-BH51)=2,BF50*(1+Setup!CP13),if((BK51-BH51)=3,BF50*(1+Setup!CQ13),if((BK51-BH51)=4,BF50*(1+Setup!CR13),if((BK51-BH51)&gt;4.1,BF50*(1+Setup!CS13),BF50)))))))))),BP50/'Quick Setup'!$E15)</f>
        <v>500</v>
      </c>
      <c r="BO50" s="36" t="s">
        <v>77</v>
      </c>
      <c r="BP50" s="38"/>
      <c r="BQ50" s="39"/>
      <c r="BR50" s="39"/>
      <c r="BS50" s="39"/>
      <c r="BT50" s="39"/>
      <c r="BU50" s="39"/>
      <c r="BV50" s="37">
        <f>if(BX50="", if(BR51="",BN50, if((BR51-BQ51)&lt;-1.9,BN50*(1+Setup!CX13),if((BR51-BQ51)=-1,BN50*(1+Setup!CY13),if(BS51&lt;BP51,BN50*(1+Setup!CY13),if(BS51=BP51,BN50*(1+Setup!CZ13),if((BS51-BP51)=1,BN50*(1+Setup!DA13),if((BS51-BP51)=2,BN50*(1+Setup!DB13),if((BS51-BP51)=3,BN50*(1+Setup!DC13),if((BS51-BP51)=4,BN50*(1+Setup!DD13),if((BS51-BP51)&gt;4.1,BN50*(1+Setup!DE13),BN50)))))))))),BX50/'Quick Setup'!$E15)</f>
        <v>500</v>
      </c>
      <c r="BW50" s="36" t="s">
        <v>77</v>
      </c>
      <c r="BX50" s="38"/>
      <c r="BY50" s="39"/>
      <c r="BZ50" s="39"/>
      <c r="CA50" s="39"/>
      <c r="CB50" s="39"/>
      <c r="CC50" s="39"/>
      <c r="CD50" s="37">
        <f>if(CF50="", if(BZ51="",BV50, if((BZ51-BY51)&lt;-1.9,BV50*(1+Setup!DJ13),if((BZ51-BY51)=-1,BV50*(1+Setup!DK13),if(CA51&lt;BX51,BV50*(1+Setup!DK13),if(CA51=BX51,BV50*(1+Setup!DL13),if((CA51-BX51)=1,BV50*(1+Setup!DM13),if((CA51-BX51)=2,BV50*(1+Setup!DN13),if((CA51-BX51)=3,BV50*(1+Setup!DO13),if((CA51-BX51)=4,BV50*(1+Setup!DP13),if((CA51-BX51)&gt;4.1,BV50*(1+Setup!DQ13),BV50)))))))))),CF50/'Quick Setup'!$E15)</f>
        <v>500</v>
      </c>
      <c r="CE50" s="36" t="s">
        <v>77</v>
      </c>
      <c r="CF50" s="38"/>
      <c r="CG50" s="39"/>
      <c r="CH50" s="39"/>
      <c r="CI50" s="39"/>
      <c r="CJ50" s="39"/>
      <c r="CK50" s="39"/>
      <c r="CL50" s="37">
        <f>if(CN50="", if(CH51="",CD50, if((CH51-CG51)&lt;-1.9,CD50*(1+Setup!DV13),if((CH51-CG51)=-1,CD50*(1+Setup!DW13),if(CI51&lt;CF51,CD50*(1+Setup!DW13),if(CI51=CF51,CD50*(1+Setup!DX13),if((CI51-CF51)=1,CD50*(1+Setup!DY13),if((CI51-CF51)=2,CD50*(1+Setup!DZ13),if((CI51-CF51)=3,CD50*(1+Setup!EA13),if((CI51-CF51)=4,CD50*(1+Setup!EB13),if((CI51-CF51)&gt;4.1,CD50*(1+Setup!EC13),CD50)))))))))),CN50/'Quick Setup'!$E15)</f>
        <v>500</v>
      </c>
      <c r="CM50" s="36" t="s">
        <v>77</v>
      </c>
      <c r="CN50" s="38"/>
      <c r="CO50" s="39"/>
      <c r="CP50" s="39"/>
      <c r="CQ50" s="39"/>
      <c r="CR50" s="39"/>
      <c r="CS50" s="39"/>
      <c r="CT50" s="37">
        <f>if(CV50="", if(CP51="",CL50, if((CP51-CO51)&lt;-1.9,CL50*(1+Setup!EH13),if((CP51-CO51)=-1,CL50*(1+Setup!EI13),if(CQ51&lt;CN51,CL50*(1+Setup!EI13),if(CQ51=CN51,CL50*(1+Setup!EJ13),if((CQ51-CN51)=1,CL50*(1+Setup!EK13),if((CQ51-CN51)=2,CL50*(1+Setup!EL13),if((CQ51-CN51)=3,CL50*(1+Setup!EM13),if((CQ51-CN51)=4,CL50*(1+Setup!EN13),if((CQ51-CN51)&gt;4.1,CL50*(1+Setup!EO13),CL50)))))))))),CV50/'Quick Setup'!$E15)</f>
        <v>500</v>
      </c>
      <c r="CU50" s="36" t="s">
        <v>77</v>
      </c>
      <c r="CV50" s="38"/>
      <c r="CW50" s="39"/>
      <c r="CX50" s="39"/>
      <c r="CY50" s="39"/>
      <c r="CZ50" s="39"/>
      <c r="DA50" s="39"/>
      <c r="DB50" s="37">
        <f>if(DD50="", if(CX51="",CT50, if((CX51-CW51)&lt;-1.9,CT50*(1+Setup!ET13),if((CX51-CW51)=-1,CT50*(1+Setup!EU13),if(CY51&lt;CV51,CT50*(1+Setup!EU13),if(CY51=CV51,CT50*(1+Setup!EV13),if((CY51-CV51)=1,CT50*(1+Setup!EW13),if((CY51-CV51)=2,CT50*(1+Setup!EX13),if((CY51-CV51)=3,CT50*(1+Setup!EY13),if((CY51-CV51)=4,CT50*(1+Setup!EZ13),if((CY51-CV51)&gt;4.1,CT50*(1+Setup!FA13),CT50)))))))))),DD50/'Quick Setup'!$E15)</f>
        <v>500</v>
      </c>
      <c r="DC50" s="36" t="s">
        <v>77</v>
      </c>
      <c r="DD50" s="38"/>
      <c r="DE50" s="39"/>
      <c r="DF50" s="39"/>
      <c r="DG50" s="39"/>
      <c r="DH50" s="39"/>
      <c r="DI50" s="39"/>
      <c r="DJ50" s="37">
        <f>if(DL50="",DB50,DL50/'Quick Setup'!$E15)</f>
        <v>500</v>
      </c>
      <c r="DK50" s="36" t="s">
        <v>77</v>
      </c>
      <c r="DL50" s="38"/>
      <c r="DM50" s="39"/>
      <c r="DN50" s="39"/>
      <c r="DO50" s="39"/>
      <c r="DP50" s="39"/>
      <c r="DQ50" s="39"/>
      <c r="DR50" s="37">
        <f>if(DT50="", if(DN51="",DJ50, if((DN51-DM51)&lt;-1.9,DJ50*(1+Setup!FR13),if((DN51-DM51)=-1,DJ50*(1+Setup!FS13),if(DO51&lt;DL51,DJ50*(1+Setup!FS13),if(DO51=DL51,DJ50*(1+Setup!FT13),if((DO51-DL51)=1,DJ50*(1+Setup!FU13),if((DO51-DL51)=2,DJ50*(1+Setup!FV13),if((DO51-DL51)=3,DJ50*(1+Setup!FW13),if((DO51-DL51)=4,DJ50*(1+Setup!FX13),if((DO51-DL51)&gt;4.1,DJ50*(1+Setup!FY13),DJ50)))))))))),DT50/'Quick Setup'!$E15)</f>
        <v>500</v>
      </c>
      <c r="DS50" s="36" t="s">
        <v>77</v>
      </c>
      <c r="DT50" s="38"/>
      <c r="DU50" s="39"/>
      <c r="DV50" s="39"/>
      <c r="DW50" s="39"/>
      <c r="DX50" s="39"/>
      <c r="DY50" s="39"/>
      <c r="DZ50" s="37">
        <f>if(EB50="", if(DV51="",DR50, if((DV51-DU51)&lt;-1.9,DR50*(1+Setup!GD13),if((DV51-DU51)=-1,DR50*(1+Setup!GE13),if(DW51&lt;DT51,DR50*(1+Setup!GE13),if(DW51=DT51,DR50*(1+Setup!GF13),if((DW51-DT51)=1,DR50*(1+Setup!GG13),if((DW51-DT51)=2,DR50*(1+Setup!GH13),if((DW51-DT51)=3,DR50*(1+Setup!GI13),if((DW51-DT51)=4,DR50*(1+Setup!GJ13),if((DW51-DT51)&gt;4.1,DR50*(1+Setup!GK13),DR50)))))))))),EB50/'Quick Setup'!$E15)</f>
        <v>500</v>
      </c>
      <c r="EA50" s="36" t="s">
        <v>77</v>
      </c>
      <c r="EB50" s="38"/>
      <c r="EC50" s="39"/>
      <c r="ED50" s="39"/>
      <c r="EE50" s="39"/>
      <c r="EF50" s="39"/>
      <c r="EG50" s="39"/>
      <c r="EH50" s="37">
        <f>if(EJ50="", if(ED51="",DZ50, if((ED51-EC51)&lt;-1.9,DZ50*(1+Setup!GP13),if((ED51-EC51)=-1,DZ50*(1+Setup!GQ13),if(EE51&lt;EB51,DZ50*(1+Setup!GQ13),if(EE51=EB51,DZ50*(1+Setup!GR13),if((EE51-EB51)=1,DZ50*(1+Setup!GS13),if((EE51-EB51)=2,DZ50*(1+Setup!GT13),if((EE51-EB51)=3,DZ50*(1+Setup!GU13),if((EE51-EB51)=4,DZ50*(1+Setup!GV13),if((EE51-EB51)&gt;4.1,DZ50*(1+Setup!GW13),DZ50)))))))))),EJ50/'Quick Setup'!$E15)</f>
        <v>500</v>
      </c>
      <c r="EI50" s="36" t="s">
        <v>77</v>
      </c>
      <c r="EJ50" s="38"/>
      <c r="EK50" s="39"/>
      <c r="EL50" s="39"/>
      <c r="EM50" s="39"/>
      <c r="EN50" s="39"/>
      <c r="EO50" s="39"/>
      <c r="EP50" s="37">
        <f>if(ER50="", if(EL51="",EH50, if((EL51-EK51)&lt;-1.9,EH50*(1+Setup!HB13),if((EL51-EK51)=-1,EH50*(1+Setup!HC13),if(EM51&lt;EJ51,EH50*(1+Setup!HC13),if(EM51=EJ51,EH50*(1+Setup!HD13),if((EM51-EJ51)=1,EH50*(1+Setup!HE13),if((EM51-EJ51)=2,EH50*(1+Setup!HF13),if((EM51-EJ51)=3,EH50*(1+Setup!HG13),if((EM51-EJ51)=4,EH50*(1+Setup!HH13),if((EM51-EJ51)&gt;4.1,EH50*(1+Setup!HI13),EH50)))))))))),ER50/'Quick Setup'!$E15)</f>
        <v>500</v>
      </c>
      <c r="EQ50" s="36" t="s">
        <v>77</v>
      </c>
      <c r="ER50" s="38"/>
      <c r="ES50" s="39"/>
      <c r="ET50" s="39"/>
      <c r="EU50" s="39"/>
      <c r="EV50" s="39"/>
      <c r="EW50" s="39"/>
      <c r="EX50" s="37">
        <f>if(EZ50="", if(ET51="",EP50, if((ET51-ES51)&lt;-1.9,EP50*(1+Setup!HN13),if((ET51-ES51)=-1,EP50*(1+Setup!HO13),if(EU51&lt;ER51,EP50*(1+Setup!HO13),if(EU51=ER51,EP50*(1+Setup!HP13),if((EU51-ER51)=1,EP50*(1+Setup!HQ13),if((EU51-ER51)=2,EP50*(1+Setup!HR13),if((EU51-ER51)=3,EP50*(1+Setup!HS13),if((EU51-ER51)=4,EP50*(1+Setup!HT13),if((EU51-ER51)&gt;4.1,EP50*(1+Setup!HU13),EP50)))))))))),EZ50/'Quick Setup'!$E15)</f>
        <v>500</v>
      </c>
      <c r="EY50" s="36" t="s">
        <v>77</v>
      </c>
      <c r="EZ50" s="38"/>
      <c r="FA50" s="39"/>
      <c r="FB50" s="39"/>
      <c r="FC50" s="39"/>
      <c r="FD50" s="39"/>
      <c r="FE50" s="39"/>
      <c r="FF50" s="37">
        <f>if(FH50="", if(FB51="",EX50, if((FB51-FA51)&lt;-1.9,EX50*(1+Setup!HZ13),if((FB51-FA51)=-1,EX50*(1+Setup!IA13),if(FC51&lt;EZ51,EX50*(1+Setup!IA13),if(FC51=EZ51,EX50*(1+Setup!IB13),if((FC51-EZ51)=1,EX50*(1+Setup!IC13),if((FC51-EZ51)=2,EX50*(1+Setup!ID13),if((FC51-EZ51)=3,EX50*(1+Setup!IE13),if((FC51-EZ51)=4,EX50*(1+Setup!IF13),if((FC51-EZ51)&gt;4.1,EX50*(1+Setup!IG13),EX50)))))))))),FH50/'Quick Setup'!$E15)</f>
        <v>500</v>
      </c>
      <c r="FG50" s="36" t="s">
        <v>77</v>
      </c>
      <c r="FH50" s="38"/>
      <c r="FI50" s="39"/>
      <c r="FJ50" s="39"/>
      <c r="FK50" s="39"/>
      <c r="FL50" s="39"/>
      <c r="FM50" s="39"/>
    </row>
    <row r="51">
      <c r="A51" s="1" t="str">
        <f>Setup!A13</f>
        <v>Sumo Deadlift</v>
      </c>
      <c r="B51" s="40">
        <f>mround(B50*Setup!B13,'Quick Setup'!$A$2)</f>
        <v>300</v>
      </c>
      <c r="C51" s="2">
        <f>Setup!C13</f>
        <v>7</v>
      </c>
      <c r="D51" s="2">
        <f>Setup!D13</f>
        <v>3</v>
      </c>
      <c r="E51" s="2">
        <f>Setup!E13</f>
        <v>5</v>
      </c>
      <c r="F51" s="8"/>
      <c r="G51" s="8"/>
      <c r="H51" s="8"/>
      <c r="I51" s="8"/>
      <c r="J51" s="40">
        <f>mround(J50*Setup!N13,'Quick Setup'!$A$2)</f>
        <v>325</v>
      </c>
      <c r="K51" s="2">
        <f>Setup!O13</f>
        <v>6</v>
      </c>
      <c r="L51" s="2">
        <f>Setup!P13</f>
        <v>3</v>
      </c>
      <c r="M51" s="2">
        <f>Setup!Q13</f>
        <v>5</v>
      </c>
      <c r="N51" s="8"/>
      <c r="O51" s="8"/>
      <c r="P51" s="8"/>
      <c r="Q51" s="8"/>
      <c r="R51" s="40">
        <f>mround(R50*Setup!Z13,'Quick Setup'!$A$2)</f>
        <v>350</v>
      </c>
      <c r="S51" s="2">
        <f>Setup!AA13</f>
        <v>5</v>
      </c>
      <c r="T51" s="2">
        <f>Setup!AB13</f>
        <v>3</v>
      </c>
      <c r="U51" s="2">
        <f>Setup!AC13</f>
        <v>5</v>
      </c>
      <c r="V51" s="8"/>
      <c r="W51" s="8"/>
      <c r="X51" s="8"/>
      <c r="Y51" s="8"/>
      <c r="Z51" s="40">
        <f>mround(Z50*Setup!AL13,'Quick Setup'!$A$2)</f>
        <v>312.5</v>
      </c>
      <c r="AA51" s="2">
        <f>Setup!AM13</f>
        <v>7</v>
      </c>
      <c r="AB51" s="2">
        <f>Setup!AN13</f>
        <v>3</v>
      </c>
      <c r="AC51" s="2">
        <f>Setup!AO13</f>
        <v>5</v>
      </c>
      <c r="AD51" s="8"/>
      <c r="AE51" s="8"/>
      <c r="AF51" s="8"/>
      <c r="AG51" s="8"/>
      <c r="AH51" s="40">
        <f>mround(AH50*Setup!AX13,'Quick Setup'!$A$2)</f>
        <v>337.5</v>
      </c>
      <c r="AI51" s="2">
        <f>Setup!AY13</f>
        <v>6</v>
      </c>
      <c r="AJ51" s="2">
        <f>Setup!AZ13</f>
        <v>3</v>
      </c>
      <c r="AK51" s="2">
        <f>Setup!BA13</f>
        <v>5</v>
      </c>
      <c r="AL51" s="8"/>
      <c r="AM51" s="8"/>
      <c r="AN51" s="8"/>
      <c r="AO51" s="8"/>
      <c r="AP51" s="40">
        <f>mround(AP50*Setup!BJ13,'Quick Setup'!$A$2)</f>
        <v>362.5</v>
      </c>
      <c r="AQ51" s="2">
        <f>Setup!BK13</f>
        <v>5</v>
      </c>
      <c r="AR51" s="2">
        <f>Setup!BL13</f>
        <v>3</v>
      </c>
      <c r="AS51" s="2">
        <f>Setup!BM13</f>
        <v>5</v>
      </c>
      <c r="AT51" s="8"/>
      <c r="AU51" s="8"/>
      <c r="AV51" s="8"/>
      <c r="AW51" s="8"/>
      <c r="AX51" s="40">
        <f>mround(AX50*Setup!BV13,'Quick Setup'!$A$2)</f>
        <v>250</v>
      </c>
      <c r="AY51" s="1">
        <v>5.0</v>
      </c>
      <c r="AZ51" s="1" t="s">
        <v>80</v>
      </c>
      <c r="BA51" s="2">
        <f>Setup!BY13</f>
        <v>5</v>
      </c>
      <c r="BB51" s="8"/>
      <c r="BC51" s="8"/>
      <c r="BD51" s="8"/>
      <c r="BE51" s="8"/>
      <c r="BF51" s="40">
        <f>mround(BF50*Setup!CH13,'Quick Setup'!$A$2)</f>
        <v>325</v>
      </c>
      <c r="BG51" s="2">
        <f>Setup!CI13</f>
        <v>6</v>
      </c>
      <c r="BH51" s="2">
        <f>Setup!CJ13</f>
        <v>3</v>
      </c>
      <c r="BI51" s="2">
        <f>Setup!CK13</f>
        <v>5</v>
      </c>
      <c r="BJ51" s="8"/>
      <c r="BK51" s="8"/>
      <c r="BL51" s="8"/>
      <c r="BM51" s="8"/>
      <c r="BN51" s="40">
        <f>mround(BN50*Setup!CT13,'Quick Setup'!$A$2)</f>
        <v>350</v>
      </c>
      <c r="BO51" s="2">
        <f>Setup!CU13</f>
        <v>5</v>
      </c>
      <c r="BP51" s="2">
        <f>Setup!CV13</f>
        <v>3</v>
      </c>
      <c r="BQ51" s="2">
        <f>Setup!CW13</f>
        <v>5</v>
      </c>
      <c r="BR51" s="8"/>
      <c r="BS51" s="8"/>
      <c r="BT51" s="8"/>
      <c r="BU51" s="8"/>
      <c r="BV51" s="40">
        <f>mround(BV50*Setup!DF13,'Quick Setup'!$A$2)</f>
        <v>375</v>
      </c>
      <c r="BW51" s="2">
        <f>Setup!DG13</f>
        <v>4</v>
      </c>
      <c r="BX51" s="2">
        <f>Setup!DH13</f>
        <v>2</v>
      </c>
      <c r="BY51" s="2">
        <f>Setup!DI13</f>
        <v>5</v>
      </c>
      <c r="BZ51" s="8"/>
      <c r="CA51" s="8"/>
      <c r="CB51" s="8"/>
      <c r="CC51" s="8"/>
      <c r="CD51" s="40">
        <f>mround(CD50*Setup!DR13,'Quick Setup'!$A$2)</f>
        <v>337.5</v>
      </c>
      <c r="CE51" s="2">
        <f>Setup!DS13</f>
        <v>6</v>
      </c>
      <c r="CF51" s="2">
        <f>Setup!DT13</f>
        <v>3</v>
      </c>
      <c r="CG51" s="2">
        <f>Setup!DU13</f>
        <v>5</v>
      </c>
      <c r="CH51" s="8"/>
      <c r="CI51" s="8"/>
      <c r="CJ51" s="8"/>
      <c r="CK51" s="8"/>
      <c r="CL51" s="40">
        <f>mround(CL50*Setup!ED13,'Quick Setup'!$A$2)</f>
        <v>362.5</v>
      </c>
      <c r="CM51" s="2">
        <f>Setup!EE13</f>
        <v>5</v>
      </c>
      <c r="CN51" s="2">
        <f>Setup!EF13</f>
        <v>3</v>
      </c>
      <c r="CO51" s="2">
        <f>Setup!EG13</f>
        <v>5</v>
      </c>
      <c r="CP51" s="8"/>
      <c r="CQ51" s="8"/>
      <c r="CR51" s="8"/>
      <c r="CS51" s="8"/>
      <c r="CT51" s="40">
        <f>mround(CT50*Setup!EP13,'Quick Setup'!$A$2)</f>
        <v>387.5</v>
      </c>
      <c r="CU51" s="2">
        <f>Setup!EQ13</f>
        <v>4</v>
      </c>
      <c r="CV51" s="2">
        <f>Setup!ER13</f>
        <v>2</v>
      </c>
      <c r="CW51" s="2">
        <f>Setup!ES13</f>
        <v>5</v>
      </c>
      <c r="CX51" s="8"/>
      <c r="CY51" s="8"/>
      <c r="CZ51" s="8"/>
      <c r="DA51" s="8"/>
      <c r="DB51" s="40">
        <f>mround(DB50*Setup!FB13,'Quick Setup'!$A$2)</f>
        <v>250</v>
      </c>
      <c r="DC51" s="1">
        <v>5.0</v>
      </c>
      <c r="DD51" s="1" t="s">
        <v>80</v>
      </c>
      <c r="DE51" s="2">
        <f>Setup!FE13</f>
        <v>5</v>
      </c>
      <c r="DF51" s="8"/>
      <c r="DG51" s="8"/>
      <c r="DH51" s="8"/>
      <c r="DI51" s="8"/>
      <c r="DJ51" s="40">
        <f>mround(DJ50*Setup!FN13,'Quick Setup'!$A$2)</f>
        <v>350</v>
      </c>
      <c r="DK51" s="2">
        <f>Setup!FO13</f>
        <v>5</v>
      </c>
      <c r="DL51" s="2">
        <f>Setup!FP13</f>
        <v>3</v>
      </c>
      <c r="DM51" s="2">
        <f>Setup!FQ13</f>
        <v>5</v>
      </c>
      <c r="DN51" s="8"/>
      <c r="DO51" s="8"/>
      <c r="DP51" s="8"/>
      <c r="DQ51" s="8"/>
      <c r="DR51" s="40">
        <f>mround(DR50*Setup!FZ13,'Quick Setup'!$A$2)</f>
        <v>375</v>
      </c>
      <c r="DS51" s="2">
        <f>Setup!GA13</f>
        <v>4</v>
      </c>
      <c r="DT51" s="2">
        <f>Setup!GB13</f>
        <v>2</v>
      </c>
      <c r="DU51" s="2">
        <f>Setup!GC13</f>
        <v>5</v>
      </c>
      <c r="DV51" s="8"/>
      <c r="DW51" s="8"/>
      <c r="DX51" s="8"/>
      <c r="DY51" s="8"/>
      <c r="DZ51" s="40">
        <f>mround(DZ50*Setup!GL13,'Quick Setup'!$A$2)</f>
        <v>400</v>
      </c>
      <c r="EA51" s="2">
        <f>Setup!GM13</f>
        <v>3</v>
      </c>
      <c r="EB51" s="2">
        <f>Setup!GN13</f>
        <v>2</v>
      </c>
      <c r="EC51" s="2">
        <f>Setup!GO13</f>
        <v>5</v>
      </c>
      <c r="ED51" s="8"/>
      <c r="EE51" s="8"/>
      <c r="EF51" s="8"/>
      <c r="EG51" s="8"/>
      <c r="EH51" s="40">
        <f>mround(EH50*Setup!GX13,'Quick Setup'!$A$2)</f>
        <v>375</v>
      </c>
      <c r="EI51" s="2">
        <f>Setup!GY13</f>
        <v>4</v>
      </c>
      <c r="EJ51" s="2">
        <f>Setup!GZ13</f>
        <v>2</v>
      </c>
      <c r="EK51" s="2">
        <f>Setup!HA13</f>
        <v>5</v>
      </c>
      <c r="EL51" s="8"/>
      <c r="EM51" s="8"/>
      <c r="EN51" s="8"/>
      <c r="EO51" s="8"/>
      <c r="EP51" s="40">
        <f>mround(EP50*Setup!HJ13,'Quick Setup'!$A$2)</f>
        <v>400</v>
      </c>
      <c r="EQ51" s="2">
        <f>Setup!HK13</f>
        <v>3</v>
      </c>
      <c r="ER51" s="2">
        <f>Setup!HL13</f>
        <v>2</v>
      </c>
      <c r="ES51" s="2">
        <f>Setup!HM13</f>
        <v>5</v>
      </c>
      <c r="ET51" s="8"/>
      <c r="EU51" s="8"/>
      <c r="EV51" s="8"/>
      <c r="EW51" s="8"/>
      <c r="EX51" s="40">
        <f>mround(EX50*Setup!HV13,'Quick Setup'!$A$2)</f>
        <v>425</v>
      </c>
      <c r="EY51" s="2">
        <f>Setup!HW13</f>
        <v>2</v>
      </c>
      <c r="EZ51" s="2">
        <f>Setup!HX13</f>
        <v>1</v>
      </c>
      <c r="FA51" s="2">
        <f>Setup!HY13</f>
        <v>5</v>
      </c>
      <c r="FB51" s="8"/>
      <c r="FC51" s="8"/>
      <c r="FD51" s="8"/>
      <c r="FE51" s="8"/>
      <c r="FF51" s="40">
        <f>mround(FF50*Setup!IH13,'Quick Setup'!$A$2)</f>
        <v>250</v>
      </c>
      <c r="FG51" s="1">
        <v>5.0</v>
      </c>
      <c r="FH51" s="1" t="s">
        <v>80</v>
      </c>
      <c r="FI51" s="2">
        <f>Setup!IK13</f>
        <v>5</v>
      </c>
      <c r="FJ51" s="8"/>
      <c r="FK51" s="8"/>
      <c r="FL51" s="8"/>
      <c r="FM51" s="8"/>
    </row>
    <row r="52">
      <c r="A52" s="5"/>
      <c r="B52" s="41"/>
      <c r="C52" s="8"/>
      <c r="D52" s="8"/>
      <c r="E52" s="8"/>
      <c r="F52" s="8"/>
      <c r="G52" s="8"/>
      <c r="H52" s="8"/>
      <c r="I52" s="8"/>
      <c r="J52" s="41" t="str">
        <f t="shared" ref="J52:O52" si="321">B52</f>
        <v/>
      </c>
      <c r="K52" s="8" t="str">
        <f t="shared" si="321"/>
        <v/>
      </c>
      <c r="L52" s="8" t="str">
        <f t="shared" si="321"/>
        <v/>
      </c>
      <c r="M52" s="8" t="str">
        <f t="shared" si="321"/>
        <v/>
      </c>
      <c r="N52" s="8" t="str">
        <f t="shared" si="321"/>
        <v/>
      </c>
      <c r="O52" s="8" t="str">
        <f t="shared" si="321"/>
        <v/>
      </c>
      <c r="P52" s="8"/>
      <c r="Q52" s="8"/>
      <c r="R52" s="41" t="str">
        <f t="shared" ref="R52:W52" si="322">J52</f>
        <v/>
      </c>
      <c r="S52" s="8" t="str">
        <f t="shared" si="322"/>
        <v/>
      </c>
      <c r="T52" s="8" t="str">
        <f t="shared" si="322"/>
        <v/>
      </c>
      <c r="U52" s="8" t="str">
        <f t="shared" si="322"/>
        <v/>
      </c>
      <c r="V52" s="8" t="str">
        <f t="shared" si="322"/>
        <v/>
      </c>
      <c r="W52" s="8" t="str">
        <f t="shared" si="322"/>
        <v/>
      </c>
      <c r="X52" s="8"/>
      <c r="Y52" s="8"/>
      <c r="Z52" s="41" t="str">
        <f t="shared" ref="Z52:AE52" si="323">R52</f>
        <v/>
      </c>
      <c r="AA52" s="8" t="str">
        <f t="shared" si="323"/>
        <v/>
      </c>
      <c r="AB52" s="8" t="str">
        <f t="shared" si="323"/>
        <v/>
      </c>
      <c r="AC52" s="8" t="str">
        <f t="shared" si="323"/>
        <v/>
      </c>
      <c r="AD52" s="8" t="str">
        <f t="shared" si="323"/>
        <v/>
      </c>
      <c r="AE52" s="8" t="str">
        <f t="shared" si="323"/>
        <v/>
      </c>
      <c r="AF52" s="8"/>
      <c r="AG52" s="8"/>
      <c r="AH52" s="41" t="str">
        <f t="shared" ref="AH52:AM52" si="324">Z52</f>
        <v/>
      </c>
      <c r="AI52" s="8" t="str">
        <f t="shared" si="324"/>
        <v/>
      </c>
      <c r="AJ52" s="8" t="str">
        <f t="shared" si="324"/>
        <v/>
      </c>
      <c r="AK52" s="8" t="str">
        <f t="shared" si="324"/>
        <v/>
      </c>
      <c r="AL52" s="8" t="str">
        <f t="shared" si="324"/>
        <v/>
      </c>
      <c r="AM52" s="8" t="str">
        <f t="shared" si="324"/>
        <v/>
      </c>
      <c r="AN52" s="8"/>
      <c r="AO52" s="8"/>
      <c r="AP52" s="41" t="str">
        <f t="shared" ref="AP52:AU52" si="325">AH52</f>
        <v/>
      </c>
      <c r="AQ52" s="8" t="str">
        <f t="shared" si="325"/>
        <v/>
      </c>
      <c r="AR52" s="8" t="str">
        <f t="shared" si="325"/>
        <v/>
      </c>
      <c r="AS52" s="8" t="str">
        <f t="shared" si="325"/>
        <v/>
      </c>
      <c r="AT52" s="8" t="str">
        <f t="shared" si="325"/>
        <v/>
      </c>
      <c r="AU52" s="8" t="str">
        <f t="shared" si="325"/>
        <v/>
      </c>
      <c r="AV52" s="8"/>
      <c r="AW52" s="8"/>
      <c r="AX52" s="41" t="str">
        <f t="shared" ref="AX52:BC52" si="326">AP52</f>
        <v/>
      </c>
      <c r="AY52" s="8" t="str">
        <f t="shared" si="326"/>
        <v/>
      </c>
      <c r="AZ52" s="8" t="str">
        <f t="shared" si="326"/>
        <v/>
      </c>
      <c r="BA52" s="8" t="str">
        <f t="shared" si="326"/>
        <v/>
      </c>
      <c r="BB52" s="8" t="str">
        <f t="shared" si="326"/>
        <v/>
      </c>
      <c r="BC52" s="8" t="str">
        <f t="shared" si="326"/>
        <v/>
      </c>
      <c r="BD52" s="8"/>
      <c r="BE52" s="8"/>
      <c r="BF52" s="41" t="str">
        <f t="shared" ref="BF52:BK52" si="327">AX52</f>
        <v/>
      </c>
      <c r="BG52" s="8" t="str">
        <f t="shared" si="327"/>
        <v/>
      </c>
      <c r="BH52" s="8" t="str">
        <f t="shared" si="327"/>
        <v/>
      </c>
      <c r="BI52" s="8" t="str">
        <f t="shared" si="327"/>
        <v/>
      </c>
      <c r="BJ52" s="8" t="str">
        <f t="shared" si="327"/>
        <v/>
      </c>
      <c r="BK52" s="8" t="str">
        <f t="shared" si="327"/>
        <v/>
      </c>
      <c r="BL52" s="8"/>
      <c r="BM52" s="8"/>
      <c r="BN52" s="41" t="str">
        <f t="shared" ref="BN52:BS52" si="328">BF52</f>
        <v/>
      </c>
      <c r="BO52" s="8" t="str">
        <f t="shared" si="328"/>
        <v/>
      </c>
      <c r="BP52" s="8" t="str">
        <f t="shared" si="328"/>
        <v/>
      </c>
      <c r="BQ52" s="8" t="str">
        <f t="shared" si="328"/>
        <v/>
      </c>
      <c r="BR52" s="8" t="str">
        <f t="shared" si="328"/>
        <v/>
      </c>
      <c r="BS52" s="8" t="str">
        <f t="shared" si="328"/>
        <v/>
      </c>
      <c r="BT52" s="8"/>
      <c r="BU52" s="8"/>
      <c r="BV52" s="41" t="str">
        <f t="shared" ref="BV52:CA52" si="329">BN52</f>
        <v/>
      </c>
      <c r="BW52" s="8" t="str">
        <f t="shared" si="329"/>
        <v/>
      </c>
      <c r="BX52" s="8" t="str">
        <f t="shared" si="329"/>
        <v/>
      </c>
      <c r="BY52" s="8" t="str">
        <f t="shared" si="329"/>
        <v/>
      </c>
      <c r="BZ52" s="8" t="str">
        <f t="shared" si="329"/>
        <v/>
      </c>
      <c r="CA52" s="8" t="str">
        <f t="shared" si="329"/>
        <v/>
      </c>
      <c r="CB52" s="8"/>
      <c r="CC52" s="8"/>
      <c r="CD52" s="41" t="str">
        <f t="shared" ref="CD52:CI52" si="330">BV52</f>
        <v/>
      </c>
      <c r="CE52" s="8" t="str">
        <f t="shared" si="330"/>
        <v/>
      </c>
      <c r="CF52" s="8" t="str">
        <f t="shared" si="330"/>
        <v/>
      </c>
      <c r="CG52" s="8" t="str">
        <f t="shared" si="330"/>
        <v/>
      </c>
      <c r="CH52" s="8" t="str">
        <f t="shared" si="330"/>
        <v/>
      </c>
      <c r="CI52" s="8" t="str">
        <f t="shared" si="330"/>
        <v/>
      </c>
      <c r="CJ52" s="8"/>
      <c r="CK52" s="8"/>
      <c r="CL52" s="41" t="str">
        <f t="shared" ref="CL52:CQ52" si="331">CD52</f>
        <v/>
      </c>
      <c r="CM52" s="8" t="str">
        <f t="shared" si="331"/>
        <v/>
      </c>
      <c r="CN52" s="8" t="str">
        <f t="shared" si="331"/>
        <v/>
      </c>
      <c r="CO52" s="8" t="str">
        <f t="shared" si="331"/>
        <v/>
      </c>
      <c r="CP52" s="8" t="str">
        <f t="shared" si="331"/>
        <v/>
      </c>
      <c r="CQ52" s="8" t="str">
        <f t="shared" si="331"/>
        <v/>
      </c>
      <c r="CR52" s="8"/>
      <c r="CS52" s="8"/>
      <c r="CT52" s="41" t="str">
        <f t="shared" ref="CT52:CY52" si="332">CL52</f>
        <v/>
      </c>
      <c r="CU52" s="8" t="str">
        <f t="shared" si="332"/>
        <v/>
      </c>
      <c r="CV52" s="8" t="str">
        <f t="shared" si="332"/>
        <v/>
      </c>
      <c r="CW52" s="8" t="str">
        <f t="shared" si="332"/>
        <v/>
      </c>
      <c r="CX52" s="8" t="str">
        <f t="shared" si="332"/>
        <v/>
      </c>
      <c r="CY52" s="8" t="str">
        <f t="shared" si="332"/>
        <v/>
      </c>
      <c r="CZ52" s="8"/>
      <c r="DA52" s="8"/>
      <c r="DB52" s="41" t="str">
        <f t="shared" ref="DB52:DG52" si="333">CT52</f>
        <v/>
      </c>
      <c r="DC52" s="8" t="str">
        <f t="shared" si="333"/>
        <v/>
      </c>
      <c r="DD52" s="8" t="str">
        <f t="shared" si="333"/>
        <v/>
      </c>
      <c r="DE52" s="8" t="str">
        <f t="shared" si="333"/>
        <v/>
      </c>
      <c r="DF52" s="8" t="str">
        <f t="shared" si="333"/>
        <v/>
      </c>
      <c r="DG52" s="8" t="str">
        <f t="shared" si="333"/>
        <v/>
      </c>
      <c r="DH52" s="8"/>
      <c r="DI52" s="8"/>
      <c r="DJ52" s="41" t="str">
        <f t="shared" ref="DJ52:DO52" si="334">DB52</f>
        <v/>
      </c>
      <c r="DK52" s="8" t="str">
        <f t="shared" si="334"/>
        <v/>
      </c>
      <c r="DL52" s="8" t="str">
        <f t="shared" si="334"/>
        <v/>
      </c>
      <c r="DM52" s="8" t="str">
        <f t="shared" si="334"/>
        <v/>
      </c>
      <c r="DN52" s="8" t="str">
        <f t="shared" si="334"/>
        <v/>
      </c>
      <c r="DO52" s="8" t="str">
        <f t="shared" si="334"/>
        <v/>
      </c>
      <c r="DP52" s="8"/>
      <c r="DQ52" s="8"/>
      <c r="DR52" s="41" t="str">
        <f t="shared" ref="DR52:DW52" si="335">DJ52</f>
        <v/>
      </c>
      <c r="DS52" s="8" t="str">
        <f t="shared" si="335"/>
        <v/>
      </c>
      <c r="DT52" s="8" t="str">
        <f t="shared" si="335"/>
        <v/>
      </c>
      <c r="DU52" s="8" t="str">
        <f t="shared" si="335"/>
        <v/>
      </c>
      <c r="DV52" s="8" t="str">
        <f t="shared" si="335"/>
        <v/>
      </c>
      <c r="DW52" s="8" t="str">
        <f t="shared" si="335"/>
        <v/>
      </c>
      <c r="DX52" s="8"/>
      <c r="DY52" s="8"/>
      <c r="DZ52" s="41" t="str">
        <f t="shared" ref="DZ52:EE52" si="336">DR52</f>
        <v/>
      </c>
      <c r="EA52" s="8" t="str">
        <f t="shared" si="336"/>
        <v/>
      </c>
      <c r="EB52" s="8" t="str">
        <f t="shared" si="336"/>
        <v/>
      </c>
      <c r="EC52" s="8" t="str">
        <f t="shared" si="336"/>
        <v/>
      </c>
      <c r="ED52" s="8" t="str">
        <f t="shared" si="336"/>
        <v/>
      </c>
      <c r="EE52" s="8" t="str">
        <f t="shared" si="336"/>
        <v/>
      </c>
      <c r="EF52" s="8"/>
      <c r="EG52" s="8"/>
      <c r="EH52" s="41" t="str">
        <f t="shared" ref="EH52:EM52" si="337">DZ52</f>
        <v/>
      </c>
      <c r="EI52" s="8" t="str">
        <f t="shared" si="337"/>
        <v/>
      </c>
      <c r="EJ52" s="8" t="str">
        <f t="shared" si="337"/>
        <v/>
      </c>
      <c r="EK52" s="8" t="str">
        <f t="shared" si="337"/>
        <v/>
      </c>
      <c r="EL52" s="8" t="str">
        <f t="shared" si="337"/>
        <v/>
      </c>
      <c r="EM52" s="8" t="str">
        <f t="shared" si="337"/>
        <v/>
      </c>
      <c r="EN52" s="8"/>
      <c r="EO52" s="8"/>
      <c r="EP52" s="41" t="str">
        <f t="shared" ref="EP52:EU52" si="338">EH52</f>
        <v/>
      </c>
      <c r="EQ52" s="8" t="str">
        <f t="shared" si="338"/>
        <v/>
      </c>
      <c r="ER52" s="8" t="str">
        <f t="shared" si="338"/>
        <v/>
      </c>
      <c r="ES52" s="8" t="str">
        <f t="shared" si="338"/>
        <v/>
      </c>
      <c r="ET52" s="8" t="str">
        <f t="shared" si="338"/>
        <v/>
      </c>
      <c r="EU52" s="8" t="str">
        <f t="shared" si="338"/>
        <v/>
      </c>
      <c r="EV52" s="8"/>
      <c r="EW52" s="8"/>
      <c r="EX52" s="41" t="str">
        <f t="shared" ref="EX52:FC52" si="339">EP52</f>
        <v/>
      </c>
      <c r="EY52" s="8" t="str">
        <f t="shared" si="339"/>
        <v/>
      </c>
      <c r="EZ52" s="8" t="str">
        <f t="shared" si="339"/>
        <v/>
      </c>
      <c r="FA52" s="8" t="str">
        <f t="shared" si="339"/>
        <v/>
      </c>
      <c r="FB52" s="8" t="str">
        <f t="shared" si="339"/>
        <v/>
      </c>
      <c r="FC52" s="8" t="str">
        <f t="shared" si="339"/>
        <v/>
      </c>
      <c r="FD52" s="8"/>
      <c r="FE52" s="8"/>
      <c r="FF52" s="41" t="str">
        <f t="shared" ref="FF52:FK52" si="340">EX52</f>
        <v/>
      </c>
      <c r="FG52" s="8" t="str">
        <f t="shared" si="340"/>
        <v/>
      </c>
      <c r="FH52" s="8" t="str">
        <f t="shared" si="340"/>
        <v/>
      </c>
      <c r="FI52" s="8" t="str">
        <f t="shared" si="340"/>
        <v/>
      </c>
      <c r="FJ52" s="8" t="str">
        <f t="shared" si="340"/>
        <v/>
      </c>
      <c r="FK52" s="8" t="str">
        <f t="shared" si="340"/>
        <v/>
      </c>
      <c r="FL52" s="8"/>
      <c r="FM52" s="8"/>
    </row>
    <row r="53">
      <c r="A53" s="1" t="s">
        <v>81</v>
      </c>
      <c r="B53" s="40"/>
      <c r="C53" s="2"/>
      <c r="D53" s="2"/>
      <c r="E53" s="2"/>
      <c r="F53" s="2"/>
      <c r="G53" s="2"/>
      <c r="H53" s="2"/>
      <c r="I53" s="2"/>
      <c r="J53" s="40"/>
      <c r="K53" s="2"/>
      <c r="L53" s="2"/>
      <c r="M53" s="2"/>
      <c r="N53" s="2"/>
      <c r="O53" s="2"/>
      <c r="P53" s="2"/>
      <c r="Q53" s="2"/>
      <c r="R53" s="40"/>
      <c r="S53" s="2"/>
      <c r="T53" s="2"/>
      <c r="U53" s="2"/>
      <c r="V53" s="2"/>
      <c r="W53" s="2"/>
      <c r="X53" s="2"/>
      <c r="Y53" s="2"/>
      <c r="Z53" s="40"/>
      <c r="AA53" s="2"/>
      <c r="AB53" s="2"/>
      <c r="AC53" s="2"/>
      <c r="AD53" s="2"/>
      <c r="AE53" s="2"/>
      <c r="AF53" s="2"/>
      <c r="AG53" s="2"/>
      <c r="AH53" s="40"/>
      <c r="AI53" s="2"/>
      <c r="AJ53" s="2"/>
      <c r="AK53" s="2"/>
      <c r="AL53" s="2"/>
      <c r="AM53" s="2"/>
      <c r="AN53" s="2"/>
      <c r="AO53" s="2"/>
      <c r="AP53" s="40"/>
      <c r="AQ53" s="2"/>
      <c r="AR53" s="2"/>
      <c r="AS53" s="2"/>
      <c r="AT53" s="2"/>
      <c r="AU53" s="2"/>
      <c r="AV53" s="2"/>
      <c r="AW53" s="2"/>
      <c r="AX53" s="40"/>
      <c r="AY53" s="2"/>
      <c r="AZ53" s="2"/>
      <c r="BA53" s="2"/>
      <c r="BB53" s="2"/>
      <c r="BC53" s="2"/>
      <c r="BD53" s="2"/>
      <c r="BE53" s="2"/>
      <c r="BF53" s="40"/>
      <c r="BG53" s="2"/>
      <c r="BH53" s="2"/>
      <c r="BI53" s="2"/>
      <c r="BJ53" s="2"/>
      <c r="BK53" s="2"/>
      <c r="BL53" s="2"/>
      <c r="BM53" s="2"/>
      <c r="BN53" s="40"/>
      <c r="BO53" s="2"/>
      <c r="BP53" s="2"/>
      <c r="BQ53" s="2"/>
      <c r="BR53" s="2"/>
      <c r="BS53" s="2"/>
      <c r="BT53" s="2"/>
      <c r="BU53" s="2"/>
      <c r="BV53" s="40"/>
      <c r="BW53" s="2"/>
      <c r="BX53" s="2"/>
      <c r="BY53" s="2"/>
      <c r="BZ53" s="2"/>
      <c r="CA53" s="2"/>
      <c r="CB53" s="2"/>
      <c r="CC53" s="2"/>
      <c r="CD53" s="40"/>
      <c r="CE53" s="2"/>
      <c r="CF53" s="2"/>
      <c r="CG53" s="2"/>
      <c r="CH53" s="2"/>
      <c r="CI53" s="2"/>
      <c r="CJ53" s="2"/>
      <c r="CK53" s="2"/>
      <c r="CL53" s="40"/>
      <c r="CM53" s="2"/>
      <c r="CN53" s="2"/>
      <c r="CO53" s="2"/>
      <c r="CP53" s="2"/>
      <c r="CQ53" s="2"/>
      <c r="CR53" s="2"/>
      <c r="CS53" s="2"/>
      <c r="CT53" s="40"/>
      <c r="CU53" s="2"/>
      <c r="CV53" s="2"/>
      <c r="CW53" s="2"/>
      <c r="CX53" s="2"/>
      <c r="CY53" s="2"/>
      <c r="CZ53" s="2"/>
      <c r="DA53" s="2"/>
      <c r="DB53" s="40"/>
      <c r="DC53" s="2"/>
      <c r="DD53" s="2"/>
      <c r="DE53" s="2"/>
      <c r="DF53" s="2"/>
      <c r="DG53" s="2"/>
      <c r="DH53" s="2"/>
      <c r="DI53" s="2"/>
      <c r="DJ53" s="40"/>
      <c r="DK53" s="2"/>
      <c r="DL53" s="2"/>
      <c r="DM53" s="2"/>
      <c r="DN53" s="2"/>
      <c r="DO53" s="2"/>
      <c r="DP53" s="2"/>
      <c r="DQ53" s="2"/>
      <c r="DR53" s="40"/>
      <c r="DS53" s="2"/>
      <c r="DT53" s="2"/>
      <c r="DU53" s="2"/>
      <c r="DV53" s="2"/>
      <c r="DW53" s="2"/>
      <c r="DX53" s="2"/>
      <c r="DY53" s="2"/>
      <c r="DZ53" s="40"/>
      <c r="EA53" s="2"/>
      <c r="EB53" s="2"/>
      <c r="EC53" s="2"/>
      <c r="ED53" s="2"/>
      <c r="EE53" s="2"/>
      <c r="EF53" s="2"/>
      <c r="EG53" s="2"/>
      <c r="EH53" s="40"/>
      <c r="EI53" s="2"/>
      <c r="EJ53" s="2"/>
      <c r="EK53" s="2"/>
      <c r="EL53" s="2"/>
      <c r="EM53" s="2"/>
      <c r="EN53" s="2"/>
      <c r="EO53" s="2"/>
      <c r="EP53" s="40"/>
      <c r="EQ53" s="2"/>
      <c r="ER53" s="2"/>
      <c r="ES53" s="2"/>
      <c r="ET53" s="2"/>
      <c r="EU53" s="2"/>
      <c r="EV53" s="2"/>
      <c r="EW53" s="2"/>
      <c r="EX53" s="40"/>
      <c r="EY53" s="2"/>
      <c r="EZ53" s="2"/>
      <c r="FA53" s="2"/>
      <c r="FB53" s="2"/>
      <c r="FC53" s="2"/>
      <c r="FD53" s="2"/>
      <c r="FE53" s="2"/>
      <c r="FF53" s="40"/>
      <c r="FG53" s="2"/>
      <c r="FH53" s="2"/>
      <c r="FI53" s="2"/>
      <c r="FJ53" s="2"/>
      <c r="FK53" s="2"/>
      <c r="FL53" s="2"/>
      <c r="FM53" s="2"/>
    </row>
    <row r="54">
      <c r="A54" s="42"/>
      <c r="B54" s="41"/>
      <c r="C54" s="8"/>
      <c r="D54" s="8"/>
      <c r="E54" s="8"/>
      <c r="F54" s="8"/>
      <c r="G54" s="8"/>
      <c r="H54" s="8"/>
      <c r="I54" s="8"/>
      <c r="J54" s="41" t="str">
        <f t="shared" ref="J54:O54" si="341">B54</f>
        <v/>
      </c>
      <c r="K54" s="8" t="str">
        <f t="shared" si="341"/>
        <v/>
      </c>
      <c r="L54" s="8" t="str">
        <f t="shared" si="341"/>
        <v/>
      </c>
      <c r="M54" s="8" t="str">
        <f t="shared" si="341"/>
        <v/>
      </c>
      <c r="N54" s="8" t="str">
        <f t="shared" si="341"/>
        <v/>
      </c>
      <c r="O54" s="8" t="str">
        <f t="shared" si="341"/>
        <v/>
      </c>
      <c r="P54" s="8"/>
      <c r="Q54" s="8"/>
      <c r="R54" s="41" t="str">
        <f t="shared" ref="R54:W54" si="342">J54</f>
        <v/>
      </c>
      <c r="S54" s="8" t="str">
        <f t="shared" si="342"/>
        <v/>
      </c>
      <c r="T54" s="8" t="str">
        <f t="shared" si="342"/>
        <v/>
      </c>
      <c r="U54" s="8" t="str">
        <f t="shared" si="342"/>
        <v/>
      </c>
      <c r="V54" s="8" t="str">
        <f t="shared" si="342"/>
        <v/>
      </c>
      <c r="W54" s="8" t="str">
        <f t="shared" si="342"/>
        <v/>
      </c>
      <c r="X54" s="8"/>
      <c r="Y54" s="8"/>
      <c r="Z54" s="41" t="str">
        <f t="shared" ref="Z54:AE54" si="343">R54</f>
        <v/>
      </c>
      <c r="AA54" s="8" t="str">
        <f t="shared" si="343"/>
        <v/>
      </c>
      <c r="AB54" s="8" t="str">
        <f t="shared" si="343"/>
        <v/>
      </c>
      <c r="AC54" s="8" t="str">
        <f t="shared" si="343"/>
        <v/>
      </c>
      <c r="AD54" s="8" t="str">
        <f t="shared" si="343"/>
        <v/>
      </c>
      <c r="AE54" s="8" t="str">
        <f t="shared" si="343"/>
        <v/>
      </c>
      <c r="AF54" s="8"/>
      <c r="AG54" s="8"/>
      <c r="AH54" s="41" t="str">
        <f t="shared" ref="AH54:AM54" si="344">Z54</f>
        <v/>
      </c>
      <c r="AI54" s="8" t="str">
        <f t="shared" si="344"/>
        <v/>
      </c>
      <c r="AJ54" s="8" t="str">
        <f t="shared" si="344"/>
        <v/>
      </c>
      <c r="AK54" s="8" t="str">
        <f t="shared" si="344"/>
        <v/>
      </c>
      <c r="AL54" s="8" t="str">
        <f t="shared" si="344"/>
        <v/>
      </c>
      <c r="AM54" s="8" t="str">
        <f t="shared" si="344"/>
        <v/>
      </c>
      <c r="AN54" s="8"/>
      <c r="AO54" s="8"/>
      <c r="AP54" s="41" t="str">
        <f t="shared" ref="AP54:AU54" si="345">AH54</f>
        <v/>
      </c>
      <c r="AQ54" s="8" t="str">
        <f t="shared" si="345"/>
        <v/>
      </c>
      <c r="AR54" s="8" t="str">
        <f t="shared" si="345"/>
        <v/>
      </c>
      <c r="AS54" s="8" t="str">
        <f t="shared" si="345"/>
        <v/>
      </c>
      <c r="AT54" s="8" t="str">
        <f t="shared" si="345"/>
        <v/>
      </c>
      <c r="AU54" s="8" t="str">
        <f t="shared" si="345"/>
        <v/>
      </c>
      <c r="AV54" s="8"/>
      <c r="AW54" s="8"/>
      <c r="AX54" s="41" t="str">
        <f t="shared" ref="AX54:BC54" si="346">AP54</f>
        <v/>
      </c>
      <c r="AY54" s="8" t="str">
        <f t="shared" si="346"/>
        <v/>
      </c>
      <c r="AZ54" s="8" t="str">
        <f t="shared" si="346"/>
        <v/>
      </c>
      <c r="BA54" s="8" t="str">
        <f t="shared" si="346"/>
        <v/>
      </c>
      <c r="BB54" s="8" t="str">
        <f t="shared" si="346"/>
        <v/>
      </c>
      <c r="BC54" s="8" t="str">
        <f t="shared" si="346"/>
        <v/>
      </c>
      <c r="BD54" s="8"/>
      <c r="BE54" s="8"/>
      <c r="BF54" s="41" t="str">
        <f t="shared" ref="BF54:BK54" si="347">AX54</f>
        <v/>
      </c>
      <c r="BG54" s="8" t="str">
        <f t="shared" si="347"/>
        <v/>
      </c>
      <c r="BH54" s="8" t="str">
        <f t="shared" si="347"/>
        <v/>
      </c>
      <c r="BI54" s="8" t="str">
        <f t="shared" si="347"/>
        <v/>
      </c>
      <c r="BJ54" s="8" t="str">
        <f t="shared" si="347"/>
        <v/>
      </c>
      <c r="BK54" s="8" t="str">
        <f t="shared" si="347"/>
        <v/>
      </c>
      <c r="BL54" s="8"/>
      <c r="BM54" s="8"/>
      <c r="BN54" s="41" t="str">
        <f t="shared" ref="BN54:BS54" si="348">BF54</f>
        <v/>
      </c>
      <c r="BO54" s="8" t="str">
        <f t="shared" si="348"/>
        <v/>
      </c>
      <c r="BP54" s="8" t="str">
        <f t="shared" si="348"/>
        <v/>
      </c>
      <c r="BQ54" s="8" t="str">
        <f t="shared" si="348"/>
        <v/>
      </c>
      <c r="BR54" s="8" t="str">
        <f t="shared" si="348"/>
        <v/>
      </c>
      <c r="BS54" s="8" t="str">
        <f t="shared" si="348"/>
        <v/>
      </c>
      <c r="BT54" s="8"/>
      <c r="BU54" s="8"/>
      <c r="BV54" s="41" t="str">
        <f t="shared" ref="BV54:CA54" si="349">BN54</f>
        <v/>
      </c>
      <c r="BW54" s="8" t="str">
        <f t="shared" si="349"/>
        <v/>
      </c>
      <c r="BX54" s="8" t="str">
        <f t="shared" si="349"/>
        <v/>
      </c>
      <c r="BY54" s="8" t="str">
        <f t="shared" si="349"/>
        <v/>
      </c>
      <c r="BZ54" s="8" t="str">
        <f t="shared" si="349"/>
        <v/>
      </c>
      <c r="CA54" s="8" t="str">
        <f t="shared" si="349"/>
        <v/>
      </c>
      <c r="CB54" s="8"/>
      <c r="CC54" s="8"/>
      <c r="CD54" s="41" t="str">
        <f t="shared" ref="CD54:CI54" si="350">BV54</f>
        <v/>
      </c>
      <c r="CE54" s="8" t="str">
        <f t="shared" si="350"/>
        <v/>
      </c>
      <c r="CF54" s="8" t="str">
        <f t="shared" si="350"/>
        <v/>
      </c>
      <c r="CG54" s="8" t="str">
        <f t="shared" si="350"/>
        <v/>
      </c>
      <c r="CH54" s="8" t="str">
        <f t="shared" si="350"/>
        <v/>
      </c>
      <c r="CI54" s="8" t="str">
        <f t="shared" si="350"/>
        <v/>
      </c>
      <c r="CJ54" s="8"/>
      <c r="CK54" s="8"/>
      <c r="CL54" s="41" t="str">
        <f t="shared" ref="CL54:CQ54" si="351">CD54</f>
        <v/>
      </c>
      <c r="CM54" s="8" t="str">
        <f t="shared" si="351"/>
        <v/>
      </c>
      <c r="CN54" s="8" t="str">
        <f t="shared" si="351"/>
        <v/>
      </c>
      <c r="CO54" s="8" t="str">
        <f t="shared" si="351"/>
        <v/>
      </c>
      <c r="CP54" s="8" t="str">
        <f t="shared" si="351"/>
        <v/>
      </c>
      <c r="CQ54" s="8" t="str">
        <f t="shared" si="351"/>
        <v/>
      </c>
      <c r="CR54" s="8"/>
      <c r="CS54" s="8"/>
      <c r="CT54" s="41" t="str">
        <f t="shared" ref="CT54:CY54" si="352">CL54</f>
        <v/>
      </c>
      <c r="CU54" s="8" t="str">
        <f t="shared" si="352"/>
        <v/>
      </c>
      <c r="CV54" s="8" t="str">
        <f t="shared" si="352"/>
        <v/>
      </c>
      <c r="CW54" s="8" t="str">
        <f t="shared" si="352"/>
        <v/>
      </c>
      <c r="CX54" s="8" t="str">
        <f t="shared" si="352"/>
        <v/>
      </c>
      <c r="CY54" s="8" t="str">
        <f t="shared" si="352"/>
        <v/>
      </c>
      <c r="CZ54" s="8"/>
      <c r="DA54" s="8"/>
      <c r="DB54" s="41" t="str">
        <f t="shared" ref="DB54:DG54" si="353">CT54</f>
        <v/>
      </c>
      <c r="DC54" s="8" t="str">
        <f t="shared" si="353"/>
        <v/>
      </c>
      <c r="DD54" s="8" t="str">
        <f t="shared" si="353"/>
        <v/>
      </c>
      <c r="DE54" s="8" t="str">
        <f t="shared" si="353"/>
        <v/>
      </c>
      <c r="DF54" s="8" t="str">
        <f t="shared" si="353"/>
        <v/>
      </c>
      <c r="DG54" s="8" t="str">
        <f t="shared" si="353"/>
        <v/>
      </c>
      <c r="DH54" s="8"/>
      <c r="DI54" s="8"/>
      <c r="DJ54" s="41" t="str">
        <f t="shared" ref="DJ54:DO54" si="354">DB54</f>
        <v/>
      </c>
      <c r="DK54" s="8" t="str">
        <f t="shared" si="354"/>
        <v/>
      </c>
      <c r="DL54" s="8" t="str">
        <f t="shared" si="354"/>
        <v/>
      </c>
      <c r="DM54" s="8" t="str">
        <f t="shared" si="354"/>
        <v/>
      </c>
      <c r="DN54" s="8" t="str">
        <f t="shared" si="354"/>
        <v/>
      </c>
      <c r="DO54" s="8" t="str">
        <f t="shared" si="354"/>
        <v/>
      </c>
      <c r="DP54" s="8"/>
      <c r="DQ54" s="8"/>
      <c r="DR54" s="41" t="str">
        <f t="shared" ref="DR54:DW54" si="355">DJ54</f>
        <v/>
      </c>
      <c r="DS54" s="8" t="str">
        <f t="shared" si="355"/>
        <v/>
      </c>
      <c r="DT54" s="8" t="str">
        <f t="shared" si="355"/>
        <v/>
      </c>
      <c r="DU54" s="8" t="str">
        <f t="shared" si="355"/>
        <v/>
      </c>
      <c r="DV54" s="8" t="str">
        <f t="shared" si="355"/>
        <v/>
      </c>
      <c r="DW54" s="8" t="str">
        <f t="shared" si="355"/>
        <v/>
      </c>
      <c r="DX54" s="8"/>
      <c r="DY54" s="8"/>
      <c r="DZ54" s="41" t="str">
        <f t="shared" ref="DZ54:EE54" si="356">DR54</f>
        <v/>
      </c>
      <c r="EA54" s="8" t="str">
        <f t="shared" si="356"/>
        <v/>
      </c>
      <c r="EB54" s="8" t="str">
        <f t="shared" si="356"/>
        <v/>
      </c>
      <c r="EC54" s="8" t="str">
        <f t="shared" si="356"/>
        <v/>
      </c>
      <c r="ED54" s="8" t="str">
        <f t="shared" si="356"/>
        <v/>
      </c>
      <c r="EE54" s="8" t="str">
        <f t="shared" si="356"/>
        <v/>
      </c>
      <c r="EF54" s="8"/>
      <c r="EG54" s="8"/>
      <c r="EH54" s="41" t="str">
        <f t="shared" ref="EH54:EM54" si="357">DZ54</f>
        <v/>
      </c>
      <c r="EI54" s="8" t="str">
        <f t="shared" si="357"/>
        <v/>
      </c>
      <c r="EJ54" s="8" t="str">
        <f t="shared" si="357"/>
        <v/>
      </c>
      <c r="EK54" s="8" t="str">
        <f t="shared" si="357"/>
        <v/>
      </c>
      <c r="EL54" s="8" t="str">
        <f t="shared" si="357"/>
        <v/>
      </c>
      <c r="EM54" s="8" t="str">
        <f t="shared" si="357"/>
        <v/>
      </c>
      <c r="EN54" s="8"/>
      <c r="EO54" s="8"/>
      <c r="EP54" s="41" t="str">
        <f t="shared" ref="EP54:EU54" si="358">EH54</f>
        <v/>
      </c>
      <c r="EQ54" s="8" t="str">
        <f t="shared" si="358"/>
        <v/>
      </c>
      <c r="ER54" s="8" t="str">
        <f t="shared" si="358"/>
        <v/>
      </c>
      <c r="ES54" s="8" t="str">
        <f t="shared" si="358"/>
        <v/>
      </c>
      <c r="ET54" s="8" t="str">
        <f t="shared" si="358"/>
        <v/>
      </c>
      <c r="EU54" s="8" t="str">
        <f t="shared" si="358"/>
        <v/>
      </c>
      <c r="EV54" s="8"/>
      <c r="EW54" s="8"/>
      <c r="EX54" s="41" t="str">
        <f t="shared" ref="EX54:FC54" si="359">EP54</f>
        <v/>
      </c>
      <c r="EY54" s="8" t="str">
        <f t="shared" si="359"/>
        <v/>
      </c>
      <c r="EZ54" s="8" t="str">
        <f t="shared" si="359"/>
        <v/>
      </c>
      <c r="FA54" s="8" t="str">
        <f t="shared" si="359"/>
        <v/>
      </c>
      <c r="FB54" s="8" t="str">
        <f t="shared" si="359"/>
        <v/>
      </c>
      <c r="FC54" s="8" t="str">
        <f t="shared" si="359"/>
        <v/>
      </c>
      <c r="FD54" s="8"/>
      <c r="FE54" s="8"/>
      <c r="FF54" s="41" t="str">
        <f t="shared" ref="FF54:FK54" si="360">EX54</f>
        <v/>
      </c>
      <c r="FG54" s="8" t="str">
        <f t="shared" si="360"/>
        <v/>
      </c>
      <c r="FH54" s="8" t="str">
        <f t="shared" si="360"/>
        <v/>
      </c>
      <c r="FI54" s="8" t="str">
        <f t="shared" si="360"/>
        <v/>
      </c>
      <c r="FJ54" s="8" t="str">
        <f t="shared" si="360"/>
        <v/>
      </c>
      <c r="FK54" s="8" t="str">
        <f t="shared" si="360"/>
        <v/>
      </c>
      <c r="FL54" s="8"/>
      <c r="FM54" s="8"/>
    </row>
    <row r="55">
      <c r="A55" s="42"/>
      <c r="B55" s="41"/>
      <c r="C55" s="8"/>
      <c r="D55" s="8"/>
      <c r="E55" s="8"/>
      <c r="F55" s="8"/>
      <c r="G55" s="8"/>
      <c r="H55" s="8"/>
      <c r="I55" s="8"/>
      <c r="J55" s="41" t="str">
        <f t="shared" ref="J55:O55" si="361">B55</f>
        <v/>
      </c>
      <c r="K55" s="8" t="str">
        <f t="shared" si="361"/>
        <v/>
      </c>
      <c r="L55" s="8" t="str">
        <f t="shared" si="361"/>
        <v/>
      </c>
      <c r="M55" s="8" t="str">
        <f t="shared" si="361"/>
        <v/>
      </c>
      <c r="N55" s="8" t="str">
        <f t="shared" si="361"/>
        <v/>
      </c>
      <c r="O55" s="8" t="str">
        <f t="shared" si="361"/>
        <v/>
      </c>
      <c r="P55" s="8"/>
      <c r="Q55" s="8"/>
      <c r="R55" s="41" t="str">
        <f t="shared" ref="R55:W55" si="362">J55</f>
        <v/>
      </c>
      <c r="S55" s="8" t="str">
        <f t="shared" si="362"/>
        <v/>
      </c>
      <c r="T55" s="8" t="str">
        <f t="shared" si="362"/>
        <v/>
      </c>
      <c r="U55" s="8" t="str">
        <f t="shared" si="362"/>
        <v/>
      </c>
      <c r="V55" s="8" t="str">
        <f t="shared" si="362"/>
        <v/>
      </c>
      <c r="W55" s="8" t="str">
        <f t="shared" si="362"/>
        <v/>
      </c>
      <c r="X55" s="8"/>
      <c r="Y55" s="8"/>
      <c r="Z55" s="41" t="str">
        <f t="shared" ref="Z55:AE55" si="363">R55</f>
        <v/>
      </c>
      <c r="AA55" s="8" t="str">
        <f t="shared" si="363"/>
        <v/>
      </c>
      <c r="AB55" s="8" t="str">
        <f t="shared" si="363"/>
        <v/>
      </c>
      <c r="AC55" s="8" t="str">
        <f t="shared" si="363"/>
        <v/>
      </c>
      <c r="AD55" s="8" t="str">
        <f t="shared" si="363"/>
        <v/>
      </c>
      <c r="AE55" s="8" t="str">
        <f t="shared" si="363"/>
        <v/>
      </c>
      <c r="AF55" s="8"/>
      <c r="AG55" s="8"/>
      <c r="AH55" s="41" t="str">
        <f t="shared" ref="AH55:AM55" si="364">Z55</f>
        <v/>
      </c>
      <c r="AI55" s="8" t="str">
        <f t="shared" si="364"/>
        <v/>
      </c>
      <c r="AJ55" s="8" t="str">
        <f t="shared" si="364"/>
        <v/>
      </c>
      <c r="AK55" s="8" t="str">
        <f t="shared" si="364"/>
        <v/>
      </c>
      <c r="AL55" s="8" t="str">
        <f t="shared" si="364"/>
        <v/>
      </c>
      <c r="AM55" s="8" t="str">
        <f t="shared" si="364"/>
        <v/>
      </c>
      <c r="AN55" s="8"/>
      <c r="AO55" s="8"/>
      <c r="AP55" s="41" t="str">
        <f t="shared" ref="AP55:AU55" si="365">AH55</f>
        <v/>
      </c>
      <c r="AQ55" s="8" t="str">
        <f t="shared" si="365"/>
        <v/>
      </c>
      <c r="AR55" s="8" t="str">
        <f t="shared" si="365"/>
        <v/>
      </c>
      <c r="AS55" s="8" t="str">
        <f t="shared" si="365"/>
        <v/>
      </c>
      <c r="AT55" s="8" t="str">
        <f t="shared" si="365"/>
        <v/>
      </c>
      <c r="AU55" s="8" t="str">
        <f t="shared" si="365"/>
        <v/>
      </c>
      <c r="AV55" s="8"/>
      <c r="AW55" s="8"/>
      <c r="AX55" s="41" t="str">
        <f t="shared" ref="AX55:BC55" si="366">AP55</f>
        <v/>
      </c>
      <c r="AY55" s="8" t="str">
        <f t="shared" si="366"/>
        <v/>
      </c>
      <c r="AZ55" s="8" t="str">
        <f t="shared" si="366"/>
        <v/>
      </c>
      <c r="BA55" s="8" t="str">
        <f t="shared" si="366"/>
        <v/>
      </c>
      <c r="BB55" s="8" t="str">
        <f t="shared" si="366"/>
        <v/>
      </c>
      <c r="BC55" s="8" t="str">
        <f t="shared" si="366"/>
        <v/>
      </c>
      <c r="BD55" s="8"/>
      <c r="BE55" s="8"/>
      <c r="BF55" s="41" t="str">
        <f t="shared" ref="BF55:BK55" si="367">AX55</f>
        <v/>
      </c>
      <c r="BG55" s="8" t="str">
        <f t="shared" si="367"/>
        <v/>
      </c>
      <c r="BH55" s="8" t="str">
        <f t="shared" si="367"/>
        <v/>
      </c>
      <c r="BI55" s="8" t="str">
        <f t="shared" si="367"/>
        <v/>
      </c>
      <c r="BJ55" s="8" t="str">
        <f t="shared" si="367"/>
        <v/>
      </c>
      <c r="BK55" s="8" t="str">
        <f t="shared" si="367"/>
        <v/>
      </c>
      <c r="BL55" s="8"/>
      <c r="BM55" s="8"/>
      <c r="BN55" s="41" t="str">
        <f t="shared" ref="BN55:BS55" si="368">BF55</f>
        <v/>
      </c>
      <c r="BO55" s="8" t="str">
        <f t="shared" si="368"/>
        <v/>
      </c>
      <c r="BP55" s="8" t="str">
        <f t="shared" si="368"/>
        <v/>
      </c>
      <c r="BQ55" s="8" t="str">
        <f t="shared" si="368"/>
        <v/>
      </c>
      <c r="BR55" s="8" t="str">
        <f t="shared" si="368"/>
        <v/>
      </c>
      <c r="BS55" s="8" t="str">
        <f t="shared" si="368"/>
        <v/>
      </c>
      <c r="BT55" s="8"/>
      <c r="BU55" s="8"/>
      <c r="BV55" s="41" t="str">
        <f t="shared" ref="BV55:CA55" si="369">BN55</f>
        <v/>
      </c>
      <c r="BW55" s="8" t="str">
        <f t="shared" si="369"/>
        <v/>
      </c>
      <c r="BX55" s="8" t="str">
        <f t="shared" si="369"/>
        <v/>
      </c>
      <c r="BY55" s="8" t="str">
        <f t="shared" si="369"/>
        <v/>
      </c>
      <c r="BZ55" s="8" t="str">
        <f t="shared" si="369"/>
        <v/>
      </c>
      <c r="CA55" s="8" t="str">
        <f t="shared" si="369"/>
        <v/>
      </c>
      <c r="CB55" s="8"/>
      <c r="CC55" s="8"/>
      <c r="CD55" s="41" t="str">
        <f t="shared" ref="CD55:CI55" si="370">BV55</f>
        <v/>
      </c>
      <c r="CE55" s="8" t="str">
        <f t="shared" si="370"/>
        <v/>
      </c>
      <c r="CF55" s="8" t="str">
        <f t="shared" si="370"/>
        <v/>
      </c>
      <c r="CG55" s="8" t="str">
        <f t="shared" si="370"/>
        <v/>
      </c>
      <c r="CH55" s="8" t="str">
        <f t="shared" si="370"/>
        <v/>
      </c>
      <c r="CI55" s="8" t="str">
        <f t="shared" si="370"/>
        <v/>
      </c>
      <c r="CJ55" s="8"/>
      <c r="CK55" s="8"/>
      <c r="CL55" s="41" t="str">
        <f t="shared" ref="CL55:CQ55" si="371">CD55</f>
        <v/>
      </c>
      <c r="CM55" s="8" t="str">
        <f t="shared" si="371"/>
        <v/>
      </c>
      <c r="CN55" s="8" t="str">
        <f t="shared" si="371"/>
        <v/>
      </c>
      <c r="CO55" s="8" t="str">
        <f t="shared" si="371"/>
        <v/>
      </c>
      <c r="CP55" s="8" t="str">
        <f t="shared" si="371"/>
        <v/>
      </c>
      <c r="CQ55" s="8" t="str">
        <f t="shared" si="371"/>
        <v/>
      </c>
      <c r="CR55" s="8"/>
      <c r="CS55" s="8"/>
      <c r="CT55" s="41" t="str">
        <f t="shared" ref="CT55:CY55" si="372">CL55</f>
        <v/>
      </c>
      <c r="CU55" s="8" t="str">
        <f t="shared" si="372"/>
        <v/>
      </c>
      <c r="CV55" s="8" t="str">
        <f t="shared" si="372"/>
        <v/>
      </c>
      <c r="CW55" s="8" t="str">
        <f t="shared" si="372"/>
        <v/>
      </c>
      <c r="CX55" s="8" t="str">
        <f t="shared" si="372"/>
        <v/>
      </c>
      <c r="CY55" s="8" t="str">
        <f t="shared" si="372"/>
        <v/>
      </c>
      <c r="CZ55" s="8"/>
      <c r="DA55" s="8"/>
      <c r="DB55" s="41" t="str">
        <f t="shared" ref="DB55:DG55" si="373">CT55</f>
        <v/>
      </c>
      <c r="DC55" s="8" t="str">
        <f t="shared" si="373"/>
        <v/>
      </c>
      <c r="DD55" s="8" t="str">
        <f t="shared" si="373"/>
        <v/>
      </c>
      <c r="DE55" s="8" t="str">
        <f t="shared" si="373"/>
        <v/>
      </c>
      <c r="DF55" s="8" t="str">
        <f t="shared" si="373"/>
        <v/>
      </c>
      <c r="DG55" s="8" t="str">
        <f t="shared" si="373"/>
        <v/>
      </c>
      <c r="DH55" s="8"/>
      <c r="DI55" s="8"/>
      <c r="DJ55" s="41" t="str">
        <f t="shared" ref="DJ55:DO55" si="374">DB55</f>
        <v/>
      </c>
      <c r="DK55" s="8" t="str">
        <f t="shared" si="374"/>
        <v/>
      </c>
      <c r="DL55" s="8" t="str">
        <f t="shared" si="374"/>
        <v/>
      </c>
      <c r="DM55" s="8" t="str">
        <f t="shared" si="374"/>
        <v/>
      </c>
      <c r="DN55" s="8" t="str">
        <f t="shared" si="374"/>
        <v/>
      </c>
      <c r="DO55" s="8" t="str">
        <f t="shared" si="374"/>
        <v/>
      </c>
      <c r="DP55" s="8"/>
      <c r="DQ55" s="8"/>
      <c r="DR55" s="41" t="str">
        <f t="shared" ref="DR55:DW55" si="375">DJ55</f>
        <v/>
      </c>
      <c r="DS55" s="8" t="str">
        <f t="shared" si="375"/>
        <v/>
      </c>
      <c r="DT55" s="8" t="str">
        <f t="shared" si="375"/>
        <v/>
      </c>
      <c r="DU55" s="8" t="str">
        <f t="shared" si="375"/>
        <v/>
      </c>
      <c r="DV55" s="8" t="str">
        <f t="shared" si="375"/>
        <v/>
      </c>
      <c r="DW55" s="8" t="str">
        <f t="shared" si="375"/>
        <v/>
      </c>
      <c r="DX55" s="8"/>
      <c r="DY55" s="8"/>
      <c r="DZ55" s="41" t="str">
        <f t="shared" ref="DZ55:EE55" si="376">DR55</f>
        <v/>
      </c>
      <c r="EA55" s="8" t="str">
        <f t="shared" si="376"/>
        <v/>
      </c>
      <c r="EB55" s="8" t="str">
        <f t="shared" si="376"/>
        <v/>
      </c>
      <c r="EC55" s="8" t="str">
        <f t="shared" si="376"/>
        <v/>
      </c>
      <c r="ED55" s="8" t="str">
        <f t="shared" si="376"/>
        <v/>
      </c>
      <c r="EE55" s="8" t="str">
        <f t="shared" si="376"/>
        <v/>
      </c>
      <c r="EF55" s="8"/>
      <c r="EG55" s="8"/>
      <c r="EH55" s="41" t="str">
        <f t="shared" ref="EH55:EM55" si="377">DZ55</f>
        <v/>
      </c>
      <c r="EI55" s="8" t="str">
        <f t="shared" si="377"/>
        <v/>
      </c>
      <c r="EJ55" s="8" t="str">
        <f t="shared" si="377"/>
        <v/>
      </c>
      <c r="EK55" s="8" t="str">
        <f t="shared" si="377"/>
        <v/>
      </c>
      <c r="EL55" s="8" t="str">
        <f t="shared" si="377"/>
        <v/>
      </c>
      <c r="EM55" s="8" t="str">
        <f t="shared" si="377"/>
        <v/>
      </c>
      <c r="EN55" s="8"/>
      <c r="EO55" s="8"/>
      <c r="EP55" s="41" t="str">
        <f t="shared" ref="EP55:EU55" si="378">EH55</f>
        <v/>
      </c>
      <c r="EQ55" s="8" t="str">
        <f t="shared" si="378"/>
        <v/>
      </c>
      <c r="ER55" s="8" t="str">
        <f t="shared" si="378"/>
        <v/>
      </c>
      <c r="ES55" s="8" t="str">
        <f t="shared" si="378"/>
        <v/>
      </c>
      <c r="ET55" s="8" t="str">
        <f t="shared" si="378"/>
        <v/>
      </c>
      <c r="EU55" s="8" t="str">
        <f t="shared" si="378"/>
        <v/>
      </c>
      <c r="EV55" s="8"/>
      <c r="EW55" s="8"/>
      <c r="EX55" s="41" t="str">
        <f t="shared" ref="EX55:FC55" si="379">EP55</f>
        <v/>
      </c>
      <c r="EY55" s="8" t="str">
        <f t="shared" si="379"/>
        <v/>
      </c>
      <c r="EZ55" s="8" t="str">
        <f t="shared" si="379"/>
        <v/>
      </c>
      <c r="FA55" s="8" t="str">
        <f t="shared" si="379"/>
        <v/>
      </c>
      <c r="FB55" s="8" t="str">
        <f t="shared" si="379"/>
        <v/>
      </c>
      <c r="FC55" s="8" t="str">
        <f t="shared" si="379"/>
        <v/>
      </c>
      <c r="FD55" s="8"/>
      <c r="FE55" s="8"/>
      <c r="FF55" s="41" t="str">
        <f t="shared" ref="FF55:FK55" si="380">EX55</f>
        <v/>
      </c>
      <c r="FG55" s="8" t="str">
        <f t="shared" si="380"/>
        <v/>
      </c>
      <c r="FH55" s="8" t="str">
        <f t="shared" si="380"/>
        <v/>
      </c>
      <c r="FI55" s="8" t="str">
        <f t="shared" si="380"/>
        <v/>
      </c>
      <c r="FJ55" s="8" t="str">
        <f t="shared" si="380"/>
        <v/>
      </c>
      <c r="FK55" s="8" t="str">
        <f t="shared" si="380"/>
        <v/>
      </c>
      <c r="FL55" s="8"/>
      <c r="FM55" s="8"/>
    </row>
    <row r="56">
      <c r="A56" s="43"/>
      <c r="B56" s="44"/>
      <c r="C56" s="45"/>
      <c r="D56" s="45"/>
      <c r="E56" s="45"/>
      <c r="F56" s="45"/>
      <c r="G56" s="45"/>
      <c r="H56" s="45"/>
      <c r="I56" s="45"/>
      <c r="J56" s="44" t="str">
        <f t="shared" ref="J56:O56" si="381">B56</f>
        <v/>
      </c>
      <c r="K56" s="45" t="str">
        <f t="shared" si="381"/>
        <v/>
      </c>
      <c r="L56" s="45" t="str">
        <f t="shared" si="381"/>
        <v/>
      </c>
      <c r="M56" s="45" t="str">
        <f t="shared" si="381"/>
        <v/>
      </c>
      <c r="N56" s="45" t="str">
        <f t="shared" si="381"/>
        <v/>
      </c>
      <c r="O56" s="45" t="str">
        <f t="shared" si="381"/>
        <v/>
      </c>
      <c r="P56" s="45"/>
      <c r="Q56" s="45"/>
      <c r="R56" s="44" t="str">
        <f t="shared" ref="R56:W56" si="382">J56</f>
        <v/>
      </c>
      <c r="S56" s="45" t="str">
        <f t="shared" si="382"/>
        <v/>
      </c>
      <c r="T56" s="45" t="str">
        <f t="shared" si="382"/>
        <v/>
      </c>
      <c r="U56" s="45" t="str">
        <f t="shared" si="382"/>
        <v/>
      </c>
      <c r="V56" s="45" t="str">
        <f t="shared" si="382"/>
        <v/>
      </c>
      <c r="W56" s="45" t="str">
        <f t="shared" si="382"/>
        <v/>
      </c>
      <c r="X56" s="45"/>
      <c r="Y56" s="45"/>
      <c r="Z56" s="44" t="str">
        <f t="shared" ref="Z56:AE56" si="383">R56</f>
        <v/>
      </c>
      <c r="AA56" s="45" t="str">
        <f t="shared" si="383"/>
        <v/>
      </c>
      <c r="AB56" s="45" t="str">
        <f t="shared" si="383"/>
        <v/>
      </c>
      <c r="AC56" s="45" t="str">
        <f t="shared" si="383"/>
        <v/>
      </c>
      <c r="AD56" s="45" t="str">
        <f t="shared" si="383"/>
        <v/>
      </c>
      <c r="AE56" s="45" t="str">
        <f t="shared" si="383"/>
        <v/>
      </c>
      <c r="AF56" s="45"/>
      <c r="AG56" s="45"/>
      <c r="AH56" s="44" t="str">
        <f t="shared" ref="AH56:AM56" si="384">Z56</f>
        <v/>
      </c>
      <c r="AI56" s="45" t="str">
        <f t="shared" si="384"/>
        <v/>
      </c>
      <c r="AJ56" s="45" t="str">
        <f t="shared" si="384"/>
        <v/>
      </c>
      <c r="AK56" s="45" t="str">
        <f t="shared" si="384"/>
        <v/>
      </c>
      <c r="AL56" s="45" t="str">
        <f t="shared" si="384"/>
        <v/>
      </c>
      <c r="AM56" s="45" t="str">
        <f t="shared" si="384"/>
        <v/>
      </c>
      <c r="AN56" s="45"/>
      <c r="AO56" s="45"/>
      <c r="AP56" s="44" t="str">
        <f t="shared" ref="AP56:AU56" si="385">AH56</f>
        <v/>
      </c>
      <c r="AQ56" s="45" t="str">
        <f t="shared" si="385"/>
        <v/>
      </c>
      <c r="AR56" s="45" t="str">
        <f t="shared" si="385"/>
        <v/>
      </c>
      <c r="AS56" s="45" t="str">
        <f t="shared" si="385"/>
        <v/>
      </c>
      <c r="AT56" s="45" t="str">
        <f t="shared" si="385"/>
        <v/>
      </c>
      <c r="AU56" s="45" t="str">
        <f t="shared" si="385"/>
        <v/>
      </c>
      <c r="AV56" s="45"/>
      <c r="AW56" s="45"/>
      <c r="AX56" s="44" t="str">
        <f t="shared" ref="AX56:BC56" si="386">AP56</f>
        <v/>
      </c>
      <c r="AY56" s="45" t="str">
        <f t="shared" si="386"/>
        <v/>
      </c>
      <c r="AZ56" s="45" t="str">
        <f t="shared" si="386"/>
        <v/>
      </c>
      <c r="BA56" s="45" t="str">
        <f t="shared" si="386"/>
        <v/>
      </c>
      <c r="BB56" s="45" t="str">
        <f t="shared" si="386"/>
        <v/>
      </c>
      <c r="BC56" s="45" t="str">
        <f t="shared" si="386"/>
        <v/>
      </c>
      <c r="BD56" s="45"/>
      <c r="BE56" s="45"/>
      <c r="BF56" s="44" t="str">
        <f t="shared" ref="BF56:BK56" si="387">AX56</f>
        <v/>
      </c>
      <c r="BG56" s="45" t="str">
        <f t="shared" si="387"/>
        <v/>
      </c>
      <c r="BH56" s="45" t="str">
        <f t="shared" si="387"/>
        <v/>
      </c>
      <c r="BI56" s="45" t="str">
        <f t="shared" si="387"/>
        <v/>
      </c>
      <c r="BJ56" s="45" t="str">
        <f t="shared" si="387"/>
        <v/>
      </c>
      <c r="BK56" s="45" t="str">
        <f t="shared" si="387"/>
        <v/>
      </c>
      <c r="BL56" s="45"/>
      <c r="BM56" s="45"/>
      <c r="BN56" s="44" t="str">
        <f t="shared" ref="BN56:BS56" si="388">BF56</f>
        <v/>
      </c>
      <c r="BO56" s="45" t="str">
        <f t="shared" si="388"/>
        <v/>
      </c>
      <c r="BP56" s="45" t="str">
        <f t="shared" si="388"/>
        <v/>
      </c>
      <c r="BQ56" s="45" t="str">
        <f t="shared" si="388"/>
        <v/>
      </c>
      <c r="BR56" s="45" t="str">
        <f t="shared" si="388"/>
        <v/>
      </c>
      <c r="BS56" s="45" t="str">
        <f t="shared" si="388"/>
        <v/>
      </c>
      <c r="BT56" s="45"/>
      <c r="BU56" s="45"/>
      <c r="BV56" s="44" t="str">
        <f t="shared" ref="BV56:CA56" si="389">BN56</f>
        <v/>
      </c>
      <c r="BW56" s="45" t="str">
        <f t="shared" si="389"/>
        <v/>
      </c>
      <c r="BX56" s="45" t="str">
        <f t="shared" si="389"/>
        <v/>
      </c>
      <c r="BY56" s="45" t="str">
        <f t="shared" si="389"/>
        <v/>
      </c>
      <c r="BZ56" s="45" t="str">
        <f t="shared" si="389"/>
        <v/>
      </c>
      <c r="CA56" s="45" t="str">
        <f t="shared" si="389"/>
        <v/>
      </c>
      <c r="CB56" s="45"/>
      <c r="CC56" s="45"/>
      <c r="CD56" s="44" t="str">
        <f t="shared" ref="CD56:CI56" si="390">BV56</f>
        <v/>
      </c>
      <c r="CE56" s="45" t="str">
        <f t="shared" si="390"/>
        <v/>
      </c>
      <c r="CF56" s="45" t="str">
        <f t="shared" si="390"/>
        <v/>
      </c>
      <c r="CG56" s="45" t="str">
        <f t="shared" si="390"/>
        <v/>
      </c>
      <c r="CH56" s="45" t="str">
        <f t="shared" si="390"/>
        <v/>
      </c>
      <c r="CI56" s="45" t="str">
        <f t="shared" si="390"/>
        <v/>
      </c>
      <c r="CJ56" s="45"/>
      <c r="CK56" s="45"/>
      <c r="CL56" s="44" t="str">
        <f t="shared" ref="CL56:CQ56" si="391">CD56</f>
        <v/>
      </c>
      <c r="CM56" s="45" t="str">
        <f t="shared" si="391"/>
        <v/>
      </c>
      <c r="CN56" s="45" t="str">
        <f t="shared" si="391"/>
        <v/>
      </c>
      <c r="CO56" s="45" t="str">
        <f t="shared" si="391"/>
        <v/>
      </c>
      <c r="CP56" s="45" t="str">
        <f t="shared" si="391"/>
        <v/>
      </c>
      <c r="CQ56" s="45" t="str">
        <f t="shared" si="391"/>
        <v/>
      </c>
      <c r="CR56" s="45"/>
      <c r="CS56" s="45"/>
      <c r="CT56" s="44" t="str">
        <f t="shared" ref="CT56:CY56" si="392">CL56</f>
        <v/>
      </c>
      <c r="CU56" s="45" t="str">
        <f t="shared" si="392"/>
        <v/>
      </c>
      <c r="CV56" s="45" t="str">
        <f t="shared" si="392"/>
        <v/>
      </c>
      <c r="CW56" s="45" t="str">
        <f t="shared" si="392"/>
        <v/>
      </c>
      <c r="CX56" s="45" t="str">
        <f t="shared" si="392"/>
        <v/>
      </c>
      <c r="CY56" s="45" t="str">
        <f t="shared" si="392"/>
        <v/>
      </c>
      <c r="CZ56" s="45"/>
      <c r="DA56" s="45"/>
      <c r="DB56" s="44" t="str">
        <f t="shared" ref="DB56:DG56" si="393">CT56</f>
        <v/>
      </c>
      <c r="DC56" s="45" t="str">
        <f t="shared" si="393"/>
        <v/>
      </c>
      <c r="DD56" s="45" t="str">
        <f t="shared" si="393"/>
        <v/>
      </c>
      <c r="DE56" s="45" t="str">
        <f t="shared" si="393"/>
        <v/>
      </c>
      <c r="DF56" s="45" t="str">
        <f t="shared" si="393"/>
        <v/>
      </c>
      <c r="DG56" s="45" t="str">
        <f t="shared" si="393"/>
        <v/>
      </c>
      <c r="DH56" s="45"/>
      <c r="DI56" s="45"/>
      <c r="DJ56" s="44" t="str">
        <f t="shared" ref="DJ56:DO56" si="394">DB56</f>
        <v/>
      </c>
      <c r="DK56" s="45" t="str">
        <f t="shared" si="394"/>
        <v/>
      </c>
      <c r="DL56" s="45" t="str">
        <f t="shared" si="394"/>
        <v/>
      </c>
      <c r="DM56" s="45" t="str">
        <f t="shared" si="394"/>
        <v/>
      </c>
      <c r="DN56" s="45" t="str">
        <f t="shared" si="394"/>
        <v/>
      </c>
      <c r="DO56" s="45" t="str">
        <f t="shared" si="394"/>
        <v/>
      </c>
      <c r="DP56" s="45"/>
      <c r="DQ56" s="45"/>
      <c r="DR56" s="44" t="str">
        <f t="shared" ref="DR56:DW56" si="395">DJ56</f>
        <v/>
      </c>
      <c r="DS56" s="45" t="str">
        <f t="shared" si="395"/>
        <v/>
      </c>
      <c r="DT56" s="45" t="str">
        <f t="shared" si="395"/>
        <v/>
      </c>
      <c r="DU56" s="45" t="str">
        <f t="shared" si="395"/>
        <v/>
      </c>
      <c r="DV56" s="45" t="str">
        <f t="shared" si="395"/>
        <v/>
      </c>
      <c r="DW56" s="45" t="str">
        <f t="shared" si="395"/>
        <v/>
      </c>
      <c r="DX56" s="45"/>
      <c r="DY56" s="45"/>
      <c r="DZ56" s="44" t="str">
        <f t="shared" ref="DZ56:EE56" si="396">DR56</f>
        <v/>
      </c>
      <c r="EA56" s="45" t="str">
        <f t="shared" si="396"/>
        <v/>
      </c>
      <c r="EB56" s="45" t="str">
        <f t="shared" si="396"/>
        <v/>
      </c>
      <c r="EC56" s="45" t="str">
        <f t="shared" si="396"/>
        <v/>
      </c>
      <c r="ED56" s="45" t="str">
        <f t="shared" si="396"/>
        <v/>
      </c>
      <c r="EE56" s="45" t="str">
        <f t="shared" si="396"/>
        <v/>
      </c>
      <c r="EF56" s="45"/>
      <c r="EG56" s="45"/>
      <c r="EH56" s="44" t="str">
        <f t="shared" ref="EH56:EM56" si="397">DZ56</f>
        <v/>
      </c>
      <c r="EI56" s="45" t="str">
        <f t="shared" si="397"/>
        <v/>
      </c>
      <c r="EJ56" s="45" t="str">
        <f t="shared" si="397"/>
        <v/>
      </c>
      <c r="EK56" s="45" t="str">
        <f t="shared" si="397"/>
        <v/>
      </c>
      <c r="EL56" s="45" t="str">
        <f t="shared" si="397"/>
        <v/>
      </c>
      <c r="EM56" s="45" t="str">
        <f t="shared" si="397"/>
        <v/>
      </c>
      <c r="EN56" s="45"/>
      <c r="EO56" s="45"/>
      <c r="EP56" s="44" t="str">
        <f t="shared" ref="EP56:EU56" si="398">EH56</f>
        <v/>
      </c>
      <c r="EQ56" s="45" t="str">
        <f t="shared" si="398"/>
        <v/>
      </c>
      <c r="ER56" s="45" t="str">
        <f t="shared" si="398"/>
        <v/>
      </c>
      <c r="ES56" s="45" t="str">
        <f t="shared" si="398"/>
        <v/>
      </c>
      <c r="ET56" s="45" t="str">
        <f t="shared" si="398"/>
        <v/>
      </c>
      <c r="EU56" s="45" t="str">
        <f t="shared" si="398"/>
        <v/>
      </c>
      <c r="EV56" s="45"/>
      <c r="EW56" s="45"/>
      <c r="EX56" s="44" t="str">
        <f t="shared" ref="EX56:FC56" si="399">EP56</f>
        <v/>
      </c>
      <c r="EY56" s="45" t="str">
        <f t="shared" si="399"/>
        <v/>
      </c>
      <c r="EZ56" s="45" t="str">
        <f t="shared" si="399"/>
        <v/>
      </c>
      <c r="FA56" s="45" t="str">
        <f t="shared" si="399"/>
        <v/>
      </c>
      <c r="FB56" s="45" t="str">
        <f t="shared" si="399"/>
        <v/>
      </c>
      <c r="FC56" s="45" t="str">
        <f t="shared" si="399"/>
        <v/>
      </c>
      <c r="FD56" s="45"/>
      <c r="FE56" s="45"/>
      <c r="FF56" s="44" t="str">
        <f t="shared" ref="FF56:FK56" si="400">EX56</f>
        <v/>
      </c>
      <c r="FG56" s="45" t="str">
        <f t="shared" si="400"/>
        <v/>
      </c>
      <c r="FH56" s="45" t="str">
        <f t="shared" si="400"/>
        <v/>
      </c>
      <c r="FI56" s="45" t="str">
        <f t="shared" si="400"/>
        <v/>
      </c>
      <c r="FJ56" s="45" t="str">
        <f t="shared" si="400"/>
        <v/>
      </c>
      <c r="FK56" s="45" t="str">
        <f t="shared" si="400"/>
        <v/>
      </c>
      <c r="FL56" s="45"/>
      <c r="FM56" s="45"/>
    </row>
  </sheetData>
  <mergeCells count="26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4:FE14"/>
    <mergeCell ref="EX25:FE25"/>
    <mergeCell ref="EX36:FE36"/>
    <mergeCell ref="EX47:FE47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4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>
      <c r="A4" s="1" t="str">
        <f>CONCATENATE(A5," TM")</f>
        <v>Squat TM</v>
      </c>
      <c r="B4" s="40">
        <f>if(D4="",'Quick Setup'!D5,D4/'Quick Setup'!E5)</f>
        <v>490</v>
      </c>
      <c r="C4" s="1" t="s">
        <v>77</v>
      </c>
      <c r="D4" s="8"/>
      <c r="E4" s="2"/>
      <c r="F4" s="2"/>
      <c r="G4" s="2"/>
      <c r="H4" s="2"/>
      <c r="I4" s="2"/>
      <c r="J4" s="40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1" t="s">
        <v>77</v>
      </c>
      <c r="L4" s="8"/>
      <c r="M4" s="2"/>
      <c r="N4" s="2"/>
      <c r="O4" s="2"/>
      <c r="P4" s="2"/>
      <c r="Q4" s="2"/>
      <c r="R4" s="40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1" t="s">
        <v>77</v>
      </c>
      <c r="T4" s="8"/>
      <c r="U4" s="2"/>
      <c r="V4" s="2"/>
      <c r="W4" s="2"/>
      <c r="X4" s="2"/>
      <c r="Y4" s="2"/>
      <c r="Z4" s="40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1" t="s">
        <v>77</v>
      </c>
      <c r="AB4" s="8"/>
      <c r="AC4" s="2"/>
      <c r="AD4" s="2"/>
      <c r="AE4" s="2"/>
      <c r="AF4" s="2"/>
      <c r="AG4" s="2"/>
      <c r="AH4" s="40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1" t="s">
        <v>77</v>
      </c>
      <c r="AJ4" s="8"/>
      <c r="AK4" s="2"/>
      <c r="AL4" s="2"/>
      <c r="AM4" s="2"/>
      <c r="AN4" s="2"/>
      <c r="AO4" s="2"/>
      <c r="AP4" s="40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1" t="s">
        <v>77</v>
      </c>
      <c r="AR4" s="8"/>
      <c r="AS4" s="2"/>
      <c r="AT4" s="2"/>
      <c r="AU4" s="2"/>
      <c r="AV4" s="2"/>
      <c r="AW4" s="2"/>
      <c r="AX4" s="40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1" t="s">
        <v>77</v>
      </c>
      <c r="AZ4" s="8"/>
      <c r="BA4" s="2"/>
      <c r="BB4" s="2"/>
      <c r="BC4" s="2"/>
      <c r="BD4" s="2"/>
      <c r="BE4" s="2"/>
      <c r="BF4" s="40">
        <f>if(BH4="",AX4,BH4/'Quick Setup'!$E5)</f>
        <v>490</v>
      </c>
      <c r="BG4" s="1" t="s">
        <v>77</v>
      </c>
      <c r="BH4" s="8"/>
      <c r="BI4" s="2"/>
      <c r="BJ4" s="2"/>
      <c r="BK4" s="2"/>
      <c r="BL4" s="2"/>
      <c r="BM4" s="2"/>
      <c r="BN4" s="40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1" t="s">
        <v>77</v>
      </c>
      <c r="BP4" s="8"/>
      <c r="BQ4" s="2"/>
      <c r="BR4" s="2"/>
      <c r="BS4" s="2"/>
      <c r="BT4" s="2"/>
      <c r="BU4" s="2"/>
      <c r="BV4" s="40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1" t="s">
        <v>77</v>
      </c>
      <c r="BX4" s="8"/>
      <c r="BY4" s="2"/>
      <c r="BZ4" s="2"/>
      <c r="CA4" s="2"/>
      <c r="CB4" s="2"/>
      <c r="CC4" s="2"/>
      <c r="CD4" s="40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1" t="s">
        <v>77</v>
      </c>
      <c r="CF4" s="8"/>
      <c r="CG4" s="2"/>
      <c r="CH4" s="2"/>
      <c r="CI4" s="2"/>
      <c r="CJ4" s="2"/>
      <c r="CK4" s="2"/>
      <c r="CL4" s="40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1" t="s">
        <v>77</v>
      </c>
      <c r="CN4" s="8"/>
      <c r="CO4" s="2"/>
      <c r="CP4" s="2"/>
      <c r="CQ4" s="2"/>
      <c r="CR4" s="2"/>
      <c r="CS4" s="2"/>
      <c r="CT4" s="40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1" t="s">
        <v>77</v>
      </c>
      <c r="CV4" s="8"/>
      <c r="CW4" s="2"/>
      <c r="CX4" s="2"/>
      <c r="CY4" s="2"/>
      <c r="CZ4" s="2"/>
      <c r="DA4" s="2"/>
      <c r="DB4" s="40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1" t="s">
        <v>77</v>
      </c>
      <c r="DD4" s="8"/>
      <c r="DE4" s="2"/>
      <c r="DF4" s="2"/>
      <c r="DG4" s="2"/>
      <c r="DH4" s="2"/>
      <c r="DI4" s="2"/>
      <c r="DJ4" s="40">
        <f>if(DL4="",DB4,DL4/'Quick Setup'!$E5)</f>
        <v>490</v>
      </c>
      <c r="DK4" s="1" t="s">
        <v>77</v>
      </c>
      <c r="DL4" s="8"/>
      <c r="DM4" s="2"/>
      <c r="DN4" s="2"/>
      <c r="DO4" s="2"/>
      <c r="DP4" s="2"/>
      <c r="DQ4" s="2"/>
      <c r="DR4" s="40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1" t="s">
        <v>77</v>
      </c>
      <c r="DT4" s="8"/>
      <c r="DU4" s="2"/>
      <c r="DV4" s="2"/>
      <c r="DW4" s="2"/>
      <c r="DX4" s="2"/>
      <c r="DY4" s="2"/>
      <c r="DZ4" s="40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1" t="s">
        <v>77</v>
      </c>
      <c r="EB4" s="8"/>
      <c r="EC4" s="2"/>
      <c r="ED4" s="2"/>
      <c r="EE4" s="2"/>
      <c r="EF4" s="2"/>
      <c r="EG4" s="2"/>
      <c r="EH4" s="40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1" t="s">
        <v>77</v>
      </c>
      <c r="EJ4" s="8"/>
      <c r="EK4" s="2"/>
      <c r="EL4" s="2"/>
      <c r="EM4" s="2"/>
      <c r="EN4" s="2"/>
      <c r="EO4" s="2"/>
      <c r="EP4" s="40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1" t="s">
        <v>77</v>
      </c>
      <c r="ER4" s="8"/>
      <c r="ES4" s="2"/>
      <c r="ET4" s="2"/>
      <c r="EU4" s="2"/>
      <c r="EV4" s="2"/>
      <c r="EW4" s="2"/>
      <c r="EX4" s="40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1" t="s">
        <v>77</v>
      </c>
      <c r="EZ4" s="8"/>
      <c r="FA4" s="2"/>
      <c r="FB4" s="2"/>
      <c r="FC4" s="2"/>
      <c r="FD4" s="2"/>
      <c r="FE4" s="2"/>
      <c r="FF4" s="40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1" t="s">
        <v>77</v>
      </c>
      <c r="FH4" s="8"/>
      <c r="FI4" s="2"/>
      <c r="FJ4" s="2"/>
      <c r="FK4" s="2"/>
      <c r="FL4" s="2"/>
      <c r="FM4" s="2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Close Grip Bench TM</v>
      </c>
      <c r="B6" s="37">
        <f>if(D6="",'Quick Setup'!D13,D6/'Quick Setup'!E13)</f>
        <v>310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11),if((F7-E7)=-1,B6*(1+Setup!G11),if(G7&lt;D7,B6*(1+Setup!G11),if(G7=D7,B6*(1+Setup!H11),if((G7-D7)=1,B6*(1+Setup!I11),if((G7-D7)=2,B6*(1+Setup!J11),if((G7-D7)=3,B6*(1+Setup!K11),if((G7-D7)=4,B6*(1+Setup!L11),if((G7-D7)&gt;4.1,B6*(1+Setup!M11),B6)))))))))),L6/'Quick Setup'!$E13)</f>
        <v>310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11),if((N7-M7)=-1,J6*(1+Setup!S11),if(O7&lt;L7,J6*(1+Setup!S11),if(O7=L7,J6*(1+Setup!T11),if((O7-L7)=1,J6*(1+Setup!U11),if((O7-L7)=2,J6*(1+Setup!V11),if((O7-L7)=3,J6*(1+Setup!W11),if((O7-L7)=4,J6*(1+Setup!X11),if((O7-L7)&gt;4.1,J6*(1+Setup!Y11),J6)))))))))),T6/'Quick Setup'!$E13)</f>
        <v>310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11),if((V7-U7)=-1,R6*(1+Setup!AE11),if(W7&lt;T7,R6*(1+Setup!AE11),if(W7=T7,R6*(1+Setup!AF11),if((W7-T7)=1,R6*(1+Setup!AG11),if((W7-T7)=2,R6*(1+Setup!AH11),if((W7-T7)=3,R6*(1+Setup!AI11),if((W7-T7)=4,R6*(1+Setup!AJ11),if((W7-T7)&gt;4.1,R6*(1+Setup!AK11),R6)))))))))),AB6/'Quick Setup'!$E13)</f>
        <v>310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11),if((AD7-AC7)=-1,Z6*(1+Setup!AQ11),if(AE7&lt;AB7,Z6*(1+Setup!AQ11),if(AE7=AB7,Z6*(1+Setup!AR11),if((AE7-AB7)=1,Z6*(1+Setup!AS11),if((AE7-AB7)=2,Z6*(1+Setup!AT11),if((AE7-AB7)=3,Z6*(1+Setup!AU11),if((AE7-AB7)=4,Z6*(1+Setup!AV11),if((AE7-AB7)&gt;4.1,Z6*(1+Setup!AW11),Z6)))))))))),AJ6/'Quick Setup'!$E13)</f>
        <v>310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11),if((AL7-AK7)=-1,AH6*(1+Setup!BC11),if(AM7&lt;AJ7,AH6*(1+Setup!BC11),if(AM7=AJ7,AH6*(1+Setup!BD11),if((AM7-AJ7)=1,AH6*(1+Setup!BE11),if((AM7-AJ7)=2,AH6*(1+Setup!BF11),if((AM7-AJ7)=3,AH6*(1+Setup!BG11),if((AM7-AJ7)=4,AH6*(1+Setup!BH11),if((AM7-AJ7)&gt;4.1,AH6*(1+Setup!BI11),AH6)))))))))),AR6/'Quick Setup'!$E13)</f>
        <v>310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11),if((AT7-AS7)=-1,AP6*(1+Setup!BO11),if(AU7&lt;AR7,AP6*(1+Setup!BO11),if(AU7=AR7,AP6*(1+Setup!BP11),if((AU7-AR7)=1,AP6*(1+Setup!BQ11),if((AU7-AR7)=2,AP6*(1+Setup!BR11),if((AU7-AR7)=3,AP6*(1+Setup!BS11),if((AU7-AR7)=4,AP6*(1+Setup!BT11),if((AU7-AR7)&gt;4.1,AP6*(1+Setup!BU11),AP6)))))))))),AZ6/'Quick Setup'!$E13)</f>
        <v>310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Setup'!$E13)</f>
        <v>310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11),if((BJ7-BI7)=-1,BF6*(1+Setup!CM11),if(BK7&lt;BH7,BF6*(1+Setup!CM11),if(BK7=BH7,BF6*(1+Setup!CN11),if((BK7-BH7)=1,BF6*(1+Setup!CO11),if((BK7-BH7)=2,BF6*(1+Setup!CP11),if((BK7-BH7)=3,BF6*(1+Setup!CQ11),if((BK7-BH7)=4,BF6*(1+Setup!CR11),if((BK7-BH7)&gt;4.1,BF6*(1+Setup!CS11),BF6)))))))))),BP6/'Quick Setup'!$E13)</f>
        <v>310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11),if((BR7-BQ7)=-1,BN6*(1+Setup!CY11),if(BS7&lt;BP7,BN6*(1+Setup!CY11),if(BS7=BP7,BN6*(1+Setup!CZ11),if((BS7-BP7)=1,BN6*(1+Setup!DA11),if((BS7-BP7)=2,BN6*(1+Setup!DB11),if((BS7-BP7)=3,BN6*(1+Setup!DC11),if((BS7-BP7)=4,BN6*(1+Setup!DD11),if((BS7-BP7)&gt;4.1,BN6*(1+Setup!DE11),BN6)))))))))),BX6/'Quick Setup'!$E13)</f>
        <v>310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11),if((BZ7-BY7)=-1,BV6*(1+Setup!DK11),if(CA7&lt;BX7,BV6*(1+Setup!DK11),if(CA7=BX7,BV6*(1+Setup!DL11),if((CA7-BX7)=1,BV6*(1+Setup!DM11),if((CA7-BX7)=2,BV6*(1+Setup!DN11),if((CA7-BX7)=3,BV6*(1+Setup!DO11),if((CA7-BX7)=4,BV6*(1+Setup!DP11),if((CA7-BX7)&gt;4.1,BV6*(1+Setup!DQ11),BV6)))))))))),CF6/'Quick Setup'!$E13)</f>
        <v>310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11),if((CH7-CG7)=-1,CD6*(1+Setup!DW11),if(CI7&lt;CF7,CD6*(1+Setup!DW11),if(CI7=CF7,CD6*(1+Setup!DX11),if((CI7-CF7)=1,CD6*(1+Setup!DY11),if((CI7-CF7)=2,CD6*(1+Setup!DZ11),if((CI7-CF7)=3,CD6*(1+Setup!EA11),if((CI7-CF7)=4,CD6*(1+Setup!EB11),if((CI7-CF7)&gt;4.1,CD6*(1+Setup!EC11),CD6)))))))))),CN6/'Quick Setup'!$E13)</f>
        <v>310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11),if((CP7-CO7)=-1,CL6*(1+Setup!EI11),if(CQ7&lt;CN7,CL6*(1+Setup!EI11),if(CQ7=CN7,CL6*(1+Setup!EJ11),if((CQ7-CN7)=1,CL6*(1+Setup!EK11),if((CQ7-CN7)=2,CL6*(1+Setup!EL11),if((CQ7-CN7)=3,CL6*(1+Setup!EM11),if((CQ7-CN7)=4,CL6*(1+Setup!EN11),if((CQ7-CN7)&gt;4.1,CL6*(1+Setup!EO11),CL6)))))))))),CV6/'Quick Setup'!$E13)</f>
        <v>310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11),if((CX7-CW7)=-1,CT6*(1+Setup!EU11),if(CY7&lt;CV7,CT6*(1+Setup!EU11),if(CY7=CV7,CT6*(1+Setup!EV11),if((CY7-CV7)=1,CT6*(1+Setup!EW11),if((CY7-CV7)=2,CT6*(1+Setup!EX11),if((CY7-CV7)=3,CT6*(1+Setup!EY11),if((CY7-CV7)=4,CT6*(1+Setup!EZ11),if((CY7-CV7)&gt;4.1,CT6*(1+Setup!FA11),CT6)))))))))),DD6/'Quick Setup'!$E13)</f>
        <v>310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Setup'!$E13)</f>
        <v>310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11),if((DN7-DM7)=-1,DJ6*(1+Setup!FS11),if(DO7&lt;DL7,DJ6*(1+Setup!FS11),if(DO7=DL7,DJ6*(1+Setup!FT11),if((DO7-DL7)=1,DJ6*(1+Setup!FU11),if((DO7-DL7)=2,DJ6*(1+Setup!FV11),if((DO7-DL7)=3,DJ6*(1+Setup!FW11),if((DO7-DL7)=4,DJ6*(1+Setup!FX11),if((DO7-DL7)&gt;4.1,DJ6*(1+Setup!FY11),DJ6)))))))))),DT6/'Quick Setup'!$E13)</f>
        <v>310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11),if((DV7-DU7)=-1,DR6*(1+Setup!GE11),if(DW7&lt;DT7,DR6*(1+Setup!GE11),if(DW7=DT7,DR6*(1+Setup!GF11),if((DW7-DT7)=1,DR6*(1+Setup!GG11),if((DW7-DT7)=2,DR6*(1+Setup!GH11),if((DW7-DT7)=3,DR6*(1+Setup!GI11),if((DW7-DT7)=4,DR6*(1+Setup!GJ11),if((DW7-DT7)&gt;4.1,DR6*(1+Setup!GK11),DR6)))))))))),EB6/'Quick Setup'!$E13)</f>
        <v>310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11),if((ED7-EC7)=-1,DZ6*(1+Setup!GQ11),if(EE7&lt;EB7,DZ6*(1+Setup!GQ11),if(EE7=EB7,DZ6*(1+Setup!GR11),if((EE7-EB7)=1,DZ6*(1+Setup!GS11),if((EE7-EB7)=2,DZ6*(1+Setup!GT11),if((EE7-EB7)=3,DZ6*(1+Setup!GU11),if((EE7-EB7)=4,DZ6*(1+Setup!GV11),if((EE7-EB7)&gt;4.1,DZ6*(1+Setup!GW11),DZ6)))))))))),EJ6/'Quick Setup'!$E13)</f>
        <v>310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11),if((EL7-EK7)=-1,EH6*(1+Setup!HC11),if(EM7&lt;EJ7,EH6*(1+Setup!HC11),if(EM7=EJ7,EH6*(1+Setup!HD11),if((EM7-EJ7)=1,EH6*(1+Setup!HE11),if((EM7-EJ7)=2,EH6*(1+Setup!HF11),if((EM7-EJ7)=3,EH6*(1+Setup!HG11),if((EM7-EJ7)=4,EH6*(1+Setup!HH11),if((EM7-EJ7)&gt;4.1,EH6*(1+Setup!HI11),EH6)))))))))),ER6/'Quick Setup'!$E13)</f>
        <v>310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11),if((ET7-ES7)=-1,EP6*(1+Setup!HO11),if(EU7&lt;ER7,EP6*(1+Setup!HO11),if(EU7=ER7,EP6*(1+Setup!HP11),if((EU7-ER7)=1,EP6*(1+Setup!HQ11),if((EU7-ER7)=2,EP6*(1+Setup!HR11),if((EU7-ER7)=3,EP6*(1+Setup!HS11),if((EU7-ER7)=4,EP6*(1+Setup!HT11),if((EU7-ER7)&gt;4.1,EP6*(1+Setup!HU11),EP6)))))))))),EZ6/'Quick Setup'!$E13)</f>
        <v>310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11),if((FB7-FA7)=-1,EX6*(1+Setup!IA11),if(FC7&lt;EZ7,EX6*(1+Setup!IA11),if(FC7=EZ7,EX6*(1+Setup!IB11),if((FC7-EZ7)=1,EX6*(1+Setup!IC11),if((FC7-EZ7)=2,EX6*(1+Setup!ID11),if((FC7-EZ7)=3,EX6*(1+Setup!IE11),if((FC7-EZ7)=4,EX6*(1+Setup!IF11),if((FC7-EZ7)&gt;4.1,EX6*(1+Setup!IG11),EX6)))))))))),FH6/'Quick Setup'!$E13)</f>
        <v>310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Setup!A11</f>
        <v>Close Grip Bench</v>
      </c>
      <c r="B7" s="40">
        <f>mround(B6*Setup!B11,'Quick Setup'!$A$2)</f>
        <v>185</v>
      </c>
      <c r="C7" s="2">
        <f>Setup!C11</f>
        <v>7</v>
      </c>
      <c r="D7" s="2">
        <f>Setup!D11</f>
        <v>3</v>
      </c>
      <c r="E7" s="2">
        <f>Setup!E11</f>
        <v>5</v>
      </c>
      <c r="F7" s="8"/>
      <c r="G7" s="8"/>
      <c r="H7" s="8"/>
      <c r="I7" s="8"/>
      <c r="J7" s="40">
        <f>mround(J6*Setup!N11,'Quick Setup'!$A$2)</f>
        <v>202.5</v>
      </c>
      <c r="K7" s="2">
        <f>Setup!O11</f>
        <v>6</v>
      </c>
      <c r="L7" s="2">
        <f>Setup!P11</f>
        <v>3</v>
      </c>
      <c r="M7" s="2">
        <f>Setup!Q11</f>
        <v>5</v>
      </c>
      <c r="N7" s="8"/>
      <c r="O7" s="8"/>
      <c r="P7" s="8"/>
      <c r="Q7" s="8"/>
      <c r="R7" s="40">
        <f>mround(R6*Setup!Z11,'Quick Setup'!$A$2)</f>
        <v>217.5</v>
      </c>
      <c r="S7" s="2">
        <f>Setup!AA11</f>
        <v>5</v>
      </c>
      <c r="T7" s="2">
        <f>Setup!AB11</f>
        <v>3</v>
      </c>
      <c r="U7" s="2">
        <f>Setup!AC11</f>
        <v>5</v>
      </c>
      <c r="V7" s="8"/>
      <c r="W7" s="8"/>
      <c r="X7" s="8"/>
      <c r="Y7" s="8"/>
      <c r="Z7" s="40">
        <f>mround(Z6*Setup!AL11,'Quick Setup'!$A$2)</f>
        <v>195</v>
      </c>
      <c r="AA7" s="2">
        <f>Setup!AM11</f>
        <v>7</v>
      </c>
      <c r="AB7" s="2">
        <f>Setup!AN11</f>
        <v>3</v>
      </c>
      <c r="AC7" s="2">
        <f>Setup!AO11</f>
        <v>5</v>
      </c>
      <c r="AD7" s="8"/>
      <c r="AE7" s="8"/>
      <c r="AF7" s="8"/>
      <c r="AG7" s="8"/>
      <c r="AH7" s="40">
        <f>mround(AH6*Setup!AX11,'Quick Setup'!$A$2)</f>
        <v>210</v>
      </c>
      <c r="AI7" s="2">
        <f>Setup!AY11</f>
        <v>6</v>
      </c>
      <c r="AJ7" s="2">
        <f>Setup!AZ11</f>
        <v>3</v>
      </c>
      <c r="AK7" s="2">
        <f>Setup!BA11</f>
        <v>5</v>
      </c>
      <c r="AL7" s="8"/>
      <c r="AM7" s="8"/>
      <c r="AN7" s="8"/>
      <c r="AO7" s="8"/>
      <c r="AP7" s="40">
        <f>mround(AP6*Setup!BJ11,'Quick Setup'!$A$2)</f>
        <v>225</v>
      </c>
      <c r="AQ7" s="2">
        <f>Setup!BK11</f>
        <v>5</v>
      </c>
      <c r="AR7" s="2">
        <f>Setup!BL11</f>
        <v>3</v>
      </c>
      <c r="AS7" s="2">
        <f>Setup!BM11</f>
        <v>5</v>
      </c>
      <c r="AT7" s="8"/>
      <c r="AU7" s="8"/>
      <c r="AV7" s="8"/>
      <c r="AW7" s="8"/>
      <c r="AX7" s="40">
        <f>mround(AX6*Setup!BV11,'Quick Setup'!$A$2)</f>
        <v>155</v>
      </c>
      <c r="AY7" s="1">
        <v>5.0</v>
      </c>
      <c r="AZ7" s="1" t="s">
        <v>80</v>
      </c>
      <c r="BA7" s="2">
        <f>Setup!BY11</f>
        <v>5</v>
      </c>
      <c r="BB7" s="8"/>
      <c r="BC7" s="8"/>
      <c r="BD7" s="8"/>
      <c r="BE7" s="8"/>
      <c r="BF7" s="40">
        <f>mround(BF6*Setup!CH11,'Quick Setup'!$A$2)</f>
        <v>202.5</v>
      </c>
      <c r="BG7" s="2">
        <f>Setup!CI11</f>
        <v>6</v>
      </c>
      <c r="BH7" s="2">
        <f>Setup!CJ11</f>
        <v>3</v>
      </c>
      <c r="BI7" s="2">
        <f>Setup!CK11</f>
        <v>5</v>
      </c>
      <c r="BJ7" s="8"/>
      <c r="BK7" s="8"/>
      <c r="BL7" s="8"/>
      <c r="BM7" s="8"/>
      <c r="BN7" s="40">
        <f>mround(BN6*Setup!CT11,'Quick Setup'!$A$2)</f>
        <v>217.5</v>
      </c>
      <c r="BO7" s="2">
        <f>Setup!CU11</f>
        <v>5</v>
      </c>
      <c r="BP7" s="2">
        <f>Setup!CV11</f>
        <v>3</v>
      </c>
      <c r="BQ7" s="2">
        <f>Setup!CW11</f>
        <v>5</v>
      </c>
      <c r="BR7" s="8"/>
      <c r="BS7" s="8"/>
      <c r="BT7" s="8"/>
      <c r="BU7" s="8"/>
      <c r="BV7" s="40">
        <f>mround(BV6*Setup!DF11,'Quick Setup'!$A$2)</f>
        <v>232.5</v>
      </c>
      <c r="BW7" s="2">
        <f>Setup!DG11</f>
        <v>4</v>
      </c>
      <c r="BX7" s="2">
        <f>Setup!DH11</f>
        <v>2</v>
      </c>
      <c r="BY7" s="2">
        <f>Setup!DI11</f>
        <v>5</v>
      </c>
      <c r="BZ7" s="8"/>
      <c r="CA7" s="8"/>
      <c r="CB7" s="8"/>
      <c r="CC7" s="8"/>
      <c r="CD7" s="40">
        <f>mround(CD6*Setup!DR11,'Quick Setup'!$A$2)</f>
        <v>210</v>
      </c>
      <c r="CE7" s="2">
        <f>Setup!DS11</f>
        <v>6</v>
      </c>
      <c r="CF7" s="2">
        <f>Setup!DT11</f>
        <v>3</v>
      </c>
      <c r="CG7" s="2">
        <f>Setup!DU11</f>
        <v>5</v>
      </c>
      <c r="CH7" s="8"/>
      <c r="CI7" s="8"/>
      <c r="CJ7" s="8"/>
      <c r="CK7" s="8"/>
      <c r="CL7" s="40">
        <f>mround(CL6*Setup!ED11,'Quick Setup'!$A$2)</f>
        <v>225</v>
      </c>
      <c r="CM7" s="2">
        <f>Setup!EE11</f>
        <v>5</v>
      </c>
      <c r="CN7" s="2">
        <f>Setup!EF11</f>
        <v>3</v>
      </c>
      <c r="CO7" s="2">
        <f>Setup!EG11</f>
        <v>5</v>
      </c>
      <c r="CP7" s="8"/>
      <c r="CQ7" s="8"/>
      <c r="CR7" s="8"/>
      <c r="CS7" s="8"/>
      <c r="CT7" s="40">
        <f>mround(CT6*Setup!EP11,'Quick Setup'!$A$2)</f>
        <v>240</v>
      </c>
      <c r="CU7" s="2">
        <f>Setup!EQ11</f>
        <v>4</v>
      </c>
      <c r="CV7" s="2">
        <f>Setup!ER11</f>
        <v>2</v>
      </c>
      <c r="CW7" s="2">
        <f>Setup!ES11</f>
        <v>5</v>
      </c>
      <c r="CX7" s="8"/>
      <c r="CY7" s="8"/>
      <c r="CZ7" s="8"/>
      <c r="DA7" s="8"/>
      <c r="DB7" s="40">
        <f>mround(DB6*Setup!FB11,'Quick Setup'!$A$2)</f>
        <v>155</v>
      </c>
      <c r="DC7" s="1">
        <v>5.0</v>
      </c>
      <c r="DD7" s="1" t="s">
        <v>80</v>
      </c>
      <c r="DE7" s="2">
        <f>Setup!FE11</f>
        <v>5</v>
      </c>
      <c r="DF7" s="8"/>
      <c r="DG7" s="8"/>
      <c r="DH7" s="8"/>
      <c r="DI7" s="8"/>
      <c r="DJ7" s="40">
        <f>mround(DJ6*Setup!FN11,'Quick Setup'!$A$2)</f>
        <v>217.5</v>
      </c>
      <c r="DK7" s="2">
        <f>Setup!FO11</f>
        <v>5</v>
      </c>
      <c r="DL7" s="2">
        <f>Setup!FP11</f>
        <v>3</v>
      </c>
      <c r="DM7" s="2">
        <f>Setup!FQ11</f>
        <v>5</v>
      </c>
      <c r="DN7" s="8"/>
      <c r="DO7" s="8"/>
      <c r="DP7" s="8"/>
      <c r="DQ7" s="8"/>
      <c r="DR7" s="40">
        <f>mround(DR6*Setup!FZ11,'Quick Setup'!$A$2)</f>
        <v>232.5</v>
      </c>
      <c r="DS7" s="2">
        <f>Setup!GA11</f>
        <v>4</v>
      </c>
      <c r="DT7" s="2">
        <f>Setup!GB11</f>
        <v>2</v>
      </c>
      <c r="DU7" s="2">
        <f>Setup!GC11</f>
        <v>5</v>
      </c>
      <c r="DV7" s="8"/>
      <c r="DW7" s="8"/>
      <c r="DX7" s="8"/>
      <c r="DY7" s="8"/>
      <c r="DZ7" s="40">
        <f>mround(DZ6*Setup!GL11,'Quick Setup'!$A$2)</f>
        <v>247.5</v>
      </c>
      <c r="EA7" s="2">
        <f>Setup!GM11</f>
        <v>3</v>
      </c>
      <c r="EB7" s="2">
        <f>Setup!GN11</f>
        <v>2</v>
      </c>
      <c r="EC7" s="2">
        <f>Setup!GO11</f>
        <v>5</v>
      </c>
      <c r="ED7" s="8"/>
      <c r="EE7" s="8"/>
      <c r="EF7" s="8"/>
      <c r="EG7" s="8"/>
      <c r="EH7" s="40">
        <f>mround(EH6*Setup!GX11,'Quick Setup'!$A$2)</f>
        <v>232.5</v>
      </c>
      <c r="EI7" s="2">
        <f>Setup!GY11</f>
        <v>4</v>
      </c>
      <c r="EJ7" s="2">
        <f>Setup!GZ11</f>
        <v>2</v>
      </c>
      <c r="EK7" s="2">
        <f>Setup!HA11</f>
        <v>5</v>
      </c>
      <c r="EL7" s="8"/>
      <c r="EM7" s="8"/>
      <c r="EN7" s="8"/>
      <c r="EO7" s="8"/>
      <c r="EP7" s="40">
        <f>mround(EP6*Setup!HJ11,'Quick Setup'!$A$2)</f>
        <v>247.5</v>
      </c>
      <c r="EQ7" s="2">
        <f>Setup!HK11</f>
        <v>3</v>
      </c>
      <c r="ER7" s="2">
        <f>Setup!HL11</f>
        <v>2</v>
      </c>
      <c r="ES7" s="2">
        <f>Setup!HM11</f>
        <v>5</v>
      </c>
      <c r="ET7" s="8"/>
      <c r="EU7" s="8"/>
      <c r="EV7" s="8"/>
      <c r="EW7" s="8"/>
      <c r="EX7" s="40">
        <f>mround(EX6*Setup!HV11,'Quick Setup'!$A$2)</f>
        <v>262.5</v>
      </c>
      <c r="EY7" s="2">
        <f>Setup!HW11</f>
        <v>2</v>
      </c>
      <c r="EZ7" s="2">
        <f>Setup!HX11</f>
        <v>1</v>
      </c>
      <c r="FA7" s="2">
        <f>Setup!HY11</f>
        <v>5</v>
      </c>
      <c r="FB7" s="8"/>
      <c r="FC7" s="8"/>
      <c r="FD7" s="8"/>
      <c r="FE7" s="8"/>
      <c r="FF7" s="40">
        <f>mround(FF6*Setup!IH11,'Quick Setup'!$A$2)</f>
        <v>155</v>
      </c>
      <c r="FG7" s="1">
        <v>5.0</v>
      </c>
      <c r="FH7" s="1" t="s">
        <v>80</v>
      </c>
      <c r="FI7" s="2">
        <f>Setup!IK11</f>
        <v>5</v>
      </c>
      <c r="FJ7" s="8"/>
      <c r="FK7" s="8"/>
      <c r="FL7" s="8"/>
      <c r="FM7" s="8"/>
    </row>
    <row r="8">
      <c r="A8" s="5"/>
      <c r="B8" s="41"/>
      <c r="C8" s="8"/>
      <c r="D8" s="8"/>
      <c r="E8" s="8"/>
      <c r="F8" s="8"/>
      <c r="G8" s="8"/>
      <c r="H8" s="8"/>
      <c r="I8" s="8"/>
      <c r="J8" s="41" t="str">
        <f t="shared" ref="J8:O8" si="1">B8</f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/>
      <c r="Q8" s="8"/>
      <c r="R8" s="41" t="str">
        <f t="shared" ref="R8:W8" si="2">J8</f>
        <v/>
      </c>
      <c r="S8" s="8" t="str">
        <f t="shared" si="2"/>
        <v/>
      </c>
      <c r="T8" s="8" t="str">
        <f t="shared" si="2"/>
        <v/>
      </c>
      <c r="U8" s="8" t="str">
        <f t="shared" si="2"/>
        <v/>
      </c>
      <c r="V8" s="8" t="str">
        <f t="shared" si="2"/>
        <v/>
      </c>
      <c r="W8" s="8" t="str">
        <f t="shared" si="2"/>
        <v/>
      </c>
      <c r="X8" s="8"/>
      <c r="Y8" s="8"/>
      <c r="Z8" s="41" t="str">
        <f t="shared" ref="Z8:AE8" si="3">R8</f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/>
      <c r="AG8" s="8"/>
      <c r="AH8" s="41" t="str">
        <f t="shared" ref="AH8:AM8" si="4">Z8</f>
        <v/>
      </c>
      <c r="AI8" s="8" t="str">
        <f t="shared" si="4"/>
        <v/>
      </c>
      <c r="AJ8" s="8" t="str">
        <f t="shared" si="4"/>
        <v/>
      </c>
      <c r="AK8" s="8" t="str">
        <f t="shared" si="4"/>
        <v/>
      </c>
      <c r="AL8" s="8" t="str">
        <f t="shared" si="4"/>
        <v/>
      </c>
      <c r="AM8" s="8" t="str">
        <f t="shared" si="4"/>
        <v/>
      </c>
      <c r="AN8" s="8"/>
      <c r="AO8" s="8"/>
      <c r="AP8" s="41" t="str">
        <f t="shared" ref="AP8:AU8" si="5">AH8</f>
        <v/>
      </c>
      <c r="AQ8" s="8" t="str">
        <f t="shared" si="5"/>
        <v/>
      </c>
      <c r="AR8" s="8" t="str">
        <f t="shared" si="5"/>
        <v/>
      </c>
      <c r="AS8" s="8" t="str">
        <f t="shared" si="5"/>
        <v/>
      </c>
      <c r="AT8" s="8" t="str">
        <f t="shared" si="5"/>
        <v/>
      </c>
      <c r="AU8" s="8" t="str">
        <f t="shared" si="5"/>
        <v/>
      </c>
      <c r="AV8" s="8"/>
      <c r="AW8" s="8"/>
      <c r="AX8" s="41" t="str">
        <f t="shared" ref="AX8:BC8" si="6">AP8</f>
        <v/>
      </c>
      <c r="AY8" s="8" t="str">
        <f t="shared" si="6"/>
        <v/>
      </c>
      <c r="AZ8" s="8" t="str">
        <f t="shared" si="6"/>
        <v/>
      </c>
      <c r="BA8" s="8" t="str">
        <f t="shared" si="6"/>
        <v/>
      </c>
      <c r="BB8" s="8" t="str">
        <f t="shared" si="6"/>
        <v/>
      </c>
      <c r="BC8" s="8" t="str">
        <f t="shared" si="6"/>
        <v/>
      </c>
      <c r="BD8" s="8"/>
      <c r="BE8" s="8"/>
      <c r="BF8" s="41" t="str">
        <f t="shared" ref="BF8:BK8" si="7">AX8</f>
        <v/>
      </c>
      <c r="BG8" s="8" t="str">
        <f t="shared" si="7"/>
        <v/>
      </c>
      <c r="BH8" s="8" t="str">
        <f t="shared" si="7"/>
        <v/>
      </c>
      <c r="BI8" s="8" t="str">
        <f t="shared" si="7"/>
        <v/>
      </c>
      <c r="BJ8" s="8" t="str">
        <f t="shared" si="7"/>
        <v/>
      </c>
      <c r="BK8" s="8" t="str">
        <f t="shared" si="7"/>
        <v/>
      </c>
      <c r="BL8" s="8"/>
      <c r="BM8" s="8"/>
      <c r="BN8" s="41" t="str">
        <f t="shared" ref="BN8:BS8" si="8">BF8</f>
        <v/>
      </c>
      <c r="BO8" s="8" t="str">
        <f t="shared" si="8"/>
        <v/>
      </c>
      <c r="BP8" s="8" t="str">
        <f t="shared" si="8"/>
        <v/>
      </c>
      <c r="BQ8" s="8" t="str">
        <f t="shared" si="8"/>
        <v/>
      </c>
      <c r="BR8" s="8" t="str">
        <f t="shared" si="8"/>
        <v/>
      </c>
      <c r="BS8" s="8" t="str">
        <f t="shared" si="8"/>
        <v/>
      </c>
      <c r="BT8" s="8"/>
      <c r="BU8" s="8"/>
      <c r="BV8" s="41" t="str">
        <f t="shared" ref="BV8:CA8" si="9">BN8</f>
        <v/>
      </c>
      <c r="BW8" s="8" t="str">
        <f t="shared" si="9"/>
        <v/>
      </c>
      <c r="BX8" s="8" t="str">
        <f t="shared" si="9"/>
        <v/>
      </c>
      <c r="BY8" s="8" t="str">
        <f t="shared" si="9"/>
        <v/>
      </c>
      <c r="BZ8" s="8" t="str">
        <f t="shared" si="9"/>
        <v/>
      </c>
      <c r="CA8" s="8" t="str">
        <f t="shared" si="9"/>
        <v/>
      </c>
      <c r="CB8" s="8"/>
      <c r="CC8" s="8"/>
      <c r="CD8" s="41" t="str">
        <f t="shared" ref="CD8:CI8" si="10">BV8</f>
        <v/>
      </c>
      <c r="CE8" s="8" t="str">
        <f t="shared" si="10"/>
        <v/>
      </c>
      <c r="CF8" s="8" t="str">
        <f t="shared" si="10"/>
        <v/>
      </c>
      <c r="CG8" s="8" t="str">
        <f t="shared" si="10"/>
        <v/>
      </c>
      <c r="CH8" s="8" t="str">
        <f t="shared" si="10"/>
        <v/>
      </c>
      <c r="CI8" s="8" t="str">
        <f t="shared" si="10"/>
        <v/>
      </c>
      <c r="CJ8" s="8"/>
      <c r="CK8" s="8"/>
      <c r="CL8" s="41" t="str">
        <f t="shared" ref="CL8:CQ8" si="11">CD8</f>
        <v/>
      </c>
      <c r="CM8" s="8" t="str">
        <f t="shared" si="11"/>
        <v/>
      </c>
      <c r="CN8" s="8" t="str">
        <f t="shared" si="11"/>
        <v/>
      </c>
      <c r="CO8" s="8" t="str">
        <f t="shared" si="11"/>
        <v/>
      </c>
      <c r="CP8" s="8" t="str">
        <f t="shared" si="11"/>
        <v/>
      </c>
      <c r="CQ8" s="8" t="str">
        <f t="shared" si="11"/>
        <v/>
      </c>
      <c r="CR8" s="8"/>
      <c r="CS8" s="8"/>
      <c r="CT8" s="41" t="str">
        <f t="shared" ref="CT8:CY8" si="12">CL8</f>
        <v/>
      </c>
      <c r="CU8" s="8" t="str">
        <f t="shared" si="12"/>
        <v/>
      </c>
      <c r="CV8" s="8" t="str">
        <f t="shared" si="12"/>
        <v/>
      </c>
      <c r="CW8" s="8" t="str">
        <f t="shared" si="12"/>
        <v/>
      </c>
      <c r="CX8" s="8" t="str">
        <f t="shared" si="12"/>
        <v/>
      </c>
      <c r="CY8" s="8" t="str">
        <f t="shared" si="12"/>
        <v/>
      </c>
      <c r="CZ8" s="8"/>
      <c r="DA8" s="8"/>
      <c r="DB8" s="41" t="str">
        <f t="shared" ref="DB8:DG8" si="13">CT8</f>
        <v/>
      </c>
      <c r="DC8" s="8" t="str">
        <f t="shared" si="13"/>
        <v/>
      </c>
      <c r="DD8" s="8" t="str">
        <f t="shared" si="13"/>
        <v/>
      </c>
      <c r="DE8" s="8" t="str">
        <f t="shared" si="13"/>
        <v/>
      </c>
      <c r="DF8" s="8" t="str">
        <f t="shared" si="13"/>
        <v/>
      </c>
      <c r="DG8" s="8" t="str">
        <f t="shared" si="13"/>
        <v/>
      </c>
      <c r="DH8" s="8"/>
      <c r="DI8" s="8"/>
      <c r="DJ8" s="41" t="str">
        <f t="shared" ref="DJ8:DO8" si="14">DB8</f>
        <v/>
      </c>
      <c r="DK8" s="8" t="str">
        <f t="shared" si="14"/>
        <v/>
      </c>
      <c r="DL8" s="8" t="str">
        <f t="shared" si="14"/>
        <v/>
      </c>
      <c r="DM8" s="8" t="str">
        <f t="shared" si="14"/>
        <v/>
      </c>
      <c r="DN8" s="8" t="str">
        <f t="shared" si="14"/>
        <v/>
      </c>
      <c r="DO8" s="8" t="str">
        <f t="shared" si="14"/>
        <v/>
      </c>
      <c r="DP8" s="8"/>
      <c r="DQ8" s="8"/>
      <c r="DR8" s="41" t="str">
        <f t="shared" ref="DR8:DW8" si="15">DJ8</f>
        <v/>
      </c>
      <c r="DS8" s="8" t="str">
        <f t="shared" si="15"/>
        <v/>
      </c>
      <c r="DT8" s="8" t="str">
        <f t="shared" si="15"/>
        <v/>
      </c>
      <c r="DU8" s="8" t="str">
        <f t="shared" si="15"/>
        <v/>
      </c>
      <c r="DV8" s="8" t="str">
        <f t="shared" si="15"/>
        <v/>
      </c>
      <c r="DW8" s="8" t="str">
        <f t="shared" si="15"/>
        <v/>
      </c>
      <c r="DX8" s="8"/>
      <c r="DY8" s="8"/>
      <c r="DZ8" s="41" t="str">
        <f t="shared" ref="DZ8:EE8" si="16">DR8</f>
        <v/>
      </c>
      <c r="EA8" s="8" t="str">
        <f t="shared" si="16"/>
        <v/>
      </c>
      <c r="EB8" s="8" t="str">
        <f t="shared" si="16"/>
        <v/>
      </c>
      <c r="EC8" s="8" t="str">
        <f t="shared" si="16"/>
        <v/>
      </c>
      <c r="ED8" s="8" t="str">
        <f t="shared" si="16"/>
        <v/>
      </c>
      <c r="EE8" s="8" t="str">
        <f t="shared" si="16"/>
        <v/>
      </c>
      <c r="EF8" s="8"/>
      <c r="EG8" s="8"/>
      <c r="EH8" s="41" t="str">
        <f t="shared" ref="EH8:EM8" si="17">DZ8</f>
        <v/>
      </c>
      <c r="EI8" s="8" t="str">
        <f t="shared" si="17"/>
        <v/>
      </c>
      <c r="EJ8" s="8" t="str">
        <f t="shared" si="17"/>
        <v/>
      </c>
      <c r="EK8" s="8" t="str">
        <f t="shared" si="17"/>
        <v/>
      </c>
      <c r="EL8" s="8" t="str">
        <f t="shared" si="17"/>
        <v/>
      </c>
      <c r="EM8" s="8" t="str">
        <f t="shared" si="17"/>
        <v/>
      </c>
      <c r="EN8" s="8"/>
      <c r="EO8" s="8"/>
      <c r="EP8" s="41" t="str">
        <f t="shared" ref="EP8:EU8" si="18">EH8</f>
        <v/>
      </c>
      <c r="EQ8" s="8" t="str">
        <f t="shared" si="18"/>
        <v/>
      </c>
      <c r="ER8" s="8" t="str">
        <f t="shared" si="18"/>
        <v/>
      </c>
      <c r="ES8" s="8" t="str">
        <f t="shared" si="18"/>
        <v/>
      </c>
      <c r="ET8" s="8" t="str">
        <f t="shared" si="18"/>
        <v/>
      </c>
      <c r="EU8" s="8" t="str">
        <f t="shared" si="18"/>
        <v/>
      </c>
      <c r="EV8" s="8"/>
      <c r="EW8" s="8"/>
      <c r="EX8" s="41" t="str">
        <f t="shared" ref="EX8:FC8" si="19">EP8</f>
        <v/>
      </c>
      <c r="EY8" s="8" t="str">
        <f t="shared" si="19"/>
        <v/>
      </c>
      <c r="EZ8" s="8" t="str">
        <f t="shared" si="19"/>
        <v/>
      </c>
      <c r="FA8" s="8" t="str">
        <f t="shared" si="19"/>
        <v/>
      </c>
      <c r="FB8" s="8" t="str">
        <f t="shared" si="19"/>
        <v/>
      </c>
      <c r="FC8" s="8" t="str">
        <f t="shared" si="19"/>
        <v/>
      </c>
      <c r="FD8" s="8"/>
      <c r="FE8" s="8"/>
      <c r="FF8" s="41" t="str">
        <f t="shared" ref="FF8:FK8" si="20">EX8</f>
        <v/>
      </c>
      <c r="FG8" s="8" t="str">
        <f t="shared" si="20"/>
        <v/>
      </c>
      <c r="FH8" s="8" t="str">
        <f t="shared" si="20"/>
        <v/>
      </c>
      <c r="FI8" s="8" t="str">
        <f t="shared" si="20"/>
        <v/>
      </c>
      <c r="FJ8" s="8" t="str">
        <f t="shared" si="20"/>
        <v/>
      </c>
      <c r="FK8" s="8" t="str">
        <f t="shared" si="20"/>
        <v/>
      </c>
      <c r="FL8" s="8"/>
      <c r="FM8" s="8"/>
    </row>
    <row r="9">
      <c r="A9" s="1" t="s">
        <v>81</v>
      </c>
      <c r="B9" s="40"/>
      <c r="C9" s="2"/>
      <c r="D9" s="2"/>
      <c r="E9" s="2"/>
      <c r="F9" s="2"/>
      <c r="G9" s="2"/>
      <c r="H9" s="2"/>
      <c r="I9" s="2"/>
      <c r="J9" s="40"/>
      <c r="K9" s="2"/>
      <c r="L9" s="2"/>
      <c r="M9" s="2"/>
      <c r="N9" s="2"/>
      <c r="O9" s="2"/>
      <c r="P9" s="2"/>
      <c r="Q9" s="2"/>
      <c r="R9" s="40"/>
      <c r="S9" s="2"/>
      <c r="T9" s="2"/>
      <c r="U9" s="2"/>
      <c r="V9" s="2"/>
      <c r="W9" s="2"/>
      <c r="X9" s="2"/>
      <c r="Y9" s="2"/>
      <c r="Z9" s="40"/>
      <c r="AA9" s="2"/>
      <c r="AB9" s="2"/>
      <c r="AC9" s="2"/>
      <c r="AD9" s="2"/>
      <c r="AE9" s="2"/>
      <c r="AF9" s="2"/>
      <c r="AG9" s="2"/>
      <c r="AH9" s="40"/>
      <c r="AI9" s="2"/>
      <c r="AJ9" s="2"/>
      <c r="AK9" s="2"/>
      <c r="AL9" s="2"/>
      <c r="AM9" s="2"/>
      <c r="AN9" s="2"/>
      <c r="AO9" s="2"/>
      <c r="AP9" s="40"/>
      <c r="AQ9" s="2"/>
      <c r="AR9" s="2"/>
      <c r="AS9" s="2"/>
      <c r="AT9" s="2"/>
      <c r="AU9" s="2"/>
      <c r="AV9" s="2"/>
      <c r="AW9" s="2"/>
      <c r="AX9" s="40"/>
      <c r="AY9" s="2"/>
      <c r="AZ9" s="2"/>
      <c r="BA9" s="2"/>
      <c r="BB9" s="2"/>
      <c r="BC9" s="2"/>
      <c r="BD9" s="2"/>
      <c r="BE9" s="2"/>
      <c r="BF9" s="40"/>
      <c r="BG9" s="2"/>
      <c r="BH9" s="2"/>
      <c r="BI9" s="2"/>
      <c r="BJ9" s="2"/>
      <c r="BK9" s="2"/>
      <c r="BL9" s="2"/>
      <c r="BM9" s="2"/>
      <c r="BN9" s="40"/>
      <c r="BO9" s="2"/>
      <c r="BP9" s="2"/>
      <c r="BQ9" s="2"/>
      <c r="BR9" s="2"/>
      <c r="BS9" s="2"/>
      <c r="BT9" s="2"/>
      <c r="BU9" s="2"/>
      <c r="BV9" s="40"/>
      <c r="BW9" s="2"/>
      <c r="BX9" s="2"/>
      <c r="BY9" s="2"/>
      <c r="BZ9" s="2"/>
      <c r="CA9" s="2"/>
      <c r="CB9" s="2"/>
      <c r="CC9" s="2"/>
      <c r="CD9" s="40"/>
      <c r="CE9" s="2"/>
      <c r="CF9" s="2"/>
      <c r="CG9" s="2"/>
      <c r="CH9" s="2"/>
      <c r="CI9" s="2"/>
      <c r="CJ9" s="2"/>
      <c r="CK9" s="2"/>
      <c r="CL9" s="40"/>
      <c r="CM9" s="2"/>
      <c r="CN9" s="2"/>
      <c r="CO9" s="2"/>
      <c r="CP9" s="2"/>
      <c r="CQ9" s="2"/>
      <c r="CR9" s="2"/>
      <c r="CS9" s="2"/>
      <c r="CT9" s="40"/>
      <c r="CU9" s="2"/>
      <c r="CV9" s="2"/>
      <c r="CW9" s="2"/>
      <c r="CX9" s="2"/>
      <c r="CY9" s="2"/>
      <c r="CZ9" s="2"/>
      <c r="DA9" s="2"/>
      <c r="DB9" s="40"/>
      <c r="DC9" s="2"/>
      <c r="DD9" s="2"/>
      <c r="DE9" s="2"/>
      <c r="DF9" s="2"/>
      <c r="DG9" s="2"/>
      <c r="DH9" s="2"/>
      <c r="DI9" s="2"/>
      <c r="DJ9" s="40"/>
      <c r="DK9" s="2"/>
      <c r="DL9" s="2"/>
      <c r="DM9" s="2"/>
      <c r="DN9" s="2"/>
      <c r="DO9" s="2"/>
      <c r="DP9" s="2"/>
      <c r="DQ9" s="2"/>
      <c r="DR9" s="40"/>
      <c r="DS9" s="2"/>
      <c r="DT9" s="2"/>
      <c r="DU9" s="2"/>
      <c r="DV9" s="2"/>
      <c r="DW9" s="2"/>
      <c r="DX9" s="2"/>
      <c r="DY9" s="2"/>
      <c r="DZ9" s="40"/>
      <c r="EA9" s="2"/>
      <c r="EB9" s="2"/>
      <c r="EC9" s="2"/>
      <c r="ED9" s="2"/>
      <c r="EE9" s="2"/>
      <c r="EF9" s="2"/>
      <c r="EG9" s="2"/>
      <c r="EH9" s="40"/>
      <c r="EI9" s="2"/>
      <c r="EJ9" s="2"/>
      <c r="EK9" s="2"/>
      <c r="EL9" s="2"/>
      <c r="EM9" s="2"/>
      <c r="EN9" s="2"/>
      <c r="EO9" s="2"/>
      <c r="EP9" s="40"/>
      <c r="EQ9" s="2"/>
      <c r="ER9" s="2"/>
      <c r="ES9" s="2"/>
      <c r="ET9" s="2"/>
      <c r="EU9" s="2"/>
      <c r="EV9" s="2"/>
      <c r="EW9" s="2"/>
      <c r="EX9" s="40"/>
      <c r="EY9" s="2"/>
      <c r="EZ9" s="2"/>
      <c r="FA9" s="2"/>
      <c r="FB9" s="2"/>
      <c r="FC9" s="2"/>
      <c r="FD9" s="2"/>
      <c r="FE9" s="2"/>
      <c r="FF9" s="40"/>
      <c r="FG9" s="2"/>
      <c r="FH9" s="2"/>
      <c r="FI9" s="2"/>
      <c r="FJ9" s="2"/>
      <c r="FK9" s="2"/>
      <c r="FL9" s="2"/>
      <c r="FM9" s="2"/>
    </row>
    <row r="10">
      <c r="A10" s="42"/>
      <c r="B10" s="41"/>
      <c r="C10" s="8"/>
      <c r="D10" s="8"/>
      <c r="E10" s="8"/>
      <c r="F10" s="8"/>
      <c r="G10" s="8"/>
      <c r="H10" s="8"/>
      <c r="I10" s="8"/>
      <c r="J10" s="41" t="str">
        <f t="shared" ref="J10:O10" si="21">B10</f>
        <v/>
      </c>
      <c r="K10" s="8" t="str">
        <f t="shared" si="21"/>
        <v/>
      </c>
      <c r="L10" s="8" t="str">
        <f t="shared" si="21"/>
        <v/>
      </c>
      <c r="M10" s="8" t="str">
        <f t="shared" si="21"/>
        <v/>
      </c>
      <c r="N10" s="8" t="str">
        <f t="shared" si="21"/>
        <v/>
      </c>
      <c r="O10" s="8" t="str">
        <f t="shared" si="21"/>
        <v/>
      </c>
      <c r="P10" s="8"/>
      <c r="Q10" s="8"/>
      <c r="R10" s="41" t="str">
        <f t="shared" ref="R10:W10" si="22">J10</f>
        <v/>
      </c>
      <c r="S10" s="8" t="str">
        <f t="shared" si="22"/>
        <v/>
      </c>
      <c r="T10" s="8" t="str">
        <f t="shared" si="22"/>
        <v/>
      </c>
      <c r="U10" s="8" t="str">
        <f t="shared" si="22"/>
        <v/>
      </c>
      <c r="V10" s="8" t="str">
        <f t="shared" si="22"/>
        <v/>
      </c>
      <c r="W10" s="8" t="str">
        <f t="shared" si="22"/>
        <v/>
      </c>
      <c r="X10" s="8"/>
      <c r="Y10" s="8"/>
      <c r="Z10" s="41" t="str">
        <f t="shared" ref="Z10:AE10" si="23">R10</f>
        <v/>
      </c>
      <c r="AA10" s="8" t="str">
        <f t="shared" si="23"/>
        <v/>
      </c>
      <c r="AB10" s="8" t="str">
        <f t="shared" si="23"/>
        <v/>
      </c>
      <c r="AC10" s="8" t="str">
        <f t="shared" si="23"/>
        <v/>
      </c>
      <c r="AD10" s="8" t="str">
        <f t="shared" si="23"/>
        <v/>
      </c>
      <c r="AE10" s="8" t="str">
        <f t="shared" si="23"/>
        <v/>
      </c>
      <c r="AF10" s="8"/>
      <c r="AG10" s="8"/>
      <c r="AH10" s="41" t="str">
        <f t="shared" ref="AH10:AM10" si="24">Z10</f>
        <v/>
      </c>
      <c r="AI10" s="8" t="str">
        <f t="shared" si="24"/>
        <v/>
      </c>
      <c r="AJ10" s="8" t="str">
        <f t="shared" si="24"/>
        <v/>
      </c>
      <c r="AK10" s="8" t="str">
        <f t="shared" si="24"/>
        <v/>
      </c>
      <c r="AL10" s="8" t="str">
        <f t="shared" si="24"/>
        <v/>
      </c>
      <c r="AM10" s="8" t="str">
        <f t="shared" si="24"/>
        <v/>
      </c>
      <c r="AN10" s="8"/>
      <c r="AO10" s="8"/>
      <c r="AP10" s="41" t="str">
        <f t="shared" ref="AP10:AU10" si="25">AH10</f>
        <v/>
      </c>
      <c r="AQ10" s="8" t="str">
        <f t="shared" si="25"/>
        <v/>
      </c>
      <c r="AR10" s="8" t="str">
        <f t="shared" si="25"/>
        <v/>
      </c>
      <c r="AS10" s="8" t="str">
        <f t="shared" si="25"/>
        <v/>
      </c>
      <c r="AT10" s="8" t="str">
        <f t="shared" si="25"/>
        <v/>
      </c>
      <c r="AU10" s="8" t="str">
        <f t="shared" si="25"/>
        <v/>
      </c>
      <c r="AV10" s="8"/>
      <c r="AW10" s="8"/>
      <c r="AX10" s="41" t="str">
        <f t="shared" ref="AX10:BC10" si="26">AP10</f>
        <v/>
      </c>
      <c r="AY10" s="8" t="str">
        <f t="shared" si="26"/>
        <v/>
      </c>
      <c r="AZ10" s="8" t="str">
        <f t="shared" si="26"/>
        <v/>
      </c>
      <c r="BA10" s="8" t="str">
        <f t="shared" si="26"/>
        <v/>
      </c>
      <c r="BB10" s="8" t="str">
        <f t="shared" si="26"/>
        <v/>
      </c>
      <c r="BC10" s="8" t="str">
        <f t="shared" si="26"/>
        <v/>
      </c>
      <c r="BD10" s="8"/>
      <c r="BE10" s="8"/>
      <c r="BF10" s="41" t="str">
        <f t="shared" ref="BF10:BK10" si="27">AX10</f>
        <v/>
      </c>
      <c r="BG10" s="8" t="str">
        <f t="shared" si="27"/>
        <v/>
      </c>
      <c r="BH10" s="8" t="str">
        <f t="shared" si="27"/>
        <v/>
      </c>
      <c r="BI10" s="8" t="str">
        <f t="shared" si="27"/>
        <v/>
      </c>
      <c r="BJ10" s="8" t="str">
        <f t="shared" si="27"/>
        <v/>
      </c>
      <c r="BK10" s="8" t="str">
        <f t="shared" si="27"/>
        <v/>
      </c>
      <c r="BL10" s="8"/>
      <c r="BM10" s="8"/>
      <c r="BN10" s="41" t="str">
        <f t="shared" ref="BN10:BS10" si="28">BF10</f>
        <v/>
      </c>
      <c r="BO10" s="8" t="str">
        <f t="shared" si="28"/>
        <v/>
      </c>
      <c r="BP10" s="8" t="str">
        <f t="shared" si="28"/>
        <v/>
      </c>
      <c r="BQ10" s="8" t="str">
        <f t="shared" si="28"/>
        <v/>
      </c>
      <c r="BR10" s="8" t="str">
        <f t="shared" si="28"/>
        <v/>
      </c>
      <c r="BS10" s="8" t="str">
        <f t="shared" si="28"/>
        <v/>
      </c>
      <c r="BT10" s="8"/>
      <c r="BU10" s="8"/>
      <c r="BV10" s="41" t="str">
        <f t="shared" ref="BV10:CA10" si="29">BN10</f>
        <v/>
      </c>
      <c r="BW10" s="8" t="str">
        <f t="shared" si="29"/>
        <v/>
      </c>
      <c r="BX10" s="8" t="str">
        <f t="shared" si="29"/>
        <v/>
      </c>
      <c r="BY10" s="8" t="str">
        <f t="shared" si="29"/>
        <v/>
      </c>
      <c r="BZ10" s="8" t="str">
        <f t="shared" si="29"/>
        <v/>
      </c>
      <c r="CA10" s="8" t="str">
        <f t="shared" si="29"/>
        <v/>
      </c>
      <c r="CB10" s="8"/>
      <c r="CC10" s="8"/>
      <c r="CD10" s="41" t="str">
        <f t="shared" ref="CD10:CI10" si="30">BV10</f>
        <v/>
      </c>
      <c r="CE10" s="8" t="str">
        <f t="shared" si="30"/>
        <v/>
      </c>
      <c r="CF10" s="8" t="str">
        <f t="shared" si="30"/>
        <v/>
      </c>
      <c r="CG10" s="8" t="str">
        <f t="shared" si="30"/>
        <v/>
      </c>
      <c r="CH10" s="8" t="str">
        <f t="shared" si="30"/>
        <v/>
      </c>
      <c r="CI10" s="8" t="str">
        <f t="shared" si="30"/>
        <v/>
      </c>
      <c r="CJ10" s="8"/>
      <c r="CK10" s="8"/>
      <c r="CL10" s="41" t="str">
        <f t="shared" ref="CL10:CQ10" si="31">CD10</f>
        <v/>
      </c>
      <c r="CM10" s="8" t="str">
        <f t="shared" si="31"/>
        <v/>
      </c>
      <c r="CN10" s="8" t="str">
        <f t="shared" si="31"/>
        <v/>
      </c>
      <c r="CO10" s="8" t="str">
        <f t="shared" si="31"/>
        <v/>
      </c>
      <c r="CP10" s="8" t="str">
        <f t="shared" si="31"/>
        <v/>
      </c>
      <c r="CQ10" s="8" t="str">
        <f t="shared" si="31"/>
        <v/>
      </c>
      <c r="CR10" s="8"/>
      <c r="CS10" s="8"/>
      <c r="CT10" s="41" t="str">
        <f t="shared" ref="CT10:CY10" si="32">CL10</f>
        <v/>
      </c>
      <c r="CU10" s="8" t="str">
        <f t="shared" si="32"/>
        <v/>
      </c>
      <c r="CV10" s="8" t="str">
        <f t="shared" si="32"/>
        <v/>
      </c>
      <c r="CW10" s="8" t="str">
        <f t="shared" si="32"/>
        <v/>
      </c>
      <c r="CX10" s="8" t="str">
        <f t="shared" si="32"/>
        <v/>
      </c>
      <c r="CY10" s="8" t="str">
        <f t="shared" si="32"/>
        <v/>
      </c>
      <c r="CZ10" s="8"/>
      <c r="DA10" s="8"/>
      <c r="DB10" s="41" t="str">
        <f t="shared" ref="DB10:DG10" si="33">CT10</f>
        <v/>
      </c>
      <c r="DC10" s="8" t="str">
        <f t="shared" si="33"/>
        <v/>
      </c>
      <c r="DD10" s="8" t="str">
        <f t="shared" si="33"/>
        <v/>
      </c>
      <c r="DE10" s="8" t="str">
        <f t="shared" si="33"/>
        <v/>
      </c>
      <c r="DF10" s="8" t="str">
        <f t="shared" si="33"/>
        <v/>
      </c>
      <c r="DG10" s="8" t="str">
        <f t="shared" si="33"/>
        <v/>
      </c>
      <c r="DH10" s="8"/>
      <c r="DI10" s="8"/>
      <c r="DJ10" s="41" t="str">
        <f t="shared" ref="DJ10:DO10" si="34">DB10</f>
        <v/>
      </c>
      <c r="DK10" s="8" t="str">
        <f t="shared" si="34"/>
        <v/>
      </c>
      <c r="DL10" s="8" t="str">
        <f t="shared" si="34"/>
        <v/>
      </c>
      <c r="DM10" s="8" t="str">
        <f t="shared" si="34"/>
        <v/>
      </c>
      <c r="DN10" s="8" t="str">
        <f t="shared" si="34"/>
        <v/>
      </c>
      <c r="DO10" s="8" t="str">
        <f t="shared" si="34"/>
        <v/>
      </c>
      <c r="DP10" s="8"/>
      <c r="DQ10" s="8"/>
      <c r="DR10" s="41" t="str">
        <f t="shared" ref="DR10:DW10" si="35">DJ10</f>
        <v/>
      </c>
      <c r="DS10" s="8" t="str">
        <f t="shared" si="35"/>
        <v/>
      </c>
      <c r="DT10" s="8" t="str">
        <f t="shared" si="35"/>
        <v/>
      </c>
      <c r="DU10" s="8" t="str">
        <f t="shared" si="35"/>
        <v/>
      </c>
      <c r="DV10" s="8" t="str">
        <f t="shared" si="35"/>
        <v/>
      </c>
      <c r="DW10" s="8" t="str">
        <f t="shared" si="35"/>
        <v/>
      </c>
      <c r="DX10" s="8"/>
      <c r="DY10" s="8"/>
      <c r="DZ10" s="41" t="str">
        <f t="shared" ref="DZ10:EE10" si="36">DR10</f>
        <v/>
      </c>
      <c r="EA10" s="8" t="str">
        <f t="shared" si="36"/>
        <v/>
      </c>
      <c r="EB10" s="8" t="str">
        <f t="shared" si="36"/>
        <v/>
      </c>
      <c r="EC10" s="8" t="str">
        <f t="shared" si="36"/>
        <v/>
      </c>
      <c r="ED10" s="8" t="str">
        <f t="shared" si="36"/>
        <v/>
      </c>
      <c r="EE10" s="8" t="str">
        <f t="shared" si="36"/>
        <v/>
      </c>
      <c r="EF10" s="8"/>
      <c r="EG10" s="8"/>
      <c r="EH10" s="41" t="str">
        <f t="shared" ref="EH10:EM10" si="37">DZ10</f>
        <v/>
      </c>
      <c r="EI10" s="8" t="str">
        <f t="shared" si="37"/>
        <v/>
      </c>
      <c r="EJ10" s="8" t="str">
        <f t="shared" si="37"/>
        <v/>
      </c>
      <c r="EK10" s="8" t="str">
        <f t="shared" si="37"/>
        <v/>
      </c>
      <c r="EL10" s="8" t="str">
        <f t="shared" si="37"/>
        <v/>
      </c>
      <c r="EM10" s="8" t="str">
        <f t="shared" si="37"/>
        <v/>
      </c>
      <c r="EN10" s="8"/>
      <c r="EO10" s="8"/>
      <c r="EP10" s="41" t="str">
        <f t="shared" ref="EP10:EU10" si="38">EH10</f>
        <v/>
      </c>
      <c r="EQ10" s="8" t="str">
        <f t="shared" si="38"/>
        <v/>
      </c>
      <c r="ER10" s="8" t="str">
        <f t="shared" si="38"/>
        <v/>
      </c>
      <c r="ES10" s="8" t="str">
        <f t="shared" si="38"/>
        <v/>
      </c>
      <c r="ET10" s="8" t="str">
        <f t="shared" si="38"/>
        <v/>
      </c>
      <c r="EU10" s="8" t="str">
        <f t="shared" si="38"/>
        <v/>
      </c>
      <c r="EV10" s="8"/>
      <c r="EW10" s="8"/>
      <c r="EX10" s="41" t="str">
        <f t="shared" ref="EX10:FC10" si="39">EP10</f>
        <v/>
      </c>
      <c r="EY10" s="8" t="str">
        <f t="shared" si="39"/>
        <v/>
      </c>
      <c r="EZ10" s="8" t="str">
        <f t="shared" si="39"/>
        <v/>
      </c>
      <c r="FA10" s="8" t="str">
        <f t="shared" si="39"/>
        <v/>
      </c>
      <c r="FB10" s="8" t="str">
        <f t="shared" si="39"/>
        <v/>
      </c>
      <c r="FC10" s="8" t="str">
        <f t="shared" si="39"/>
        <v/>
      </c>
      <c r="FD10" s="8"/>
      <c r="FE10" s="8"/>
      <c r="FF10" s="41" t="str">
        <f t="shared" ref="FF10:FK10" si="40">EX10</f>
        <v/>
      </c>
      <c r="FG10" s="8" t="str">
        <f t="shared" si="40"/>
        <v/>
      </c>
      <c r="FH10" s="8" t="str">
        <f t="shared" si="40"/>
        <v/>
      </c>
      <c r="FI10" s="8" t="str">
        <f t="shared" si="40"/>
        <v/>
      </c>
      <c r="FJ10" s="8" t="str">
        <f t="shared" si="40"/>
        <v/>
      </c>
      <c r="FK10" s="8" t="str">
        <f t="shared" si="40"/>
        <v/>
      </c>
      <c r="FL10" s="8"/>
      <c r="FM10" s="8"/>
    </row>
    <row r="11">
      <c r="A11" s="42"/>
      <c r="B11" s="41"/>
      <c r="C11" s="8"/>
      <c r="D11" s="8"/>
      <c r="E11" s="8"/>
      <c r="F11" s="8"/>
      <c r="G11" s="8"/>
      <c r="H11" s="8"/>
      <c r="I11" s="8"/>
      <c r="J11" s="41" t="str">
        <f t="shared" ref="J11:O11" si="41">B11</f>
        <v/>
      </c>
      <c r="K11" s="8" t="str">
        <f t="shared" si="41"/>
        <v/>
      </c>
      <c r="L11" s="8" t="str">
        <f t="shared" si="41"/>
        <v/>
      </c>
      <c r="M11" s="8" t="str">
        <f t="shared" si="41"/>
        <v/>
      </c>
      <c r="N11" s="8" t="str">
        <f t="shared" si="41"/>
        <v/>
      </c>
      <c r="O11" s="8" t="str">
        <f t="shared" si="41"/>
        <v/>
      </c>
      <c r="P11" s="8"/>
      <c r="Q11" s="8"/>
      <c r="R11" s="41" t="str">
        <f t="shared" ref="R11:W11" si="42">J11</f>
        <v/>
      </c>
      <c r="S11" s="8" t="str">
        <f t="shared" si="42"/>
        <v/>
      </c>
      <c r="T11" s="8" t="str">
        <f t="shared" si="42"/>
        <v/>
      </c>
      <c r="U11" s="8" t="str">
        <f t="shared" si="42"/>
        <v/>
      </c>
      <c r="V11" s="8" t="str">
        <f t="shared" si="42"/>
        <v/>
      </c>
      <c r="W11" s="8" t="str">
        <f t="shared" si="42"/>
        <v/>
      </c>
      <c r="X11" s="8"/>
      <c r="Y11" s="8"/>
      <c r="Z11" s="41" t="str">
        <f t="shared" ref="Z11:AE11" si="43">R11</f>
        <v/>
      </c>
      <c r="AA11" s="8" t="str">
        <f t="shared" si="43"/>
        <v/>
      </c>
      <c r="AB11" s="8" t="str">
        <f t="shared" si="43"/>
        <v/>
      </c>
      <c r="AC11" s="8" t="str">
        <f t="shared" si="43"/>
        <v/>
      </c>
      <c r="AD11" s="8" t="str">
        <f t="shared" si="43"/>
        <v/>
      </c>
      <c r="AE11" s="8" t="str">
        <f t="shared" si="43"/>
        <v/>
      </c>
      <c r="AF11" s="8"/>
      <c r="AG11" s="8"/>
      <c r="AH11" s="41" t="str">
        <f t="shared" ref="AH11:AM11" si="44">Z11</f>
        <v/>
      </c>
      <c r="AI11" s="8" t="str">
        <f t="shared" si="44"/>
        <v/>
      </c>
      <c r="AJ11" s="8" t="str">
        <f t="shared" si="44"/>
        <v/>
      </c>
      <c r="AK11" s="8" t="str">
        <f t="shared" si="44"/>
        <v/>
      </c>
      <c r="AL11" s="8" t="str">
        <f t="shared" si="44"/>
        <v/>
      </c>
      <c r="AM11" s="8" t="str">
        <f t="shared" si="44"/>
        <v/>
      </c>
      <c r="AN11" s="8"/>
      <c r="AO11" s="8"/>
      <c r="AP11" s="41" t="str">
        <f t="shared" ref="AP11:AU11" si="45">AH11</f>
        <v/>
      </c>
      <c r="AQ11" s="8" t="str">
        <f t="shared" si="45"/>
        <v/>
      </c>
      <c r="AR11" s="8" t="str">
        <f t="shared" si="45"/>
        <v/>
      </c>
      <c r="AS11" s="8" t="str">
        <f t="shared" si="45"/>
        <v/>
      </c>
      <c r="AT11" s="8" t="str">
        <f t="shared" si="45"/>
        <v/>
      </c>
      <c r="AU11" s="8" t="str">
        <f t="shared" si="45"/>
        <v/>
      </c>
      <c r="AV11" s="8"/>
      <c r="AW11" s="8"/>
      <c r="AX11" s="41" t="str">
        <f t="shared" ref="AX11:BC11" si="46">AP11</f>
        <v/>
      </c>
      <c r="AY11" s="8" t="str">
        <f t="shared" si="46"/>
        <v/>
      </c>
      <c r="AZ11" s="8" t="str">
        <f t="shared" si="46"/>
        <v/>
      </c>
      <c r="BA11" s="8" t="str">
        <f t="shared" si="46"/>
        <v/>
      </c>
      <c r="BB11" s="8" t="str">
        <f t="shared" si="46"/>
        <v/>
      </c>
      <c r="BC11" s="8" t="str">
        <f t="shared" si="46"/>
        <v/>
      </c>
      <c r="BD11" s="8"/>
      <c r="BE11" s="8"/>
      <c r="BF11" s="41" t="str">
        <f t="shared" ref="BF11:BK11" si="47">AX11</f>
        <v/>
      </c>
      <c r="BG11" s="8" t="str">
        <f t="shared" si="47"/>
        <v/>
      </c>
      <c r="BH11" s="8" t="str">
        <f t="shared" si="47"/>
        <v/>
      </c>
      <c r="BI11" s="8" t="str">
        <f t="shared" si="47"/>
        <v/>
      </c>
      <c r="BJ11" s="8" t="str">
        <f t="shared" si="47"/>
        <v/>
      </c>
      <c r="BK11" s="8" t="str">
        <f t="shared" si="47"/>
        <v/>
      </c>
      <c r="BL11" s="8"/>
      <c r="BM11" s="8"/>
      <c r="BN11" s="41" t="str">
        <f t="shared" ref="BN11:BS11" si="48">BF11</f>
        <v/>
      </c>
      <c r="BO11" s="8" t="str">
        <f t="shared" si="48"/>
        <v/>
      </c>
      <c r="BP11" s="8" t="str">
        <f t="shared" si="48"/>
        <v/>
      </c>
      <c r="BQ11" s="8" t="str">
        <f t="shared" si="48"/>
        <v/>
      </c>
      <c r="BR11" s="8" t="str">
        <f t="shared" si="48"/>
        <v/>
      </c>
      <c r="BS11" s="8" t="str">
        <f t="shared" si="48"/>
        <v/>
      </c>
      <c r="BT11" s="8"/>
      <c r="BU11" s="8"/>
      <c r="BV11" s="41" t="str">
        <f t="shared" ref="BV11:CA11" si="49">BN11</f>
        <v/>
      </c>
      <c r="BW11" s="8" t="str">
        <f t="shared" si="49"/>
        <v/>
      </c>
      <c r="BX11" s="8" t="str">
        <f t="shared" si="49"/>
        <v/>
      </c>
      <c r="BY11" s="8" t="str">
        <f t="shared" si="49"/>
        <v/>
      </c>
      <c r="BZ11" s="8" t="str">
        <f t="shared" si="49"/>
        <v/>
      </c>
      <c r="CA11" s="8" t="str">
        <f t="shared" si="49"/>
        <v/>
      </c>
      <c r="CB11" s="8"/>
      <c r="CC11" s="8"/>
      <c r="CD11" s="41" t="str">
        <f t="shared" ref="CD11:CI11" si="50">BV11</f>
        <v/>
      </c>
      <c r="CE11" s="8" t="str">
        <f t="shared" si="50"/>
        <v/>
      </c>
      <c r="CF11" s="8" t="str">
        <f t="shared" si="50"/>
        <v/>
      </c>
      <c r="CG11" s="8" t="str">
        <f t="shared" si="50"/>
        <v/>
      </c>
      <c r="CH11" s="8" t="str">
        <f t="shared" si="50"/>
        <v/>
      </c>
      <c r="CI11" s="8" t="str">
        <f t="shared" si="50"/>
        <v/>
      </c>
      <c r="CJ11" s="8"/>
      <c r="CK11" s="8"/>
      <c r="CL11" s="41" t="str">
        <f t="shared" ref="CL11:CQ11" si="51">CD11</f>
        <v/>
      </c>
      <c r="CM11" s="8" t="str">
        <f t="shared" si="51"/>
        <v/>
      </c>
      <c r="CN11" s="8" t="str">
        <f t="shared" si="51"/>
        <v/>
      </c>
      <c r="CO11" s="8" t="str">
        <f t="shared" si="51"/>
        <v/>
      </c>
      <c r="CP11" s="8" t="str">
        <f t="shared" si="51"/>
        <v/>
      </c>
      <c r="CQ11" s="8" t="str">
        <f t="shared" si="51"/>
        <v/>
      </c>
      <c r="CR11" s="8"/>
      <c r="CS11" s="8"/>
      <c r="CT11" s="41" t="str">
        <f t="shared" ref="CT11:CY11" si="52">CL11</f>
        <v/>
      </c>
      <c r="CU11" s="8" t="str">
        <f t="shared" si="52"/>
        <v/>
      </c>
      <c r="CV11" s="8" t="str">
        <f t="shared" si="52"/>
        <v/>
      </c>
      <c r="CW11" s="8" t="str">
        <f t="shared" si="52"/>
        <v/>
      </c>
      <c r="CX11" s="8" t="str">
        <f t="shared" si="52"/>
        <v/>
      </c>
      <c r="CY11" s="8" t="str">
        <f t="shared" si="52"/>
        <v/>
      </c>
      <c r="CZ11" s="8"/>
      <c r="DA11" s="8"/>
      <c r="DB11" s="41" t="str">
        <f t="shared" ref="DB11:DG11" si="53">CT11</f>
        <v/>
      </c>
      <c r="DC11" s="8" t="str">
        <f t="shared" si="53"/>
        <v/>
      </c>
      <c r="DD11" s="8" t="str">
        <f t="shared" si="53"/>
        <v/>
      </c>
      <c r="DE11" s="8" t="str">
        <f t="shared" si="53"/>
        <v/>
      </c>
      <c r="DF11" s="8" t="str">
        <f t="shared" si="53"/>
        <v/>
      </c>
      <c r="DG11" s="8" t="str">
        <f t="shared" si="53"/>
        <v/>
      </c>
      <c r="DH11" s="8"/>
      <c r="DI11" s="8"/>
      <c r="DJ11" s="41" t="str">
        <f t="shared" ref="DJ11:DO11" si="54">DB11</f>
        <v/>
      </c>
      <c r="DK11" s="8" t="str">
        <f t="shared" si="54"/>
        <v/>
      </c>
      <c r="DL11" s="8" t="str">
        <f t="shared" si="54"/>
        <v/>
      </c>
      <c r="DM11" s="8" t="str">
        <f t="shared" si="54"/>
        <v/>
      </c>
      <c r="DN11" s="8" t="str">
        <f t="shared" si="54"/>
        <v/>
      </c>
      <c r="DO11" s="8" t="str">
        <f t="shared" si="54"/>
        <v/>
      </c>
      <c r="DP11" s="8"/>
      <c r="DQ11" s="8"/>
      <c r="DR11" s="41" t="str">
        <f t="shared" ref="DR11:DW11" si="55">DJ11</f>
        <v/>
      </c>
      <c r="DS11" s="8" t="str">
        <f t="shared" si="55"/>
        <v/>
      </c>
      <c r="DT11" s="8" t="str">
        <f t="shared" si="55"/>
        <v/>
      </c>
      <c r="DU11" s="8" t="str">
        <f t="shared" si="55"/>
        <v/>
      </c>
      <c r="DV11" s="8" t="str">
        <f t="shared" si="55"/>
        <v/>
      </c>
      <c r="DW11" s="8" t="str">
        <f t="shared" si="55"/>
        <v/>
      </c>
      <c r="DX11" s="8"/>
      <c r="DY11" s="8"/>
      <c r="DZ11" s="41" t="str">
        <f t="shared" ref="DZ11:EE11" si="56">DR11</f>
        <v/>
      </c>
      <c r="EA11" s="8" t="str">
        <f t="shared" si="56"/>
        <v/>
      </c>
      <c r="EB11" s="8" t="str">
        <f t="shared" si="56"/>
        <v/>
      </c>
      <c r="EC11" s="8" t="str">
        <f t="shared" si="56"/>
        <v/>
      </c>
      <c r="ED11" s="8" t="str">
        <f t="shared" si="56"/>
        <v/>
      </c>
      <c r="EE11" s="8" t="str">
        <f t="shared" si="56"/>
        <v/>
      </c>
      <c r="EF11" s="8"/>
      <c r="EG11" s="8"/>
      <c r="EH11" s="41" t="str">
        <f t="shared" ref="EH11:EM11" si="57">DZ11</f>
        <v/>
      </c>
      <c r="EI11" s="8" t="str">
        <f t="shared" si="57"/>
        <v/>
      </c>
      <c r="EJ11" s="8" t="str">
        <f t="shared" si="57"/>
        <v/>
      </c>
      <c r="EK11" s="8" t="str">
        <f t="shared" si="57"/>
        <v/>
      </c>
      <c r="EL11" s="8" t="str">
        <f t="shared" si="57"/>
        <v/>
      </c>
      <c r="EM11" s="8" t="str">
        <f t="shared" si="57"/>
        <v/>
      </c>
      <c r="EN11" s="8"/>
      <c r="EO11" s="8"/>
      <c r="EP11" s="41" t="str">
        <f t="shared" ref="EP11:EU11" si="58">EH11</f>
        <v/>
      </c>
      <c r="EQ11" s="8" t="str">
        <f t="shared" si="58"/>
        <v/>
      </c>
      <c r="ER11" s="8" t="str">
        <f t="shared" si="58"/>
        <v/>
      </c>
      <c r="ES11" s="8" t="str">
        <f t="shared" si="58"/>
        <v/>
      </c>
      <c r="ET11" s="8" t="str">
        <f t="shared" si="58"/>
        <v/>
      </c>
      <c r="EU11" s="8" t="str">
        <f t="shared" si="58"/>
        <v/>
      </c>
      <c r="EV11" s="8"/>
      <c r="EW11" s="8"/>
      <c r="EX11" s="41" t="str">
        <f t="shared" ref="EX11:FC11" si="59">EP11</f>
        <v/>
      </c>
      <c r="EY11" s="8" t="str">
        <f t="shared" si="59"/>
        <v/>
      </c>
      <c r="EZ11" s="8" t="str">
        <f t="shared" si="59"/>
        <v/>
      </c>
      <c r="FA11" s="8" t="str">
        <f t="shared" si="59"/>
        <v/>
      </c>
      <c r="FB11" s="8" t="str">
        <f t="shared" si="59"/>
        <v/>
      </c>
      <c r="FC11" s="8" t="str">
        <f t="shared" si="59"/>
        <v/>
      </c>
      <c r="FD11" s="8"/>
      <c r="FE11" s="8"/>
      <c r="FF11" s="41" t="str">
        <f t="shared" ref="FF11:FK11" si="60">EX11</f>
        <v/>
      </c>
      <c r="FG11" s="8" t="str">
        <f t="shared" si="60"/>
        <v/>
      </c>
      <c r="FH11" s="8" t="str">
        <f t="shared" si="60"/>
        <v/>
      </c>
      <c r="FI11" s="8" t="str">
        <f t="shared" si="60"/>
        <v/>
      </c>
      <c r="FJ11" s="8" t="str">
        <f t="shared" si="60"/>
        <v/>
      </c>
      <c r="FK11" s="8" t="str">
        <f t="shared" si="60"/>
        <v/>
      </c>
      <c r="FL11" s="8"/>
      <c r="FM11" s="8"/>
    </row>
    <row r="12">
      <c r="A12" s="43"/>
      <c r="B12" s="44"/>
      <c r="C12" s="45"/>
      <c r="D12" s="45"/>
      <c r="E12" s="45"/>
      <c r="F12" s="45"/>
      <c r="G12" s="45"/>
      <c r="H12" s="45"/>
      <c r="I12" s="45"/>
      <c r="J12" s="44" t="str">
        <f t="shared" ref="J12:O12" si="61">B12</f>
        <v/>
      </c>
      <c r="K12" s="45" t="str">
        <f t="shared" si="61"/>
        <v/>
      </c>
      <c r="L12" s="45" t="str">
        <f t="shared" si="61"/>
        <v/>
      </c>
      <c r="M12" s="45" t="str">
        <f t="shared" si="61"/>
        <v/>
      </c>
      <c r="N12" s="45" t="str">
        <f t="shared" si="61"/>
        <v/>
      </c>
      <c r="O12" s="45" t="str">
        <f t="shared" si="61"/>
        <v/>
      </c>
      <c r="P12" s="45"/>
      <c r="Q12" s="45"/>
      <c r="R12" s="44" t="str">
        <f t="shared" ref="R12:W12" si="62">J12</f>
        <v/>
      </c>
      <c r="S12" s="45" t="str">
        <f t="shared" si="62"/>
        <v/>
      </c>
      <c r="T12" s="45" t="str">
        <f t="shared" si="62"/>
        <v/>
      </c>
      <c r="U12" s="45" t="str">
        <f t="shared" si="62"/>
        <v/>
      </c>
      <c r="V12" s="45" t="str">
        <f t="shared" si="62"/>
        <v/>
      </c>
      <c r="W12" s="45" t="str">
        <f t="shared" si="62"/>
        <v/>
      </c>
      <c r="X12" s="45"/>
      <c r="Y12" s="45"/>
      <c r="Z12" s="44" t="str">
        <f t="shared" ref="Z12:AE12" si="63">R12</f>
        <v/>
      </c>
      <c r="AA12" s="45" t="str">
        <f t="shared" si="63"/>
        <v/>
      </c>
      <c r="AB12" s="45" t="str">
        <f t="shared" si="63"/>
        <v/>
      </c>
      <c r="AC12" s="45" t="str">
        <f t="shared" si="63"/>
        <v/>
      </c>
      <c r="AD12" s="45" t="str">
        <f t="shared" si="63"/>
        <v/>
      </c>
      <c r="AE12" s="45" t="str">
        <f t="shared" si="63"/>
        <v/>
      </c>
      <c r="AF12" s="45"/>
      <c r="AG12" s="45"/>
      <c r="AH12" s="44" t="str">
        <f t="shared" ref="AH12:AM12" si="64">Z12</f>
        <v/>
      </c>
      <c r="AI12" s="45" t="str">
        <f t="shared" si="64"/>
        <v/>
      </c>
      <c r="AJ12" s="45" t="str">
        <f t="shared" si="64"/>
        <v/>
      </c>
      <c r="AK12" s="45" t="str">
        <f t="shared" si="64"/>
        <v/>
      </c>
      <c r="AL12" s="45" t="str">
        <f t="shared" si="64"/>
        <v/>
      </c>
      <c r="AM12" s="45" t="str">
        <f t="shared" si="64"/>
        <v/>
      </c>
      <c r="AN12" s="45"/>
      <c r="AO12" s="45"/>
      <c r="AP12" s="44" t="str">
        <f t="shared" ref="AP12:AU12" si="65">AH12</f>
        <v/>
      </c>
      <c r="AQ12" s="45" t="str">
        <f t="shared" si="65"/>
        <v/>
      </c>
      <c r="AR12" s="45" t="str">
        <f t="shared" si="65"/>
        <v/>
      </c>
      <c r="AS12" s="45" t="str">
        <f t="shared" si="65"/>
        <v/>
      </c>
      <c r="AT12" s="45" t="str">
        <f t="shared" si="65"/>
        <v/>
      </c>
      <c r="AU12" s="45" t="str">
        <f t="shared" si="65"/>
        <v/>
      </c>
      <c r="AV12" s="45"/>
      <c r="AW12" s="45"/>
      <c r="AX12" s="44" t="str">
        <f t="shared" ref="AX12:BC12" si="66">AP12</f>
        <v/>
      </c>
      <c r="AY12" s="45" t="str">
        <f t="shared" si="66"/>
        <v/>
      </c>
      <c r="AZ12" s="45" t="str">
        <f t="shared" si="66"/>
        <v/>
      </c>
      <c r="BA12" s="45" t="str">
        <f t="shared" si="66"/>
        <v/>
      </c>
      <c r="BB12" s="45" t="str">
        <f t="shared" si="66"/>
        <v/>
      </c>
      <c r="BC12" s="45" t="str">
        <f t="shared" si="66"/>
        <v/>
      </c>
      <c r="BD12" s="45"/>
      <c r="BE12" s="45"/>
      <c r="BF12" s="44" t="str">
        <f t="shared" ref="BF12:BK12" si="67">AX12</f>
        <v/>
      </c>
      <c r="BG12" s="45" t="str">
        <f t="shared" si="67"/>
        <v/>
      </c>
      <c r="BH12" s="45" t="str">
        <f t="shared" si="67"/>
        <v/>
      </c>
      <c r="BI12" s="45" t="str">
        <f t="shared" si="67"/>
        <v/>
      </c>
      <c r="BJ12" s="45" t="str">
        <f t="shared" si="67"/>
        <v/>
      </c>
      <c r="BK12" s="45" t="str">
        <f t="shared" si="67"/>
        <v/>
      </c>
      <c r="BL12" s="45"/>
      <c r="BM12" s="45"/>
      <c r="BN12" s="44" t="str">
        <f t="shared" ref="BN12:BS12" si="68">BF12</f>
        <v/>
      </c>
      <c r="BO12" s="45" t="str">
        <f t="shared" si="68"/>
        <v/>
      </c>
      <c r="BP12" s="45" t="str">
        <f t="shared" si="68"/>
        <v/>
      </c>
      <c r="BQ12" s="45" t="str">
        <f t="shared" si="68"/>
        <v/>
      </c>
      <c r="BR12" s="45" t="str">
        <f t="shared" si="68"/>
        <v/>
      </c>
      <c r="BS12" s="45" t="str">
        <f t="shared" si="68"/>
        <v/>
      </c>
      <c r="BT12" s="45"/>
      <c r="BU12" s="45"/>
      <c r="BV12" s="44" t="str">
        <f t="shared" ref="BV12:CA12" si="69">BN12</f>
        <v/>
      </c>
      <c r="BW12" s="45" t="str">
        <f t="shared" si="69"/>
        <v/>
      </c>
      <c r="BX12" s="45" t="str">
        <f t="shared" si="69"/>
        <v/>
      </c>
      <c r="BY12" s="45" t="str">
        <f t="shared" si="69"/>
        <v/>
      </c>
      <c r="BZ12" s="45" t="str">
        <f t="shared" si="69"/>
        <v/>
      </c>
      <c r="CA12" s="45" t="str">
        <f t="shared" si="69"/>
        <v/>
      </c>
      <c r="CB12" s="45"/>
      <c r="CC12" s="45"/>
      <c r="CD12" s="44" t="str">
        <f t="shared" ref="CD12:CI12" si="70">BV12</f>
        <v/>
      </c>
      <c r="CE12" s="45" t="str">
        <f t="shared" si="70"/>
        <v/>
      </c>
      <c r="CF12" s="45" t="str">
        <f t="shared" si="70"/>
        <v/>
      </c>
      <c r="CG12" s="45" t="str">
        <f t="shared" si="70"/>
        <v/>
      </c>
      <c r="CH12" s="45" t="str">
        <f t="shared" si="70"/>
        <v/>
      </c>
      <c r="CI12" s="45" t="str">
        <f t="shared" si="70"/>
        <v/>
      </c>
      <c r="CJ12" s="45"/>
      <c r="CK12" s="45"/>
      <c r="CL12" s="44" t="str">
        <f t="shared" ref="CL12:CQ12" si="71">CD12</f>
        <v/>
      </c>
      <c r="CM12" s="45" t="str">
        <f t="shared" si="71"/>
        <v/>
      </c>
      <c r="CN12" s="45" t="str">
        <f t="shared" si="71"/>
        <v/>
      </c>
      <c r="CO12" s="45" t="str">
        <f t="shared" si="71"/>
        <v/>
      </c>
      <c r="CP12" s="45" t="str">
        <f t="shared" si="71"/>
        <v/>
      </c>
      <c r="CQ12" s="45" t="str">
        <f t="shared" si="71"/>
        <v/>
      </c>
      <c r="CR12" s="45"/>
      <c r="CS12" s="45"/>
      <c r="CT12" s="44" t="str">
        <f t="shared" ref="CT12:CY12" si="72">CL12</f>
        <v/>
      </c>
      <c r="CU12" s="45" t="str">
        <f t="shared" si="72"/>
        <v/>
      </c>
      <c r="CV12" s="45" t="str">
        <f t="shared" si="72"/>
        <v/>
      </c>
      <c r="CW12" s="45" t="str">
        <f t="shared" si="72"/>
        <v/>
      </c>
      <c r="CX12" s="45" t="str">
        <f t="shared" si="72"/>
        <v/>
      </c>
      <c r="CY12" s="45" t="str">
        <f t="shared" si="72"/>
        <v/>
      </c>
      <c r="CZ12" s="45"/>
      <c r="DA12" s="45"/>
      <c r="DB12" s="44" t="str">
        <f t="shared" ref="DB12:DG12" si="73">CT12</f>
        <v/>
      </c>
      <c r="DC12" s="45" t="str">
        <f t="shared" si="73"/>
        <v/>
      </c>
      <c r="DD12" s="45" t="str">
        <f t="shared" si="73"/>
        <v/>
      </c>
      <c r="DE12" s="45" t="str">
        <f t="shared" si="73"/>
        <v/>
      </c>
      <c r="DF12" s="45" t="str">
        <f t="shared" si="73"/>
        <v/>
      </c>
      <c r="DG12" s="45" t="str">
        <f t="shared" si="73"/>
        <v/>
      </c>
      <c r="DH12" s="45"/>
      <c r="DI12" s="45"/>
      <c r="DJ12" s="44" t="str">
        <f t="shared" ref="DJ12:DO12" si="74">DB12</f>
        <v/>
      </c>
      <c r="DK12" s="45" t="str">
        <f t="shared" si="74"/>
        <v/>
      </c>
      <c r="DL12" s="45" t="str">
        <f t="shared" si="74"/>
        <v/>
      </c>
      <c r="DM12" s="45" t="str">
        <f t="shared" si="74"/>
        <v/>
      </c>
      <c r="DN12" s="45" t="str">
        <f t="shared" si="74"/>
        <v/>
      </c>
      <c r="DO12" s="45" t="str">
        <f t="shared" si="74"/>
        <v/>
      </c>
      <c r="DP12" s="45"/>
      <c r="DQ12" s="45"/>
      <c r="DR12" s="44" t="str">
        <f t="shared" ref="DR12:DW12" si="75">DJ12</f>
        <v/>
      </c>
      <c r="DS12" s="45" t="str">
        <f t="shared" si="75"/>
        <v/>
      </c>
      <c r="DT12" s="45" t="str">
        <f t="shared" si="75"/>
        <v/>
      </c>
      <c r="DU12" s="45" t="str">
        <f t="shared" si="75"/>
        <v/>
      </c>
      <c r="DV12" s="45" t="str">
        <f t="shared" si="75"/>
        <v/>
      </c>
      <c r="DW12" s="45" t="str">
        <f t="shared" si="75"/>
        <v/>
      </c>
      <c r="DX12" s="45"/>
      <c r="DY12" s="45"/>
      <c r="DZ12" s="44" t="str">
        <f t="shared" ref="DZ12:EE12" si="76">DR12</f>
        <v/>
      </c>
      <c r="EA12" s="45" t="str">
        <f t="shared" si="76"/>
        <v/>
      </c>
      <c r="EB12" s="45" t="str">
        <f t="shared" si="76"/>
        <v/>
      </c>
      <c r="EC12" s="45" t="str">
        <f t="shared" si="76"/>
        <v/>
      </c>
      <c r="ED12" s="45" t="str">
        <f t="shared" si="76"/>
        <v/>
      </c>
      <c r="EE12" s="45" t="str">
        <f t="shared" si="76"/>
        <v/>
      </c>
      <c r="EF12" s="45"/>
      <c r="EG12" s="45"/>
      <c r="EH12" s="44" t="str">
        <f t="shared" ref="EH12:EM12" si="77">DZ12</f>
        <v/>
      </c>
      <c r="EI12" s="45" t="str">
        <f t="shared" si="77"/>
        <v/>
      </c>
      <c r="EJ12" s="45" t="str">
        <f t="shared" si="77"/>
        <v/>
      </c>
      <c r="EK12" s="45" t="str">
        <f t="shared" si="77"/>
        <v/>
      </c>
      <c r="EL12" s="45" t="str">
        <f t="shared" si="77"/>
        <v/>
      </c>
      <c r="EM12" s="45" t="str">
        <f t="shared" si="77"/>
        <v/>
      </c>
      <c r="EN12" s="45"/>
      <c r="EO12" s="45"/>
      <c r="EP12" s="44" t="str">
        <f t="shared" ref="EP12:EU12" si="78">EH12</f>
        <v/>
      </c>
      <c r="EQ12" s="45" t="str">
        <f t="shared" si="78"/>
        <v/>
      </c>
      <c r="ER12" s="45" t="str">
        <f t="shared" si="78"/>
        <v/>
      </c>
      <c r="ES12" s="45" t="str">
        <f t="shared" si="78"/>
        <v/>
      </c>
      <c r="ET12" s="45" t="str">
        <f t="shared" si="78"/>
        <v/>
      </c>
      <c r="EU12" s="45" t="str">
        <f t="shared" si="78"/>
        <v/>
      </c>
      <c r="EV12" s="45"/>
      <c r="EW12" s="45"/>
      <c r="EX12" s="44" t="str">
        <f t="shared" ref="EX12:FC12" si="79">EP12</f>
        <v/>
      </c>
      <c r="EY12" s="45" t="str">
        <f t="shared" si="79"/>
        <v/>
      </c>
      <c r="EZ12" s="45" t="str">
        <f t="shared" si="79"/>
        <v/>
      </c>
      <c r="FA12" s="45" t="str">
        <f t="shared" si="79"/>
        <v/>
      </c>
      <c r="FB12" s="45" t="str">
        <f t="shared" si="79"/>
        <v/>
      </c>
      <c r="FC12" s="45" t="str">
        <f t="shared" si="79"/>
        <v/>
      </c>
      <c r="FD12" s="45"/>
      <c r="FE12" s="45"/>
      <c r="FF12" s="44" t="str">
        <f t="shared" ref="FF12:FK12" si="80">EX12</f>
        <v/>
      </c>
      <c r="FG12" s="45" t="str">
        <f t="shared" si="80"/>
        <v/>
      </c>
      <c r="FH12" s="45" t="str">
        <f t="shared" si="80"/>
        <v/>
      </c>
      <c r="FI12" s="45" t="str">
        <f t="shared" si="80"/>
        <v/>
      </c>
      <c r="FJ12" s="45" t="str">
        <f t="shared" si="80"/>
        <v/>
      </c>
      <c r="FK12" s="45" t="str">
        <f t="shared" si="80"/>
        <v/>
      </c>
      <c r="FL12" s="45"/>
      <c r="FM12" s="45"/>
    </row>
    <row r="13">
      <c r="A13" s="2"/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31" t="s">
        <v>82</v>
      </c>
      <c r="B14" s="32"/>
      <c r="C14" s="33"/>
      <c r="D14" s="33"/>
      <c r="E14" s="33"/>
      <c r="F14" s="33"/>
      <c r="G14" s="33"/>
      <c r="H14" s="33"/>
      <c r="I14" s="33"/>
      <c r="J14" s="32"/>
      <c r="K14" s="33"/>
      <c r="L14" s="33"/>
      <c r="M14" s="33"/>
      <c r="N14" s="33"/>
      <c r="O14" s="33"/>
      <c r="P14" s="33"/>
      <c r="Q14" s="33"/>
      <c r="R14" s="32"/>
      <c r="S14" s="33"/>
      <c r="T14" s="33"/>
      <c r="U14" s="33"/>
      <c r="V14" s="33"/>
      <c r="W14" s="33"/>
      <c r="X14" s="33"/>
      <c r="Y14" s="33"/>
      <c r="Z14" s="32"/>
      <c r="AA14" s="33"/>
      <c r="AB14" s="33"/>
      <c r="AC14" s="33"/>
      <c r="AD14" s="33"/>
      <c r="AE14" s="33"/>
      <c r="AF14" s="33"/>
      <c r="AG14" s="33"/>
      <c r="AH14" s="32"/>
      <c r="AI14" s="33"/>
      <c r="AJ14" s="33"/>
      <c r="AK14" s="33"/>
      <c r="AL14" s="33"/>
      <c r="AM14" s="33"/>
      <c r="AN14" s="33"/>
      <c r="AO14" s="33"/>
      <c r="AP14" s="32"/>
      <c r="AQ14" s="33"/>
      <c r="AR14" s="33"/>
      <c r="AS14" s="33"/>
      <c r="AT14" s="33"/>
      <c r="AU14" s="33"/>
      <c r="AV14" s="33"/>
      <c r="AW14" s="33"/>
      <c r="AX14" s="32"/>
      <c r="AY14" s="33"/>
      <c r="AZ14" s="33"/>
      <c r="BA14" s="33"/>
      <c r="BB14" s="33"/>
      <c r="BC14" s="33"/>
      <c r="BD14" s="33"/>
      <c r="BE14" s="33"/>
      <c r="BF14" s="32"/>
      <c r="BG14" s="33"/>
      <c r="BH14" s="33"/>
      <c r="BI14" s="33"/>
      <c r="BJ14" s="33"/>
      <c r="BK14" s="33"/>
      <c r="BL14" s="33"/>
      <c r="BM14" s="33"/>
      <c r="BN14" s="32"/>
      <c r="BO14" s="33"/>
      <c r="BP14" s="33"/>
      <c r="BQ14" s="33"/>
      <c r="BR14" s="33"/>
      <c r="BS14" s="33"/>
      <c r="BT14" s="33"/>
      <c r="BU14" s="33"/>
      <c r="BV14" s="32"/>
      <c r="BW14" s="33"/>
      <c r="BX14" s="33"/>
      <c r="BY14" s="33"/>
      <c r="BZ14" s="33"/>
      <c r="CA14" s="33"/>
      <c r="CB14" s="33"/>
      <c r="CC14" s="33"/>
      <c r="CD14" s="32"/>
      <c r="CE14" s="33"/>
      <c r="CF14" s="33"/>
      <c r="CG14" s="33"/>
      <c r="CH14" s="33"/>
      <c r="CI14" s="33"/>
      <c r="CJ14" s="33"/>
      <c r="CK14" s="33"/>
      <c r="CL14" s="32"/>
      <c r="CM14" s="33"/>
      <c r="CN14" s="33"/>
      <c r="CO14" s="33"/>
      <c r="CP14" s="33"/>
      <c r="CQ14" s="33"/>
      <c r="CR14" s="33"/>
      <c r="CS14" s="33"/>
      <c r="CT14" s="32"/>
      <c r="CU14" s="33"/>
      <c r="CV14" s="33"/>
      <c r="CW14" s="33"/>
      <c r="CX14" s="33"/>
      <c r="CY14" s="33"/>
      <c r="CZ14" s="33"/>
      <c r="DA14" s="33"/>
      <c r="DB14" s="32"/>
      <c r="DC14" s="33"/>
      <c r="DD14" s="33"/>
      <c r="DE14" s="33"/>
      <c r="DF14" s="33"/>
      <c r="DG14" s="33"/>
      <c r="DH14" s="33"/>
      <c r="DI14" s="33"/>
      <c r="DJ14" s="32"/>
      <c r="DK14" s="33"/>
      <c r="DL14" s="33"/>
      <c r="DM14" s="33"/>
      <c r="DN14" s="33"/>
      <c r="DO14" s="33"/>
      <c r="DP14" s="33"/>
      <c r="DQ14" s="33"/>
      <c r="DR14" s="32"/>
      <c r="DS14" s="33"/>
      <c r="DT14" s="33"/>
      <c r="DU14" s="33"/>
      <c r="DV14" s="33"/>
      <c r="DW14" s="33"/>
      <c r="DX14" s="33"/>
      <c r="DY14" s="33"/>
      <c r="DZ14" s="32"/>
      <c r="EA14" s="33"/>
      <c r="EB14" s="33"/>
      <c r="EC14" s="33"/>
      <c r="ED14" s="33"/>
      <c r="EE14" s="33"/>
      <c r="EF14" s="33"/>
      <c r="EG14" s="33"/>
      <c r="EH14" s="32"/>
      <c r="EI14" s="33"/>
      <c r="EJ14" s="33"/>
      <c r="EK14" s="33"/>
      <c r="EL14" s="33"/>
      <c r="EM14" s="33"/>
      <c r="EN14" s="33"/>
      <c r="EO14" s="33"/>
      <c r="EP14" s="32"/>
      <c r="EQ14" s="33"/>
      <c r="ER14" s="33"/>
      <c r="ES14" s="33"/>
      <c r="ET14" s="33"/>
      <c r="EU14" s="33"/>
      <c r="EV14" s="33"/>
      <c r="EW14" s="33"/>
      <c r="EX14" s="34" t="s">
        <v>79</v>
      </c>
      <c r="EY14" s="35"/>
      <c r="EZ14" s="35"/>
      <c r="FA14" s="35"/>
      <c r="FB14" s="35"/>
      <c r="FC14" s="35"/>
      <c r="FD14" s="35"/>
      <c r="FE14" s="35"/>
      <c r="FF14" s="32"/>
      <c r="FG14" s="33"/>
      <c r="FH14" s="33"/>
      <c r="FI14" s="33"/>
      <c r="FJ14" s="33"/>
      <c r="FK14" s="33"/>
      <c r="FL14" s="33"/>
      <c r="FM14" s="33"/>
    </row>
    <row r="15" hidden="1">
      <c r="A15" s="36" t="str">
        <f>CONCATENATE(A16," TM")</f>
        <v>Push Press TM</v>
      </c>
      <c r="B15" s="37">
        <f>if(D15="",'Quick Setup'!D16,D15/'Quick Setup'!E16)</f>
        <v>245</v>
      </c>
      <c r="C15" s="36" t="s">
        <v>77</v>
      </c>
      <c r="D15" s="38"/>
      <c r="E15" s="39"/>
      <c r="F15" s="39"/>
      <c r="G15" s="39"/>
      <c r="H15" s="39"/>
      <c r="I15" s="39"/>
      <c r="J15" s="37">
        <f>if(L15="", if(F16="",B15, if((F16-E16)&lt;-1.9,B15*(1+Setup!F14),if((F16-E16)=-1,B15*(1+Setup!G14),if(G16&lt;D16,B15*(1+Setup!G14),if(G16=D16,B15*(1+Setup!H14),if((G16-D16)=1,B15*(1+Setup!I14),if((G16-D16)=2,B15*(1+Setup!J14),if((G16-D16)=3,B15*(1+Setup!K14),if((G16-D16)=4,B15*(1+Setup!L14),if((G16-D16)&gt;4.1,B15*(1+Setup!M14),B15)))))))))),L15/'Quick Setup'!$E16)</f>
        <v>245</v>
      </c>
      <c r="K15" s="36" t="s">
        <v>77</v>
      </c>
      <c r="L15" s="38"/>
      <c r="M15" s="39"/>
      <c r="N15" s="39"/>
      <c r="O15" s="39"/>
      <c r="P15" s="39"/>
      <c r="Q15" s="39"/>
      <c r="R15" s="37">
        <f>if(T15="", if(N16="",J15, if((N16-M16)&lt;-1.9,J15*(1+Setup!R14),if((N16-M16)=-1,J15*(1+Setup!S14),if(O16&lt;L16,J15*(1+Setup!S14),if(O16=L16,J15*(1+Setup!T14),if((O16-L16)=1,J15*(1+Setup!U14),if((O16-L16)=2,J15*(1+Setup!V14),if((O16-L16)=3,J15*(1+Setup!W14),if((O16-L16)=4,J15*(1+Setup!X14),if((O16-L16)&gt;4.1,J15*(1+Setup!Y14),J15)))))))))),T15/'Quick Setup'!$E16)</f>
        <v>245</v>
      </c>
      <c r="S15" s="36" t="s">
        <v>77</v>
      </c>
      <c r="T15" s="38"/>
      <c r="U15" s="39"/>
      <c r="V15" s="39"/>
      <c r="W15" s="39"/>
      <c r="X15" s="39"/>
      <c r="Y15" s="39"/>
      <c r="Z15" s="37">
        <f>if(AB15="", if(V16="",R15, if((V16-U16)&lt;-1.9,R15*(1+Setup!AD14),if((V16-U16)=-1,R15*(1+Setup!AE14),if(W16&lt;T16,R15*(1+Setup!AE14),if(W16=T16,R15*(1+Setup!AF14),if((W16-T16)=1,R15*(1+Setup!AG14),if((W16-T16)=2,R15*(1+Setup!AH14),if((W16-T16)=3,R15*(1+Setup!AI14),if((W16-T16)=4,R15*(1+Setup!AJ14),if((W16-T16)&gt;4.1,R15*(1+Setup!AK14),R15)))))))))),AB15/'Quick Setup'!$E16)</f>
        <v>245</v>
      </c>
      <c r="AA15" s="36" t="s">
        <v>77</v>
      </c>
      <c r="AB15" s="38"/>
      <c r="AC15" s="39"/>
      <c r="AD15" s="39"/>
      <c r="AE15" s="39"/>
      <c r="AF15" s="39"/>
      <c r="AG15" s="39"/>
      <c r="AH15" s="37">
        <f>if(AJ15="", if(AD16="",Z15, if((AD16-AC16)&lt;-1.9,Z15*(1+Setup!AP14),if((AD16-AC16)=-1,Z15*(1+Setup!AQ14),if(AE16&lt;AB16,Z15*(1+Setup!AQ14),if(AE16=AB16,Z15*(1+Setup!AR14),if((AE16-AB16)=1,Z15*(1+Setup!AS14),if((AE16-AB16)=2,Z15*(1+Setup!AT14),if((AE16-AB16)=3,Z15*(1+Setup!AU14),if((AE16-AB16)=4,Z15*(1+Setup!AV14),if((AE16-AB16)&gt;4.1,Z15*(1+Setup!AW14),Z15)))))))))),AJ15/'Quick Setup'!$E16)</f>
        <v>245</v>
      </c>
      <c r="AI15" s="36" t="s">
        <v>77</v>
      </c>
      <c r="AJ15" s="38"/>
      <c r="AK15" s="39"/>
      <c r="AL15" s="39"/>
      <c r="AM15" s="39"/>
      <c r="AN15" s="39"/>
      <c r="AO15" s="39"/>
      <c r="AP15" s="37">
        <f>if(AR15="", if(AL16="",AH15, if((AL16-AK16)&lt;-1.9,AH15*(1+Setup!BB14),if((AL16-AK16)=-1,AH15*(1+Setup!BC14),if(AM16&lt;AJ16,AH15*(1+Setup!BC14),if(AM16=AJ16,AH15*(1+Setup!BD14),if((AM16-AJ16)=1,AH15*(1+Setup!BE14),if((AM16-AJ16)=2,AH15*(1+Setup!BF14),if((AM16-AJ16)=3,AH15*(1+Setup!BG14),if((AM16-AJ16)=4,AH15*(1+Setup!BH14),if((AM16-AJ16)&gt;4.1,AH15*(1+Setup!BI14),AH15)))))))))),AR15/'Quick Setup'!$E16)</f>
        <v>245</v>
      </c>
      <c r="AQ15" s="36" t="s">
        <v>77</v>
      </c>
      <c r="AR15" s="38"/>
      <c r="AS15" s="39"/>
      <c r="AT15" s="39"/>
      <c r="AU15" s="39"/>
      <c r="AV15" s="39"/>
      <c r="AW15" s="39"/>
      <c r="AX15" s="37">
        <f>if(AZ15="", if(AT16="",AP15, if((AT16-AS16)&lt;-1.9,AP15*(1+Setup!BN14),if((AT16-AS16)=-1,AP15*(1+Setup!BO14),if(AU16&lt;AR16,AP15*(1+Setup!BO14),if(AU16=AR16,AP15*(1+Setup!BP14),if((AU16-AR16)=1,AP15*(1+Setup!BQ14),if((AU16-AR16)=2,AP15*(1+Setup!BR14),if((AU16-AR16)=3,AP15*(1+Setup!BS14),if((AU16-AR16)=4,AP15*(1+Setup!BT14),if((AU16-AR16)&gt;4.1,AP15*(1+Setup!BU14),AP15)))))))))),AZ15/'Quick Setup'!$E16)</f>
        <v>245</v>
      </c>
      <c r="AY15" s="36" t="s">
        <v>77</v>
      </c>
      <c r="AZ15" s="38"/>
      <c r="BA15" s="39"/>
      <c r="BB15" s="39"/>
      <c r="BC15" s="39"/>
      <c r="BD15" s="39"/>
      <c r="BE15" s="39"/>
      <c r="BF15" s="37">
        <f>if(BH15="",AX15,BH15/'Quick Setup'!$E16)</f>
        <v>245</v>
      </c>
      <c r="BG15" s="36" t="s">
        <v>77</v>
      </c>
      <c r="BH15" s="38"/>
      <c r="BI15" s="39"/>
      <c r="BJ15" s="39"/>
      <c r="BK15" s="39"/>
      <c r="BL15" s="39"/>
      <c r="BM15" s="39"/>
      <c r="BN15" s="37">
        <f>if(BP15="", if(BJ16="",BF15, if((BJ16-BI16)&lt;-1.9,BF15*(1+Setup!CL14),if((BJ16-BI16)=-1,BF15*(1+Setup!CM14),if(BK16&lt;BH16,BF15*(1+Setup!CM14),if(BK16=BH16,BF15*(1+Setup!CN14),if((BK16-BH16)=1,BF15*(1+Setup!CO14),if((BK16-BH16)=2,BF15*(1+Setup!CP14),if((BK16-BH16)=3,BF15*(1+Setup!CQ14),if((BK16-BH16)=4,BF15*(1+Setup!CR14),if((BK16-BH16)&gt;4.1,BF15*(1+Setup!CS14),BF15)))))))))),BP15/'Quick Setup'!$E16)</f>
        <v>245</v>
      </c>
      <c r="BO15" s="36" t="s">
        <v>77</v>
      </c>
      <c r="BP15" s="38"/>
      <c r="BQ15" s="39"/>
      <c r="BR15" s="39"/>
      <c r="BS15" s="39"/>
      <c r="BT15" s="39"/>
      <c r="BU15" s="39"/>
      <c r="BV15" s="37">
        <f>if(BX15="", if(BR16="",BN15, if((BR16-BQ16)&lt;-1.9,BN15*(1+Setup!CX14),if((BR16-BQ16)=-1,BN15*(1+Setup!CY14),if(BS16&lt;BP16,BN15*(1+Setup!CY14),if(BS16=BP16,BN15*(1+Setup!CZ14),if((BS16-BP16)=1,BN15*(1+Setup!DA14),if((BS16-BP16)=2,BN15*(1+Setup!DB14),if((BS16-BP16)=3,BN15*(1+Setup!DC14),if((BS16-BP16)=4,BN15*(1+Setup!DD14),if((BS16-BP16)&gt;4.1,BN15*(1+Setup!DE14),BN15)))))))))),BX15/'Quick Setup'!$E16)</f>
        <v>245</v>
      </c>
      <c r="BW15" s="36" t="s">
        <v>77</v>
      </c>
      <c r="BX15" s="38"/>
      <c r="BY15" s="39"/>
      <c r="BZ15" s="39"/>
      <c r="CA15" s="39"/>
      <c r="CB15" s="39"/>
      <c r="CC15" s="39"/>
      <c r="CD15" s="37">
        <f>if(CF15="", if(BZ16="",BV15, if((BZ16-BY16)&lt;-1.9,BV15*(1+Setup!DJ14),if((BZ16-BY16)=-1,BV15*(1+Setup!DK14),if(CA16&lt;BX16,BV15*(1+Setup!DK14),if(CA16=BX16,BV15*(1+Setup!DL14),if((CA16-BX16)=1,BV15*(1+Setup!DM14),if((CA16-BX16)=2,BV15*(1+Setup!DN14),if((CA16-BX16)=3,BV15*(1+Setup!DO14),if((CA16-BX16)=4,BV15*(1+Setup!DP14),if((CA16-BX16)&gt;4.1,BV15*(1+Setup!DQ14),BV15)))))))))),CF15/'Quick Setup'!$E16)</f>
        <v>245</v>
      </c>
      <c r="CE15" s="36" t="s">
        <v>77</v>
      </c>
      <c r="CF15" s="38"/>
      <c r="CG15" s="39"/>
      <c r="CH15" s="39"/>
      <c r="CI15" s="39"/>
      <c r="CJ15" s="39"/>
      <c r="CK15" s="39"/>
      <c r="CL15" s="37">
        <f>if(CN15="", if(CH16="",CD15, if((CH16-CG16)&lt;-1.9,CD15*(1+Setup!DV14),if((CH16-CG16)=-1,CD15*(1+Setup!DW14),if(CI16&lt;CF16,CD15*(1+Setup!DW14),if(CI16=CF16,CD15*(1+Setup!DX14),if((CI16-CF16)=1,CD15*(1+Setup!DY14),if((CI16-CF16)=2,CD15*(1+Setup!DZ14),if((CI16-CF16)=3,CD15*(1+Setup!EA14),if((CI16-CF16)=4,CD15*(1+Setup!EB14),if((CI16-CF16)&gt;4.1,CD15*(1+Setup!EC14),CD15)))))))))),CN15/'Quick Setup'!$E16)</f>
        <v>245</v>
      </c>
      <c r="CM15" s="36" t="s">
        <v>77</v>
      </c>
      <c r="CN15" s="38"/>
      <c r="CO15" s="39"/>
      <c r="CP15" s="39"/>
      <c r="CQ15" s="39"/>
      <c r="CR15" s="39"/>
      <c r="CS15" s="39"/>
      <c r="CT15" s="37">
        <f>if(CV15="", if(CP16="",CL15, if((CP16-CO16)&lt;-1.9,CL15*(1+Setup!EH14),if((CP16-CO16)=-1,CL15*(1+Setup!EI14),if(CQ16&lt;CN16,CL15*(1+Setup!EI14),if(CQ16=CN16,CL15*(1+Setup!EJ14),if((CQ16-CN16)=1,CL15*(1+Setup!EK14),if((CQ16-CN16)=2,CL15*(1+Setup!EL14),if((CQ16-CN16)=3,CL15*(1+Setup!EM14),if((CQ16-CN16)=4,CL15*(1+Setup!EN14),if((CQ16-CN16)&gt;4.1,CL15*(1+Setup!EO14),CL15)))))))))),CV15/'Quick Setup'!$E16)</f>
        <v>245</v>
      </c>
      <c r="CU15" s="36" t="s">
        <v>77</v>
      </c>
      <c r="CV15" s="38"/>
      <c r="CW15" s="39"/>
      <c r="CX15" s="39"/>
      <c r="CY15" s="39"/>
      <c r="CZ15" s="39"/>
      <c r="DA15" s="39"/>
      <c r="DB15" s="37">
        <f>if(DD15="", if(CX16="",CT15, if((CX16-CW16)&lt;-1.9,CT15*(1+Setup!ET14),if((CX16-CW16)=-1,CT15*(1+Setup!EU14),if(CY16&lt;CV16,CT15*(1+Setup!EU14),if(CY16=CV16,CT15*(1+Setup!EV14),if((CY16-CV16)=1,CT15*(1+Setup!EW14),if((CY16-CV16)=2,CT15*(1+Setup!EX14),if((CY16-CV16)=3,CT15*(1+Setup!EY14),if((CY16-CV16)=4,CT15*(1+Setup!EZ14),if((CY16-CV16)&gt;4.1,CT15*(1+Setup!FA14),CT15)))))))))),DD15/'Quick Setup'!$E16)</f>
        <v>245</v>
      </c>
      <c r="DC15" s="36" t="s">
        <v>77</v>
      </c>
      <c r="DD15" s="38"/>
      <c r="DE15" s="39"/>
      <c r="DF15" s="39"/>
      <c r="DG15" s="39"/>
      <c r="DH15" s="39"/>
      <c r="DI15" s="39"/>
      <c r="DJ15" s="37">
        <f>if(DL15="",DB15,DL15/'Quick Setup'!$E16)</f>
        <v>245</v>
      </c>
      <c r="DK15" s="36" t="s">
        <v>77</v>
      </c>
      <c r="DL15" s="38"/>
      <c r="DM15" s="39"/>
      <c r="DN15" s="39"/>
      <c r="DO15" s="39"/>
      <c r="DP15" s="39"/>
      <c r="DQ15" s="39"/>
      <c r="DR15" s="37">
        <f>if(DT15="", if(DN16="",DJ15, if((DN16-DM16)&lt;-1.9,DJ15*(1+Setup!FR14),if((DN16-DM16)=-1,DJ15*(1+Setup!FS14),if(DO16&lt;DL16,DJ15*(1+Setup!FS14),if(DO16=DL16,DJ15*(1+Setup!FT14),if((DO16-DL16)=1,DJ15*(1+Setup!FU14),if((DO16-DL16)=2,DJ15*(1+Setup!FV14),if((DO16-DL16)=3,DJ15*(1+Setup!FW14),if((DO16-DL16)=4,DJ15*(1+Setup!FX14),if((DO16-DL16)&gt;4.1,DJ15*(1+Setup!FY14),DJ15)))))))))),DT15/'Quick Setup'!$E16)</f>
        <v>245</v>
      </c>
      <c r="DS15" s="36" t="s">
        <v>77</v>
      </c>
      <c r="DT15" s="38"/>
      <c r="DU15" s="39"/>
      <c r="DV15" s="39"/>
      <c r="DW15" s="39"/>
      <c r="DX15" s="39"/>
      <c r="DY15" s="39"/>
      <c r="DZ15" s="37">
        <f>if(EB15="", if(DV16="",DR15, if((DV16-DU16)&lt;-1.9,DR15*(1+Setup!GD14),if((DV16-DU16)=-1,DR15*(1+Setup!GE14),if(DW16&lt;DT16,DR15*(1+Setup!GE14),if(DW16=DT16,DR15*(1+Setup!GF14),if((DW16-DT16)=1,DR15*(1+Setup!GG14),if((DW16-DT16)=2,DR15*(1+Setup!GH14),if((DW16-DT16)=3,DR15*(1+Setup!GI14),if((DW16-DT16)=4,DR15*(1+Setup!GJ14),if((DW16-DT16)&gt;4.1,DR15*(1+Setup!GK14),DR15)))))))))),EB15/'Quick Setup'!$E16)</f>
        <v>245</v>
      </c>
      <c r="EA15" s="36" t="s">
        <v>77</v>
      </c>
      <c r="EB15" s="38"/>
      <c r="EC15" s="39"/>
      <c r="ED15" s="39"/>
      <c r="EE15" s="39"/>
      <c r="EF15" s="39"/>
      <c r="EG15" s="39"/>
      <c r="EH15" s="37">
        <f>if(EJ15="", if(ED16="",DZ15, if((ED16-EC16)&lt;-1.9,DZ15*(1+Setup!GP14),if((ED16-EC16)=-1,DZ15*(1+Setup!GQ14),if(EE16&lt;EB16,DZ15*(1+Setup!GQ14),if(EE16=EB16,DZ15*(1+Setup!GR14),if((EE16-EB16)=1,DZ15*(1+Setup!GS14),if((EE16-EB16)=2,DZ15*(1+Setup!GT14),if((EE16-EB16)=3,DZ15*(1+Setup!GU14),if((EE16-EB16)=4,DZ15*(1+Setup!GV14),if((EE16-EB16)&gt;4.1,DZ15*(1+Setup!GW14),DZ15)))))))))),EJ15/'Quick Setup'!$E16)</f>
        <v>245</v>
      </c>
      <c r="EI15" s="36" t="s">
        <v>77</v>
      </c>
      <c r="EJ15" s="38"/>
      <c r="EK15" s="39"/>
      <c r="EL15" s="39"/>
      <c r="EM15" s="39"/>
      <c r="EN15" s="39"/>
      <c r="EO15" s="39"/>
      <c r="EP15" s="37">
        <f>if(ER15="", if(EL16="",EH15, if((EL16-EK16)&lt;-1.9,EH15*(1+Setup!HB14),if((EL16-EK16)=-1,EH15*(1+Setup!HC14),if(EM16&lt;EJ16,EH15*(1+Setup!HC14),if(EM16=EJ16,EH15*(1+Setup!HD14),if((EM16-EJ16)=1,EH15*(1+Setup!HE14),if((EM16-EJ16)=2,EH15*(1+Setup!HF14),if((EM16-EJ16)=3,EH15*(1+Setup!HG14),if((EM16-EJ16)=4,EH15*(1+Setup!HH14),if((EM16-EJ16)&gt;4.1,EH15*(1+Setup!HI14),EH15)))))))))),ER15/'Quick Setup'!$E16)</f>
        <v>245</v>
      </c>
      <c r="EQ15" s="36" t="s">
        <v>77</v>
      </c>
      <c r="ER15" s="38"/>
      <c r="ES15" s="39"/>
      <c r="ET15" s="39"/>
      <c r="EU15" s="39"/>
      <c r="EV15" s="39"/>
      <c r="EW15" s="39"/>
      <c r="EX15" s="37">
        <f>if(EZ15="", if(ET16="",EP15, if((ET16-ES16)&lt;-1.9,EP15*(1+Setup!HN14),if((ET16-ES16)=-1,EP15*(1+Setup!HO14),if(EU16&lt;ER16,EP15*(1+Setup!HO14),if(EU16=ER16,EP15*(1+Setup!HP14),if((EU16-ER16)=1,EP15*(1+Setup!HQ14),if((EU16-ER16)=2,EP15*(1+Setup!HR14),if((EU16-ER16)=3,EP15*(1+Setup!HS14),if((EU16-ER16)=4,EP15*(1+Setup!HT14),if((EU16-ER16)&gt;4.1,EP15*(1+Setup!HU14),EP15)))))))))),EZ15/'Quick Setup'!$E16)</f>
        <v>245</v>
      </c>
      <c r="EY15" s="36" t="s">
        <v>77</v>
      </c>
      <c r="EZ15" s="38"/>
      <c r="FA15" s="39"/>
      <c r="FB15" s="39"/>
      <c r="FC15" s="39"/>
      <c r="FD15" s="39"/>
      <c r="FE15" s="39"/>
      <c r="FF15" s="37">
        <f>if(FH15="", if(FB16="",EX15, if((FB16-FA16)&lt;-1.9,EX15*(1+Setup!HZ14),if((FB16-FA16)=-1,EX15*(1+Setup!IA14),if(FC16&lt;EZ16,EX15*(1+Setup!IA14),if(FC16=EZ16,EX15*(1+Setup!IB14),if((FC16-EZ16)=1,EX15*(1+Setup!IC14),if((FC16-EZ16)=2,EX15*(1+Setup!ID14),if((FC16-EZ16)=3,EX15*(1+Setup!IE14),if((FC16-EZ16)=4,EX15*(1+Setup!IF14),if((FC16-EZ16)&gt;4.1,EX15*(1+Setup!IG14),EX15)))))))))),FH15/'Quick Setup'!$E16)</f>
        <v>245</v>
      </c>
      <c r="FG15" s="36" t="s">
        <v>77</v>
      </c>
      <c r="FH15" s="38"/>
      <c r="FI15" s="39"/>
      <c r="FJ15" s="39"/>
      <c r="FK15" s="39"/>
      <c r="FL15" s="39"/>
      <c r="FM15" s="39"/>
    </row>
    <row r="16">
      <c r="A16" s="1" t="str">
        <f>Setup!A14</f>
        <v>Push Press</v>
      </c>
      <c r="B16" s="40">
        <f>mround(B15*Setup!B14,'Quick Setup'!$A$2)</f>
        <v>147.5</v>
      </c>
      <c r="C16" s="2">
        <f>Setup!C14</f>
        <v>7</v>
      </c>
      <c r="D16" s="2">
        <f>Setup!D14</f>
        <v>3</v>
      </c>
      <c r="E16" s="2">
        <f>Setup!E14</f>
        <v>5</v>
      </c>
      <c r="F16" s="8"/>
      <c r="G16" s="8"/>
      <c r="H16" s="8"/>
      <c r="I16" s="8"/>
      <c r="J16" s="40">
        <f>mround(J15*Setup!N14,'Quick Setup'!$A$2)</f>
        <v>160</v>
      </c>
      <c r="K16" s="2">
        <f>Setup!O14</f>
        <v>6</v>
      </c>
      <c r="L16" s="2">
        <f>Setup!P14</f>
        <v>3</v>
      </c>
      <c r="M16" s="2">
        <f>Setup!Q14</f>
        <v>5</v>
      </c>
      <c r="N16" s="8"/>
      <c r="O16" s="8"/>
      <c r="P16" s="8"/>
      <c r="Q16" s="8"/>
      <c r="R16" s="40">
        <f>mround(R15*Setup!Z14,'Quick Setup'!$A$2)</f>
        <v>172.5</v>
      </c>
      <c r="S16" s="2">
        <f>Setup!AA14</f>
        <v>5</v>
      </c>
      <c r="T16" s="2">
        <f>Setup!AB14</f>
        <v>3</v>
      </c>
      <c r="U16" s="2">
        <f>Setup!AC14</f>
        <v>5</v>
      </c>
      <c r="V16" s="8"/>
      <c r="W16" s="8"/>
      <c r="X16" s="8"/>
      <c r="Y16" s="8"/>
      <c r="Z16" s="40">
        <f>mround(Z15*Setup!AL14,'Quick Setup'!$A$2)</f>
        <v>152.5</v>
      </c>
      <c r="AA16" s="2">
        <f>Setup!AM14</f>
        <v>7</v>
      </c>
      <c r="AB16" s="2">
        <f>Setup!AN14</f>
        <v>3</v>
      </c>
      <c r="AC16" s="2">
        <f>Setup!AO14</f>
        <v>5</v>
      </c>
      <c r="AD16" s="8"/>
      <c r="AE16" s="8"/>
      <c r="AF16" s="8"/>
      <c r="AG16" s="8"/>
      <c r="AH16" s="40">
        <f>mround(AH15*Setup!AX14,'Quick Setup'!$A$2)</f>
        <v>165</v>
      </c>
      <c r="AI16" s="2">
        <f>Setup!AY14</f>
        <v>6</v>
      </c>
      <c r="AJ16" s="2">
        <f>Setup!AZ14</f>
        <v>3</v>
      </c>
      <c r="AK16" s="2">
        <f>Setup!BA14</f>
        <v>5</v>
      </c>
      <c r="AL16" s="8"/>
      <c r="AM16" s="8"/>
      <c r="AN16" s="8"/>
      <c r="AO16" s="8"/>
      <c r="AP16" s="40">
        <f>mround(AP15*Setup!BJ14,'Quick Setup'!$A$2)</f>
        <v>177.5</v>
      </c>
      <c r="AQ16" s="2">
        <f>Setup!BK14</f>
        <v>5</v>
      </c>
      <c r="AR16" s="2">
        <f>Setup!BL14</f>
        <v>3</v>
      </c>
      <c r="AS16" s="2">
        <f>Setup!BM14</f>
        <v>5</v>
      </c>
      <c r="AT16" s="8"/>
      <c r="AU16" s="8"/>
      <c r="AV16" s="8"/>
      <c r="AW16" s="8"/>
      <c r="AX16" s="40">
        <f>mround(AX15*Setup!BV14,'Quick Setup'!$A$2)</f>
        <v>122.5</v>
      </c>
      <c r="AY16" s="1">
        <v>5.0</v>
      </c>
      <c r="AZ16" s="1" t="s">
        <v>80</v>
      </c>
      <c r="BA16" s="2">
        <f>Setup!BY14</f>
        <v>5</v>
      </c>
      <c r="BB16" s="8"/>
      <c r="BC16" s="8"/>
      <c r="BD16" s="8"/>
      <c r="BE16" s="8"/>
      <c r="BF16" s="40">
        <f>mround(BF15*Setup!CH14,'Quick Setup'!$A$2)</f>
        <v>160</v>
      </c>
      <c r="BG16" s="2">
        <f>Setup!CI14</f>
        <v>6</v>
      </c>
      <c r="BH16" s="2">
        <f>Setup!CJ14</f>
        <v>3</v>
      </c>
      <c r="BI16" s="2">
        <f>Setup!CK14</f>
        <v>5</v>
      </c>
      <c r="BJ16" s="8"/>
      <c r="BK16" s="8"/>
      <c r="BL16" s="8"/>
      <c r="BM16" s="8"/>
      <c r="BN16" s="40">
        <f>mround(BN15*Setup!CT14,'Quick Setup'!$A$2)</f>
        <v>172.5</v>
      </c>
      <c r="BO16" s="2">
        <f>Setup!CU14</f>
        <v>5</v>
      </c>
      <c r="BP16" s="2">
        <f>Setup!CV14</f>
        <v>3</v>
      </c>
      <c r="BQ16" s="2">
        <f>Setup!CW14</f>
        <v>5</v>
      </c>
      <c r="BR16" s="8"/>
      <c r="BS16" s="8"/>
      <c r="BT16" s="8"/>
      <c r="BU16" s="8"/>
      <c r="BV16" s="40">
        <f>mround(BV15*Setup!DF14,'Quick Setup'!$A$2)</f>
        <v>185</v>
      </c>
      <c r="BW16" s="2">
        <f>Setup!DG14</f>
        <v>4</v>
      </c>
      <c r="BX16" s="2">
        <f>Setup!DH14</f>
        <v>2</v>
      </c>
      <c r="BY16" s="2">
        <f>Setup!DI14</f>
        <v>5</v>
      </c>
      <c r="BZ16" s="8"/>
      <c r="CA16" s="8"/>
      <c r="CB16" s="8"/>
      <c r="CC16" s="8"/>
      <c r="CD16" s="40">
        <f>mround(CD15*Setup!DR14,'Quick Setup'!$A$2)</f>
        <v>165</v>
      </c>
      <c r="CE16" s="2">
        <f>Setup!DS14</f>
        <v>6</v>
      </c>
      <c r="CF16" s="2">
        <f>Setup!DT14</f>
        <v>3</v>
      </c>
      <c r="CG16" s="2">
        <f>Setup!DU14</f>
        <v>5</v>
      </c>
      <c r="CH16" s="8"/>
      <c r="CI16" s="8"/>
      <c r="CJ16" s="8"/>
      <c r="CK16" s="8"/>
      <c r="CL16" s="40">
        <f>mround(CL15*Setup!ED14,'Quick Setup'!$A$2)</f>
        <v>177.5</v>
      </c>
      <c r="CM16" s="2">
        <f>Setup!EE14</f>
        <v>5</v>
      </c>
      <c r="CN16" s="2">
        <f>Setup!EF14</f>
        <v>3</v>
      </c>
      <c r="CO16" s="2">
        <f>Setup!EG14</f>
        <v>5</v>
      </c>
      <c r="CP16" s="8"/>
      <c r="CQ16" s="8"/>
      <c r="CR16" s="8"/>
      <c r="CS16" s="8"/>
      <c r="CT16" s="40">
        <f>mround(CT15*Setup!EP14,'Quick Setup'!$A$2)</f>
        <v>190</v>
      </c>
      <c r="CU16" s="2">
        <f>Setup!EQ14</f>
        <v>4</v>
      </c>
      <c r="CV16" s="2">
        <f>Setup!ER14</f>
        <v>2</v>
      </c>
      <c r="CW16" s="2">
        <f>Setup!ES14</f>
        <v>5</v>
      </c>
      <c r="CX16" s="8"/>
      <c r="CY16" s="8"/>
      <c r="CZ16" s="8"/>
      <c r="DA16" s="8"/>
      <c r="DB16" s="40">
        <f>mround(DB15*Setup!FB14,'Quick Setup'!$A$2)</f>
        <v>122.5</v>
      </c>
      <c r="DC16" s="1">
        <v>5.0</v>
      </c>
      <c r="DD16" s="1" t="s">
        <v>80</v>
      </c>
      <c r="DE16" s="2">
        <f>Setup!FE14</f>
        <v>5</v>
      </c>
      <c r="DF16" s="8"/>
      <c r="DG16" s="8"/>
      <c r="DH16" s="8"/>
      <c r="DI16" s="8"/>
      <c r="DJ16" s="40">
        <f>mround(DJ15*Setup!FN14,'Quick Setup'!$A$2)</f>
        <v>172.5</v>
      </c>
      <c r="DK16" s="2">
        <f>Setup!FO14</f>
        <v>5</v>
      </c>
      <c r="DL16" s="2">
        <f>Setup!FP14</f>
        <v>3</v>
      </c>
      <c r="DM16" s="2">
        <f>Setup!FQ14</f>
        <v>5</v>
      </c>
      <c r="DN16" s="8"/>
      <c r="DO16" s="8"/>
      <c r="DP16" s="8"/>
      <c r="DQ16" s="8"/>
      <c r="DR16" s="40">
        <f>mround(DR15*Setup!FZ14,'Quick Setup'!$A$2)</f>
        <v>185</v>
      </c>
      <c r="DS16" s="2">
        <f>Setup!GA14</f>
        <v>4</v>
      </c>
      <c r="DT16" s="2">
        <f>Setup!GB14</f>
        <v>2</v>
      </c>
      <c r="DU16" s="2">
        <f>Setup!GC14</f>
        <v>5</v>
      </c>
      <c r="DV16" s="8"/>
      <c r="DW16" s="8"/>
      <c r="DX16" s="8"/>
      <c r="DY16" s="8"/>
      <c r="DZ16" s="40">
        <f>mround(DZ15*Setup!GL14,'Quick Setup'!$A$2)</f>
        <v>195</v>
      </c>
      <c r="EA16" s="2">
        <f>Setup!GM14</f>
        <v>3</v>
      </c>
      <c r="EB16" s="2">
        <f>Setup!GN14</f>
        <v>2</v>
      </c>
      <c r="EC16" s="2">
        <f>Setup!GO14</f>
        <v>5</v>
      </c>
      <c r="ED16" s="2"/>
      <c r="EE16" s="2"/>
      <c r="EF16" s="2"/>
      <c r="EG16" s="2"/>
      <c r="EH16" s="40">
        <f>mround(EH15*Setup!GX14,'Quick Setup'!$A$2)</f>
        <v>185</v>
      </c>
      <c r="EI16" s="2">
        <f>Setup!GY14</f>
        <v>4</v>
      </c>
      <c r="EJ16" s="2">
        <f>Setup!GZ14</f>
        <v>2</v>
      </c>
      <c r="EK16" s="2">
        <f>Setup!HA14</f>
        <v>5</v>
      </c>
      <c r="EL16" s="8"/>
      <c r="EM16" s="8"/>
      <c r="EN16" s="8"/>
      <c r="EO16" s="8"/>
      <c r="EP16" s="40">
        <f>mround(EP15*Setup!HJ14,'Quick Setup'!$A$2)</f>
        <v>195</v>
      </c>
      <c r="EQ16" s="2">
        <f>Setup!HK14</f>
        <v>3</v>
      </c>
      <c r="ER16" s="2">
        <f>Setup!HL14</f>
        <v>2</v>
      </c>
      <c r="ES16" s="2">
        <f>Setup!HM14</f>
        <v>5</v>
      </c>
      <c r="ET16" s="8"/>
      <c r="EU16" s="8"/>
      <c r="EV16" s="8"/>
      <c r="EW16" s="8"/>
      <c r="EX16" s="40">
        <f>mround(EX15*Setup!HV14,'Quick Setup'!$A$2)</f>
        <v>207.5</v>
      </c>
      <c r="EY16" s="2">
        <f>Setup!HW14</f>
        <v>2</v>
      </c>
      <c r="EZ16" s="2">
        <f>Setup!HX14</f>
        <v>1</v>
      </c>
      <c r="FA16" s="2">
        <f>Setup!HY14</f>
        <v>5</v>
      </c>
      <c r="FB16" s="8"/>
      <c r="FC16" s="8"/>
      <c r="FD16" s="8"/>
      <c r="FE16" s="8"/>
      <c r="FF16" s="40">
        <f>mround(FF15*Setup!IH14,'Quick Setup'!$A$2)</f>
        <v>122.5</v>
      </c>
      <c r="FG16" s="1">
        <v>5.0</v>
      </c>
      <c r="FH16" s="1" t="s">
        <v>80</v>
      </c>
      <c r="FI16" s="2">
        <f>Setup!IK14</f>
        <v>5</v>
      </c>
      <c r="FJ16" s="8"/>
      <c r="FK16" s="8"/>
      <c r="FL16" s="8"/>
      <c r="FM16" s="8"/>
    </row>
    <row r="17" hidden="1">
      <c r="A17" s="36" t="str">
        <f>CONCATENATE(A18," TM")</f>
        <v>Sumo Deadlift TM</v>
      </c>
      <c r="B17" s="37">
        <f>if(D17="",'Quick Setup'!D15,D17/'Quick Setup'!E15)</f>
        <v>500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13),if((F18-E18)=-1,B17*(1+Setup!G13),if(G18&lt;D18,B17*(1+Setup!G13),if(G18=D18,B17*(1+Setup!H13),if((G18-D18)=1,B17*(1+Setup!I13),if((G18-D18)=2,B17*(1+Setup!J13),if((G18-D18)=3,B17*(1+Setup!K13),if((G18-D18)=4,B17*(1+Setup!L13),if((G18-D18)&gt;4.1,B17*(1+Setup!M13),B17)))))))))),L17/'Quick Setup'!$E15)</f>
        <v>500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13),if((N18-M18)=-1,J17*(1+Setup!S13),if(O18&lt;L18,J17*(1+Setup!S13),if(O18=L18,J17*(1+Setup!T13),if((O18-L18)=1,J17*(1+Setup!U13),if((O18-L18)=2,J17*(1+Setup!V13),if((O18-L18)=3,J17*(1+Setup!W13),if((O18-L18)=4,J17*(1+Setup!X13),if((O18-L18)&gt;4.1,J17*(1+Setup!Y13),J17)))))))))),T17/'Quick Setup'!$E15)</f>
        <v>500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13),if((V18-U18)=-1,R17*(1+Setup!AE13),if(W18&lt;T18,R17*(1+Setup!AE13),if(W18=T18,R17*(1+Setup!AF13),if((W18-T18)=1,R17*(1+Setup!AG13),if((W18-T18)=2,R17*(1+Setup!AH13),if((W18-T18)=3,R17*(1+Setup!AI13),if((W18-T18)=4,R17*(1+Setup!AJ13),if((W18-T18)&gt;4.1,R17*(1+Setup!AK13),R17)))))))))),AB17/'Quick Setup'!$E15)</f>
        <v>500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13),if((AD18-AC18)=-1,Z17*(1+Setup!AQ13),if(AE18&lt;AB18,Z17*(1+Setup!AQ13),if(AE18=AB18,Z17*(1+Setup!AR13),if((AE18-AB18)=1,Z17*(1+Setup!AS13),if((AE18-AB18)=2,Z17*(1+Setup!AT13),if((AE18-AB18)=3,Z17*(1+Setup!AU13),if((AE18-AB18)=4,Z17*(1+Setup!AV13),if((AE18-AB18)&gt;4.1,Z17*(1+Setup!AW13),Z17)))))))))),AJ17/'Quick Setup'!$E15)</f>
        <v>500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13),if((AL18-AK18)=-1,AH17*(1+Setup!BC13),if(AM18&lt;AJ18,AH17*(1+Setup!BC13),if(AM18=AJ18,AH17*(1+Setup!BD13),if((AM18-AJ18)=1,AH17*(1+Setup!BE13),if((AM18-AJ18)=2,AH17*(1+Setup!BF13),if((AM18-AJ18)=3,AH17*(1+Setup!BG13),if((AM18-AJ18)=4,AH17*(1+Setup!BH13),if((AM18-AJ18)&gt;4.1,AH17*(1+Setup!BI13),AH17)))))))))),AR17/'Quick Setup'!$E15)</f>
        <v>500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13),if((AT18-AS18)=-1,AP17*(1+Setup!BO13),if(AU18&lt;AR18,AP17*(1+Setup!BO13),if(AU18=AR18,AP17*(1+Setup!BP13),if((AU18-AR18)=1,AP17*(1+Setup!BQ13),if((AU18-AR18)=2,AP17*(1+Setup!BR13),if((AU18-AR18)=3,AP17*(1+Setup!BS13),if((AU18-AR18)=4,AP17*(1+Setup!BT13),if((AU18-AR18)&gt;4.1,AP17*(1+Setup!BU13),AP17)))))))))),AZ17/'Quick Setup'!$E15)</f>
        <v>500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Setup'!$E15)</f>
        <v>500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13),if((BJ18-BI18)=-1,BF17*(1+Setup!CM13),if(BK18&lt;BH18,BF17*(1+Setup!CM13),if(BK18=BH18,BF17*(1+Setup!CN13),if((BK18-BH18)=1,BF17*(1+Setup!CO13),if((BK18-BH18)=2,BF17*(1+Setup!CP13),if((BK18-BH18)=3,BF17*(1+Setup!CQ13),if((BK18-BH18)=4,BF17*(1+Setup!CR13),if((BK18-BH18)&gt;4.1,BF17*(1+Setup!CS13),BF17)))))))))),BP17/'Quick Setup'!$E15)</f>
        <v>500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13),if((BR18-BQ18)=-1,BN17*(1+Setup!CY13),if(BS18&lt;BP18,BN17*(1+Setup!CY13),if(BS18=BP18,BN17*(1+Setup!CZ13),if((BS18-BP18)=1,BN17*(1+Setup!DA13),if((BS18-BP18)=2,BN17*(1+Setup!DB13),if((BS18-BP18)=3,BN17*(1+Setup!DC13),if((BS18-BP18)=4,BN17*(1+Setup!DD13),if((BS18-BP18)&gt;4.1,BN17*(1+Setup!DE13),BN17)))))))))),BX17/'Quick Setup'!$E15)</f>
        <v>500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13),if((BZ18-BY18)=-1,BV17*(1+Setup!DK13),if(CA18&lt;BX18,BV17*(1+Setup!DK13),if(CA18=BX18,BV17*(1+Setup!DL13),if((CA18-BX18)=1,BV17*(1+Setup!DM13),if((CA18-BX18)=2,BV17*(1+Setup!DN13),if((CA18-BX18)=3,BV17*(1+Setup!DO13),if((CA18-BX18)=4,BV17*(1+Setup!DP13),if((CA18-BX18)&gt;4.1,BV17*(1+Setup!DQ13),BV17)))))))))),CF17/'Quick Setup'!$E15)</f>
        <v>500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13),if((CH18-CG18)=-1,CD17*(1+Setup!DW13),if(CI18&lt;CF18,CD17*(1+Setup!DW13),if(CI18=CF18,CD17*(1+Setup!DX13),if((CI18-CF18)=1,CD17*(1+Setup!DY13),if((CI18-CF18)=2,CD17*(1+Setup!DZ13),if((CI18-CF18)=3,CD17*(1+Setup!EA13),if((CI18-CF18)=4,CD17*(1+Setup!EB13),if((CI18-CF18)&gt;4.1,CD17*(1+Setup!EC13),CD17)))))))))),CN17/'Quick Setup'!$E15)</f>
        <v>500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13),if((CP18-CO18)=-1,CL17*(1+Setup!EI13),if(CQ18&lt;CN18,CL17*(1+Setup!EI13),if(CQ18=CN18,CL17*(1+Setup!EJ13),if((CQ18-CN18)=1,CL17*(1+Setup!EK13),if((CQ18-CN18)=2,CL17*(1+Setup!EL13),if((CQ18-CN18)=3,CL17*(1+Setup!EM13),if((CQ18-CN18)=4,CL17*(1+Setup!EN13),if((CQ18-CN18)&gt;4.1,CL17*(1+Setup!EO13),CL17)))))))))),CV17/'Quick Setup'!$E15)</f>
        <v>500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13),if((CX18-CW18)=-1,CT17*(1+Setup!EU13),if(CY18&lt;CV18,CT17*(1+Setup!EU13),if(CY18=CV18,CT17*(1+Setup!EV13),if((CY18-CV18)=1,CT17*(1+Setup!EW13),if((CY18-CV18)=2,CT17*(1+Setup!EX13),if((CY18-CV18)=3,CT17*(1+Setup!EY13),if((CY18-CV18)=4,CT17*(1+Setup!EZ13),if((CY18-CV18)&gt;4.1,CT17*(1+Setup!FA13),CT17)))))))))),DD17/'Quick Setup'!$E15)</f>
        <v>500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Setup'!$E15)</f>
        <v>500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13),if((DN18-DM18)=-1,DJ17*(1+Setup!FS13),if(DO18&lt;DL18,DJ17*(1+Setup!FS13),if(DO18=DL18,DJ17*(1+Setup!FT13),if((DO18-DL18)=1,DJ17*(1+Setup!FU13),if((DO18-DL18)=2,DJ17*(1+Setup!FV13),if((DO18-DL18)=3,DJ17*(1+Setup!FW13),if((DO18-DL18)=4,DJ17*(1+Setup!FX13),if((DO18-DL18)&gt;4.1,DJ17*(1+Setup!FY13),DJ17)))))))))),DT17/'Quick Setup'!$E15)</f>
        <v>500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13),if((DV18-DU18)=-1,DR17*(1+Setup!GE13),if(DW18&lt;DT18,DR17*(1+Setup!GE13),if(DW18=DT18,DR17*(1+Setup!GF13),if((DW18-DT18)=1,DR17*(1+Setup!GG13),if((DW18-DT18)=2,DR17*(1+Setup!GH13),if((DW18-DT18)=3,DR17*(1+Setup!GI13),if((DW18-DT18)=4,DR17*(1+Setup!GJ13),if((DW18-DT18)&gt;4.1,DR17*(1+Setup!GK13),DR17)))))))))),EB17/'Quick Setup'!$E15)</f>
        <v>500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13),if((ED18-EC18)=-1,DZ17*(1+Setup!GQ13),if(EE18&lt;EB18,DZ17*(1+Setup!GQ13),if(EE18=EB18,DZ17*(1+Setup!GR13),if((EE18-EB18)=1,DZ17*(1+Setup!GS13),if((EE18-EB18)=2,DZ17*(1+Setup!GT13),if((EE18-EB18)=3,DZ17*(1+Setup!GU13),if((EE18-EB18)=4,DZ17*(1+Setup!GV13),if((EE18-EB18)&gt;4.1,DZ17*(1+Setup!GW13),DZ17)))))))))),EJ17/'Quick Setup'!$E15)</f>
        <v>500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13),if((EL18-EK18)=-1,EH17*(1+Setup!HC13),if(EM18&lt;EJ18,EH17*(1+Setup!HC13),if(EM18=EJ18,EH17*(1+Setup!HD13),if((EM18-EJ18)=1,EH17*(1+Setup!HE13),if((EM18-EJ18)=2,EH17*(1+Setup!HF13),if((EM18-EJ18)=3,EH17*(1+Setup!HG13),if((EM18-EJ18)=4,EH17*(1+Setup!HH13),if((EM18-EJ18)&gt;4.1,EH17*(1+Setup!HI13),EH17)))))))))),ER17/'Quick Setup'!$E15)</f>
        <v>500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13),if((ET18-ES18)=-1,EP17*(1+Setup!HO13),if(EU18&lt;ER18,EP17*(1+Setup!HO13),if(EU18=ER18,EP17*(1+Setup!HP13),if((EU18-ER18)=1,EP17*(1+Setup!HQ13),if((EU18-ER18)=2,EP17*(1+Setup!HR13),if((EU18-ER18)=3,EP17*(1+Setup!HS13),if((EU18-ER18)=4,EP17*(1+Setup!HT13),if((EU18-ER18)&gt;4.1,EP17*(1+Setup!HU13),EP17)))))))))),EZ17/'Quick Setup'!$E15)</f>
        <v>500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13),if((FB18-FA18)=-1,EX17*(1+Setup!IA13),if(FC18&lt;EZ18,EX17*(1+Setup!IA13),if(FC18=EZ18,EX17*(1+Setup!IB13),if((FC18-EZ18)=1,EX17*(1+Setup!IC13),if((FC18-EZ18)=2,EX17*(1+Setup!ID13),if((FC18-EZ18)=3,EX17*(1+Setup!IE13),if((FC18-EZ18)=4,EX17*(1+Setup!IF13),if((FC18-EZ18)&gt;4.1,EX17*(1+Setup!IG13),EX17)))))))))),FH17/'Quick Setup'!$E15)</f>
        <v>500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Setup!A13</f>
        <v>Sumo Deadlift</v>
      </c>
      <c r="B18" s="40">
        <f>mround(B17*Setup!B13,'Quick Setup'!$A$2)</f>
        <v>300</v>
      </c>
      <c r="C18" s="2">
        <f>Setup!C13</f>
        <v>7</v>
      </c>
      <c r="D18" s="2">
        <f>Setup!D13</f>
        <v>3</v>
      </c>
      <c r="E18" s="2">
        <f>Setup!E13</f>
        <v>5</v>
      </c>
      <c r="F18" s="8"/>
      <c r="G18" s="8"/>
      <c r="H18" s="8"/>
      <c r="I18" s="8"/>
      <c r="J18" s="40">
        <f>mround(J17*Setup!N13,'Quick Setup'!$A$2)</f>
        <v>325</v>
      </c>
      <c r="K18" s="2">
        <f>Setup!O13</f>
        <v>6</v>
      </c>
      <c r="L18" s="2">
        <f>Setup!P13</f>
        <v>3</v>
      </c>
      <c r="M18" s="2">
        <f>Setup!Q13</f>
        <v>5</v>
      </c>
      <c r="N18" s="8"/>
      <c r="O18" s="8"/>
      <c r="P18" s="8"/>
      <c r="Q18" s="8"/>
      <c r="R18" s="40">
        <f>mround(R17*Setup!Z13,'Quick Setup'!$A$2)</f>
        <v>350</v>
      </c>
      <c r="S18" s="2">
        <f>Setup!AA13</f>
        <v>5</v>
      </c>
      <c r="T18" s="2">
        <f>Setup!AB13</f>
        <v>3</v>
      </c>
      <c r="U18" s="2">
        <f>Setup!AC13</f>
        <v>5</v>
      </c>
      <c r="V18" s="8"/>
      <c r="W18" s="8"/>
      <c r="X18" s="8"/>
      <c r="Y18" s="8"/>
      <c r="Z18" s="40">
        <f>mround(Z17*Setup!AL13,'Quick Setup'!$A$2)</f>
        <v>312.5</v>
      </c>
      <c r="AA18" s="2">
        <f>Setup!AM13</f>
        <v>7</v>
      </c>
      <c r="AB18" s="2">
        <f>Setup!AN13</f>
        <v>3</v>
      </c>
      <c r="AC18" s="2">
        <f>Setup!AO13</f>
        <v>5</v>
      </c>
      <c r="AD18" s="8"/>
      <c r="AE18" s="8"/>
      <c r="AF18" s="8"/>
      <c r="AG18" s="8"/>
      <c r="AH18" s="40">
        <f>mround(AH17*Setup!AX13,'Quick Setup'!$A$2)</f>
        <v>337.5</v>
      </c>
      <c r="AI18" s="2">
        <f>Setup!AY13</f>
        <v>6</v>
      </c>
      <c r="AJ18" s="2">
        <f>Setup!AZ13</f>
        <v>3</v>
      </c>
      <c r="AK18" s="2">
        <f>Setup!BA13</f>
        <v>5</v>
      </c>
      <c r="AL18" s="8"/>
      <c r="AM18" s="8"/>
      <c r="AN18" s="8"/>
      <c r="AO18" s="8"/>
      <c r="AP18" s="40">
        <f>mround(AP17*Setup!BJ13,'Quick Setup'!$A$2)</f>
        <v>362.5</v>
      </c>
      <c r="AQ18" s="2">
        <f>Setup!BK13</f>
        <v>5</v>
      </c>
      <c r="AR18" s="2">
        <f>Setup!BL13</f>
        <v>3</v>
      </c>
      <c r="AS18" s="2">
        <f>Setup!BM13</f>
        <v>5</v>
      </c>
      <c r="AT18" s="8"/>
      <c r="AU18" s="8"/>
      <c r="AV18" s="8"/>
      <c r="AW18" s="8"/>
      <c r="AX18" s="40">
        <f>mround(AX17*Setup!BV13,'Quick Setup'!$A$2)</f>
        <v>250</v>
      </c>
      <c r="AY18" s="1">
        <v>5.0</v>
      </c>
      <c r="AZ18" s="1" t="s">
        <v>80</v>
      </c>
      <c r="BA18" s="2">
        <f>Setup!BY13</f>
        <v>5</v>
      </c>
      <c r="BB18" s="8"/>
      <c r="BC18" s="8"/>
      <c r="BD18" s="8"/>
      <c r="BE18" s="8"/>
      <c r="BF18" s="40">
        <f>mround(BF17*Setup!CH13,'Quick Setup'!$A$2)</f>
        <v>325</v>
      </c>
      <c r="BG18" s="2">
        <f>Setup!CI13</f>
        <v>6</v>
      </c>
      <c r="BH18" s="2">
        <f>Setup!CJ13</f>
        <v>3</v>
      </c>
      <c r="BI18" s="2">
        <f>Setup!CK13</f>
        <v>5</v>
      </c>
      <c r="BJ18" s="8"/>
      <c r="BK18" s="8"/>
      <c r="BL18" s="8"/>
      <c r="BM18" s="8"/>
      <c r="BN18" s="40">
        <f>mround(BN17*Setup!CT13,'Quick Setup'!$A$2)</f>
        <v>350</v>
      </c>
      <c r="BO18" s="2">
        <f>Setup!CU13</f>
        <v>5</v>
      </c>
      <c r="BP18" s="2">
        <f>Setup!CV13</f>
        <v>3</v>
      </c>
      <c r="BQ18" s="2">
        <f>Setup!CW13</f>
        <v>5</v>
      </c>
      <c r="BR18" s="8"/>
      <c r="BS18" s="8"/>
      <c r="BT18" s="8"/>
      <c r="BU18" s="8"/>
      <c r="BV18" s="40">
        <f>mround(BV17*Setup!DF13,'Quick Setup'!$A$2)</f>
        <v>375</v>
      </c>
      <c r="BW18" s="2">
        <f>Setup!DG13</f>
        <v>4</v>
      </c>
      <c r="BX18" s="2">
        <f>Setup!DH13</f>
        <v>2</v>
      </c>
      <c r="BY18" s="2">
        <f>Setup!DI13</f>
        <v>5</v>
      </c>
      <c r="BZ18" s="8"/>
      <c r="CA18" s="8"/>
      <c r="CB18" s="8"/>
      <c r="CC18" s="8"/>
      <c r="CD18" s="40">
        <f>mround(CD17*Setup!DR13,'Quick Setup'!$A$2)</f>
        <v>337.5</v>
      </c>
      <c r="CE18" s="2">
        <f>Setup!DS13</f>
        <v>6</v>
      </c>
      <c r="CF18" s="2">
        <f>Setup!DT13</f>
        <v>3</v>
      </c>
      <c r="CG18" s="2">
        <f>Setup!DU13</f>
        <v>5</v>
      </c>
      <c r="CH18" s="8"/>
      <c r="CI18" s="8"/>
      <c r="CJ18" s="8"/>
      <c r="CK18" s="8"/>
      <c r="CL18" s="40">
        <f>mround(CL17*Setup!ED13,'Quick Setup'!$A$2)</f>
        <v>362.5</v>
      </c>
      <c r="CM18" s="2">
        <f>Setup!EE13</f>
        <v>5</v>
      </c>
      <c r="CN18" s="2">
        <f>Setup!EF13</f>
        <v>3</v>
      </c>
      <c r="CO18" s="2">
        <f>Setup!EG13</f>
        <v>5</v>
      </c>
      <c r="CP18" s="8"/>
      <c r="CQ18" s="8"/>
      <c r="CR18" s="8"/>
      <c r="CS18" s="8"/>
      <c r="CT18" s="40">
        <f>mround(CT17*Setup!EP13,'Quick Setup'!$A$2)</f>
        <v>387.5</v>
      </c>
      <c r="CU18" s="2">
        <f>Setup!EQ13</f>
        <v>4</v>
      </c>
      <c r="CV18" s="2">
        <f>Setup!ER13</f>
        <v>2</v>
      </c>
      <c r="CW18" s="2">
        <f>Setup!ES13</f>
        <v>5</v>
      </c>
      <c r="CX18" s="8"/>
      <c r="CY18" s="8"/>
      <c r="CZ18" s="8"/>
      <c r="DA18" s="8"/>
      <c r="DB18" s="40">
        <f>mround(DB17*Setup!FB13,'Quick Setup'!$A$2)</f>
        <v>250</v>
      </c>
      <c r="DC18" s="1">
        <v>5.0</v>
      </c>
      <c r="DD18" s="1" t="s">
        <v>80</v>
      </c>
      <c r="DE18" s="2">
        <f>Setup!FE13</f>
        <v>5</v>
      </c>
      <c r="DF18" s="8"/>
      <c r="DG18" s="8"/>
      <c r="DH18" s="8"/>
      <c r="DI18" s="8"/>
      <c r="DJ18" s="40">
        <f>mround(DJ17*Setup!FN13,'Quick Setup'!$A$2)</f>
        <v>350</v>
      </c>
      <c r="DK18" s="2">
        <f>Setup!FO13</f>
        <v>5</v>
      </c>
      <c r="DL18" s="2">
        <f>Setup!FP13</f>
        <v>3</v>
      </c>
      <c r="DM18" s="2">
        <f>Setup!FQ13</f>
        <v>5</v>
      </c>
      <c r="DN18" s="8"/>
      <c r="DO18" s="8"/>
      <c r="DP18" s="8"/>
      <c r="DQ18" s="8"/>
      <c r="DR18" s="40">
        <f>mround(DR17*Setup!FZ13,'Quick Setup'!$A$2)</f>
        <v>375</v>
      </c>
      <c r="DS18" s="2">
        <f>Setup!GA13</f>
        <v>4</v>
      </c>
      <c r="DT18" s="2">
        <f>Setup!GB13</f>
        <v>2</v>
      </c>
      <c r="DU18" s="2">
        <f>Setup!GC13</f>
        <v>5</v>
      </c>
      <c r="DV18" s="8"/>
      <c r="DW18" s="8"/>
      <c r="DX18" s="8"/>
      <c r="DY18" s="8"/>
      <c r="DZ18" s="40">
        <f>mround(DZ17*Setup!GL13,'Quick Setup'!$A$2)</f>
        <v>400</v>
      </c>
      <c r="EA18" s="2">
        <f>Setup!GM13</f>
        <v>3</v>
      </c>
      <c r="EB18" s="2">
        <f>Setup!GN13</f>
        <v>2</v>
      </c>
      <c r="EC18" s="2">
        <f>Setup!GO13</f>
        <v>5</v>
      </c>
      <c r="ED18" s="8"/>
      <c r="EE18" s="8"/>
      <c r="EF18" s="8"/>
      <c r="EG18" s="8"/>
      <c r="EH18" s="40">
        <f>mround(EH17*Setup!GX13,'Quick Setup'!$A$2)</f>
        <v>375</v>
      </c>
      <c r="EI18" s="2">
        <f>Setup!GY13</f>
        <v>4</v>
      </c>
      <c r="EJ18" s="2">
        <f>Setup!GZ13</f>
        <v>2</v>
      </c>
      <c r="EK18" s="2">
        <f>Setup!HA13</f>
        <v>5</v>
      </c>
      <c r="EL18" s="8"/>
      <c r="EM18" s="8"/>
      <c r="EN18" s="8"/>
      <c r="EO18" s="8"/>
      <c r="EP18" s="40">
        <f>mround(EP17*Setup!HJ13,'Quick Setup'!$A$2)</f>
        <v>400</v>
      </c>
      <c r="EQ18" s="2">
        <f>Setup!HK13</f>
        <v>3</v>
      </c>
      <c r="ER18" s="2">
        <f>Setup!HL13</f>
        <v>2</v>
      </c>
      <c r="ES18" s="2">
        <f>Setup!HM13</f>
        <v>5</v>
      </c>
      <c r="ET18" s="8"/>
      <c r="EU18" s="8"/>
      <c r="EV18" s="8"/>
      <c r="EW18" s="8"/>
      <c r="EX18" s="40">
        <f>mround(EX17*Setup!HV13,'Quick Setup'!$A$2)</f>
        <v>425</v>
      </c>
      <c r="EY18" s="2">
        <f>Setup!HW13</f>
        <v>2</v>
      </c>
      <c r="EZ18" s="2">
        <f>Setup!HX13</f>
        <v>1</v>
      </c>
      <c r="FA18" s="2">
        <f>Setup!HY13</f>
        <v>5</v>
      </c>
      <c r="FB18" s="8"/>
      <c r="FC18" s="8"/>
      <c r="FD18" s="8"/>
      <c r="FE18" s="8"/>
      <c r="FF18" s="40">
        <f>mround(FF17*Setup!IH13,'Quick Setup'!$A$2)</f>
        <v>250</v>
      </c>
      <c r="FG18" s="1">
        <v>5.0</v>
      </c>
      <c r="FH18" s="1" t="s">
        <v>80</v>
      </c>
      <c r="FI18" s="2">
        <f>Setup!IK13</f>
        <v>5</v>
      </c>
      <c r="FJ18" s="8"/>
      <c r="FK18" s="8"/>
      <c r="FL18" s="8"/>
      <c r="FM18" s="8"/>
    </row>
    <row r="19">
      <c r="A19" s="5"/>
      <c r="B19" s="41"/>
      <c r="C19" s="8"/>
      <c r="D19" s="8"/>
      <c r="E19" s="8"/>
      <c r="F19" s="8"/>
      <c r="G19" s="8"/>
      <c r="H19" s="8"/>
      <c r="I19" s="8"/>
      <c r="J19" s="41" t="str">
        <f t="shared" ref="J19:O19" si="81">B19</f>
        <v/>
      </c>
      <c r="K19" s="8" t="str">
        <f t="shared" si="81"/>
        <v/>
      </c>
      <c r="L19" s="8" t="str">
        <f t="shared" si="81"/>
        <v/>
      </c>
      <c r="M19" s="8" t="str">
        <f t="shared" si="81"/>
        <v/>
      </c>
      <c r="N19" s="8" t="str">
        <f t="shared" si="81"/>
        <v/>
      </c>
      <c r="O19" s="8" t="str">
        <f t="shared" si="81"/>
        <v/>
      </c>
      <c r="P19" s="8"/>
      <c r="Q19" s="8"/>
      <c r="R19" s="41" t="str">
        <f t="shared" ref="R19:W19" si="82">J19</f>
        <v/>
      </c>
      <c r="S19" s="8" t="str">
        <f t="shared" si="82"/>
        <v/>
      </c>
      <c r="T19" s="8" t="str">
        <f t="shared" si="82"/>
        <v/>
      </c>
      <c r="U19" s="8" t="str">
        <f t="shared" si="82"/>
        <v/>
      </c>
      <c r="V19" s="8" t="str">
        <f t="shared" si="82"/>
        <v/>
      </c>
      <c r="W19" s="8" t="str">
        <f t="shared" si="82"/>
        <v/>
      </c>
      <c r="X19" s="8"/>
      <c r="Y19" s="8"/>
      <c r="Z19" s="41" t="str">
        <f t="shared" ref="Z19:AE19" si="83">R19</f>
        <v/>
      </c>
      <c r="AA19" s="8" t="str">
        <f t="shared" si="83"/>
        <v/>
      </c>
      <c r="AB19" s="8" t="str">
        <f t="shared" si="83"/>
        <v/>
      </c>
      <c r="AC19" s="8" t="str">
        <f t="shared" si="83"/>
        <v/>
      </c>
      <c r="AD19" s="8" t="str">
        <f t="shared" si="83"/>
        <v/>
      </c>
      <c r="AE19" s="8" t="str">
        <f t="shared" si="83"/>
        <v/>
      </c>
      <c r="AF19" s="8"/>
      <c r="AG19" s="8"/>
      <c r="AH19" s="41" t="str">
        <f t="shared" ref="AH19:AM19" si="84">Z19</f>
        <v/>
      </c>
      <c r="AI19" s="8" t="str">
        <f t="shared" si="84"/>
        <v/>
      </c>
      <c r="AJ19" s="8" t="str">
        <f t="shared" si="84"/>
        <v/>
      </c>
      <c r="AK19" s="8" t="str">
        <f t="shared" si="84"/>
        <v/>
      </c>
      <c r="AL19" s="8" t="str">
        <f t="shared" si="84"/>
        <v/>
      </c>
      <c r="AM19" s="8" t="str">
        <f t="shared" si="84"/>
        <v/>
      </c>
      <c r="AN19" s="8"/>
      <c r="AO19" s="8"/>
      <c r="AP19" s="41" t="str">
        <f t="shared" ref="AP19:AU19" si="85">AH19</f>
        <v/>
      </c>
      <c r="AQ19" s="8" t="str">
        <f t="shared" si="85"/>
        <v/>
      </c>
      <c r="AR19" s="8" t="str">
        <f t="shared" si="85"/>
        <v/>
      </c>
      <c r="AS19" s="8" t="str">
        <f t="shared" si="85"/>
        <v/>
      </c>
      <c r="AT19" s="8" t="str">
        <f t="shared" si="85"/>
        <v/>
      </c>
      <c r="AU19" s="8" t="str">
        <f t="shared" si="85"/>
        <v/>
      </c>
      <c r="AV19" s="8"/>
      <c r="AW19" s="8"/>
      <c r="AX19" s="41" t="str">
        <f t="shared" ref="AX19:BC19" si="86">AP19</f>
        <v/>
      </c>
      <c r="AY19" s="8" t="str">
        <f t="shared" si="86"/>
        <v/>
      </c>
      <c r="AZ19" s="8" t="str">
        <f t="shared" si="86"/>
        <v/>
      </c>
      <c r="BA19" s="8" t="str">
        <f t="shared" si="86"/>
        <v/>
      </c>
      <c r="BB19" s="8" t="str">
        <f t="shared" si="86"/>
        <v/>
      </c>
      <c r="BC19" s="8" t="str">
        <f t="shared" si="86"/>
        <v/>
      </c>
      <c r="BD19" s="8"/>
      <c r="BE19" s="8"/>
      <c r="BF19" s="41" t="str">
        <f t="shared" ref="BF19:BK19" si="87">AX19</f>
        <v/>
      </c>
      <c r="BG19" s="8" t="str">
        <f t="shared" si="87"/>
        <v/>
      </c>
      <c r="BH19" s="8" t="str">
        <f t="shared" si="87"/>
        <v/>
      </c>
      <c r="BI19" s="8" t="str">
        <f t="shared" si="87"/>
        <v/>
      </c>
      <c r="BJ19" s="8" t="str">
        <f t="shared" si="87"/>
        <v/>
      </c>
      <c r="BK19" s="8" t="str">
        <f t="shared" si="87"/>
        <v/>
      </c>
      <c r="BL19" s="8"/>
      <c r="BM19" s="8"/>
      <c r="BN19" s="41" t="str">
        <f t="shared" ref="BN19:BS19" si="88">BF19</f>
        <v/>
      </c>
      <c r="BO19" s="8" t="str">
        <f t="shared" si="88"/>
        <v/>
      </c>
      <c r="BP19" s="8" t="str">
        <f t="shared" si="88"/>
        <v/>
      </c>
      <c r="BQ19" s="8" t="str">
        <f t="shared" si="88"/>
        <v/>
      </c>
      <c r="BR19" s="8" t="str">
        <f t="shared" si="88"/>
        <v/>
      </c>
      <c r="BS19" s="8" t="str">
        <f t="shared" si="88"/>
        <v/>
      </c>
      <c r="BT19" s="8"/>
      <c r="BU19" s="8"/>
      <c r="BV19" s="41" t="str">
        <f t="shared" ref="BV19:CA19" si="89">BN19</f>
        <v/>
      </c>
      <c r="BW19" s="8" t="str">
        <f t="shared" si="89"/>
        <v/>
      </c>
      <c r="BX19" s="8" t="str">
        <f t="shared" si="89"/>
        <v/>
      </c>
      <c r="BY19" s="8" t="str">
        <f t="shared" si="89"/>
        <v/>
      </c>
      <c r="BZ19" s="8" t="str">
        <f t="shared" si="89"/>
        <v/>
      </c>
      <c r="CA19" s="8" t="str">
        <f t="shared" si="89"/>
        <v/>
      </c>
      <c r="CB19" s="8"/>
      <c r="CC19" s="8"/>
      <c r="CD19" s="41" t="str">
        <f t="shared" ref="CD19:CI19" si="90">BV19</f>
        <v/>
      </c>
      <c r="CE19" s="8" t="str">
        <f t="shared" si="90"/>
        <v/>
      </c>
      <c r="CF19" s="8" t="str">
        <f t="shared" si="90"/>
        <v/>
      </c>
      <c r="CG19" s="8" t="str">
        <f t="shared" si="90"/>
        <v/>
      </c>
      <c r="CH19" s="8" t="str">
        <f t="shared" si="90"/>
        <v/>
      </c>
      <c r="CI19" s="8" t="str">
        <f t="shared" si="90"/>
        <v/>
      </c>
      <c r="CJ19" s="8"/>
      <c r="CK19" s="8"/>
      <c r="CL19" s="41" t="str">
        <f t="shared" ref="CL19:CQ19" si="91">CD19</f>
        <v/>
      </c>
      <c r="CM19" s="8" t="str">
        <f t="shared" si="91"/>
        <v/>
      </c>
      <c r="CN19" s="8" t="str">
        <f t="shared" si="91"/>
        <v/>
      </c>
      <c r="CO19" s="8" t="str">
        <f t="shared" si="91"/>
        <v/>
      </c>
      <c r="CP19" s="8" t="str">
        <f t="shared" si="91"/>
        <v/>
      </c>
      <c r="CQ19" s="8" t="str">
        <f t="shared" si="91"/>
        <v/>
      </c>
      <c r="CR19" s="8"/>
      <c r="CS19" s="8"/>
      <c r="CT19" s="41" t="str">
        <f t="shared" ref="CT19:CY19" si="92">CL19</f>
        <v/>
      </c>
      <c r="CU19" s="8" t="str">
        <f t="shared" si="92"/>
        <v/>
      </c>
      <c r="CV19" s="8" t="str">
        <f t="shared" si="92"/>
        <v/>
      </c>
      <c r="CW19" s="8" t="str">
        <f t="shared" si="92"/>
        <v/>
      </c>
      <c r="CX19" s="8" t="str">
        <f t="shared" si="92"/>
        <v/>
      </c>
      <c r="CY19" s="8" t="str">
        <f t="shared" si="92"/>
        <v/>
      </c>
      <c r="CZ19" s="8"/>
      <c r="DA19" s="8"/>
      <c r="DB19" s="41" t="str">
        <f t="shared" ref="DB19:DG19" si="93">CT19</f>
        <v/>
      </c>
      <c r="DC19" s="8" t="str">
        <f t="shared" si="93"/>
        <v/>
      </c>
      <c r="DD19" s="8" t="str">
        <f t="shared" si="93"/>
        <v/>
      </c>
      <c r="DE19" s="8" t="str">
        <f t="shared" si="93"/>
        <v/>
      </c>
      <c r="DF19" s="8" t="str">
        <f t="shared" si="93"/>
        <v/>
      </c>
      <c r="DG19" s="8" t="str">
        <f t="shared" si="93"/>
        <v/>
      </c>
      <c r="DH19" s="8"/>
      <c r="DI19" s="8"/>
      <c r="DJ19" s="41" t="str">
        <f t="shared" ref="DJ19:DO19" si="94">DB19</f>
        <v/>
      </c>
      <c r="DK19" s="8" t="str">
        <f t="shared" si="94"/>
        <v/>
      </c>
      <c r="DL19" s="8" t="str">
        <f t="shared" si="94"/>
        <v/>
      </c>
      <c r="DM19" s="8" t="str">
        <f t="shared" si="94"/>
        <v/>
      </c>
      <c r="DN19" s="8" t="str">
        <f t="shared" si="94"/>
        <v/>
      </c>
      <c r="DO19" s="8" t="str">
        <f t="shared" si="94"/>
        <v/>
      </c>
      <c r="DP19" s="8"/>
      <c r="DQ19" s="8"/>
      <c r="DR19" s="41" t="str">
        <f t="shared" ref="DR19:DW19" si="95">DJ19</f>
        <v/>
      </c>
      <c r="DS19" s="8" t="str">
        <f t="shared" si="95"/>
        <v/>
      </c>
      <c r="DT19" s="8" t="str">
        <f t="shared" si="95"/>
        <v/>
      </c>
      <c r="DU19" s="8" t="str">
        <f t="shared" si="95"/>
        <v/>
      </c>
      <c r="DV19" s="8" t="str">
        <f t="shared" si="95"/>
        <v/>
      </c>
      <c r="DW19" s="8" t="str">
        <f t="shared" si="95"/>
        <v/>
      </c>
      <c r="DX19" s="8"/>
      <c r="DY19" s="8"/>
      <c r="DZ19" s="41" t="str">
        <f t="shared" ref="DZ19:EE19" si="96">DR19</f>
        <v/>
      </c>
      <c r="EA19" s="8" t="str">
        <f t="shared" si="96"/>
        <v/>
      </c>
      <c r="EB19" s="8" t="str">
        <f t="shared" si="96"/>
        <v/>
      </c>
      <c r="EC19" s="8" t="str">
        <f t="shared" si="96"/>
        <v/>
      </c>
      <c r="ED19" s="8" t="str">
        <f t="shared" si="96"/>
        <v/>
      </c>
      <c r="EE19" s="8" t="str">
        <f t="shared" si="96"/>
        <v/>
      </c>
      <c r="EF19" s="8"/>
      <c r="EG19" s="8"/>
      <c r="EH19" s="41" t="str">
        <f t="shared" ref="EH19:EM19" si="97">DZ19</f>
        <v/>
      </c>
      <c r="EI19" s="8" t="str">
        <f t="shared" si="97"/>
        <v/>
      </c>
      <c r="EJ19" s="8" t="str">
        <f t="shared" si="97"/>
        <v/>
      </c>
      <c r="EK19" s="8" t="str">
        <f t="shared" si="97"/>
        <v/>
      </c>
      <c r="EL19" s="8" t="str">
        <f t="shared" si="97"/>
        <v/>
      </c>
      <c r="EM19" s="8" t="str">
        <f t="shared" si="97"/>
        <v/>
      </c>
      <c r="EN19" s="8"/>
      <c r="EO19" s="8"/>
      <c r="EP19" s="41" t="str">
        <f t="shared" ref="EP19:EU19" si="98">EH19</f>
        <v/>
      </c>
      <c r="EQ19" s="8" t="str">
        <f t="shared" si="98"/>
        <v/>
      </c>
      <c r="ER19" s="8" t="str">
        <f t="shared" si="98"/>
        <v/>
      </c>
      <c r="ES19" s="8" t="str">
        <f t="shared" si="98"/>
        <v/>
      </c>
      <c r="ET19" s="8" t="str">
        <f t="shared" si="98"/>
        <v/>
      </c>
      <c r="EU19" s="8" t="str">
        <f t="shared" si="98"/>
        <v/>
      </c>
      <c r="EV19" s="8"/>
      <c r="EW19" s="8"/>
      <c r="EX19" s="41" t="str">
        <f t="shared" ref="EX19:FC19" si="99">EP19</f>
        <v/>
      </c>
      <c r="EY19" s="8" t="str">
        <f t="shared" si="99"/>
        <v/>
      </c>
      <c r="EZ19" s="8" t="str">
        <f t="shared" si="99"/>
        <v/>
      </c>
      <c r="FA19" s="8" t="str">
        <f t="shared" si="99"/>
        <v/>
      </c>
      <c r="FB19" s="8" t="str">
        <f t="shared" si="99"/>
        <v/>
      </c>
      <c r="FC19" s="8" t="str">
        <f t="shared" si="99"/>
        <v/>
      </c>
      <c r="FD19" s="8"/>
      <c r="FE19" s="8"/>
      <c r="FF19" s="41" t="str">
        <f t="shared" ref="FF19:FK19" si="100">EX19</f>
        <v/>
      </c>
      <c r="FG19" s="8" t="str">
        <f t="shared" si="100"/>
        <v/>
      </c>
      <c r="FH19" s="8" t="str">
        <f t="shared" si="100"/>
        <v/>
      </c>
      <c r="FI19" s="8" t="str">
        <f t="shared" si="100"/>
        <v/>
      </c>
      <c r="FJ19" s="8" t="str">
        <f t="shared" si="100"/>
        <v/>
      </c>
      <c r="FK19" s="8" t="str">
        <f t="shared" si="100"/>
        <v/>
      </c>
      <c r="FL19" s="8"/>
      <c r="FM19" s="8"/>
    </row>
    <row r="20">
      <c r="A20" s="1" t="s">
        <v>81</v>
      </c>
      <c r="B20" s="40"/>
      <c r="C20" s="2"/>
      <c r="D20" s="2"/>
      <c r="E20" s="2"/>
      <c r="F20" s="2"/>
      <c r="G20" s="2"/>
      <c r="H20" s="2"/>
      <c r="I20" s="2"/>
      <c r="J20" s="40"/>
      <c r="K20" s="2"/>
      <c r="L20" s="2"/>
      <c r="M20" s="2"/>
      <c r="N20" s="2"/>
      <c r="O20" s="2"/>
      <c r="P20" s="2"/>
      <c r="Q20" s="2"/>
      <c r="R20" s="40"/>
      <c r="S20" s="2"/>
      <c r="T20" s="2"/>
      <c r="U20" s="2"/>
      <c r="V20" s="2"/>
      <c r="W20" s="2"/>
      <c r="X20" s="2"/>
      <c r="Y20" s="2"/>
      <c r="Z20" s="40"/>
      <c r="AA20" s="2"/>
      <c r="AB20" s="2"/>
      <c r="AC20" s="2"/>
      <c r="AD20" s="2"/>
      <c r="AE20" s="2"/>
      <c r="AF20" s="2"/>
      <c r="AG20" s="2"/>
      <c r="AH20" s="40"/>
      <c r="AI20" s="2"/>
      <c r="AJ20" s="2"/>
      <c r="AK20" s="2"/>
      <c r="AL20" s="2"/>
      <c r="AM20" s="2"/>
      <c r="AN20" s="2"/>
      <c r="AO20" s="2"/>
      <c r="AP20" s="40"/>
      <c r="AQ20" s="2"/>
      <c r="AR20" s="2"/>
      <c r="AS20" s="2"/>
      <c r="AT20" s="2"/>
      <c r="AU20" s="2"/>
      <c r="AV20" s="2"/>
      <c r="AW20" s="2"/>
      <c r="AX20" s="40"/>
      <c r="AY20" s="2"/>
      <c r="AZ20" s="2"/>
      <c r="BA20" s="2"/>
      <c r="BB20" s="2"/>
      <c r="BC20" s="2"/>
      <c r="BD20" s="2"/>
      <c r="BE20" s="2"/>
      <c r="BF20" s="40"/>
      <c r="BG20" s="2"/>
      <c r="BH20" s="2"/>
      <c r="BI20" s="2"/>
      <c r="BJ20" s="2"/>
      <c r="BK20" s="2"/>
      <c r="BL20" s="2"/>
      <c r="BM20" s="2"/>
      <c r="BN20" s="40"/>
      <c r="BO20" s="2"/>
      <c r="BP20" s="2"/>
      <c r="BQ20" s="2"/>
      <c r="BR20" s="2"/>
      <c r="BS20" s="2"/>
      <c r="BT20" s="2"/>
      <c r="BU20" s="2"/>
      <c r="BV20" s="40"/>
      <c r="BW20" s="2"/>
      <c r="BX20" s="2"/>
      <c r="BY20" s="2"/>
      <c r="BZ20" s="2"/>
      <c r="CA20" s="2"/>
      <c r="CB20" s="2"/>
      <c r="CC20" s="2"/>
      <c r="CD20" s="40"/>
      <c r="CE20" s="2"/>
      <c r="CF20" s="2"/>
      <c r="CG20" s="2"/>
      <c r="CH20" s="2"/>
      <c r="CI20" s="2"/>
      <c r="CJ20" s="2"/>
      <c r="CK20" s="2"/>
      <c r="CL20" s="40"/>
      <c r="CM20" s="2"/>
      <c r="CN20" s="2"/>
      <c r="CO20" s="2"/>
      <c r="CP20" s="2"/>
      <c r="CQ20" s="2"/>
      <c r="CR20" s="2"/>
      <c r="CS20" s="2"/>
      <c r="CT20" s="40"/>
      <c r="CU20" s="2"/>
      <c r="CV20" s="2"/>
      <c r="CW20" s="2"/>
      <c r="CX20" s="2"/>
      <c r="CY20" s="2"/>
      <c r="CZ20" s="2"/>
      <c r="DA20" s="2"/>
      <c r="DB20" s="40"/>
      <c r="DC20" s="2"/>
      <c r="DD20" s="2"/>
      <c r="DE20" s="2"/>
      <c r="DF20" s="2"/>
      <c r="DG20" s="2"/>
      <c r="DH20" s="2"/>
      <c r="DI20" s="2"/>
      <c r="DJ20" s="40"/>
      <c r="DK20" s="2"/>
      <c r="DL20" s="2"/>
      <c r="DM20" s="2"/>
      <c r="DN20" s="2"/>
      <c r="DO20" s="2"/>
      <c r="DP20" s="2"/>
      <c r="DQ20" s="2"/>
      <c r="DR20" s="40"/>
      <c r="DS20" s="2"/>
      <c r="DT20" s="2"/>
      <c r="DU20" s="2"/>
      <c r="DV20" s="2"/>
      <c r="DW20" s="2"/>
      <c r="DX20" s="2"/>
      <c r="DY20" s="2"/>
      <c r="DZ20" s="40"/>
      <c r="EA20" s="2"/>
      <c r="EB20" s="2"/>
      <c r="EC20" s="2"/>
      <c r="ED20" s="2"/>
      <c r="EE20" s="2"/>
      <c r="EF20" s="2"/>
      <c r="EG20" s="2"/>
      <c r="EH20" s="40"/>
      <c r="EI20" s="2"/>
      <c r="EJ20" s="2"/>
      <c r="EK20" s="2"/>
      <c r="EL20" s="2"/>
      <c r="EM20" s="2"/>
      <c r="EN20" s="2"/>
      <c r="EO20" s="2"/>
      <c r="EP20" s="40"/>
      <c r="EQ20" s="2"/>
      <c r="ER20" s="2"/>
      <c r="ES20" s="2"/>
      <c r="ET20" s="2"/>
      <c r="EU20" s="2"/>
      <c r="EV20" s="2"/>
      <c r="EW20" s="2"/>
      <c r="EX20" s="40"/>
      <c r="EY20" s="2"/>
      <c r="EZ20" s="2"/>
      <c r="FA20" s="2"/>
      <c r="FB20" s="2"/>
      <c r="FC20" s="2"/>
      <c r="FD20" s="2"/>
      <c r="FE20" s="2"/>
      <c r="FF20" s="40"/>
      <c r="FG20" s="2"/>
      <c r="FH20" s="2"/>
      <c r="FI20" s="2"/>
      <c r="FJ20" s="2"/>
      <c r="FK20" s="2"/>
      <c r="FL20" s="2"/>
      <c r="FM20" s="2"/>
    </row>
    <row r="21">
      <c r="A21" s="42"/>
      <c r="B21" s="41"/>
      <c r="C21" s="8"/>
      <c r="D21" s="8"/>
      <c r="E21" s="8"/>
      <c r="F21" s="8"/>
      <c r="G21" s="8"/>
      <c r="H21" s="8"/>
      <c r="I21" s="8"/>
      <c r="J21" s="41" t="str">
        <f t="shared" ref="J21:O21" si="101">B21</f>
        <v/>
      </c>
      <c r="K21" s="8" t="str">
        <f t="shared" si="101"/>
        <v/>
      </c>
      <c r="L21" s="8" t="str">
        <f t="shared" si="101"/>
        <v/>
      </c>
      <c r="M21" s="8" t="str">
        <f t="shared" si="101"/>
        <v/>
      </c>
      <c r="N21" s="8" t="str">
        <f t="shared" si="101"/>
        <v/>
      </c>
      <c r="O21" s="8" t="str">
        <f t="shared" si="101"/>
        <v/>
      </c>
      <c r="P21" s="8"/>
      <c r="Q21" s="8"/>
      <c r="R21" s="41" t="str">
        <f t="shared" ref="R21:W21" si="102">J21</f>
        <v/>
      </c>
      <c r="S21" s="8" t="str">
        <f t="shared" si="102"/>
        <v/>
      </c>
      <c r="T21" s="8" t="str">
        <f t="shared" si="102"/>
        <v/>
      </c>
      <c r="U21" s="8" t="str">
        <f t="shared" si="102"/>
        <v/>
      </c>
      <c r="V21" s="8" t="str">
        <f t="shared" si="102"/>
        <v/>
      </c>
      <c r="W21" s="8" t="str">
        <f t="shared" si="102"/>
        <v/>
      </c>
      <c r="X21" s="8"/>
      <c r="Y21" s="8"/>
      <c r="Z21" s="41" t="str">
        <f t="shared" ref="Z21:AE21" si="103">R21</f>
        <v/>
      </c>
      <c r="AA21" s="8" t="str">
        <f t="shared" si="103"/>
        <v/>
      </c>
      <c r="AB21" s="8" t="str">
        <f t="shared" si="103"/>
        <v/>
      </c>
      <c r="AC21" s="8" t="str">
        <f t="shared" si="103"/>
        <v/>
      </c>
      <c r="AD21" s="8" t="str">
        <f t="shared" si="103"/>
        <v/>
      </c>
      <c r="AE21" s="8" t="str">
        <f t="shared" si="103"/>
        <v/>
      </c>
      <c r="AF21" s="8"/>
      <c r="AG21" s="8"/>
      <c r="AH21" s="41" t="str">
        <f t="shared" ref="AH21:AM21" si="104">Z21</f>
        <v/>
      </c>
      <c r="AI21" s="8" t="str">
        <f t="shared" si="104"/>
        <v/>
      </c>
      <c r="AJ21" s="8" t="str">
        <f t="shared" si="104"/>
        <v/>
      </c>
      <c r="AK21" s="8" t="str">
        <f t="shared" si="104"/>
        <v/>
      </c>
      <c r="AL21" s="8" t="str">
        <f t="shared" si="104"/>
        <v/>
      </c>
      <c r="AM21" s="8" t="str">
        <f t="shared" si="104"/>
        <v/>
      </c>
      <c r="AN21" s="8"/>
      <c r="AO21" s="8"/>
      <c r="AP21" s="41" t="str">
        <f t="shared" ref="AP21:AU21" si="105">AH21</f>
        <v/>
      </c>
      <c r="AQ21" s="8" t="str">
        <f t="shared" si="105"/>
        <v/>
      </c>
      <c r="AR21" s="8" t="str">
        <f t="shared" si="105"/>
        <v/>
      </c>
      <c r="AS21" s="8" t="str">
        <f t="shared" si="105"/>
        <v/>
      </c>
      <c r="AT21" s="8" t="str">
        <f t="shared" si="105"/>
        <v/>
      </c>
      <c r="AU21" s="8" t="str">
        <f t="shared" si="105"/>
        <v/>
      </c>
      <c r="AV21" s="8"/>
      <c r="AW21" s="8"/>
      <c r="AX21" s="41" t="str">
        <f t="shared" ref="AX21:BC21" si="106">AP21</f>
        <v/>
      </c>
      <c r="AY21" s="8" t="str">
        <f t="shared" si="106"/>
        <v/>
      </c>
      <c r="AZ21" s="8" t="str">
        <f t="shared" si="106"/>
        <v/>
      </c>
      <c r="BA21" s="8" t="str">
        <f t="shared" si="106"/>
        <v/>
      </c>
      <c r="BB21" s="8" t="str">
        <f t="shared" si="106"/>
        <v/>
      </c>
      <c r="BC21" s="8" t="str">
        <f t="shared" si="106"/>
        <v/>
      </c>
      <c r="BD21" s="8"/>
      <c r="BE21" s="8"/>
      <c r="BF21" s="41" t="str">
        <f t="shared" ref="BF21:BK21" si="107">AX21</f>
        <v/>
      </c>
      <c r="BG21" s="8" t="str">
        <f t="shared" si="107"/>
        <v/>
      </c>
      <c r="BH21" s="8" t="str">
        <f t="shared" si="107"/>
        <v/>
      </c>
      <c r="BI21" s="8" t="str">
        <f t="shared" si="107"/>
        <v/>
      </c>
      <c r="BJ21" s="8" t="str">
        <f t="shared" si="107"/>
        <v/>
      </c>
      <c r="BK21" s="8" t="str">
        <f t="shared" si="107"/>
        <v/>
      </c>
      <c r="BL21" s="8"/>
      <c r="BM21" s="8"/>
      <c r="BN21" s="41" t="str">
        <f t="shared" ref="BN21:BS21" si="108">BF21</f>
        <v/>
      </c>
      <c r="BO21" s="8" t="str">
        <f t="shared" si="108"/>
        <v/>
      </c>
      <c r="BP21" s="8" t="str">
        <f t="shared" si="108"/>
        <v/>
      </c>
      <c r="BQ21" s="8" t="str">
        <f t="shared" si="108"/>
        <v/>
      </c>
      <c r="BR21" s="8" t="str">
        <f t="shared" si="108"/>
        <v/>
      </c>
      <c r="BS21" s="8" t="str">
        <f t="shared" si="108"/>
        <v/>
      </c>
      <c r="BT21" s="8"/>
      <c r="BU21" s="8"/>
      <c r="BV21" s="41" t="str">
        <f t="shared" ref="BV21:CA21" si="109">BN21</f>
        <v/>
      </c>
      <c r="BW21" s="8" t="str">
        <f t="shared" si="109"/>
        <v/>
      </c>
      <c r="BX21" s="8" t="str">
        <f t="shared" si="109"/>
        <v/>
      </c>
      <c r="BY21" s="8" t="str">
        <f t="shared" si="109"/>
        <v/>
      </c>
      <c r="BZ21" s="8" t="str">
        <f t="shared" si="109"/>
        <v/>
      </c>
      <c r="CA21" s="8" t="str">
        <f t="shared" si="109"/>
        <v/>
      </c>
      <c r="CB21" s="8"/>
      <c r="CC21" s="8"/>
      <c r="CD21" s="41" t="str">
        <f t="shared" ref="CD21:CI21" si="110">BV21</f>
        <v/>
      </c>
      <c r="CE21" s="8" t="str">
        <f t="shared" si="110"/>
        <v/>
      </c>
      <c r="CF21" s="8" t="str">
        <f t="shared" si="110"/>
        <v/>
      </c>
      <c r="CG21" s="8" t="str">
        <f t="shared" si="110"/>
        <v/>
      </c>
      <c r="CH21" s="8" t="str">
        <f t="shared" si="110"/>
        <v/>
      </c>
      <c r="CI21" s="8" t="str">
        <f t="shared" si="110"/>
        <v/>
      </c>
      <c r="CJ21" s="8"/>
      <c r="CK21" s="8"/>
      <c r="CL21" s="41" t="str">
        <f t="shared" ref="CL21:CQ21" si="111">CD21</f>
        <v/>
      </c>
      <c r="CM21" s="8" t="str">
        <f t="shared" si="111"/>
        <v/>
      </c>
      <c r="CN21" s="8" t="str">
        <f t="shared" si="111"/>
        <v/>
      </c>
      <c r="CO21" s="8" t="str">
        <f t="shared" si="111"/>
        <v/>
      </c>
      <c r="CP21" s="8" t="str">
        <f t="shared" si="111"/>
        <v/>
      </c>
      <c r="CQ21" s="8" t="str">
        <f t="shared" si="111"/>
        <v/>
      </c>
      <c r="CR21" s="8"/>
      <c r="CS21" s="8"/>
      <c r="CT21" s="41" t="str">
        <f t="shared" ref="CT21:CY21" si="112">CL21</f>
        <v/>
      </c>
      <c r="CU21" s="8" t="str">
        <f t="shared" si="112"/>
        <v/>
      </c>
      <c r="CV21" s="8" t="str">
        <f t="shared" si="112"/>
        <v/>
      </c>
      <c r="CW21" s="8" t="str">
        <f t="shared" si="112"/>
        <v/>
      </c>
      <c r="CX21" s="8" t="str">
        <f t="shared" si="112"/>
        <v/>
      </c>
      <c r="CY21" s="8" t="str">
        <f t="shared" si="112"/>
        <v/>
      </c>
      <c r="CZ21" s="8"/>
      <c r="DA21" s="8"/>
      <c r="DB21" s="41" t="str">
        <f t="shared" ref="DB21:DG21" si="113">CT21</f>
        <v/>
      </c>
      <c r="DC21" s="8" t="str">
        <f t="shared" si="113"/>
        <v/>
      </c>
      <c r="DD21" s="8" t="str">
        <f t="shared" si="113"/>
        <v/>
      </c>
      <c r="DE21" s="8" t="str">
        <f t="shared" si="113"/>
        <v/>
      </c>
      <c r="DF21" s="8" t="str">
        <f t="shared" si="113"/>
        <v/>
      </c>
      <c r="DG21" s="8" t="str">
        <f t="shared" si="113"/>
        <v/>
      </c>
      <c r="DH21" s="8"/>
      <c r="DI21" s="8"/>
      <c r="DJ21" s="41" t="str">
        <f t="shared" ref="DJ21:DO21" si="114">DB21</f>
        <v/>
      </c>
      <c r="DK21" s="8" t="str">
        <f t="shared" si="114"/>
        <v/>
      </c>
      <c r="DL21" s="8" t="str">
        <f t="shared" si="114"/>
        <v/>
      </c>
      <c r="DM21" s="8" t="str">
        <f t="shared" si="114"/>
        <v/>
      </c>
      <c r="DN21" s="8" t="str">
        <f t="shared" si="114"/>
        <v/>
      </c>
      <c r="DO21" s="8" t="str">
        <f t="shared" si="114"/>
        <v/>
      </c>
      <c r="DP21" s="8"/>
      <c r="DQ21" s="8"/>
      <c r="DR21" s="41" t="str">
        <f t="shared" ref="DR21:DW21" si="115">DJ21</f>
        <v/>
      </c>
      <c r="DS21" s="8" t="str">
        <f t="shared" si="115"/>
        <v/>
      </c>
      <c r="DT21" s="8" t="str">
        <f t="shared" si="115"/>
        <v/>
      </c>
      <c r="DU21" s="8" t="str">
        <f t="shared" si="115"/>
        <v/>
      </c>
      <c r="DV21" s="8" t="str">
        <f t="shared" si="115"/>
        <v/>
      </c>
      <c r="DW21" s="8" t="str">
        <f t="shared" si="115"/>
        <v/>
      </c>
      <c r="DX21" s="8"/>
      <c r="DY21" s="8"/>
      <c r="DZ21" s="41" t="str">
        <f t="shared" ref="DZ21:EE21" si="116">DR21</f>
        <v/>
      </c>
      <c r="EA21" s="8" t="str">
        <f t="shared" si="116"/>
        <v/>
      </c>
      <c r="EB21" s="8" t="str">
        <f t="shared" si="116"/>
        <v/>
      </c>
      <c r="EC21" s="8" t="str">
        <f t="shared" si="116"/>
        <v/>
      </c>
      <c r="ED21" s="8" t="str">
        <f t="shared" si="116"/>
        <v/>
      </c>
      <c r="EE21" s="8" t="str">
        <f t="shared" si="116"/>
        <v/>
      </c>
      <c r="EF21" s="8"/>
      <c r="EG21" s="8"/>
      <c r="EH21" s="41" t="str">
        <f t="shared" ref="EH21:EM21" si="117">DZ21</f>
        <v/>
      </c>
      <c r="EI21" s="8" t="str">
        <f t="shared" si="117"/>
        <v/>
      </c>
      <c r="EJ21" s="8" t="str">
        <f t="shared" si="117"/>
        <v/>
      </c>
      <c r="EK21" s="8" t="str">
        <f t="shared" si="117"/>
        <v/>
      </c>
      <c r="EL21" s="8" t="str">
        <f t="shared" si="117"/>
        <v/>
      </c>
      <c r="EM21" s="8" t="str">
        <f t="shared" si="117"/>
        <v/>
      </c>
      <c r="EN21" s="8"/>
      <c r="EO21" s="8"/>
      <c r="EP21" s="41" t="str">
        <f t="shared" ref="EP21:EU21" si="118">EH21</f>
        <v/>
      </c>
      <c r="EQ21" s="8" t="str">
        <f t="shared" si="118"/>
        <v/>
      </c>
      <c r="ER21" s="8" t="str">
        <f t="shared" si="118"/>
        <v/>
      </c>
      <c r="ES21" s="8" t="str">
        <f t="shared" si="118"/>
        <v/>
      </c>
      <c r="ET21" s="8" t="str">
        <f t="shared" si="118"/>
        <v/>
      </c>
      <c r="EU21" s="8" t="str">
        <f t="shared" si="118"/>
        <v/>
      </c>
      <c r="EV21" s="8"/>
      <c r="EW21" s="8"/>
      <c r="EX21" s="41" t="str">
        <f t="shared" ref="EX21:FC21" si="119">EP21</f>
        <v/>
      </c>
      <c r="EY21" s="8" t="str">
        <f t="shared" si="119"/>
        <v/>
      </c>
      <c r="EZ21" s="8" t="str">
        <f t="shared" si="119"/>
        <v/>
      </c>
      <c r="FA21" s="8" t="str">
        <f t="shared" si="119"/>
        <v/>
      </c>
      <c r="FB21" s="8" t="str">
        <f t="shared" si="119"/>
        <v/>
      </c>
      <c r="FC21" s="8" t="str">
        <f t="shared" si="119"/>
        <v/>
      </c>
      <c r="FD21" s="8"/>
      <c r="FE21" s="8"/>
      <c r="FF21" s="41" t="str">
        <f t="shared" ref="FF21:FK21" si="120">EX21</f>
        <v/>
      </c>
      <c r="FG21" s="8" t="str">
        <f t="shared" si="120"/>
        <v/>
      </c>
      <c r="FH21" s="8" t="str">
        <f t="shared" si="120"/>
        <v/>
      </c>
      <c r="FI21" s="8" t="str">
        <f t="shared" si="120"/>
        <v/>
      </c>
      <c r="FJ21" s="8" t="str">
        <f t="shared" si="120"/>
        <v/>
      </c>
      <c r="FK21" s="8" t="str">
        <f t="shared" si="120"/>
        <v/>
      </c>
      <c r="FL21" s="8"/>
      <c r="FM21" s="8"/>
    </row>
    <row r="22">
      <c r="A22" s="42"/>
      <c r="B22" s="41"/>
      <c r="C22" s="8"/>
      <c r="D22" s="8"/>
      <c r="E22" s="8"/>
      <c r="F22" s="8"/>
      <c r="G22" s="8"/>
      <c r="H22" s="8"/>
      <c r="I22" s="8"/>
      <c r="J22" s="41" t="str">
        <f t="shared" ref="J22:O22" si="121">B22</f>
        <v/>
      </c>
      <c r="K22" s="8" t="str">
        <f t="shared" si="121"/>
        <v/>
      </c>
      <c r="L22" s="8" t="str">
        <f t="shared" si="121"/>
        <v/>
      </c>
      <c r="M22" s="8" t="str">
        <f t="shared" si="121"/>
        <v/>
      </c>
      <c r="N22" s="8" t="str">
        <f t="shared" si="121"/>
        <v/>
      </c>
      <c r="O22" s="8" t="str">
        <f t="shared" si="121"/>
        <v/>
      </c>
      <c r="P22" s="8"/>
      <c r="Q22" s="8"/>
      <c r="R22" s="41" t="str">
        <f t="shared" ref="R22:W22" si="122">J22</f>
        <v/>
      </c>
      <c r="S22" s="8" t="str">
        <f t="shared" si="122"/>
        <v/>
      </c>
      <c r="T22" s="8" t="str">
        <f t="shared" si="122"/>
        <v/>
      </c>
      <c r="U22" s="8" t="str">
        <f t="shared" si="122"/>
        <v/>
      </c>
      <c r="V22" s="8" t="str">
        <f t="shared" si="122"/>
        <v/>
      </c>
      <c r="W22" s="8" t="str">
        <f t="shared" si="122"/>
        <v/>
      </c>
      <c r="X22" s="8"/>
      <c r="Y22" s="8"/>
      <c r="Z22" s="41" t="str">
        <f t="shared" ref="Z22:AE22" si="123">R22</f>
        <v/>
      </c>
      <c r="AA22" s="8" t="str">
        <f t="shared" si="123"/>
        <v/>
      </c>
      <c r="AB22" s="8" t="str">
        <f t="shared" si="123"/>
        <v/>
      </c>
      <c r="AC22" s="8" t="str">
        <f t="shared" si="123"/>
        <v/>
      </c>
      <c r="AD22" s="8" t="str">
        <f t="shared" si="123"/>
        <v/>
      </c>
      <c r="AE22" s="8" t="str">
        <f t="shared" si="123"/>
        <v/>
      </c>
      <c r="AF22" s="8"/>
      <c r="AG22" s="8"/>
      <c r="AH22" s="41" t="str">
        <f t="shared" ref="AH22:AM22" si="124">Z22</f>
        <v/>
      </c>
      <c r="AI22" s="8" t="str">
        <f t="shared" si="124"/>
        <v/>
      </c>
      <c r="AJ22" s="8" t="str">
        <f t="shared" si="124"/>
        <v/>
      </c>
      <c r="AK22" s="8" t="str">
        <f t="shared" si="124"/>
        <v/>
      </c>
      <c r="AL22" s="8" t="str">
        <f t="shared" si="124"/>
        <v/>
      </c>
      <c r="AM22" s="8" t="str">
        <f t="shared" si="124"/>
        <v/>
      </c>
      <c r="AN22" s="8"/>
      <c r="AO22" s="8"/>
      <c r="AP22" s="41" t="str">
        <f t="shared" ref="AP22:AU22" si="125">AH22</f>
        <v/>
      </c>
      <c r="AQ22" s="8" t="str">
        <f t="shared" si="125"/>
        <v/>
      </c>
      <c r="AR22" s="8" t="str">
        <f t="shared" si="125"/>
        <v/>
      </c>
      <c r="AS22" s="8" t="str">
        <f t="shared" si="125"/>
        <v/>
      </c>
      <c r="AT22" s="8" t="str">
        <f t="shared" si="125"/>
        <v/>
      </c>
      <c r="AU22" s="8" t="str">
        <f t="shared" si="125"/>
        <v/>
      </c>
      <c r="AV22" s="8"/>
      <c r="AW22" s="8"/>
      <c r="AX22" s="41" t="str">
        <f t="shared" ref="AX22:BC22" si="126">AP22</f>
        <v/>
      </c>
      <c r="AY22" s="8" t="str">
        <f t="shared" si="126"/>
        <v/>
      </c>
      <c r="AZ22" s="8" t="str">
        <f t="shared" si="126"/>
        <v/>
      </c>
      <c r="BA22" s="8" t="str">
        <f t="shared" si="126"/>
        <v/>
      </c>
      <c r="BB22" s="8" t="str">
        <f t="shared" si="126"/>
        <v/>
      </c>
      <c r="BC22" s="8" t="str">
        <f t="shared" si="126"/>
        <v/>
      </c>
      <c r="BD22" s="8"/>
      <c r="BE22" s="8"/>
      <c r="BF22" s="41" t="str">
        <f t="shared" ref="BF22:BK22" si="127">AX22</f>
        <v/>
      </c>
      <c r="BG22" s="8" t="str">
        <f t="shared" si="127"/>
        <v/>
      </c>
      <c r="BH22" s="8" t="str">
        <f t="shared" si="127"/>
        <v/>
      </c>
      <c r="BI22" s="8" t="str">
        <f t="shared" si="127"/>
        <v/>
      </c>
      <c r="BJ22" s="8" t="str">
        <f t="shared" si="127"/>
        <v/>
      </c>
      <c r="BK22" s="8" t="str">
        <f t="shared" si="127"/>
        <v/>
      </c>
      <c r="BL22" s="8"/>
      <c r="BM22" s="8"/>
      <c r="BN22" s="41" t="str">
        <f t="shared" ref="BN22:BS22" si="128">BF22</f>
        <v/>
      </c>
      <c r="BO22" s="8" t="str">
        <f t="shared" si="128"/>
        <v/>
      </c>
      <c r="BP22" s="8" t="str">
        <f t="shared" si="128"/>
        <v/>
      </c>
      <c r="BQ22" s="8" t="str">
        <f t="shared" si="128"/>
        <v/>
      </c>
      <c r="BR22" s="8" t="str">
        <f t="shared" si="128"/>
        <v/>
      </c>
      <c r="BS22" s="8" t="str">
        <f t="shared" si="128"/>
        <v/>
      </c>
      <c r="BT22" s="8"/>
      <c r="BU22" s="8"/>
      <c r="BV22" s="41" t="str">
        <f t="shared" ref="BV22:CA22" si="129">BN22</f>
        <v/>
      </c>
      <c r="BW22" s="8" t="str">
        <f t="shared" si="129"/>
        <v/>
      </c>
      <c r="BX22" s="8" t="str">
        <f t="shared" si="129"/>
        <v/>
      </c>
      <c r="BY22" s="8" t="str">
        <f t="shared" si="129"/>
        <v/>
      </c>
      <c r="BZ22" s="8" t="str">
        <f t="shared" si="129"/>
        <v/>
      </c>
      <c r="CA22" s="8" t="str">
        <f t="shared" si="129"/>
        <v/>
      </c>
      <c r="CB22" s="8"/>
      <c r="CC22" s="8"/>
      <c r="CD22" s="41" t="str">
        <f t="shared" ref="CD22:CI22" si="130">BV22</f>
        <v/>
      </c>
      <c r="CE22" s="8" t="str">
        <f t="shared" si="130"/>
        <v/>
      </c>
      <c r="CF22" s="8" t="str">
        <f t="shared" si="130"/>
        <v/>
      </c>
      <c r="CG22" s="8" t="str">
        <f t="shared" si="130"/>
        <v/>
      </c>
      <c r="CH22" s="8" t="str">
        <f t="shared" si="130"/>
        <v/>
      </c>
      <c r="CI22" s="8" t="str">
        <f t="shared" si="130"/>
        <v/>
      </c>
      <c r="CJ22" s="8"/>
      <c r="CK22" s="8"/>
      <c r="CL22" s="41" t="str">
        <f t="shared" ref="CL22:CQ22" si="131">CD22</f>
        <v/>
      </c>
      <c r="CM22" s="8" t="str">
        <f t="shared" si="131"/>
        <v/>
      </c>
      <c r="CN22" s="8" t="str">
        <f t="shared" si="131"/>
        <v/>
      </c>
      <c r="CO22" s="8" t="str">
        <f t="shared" si="131"/>
        <v/>
      </c>
      <c r="CP22" s="8" t="str">
        <f t="shared" si="131"/>
        <v/>
      </c>
      <c r="CQ22" s="8" t="str">
        <f t="shared" si="131"/>
        <v/>
      </c>
      <c r="CR22" s="8"/>
      <c r="CS22" s="8"/>
      <c r="CT22" s="41" t="str">
        <f t="shared" ref="CT22:CY22" si="132">CL22</f>
        <v/>
      </c>
      <c r="CU22" s="8" t="str">
        <f t="shared" si="132"/>
        <v/>
      </c>
      <c r="CV22" s="8" t="str">
        <f t="shared" si="132"/>
        <v/>
      </c>
      <c r="CW22" s="8" t="str">
        <f t="shared" si="132"/>
        <v/>
      </c>
      <c r="CX22" s="8" t="str">
        <f t="shared" si="132"/>
        <v/>
      </c>
      <c r="CY22" s="8" t="str">
        <f t="shared" si="132"/>
        <v/>
      </c>
      <c r="CZ22" s="8"/>
      <c r="DA22" s="8"/>
      <c r="DB22" s="41" t="str">
        <f t="shared" ref="DB22:DG22" si="133">CT22</f>
        <v/>
      </c>
      <c r="DC22" s="8" t="str">
        <f t="shared" si="133"/>
        <v/>
      </c>
      <c r="DD22" s="8" t="str">
        <f t="shared" si="133"/>
        <v/>
      </c>
      <c r="DE22" s="8" t="str">
        <f t="shared" si="133"/>
        <v/>
      </c>
      <c r="DF22" s="8" t="str">
        <f t="shared" si="133"/>
        <v/>
      </c>
      <c r="DG22" s="8" t="str">
        <f t="shared" si="133"/>
        <v/>
      </c>
      <c r="DH22" s="8"/>
      <c r="DI22" s="8"/>
      <c r="DJ22" s="41" t="str">
        <f t="shared" ref="DJ22:DO22" si="134">DB22</f>
        <v/>
      </c>
      <c r="DK22" s="8" t="str">
        <f t="shared" si="134"/>
        <v/>
      </c>
      <c r="DL22" s="8" t="str">
        <f t="shared" si="134"/>
        <v/>
      </c>
      <c r="DM22" s="8" t="str">
        <f t="shared" si="134"/>
        <v/>
      </c>
      <c r="DN22" s="8" t="str">
        <f t="shared" si="134"/>
        <v/>
      </c>
      <c r="DO22" s="8" t="str">
        <f t="shared" si="134"/>
        <v/>
      </c>
      <c r="DP22" s="8"/>
      <c r="DQ22" s="8"/>
      <c r="DR22" s="41" t="str">
        <f t="shared" ref="DR22:DW22" si="135">DJ22</f>
        <v/>
      </c>
      <c r="DS22" s="8" t="str">
        <f t="shared" si="135"/>
        <v/>
      </c>
      <c r="DT22" s="8" t="str">
        <f t="shared" si="135"/>
        <v/>
      </c>
      <c r="DU22" s="8" t="str">
        <f t="shared" si="135"/>
        <v/>
      </c>
      <c r="DV22" s="8" t="str">
        <f t="shared" si="135"/>
        <v/>
      </c>
      <c r="DW22" s="8" t="str">
        <f t="shared" si="135"/>
        <v/>
      </c>
      <c r="DX22" s="8"/>
      <c r="DY22" s="8"/>
      <c r="DZ22" s="41" t="str">
        <f t="shared" ref="DZ22:EE22" si="136">DR22</f>
        <v/>
      </c>
      <c r="EA22" s="8" t="str">
        <f t="shared" si="136"/>
        <v/>
      </c>
      <c r="EB22" s="8" t="str">
        <f t="shared" si="136"/>
        <v/>
      </c>
      <c r="EC22" s="8" t="str">
        <f t="shared" si="136"/>
        <v/>
      </c>
      <c r="ED22" s="8" t="str">
        <f t="shared" si="136"/>
        <v/>
      </c>
      <c r="EE22" s="8" t="str">
        <f t="shared" si="136"/>
        <v/>
      </c>
      <c r="EF22" s="8"/>
      <c r="EG22" s="8"/>
      <c r="EH22" s="41" t="str">
        <f t="shared" ref="EH22:EM22" si="137">DZ22</f>
        <v/>
      </c>
      <c r="EI22" s="8" t="str">
        <f t="shared" si="137"/>
        <v/>
      </c>
      <c r="EJ22" s="8" t="str">
        <f t="shared" si="137"/>
        <v/>
      </c>
      <c r="EK22" s="8" t="str">
        <f t="shared" si="137"/>
        <v/>
      </c>
      <c r="EL22" s="8" t="str">
        <f t="shared" si="137"/>
        <v/>
      </c>
      <c r="EM22" s="8" t="str">
        <f t="shared" si="137"/>
        <v/>
      </c>
      <c r="EN22" s="8"/>
      <c r="EO22" s="8"/>
      <c r="EP22" s="41" t="str">
        <f t="shared" ref="EP22:EU22" si="138">EH22</f>
        <v/>
      </c>
      <c r="EQ22" s="8" t="str">
        <f t="shared" si="138"/>
        <v/>
      </c>
      <c r="ER22" s="8" t="str">
        <f t="shared" si="138"/>
        <v/>
      </c>
      <c r="ES22" s="8" t="str">
        <f t="shared" si="138"/>
        <v/>
      </c>
      <c r="ET22" s="8" t="str">
        <f t="shared" si="138"/>
        <v/>
      </c>
      <c r="EU22" s="8" t="str">
        <f t="shared" si="138"/>
        <v/>
      </c>
      <c r="EV22" s="8"/>
      <c r="EW22" s="8"/>
      <c r="EX22" s="41" t="str">
        <f t="shared" ref="EX22:FC22" si="139">EP22</f>
        <v/>
      </c>
      <c r="EY22" s="8" t="str">
        <f t="shared" si="139"/>
        <v/>
      </c>
      <c r="EZ22" s="8" t="str">
        <f t="shared" si="139"/>
        <v/>
      </c>
      <c r="FA22" s="8" t="str">
        <f t="shared" si="139"/>
        <v/>
      </c>
      <c r="FB22" s="8" t="str">
        <f t="shared" si="139"/>
        <v/>
      </c>
      <c r="FC22" s="8" t="str">
        <f t="shared" si="139"/>
        <v/>
      </c>
      <c r="FD22" s="8"/>
      <c r="FE22" s="8"/>
      <c r="FF22" s="41" t="str">
        <f t="shared" ref="FF22:FK22" si="140">EX22</f>
        <v/>
      </c>
      <c r="FG22" s="8" t="str">
        <f t="shared" si="140"/>
        <v/>
      </c>
      <c r="FH22" s="8" t="str">
        <f t="shared" si="140"/>
        <v/>
      </c>
      <c r="FI22" s="8" t="str">
        <f t="shared" si="140"/>
        <v/>
      </c>
      <c r="FJ22" s="8" t="str">
        <f t="shared" si="140"/>
        <v/>
      </c>
      <c r="FK22" s="8" t="str">
        <f t="shared" si="140"/>
        <v/>
      </c>
      <c r="FL22" s="8"/>
      <c r="FM22" s="8"/>
    </row>
    <row r="23">
      <c r="A23" s="43"/>
      <c r="B23" s="44"/>
      <c r="C23" s="45"/>
      <c r="D23" s="45"/>
      <c r="E23" s="45"/>
      <c r="F23" s="45"/>
      <c r="G23" s="45"/>
      <c r="H23" s="45"/>
      <c r="I23" s="45"/>
      <c r="J23" s="44" t="str">
        <f t="shared" ref="J23:O23" si="141">B23</f>
        <v/>
      </c>
      <c r="K23" s="45" t="str">
        <f t="shared" si="141"/>
        <v/>
      </c>
      <c r="L23" s="45" t="str">
        <f t="shared" si="141"/>
        <v/>
      </c>
      <c r="M23" s="45" t="str">
        <f t="shared" si="141"/>
        <v/>
      </c>
      <c r="N23" s="45" t="str">
        <f t="shared" si="141"/>
        <v/>
      </c>
      <c r="O23" s="45" t="str">
        <f t="shared" si="141"/>
        <v/>
      </c>
      <c r="P23" s="45"/>
      <c r="Q23" s="45"/>
      <c r="R23" s="44" t="str">
        <f t="shared" ref="R23:W23" si="142">J23</f>
        <v/>
      </c>
      <c r="S23" s="45" t="str">
        <f t="shared" si="142"/>
        <v/>
      </c>
      <c r="T23" s="45" t="str">
        <f t="shared" si="142"/>
        <v/>
      </c>
      <c r="U23" s="45" t="str">
        <f t="shared" si="142"/>
        <v/>
      </c>
      <c r="V23" s="45" t="str">
        <f t="shared" si="142"/>
        <v/>
      </c>
      <c r="W23" s="45" t="str">
        <f t="shared" si="142"/>
        <v/>
      </c>
      <c r="X23" s="45"/>
      <c r="Y23" s="45"/>
      <c r="Z23" s="44" t="str">
        <f t="shared" ref="Z23:AE23" si="143">R23</f>
        <v/>
      </c>
      <c r="AA23" s="45" t="str">
        <f t="shared" si="143"/>
        <v/>
      </c>
      <c r="AB23" s="45" t="str">
        <f t="shared" si="143"/>
        <v/>
      </c>
      <c r="AC23" s="45" t="str">
        <f t="shared" si="143"/>
        <v/>
      </c>
      <c r="AD23" s="45" t="str">
        <f t="shared" si="143"/>
        <v/>
      </c>
      <c r="AE23" s="45" t="str">
        <f t="shared" si="143"/>
        <v/>
      </c>
      <c r="AF23" s="45"/>
      <c r="AG23" s="45"/>
      <c r="AH23" s="44" t="str">
        <f t="shared" ref="AH23:AM23" si="144">Z23</f>
        <v/>
      </c>
      <c r="AI23" s="45" t="str">
        <f t="shared" si="144"/>
        <v/>
      </c>
      <c r="AJ23" s="45" t="str">
        <f t="shared" si="144"/>
        <v/>
      </c>
      <c r="AK23" s="45" t="str">
        <f t="shared" si="144"/>
        <v/>
      </c>
      <c r="AL23" s="45" t="str">
        <f t="shared" si="144"/>
        <v/>
      </c>
      <c r="AM23" s="45" t="str">
        <f t="shared" si="144"/>
        <v/>
      </c>
      <c r="AN23" s="45"/>
      <c r="AO23" s="45"/>
      <c r="AP23" s="44" t="str">
        <f t="shared" ref="AP23:AU23" si="145">AH23</f>
        <v/>
      </c>
      <c r="AQ23" s="45" t="str">
        <f t="shared" si="145"/>
        <v/>
      </c>
      <c r="AR23" s="45" t="str">
        <f t="shared" si="145"/>
        <v/>
      </c>
      <c r="AS23" s="45" t="str">
        <f t="shared" si="145"/>
        <v/>
      </c>
      <c r="AT23" s="45" t="str">
        <f t="shared" si="145"/>
        <v/>
      </c>
      <c r="AU23" s="45" t="str">
        <f t="shared" si="145"/>
        <v/>
      </c>
      <c r="AV23" s="45"/>
      <c r="AW23" s="45"/>
      <c r="AX23" s="44" t="str">
        <f t="shared" ref="AX23:BC23" si="146">AP23</f>
        <v/>
      </c>
      <c r="AY23" s="45" t="str">
        <f t="shared" si="146"/>
        <v/>
      </c>
      <c r="AZ23" s="45" t="str">
        <f t="shared" si="146"/>
        <v/>
      </c>
      <c r="BA23" s="45" t="str">
        <f t="shared" si="146"/>
        <v/>
      </c>
      <c r="BB23" s="45" t="str">
        <f t="shared" si="146"/>
        <v/>
      </c>
      <c r="BC23" s="45" t="str">
        <f t="shared" si="146"/>
        <v/>
      </c>
      <c r="BD23" s="45"/>
      <c r="BE23" s="45"/>
      <c r="BF23" s="44" t="str">
        <f t="shared" ref="BF23:BK23" si="147">AX23</f>
        <v/>
      </c>
      <c r="BG23" s="45" t="str">
        <f t="shared" si="147"/>
        <v/>
      </c>
      <c r="BH23" s="45" t="str">
        <f t="shared" si="147"/>
        <v/>
      </c>
      <c r="BI23" s="45" t="str">
        <f t="shared" si="147"/>
        <v/>
      </c>
      <c r="BJ23" s="45" t="str">
        <f t="shared" si="147"/>
        <v/>
      </c>
      <c r="BK23" s="45" t="str">
        <f t="shared" si="147"/>
        <v/>
      </c>
      <c r="BL23" s="45"/>
      <c r="BM23" s="45"/>
      <c r="BN23" s="44" t="str">
        <f t="shared" ref="BN23:BS23" si="148">BF23</f>
        <v/>
      </c>
      <c r="BO23" s="45" t="str">
        <f t="shared" si="148"/>
        <v/>
      </c>
      <c r="BP23" s="45" t="str">
        <f t="shared" si="148"/>
        <v/>
      </c>
      <c r="BQ23" s="45" t="str">
        <f t="shared" si="148"/>
        <v/>
      </c>
      <c r="BR23" s="45" t="str">
        <f t="shared" si="148"/>
        <v/>
      </c>
      <c r="BS23" s="45" t="str">
        <f t="shared" si="148"/>
        <v/>
      </c>
      <c r="BT23" s="45"/>
      <c r="BU23" s="45"/>
      <c r="BV23" s="44" t="str">
        <f t="shared" ref="BV23:CA23" si="149">BN23</f>
        <v/>
      </c>
      <c r="BW23" s="45" t="str">
        <f t="shared" si="149"/>
        <v/>
      </c>
      <c r="BX23" s="45" t="str">
        <f t="shared" si="149"/>
        <v/>
      </c>
      <c r="BY23" s="45" t="str">
        <f t="shared" si="149"/>
        <v/>
      </c>
      <c r="BZ23" s="45" t="str">
        <f t="shared" si="149"/>
        <v/>
      </c>
      <c r="CA23" s="45" t="str">
        <f t="shared" si="149"/>
        <v/>
      </c>
      <c r="CB23" s="45"/>
      <c r="CC23" s="45"/>
      <c r="CD23" s="44" t="str">
        <f t="shared" ref="CD23:CI23" si="150">BV23</f>
        <v/>
      </c>
      <c r="CE23" s="45" t="str">
        <f t="shared" si="150"/>
        <v/>
      </c>
      <c r="CF23" s="45" t="str">
        <f t="shared" si="150"/>
        <v/>
      </c>
      <c r="CG23" s="45" t="str">
        <f t="shared" si="150"/>
        <v/>
      </c>
      <c r="CH23" s="45" t="str">
        <f t="shared" si="150"/>
        <v/>
      </c>
      <c r="CI23" s="45" t="str">
        <f t="shared" si="150"/>
        <v/>
      </c>
      <c r="CJ23" s="45"/>
      <c r="CK23" s="45"/>
      <c r="CL23" s="44" t="str">
        <f t="shared" ref="CL23:CQ23" si="151">CD23</f>
        <v/>
      </c>
      <c r="CM23" s="45" t="str">
        <f t="shared" si="151"/>
        <v/>
      </c>
      <c r="CN23" s="45" t="str">
        <f t="shared" si="151"/>
        <v/>
      </c>
      <c r="CO23" s="45" t="str">
        <f t="shared" si="151"/>
        <v/>
      </c>
      <c r="CP23" s="45" t="str">
        <f t="shared" si="151"/>
        <v/>
      </c>
      <c r="CQ23" s="45" t="str">
        <f t="shared" si="151"/>
        <v/>
      </c>
      <c r="CR23" s="45"/>
      <c r="CS23" s="45"/>
      <c r="CT23" s="44" t="str">
        <f t="shared" ref="CT23:CY23" si="152">CL23</f>
        <v/>
      </c>
      <c r="CU23" s="45" t="str">
        <f t="shared" si="152"/>
        <v/>
      </c>
      <c r="CV23" s="45" t="str">
        <f t="shared" si="152"/>
        <v/>
      </c>
      <c r="CW23" s="45" t="str">
        <f t="shared" si="152"/>
        <v/>
      </c>
      <c r="CX23" s="45" t="str">
        <f t="shared" si="152"/>
        <v/>
      </c>
      <c r="CY23" s="45" t="str">
        <f t="shared" si="152"/>
        <v/>
      </c>
      <c r="CZ23" s="45"/>
      <c r="DA23" s="45"/>
      <c r="DB23" s="44" t="str">
        <f t="shared" ref="DB23:DG23" si="153">CT23</f>
        <v/>
      </c>
      <c r="DC23" s="45" t="str">
        <f t="shared" si="153"/>
        <v/>
      </c>
      <c r="DD23" s="45" t="str">
        <f t="shared" si="153"/>
        <v/>
      </c>
      <c r="DE23" s="45" t="str">
        <f t="shared" si="153"/>
        <v/>
      </c>
      <c r="DF23" s="45" t="str">
        <f t="shared" si="153"/>
        <v/>
      </c>
      <c r="DG23" s="45" t="str">
        <f t="shared" si="153"/>
        <v/>
      </c>
      <c r="DH23" s="45"/>
      <c r="DI23" s="45"/>
      <c r="DJ23" s="44" t="str">
        <f t="shared" ref="DJ23:DO23" si="154">DB23</f>
        <v/>
      </c>
      <c r="DK23" s="45" t="str">
        <f t="shared" si="154"/>
        <v/>
      </c>
      <c r="DL23" s="45" t="str">
        <f t="shared" si="154"/>
        <v/>
      </c>
      <c r="DM23" s="45" t="str">
        <f t="shared" si="154"/>
        <v/>
      </c>
      <c r="DN23" s="45" t="str">
        <f t="shared" si="154"/>
        <v/>
      </c>
      <c r="DO23" s="45" t="str">
        <f t="shared" si="154"/>
        <v/>
      </c>
      <c r="DP23" s="45"/>
      <c r="DQ23" s="45"/>
      <c r="DR23" s="44" t="str">
        <f t="shared" ref="DR23:DW23" si="155">DJ23</f>
        <v/>
      </c>
      <c r="DS23" s="45" t="str">
        <f t="shared" si="155"/>
        <v/>
      </c>
      <c r="DT23" s="45" t="str">
        <f t="shared" si="155"/>
        <v/>
      </c>
      <c r="DU23" s="45" t="str">
        <f t="shared" si="155"/>
        <v/>
      </c>
      <c r="DV23" s="45" t="str">
        <f t="shared" si="155"/>
        <v/>
      </c>
      <c r="DW23" s="45" t="str">
        <f t="shared" si="155"/>
        <v/>
      </c>
      <c r="DX23" s="45"/>
      <c r="DY23" s="45"/>
      <c r="DZ23" s="44" t="str">
        <f t="shared" ref="DZ23:EE23" si="156">DR23</f>
        <v/>
      </c>
      <c r="EA23" s="45" t="str">
        <f t="shared" si="156"/>
        <v/>
      </c>
      <c r="EB23" s="45" t="str">
        <f t="shared" si="156"/>
        <v/>
      </c>
      <c r="EC23" s="45" t="str">
        <f t="shared" si="156"/>
        <v/>
      </c>
      <c r="ED23" s="45" t="str">
        <f t="shared" si="156"/>
        <v/>
      </c>
      <c r="EE23" s="45" t="str">
        <f t="shared" si="156"/>
        <v/>
      </c>
      <c r="EF23" s="45"/>
      <c r="EG23" s="45"/>
      <c r="EH23" s="44" t="str">
        <f t="shared" ref="EH23:EM23" si="157">DZ23</f>
        <v/>
      </c>
      <c r="EI23" s="45" t="str">
        <f t="shared" si="157"/>
        <v/>
      </c>
      <c r="EJ23" s="45" t="str">
        <f t="shared" si="157"/>
        <v/>
      </c>
      <c r="EK23" s="45" t="str">
        <f t="shared" si="157"/>
        <v/>
      </c>
      <c r="EL23" s="45" t="str">
        <f t="shared" si="157"/>
        <v/>
      </c>
      <c r="EM23" s="45" t="str">
        <f t="shared" si="157"/>
        <v/>
      </c>
      <c r="EN23" s="45"/>
      <c r="EO23" s="45"/>
      <c r="EP23" s="44" t="str">
        <f t="shared" ref="EP23:EU23" si="158">EH23</f>
        <v/>
      </c>
      <c r="EQ23" s="45" t="str">
        <f t="shared" si="158"/>
        <v/>
      </c>
      <c r="ER23" s="45" t="str">
        <f t="shared" si="158"/>
        <v/>
      </c>
      <c r="ES23" s="45" t="str">
        <f t="shared" si="158"/>
        <v/>
      </c>
      <c r="ET23" s="45" t="str">
        <f t="shared" si="158"/>
        <v/>
      </c>
      <c r="EU23" s="45" t="str">
        <f t="shared" si="158"/>
        <v/>
      </c>
      <c r="EV23" s="45"/>
      <c r="EW23" s="45"/>
      <c r="EX23" s="44" t="str">
        <f t="shared" ref="EX23:FC23" si="159">EP23</f>
        <v/>
      </c>
      <c r="EY23" s="45" t="str">
        <f t="shared" si="159"/>
        <v/>
      </c>
      <c r="EZ23" s="45" t="str">
        <f t="shared" si="159"/>
        <v/>
      </c>
      <c r="FA23" s="45" t="str">
        <f t="shared" si="159"/>
        <v/>
      </c>
      <c r="FB23" s="45" t="str">
        <f t="shared" si="159"/>
        <v/>
      </c>
      <c r="FC23" s="45" t="str">
        <f t="shared" si="159"/>
        <v/>
      </c>
      <c r="FD23" s="45"/>
      <c r="FE23" s="45"/>
      <c r="FF23" s="44" t="str">
        <f t="shared" ref="FF23:FK23" si="160">EX23</f>
        <v/>
      </c>
      <c r="FG23" s="45" t="str">
        <f t="shared" si="160"/>
        <v/>
      </c>
      <c r="FH23" s="45" t="str">
        <f t="shared" si="160"/>
        <v/>
      </c>
      <c r="FI23" s="45" t="str">
        <f t="shared" si="160"/>
        <v/>
      </c>
      <c r="FJ23" s="45" t="str">
        <f t="shared" si="160"/>
        <v/>
      </c>
      <c r="FK23" s="45" t="str">
        <f t="shared" si="160"/>
        <v/>
      </c>
      <c r="FL23" s="45"/>
      <c r="FM23" s="45"/>
    </row>
    <row r="24">
      <c r="A24" s="2"/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31" t="s">
        <v>83</v>
      </c>
      <c r="B25" s="32"/>
      <c r="C25" s="33"/>
      <c r="D25" s="33"/>
      <c r="E25" s="33"/>
      <c r="F25" s="33"/>
      <c r="G25" s="33"/>
      <c r="H25" s="33"/>
      <c r="I25" s="33"/>
      <c r="J25" s="32"/>
      <c r="K25" s="33"/>
      <c r="L25" s="33"/>
      <c r="M25" s="33"/>
      <c r="N25" s="33"/>
      <c r="O25" s="33"/>
      <c r="P25" s="33"/>
      <c r="Q25" s="33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J25" s="33"/>
      <c r="AK25" s="33"/>
      <c r="AL25" s="33"/>
      <c r="AM25" s="33"/>
      <c r="AN25" s="33"/>
      <c r="AO25" s="33"/>
      <c r="AP25" s="32"/>
      <c r="AQ25" s="33"/>
      <c r="AR25" s="33"/>
      <c r="AS25" s="33"/>
      <c r="AT25" s="33"/>
      <c r="AU25" s="33"/>
      <c r="AV25" s="33"/>
      <c r="AW25" s="33"/>
      <c r="AX25" s="32"/>
      <c r="AY25" s="33"/>
      <c r="AZ25" s="33"/>
      <c r="BA25" s="33"/>
      <c r="BB25" s="33"/>
      <c r="BC25" s="33"/>
      <c r="BD25" s="33"/>
      <c r="BE25" s="33"/>
      <c r="BF25" s="32"/>
      <c r="BG25" s="33"/>
      <c r="BH25" s="33"/>
      <c r="BI25" s="33"/>
      <c r="BJ25" s="33"/>
      <c r="BK25" s="33"/>
      <c r="BL25" s="33"/>
      <c r="BM25" s="33"/>
      <c r="BN25" s="32"/>
      <c r="BO25" s="33"/>
      <c r="BP25" s="33"/>
      <c r="BQ25" s="33"/>
      <c r="BR25" s="33"/>
      <c r="BS25" s="33"/>
      <c r="BT25" s="33"/>
      <c r="BU25" s="33"/>
      <c r="BV25" s="32"/>
      <c r="BW25" s="33"/>
      <c r="BX25" s="33"/>
      <c r="BY25" s="33"/>
      <c r="BZ25" s="33"/>
      <c r="CA25" s="33"/>
      <c r="CB25" s="33"/>
      <c r="CC25" s="33"/>
      <c r="CD25" s="32"/>
      <c r="CE25" s="33"/>
      <c r="CF25" s="33"/>
      <c r="CG25" s="33"/>
      <c r="CH25" s="33"/>
      <c r="CI25" s="33"/>
      <c r="CJ25" s="33"/>
      <c r="CK25" s="33"/>
      <c r="CL25" s="32"/>
      <c r="CM25" s="33"/>
      <c r="CN25" s="33"/>
      <c r="CO25" s="33"/>
      <c r="CP25" s="33"/>
      <c r="CQ25" s="33"/>
      <c r="CR25" s="33"/>
      <c r="CS25" s="33"/>
      <c r="CT25" s="32"/>
      <c r="CU25" s="33"/>
      <c r="CV25" s="33"/>
      <c r="CW25" s="33"/>
      <c r="CX25" s="33"/>
      <c r="CY25" s="33"/>
      <c r="CZ25" s="33"/>
      <c r="DA25" s="33"/>
      <c r="DB25" s="32"/>
      <c r="DC25" s="33"/>
      <c r="DD25" s="33"/>
      <c r="DE25" s="33"/>
      <c r="DF25" s="33"/>
      <c r="DG25" s="33"/>
      <c r="DH25" s="33"/>
      <c r="DI25" s="33"/>
      <c r="DJ25" s="32"/>
      <c r="DK25" s="33"/>
      <c r="DL25" s="33"/>
      <c r="DM25" s="33"/>
      <c r="DN25" s="33"/>
      <c r="DO25" s="33"/>
      <c r="DP25" s="33"/>
      <c r="DQ25" s="33"/>
      <c r="DR25" s="32"/>
      <c r="DS25" s="33"/>
      <c r="DT25" s="33"/>
      <c r="DU25" s="33"/>
      <c r="DV25" s="33"/>
      <c r="DW25" s="33"/>
      <c r="DX25" s="33"/>
      <c r="DY25" s="33"/>
      <c r="DZ25" s="32"/>
      <c r="EA25" s="33"/>
      <c r="EB25" s="33"/>
      <c r="EC25" s="33"/>
      <c r="ED25" s="33"/>
      <c r="EE25" s="33"/>
      <c r="EF25" s="33"/>
      <c r="EG25" s="33"/>
      <c r="EH25" s="32"/>
      <c r="EI25" s="33"/>
      <c r="EJ25" s="33"/>
      <c r="EK25" s="33"/>
      <c r="EL25" s="33"/>
      <c r="EM25" s="33"/>
      <c r="EN25" s="33"/>
      <c r="EO25" s="33"/>
      <c r="EP25" s="32"/>
      <c r="EQ25" s="33"/>
      <c r="ER25" s="33"/>
      <c r="ES25" s="33"/>
      <c r="ET25" s="33"/>
      <c r="EU25" s="33"/>
      <c r="EV25" s="33"/>
      <c r="EW25" s="33"/>
      <c r="EX25" s="34" t="s">
        <v>79</v>
      </c>
      <c r="EY25" s="35"/>
      <c r="EZ25" s="35"/>
      <c r="FA25" s="35"/>
      <c r="FB25" s="35"/>
      <c r="FC25" s="35"/>
      <c r="FD25" s="35"/>
      <c r="FE25" s="35"/>
      <c r="FF25" s="32"/>
      <c r="FG25" s="33"/>
      <c r="FH25" s="33"/>
      <c r="FI25" s="33"/>
      <c r="FJ25" s="33"/>
      <c r="FK25" s="33"/>
      <c r="FL25" s="33"/>
      <c r="FM25" s="33"/>
    </row>
    <row r="26" hidden="1">
      <c r="A26" s="36" t="str">
        <f>CONCATENATE(A27," TM")</f>
        <v>Bench Press TM</v>
      </c>
      <c r="B26" s="37">
        <f>if(D26="",'Quick Setup'!D6,D26/'Quick Setup'!E6)</f>
        <v>325</v>
      </c>
      <c r="C26" s="36" t="s">
        <v>77</v>
      </c>
      <c r="D26" s="38"/>
      <c r="E26" s="39"/>
      <c r="F26" s="39"/>
      <c r="G26" s="39"/>
      <c r="H26" s="39"/>
      <c r="I26" s="39"/>
      <c r="J26" s="37">
        <f>if(L26="", if(F27="",B26, if((F27-E27)&lt;-1.9,B26*(1+Setup!F4),if((F27-E27)=-1,B26*(1+Setup!G4),if(G27&lt;D27,B26*(1+Setup!G4),if(G27=D27,B26*(1+Setup!H4),if((G27-D27)=1,B26*(1+Setup!I4),if((G27-D27)=2,B26*(1+Setup!J4),if((G27-D27)=3,B26*(1+Setup!K4),if((G27-D27)=4,B26*(1+Setup!L4),if((G27-D27)&gt;4.1,B26*(1+Setup!M4),B26)))))))))),L26/'Quick Setup'!$E6)</f>
        <v>325</v>
      </c>
      <c r="K26" s="36" t="s">
        <v>77</v>
      </c>
      <c r="L26" s="38"/>
      <c r="M26" s="39"/>
      <c r="N26" s="39"/>
      <c r="O26" s="39"/>
      <c r="P26" s="39"/>
      <c r="Q26" s="39"/>
      <c r="R26" s="37">
        <f>if(T26="", if(N27="",J26, if((N27-M27)&lt;-1.9,J26*(1+Setup!R4),if((N27-M27)=-1,J26*(1+Setup!S4),if(O27&lt;L27,J26*(1+Setup!S4),if(O27=L27,J26*(1+Setup!T4),if((O27-L27)=1,J26*(1+Setup!U4),if((O27-L27)=2,J26*(1+Setup!V4),if((O27-L27)=3,J26*(1+Setup!W4),if((O27-L27)=4,J26*(1+Setup!X4),if((O27-L27)&gt;4.1,J26*(1+Setup!Y4),J26)))))))))),T26/'Quick Setup'!$E6)</f>
        <v>325</v>
      </c>
      <c r="S26" s="36" t="s">
        <v>77</v>
      </c>
      <c r="T26" s="38"/>
      <c r="U26" s="39"/>
      <c r="V26" s="39"/>
      <c r="W26" s="39"/>
      <c r="X26" s="39"/>
      <c r="Y26" s="39"/>
      <c r="Z26" s="37">
        <f>if(AB26="", if(V27="",R26, if((V27-U27)&lt;-1.9,R26*(1+Setup!AD4),if((V27-U27)=-1,R26*(1+Setup!AE4),if(W27&lt;T27,R26*(1+Setup!AE4),if(W27=T27,R26*(1+Setup!AF4),if((W27-T27)=1,R26*(1+Setup!AG4),if((W27-T27)=2,R26*(1+Setup!AH4),if((W27-T27)=3,R26*(1+Setup!AI4),if((W27-T27)=4,R26*(1+Setup!AJ4),if((W27-T27)&gt;4.1,R26*(1+Setup!AK4),R26)))))))))),AB26/'Quick Setup'!$E6)</f>
        <v>325</v>
      </c>
      <c r="AA26" s="36" t="s">
        <v>77</v>
      </c>
      <c r="AB26" s="38"/>
      <c r="AC26" s="39"/>
      <c r="AD26" s="39"/>
      <c r="AE26" s="39"/>
      <c r="AF26" s="39"/>
      <c r="AG26" s="39"/>
      <c r="AH26" s="37">
        <f>if(AJ26="", if(AD27="",Z26, if((AD27-AC27)&lt;-1.9,Z26*(1+Setup!AP4),if((AD27-AC27)=-1,Z26*(1+Setup!AQ4),if(AE27&lt;AB27,Z26*(1+Setup!AQ4),if(AE27=AB27,Z26*(1+Setup!AR4),if((AE27-AB27)=1,Z26*(1+Setup!AS4),if((AE27-AB27)=2,Z26*(1+Setup!AT4),if((AE27-AB27)=3,Z26*(1+Setup!AU4),if((AE27-AB27)=4,Z26*(1+Setup!AV4),if((AE27-AB27)&gt;4.1,Z26*(1+Setup!AW4),Z26)))))))))),AJ26/'Quick Setup'!$E6)</f>
        <v>325</v>
      </c>
      <c r="AI26" s="36" t="s">
        <v>77</v>
      </c>
      <c r="AJ26" s="38"/>
      <c r="AK26" s="39"/>
      <c r="AL26" s="39"/>
      <c r="AM26" s="39"/>
      <c r="AN26" s="39"/>
      <c r="AO26" s="39"/>
      <c r="AP26" s="37">
        <f>if(AR26="", if(AL27="",AH26, if((AL27-AK27)&lt;-1.9,AH26*(1+Setup!BB4),if((AL27-AK27)=-1,AH26*(1+Setup!BC4),if(AM27&lt;AJ27,AH26*(1+Setup!BC4),if(AM27=AJ27,AH26*(1+Setup!BD4),if((AM27-AJ27)=1,AH26*(1+Setup!BE4),if((AM27-AJ27)=2,AH26*(1+Setup!BF4),if((AM27-AJ27)=3,AH26*(1+Setup!BG4),if((AM27-AJ27)=4,AH26*(1+Setup!BH4),if((AM27-AJ27)&gt;4.1,AH26*(1+Setup!BI4),AH26)))))))))),AR26/'Quick Setup'!$E6)</f>
        <v>325</v>
      </c>
      <c r="AQ26" s="36" t="s">
        <v>77</v>
      </c>
      <c r="AR26" s="38"/>
      <c r="AS26" s="39"/>
      <c r="AT26" s="39"/>
      <c r="AU26" s="39"/>
      <c r="AV26" s="39"/>
      <c r="AW26" s="39"/>
      <c r="AX26" s="37">
        <f>if(AZ26="", if(AT27="",AP26, if((AT27-AS27)&lt;-1.9,AP26*(1+Setup!BN4),if((AT27-AS27)=-1,AP26*(1+Setup!BO4),if(AU27&lt;AR27,AP26*(1+Setup!BO4),if(AU27=AR27,AP26*(1+Setup!BP4),if((AU27-AR27)=1,AP26*(1+Setup!BQ4),if((AU27-AR27)=2,AP26*(1+Setup!BR4),if((AU27-AR27)=3,AP26*(1+Setup!BS4),if((AU27-AR27)=4,AP26*(1+Setup!BT4),if((AU27-AR27)&gt;4.1,AP26*(1+Setup!BU4),AP26)))))))))),AZ26/'Quick Setup'!$E6)</f>
        <v>325</v>
      </c>
      <c r="AY26" s="36" t="s">
        <v>77</v>
      </c>
      <c r="AZ26" s="38"/>
      <c r="BA26" s="39"/>
      <c r="BB26" s="39"/>
      <c r="BC26" s="39"/>
      <c r="BD26" s="39"/>
      <c r="BE26" s="39"/>
      <c r="BF26" s="37">
        <f>if(BH26="",AX26,BH26/'Quick Setup'!$E6)</f>
        <v>325</v>
      </c>
      <c r="BG26" s="36" t="s">
        <v>77</v>
      </c>
      <c r="BH26" s="38"/>
      <c r="BI26" s="39"/>
      <c r="BJ26" s="39"/>
      <c r="BK26" s="39"/>
      <c r="BL26" s="39"/>
      <c r="BM26" s="39"/>
      <c r="BN26" s="37">
        <f>if(BP26="", if(BJ27="",BF26, if((BJ27-BI27)&lt;-1.9,BF26*(1+Setup!CL4),if((BJ27-BI27)=-1,BF26*(1+Setup!CM4),if(BK27&lt;BH27,BF26*(1+Setup!CM4),if(BK27=BH27,BF26*(1+Setup!CN4),if((BK27-BH27)=1,BF26*(1+Setup!CO4),if((BK27-BH27)=2,BF26*(1+Setup!CP4),if((BK27-BH27)=3,BF26*(1+Setup!CQ4),if((BK27-BH27)=4,BF26*(1+Setup!CR4),if((BK27-BH27)&gt;4.1,BF26*(1+Setup!CS4),BF26)))))))))),BP26/'Quick Setup'!$E6)</f>
        <v>325</v>
      </c>
      <c r="BO26" s="36" t="s">
        <v>77</v>
      </c>
      <c r="BP26" s="38"/>
      <c r="BQ26" s="39"/>
      <c r="BR26" s="39"/>
      <c r="BS26" s="39"/>
      <c r="BT26" s="39"/>
      <c r="BU26" s="39"/>
      <c r="BV26" s="37">
        <f>if(BX26="", if(BR27="",BN26, if((BR27-BQ27)&lt;-1.9,BN26*(1+Setup!CX4),if((BR27-BQ27)=-1,BN26*(1+Setup!CY4),if(BS27&lt;BP27,BN26*(1+Setup!CY4),if(BS27=BP27,BN26*(1+Setup!CZ4),if((BS27-BP27)=1,BN26*(1+Setup!DA4),if((BS27-BP27)=2,BN26*(1+Setup!DB4),if((BS27-BP27)=3,BN26*(1+Setup!DC4),if((BS27-BP27)=4,BN26*(1+Setup!DD4),if((BS27-BP27)&gt;4.1,BN26*(1+Setup!DE4),BN26)))))))))),BX26/'Quick Setup'!$E6)</f>
        <v>325</v>
      </c>
      <c r="BW26" s="36" t="s">
        <v>77</v>
      </c>
      <c r="BX26" s="38"/>
      <c r="BY26" s="39"/>
      <c r="BZ26" s="39"/>
      <c r="CA26" s="39"/>
      <c r="CB26" s="39"/>
      <c r="CC26" s="39"/>
      <c r="CD26" s="37">
        <f>if(CF26="", if(BZ27="",BV26, if((BZ27-BY27)&lt;-1.9,BV26*(1+Setup!DJ4),if((BZ27-BY27)=-1,BV26*(1+Setup!DK4),if(CA27&lt;BX27,BV26*(1+Setup!DK4),if(CA27=BX27,BV26*(1+Setup!DL4),if((CA27-BX27)=1,BV26*(1+Setup!DM4),if((CA27-BX27)=2,BV26*(1+Setup!DN4),if((CA27-BX27)=3,BV26*(1+Setup!DO4),if((CA27-BX27)=4,BV26*(1+Setup!DP4),if((CA27-BX27)&gt;4.1,BV26*(1+Setup!DQ4),BV26)))))))))),CF26/'Quick Setup'!$E6)</f>
        <v>325</v>
      </c>
      <c r="CE26" s="36" t="s">
        <v>77</v>
      </c>
      <c r="CF26" s="38"/>
      <c r="CG26" s="39"/>
      <c r="CH26" s="39"/>
      <c r="CI26" s="39"/>
      <c r="CJ26" s="39"/>
      <c r="CK26" s="39"/>
      <c r="CL26" s="37">
        <f>if(CN26="", if(CH27="",CD26, if((CH27-CG27)&lt;-1.9,CD26*(1+Setup!DV4),if((CH27-CG27)=-1,CD26*(1+Setup!DW4),if(CI27&lt;CF27,CD26*(1+Setup!DW4),if(CI27=CF27,CD26*(1+Setup!DX4),if((CI27-CF27)=1,CD26*(1+Setup!DY4),if((CI27-CF27)=2,CD26*(1+Setup!DZ4),if((CI27-CF27)=3,CD26*(1+Setup!EA4),if((CI27-CF27)=4,CD26*(1+Setup!EB4),if((CI27-CF27)&gt;4.1,CD26*(1+Setup!EC4),CD26)))))))))),CN26/'Quick Setup'!$E6)</f>
        <v>325</v>
      </c>
      <c r="CM26" s="36" t="s">
        <v>77</v>
      </c>
      <c r="CN26" s="38"/>
      <c r="CO26" s="39"/>
      <c r="CP26" s="39"/>
      <c r="CQ26" s="39"/>
      <c r="CR26" s="39"/>
      <c r="CS26" s="39"/>
      <c r="CT26" s="37">
        <f>if(CV26="", if(CP27="",CL26, if((CP27-CO27)&lt;-1.9,CL26*(1+Setup!EH4),if((CP27-CO27)=-1,CL26*(1+Setup!EI4),if(CQ27&lt;CN27,CL26*(1+Setup!EI4),if(CQ27=CN27,CL26*(1+Setup!EJ4),if((CQ27-CN27)=1,CL26*(1+Setup!EK4),if((CQ27-CN27)=2,CL26*(1+Setup!EL4),if((CQ27-CN27)=3,CL26*(1+Setup!EM4),if((CQ27-CN27)=4,CL26*(1+Setup!EN4),if((CQ27-CN27)&gt;4.1,CL26*(1+Setup!EO4),CL26)))))))))),CV26/'Quick Setup'!$E6)</f>
        <v>325</v>
      </c>
      <c r="CU26" s="36" t="s">
        <v>77</v>
      </c>
      <c r="CV26" s="38"/>
      <c r="CW26" s="39"/>
      <c r="CX26" s="39"/>
      <c r="CY26" s="39"/>
      <c r="CZ26" s="39"/>
      <c r="DA26" s="39"/>
      <c r="DB26" s="37">
        <f>if(DD26="", if(CX27="",CT26, if((CX27-CW27)&lt;-1.9,CT26*(1+Setup!ET4),if((CX27-CW27)=-1,CT26*(1+Setup!EU4),if(CY27&lt;CV27,CT26*(1+Setup!EU4),if(CY27=CV27,CT26*(1+Setup!EV4),if((CY27-CV27)=1,CT26*(1+Setup!EW4),if((CY27-CV27)=2,CT26*(1+Setup!EX4),if((CY27-CV27)=3,CT26*(1+Setup!EY4),if((CY27-CV27)=4,CT26*(1+Setup!EZ4),if((CY27-CV27)&gt;4.1,CT26*(1+Setup!FA4),CT26)))))))))),DD26/'Quick Setup'!$E6)</f>
        <v>325</v>
      </c>
      <c r="DC26" s="36" t="s">
        <v>77</v>
      </c>
      <c r="DD26" s="38"/>
      <c r="DE26" s="39"/>
      <c r="DF26" s="39"/>
      <c r="DG26" s="39"/>
      <c r="DH26" s="39"/>
      <c r="DI26" s="39"/>
      <c r="DJ26" s="37">
        <f>if(DL26="",DB26,DL26/'Quick Setup'!$E6)</f>
        <v>325</v>
      </c>
      <c r="DK26" s="36" t="s">
        <v>77</v>
      </c>
      <c r="DL26" s="38"/>
      <c r="DM26" s="39"/>
      <c r="DN26" s="39"/>
      <c r="DO26" s="39"/>
      <c r="DP26" s="39"/>
      <c r="DQ26" s="39"/>
      <c r="DR26" s="37">
        <f>if(DT26="", if(DN27="",DJ26, if((DN27-DM27)&lt;-1.9,DJ26*(1+Setup!FR4),if((DN27-DM27)=-1,DJ26*(1+Setup!FS4),if(DO27&lt;DL27,DJ26*(1+Setup!FS4),if(DO27=DL27,DJ26*(1+Setup!FT4),if((DO27-DL27)=1,DJ26*(1+Setup!FU4),if((DO27-DL27)=2,DJ26*(1+Setup!FV4),if((DO27-DL27)=3,DJ26*(1+Setup!FW4),if((DO27-DL27)=4,DJ26*(1+Setup!FX4),if((DO27-DL27)&gt;4.1,DJ26*(1+Setup!FY4),DJ26)))))))))),DT26/'Quick Setup'!$E6)</f>
        <v>325</v>
      </c>
      <c r="DS26" s="36" t="s">
        <v>77</v>
      </c>
      <c r="DT26" s="38"/>
      <c r="DU26" s="39"/>
      <c r="DV26" s="39"/>
      <c r="DW26" s="39"/>
      <c r="DX26" s="39"/>
      <c r="DY26" s="39"/>
      <c r="DZ26" s="37">
        <f>if(EB26="", if(DV27="",DR26, if((DV27-DU27)&lt;-1.9,DR26*(1+Setup!GD4),if((DV27-DU27)=-1,DR26*(1+Setup!GE4),if(DW27&lt;DT27,DR26*(1+Setup!GE4),if(DW27=DT27,DR26*(1+Setup!GF4),if((DW27-DT27)=1,DR26*(1+Setup!GG4),if((DW27-DT27)=2,DR26*(1+Setup!GH4),if((DW27-DT27)=3,DR26*(1+Setup!GI4),if((DW27-DT27)=4,DR26*(1+Setup!GJ4),if((DW27-DT27)&gt;4.1,DR26*(1+Setup!GK4),DR26)))))))))),EB26/'Quick Setup'!$E6)</f>
        <v>325</v>
      </c>
      <c r="EA26" s="36" t="s">
        <v>77</v>
      </c>
      <c r="EB26" s="38"/>
      <c r="EC26" s="39"/>
      <c r="ED26" s="39"/>
      <c r="EE26" s="39"/>
      <c r="EF26" s="39"/>
      <c r="EG26" s="39"/>
      <c r="EH26" s="37">
        <f>if(EJ26="", if(ED27="",DZ26, if((ED27-EC27)&lt;-1.9,DZ26*(1+Setup!GP4),if((ED27-EC27)=-1,DZ26*(1+Setup!GQ4),if(EE27&lt;EB27,DZ26*(1+Setup!GQ4),if(EE27=EB27,DZ26*(1+Setup!GR4),if((EE27-EB27)=1,DZ26*(1+Setup!GS4),if((EE27-EB27)=2,DZ26*(1+Setup!GT4),if((EE27-EB27)=3,DZ26*(1+Setup!GU4),if((EE27-EB27)=4,DZ26*(1+Setup!GV4),if((EE27-EB27)&gt;4.1,DZ26*(1+Setup!GW4),DZ26)))))))))),EJ26/'Quick Setup'!$E6)</f>
        <v>325</v>
      </c>
      <c r="EI26" s="36" t="s">
        <v>77</v>
      </c>
      <c r="EJ26" s="38"/>
      <c r="EK26" s="39"/>
      <c r="EL26" s="39"/>
      <c r="EM26" s="39"/>
      <c r="EN26" s="39"/>
      <c r="EO26" s="39"/>
      <c r="EP26" s="37">
        <f>if(ER26="", if(EL27="",EH26, if((EL27-EK27)&lt;-1.9,EH26*(1+Setup!HB4),if((EL27-EK27)=-1,EH26*(1+Setup!HC4),if(EM27&lt;EJ27,EH26*(1+Setup!HC4),if(EM27=EJ27,EH26*(1+Setup!HD4),if((EM27-EJ27)=1,EH26*(1+Setup!HE4),if((EM27-EJ27)=2,EH26*(1+Setup!HF4),if((EM27-EJ27)=3,EH26*(1+Setup!HG4),if((EM27-EJ27)=4,EH26*(1+Setup!HH4),if((EM27-EJ27)&gt;4.1,EH26*(1+Setup!HI4),EH26)))))))))),ER26/'Quick Setup'!$E6)</f>
        <v>325</v>
      </c>
      <c r="EQ26" s="36" t="s">
        <v>77</v>
      </c>
      <c r="ER26" s="38"/>
      <c r="ES26" s="39"/>
      <c r="ET26" s="39"/>
      <c r="EU26" s="39"/>
      <c r="EV26" s="39"/>
      <c r="EW26" s="39"/>
      <c r="EX26" s="37">
        <f>if(EZ26="", if(ET27="",EP26, if((ET27-ES27)&lt;-1.9,EP26*(1+Setup!HN4),if((ET27-ES27)=-1,EP26*(1+Setup!HO4),if(EU27&lt;ER27,EP26*(1+Setup!HO4),if(EU27=ER27,EP26*(1+Setup!HP4),if((EU27-ER27)=1,EP26*(1+Setup!HQ4),if((EU27-ER27)=2,EP26*(1+Setup!HR4),if((EU27-ER27)=3,EP26*(1+Setup!HS4),if((EU27-ER27)=4,EP26*(1+Setup!HT4),if((EU27-ER27)&gt;4.1,EP26*(1+Setup!HU4),EP26)))))))))),EZ26/'Quick Setup'!$E6)</f>
        <v>325</v>
      </c>
      <c r="EY26" s="36" t="s">
        <v>77</v>
      </c>
      <c r="EZ26" s="38"/>
      <c r="FA26" s="39"/>
      <c r="FB26" s="39"/>
      <c r="FC26" s="39"/>
      <c r="FD26" s="39"/>
      <c r="FE26" s="39"/>
      <c r="FF26" s="37">
        <f>if(FH26="", if(FB27="",EX26, if((FB27-FA27)&lt;-1.9,EX26*(1+Setup!HZ4),if((FB27-FA27)=-1,EX26*(1+Setup!IA4),if(FC27&lt;EZ27,EX26*(1+Setup!IA4),if(FC27=EZ27,EX26*(1+Setup!IB4),if((FC27-EZ27)=1,EX26*(1+Setup!IC4),if((FC27-EZ27)=2,EX26*(1+Setup!ID4),if((FC27-EZ27)=3,EX26*(1+Setup!IE4),if((FC27-EZ27)=4,EX26*(1+Setup!IF4),if((FC27-EZ27)&gt;4.1,EX26*(1+Setup!IG4),EX26)))))))))),FH26/'Quick Setup'!$E6)</f>
        <v>325</v>
      </c>
      <c r="FG26" s="36" t="s">
        <v>77</v>
      </c>
      <c r="FH26" s="38"/>
      <c r="FI26" s="39"/>
      <c r="FJ26" s="39"/>
      <c r="FK26" s="39"/>
      <c r="FL26" s="39"/>
      <c r="FM26" s="39"/>
    </row>
    <row r="27">
      <c r="A27" s="1" t="str">
        <f>Setup!A4</f>
        <v>Bench Press</v>
      </c>
      <c r="B27" s="40">
        <f>mround(B26*Setup!B4,'Quick Setup'!$A$2)</f>
        <v>227.5</v>
      </c>
      <c r="C27" s="2">
        <f>Setup!C4</f>
        <v>5</v>
      </c>
      <c r="D27" s="2">
        <f>Setup!D4</f>
        <v>3</v>
      </c>
      <c r="E27" s="2">
        <f>Setup!E4</f>
        <v>5</v>
      </c>
      <c r="F27" s="8"/>
      <c r="G27" s="8"/>
      <c r="H27" s="8"/>
      <c r="I27" s="8"/>
      <c r="J27" s="40">
        <f>mround(J26*Setup!N4,'Quick Setup'!$A$2)</f>
        <v>245</v>
      </c>
      <c r="K27" s="2">
        <f>Setup!O4</f>
        <v>4</v>
      </c>
      <c r="L27" s="2">
        <f>Setup!P4</f>
        <v>2</v>
      </c>
      <c r="M27" s="2">
        <f>Setup!Q4</f>
        <v>5</v>
      </c>
      <c r="N27" s="8"/>
      <c r="O27" s="8"/>
      <c r="P27" s="8"/>
      <c r="Q27" s="8"/>
      <c r="R27" s="40">
        <f>mround(R26*Setup!Z4,'Quick Setup'!$A$2)</f>
        <v>260</v>
      </c>
      <c r="S27" s="2">
        <f>Setup!AA4</f>
        <v>3</v>
      </c>
      <c r="T27" s="2">
        <f>Setup!AB4</f>
        <v>2</v>
      </c>
      <c r="U27" s="2">
        <f>Setup!AC4</f>
        <v>5</v>
      </c>
      <c r="V27" s="8"/>
      <c r="W27" s="8"/>
      <c r="X27" s="8"/>
      <c r="Y27" s="8"/>
      <c r="Z27" s="40">
        <f>mround(Z26*Setup!AL4,'Quick Setup'!$A$2)</f>
        <v>235</v>
      </c>
      <c r="AA27" s="2">
        <f>Setup!AM4</f>
        <v>5</v>
      </c>
      <c r="AB27" s="2">
        <f>Setup!AN4</f>
        <v>3</v>
      </c>
      <c r="AC27" s="2">
        <f>Setup!AO4</f>
        <v>5</v>
      </c>
      <c r="AD27" s="8"/>
      <c r="AE27" s="8"/>
      <c r="AF27" s="8"/>
      <c r="AG27" s="8"/>
      <c r="AH27" s="40">
        <f>mround(AH26*Setup!AX4,'Quick Setup'!$A$2)</f>
        <v>252.5</v>
      </c>
      <c r="AI27" s="2">
        <f>Setup!AY4</f>
        <v>4</v>
      </c>
      <c r="AJ27" s="2">
        <f>Setup!AZ4</f>
        <v>2</v>
      </c>
      <c r="AK27" s="2">
        <f>Setup!BA4</f>
        <v>5</v>
      </c>
      <c r="AL27" s="8"/>
      <c r="AM27" s="8"/>
      <c r="AN27" s="8"/>
      <c r="AO27" s="8"/>
      <c r="AP27" s="40">
        <f>mround(AP26*Setup!BJ4,'Quick Setup'!$A$2)</f>
        <v>267.5</v>
      </c>
      <c r="AQ27" s="2">
        <f>Setup!BK4</f>
        <v>3</v>
      </c>
      <c r="AR27" s="2">
        <f>Setup!BL4</f>
        <v>2</v>
      </c>
      <c r="AS27" s="2">
        <f>Setup!BM4</f>
        <v>5</v>
      </c>
      <c r="AT27" s="8"/>
      <c r="AU27" s="8"/>
      <c r="AV27" s="8"/>
      <c r="AW27" s="8"/>
      <c r="AX27" s="40">
        <f>mround(AX26*Setup!BV4,'Quick Setup'!$A$2)</f>
        <v>195</v>
      </c>
      <c r="AY27" s="1">
        <v>5.0</v>
      </c>
      <c r="AZ27" s="1" t="s">
        <v>80</v>
      </c>
      <c r="BA27" s="2">
        <f>Setup!BY4</f>
        <v>5</v>
      </c>
      <c r="BB27" s="8"/>
      <c r="BC27" s="8"/>
      <c r="BD27" s="8"/>
      <c r="BE27" s="8"/>
      <c r="BF27" s="40">
        <f>mround(BF26*Setup!CH4,'Quick Setup'!$A$2)</f>
        <v>245</v>
      </c>
      <c r="BG27" s="2">
        <f>Setup!CI4</f>
        <v>4</v>
      </c>
      <c r="BH27" s="2">
        <f>Setup!CJ4</f>
        <v>2</v>
      </c>
      <c r="BI27" s="2">
        <f>Setup!CK4</f>
        <v>5</v>
      </c>
      <c r="BJ27" s="8"/>
      <c r="BK27" s="8"/>
      <c r="BL27" s="8"/>
      <c r="BM27" s="8"/>
      <c r="BN27" s="40">
        <f>mround(BN26*Setup!CT4,'Quick Setup'!$A$2)</f>
        <v>260</v>
      </c>
      <c r="BO27" s="2">
        <f>Setup!CU4</f>
        <v>3</v>
      </c>
      <c r="BP27" s="2">
        <f>Setup!CV4</f>
        <v>2</v>
      </c>
      <c r="BQ27" s="2">
        <f>Setup!CW4</f>
        <v>5</v>
      </c>
      <c r="BR27" s="8"/>
      <c r="BS27" s="8"/>
      <c r="BT27" s="8"/>
      <c r="BU27" s="8"/>
      <c r="BV27" s="40">
        <f>mround(BV26*Setup!DF4,'Quick Setup'!$A$2)</f>
        <v>277.5</v>
      </c>
      <c r="BW27" s="2">
        <f>Setup!DG4</f>
        <v>2</v>
      </c>
      <c r="BX27" s="2">
        <f>Setup!DH4</f>
        <v>1</v>
      </c>
      <c r="BY27" s="2">
        <f>Setup!DI4</f>
        <v>5</v>
      </c>
      <c r="BZ27" s="8"/>
      <c r="CA27" s="8"/>
      <c r="CB27" s="8"/>
      <c r="CC27" s="8"/>
      <c r="CD27" s="40">
        <f>mround(CD26*Setup!DR4,'Quick Setup'!$A$2)</f>
        <v>252.5</v>
      </c>
      <c r="CE27" s="2">
        <f>Setup!DS4</f>
        <v>4</v>
      </c>
      <c r="CF27" s="2">
        <f>Setup!DT4</f>
        <v>2</v>
      </c>
      <c r="CG27" s="2">
        <f>Setup!DU4</f>
        <v>5</v>
      </c>
      <c r="CH27" s="8"/>
      <c r="CI27" s="8"/>
      <c r="CJ27" s="8"/>
      <c r="CK27" s="8"/>
      <c r="CL27" s="40">
        <f>mround(CL26*Setup!ED4,'Quick Setup'!$A$2)</f>
        <v>267.5</v>
      </c>
      <c r="CM27" s="2">
        <f>Setup!EE4</f>
        <v>3</v>
      </c>
      <c r="CN27" s="2">
        <f>Setup!EF4</f>
        <v>2</v>
      </c>
      <c r="CO27" s="2">
        <f>Setup!EG4</f>
        <v>5</v>
      </c>
      <c r="CP27" s="8"/>
      <c r="CQ27" s="8"/>
      <c r="CR27" s="8"/>
      <c r="CS27" s="8"/>
      <c r="CT27" s="40">
        <f>mround(CT26*Setup!EP4,'Quick Setup'!$A$2)</f>
        <v>285</v>
      </c>
      <c r="CU27" s="2">
        <f>Setup!EQ4</f>
        <v>2</v>
      </c>
      <c r="CV27" s="2">
        <f>Setup!ER4</f>
        <v>1</v>
      </c>
      <c r="CW27" s="2">
        <f>Setup!ES4</f>
        <v>5</v>
      </c>
      <c r="CX27" s="8"/>
      <c r="CY27" s="8"/>
      <c r="CZ27" s="8"/>
      <c r="DA27" s="8"/>
      <c r="DB27" s="40">
        <f>mround(DB26*Setup!FB4,'Quick Setup'!$A$2)</f>
        <v>195</v>
      </c>
      <c r="DC27" s="1">
        <v>5.0</v>
      </c>
      <c r="DD27" s="1" t="s">
        <v>80</v>
      </c>
      <c r="DE27" s="2">
        <f>Setup!FE4</f>
        <v>5</v>
      </c>
      <c r="DF27" s="8"/>
      <c r="DG27" s="8"/>
      <c r="DH27" s="8"/>
      <c r="DI27" s="8"/>
      <c r="DJ27" s="40">
        <f>mround(DJ26*Setup!FN4,'Quick Setup'!$A$2)</f>
        <v>260</v>
      </c>
      <c r="DK27" s="2">
        <f>Setup!FO4</f>
        <v>3</v>
      </c>
      <c r="DL27" s="2">
        <f>Setup!FP4</f>
        <v>2</v>
      </c>
      <c r="DM27" s="2">
        <f>Setup!FQ4</f>
        <v>5</v>
      </c>
      <c r="DN27" s="8"/>
      <c r="DO27" s="8"/>
      <c r="DP27" s="8"/>
      <c r="DQ27" s="8"/>
      <c r="DR27" s="40">
        <f>mround(DR26*Setup!FZ4,'Quick Setup'!$A$2)</f>
        <v>277.5</v>
      </c>
      <c r="DS27" s="2">
        <f>Setup!GA4</f>
        <v>2</v>
      </c>
      <c r="DT27" s="2">
        <f>Setup!GB4</f>
        <v>1</v>
      </c>
      <c r="DU27" s="2">
        <f>Setup!GC4</f>
        <v>5</v>
      </c>
      <c r="DV27" s="8"/>
      <c r="DW27" s="8"/>
      <c r="DX27" s="8"/>
      <c r="DY27" s="8"/>
      <c r="DZ27" s="40">
        <f>mround(DZ26*Setup!GL4,'Quick Setup'!$A$2)</f>
        <v>292.5</v>
      </c>
      <c r="EA27" s="2">
        <f>Setup!GM4</f>
        <v>1</v>
      </c>
      <c r="EB27" s="2">
        <f>Setup!GN4</f>
        <v>1</v>
      </c>
      <c r="EC27" s="2">
        <f>Setup!GO4</f>
        <v>5</v>
      </c>
      <c r="ED27" s="8"/>
      <c r="EE27" s="8"/>
      <c r="EF27" s="8"/>
      <c r="EG27" s="8"/>
      <c r="EH27" s="40">
        <f>mround(EH26*Setup!GX4,'Quick Setup'!$A$2)</f>
        <v>277.5</v>
      </c>
      <c r="EI27" s="2">
        <f>Setup!GY4</f>
        <v>2</v>
      </c>
      <c r="EJ27" s="2">
        <f>Setup!GZ4</f>
        <v>1</v>
      </c>
      <c r="EK27" s="2">
        <f>Setup!HA4</f>
        <v>5</v>
      </c>
      <c r="EL27" s="8"/>
      <c r="EM27" s="8"/>
      <c r="EN27" s="8"/>
      <c r="EO27" s="8"/>
      <c r="EP27" s="40">
        <f>mround(EP26*Setup!HJ4,'Quick Setup'!$A$2)</f>
        <v>292.5</v>
      </c>
      <c r="EQ27" s="2">
        <f>Setup!HK4</f>
        <v>1</v>
      </c>
      <c r="ER27" s="2">
        <f>Setup!HL4</f>
        <v>1</v>
      </c>
      <c r="ES27" s="2">
        <f>Setup!HM4</f>
        <v>5</v>
      </c>
      <c r="ET27" s="8"/>
      <c r="EU27" s="8"/>
      <c r="EV27" s="8"/>
      <c r="EW27" s="8"/>
      <c r="EX27" s="40">
        <f>mround(EX26*Setup!HV4,'Quick Setup'!$A$2)</f>
        <v>310</v>
      </c>
      <c r="EY27" s="2">
        <f>Setup!HW4</f>
        <v>1</v>
      </c>
      <c r="EZ27" s="2">
        <f>Setup!HX4</f>
        <v>1</v>
      </c>
      <c r="FA27" s="2">
        <f>Setup!HY4</f>
        <v>5</v>
      </c>
      <c r="FB27" s="8"/>
      <c r="FC27" s="8"/>
      <c r="FD27" s="8"/>
      <c r="FE27" s="8"/>
      <c r="FF27" s="40">
        <f>mround(FF26*Setup!IH4,'Quick Setup'!$A$2)</f>
        <v>195</v>
      </c>
      <c r="FG27" s="1">
        <v>5.0</v>
      </c>
      <c r="FH27" s="1" t="s">
        <v>80</v>
      </c>
      <c r="FI27" s="2">
        <f>Setup!IK4</f>
        <v>5</v>
      </c>
      <c r="FJ27" s="8"/>
      <c r="FK27" s="8"/>
      <c r="FL27" s="8"/>
      <c r="FM27" s="8"/>
    </row>
    <row r="28" hidden="1">
      <c r="A28" s="36" t="str">
        <f>CONCATENATE(A29," TM")</f>
        <v>Front Squat TM</v>
      </c>
      <c r="B28" s="37">
        <f>if(D28="",'Quick Setup'!D11,D28/'Quick Setup'!E11)</f>
        <v>420</v>
      </c>
      <c r="C28" s="36" t="s">
        <v>77</v>
      </c>
      <c r="D28" s="38"/>
      <c r="E28" s="39"/>
      <c r="F28" s="39"/>
      <c r="G28" s="39"/>
      <c r="H28" s="39"/>
      <c r="I28" s="39"/>
      <c r="J28" s="37">
        <f>if(L28="", if(F29="",B28, if((F29-E29)&lt;-1.9,B28*(1+Setup!F9),if((F29-E29)=-1,B28*(1+Setup!G9),if(G29&lt;D29,B28*(1+Setup!G9),if(G29=D29,B28*(1+Setup!H9),if((G29-D29)=1,B28*(1+Setup!I9),if((G29-D29)=2,B28*(1+Setup!J9),if((G29-D29)=3,B28*(1+Setup!K9),if((G29-D29)=4,B28*(1+Setup!L9),if((G29-D29)&gt;4.1,B28*(1+Setup!M9),B28)))))))))),L28/'Quick Setup'!$E11)</f>
        <v>420</v>
      </c>
      <c r="K28" s="36" t="s">
        <v>77</v>
      </c>
      <c r="L28" s="38"/>
      <c r="M28" s="39"/>
      <c r="N28" s="39"/>
      <c r="O28" s="39"/>
      <c r="P28" s="39"/>
      <c r="Q28" s="39"/>
      <c r="R28" s="37">
        <f>if(T28="", if(N29="",J28, if((N29-M29)&lt;-1.9,J28*(1+Setup!R9),if((N29-M29)=-1,J28*(1+Setup!S9),if(O29&lt;L29,J28*(1+Setup!S9),if(O29=L29,J28*(1+Setup!T9),if((O29-L29)=1,J28*(1+Setup!U9),if((O29-L29)=2,J28*(1+Setup!V9),if((O29-L29)=3,J28*(1+Setup!W9),if((O29-L29)=4,J28*(1+Setup!X9),if((O29-L29)&gt;4.1,J28*(1+Setup!Y9),J28)))))))))),T28/'Quick Setup'!$E11)</f>
        <v>420</v>
      </c>
      <c r="S28" s="36" t="s">
        <v>77</v>
      </c>
      <c r="T28" s="38"/>
      <c r="U28" s="39"/>
      <c r="V28" s="39"/>
      <c r="W28" s="39"/>
      <c r="X28" s="39"/>
      <c r="Y28" s="39"/>
      <c r="Z28" s="37">
        <f>if(AB28="", if(V29="",R28, if((V29-U29)&lt;-1.9,R28*(1+Setup!AD9),if((V29-U29)=-1,R28*(1+Setup!AE9),if(W29&lt;T29,R28*(1+Setup!AE9),if(W29=T29,R28*(1+Setup!AF9),if((W29-T29)=1,R28*(1+Setup!AG9),if((W29-T29)=2,R28*(1+Setup!AH9),if((W29-T29)=3,R28*(1+Setup!AI9),if((W29-T29)=4,R28*(1+Setup!AJ9),if((W29-T29)&gt;4.1,R28*(1+Setup!AK9),R28)))))))))),AB28/'Quick Setup'!$E11)</f>
        <v>420</v>
      </c>
      <c r="AA28" s="36" t="s">
        <v>77</v>
      </c>
      <c r="AB28" s="38"/>
      <c r="AC28" s="39"/>
      <c r="AD28" s="39"/>
      <c r="AE28" s="39"/>
      <c r="AF28" s="39"/>
      <c r="AG28" s="39"/>
      <c r="AH28" s="37">
        <f>if(AJ28="", if(AD29="",Z28, if((AD29-AC29)&lt;-1.9,Z28*(1+Setup!AP9),if((AD29-AC29)=-1,Z28*(1+Setup!AQ9),if(AE29&lt;AB29,Z28*(1+Setup!AQ9),if(AE29=AB29,Z28*(1+Setup!AR9),if((AE29-AB29)=1,Z28*(1+Setup!AS9),if((AE29-AB29)=2,Z28*(1+Setup!AT9),if((AE29-AB29)=3,Z28*(1+Setup!AU9),if((AE29-AB29)=4,Z28*(1+Setup!AV9),if((AE29-AB29)&gt;4.1,Z28*(1+Setup!AW9),Z28)))))))))),AJ28/'Quick Setup'!$E11)</f>
        <v>420</v>
      </c>
      <c r="AI28" s="36" t="s">
        <v>77</v>
      </c>
      <c r="AJ28" s="38"/>
      <c r="AK28" s="39"/>
      <c r="AL28" s="39"/>
      <c r="AM28" s="39"/>
      <c r="AN28" s="39"/>
      <c r="AO28" s="39"/>
      <c r="AP28" s="37">
        <f>if(AR28="", if(AL29="",AH28, if((AL29-AK29)&lt;-1.9,AH28*(1+Setup!BB9),if((AL29-AK29)=-1,AH28*(1+Setup!BC9),if(AM29&lt;AJ29,AH28*(1+Setup!BC9),if(AM29=AJ29,AH28*(1+Setup!BD9),if((AM29-AJ29)=1,AH28*(1+Setup!BE9),if((AM29-AJ29)=2,AH28*(1+Setup!BF9),if((AM29-AJ29)=3,AH28*(1+Setup!BG9),if((AM29-AJ29)=4,AH28*(1+Setup!BH9),if((AM29-AJ29)&gt;4.1,AH28*(1+Setup!BI9),AH28)))))))))),AR28/'Quick Setup'!$E11)</f>
        <v>420</v>
      </c>
      <c r="AQ28" s="36" t="s">
        <v>77</v>
      </c>
      <c r="AR28" s="38"/>
      <c r="AS28" s="39"/>
      <c r="AT28" s="39"/>
      <c r="AU28" s="39"/>
      <c r="AV28" s="39"/>
      <c r="AW28" s="39"/>
      <c r="AX28" s="37">
        <f>if(AZ28="", if(AT29="",AP28, if((AT29-AS29)&lt;-1.9,AP28*(1+Setup!BN9),if((AT29-AS29)=-1,AP28*(1+Setup!BO9),if(AU29&lt;AR29,AP28*(1+Setup!BO9),if(AU29=AR29,AP28*(1+Setup!BP9),if((AU29-AR29)=1,AP28*(1+Setup!BQ9),if((AU29-AR29)=2,AP28*(1+Setup!BR9),if((AU29-AR29)=3,AP28*(1+Setup!BS9),if((AU29-AR29)=4,AP28*(1+Setup!BT9),if((AU29-AR29)&gt;4.1,AP28*(1+Setup!BU9),AP28)))))))))),AZ28/'Quick Setup'!$E11)</f>
        <v>420</v>
      </c>
      <c r="AY28" s="36" t="s">
        <v>77</v>
      </c>
      <c r="AZ28" s="38"/>
      <c r="BA28" s="39"/>
      <c r="BB28" s="39"/>
      <c r="BC28" s="39"/>
      <c r="BD28" s="39"/>
      <c r="BE28" s="39"/>
      <c r="BF28" s="37">
        <f>if(BH28="",AX28,BH28/'Quick Setup'!$E11)</f>
        <v>420</v>
      </c>
      <c r="BG28" s="36" t="s">
        <v>77</v>
      </c>
      <c r="BH28" s="38"/>
      <c r="BI28" s="39"/>
      <c r="BJ28" s="39"/>
      <c r="BK28" s="39"/>
      <c r="BL28" s="39"/>
      <c r="BM28" s="39"/>
      <c r="BN28" s="37">
        <f>if(BP28="", if(BJ29="",BF28, if((BJ29-BI29)&lt;-1.9,BF28*(1+Setup!CL9),if((BJ29-BI29)=-1,BF28*(1+Setup!CM9),if(BK29&lt;BH29,BF28*(1+Setup!CM9),if(BK29=BH29,BF28*(1+Setup!CN9),if((BK29-BH29)=1,BF28*(1+Setup!CO9),if((BK29-BH29)=2,BF28*(1+Setup!CP9),if((BK29-BH29)=3,BF28*(1+Setup!CQ9),if((BK29-BH29)=4,BF28*(1+Setup!CR9),if((BK29-BH29)&gt;4.1,BF28*(1+Setup!CS9),BF28)))))))))),BP28/'Quick Setup'!$E11)</f>
        <v>420</v>
      </c>
      <c r="BO28" s="36" t="s">
        <v>77</v>
      </c>
      <c r="BP28" s="38"/>
      <c r="BQ28" s="39"/>
      <c r="BR28" s="39"/>
      <c r="BS28" s="39"/>
      <c r="BT28" s="39"/>
      <c r="BU28" s="39"/>
      <c r="BV28" s="37">
        <f>if(BX28="", if(BR29="",BN28, if((BR29-BQ29)&lt;-1.9,BN28*(1+Setup!CX9),if((BR29-BQ29)=-1,BN28*(1+Setup!CY9),if(BS29&lt;BP29,BN28*(1+Setup!CY9),if(BS29=BP29,BN28*(1+Setup!CZ9),if((BS29-BP29)=1,BN28*(1+Setup!DA9),if((BS29-BP29)=2,BN28*(1+Setup!DB9),if((BS29-BP29)=3,BN28*(1+Setup!DC9),if((BS29-BP29)=4,BN28*(1+Setup!DD9),if((BS29-BP29)&gt;4.1,BN28*(1+Setup!DE9),BN28)))))))))),BX28/'Quick Setup'!$E11)</f>
        <v>420</v>
      </c>
      <c r="BW28" s="36" t="s">
        <v>77</v>
      </c>
      <c r="BX28" s="38"/>
      <c r="BY28" s="39"/>
      <c r="BZ28" s="39"/>
      <c r="CA28" s="39"/>
      <c r="CB28" s="39"/>
      <c r="CC28" s="39"/>
      <c r="CD28" s="37">
        <f>if(CF28="", if(BZ29="",BV28, if((BZ29-BY29)&lt;-1.9,BV28*(1+Setup!DJ9),if((BZ29-BY29)=-1,BV28*(1+Setup!DK9),if(CA29&lt;BX29,BV28*(1+Setup!DK9),if(CA29=BX29,BV28*(1+Setup!DL9),if((CA29-BX29)=1,BV28*(1+Setup!DM9),if((CA29-BX29)=2,BV28*(1+Setup!DN9),if((CA29-BX29)=3,BV28*(1+Setup!DO9),if((CA29-BX29)=4,BV28*(1+Setup!DP9),if((CA29-BX29)&gt;4.1,BV28*(1+Setup!DQ9),BV28)))))))))),CF28/'Quick Setup'!$E11)</f>
        <v>420</v>
      </c>
      <c r="CE28" s="36" t="s">
        <v>77</v>
      </c>
      <c r="CF28" s="38"/>
      <c r="CG28" s="39"/>
      <c r="CH28" s="39"/>
      <c r="CI28" s="39"/>
      <c r="CJ28" s="39"/>
      <c r="CK28" s="39"/>
      <c r="CL28" s="37">
        <f>if(CN28="", if(CH29="",CD28, if((CH29-CG29)&lt;-1.9,CD28*(1+Setup!DV9),if((CH29-CG29)=-1,CD28*(1+Setup!DW9),if(CI29&lt;CF29,CD28*(1+Setup!DW9),if(CI29=CF29,CD28*(1+Setup!DX9),if((CI29-CF29)=1,CD28*(1+Setup!DY9),if((CI29-CF29)=2,CD28*(1+Setup!DZ9),if((CI29-CF29)=3,CD28*(1+Setup!EA9),if((CI29-CF29)=4,CD28*(1+Setup!EB9),if((CI29-CF29)&gt;4.1,CD28*(1+Setup!EC9),CD28)))))))))),CN28/'Quick Setup'!$E11)</f>
        <v>420</v>
      </c>
      <c r="CM28" s="36" t="s">
        <v>77</v>
      </c>
      <c r="CN28" s="38"/>
      <c r="CO28" s="39"/>
      <c r="CP28" s="39"/>
      <c r="CQ28" s="39"/>
      <c r="CR28" s="39"/>
      <c r="CS28" s="39"/>
      <c r="CT28" s="37">
        <f>if(CV28="", if(CP29="",CL28, if((CP29-CO29)&lt;-1.9,CL28*(1+Setup!EH9),if((CP29-CO29)=-1,CL28*(1+Setup!EI9),if(CQ29&lt;CN29,CL28*(1+Setup!EI9),if(CQ29=CN29,CL28*(1+Setup!EJ9),if((CQ29-CN29)=1,CL28*(1+Setup!EK9),if((CQ29-CN29)=2,CL28*(1+Setup!EL9),if((CQ29-CN29)=3,CL28*(1+Setup!EM9),if((CQ29-CN29)=4,CL28*(1+Setup!EN9),if((CQ29-CN29)&gt;4.1,CL28*(1+Setup!EO9),CL28)))))))))),CV28/'Quick Setup'!$E11)</f>
        <v>420</v>
      </c>
      <c r="CU28" s="36" t="s">
        <v>77</v>
      </c>
      <c r="CV28" s="38"/>
      <c r="CW28" s="39"/>
      <c r="CX28" s="39"/>
      <c r="CY28" s="39"/>
      <c r="CZ28" s="39"/>
      <c r="DA28" s="39"/>
      <c r="DB28" s="37">
        <f>if(DD28="", if(CX29="",CT28, if((CX29-CW29)&lt;-1.9,CT28*(1+Setup!ET9),if((CX29-CW29)=-1,CT28*(1+Setup!EU9),if(CY29&lt;CV29,CT28*(1+Setup!EU9),if(CY29=CV29,CT28*(1+Setup!EV9),if((CY29-CV29)=1,CT28*(1+Setup!EW9),if((CY29-CV29)=2,CT28*(1+Setup!EX9),if((CY29-CV29)=3,CT28*(1+Setup!EY9),if((CY29-CV29)=4,CT28*(1+Setup!EZ9),if((CY29-CV29)&gt;4.1,CT28*(1+Setup!FA9),CT28)))))))))),DD28/'Quick Setup'!$E11)</f>
        <v>420</v>
      </c>
      <c r="DC28" s="36" t="s">
        <v>77</v>
      </c>
      <c r="DD28" s="38"/>
      <c r="DE28" s="39"/>
      <c r="DF28" s="39"/>
      <c r="DG28" s="39"/>
      <c r="DH28" s="39"/>
      <c r="DI28" s="39"/>
      <c r="DJ28" s="37">
        <f>if(DL28="",DB28,DL28/'Quick Setup'!$E11)</f>
        <v>420</v>
      </c>
      <c r="DK28" s="36" t="s">
        <v>77</v>
      </c>
      <c r="DL28" s="38"/>
      <c r="DM28" s="39"/>
      <c r="DN28" s="39"/>
      <c r="DO28" s="39"/>
      <c r="DP28" s="39"/>
      <c r="DQ28" s="39"/>
      <c r="DR28" s="37">
        <f>if(DT28="", if(DN29="",DJ28, if((DN29-DM29)&lt;-1.9,DJ28*(1+Setup!FR9),if((DN29-DM29)=-1,DJ28*(1+Setup!FS9),if(DO29&lt;DL29,DJ28*(1+Setup!FS9),if(DO29=DL29,DJ28*(1+Setup!FT9),if((DO29-DL29)=1,DJ28*(1+Setup!FU9),if((DO29-DL29)=2,DJ28*(1+Setup!FV9),if((DO29-DL29)=3,DJ28*(1+Setup!FW9),if((DO29-DL29)=4,DJ28*(1+Setup!FX9),if((DO29-DL29)&gt;4.1,DJ28*(1+Setup!FY9),DJ28)))))))))),DT28/'Quick Setup'!$E11)</f>
        <v>420</v>
      </c>
      <c r="DS28" s="36" t="s">
        <v>77</v>
      </c>
      <c r="DT28" s="38"/>
      <c r="DU28" s="39"/>
      <c r="DV28" s="39"/>
      <c r="DW28" s="39"/>
      <c r="DX28" s="39"/>
      <c r="DY28" s="39"/>
      <c r="DZ28" s="37">
        <f>if(EB28="", if(DV29="",DR28, if((DV29-DU29)&lt;-1.9,DR28*(1+Setup!GD9),if((DV29-DU29)=-1,DR28*(1+Setup!GE9),if(DW29&lt;DT29,DR28*(1+Setup!GE9),if(DW29=DT29,DR28*(1+Setup!GF9),if((DW29-DT29)=1,DR28*(1+Setup!GG9),if((DW29-DT29)=2,DR28*(1+Setup!GH9),if((DW29-DT29)=3,DR28*(1+Setup!GI9),if((DW29-DT29)=4,DR28*(1+Setup!GJ9),if((DW29-DT29)&gt;4.1,DR28*(1+Setup!GK9),DR28)))))))))),EB28/'Quick Setup'!$E11)</f>
        <v>420</v>
      </c>
      <c r="EA28" s="36" t="s">
        <v>77</v>
      </c>
      <c r="EB28" s="38"/>
      <c r="EC28" s="39"/>
      <c r="ED28" s="39"/>
      <c r="EE28" s="39"/>
      <c r="EF28" s="39"/>
      <c r="EG28" s="39"/>
      <c r="EH28" s="37">
        <f>if(EJ28="", if(ED29="",DZ28, if((ED29-EC29)&lt;-1.9,DZ28*(1+Setup!GP9),if((ED29-EC29)=-1,DZ28*(1+Setup!GQ9),if(EE29&lt;EB29,DZ28*(1+Setup!GQ9),if(EE29=EB29,DZ28*(1+Setup!GR9),if((EE29-EB29)=1,DZ28*(1+Setup!GS9),if((EE29-EB29)=2,DZ28*(1+Setup!GT9),if((EE29-EB29)=3,DZ28*(1+Setup!GU9),if((EE29-EB29)=4,DZ28*(1+Setup!GV9),if((EE29-EB29)&gt;4.1,DZ28*(1+Setup!GW9),DZ28)))))))))),EJ28/'Quick Setup'!$E11)</f>
        <v>420</v>
      </c>
      <c r="EI28" s="36" t="s">
        <v>77</v>
      </c>
      <c r="EJ28" s="38"/>
      <c r="EK28" s="39"/>
      <c r="EL28" s="39"/>
      <c r="EM28" s="39"/>
      <c r="EN28" s="39"/>
      <c r="EO28" s="39"/>
      <c r="EP28" s="37">
        <f>if(ER28="", if(EL29="",EH28, if((EL29-EK29)&lt;-1.9,EH28*(1+Setup!HB9),if((EL29-EK29)=-1,EH28*(1+Setup!HC9),if(EM29&lt;EJ29,EH28*(1+Setup!HC9),if(EM29=EJ29,EH28*(1+Setup!HD9),if((EM29-EJ29)=1,EH28*(1+Setup!HE9),if((EM29-EJ29)=2,EH28*(1+Setup!HF9),if((EM29-EJ29)=3,EH28*(1+Setup!HG9),if((EM29-EJ29)=4,EH28*(1+Setup!HH9),if((EM29-EJ29)&gt;4.1,EH28*(1+Setup!HI9),EH28)))))))))),ER28/'Quick Setup'!$E11)</f>
        <v>420</v>
      </c>
      <c r="EQ28" s="36" t="s">
        <v>77</v>
      </c>
      <c r="ER28" s="38"/>
      <c r="ES28" s="39"/>
      <c r="ET28" s="39"/>
      <c r="EU28" s="39"/>
      <c r="EV28" s="39"/>
      <c r="EW28" s="39"/>
      <c r="EX28" s="37">
        <f>if(EZ28="", if(ET29="",EP28, if((ET29-ES29)&lt;-1.9,EP28*(1+Setup!HN9),if((ET29-ES29)=-1,EP28*(1+Setup!HO9),if(EU29&lt;ER29,EP28*(1+Setup!HO9),if(EU29=ER29,EP28*(1+Setup!HP9),if((EU29-ER29)=1,EP28*(1+Setup!HQ9),if((EU29-ER29)=2,EP28*(1+Setup!HR9),if((EU29-ER29)=3,EP28*(1+Setup!HS9),if((EU29-ER29)=4,EP28*(1+Setup!HT9),if((EU29-ER29)&gt;4.1,EP28*(1+Setup!HU9),EP28)))))))))),EZ28/'Quick Setup'!$E11)</f>
        <v>420</v>
      </c>
      <c r="EY28" s="36" t="s">
        <v>77</v>
      </c>
      <c r="EZ28" s="38"/>
      <c r="FA28" s="39"/>
      <c r="FB28" s="39"/>
      <c r="FC28" s="39"/>
      <c r="FD28" s="39"/>
      <c r="FE28" s="39"/>
      <c r="FF28" s="37">
        <f>if(FH28="", if(FB29="",EX28, if((FB29-FA29)&lt;-1.9,EX28*(1+Setup!HZ9),if((FB29-FA29)=-1,EX28*(1+Setup!IA9),if(FC29&lt;EZ29,EX28*(1+Setup!IA9),if(FC29=EZ29,EX28*(1+Setup!IB9),if((FC29-EZ29)=1,EX28*(1+Setup!IC9),if((FC29-EZ29)=2,EX28*(1+Setup!ID9),if((FC29-EZ29)=3,EX28*(1+Setup!IE9),if((FC29-EZ29)=4,EX28*(1+Setup!IF9),if((FC29-EZ29)&gt;4.1,EX28*(1+Setup!IG9),EX28)))))))))),FH28/'Quick Setup'!$E11)</f>
        <v>420</v>
      </c>
      <c r="FG28" s="36" t="s">
        <v>77</v>
      </c>
      <c r="FH28" s="38"/>
      <c r="FI28" s="39"/>
      <c r="FJ28" s="39"/>
      <c r="FK28" s="39"/>
      <c r="FL28" s="39"/>
      <c r="FM28" s="39"/>
    </row>
    <row r="29">
      <c r="A29" s="1" t="str">
        <f>Setup!A9</f>
        <v>Front Squat</v>
      </c>
      <c r="B29" s="40">
        <f>mround(B28*Setup!B9,'Quick Setup'!$A$2)</f>
        <v>252.5</v>
      </c>
      <c r="C29" s="2">
        <f>Setup!C9</f>
        <v>7</v>
      </c>
      <c r="D29" s="2">
        <f>Setup!D9</f>
        <v>3</v>
      </c>
      <c r="E29" s="2">
        <f>Setup!E9</f>
        <v>5</v>
      </c>
      <c r="F29" s="8"/>
      <c r="G29" s="8"/>
      <c r="H29" s="8"/>
      <c r="I29" s="8"/>
      <c r="J29" s="40">
        <f>mround(J28*Setup!N9,'Quick Setup'!$A$2)</f>
        <v>272.5</v>
      </c>
      <c r="K29" s="2">
        <f>Setup!O9</f>
        <v>6</v>
      </c>
      <c r="L29" s="2">
        <f>Setup!P9</f>
        <v>3</v>
      </c>
      <c r="M29" s="2">
        <f>Setup!Q9</f>
        <v>5</v>
      </c>
      <c r="N29" s="8"/>
      <c r="O29" s="8"/>
      <c r="P29" s="8"/>
      <c r="Q29" s="8"/>
      <c r="R29" s="40">
        <f>mround(R28*Setup!Z9,'Quick Setup'!$A$2)</f>
        <v>295</v>
      </c>
      <c r="S29" s="2">
        <f>Setup!AA9</f>
        <v>5</v>
      </c>
      <c r="T29" s="2">
        <f>Setup!AB9</f>
        <v>3</v>
      </c>
      <c r="U29" s="2">
        <f>Setup!AC9</f>
        <v>5</v>
      </c>
      <c r="V29" s="8"/>
      <c r="W29" s="8"/>
      <c r="X29" s="8"/>
      <c r="Y29" s="8"/>
      <c r="Z29" s="40">
        <f>mround(Z28*Setup!AL9,'Quick Setup'!$A$2)</f>
        <v>262.5</v>
      </c>
      <c r="AA29" s="2">
        <f>Setup!AM9</f>
        <v>7</v>
      </c>
      <c r="AB29" s="2">
        <f>Setup!AN9</f>
        <v>3</v>
      </c>
      <c r="AC29" s="2">
        <f>Setup!AO9</f>
        <v>5</v>
      </c>
      <c r="AD29" s="8"/>
      <c r="AE29" s="8"/>
      <c r="AF29" s="8"/>
      <c r="AG29" s="8"/>
      <c r="AH29" s="40">
        <f>mround(AH28*Setup!AX9,'Quick Setup'!$A$2)</f>
        <v>282.5</v>
      </c>
      <c r="AI29" s="2">
        <f>Setup!AY9</f>
        <v>6</v>
      </c>
      <c r="AJ29" s="2">
        <f>Setup!AZ9</f>
        <v>3</v>
      </c>
      <c r="AK29" s="2">
        <f>Setup!BA9</f>
        <v>5</v>
      </c>
      <c r="AL29" s="8"/>
      <c r="AM29" s="8"/>
      <c r="AN29" s="8"/>
      <c r="AO29" s="8"/>
      <c r="AP29" s="40">
        <f>mround(AP28*Setup!BJ9,'Quick Setup'!$A$2)</f>
        <v>305</v>
      </c>
      <c r="AQ29" s="2">
        <f>Setup!BK9</f>
        <v>5</v>
      </c>
      <c r="AR29" s="2">
        <f>Setup!BL9</f>
        <v>3</v>
      </c>
      <c r="AS29" s="2">
        <f>Setup!BM9</f>
        <v>5</v>
      </c>
      <c r="AT29" s="8"/>
      <c r="AU29" s="8"/>
      <c r="AV29" s="8"/>
      <c r="AW29" s="8"/>
      <c r="AX29" s="40">
        <f>mround(AX28*Setup!BV9,'Quick Setup'!$A$2)</f>
        <v>210</v>
      </c>
      <c r="AY29" s="1">
        <v>5.0</v>
      </c>
      <c r="AZ29" s="1" t="s">
        <v>80</v>
      </c>
      <c r="BA29" s="2">
        <f>Setup!BY9</f>
        <v>5</v>
      </c>
      <c r="BB29" s="8"/>
      <c r="BC29" s="8"/>
      <c r="BD29" s="8"/>
      <c r="BE29" s="8"/>
      <c r="BF29" s="40">
        <f>mround(BF28*Setup!CH9,'Quick Setup'!$A$2)</f>
        <v>272.5</v>
      </c>
      <c r="BG29" s="2">
        <f>Setup!CI9</f>
        <v>6</v>
      </c>
      <c r="BH29" s="2">
        <f>Setup!CJ9</f>
        <v>3</v>
      </c>
      <c r="BI29" s="2">
        <f>Setup!CK9</f>
        <v>5</v>
      </c>
      <c r="BJ29" s="8"/>
      <c r="BK29" s="8"/>
      <c r="BL29" s="8"/>
      <c r="BM29" s="8"/>
      <c r="BN29" s="40">
        <f>mround(BN28*Setup!CT9,'Quick Setup'!$A$2)</f>
        <v>295</v>
      </c>
      <c r="BO29" s="2">
        <f>Setup!CU9</f>
        <v>5</v>
      </c>
      <c r="BP29" s="2">
        <f>Setup!CV9</f>
        <v>3</v>
      </c>
      <c r="BQ29" s="2">
        <f>Setup!CW9</f>
        <v>5</v>
      </c>
      <c r="BR29" s="8"/>
      <c r="BS29" s="8"/>
      <c r="BT29" s="8"/>
      <c r="BU29" s="8"/>
      <c r="BV29" s="40">
        <f>mround(BV28*Setup!DF9,'Quick Setup'!$A$2)</f>
        <v>315</v>
      </c>
      <c r="BW29" s="2">
        <f>Setup!DG9</f>
        <v>4</v>
      </c>
      <c r="BX29" s="2">
        <f>Setup!DH9</f>
        <v>2</v>
      </c>
      <c r="BY29" s="2">
        <f>Setup!DI9</f>
        <v>5</v>
      </c>
      <c r="BZ29" s="8"/>
      <c r="CA29" s="8"/>
      <c r="CB29" s="8"/>
      <c r="CC29" s="8"/>
      <c r="CD29" s="40">
        <f>mround(CD28*Setup!DR9,'Quick Setup'!$A$2)</f>
        <v>282.5</v>
      </c>
      <c r="CE29" s="2">
        <f>Setup!DS9</f>
        <v>6</v>
      </c>
      <c r="CF29" s="2">
        <f>Setup!DT9</f>
        <v>3</v>
      </c>
      <c r="CG29" s="2">
        <f>Setup!DU9</f>
        <v>5</v>
      </c>
      <c r="CH29" s="8"/>
      <c r="CI29" s="8"/>
      <c r="CJ29" s="8"/>
      <c r="CK29" s="8"/>
      <c r="CL29" s="40">
        <f>mround(CL28*Setup!ED9,'Quick Setup'!$A$2)</f>
        <v>305</v>
      </c>
      <c r="CM29" s="2">
        <f>Setup!EE9</f>
        <v>5</v>
      </c>
      <c r="CN29" s="2">
        <f>Setup!EF9</f>
        <v>3</v>
      </c>
      <c r="CO29" s="2">
        <f>Setup!EG9</f>
        <v>5</v>
      </c>
      <c r="CP29" s="8"/>
      <c r="CQ29" s="8"/>
      <c r="CR29" s="8"/>
      <c r="CS29" s="8"/>
      <c r="CT29" s="40">
        <f>mround(CT28*Setup!EP9,'Quick Setup'!$A$2)</f>
        <v>325</v>
      </c>
      <c r="CU29" s="2">
        <f>Setup!EQ9</f>
        <v>4</v>
      </c>
      <c r="CV29" s="2">
        <f>Setup!ER9</f>
        <v>2</v>
      </c>
      <c r="CW29" s="2">
        <f>Setup!ES9</f>
        <v>5</v>
      </c>
      <c r="CX29" s="8"/>
      <c r="CY29" s="8"/>
      <c r="CZ29" s="8"/>
      <c r="DA29" s="8"/>
      <c r="DB29" s="40">
        <f>mround(DB28*Setup!FB9,'Quick Setup'!$A$2)</f>
        <v>210</v>
      </c>
      <c r="DC29" s="1">
        <v>5.0</v>
      </c>
      <c r="DD29" s="1" t="s">
        <v>80</v>
      </c>
      <c r="DE29" s="2">
        <f>Setup!FE9</f>
        <v>5</v>
      </c>
      <c r="DF29" s="8"/>
      <c r="DG29" s="8"/>
      <c r="DH29" s="8"/>
      <c r="DI29" s="8"/>
      <c r="DJ29" s="40">
        <f>mround(DJ28*Setup!FN9,'Quick Setup'!$A$2)</f>
        <v>295</v>
      </c>
      <c r="DK29" s="2">
        <f>Setup!FO9</f>
        <v>5</v>
      </c>
      <c r="DL29" s="2">
        <f>Setup!FP9</f>
        <v>3</v>
      </c>
      <c r="DM29" s="2">
        <f>Setup!FQ9</f>
        <v>5</v>
      </c>
      <c r="DN29" s="8"/>
      <c r="DO29" s="8"/>
      <c r="DP29" s="8"/>
      <c r="DQ29" s="8"/>
      <c r="DR29" s="40">
        <f>mround(DR28*Setup!FZ9,'Quick Setup'!$A$2)</f>
        <v>315</v>
      </c>
      <c r="DS29" s="2">
        <f>Setup!GA9</f>
        <v>4</v>
      </c>
      <c r="DT29" s="2">
        <f>Setup!GB9</f>
        <v>2</v>
      </c>
      <c r="DU29" s="2">
        <f>Setup!GC9</f>
        <v>5</v>
      </c>
      <c r="DV29" s="8"/>
      <c r="DW29" s="8"/>
      <c r="DX29" s="8"/>
      <c r="DY29" s="8"/>
      <c r="DZ29" s="40">
        <f>mround(DZ28*Setup!GL9,'Quick Setup'!$A$2)</f>
        <v>335</v>
      </c>
      <c r="EA29" s="2">
        <f>Setup!GM9</f>
        <v>3</v>
      </c>
      <c r="EB29" s="2">
        <f>Setup!GN9</f>
        <v>2</v>
      </c>
      <c r="EC29" s="2">
        <f>Setup!GO9</f>
        <v>5</v>
      </c>
      <c r="ED29" s="8"/>
      <c r="EE29" s="8"/>
      <c r="EF29" s="8"/>
      <c r="EG29" s="8"/>
      <c r="EH29" s="40">
        <f>mround(EH28*Setup!GX9,'Quick Setup'!$A$2)</f>
        <v>315</v>
      </c>
      <c r="EI29" s="2">
        <f>Setup!GY9</f>
        <v>4</v>
      </c>
      <c r="EJ29" s="2">
        <f>Setup!GZ9</f>
        <v>2</v>
      </c>
      <c r="EK29" s="2">
        <f>Setup!HA9</f>
        <v>5</v>
      </c>
      <c r="EL29" s="8"/>
      <c r="EM29" s="8"/>
      <c r="EN29" s="8"/>
      <c r="EO29" s="8"/>
      <c r="EP29" s="40">
        <f>mround(EP28*Setup!HJ9,'Quick Setup'!$A$2)</f>
        <v>335</v>
      </c>
      <c r="EQ29" s="2">
        <f>Setup!HK9</f>
        <v>3</v>
      </c>
      <c r="ER29" s="2">
        <f>Setup!HL9</f>
        <v>2</v>
      </c>
      <c r="ES29" s="2">
        <f>Setup!HM9</f>
        <v>5</v>
      </c>
      <c r="ET29" s="8"/>
      <c r="EU29" s="8"/>
      <c r="EV29" s="8"/>
      <c r="EW29" s="8"/>
      <c r="EX29" s="40">
        <f>mround(EX28*Setup!HV9,'Quick Setup'!$A$2)</f>
        <v>357.5</v>
      </c>
      <c r="EY29" s="2">
        <f>Setup!HW9</f>
        <v>2</v>
      </c>
      <c r="EZ29" s="2">
        <f>Setup!HX9</f>
        <v>1</v>
      </c>
      <c r="FA29" s="2">
        <f>Setup!HY9</f>
        <v>5</v>
      </c>
      <c r="FB29" s="8"/>
      <c r="FC29" s="8"/>
      <c r="FD29" s="8"/>
      <c r="FE29" s="8"/>
      <c r="FF29" s="40">
        <f>mround(FF28*Setup!IH9,'Quick Setup'!$A$2)</f>
        <v>210</v>
      </c>
      <c r="FG29" s="1">
        <v>5.0</v>
      </c>
      <c r="FH29" s="1" t="s">
        <v>80</v>
      </c>
      <c r="FI29" s="2">
        <f>Setup!IK9</f>
        <v>5</v>
      </c>
      <c r="FJ29" s="8"/>
      <c r="FK29" s="8"/>
      <c r="FL29" s="8"/>
      <c r="FM29" s="8"/>
    </row>
    <row r="30">
      <c r="A30" s="5"/>
      <c r="B30" s="41"/>
      <c r="C30" s="8"/>
      <c r="D30" s="8"/>
      <c r="E30" s="8"/>
      <c r="F30" s="8"/>
      <c r="G30" s="8"/>
      <c r="H30" s="8"/>
      <c r="I30" s="8"/>
      <c r="J30" s="41" t="str">
        <f t="shared" ref="J30:O30" si="161">B30</f>
        <v/>
      </c>
      <c r="K30" s="8" t="str">
        <f t="shared" si="161"/>
        <v/>
      </c>
      <c r="L30" s="8" t="str">
        <f t="shared" si="161"/>
        <v/>
      </c>
      <c r="M30" s="8" t="str">
        <f t="shared" si="161"/>
        <v/>
      </c>
      <c r="N30" s="8" t="str">
        <f t="shared" si="161"/>
        <v/>
      </c>
      <c r="O30" s="8" t="str">
        <f t="shared" si="161"/>
        <v/>
      </c>
      <c r="P30" s="8"/>
      <c r="Q30" s="8"/>
      <c r="R30" s="41" t="str">
        <f t="shared" ref="R30:W30" si="162">J30</f>
        <v/>
      </c>
      <c r="S30" s="8" t="str">
        <f t="shared" si="162"/>
        <v/>
      </c>
      <c r="T30" s="8" t="str">
        <f t="shared" si="162"/>
        <v/>
      </c>
      <c r="U30" s="8" t="str">
        <f t="shared" si="162"/>
        <v/>
      </c>
      <c r="V30" s="8" t="str">
        <f t="shared" si="162"/>
        <v/>
      </c>
      <c r="W30" s="8" t="str">
        <f t="shared" si="162"/>
        <v/>
      </c>
      <c r="X30" s="8"/>
      <c r="Y30" s="8"/>
      <c r="Z30" s="41" t="str">
        <f t="shared" ref="Z30:AE30" si="163">R30</f>
        <v/>
      </c>
      <c r="AA30" s="8" t="str">
        <f t="shared" si="163"/>
        <v/>
      </c>
      <c r="AB30" s="8" t="str">
        <f t="shared" si="163"/>
        <v/>
      </c>
      <c r="AC30" s="8" t="str">
        <f t="shared" si="163"/>
        <v/>
      </c>
      <c r="AD30" s="8" t="str">
        <f t="shared" si="163"/>
        <v/>
      </c>
      <c r="AE30" s="8" t="str">
        <f t="shared" si="163"/>
        <v/>
      </c>
      <c r="AF30" s="8"/>
      <c r="AG30" s="8"/>
      <c r="AH30" s="41" t="str">
        <f t="shared" ref="AH30:AM30" si="164">Z30</f>
        <v/>
      </c>
      <c r="AI30" s="8" t="str">
        <f t="shared" si="164"/>
        <v/>
      </c>
      <c r="AJ30" s="8" t="str">
        <f t="shared" si="164"/>
        <v/>
      </c>
      <c r="AK30" s="8" t="str">
        <f t="shared" si="164"/>
        <v/>
      </c>
      <c r="AL30" s="8" t="str">
        <f t="shared" si="164"/>
        <v/>
      </c>
      <c r="AM30" s="8" t="str">
        <f t="shared" si="164"/>
        <v/>
      </c>
      <c r="AN30" s="8"/>
      <c r="AO30" s="8"/>
      <c r="AP30" s="41" t="str">
        <f t="shared" ref="AP30:AU30" si="165">AH30</f>
        <v/>
      </c>
      <c r="AQ30" s="8" t="str">
        <f t="shared" si="165"/>
        <v/>
      </c>
      <c r="AR30" s="8" t="str">
        <f t="shared" si="165"/>
        <v/>
      </c>
      <c r="AS30" s="8" t="str">
        <f t="shared" si="165"/>
        <v/>
      </c>
      <c r="AT30" s="8" t="str">
        <f t="shared" si="165"/>
        <v/>
      </c>
      <c r="AU30" s="8" t="str">
        <f t="shared" si="165"/>
        <v/>
      </c>
      <c r="AV30" s="8"/>
      <c r="AW30" s="8"/>
      <c r="AX30" s="41" t="str">
        <f t="shared" ref="AX30:BC30" si="166">AP30</f>
        <v/>
      </c>
      <c r="AY30" s="8" t="str">
        <f t="shared" si="166"/>
        <v/>
      </c>
      <c r="AZ30" s="8" t="str">
        <f t="shared" si="166"/>
        <v/>
      </c>
      <c r="BA30" s="8" t="str">
        <f t="shared" si="166"/>
        <v/>
      </c>
      <c r="BB30" s="8" t="str">
        <f t="shared" si="166"/>
        <v/>
      </c>
      <c r="BC30" s="8" t="str">
        <f t="shared" si="166"/>
        <v/>
      </c>
      <c r="BD30" s="8"/>
      <c r="BE30" s="8"/>
      <c r="BF30" s="41" t="str">
        <f t="shared" ref="BF30:BK30" si="167">AX30</f>
        <v/>
      </c>
      <c r="BG30" s="8" t="str">
        <f t="shared" si="167"/>
        <v/>
      </c>
      <c r="BH30" s="8" t="str">
        <f t="shared" si="167"/>
        <v/>
      </c>
      <c r="BI30" s="8" t="str">
        <f t="shared" si="167"/>
        <v/>
      </c>
      <c r="BJ30" s="8" t="str">
        <f t="shared" si="167"/>
        <v/>
      </c>
      <c r="BK30" s="8" t="str">
        <f t="shared" si="167"/>
        <v/>
      </c>
      <c r="BL30" s="8"/>
      <c r="BM30" s="8"/>
      <c r="BN30" s="41" t="str">
        <f t="shared" ref="BN30:BS30" si="168">BF30</f>
        <v/>
      </c>
      <c r="BO30" s="8" t="str">
        <f t="shared" si="168"/>
        <v/>
      </c>
      <c r="BP30" s="8" t="str">
        <f t="shared" si="168"/>
        <v/>
      </c>
      <c r="BQ30" s="8" t="str">
        <f t="shared" si="168"/>
        <v/>
      </c>
      <c r="BR30" s="8" t="str">
        <f t="shared" si="168"/>
        <v/>
      </c>
      <c r="BS30" s="8" t="str">
        <f t="shared" si="168"/>
        <v/>
      </c>
      <c r="BT30" s="8"/>
      <c r="BU30" s="8"/>
      <c r="BV30" s="41" t="str">
        <f t="shared" ref="BV30:CA30" si="169">BN30</f>
        <v/>
      </c>
      <c r="BW30" s="8" t="str">
        <f t="shared" si="169"/>
        <v/>
      </c>
      <c r="BX30" s="8" t="str">
        <f t="shared" si="169"/>
        <v/>
      </c>
      <c r="BY30" s="8" t="str">
        <f t="shared" si="169"/>
        <v/>
      </c>
      <c r="BZ30" s="8" t="str">
        <f t="shared" si="169"/>
        <v/>
      </c>
      <c r="CA30" s="8" t="str">
        <f t="shared" si="169"/>
        <v/>
      </c>
      <c r="CB30" s="8"/>
      <c r="CC30" s="8"/>
      <c r="CD30" s="41" t="str">
        <f t="shared" ref="CD30:CI30" si="170">BV30</f>
        <v/>
      </c>
      <c r="CE30" s="8" t="str">
        <f t="shared" si="170"/>
        <v/>
      </c>
      <c r="CF30" s="8" t="str">
        <f t="shared" si="170"/>
        <v/>
      </c>
      <c r="CG30" s="8" t="str">
        <f t="shared" si="170"/>
        <v/>
      </c>
      <c r="CH30" s="8" t="str">
        <f t="shared" si="170"/>
        <v/>
      </c>
      <c r="CI30" s="8" t="str">
        <f t="shared" si="170"/>
        <v/>
      </c>
      <c r="CJ30" s="8"/>
      <c r="CK30" s="8"/>
      <c r="CL30" s="41" t="str">
        <f t="shared" ref="CL30:CQ30" si="171">CD30</f>
        <v/>
      </c>
      <c r="CM30" s="8" t="str">
        <f t="shared" si="171"/>
        <v/>
      </c>
      <c r="CN30" s="8" t="str">
        <f t="shared" si="171"/>
        <v/>
      </c>
      <c r="CO30" s="8" t="str">
        <f t="shared" si="171"/>
        <v/>
      </c>
      <c r="CP30" s="8" t="str">
        <f t="shared" si="171"/>
        <v/>
      </c>
      <c r="CQ30" s="8" t="str">
        <f t="shared" si="171"/>
        <v/>
      </c>
      <c r="CR30" s="8"/>
      <c r="CS30" s="8"/>
      <c r="CT30" s="41" t="str">
        <f t="shared" ref="CT30:CY30" si="172">CL30</f>
        <v/>
      </c>
      <c r="CU30" s="8" t="str">
        <f t="shared" si="172"/>
        <v/>
      </c>
      <c r="CV30" s="8" t="str">
        <f t="shared" si="172"/>
        <v/>
      </c>
      <c r="CW30" s="8" t="str">
        <f t="shared" si="172"/>
        <v/>
      </c>
      <c r="CX30" s="8" t="str">
        <f t="shared" si="172"/>
        <v/>
      </c>
      <c r="CY30" s="8" t="str">
        <f t="shared" si="172"/>
        <v/>
      </c>
      <c r="CZ30" s="8"/>
      <c r="DA30" s="8"/>
      <c r="DB30" s="41" t="str">
        <f t="shared" ref="DB30:DG30" si="173">CT30</f>
        <v/>
      </c>
      <c r="DC30" s="8" t="str">
        <f t="shared" si="173"/>
        <v/>
      </c>
      <c r="DD30" s="8" t="str">
        <f t="shared" si="173"/>
        <v/>
      </c>
      <c r="DE30" s="8" t="str">
        <f t="shared" si="173"/>
        <v/>
      </c>
      <c r="DF30" s="8" t="str">
        <f t="shared" si="173"/>
        <v/>
      </c>
      <c r="DG30" s="8" t="str">
        <f t="shared" si="173"/>
        <v/>
      </c>
      <c r="DH30" s="8"/>
      <c r="DI30" s="8"/>
      <c r="DJ30" s="41" t="str">
        <f t="shared" ref="DJ30:DO30" si="174">DB30</f>
        <v/>
      </c>
      <c r="DK30" s="8" t="str">
        <f t="shared" si="174"/>
        <v/>
      </c>
      <c r="DL30" s="8" t="str">
        <f t="shared" si="174"/>
        <v/>
      </c>
      <c r="DM30" s="8" t="str">
        <f t="shared" si="174"/>
        <v/>
      </c>
      <c r="DN30" s="8" t="str">
        <f t="shared" si="174"/>
        <v/>
      </c>
      <c r="DO30" s="8" t="str">
        <f t="shared" si="174"/>
        <v/>
      </c>
      <c r="DP30" s="8"/>
      <c r="DQ30" s="8"/>
      <c r="DR30" s="41" t="str">
        <f t="shared" ref="DR30:DW30" si="175">DJ30</f>
        <v/>
      </c>
      <c r="DS30" s="8" t="str">
        <f t="shared" si="175"/>
        <v/>
      </c>
      <c r="DT30" s="8" t="str">
        <f t="shared" si="175"/>
        <v/>
      </c>
      <c r="DU30" s="8" t="str">
        <f t="shared" si="175"/>
        <v/>
      </c>
      <c r="DV30" s="8" t="str">
        <f t="shared" si="175"/>
        <v/>
      </c>
      <c r="DW30" s="8" t="str">
        <f t="shared" si="175"/>
        <v/>
      </c>
      <c r="DX30" s="8"/>
      <c r="DY30" s="8"/>
      <c r="DZ30" s="41" t="str">
        <f t="shared" ref="DZ30:EE30" si="176">DR30</f>
        <v/>
      </c>
      <c r="EA30" s="8" t="str">
        <f t="shared" si="176"/>
        <v/>
      </c>
      <c r="EB30" s="8" t="str">
        <f t="shared" si="176"/>
        <v/>
      </c>
      <c r="EC30" s="8" t="str">
        <f t="shared" si="176"/>
        <v/>
      </c>
      <c r="ED30" s="8" t="str">
        <f t="shared" si="176"/>
        <v/>
      </c>
      <c r="EE30" s="8" t="str">
        <f t="shared" si="176"/>
        <v/>
      </c>
      <c r="EF30" s="8"/>
      <c r="EG30" s="8"/>
      <c r="EH30" s="41" t="str">
        <f t="shared" ref="EH30:EM30" si="177">DZ30</f>
        <v/>
      </c>
      <c r="EI30" s="8" t="str">
        <f t="shared" si="177"/>
        <v/>
      </c>
      <c r="EJ30" s="8" t="str">
        <f t="shared" si="177"/>
        <v/>
      </c>
      <c r="EK30" s="8" t="str">
        <f t="shared" si="177"/>
        <v/>
      </c>
      <c r="EL30" s="8" t="str">
        <f t="shared" si="177"/>
        <v/>
      </c>
      <c r="EM30" s="8" t="str">
        <f t="shared" si="177"/>
        <v/>
      </c>
      <c r="EN30" s="8"/>
      <c r="EO30" s="8"/>
      <c r="EP30" s="41" t="str">
        <f t="shared" ref="EP30:EU30" si="178">EH30</f>
        <v/>
      </c>
      <c r="EQ30" s="8" t="str">
        <f t="shared" si="178"/>
        <v/>
      </c>
      <c r="ER30" s="8" t="str">
        <f t="shared" si="178"/>
        <v/>
      </c>
      <c r="ES30" s="8" t="str">
        <f t="shared" si="178"/>
        <v/>
      </c>
      <c r="ET30" s="8" t="str">
        <f t="shared" si="178"/>
        <v/>
      </c>
      <c r="EU30" s="8" t="str">
        <f t="shared" si="178"/>
        <v/>
      </c>
      <c r="EV30" s="8"/>
      <c r="EW30" s="8"/>
      <c r="EX30" s="41" t="str">
        <f t="shared" ref="EX30:FC30" si="179">EP30</f>
        <v/>
      </c>
      <c r="EY30" s="8" t="str">
        <f t="shared" si="179"/>
        <v/>
      </c>
      <c r="EZ30" s="8" t="str">
        <f t="shared" si="179"/>
        <v/>
      </c>
      <c r="FA30" s="8" t="str">
        <f t="shared" si="179"/>
        <v/>
      </c>
      <c r="FB30" s="8" t="str">
        <f t="shared" si="179"/>
        <v/>
      </c>
      <c r="FC30" s="8" t="str">
        <f t="shared" si="179"/>
        <v/>
      </c>
      <c r="FD30" s="8"/>
      <c r="FE30" s="8"/>
      <c r="FF30" s="41" t="str">
        <f t="shared" ref="FF30:FK30" si="180">EX30</f>
        <v/>
      </c>
      <c r="FG30" s="8" t="str">
        <f t="shared" si="180"/>
        <v/>
      </c>
      <c r="FH30" s="8" t="str">
        <f t="shared" si="180"/>
        <v/>
      </c>
      <c r="FI30" s="8" t="str">
        <f t="shared" si="180"/>
        <v/>
      </c>
      <c r="FJ30" s="8" t="str">
        <f t="shared" si="180"/>
        <v/>
      </c>
      <c r="FK30" s="8" t="str">
        <f t="shared" si="180"/>
        <v/>
      </c>
      <c r="FL30" s="8"/>
      <c r="FM30" s="8"/>
    </row>
    <row r="31">
      <c r="A31" s="1" t="s">
        <v>81</v>
      </c>
      <c r="B31" s="40"/>
      <c r="C31" s="2"/>
      <c r="D31" s="2"/>
      <c r="E31" s="2"/>
      <c r="F31" s="2"/>
      <c r="G31" s="2"/>
      <c r="H31" s="2"/>
      <c r="I31" s="2"/>
      <c r="J31" s="40"/>
      <c r="K31" s="2"/>
      <c r="L31" s="2"/>
      <c r="M31" s="2"/>
      <c r="N31" s="2"/>
      <c r="O31" s="2"/>
      <c r="P31" s="2"/>
      <c r="Q31" s="2"/>
      <c r="R31" s="40"/>
      <c r="S31" s="2"/>
      <c r="T31" s="2"/>
      <c r="U31" s="2"/>
      <c r="V31" s="2"/>
      <c r="W31" s="2"/>
      <c r="X31" s="2"/>
      <c r="Y31" s="2"/>
      <c r="Z31" s="40"/>
      <c r="AA31" s="2"/>
      <c r="AB31" s="2"/>
      <c r="AC31" s="2"/>
      <c r="AD31" s="2"/>
      <c r="AE31" s="2"/>
      <c r="AF31" s="2"/>
      <c r="AG31" s="2"/>
      <c r="AH31" s="40"/>
      <c r="AI31" s="2"/>
      <c r="AJ31" s="2"/>
      <c r="AK31" s="2"/>
      <c r="AL31" s="2"/>
      <c r="AM31" s="2"/>
      <c r="AN31" s="2"/>
      <c r="AO31" s="2"/>
      <c r="AP31" s="40"/>
      <c r="AQ31" s="2"/>
      <c r="AR31" s="2"/>
      <c r="AS31" s="2"/>
      <c r="AT31" s="2"/>
      <c r="AU31" s="2"/>
      <c r="AV31" s="2"/>
      <c r="AW31" s="2"/>
      <c r="AX31" s="40"/>
      <c r="AY31" s="2"/>
      <c r="AZ31" s="2"/>
      <c r="BA31" s="2"/>
      <c r="BB31" s="2"/>
      <c r="BC31" s="2"/>
      <c r="BD31" s="2"/>
      <c r="BE31" s="2"/>
      <c r="BF31" s="40"/>
      <c r="BG31" s="2"/>
      <c r="BH31" s="2"/>
      <c r="BI31" s="2"/>
      <c r="BJ31" s="2"/>
      <c r="BK31" s="2"/>
      <c r="BL31" s="2"/>
      <c r="BM31" s="2"/>
      <c r="BN31" s="40"/>
      <c r="BO31" s="2"/>
      <c r="BP31" s="2"/>
      <c r="BQ31" s="2"/>
      <c r="BR31" s="2"/>
      <c r="BS31" s="2"/>
      <c r="BT31" s="2"/>
      <c r="BU31" s="2"/>
      <c r="BV31" s="40"/>
      <c r="BW31" s="2"/>
      <c r="BX31" s="2"/>
      <c r="BY31" s="2"/>
      <c r="BZ31" s="2"/>
      <c r="CA31" s="2"/>
      <c r="CB31" s="2"/>
      <c r="CC31" s="2"/>
      <c r="CD31" s="40"/>
      <c r="CE31" s="2"/>
      <c r="CF31" s="2"/>
      <c r="CG31" s="2"/>
      <c r="CH31" s="2"/>
      <c r="CI31" s="2"/>
      <c r="CJ31" s="2"/>
      <c r="CK31" s="2"/>
      <c r="CL31" s="40"/>
      <c r="CM31" s="2"/>
      <c r="CN31" s="2"/>
      <c r="CO31" s="2"/>
      <c r="CP31" s="2"/>
      <c r="CQ31" s="2"/>
      <c r="CR31" s="2"/>
      <c r="CS31" s="2"/>
      <c r="CT31" s="40"/>
      <c r="CU31" s="2"/>
      <c r="CV31" s="2"/>
      <c r="CW31" s="2"/>
      <c r="CX31" s="2"/>
      <c r="CY31" s="2"/>
      <c r="CZ31" s="2"/>
      <c r="DA31" s="2"/>
      <c r="DB31" s="40"/>
      <c r="DC31" s="2"/>
      <c r="DD31" s="2"/>
      <c r="DE31" s="2"/>
      <c r="DF31" s="2"/>
      <c r="DG31" s="2"/>
      <c r="DH31" s="2"/>
      <c r="DI31" s="2"/>
      <c r="DJ31" s="40"/>
      <c r="DK31" s="2"/>
      <c r="DL31" s="2"/>
      <c r="DM31" s="2"/>
      <c r="DN31" s="2"/>
      <c r="DO31" s="2"/>
      <c r="DP31" s="2"/>
      <c r="DQ31" s="2"/>
      <c r="DR31" s="40"/>
      <c r="DS31" s="2"/>
      <c r="DT31" s="2"/>
      <c r="DU31" s="2"/>
      <c r="DV31" s="2"/>
      <c r="DW31" s="2"/>
      <c r="DX31" s="2"/>
      <c r="DY31" s="2"/>
      <c r="DZ31" s="40"/>
      <c r="EA31" s="2"/>
      <c r="EB31" s="2"/>
      <c r="EC31" s="2"/>
      <c r="ED31" s="2"/>
      <c r="EE31" s="2"/>
      <c r="EF31" s="2"/>
      <c r="EG31" s="2"/>
      <c r="EH31" s="40"/>
      <c r="EI31" s="2"/>
      <c r="EJ31" s="2"/>
      <c r="EK31" s="2"/>
      <c r="EL31" s="2"/>
      <c r="EM31" s="2"/>
      <c r="EN31" s="2"/>
      <c r="EO31" s="2"/>
      <c r="EP31" s="40"/>
      <c r="EQ31" s="2"/>
      <c r="ER31" s="2"/>
      <c r="ES31" s="2"/>
      <c r="ET31" s="2"/>
      <c r="EU31" s="2"/>
      <c r="EV31" s="2"/>
      <c r="EW31" s="2"/>
      <c r="EX31" s="40"/>
      <c r="EY31" s="2"/>
      <c r="EZ31" s="2"/>
      <c r="FA31" s="2"/>
      <c r="FB31" s="2"/>
      <c r="FC31" s="2"/>
      <c r="FD31" s="2"/>
      <c r="FE31" s="2"/>
      <c r="FF31" s="40"/>
      <c r="FG31" s="2"/>
      <c r="FH31" s="2"/>
      <c r="FI31" s="2"/>
      <c r="FJ31" s="2"/>
      <c r="FK31" s="2"/>
      <c r="FL31" s="2"/>
      <c r="FM31" s="2"/>
    </row>
    <row r="32">
      <c r="A32" s="42"/>
      <c r="B32" s="41"/>
      <c r="C32" s="8"/>
      <c r="D32" s="8"/>
      <c r="E32" s="8"/>
      <c r="F32" s="8"/>
      <c r="G32" s="8"/>
      <c r="H32" s="8"/>
      <c r="I32" s="8"/>
      <c r="J32" s="41" t="str">
        <f t="shared" ref="J32:O32" si="181">B32</f>
        <v/>
      </c>
      <c r="K32" s="8" t="str">
        <f t="shared" si="181"/>
        <v/>
      </c>
      <c r="L32" s="8" t="str">
        <f t="shared" si="181"/>
        <v/>
      </c>
      <c r="M32" s="8" t="str">
        <f t="shared" si="181"/>
        <v/>
      </c>
      <c r="N32" s="8" t="str">
        <f t="shared" si="181"/>
        <v/>
      </c>
      <c r="O32" s="8" t="str">
        <f t="shared" si="181"/>
        <v/>
      </c>
      <c r="P32" s="8"/>
      <c r="Q32" s="8"/>
      <c r="R32" s="41" t="str">
        <f t="shared" ref="R32:W32" si="182">J32</f>
        <v/>
      </c>
      <c r="S32" s="8" t="str">
        <f t="shared" si="182"/>
        <v/>
      </c>
      <c r="T32" s="8" t="str">
        <f t="shared" si="182"/>
        <v/>
      </c>
      <c r="U32" s="8" t="str">
        <f t="shared" si="182"/>
        <v/>
      </c>
      <c r="V32" s="8" t="str">
        <f t="shared" si="182"/>
        <v/>
      </c>
      <c r="W32" s="8" t="str">
        <f t="shared" si="182"/>
        <v/>
      </c>
      <c r="X32" s="8"/>
      <c r="Y32" s="8"/>
      <c r="Z32" s="41" t="str">
        <f t="shared" ref="Z32:AE32" si="183">R32</f>
        <v/>
      </c>
      <c r="AA32" s="8" t="str">
        <f t="shared" si="183"/>
        <v/>
      </c>
      <c r="AB32" s="8" t="str">
        <f t="shared" si="183"/>
        <v/>
      </c>
      <c r="AC32" s="8" t="str">
        <f t="shared" si="183"/>
        <v/>
      </c>
      <c r="AD32" s="8" t="str">
        <f t="shared" si="183"/>
        <v/>
      </c>
      <c r="AE32" s="8" t="str">
        <f t="shared" si="183"/>
        <v/>
      </c>
      <c r="AF32" s="8"/>
      <c r="AG32" s="8"/>
      <c r="AH32" s="41" t="str">
        <f t="shared" ref="AH32:AM32" si="184">Z32</f>
        <v/>
      </c>
      <c r="AI32" s="8" t="str">
        <f t="shared" si="184"/>
        <v/>
      </c>
      <c r="AJ32" s="8" t="str">
        <f t="shared" si="184"/>
        <v/>
      </c>
      <c r="AK32" s="8" t="str">
        <f t="shared" si="184"/>
        <v/>
      </c>
      <c r="AL32" s="8" t="str">
        <f t="shared" si="184"/>
        <v/>
      </c>
      <c r="AM32" s="8" t="str">
        <f t="shared" si="184"/>
        <v/>
      </c>
      <c r="AN32" s="8"/>
      <c r="AO32" s="8"/>
      <c r="AP32" s="41" t="str">
        <f t="shared" ref="AP32:AU32" si="185">AH32</f>
        <v/>
      </c>
      <c r="AQ32" s="8" t="str">
        <f t="shared" si="185"/>
        <v/>
      </c>
      <c r="AR32" s="8" t="str">
        <f t="shared" si="185"/>
        <v/>
      </c>
      <c r="AS32" s="8" t="str">
        <f t="shared" si="185"/>
        <v/>
      </c>
      <c r="AT32" s="8" t="str">
        <f t="shared" si="185"/>
        <v/>
      </c>
      <c r="AU32" s="8" t="str">
        <f t="shared" si="185"/>
        <v/>
      </c>
      <c r="AV32" s="8"/>
      <c r="AW32" s="8"/>
      <c r="AX32" s="41" t="str">
        <f t="shared" ref="AX32:BC32" si="186">AP32</f>
        <v/>
      </c>
      <c r="AY32" s="8" t="str">
        <f t="shared" si="186"/>
        <v/>
      </c>
      <c r="AZ32" s="8" t="str">
        <f t="shared" si="186"/>
        <v/>
      </c>
      <c r="BA32" s="8" t="str">
        <f t="shared" si="186"/>
        <v/>
      </c>
      <c r="BB32" s="8" t="str">
        <f t="shared" si="186"/>
        <v/>
      </c>
      <c r="BC32" s="8" t="str">
        <f t="shared" si="186"/>
        <v/>
      </c>
      <c r="BD32" s="8"/>
      <c r="BE32" s="8"/>
      <c r="BF32" s="41" t="str">
        <f t="shared" ref="BF32:BK32" si="187">AX32</f>
        <v/>
      </c>
      <c r="BG32" s="8" t="str">
        <f t="shared" si="187"/>
        <v/>
      </c>
      <c r="BH32" s="8" t="str">
        <f t="shared" si="187"/>
        <v/>
      </c>
      <c r="BI32" s="8" t="str">
        <f t="shared" si="187"/>
        <v/>
      </c>
      <c r="BJ32" s="8" t="str">
        <f t="shared" si="187"/>
        <v/>
      </c>
      <c r="BK32" s="8" t="str">
        <f t="shared" si="187"/>
        <v/>
      </c>
      <c r="BL32" s="8"/>
      <c r="BM32" s="8"/>
      <c r="BN32" s="41" t="str">
        <f t="shared" ref="BN32:BS32" si="188">BF32</f>
        <v/>
      </c>
      <c r="BO32" s="8" t="str">
        <f t="shared" si="188"/>
        <v/>
      </c>
      <c r="BP32" s="8" t="str">
        <f t="shared" si="188"/>
        <v/>
      </c>
      <c r="BQ32" s="8" t="str">
        <f t="shared" si="188"/>
        <v/>
      </c>
      <c r="BR32" s="8" t="str">
        <f t="shared" si="188"/>
        <v/>
      </c>
      <c r="BS32" s="8" t="str">
        <f t="shared" si="188"/>
        <v/>
      </c>
      <c r="BT32" s="8"/>
      <c r="BU32" s="8"/>
      <c r="BV32" s="41" t="str">
        <f t="shared" ref="BV32:CA32" si="189">BN32</f>
        <v/>
      </c>
      <c r="BW32" s="8" t="str">
        <f t="shared" si="189"/>
        <v/>
      </c>
      <c r="BX32" s="8" t="str">
        <f t="shared" si="189"/>
        <v/>
      </c>
      <c r="BY32" s="8" t="str">
        <f t="shared" si="189"/>
        <v/>
      </c>
      <c r="BZ32" s="8" t="str">
        <f t="shared" si="189"/>
        <v/>
      </c>
      <c r="CA32" s="8" t="str">
        <f t="shared" si="189"/>
        <v/>
      </c>
      <c r="CB32" s="8"/>
      <c r="CC32" s="8"/>
      <c r="CD32" s="41" t="str">
        <f t="shared" ref="CD32:CI32" si="190">BV32</f>
        <v/>
      </c>
      <c r="CE32" s="8" t="str">
        <f t="shared" si="190"/>
        <v/>
      </c>
      <c r="CF32" s="8" t="str">
        <f t="shared" si="190"/>
        <v/>
      </c>
      <c r="CG32" s="8" t="str">
        <f t="shared" si="190"/>
        <v/>
      </c>
      <c r="CH32" s="8" t="str">
        <f t="shared" si="190"/>
        <v/>
      </c>
      <c r="CI32" s="8" t="str">
        <f t="shared" si="190"/>
        <v/>
      </c>
      <c r="CJ32" s="8"/>
      <c r="CK32" s="8"/>
      <c r="CL32" s="41" t="str">
        <f t="shared" ref="CL32:CQ32" si="191">CD32</f>
        <v/>
      </c>
      <c r="CM32" s="8" t="str">
        <f t="shared" si="191"/>
        <v/>
      </c>
      <c r="CN32" s="8" t="str">
        <f t="shared" si="191"/>
        <v/>
      </c>
      <c r="CO32" s="8" t="str">
        <f t="shared" si="191"/>
        <v/>
      </c>
      <c r="CP32" s="8" t="str">
        <f t="shared" si="191"/>
        <v/>
      </c>
      <c r="CQ32" s="8" t="str">
        <f t="shared" si="191"/>
        <v/>
      </c>
      <c r="CR32" s="8"/>
      <c r="CS32" s="8"/>
      <c r="CT32" s="41" t="str">
        <f t="shared" ref="CT32:CY32" si="192">CL32</f>
        <v/>
      </c>
      <c r="CU32" s="8" t="str">
        <f t="shared" si="192"/>
        <v/>
      </c>
      <c r="CV32" s="8" t="str">
        <f t="shared" si="192"/>
        <v/>
      </c>
      <c r="CW32" s="8" t="str">
        <f t="shared" si="192"/>
        <v/>
      </c>
      <c r="CX32" s="8" t="str">
        <f t="shared" si="192"/>
        <v/>
      </c>
      <c r="CY32" s="8" t="str">
        <f t="shared" si="192"/>
        <v/>
      </c>
      <c r="CZ32" s="8"/>
      <c r="DA32" s="8"/>
      <c r="DB32" s="41" t="str">
        <f t="shared" ref="DB32:DG32" si="193">CT32</f>
        <v/>
      </c>
      <c r="DC32" s="8" t="str">
        <f t="shared" si="193"/>
        <v/>
      </c>
      <c r="DD32" s="8" t="str">
        <f t="shared" si="193"/>
        <v/>
      </c>
      <c r="DE32" s="8" t="str">
        <f t="shared" si="193"/>
        <v/>
      </c>
      <c r="DF32" s="8" t="str">
        <f t="shared" si="193"/>
        <v/>
      </c>
      <c r="DG32" s="8" t="str">
        <f t="shared" si="193"/>
        <v/>
      </c>
      <c r="DH32" s="8"/>
      <c r="DI32" s="8"/>
      <c r="DJ32" s="41" t="str">
        <f t="shared" ref="DJ32:DO32" si="194">DB32</f>
        <v/>
      </c>
      <c r="DK32" s="8" t="str">
        <f t="shared" si="194"/>
        <v/>
      </c>
      <c r="DL32" s="8" t="str">
        <f t="shared" si="194"/>
        <v/>
      </c>
      <c r="DM32" s="8" t="str">
        <f t="shared" si="194"/>
        <v/>
      </c>
      <c r="DN32" s="8" t="str">
        <f t="shared" si="194"/>
        <v/>
      </c>
      <c r="DO32" s="8" t="str">
        <f t="shared" si="194"/>
        <v/>
      </c>
      <c r="DP32" s="8"/>
      <c r="DQ32" s="8"/>
      <c r="DR32" s="41" t="str">
        <f t="shared" ref="DR32:DW32" si="195">DJ32</f>
        <v/>
      </c>
      <c r="DS32" s="8" t="str">
        <f t="shared" si="195"/>
        <v/>
      </c>
      <c r="DT32" s="8" t="str">
        <f t="shared" si="195"/>
        <v/>
      </c>
      <c r="DU32" s="8" t="str">
        <f t="shared" si="195"/>
        <v/>
      </c>
      <c r="DV32" s="8" t="str">
        <f t="shared" si="195"/>
        <v/>
      </c>
      <c r="DW32" s="8" t="str">
        <f t="shared" si="195"/>
        <v/>
      </c>
      <c r="DX32" s="8"/>
      <c r="DY32" s="8"/>
      <c r="DZ32" s="41" t="str">
        <f t="shared" ref="DZ32:EE32" si="196">DR32</f>
        <v/>
      </c>
      <c r="EA32" s="8" t="str">
        <f t="shared" si="196"/>
        <v/>
      </c>
      <c r="EB32" s="8" t="str">
        <f t="shared" si="196"/>
        <v/>
      </c>
      <c r="EC32" s="8" t="str">
        <f t="shared" si="196"/>
        <v/>
      </c>
      <c r="ED32" s="8" t="str">
        <f t="shared" si="196"/>
        <v/>
      </c>
      <c r="EE32" s="8" t="str">
        <f t="shared" si="196"/>
        <v/>
      </c>
      <c r="EF32" s="8"/>
      <c r="EG32" s="8"/>
      <c r="EH32" s="41" t="str">
        <f t="shared" ref="EH32:EM32" si="197">DZ32</f>
        <v/>
      </c>
      <c r="EI32" s="8" t="str">
        <f t="shared" si="197"/>
        <v/>
      </c>
      <c r="EJ32" s="8" t="str">
        <f t="shared" si="197"/>
        <v/>
      </c>
      <c r="EK32" s="8" t="str">
        <f t="shared" si="197"/>
        <v/>
      </c>
      <c r="EL32" s="8" t="str">
        <f t="shared" si="197"/>
        <v/>
      </c>
      <c r="EM32" s="8" t="str">
        <f t="shared" si="197"/>
        <v/>
      </c>
      <c r="EN32" s="8"/>
      <c r="EO32" s="8"/>
      <c r="EP32" s="41" t="str">
        <f t="shared" ref="EP32:EU32" si="198">EH32</f>
        <v/>
      </c>
      <c r="EQ32" s="8" t="str">
        <f t="shared" si="198"/>
        <v/>
      </c>
      <c r="ER32" s="8" t="str">
        <f t="shared" si="198"/>
        <v/>
      </c>
      <c r="ES32" s="8" t="str">
        <f t="shared" si="198"/>
        <v/>
      </c>
      <c r="ET32" s="8" t="str">
        <f t="shared" si="198"/>
        <v/>
      </c>
      <c r="EU32" s="8" t="str">
        <f t="shared" si="198"/>
        <v/>
      </c>
      <c r="EV32" s="8"/>
      <c r="EW32" s="8"/>
      <c r="EX32" s="41" t="str">
        <f t="shared" ref="EX32:FC32" si="199">EP32</f>
        <v/>
      </c>
      <c r="EY32" s="8" t="str">
        <f t="shared" si="199"/>
        <v/>
      </c>
      <c r="EZ32" s="8" t="str">
        <f t="shared" si="199"/>
        <v/>
      </c>
      <c r="FA32" s="8" t="str">
        <f t="shared" si="199"/>
        <v/>
      </c>
      <c r="FB32" s="8" t="str">
        <f t="shared" si="199"/>
        <v/>
      </c>
      <c r="FC32" s="8" t="str">
        <f t="shared" si="199"/>
        <v/>
      </c>
      <c r="FD32" s="8"/>
      <c r="FE32" s="8"/>
      <c r="FF32" s="41" t="str">
        <f t="shared" ref="FF32:FK32" si="200">EX32</f>
        <v/>
      </c>
      <c r="FG32" s="8" t="str">
        <f t="shared" si="200"/>
        <v/>
      </c>
      <c r="FH32" s="8" t="str">
        <f t="shared" si="200"/>
        <v/>
      </c>
      <c r="FI32" s="8" t="str">
        <f t="shared" si="200"/>
        <v/>
      </c>
      <c r="FJ32" s="8" t="str">
        <f t="shared" si="200"/>
        <v/>
      </c>
      <c r="FK32" s="8" t="str">
        <f t="shared" si="200"/>
        <v/>
      </c>
      <c r="FL32" s="8"/>
      <c r="FM32" s="8"/>
    </row>
    <row r="33">
      <c r="A33" s="42"/>
      <c r="B33" s="41"/>
      <c r="C33" s="8"/>
      <c r="D33" s="8"/>
      <c r="E33" s="8"/>
      <c r="F33" s="8"/>
      <c r="G33" s="8"/>
      <c r="H33" s="8"/>
      <c r="I33" s="8"/>
      <c r="J33" s="41" t="str">
        <f t="shared" ref="J33:O33" si="201">B33</f>
        <v/>
      </c>
      <c r="K33" s="8" t="str">
        <f t="shared" si="201"/>
        <v/>
      </c>
      <c r="L33" s="8" t="str">
        <f t="shared" si="201"/>
        <v/>
      </c>
      <c r="M33" s="8" t="str">
        <f t="shared" si="201"/>
        <v/>
      </c>
      <c r="N33" s="8" t="str">
        <f t="shared" si="201"/>
        <v/>
      </c>
      <c r="O33" s="8" t="str">
        <f t="shared" si="201"/>
        <v/>
      </c>
      <c r="P33" s="8"/>
      <c r="Q33" s="8"/>
      <c r="R33" s="41" t="str">
        <f t="shared" ref="R33:W33" si="202">J33</f>
        <v/>
      </c>
      <c r="S33" s="8" t="str">
        <f t="shared" si="202"/>
        <v/>
      </c>
      <c r="T33" s="8" t="str">
        <f t="shared" si="202"/>
        <v/>
      </c>
      <c r="U33" s="8" t="str">
        <f t="shared" si="202"/>
        <v/>
      </c>
      <c r="V33" s="8" t="str">
        <f t="shared" si="202"/>
        <v/>
      </c>
      <c r="W33" s="8" t="str">
        <f t="shared" si="202"/>
        <v/>
      </c>
      <c r="X33" s="8"/>
      <c r="Y33" s="8"/>
      <c r="Z33" s="41" t="str">
        <f t="shared" ref="Z33:AE33" si="203">R33</f>
        <v/>
      </c>
      <c r="AA33" s="8" t="str">
        <f t="shared" si="203"/>
        <v/>
      </c>
      <c r="AB33" s="8" t="str">
        <f t="shared" si="203"/>
        <v/>
      </c>
      <c r="AC33" s="8" t="str">
        <f t="shared" si="203"/>
        <v/>
      </c>
      <c r="AD33" s="8" t="str">
        <f t="shared" si="203"/>
        <v/>
      </c>
      <c r="AE33" s="8" t="str">
        <f t="shared" si="203"/>
        <v/>
      </c>
      <c r="AF33" s="8"/>
      <c r="AG33" s="8"/>
      <c r="AH33" s="41" t="str">
        <f t="shared" ref="AH33:AM33" si="204">Z33</f>
        <v/>
      </c>
      <c r="AI33" s="8" t="str">
        <f t="shared" si="204"/>
        <v/>
      </c>
      <c r="AJ33" s="8" t="str">
        <f t="shared" si="204"/>
        <v/>
      </c>
      <c r="AK33" s="8" t="str">
        <f t="shared" si="204"/>
        <v/>
      </c>
      <c r="AL33" s="8" t="str">
        <f t="shared" si="204"/>
        <v/>
      </c>
      <c r="AM33" s="8" t="str">
        <f t="shared" si="204"/>
        <v/>
      </c>
      <c r="AN33" s="8"/>
      <c r="AO33" s="8"/>
      <c r="AP33" s="41" t="str">
        <f t="shared" ref="AP33:AU33" si="205">AH33</f>
        <v/>
      </c>
      <c r="AQ33" s="8" t="str">
        <f t="shared" si="205"/>
        <v/>
      </c>
      <c r="AR33" s="8" t="str">
        <f t="shared" si="205"/>
        <v/>
      </c>
      <c r="AS33" s="8" t="str">
        <f t="shared" si="205"/>
        <v/>
      </c>
      <c r="AT33" s="8" t="str">
        <f t="shared" si="205"/>
        <v/>
      </c>
      <c r="AU33" s="8" t="str">
        <f t="shared" si="205"/>
        <v/>
      </c>
      <c r="AV33" s="8"/>
      <c r="AW33" s="8"/>
      <c r="AX33" s="41" t="str">
        <f t="shared" ref="AX33:BC33" si="206">AP33</f>
        <v/>
      </c>
      <c r="AY33" s="8" t="str">
        <f t="shared" si="206"/>
        <v/>
      </c>
      <c r="AZ33" s="8" t="str">
        <f t="shared" si="206"/>
        <v/>
      </c>
      <c r="BA33" s="8" t="str">
        <f t="shared" si="206"/>
        <v/>
      </c>
      <c r="BB33" s="8" t="str">
        <f t="shared" si="206"/>
        <v/>
      </c>
      <c r="BC33" s="8" t="str">
        <f t="shared" si="206"/>
        <v/>
      </c>
      <c r="BD33" s="8"/>
      <c r="BE33" s="8"/>
      <c r="BF33" s="41" t="str">
        <f t="shared" ref="BF33:BK33" si="207">AX33</f>
        <v/>
      </c>
      <c r="BG33" s="8" t="str">
        <f t="shared" si="207"/>
        <v/>
      </c>
      <c r="BH33" s="8" t="str">
        <f t="shared" si="207"/>
        <v/>
      </c>
      <c r="BI33" s="8" t="str">
        <f t="shared" si="207"/>
        <v/>
      </c>
      <c r="BJ33" s="8" t="str">
        <f t="shared" si="207"/>
        <v/>
      </c>
      <c r="BK33" s="8" t="str">
        <f t="shared" si="207"/>
        <v/>
      </c>
      <c r="BL33" s="8"/>
      <c r="BM33" s="8"/>
      <c r="BN33" s="41" t="str">
        <f t="shared" ref="BN33:BS33" si="208">BF33</f>
        <v/>
      </c>
      <c r="BO33" s="8" t="str">
        <f t="shared" si="208"/>
        <v/>
      </c>
      <c r="BP33" s="8" t="str">
        <f t="shared" si="208"/>
        <v/>
      </c>
      <c r="BQ33" s="8" t="str">
        <f t="shared" si="208"/>
        <v/>
      </c>
      <c r="BR33" s="8" t="str">
        <f t="shared" si="208"/>
        <v/>
      </c>
      <c r="BS33" s="8" t="str">
        <f t="shared" si="208"/>
        <v/>
      </c>
      <c r="BT33" s="8"/>
      <c r="BU33" s="8"/>
      <c r="BV33" s="41" t="str">
        <f t="shared" ref="BV33:CA33" si="209">BN33</f>
        <v/>
      </c>
      <c r="BW33" s="8" t="str">
        <f t="shared" si="209"/>
        <v/>
      </c>
      <c r="BX33" s="8" t="str">
        <f t="shared" si="209"/>
        <v/>
      </c>
      <c r="BY33" s="8" t="str">
        <f t="shared" si="209"/>
        <v/>
      </c>
      <c r="BZ33" s="8" t="str">
        <f t="shared" si="209"/>
        <v/>
      </c>
      <c r="CA33" s="8" t="str">
        <f t="shared" si="209"/>
        <v/>
      </c>
      <c r="CB33" s="8"/>
      <c r="CC33" s="8"/>
      <c r="CD33" s="41" t="str">
        <f t="shared" ref="CD33:CI33" si="210">BV33</f>
        <v/>
      </c>
      <c r="CE33" s="8" t="str">
        <f t="shared" si="210"/>
        <v/>
      </c>
      <c r="CF33" s="8" t="str">
        <f t="shared" si="210"/>
        <v/>
      </c>
      <c r="CG33" s="8" t="str">
        <f t="shared" si="210"/>
        <v/>
      </c>
      <c r="CH33" s="8" t="str">
        <f t="shared" si="210"/>
        <v/>
      </c>
      <c r="CI33" s="8" t="str">
        <f t="shared" si="210"/>
        <v/>
      </c>
      <c r="CJ33" s="8"/>
      <c r="CK33" s="8"/>
      <c r="CL33" s="41" t="str">
        <f t="shared" ref="CL33:CQ33" si="211">CD33</f>
        <v/>
      </c>
      <c r="CM33" s="8" t="str">
        <f t="shared" si="211"/>
        <v/>
      </c>
      <c r="CN33" s="8" t="str">
        <f t="shared" si="211"/>
        <v/>
      </c>
      <c r="CO33" s="8" t="str">
        <f t="shared" si="211"/>
        <v/>
      </c>
      <c r="CP33" s="8" t="str">
        <f t="shared" si="211"/>
        <v/>
      </c>
      <c r="CQ33" s="8" t="str">
        <f t="shared" si="211"/>
        <v/>
      </c>
      <c r="CR33" s="8"/>
      <c r="CS33" s="8"/>
      <c r="CT33" s="41" t="str">
        <f t="shared" ref="CT33:CY33" si="212">CL33</f>
        <v/>
      </c>
      <c r="CU33" s="8" t="str">
        <f t="shared" si="212"/>
        <v/>
      </c>
      <c r="CV33" s="8" t="str">
        <f t="shared" si="212"/>
        <v/>
      </c>
      <c r="CW33" s="8" t="str">
        <f t="shared" si="212"/>
        <v/>
      </c>
      <c r="CX33" s="8" t="str">
        <f t="shared" si="212"/>
        <v/>
      </c>
      <c r="CY33" s="8" t="str">
        <f t="shared" si="212"/>
        <v/>
      </c>
      <c r="CZ33" s="8"/>
      <c r="DA33" s="8"/>
      <c r="DB33" s="41" t="str">
        <f t="shared" ref="DB33:DG33" si="213">CT33</f>
        <v/>
      </c>
      <c r="DC33" s="8" t="str">
        <f t="shared" si="213"/>
        <v/>
      </c>
      <c r="DD33" s="8" t="str">
        <f t="shared" si="213"/>
        <v/>
      </c>
      <c r="DE33" s="8" t="str">
        <f t="shared" si="213"/>
        <v/>
      </c>
      <c r="DF33" s="8" t="str">
        <f t="shared" si="213"/>
        <v/>
      </c>
      <c r="DG33" s="8" t="str">
        <f t="shared" si="213"/>
        <v/>
      </c>
      <c r="DH33" s="8"/>
      <c r="DI33" s="8"/>
      <c r="DJ33" s="41" t="str">
        <f t="shared" ref="DJ33:DO33" si="214">DB33</f>
        <v/>
      </c>
      <c r="DK33" s="8" t="str">
        <f t="shared" si="214"/>
        <v/>
      </c>
      <c r="DL33" s="8" t="str">
        <f t="shared" si="214"/>
        <v/>
      </c>
      <c r="DM33" s="8" t="str">
        <f t="shared" si="214"/>
        <v/>
      </c>
      <c r="DN33" s="8" t="str">
        <f t="shared" si="214"/>
        <v/>
      </c>
      <c r="DO33" s="8" t="str">
        <f t="shared" si="214"/>
        <v/>
      </c>
      <c r="DP33" s="8"/>
      <c r="DQ33" s="8"/>
      <c r="DR33" s="41" t="str">
        <f t="shared" ref="DR33:DW33" si="215">DJ33</f>
        <v/>
      </c>
      <c r="DS33" s="8" t="str">
        <f t="shared" si="215"/>
        <v/>
      </c>
      <c r="DT33" s="8" t="str">
        <f t="shared" si="215"/>
        <v/>
      </c>
      <c r="DU33" s="8" t="str">
        <f t="shared" si="215"/>
        <v/>
      </c>
      <c r="DV33" s="8" t="str">
        <f t="shared" si="215"/>
        <v/>
      </c>
      <c r="DW33" s="8" t="str">
        <f t="shared" si="215"/>
        <v/>
      </c>
      <c r="DX33" s="8"/>
      <c r="DY33" s="8"/>
      <c r="DZ33" s="41" t="str">
        <f t="shared" ref="DZ33:EE33" si="216">DR33</f>
        <v/>
      </c>
      <c r="EA33" s="8" t="str">
        <f t="shared" si="216"/>
        <v/>
      </c>
      <c r="EB33" s="8" t="str">
        <f t="shared" si="216"/>
        <v/>
      </c>
      <c r="EC33" s="8" t="str">
        <f t="shared" si="216"/>
        <v/>
      </c>
      <c r="ED33" s="8" t="str">
        <f t="shared" si="216"/>
        <v/>
      </c>
      <c r="EE33" s="8" t="str">
        <f t="shared" si="216"/>
        <v/>
      </c>
      <c r="EF33" s="8"/>
      <c r="EG33" s="8"/>
      <c r="EH33" s="41" t="str">
        <f t="shared" ref="EH33:EM33" si="217">DZ33</f>
        <v/>
      </c>
      <c r="EI33" s="8" t="str">
        <f t="shared" si="217"/>
        <v/>
      </c>
      <c r="EJ33" s="8" t="str">
        <f t="shared" si="217"/>
        <v/>
      </c>
      <c r="EK33" s="8" t="str">
        <f t="shared" si="217"/>
        <v/>
      </c>
      <c r="EL33" s="8" t="str">
        <f t="shared" si="217"/>
        <v/>
      </c>
      <c r="EM33" s="8" t="str">
        <f t="shared" si="217"/>
        <v/>
      </c>
      <c r="EN33" s="8"/>
      <c r="EO33" s="8"/>
      <c r="EP33" s="41" t="str">
        <f t="shared" ref="EP33:EU33" si="218">EH33</f>
        <v/>
      </c>
      <c r="EQ33" s="8" t="str">
        <f t="shared" si="218"/>
        <v/>
      </c>
      <c r="ER33" s="8" t="str">
        <f t="shared" si="218"/>
        <v/>
      </c>
      <c r="ES33" s="8" t="str">
        <f t="shared" si="218"/>
        <v/>
      </c>
      <c r="ET33" s="8" t="str">
        <f t="shared" si="218"/>
        <v/>
      </c>
      <c r="EU33" s="8" t="str">
        <f t="shared" si="218"/>
        <v/>
      </c>
      <c r="EV33" s="8"/>
      <c r="EW33" s="8"/>
      <c r="EX33" s="41" t="str">
        <f t="shared" ref="EX33:FC33" si="219">EP33</f>
        <v/>
      </c>
      <c r="EY33" s="8" t="str">
        <f t="shared" si="219"/>
        <v/>
      </c>
      <c r="EZ33" s="8" t="str">
        <f t="shared" si="219"/>
        <v/>
      </c>
      <c r="FA33" s="8" t="str">
        <f t="shared" si="219"/>
        <v/>
      </c>
      <c r="FB33" s="8" t="str">
        <f t="shared" si="219"/>
        <v/>
      </c>
      <c r="FC33" s="8" t="str">
        <f t="shared" si="219"/>
        <v/>
      </c>
      <c r="FD33" s="8"/>
      <c r="FE33" s="8"/>
      <c r="FF33" s="41" t="str">
        <f t="shared" ref="FF33:FK33" si="220">EX33</f>
        <v/>
      </c>
      <c r="FG33" s="8" t="str">
        <f t="shared" si="220"/>
        <v/>
      </c>
      <c r="FH33" s="8" t="str">
        <f t="shared" si="220"/>
        <v/>
      </c>
      <c r="FI33" s="8" t="str">
        <f t="shared" si="220"/>
        <v/>
      </c>
      <c r="FJ33" s="8" t="str">
        <f t="shared" si="220"/>
        <v/>
      </c>
      <c r="FK33" s="8" t="str">
        <f t="shared" si="220"/>
        <v/>
      </c>
      <c r="FL33" s="8"/>
      <c r="FM33" s="8"/>
    </row>
    <row r="34">
      <c r="A34" s="43"/>
      <c r="B34" s="44"/>
      <c r="C34" s="45"/>
      <c r="D34" s="45"/>
      <c r="E34" s="45"/>
      <c r="F34" s="45"/>
      <c r="G34" s="45"/>
      <c r="H34" s="45"/>
      <c r="I34" s="45"/>
      <c r="J34" s="44" t="str">
        <f t="shared" ref="J34:O34" si="221">B34</f>
        <v/>
      </c>
      <c r="K34" s="45" t="str">
        <f t="shared" si="221"/>
        <v/>
      </c>
      <c r="L34" s="45" t="str">
        <f t="shared" si="221"/>
        <v/>
      </c>
      <c r="M34" s="45" t="str">
        <f t="shared" si="221"/>
        <v/>
      </c>
      <c r="N34" s="45" t="str">
        <f t="shared" si="221"/>
        <v/>
      </c>
      <c r="O34" s="45" t="str">
        <f t="shared" si="221"/>
        <v/>
      </c>
      <c r="P34" s="45"/>
      <c r="Q34" s="45"/>
      <c r="R34" s="44" t="str">
        <f t="shared" ref="R34:W34" si="222">J34</f>
        <v/>
      </c>
      <c r="S34" s="45" t="str">
        <f t="shared" si="222"/>
        <v/>
      </c>
      <c r="T34" s="45" t="str">
        <f t="shared" si="222"/>
        <v/>
      </c>
      <c r="U34" s="45" t="str">
        <f t="shared" si="222"/>
        <v/>
      </c>
      <c r="V34" s="45" t="str">
        <f t="shared" si="222"/>
        <v/>
      </c>
      <c r="W34" s="45" t="str">
        <f t="shared" si="222"/>
        <v/>
      </c>
      <c r="X34" s="45"/>
      <c r="Y34" s="45"/>
      <c r="Z34" s="44" t="str">
        <f t="shared" ref="Z34:AE34" si="223">R34</f>
        <v/>
      </c>
      <c r="AA34" s="45" t="str">
        <f t="shared" si="223"/>
        <v/>
      </c>
      <c r="AB34" s="45" t="str">
        <f t="shared" si="223"/>
        <v/>
      </c>
      <c r="AC34" s="45" t="str">
        <f t="shared" si="223"/>
        <v/>
      </c>
      <c r="AD34" s="45" t="str">
        <f t="shared" si="223"/>
        <v/>
      </c>
      <c r="AE34" s="45" t="str">
        <f t="shared" si="223"/>
        <v/>
      </c>
      <c r="AF34" s="45"/>
      <c r="AG34" s="45"/>
      <c r="AH34" s="44" t="str">
        <f t="shared" ref="AH34:AM34" si="224">Z34</f>
        <v/>
      </c>
      <c r="AI34" s="45" t="str">
        <f t="shared" si="224"/>
        <v/>
      </c>
      <c r="AJ34" s="45" t="str">
        <f t="shared" si="224"/>
        <v/>
      </c>
      <c r="AK34" s="45" t="str">
        <f t="shared" si="224"/>
        <v/>
      </c>
      <c r="AL34" s="45" t="str">
        <f t="shared" si="224"/>
        <v/>
      </c>
      <c r="AM34" s="45" t="str">
        <f t="shared" si="224"/>
        <v/>
      </c>
      <c r="AN34" s="45"/>
      <c r="AO34" s="45"/>
      <c r="AP34" s="44" t="str">
        <f t="shared" ref="AP34:AU34" si="225">AH34</f>
        <v/>
      </c>
      <c r="AQ34" s="45" t="str">
        <f t="shared" si="225"/>
        <v/>
      </c>
      <c r="AR34" s="45" t="str">
        <f t="shared" si="225"/>
        <v/>
      </c>
      <c r="AS34" s="45" t="str">
        <f t="shared" si="225"/>
        <v/>
      </c>
      <c r="AT34" s="45" t="str">
        <f t="shared" si="225"/>
        <v/>
      </c>
      <c r="AU34" s="45" t="str">
        <f t="shared" si="225"/>
        <v/>
      </c>
      <c r="AV34" s="45"/>
      <c r="AW34" s="45"/>
      <c r="AX34" s="44" t="str">
        <f t="shared" ref="AX34:BC34" si="226">AP34</f>
        <v/>
      </c>
      <c r="AY34" s="45" t="str">
        <f t="shared" si="226"/>
        <v/>
      </c>
      <c r="AZ34" s="45" t="str">
        <f t="shared" si="226"/>
        <v/>
      </c>
      <c r="BA34" s="45" t="str">
        <f t="shared" si="226"/>
        <v/>
      </c>
      <c r="BB34" s="45" t="str">
        <f t="shared" si="226"/>
        <v/>
      </c>
      <c r="BC34" s="45" t="str">
        <f t="shared" si="226"/>
        <v/>
      </c>
      <c r="BD34" s="45"/>
      <c r="BE34" s="45"/>
      <c r="BF34" s="44" t="str">
        <f t="shared" ref="BF34:BK34" si="227">AX34</f>
        <v/>
      </c>
      <c r="BG34" s="45" t="str">
        <f t="shared" si="227"/>
        <v/>
      </c>
      <c r="BH34" s="45" t="str">
        <f t="shared" si="227"/>
        <v/>
      </c>
      <c r="BI34" s="45" t="str">
        <f t="shared" si="227"/>
        <v/>
      </c>
      <c r="BJ34" s="45" t="str">
        <f t="shared" si="227"/>
        <v/>
      </c>
      <c r="BK34" s="45" t="str">
        <f t="shared" si="227"/>
        <v/>
      </c>
      <c r="BL34" s="45"/>
      <c r="BM34" s="45"/>
      <c r="BN34" s="44" t="str">
        <f t="shared" ref="BN34:BS34" si="228">BF34</f>
        <v/>
      </c>
      <c r="BO34" s="45" t="str">
        <f t="shared" si="228"/>
        <v/>
      </c>
      <c r="BP34" s="45" t="str">
        <f t="shared" si="228"/>
        <v/>
      </c>
      <c r="BQ34" s="45" t="str">
        <f t="shared" si="228"/>
        <v/>
      </c>
      <c r="BR34" s="45" t="str">
        <f t="shared" si="228"/>
        <v/>
      </c>
      <c r="BS34" s="45" t="str">
        <f t="shared" si="228"/>
        <v/>
      </c>
      <c r="BT34" s="45"/>
      <c r="BU34" s="45"/>
      <c r="BV34" s="44" t="str">
        <f t="shared" ref="BV34:CA34" si="229">BN34</f>
        <v/>
      </c>
      <c r="BW34" s="45" t="str">
        <f t="shared" si="229"/>
        <v/>
      </c>
      <c r="BX34" s="45" t="str">
        <f t="shared" si="229"/>
        <v/>
      </c>
      <c r="BY34" s="45" t="str">
        <f t="shared" si="229"/>
        <v/>
      </c>
      <c r="BZ34" s="45" t="str">
        <f t="shared" si="229"/>
        <v/>
      </c>
      <c r="CA34" s="45" t="str">
        <f t="shared" si="229"/>
        <v/>
      </c>
      <c r="CB34" s="45"/>
      <c r="CC34" s="45"/>
      <c r="CD34" s="44" t="str">
        <f t="shared" ref="CD34:CI34" si="230">BV34</f>
        <v/>
      </c>
      <c r="CE34" s="45" t="str">
        <f t="shared" si="230"/>
        <v/>
      </c>
      <c r="CF34" s="45" t="str">
        <f t="shared" si="230"/>
        <v/>
      </c>
      <c r="CG34" s="45" t="str">
        <f t="shared" si="230"/>
        <v/>
      </c>
      <c r="CH34" s="45" t="str">
        <f t="shared" si="230"/>
        <v/>
      </c>
      <c r="CI34" s="45" t="str">
        <f t="shared" si="230"/>
        <v/>
      </c>
      <c r="CJ34" s="45"/>
      <c r="CK34" s="45"/>
      <c r="CL34" s="44" t="str">
        <f t="shared" ref="CL34:CQ34" si="231">CD34</f>
        <v/>
      </c>
      <c r="CM34" s="45" t="str">
        <f t="shared" si="231"/>
        <v/>
      </c>
      <c r="CN34" s="45" t="str">
        <f t="shared" si="231"/>
        <v/>
      </c>
      <c r="CO34" s="45" t="str">
        <f t="shared" si="231"/>
        <v/>
      </c>
      <c r="CP34" s="45" t="str">
        <f t="shared" si="231"/>
        <v/>
      </c>
      <c r="CQ34" s="45" t="str">
        <f t="shared" si="231"/>
        <v/>
      </c>
      <c r="CR34" s="45"/>
      <c r="CS34" s="45"/>
      <c r="CT34" s="44" t="str">
        <f t="shared" ref="CT34:CY34" si="232">CL34</f>
        <v/>
      </c>
      <c r="CU34" s="45" t="str">
        <f t="shared" si="232"/>
        <v/>
      </c>
      <c r="CV34" s="45" t="str">
        <f t="shared" si="232"/>
        <v/>
      </c>
      <c r="CW34" s="45" t="str">
        <f t="shared" si="232"/>
        <v/>
      </c>
      <c r="CX34" s="45" t="str">
        <f t="shared" si="232"/>
        <v/>
      </c>
      <c r="CY34" s="45" t="str">
        <f t="shared" si="232"/>
        <v/>
      </c>
      <c r="CZ34" s="45"/>
      <c r="DA34" s="45"/>
      <c r="DB34" s="44" t="str">
        <f t="shared" ref="DB34:DG34" si="233">CT34</f>
        <v/>
      </c>
      <c r="DC34" s="45" t="str">
        <f t="shared" si="233"/>
        <v/>
      </c>
      <c r="DD34" s="45" t="str">
        <f t="shared" si="233"/>
        <v/>
      </c>
      <c r="DE34" s="45" t="str">
        <f t="shared" si="233"/>
        <v/>
      </c>
      <c r="DF34" s="45" t="str">
        <f t="shared" si="233"/>
        <v/>
      </c>
      <c r="DG34" s="45" t="str">
        <f t="shared" si="233"/>
        <v/>
      </c>
      <c r="DH34" s="45"/>
      <c r="DI34" s="45"/>
      <c r="DJ34" s="44" t="str">
        <f t="shared" ref="DJ34:DO34" si="234">DB34</f>
        <v/>
      </c>
      <c r="DK34" s="45" t="str">
        <f t="shared" si="234"/>
        <v/>
      </c>
      <c r="DL34" s="45" t="str">
        <f t="shared" si="234"/>
        <v/>
      </c>
      <c r="DM34" s="45" t="str">
        <f t="shared" si="234"/>
        <v/>
      </c>
      <c r="DN34" s="45" t="str">
        <f t="shared" si="234"/>
        <v/>
      </c>
      <c r="DO34" s="45" t="str">
        <f t="shared" si="234"/>
        <v/>
      </c>
      <c r="DP34" s="45"/>
      <c r="DQ34" s="45"/>
      <c r="DR34" s="44" t="str">
        <f t="shared" ref="DR34:DW34" si="235">DJ34</f>
        <v/>
      </c>
      <c r="DS34" s="45" t="str">
        <f t="shared" si="235"/>
        <v/>
      </c>
      <c r="DT34" s="45" t="str">
        <f t="shared" si="235"/>
        <v/>
      </c>
      <c r="DU34" s="45" t="str">
        <f t="shared" si="235"/>
        <v/>
      </c>
      <c r="DV34" s="45" t="str">
        <f t="shared" si="235"/>
        <v/>
      </c>
      <c r="DW34" s="45" t="str">
        <f t="shared" si="235"/>
        <v/>
      </c>
      <c r="DX34" s="45"/>
      <c r="DY34" s="45"/>
      <c r="DZ34" s="44" t="str">
        <f t="shared" ref="DZ34:EE34" si="236">DR34</f>
        <v/>
      </c>
      <c r="EA34" s="45" t="str">
        <f t="shared" si="236"/>
        <v/>
      </c>
      <c r="EB34" s="45" t="str">
        <f t="shared" si="236"/>
        <v/>
      </c>
      <c r="EC34" s="45" t="str">
        <f t="shared" si="236"/>
        <v/>
      </c>
      <c r="ED34" s="45" t="str">
        <f t="shared" si="236"/>
        <v/>
      </c>
      <c r="EE34" s="45" t="str">
        <f t="shared" si="236"/>
        <v/>
      </c>
      <c r="EF34" s="45"/>
      <c r="EG34" s="45"/>
      <c r="EH34" s="44" t="str">
        <f t="shared" ref="EH34:EM34" si="237">DZ34</f>
        <v/>
      </c>
      <c r="EI34" s="45" t="str">
        <f t="shared" si="237"/>
        <v/>
      </c>
      <c r="EJ34" s="45" t="str">
        <f t="shared" si="237"/>
        <v/>
      </c>
      <c r="EK34" s="45" t="str">
        <f t="shared" si="237"/>
        <v/>
      </c>
      <c r="EL34" s="45" t="str">
        <f t="shared" si="237"/>
        <v/>
      </c>
      <c r="EM34" s="45" t="str">
        <f t="shared" si="237"/>
        <v/>
      </c>
      <c r="EN34" s="45"/>
      <c r="EO34" s="45"/>
      <c r="EP34" s="44" t="str">
        <f t="shared" ref="EP34:EU34" si="238">EH34</f>
        <v/>
      </c>
      <c r="EQ34" s="45" t="str">
        <f t="shared" si="238"/>
        <v/>
      </c>
      <c r="ER34" s="45" t="str">
        <f t="shared" si="238"/>
        <v/>
      </c>
      <c r="ES34" s="45" t="str">
        <f t="shared" si="238"/>
        <v/>
      </c>
      <c r="ET34" s="45" t="str">
        <f t="shared" si="238"/>
        <v/>
      </c>
      <c r="EU34" s="45" t="str">
        <f t="shared" si="238"/>
        <v/>
      </c>
      <c r="EV34" s="45"/>
      <c r="EW34" s="45"/>
      <c r="EX34" s="44" t="str">
        <f t="shared" ref="EX34:FC34" si="239">EP34</f>
        <v/>
      </c>
      <c r="EY34" s="45" t="str">
        <f t="shared" si="239"/>
        <v/>
      </c>
      <c r="EZ34" s="45" t="str">
        <f t="shared" si="239"/>
        <v/>
      </c>
      <c r="FA34" s="45" t="str">
        <f t="shared" si="239"/>
        <v/>
      </c>
      <c r="FB34" s="45" t="str">
        <f t="shared" si="239"/>
        <v/>
      </c>
      <c r="FC34" s="45" t="str">
        <f t="shared" si="239"/>
        <v/>
      </c>
      <c r="FD34" s="45"/>
      <c r="FE34" s="45"/>
      <c r="FF34" s="44" t="str">
        <f t="shared" ref="FF34:FK34" si="240">EX34</f>
        <v/>
      </c>
      <c r="FG34" s="45" t="str">
        <f t="shared" si="240"/>
        <v/>
      </c>
      <c r="FH34" s="45" t="str">
        <f t="shared" si="240"/>
        <v/>
      </c>
      <c r="FI34" s="45" t="str">
        <f t="shared" si="240"/>
        <v/>
      </c>
      <c r="FJ34" s="45" t="str">
        <f t="shared" si="240"/>
        <v/>
      </c>
      <c r="FK34" s="45" t="str">
        <f t="shared" si="240"/>
        <v/>
      </c>
      <c r="FL34" s="45"/>
      <c r="FM34" s="45"/>
    </row>
    <row r="35">
      <c r="A35" s="2"/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31" t="s">
        <v>84</v>
      </c>
      <c r="B36" s="32"/>
      <c r="C36" s="33"/>
      <c r="D36" s="33"/>
      <c r="E36" s="33"/>
      <c r="F36" s="33"/>
      <c r="G36" s="33"/>
      <c r="H36" s="33"/>
      <c r="I36" s="33"/>
      <c r="J36" s="32"/>
      <c r="K36" s="33"/>
      <c r="L36" s="33"/>
      <c r="M36" s="33"/>
      <c r="N36" s="33"/>
      <c r="O36" s="33"/>
      <c r="P36" s="33"/>
      <c r="Q36" s="33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J36" s="33"/>
      <c r="AK36" s="33"/>
      <c r="AL36" s="33"/>
      <c r="AM36" s="33"/>
      <c r="AN36" s="33"/>
      <c r="AO36" s="33"/>
      <c r="AP36" s="32"/>
      <c r="AQ36" s="33"/>
      <c r="AR36" s="33"/>
      <c r="AS36" s="33"/>
      <c r="AT36" s="33"/>
      <c r="AU36" s="33"/>
      <c r="AV36" s="33"/>
      <c r="AW36" s="33"/>
      <c r="AX36" s="32"/>
      <c r="AY36" s="33"/>
      <c r="AZ36" s="33"/>
      <c r="BA36" s="33"/>
      <c r="BB36" s="33"/>
      <c r="BC36" s="33"/>
      <c r="BD36" s="33"/>
      <c r="BE36" s="33"/>
      <c r="BF36" s="32"/>
      <c r="BG36" s="33"/>
      <c r="BH36" s="33"/>
      <c r="BI36" s="33"/>
      <c r="BJ36" s="33"/>
      <c r="BK36" s="33"/>
      <c r="BL36" s="33"/>
      <c r="BM36" s="33"/>
      <c r="BN36" s="32"/>
      <c r="BO36" s="33"/>
      <c r="BP36" s="33"/>
      <c r="BQ36" s="33"/>
      <c r="BR36" s="33"/>
      <c r="BS36" s="33"/>
      <c r="BT36" s="33"/>
      <c r="BU36" s="33"/>
      <c r="BV36" s="32"/>
      <c r="BW36" s="33"/>
      <c r="BX36" s="33"/>
      <c r="BY36" s="33"/>
      <c r="BZ36" s="33"/>
      <c r="CA36" s="33"/>
      <c r="CB36" s="33"/>
      <c r="CC36" s="33"/>
      <c r="CD36" s="32"/>
      <c r="CE36" s="33"/>
      <c r="CF36" s="33"/>
      <c r="CG36" s="33"/>
      <c r="CH36" s="33"/>
      <c r="CI36" s="33"/>
      <c r="CJ36" s="33"/>
      <c r="CK36" s="33"/>
      <c r="CL36" s="32"/>
      <c r="CM36" s="33"/>
      <c r="CN36" s="33"/>
      <c r="CO36" s="33"/>
      <c r="CP36" s="33"/>
      <c r="CQ36" s="33"/>
      <c r="CR36" s="33"/>
      <c r="CS36" s="33"/>
      <c r="CT36" s="32"/>
      <c r="CU36" s="33"/>
      <c r="CV36" s="33"/>
      <c r="CW36" s="33"/>
      <c r="CX36" s="33"/>
      <c r="CY36" s="33"/>
      <c r="CZ36" s="33"/>
      <c r="DA36" s="33"/>
      <c r="DB36" s="32"/>
      <c r="DC36" s="33"/>
      <c r="DD36" s="33"/>
      <c r="DE36" s="33"/>
      <c r="DF36" s="33"/>
      <c r="DG36" s="33"/>
      <c r="DH36" s="33"/>
      <c r="DI36" s="33"/>
      <c r="DJ36" s="32"/>
      <c r="DK36" s="33"/>
      <c r="DL36" s="33"/>
      <c r="DM36" s="33"/>
      <c r="DN36" s="33"/>
      <c r="DO36" s="33"/>
      <c r="DP36" s="33"/>
      <c r="DQ36" s="33"/>
      <c r="DR36" s="32"/>
      <c r="DS36" s="33"/>
      <c r="DT36" s="33"/>
      <c r="DU36" s="33"/>
      <c r="DV36" s="33"/>
      <c r="DW36" s="33"/>
      <c r="DX36" s="33"/>
      <c r="DY36" s="33"/>
      <c r="DZ36" s="32"/>
      <c r="EA36" s="33"/>
      <c r="EB36" s="33"/>
      <c r="EC36" s="33"/>
      <c r="ED36" s="33"/>
      <c r="EE36" s="33"/>
      <c r="EF36" s="33"/>
      <c r="EG36" s="33"/>
      <c r="EH36" s="32"/>
      <c r="EI36" s="33"/>
      <c r="EJ36" s="33"/>
      <c r="EK36" s="33"/>
      <c r="EL36" s="33"/>
      <c r="EM36" s="33"/>
      <c r="EN36" s="33"/>
      <c r="EO36" s="33"/>
      <c r="EP36" s="32"/>
      <c r="EQ36" s="33"/>
      <c r="ER36" s="33"/>
      <c r="ES36" s="33"/>
      <c r="ET36" s="33"/>
      <c r="EU36" s="33"/>
      <c r="EV36" s="33"/>
      <c r="EW36" s="33"/>
      <c r="EX36" s="34" t="s">
        <v>79</v>
      </c>
      <c r="EY36" s="35"/>
      <c r="EZ36" s="35"/>
      <c r="FA36" s="35"/>
      <c r="FB36" s="35"/>
      <c r="FC36" s="35"/>
      <c r="FD36" s="35"/>
      <c r="FE36" s="35"/>
      <c r="FF36" s="32"/>
      <c r="FG36" s="33"/>
      <c r="FH36" s="33"/>
      <c r="FI36" s="33"/>
      <c r="FJ36" s="33"/>
      <c r="FK36" s="33"/>
      <c r="FL36" s="33"/>
      <c r="FM36" s="33"/>
    </row>
    <row r="37" hidden="1">
      <c r="A37" s="36" t="str">
        <f>CONCATENATE(A38," TM")</f>
        <v>Incline Press TM</v>
      </c>
      <c r="B37" s="37">
        <f>if(D37="",'Quick Setup'!D14,D37/'Quick Setup'!E14)</f>
        <v>280</v>
      </c>
      <c r="C37" s="36" t="s">
        <v>77</v>
      </c>
      <c r="D37" s="38"/>
      <c r="E37" s="39"/>
      <c r="F37" s="39"/>
      <c r="G37" s="39"/>
      <c r="H37" s="39"/>
      <c r="I37" s="39"/>
      <c r="J37" s="37">
        <f>if(L37="", if(F38="",B37, if((F38-E38)&lt;-1.9,B37*(1+Setup!F12),if((F38-E38)=-1,B37*(1+Setup!G12),if(G38&lt;D38,B37*(1+Setup!G12),if(G38=D38,B37*(1+Setup!H12),if((G38-D38)=1,B37*(1+Setup!I12),if((G38-D38)=2,B37*(1+Setup!J12),if((G38-D38)=3,B37*(1+Setup!K12),if((G38-D38)=4,B37*(1+Setup!L12),if((G38-D38)&gt;4.1,B37*(1+Setup!M12),B37)))))))))),L37/'Quick Setup'!$E14)</f>
        <v>280</v>
      </c>
      <c r="K37" s="36" t="s">
        <v>77</v>
      </c>
      <c r="L37" s="38"/>
      <c r="M37" s="39"/>
      <c r="N37" s="39"/>
      <c r="O37" s="39"/>
      <c r="P37" s="39"/>
      <c r="Q37" s="39"/>
      <c r="R37" s="37">
        <f>if(T37="", if(N38="",J37, if((N38-M38)&lt;-1.9,J37*(1+Setup!R12),if((N38-M38)=-1,J37*(1+Setup!S12),if(O38&lt;L38,J37*(1+Setup!S12),if(O38=L38,J37*(1+Setup!T12),if((O38-L38)=1,J37*(1+Setup!U12),if((O38-L38)=2,J37*(1+Setup!V12),if((O38-L38)=3,J37*(1+Setup!W12),if((O38-L38)=4,J37*(1+Setup!X12),if((O38-L38)&gt;4.1,J37*(1+Setup!Y12),J37)))))))))),T37/'Quick Setup'!$E14)</f>
        <v>280</v>
      </c>
      <c r="S37" s="36" t="s">
        <v>77</v>
      </c>
      <c r="T37" s="38"/>
      <c r="U37" s="39"/>
      <c r="V37" s="39"/>
      <c r="W37" s="39"/>
      <c r="X37" s="39"/>
      <c r="Y37" s="39"/>
      <c r="Z37" s="37">
        <f>if(AB37="", if(V38="",R37, if((V38-U38)&lt;-1.9,R37*(1+Setup!AD12),if((V38-U38)=-1,R37*(1+Setup!AE12),if(W38&lt;T38,R37*(1+Setup!AE12),if(W38=T38,R37*(1+Setup!AF12),if((W38-T38)=1,R37*(1+Setup!AG12),if((W38-T38)=2,R37*(1+Setup!AH12),if((W38-T38)=3,R37*(1+Setup!AI12),if((W38-T38)=4,R37*(1+Setup!AJ12),if((W38-T38)&gt;4.1,R37*(1+Setup!AK12),R37)))))))))),AB37/'Quick Setup'!$E14)</f>
        <v>280</v>
      </c>
      <c r="AA37" s="36" t="s">
        <v>77</v>
      </c>
      <c r="AB37" s="38"/>
      <c r="AC37" s="39"/>
      <c r="AD37" s="39"/>
      <c r="AE37" s="39"/>
      <c r="AF37" s="39"/>
      <c r="AG37" s="39"/>
      <c r="AH37" s="37">
        <f>if(AJ37="", if(AD38="",Z37, if((AD38-AC38)&lt;-1.9,Z37*(1+Setup!AP12),if((AD38-AC38)=-1,Z37*(1+Setup!AQ12),if(AE38&lt;AB38,Z37*(1+Setup!AQ12),if(AE38=AB38,Z37*(1+Setup!AR12),if((AE38-AB38)=1,Z37*(1+Setup!AS12),if((AE38-AB38)=2,Z37*(1+Setup!AT12),if((AE38-AB38)=3,Z37*(1+Setup!AU12),if((AE38-AB38)=4,Z37*(1+Setup!AV12),if((AE38-AB38)&gt;4.1,Z37*(1+Setup!AW12),Z37)))))))))),AJ37/'Quick Setup'!$E14)</f>
        <v>280</v>
      </c>
      <c r="AI37" s="36" t="s">
        <v>77</v>
      </c>
      <c r="AJ37" s="38"/>
      <c r="AK37" s="39"/>
      <c r="AL37" s="39"/>
      <c r="AM37" s="39"/>
      <c r="AN37" s="39"/>
      <c r="AO37" s="39"/>
      <c r="AP37" s="37">
        <f>if(AR37="", if(AL38="",AH37, if((AL38-AK38)&lt;-1.9,AH37*(1+Setup!BB12),if((AL38-AK38)=-1,AH37*(1+Setup!BC12),if(AM38&lt;AJ38,AH37*(1+Setup!BC12),if(AM38=AJ38,AH37*(1+Setup!BD12),if((AM38-AJ38)=1,AH37*(1+Setup!BE12),if((AM38-AJ38)=2,AH37*(1+Setup!BF12),if((AM38-AJ38)=3,AH37*(1+Setup!BG12),if((AM38-AJ38)=4,AH37*(1+Setup!BH12),if((AM38-AJ38)&gt;4.1,AH37*(1+Setup!BI12),AH37)))))))))),AR37/'Quick Setup'!$E14)</f>
        <v>280</v>
      </c>
      <c r="AQ37" s="36" t="s">
        <v>77</v>
      </c>
      <c r="AR37" s="38"/>
      <c r="AS37" s="39"/>
      <c r="AT37" s="39"/>
      <c r="AU37" s="39"/>
      <c r="AV37" s="39"/>
      <c r="AW37" s="39"/>
      <c r="AX37" s="37">
        <f>if(AZ37="", if(AT38="",AP37, if((AT38-AS38)&lt;-1.9,AP37*(1+Setup!BN12),if((AT38-AS38)=-1,AP37*(1+Setup!BO12),if(AU38&lt;AR38,AP37*(1+Setup!BO12),if(AU38=AR38,AP37*(1+Setup!BP12),if((AU38-AR38)=1,AP37*(1+Setup!BQ12),if((AU38-AR38)=2,AP37*(1+Setup!BR12),if((AU38-AR38)=3,AP37*(1+Setup!BS12),if((AU38-AR38)=4,AP37*(1+Setup!BT12),if((AU38-AR38)&gt;4.1,AP37*(1+Setup!BU12),AP37)))))))))),AZ37/'Quick Setup'!$E14)</f>
        <v>280</v>
      </c>
      <c r="AY37" s="36" t="s">
        <v>77</v>
      </c>
      <c r="AZ37" s="38"/>
      <c r="BA37" s="39"/>
      <c r="BB37" s="39"/>
      <c r="BC37" s="39"/>
      <c r="BD37" s="39"/>
      <c r="BE37" s="39"/>
      <c r="BF37" s="37">
        <f>if(BH37="",AX37,BH37/'Quick Setup'!$E14)</f>
        <v>280</v>
      </c>
      <c r="BG37" s="36" t="s">
        <v>77</v>
      </c>
      <c r="BH37" s="38"/>
      <c r="BI37" s="39"/>
      <c r="BJ37" s="39"/>
      <c r="BK37" s="39"/>
      <c r="BL37" s="39"/>
      <c r="BM37" s="39"/>
      <c r="BN37" s="37">
        <f>if(BP37="", if(BJ38="",BF37, if((BJ38-BI38)&lt;-1.9,BF37*(1+Setup!CL12),if((BJ38-BI38)=-1,BF37*(1+Setup!CM12),if(BK38&lt;BH38,BF37*(1+Setup!CM12),if(BK38=BH38,BF37*(1+Setup!CN12),if((BK38-BH38)=1,BF37*(1+Setup!CO12),if((BK38-BH38)=2,BF37*(1+Setup!CP12),if((BK38-BH38)=3,BF37*(1+Setup!CQ12),if((BK38-BH38)=4,BF37*(1+Setup!CR12),if((BK38-BH38)&gt;4.1,BF37*(1+Setup!CS12),BF37)))))))))),BP37/'Quick Setup'!$E14)</f>
        <v>280</v>
      </c>
      <c r="BO37" s="36" t="s">
        <v>77</v>
      </c>
      <c r="BP37" s="38"/>
      <c r="BQ37" s="39"/>
      <c r="BR37" s="39"/>
      <c r="BS37" s="39"/>
      <c r="BT37" s="39"/>
      <c r="BU37" s="39"/>
      <c r="BV37" s="37">
        <f>if(BX37="", if(BR38="",BN37, if((BR38-BQ38)&lt;-1.9,BN37*(1+Setup!CX12),if((BR38-BQ38)=-1,BN37*(1+Setup!CY12),if(BS38&lt;BP38,BN37*(1+Setup!CY12),if(BS38=BP38,BN37*(1+Setup!CZ12),if((BS38-BP38)=1,BN37*(1+Setup!DA12),if((BS38-BP38)=2,BN37*(1+Setup!DB12),if((BS38-BP38)=3,BN37*(1+Setup!DC12),if((BS38-BP38)=4,BN37*(1+Setup!DD12),if((BS38-BP38)&gt;4.1,BN37*(1+Setup!DE12),BN37)))))))))),BX37/'Quick Setup'!$E14)</f>
        <v>280</v>
      </c>
      <c r="BW37" s="36" t="s">
        <v>77</v>
      </c>
      <c r="BX37" s="38"/>
      <c r="BY37" s="39"/>
      <c r="BZ37" s="39"/>
      <c r="CA37" s="39"/>
      <c r="CB37" s="39"/>
      <c r="CC37" s="39"/>
      <c r="CD37" s="37">
        <f>if(CF37="", if(BZ38="",BV37, if((BZ38-BY38)&lt;-1.9,BV37*(1+Setup!DJ12),if((BZ38-BY38)=-1,BV37*(1+Setup!DK12),if(CA38&lt;BX38,BV37*(1+Setup!DK12),if(CA38=BX38,BV37*(1+Setup!DL12),if((CA38-BX38)=1,BV37*(1+Setup!DM12),if((CA38-BX38)=2,BV37*(1+Setup!DN12),if((CA38-BX38)=3,BV37*(1+Setup!DO12),if((CA38-BX38)=4,BV37*(1+Setup!DP12),if((CA38-BX38)&gt;4.1,BV37*(1+Setup!DQ12),BV37)))))))))),CF37/'Quick Setup'!$E14)</f>
        <v>280</v>
      </c>
      <c r="CE37" s="36" t="s">
        <v>77</v>
      </c>
      <c r="CF37" s="38"/>
      <c r="CG37" s="39"/>
      <c r="CH37" s="39"/>
      <c r="CI37" s="39"/>
      <c r="CJ37" s="39"/>
      <c r="CK37" s="39"/>
      <c r="CL37" s="37">
        <f>if(CN37="", if(CH38="",CD37, if((CH38-CG38)&lt;-1.9,CD37*(1+Setup!DV12),if((CH38-CG38)=-1,CD37*(1+Setup!DW12),if(CI38&lt;CF38,CD37*(1+Setup!DW12),if(CI38=CF38,CD37*(1+Setup!DX12),if((CI38-CF38)=1,CD37*(1+Setup!DY12),if((CI38-CF38)=2,CD37*(1+Setup!DZ12),if((CI38-CF38)=3,CD37*(1+Setup!EA12),if((CI38-CF38)=4,CD37*(1+Setup!EB12),if((CI38-CF38)&gt;4.1,CD37*(1+Setup!EC12),CD37)))))))))),CN37/'Quick Setup'!$E14)</f>
        <v>280</v>
      </c>
      <c r="CM37" s="36" t="s">
        <v>77</v>
      </c>
      <c r="CN37" s="38"/>
      <c r="CO37" s="39"/>
      <c r="CP37" s="39"/>
      <c r="CQ37" s="39"/>
      <c r="CR37" s="39"/>
      <c r="CS37" s="39"/>
      <c r="CT37" s="37">
        <f>if(CV37="", if(CP38="",CL37, if((CP38-CO38)&lt;-1.9,CL37*(1+Setup!EH12),if((CP38-CO38)=-1,CL37*(1+Setup!EI12),if(CQ38&lt;CN38,CL37*(1+Setup!EI12),if(CQ38=CN38,CL37*(1+Setup!EJ12),if((CQ38-CN38)=1,CL37*(1+Setup!EK12),if((CQ38-CN38)=2,CL37*(1+Setup!EL12),if((CQ38-CN38)=3,CL37*(1+Setup!EM12),if((CQ38-CN38)=4,CL37*(1+Setup!EN12),if((CQ38-CN38)&gt;4.1,CL37*(1+Setup!EO12),CL37)))))))))),CV37/'Quick Setup'!$E14)</f>
        <v>280</v>
      </c>
      <c r="CU37" s="36" t="s">
        <v>77</v>
      </c>
      <c r="CV37" s="38"/>
      <c r="CW37" s="39"/>
      <c r="CX37" s="39"/>
      <c r="CY37" s="39"/>
      <c r="CZ37" s="39"/>
      <c r="DA37" s="39"/>
      <c r="DB37" s="37">
        <f>if(DD37="", if(CX38="",CT37, if((CX38-CW38)&lt;-1.9,CT37*(1+Setup!ET12),if((CX38-CW38)=-1,CT37*(1+Setup!EU12),if(CY38&lt;CV38,CT37*(1+Setup!EU12),if(CY38=CV38,CT37*(1+Setup!EV12),if((CY38-CV38)=1,CT37*(1+Setup!EW12),if((CY38-CV38)=2,CT37*(1+Setup!EX12),if((CY38-CV38)=3,CT37*(1+Setup!EY12),if((CY38-CV38)=4,CT37*(1+Setup!EZ12),if((CY38-CV38)&gt;4.1,CT37*(1+Setup!FA12),CT37)))))))))),DD37/'Quick Setup'!$E14)</f>
        <v>280</v>
      </c>
      <c r="DC37" s="36" t="s">
        <v>77</v>
      </c>
      <c r="DD37" s="38"/>
      <c r="DE37" s="39"/>
      <c r="DF37" s="39"/>
      <c r="DG37" s="39"/>
      <c r="DH37" s="39"/>
      <c r="DI37" s="39"/>
      <c r="DJ37" s="37">
        <f>if(DL37="",DB37,DL37/'Quick Setup'!$E14)</f>
        <v>280</v>
      </c>
      <c r="DK37" s="36" t="s">
        <v>77</v>
      </c>
      <c r="DL37" s="38"/>
      <c r="DM37" s="39"/>
      <c r="DN37" s="39"/>
      <c r="DO37" s="39"/>
      <c r="DP37" s="39"/>
      <c r="DQ37" s="39"/>
      <c r="DR37" s="37">
        <f>if(DT37="", if(DN38="",DJ37, if((DN38-DM38)&lt;-1.9,DJ37*(1+Setup!FR12),if((DN38-DM38)=-1,DJ37*(1+Setup!FS12),if(DO38&lt;DL38,DJ37*(1+Setup!FS12),if(DO38=DL38,DJ37*(1+Setup!FT12),if((DO38-DL38)=1,DJ37*(1+Setup!FU12),if((DO38-DL38)=2,DJ37*(1+Setup!FV12),if((DO38-DL38)=3,DJ37*(1+Setup!FW12),if((DO38-DL38)=4,DJ37*(1+Setup!FX12),if((DO38-DL38)&gt;4.1,DJ37*(1+Setup!FY12),DJ37)))))))))),DT37/'Quick Setup'!$E14)</f>
        <v>280</v>
      </c>
      <c r="DS37" s="36" t="s">
        <v>77</v>
      </c>
      <c r="DT37" s="38"/>
      <c r="DU37" s="39"/>
      <c r="DV37" s="39"/>
      <c r="DW37" s="39"/>
      <c r="DX37" s="39"/>
      <c r="DY37" s="39"/>
      <c r="DZ37" s="37">
        <f>if(EB37="", if(DV38="",DR37, if((DV38-DU38)&lt;-1.9,DR37*(1+Setup!GD12),if((DV38-DU38)=-1,DR37*(1+Setup!GE12),if(DW38&lt;DT38,DR37*(1+Setup!GE12),if(DW38=DT38,DR37*(1+Setup!GF12),if((DW38-DT38)=1,DR37*(1+Setup!GG12),if((DW38-DT38)=2,DR37*(1+Setup!GH12),if((DW38-DT38)=3,DR37*(1+Setup!GI12),if((DW38-DT38)=4,DR37*(1+Setup!GJ12),if((DW38-DT38)&gt;4.1,DR37*(1+Setup!GK12),DR37)))))))))),EB37/'Quick Setup'!$E14)</f>
        <v>280</v>
      </c>
      <c r="EA37" s="36" t="s">
        <v>77</v>
      </c>
      <c r="EB37" s="38"/>
      <c r="EC37" s="39"/>
      <c r="ED37" s="39"/>
      <c r="EE37" s="39"/>
      <c r="EF37" s="39"/>
      <c r="EG37" s="39"/>
      <c r="EH37" s="37">
        <f>if(EJ37="", if(ED38="",DZ37, if((ED38-EC38)&lt;-1.9,DZ37*(1+Setup!GP12),if((ED38-EC38)=-1,DZ37*(1+Setup!GQ12),if(EE38&lt;EB38,DZ37*(1+Setup!GQ12),if(EE38=EB38,DZ37*(1+Setup!GR12),if((EE38-EB38)=1,DZ37*(1+Setup!GS12),if((EE38-EB38)=2,DZ37*(1+Setup!GT12),if((EE38-EB38)=3,DZ37*(1+Setup!GU12),if((EE38-EB38)=4,DZ37*(1+Setup!GV12),if((EE38-EB38)&gt;4.1,DZ37*(1+Setup!GW12),DZ37)))))))))),EJ37/'Quick Setup'!$E14)</f>
        <v>280</v>
      </c>
      <c r="EI37" s="36" t="s">
        <v>77</v>
      </c>
      <c r="EJ37" s="38"/>
      <c r="EK37" s="39"/>
      <c r="EL37" s="39"/>
      <c r="EM37" s="39"/>
      <c r="EN37" s="39"/>
      <c r="EO37" s="39"/>
      <c r="EP37" s="37">
        <f>if(ER37="", if(EL38="",EH37, if((EL38-EK38)&lt;-1.9,EH37*(1+Setup!HB12),if((EL38-EK38)=-1,EH37*(1+Setup!HC12),if(EM38&lt;EJ38,EH37*(1+Setup!HC12),if(EM38=EJ38,EH37*(1+Setup!HD12),if((EM38-EJ38)=1,EH37*(1+Setup!HE12),if((EM38-EJ38)=2,EH37*(1+Setup!HF12),if((EM38-EJ38)=3,EH37*(1+Setup!HG12),if((EM38-EJ38)=4,EH37*(1+Setup!HH12),if((EM38-EJ38)&gt;4.1,EH37*(1+Setup!HI12),EH37)))))))))),ER37/'Quick Setup'!$E14)</f>
        <v>280</v>
      </c>
      <c r="EQ37" s="36" t="s">
        <v>77</v>
      </c>
      <c r="ER37" s="38"/>
      <c r="ES37" s="39"/>
      <c r="ET37" s="39"/>
      <c r="EU37" s="39"/>
      <c r="EV37" s="39"/>
      <c r="EW37" s="39"/>
      <c r="EX37" s="37">
        <f>if(EZ37="", if(ET38="",EP37, if((ET38-ES38)&lt;-1.9,EP37*(1+Setup!HN12),if((ET38-ES38)=-1,EP37*(1+Setup!HO12),if(EU38&lt;ER38,EP37*(1+Setup!HO12),if(EU38=ER38,EP37*(1+Setup!HP12),if((EU38-ER38)=1,EP37*(1+Setup!HQ12),if((EU38-ER38)=2,EP37*(1+Setup!HR12),if((EU38-ER38)=3,EP37*(1+Setup!HS12),if((EU38-ER38)=4,EP37*(1+Setup!HT12),if((EU38-ER38)&gt;4.1,EP37*(1+Setup!HU12),EP37)))))))))),EZ37/'Quick Setup'!$E14)</f>
        <v>280</v>
      </c>
      <c r="EY37" s="36" t="s">
        <v>77</v>
      </c>
      <c r="EZ37" s="38"/>
      <c r="FA37" s="39"/>
      <c r="FB37" s="39"/>
      <c r="FC37" s="39"/>
      <c r="FD37" s="39"/>
      <c r="FE37" s="39"/>
      <c r="FF37" s="37">
        <f>if(FH37="", if(FB38="",EX37, if((FB38-FA38)&lt;-1.9,EX37*(1+Setup!HZ12),if((FB38-FA38)=-1,EX37*(1+Setup!IA12),if(FC38&lt;EZ38,EX37*(1+Setup!IA12),if(FC38=EZ38,EX37*(1+Setup!IB12),if((FC38-EZ38)=1,EX37*(1+Setup!IC12),if((FC38-EZ38)=2,EX37*(1+Setup!ID12),if((FC38-EZ38)=3,EX37*(1+Setup!IE12),if((FC38-EZ38)=4,EX37*(1+Setup!IF12),if((FC38-EZ38)&gt;4.1,EX37*(1+Setup!IG12),EX37)))))))))),FH37/'Quick Setup'!$E14)</f>
        <v>280</v>
      </c>
      <c r="FG37" s="36" t="s">
        <v>77</v>
      </c>
      <c r="FH37" s="38"/>
      <c r="FI37" s="39"/>
      <c r="FJ37" s="39"/>
      <c r="FK37" s="39"/>
      <c r="FL37" s="39"/>
      <c r="FM37" s="39"/>
    </row>
    <row r="38">
      <c r="A38" s="1" t="str">
        <f>Setup!A12</f>
        <v>Incline Press</v>
      </c>
      <c r="B38" s="40">
        <f>mround(B37*Setup!B12,'Quick Setup'!$A$2)</f>
        <v>167.5</v>
      </c>
      <c r="C38" s="2">
        <f>Setup!C12</f>
        <v>7</v>
      </c>
      <c r="D38" s="2">
        <f>Setup!D12</f>
        <v>3</v>
      </c>
      <c r="E38" s="2">
        <f>Setup!E12</f>
        <v>5</v>
      </c>
      <c r="F38" s="8"/>
      <c r="G38" s="8"/>
      <c r="H38" s="8"/>
      <c r="I38" s="8"/>
      <c r="J38" s="40">
        <f>mround(J37*Setup!N12,'Quick Setup'!$A$2)</f>
        <v>182.5</v>
      </c>
      <c r="K38" s="2">
        <f>Setup!O12</f>
        <v>6</v>
      </c>
      <c r="L38" s="2">
        <f>Setup!P12</f>
        <v>3</v>
      </c>
      <c r="M38" s="2">
        <f>Setup!Q12</f>
        <v>5</v>
      </c>
      <c r="N38" s="8"/>
      <c r="O38" s="8"/>
      <c r="P38" s="8"/>
      <c r="Q38" s="8"/>
      <c r="R38" s="40">
        <f>mround(R37*Setup!Z12,'Quick Setup'!$A$2)</f>
        <v>195</v>
      </c>
      <c r="S38" s="2">
        <f>Setup!AA12</f>
        <v>5</v>
      </c>
      <c r="T38" s="2">
        <f>Setup!AB12</f>
        <v>3</v>
      </c>
      <c r="U38" s="2">
        <f>Setup!AC12</f>
        <v>5</v>
      </c>
      <c r="V38" s="8"/>
      <c r="W38" s="8"/>
      <c r="X38" s="8"/>
      <c r="Y38" s="8"/>
      <c r="Z38" s="40">
        <f>mround(Z37*Setup!AL12,'Quick Setup'!$A$2)</f>
        <v>175</v>
      </c>
      <c r="AA38" s="2">
        <f>Setup!AM12</f>
        <v>7</v>
      </c>
      <c r="AB38" s="2">
        <f>Setup!AN12</f>
        <v>3</v>
      </c>
      <c r="AC38" s="2">
        <f>Setup!AO12</f>
        <v>5</v>
      </c>
      <c r="AD38" s="8"/>
      <c r="AE38" s="8"/>
      <c r="AF38" s="8"/>
      <c r="AG38" s="8"/>
      <c r="AH38" s="40">
        <f>mround(AH37*Setup!AX12,'Quick Setup'!$A$2)</f>
        <v>190</v>
      </c>
      <c r="AI38" s="2">
        <f>Setup!AY12</f>
        <v>6</v>
      </c>
      <c r="AJ38" s="2">
        <f>Setup!AZ12</f>
        <v>3</v>
      </c>
      <c r="AK38" s="2">
        <f>Setup!BA12</f>
        <v>5</v>
      </c>
      <c r="AL38" s="8"/>
      <c r="AM38" s="8"/>
      <c r="AN38" s="8"/>
      <c r="AO38" s="8"/>
      <c r="AP38" s="40">
        <f>mround(AP37*Setup!BJ12,'Quick Setup'!$A$2)</f>
        <v>202.5</v>
      </c>
      <c r="AQ38" s="2">
        <f>Setup!BK12</f>
        <v>5</v>
      </c>
      <c r="AR38" s="2">
        <f>Setup!BL12</f>
        <v>3</v>
      </c>
      <c r="AS38" s="2">
        <f>Setup!BM12</f>
        <v>5</v>
      </c>
      <c r="AT38" s="8"/>
      <c r="AU38" s="8"/>
      <c r="AV38" s="8"/>
      <c r="AW38" s="8"/>
      <c r="AX38" s="40">
        <f>mround(AX37*Setup!BV12,'Quick Setup'!$A$2)</f>
        <v>140</v>
      </c>
      <c r="AY38" s="1">
        <v>5.0</v>
      </c>
      <c r="AZ38" s="1" t="s">
        <v>80</v>
      </c>
      <c r="BA38" s="2">
        <f>Setup!BY12</f>
        <v>5</v>
      </c>
      <c r="BB38" s="8"/>
      <c r="BC38" s="8"/>
      <c r="BD38" s="8"/>
      <c r="BE38" s="8"/>
      <c r="BF38" s="40">
        <f>mround(BF37*Setup!CH12,'Quick Setup'!$A$2)</f>
        <v>182.5</v>
      </c>
      <c r="BG38" s="2">
        <f>Setup!CI12</f>
        <v>6</v>
      </c>
      <c r="BH38" s="2">
        <f>Setup!CJ12</f>
        <v>3</v>
      </c>
      <c r="BI38" s="2">
        <f>Setup!CK12</f>
        <v>5</v>
      </c>
      <c r="BJ38" s="8"/>
      <c r="BK38" s="8"/>
      <c r="BL38" s="8"/>
      <c r="BM38" s="8"/>
      <c r="BN38" s="40">
        <f>mround(BN37*Setup!CT12,'Quick Setup'!$A$2)</f>
        <v>195</v>
      </c>
      <c r="BO38" s="2">
        <f>Setup!CU12</f>
        <v>5</v>
      </c>
      <c r="BP38" s="2">
        <f>Setup!CV12</f>
        <v>3</v>
      </c>
      <c r="BQ38" s="2">
        <f>Setup!CW12</f>
        <v>5</v>
      </c>
      <c r="BR38" s="8"/>
      <c r="BS38" s="8"/>
      <c r="BT38" s="8"/>
      <c r="BU38" s="8"/>
      <c r="BV38" s="40">
        <f>mround(BV37*Setup!DF12,'Quick Setup'!$A$2)</f>
        <v>210</v>
      </c>
      <c r="BW38" s="2">
        <f>Setup!DG12</f>
        <v>4</v>
      </c>
      <c r="BX38" s="2">
        <f>Setup!DH12</f>
        <v>2</v>
      </c>
      <c r="BY38" s="2">
        <f>Setup!DI12</f>
        <v>5</v>
      </c>
      <c r="BZ38" s="8"/>
      <c r="CA38" s="8"/>
      <c r="CB38" s="8"/>
      <c r="CC38" s="8"/>
      <c r="CD38" s="40">
        <f>mround(CD37*Setup!DR12,'Quick Setup'!$A$2)</f>
        <v>190</v>
      </c>
      <c r="CE38" s="2">
        <f>Setup!DS12</f>
        <v>6</v>
      </c>
      <c r="CF38" s="2">
        <f>Setup!DT12</f>
        <v>3</v>
      </c>
      <c r="CG38" s="2">
        <f>Setup!DU12</f>
        <v>5</v>
      </c>
      <c r="CH38" s="8"/>
      <c r="CI38" s="8"/>
      <c r="CJ38" s="8"/>
      <c r="CK38" s="8"/>
      <c r="CL38" s="40">
        <f>mround(CL37*Setup!ED12,'Quick Setup'!$A$2)</f>
        <v>202.5</v>
      </c>
      <c r="CM38" s="2">
        <f>Setup!EE12</f>
        <v>5</v>
      </c>
      <c r="CN38" s="2">
        <f>Setup!EF12</f>
        <v>3</v>
      </c>
      <c r="CO38" s="2">
        <f>Setup!EG12</f>
        <v>5</v>
      </c>
      <c r="CP38" s="8"/>
      <c r="CQ38" s="8"/>
      <c r="CR38" s="8"/>
      <c r="CS38" s="8"/>
      <c r="CT38" s="40">
        <f>mround(CT37*Setup!EP12,'Quick Setup'!$A$2)</f>
        <v>217.5</v>
      </c>
      <c r="CU38" s="2">
        <f>Setup!EQ12</f>
        <v>4</v>
      </c>
      <c r="CV38" s="2">
        <f>Setup!ER12</f>
        <v>2</v>
      </c>
      <c r="CW38" s="2">
        <f>Setup!ES12</f>
        <v>5</v>
      </c>
      <c r="CX38" s="8"/>
      <c r="CY38" s="8"/>
      <c r="CZ38" s="8"/>
      <c r="DA38" s="8"/>
      <c r="DB38" s="40">
        <f>mround(DB37*Setup!FB12,'Quick Setup'!$A$2)</f>
        <v>140</v>
      </c>
      <c r="DC38" s="1">
        <v>5.0</v>
      </c>
      <c r="DD38" s="1" t="s">
        <v>80</v>
      </c>
      <c r="DE38" s="2">
        <f>Setup!FE12</f>
        <v>5</v>
      </c>
      <c r="DF38" s="8"/>
      <c r="DG38" s="8"/>
      <c r="DH38" s="8"/>
      <c r="DI38" s="8"/>
      <c r="DJ38" s="40">
        <f>mround(DJ37*Setup!FN12,'Quick Setup'!$A$2)</f>
        <v>195</v>
      </c>
      <c r="DK38" s="2">
        <f>Setup!FO12</f>
        <v>5</v>
      </c>
      <c r="DL38" s="2">
        <f>Setup!FP12</f>
        <v>3</v>
      </c>
      <c r="DM38" s="2">
        <f>Setup!FQ12</f>
        <v>5</v>
      </c>
      <c r="DN38" s="8"/>
      <c r="DO38" s="8"/>
      <c r="DP38" s="8"/>
      <c r="DQ38" s="8"/>
      <c r="DR38" s="40">
        <f>mround(DR37*Setup!FZ12,'Quick Setup'!$A$2)</f>
        <v>210</v>
      </c>
      <c r="DS38" s="2">
        <f>Setup!GA12</f>
        <v>4</v>
      </c>
      <c r="DT38" s="2">
        <f>Setup!GB12</f>
        <v>2</v>
      </c>
      <c r="DU38" s="2">
        <f>Setup!GC12</f>
        <v>5</v>
      </c>
      <c r="DV38" s="8"/>
      <c r="DW38" s="8"/>
      <c r="DX38" s="8"/>
      <c r="DY38" s="8"/>
      <c r="DZ38" s="40">
        <f>mround(DZ37*Setup!GL12,'Quick Setup'!$A$2)</f>
        <v>225</v>
      </c>
      <c r="EA38" s="2">
        <f>Setup!GM12</f>
        <v>3</v>
      </c>
      <c r="EB38" s="2">
        <f>Setup!GN12</f>
        <v>2</v>
      </c>
      <c r="EC38" s="2">
        <f>Setup!GO12</f>
        <v>5</v>
      </c>
      <c r="ED38" s="8"/>
      <c r="EE38" s="8"/>
      <c r="EF38" s="8"/>
      <c r="EG38" s="8"/>
      <c r="EH38" s="40">
        <f>mround(EH37*Setup!GX12,'Quick Setup'!$A$2)</f>
        <v>210</v>
      </c>
      <c r="EI38" s="2">
        <f>Setup!GY12</f>
        <v>4</v>
      </c>
      <c r="EJ38" s="2">
        <f>Setup!GZ12</f>
        <v>2</v>
      </c>
      <c r="EK38" s="2">
        <f>Setup!HA12</f>
        <v>5</v>
      </c>
      <c r="EL38" s="8"/>
      <c r="EM38" s="8"/>
      <c r="EN38" s="8"/>
      <c r="EO38" s="8"/>
      <c r="EP38" s="40">
        <f>mround(EP37*Setup!HJ12,'Quick Setup'!$A$2)</f>
        <v>225</v>
      </c>
      <c r="EQ38" s="2">
        <f>Setup!HK12</f>
        <v>3</v>
      </c>
      <c r="ER38" s="2">
        <f>Setup!HL12</f>
        <v>2</v>
      </c>
      <c r="ES38" s="2">
        <f>Setup!HM12</f>
        <v>5</v>
      </c>
      <c r="ET38" s="8"/>
      <c r="EU38" s="8"/>
      <c r="EV38" s="8"/>
      <c r="EW38" s="8"/>
      <c r="EX38" s="40">
        <f>mround(EX37*Setup!HV12,'Quick Setup'!$A$2)</f>
        <v>237.5</v>
      </c>
      <c r="EY38" s="2">
        <f>Setup!HW12</f>
        <v>2</v>
      </c>
      <c r="EZ38" s="2">
        <f>Setup!HX12</f>
        <v>1</v>
      </c>
      <c r="FA38" s="2">
        <f>Setup!HY12</f>
        <v>5</v>
      </c>
      <c r="FB38" s="8"/>
      <c r="FC38" s="8"/>
      <c r="FD38" s="8"/>
      <c r="FE38" s="8"/>
      <c r="FF38" s="40">
        <f>mround(FF37*Setup!IH12,'Quick Setup'!$A$2)</f>
        <v>140</v>
      </c>
      <c r="FG38" s="1">
        <v>5.0</v>
      </c>
      <c r="FH38" s="1" t="s">
        <v>80</v>
      </c>
      <c r="FI38" s="2">
        <f>Setup!IK12</f>
        <v>5</v>
      </c>
      <c r="FJ38" s="8"/>
      <c r="FK38" s="8"/>
      <c r="FL38" s="8"/>
      <c r="FM38" s="8"/>
    </row>
    <row r="39" hidden="1">
      <c r="A39" s="36" t="str">
        <f>CONCATENATE(A40," TM")</f>
        <v>Paused Squat TM</v>
      </c>
      <c r="B39" s="37">
        <f>if(D39="",'Quick Setup'!D12,D39/'Quick Setup'!E12)</f>
        <v>460</v>
      </c>
      <c r="C39" s="36" t="s">
        <v>77</v>
      </c>
      <c r="D39" s="38"/>
      <c r="E39" s="39"/>
      <c r="F39" s="39"/>
      <c r="G39" s="39"/>
      <c r="H39" s="39"/>
      <c r="I39" s="39"/>
      <c r="J39" s="37">
        <f>if(L39="", if(F40="",B39, if((F40-E40)&lt;-1.9,B39*(1+Setup!F10),if((F40-E40)=-1,B39*(1+Setup!G10),if(G40&lt;D40,B39*(1+Setup!G10),if(G40=D40,B39*(1+Setup!H10),if((G40-D40)=1,B39*(1+Setup!I10),if((G40-D40)=2,B39*(1+Setup!J10),if((G40-D40)=3,B39*(1+Setup!K10),if((G40-D40)=4,B39*(1+Setup!L10),if((G40-D40)&gt;4.1,B39*(1+Setup!M10),B39)))))))))),L39/'Quick Setup'!$E12)</f>
        <v>460</v>
      </c>
      <c r="K39" s="36" t="s">
        <v>77</v>
      </c>
      <c r="L39" s="38"/>
      <c r="M39" s="39"/>
      <c r="N39" s="39"/>
      <c r="O39" s="39"/>
      <c r="P39" s="39"/>
      <c r="Q39" s="39"/>
      <c r="R39" s="37">
        <f>if(T39="", if(N40="",J39, if((N40-M40)&lt;-1.9,J39*(1+Setup!R10),if((N40-M40)=-1,J39*(1+Setup!S10),if(O40&lt;L40,J39*(1+Setup!S10),if(O40=L40,J39*(1+Setup!T10),if((O40-L40)=1,J39*(1+Setup!U10),if((O40-L40)=2,J39*(1+Setup!V10),if((O40-L40)=3,J39*(1+Setup!W10),if((O40-L40)=4,J39*(1+Setup!X10),if((O40-L40)&gt;4.1,J39*(1+Setup!Y10),J39)))))))))),T39/'Quick Setup'!$E12)</f>
        <v>460</v>
      </c>
      <c r="S39" s="36" t="s">
        <v>77</v>
      </c>
      <c r="T39" s="38"/>
      <c r="U39" s="39"/>
      <c r="V39" s="39"/>
      <c r="W39" s="39"/>
      <c r="X39" s="39"/>
      <c r="Y39" s="39"/>
      <c r="Z39" s="37">
        <f>if(AB39="", if(V40="",R39, if((V40-U40)&lt;-1.9,R39*(1+Setup!AD10),if((V40-U40)=-1,R39*(1+Setup!AE10),if(W40&lt;T40,R39*(1+Setup!AE10),if(W40=T40,R39*(1+Setup!AF10),if((W40-T40)=1,R39*(1+Setup!AG10),if((W40-T40)=2,R39*(1+Setup!AH10),if((W40-T40)=3,R39*(1+Setup!AI10),if((W40-T40)=4,R39*(1+Setup!AJ10),if((W40-T40)&gt;4.1,R39*(1+Setup!AK10),R39)))))))))),AB39/'Quick Setup'!$E12)</f>
        <v>460</v>
      </c>
      <c r="AA39" s="36" t="s">
        <v>77</v>
      </c>
      <c r="AB39" s="38"/>
      <c r="AC39" s="39"/>
      <c r="AD39" s="39"/>
      <c r="AE39" s="39"/>
      <c r="AF39" s="39"/>
      <c r="AG39" s="39"/>
      <c r="AH39" s="37">
        <f>if(AJ39="", if(AD40="",Z39, if((AD40-AC40)&lt;-1.9,Z39*(1+Setup!AP10),if((AD40-AC40)=-1,Z39*(1+Setup!AQ10),if(AE40&lt;AB40,Z39*(1+Setup!AQ10),if(AE40=AB40,Z39*(1+Setup!AR10),if((AE40-AB40)=1,Z39*(1+Setup!AS10),if((AE40-AB40)=2,Z39*(1+Setup!AT10),if((AE40-AB40)=3,Z39*(1+Setup!AU10),if((AE40-AB40)=4,Z39*(1+Setup!AV10),if((AE40-AB40)&gt;4.1,Z39*(1+Setup!AW10),Z39)))))))))),AJ39/'Quick Setup'!$E12)</f>
        <v>460</v>
      </c>
      <c r="AI39" s="36" t="s">
        <v>77</v>
      </c>
      <c r="AJ39" s="38"/>
      <c r="AK39" s="39"/>
      <c r="AL39" s="39"/>
      <c r="AM39" s="39"/>
      <c r="AN39" s="39"/>
      <c r="AO39" s="39"/>
      <c r="AP39" s="37">
        <f>if(AR39="", if(AL40="",AH39, if((AL40-AK40)&lt;-1.9,AH39*(1+Setup!BB10),if((AL40-AK40)=-1,AH39*(1+Setup!BC10),if(AM40&lt;AJ40,AH39*(1+Setup!BC10),if(AM40=AJ40,AH39*(1+Setup!BD10),if((AM40-AJ40)=1,AH39*(1+Setup!BE10),if((AM40-AJ40)=2,AH39*(1+Setup!BF10),if((AM40-AJ40)=3,AH39*(1+Setup!BG10),if((AM40-AJ40)=4,AH39*(1+Setup!BH10),if((AM40-AJ40)&gt;4.1,AH39*(1+Setup!BI10),AH39)))))))))),AR39/'Quick Setup'!$E12)</f>
        <v>460</v>
      </c>
      <c r="AQ39" s="36" t="s">
        <v>77</v>
      </c>
      <c r="AR39" s="38"/>
      <c r="AS39" s="39"/>
      <c r="AT39" s="39"/>
      <c r="AU39" s="39"/>
      <c r="AV39" s="39"/>
      <c r="AW39" s="39"/>
      <c r="AX39" s="37">
        <f>if(AZ39="", if(AT40="",AP39, if((AT40-AS40)&lt;-1.9,AP39*(1+Setup!BN10),if((AT40-AS40)=-1,AP39*(1+Setup!BO10),if(AU40&lt;AR40,AP39*(1+Setup!BO10),if(AU40=AR40,AP39*(1+Setup!BP10),if((AU40-AR40)=1,AP39*(1+Setup!BQ10),if((AU40-AR40)=2,AP39*(1+Setup!BR10),if((AU40-AR40)=3,AP39*(1+Setup!BS10),if((AU40-AR40)=4,AP39*(1+Setup!BT10),if((AU40-AR40)&gt;4.1,AP39*(1+Setup!BU10),AP39)))))))))),AZ39/'Quick Setup'!$E12)</f>
        <v>460</v>
      </c>
      <c r="AY39" s="36" t="s">
        <v>77</v>
      </c>
      <c r="AZ39" s="38"/>
      <c r="BA39" s="39"/>
      <c r="BB39" s="39"/>
      <c r="BC39" s="39"/>
      <c r="BD39" s="39"/>
      <c r="BE39" s="39"/>
      <c r="BF39" s="37">
        <f>if(BH39="",AX39,BH39/'Quick Setup'!$E12)</f>
        <v>460</v>
      </c>
      <c r="BG39" s="36" t="s">
        <v>77</v>
      </c>
      <c r="BH39" s="38"/>
      <c r="BI39" s="39"/>
      <c r="BJ39" s="39"/>
      <c r="BK39" s="39"/>
      <c r="BL39" s="39"/>
      <c r="BM39" s="39"/>
      <c r="BN39" s="37">
        <f>if(BP39="", if(BJ40="",BF39, if((BJ40-BI40)&lt;-1.9,BF39*(1+Setup!CL10),if((BJ40-BI40)=-1,BF39*(1+Setup!CM10),if(BK40&lt;BH40,BF39*(1+Setup!CM10),if(BK40=BH40,BF39*(1+Setup!CN10),if((BK40-BH40)=1,BF39*(1+Setup!CO10),if((BK40-BH40)=2,BF39*(1+Setup!CP10),if((BK40-BH40)=3,BF39*(1+Setup!CQ10),if((BK40-BH40)=4,BF39*(1+Setup!CR10),if((BK40-BH40)&gt;4.1,BF39*(1+Setup!CS10),BF39)))))))))),BP39/'Quick Setup'!$E12)</f>
        <v>460</v>
      </c>
      <c r="BO39" s="36" t="s">
        <v>77</v>
      </c>
      <c r="BP39" s="38"/>
      <c r="BQ39" s="39"/>
      <c r="BR39" s="39"/>
      <c r="BS39" s="39"/>
      <c r="BT39" s="39"/>
      <c r="BU39" s="39"/>
      <c r="BV39" s="37">
        <f>if(BX39="", if(BR40="",BN39, if((BR40-BQ40)&lt;-1.9,BN39*(1+Setup!CX10),if((BR40-BQ40)=-1,BN39*(1+Setup!CY10),if(BS40&lt;BP40,BN39*(1+Setup!CY10),if(BS40=BP40,BN39*(1+Setup!CZ10),if((BS40-BP40)=1,BN39*(1+Setup!DA10),if((BS40-BP40)=2,BN39*(1+Setup!DB10),if((BS40-BP40)=3,BN39*(1+Setup!DC10),if((BS40-BP40)=4,BN39*(1+Setup!DD10),if((BS40-BP40)&gt;4.1,BN39*(1+Setup!DE10),BN39)))))))))),BX39/'Quick Setup'!$E12)</f>
        <v>460</v>
      </c>
      <c r="BW39" s="36" t="s">
        <v>77</v>
      </c>
      <c r="BX39" s="38"/>
      <c r="BY39" s="39"/>
      <c r="BZ39" s="39"/>
      <c r="CA39" s="39"/>
      <c r="CB39" s="39"/>
      <c r="CC39" s="39"/>
      <c r="CD39" s="37">
        <f>if(CF39="", if(BZ40="",BV39, if((BZ40-BY40)&lt;-1.9,BV39*(1+Setup!DJ10),if((BZ40-BY40)=-1,BV39*(1+Setup!DK10),if(CA40&lt;BX40,BV39*(1+Setup!DK10),if(CA40=BX40,BV39*(1+Setup!DL10),if((CA40-BX40)=1,BV39*(1+Setup!DM10),if((CA40-BX40)=2,BV39*(1+Setup!DN10),if((CA40-BX40)=3,BV39*(1+Setup!DO10),if((CA40-BX40)=4,BV39*(1+Setup!DP10),if((CA40-BX40)&gt;4.1,BV39*(1+Setup!DQ10),BV39)))))))))),CF39/'Quick Setup'!$E12)</f>
        <v>460</v>
      </c>
      <c r="CE39" s="36" t="s">
        <v>77</v>
      </c>
      <c r="CF39" s="38"/>
      <c r="CG39" s="39"/>
      <c r="CH39" s="39"/>
      <c r="CI39" s="39"/>
      <c r="CJ39" s="39"/>
      <c r="CK39" s="39"/>
      <c r="CL39" s="37">
        <f>if(CN39="", if(CH40="",CD39, if((CH40-CG40)&lt;-1.9,CD39*(1+Setup!DV10),if((CH40-CG40)=-1,CD39*(1+Setup!DW10),if(CI40&lt;CF40,CD39*(1+Setup!DW10),if(CI40=CF40,CD39*(1+Setup!DX10),if((CI40-CF40)=1,CD39*(1+Setup!DY10),if((CI40-CF40)=2,CD39*(1+Setup!DZ10),if((CI40-CF40)=3,CD39*(1+Setup!EA10),if((CI40-CF40)=4,CD39*(1+Setup!EB10),if((CI40-CF40)&gt;4.1,CD39*(1+Setup!EC10),CD39)))))))))),CN39/'Quick Setup'!$E12)</f>
        <v>460</v>
      </c>
      <c r="CM39" s="36" t="s">
        <v>77</v>
      </c>
      <c r="CN39" s="38"/>
      <c r="CO39" s="39"/>
      <c r="CP39" s="39"/>
      <c r="CQ39" s="39"/>
      <c r="CR39" s="39"/>
      <c r="CS39" s="39"/>
      <c r="CT39" s="37">
        <f>if(CV39="", if(CP40="",CL39, if((CP40-CO40)&lt;-1.9,CL39*(1+Setup!EH10),if((CP40-CO40)=-1,CL39*(1+Setup!EI10),if(CQ40&lt;CN40,CL39*(1+Setup!EI10),if(CQ40=CN40,CL39*(1+Setup!EJ10),if((CQ40-CN40)=1,CL39*(1+Setup!EK10),if((CQ40-CN40)=2,CL39*(1+Setup!EL10),if((CQ40-CN40)=3,CL39*(1+Setup!EM10),if((CQ40-CN40)=4,CL39*(1+Setup!EN10),if((CQ40-CN40)&gt;4.1,CL39*(1+Setup!EO10),CL39)))))))))),CV39/'Quick Setup'!$E12)</f>
        <v>460</v>
      </c>
      <c r="CU39" s="36" t="s">
        <v>77</v>
      </c>
      <c r="CV39" s="38"/>
      <c r="CW39" s="39"/>
      <c r="CX39" s="39"/>
      <c r="CY39" s="39"/>
      <c r="CZ39" s="39"/>
      <c r="DA39" s="39"/>
      <c r="DB39" s="37">
        <f>if(DD39="", if(CX40="",CT39, if((CX40-CW40)&lt;-1.9,CT39*(1+Setup!ET10),if((CX40-CW40)=-1,CT39*(1+Setup!EU10),if(CY40&lt;CV40,CT39*(1+Setup!EU10),if(CY40=CV40,CT39*(1+Setup!EV10),if((CY40-CV40)=1,CT39*(1+Setup!EW10),if((CY40-CV40)=2,CT39*(1+Setup!EX10),if((CY40-CV40)=3,CT39*(1+Setup!EY10),if((CY40-CV40)=4,CT39*(1+Setup!EZ10),if((CY40-CV40)&gt;4.1,CT39*(1+Setup!FA10),CT39)))))))))),DD39/'Quick Setup'!$E12)</f>
        <v>460</v>
      </c>
      <c r="DC39" s="36" t="s">
        <v>77</v>
      </c>
      <c r="DD39" s="38"/>
      <c r="DE39" s="39"/>
      <c r="DF39" s="39"/>
      <c r="DG39" s="39"/>
      <c r="DH39" s="39"/>
      <c r="DI39" s="39"/>
      <c r="DJ39" s="37">
        <f>if(DL39="",DB39,DL39/'Quick Setup'!$E12)</f>
        <v>460</v>
      </c>
      <c r="DK39" s="36" t="s">
        <v>77</v>
      </c>
      <c r="DL39" s="38"/>
      <c r="DM39" s="39"/>
      <c r="DN39" s="39"/>
      <c r="DO39" s="39"/>
      <c r="DP39" s="39"/>
      <c r="DQ39" s="39"/>
      <c r="DR39" s="37">
        <f>if(DT39="", if(DN40="",DJ39, if((DN40-DM40)&lt;-1.9,DJ39*(1+Setup!FR10),if((DN40-DM40)=-1,DJ39*(1+Setup!FS10),if(DO40&lt;DL40,DJ39*(1+Setup!FS10),if(DO40=DL40,DJ39*(1+Setup!FT10),if((DO40-DL40)=1,DJ39*(1+Setup!FU10),if((DO40-DL40)=2,DJ39*(1+Setup!FV10),if((DO40-DL40)=3,DJ39*(1+Setup!FW10),if((DO40-DL40)=4,DJ39*(1+Setup!FX10),if((DO40-DL40)&gt;4.1,DJ39*(1+Setup!FY10),DJ39)))))))))),DT39/'Quick Setup'!$E12)</f>
        <v>460</v>
      </c>
      <c r="DS39" s="36" t="s">
        <v>77</v>
      </c>
      <c r="DT39" s="38"/>
      <c r="DU39" s="39"/>
      <c r="DV39" s="39"/>
      <c r="DW39" s="39"/>
      <c r="DX39" s="39"/>
      <c r="DY39" s="39"/>
      <c r="DZ39" s="37">
        <f>if(EB39="", if(DV40="",DR39, if((DV40-DU40)&lt;-1.9,DR39*(1+Setup!GD10),if((DV40-DU40)=-1,DR39*(1+Setup!GE10),if(DW40&lt;DT40,DR39*(1+Setup!GE10),if(DW40=DT40,DR39*(1+Setup!GF10),if((DW40-DT40)=1,DR39*(1+Setup!GG10),if((DW40-DT40)=2,DR39*(1+Setup!GH10),if((DW40-DT40)=3,DR39*(1+Setup!GI10),if((DW40-DT40)=4,DR39*(1+Setup!GJ10),if((DW40-DT40)&gt;4.1,DR39*(1+Setup!GK10),DR39)))))))))),EB39/'Quick Setup'!$E12)</f>
        <v>460</v>
      </c>
      <c r="EA39" s="36" t="s">
        <v>77</v>
      </c>
      <c r="EB39" s="38"/>
      <c r="EC39" s="39"/>
      <c r="ED39" s="39"/>
      <c r="EE39" s="39"/>
      <c r="EF39" s="39"/>
      <c r="EG39" s="39"/>
      <c r="EH39" s="37">
        <f>if(EJ39="", if(ED40="",DZ39, if((ED40-EC40)&lt;-1.9,DZ39*(1+Setup!GP10),if((ED40-EC40)=-1,DZ39*(1+Setup!GQ10),if(EE40&lt;EB40,DZ39*(1+Setup!GQ10),if(EE40=EB40,DZ39*(1+Setup!GR10),if((EE40-EB40)=1,DZ39*(1+Setup!GS10),if((EE40-EB40)=2,DZ39*(1+Setup!GT10),if((EE40-EB40)=3,DZ39*(1+Setup!GU10),if((EE40-EB40)=4,DZ39*(1+Setup!GV10),if((EE40-EB40)&gt;4.1,DZ39*(1+Setup!GW10),DZ39)))))))))),EJ39/'Quick Setup'!$E12)</f>
        <v>460</v>
      </c>
      <c r="EI39" s="36" t="s">
        <v>77</v>
      </c>
      <c r="EJ39" s="38"/>
      <c r="EK39" s="39"/>
      <c r="EL39" s="39"/>
      <c r="EM39" s="39"/>
      <c r="EN39" s="39"/>
      <c r="EO39" s="39"/>
      <c r="EP39" s="37">
        <f>if(ER39="", if(EL40="",EH39, if((EL40-EK40)&lt;-1.9,EH39*(1+Setup!HB10),if((EL40-EK40)=-1,EH39*(1+Setup!HC10),if(EM40&lt;EJ40,EH39*(1+Setup!HC10),if(EM40=EJ40,EH39*(1+Setup!HD10),if((EM40-EJ40)=1,EH39*(1+Setup!HE10),if((EM40-EJ40)=2,EH39*(1+Setup!HF10),if((EM40-EJ40)=3,EH39*(1+Setup!HG10),if((EM40-EJ40)=4,EH39*(1+Setup!HH10),if((EM40-EJ40)&gt;4.1,EH39*(1+Setup!HI10),EH39)))))))))),ER39/'Quick Setup'!$E12)</f>
        <v>460</v>
      </c>
      <c r="EQ39" s="36" t="s">
        <v>77</v>
      </c>
      <c r="ER39" s="38"/>
      <c r="ES39" s="39"/>
      <c r="ET39" s="39"/>
      <c r="EU39" s="39"/>
      <c r="EV39" s="39"/>
      <c r="EW39" s="39"/>
      <c r="EX39" s="37">
        <f>if(EZ39="", if(ET40="",EP39, if((ET40-ES40)&lt;-1.9,EP39*(1+Setup!HN10),if((ET40-ES40)=-1,EP39*(1+Setup!HO10),if(EU40&lt;ER40,EP39*(1+Setup!HO10),if(EU40=ER40,EP39*(1+Setup!HP10),if((EU40-ER40)=1,EP39*(1+Setup!HQ10),if((EU40-ER40)=2,EP39*(1+Setup!HR10),if((EU40-ER40)=3,EP39*(1+Setup!HS10),if((EU40-ER40)=4,EP39*(1+Setup!HT10),if((EU40-ER40)&gt;4.1,EP39*(1+Setup!HU10),EP39)))))))))),EZ39/'Quick Setup'!$E12)</f>
        <v>460</v>
      </c>
      <c r="EY39" s="36" t="s">
        <v>77</v>
      </c>
      <c r="EZ39" s="38"/>
      <c r="FA39" s="39"/>
      <c r="FB39" s="39"/>
      <c r="FC39" s="39"/>
      <c r="FD39" s="39"/>
      <c r="FE39" s="39"/>
      <c r="FF39" s="37">
        <f>if(FH39="", if(FB40="",EX39, if((FB40-FA40)&lt;-1.9,EX39*(1+Setup!HZ10),if((FB40-FA40)=-1,EX39*(1+Setup!IA10),if(FC40&lt;EZ40,EX39*(1+Setup!IA10),if(FC40=EZ40,EX39*(1+Setup!IB10),if((FC40-EZ40)=1,EX39*(1+Setup!IC10),if((FC40-EZ40)=2,EX39*(1+Setup!ID10),if((FC40-EZ40)=3,EX39*(1+Setup!IE10),if((FC40-EZ40)=4,EX39*(1+Setup!IF10),if((FC40-EZ40)&gt;4.1,EX39*(1+Setup!IG10),EX39)))))))))),FH39/'Quick Setup'!$E12)</f>
        <v>460</v>
      </c>
      <c r="FG39" s="36" t="s">
        <v>77</v>
      </c>
      <c r="FH39" s="38"/>
      <c r="FI39" s="39"/>
      <c r="FJ39" s="39"/>
      <c r="FK39" s="39"/>
      <c r="FL39" s="39"/>
      <c r="FM39" s="39"/>
    </row>
    <row r="40">
      <c r="A40" s="1" t="str">
        <f>Setup!A10</f>
        <v>Paused Squat</v>
      </c>
      <c r="B40" s="40">
        <f>mround(B39*Setup!B10,'Quick Setup'!$A$2)</f>
        <v>275</v>
      </c>
      <c r="C40" s="2">
        <f>Setup!C10</f>
        <v>7</v>
      </c>
      <c r="D40" s="2">
        <f>Setup!D10</f>
        <v>3</v>
      </c>
      <c r="E40" s="2">
        <f>Setup!E10</f>
        <v>5</v>
      </c>
      <c r="F40" s="8"/>
      <c r="G40" s="8"/>
      <c r="H40" s="8"/>
      <c r="I40" s="8"/>
      <c r="J40" s="40">
        <f>mround(J39*Setup!N10,'Quick Setup'!$A$2)</f>
        <v>300</v>
      </c>
      <c r="K40" s="2">
        <f>Setup!O10</f>
        <v>6</v>
      </c>
      <c r="L40" s="2">
        <f>Setup!P10</f>
        <v>3</v>
      </c>
      <c r="M40" s="2">
        <f>Setup!Q10</f>
        <v>5</v>
      </c>
      <c r="N40" s="8"/>
      <c r="O40" s="8"/>
      <c r="P40" s="8"/>
      <c r="Q40" s="8"/>
      <c r="R40" s="40">
        <f>mround(R39*Setup!Z10,'Quick Setup'!$A$2)</f>
        <v>322.5</v>
      </c>
      <c r="S40" s="2">
        <f>Setup!AA10</f>
        <v>5</v>
      </c>
      <c r="T40" s="2">
        <f>Setup!AB10</f>
        <v>3</v>
      </c>
      <c r="U40" s="2">
        <f>Setup!AC10</f>
        <v>5</v>
      </c>
      <c r="V40" s="8"/>
      <c r="W40" s="8"/>
      <c r="X40" s="8"/>
      <c r="Y40" s="8"/>
      <c r="Z40" s="40">
        <f>mround(Z39*Setup!AL10,'Quick Setup'!$A$2)</f>
        <v>287.5</v>
      </c>
      <c r="AA40" s="2">
        <f>Setup!AM10</f>
        <v>7</v>
      </c>
      <c r="AB40" s="2">
        <f>Setup!AN10</f>
        <v>3</v>
      </c>
      <c r="AC40" s="2">
        <f>Setup!AO10</f>
        <v>5</v>
      </c>
      <c r="AD40" s="8"/>
      <c r="AE40" s="8"/>
      <c r="AF40" s="8"/>
      <c r="AG40" s="8"/>
      <c r="AH40" s="40">
        <f>mround(AH39*Setup!AX10,'Quick Setup'!$A$2)</f>
        <v>310</v>
      </c>
      <c r="AI40" s="2">
        <f>Setup!AY10</f>
        <v>6</v>
      </c>
      <c r="AJ40" s="2">
        <f>Setup!AZ10</f>
        <v>3</v>
      </c>
      <c r="AK40" s="2">
        <f>Setup!BA10</f>
        <v>5</v>
      </c>
      <c r="AL40" s="8"/>
      <c r="AM40" s="8"/>
      <c r="AN40" s="8"/>
      <c r="AO40" s="8"/>
      <c r="AP40" s="40">
        <f>mround(AP39*Setup!BJ10,'Quick Setup'!$A$2)</f>
        <v>332.5</v>
      </c>
      <c r="AQ40" s="2">
        <f>Setup!BK10</f>
        <v>5</v>
      </c>
      <c r="AR40" s="2">
        <f>Setup!BL10</f>
        <v>3</v>
      </c>
      <c r="AS40" s="2">
        <f>Setup!BM10</f>
        <v>5</v>
      </c>
      <c r="AT40" s="8"/>
      <c r="AU40" s="8"/>
      <c r="AV40" s="8"/>
      <c r="AW40" s="8"/>
      <c r="AX40" s="40">
        <f>mround(AX39*Setup!BV10,'Quick Setup'!$A$2)</f>
        <v>230</v>
      </c>
      <c r="AY40" s="1">
        <v>5.0</v>
      </c>
      <c r="AZ40" s="1" t="s">
        <v>80</v>
      </c>
      <c r="BA40" s="2">
        <f>Setup!BY10</f>
        <v>5</v>
      </c>
      <c r="BB40" s="8"/>
      <c r="BC40" s="8"/>
      <c r="BD40" s="8"/>
      <c r="BE40" s="8"/>
      <c r="BF40" s="40">
        <f>mround(BF39*Setup!CH10,'Quick Setup'!$A$2)</f>
        <v>300</v>
      </c>
      <c r="BG40" s="2">
        <f>Setup!CI10</f>
        <v>6</v>
      </c>
      <c r="BH40" s="2">
        <f>Setup!CJ10</f>
        <v>3</v>
      </c>
      <c r="BI40" s="2">
        <f>Setup!CK10</f>
        <v>5</v>
      </c>
      <c r="BJ40" s="8"/>
      <c r="BK40" s="8"/>
      <c r="BL40" s="8"/>
      <c r="BM40" s="8"/>
      <c r="BN40" s="40">
        <f>mround(BN39*Setup!CT10,'Quick Setup'!$A$2)</f>
        <v>322.5</v>
      </c>
      <c r="BO40" s="2">
        <f>Setup!CU10</f>
        <v>5</v>
      </c>
      <c r="BP40" s="2">
        <f>Setup!CV10</f>
        <v>3</v>
      </c>
      <c r="BQ40" s="2">
        <f>Setup!CW10</f>
        <v>5</v>
      </c>
      <c r="BR40" s="8"/>
      <c r="BS40" s="8"/>
      <c r="BT40" s="8"/>
      <c r="BU40" s="8"/>
      <c r="BV40" s="40">
        <f>mround(BV39*Setup!DF10,'Quick Setup'!$A$2)</f>
        <v>345</v>
      </c>
      <c r="BW40" s="2">
        <f>Setup!DG10</f>
        <v>4</v>
      </c>
      <c r="BX40" s="2">
        <f>Setup!DH10</f>
        <v>2</v>
      </c>
      <c r="BY40" s="2">
        <f>Setup!DI10</f>
        <v>5</v>
      </c>
      <c r="BZ40" s="8"/>
      <c r="CA40" s="8"/>
      <c r="CB40" s="8"/>
      <c r="CC40" s="8"/>
      <c r="CD40" s="40">
        <f>mround(CD39*Setup!DR10,'Quick Setup'!$A$2)</f>
        <v>310</v>
      </c>
      <c r="CE40" s="2">
        <f>Setup!DS10</f>
        <v>6</v>
      </c>
      <c r="CF40" s="2">
        <f>Setup!DT10</f>
        <v>3</v>
      </c>
      <c r="CG40" s="2">
        <f>Setup!DU10</f>
        <v>5</v>
      </c>
      <c r="CH40" s="8"/>
      <c r="CI40" s="8"/>
      <c r="CJ40" s="8"/>
      <c r="CK40" s="8"/>
      <c r="CL40" s="40">
        <f>mround(CL39*Setup!ED10,'Quick Setup'!$A$2)</f>
        <v>332.5</v>
      </c>
      <c r="CM40" s="2">
        <f>Setup!EE10</f>
        <v>5</v>
      </c>
      <c r="CN40" s="2">
        <f>Setup!EF10</f>
        <v>3</v>
      </c>
      <c r="CO40" s="2">
        <f>Setup!EG10</f>
        <v>5</v>
      </c>
      <c r="CP40" s="8"/>
      <c r="CQ40" s="8"/>
      <c r="CR40" s="8"/>
      <c r="CS40" s="8"/>
      <c r="CT40" s="40">
        <f>mround(CT39*Setup!EP10,'Quick Setup'!$A$2)</f>
        <v>357.5</v>
      </c>
      <c r="CU40" s="2">
        <f>Setup!EQ10</f>
        <v>4</v>
      </c>
      <c r="CV40" s="2">
        <f>Setup!ER10</f>
        <v>2</v>
      </c>
      <c r="CW40" s="2">
        <f>Setup!ES10</f>
        <v>5</v>
      </c>
      <c r="CX40" s="8"/>
      <c r="CY40" s="8"/>
      <c r="CZ40" s="8"/>
      <c r="DA40" s="8"/>
      <c r="DB40" s="40">
        <f>mround(DB39*Setup!FB10,'Quick Setup'!$A$2)</f>
        <v>230</v>
      </c>
      <c r="DC40" s="1">
        <v>5.0</v>
      </c>
      <c r="DD40" s="1" t="s">
        <v>80</v>
      </c>
      <c r="DE40" s="2">
        <f>Setup!FE10</f>
        <v>5</v>
      </c>
      <c r="DF40" s="8"/>
      <c r="DG40" s="8"/>
      <c r="DH40" s="8"/>
      <c r="DI40" s="8"/>
      <c r="DJ40" s="40">
        <f>mround(DJ39*Setup!FN10,'Quick Setup'!$A$2)</f>
        <v>322.5</v>
      </c>
      <c r="DK40" s="2">
        <f>Setup!FO10</f>
        <v>5</v>
      </c>
      <c r="DL40" s="2">
        <f>Setup!FP10</f>
        <v>3</v>
      </c>
      <c r="DM40" s="2">
        <f>Setup!FQ10</f>
        <v>5</v>
      </c>
      <c r="DN40" s="8"/>
      <c r="DO40" s="8"/>
      <c r="DP40" s="8"/>
      <c r="DQ40" s="8"/>
      <c r="DR40" s="40">
        <f>mround(DR39*Setup!FZ10,'Quick Setup'!$A$2)</f>
        <v>345</v>
      </c>
      <c r="DS40" s="2">
        <f>Setup!GA10</f>
        <v>4</v>
      </c>
      <c r="DT40" s="2">
        <f>Setup!GB10</f>
        <v>2</v>
      </c>
      <c r="DU40" s="2">
        <f>Setup!GC10</f>
        <v>5</v>
      </c>
      <c r="DV40" s="8"/>
      <c r="DW40" s="8"/>
      <c r="DX40" s="8"/>
      <c r="DY40" s="8"/>
      <c r="DZ40" s="40">
        <f>mround(DZ39*Setup!GL10,'Quick Setup'!$A$2)</f>
        <v>367.5</v>
      </c>
      <c r="EA40" s="2">
        <f>Setup!GM10</f>
        <v>3</v>
      </c>
      <c r="EB40" s="2">
        <f>Setup!GN10</f>
        <v>2</v>
      </c>
      <c r="EC40" s="2">
        <f>Setup!GO10</f>
        <v>5</v>
      </c>
      <c r="ED40" s="8"/>
      <c r="EE40" s="8"/>
      <c r="EF40" s="8"/>
      <c r="EG40" s="8"/>
      <c r="EH40" s="40">
        <f>mround(EH39*Setup!GX10,'Quick Setup'!$A$2)</f>
        <v>345</v>
      </c>
      <c r="EI40" s="2">
        <f>Setup!GY10</f>
        <v>4</v>
      </c>
      <c r="EJ40" s="2">
        <f>Setup!GZ10</f>
        <v>2</v>
      </c>
      <c r="EK40" s="2">
        <f>Setup!HA10</f>
        <v>5</v>
      </c>
      <c r="EL40" s="8"/>
      <c r="EM40" s="8"/>
      <c r="EN40" s="8"/>
      <c r="EO40" s="8"/>
      <c r="EP40" s="40">
        <f>mround(EP39*Setup!HJ10,'Quick Setup'!$A$2)</f>
        <v>367.5</v>
      </c>
      <c r="EQ40" s="2">
        <f>Setup!HK10</f>
        <v>3</v>
      </c>
      <c r="ER40" s="2">
        <f>Setup!HL10</f>
        <v>2</v>
      </c>
      <c r="ES40" s="2">
        <f>Setup!HM10</f>
        <v>5</v>
      </c>
      <c r="ET40" s="8"/>
      <c r="EU40" s="8"/>
      <c r="EV40" s="8"/>
      <c r="EW40" s="8"/>
      <c r="EX40" s="40">
        <f>mround(EX39*Setup!HV10,'Quick Setup'!$A$2)</f>
        <v>390</v>
      </c>
      <c r="EY40" s="2">
        <f>Setup!HW10</f>
        <v>2</v>
      </c>
      <c r="EZ40" s="2">
        <f>Setup!HX10</f>
        <v>1</v>
      </c>
      <c r="FA40" s="2">
        <f>Setup!HY10</f>
        <v>5</v>
      </c>
      <c r="FB40" s="8"/>
      <c r="FC40" s="8"/>
      <c r="FD40" s="8"/>
      <c r="FE40" s="8"/>
      <c r="FF40" s="40">
        <f>mround(FF39*Setup!IH10,'Quick Setup'!$A$2)</f>
        <v>230</v>
      </c>
      <c r="FG40" s="1">
        <v>5.0</v>
      </c>
      <c r="FH40" s="1" t="s">
        <v>80</v>
      </c>
      <c r="FI40" s="2">
        <f>Setup!IK10</f>
        <v>5</v>
      </c>
      <c r="FJ40" s="8"/>
      <c r="FK40" s="8"/>
      <c r="FL40" s="8"/>
      <c r="FM40" s="8"/>
    </row>
    <row r="41">
      <c r="A41" s="5"/>
      <c r="B41" s="41"/>
      <c r="C41" s="8"/>
      <c r="D41" s="8"/>
      <c r="E41" s="8"/>
      <c r="F41" s="8"/>
      <c r="G41" s="8"/>
      <c r="H41" s="8"/>
      <c r="I41" s="8"/>
      <c r="J41" s="41" t="str">
        <f t="shared" ref="J41:O41" si="241">B41</f>
        <v/>
      </c>
      <c r="K41" s="8" t="str">
        <f t="shared" si="241"/>
        <v/>
      </c>
      <c r="L41" s="8" t="str">
        <f t="shared" si="241"/>
        <v/>
      </c>
      <c r="M41" s="8" t="str">
        <f t="shared" si="241"/>
        <v/>
      </c>
      <c r="N41" s="8" t="str">
        <f t="shared" si="241"/>
        <v/>
      </c>
      <c r="O41" s="8" t="str">
        <f t="shared" si="241"/>
        <v/>
      </c>
      <c r="P41" s="8"/>
      <c r="Q41" s="8"/>
      <c r="R41" s="41" t="str">
        <f t="shared" ref="R41:W41" si="242">J41</f>
        <v/>
      </c>
      <c r="S41" s="8" t="str">
        <f t="shared" si="242"/>
        <v/>
      </c>
      <c r="T41" s="8" t="str">
        <f t="shared" si="242"/>
        <v/>
      </c>
      <c r="U41" s="8" t="str">
        <f t="shared" si="242"/>
        <v/>
      </c>
      <c r="V41" s="8" t="str">
        <f t="shared" si="242"/>
        <v/>
      </c>
      <c r="W41" s="8" t="str">
        <f t="shared" si="242"/>
        <v/>
      </c>
      <c r="X41" s="8"/>
      <c r="Y41" s="8"/>
      <c r="Z41" s="41" t="str">
        <f t="shared" ref="Z41:AE41" si="243">R41</f>
        <v/>
      </c>
      <c r="AA41" s="8" t="str">
        <f t="shared" si="243"/>
        <v/>
      </c>
      <c r="AB41" s="8" t="str">
        <f t="shared" si="243"/>
        <v/>
      </c>
      <c r="AC41" s="8" t="str">
        <f t="shared" si="243"/>
        <v/>
      </c>
      <c r="AD41" s="8" t="str">
        <f t="shared" si="243"/>
        <v/>
      </c>
      <c r="AE41" s="8" t="str">
        <f t="shared" si="243"/>
        <v/>
      </c>
      <c r="AF41" s="8"/>
      <c r="AG41" s="8"/>
      <c r="AH41" s="41" t="str">
        <f t="shared" ref="AH41:AM41" si="244">Z41</f>
        <v/>
      </c>
      <c r="AI41" s="8" t="str">
        <f t="shared" si="244"/>
        <v/>
      </c>
      <c r="AJ41" s="8" t="str">
        <f t="shared" si="244"/>
        <v/>
      </c>
      <c r="AK41" s="8" t="str">
        <f t="shared" si="244"/>
        <v/>
      </c>
      <c r="AL41" s="8" t="str">
        <f t="shared" si="244"/>
        <v/>
      </c>
      <c r="AM41" s="8" t="str">
        <f t="shared" si="244"/>
        <v/>
      </c>
      <c r="AN41" s="8"/>
      <c r="AO41" s="8"/>
      <c r="AP41" s="41" t="str">
        <f t="shared" ref="AP41:AU41" si="245">AH41</f>
        <v/>
      </c>
      <c r="AQ41" s="8" t="str">
        <f t="shared" si="245"/>
        <v/>
      </c>
      <c r="AR41" s="8" t="str">
        <f t="shared" si="245"/>
        <v/>
      </c>
      <c r="AS41" s="8" t="str">
        <f t="shared" si="245"/>
        <v/>
      </c>
      <c r="AT41" s="8" t="str">
        <f t="shared" si="245"/>
        <v/>
      </c>
      <c r="AU41" s="8" t="str">
        <f t="shared" si="245"/>
        <v/>
      </c>
      <c r="AV41" s="8"/>
      <c r="AW41" s="8"/>
      <c r="AX41" s="41" t="str">
        <f t="shared" ref="AX41:BC41" si="246">AP41</f>
        <v/>
      </c>
      <c r="AY41" s="8" t="str">
        <f t="shared" si="246"/>
        <v/>
      </c>
      <c r="AZ41" s="8" t="str">
        <f t="shared" si="246"/>
        <v/>
      </c>
      <c r="BA41" s="8" t="str">
        <f t="shared" si="246"/>
        <v/>
      </c>
      <c r="BB41" s="8" t="str">
        <f t="shared" si="246"/>
        <v/>
      </c>
      <c r="BC41" s="8" t="str">
        <f t="shared" si="246"/>
        <v/>
      </c>
      <c r="BD41" s="8"/>
      <c r="BE41" s="8"/>
      <c r="BF41" s="41" t="str">
        <f t="shared" ref="BF41:BK41" si="247">AX41</f>
        <v/>
      </c>
      <c r="BG41" s="8" t="str">
        <f t="shared" si="247"/>
        <v/>
      </c>
      <c r="BH41" s="8" t="str">
        <f t="shared" si="247"/>
        <v/>
      </c>
      <c r="BI41" s="8" t="str">
        <f t="shared" si="247"/>
        <v/>
      </c>
      <c r="BJ41" s="8" t="str">
        <f t="shared" si="247"/>
        <v/>
      </c>
      <c r="BK41" s="8" t="str">
        <f t="shared" si="247"/>
        <v/>
      </c>
      <c r="BL41" s="8"/>
      <c r="BM41" s="8"/>
      <c r="BN41" s="41" t="str">
        <f t="shared" ref="BN41:BS41" si="248">BF41</f>
        <v/>
      </c>
      <c r="BO41" s="8" t="str">
        <f t="shared" si="248"/>
        <v/>
      </c>
      <c r="BP41" s="8" t="str">
        <f t="shared" si="248"/>
        <v/>
      </c>
      <c r="BQ41" s="8" t="str">
        <f t="shared" si="248"/>
        <v/>
      </c>
      <c r="BR41" s="8" t="str">
        <f t="shared" si="248"/>
        <v/>
      </c>
      <c r="BS41" s="8" t="str">
        <f t="shared" si="248"/>
        <v/>
      </c>
      <c r="BT41" s="8"/>
      <c r="BU41" s="8"/>
      <c r="BV41" s="41" t="str">
        <f t="shared" ref="BV41:CA41" si="249">BN41</f>
        <v/>
      </c>
      <c r="BW41" s="8" t="str">
        <f t="shared" si="249"/>
        <v/>
      </c>
      <c r="BX41" s="8" t="str">
        <f t="shared" si="249"/>
        <v/>
      </c>
      <c r="BY41" s="8" t="str">
        <f t="shared" si="249"/>
        <v/>
      </c>
      <c r="BZ41" s="8" t="str">
        <f t="shared" si="249"/>
        <v/>
      </c>
      <c r="CA41" s="8" t="str">
        <f t="shared" si="249"/>
        <v/>
      </c>
      <c r="CB41" s="8"/>
      <c r="CC41" s="8"/>
      <c r="CD41" s="41" t="str">
        <f t="shared" ref="CD41:CI41" si="250">BV41</f>
        <v/>
      </c>
      <c r="CE41" s="8" t="str">
        <f t="shared" si="250"/>
        <v/>
      </c>
      <c r="CF41" s="8" t="str">
        <f t="shared" si="250"/>
        <v/>
      </c>
      <c r="CG41" s="8" t="str">
        <f t="shared" si="250"/>
        <v/>
      </c>
      <c r="CH41" s="8" t="str">
        <f t="shared" si="250"/>
        <v/>
      </c>
      <c r="CI41" s="8" t="str">
        <f t="shared" si="250"/>
        <v/>
      </c>
      <c r="CJ41" s="8"/>
      <c r="CK41" s="8"/>
      <c r="CL41" s="41" t="str">
        <f t="shared" ref="CL41:CQ41" si="251">CD41</f>
        <v/>
      </c>
      <c r="CM41" s="8" t="str">
        <f t="shared" si="251"/>
        <v/>
      </c>
      <c r="CN41" s="8" t="str">
        <f t="shared" si="251"/>
        <v/>
      </c>
      <c r="CO41" s="8" t="str">
        <f t="shared" si="251"/>
        <v/>
      </c>
      <c r="CP41" s="8" t="str">
        <f t="shared" si="251"/>
        <v/>
      </c>
      <c r="CQ41" s="8" t="str">
        <f t="shared" si="251"/>
        <v/>
      </c>
      <c r="CR41" s="8"/>
      <c r="CS41" s="8"/>
      <c r="CT41" s="41" t="str">
        <f t="shared" ref="CT41:CY41" si="252">CL41</f>
        <v/>
      </c>
      <c r="CU41" s="8" t="str">
        <f t="shared" si="252"/>
        <v/>
      </c>
      <c r="CV41" s="8" t="str">
        <f t="shared" si="252"/>
        <v/>
      </c>
      <c r="CW41" s="8" t="str">
        <f t="shared" si="252"/>
        <v/>
      </c>
      <c r="CX41" s="8" t="str">
        <f t="shared" si="252"/>
        <v/>
      </c>
      <c r="CY41" s="8" t="str">
        <f t="shared" si="252"/>
        <v/>
      </c>
      <c r="CZ41" s="8"/>
      <c r="DA41" s="8"/>
      <c r="DB41" s="41" t="str">
        <f t="shared" ref="DB41:DG41" si="253">CT41</f>
        <v/>
      </c>
      <c r="DC41" s="8" t="str">
        <f t="shared" si="253"/>
        <v/>
      </c>
      <c r="DD41" s="8" t="str">
        <f t="shared" si="253"/>
        <v/>
      </c>
      <c r="DE41" s="8" t="str">
        <f t="shared" si="253"/>
        <v/>
      </c>
      <c r="DF41" s="8" t="str">
        <f t="shared" si="253"/>
        <v/>
      </c>
      <c r="DG41" s="8" t="str">
        <f t="shared" si="253"/>
        <v/>
      </c>
      <c r="DH41" s="8"/>
      <c r="DI41" s="8"/>
      <c r="DJ41" s="41" t="str">
        <f t="shared" ref="DJ41:DO41" si="254">DB41</f>
        <v/>
      </c>
      <c r="DK41" s="8" t="str">
        <f t="shared" si="254"/>
        <v/>
      </c>
      <c r="DL41" s="8" t="str">
        <f t="shared" si="254"/>
        <v/>
      </c>
      <c r="DM41" s="8" t="str">
        <f t="shared" si="254"/>
        <v/>
      </c>
      <c r="DN41" s="8" t="str">
        <f t="shared" si="254"/>
        <v/>
      </c>
      <c r="DO41" s="8" t="str">
        <f t="shared" si="254"/>
        <v/>
      </c>
      <c r="DP41" s="8"/>
      <c r="DQ41" s="8"/>
      <c r="DR41" s="41" t="str">
        <f t="shared" ref="DR41:DW41" si="255">DJ41</f>
        <v/>
      </c>
      <c r="DS41" s="8" t="str">
        <f t="shared" si="255"/>
        <v/>
      </c>
      <c r="DT41" s="8" t="str">
        <f t="shared" si="255"/>
        <v/>
      </c>
      <c r="DU41" s="8" t="str">
        <f t="shared" si="255"/>
        <v/>
      </c>
      <c r="DV41" s="8" t="str">
        <f t="shared" si="255"/>
        <v/>
      </c>
      <c r="DW41" s="8" t="str">
        <f t="shared" si="255"/>
        <v/>
      </c>
      <c r="DX41" s="8"/>
      <c r="DY41" s="8"/>
      <c r="DZ41" s="41" t="str">
        <f t="shared" ref="DZ41:EE41" si="256">DR41</f>
        <v/>
      </c>
      <c r="EA41" s="8" t="str">
        <f t="shared" si="256"/>
        <v/>
      </c>
      <c r="EB41" s="8" t="str">
        <f t="shared" si="256"/>
        <v/>
      </c>
      <c r="EC41" s="8" t="str">
        <f t="shared" si="256"/>
        <v/>
      </c>
      <c r="ED41" s="8" t="str">
        <f t="shared" si="256"/>
        <v/>
      </c>
      <c r="EE41" s="8" t="str">
        <f t="shared" si="256"/>
        <v/>
      </c>
      <c r="EF41" s="8"/>
      <c r="EG41" s="8"/>
      <c r="EH41" s="41" t="str">
        <f t="shared" ref="EH41:EM41" si="257">DZ41</f>
        <v/>
      </c>
      <c r="EI41" s="8" t="str">
        <f t="shared" si="257"/>
        <v/>
      </c>
      <c r="EJ41" s="8" t="str">
        <f t="shared" si="257"/>
        <v/>
      </c>
      <c r="EK41" s="8" t="str">
        <f t="shared" si="257"/>
        <v/>
      </c>
      <c r="EL41" s="8" t="str">
        <f t="shared" si="257"/>
        <v/>
      </c>
      <c r="EM41" s="8" t="str">
        <f t="shared" si="257"/>
        <v/>
      </c>
      <c r="EN41" s="8"/>
      <c r="EO41" s="8"/>
      <c r="EP41" s="41" t="str">
        <f t="shared" ref="EP41:EU41" si="258">EH41</f>
        <v/>
      </c>
      <c r="EQ41" s="8" t="str">
        <f t="shared" si="258"/>
        <v/>
      </c>
      <c r="ER41" s="8" t="str">
        <f t="shared" si="258"/>
        <v/>
      </c>
      <c r="ES41" s="8" t="str">
        <f t="shared" si="258"/>
        <v/>
      </c>
      <c r="ET41" s="8" t="str">
        <f t="shared" si="258"/>
        <v/>
      </c>
      <c r="EU41" s="8" t="str">
        <f t="shared" si="258"/>
        <v/>
      </c>
      <c r="EV41" s="8"/>
      <c r="EW41" s="8"/>
      <c r="EX41" s="41" t="str">
        <f t="shared" ref="EX41:FC41" si="259">EP41</f>
        <v/>
      </c>
      <c r="EY41" s="8" t="str">
        <f t="shared" si="259"/>
        <v/>
      </c>
      <c r="EZ41" s="8" t="str">
        <f t="shared" si="259"/>
        <v/>
      </c>
      <c r="FA41" s="8" t="str">
        <f t="shared" si="259"/>
        <v/>
      </c>
      <c r="FB41" s="8" t="str">
        <f t="shared" si="259"/>
        <v/>
      </c>
      <c r="FC41" s="8" t="str">
        <f t="shared" si="259"/>
        <v/>
      </c>
      <c r="FD41" s="8"/>
      <c r="FE41" s="8"/>
      <c r="FF41" s="41" t="str">
        <f t="shared" ref="FF41:FK41" si="260">EX41</f>
        <v/>
      </c>
      <c r="FG41" s="8" t="str">
        <f t="shared" si="260"/>
        <v/>
      </c>
      <c r="FH41" s="8" t="str">
        <f t="shared" si="260"/>
        <v/>
      </c>
      <c r="FI41" s="8" t="str">
        <f t="shared" si="260"/>
        <v/>
      </c>
      <c r="FJ41" s="8" t="str">
        <f t="shared" si="260"/>
        <v/>
      </c>
      <c r="FK41" s="8" t="str">
        <f t="shared" si="260"/>
        <v/>
      </c>
      <c r="FL41" s="8"/>
      <c r="FM41" s="8"/>
    </row>
    <row r="42">
      <c r="A42" s="1" t="s">
        <v>81</v>
      </c>
      <c r="B42" s="40"/>
      <c r="C42" s="2"/>
      <c r="D42" s="2"/>
      <c r="E42" s="2"/>
      <c r="F42" s="2"/>
      <c r="G42" s="2"/>
      <c r="H42" s="2"/>
      <c r="I42" s="2"/>
      <c r="J42" s="40"/>
      <c r="K42" s="2"/>
      <c r="L42" s="2"/>
      <c r="M42" s="2"/>
      <c r="N42" s="2"/>
      <c r="O42" s="2"/>
      <c r="P42" s="2"/>
      <c r="Q42" s="2"/>
      <c r="R42" s="40"/>
      <c r="S42" s="2"/>
      <c r="T42" s="2"/>
      <c r="U42" s="2"/>
      <c r="V42" s="2"/>
      <c r="W42" s="2"/>
      <c r="X42" s="2"/>
      <c r="Y42" s="2"/>
      <c r="Z42" s="40"/>
      <c r="AA42" s="2"/>
      <c r="AB42" s="2"/>
      <c r="AC42" s="2"/>
      <c r="AD42" s="2"/>
      <c r="AE42" s="2"/>
      <c r="AF42" s="2"/>
      <c r="AG42" s="2"/>
      <c r="AH42" s="40"/>
      <c r="AI42" s="2"/>
      <c r="AJ42" s="2"/>
      <c r="AK42" s="2"/>
      <c r="AL42" s="2"/>
      <c r="AM42" s="2"/>
      <c r="AN42" s="2"/>
      <c r="AO42" s="2"/>
      <c r="AP42" s="40"/>
      <c r="AQ42" s="2"/>
      <c r="AR42" s="2"/>
      <c r="AS42" s="2"/>
      <c r="AT42" s="2"/>
      <c r="AU42" s="2"/>
      <c r="AV42" s="2"/>
      <c r="AW42" s="2"/>
      <c r="AX42" s="40"/>
      <c r="AY42" s="2"/>
      <c r="AZ42" s="2"/>
      <c r="BA42" s="2"/>
      <c r="BB42" s="2"/>
      <c r="BC42" s="2"/>
      <c r="BD42" s="2"/>
      <c r="BE42" s="2"/>
      <c r="BF42" s="40"/>
      <c r="BG42" s="2"/>
      <c r="BH42" s="2"/>
      <c r="BI42" s="2"/>
      <c r="BJ42" s="2"/>
      <c r="BK42" s="2"/>
      <c r="BL42" s="2"/>
      <c r="BM42" s="2"/>
      <c r="BN42" s="40"/>
      <c r="BO42" s="2"/>
      <c r="BP42" s="2"/>
      <c r="BQ42" s="2"/>
      <c r="BR42" s="2"/>
      <c r="BS42" s="2"/>
      <c r="BT42" s="2"/>
      <c r="BU42" s="2"/>
      <c r="BV42" s="40"/>
      <c r="BW42" s="2"/>
      <c r="BX42" s="2"/>
      <c r="BY42" s="2"/>
      <c r="BZ42" s="2"/>
      <c r="CA42" s="2"/>
      <c r="CB42" s="2"/>
      <c r="CC42" s="2"/>
      <c r="CD42" s="40"/>
      <c r="CE42" s="2"/>
      <c r="CF42" s="2"/>
      <c r="CG42" s="2"/>
      <c r="CH42" s="2"/>
      <c r="CI42" s="2"/>
      <c r="CJ42" s="2"/>
      <c r="CK42" s="2"/>
      <c r="CL42" s="40"/>
      <c r="CM42" s="2"/>
      <c r="CN42" s="2"/>
      <c r="CO42" s="2"/>
      <c r="CP42" s="2"/>
      <c r="CQ42" s="2"/>
      <c r="CR42" s="2"/>
      <c r="CS42" s="2"/>
      <c r="CT42" s="40"/>
      <c r="CU42" s="2"/>
      <c r="CV42" s="2"/>
      <c r="CW42" s="2"/>
      <c r="CX42" s="2"/>
      <c r="CY42" s="2"/>
      <c r="CZ42" s="2"/>
      <c r="DA42" s="2"/>
      <c r="DB42" s="40"/>
      <c r="DC42" s="2"/>
      <c r="DD42" s="2"/>
      <c r="DE42" s="2"/>
      <c r="DF42" s="2"/>
      <c r="DG42" s="2"/>
      <c r="DH42" s="2"/>
      <c r="DI42" s="2"/>
      <c r="DJ42" s="40"/>
      <c r="DK42" s="2"/>
      <c r="DL42" s="2"/>
      <c r="DM42" s="2"/>
      <c r="DN42" s="2"/>
      <c r="DO42" s="2"/>
      <c r="DP42" s="2"/>
      <c r="DQ42" s="2"/>
      <c r="DR42" s="40"/>
      <c r="DS42" s="2"/>
      <c r="DT42" s="2"/>
      <c r="DU42" s="2"/>
      <c r="DV42" s="2"/>
      <c r="DW42" s="2"/>
      <c r="DX42" s="2"/>
      <c r="DY42" s="2"/>
      <c r="DZ42" s="40"/>
      <c r="EA42" s="2"/>
      <c r="EB42" s="2"/>
      <c r="EC42" s="2"/>
      <c r="ED42" s="2"/>
      <c r="EE42" s="2"/>
      <c r="EF42" s="2"/>
      <c r="EG42" s="2"/>
      <c r="EH42" s="40"/>
      <c r="EI42" s="2"/>
      <c r="EJ42" s="2"/>
      <c r="EK42" s="2"/>
      <c r="EL42" s="2"/>
      <c r="EM42" s="2"/>
      <c r="EN42" s="2"/>
      <c r="EO42" s="2"/>
      <c r="EP42" s="40"/>
      <c r="EQ42" s="2"/>
      <c r="ER42" s="2"/>
      <c r="ES42" s="2"/>
      <c r="ET42" s="2"/>
      <c r="EU42" s="2"/>
      <c r="EV42" s="2"/>
      <c r="EW42" s="2"/>
      <c r="EX42" s="40"/>
      <c r="EY42" s="2"/>
      <c r="EZ42" s="2"/>
      <c r="FA42" s="2"/>
      <c r="FB42" s="2"/>
      <c r="FC42" s="2"/>
      <c r="FD42" s="2"/>
      <c r="FE42" s="2"/>
      <c r="FF42" s="40"/>
      <c r="FG42" s="2"/>
      <c r="FH42" s="2"/>
      <c r="FI42" s="2"/>
      <c r="FJ42" s="2"/>
      <c r="FK42" s="2"/>
      <c r="FL42" s="2"/>
      <c r="FM42" s="2"/>
    </row>
    <row r="43">
      <c r="A43" s="42"/>
      <c r="B43" s="41"/>
      <c r="C43" s="8"/>
      <c r="D43" s="8"/>
      <c r="E43" s="8"/>
      <c r="F43" s="8"/>
      <c r="G43" s="8"/>
      <c r="H43" s="8"/>
      <c r="I43" s="8"/>
      <c r="J43" s="41" t="str">
        <f t="shared" ref="J43:O43" si="261">B43</f>
        <v/>
      </c>
      <c r="K43" s="8" t="str">
        <f t="shared" si="261"/>
        <v/>
      </c>
      <c r="L43" s="8" t="str">
        <f t="shared" si="261"/>
        <v/>
      </c>
      <c r="M43" s="8" t="str">
        <f t="shared" si="261"/>
        <v/>
      </c>
      <c r="N43" s="8" t="str">
        <f t="shared" si="261"/>
        <v/>
      </c>
      <c r="O43" s="8" t="str">
        <f t="shared" si="261"/>
        <v/>
      </c>
      <c r="P43" s="8"/>
      <c r="Q43" s="8"/>
      <c r="R43" s="41" t="str">
        <f t="shared" ref="R43:W43" si="262">J43</f>
        <v/>
      </c>
      <c r="S43" s="8" t="str">
        <f t="shared" si="262"/>
        <v/>
      </c>
      <c r="T43" s="8" t="str">
        <f t="shared" si="262"/>
        <v/>
      </c>
      <c r="U43" s="8" t="str">
        <f t="shared" si="262"/>
        <v/>
      </c>
      <c r="V43" s="8" t="str">
        <f t="shared" si="262"/>
        <v/>
      </c>
      <c r="W43" s="8" t="str">
        <f t="shared" si="262"/>
        <v/>
      </c>
      <c r="X43" s="8"/>
      <c r="Y43" s="8"/>
      <c r="Z43" s="41" t="str">
        <f t="shared" ref="Z43:AE43" si="263">R43</f>
        <v/>
      </c>
      <c r="AA43" s="8" t="str">
        <f t="shared" si="263"/>
        <v/>
      </c>
      <c r="AB43" s="8" t="str">
        <f t="shared" si="263"/>
        <v/>
      </c>
      <c r="AC43" s="8" t="str">
        <f t="shared" si="263"/>
        <v/>
      </c>
      <c r="AD43" s="8" t="str">
        <f t="shared" si="263"/>
        <v/>
      </c>
      <c r="AE43" s="8" t="str">
        <f t="shared" si="263"/>
        <v/>
      </c>
      <c r="AF43" s="8"/>
      <c r="AG43" s="8"/>
      <c r="AH43" s="41" t="str">
        <f t="shared" ref="AH43:AM43" si="264">Z43</f>
        <v/>
      </c>
      <c r="AI43" s="8" t="str">
        <f t="shared" si="264"/>
        <v/>
      </c>
      <c r="AJ43" s="8" t="str">
        <f t="shared" si="264"/>
        <v/>
      </c>
      <c r="AK43" s="8" t="str">
        <f t="shared" si="264"/>
        <v/>
      </c>
      <c r="AL43" s="8" t="str">
        <f t="shared" si="264"/>
        <v/>
      </c>
      <c r="AM43" s="8" t="str">
        <f t="shared" si="264"/>
        <v/>
      </c>
      <c r="AN43" s="8"/>
      <c r="AO43" s="8"/>
      <c r="AP43" s="41" t="str">
        <f t="shared" ref="AP43:AU43" si="265">AH43</f>
        <v/>
      </c>
      <c r="AQ43" s="8" t="str">
        <f t="shared" si="265"/>
        <v/>
      </c>
      <c r="AR43" s="8" t="str">
        <f t="shared" si="265"/>
        <v/>
      </c>
      <c r="AS43" s="8" t="str">
        <f t="shared" si="265"/>
        <v/>
      </c>
      <c r="AT43" s="8" t="str">
        <f t="shared" si="265"/>
        <v/>
      </c>
      <c r="AU43" s="8" t="str">
        <f t="shared" si="265"/>
        <v/>
      </c>
      <c r="AV43" s="8"/>
      <c r="AW43" s="8"/>
      <c r="AX43" s="41" t="str">
        <f t="shared" ref="AX43:BC43" si="266">AP43</f>
        <v/>
      </c>
      <c r="AY43" s="8" t="str">
        <f t="shared" si="266"/>
        <v/>
      </c>
      <c r="AZ43" s="8" t="str">
        <f t="shared" si="266"/>
        <v/>
      </c>
      <c r="BA43" s="8" t="str">
        <f t="shared" si="266"/>
        <v/>
      </c>
      <c r="BB43" s="8" t="str">
        <f t="shared" si="266"/>
        <v/>
      </c>
      <c r="BC43" s="8" t="str">
        <f t="shared" si="266"/>
        <v/>
      </c>
      <c r="BD43" s="8"/>
      <c r="BE43" s="8"/>
      <c r="BF43" s="41" t="str">
        <f t="shared" ref="BF43:BK43" si="267">AX43</f>
        <v/>
      </c>
      <c r="BG43" s="8" t="str">
        <f t="shared" si="267"/>
        <v/>
      </c>
      <c r="BH43" s="8" t="str">
        <f t="shared" si="267"/>
        <v/>
      </c>
      <c r="BI43" s="8" t="str">
        <f t="shared" si="267"/>
        <v/>
      </c>
      <c r="BJ43" s="8" t="str">
        <f t="shared" si="267"/>
        <v/>
      </c>
      <c r="BK43" s="8" t="str">
        <f t="shared" si="267"/>
        <v/>
      </c>
      <c r="BL43" s="8"/>
      <c r="BM43" s="8"/>
      <c r="BN43" s="41" t="str">
        <f t="shared" ref="BN43:BS43" si="268">BF43</f>
        <v/>
      </c>
      <c r="BO43" s="8" t="str">
        <f t="shared" si="268"/>
        <v/>
      </c>
      <c r="BP43" s="8" t="str">
        <f t="shared" si="268"/>
        <v/>
      </c>
      <c r="BQ43" s="8" t="str">
        <f t="shared" si="268"/>
        <v/>
      </c>
      <c r="BR43" s="8" t="str">
        <f t="shared" si="268"/>
        <v/>
      </c>
      <c r="BS43" s="8" t="str">
        <f t="shared" si="268"/>
        <v/>
      </c>
      <c r="BT43" s="8"/>
      <c r="BU43" s="8"/>
      <c r="BV43" s="41" t="str">
        <f t="shared" ref="BV43:CA43" si="269">BN43</f>
        <v/>
      </c>
      <c r="BW43" s="8" t="str">
        <f t="shared" si="269"/>
        <v/>
      </c>
      <c r="BX43" s="8" t="str">
        <f t="shared" si="269"/>
        <v/>
      </c>
      <c r="BY43" s="8" t="str">
        <f t="shared" si="269"/>
        <v/>
      </c>
      <c r="BZ43" s="8" t="str">
        <f t="shared" si="269"/>
        <v/>
      </c>
      <c r="CA43" s="8" t="str">
        <f t="shared" si="269"/>
        <v/>
      </c>
      <c r="CB43" s="8"/>
      <c r="CC43" s="8"/>
      <c r="CD43" s="41" t="str">
        <f t="shared" ref="CD43:CI43" si="270">BV43</f>
        <v/>
      </c>
      <c r="CE43" s="8" t="str">
        <f t="shared" si="270"/>
        <v/>
      </c>
      <c r="CF43" s="8" t="str">
        <f t="shared" si="270"/>
        <v/>
      </c>
      <c r="CG43" s="8" t="str">
        <f t="shared" si="270"/>
        <v/>
      </c>
      <c r="CH43" s="8" t="str">
        <f t="shared" si="270"/>
        <v/>
      </c>
      <c r="CI43" s="8" t="str">
        <f t="shared" si="270"/>
        <v/>
      </c>
      <c r="CJ43" s="8"/>
      <c r="CK43" s="8"/>
      <c r="CL43" s="41" t="str">
        <f t="shared" ref="CL43:CQ43" si="271">CD43</f>
        <v/>
      </c>
      <c r="CM43" s="8" t="str">
        <f t="shared" si="271"/>
        <v/>
      </c>
      <c r="CN43" s="8" t="str">
        <f t="shared" si="271"/>
        <v/>
      </c>
      <c r="CO43" s="8" t="str">
        <f t="shared" si="271"/>
        <v/>
      </c>
      <c r="CP43" s="8" t="str">
        <f t="shared" si="271"/>
        <v/>
      </c>
      <c r="CQ43" s="8" t="str">
        <f t="shared" si="271"/>
        <v/>
      </c>
      <c r="CR43" s="8"/>
      <c r="CS43" s="8"/>
      <c r="CT43" s="41" t="str">
        <f t="shared" ref="CT43:CY43" si="272">CL43</f>
        <v/>
      </c>
      <c r="CU43" s="8" t="str">
        <f t="shared" si="272"/>
        <v/>
      </c>
      <c r="CV43" s="8" t="str">
        <f t="shared" si="272"/>
        <v/>
      </c>
      <c r="CW43" s="8" t="str">
        <f t="shared" si="272"/>
        <v/>
      </c>
      <c r="CX43" s="8" t="str">
        <f t="shared" si="272"/>
        <v/>
      </c>
      <c r="CY43" s="8" t="str">
        <f t="shared" si="272"/>
        <v/>
      </c>
      <c r="CZ43" s="8"/>
      <c r="DA43" s="8"/>
      <c r="DB43" s="41" t="str">
        <f t="shared" ref="DB43:DG43" si="273">CT43</f>
        <v/>
      </c>
      <c r="DC43" s="8" t="str">
        <f t="shared" si="273"/>
        <v/>
      </c>
      <c r="DD43" s="8" t="str">
        <f t="shared" si="273"/>
        <v/>
      </c>
      <c r="DE43" s="8" t="str">
        <f t="shared" si="273"/>
        <v/>
      </c>
      <c r="DF43" s="8" t="str">
        <f t="shared" si="273"/>
        <v/>
      </c>
      <c r="DG43" s="8" t="str">
        <f t="shared" si="273"/>
        <v/>
      </c>
      <c r="DH43" s="8"/>
      <c r="DI43" s="8"/>
      <c r="DJ43" s="41" t="str">
        <f t="shared" ref="DJ43:DO43" si="274">DB43</f>
        <v/>
      </c>
      <c r="DK43" s="8" t="str">
        <f t="shared" si="274"/>
        <v/>
      </c>
      <c r="DL43" s="8" t="str">
        <f t="shared" si="274"/>
        <v/>
      </c>
      <c r="DM43" s="8" t="str">
        <f t="shared" si="274"/>
        <v/>
      </c>
      <c r="DN43" s="8" t="str">
        <f t="shared" si="274"/>
        <v/>
      </c>
      <c r="DO43" s="8" t="str">
        <f t="shared" si="274"/>
        <v/>
      </c>
      <c r="DP43" s="8"/>
      <c r="DQ43" s="8"/>
      <c r="DR43" s="41" t="str">
        <f t="shared" ref="DR43:DW43" si="275">DJ43</f>
        <v/>
      </c>
      <c r="DS43" s="8" t="str">
        <f t="shared" si="275"/>
        <v/>
      </c>
      <c r="DT43" s="8" t="str">
        <f t="shared" si="275"/>
        <v/>
      </c>
      <c r="DU43" s="8" t="str">
        <f t="shared" si="275"/>
        <v/>
      </c>
      <c r="DV43" s="8" t="str">
        <f t="shared" si="275"/>
        <v/>
      </c>
      <c r="DW43" s="8" t="str">
        <f t="shared" si="275"/>
        <v/>
      </c>
      <c r="DX43" s="8"/>
      <c r="DY43" s="8"/>
      <c r="DZ43" s="41" t="str">
        <f t="shared" ref="DZ43:EE43" si="276">DR43</f>
        <v/>
      </c>
      <c r="EA43" s="8" t="str">
        <f t="shared" si="276"/>
        <v/>
      </c>
      <c r="EB43" s="8" t="str">
        <f t="shared" si="276"/>
        <v/>
      </c>
      <c r="EC43" s="8" t="str">
        <f t="shared" si="276"/>
        <v/>
      </c>
      <c r="ED43" s="8" t="str">
        <f t="shared" si="276"/>
        <v/>
      </c>
      <c r="EE43" s="8" t="str">
        <f t="shared" si="276"/>
        <v/>
      </c>
      <c r="EF43" s="8"/>
      <c r="EG43" s="8"/>
      <c r="EH43" s="41" t="str">
        <f t="shared" ref="EH43:EM43" si="277">DZ43</f>
        <v/>
      </c>
      <c r="EI43" s="8" t="str">
        <f t="shared" si="277"/>
        <v/>
      </c>
      <c r="EJ43" s="8" t="str">
        <f t="shared" si="277"/>
        <v/>
      </c>
      <c r="EK43" s="8" t="str">
        <f t="shared" si="277"/>
        <v/>
      </c>
      <c r="EL43" s="8" t="str">
        <f t="shared" si="277"/>
        <v/>
      </c>
      <c r="EM43" s="8" t="str">
        <f t="shared" si="277"/>
        <v/>
      </c>
      <c r="EN43" s="8"/>
      <c r="EO43" s="8"/>
      <c r="EP43" s="41" t="str">
        <f t="shared" ref="EP43:EU43" si="278">EH43</f>
        <v/>
      </c>
      <c r="EQ43" s="8" t="str">
        <f t="shared" si="278"/>
        <v/>
      </c>
      <c r="ER43" s="8" t="str">
        <f t="shared" si="278"/>
        <v/>
      </c>
      <c r="ES43" s="8" t="str">
        <f t="shared" si="278"/>
        <v/>
      </c>
      <c r="ET43" s="8" t="str">
        <f t="shared" si="278"/>
        <v/>
      </c>
      <c r="EU43" s="8" t="str">
        <f t="shared" si="278"/>
        <v/>
      </c>
      <c r="EV43" s="8"/>
      <c r="EW43" s="8"/>
      <c r="EX43" s="41" t="str">
        <f t="shared" ref="EX43:FC43" si="279">EP43</f>
        <v/>
      </c>
      <c r="EY43" s="8" t="str">
        <f t="shared" si="279"/>
        <v/>
      </c>
      <c r="EZ43" s="8" t="str">
        <f t="shared" si="279"/>
        <v/>
      </c>
      <c r="FA43" s="8" t="str">
        <f t="shared" si="279"/>
        <v/>
      </c>
      <c r="FB43" s="8" t="str">
        <f t="shared" si="279"/>
        <v/>
      </c>
      <c r="FC43" s="8" t="str">
        <f t="shared" si="279"/>
        <v/>
      </c>
      <c r="FD43" s="8"/>
      <c r="FE43" s="8"/>
      <c r="FF43" s="41" t="str">
        <f t="shared" ref="FF43:FK43" si="280">EX43</f>
        <v/>
      </c>
      <c r="FG43" s="8" t="str">
        <f t="shared" si="280"/>
        <v/>
      </c>
      <c r="FH43" s="8" t="str">
        <f t="shared" si="280"/>
        <v/>
      </c>
      <c r="FI43" s="8" t="str">
        <f t="shared" si="280"/>
        <v/>
      </c>
      <c r="FJ43" s="8" t="str">
        <f t="shared" si="280"/>
        <v/>
      </c>
      <c r="FK43" s="8" t="str">
        <f t="shared" si="280"/>
        <v/>
      </c>
      <c r="FL43" s="8"/>
      <c r="FM43" s="8"/>
    </row>
    <row r="44">
      <c r="A44" s="42"/>
      <c r="B44" s="41"/>
      <c r="C44" s="8"/>
      <c r="D44" s="8"/>
      <c r="E44" s="8"/>
      <c r="F44" s="8"/>
      <c r="G44" s="8"/>
      <c r="H44" s="8"/>
      <c r="I44" s="8"/>
      <c r="J44" s="41" t="str">
        <f t="shared" ref="J44:O44" si="281">B44</f>
        <v/>
      </c>
      <c r="K44" s="8" t="str">
        <f t="shared" si="281"/>
        <v/>
      </c>
      <c r="L44" s="8" t="str">
        <f t="shared" si="281"/>
        <v/>
      </c>
      <c r="M44" s="8" t="str">
        <f t="shared" si="281"/>
        <v/>
      </c>
      <c r="N44" s="8" t="str">
        <f t="shared" si="281"/>
        <v/>
      </c>
      <c r="O44" s="8" t="str">
        <f t="shared" si="281"/>
        <v/>
      </c>
      <c r="P44" s="8"/>
      <c r="Q44" s="8"/>
      <c r="R44" s="41" t="str">
        <f t="shared" ref="R44:W44" si="282">J44</f>
        <v/>
      </c>
      <c r="S44" s="8" t="str">
        <f t="shared" si="282"/>
        <v/>
      </c>
      <c r="T44" s="8" t="str">
        <f t="shared" si="282"/>
        <v/>
      </c>
      <c r="U44" s="8" t="str">
        <f t="shared" si="282"/>
        <v/>
      </c>
      <c r="V44" s="8" t="str">
        <f t="shared" si="282"/>
        <v/>
      </c>
      <c r="W44" s="8" t="str">
        <f t="shared" si="282"/>
        <v/>
      </c>
      <c r="X44" s="8"/>
      <c r="Y44" s="8"/>
      <c r="Z44" s="41" t="str">
        <f t="shared" ref="Z44:AE44" si="283">R44</f>
        <v/>
      </c>
      <c r="AA44" s="8" t="str">
        <f t="shared" si="283"/>
        <v/>
      </c>
      <c r="AB44" s="8" t="str">
        <f t="shared" si="283"/>
        <v/>
      </c>
      <c r="AC44" s="8" t="str">
        <f t="shared" si="283"/>
        <v/>
      </c>
      <c r="AD44" s="8" t="str">
        <f t="shared" si="283"/>
        <v/>
      </c>
      <c r="AE44" s="8" t="str">
        <f t="shared" si="283"/>
        <v/>
      </c>
      <c r="AF44" s="8"/>
      <c r="AG44" s="8"/>
      <c r="AH44" s="41" t="str">
        <f t="shared" ref="AH44:AM44" si="284">Z44</f>
        <v/>
      </c>
      <c r="AI44" s="8" t="str">
        <f t="shared" si="284"/>
        <v/>
      </c>
      <c r="AJ44" s="8" t="str">
        <f t="shared" si="284"/>
        <v/>
      </c>
      <c r="AK44" s="8" t="str">
        <f t="shared" si="284"/>
        <v/>
      </c>
      <c r="AL44" s="8" t="str">
        <f t="shared" si="284"/>
        <v/>
      </c>
      <c r="AM44" s="8" t="str">
        <f t="shared" si="284"/>
        <v/>
      </c>
      <c r="AN44" s="8"/>
      <c r="AO44" s="8"/>
      <c r="AP44" s="41" t="str">
        <f t="shared" ref="AP44:AU44" si="285">AH44</f>
        <v/>
      </c>
      <c r="AQ44" s="8" t="str">
        <f t="shared" si="285"/>
        <v/>
      </c>
      <c r="AR44" s="8" t="str">
        <f t="shared" si="285"/>
        <v/>
      </c>
      <c r="AS44" s="8" t="str">
        <f t="shared" si="285"/>
        <v/>
      </c>
      <c r="AT44" s="8" t="str">
        <f t="shared" si="285"/>
        <v/>
      </c>
      <c r="AU44" s="8" t="str">
        <f t="shared" si="285"/>
        <v/>
      </c>
      <c r="AV44" s="8"/>
      <c r="AW44" s="8"/>
      <c r="AX44" s="41" t="str">
        <f t="shared" ref="AX44:BC44" si="286">AP44</f>
        <v/>
      </c>
      <c r="AY44" s="8" t="str">
        <f t="shared" si="286"/>
        <v/>
      </c>
      <c r="AZ44" s="8" t="str">
        <f t="shared" si="286"/>
        <v/>
      </c>
      <c r="BA44" s="8" t="str">
        <f t="shared" si="286"/>
        <v/>
      </c>
      <c r="BB44" s="8" t="str">
        <f t="shared" si="286"/>
        <v/>
      </c>
      <c r="BC44" s="8" t="str">
        <f t="shared" si="286"/>
        <v/>
      </c>
      <c r="BD44" s="8"/>
      <c r="BE44" s="8"/>
      <c r="BF44" s="41" t="str">
        <f t="shared" ref="BF44:BK44" si="287">AX44</f>
        <v/>
      </c>
      <c r="BG44" s="8" t="str">
        <f t="shared" si="287"/>
        <v/>
      </c>
      <c r="BH44" s="8" t="str">
        <f t="shared" si="287"/>
        <v/>
      </c>
      <c r="BI44" s="8" t="str">
        <f t="shared" si="287"/>
        <v/>
      </c>
      <c r="BJ44" s="8" t="str">
        <f t="shared" si="287"/>
        <v/>
      </c>
      <c r="BK44" s="8" t="str">
        <f t="shared" si="287"/>
        <v/>
      </c>
      <c r="BL44" s="8"/>
      <c r="BM44" s="8"/>
      <c r="BN44" s="41" t="str">
        <f t="shared" ref="BN44:BS44" si="288">BF44</f>
        <v/>
      </c>
      <c r="BO44" s="8" t="str">
        <f t="shared" si="288"/>
        <v/>
      </c>
      <c r="BP44" s="8" t="str">
        <f t="shared" si="288"/>
        <v/>
      </c>
      <c r="BQ44" s="8" t="str">
        <f t="shared" si="288"/>
        <v/>
      </c>
      <c r="BR44" s="8" t="str">
        <f t="shared" si="288"/>
        <v/>
      </c>
      <c r="BS44" s="8" t="str">
        <f t="shared" si="288"/>
        <v/>
      </c>
      <c r="BT44" s="8"/>
      <c r="BU44" s="8"/>
      <c r="BV44" s="41" t="str">
        <f t="shared" ref="BV44:CA44" si="289">BN44</f>
        <v/>
      </c>
      <c r="BW44" s="8" t="str">
        <f t="shared" si="289"/>
        <v/>
      </c>
      <c r="BX44" s="8" t="str">
        <f t="shared" si="289"/>
        <v/>
      </c>
      <c r="BY44" s="8" t="str">
        <f t="shared" si="289"/>
        <v/>
      </c>
      <c r="BZ44" s="8" t="str">
        <f t="shared" si="289"/>
        <v/>
      </c>
      <c r="CA44" s="8" t="str">
        <f t="shared" si="289"/>
        <v/>
      </c>
      <c r="CB44" s="8"/>
      <c r="CC44" s="8"/>
      <c r="CD44" s="41" t="str">
        <f t="shared" ref="CD44:CI44" si="290">BV44</f>
        <v/>
      </c>
      <c r="CE44" s="8" t="str">
        <f t="shared" si="290"/>
        <v/>
      </c>
      <c r="CF44" s="8" t="str">
        <f t="shared" si="290"/>
        <v/>
      </c>
      <c r="CG44" s="8" t="str">
        <f t="shared" si="290"/>
        <v/>
      </c>
      <c r="CH44" s="8" t="str">
        <f t="shared" si="290"/>
        <v/>
      </c>
      <c r="CI44" s="8" t="str">
        <f t="shared" si="290"/>
        <v/>
      </c>
      <c r="CJ44" s="8"/>
      <c r="CK44" s="8"/>
      <c r="CL44" s="41" t="str">
        <f t="shared" ref="CL44:CQ44" si="291">CD44</f>
        <v/>
      </c>
      <c r="CM44" s="8" t="str">
        <f t="shared" si="291"/>
        <v/>
      </c>
      <c r="CN44" s="8" t="str">
        <f t="shared" si="291"/>
        <v/>
      </c>
      <c r="CO44" s="8" t="str">
        <f t="shared" si="291"/>
        <v/>
      </c>
      <c r="CP44" s="8" t="str">
        <f t="shared" si="291"/>
        <v/>
      </c>
      <c r="CQ44" s="8" t="str">
        <f t="shared" si="291"/>
        <v/>
      </c>
      <c r="CR44" s="8"/>
      <c r="CS44" s="8"/>
      <c r="CT44" s="41" t="str">
        <f t="shared" ref="CT44:CY44" si="292">CL44</f>
        <v/>
      </c>
      <c r="CU44" s="8" t="str">
        <f t="shared" si="292"/>
        <v/>
      </c>
      <c r="CV44" s="8" t="str">
        <f t="shared" si="292"/>
        <v/>
      </c>
      <c r="CW44" s="8" t="str">
        <f t="shared" si="292"/>
        <v/>
      </c>
      <c r="CX44" s="8" t="str">
        <f t="shared" si="292"/>
        <v/>
      </c>
      <c r="CY44" s="8" t="str">
        <f t="shared" si="292"/>
        <v/>
      </c>
      <c r="CZ44" s="8"/>
      <c r="DA44" s="8"/>
      <c r="DB44" s="41" t="str">
        <f t="shared" ref="DB44:DG44" si="293">CT44</f>
        <v/>
      </c>
      <c r="DC44" s="8" t="str">
        <f t="shared" si="293"/>
        <v/>
      </c>
      <c r="DD44" s="8" t="str">
        <f t="shared" si="293"/>
        <v/>
      </c>
      <c r="DE44" s="8" t="str">
        <f t="shared" si="293"/>
        <v/>
      </c>
      <c r="DF44" s="8" t="str">
        <f t="shared" si="293"/>
        <v/>
      </c>
      <c r="DG44" s="8" t="str">
        <f t="shared" si="293"/>
        <v/>
      </c>
      <c r="DH44" s="8"/>
      <c r="DI44" s="8"/>
      <c r="DJ44" s="41" t="str">
        <f t="shared" ref="DJ44:DO44" si="294">DB44</f>
        <v/>
      </c>
      <c r="DK44" s="8" t="str">
        <f t="shared" si="294"/>
        <v/>
      </c>
      <c r="DL44" s="8" t="str">
        <f t="shared" si="294"/>
        <v/>
      </c>
      <c r="DM44" s="8" t="str">
        <f t="shared" si="294"/>
        <v/>
      </c>
      <c r="DN44" s="8" t="str">
        <f t="shared" si="294"/>
        <v/>
      </c>
      <c r="DO44" s="8" t="str">
        <f t="shared" si="294"/>
        <v/>
      </c>
      <c r="DP44" s="8"/>
      <c r="DQ44" s="8"/>
      <c r="DR44" s="41" t="str">
        <f t="shared" ref="DR44:DW44" si="295">DJ44</f>
        <v/>
      </c>
      <c r="DS44" s="8" t="str">
        <f t="shared" si="295"/>
        <v/>
      </c>
      <c r="DT44" s="8" t="str">
        <f t="shared" si="295"/>
        <v/>
      </c>
      <c r="DU44" s="8" t="str">
        <f t="shared" si="295"/>
        <v/>
      </c>
      <c r="DV44" s="8" t="str">
        <f t="shared" si="295"/>
        <v/>
      </c>
      <c r="DW44" s="8" t="str">
        <f t="shared" si="295"/>
        <v/>
      </c>
      <c r="DX44" s="8"/>
      <c r="DY44" s="8"/>
      <c r="DZ44" s="41" t="str">
        <f t="shared" ref="DZ44:EE44" si="296">DR44</f>
        <v/>
      </c>
      <c r="EA44" s="8" t="str">
        <f t="shared" si="296"/>
        <v/>
      </c>
      <c r="EB44" s="8" t="str">
        <f t="shared" si="296"/>
        <v/>
      </c>
      <c r="EC44" s="8" t="str">
        <f t="shared" si="296"/>
        <v/>
      </c>
      <c r="ED44" s="8" t="str">
        <f t="shared" si="296"/>
        <v/>
      </c>
      <c r="EE44" s="8" t="str">
        <f t="shared" si="296"/>
        <v/>
      </c>
      <c r="EF44" s="8"/>
      <c r="EG44" s="8"/>
      <c r="EH44" s="41" t="str">
        <f t="shared" ref="EH44:EM44" si="297">DZ44</f>
        <v/>
      </c>
      <c r="EI44" s="8" t="str">
        <f t="shared" si="297"/>
        <v/>
      </c>
      <c r="EJ44" s="8" t="str">
        <f t="shared" si="297"/>
        <v/>
      </c>
      <c r="EK44" s="8" t="str">
        <f t="shared" si="297"/>
        <v/>
      </c>
      <c r="EL44" s="8" t="str">
        <f t="shared" si="297"/>
        <v/>
      </c>
      <c r="EM44" s="8" t="str">
        <f t="shared" si="297"/>
        <v/>
      </c>
      <c r="EN44" s="8"/>
      <c r="EO44" s="8"/>
      <c r="EP44" s="41" t="str">
        <f t="shared" ref="EP44:EU44" si="298">EH44</f>
        <v/>
      </c>
      <c r="EQ44" s="8" t="str">
        <f t="shared" si="298"/>
        <v/>
      </c>
      <c r="ER44" s="8" t="str">
        <f t="shared" si="298"/>
        <v/>
      </c>
      <c r="ES44" s="8" t="str">
        <f t="shared" si="298"/>
        <v/>
      </c>
      <c r="ET44" s="8" t="str">
        <f t="shared" si="298"/>
        <v/>
      </c>
      <c r="EU44" s="8" t="str">
        <f t="shared" si="298"/>
        <v/>
      </c>
      <c r="EV44" s="8"/>
      <c r="EW44" s="8"/>
      <c r="EX44" s="41" t="str">
        <f t="shared" ref="EX44:FC44" si="299">EP44</f>
        <v/>
      </c>
      <c r="EY44" s="8" t="str">
        <f t="shared" si="299"/>
        <v/>
      </c>
      <c r="EZ44" s="8" t="str">
        <f t="shared" si="299"/>
        <v/>
      </c>
      <c r="FA44" s="8" t="str">
        <f t="shared" si="299"/>
        <v/>
      </c>
      <c r="FB44" s="8" t="str">
        <f t="shared" si="299"/>
        <v/>
      </c>
      <c r="FC44" s="8" t="str">
        <f t="shared" si="299"/>
        <v/>
      </c>
      <c r="FD44" s="8"/>
      <c r="FE44" s="8"/>
      <c r="FF44" s="41" t="str">
        <f t="shared" ref="FF44:FK44" si="300">EX44</f>
        <v/>
      </c>
      <c r="FG44" s="8" t="str">
        <f t="shared" si="300"/>
        <v/>
      </c>
      <c r="FH44" s="8" t="str">
        <f t="shared" si="300"/>
        <v/>
      </c>
      <c r="FI44" s="8" t="str">
        <f t="shared" si="300"/>
        <v/>
      </c>
      <c r="FJ44" s="8" t="str">
        <f t="shared" si="300"/>
        <v/>
      </c>
      <c r="FK44" s="8" t="str">
        <f t="shared" si="300"/>
        <v/>
      </c>
      <c r="FL44" s="8"/>
      <c r="FM44" s="8"/>
    </row>
    <row r="45">
      <c r="A45" s="43"/>
      <c r="B45" s="44"/>
      <c r="C45" s="45"/>
      <c r="D45" s="45"/>
      <c r="E45" s="45"/>
      <c r="F45" s="45"/>
      <c r="G45" s="45"/>
      <c r="H45" s="45"/>
      <c r="I45" s="45"/>
      <c r="J45" s="44" t="str">
        <f t="shared" ref="J45:O45" si="301">B45</f>
        <v/>
      </c>
      <c r="K45" s="45" t="str">
        <f t="shared" si="301"/>
        <v/>
      </c>
      <c r="L45" s="45" t="str">
        <f t="shared" si="301"/>
        <v/>
      </c>
      <c r="M45" s="45" t="str">
        <f t="shared" si="301"/>
        <v/>
      </c>
      <c r="N45" s="45" t="str">
        <f t="shared" si="301"/>
        <v/>
      </c>
      <c r="O45" s="45" t="str">
        <f t="shared" si="301"/>
        <v/>
      </c>
      <c r="P45" s="45"/>
      <c r="Q45" s="45"/>
      <c r="R45" s="44" t="str">
        <f t="shared" ref="R45:W45" si="302">J45</f>
        <v/>
      </c>
      <c r="S45" s="45" t="str">
        <f t="shared" si="302"/>
        <v/>
      </c>
      <c r="T45" s="45" t="str">
        <f t="shared" si="302"/>
        <v/>
      </c>
      <c r="U45" s="45" t="str">
        <f t="shared" si="302"/>
        <v/>
      </c>
      <c r="V45" s="45" t="str">
        <f t="shared" si="302"/>
        <v/>
      </c>
      <c r="W45" s="45" t="str">
        <f t="shared" si="302"/>
        <v/>
      </c>
      <c r="X45" s="45"/>
      <c r="Y45" s="45"/>
      <c r="Z45" s="44" t="str">
        <f t="shared" ref="Z45:AE45" si="303">R45</f>
        <v/>
      </c>
      <c r="AA45" s="45" t="str">
        <f t="shared" si="303"/>
        <v/>
      </c>
      <c r="AB45" s="45" t="str">
        <f t="shared" si="303"/>
        <v/>
      </c>
      <c r="AC45" s="45" t="str">
        <f t="shared" si="303"/>
        <v/>
      </c>
      <c r="AD45" s="45" t="str">
        <f t="shared" si="303"/>
        <v/>
      </c>
      <c r="AE45" s="45" t="str">
        <f t="shared" si="303"/>
        <v/>
      </c>
      <c r="AF45" s="45"/>
      <c r="AG45" s="45"/>
      <c r="AH45" s="44" t="str">
        <f t="shared" ref="AH45:AM45" si="304">Z45</f>
        <v/>
      </c>
      <c r="AI45" s="45" t="str">
        <f t="shared" si="304"/>
        <v/>
      </c>
      <c r="AJ45" s="45" t="str">
        <f t="shared" si="304"/>
        <v/>
      </c>
      <c r="AK45" s="45" t="str">
        <f t="shared" si="304"/>
        <v/>
      </c>
      <c r="AL45" s="45" t="str">
        <f t="shared" si="304"/>
        <v/>
      </c>
      <c r="AM45" s="45" t="str">
        <f t="shared" si="304"/>
        <v/>
      </c>
      <c r="AN45" s="45"/>
      <c r="AO45" s="45"/>
      <c r="AP45" s="44" t="str">
        <f t="shared" ref="AP45:AU45" si="305">AH45</f>
        <v/>
      </c>
      <c r="AQ45" s="45" t="str">
        <f t="shared" si="305"/>
        <v/>
      </c>
      <c r="AR45" s="45" t="str">
        <f t="shared" si="305"/>
        <v/>
      </c>
      <c r="AS45" s="45" t="str">
        <f t="shared" si="305"/>
        <v/>
      </c>
      <c r="AT45" s="45" t="str">
        <f t="shared" si="305"/>
        <v/>
      </c>
      <c r="AU45" s="45" t="str">
        <f t="shared" si="305"/>
        <v/>
      </c>
      <c r="AV45" s="45"/>
      <c r="AW45" s="45"/>
      <c r="AX45" s="44" t="str">
        <f t="shared" ref="AX45:BC45" si="306">AP45</f>
        <v/>
      </c>
      <c r="AY45" s="45" t="str">
        <f t="shared" si="306"/>
        <v/>
      </c>
      <c r="AZ45" s="45" t="str">
        <f t="shared" si="306"/>
        <v/>
      </c>
      <c r="BA45" s="45" t="str">
        <f t="shared" si="306"/>
        <v/>
      </c>
      <c r="BB45" s="45" t="str">
        <f t="shared" si="306"/>
        <v/>
      </c>
      <c r="BC45" s="45" t="str">
        <f t="shared" si="306"/>
        <v/>
      </c>
      <c r="BD45" s="45"/>
      <c r="BE45" s="45"/>
      <c r="BF45" s="44" t="str">
        <f t="shared" ref="BF45:BK45" si="307">AX45</f>
        <v/>
      </c>
      <c r="BG45" s="45" t="str">
        <f t="shared" si="307"/>
        <v/>
      </c>
      <c r="BH45" s="45" t="str">
        <f t="shared" si="307"/>
        <v/>
      </c>
      <c r="BI45" s="45" t="str">
        <f t="shared" si="307"/>
        <v/>
      </c>
      <c r="BJ45" s="45" t="str">
        <f t="shared" si="307"/>
        <v/>
      </c>
      <c r="BK45" s="45" t="str">
        <f t="shared" si="307"/>
        <v/>
      </c>
      <c r="BL45" s="45"/>
      <c r="BM45" s="45"/>
      <c r="BN45" s="44" t="str">
        <f t="shared" ref="BN45:BS45" si="308">BF45</f>
        <v/>
      </c>
      <c r="BO45" s="45" t="str">
        <f t="shared" si="308"/>
        <v/>
      </c>
      <c r="BP45" s="45" t="str">
        <f t="shared" si="308"/>
        <v/>
      </c>
      <c r="BQ45" s="45" t="str">
        <f t="shared" si="308"/>
        <v/>
      </c>
      <c r="BR45" s="45" t="str">
        <f t="shared" si="308"/>
        <v/>
      </c>
      <c r="BS45" s="45" t="str">
        <f t="shared" si="308"/>
        <v/>
      </c>
      <c r="BT45" s="45"/>
      <c r="BU45" s="45"/>
      <c r="BV45" s="44" t="str">
        <f t="shared" ref="BV45:CA45" si="309">BN45</f>
        <v/>
      </c>
      <c r="BW45" s="45" t="str">
        <f t="shared" si="309"/>
        <v/>
      </c>
      <c r="BX45" s="45" t="str">
        <f t="shared" si="309"/>
        <v/>
      </c>
      <c r="BY45" s="45" t="str">
        <f t="shared" si="309"/>
        <v/>
      </c>
      <c r="BZ45" s="45" t="str">
        <f t="shared" si="309"/>
        <v/>
      </c>
      <c r="CA45" s="45" t="str">
        <f t="shared" si="309"/>
        <v/>
      </c>
      <c r="CB45" s="45"/>
      <c r="CC45" s="45"/>
      <c r="CD45" s="44" t="str">
        <f t="shared" ref="CD45:CI45" si="310">BV45</f>
        <v/>
      </c>
      <c r="CE45" s="45" t="str">
        <f t="shared" si="310"/>
        <v/>
      </c>
      <c r="CF45" s="45" t="str">
        <f t="shared" si="310"/>
        <v/>
      </c>
      <c r="CG45" s="45" t="str">
        <f t="shared" si="310"/>
        <v/>
      </c>
      <c r="CH45" s="45" t="str">
        <f t="shared" si="310"/>
        <v/>
      </c>
      <c r="CI45" s="45" t="str">
        <f t="shared" si="310"/>
        <v/>
      </c>
      <c r="CJ45" s="45"/>
      <c r="CK45" s="45"/>
      <c r="CL45" s="44" t="str">
        <f t="shared" ref="CL45:CQ45" si="311">CD45</f>
        <v/>
      </c>
      <c r="CM45" s="45" t="str">
        <f t="shared" si="311"/>
        <v/>
      </c>
      <c r="CN45" s="45" t="str">
        <f t="shared" si="311"/>
        <v/>
      </c>
      <c r="CO45" s="45" t="str">
        <f t="shared" si="311"/>
        <v/>
      </c>
      <c r="CP45" s="45" t="str">
        <f t="shared" si="311"/>
        <v/>
      </c>
      <c r="CQ45" s="45" t="str">
        <f t="shared" si="311"/>
        <v/>
      </c>
      <c r="CR45" s="45"/>
      <c r="CS45" s="45"/>
      <c r="CT45" s="44" t="str">
        <f t="shared" ref="CT45:CY45" si="312">CL45</f>
        <v/>
      </c>
      <c r="CU45" s="45" t="str">
        <f t="shared" si="312"/>
        <v/>
      </c>
      <c r="CV45" s="45" t="str">
        <f t="shared" si="312"/>
        <v/>
      </c>
      <c r="CW45" s="45" t="str">
        <f t="shared" si="312"/>
        <v/>
      </c>
      <c r="CX45" s="45" t="str">
        <f t="shared" si="312"/>
        <v/>
      </c>
      <c r="CY45" s="45" t="str">
        <f t="shared" si="312"/>
        <v/>
      </c>
      <c r="CZ45" s="45"/>
      <c r="DA45" s="45"/>
      <c r="DB45" s="44" t="str">
        <f t="shared" ref="DB45:DG45" si="313">CT45</f>
        <v/>
      </c>
      <c r="DC45" s="45" t="str">
        <f t="shared" si="313"/>
        <v/>
      </c>
      <c r="DD45" s="45" t="str">
        <f t="shared" si="313"/>
        <v/>
      </c>
      <c r="DE45" s="45" t="str">
        <f t="shared" si="313"/>
        <v/>
      </c>
      <c r="DF45" s="45" t="str">
        <f t="shared" si="313"/>
        <v/>
      </c>
      <c r="DG45" s="45" t="str">
        <f t="shared" si="313"/>
        <v/>
      </c>
      <c r="DH45" s="45"/>
      <c r="DI45" s="45"/>
      <c r="DJ45" s="44" t="str">
        <f t="shared" ref="DJ45:DO45" si="314">DB45</f>
        <v/>
      </c>
      <c r="DK45" s="45" t="str">
        <f t="shared" si="314"/>
        <v/>
      </c>
      <c r="DL45" s="45" t="str">
        <f t="shared" si="314"/>
        <v/>
      </c>
      <c r="DM45" s="45" t="str">
        <f t="shared" si="314"/>
        <v/>
      </c>
      <c r="DN45" s="45" t="str">
        <f t="shared" si="314"/>
        <v/>
      </c>
      <c r="DO45" s="45" t="str">
        <f t="shared" si="314"/>
        <v/>
      </c>
      <c r="DP45" s="45"/>
      <c r="DQ45" s="45"/>
      <c r="DR45" s="44" t="str">
        <f t="shared" ref="DR45:DW45" si="315">DJ45</f>
        <v/>
      </c>
      <c r="DS45" s="45" t="str">
        <f t="shared" si="315"/>
        <v/>
      </c>
      <c r="DT45" s="45" t="str">
        <f t="shared" si="315"/>
        <v/>
      </c>
      <c r="DU45" s="45" t="str">
        <f t="shared" si="315"/>
        <v/>
      </c>
      <c r="DV45" s="45" t="str">
        <f t="shared" si="315"/>
        <v/>
      </c>
      <c r="DW45" s="45" t="str">
        <f t="shared" si="315"/>
        <v/>
      </c>
      <c r="DX45" s="45"/>
      <c r="DY45" s="45"/>
      <c r="DZ45" s="44" t="str">
        <f t="shared" ref="DZ45:EE45" si="316">DR45</f>
        <v/>
      </c>
      <c r="EA45" s="45" t="str">
        <f t="shared" si="316"/>
        <v/>
      </c>
      <c r="EB45" s="45" t="str">
        <f t="shared" si="316"/>
        <v/>
      </c>
      <c r="EC45" s="45" t="str">
        <f t="shared" si="316"/>
        <v/>
      </c>
      <c r="ED45" s="45" t="str">
        <f t="shared" si="316"/>
        <v/>
      </c>
      <c r="EE45" s="45" t="str">
        <f t="shared" si="316"/>
        <v/>
      </c>
      <c r="EF45" s="45"/>
      <c r="EG45" s="45"/>
      <c r="EH45" s="44" t="str">
        <f t="shared" ref="EH45:EM45" si="317">DZ45</f>
        <v/>
      </c>
      <c r="EI45" s="45" t="str">
        <f t="shared" si="317"/>
        <v/>
      </c>
      <c r="EJ45" s="45" t="str">
        <f t="shared" si="317"/>
        <v/>
      </c>
      <c r="EK45" s="45" t="str">
        <f t="shared" si="317"/>
        <v/>
      </c>
      <c r="EL45" s="45" t="str">
        <f t="shared" si="317"/>
        <v/>
      </c>
      <c r="EM45" s="45" t="str">
        <f t="shared" si="317"/>
        <v/>
      </c>
      <c r="EN45" s="45"/>
      <c r="EO45" s="45"/>
      <c r="EP45" s="44" t="str">
        <f t="shared" ref="EP45:EU45" si="318">EH45</f>
        <v/>
      </c>
      <c r="EQ45" s="45" t="str">
        <f t="shared" si="318"/>
        <v/>
      </c>
      <c r="ER45" s="45" t="str">
        <f t="shared" si="318"/>
        <v/>
      </c>
      <c r="ES45" s="45" t="str">
        <f t="shared" si="318"/>
        <v/>
      </c>
      <c r="ET45" s="45" t="str">
        <f t="shared" si="318"/>
        <v/>
      </c>
      <c r="EU45" s="45" t="str">
        <f t="shared" si="318"/>
        <v/>
      </c>
      <c r="EV45" s="45"/>
      <c r="EW45" s="45"/>
      <c r="EX45" s="44" t="str">
        <f t="shared" ref="EX45:FC45" si="319">EP45</f>
        <v/>
      </c>
      <c r="EY45" s="45" t="str">
        <f t="shared" si="319"/>
        <v/>
      </c>
      <c r="EZ45" s="45" t="str">
        <f t="shared" si="319"/>
        <v/>
      </c>
      <c r="FA45" s="45" t="str">
        <f t="shared" si="319"/>
        <v/>
      </c>
      <c r="FB45" s="45" t="str">
        <f t="shared" si="319"/>
        <v/>
      </c>
      <c r="FC45" s="45" t="str">
        <f t="shared" si="319"/>
        <v/>
      </c>
      <c r="FD45" s="45"/>
      <c r="FE45" s="45"/>
      <c r="FF45" s="44" t="str">
        <f t="shared" ref="FF45:FK45" si="320">EX45</f>
        <v/>
      </c>
      <c r="FG45" s="45" t="str">
        <f t="shared" si="320"/>
        <v/>
      </c>
      <c r="FH45" s="45" t="str">
        <f t="shared" si="320"/>
        <v/>
      </c>
      <c r="FI45" s="45" t="str">
        <f t="shared" si="320"/>
        <v/>
      </c>
      <c r="FJ45" s="45" t="str">
        <f t="shared" si="320"/>
        <v/>
      </c>
      <c r="FK45" s="45" t="str">
        <f t="shared" si="320"/>
        <v/>
      </c>
      <c r="FL45" s="45"/>
      <c r="FM45" s="45"/>
    </row>
    <row r="46">
      <c r="A46" s="2"/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31" t="s">
        <v>85</v>
      </c>
      <c r="B47" s="32"/>
      <c r="C47" s="33"/>
      <c r="D47" s="33"/>
      <c r="E47" s="33"/>
      <c r="F47" s="33"/>
      <c r="G47" s="33"/>
      <c r="H47" s="33"/>
      <c r="I47" s="33"/>
      <c r="J47" s="32"/>
      <c r="K47" s="33"/>
      <c r="L47" s="33"/>
      <c r="M47" s="33"/>
      <c r="N47" s="33"/>
      <c r="O47" s="33"/>
      <c r="P47" s="33"/>
      <c r="Q47" s="33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J47" s="33"/>
      <c r="AK47" s="33"/>
      <c r="AL47" s="33"/>
      <c r="AM47" s="33"/>
      <c r="AN47" s="33"/>
      <c r="AO47" s="33"/>
      <c r="AP47" s="32"/>
      <c r="AQ47" s="33"/>
      <c r="AR47" s="33"/>
      <c r="AS47" s="33"/>
      <c r="AT47" s="33"/>
      <c r="AU47" s="33"/>
      <c r="AV47" s="33"/>
      <c r="AW47" s="33"/>
      <c r="AX47" s="32"/>
      <c r="AY47" s="33"/>
      <c r="AZ47" s="33"/>
      <c r="BA47" s="33"/>
      <c r="BB47" s="33"/>
      <c r="BC47" s="33"/>
      <c r="BD47" s="33"/>
      <c r="BE47" s="33"/>
      <c r="BF47" s="32"/>
      <c r="BG47" s="33"/>
      <c r="BH47" s="33"/>
      <c r="BI47" s="33"/>
      <c r="BJ47" s="33"/>
      <c r="BK47" s="33"/>
      <c r="BL47" s="33"/>
      <c r="BM47" s="33"/>
      <c r="BN47" s="32"/>
      <c r="BO47" s="33"/>
      <c r="BP47" s="33"/>
      <c r="BQ47" s="33"/>
      <c r="BR47" s="33"/>
      <c r="BS47" s="33"/>
      <c r="BT47" s="33"/>
      <c r="BU47" s="33"/>
      <c r="BV47" s="32"/>
      <c r="BW47" s="33"/>
      <c r="BX47" s="33"/>
      <c r="BY47" s="33"/>
      <c r="BZ47" s="33"/>
      <c r="CA47" s="33"/>
      <c r="CB47" s="33"/>
      <c r="CC47" s="33"/>
      <c r="CD47" s="32"/>
      <c r="CE47" s="33"/>
      <c r="CF47" s="33"/>
      <c r="CG47" s="33"/>
      <c r="CH47" s="33"/>
      <c r="CI47" s="33"/>
      <c r="CJ47" s="33"/>
      <c r="CK47" s="33"/>
      <c r="CL47" s="32"/>
      <c r="CM47" s="33"/>
      <c r="CN47" s="33"/>
      <c r="CO47" s="33"/>
      <c r="CP47" s="33"/>
      <c r="CQ47" s="33"/>
      <c r="CR47" s="33"/>
      <c r="CS47" s="33"/>
      <c r="CT47" s="32"/>
      <c r="CU47" s="33"/>
      <c r="CV47" s="33"/>
      <c r="CW47" s="33"/>
      <c r="CX47" s="33"/>
      <c r="CY47" s="33"/>
      <c r="CZ47" s="33"/>
      <c r="DA47" s="33"/>
      <c r="DB47" s="32"/>
      <c r="DC47" s="33"/>
      <c r="DD47" s="33"/>
      <c r="DE47" s="33"/>
      <c r="DF47" s="33"/>
      <c r="DG47" s="33"/>
      <c r="DH47" s="33"/>
      <c r="DI47" s="33"/>
      <c r="DJ47" s="32"/>
      <c r="DK47" s="33"/>
      <c r="DL47" s="33"/>
      <c r="DM47" s="33"/>
      <c r="DN47" s="33"/>
      <c r="DO47" s="33"/>
      <c r="DP47" s="33"/>
      <c r="DQ47" s="33"/>
      <c r="DR47" s="32"/>
      <c r="DS47" s="33"/>
      <c r="DT47" s="33"/>
      <c r="DU47" s="33"/>
      <c r="DV47" s="33"/>
      <c r="DW47" s="33"/>
      <c r="DX47" s="33"/>
      <c r="DY47" s="33"/>
      <c r="DZ47" s="32"/>
      <c r="EA47" s="33"/>
      <c r="EB47" s="33"/>
      <c r="EC47" s="33"/>
      <c r="ED47" s="33"/>
      <c r="EE47" s="33"/>
      <c r="EF47" s="33"/>
      <c r="EG47" s="33"/>
      <c r="EH47" s="32"/>
      <c r="EI47" s="33"/>
      <c r="EJ47" s="33"/>
      <c r="EK47" s="33"/>
      <c r="EL47" s="33"/>
      <c r="EM47" s="33"/>
      <c r="EN47" s="33"/>
      <c r="EO47" s="33"/>
      <c r="EP47" s="32"/>
      <c r="EQ47" s="33"/>
      <c r="ER47" s="33"/>
      <c r="ES47" s="33"/>
      <c r="ET47" s="33"/>
      <c r="EU47" s="33"/>
      <c r="EV47" s="33"/>
      <c r="EW47" s="33"/>
      <c r="EX47" s="34" t="s">
        <v>79</v>
      </c>
      <c r="EY47" s="35"/>
      <c r="EZ47" s="35"/>
      <c r="FA47" s="35"/>
      <c r="FB47" s="35"/>
      <c r="FC47" s="35"/>
      <c r="FD47" s="35"/>
      <c r="FE47" s="35"/>
      <c r="FF47" s="32"/>
      <c r="FG47" s="33"/>
      <c r="FH47" s="33"/>
      <c r="FI47" s="33"/>
      <c r="FJ47" s="33"/>
      <c r="FK47" s="33"/>
      <c r="FL47" s="33"/>
      <c r="FM47" s="33"/>
    </row>
    <row r="48" hidden="1">
      <c r="A48" s="36" t="str">
        <f>CONCATENATE(A49," TM")</f>
        <v>Deadlift TM</v>
      </c>
      <c r="B48" s="37">
        <f>if(D48="",'Quick Setup'!D7,D48/'Quick Setup'!E7)</f>
        <v>525</v>
      </c>
      <c r="C48" s="36" t="s">
        <v>77</v>
      </c>
      <c r="D48" s="38"/>
      <c r="E48" s="39"/>
      <c r="F48" s="39"/>
      <c r="G48" s="39"/>
      <c r="H48" s="39"/>
      <c r="I48" s="39"/>
      <c r="J48" s="37">
        <f>if(L48="", if(F49="",B48, if((F49-E49)&lt;-1.9,B48*(1+Setup!F5),if((F49-E49)=-1,B48*(1+Setup!G5),if(G49&lt;D49,B48*(1+Setup!G5),if(G49=D49,B48*(1+Setup!H5),if((G49-D49)=1,B48*(1+Setup!I5),if((G49-D49)=2,B48*(1+Setup!J5),if((G49-D49)=3,B48*(1+Setup!K5),if((G49-D49)=4,B48*(1+Setup!L5),if((G49-D49)&gt;4.1,B48*(1+Setup!M5),B48)))))))))),L48/'Quick Setup'!$E7)</f>
        <v>525</v>
      </c>
      <c r="K48" s="36" t="s">
        <v>77</v>
      </c>
      <c r="L48" s="38"/>
      <c r="M48" s="39"/>
      <c r="N48" s="39"/>
      <c r="O48" s="39"/>
      <c r="P48" s="39"/>
      <c r="Q48" s="39"/>
      <c r="R48" s="37">
        <f>if(T48="", if(N49="",J48, if((N49-M49)&lt;-1.9,J48*(1+Setup!R5),if((N49-M49)=-1,J48*(1+Setup!S5),if(O49&lt;L49,J48*(1+Setup!S5),if(O49=L49,J48*(1+Setup!T5),if((O49-L49)=1,J48*(1+Setup!U5),if((O49-L49)=2,J48*(1+Setup!V5),if((O49-L49)=3,J48*(1+Setup!W5),if((O49-L49)=4,J48*(1+Setup!X5),if((O49-L49)&gt;4.1,J48*(1+Setup!Y5),J48)))))))))),T48/'Quick Setup'!$E7)</f>
        <v>525</v>
      </c>
      <c r="S48" s="36" t="s">
        <v>77</v>
      </c>
      <c r="T48" s="38"/>
      <c r="U48" s="39"/>
      <c r="V48" s="39"/>
      <c r="W48" s="39"/>
      <c r="X48" s="39"/>
      <c r="Y48" s="39"/>
      <c r="Z48" s="37">
        <f>if(AB48="", if(V49="",R48, if((V49-U49)&lt;-1.9,R48*(1+Setup!AD5),if((V49-U49)=-1,R48*(1+Setup!AE5),if(W49&lt;T49,R48*(1+Setup!AE5),if(W49=T49,R48*(1+Setup!AF5),if((W49-T49)=1,R48*(1+Setup!AG5),if((W49-T49)=2,R48*(1+Setup!AH5),if((W49-T49)=3,R48*(1+Setup!AI5),if((W49-T49)=4,R48*(1+Setup!AJ5),if((W49-T49)&gt;4.1,R48*(1+Setup!AK5),R48)))))))))),AB48/'Quick Setup'!$E7)</f>
        <v>525</v>
      </c>
      <c r="AA48" s="36" t="s">
        <v>77</v>
      </c>
      <c r="AB48" s="38"/>
      <c r="AC48" s="39"/>
      <c r="AD48" s="39"/>
      <c r="AE48" s="39"/>
      <c r="AF48" s="39"/>
      <c r="AG48" s="39"/>
      <c r="AH48" s="37">
        <f>if(AJ48="", if(AD49="",Z48, if((AD49-AC49)&lt;-1.9,Z48*(1+Setup!AP5),if((AD49-AC49)=-1,Z48*(1+Setup!AQ5),if(AE49&lt;AB49,Z48*(1+Setup!AQ5),if(AE49=AB49,Z48*(1+Setup!AR5),if((AE49-AB49)=1,Z48*(1+Setup!AS5),if((AE49-AB49)=2,Z48*(1+Setup!AT5),if((AE49-AB49)=3,Z48*(1+Setup!AU5),if((AE49-AB49)=4,Z48*(1+Setup!AV5),if((AE49-AB49)&gt;4.1,Z48*(1+Setup!AW5),Z48)))))))))),AJ48/'Quick Setup'!$E7)</f>
        <v>525</v>
      </c>
      <c r="AI48" s="36" t="s">
        <v>77</v>
      </c>
      <c r="AJ48" s="38"/>
      <c r="AK48" s="39"/>
      <c r="AL48" s="39"/>
      <c r="AM48" s="39"/>
      <c r="AN48" s="39"/>
      <c r="AO48" s="39"/>
      <c r="AP48" s="37">
        <f>if(AR48="", if(AL49="",AH48, if((AL49-AK49)&lt;-1.9,AH48*(1+Setup!BB5),if((AL49-AK49)=-1,AH48*(1+Setup!BC5),if(AM49&lt;AJ49,AH48*(1+Setup!BC5),if(AM49=AJ49,AH48*(1+Setup!BD5),if((AM49-AJ49)=1,AH48*(1+Setup!BE5),if((AM49-AJ49)=2,AH48*(1+Setup!BF5),if((AM49-AJ49)=3,AH48*(1+Setup!BG5),if((AM49-AJ49)=4,AH48*(1+Setup!BH5),if((AM49-AJ49)&gt;4.1,AH48*(1+Setup!BI5),AH48)))))))))),AR48/'Quick Setup'!$E7)</f>
        <v>525</v>
      </c>
      <c r="AQ48" s="36" t="s">
        <v>77</v>
      </c>
      <c r="AR48" s="38"/>
      <c r="AS48" s="39"/>
      <c r="AT48" s="39"/>
      <c r="AU48" s="39"/>
      <c r="AV48" s="39"/>
      <c r="AW48" s="39"/>
      <c r="AX48" s="37">
        <f>if(AZ48="", if(AT49="",AP48, if((AT49-AS49)&lt;-1.9,AP48*(1+Setup!BN5),if((AT49-AS49)=-1,AP48*(1+Setup!BO5),if(AU49&lt;AR49,AP48*(1+Setup!BO5),if(AU49=AR49,AP48*(1+Setup!BP5),if((AU49-AR49)=1,AP48*(1+Setup!BQ5),if((AU49-AR49)=2,AP48*(1+Setup!BR5),if((AU49-AR49)=3,AP48*(1+Setup!BS5),if((AU49-AR49)=4,AP48*(1+Setup!BT5),if((AU49-AR49)&gt;4.1,AP48*(1+Setup!BU5),AP48)))))))))),AZ48/'Quick Setup'!$E7)</f>
        <v>525</v>
      </c>
      <c r="AY48" s="36" t="s">
        <v>77</v>
      </c>
      <c r="AZ48" s="38"/>
      <c r="BA48" s="39"/>
      <c r="BB48" s="39"/>
      <c r="BC48" s="39"/>
      <c r="BD48" s="39"/>
      <c r="BE48" s="39"/>
      <c r="BF48" s="37">
        <f>if(BH48="",AX48,BH48/'Quick Setup'!$E7)</f>
        <v>525</v>
      </c>
      <c r="BG48" s="36" t="s">
        <v>77</v>
      </c>
      <c r="BH48" s="38"/>
      <c r="BI48" s="39"/>
      <c r="BJ48" s="39"/>
      <c r="BK48" s="39"/>
      <c r="BL48" s="39"/>
      <c r="BM48" s="39"/>
      <c r="BN48" s="37">
        <f>if(BP48="", if(BJ49="",BF48, if((BJ49-BI49)&lt;-1.9,BF48*(1+Setup!CL5),if((BJ49-BI49)=-1,BF48*(1+Setup!CM5),if(BK49&lt;BH49,BF48*(1+Setup!CM5),if(BK49=BH49,BF48*(1+Setup!CN5),if((BK49-BH49)=1,BF48*(1+Setup!CO5),if((BK49-BH49)=2,BF48*(1+Setup!CP5),if((BK49-BH49)=3,BF48*(1+Setup!CQ5),if((BK49-BH49)=4,BF48*(1+Setup!CR5),if((BK49-BH49)&gt;4.1,BF48*(1+Setup!CS5),BF48)))))))))),BP48/'Quick Setup'!$E7)</f>
        <v>525</v>
      </c>
      <c r="BO48" s="36" t="s">
        <v>77</v>
      </c>
      <c r="BP48" s="38"/>
      <c r="BQ48" s="39"/>
      <c r="BR48" s="39"/>
      <c r="BS48" s="39"/>
      <c r="BT48" s="39"/>
      <c r="BU48" s="39"/>
      <c r="BV48" s="37">
        <f>if(BX48="", if(BR49="",BN48, if((BR49-BQ49)&lt;-1.9,BN48*(1+Setup!CX5),if((BR49-BQ49)=-1,BN48*(1+Setup!CY5),if(BS49&lt;BP49,BN48*(1+Setup!CY5),if(BS49=BP49,BN48*(1+Setup!CZ5),if((BS49-BP49)=1,BN48*(1+Setup!DA5),if((BS49-BP49)=2,BN48*(1+Setup!DB5),if((BS49-BP49)=3,BN48*(1+Setup!DC5),if((BS49-BP49)=4,BN48*(1+Setup!DD5),if((BS49-BP49)&gt;4.1,BN48*(1+Setup!DE5),BN48)))))))))),BX48/'Quick Setup'!$E7)</f>
        <v>525</v>
      </c>
      <c r="BW48" s="36" t="s">
        <v>77</v>
      </c>
      <c r="BX48" s="38"/>
      <c r="BY48" s="39"/>
      <c r="BZ48" s="39"/>
      <c r="CA48" s="39"/>
      <c r="CB48" s="39"/>
      <c r="CC48" s="39"/>
      <c r="CD48" s="37">
        <f>if(CF48="", if(BZ49="",BV48, if((BZ49-BY49)&lt;-1.9,BV48*(1+Setup!DJ5),if((BZ49-BY49)=-1,BV48*(1+Setup!DK5),if(CA49&lt;BX49,BV48*(1+Setup!DK5),if(CA49=BX49,BV48*(1+Setup!DL5),if((CA49-BX49)=1,BV48*(1+Setup!DM5),if((CA49-BX49)=2,BV48*(1+Setup!DN5),if((CA49-BX49)=3,BV48*(1+Setup!DO5),if((CA49-BX49)=4,BV48*(1+Setup!DP5),if((CA49-BX49)&gt;4.1,BV48*(1+Setup!DQ5),BV48)))))))))),CF48/'Quick Setup'!$E7)</f>
        <v>525</v>
      </c>
      <c r="CE48" s="36" t="s">
        <v>77</v>
      </c>
      <c r="CF48" s="38"/>
      <c r="CG48" s="39"/>
      <c r="CH48" s="39"/>
      <c r="CI48" s="39"/>
      <c r="CJ48" s="39"/>
      <c r="CK48" s="39"/>
      <c r="CL48" s="37">
        <f>if(CN48="", if(CH49="",CD48, if((CH49-CG49)&lt;-1.9,CD48*(1+Setup!DV5),if((CH49-CG49)=-1,CD48*(1+Setup!DW5),if(CI49&lt;CF49,CD48*(1+Setup!DW5),if(CI49=CF49,CD48*(1+Setup!DX5),if((CI49-CF49)=1,CD48*(1+Setup!DY5),if((CI49-CF49)=2,CD48*(1+Setup!DZ5),if((CI49-CF49)=3,CD48*(1+Setup!EA5),if((CI49-CF49)=4,CD48*(1+Setup!EB5),if((CI49-CF49)&gt;4.1,CD48*(1+Setup!EC5),CD48)))))))))),CN48/'Quick Setup'!$E7)</f>
        <v>525</v>
      </c>
      <c r="CM48" s="36" t="s">
        <v>77</v>
      </c>
      <c r="CN48" s="38"/>
      <c r="CO48" s="39"/>
      <c r="CP48" s="39"/>
      <c r="CQ48" s="39"/>
      <c r="CR48" s="39"/>
      <c r="CS48" s="39"/>
      <c r="CT48" s="37">
        <f>if(CV48="", if(CP49="",CL48, if((CP49-CO49)&lt;-1.9,CL48*(1+Setup!EH5),if((CP49-CO49)=-1,CL48*(1+Setup!EI5),if(CQ49&lt;CN49,CL48*(1+Setup!EI5),if(CQ49=CN49,CL48*(1+Setup!EJ5),if((CQ49-CN49)=1,CL48*(1+Setup!EK5),if((CQ49-CN49)=2,CL48*(1+Setup!EL5),if((CQ49-CN49)=3,CL48*(1+Setup!EM5),if((CQ49-CN49)=4,CL48*(1+Setup!EN5),if((CQ49-CN49)&gt;4.1,CL48*(1+Setup!EO5),CL48)))))))))),CV48/'Quick Setup'!$E7)</f>
        <v>525</v>
      </c>
      <c r="CU48" s="36" t="s">
        <v>77</v>
      </c>
      <c r="CV48" s="38"/>
      <c r="CW48" s="39"/>
      <c r="CX48" s="39"/>
      <c r="CY48" s="39"/>
      <c r="CZ48" s="39"/>
      <c r="DA48" s="39"/>
      <c r="DB48" s="37">
        <f>if(DD48="", if(CX49="",CT48, if((CX49-CW49)&lt;-1.9,CT48*(1+Setup!ET5),if((CX49-CW49)=-1,CT48*(1+Setup!EU5),if(CY49&lt;CV49,CT48*(1+Setup!EU5),if(CY49=CV49,CT48*(1+Setup!EV5),if((CY49-CV49)=1,CT48*(1+Setup!EW5),if((CY49-CV49)=2,CT48*(1+Setup!EX5),if((CY49-CV49)=3,CT48*(1+Setup!EY5),if((CY49-CV49)=4,CT48*(1+Setup!EZ5),if((CY49-CV49)&gt;4.1,CT48*(1+Setup!FA5),CT48)))))))))),DD48/'Quick Setup'!$E7)</f>
        <v>525</v>
      </c>
      <c r="DC48" s="36" t="s">
        <v>77</v>
      </c>
      <c r="DD48" s="38"/>
      <c r="DE48" s="39"/>
      <c r="DF48" s="39"/>
      <c r="DG48" s="39"/>
      <c r="DH48" s="39"/>
      <c r="DI48" s="39"/>
      <c r="DJ48" s="37">
        <f>if(DL48="",DB48,DL48/'Quick Setup'!$E7)</f>
        <v>525</v>
      </c>
      <c r="DK48" s="36" t="s">
        <v>77</v>
      </c>
      <c r="DL48" s="38"/>
      <c r="DM48" s="39"/>
      <c r="DN48" s="39"/>
      <c r="DO48" s="39"/>
      <c r="DP48" s="39"/>
      <c r="DQ48" s="39"/>
      <c r="DR48" s="37">
        <f>if(DT48="", if(DN49="",DJ48, if((DN49-DM49)&lt;-1.9,DJ48*(1+Setup!FR5),if((DN49-DM49)=-1,DJ48*(1+Setup!FS5),if(DO49&lt;DL49,DJ48*(1+Setup!FS5),if(DO49=DL49,DJ48*(1+Setup!FT5),if((DO49-DL49)=1,DJ48*(1+Setup!FU5),if((DO49-DL49)=2,DJ48*(1+Setup!FV5),if((DO49-DL49)=3,DJ48*(1+Setup!FW5),if((DO49-DL49)=4,DJ48*(1+Setup!FX5),if((DO49-DL49)&gt;4.1,DJ48*(1+Setup!FY5),DJ48)))))))))),DT48/'Quick Setup'!$E7)</f>
        <v>525</v>
      </c>
      <c r="DS48" s="36" t="s">
        <v>77</v>
      </c>
      <c r="DT48" s="38"/>
      <c r="DU48" s="39"/>
      <c r="DV48" s="39"/>
      <c r="DW48" s="39"/>
      <c r="DX48" s="39"/>
      <c r="DY48" s="39"/>
      <c r="DZ48" s="37">
        <f>if(EB48="", if(DV49="",DR48, if((DV49-DU49)&lt;-1.9,DR48*(1+Setup!GD5),if((DV49-DU49)=-1,DR48*(1+Setup!GE5),if(DW49&lt;DT49,DR48*(1+Setup!GE5),if(DW49=DT49,DR48*(1+Setup!GF5),if((DW49-DT49)=1,DR48*(1+Setup!GG5),if((DW49-DT49)=2,DR48*(1+Setup!GH5),if((DW49-DT49)=3,DR48*(1+Setup!GI5),if((DW49-DT49)=4,DR48*(1+Setup!GJ5),if((DW49-DT49)&gt;4.1,DR48*(1+Setup!GK5),DR48)))))))))),EB48/'Quick Setup'!$E7)</f>
        <v>525</v>
      </c>
      <c r="EA48" s="36" t="s">
        <v>77</v>
      </c>
      <c r="EB48" s="38"/>
      <c r="EC48" s="39"/>
      <c r="ED48" s="39"/>
      <c r="EE48" s="39"/>
      <c r="EF48" s="39"/>
      <c r="EG48" s="39"/>
      <c r="EH48" s="37">
        <f>if(EJ48="", if(ED49="",DZ48, if((ED49-EC49)&lt;-1.9,DZ48*(1+Setup!GP5),if((ED49-EC49)=-1,DZ48*(1+Setup!GQ5),if(EE49&lt;EB49,DZ48*(1+Setup!GQ5),if(EE49=EB49,DZ48*(1+Setup!GR5),if((EE49-EB49)=1,DZ48*(1+Setup!GS5),if((EE49-EB49)=2,DZ48*(1+Setup!GT5),if((EE49-EB49)=3,DZ48*(1+Setup!GU5),if((EE49-EB49)=4,DZ48*(1+Setup!GV5),if((EE49-EB49)&gt;4.1,DZ48*(1+Setup!GW5),DZ48)))))))))),EJ48/'Quick Setup'!$E7)</f>
        <v>525</v>
      </c>
      <c r="EI48" s="36" t="s">
        <v>77</v>
      </c>
      <c r="EJ48" s="38"/>
      <c r="EK48" s="39"/>
      <c r="EL48" s="39"/>
      <c r="EM48" s="39"/>
      <c r="EN48" s="39"/>
      <c r="EO48" s="39"/>
      <c r="EP48" s="37">
        <f>if(ER48="", if(EL49="",EH48, if((EL49-EK49)&lt;-1.9,EH48*(1+Setup!HB5),if((EL49-EK49)=-1,EH48*(1+Setup!HC5),if(EM49&lt;EJ49,EH48*(1+Setup!HC5),if(EM49=EJ49,EH48*(1+Setup!HD5),if((EM49-EJ49)=1,EH48*(1+Setup!HE5),if((EM49-EJ49)=2,EH48*(1+Setup!HF5),if((EM49-EJ49)=3,EH48*(1+Setup!HG5),if((EM49-EJ49)=4,EH48*(1+Setup!HH5),if((EM49-EJ49)&gt;4.1,EH48*(1+Setup!HI5),EH48)))))))))),ER48/'Quick Setup'!$E7)</f>
        <v>525</v>
      </c>
      <c r="EQ48" s="36" t="s">
        <v>77</v>
      </c>
      <c r="ER48" s="38"/>
      <c r="ES48" s="39"/>
      <c r="ET48" s="39"/>
      <c r="EU48" s="39"/>
      <c r="EV48" s="39"/>
      <c r="EW48" s="39"/>
      <c r="EX48" s="37">
        <f>if(EZ48="", if(ET49="",EP48, if((ET49-ES49)&lt;-1.9,EP48*(1+Setup!HN5),if((ET49-ES49)=-1,EP48*(1+Setup!HO5),if(EU49&lt;ER49,EP48*(1+Setup!HO5),if(EU49=ER49,EP48*(1+Setup!HP5),if((EU49-ER49)=1,EP48*(1+Setup!HQ5),if((EU49-ER49)=2,EP48*(1+Setup!HR5),if((EU49-ER49)=3,EP48*(1+Setup!HS5),if((EU49-ER49)=4,EP48*(1+Setup!HT5),if((EU49-ER49)&gt;4.1,EP48*(1+Setup!HU5),EP48)))))))))),EZ48/'Quick Setup'!$E7)</f>
        <v>525</v>
      </c>
      <c r="EY48" s="36" t="s">
        <v>77</v>
      </c>
      <c r="EZ48" s="38"/>
      <c r="FA48" s="39"/>
      <c r="FB48" s="39"/>
      <c r="FC48" s="39"/>
      <c r="FD48" s="39"/>
      <c r="FE48" s="39"/>
      <c r="FF48" s="37">
        <f>if(FH48="", if(FB49="",EX48, if((FB49-FA49)&lt;-1.9,EX48*(1+Setup!HZ5),if((FB49-FA49)=-1,EX48*(1+Setup!IA5),if(FC49&lt;EZ49,EX48*(1+Setup!IA5),if(FC49=EZ49,EX48*(1+Setup!IB5),if((FC49-EZ49)=1,EX48*(1+Setup!IC5),if((FC49-EZ49)=2,EX48*(1+Setup!ID5),if((FC49-EZ49)=3,EX48*(1+Setup!IE5),if((FC49-EZ49)=4,EX48*(1+Setup!IF5),if((FC49-EZ49)&gt;4.1,EX48*(1+Setup!IG5),EX48)))))))))),FH48/'Quick Setup'!$E7)</f>
        <v>525</v>
      </c>
      <c r="FG48" s="36" t="s">
        <v>77</v>
      </c>
      <c r="FH48" s="38"/>
      <c r="FI48" s="39"/>
      <c r="FJ48" s="39"/>
      <c r="FK48" s="39"/>
      <c r="FL48" s="39"/>
      <c r="FM48" s="39"/>
    </row>
    <row r="49">
      <c r="A49" s="1" t="str">
        <f>Setup!A5</f>
        <v>Deadlift</v>
      </c>
      <c r="B49" s="40">
        <f>mround(B48*Setup!B5,'Quick Setup'!$A$2)</f>
        <v>367.5</v>
      </c>
      <c r="C49" s="2">
        <f>Setup!C5</f>
        <v>5</v>
      </c>
      <c r="D49" s="2">
        <f>Setup!D5</f>
        <v>3</v>
      </c>
      <c r="E49" s="2">
        <f>Setup!E5</f>
        <v>5</v>
      </c>
      <c r="F49" s="8"/>
      <c r="G49" s="8"/>
      <c r="H49" s="8"/>
      <c r="I49" s="8"/>
      <c r="J49" s="40">
        <f>mround(J48*Setup!N5,'Quick Setup'!$A$2)</f>
        <v>395</v>
      </c>
      <c r="K49" s="2">
        <f>Setup!O5</f>
        <v>4</v>
      </c>
      <c r="L49" s="2">
        <f>Setup!P5</f>
        <v>2</v>
      </c>
      <c r="M49" s="2">
        <f>Setup!Q5</f>
        <v>5</v>
      </c>
      <c r="N49" s="8"/>
      <c r="O49" s="8"/>
      <c r="P49" s="8"/>
      <c r="Q49" s="8"/>
      <c r="R49" s="40">
        <f>mround(R48*Setup!Z5,'Quick Setup'!$A$2)</f>
        <v>420</v>
      </c>
      <c r="S49" s="2">
        <f>Setup!AA5</f>
        <v>3</v>
      </c>
      <c r="T49" s="2">
        <f>Setup!AB5</f>
        <v>2</v>
      </c>
      <c r="U49" s="2">
        <f>Setup!AC5</f>
        <v>5</v>
      </c>
      <c r="V49" s="8"/>
      <c r="W49" s="8"/>
      <c r="X49" s="8"/>
      <c r="Y49" s="8"/>
      <c r="Z49" s="40">
        <f>mround(Z48*Setup!AL5,'Quick Setup'!$A$2)</f>
        <v>380</v>
      </c>
      <c r="AA49" s="2">
        <f>Setup!AM5</f>
        <v>5</v>
      </c>
      <c r="AB49" s="2">
        <f>Setup!AN5</f>
        <v>3</v>
      </c>
      <c r="AC49" s="2">
        <f>Setup!AO5</f>
        <v>5</v>
      </c>
      <c r="AD49" s="8"/>
      <c r="AE49" s="8"/>
      <c r="AF49" s="8"/>
      <c r="AG49" s="8"/>
      <c r="AH49" s="40">
        <f>mround(AH48*Setup!AX5,'Quick Setup'!$A$2)</f>
        <v>407.5</v>
      </c>
      <c r="AI49" s="2">
        <f>Setup!AY5</f>
        <v>4</v>
      </c>
      <c r="AJ49" s="2">
        <f>Setup!AZ5</f>
        <v>2</v>
      </c>
      <c r="AK49" s="2">
        <f>Setup!BA5</f>
        <v>5</v>
      </c>
      <c r="AL49" s="8"/>
      <c r="AM49" s="8"/>
      <c r="AN49" s="8"/>
      <c r="AO49" s="8"/>
      <c r="AP49" s="40">
        <f>mround(AP48*Setup!BJ5,'Quick Setup'!$A$2)</f>
        <v>432.5</v>
      </c>
      <c r="AQ49" s="2">
        <f>Setup!BK5</f>
        <v>3</v>
      </c>
      <c r="AR49" s="2">
        <f>Setup!BL5</f>
        <v>2</v>
      </c>
      <c r="AS49" s="2">
        <f>Setup!BM5</f>
        <v>5</v>
      </c>
      <c r="AT49" s="8"/>
      <c r="AU49" s="8"/>
      <c r="AV49" s="8"/>
      <c r="AW49" s="8"/>
      <c r="AX49" s="40">
        <f>mround(AX48*Setup!BV5,'Quick Setup'!$A$2)</f>
        <v>315</v>
      </c>
      <c r="AY49" s="1">
        <v>5.0</v>
      </c>
      <c r="AZ49" s="1" t="s">
        <v>80</v>
      </c>
      <c r="BA49" s="2">
        <f>Setup!BY5</f>
        <v>5</v>
      </c>
      <c r="BB49" s="8"/>
      <c r="BC49" s="8"/>
      <c r="BD49" s="8"/>
      <c r="BE49" s="8"/>
      <c r="BF49" s="40">
        <f>mround(BF48*Setup!CH5,'Quick Setup'!$A$2)</f>
        <v>395</v>
      </c>
      <c r="BG49" s="2">
        <f>Setup!CI5</f>
        <v>4</v>
      </c>
      <c r="BH49" s="2">
        <f>Setup!CJ5</f>
        <v>2</v>
      </c>
      <c r="BI49" s="2">
        <f>Setup!CK5</f>
        <v>5</v>
      </c>
      <c r="BJ49" s="8"/>
      <c r="BK49" s="8"/>
      <c r="BL49" s="8"/>
      <c r="BM49" s="8"/>
      <c r="BN49" s="40">
        <f>mround(BN48*Setup!CT5,'Quick Setup'!$A$2)</f>
        <v>420</v>
      </c>
      <c r="BO49" s="2">
        <f>Setup!CU5</f>
        <v>3</v>
      </c>
      <c r="BP49" s="2">
        <f>Setup!CV5</f>
        <v>2</v>
      </c>
      <c r="BQ49" s="2">
        <f>Setup!CW5</f>
        <v>5</v>
      </c>
      <c r="BR49" s="8"/>
      <c r="BS49" s="8"/>
      <c r="BT49" s="8"/>
      <c r="BU49" s="8"/>
      <c r="BV49" s="40">
        <f>mround(BV48*Setup!DF5,'Quick Setup'!$A$2)</f>
        <v>447.5</v>
      </c>
      <c r="BW49" s="2">
        <f>Setup!DG5</f>
        <v>2</v>
      </c>
      <c r="BX49" s="2">
        <f>Setup!DH5</f>
        <v>1</v>
      </c>
      <c r="BY49" s="2">
        <f>Setup!DI5</f>
        <v>5</v>
      </c>
      <c r="BZ49" s="8"/>
      <c r="CA49" s="8"/>
      <c r="CB49" s="8"/>
      <c r="CC49" s="8"/>
      <c r="CD49" s="40">
        <f>mround(CD48*Setup!DR5,'Quick Setup'!$A$2)</f>
        <v>407.5</v>
      </c>
      <c r="CE49" s="2">
        <f>Setup!DS5</f>
        <v>4</v>
      </c>
      <c r="CF49" s="2">
        <f>Setup!DT5</f>
        <v>2</v>
      </c>
      <c r="CG49" s="2">
        <f>Setup!DU5</f>
        <v>5</v>
      </c>
      <c r="CH49" s="8"/>
      <c r="CI49" s="8"/>
      <c r="CJ49" s="8"/>
      <c r="CK49" s="8"/>
      <c r="CL49" s="40">
        <f>mround(CL48*Setup!ED5,'Quick Setup'!$A$2)</f>
        <v>432.5</v>
      </c>
      <c r="CM49" s="2">
        <f>Setup!EE5</f>
        <v>3</v>
      </c>
      <c r="CN49" s="2">
        <f>Setup!EF5</f>
        <v>2</v>
      </c>
      <c r="CO49" s="2">
        <f>Setup!EG5</f>
        <v>5</v>
      </c>
      <c r="CP49" s="8"/>
      <c r="CQ49" s="8"/>
      <c r="CR49" s="8"/>
      <c r="CS49" s="8"/>
      <c r="CT49" s="40">
        <f>mround(CT48*Setup!EP5,'Quick Setup'!$A$2)</f>
        <v>460</v>
      </c>
      <c r="CU49" s="2">
        <f>Setup!EQ5</f>
        <v>2</v>
      </c>
      <c r="CV49" s="2">
        <f>Setup!ER5</f>
        <v>1</v>
      </c>
      <c r="CW49" s="2">
        <f>Setup!ES5</f>
        <v>5</v>
      </c>
      <c r="CX49" s="8"/>
      <c r="CY49" s="8"/>
      <c r="CZ49" s="8"/>
      <c r="DA49" s="8"/>
      <c r="DB49" s="40">
        <f>mround(DB48*Setup!FB5,'Quick Setup'!$A$2)</f>
        <v>315</v>
      </c>
      <c r="DC49" s="1">
        <v>5.0</v>
      </c>
      <c r="DD49" s="1" t="s">
        <v>80</v>
      </c>
      <c r="DE49" s="2">
        <f>Setup!FE5</f>
        <v>5</v>
      </c>
      <c r="DF49" s="8"/>
      <c r="DG49" s="8"/>
      <c r="DH49" s="8"/>
      <c r="DI49" s="8"/>
      <c r="DJ49" s="40">
        <f>mround(DJ48*Setup!FN5,'Quick Setup'!$A$2)</f>
        <v>420</v>
      </c>
      <c r="DK49" s="2">
        <f>Setup!FO5</f>
        <v>3</v>
      </c>
      <c r="DL49" s="2">
        <f>Setup!FP5</f>
        <v>2</v>
      </c>
      <c r="DM49" s="2">
        <f>Setup!FQ5</f>
        <v>5</v>
      </c>
      <c r="DN49" s="8"/>
      <c r="DO49" s="8"/>
      <c r="DP49" s="8"/>
      <c r="DQ49" s="8"/>
      <c r="DR49" s="40">
        <f>mround(DR48*Setup!FZ5,'Quick Setup'!$A$2)</f>
        <v>447.5</v>
      </c>
      <c r="DS49" s="2">
        <f>Setup!GA5</f>
        <v>2</v>
      </c>
      <c r="DT49" s="2">
        <f>Setup!GB5</f>
        <v>1</v>
      </c>
      <c r="DU49" s="2">
        <f>Setup!GC5</f>
        <v>5</v>
      </c>
      <c r="DV49" s="8"/>
      <c r="DW49" s="8"/>
      <c r="DX49" s="8"/>
      <c r="DY49" s="8"/>
      <c r="DZ49" s="40">
        <f>mround(DZ48*Setup!GL5,'Quick Setup'!$A$2)</f>
        <v>472.5</v>
      </c>
      <c r="EA49" s="2">
        <f>Setup!GM5</f>
        <v>1</v>
      </c>
      <c r="EB49" s="2">
        <f>Setup!GN5</f>
        <v>1</v>
      </c>
      <c r="EC49" s="2">
        <f>Setup!GO5</f>
        <v>5</v>
      </c>
      <c r="ED49" s="8"/>
      <c r="EE49" s="8"/>
      <c r="EF49" s="8"/>
      <c r="EG49" s="8"/>
      <c r="EH49" s="40">
        <f>mround(EH48*Setup!GX5,'Quick Setup'!$A$2)</f>
        <v>447.5</v>
      </c>
      <c r="EI49" s="2">
        <f>Setup!GY5</f>
        <v>2</v>
      </c>
      <c r="EJ49" s="2">
        <f>Setup!GZ5</f>
        <v>1</v>
      </c>
      <c r="EK49" s="2">
        <f>Setup!HA5</f>
        <v>5</v>
      </c>
      <c r="EL49" s="8"/>
      <c r="EM49" s="8"/>
      <c r="EN49" s="8"/>
      <c r="EO49" s="8"/>
      <c r="EP49" s="40">
        <f>mround(EP48*Setup!HJ5,'Quick Setup'!$A$2)</f>
        <v>472.5</v>
      </c>
      <c r="EQ49" s="2">
        <f>Setup!HK5</f>
        <v>1</v>
      </c>
      <c r="ER49" s="2">
        <f>Setup!HL5</f>
        <v>1</v>
      </c>
      <c r="ES49" s="2">
        <f>Setup!HM5</f>
        <v>5</v>
      </c>
      <c r="ET49" s="8"/>
      <c r="EU49" s="8"/>
      <c r="EV49" s="8"/>
      <c r="EW49" s="8"/>
      <c r="EX49" s="40">
        <f>mround(EX48*Setup!HV5,'Quick Setup'!$A$2)</f>
        <v>500</v>
      </c>
      <c r="EY49" s="2">
        <f>Setup!HW5</f>
        <v>1</v>
      </c>
      <c r="EZ49" s="2">
        <f>Setup!HX5</f>
        <v>1</v>
      </c>
      <c r="FA49" s="2">
        <f>Setup!HY5</f>
        <v>5</v>
      </c>
      <c r="FB49" s="8"/>
      <c r="FC49" s="8"/>
      <c r="FD49" s="8"/>
      <c r="FE49" s="8"/>
      <c r="FF49" s="40">
        <f>mround(FF48*Setup!IH5,'Quick Setup'!$A$2)</f>
        <v>315</v>
      </c>
      <c r="FG49" s="1">
        <v>5.0</v>
      </c>
      <c r="FH49" s="1" t="s">
        <v>80</v>
      </c>
      <c r="FI49" s="2">
        <f>Setup!IK5</f>
        <v>5</v>
      </c>
      <c r="FJ49" s="8"/>
      <c r="FK49" s="8"/>
      <c r="FL49" s="8"/>
      <c r="FM49" s="8"/>
    </row>
    <row r="50">
      <c r="A50" s="5"/>
      <c r="B50" s="41"/>
      <c r="C50" s="8"/>
      <c r="D50" s="8"/>
      <c r="E50" s="8"/>
      <c r="F50" s="8"/>
      <c r="G50" s="8"/>
      <c r="H50" s="8"/>
      <c r="I50" s="8"/>
      <c r="J50" s="41" t="str">
        <f t="shared" ref="J50:O50" si="321">B50</f>
        <v/>
      </c>
      <c r="K50" s="8" t="str">
        <f t="shared" si="321"/>
        <v/>
      </c>
      <c r="L50" s="8" t="str">
        <f t="shared" si="321"/>
        <v/>
      </c>
      <c r="M50" s="8" t="str">
        <f t="shared" si="321"/>
        <v/>
      </c>
      <c r="N50" s="8" t="str">
        <f t="shared" si="321"/>
        <v/>
      </c>
      <c r="O50" s="8" t="str">
        <f t="shared" si="321"/>
        <v/>
      </c>
      <c r="P50" s="8"/>
      <c r="Q50" s="8"/>
      <c r="R50" s="41" t="str">
        <f t="shared" ref="R50:W50" si="322">J50</f>
        <v/>
      </c>
      <c r="S50" s="8" t="str">
        <f t="shared" si="322"/>
        <v/>
      </c>
      <c r="T50" s="8" t="str">
        <f t="shared" si="322"/>
        <v/>
      </c>
      <c r="U50" s="8" t="str">
        <f t="shared" si="322"/>
        <v/>
      </c>
      <c r="V50" s="8" t="str">
        <f t="shared" si="322"/>
        <v/>
      </c>
      <c r="W50" s="8" t="str">
        <f t="shared" si="322"/>
        <v/>
      </c>
      <c r="X50" s="8"/>
      <c r="Y50" s="8"/>
      <c r="Z50" s="41" t="str">
        <f t="shared" ref="Z50:AE50" si="323">R50</f>
        <v/>
      </c>
      <c r="AA50" s="8" t="str">
        <f t="shared" si="323"/>
        <v/>
      </c>
      <c r="AB50" s="8" t="str">
        <f t="shared" si="323"/>
        <v/>
      </c>
      <c r="AC50" s="8" t="str">
        <f t="shared" si="323"/>
        <v/>
      </c>
      <c r="AD50" s="8" t="str">
        <f t="shared" si="323"/>
        <v/>
      </c>
      <c r="AE50" s="8" t="str">
        <f t="shared" si="323"/>
        <v/>
      </c>
      <c r="AF50" s="8"/>
      <c r="AG50" s="8"/>
      <c r="AH50" s="41" t="str">
        <f t="shared" ref="AH50:AM50" si="324">Z50</f>
        <v/>
      </c>
      <c r="AI50" s="8" t="str">
        <f t="shared" si="324"/>
        <v/>
      </c>
      <c r="AJ50" s="8" t="str">
        <f t="shared" si="324"/>
        <v/>
      </c>
      <c r="AK50" s="8" t="str">
        <f t="shared" si="324"/>
        <v/>
      </c>
      <c r="AL50" s="8" t="str">
        <f t="shared" si="324"/>
        <v/>
      </c>
      <c r="AM50" s="8" t="str">
        <f t="shared" si="324"/>
        <v/>
      </c>
      <c r="AN50" s="8"/>
      <c r="AO50" s="8"/>
      <c r="AP50" s="41" t="str">
        <f t="shared" ref="AP50:AU50" si="325">AH50</f>
        <v/>
      </c>
      <c r="AQ50" s="8" t="str">
        <f t="shared" si="325"/>
        <v/>
      </c>
      <c r="AR50" s="8" t="str">
        <f t="shared" si="325"/>
        <v/>
      </c>
      <c r="AS50" s="8" t="str">
        <f t="shared" si="325"/>
        <v/>
      </c>
      <c r="AT50" s="8" t="str">
        <f t="shared" si="325"/>
        <v/>
      </c>
      <c r="AU50" s="8" t="str">
        <f t="shared" si="325"/>
        <v/>
      </c>
      <c r="AV50" s="8"/>
      <c r="AW50" s="8"/>
      <c r="AX50" s="41" t="str">
        <f t="shared" ref="AX50:BC50" si="326">AP50</f>
        <v/>
      </c>
      <c r="AY50" s="8" t="str">
        <f t="shared" si="326"/>
        <v/>
      </c>
      <c r="AZ50" s="8" t="str">
        <f t="shared" si="326"/>
        <v/>
      </c>
      <c r="BA50" s="8" t="str">
        <f t="shared" si="326"/>
        <v/>
      </c>
      <c r="BB50" s="8" t="str">
        <f t="shared" si="326"/>
        <v/>
      </c>
      <c r="BC50" s="8" t="str">
        <f t="shared" si="326"/>
        <v/>
      </c>
      <c r="BD50" s="8"/>
      <c r="BE50" s="8"/>
      <c r="BF50" s="41" t="str">
        <f t="shared" ref="BF50:BK50" si="327">AX50</f>
        <v/>
      </c>
      <c r="BG50" s="8" t="str">
        <f t="shared" si="327"/>
        <v/>
      </c>
      <c r="BH50" s="8" t="str">
        <f t="shared" si="327"/>
        <v/>
      </c>
      <c r="BI50" s="8" t="str">
        <f t="shared" si="327"/>
        <v/>
      </c>
      <c r="BJ50" s="8" t="str">
        <f t="shared" si="327"/>
        <v/>
      </c>
      <c r="BK50" s="8" t="str">
        <f t="shared" si="327"/>
        <v/>
      </c>
      <c r="BL50" s="8"/>
      <c r="BM50" s="8"/>
      <c r="BN50" s="41" t="str">
        <f t="shared" ref="BN50:BS50" si="328">BF50</f>
        <v/>
      </c>
      <c r="BO50" s="8" t="str">
        <f t="shared" si="328"/>
        <v/>
      </c>
      <c r="BP50" s="8" t="str">
        <f t="shared" si="328"/>
        <v/>
      </c>
      <c r="BQ50" s="8" t="str">
        <f t="shared" si="328"/>
        <v/>
      </c>
      <c r="BR50" s="8" t="str">
        <f t="shared" si="328"/>
        <v/>
      </c>
      <c r="BS50" s="8" t="str">
        <f t="shared" si="328"/>
        <v/>
      </c>
      <c r="BT50" s="8"/>
      <c r="BU50" s="8"/>
      <c r="BV50" s="41" t="str">
        <f t="shared" ref="BV50:CA50" si="329">BN50</f>
        <v/>
      </c>
      <c r="BW50" s="8" t="str">
        <f t="shared" si="329"/>
        <v/>
      </c>
      <c r="BX50" s="8" t="str">
        <f t="shared" si="329"/>
        <v/>
      </c>
      <c r="BY50" s="8" t="str">
        <f t="shared" si="329"/>
        <v/>
      </c>
      <c r="BZ50" s="8" t="str">
        <f t="shared" si="329"/>
        <v/>
      </c>
      <c r="CA50" s="8" t="str">
        <f t="shared" si="329"/>
        <v/>
      </c>
      <c r="CB50" s="8"/>
      <c r="CC50" s="8"/>
      <c r="CD50" s="41" t="str">
        <f t="shared" ref="CD50:CI50" si="330">BV50</f>
        <v/>
      </c>
      <c r="CE50" s="8" t="str">
        <f t="shared" si="330"/>
        <v/>
      </c>
      <c r="CF50" s="8" t="str">
        <f t="shared" si="330"/>
        <v/>
      </c>
      <c r="CG50" s="8" t="str">
        <f t="shared" si="330"/>
        <v/>
      </c>
      <c r="CH50" s="8" t="str">
        <f t="shared" si="330"/>
        <v/>
      </c>
      <c r="CI50" s="8" t="str">
        <f t="shared" si="330"/>
        <v/>
      </c>
      <c r="CJ50" s="8"/>
      <c r="CK50" s="8"/>
      <c r="CL50" s="41" t="str">
        <f t="shared" ref="CL50:CQ50" si="331">CD50</f>
        <v/>
      </c>
      <c r="CM50" s="8" t="str">
        <f t="shared" si="331"/>
        <v/>
      </c>
      <c r="CN50" s="8" t="str">
        <f t="shared" si="331"/>
        <v/>
      </c>
      <c r="CO50" s="8" t="str">
        <f t="shared" si="331"/>
        <v/>
      </c>
      <c r="CP50" s="8" t="str">
        <f t="shared" si="331"/>
        <v/>
      </c>
      <c r="CQ50" s="8" t="str">
        <f t="shared" si="331"/>
        <v/>
      </c>
      <c r="CR50" s="8"/>
      <c r="CS50" s="8"/>
      <c r="CT50" s="41" t="str">
        <f t="shared" ref="CT50:CY50" si="332">CL50</f>
        <v/>
      </c>
      <c r="CU50" s="8" t="str">
        <f t="shared" si="332"/>
        <v/>
      </c>
      <c r="CV50" s="8" t="str">
        <f t="shared" si="332"/>
        <v/>
      </c>
      <c r="CW50" s="8" t="str">
        <f t="shared" si="332"/>
        <v/>
      </c>
      <c r="CX50" s="8" t="str">
        <f t="shared" si="332"/>
        <v/>
      </c>
      <c r="CY50" s="8" t="str">
        <f t="shared" si="332"/>
        <v/>
      </c>
      <c r="CZ50" s="8"/>
      <c r="DA50" s="8"/>
      <c r="DB50" s="41" t="str">
        <f t="shared" ref="DB50:DG50" si="333">CT50</f>
        <v/>
      </c>
      <c r="DC50" s="8" t="str">
        <f t="shared" si="333"/>
        <v/>
      </c>
      <c r="DD50" s="8" t="str">
        <f t="shared" si="333"/>
        <v/>
      </c>
      <c r="DE50" s="8" t="str">
        <f t="shared" si="333"/>
        <v/>
      </c>
      <c r="DF50" s="8" t="str">
        <f t="shared" si="333"/>
        <v/>
      </c>
      <c r="DG50" s="8" t="str">
        <f t="shared" si="333"/>
        <v/>
      </c>
      <c r="DH50" s="8"/>
      <c r="DI50" s="8"/>
      <c r="DJ50" s="41" t="str">
        <f t="shared" ref="DJ50:DO50" si="334">DB50</f>
        <v/>
      </c>
      <c r="DK50" s="8" t="str">
        <f t="shared" si="334"/>
        <v/>
      </c>
      <c r="DL50" s="8" t="str">
        <f t="shared" si="334"/>
        <v/>
      </c>
      <c r="DM50" s="8" t="str">
        <f t="shared" si="334"/>
        <v/>
      </c>
      <c r="DN50" s="8" t="str">
        <f t="shared" si="334"/>
        <v/>
      </c>
      <c r="DO50" s="8" t="str">
        <f t="shared" si="334"/>
        <v/>
      </c>
      <c r="DP50" s="8"/>
      <c r="DQ50" s="8"/>
      <c r="DR50" s="41" t="str">
        <f t="shared" ref="DR50:DW50" si="335">DJ50</f>
        <v/>
      </c>
      <c r="DS50" s="8" t="str">
        <f t="shared" si="335"/>
        <v/>
      </c>
      <c r="DT50" s="8" t="str">
        <f t="shared" si="335"/>
        <v/>
      </c>
      <c r="DU50" s="8" t="str">
        <f t="shared" si="335"/>
        <v/>
      </c>
      <c r="DV50" s="8" t="str">
        <f t="shared" si="335"/>
        <v/>
      </c>
      <c r="DW50" s="8" t="str">
        <f t="shared" si="335"/>
        <v/>
      </c>
      <c r="DX50" s="8"/>
      <c r="DY50" s="8"/>
      <c r="DZ50" s="41" t="str">
        <f t="shared" ref="DZ50:EE50" si="336">DR50</f>
        <v/>
      </c>
      <c r="EA50" s="8" t="str">
        <f t="shared" si="336"/>
        <v/>
      </c>
      <c r="EB50" s="8" t="str">
        <f t="shared" si="336"/>
        <v/>
      </c>
      <c r="EC50" s="8" t="str">
        <f t="shared" si="336"/>
        <v/>
      </c>
      <c r="ED50" s="8" t="str">
        <f t="shared" si="336"/>
        <v/>
      </c>
      <c r="EE50" s="8" t="str">
        <f t="shared" si="336"/>
        <v/>
      </c>
      <c r="EF50" s="8"/>
      <c r="EG50" s="8"/>
      <c r="EH50" s="41" t="str">
        <f t="shared" ref="EH50:EM50" si="337">DZ50</f>
        <v/>
      </c>
      <c r="EI50" s="8" t="str">
        <f t="shared" si="337"/>
        <v/>
      </c>
      <c r="EJ50" s="8" t="str">
        <f t="shared" si="337"/>
        <v/>
      </c>
      <c r="EK50" s="8" t="str">
        <f t="shared" si="337"/>
        <v/>
      </c>
      <c r="EL50" s="8" t="str">
        <f t="shared" si="337"/>
        <v/>
      </c>
      <c r="EM50" s="8" t="str">
        <f t="shared" si="337"/>
        <v/>
      </c>
      <c r="EN50" s="8"/>
      <c r="EO50" s="8"/>
      <c r="EP50" s="41" t="str">
        <f t="shared" ref="EP50:EU50" si="338">EH50</f>
        <v/>
      </c>
      <c r="EQ50" s="8" t="str">
        <f t="shared" si="338"/>
        <v/>
      </c>
      <c r="ER50" s="8" t="str">
        <f t="shared" si="338"/>
        <v/>
      </c>
      <c r="ES50" s="8" t="str">
        <f t="shared" si="338"/>
        <v/>
      </c>
      <c r="ET50" s="8" t="str">
        <f t="shared" si="338"/>
        <v/>
      </c>
      <c r="EU50" s="8" t="str">
        <f t="shared" si="338"/>
        <v/>
      </c>
      <c r="EV50" s="8"/>
      <c r="EW50" s="8"/>
      <c r="EX50" s="41" t="str">
        <f t="shared" ref="EX50:FC50" si="339">EP50</f>
        <v/>
      </c>
      <c r="EY50" s="8" t="str">
        <f t="shared" si="339"/>
        <v/>
      </c>
      <c r="EZ50" s="8" t="str">
        <f t="shared" si="339"/>
        <v/>
      </c>
      <c r="FA50" s="8" t="str">
        <f t="shared" si="339"/>
        <v/>
      </c>
      <c r="FB50" s="8" t="str">
        <f t="shared" si="339"/>
        <v/>
      </c>
      <c r="FC50" s="8" t="str">
        <f t="shared" si="339"/>
        <v/>
      </c>
      <c r="FD50" s="8"/>
      <c r="FE50" s="8"/>
      <c r="FF50" s="41" t="str">
        <f t="shared" ref="FF50:FK50" si="340">EX50</f>
        <v/>
      </c>
      <c r="FG50" s="8" t="str">
        <f t="shared" si="340"/>
        <v/>
      </c>
      <c r="FH50" s="8" t="str">
        <f t="shared" si="340"/>
        <v/>
      </c>
      <c r="FI50" s="8" t="str">
        <f t="shared" si="340"/>
        <v/>
      </c>
      <c r="FJ50" s="8" t="str">
        <f t="shared" si="340"/>
        <v/>
      </c>
      <c r="FK50" s="8" t="str">
        <f t="shared" si="340"/>
        <v/>
      </c>
      <c r="FL50" s="8"/>
      <c r="FM50" s="8"/>
    </row>
    <row r="51">
      <c r="A51" s="1" t="s">
        <v>81</v>
      </c>
      <c r="B51" s="40"/>
      <c r="C51" s="2"/>
      <c r="D51" s="2"/>
      <c r="E51" s="2"/>
      <c r="F51" s="2"/>
      <c r="G51" s="2"/>
      <c r="H51" s="2"/>
      <c r="I51" s="2"/>
      <c r="J51" s="40"/>
      <c r="K51" s="2"/>
      <c r="L51" s="2"/>
      <c r="M51" s="2"/>
      <c r="N51" s="2"/>
      <c r="O51" s="2"/>
      <c r="P51" s="2"/>
      <c r="Q51" s="2"/>
      <c r="R51" s="40"/>
      <c r="S51" s="2"/>
      <c r="T51" s="2"/>
      <c r="U51" s="2"/>
      <c r="V51" s="2"/>
      <c r="W51" s="2"/>
      <c r="X51" s="2"/>
      <c r="Y51" s="2"/>
      <c r="Z51" s="40"/>
      <c r="AA51" s="2"/>
      <c r="AB51" s="2"/>
      <c r="AC51" s="2"/>
      <c r="AD51" s="2"/>
      <c r="AE51" s="2"/>
      <c r="AF51" s="2"/>
      <c r="AG51" s="2"/>
      <c r="AH51" s="40"/>
      <c r="AI51" s="2"/>
      <c r="AJ51" s="2"/>
      <c r="AK51" s="2"/>
      <c r="AL51" s="2"/>
      <c r="AM51" s="2"/>
      <c r="AN51" s="2"/>
      <c r="AO51" s="2"/>
      <c r="AP51" s="40"/>
      <c r="AQ51" s="2"/>
      <c r="AR51" s="2"/>
      <c r="AS51" s="2"/>
      <c r="AT51" s="2"/>
      <c r="AU51" s="2"/>
      <c r="AV51" s="2"/>
      <c r="AW51" s="2"/>
      <c r="AX51" s="40"/>
      <c r="AY51" s="2"/>
      <c r="AZ51" s="2"/>
      <c r="BA51" s="2"/>
      <c r="BB51" s="2"/>
      <c r="BC51" s="2"/>
      <c r="BD51" s="2"/>
      <c r="BE51" s="2"/>
      <c r="BF51" s="40"/>
      <c r="BG51" s="2"/>
      <c r="BH51" s="2"/>
      <c r="BI51" s="2"/>
      <c r="BJ51" s="2"/>
      <c r="BK51" s="2"/>
      <c r="BL51" s="2"/>
      <c r="BM51" s="2"/>
      <c r="BN51" s="40"/>
      <c r="BO51" s="2"/>
      <c r="BP51" s="2"/>
      <c r="BQ51" s="2"/>
      <c r="BR51" s="2"/>
      <c r="BS51" s="2"/>
      <c r="BT51" s="2"/>
      <c r="BU51" s="2"/>
      <c r="BV51" s="40"/>
      <c r="BW51" s="2"/>
      <c r="BX51" s="2"/>
      <c r="BY51" s="2"/>
      <c r="BZ51" s="2"/>
      <c r="CA51" s="2"/>
      <c r="CB51" s="2"/>
      <c r="CC51" s="2"/>
      <c r="CD51" s="40"/>
      <c r="CE51" s="2"/>
      <c r="CF51" s="2"/>
      <c r="CG51" s="2"/>
      <c r="CH51" s="2"/>
      <c r="CI51" s="2"/>
      <c r="CJ51" s="2"/>
      <c r="CK51" s="2"/>
      <c r="CL51" s="40"/>
      <c r="CM51" s="2"/>
      <c r="CN51" s="2"/>
      <c r="CO51" s="2"/>
      <c r="CP51" s="2"/>
      <c r="CQ51" s="2"/>
      <c r="CR51" s="2"/>
      <c r="CS51" s="2"/>
      <c r="CT51" s="40"/>
      <c r="CU51" s="2"/>
      <c r="CV51" s="2"/>
      <c r="CW51" s="2"/>
      <c r="CX51" s="2"/>
      <c r="CY51" s="2"/>
      <c r="CZ51" s="2"/>
      <c r="DA51" s="2"/>
      <c r="DB51" s="40"/>
      <c r="DC51" s="2"/>
      <c r="DD51" s="2"/>
      <c r="DE51" s="2"/>
      <c r="DF51" s="2"/>
      <c r="DG51" s="2"/>
      <c r="DH51" s="2"/>
      <c r="DI51" s="2"/>
      <c r="DJ51" s="40"/>
      <c r="DK51" s="2"/>
      <c r="DL51" s="2"/>
      <c r="DM51" s="2"/>
      <c r="DN51" s="2"/>
      <c r="DO51" s="2"/>
      <c r="DP51" s="2"/>
      <c r="DQ51" s="2"/>
      <c r="DR51" s="40"/>
      <c r="DS51" s="2"/>
      <c r="DT51" s="2"/>
      <c r="DU51" s="2"/>
      <c r="DV51" s="2"/>
      <c r="DW51" s="2"/>
      <c r="DX51" s="2"/>
      <c r="DY51" s="2"/>
      <c r="DZ51" s="40"/>
      <c r="EA51" s="2"/>
      <c r="EB51" s="2"/>
      <c r="EC51" s="2"/>
      <c r="ED51" s="2"/>
      <c r="EE51" s="2"/>
      <c r="EF51" s="2"/>
      <c r="EG51" s="2"/>
      <c r="EH51" s="40"/>
      <c r="EI51" s="2"/>
      <c r="EJ51" s="2"/>
      <c r="EK51" s="2"/>
      <c r="EL51" s="2"/>
      <c r="EM51" s="2"/>
      <c r="EN51" s="2"/>
      <c r="EO51" s="2"/>
      <c r="EP51" s="40"/>
      <c r="EQ51" s="2"/>
      <c r="ER51" s="2"/>
      <c r="ES51" s="2"/>
      <c r="ET51" s="2"/>
      <c r="EU51" s="2"/>
      <c r="EV51" s="2"/>
      <c r="EW51" s="2"/>
      <c r="EX51" s="40"/>
      <c r="EY51" s="2"/>
      <c r="EZ51" s="2"/>
      <c r="FA51" s="2"/>
      <c r="FB51" s="2"/>
      <c r="FC51" s="2"/>
      <c r="FD51" s="2"/>
      <c r="FE51" s="2"/>
      <c r="FF51" s="40"/>
      <c r="FG51" s="2"/>
      <c r="FH51" s="2"/>
      <c r="FI51" s="2"/>
      <c r="FJ51" s="2"/>
      <c r="FK51" s="2"/>
      <c r="FL51" s="2"/>
      <c r="FM51" s="2"/>
    </row>
    <row r="52">
      <c r="A52" s="42"/>
      <c r="B52" s="41"/>
      <c r="C52" s="8"/>
      <c r="D52" s="8"/>
      <c r="E52" s="8"/>
      <c r="F52" s="8"/>
      <c r="G52" s="8"/>
      <c r="H52" s="8"/>
      <c r="I52" s="8"/>
      <c r="J52" s="41" t="str">
        <f t="shared" ref="J52:O52" si="341">B52</f>
        <v/>
      </c>
      <c r="K52" s="8" t="str">
        <f t="shared" si="341"/>
        <v/>
      </c>
      <c r="L52" s="8" t="str">
        <f t="shared" si="341"/>
        <v/>
      </c>
      <c r="M52" s="8" t="str">
        <f t="shared" si="341"/>
        <v/>
      </c>
      <c r="N52" s="8" t="str">
        <f t="shared" si="341"/>
        <v/>
      </c>
      <c r="O52" s="8" t="str">
        <f t="shared" si="341"/>
        <v/>
      </c>
      <c r="P52" s="8"/>
      <c r="Q52" s="8"/>
      <c r="R52" s="41" t="str">
        <f t="shared" ref="R52:W52" si="342">J52</f>
        <v/>
      </c>
      <c r="S52" s="8" t="str">
        <f t="shared" si="342"/>
        <v/>
      </c>
      <c r="T52" s="8" t="str">
        <f t="shared" si="342"/>
        <v/>
      </c>
      <c r="U52" s="8" t="str">
        <f t="shared" si="342"/>
        <v/>
      </c>
      <c r="V52" s="8" t="str">
        <f t="shared" si="342"/>
        <v/>
      </c>
      <c r="W52" s="8" t="str">
        <f t="shared" si="342"/>
        <v/>
      </c>
      <c r="X52" s="8"/>
      <c r="Y52" s="8"/>
      <c r="Z52" s="41" t="str">
        <f t="shared" ref="Z52:AE52" si="343">R52</f>
        <v/>
      </c>
      <c r="AA52" s="8" t="str">
        <f t="shared" si="343"/>
        <v/>
      </c>
      <c r="AB52" s="8" t="str">
        <f t="shared" si="343"/>
        <v/>
      </c>
      <c r="AC52" s="8" t="str">
        <f t="shared" si="343"/>
        <v/>
      </c>
      <c r="AD52" s="8" t="str">
        <f t="shared" si="343"/>
        <v/>
      </c>
      <c r="AE52" s="8" t="str">
        <f t="shared" si="343"/>
        <v/>
      </c>
      <c r="AF52" s="8"/>
      <c r="AG52" s="8"/>
      <c r="AH52" s="41" t="str">
        <f t="shared" ref="AH52:AM52" si="344">Z52</f>
        <v/>
      </c>
      <c r="AI52" s="8" t="str">
        <f t="shared" si="344"/>
        <v/>
      </c>
      <c r="AJ52" s="8" t="str">
        <f t="shared" si="344"/>
        <v/>
      </c>
      <c r="AK52" s="8" t="str">
        <f t="shared" si="344"/>
        <v/>
      </c>
      <c r="AL52" s="8" t="str">
        <f t="shared" si="344"/>
        <v/>
      </c>
      <c r="AM52" s="8" t="str">
        <f t="shared" si="344"/>
        <v/>
      </c>
      <c r="AN52" s="8"/>
      <c r="AO52" s="8"/>
      <c r="AP52" s="41" t="str">
        <f t="shared" ref="AP52:AU52" si="345">AH52</f>
        <v/>
      </c>
      <c r="AQ52" s="8" t="str">
        <f t="shared" si="345"/>
        <v/>
      </c>
      <c r="AR52" s="8" t="str">
        <f t="shared" si="345"/>
        <v/>
      </c>
      <c r="AS52" s="8" t="str">
        <f t="shared" si="345"/>
        <v/>
      </c>
      <c r="AT52" s="8" t="str">
        <f t="shared" si="345"/>
        <v/>
      </c>
      <c r="AU52" s="8" t="str">
        <f t="shared" si="345"/>
        <v/>
      </c>
      <c r="AV52" s="8"/>
      <c r="AW52" s="8"/>
      <c r="AX52" s="41" t="str">
        <f t="shared" ref="AX52:BC52" si="346">AP52</f>
        <v/>
      </c>
      <c r="AY52" s="8" t="str">
        <f t="shared" si="346"/>
        <v/>
      </c>
      <c r="AZ52" s="8" t="str">
        <f t="shared" si="346"/>
        <v/>
      </c>
      <c r="BA52" s="8" t="str">
        <f t="shared" si="346"/>
        <v/>
      </c>
      <c r="BB52" s="8" t="str">
        <f t="shared" si="346"/>
        <v/>
      </c>
      <c r="BC52" s="8" t="str">
        <f t="shared" si="346"/>
        <v/>
      </c>
      <c r="BD52" s="8"/>
      <c r="BE52" s="8"/>
      <c r="BF52" s="41" t="str">
        <f t="shared" ref="BF52:BK52" si="347">AX52</f>
        <v/>
      </c>
      <c r="BG52" s="8" t="str">
        <f t="shared" si="347"/>
        <v/>
      </c>
      <c r="BH52" s="8" t="str">
        <f t="shared" si="347"/>
        <v/>
      </c>
      <c r="BI52" s="8" t="str">
        <f t="shared" si="347"/>
        <v/>
      </c>
      <c r="BJ52" s="8" t="str">
        <f t="shared" si="347"/>
        <v/>
      </c>
      <c r="BK52" s="8" t="str">
        <f t="shared" si="347"/>
        <v/>
      </c>
      <c r="BL52" s="8"/>
      <c r="BM52" s="8"/>
      <c r="BN52" s="41" t="str">
        <f t="shared" ref="BN52:BS52" si="348">BF52</f>
        <v/>
      </c>
      <c r="BO52" s="8" t="str">
        <f t="shared" si="348"/>
        <v/>
      </c>
      <c r="BP52" s="8" t="str">
        <f t="shared" si="348"/>
        <v/>
      </c>
      <c r="BQ52" s="8" t="str">
        <f t="shared" si="348"/>
        <v/>
      </c>
      <c r="BR52" s="8" t="str">
        <f t="shared" si="348"/>
        <v/>
      </c>
      <c r="BS52" s="8" t="str">
        <f t="shared" si="348"/>
        <v/>
      </c>
      <c r="BT52" s="8"/>
      <c r="BU52" s="8"/>
      <c r="BV52" s="41" t="str">
        <f t="shared" ref="BV52:CA52" si="349">BN52</f>
        <v/>
      </c>
      <c r="BW52" s="8" t="str">
        <f t="shared" si="349"/>
        <v/>
      </c>
      <c r="BX52" s="8" t="str">
        <f t="shared" si="349"/>
        <v/>
      </c>
      <c r="BY52" s="8" t="str">
        <f t="shared" si="349"/>
        <v/>
      </c>
      <c r="BZ52" s="8" t="str">
        <f t="shared" si="349"/>
        <v/>
      </c>
      <c r="CA52" s="8" t="str">
        <f t="shared" si="349"/>
        <v/>
      </c>
      <c r="CB52" s="8"/>
      <c r="CC52" s="8"/>
      <c r="CD52" s="41" t="str">
        <f t="shared" ref="CD52:CI52" si="350">BV52</f>
        <v/>
      </c>
      <c r="CE52" s="8" t="str">
        <f t="shared" si="350"/>
        <v/>
      </c>
      <c r="CF52" s="8" t="str">
        <f t="shared" si="350"/>
        <v/>
      </c>
      <c r="CG52" s="8" t="str">
        <f t="shared" si="350"/>
        <v/>
      </c>
      <c r="CH52" s="8" t="str">
        <f t="shared" si="350"/>
        <v/>
      </c>
      <c r="CI52" s="8" t="str">
        <f t="shared" si="350"/>
        <v/>
      </c>
      <c r="CJ52" s="8"/>
      <c r="CK52" s="8"/>
      <c r="CL52" s="41" t="str">
        <f t="shared" ref="CL52:CQ52" si="351">CD52</f>
        <v/>
      </c>
      <c r="CM52" s="8" t="str">
        <f t="shared" si="351"/>
        <v/>
      </c>
      <c r="CN52" s="8" t="str">
        <f t="shared" si="351"/>
        <v/>
      </c>
      <c r="CO52" s="8" t="str">
        <f t="shared" si="351"/>
        <v/>
      </c>
      <c r="CP52" s="8" t="str">
        <f t="shared" si="351"/>
        <v/>
      </c>
      <c r="CQ52" s="8" t="str">
        <f t="shared" si="351"/>
        <v/>
      </c>
      <c r="CR52" s="8"/>
      <c r="CS52" s="8"/>
      <c r="CT52" s="41" t="str">
        <f t="shared" ref="CT52:CY52" si="352">CL52</f>
        <v/>
      </c>
      <c r="CU52" s="8" t="str">
        <f t="shared" si="352"/>
        <v/>
      </c>
      <c r="CV52" s="8" t="str">
        <f t="shared" si="352"/>
        <v/>
      </c>
      <c r="CW52" s="8" t="str">
        <f t="shared" si="352"/>
        <v/>
      </c>
      <c r="CX52" s="8" t="str">
        <f t="shared" si="352"/>
        <v/>
      </c>
      <c r="CY52" s="8" t="str">
        <f t="shared" si="352"/>
        <v/>
      </c>
      <c r="CZ52" s="8"/>
      <c r="DA52" s="8"/>
      <c r="DB52" s="41" t="str">
        <f t="shared" ref="DB52:DG52" si="353">CT52</f>
        <v/>
      </c>
      <c r="DC52" s="8" t="str">
        <f t="shared" si="353"/>
        <v/>
      </c>
      <c r="DD52" s="8" t="str">
        <f t="shared" si="353"/>
        <v/>
      </c>
      <c r="DE52" s="8" t="str">
        <f t="shared" si="353"/>
        <v/>
      </c>
      <c r="DF52" s="8" t="str">
        <f t="shared" si="353"/>
        <v/>
      </c>
      <c r="DG52" s="8" t="str">
        <f t="shared" si="353"/>
        <v/>
      </c>
      <c r="DH52" s="8"/>
      <c r="DI52" s="8"/>
      <c r="DJ52" s="41" t="str">
        <f t="shared" ref="DJ52:DO52" si="354">DB52</f>
        <v/>
      </c>
      <c r="DK52" s="8" t="str">
        <f t="shared" si="354"/>
        <v/>
      </c>
      <c r="DL52" s="8" t="str">
        <f t="shared" si="354"/>
        <v/>
      </c>
      <c r="DM52" s="8" t="str">
        <f t="shared" si="354"/>
        <v/>
      </c>
      <c r="DN52" s="8" t="str">
        <f t="shared" si="354"/>
        <v/>
      </c>
      <c r="DO52" s="8" t="str">
        <f t="shared" si="354"/>
        <v/>
      </c>
      <c r="DP52" s="8"/>
      <c r="DQ52" s="8"/>
      <c r="DR52" s="41" t="str">
        <f t="shared" ref="DR52:DW52" si="355">DJ52</f>
        <v/>
      </c>
      <c r="DS52" s="8" t="str">
        <f t="shared" si="355"/>
        <v/>
      </c>
      <c r="DT52" s="8" t="str">
        <f t="shared" si="355"/>
        <v/>
      </c>
      <c r="DU52" s="8" t="str">
        <f t="shared" si="355"/>
        <v/>
      </c>
      <c r="DV52" s="8" t="str">
        <f t="shared" si="355"/>
        <v/>
      </c>
      <c r="DW52" s="8" t="str">
        <f t="shared" si="355"/>
        <v/>
      </c>
      <c r="DX52" s="8"/>
      <c r="DY52" s="8"/>
      <c r="DZ52" s="41" t="str">
        <f t="shared" ref="DZ52:EE52" si="356">DR52</f>
        <v/>
      </c>
      <c r="EA52" s="8" t="str">
        <f t="shared" si="356"/>
        <v/>
      </c>
      <c r="EB52" s="8" t="str">
        <f t="shared" si="356"/>
        <v/>
      </c>
      <c r="EC52" s="8" t="str">
        <f t="shared" si="356"/>
        <v/>
      </c>
      <c r="ED52" s="8" t="str">
        <f t="shared" si="356"/>
        <v/>
      </c>
      <c r="EE52" s="8" t="str">
        <f t="shared" si="356"/>
        <v/>
      </c>
      <c r="EF52" s="8"/>
      <c r="EG52" s="8"/>
      <c r="EH52" s="41" t="str">
        <f t="shared" ref="EH52:EM52" si="357">DZ52</f>
        <v/>
      </c>
      <c r="EI52" s="8" t="str">
        <f t="shared" si="357"/>
        <v/>
      </c>
      <c r="EJ52" s="8" t="str">
        <f t="shared" si="357"/>
        <v/>
      </c>
      <c r="EK52" s="8" t="str">
        <f t="shared" si="357"/>
        <v/>
      </c>
      <c r="EL52" s="8" t="str">
        <f t="shared" si="357"/>
        <v/>
      </c>
      <c r="EM52" s="8" t="str">
        <f t="shared" si="357"/>
        <v/>
      </c>
      <c r="EN52" s="8"/>
      <c r="EO52" s="8"/>
      <c r="EP52" s="41" t="str">
        <f t="shared" ref="EP52:EU52" si="358">EH52</f>
        <v/>
      </c>
      <c r="EQ52" s="8" t="str">
        <f t="shared" si="358"/>
        <v/>
      </c>
      <c r="ER52" s="8" t="str">
        <f t="shared" si="358"/>
        <v/>
      </c>
      <c r="ES52" s="8" t="str">
        <f t="shared" si="358"/>
        <v/>
      </c>
      <c r="ET52" s="8" t="str">
        <f t="shared" si="358"/>
        <v/>
      </c>
      <c r="EU52" s="8" t="str">
        <f t="shared" si="358"/>
        <v/>
      </c>
      <c r="EV52" s="8"/>
      <c r="EW52" s="8"/>
      <c r="EX52" s="41" t="str">
        <f t="shared" ref="EX52:FC52" si="359">EP52</f>
        <v/>
      </c>
      <c r="EY52" s="8" t="str">
        <f t="shared" si="359"/>
        <v/>
      </c>
      <c r="EZ52" s="8" t="str">
        <f t="shared" si="359"/>
        <v/>
      </c>
      <c r="FA52" s="8" t="str">
        <f t="shared" si="359"/>
        <v/>
      </c>
      <c r="FB52" s="8" t="str">
        <f t="shared" si="359"/>
        <v/>
      </c>
      <c r="FC52" s="8" t="str">
        <f t="shared" si="359"/>
        <v/>
      </c>
      <c r="FD52" s="8"/>
      <c r="FE52" s="8"/>
      <c r="FF52" s="41" t="str">
        <f t="shared" ref="FF52:FK52" si="360">EX52</f>
        <v/>
      </c>
      <c r="FG52" s="8" t="str">
        <f t="shared" si="360"/>
        <v/>
      </c>
      <c r="FH52" s="8" t="str">
        <f t="shared" si="360"/>
        <v/>
      </c>
      <c r="FI52" s="8" t="str">
        <f t="shared" si="360"/>
        <v/>
      </c>
      <c r="FJ52" s="8" t="str">
        <f t="shared" si="360"/>
        <v/>
      </c>
      <c r="FK52" s="8" t="str">
        <f t="shared" si="360"/>
        <v/>
      </c>
      <c r="FL52" s="8"/>
      <c r="FM52" s="8"/>
    </row>
    <row r="53">
      <c r="A53" s="42"/>
      <c r="B53" s="41"/>
      <c r="C53" s="8"/>
      <c r="D53" s="8"/>
      <c r="E53" s="8"/>
      <c r="F53" s="8"/>
      <c r="G53" s="8"/>
      <c r="H53" s="8"/>
      <c r="I53" s="8"/>
      <c r="J53" s="41" t="str">
        <f t="shared" ref="J53:O53" si="361">B53</f>
        <v/>
      </c>
      <c r="K53" s="8" t="str">
        <f t="shared" si="361"/>
        <v/>
      </c>
      <c r="L53" s="8" t="str">
        <f t="shared" si="361"/>
        <v/>
      </c>
      <c r="M53" s="8" t="str">
        <f t="shared" si="361"/>
        <v/>
      </c>
      <c r="N53" s="8" t="str">
        <f t="shared" si="361"/>
        <v/>
      </c>
      <c r="O53" s="8" t="str">
        <f t="shared" si="361"/>
        <v/>
      </c>
      <c r="P53" s="8"/>
      <c r="Q53" s="8"/>
      <c r="R53" s="41" t="str">
        <f t="shared" ref="R53:W53" si="362">J53</f>
        <v/>
      </c>
      <c r="S53" s="8" t="str">
        <f t="shared" si="362"/>
        <v/>
      </c>
      <c r="T53" s="8" t="str">
        <f t="shared" si="362"/>
        <v/>
      </c>
      <c r="U53" s="8" t="str">
        <f t="shared" si="362"/>
        <v/>
      </c>
      <c r="V53" s="8" t="str">
        <f t="shared" si="362"/>
        <v/>
      </c>
      <c r="W53" s="8" t="str">
        <f t="shared" si="362"/>
        <v/>
      </c>
      <c r="X53" s="8"/>
      <c r="Y53" s="8"/>
      <c r="Z53" s="41" t="str">
        <f t="shared" ref="Z53:AE53" si="363">R53</f>
        <v/>
      </c>
      <c r="AA53" s="8" t="str">
        <f t="shared" si="363"/>
        <v/>
      </c>
      <c r="AB53" s="8" t="str">
        <f t="shared" si="363"/>
        <v/>
      </c>
      <c r="AC53" s="8" t="str">
        <f t="shared" si="363"/>
        <v/>
      </c>
      <c r="AD53" s="8" t="str">
        <f t="shared" si="363"/>
        <v/>
      </c>
      <c r="AE53" s="8" t="str">
        <f t="shared" si="363"/>
        <v/>
      </c>
      <c r="AF53" s="8"/>
      <c r="AG53" s="8"/>
      <c r="AH53" s="41" t="str">
        <f t="shared" ref="AH53:AM53" si="364">Z53</f>
        <v/>
      </c>
      <c r="AI53" s="8" t="str">
        <f t="shared" si="364"/>
        <v/>
      </c>
      <c r="AJ53" s="8" t="str">
        <f t="shared" si="364"/>
        <v/>
      </c>
      <c r="AK53" s="8" t="str">
        <f t="shared" si="364"/>
        <v/>
      </c>
      <c r="AL53" s="8" t="str">
        <f t="shared" si="364"/>
        <v/>
      </c>
      <c r="AM53" s="8" t="str">
        <f t="shared" si="364"/>
        <v/>
      </c>
      <c r="AN53" s="8"/>
      <c r="AO53" s="8"/>
      <c r="AP53" s="41" t="str">
        <f t="shared" ref="AP53:AU53" si="365">AH53</f>
        <v/>
      </c>
      <c r="AQ53" s="8" t="str">
        <f t="shared" si="365"/>
        <v/>
      </c>
      <c r="AR53" s="8" t="str">
        <f t="shared" si="365"/>
        <v/>
      </c>
      <c r="AS53" s="8" t="str">
        <f t="shared" si="365"/>
        <v/>
      </c>
      <c r="AT53" s="8" t="str">
        <f t="shared" si="365"/>
        <v/>
      </c>
      <c r="AU53" s="8" t="str">
        <f t="shared" si="365"/>
        <v/>
      </c>
      <c r="AV53" s="8"/>
      <c r="AW53" s="8"/>
      <c r="AX53" s="41" t="str">
        <f t="shared" ref="AX53:BC53" si="366">AP53</f>
        <v/>
      </c>
      <c r="AY53" s="8" t="str">
        <f t="shared" si="366"/>
        <v/>
      </c>
      <c r="AZ53" s="8" t="str">
        <f t="shared" si="366"/>
        <v/>
      </c>
      <c r="BA53" s="8" t="str">
        <f t="shared" si="366"/>
        <v/>
      </c>
      <c r="BB53" s="8" t="str">
        <f t="shared" si="366"/>
        <v/>
      </c>
      <c r="BC53" s="8" t="str">
        <f t="shared" si="366"/>
        <v/>
      </c>
      <c r="BD53" s="8"/>
      <c r="BE53" s="8"/>
      <c r="BF53" s="41" t="str">
        <f t="shared" ref="BF53:BK53" si="367">AX53</f>
        <v/>
      </c>
      <c r="BG53" s="8" t="str">
        <f t="shared" si="367"/>
        <v/>
      </c>
      <c r="BH53" s="8" t="str">
        <f t="shared" si="367"/>
        <v/>
      </c>
      <c r="BI53" s="8" t="str">
        <f t="shared" si="367"/>
        <v/>
      </c>
      <c r="BJ53" s="8" t="str">
        <f t="shared" si="367"/>
        <v/>
      </c>
      <c r="BK53" s="8" t="str">
        <f t="shared" si="367"/>
        <v/>
      </c>
      <c r="BL53" s="8"/>
      <c r="BM53" s="8"/>
      <c r="BN53" s="41" t="str">
        <f t="shared" ref="BN53:BS53" si="368">BF53</f>
        <v/>
      </c>
      <c r="BO53" s="8" t="str">
        <f t="shared" si="368"/>
        <v/>
      </c>
      <c r="BP53" s="8" t="str">
        <f t="shared" si="368"/>
        <v/>
      </c>
      <c r="BQ53" s="8" t="str">
        <f t="shared" si="368"/>
        <v/>
      </c>
      <c r="BR53" s="8" t="str">
        <f t="shared" si="368"/>
        <v/>
      </c>
      <c r="BS53" s="8" t="str">
        <f t="shared" si="368"/>
        <v/>
      </c>
      <c r="BT53" s="8"/>
      <c r="BU53" s="8"/>
      <c r="BV53" s="41" t="str">
        <f t="shared" ref="BV53:CA53" si="369">BN53</f>
        <v/>
      </c>
      <c r="BW53" s="8" t="str">
        <f t="shared" si="369"/>
        <v/>
      </c>
      <c r="BX53" s="8" t="str">
        <f t="shared" si="369"/>
        <v/>
      </c>
      <c r="BY53" s="8" t="str">
        <f t="shared" si="369"/>
        <v/>
      </c>
      <c r="BZ53" s="8" t="str">
        <f t="shared" si="369"/>
        <v/>
      </c>
      <c r="CA53" s="8" t="str">
        <f t="shared" si="369"/>
        <v/>
      </c>
      <c r="CB53" s="8"/>
      <c r="CC53" s="8"/>
      <c r="CD53" s="41" t="str">
        <f t="shared" ref="CD53:CI53" si="370">BV53</f>
        <v/>
      </c>
      <c r="CE53" s="8" t="str">
        <f t="shared" si="370"/>
        <v/>
      </c>
      <c r="CF53" s="8" t="str">
        <f t="shared" si="370"/>
        <v/>
      </c>
      <c r="CG53" s="8" t="str">
        <f t="shared" si="370"/>
        <v/>
      </c>
      <c r="CH53" s="8" t="str">
        <f t="shared" si="370"/>
        <v/>
      </c>
      <c r="CI53" s="8" t="str">
        <f t="shared" si="370"/>
        <v/>
      </c>
      <c r="CJ53" s="8"/>
      <c r="CK53" s="8"/>
      <c r="CL53" s="41" t="str">
        <f t="shared" ref="CL53:CQ53" si="371">CD53</f>
        <v/>
      </c>
      <c r="CM53" s="8" t="str">
        <f t="shared" si="371"/>
        <v/>
      </c>
      <c r="CN53" s="8" t="str">
        <f t="shared" si="371"/>
        <v/>
      </c>
      <c r="CO53" s="8" t="str">
        <f t="shared" si="371"/>
        <v/>
      </c>
      <c r="CP53" s="8" t="str">
        <f t="shared" si="371"/>
        <v/>
      </c>
      <c r="CQ53" s="8" t="str">
        <f t="shared" si="371"/>
        <v/>
      </c>
      <c r="CR53" s="8"/>
      <c r="CS53" s="8"/>
      <c r="CT53" s="41" t="str">
        <f t="shared" ref="CT53:CY53" si="372">CL53</f>
        <v/>
      </c>
      <c r="CU53" s="8" t="str">
        <f t="shared" si="372"/>
        <v/>
      </c>
      <c r="CV53" s="8" t="str">
        <f t="shared" si="372"/>
        <v/>
      </c>
      <c r="CW53" s="8" t="str">
        <f t="shared" si="372"/>
        <v/>
      </c>
      <c r="CX53" s="8" t="str">
        <f t="shared" si="372"/>
        <v/>
      </c>
      <c r="CY53" s="8" t="str">
        <f t="shared" si="372"/>
        <v/>
      </c>
      <c r="CZ53" s="8"/>
      <c r="DA53" s="8"/>
      <c r="DB53" s="41" t="str">
        <f t="shared" ref="DB53:DG53" si="373">CT53</f>
        <v/>
      </c>
      <c r="DC53" s="8" t="str">
        <f t="shared" si="373"/>
        <v/>
      </c>
      <c r="DD53" s="8" t="str">
        <f t="shared" si="373"/>
        <v/>
      </c>
      <c r="DE53" s="8" t="str">
        <f t="shared" si="373"/>
        <v/>
      </c>
      <c r="DF53" s="8" t="str">
        <f t="shared" si="373"/>
        <v/>
      </c>
      <c r="DG53" s="8" t="str">
        <f t="shared" si="373"/>
        <v/>
      </c>
      <c r="DH53" s="8"/>
      <c r="DI53" s="8"/>
      <c r="DJ53" s="41" t="str">
        <f t="shared" ref="DJ53:DO53" si="374">DB53</f>
        <v/>
      </c>
      <c r="DK53" s="8" t="str">
        <f t="shared" si="374"/>
        <v/>
      </c>
      <c r="DL53" s="8" t="str">
        <f t="shared" si="374"/>
        <v/>
      </c>
      <c r="DM53" s="8" t="str">
        <f t="shared" si="374"/>
        <v/>
      </c>
      <c r="DN53" s="8" t="str">
        <f t="shared" si="374"/>
        <v/>
      </c>
      <c r="DO53" s="8" t="str">
        <f t="shared" si="374"/>
        <v/>
      </c>
      <c r="DP53" s="8"/>
      <c r="DQ53" s="8"/>
      <c r="DR53" s="41" t="str">
        <f t="shared" ref="DR53:DW53" si="375">DJ53</f>
        <v/>
      </c>
      <c r="DS53" s="8" t="str">
        <f t="shared" si="375"/>
        <v/>
      </c>
      <c r="DT53" s="8" t="str">
        <f t="shared" si="375"/>
        <v/>
      </c>
      <c r="DU53" s="8" t="str">
        <f t="shared" si="375"/>
        <v/>
      </c>
      <c r="DV53" s="8" t="str">
        <f t="shared" si="375"/>
        <v/>
      </c>
      <c r="DW53" s="8" t="str">
        <f t="shared" si="375"/>
        <v/>
      </c>
      <c r="DX53" s="8"/>
      <c r="DY53" s="8"/>
      <c r="DZ53" s="41" t="str">
        <f t="shared" ref="DZ53:EE53" si="376">DR53</f>
        <v/>
      </c>
      <c r="EA53" s="8" t="str">
        <f t="shared" si="376"/>
        <v/>
      </c>
      <c r="EB53" s="8" t="str">
        <f t="shared" si="376"/>
        <v/>
      </c>
      <c r="EC53" s="8" t="str">
        <f t="shared" si="376"/>
        <v/>
      </c>
      <c r="ED53" s="8" t="str">
        <f t="shared" si="376"/>
        <v/>
      </c>
      <c r="EE53" s="8" t="str">
        <f t="shared" si="376"/>
        <v/>
      </c>
      <c r="EF53" s="8"/>
      <c r="EG53" s="8"/>
      <c r="EH53" s="41" t="str">
        <f t="shared" ref="EH53:EM53" si="377">DZ53</f>
        <v/>
      </c>
      <c r="EI53" s="8" t="str">
        <f t="shared" si="377"/>
        <v/>
      </c>
      <c r="EJ53" s="8" t="str">
        <f t="shared" si="377"/>
        <v/>
      </c>
      <c r="EK53" s="8" t="str">
        <f t="shared" si="377"/>
        <v/>
      </c>
      <c r="EL53" s="8" t="str">
        <f t="shared" si="377"/>
        <v/>
      </c>
      <c r="EM53" s="8" t="str">
        <f t="shared" si="377"/>
        <v/>
      </c>
      <c r="EN53" s="8"/>
      <c r="EO53" s="8"/>
      <c r="EP53" s="41" t="str">
        <f t="shared" ref="EP53:EU53" si="378">EH53</f>
        <v/>
      </c>
      <c r="EQ53" s="8" t="str">
        <f t="shared" si="378"/>
        <v/>
      </c>
      <c r="ER53" s="8" t="str">
        <f t="shared" si="378"/>
        <v/>
      </c>
      <c r="ES53" s="8" t="str">
        <f t="shared" si="378"/>
        <v/>
      </c>
      <c r="ET53" s="8" t="str">
        <f t="shared" si="378"/>
        <v/>
      </c>
      <c r="EU53" s="8" t="str">
        <f t="shared" si="378"/>
        <v/>
      </c>
      <c r="EV53" s="8"/>
      <c r="EW53" s="8"/>
      <c r="EX53" s="41" t="str">
        <f t="shared" ref="EX53:FC53" si="379">EP53</f>
        <v/>
      </c>
      <c r="EY53" s="8" t="str">
        <f t="shared" si="379"/>
        <v/>
      </c>
      <c r="EZ53" s="8" t="str">
        <f t="shared" si="379"/>
        <v/>
      </c>
      <c r="FA53" s="8" t="str">
        <f t="shared" si="379"/>
        <v/>
      </c>
      <c r="FB53" s="8" t="str">
        <f t="shared" si="379"/>
        <v/>
      </c>
      <c r="FC53" s="8" t="str">
        <f t="shared" si="379"/>
        <v/>
      </c>
      <c r="FD53" s="8"/>
      <c r="FE53" s="8"/>
      <c r="FF53" s="41" t="str">
        <f t="shared" ref="FF53:FK53" si="380">EX53</f>
        <v/>
      </c>
      <c r="FG53" s="8" t="str">
        <f t="shared" si="380"/>
        <v/>
      </c>
      <c r="FH53" s="8" t="str">
        <f t="shared" si="380"/>
        <v/>
      </c>
      <c r="FI53" s="8" t="str">
        <f t="shared" si="380"/>
        <v/>
      </c>
      <c r="FJ53" s="8" t="str">
        <f t="shared" si="380"/>
        <v/>
      </c>
      <c r="FK53" s="8" t="str">
        <f t="shared" si="380"/>
        <v/>
      </c>
      <c r="FL53" s="8"/>
      <c r="FM53" s="8"/>
    </row>
    <row r="54">
      <c r="A54" s="43"/>
      <c r="B54" s="44"/>
      <c r="C54" s="45"/>
      <c r="D54" s="45"/>
      <c r="E54" s="45"/>
      <c r="F54" s="45"/>
      <c r="G54" s="45"/>
      <c r="H54" s="45"/>
      <c r="I54" s="45"/>
      <c r="J54" s="44" t="str">
        <f t="shared" ref="J54:O54" si="381">B54</f>
        <v/>
      </c>
      <c r="K54" s="45" t="str">
        <f t="shared" si="381"/>
        <v/>
      </c>
      <c r="L54" s="45" t="str">
        <f t="shared" si="381"/>
        <v/>
      </c>
      <c r="M54" s="45" t="str">
        <f t="shared" si="381"/>
        <v/>
      </c>
      <c r="N54" s="45" t="str">
        <f t="shared" si="381"/>
        <v/>
      </c>
      <c r="O54" s="45" t="str">
        <f t="shared" si="381"/>
        <v/>
      </c>
      <c r="P54" s="45"/>
      <c r="Q54" s="45"/>
      <c r="R54" s="44" t="str">
        <f t="shared" ref="R54:W54" si="382">J54</f>
        <v/>
      </c>
      <c r="S54" s="45" t="str">
        <f t="shared" si="382"/>
        <v/>
      </c>
      <c r="T54" s="45" t="str">
        <f t="shared" si="382"/>
        <v/>
      </c>
      <c r="U54" s="45" t="str">
        <f t="shared" si="382"/>
        <v/>
      </c>
      <c r="V54" s="45" t="str">
        <f t="shared" si="382"/>
        <v/>
      </c>
      <c r="W54" s="45" t="str">
        <f t="shared" si="382"/>
        <v/>
      </c>
      <c r="X54" s="45"/>
      <c r="Y54" s="45"/>
      <c r="Z54" s="44" t="str">
        <f t="shared" ref="Z54:AE54" si="383">R54</f>
        <v/>
      </c>
      <c r="AA54" s="45" t="str">
        <f t="shared" si="383"/>
        <v/>
      </c>
      <c r="AB54" s="45" t="str">
        <f t="shared" si="383"/>
        <v/>
      </c>
      <c r="AC54" s="45" t="str">
        <f t="shared" si="383"/>
        <v/>
      </c>
      <c r="AD54" s="45" t="str">
        <f t="shared" si="383"/>
        <v/>
      </c>
      <c r="AE54" s="45" t="str">
        <f t="shared" si="383"/>
        <v/>
      </c>
      <c r="AF54" s="45"/>
      <c r="AG54" s="45"/>
      <c r="AH54" s="44" t="str">
        <f t="shared" ref="AH54:AM54" si="384">Z54</f>
        <v/>
      </c>
      <c r="AI54" s="45" t="str">
        <f t="shared" si="384"/>
        <v/>
      </c>
      <c r="AJ54" s="45" t="str">
        <f t="shared" si="384"/>
        <v/>
      </c>
      <c r="AK54" s="45" t="str">
        <f t="shared" si="384"/>
        <v/>
      </c>
      <c r="AL54" s="45" t="str">
        <f t="shared" si="384"/>
        <v/>
      </c>
      <c r="AM54" s="45" t="str">
        <f t="shared" si="384"/>
        <v/>
      </c>
      <c r="AN54" s="45"/>
      <c r="AO54" s="45"/>
      <c r="AP54" s="44" t="str">
        <f t="shared" ref="AP54:AU54" si="385">AH54</f>
        <v/>
      </c>
      <c r="AQ54" s="45" t="str">
        <f t="shared" si="385"/>
        <v/>
      </c>
      <c r="AR54" s="45" t="str">
        <f t="shared" si="385"/>
        <v/>
      </c>
      <c r="AS54" s="45" t="str">
        <f t="shared" si="385"/>
        <v/>
      </c>
      <c r="AT54" s="45" t="str">
        <f t="shared" si="385"/>
        <v/>
      </c>
      <c r="AU54" s="45" t="str">
        <f t="shared" si="385"/>
        <v/>
      </c>
      <c r="AV54" s="45"/>
      <c r="AW54" s="45"/>
      <c r="AX54" s="44" t="str">
        <f t="shared" ref="AX54:BC54" si="386">AP54</f>
        <v/>
      </c>
      <c r="AY54" s="45" t="str">
        <f t="shared" si="386"/>
        <v/>
      </c>
      <c r="AZ54" s="45" t="str">
        <f t="shared" si="386"/>
        <v/>
      </c>
      <c r="BA54" s="45" t="str">
        <f t="shared" si="386"/>
        <v/>
      </c>
      <c r="BB54" s="45" t="str">
        <f t="shared" si="386"/>
        <v/>
      </c>
      <c r="BC54" s="45" t="str">
        <f t="shared" si="386"/>
        <v/>
      </c>
      <c r="BD54" s="45"/>
      <c r="BE54" s="45"/>
      <c r="BF54" s="44" t="str">
        <f t="shared" ref="BF54:BK54" si="387">AX54</f>
        <v/>
      </c>
      <c r="BG54" s="45" t="str">
        <f t="shared" si="387"/>
        <v/>
      </c>
      <c r="BH54" s="45" t="str">
        <f t="shared" si="387"/>
        <v/>
      </c>
      <c r="BI54" s="45" t="str">
        <f t="shared" si="387"/>
        <v/>
      </c>
      <c r="BJ54" s="45" t="str">
        <f t="shared" si="387"/>
        <v/>
      </c>
      <c r="BK54" s="45" t="str">
        <f t="shared" si="387"/>
        <v/>
      </c>
      <c r="BL54" s="45"/>
      <c r="BM54" s="45"/>
      <c r="BN54" s="44" t="str">
        <f t="shared" ref="BN54:BS54" si="388">BF54</f>
        <v/>
      </c>
      <c r="BO54" s="45" t="str">
        <f t="shared" si="388"/>
        <v/>
      </c>
      <c r="BP54" s="45" t="str">
        <f t="shared" si="388"/>
        <v/>
      </c>
      <c r="BQ54" s="45" t="str">
        <f t="shared" si="388"/>
        <v/>
      </c>
      <c r="BR54" s="45" t="str">
        <f t="shared" si="388"/>
        <v/>
      </c>
      <c r="BS54" s="45" t="str">
        <f t="shared" si="388"/>
        <v/>
      </c>
      <c r="BT54" s="45"/>
      <c r="BU54" s="45"/>
      <c r="BV54" s="44" t="str">
        <f t="shared" ref="BV54:CA54" si="389">BN54</f>
        <v/>
      </c>
      <c r="BW54" s="45" t="str">
        <f t="shared" si="389"/>
        <v/>
      </c>
      <c r="BX54" s="45" t="str">
        <f t="shared" si="389"/>
        <v/>
      </c>
      <c r="BY54" s="45" t="str">
        <f t="shared" si="389"/>
        <v/>
      </c>
      <c r="BZ54" s="45" t="str">
        <f t="shared" si="389"/>
        <v/>
      </c>
      <c r="CA54" s="45" t="str">
        <f t="shared" si="389"/>
        <v/>
      </c>
      <c r="CB54" s="45"/>
      <c r="CC54" s="45"/>
      <c r="CD54" s="44" t="str">
        <f t="shared" ref="CD54:CI54" si="390">BV54</f>
        <v/>
      </c>
      <c r="CE54" s="45" t="str">
        <f t="shared" si="390"/>
        <v/>
      </c>
      <c r="CF54" s="45" t="str">
        <f t="shared" si="390"/>
        <v/>
      </c>
      <c r="CG54" s="45" t="str">
        <f t="shared" si="390"/>
        <v/>
      </c>
      <c r="CH54" s="45" t="str">
        <f t="shared" si="390"/>
        <v/>
      </c>
      <c r="CI54" s="45" t="str">
        <f t="shared" si="390"/>
        <v/>
      </c>
      <c r="CJ54" s="45"/>
      <c r="CK54" s="45"/>
      <c r="CL54" s="44" t="str">
        <f t="shared" ref="CL54:CQ54" si="391">CD54</f>
        <v/>
      </c>
      <c r="CM54" s="45" t="str">
        <f t="shared" si="391"/>
        <v/>
      </c>
      <c r="CN54" s="45" t="str">
        <f t="shared" si="391"/>
        <v/>
      </c>
      <c r="CO54" s="45" t="str">
        <f t="shared" si="391"/>
        <v/>
      </c>
      <c r="CP54" s="45" t="str">
        <f t="shared" si="391"/>
        <v/>
      </c>
      <c r="CQ54" s="45" t="str">
        <f t="shared" si="391"/>
        <v/>
      </c>
      <c r="CR54" s="45"/>
      <c r="CS54" s="45"/>
      <c r="CT54" s="44" t="str">
        <f t="shared" ref="CT54:CY54" si="392">CL54</f>
        <v/>
      </c>
      <c r="CU54" s="45" t="str">
        <f t="shared" si="392"/>
        <v/>
      </c>
      <c r="CV54" s="45" t="str">
        <f t="shared" si="392"/>
        <v/>
      </c>
      <c r="CW54" s="45" t="str">
        <f t="shared" si="392"/>
        <v/>
      </c>
      <c r="CX54" s="45" t="str">
        <f t="shared" si="392"/>
        <v/>
      </c>
      <c r="CY54" s="45" t="str">
        <f t="shared" si="392"/>
        <v/>
      </c>
      <c r="CZ54" s="45"/>
      <c r="DA54" s="45"/>
      <c r="DB54" s="44" t="str">
        <f t="shared" ref="DB54:DG54" si="393">CT54</f>
        <v/>
      </c>
      <c r="DC54" s="45" t="str">
        <f t="shared" si="393"/>
        <v/>
      </c>
      <c r="DD54" s="45" t="str">
        <f t="shared" si="393"/>
        <v/>
      </c>
      <c r="DE54" s="45" t="str">
        <f t="shared" si="393"/>
        <v/>
      </c>
      <c r="DF54" s="45" t="str">
        <f t="shared" si="393"/>
        <v/>
      </c>
      <c r="DG54" s="45" t="str">
        <f t="shared" si="393"/>
        <v/>
      </c>
      <c r="DH54" s="45"/>
      <c r="DI54" s="45"/>
      <c r="DJ54" s="44" t="str">
        <f t="shared" ref="DJ54:DO54" si="394">DB54</f>
        <v/>
      </c>
      <c r="DK54" s="45" t="str">
        <f t="shared" si="394"/>
        <v/>
      </c>
      <c r="DL54" s="45" t="str">
        <f t="shared" si="394"/>
        <v/>
      </c>
      <c r="DM54" s="45" t="str">
        <f t="shared" si="394"/>
        <v/>
      </c>
      <c r="DN54" s="45" t="str">
        <f t="shared" si="394"/>
        <v/>
      </c>
      <c r="DO54" s="45" t="str">
        <f t="shared" si="394"/>
        <v/>
      </c>
      <c r="DP54" s="45"/>
      <c r="DQ54" s="45"/>
      <c r="DR54" s="44" t="str">
        <f t="shared" ref="DR54:DW54" si="395">DJ54</f>
        <v/>
      </c>
      <c r="DS54" s="45" t="str">
        <f t="shared" si="395"/>
        <v/>
      </c>
      <c r="DT54" s="45" t="str">
        <f t="shared" si="395"/>
        <v/>
      </c>
      <c r="DU54" s="45" t="str">
        <f t="shared" si="395"/>
        <v/>
      </c>
      <c r="DV54" s="45" t="str">
        <f t="shared" si="395"/>
        <v/>
      </c>
      <c r="DW54" s="45" t="str">
        <f t="shared" si="395"/>
        <v/>
      </c>
      <c r="DX54" s="45"/>
      <c r="DY54" s="45"/>
      <c r="DZ54" s="44" t="str">
        <f t="shared" ref="DZ54:EE54" si="396">DR54</f>
        <v/>
      </c>
      <c r="EA54" s="45" t="str">
        <f t="shared" si="396"/>
        <v/>
      </c>
      <c r="EB54" s="45" t="str">
        <f t="shared" si="396"/>
        <v/>
      </c>
      <c r="EC54" s="45" t="str">
        <f t="shared" si="396"/>
        <v/>
      </c>
      <c r="ED54" s="45" t="str">
        <f t="shared" si="396"/>
        <v/>
      </c>
      <c r="EE54" s="45" t="str">
        <f t="shared" si="396"/>
        <v/>
      </c>
      <c r="EF54" s="45"/>
      <c r="EG54" s="45"/>
      <c r="EH54" s="44" t="str">
        <f t="shared" ref="EH54:EM54" si="397">DZ54</f>
        <v/>
      </c>
      <c r="EI54" s="45" t="str">
        <f t="shared" si="397"/>
        <v/>
      </c>
      <c r="EJ54" s="45" t="str">
        <f t="shared" si="397"/>
        <v/>
      </c>
      <c r="EK54" s="45" t="str">
        <f t="shared" si="397"/>
        <v/>
      </c>
      <c r="EL54" s="45" t="str">
        <f t="shared" si="397"/>
        <v/>
      </c>
      <c r="EM54" s="45" t="str">
        <f t="shared" si="397"/>
        <v/>
      </c>
      <c r="EN54" s="45"/>
      <c r="EO54" s="45"/>
      <c r="EP54" s="44" t="str">
        <f t="shared" ref="EP54:EU54" si="398">EH54</f>
        <v/>
      </c>
      <c r="EQ54" s="45" t="str">
        <f t="shared" si="398"/>
        <v/>
      </c>
      <c r="ER54" s="45" t="str">
        <f t="shared" si="398"/>
        <v/>
      </c>
      <c r="ES54" s="45" t="str">
        <f t="shared" si="398"/>
        <v/>
      </c>
      <c r="ET54" s="45" t="str">
        <f t="shared" si="398"/>
        <v/>
      </c>
      <c r="EU54" s="45" t="str">
        <f t="shared" si="398"/>
        <v/>
      </c>
      <c r="EV54" s="45"/>
      <c r="EW54" s="45"/>
      <c r="EX54" s="44" t="str">
        <f t="shared" ref="EX54:FC54" si="399">EP54</f>
        <v/>
      </c>
      <c r="EY54" s="45" t="str">
        <f t="shared" si="399"/>
        <v/>
      </c>
      <c r="EZ54" s="45" t="str">
        <f t="shared" si="399"/>
        <v/>
      </c>
      <c r="FA54" s="45" t="str">
        <f t="shared" si="399"/>
        <v/>
      </c>
      <c r="FB54" s="45" t="str">
        <f t="shared" si="399"/>
        <v/>
      </c>
      <c r="FC54" s="45" t="str">
        <f t="shared" si="399"/>
        <v/>
      </c>
      <c r="FD54" s="45"/>
      <c r="FE54" s="45"/>
      <c r="FF54" s="44" t="str">
        <f t="shared" ref="FF54:FK54" si="400">EX54</f>
        <v/>
      </c>
      <c r="FG54" s="45" t="str">
        <f t="shared" si="400"/>
        <v/>
      </c>
      <c r="FH54" s="45" t="str">
        <f t="shared" si="400"/>
        <v/>
      </c>
      <c r="FI54" s="45" t="str">
        <f t="shared" si="400"/>
        <v/>
      </c>
      <c r="FJ54" s="45" t="str">
        <f t="shared" si="400"/>
        <v/>
      </c>
      <c r="FK54" s="45" t="str">
        <f t="shared" si="400"/>
        <v/>
      </c>
      <c r="FL54" s="45"/>
      <c r="FM54" s="45"/>
    </row>
    <row r="55">
      <c r="A55" s="2"/>
      <c r="B55" s="40"/>
      <c r="C55" s="2"/>
      <c r="D55" s="2"/>
      <c r="E55" s="2"/>
      <c r="F55" s="2"/>
      <c r="G55" s="2"/>
      <c r="H55" s="2"/>
      <c r="I55" s="2"/>
      <c r="J55" s="40"/>
      <c r="K55" s="2"/>
      <c r="L55" s="2"/>
      <c r="M55" s="2"/>
      <c r="N55" s="2"/>
      <c r="O55" s="2"/>
      <c r="P55" s="2"/>
      <c r="Q55" s="2"/>
      <c r="R55" s="40"/>
      <c r="S55" s="2"/>
      <c r="T55" s="2"/>
      <c r="U55" s="2"/>
      <c r="V55" s="2"/>
      <c r="W55" s="2"/>
      <c r="X55" s="2"/>
      <c r="Y55" s="2"/>
      <c r="Z55" s="40"/>
      <c r="AA55" s="2"/>
      <c r="AB55" s="2"/>
      <c r="AC55" s="2"/>
      <c r="AD55" s="2"/>
      <c r="AE55" s="2"/>
      <c r="AF55" s="2"/>
      <c r="AG55" s="2"/>
      <c r="AH55" s="40"/>
      <c r="AI55" s="2"/>
      <c r="AJ55" s="2"/>
      <c r="AK55" s="2"/>
      <c r="AL55" s="2"/>
      <c r="AM55" s="2"/>
      <c r="AN55" s="2"/>
      <c r="AO55" s="2"/>
      <c r="AP55" s="40"/>
      <c r="AQ55" s="2"/>
      <c r="AR55" s="2"/>
      <c r="AS55" s="2"/>
      <c r="AT55" s="2"/>
      <c r="AU55" s="2"/>
      <c r="AV55" s="2"/>
      <c r="AW55" s="2"/>
      <c r="AX55" s="40"/>
      <c r="AY55" s="2"/>
      <c r="AZ55" s="2"/>
      <c r="BA55" s="2"/>
      <c r="BB55" s="2"/>
      <c r="BC55" s="2"/>
      <c r="BD55" s="2"/>
      <c r="BE55" s="2"/>
      <c r="BF55" s="40"/>
      <c r="BG55" s="2"/>
      <c r="BH55" s="2"/>
      <c r="BI55" s="2"/>
      <c r="BJ55" s="2"/>
      <c r="BK55" s="2"/>
      <c r="BL55" s="2"/>
      <c r="BM55" s="2"/>
      <c r="BN55" s="40"/>
      <c r="BO55" s="2"/>
      <c r="BP55" s="2"/>
      <c r="BQ55" s="2"/>
      <c r="BR55" s="2"/>
      <c r="BS55" s="2"/>
      <c r="BT55" s="2"/>
      <c r="BU55" s="2"/>
      <c r="BV55" s="40"/>
      <c r="BW55" s="2"/>
      <c r="BX55" s="2"/>
      <c r="BY55" s="2"/>
      <c r="BZ55" s="2"/>
      <c r="CA55" s="2"/>
      <c r="CB55" s="2"/>
      <c r="CC55" s="2"/>
      <c r="CD55" s="40"/>
      <c r="CE55" s="2"/>
      <c r="CF55" s="2"/>
      <c r="CG55" s="2"/>
      <c r="CH55" s="2"/>
      <c r="CI55" s="2"/>
      <c r="CJ55" s="2"/>
      <c r="CK55" s="2"/>
      <c r="CL55" s="40"/>
      <c r="CM55" s="2"/>
      <c r="CN55" s="2"/>
      <c r="CO55" s="2"/>
      <c r="CP55" s="2"/>
      <c r="CQ55" s="2"/>
      <c r="CR55" s="2"/>
      <c r="CS55" s="2"/>
      <c r="CT55" s="40"/>
      <c r="CU55" s="2"/>
      <c r="CV55" s="2"/>
      <c r="CW55" s="2"/>
      <c r="CX55" s="2"/>
      <c r="CY55" s="2"/>
      <c r="CZ55" s="2"/>
      <c r="DA55" s="2"/>
      <c r="DB55" s="40"/>
      <c r="DC55" s="2"/>
      <c r="DD55" s="2"/>
      <c r="DE55" s="2"/>
      <c r="DF55" s="2"/>
      <c r="DG55" s="2"/>
      <c r="DH55" s="2"/>
      <c r="DI55" s="2"/>
      <c r="DJ55" s="40"/>
      <c r="DK55" s="2"/>
      <c r="DL55" s="2"/>
      <c r="DM55" s="2"/>
      <c r="DN55" s="2"/>
      <c r="DO55" s="2"/>
      <c r="DP55" s="2"/>
      <c r="DQ55" s="2"/>
      <c r="DR55" s="40"/>
      <c r="DS55" s="2"/>
      <c r="DT55" s="2"/>
      <c r="DU55" s="2"/>
      <c r="DV55" s="2"/>
      <c r="DW55" s="2"/>
      <c r="DX55" s="2"/>
      <c r="DY55" s="2"/>
      <c r="DZ55" s="40"/>
      <c r="EA55" s="2"/>
      <c r="EB55" s="2"/>
      <c r="EC55" s="2"/>
      <c r="ED55" s="2"/>
      <c r="EE55" s="2"/>
      <c r="EF55" s="2"/>
      <c r="EG55" s="2"/>
      <c r="EH55" s="40"/>
      <c r="EI55" s="2"/>
      <c r="EJ55" s="2"/>
      <c r="EK55" s="2"/>
      <c r="EL55" s="2"/>
      <c r="EM55" s="2"/>
      <c r="EN55" s="2"/>
      <c r="EO55" s="2"/>
      <c r="EP55" s="40"/>
      <c r="EQ55" s="2"/>
      <c r="ER55" s="2"/>
      <c r="ES55" s="2"/>
      <c r="ET55" s="2"/>
      <c r="EU55" s="2"/>
      <c r="EV55" s="2"/>
      <c r="EW55" s="2"/>
      <c r="EX55" s="40"/>
      <c r="EY55" s="2"/>
      <c r="EZ55" s="2"/>
      <c r="FA55" s="2"/>
      <c r="FB55" s="2"/>
      <c r="FC55" s="2"/>
      <c r="FD55" s="2"/>
      <c r="FE55" s="2"/>
      <c r="FF55" s="40"/>
      <c r="FG55" s="2"/>
      <c r="FH55" s="2"/>
      <c r="FI55" s="2"/>
      <c r="FJ55" s="2"/>
      <c r="FK55" s="2"/>
      <c r="FL55" s="2"/>
      <c r="FM55" s="2"/>
    </row>
    <row r="56">
      <c r="A56" s="31" t="s">
        <v>86</v>
      </c>
      <c r="B56" s="32"/>
      <c r="C56" s="33"/>
      <c r="D56" s="33"/>
      <c r="E56" s="33"/>
      <c r="F56" s="33"/>
      <c r="G56" s="33"/>
      <c r="H56" s="33"/>
      <c r="I56" s="33"/>
      <c r="J56" s="32"/>
      <c r="K56" s="33"/>
      <c r="L56" s="33"/>
      <c r="M56" s="33"/>
      <c r="N56" s="33"/>
      <c r="O56" s="33"/>
      <c r="P56" s="33"/>
      <c r="Q56" s="33"/>
      <c r="R56" s="32"/>
      <c r="S56" s="33"/>
      <c r="T56" s="33"/>
      <c r="U56" s="33"/>
      <c r="V56" s="33"/>
      <c r="W56" s="33"/>
      <c r="X56" s="33"/>
      <c r="Y56" s="33"/>
      <c r="Z56" s="32"/>
      <c r="AA56" s="33"/>
      <c r="AB56" s="33"/>
      <c r="AC56" s="33"/>
      <c r="AD56" s="33"/>
      <c r="AE56" s="33"/>
      <c r="AF56" s="33"/>
      <c r="AG56" s="33"/>
      <c r="AH56" s="32"/>
      <c r="AI56" s="33"/>
      <c r="AJ56" s="33"/>
      <c r="AK56" s="33"/>
      <c r="AL56" s="33"/>
      <c r="AM56" s="33"/>
      <c r="AN56" s="33"/>
      <c r="AO56" s="33"/>
      <c r="AP56" s="32"/>
      <c r="AQ56" s="33"/>
      <c r="AR56" s="33"/>
      <c r="AS56" s="33"/>
      <c r="AT56" s="33"/>
      <c r="AU56" s="33"/>
      <c r="AV56" s="33"/>
      <c r="AW56" s="33"/>
      <c r="AX56" s="32"/>
      <c r="AY56" s="33"/>
      <c r="AZ56" s="33"/>
      <c r="BA56" s="33"/>
      <c r="BB56" s="33"/>
      <c r="BC56" s="33"/>
      <c r="BD56" s="33"/>
      <c r="BE56" s="33"/>
      <c r="BF56" s="32"/>
      <c r="BG56" s="33"/>
      <c r="BH56" s="33"/>
      <c r="BI56" s="33"/>
      <c r="BJ56" s="33"/>
      <c r="BK56" s="33"/>
      <c r="BL56" s="33"/>
      <c r="BM56" s="33"/>
      <c r="BN56" s="32"/>
      <c r="BO56" s="33"/>
      <c r="BP56" s="33"/>
      <c r="BQ56" s="33"/>
      <c r="BR56" s="33"/>
      <c r="BS56" s="33"/>
      <c r="BT56" s="33"/>
      <c r="BU56" s="33"/>
      <c r="BV56" s="32"/>
      <c r="BW56" s="33"/>
      <c r="BX56" s="33"/>
      <c r="BY56" s="33"/>
      <c r="BZ56" s="33"/>
      <c r="CA56" s="33"/>
      <c r="CB56" s="33"/>
      <c r="CC56" s="33"/>
      <c r="CD56" s="32"/>
      <c r="CE56" s="33"/>
      <c r="CF56" s="33"/>
      <c r="CG56" s="33"/>
      <c r="CH56" s="33"/>
      <c r="CI56" s="33"/>
      <c r="CJ56" s="33"/>
      <c r="CK56" s="33"/>
      <c r="CL56" s="32"/>
      <c r="CM56" s="33"/>
      <c r="CN56" s="33"/>
      <c r="CO56" s="33"/>
      <c r="CP56" s="33"/>
      <c r="CQ56" s="33"/>
      <c r="CR56" s="33"/>
      <c r="CS56" s="33"/>
      <c r="CT56" s="32"/>
      <c r="CU56" s="33"/>
      <c r="CV56" s="33"/>
      <c r="CW56" s="33"/>
      <c r="CX56" s="33"/>
      <c r="CY56" s="33"/>
      <c r="CZ56" s="33"/>
      <c r="DA56" s="33"/>
      <c r="DB56" s="32"/>
      <c r="DC56" s="33"/>
      <c r="DD56" s="33"/>
      <c r="DE56" s="33"/>
      <c r="DF56" s="33"/>
      <c r="DG56" s="33"/>
      <c r="DH56" s="33"/>
      <c r="DI56" s="33"/>
      <c r="DJ56" s="32"/>
      <c r="DK56" s="33"/>
      <c r="DL56" s="33"/>
      <c r="DM56" s="33"/>
      <c r="DN56" s="33"/>
      <c r="DO56" s="33"/>
      <c r="DP56" s="33"/>
      <c r="DQ56" s="33"/>
      <c r="DR56" s="32"/>
      <c r="DS56" s="33"/>
      <c r="DT56" s="33"/>
      <c r="DU56" s="33"/>
      <c r="DV56" s="33"/>
      <c r="DW56" s="33"/>
      <c r="DX56" s="33"/>
      <c r="DY56" s="33"/>
      <c r="DZ56" s="32"/>
      <c r="EA56" s="33"/>
      <c r="EB56" s="33"/>
      <c r="EC56" s="33"/>
      <c r="ED56" s="33"/>
      <c r="EE56" s="33"/>
      <c r="EF56" s="33"/>
      <c r="EG56" s="33"/>
      <c r="EH56" s="32"/>
      <c r="EI56" s="33"/>
      <c r="EJ56" s="33"/>
      <c r="EK56" s="33"/>
      <c r="EL56" s="33"/>
      <c r="EM56" s="33"/>
      <c r="EN56" s="33"/>
      <c r="EO56" s="33"/>
      <c r="EP56" s="32"/>
      <c r="EQ56" s="33"/>
      <c r="ER56" s="33"/>
      <c r="ES56" s="33"/>
      <c r="ET56" s="33"/>
      <c r="EU56" s="33"/>
      <c r="EV56" s="33"/>
      <c r="EW56" s="33"/>
      <c r="EX56" s="34" t="s">
        <v>79</v>
      </c>
      <c r="EY56" s="35"/>
      <c r="EZ56" s="35"/>
      <c r="FA56" s="35"/>
      <c r="FB56" s="35"/>
      <c r="FC56" s="35"/>
      <c r="FD56" s="35"/>
      <c r="FE56" s="35"/>
      <c r="FF56" s="32"/>
      <c r="FG56" s="33"/>
      <c r="FH56" s="33"/>
      <c r="FI56" s="33"/>
      <c r="FJ56" s="33"/>
      <c r="FK56" s="33"/>
      <c r="FL56" s="33"/>
      <c r="FM56" s="33"/>
    </row>
    <row r="57" hidden="1">
      <c r="A57" s="36" t="str">
        <f>CONCATENATE(A58," TM")</f>
        <v>OHP TM</v>
      </c>
      <c r="B57" s="37">
        <f>if(D57="",'Quick Setup'!D8,D57/'Quick Setup'!E8)</f>
        <v>200</v>
      </c>
      <c r="C57" s="36" t="s">
        <v>77</v>
      </c>
      <c r="D57" s="38"/>
      <c r="E57" s="39"/>
      <c r="F57" s="39"/>
      <c r="G57" s="39"/>
      <c r="H57" s="39"/>
      <c r="I57" s="39"/>
      <c r="J57" s="37">
        <f>if(L57="", if(F58="",B57, if((F58-E58)&lt;-1.9,B57*(1+Setup!F6),if((F58-E58)=-1,B57*(1+Setup!G6),if(G58&lt;D58,B57*(1+Setup!G6),if(G58=D58,B57*(1+Setup!H6),if((G58-D58)=1,B57*(1+Setup!I6),if((G58-D58)=2,B57*(1+Setup!J6),if((G58-D58)=3,B57*(1+Setup!K6),if((G58-D58)=4,B57*(1+Setup!L6),if((G58-D58)&gt;4.1,B57*(1+Setup!M6),B57)))))))))),L57/'Quick Setup'!$E8)</f>
        <v>200</v>
      </c>
      <c r="K57" s="36" t="s">
        <v>77</v>
      </c>
      <c r="L57" s="38"/>
      <c r="M57" s="39"/>
      <c r="N57" s="39"/>
      <c r="O57" s="39"/>
      <c r="P57" s="39"/>
      <c r="Q57" s="39"/>
      <c r="R57" s="37">
        <f>if(T57="", if(N58="",J57, if((N58-M58)&lt;-1.9,J57*(1+Setup!R6),if((N58-M58)=-1,J57*(1+Setup!S6),if(O58&lt;L58,J57*(1+Setup!S6),if(O58=L58,J57*(1+Setup!T6),if((O58-L58)=1,J57*(1+Setup!U6),if((O58-L58)=2,J57*(1+Setup!V6),if((O58-L58)=3,J57*(1+Setup!W6),if((O58-L58)=4,J57*(1+Setup!X6),if((O58-L58)&gt;4.1,J57*(1+Setup!Y6),J57)))))))))),T57/'Quick Setup'!$E8)</f>
        <v>200</v>
      </c>
      <c r="S57" s="36" t="s">
        <v>77</v>
      </c>
      <c r="T57" s="38"/>
      <c r="U57" s="39"/>
      <c r="V57" s="39"/>
      <c r="W57" s="39"/>
      <c r="X57" s="39"/>
      <c r="Y57" s="39"/>
      <c r="Z57" s="37">
        <f>if(AB57="", if(V58="",R57, if((V58-U58)&lt;-1.9,R57*(1+Setup!AD6),if((V58-U58)=-1,R57*(1+Setup!AE6),if(W58&lt;T58,R57*(1+Setup!AE6),if(W58=T58,R57*(1+Setup!AF6),if((W58-T58)=1,R57*(1+Setup!AG6),if((W58-T58)=2,R57*(1+Setup!AH6),if((W58-T58)=3,R57*(1+Setup!AI6),if((W58-T58)=4,R57*(1+Setup!AJ6),if((W58-T58)&gt;4.1,R57*(1+Setup!AK6),R57)))))))))),AB57/'Quick Setup'!$E8)</f>
        <v>200</v>
      </c>
      <c r="AA57" s="36" t="s">
        <v>77</v>
      </c>
      <c r="AB57" s="38"/>
      <c r="AC57" s="39"/>
      <c r="AD57" s="39"/>
      <c r="AE57" s="39"/>
      <c r="AF57" s="39"/>
      <c r="AG57" s="39"/>
      <c r="AH57" s="37">
        <f>if(AJ57="", if(AD58="",Z57, if((AD58-AC58)&lt;-1.9,Z57*(1+Setup!AP6),if((AD58-AC58)=-1,Z57*(1+Setup!AQ6),if(AE58&lt;AB58,Z57*(1+Setup!AQ6),if(AE58=AB58,Z57*(1+Setup!AR6),if((AE58-AB58)=1,Z57*(1+Setup!AS6),if((AE58-AB58)=2,Z57*(1+Setup!AT6),if((AE58-AB58)=3,Z57*(1+Setup!AU6),if((AE58-AB58)=4,Z57*(1+Setup!AV6),if((AE58-AB58)&gt;4.1,Z57*(1+Setup!AW6),Z57)))))))))),AJ57/'Quick Setup'!$E8)</f>
        <v>200</v>
      </c>
      <c r="AI57" s="36" t="s">
        <v>77</v>
      </c>
      <c r="AJ57" s="38"/>
      <c r="AK57" s="39"/>
      <c r="AL57" s="39"/>
      <c r="AM57" s="39"/>
      <c r="AN57" s="39"/>
      <c r="AO57" s="39"/>
      <c r="AP57" s="37">
        <f>if(AR57="", if(AL58="",AH57, if((AL58-AK58)&lt;-1.9,AH57*(1+Setup!BB6),if((AL58-AK58)=-1,AH57*(1+Setup!BC6),if(AM58&lt;AJ58,AH57*(1+Setup!BC6),if(AM58=AJ58,AH57*(1+Setup!BD6),if((AM58-AJ58)=1,AH57*(1+Setup!BE6),if((AM58-AJ58)=2,AH57*(1+Setup!BF6),if((AM58-AJ58)=3,AH57*(1+Setup!BG6),if((AM58-AJ58)=4,AH57*(1+Setup!BH6),if((AM58-AJ58)&gt;4.1,AH57*(1+Setup!BI6),AH57)))))))))),AR57/'Quick Setup'!$E8)</f>
        <v>200</v>
      </c>
      <c r="AQ57" s="36" t="s">
        <v>77</v>
      </c>
      <c r="AR57" s="38"/>
      <c r="AS57" s="39"/>
      <c r="AT57" s="39"/>
      <c r="AU57" s="39"/>
      <c r="AV57" s="39"/>
      <c r="AW57" s="39"/>
      <c r="AX57" s="37">
        <f>if(AZ57="", if(AT58="",AP57, if((AT58-AS58)&lt;-1.9,AP57*(1+Setup!BN6),if((AT58-AS58)=-1,AP57*(1+Setup!BO6),if(AU58&lt;AR58,AP57*(1+Setup!BO6),if(AU58=AR58,AP57*(1+Setup!BP6),if((AU58-AR58)=1,AP57*(1+Setup!BQ6),if((AU58-AR58)=2,AP57*(1+Setup!BR6),if((AU58-AR58)=3,AP57*(1+Setup!BS6),if((AU58-AR58)=4,AP57*(1+Setup!BT6),if((AU58-AR58)&gt;4.1,AP57*(1+Setup!BU6),AP57)))))))))),AZ57/'Quick Setup'!$E8)</f>
        <v>200</v>
      </c>
      <c r="AY57" s="36" t="s">
        <v>77</v>
      </c>
      <c r="AZ57" s="38"/>
      <c r="BA57" s="39"/>
      <c r="BB57" s="39"/>
      <c r="BC57" s="39"/>
      <c r="BD57" s="39"/>
      <c r="BE57" s="39"/>
      <c r="BF57" s="37">
        <f>if(BH57="",AX57,BH57/'Quick Setup'!$E8)</f>
        <v>200</v>
      </c>
      <c r="BG57" s="36" t="s">
        <v>77</v>
      </c>
      <c r="BH57" s="38"/>
      <c r="BI57" s="39"/>
      <c r="BJ57" s="39"/>
      <c r="BK57" s="39"/>
      <c r="BL57" s="39"/>
      <c r="BM57" s="39"/>
      <c r="BN57" s="37">
        <f>if(BP57="", if(BJ58="",BF57, if((BJ58-BI58)&lt;-1.9,BF57*(1+Setup!CL6),if((BJ58-BI58)=-1,BF57*(1+Setup!CM6),if(BK58&lt;BH58,BF57*(1+Setup!CM6),if(BK58=BH58,BF57*(1+Setup!CN6),if((BK58-BH58)=1,BF57*(1+Setup!CO6),if((BK58-BH58)=2,BF57*(1+Setup!CP6),if((BK58-BH58)=3,BF57*(1+Setup!CQ6),if((BK58-BH58)=4,BF57*(1+Setup!CR6),if((BK58-BH58)&gt;4.1,BF57*(1+Setup!CS6),BF57)))))))))),BP57/'Quick Setup'!$E8)</f>
        <v>200</v>
      </c>
      <c r="BO57" s="36" t="s">
        <v>77</v>
      </c>
      <c r="BP57" s="38"/>
      <c r="BQ57" s="39"/>
      <c r="BR57" s="39"/>
      <c r="BS57" s="39"/>
      <c r="BT57" s="39"/>
      <c r="BU57" s="39"/>
      <c r="BV57" s="37">
        <f>if(BX57="", if(BR58="",BN57, if((BR58-BQ58)&lt;-1.9,BN57*(1+Setup!CX6),if((BR58-BQ58)=-1,BN57*(1+Setup!CY6),if(BS58&lt;BP58,BN57*(1+Setup!CY6),if(BS58=BP58,BN57*(1+Setup!CZ6),if((BS58-BP58)=1,BN57*(1+Setup!DA6),if((BS58-BP58)=2,BN57*(1+Setup!DB6),if((BS58-BP58)=3,BN57*(1+Setup!DC6),if((BS58-BP58)=4,BN57*(1+Setup!DD6),if((BS58-BP58)&gt;4.1,BN57*(1+Setup!DE6),BN57)))))))))),BX57/'Quick Setup'!$E8)</f>
        <v>200</v>
      </c>
      <c r="BW57" s="36" t="s">
        <v>77</v>
      </c>
      <c r="BX57" s="38"/>
      <c r="BY57" s="39"/>
      <c r="BZ57" s="39"/>
      <c r="CA57" s="39"/>
      <c r="CB57" s="39"/>
      <c r="CC57" s="39"/>
      <c r="CD57" s="37">
        <f>if(CF57="", if(BZ58="",BV57, if((BZ58-BY58)&lt;-1.9,BV57*(1+Setup!DJ6),if((BZ58-BY58)=-1,BV57*(1+Setup!DK6),if(CA58&lt;BX58,BV57*(1+Setup!DK6),if(CA58=BX58,BV57*(1+Setup!DL6),if((CA58-BX58)=1,BV57*(1+Setup!DM6),if((CA58-BX58)=2,BV57*(1+Setup!DN6),if((CA58-BX58)=3,BV57*(1+Setup!DO6),if((CA58-BX58)=4,BV57*(1+Setup!DP6),if((CA58-BX58)&gt;4.1,BV57*(1+Setup!DQ6),BV57)))))))))),CF57/'Quick Setup'!$E8)</f>
        <v>200</v>
      </c>
      <c r="CE57" s="36" t="s">
        <v>77</v>
      </c>
      <c r="CF57" s="38"/>
      <c r="CG57" s="39"/>
      <c r="CH57" s="39"/>
      <c r="CI57" s="39"/>
      <c r="CJ57" s="39"/>
      <c r="CK57" s="39"/>
      <c r="CL57" s="37">
        <f>if(CN57="", if(CH58="",CD57, if((CH58-CG58)&lt;-1.9,CD57*(1+Setup!DV6),if((CH58-CG58)=-1,CD57*(1+Setup!DW6),if(CI58&lt;CF58,CD57*(1+Setup!DW6),if(CI58=CF58,CD57*(1+Setup!DX6),if((CI58-CF58)=1,CD57*(1+Setup!DY6),if((CI58-CF58)=2,CD57*(1+Setup!DZ6),if((CI58-CF58)=3,CD57*(1+Setup!EA6),if((CI58-CF58)=4,CD57*(1+Setup!EB6),if((CI58-CF58)&gt;4.1,CD57*(1+Setup!EC6),CD57)))))))))),CN57/'Quick Setup'!$E8)</f>
        <v>200</v>
      </c>
      <c r="CM57" s="36" t="s">
        <v>77</v>
      </c>
      <c r="CN57" s="38"/>
      <c r="CO57" s="39"/>
      <c r="CP57" s="39"/>
      <c r="CQ57" s="39"/>
      <c r="CR57" s="39"/>
      <c r="CS57" s="39"/>
      <c r="CT57" s="37">
        <f>if(CV57="", if(CP58="",CL57, if((CP58-CO58)&lt;-1.9,CL57*(1+Setup!EH6),if((CP58-CO58)=-1,CL57*(1+Setup!EI6),if(CQ58&lt;CN58,CL57*(1+Setup!EI6),if(CQ58=CN58,CL57*(1+Setup!EJ6),if((CQ58-CN58)=1,CL57*(1+Setup!EK6),if((CQ58-CN58)=2,CL57*(1+Setup!EL6),if((CQ58-CN58)=3,CL57*(1+Setup!EM6),if((CQ58-CN58)=4,CL57*(1+Setup!EN6),if((CQ58-CN58)&gt;4.1,CL57*(1+Setup!EO6),CL57)))))))))),CV57/'Quick Setup'!$E8)</f>
        <v>200</v>
      </c>
      <c r="CU57" s="36" t="s">
        <v>77</v>
      </c>
      <c r="CV57" s="38"/>
      <c r="CW57" s="39"/>
      <c r="CX57" s="39"/>
      <c r="CY57" s="39"/>
      <c r="CZ57" s="39"/>
      <c r="DA57" s="39"/>
      <c r="DB57" s="37">
        <f>if(DD57="", if(CX58="",CT57, if((CX58-CW58)&lt;-1.9,CT57*(1+Setup!ET6),if((CX58-CW58)=-1,CT57*(1+Setup!EU6),if(CY58&lt;CV58,CT57*(1+Setup!EU6),if(CY58=CV58,CT57*(1+Setup!EV6),if((CY58-CV58)=1,CT57*(1+Setup!EW6),if((CY58-CV58)=2,CT57*(1+Setup!EX6),if((CY58-CV58)=3,CT57*(1+Setup!EY6),if((CY58-CV58)=4,CT57*(1+Setup!EZ6),if((CY58-CV58)&gt;4.1,CT57*(1+Setup!FA6),CT57)))))))))),DD57/'Quick Setup'!$E8)</f>
        <v>200</v>
      </c>
      <c r="DC57" s="36" t="s">
        <v>77</v>
      </c>
      <c r="DD57" s="38"/>
      <c r="DE57" s="39"/>
      <c r="DF57" s="39"/>
      <c r="DG57" s="39"/>
      <c r="DH57" s="39"/>
      <c r="DI57" s="39"/>
      <c r="DJ57" s="37">
        <f>if(DL57="",DB57,DL57/'Quick Setup'!$E8)</f>
        <v>200</v>
      </c>
      <c r="DK57" s="36" t="s">
        <v>77</v>
      </c>
      <c r="DL57" s="38"/>
      <c r="DM57" s="39"/>
      <c r="DN57" s="39"/>
      <c r="DO57" s="39"/>
      <c r="DP57" s="39"/>
      <c r="DQ57" s="39"/>
      <c r="DR57" s="37">
        <f>if(DT57="", if(DN58="",DJ57, if((DN58-DM58)&lt;-1.9,DJ57*(1+Setup!FR6),if((DN58-DM58)=-1,DJ57*(1+Setup!FS6),if(DO58&lt;DL58,DJ57*(1+Setup!FS6),if(DO58=DL58,DJ57*(1+Setup!FT6),if((DO58-DL58)=1,DJ57*(1+Setup!FU6),if((DO58-DL58)=2,DJ57*(1+Setup!FV6),if((DO58-DL58)=3,DJ57*(1+Setup!FW6),if((DO58-DL58)=4,DJ57*(1+Setup!FX6),if((DO58-DL58)&gt;4.1,DJ57*(1+Setup!FY6),DJ57)))))))))),DT57/'Quick Setup'!$E8)</f>
        <v>200</v>
      </c>
      <c r="DS57" s="36" t="s">
        <v>77</v>
      </c>
      <c r="DT57" s="38"/>
      <c r="DU57" s="39"/>
      <c r="DV57" s="39"/>
      <c r="DW57" s="39"/>
      <c r="DX57" s="39"/>
      <c r="DY57" s="39"/>
      <c r="DZ57" s="37">
        <f>if(EB57="", if(DV58="",DR57, if((DV58-DU58)&lt;-1.9,DR57*(1+Setup!GD6),if((DV58-DU58)=-1,DR57*(1+Setup!GE6),if(DW58&lt;DT58,DR57*(1+Setup!GE6),if(DW58=DT58,DR57*(1+Setup!GF6),if((DW58-DT58)=1,DR57*(1+Setup!GG6),if((DW58-DT58)=2,DR57*(1+Setup!GH6),if((DW58-DT58)=3,DR57*(1+Setup!GI6),if((DW58-DT58)=4,DR57*(1+Setup!GJ6),if((DW58-DT58)&gt;4.1,DR57*(1+Setup!GK6),DR57)))))))))),EB57/'Quick Setup'!$E8)</f>
        <v>200</v>
      </c>
      <c r="EA57" s="36" t="s">
        <v>77</v>
      </c>
      <c r="EB57" s="38"/>
      <c r="EC57" s="39"/>
      <c r="ED57" s="39"/>
      <c r="EE57" s="39"/>
      <c r="EF57" s="39"/>
      <c r="EG57" s="39"/>
      <c r="EH57" s="37">
        <f>if(EJ57="", if(ED58="",DZ57, if((ED58-EC58)&lt;-1.9,DZ57*(1+Setup!GP6),if((ED58-EC58)=-1,DZ57*(1+Setup!GQ6),if(EE58&lt;EB58,DZ57*(1+Setup!GQ6),if(EE58=EB58,DZ57*(1+Setup!GR6),if((EE58-EB58)=1,DZ57*(1+Setup!GS6),if((EE58-EB58)=2,DZ57*(1+Setup!GT6),if((EE58-EB58)=3,DZ57*(1+Setup!GU6),if((EE58-EB58)=4,DZ57*(1+Setup!GV6),if((EE58-EB58)&gt;4.1,DZ57*(1+Setup!GW6),DZ57)))))))))),EJ57/'Quick Setup'!$E8)</f>
        <v>200</v>
      </c>
      <c r="EI57" s="36" t="s">
        <v>77</v>
      </c>
      <c r="EJ57" s="38"/>
      <c r="EK57" s="39"/>
      <c r="EL57" s="39"/>
      <c r="EM57" s="39"/>
      <c r="EN57" s="39"/>
      <c r="EO57" s="39"/>
      <c r="EP57" s="37">
        <f>if(ER57="", if(EL58="",EH57, if((EL58-EK58)&lt;-1.9,EH57*(1+Setup!HB6),if((EL58-EK58)=-1,EH57*(1+Setup!HC6),if(EM58&lt;EJ58,EH57*(1+Setup!HC6),if(EM58=EJ58,EH57*(1+Setup!HD6),if((EM58-EJ58)=1,EH57*(1+Setup!HE6),if((EM58-EJ58)=2,EH57*(1+Setup!HF6),if((EM58-EJ58)=3,EH57*(1+Setup!HG6),if((EM58-EJ58)=4,EH57*(1+Setup!HH6),if((EM58-EJ58)&gt;4.1,EH57*(1+Setup!HI6),EH57)))))))))),ER57/'Quick Setup'!$E8)</f>
        <v>200</v>
      </c>
      <c r="EQ57" s="36" t="s">
        <v>77</v>
      </c>
      <c r="ER57" s="38"/>
      <c r="ES57" s="39"/>
      <c r="ET57" s="39"/>
      <c r="EU57" s="39"/>
      <c r="EV57" s="39"/>
      <c r="EW57" s="39"/>
      <c r="EX57" s="37">
        <f>if(EZ57="", if(ET58="",EP57, if((ET58-ES58)&lt;-1.9,EP57*(1+Setup!HN6),if((ET58-ES58)=-1,EP57*(1+Setup!HO6),if(EU58&lt;ER58,EP57*(1+Setup!HO6),if(EU58=ER58,EP57*(1+Setup!HP6),if((EU58-ER58)=1,EP57*(1+Setup!HQ6),if((EU58-ER58)=2,EP57*(1+Setup!HR6),if((EU58-ER58)=3,EP57*(1+Setup!HS6),if((EU58-ER58)=4,EP57*(1+Setup!HT6),if((EU58-ER58)&gt;4.1,EP57*(1+Setup!HU6),EP57)))))))))),EZ57/'Quick Setup'!$E8)</f>
        <v>200</v>
      </c>
      <c r="EY57" s="36" t="s">
        <v>77</v>
      </c>
      <c r="EZ57" s="38"/>
      <c r="FA57" s="39"/>
      <c r="FB57" s="39"/>
      <c r="FC57" s="39"/>
      <c r="FD57" s="39"/>
      <c r="FE57" s="39"/>
      <c r="FF57" s="37">
        <f>if(FH57="", if(FB58="",EX57, if((FB58-FA58)&lt;-1.9,EX57*(1+Setup!HZ6),if((FB58-FA58)=-1,EX57*(1+Setup!IA6),if(FC58&lt;EZ58,EX57*(1+Setup!IA6),if(FC58=EZ58,EX57*(1+Setup!IB6),if((FC58-EZ58)=1,EX57*(1+Setup!IC6),if((FC58-EZ58)=2,EX57*(1+Setup!ID6),if((FC58-EZ58)=3,EX57*(1+Setup!IE6),if((FC58-EZ58)=4,EX57*(1+Setup!IF6),if((FC58-EZ58)&gt;4.1,EX57*(1+Setup!IG6),EX57)))))))))),FH57/'Quick Setup'!$E8)</f>
        <v>200</v>
      </c>
      <c r="FG57" s="36" t="s">
        <v>77</v>
      </c>
      <c r="FH57" s="38"/>
      <c r="FI57" s="39"/>
      <c r="FJ57" s="39"/>
      <c r="FK57" s="39"/>
      <c r="FL57" s="39"/>
      <c r="FM57" s="39"/>
    </row>
    <row r="58">
      <c r="A58" s="1" t="str">
        <f>Setup!A6</f>
        <v>OHP</v>
      </c>
      <c r="B58" s="40">
        <f>mround(B57*Setup!B6,'Quick Setup'!$A$2)</f>
        <v>140</v>
      </c>
      <c r="C58" s="2">
        <f>Setup!C6</f>
        <v>5</v>
      </c>
      <c r="D58" s="2">
        <f>Setup!D6</f>
        <v>3</v>
      </c>
      <c r="E58" s="2">
        <f>Setup!E6</f>
        <v>5</v>
      </c>
      <c r="F58" s="8"/>
      <c r="G58" s="8"/>
      <c r="H58" s="8"/>
      <c r="I58" s="8"/>
      <c r="J58" s="40">
        <f>mround(J57*Setup!N6,'Quick Setup'!$A$2)</f>
        <v>150</v>
      </c>
      <c r="K58" s="2">
        <f>Setup!O6</f>
        <v>4</v>
      </c>
      <c r="L58" s="2">
        <f>Setup!P6</f>
        <v>2</v>
      </c>
      <c r="M58" s="2">
        <f>Setup!Q6</f>
        <v>5</v>
      </c>
      <c r="N58" s="8"/>
      <c r="O58" s="8"/>
      <c r="P58" s="8"/>
      <c r="Q58" s="8"/>
      <c r="R58" s="40">
        <f>mround(R57*Setup!Z6,'Quick Setup'!$A$2)</f>
        <v>160</v>
      </c>
      <c r="S58" s="2">
        <f>Setup!AA6</f>
        <v>3</v>
      </c>
      <c r="T58" s="2">
        <f>Setup!AB6</f>
        <v>2</v>
      </c>
      <c r="U58" s="2">
        <f>Setup!AC6</f>
        <v>5</v>
      </c>
      <c r="V58" s="8"/>
      <c r="W58" s="8"/>
      <c r="X58" s="8"/>
      <c r="Y58" s="8"/>
      <c r="Z58" s="40">
        <f>mround(Z57*Setup!AL6,'Quick Setup'!$A$2)</f>
        <v>145</v>
      </c>
      <c r="AA58" s="2">
        <f>Setup!AM6</f>
        <v>5</v>
      </c>
      <c r="AB58" s="2">
        <f>Setup!AN6</f>
        <v>3</v>
      </c>
      <c r="AC58" s="2">
        <f>Setup!AO6</f>
        <v>5</v>
      </c>
      <c r="AD58" s="8"/>
      <c r="AE58" s="8"/>
      <c r="AF58" s="8"/>
      <c r="AG58" s="8"/>
      <c r="AH58" s="40">
        <f>mround(AH57*Setup!AX6,'Quick Setup'!$A$2)</f>
        <v>155</v>
      </c>
      <c r="AI58" s="2">
        <f>Setup!AY6</f>
        <v>4</v>
      </c>
      <c r="AJ58" s="2">
        <f>Setup!AZ6</f>
        <v>2</v>
      </c>
      <c r="AK58" s="2">
        <f>Setup!BA6</f>
        <v>5</v>
      </c>
      <c r="AL58" s="8"/>
      <c r="AM58" s="8"/>
      <c r="AN58" s="8"/>
      <c r="AO58" s="8"/>
      <c r="AP58" s="40">
        <f>mround(AP57*Setup!BJ6,'Quick Setup'!$A$2)</f>
        <v>165</v>
      </c>
      <c r="AQ58" s="2">
        <f>Setup!BK6</f>
        <v>3</v>
      </c>
      <c r="AR58" s="2">
        <f>Setup!BL6</f>
        <v>2</v>
      </c>
      <c r="AS58" s="2">
        <f>Setup!BM6</f>
        <v>5</v>
      </c>
      <c r="AT58" s="8"/>
      <c r="AU58" s="8"/>
      <c r="AV58" s="8"/>
      <c r="AW58" s="8"/>
      <c r="AX58" s="40">
        <f>mround(AX57*Setup!BV6,'Quick Setup'!$A$2)</f>
        <v>120</v>
      </c>
      <c r="AY58" s="1">
        <v>5.0</v>
      </c>
      <c r="AZ58" s="1" t="s">
        <v>80</v>
      </c>
      <c r="BA58" s="2">
        <f>Setup!BY6</f>
        <v>5</v>
      </c>
      <c r="BB58" s="8"/>
      <c r="BC58" s="8"/>
      <c r="BD58" s="8"/>
      <c r="BE58" s="8"/>
      <c r="BF58" s="40">
        <f>mround(BF57*Setup!CH6,'Quick Setup'!$A$2)</f>
        <v>150</v>
      </c>
      <c r="BG58" s="2">
        <f>Setup!CI6</f>
        <v>4</v>
      </c>
      <c r="BH58" s="2">
        <f>Setup!CJ6</f>
        <v>2</v>
      </c>
      <c r="BI58" s="2">
        <f>Setup!CK6</f>
        <v>5</v>
      </c>
      <c r="BJ58" s="8"/>
      <c r="BK58" s="8"/>
      <c r="BL58" s="8"/>
      <c r="BM58" s="8"/>
      <c r="BN58" s="40">
        <f>mround(BN57*Setup!CT6,'Quick Setup'!$A$2)</f>
        <v>160</v>
      </c>
      <c r="BO58" s="2">
        <f>Setup!CU6</f>
        <v>3</v>
      </c>
      <c r="BP58" s="2">
        <f>Setup!CV6</f>
        <v>2</v>
      </c>
      <c r="BQ58" s="2">
        <f>Setup!CW6</f>
        <v>5</v>
      </c>
      <c r="BR58" s="8"/>
      <c r="BS58" s="8"/>
      <c r="BT58" s="8"/>
      <c r="BU58" s="8"/>
      <c r="BV58" s="40">
        <f>mround(BV57*Setup!DF6,'Quick Setup'!$A$2)</f>
        <v>170</v>
      </c>
      <c r="BW58" s="2">
        <f>Setup!DG6</f>
        <v>2</v>
      </c>
      <c r="BX58" s="2">
        <f>Setup!DH6</f>
        <v>1</v>
      </c>
      <c r="BY58" s="2">
        <f>Setup!DI6</f>
        <v>5</v>
      </c>
      <c r="BZ58" s="8"/>
      <c r="CA58" s="8"/>
      <c r="CB58" s="8"/>
      <c r="CC58" s="8"/>
      <c r="CD58" s="40">
        <f>mround(CD57*Setup!DR6,'Quick Setup'!$A$2)</f>
        <v>155</v>
      </c>
      <c r="CE58" s="2">
        <f>Setup!DS6</f>
        <v>4</v>
      </c>
      <c r="CF58" s="2">
        <f>Setup!DT6</f>
        <v>2</v>
      </c>
      <c r="CG58" s="2">
        <f>Setup!DU6</f>
        <v>5</v>
      </c>
      <c r="CH58" s="8"/>
      <c r="CI58" s="8"/>
      <c r="CJ58" s="8"/>
      <c r="CK58" s="8"/>
      <c r="CL58" s="40">
        <f>mround(CL57*Setup!ED6,'Quick Setup'!$A$2)</f>
        <v>165</v>
      </c>
      <c r="CM58" s="2">
        <f>Setup!EE6</f>
        <v>3</v>
      </c>
      <c r="CN58" s="2">
        <f>Setup!EF6</f>
        <v>2</v>
      </c>
      <c r="CO58" s="2">
        <f>Setup!EG6</f>
        <v>5</v>
      </c>
      <c r="CP58" s="8"/>
      <c r="CQ58" s="8"/>
      <c r="CR58" s="8"/>
      <c r="CS58" s="8"/>
      <c r="CT58" s="40">
        <f>mround(CT57*Setup!EP6,'Quick Setup'!$A$2)</f>
        <v>175</v>
      </c>
      <c r="CU58" s="2">
        <f>Setup!EQ6</f>
        <v>2</v>
      </c>
      <c r="CV58" s="2">
        <f>Setup!ER6</f>
        <v>1</v>
      </c>
      <c r="CW58" s="2">
        <f>Setup!ES6</f>
        <v>5</v>
      </c>
      <c r="CX58" s="8"/>
      <c r="CY58" s="8"/>
      <c r="CZ58" s="8"/>
      <c r="DA58" s="8"/>
      <c r="DB58" s="40">
        <f>mround(DB57*Setup!FB6,'Quick Setup'!$A$2)</f>
        <v>120</v>
      </c>
      <c r="DC58" s="1">
        <v>5.0</v>
      </c>
      <c r="DD58" s="1" t="s">
        <v>80</v>
      </c>
      <c r="DE58" s="2">
        <f>Setup!FE6</f>
        <v>5</v>
      </c>
      <c r="DF58" s="8"/>
      <c r="DG58" s="8"/>
      <c r="DH58" s="8"/>
      <c r="DI58" s="8"/>
      <c r="DJ58" s="40">
        <f>mround(DJ57*Setup!FN6,'Quick Setup'!$A$2)</f>
        <v>160</v>
      </c>
      <c r="DK58" s="2">
        <f>Setup!FO6</f>
        <v>3</v>
      </c>
      <c r="DL58" s="2">
        <f>Setup!FP6</f>
        <v>2</v>
      </c>
      <c r="DM58" s="2">
        <f>Setup!FQ6</f>
        <v>5</v>
      </c>
      <c r="DN58" s="8"/>
      <c r="DO58" s="8"/>
      <c r="DP58" s="8"/>
      <c r="DQ58" s="8"/>
      <c r="DR58" s="40">
        <f>mround(DR57*Setup!FZ6,'Quick Setup'!$A$2)</f>
        <v>170</v>
      </c>
      <c r="DS58" s="2">
        <f>Setup!GA6</f>
        <v>2</v>
      </c>
      <c r="DT58" s="2">
        <f>Setup!GB6</f>
        <v>1</v>
      </c>
      <c r="DU58" s="2">
        <f>Setup!GC6</f>
        <v>5</v>
      </c>
      <c r="DV58" s="8"/>
      <c r="DW58" s="8"/>
      <c r="DX58" s="8"/>
      <c r="DY58" s="8"/>
      <c r="DZ58" s="40">
        <f>mround(DZ57*Setup!GL6,'Quick Setup'!$A$2)</f>
        <v>180</v>
      </c>
      <c r="EA58" s="2">
        <f>Setup!GM6</f>
        <v>1</v>
      </c>
      <c r="EB58" s="2">
        <f>Setup!GN6</f>
        <v>1</v>
      </c>
      <c r="EC58" s="2">
        <f>Setup!GO6</f>
        <v>5</v>
      </c>
      <c r="ED58" s="8"/>
      <c r="EE58" s="8"/>
      <c r="EF58" s="8"/>
      <c r="EG58" s="8"/>
      <c r="EH58" s="40">
        <f>mround(EH57*Setup!GX6,'Quick Setup'!$A$2)</f>
        <v>170</v>
      </c>
      <c r="EI58" s="2">
        <f>Setup!GY6</f>
        <v>2</v>
      </c>
      <c r="EJ58" s="2">
        <f>Setup!GZ6</f>
        <v>1</v>
      </c>
      <c r="EK58" s="2">
        <f>Setup!HA6</f>
        <v>5</v>
      </c>
      <c r="EL58" s="8"/>
      <c r="EM58" s="8"/>
      <c r="EN58" s="8"/>
      <c r="EO58" s="8"/>
      <c r="EP58" s="40">
        <f>mround(EP57*Setup!HJ6,'Quick Setup'!$A$2)</f>
        <v>180</v>
      </c>
      <c r="EQ58" s="2">
        <f>Setup!HK6</f>
        <v>1</v>
      </c>
      <c r="ER58" s="2">
        <f>Setup!HL6</f>
        <v>1</v>
      </c>
      <c r="ES58" s="2">
        <f>Setup!HM6</f>
        <v>5</v>
      </c>
      <c r="ET58" s="8"/>
      <c r="EU58" s="8"/>
      <c r="EV58" s="8"/>
      <c r="EW58" s="8"/>
      <c r="EX58" s="40">
        <f>mround(EX57*Setup!HV6,'Quick Setup'!$A$2)</f>
        <v>190</v>
      </c>
      <c r="EY58" s="2">
        <f>Setup!HW6</f>
        <v>1</v>
      </c>
      <c r="EZ58" s="2">
        <f>Setup!HX6</f>
        <v>1</v>
      </c>
      <c r="FA58" s="2">
        <f>Setup!HY6</f>
        <v>5</v>
      </c>
      <c r="FB58" s="8"/>
      <c r="FC58" s="8"/>
      <c r="FD58" s="8"/>
      <c r="FE58" s="8"/>
      <c r="FF58" s="40">
        <f>mround(FF57*Setup!IH6,'Quick Setup'!$A$2)</f>
        <v>120</v>
      </c>
      <c r="FG58" s="1">
        <v>5.0</v>
      </c>
      <c r="FH58" s="1" t="s">
        <v>80</v>
      </c>
      <c r="FI58" s="2">
        <f>Setup!IK6</f>
        <v>5</v>
      </c>
      <c r="FJ58" s="8"/>
      <c r="FK58" s="8"/>
      <c r="FL58" s="8"/>
      <c r="FM58" s="8"/>
    </row>
    <row r="59">
      <c r="A59" s="5"/>
      <c r="B59" s="41"/>
      <c r="C59" s="8"/>
      <c r="D59" s="8"/>
      <c r="E59" s="8"/>
      <c r="F59" s="8"/>
      <c r="G59" s="8"/>
      <c r="H59" s="8"/>
      <c r="I59" s="8"/>
      <c r="J59" s="41" t="str">
        <f t="shared" ref="J59:O59" si="401">B59</f>
        <v/>
      </c>
      <c r="K59" s="8" t="str">
        <f t="shared" si="401"/>
        <v/>
      </c>
      <c r="L59" s="8" t="str">
        <f t="shared" si="401"/>
        <v/>
      </c>
      <c r="M59" s="8" t="str">
        <f t="shared" si="401"/>
        <v/>
      </c>
      <c r="N59" s="8" t="str">
        <f t="shared" si="401"/>
        <v/>
      </c>
      <c r="O59" s="8" t="str">
        <f t="shared" si="401"/>
        <v/>
      </c>
      <c r="P59" s="8"/>
      <c r="Q59" s="8"/>
      <c r="R59" s="41" t="str">
        <f t="shared" ref="R59:W59" si="402">J59</f>
        <v/>
      </c>
      <c r="S59" s="8" t="str">
        <f t="shared" si="402"/>
        <v/>
      </c>
      <c r="T59" s="8" t="str">
        <f t="shared" si="402"/>
        <v/>
      </c>
      <c r="U59" s="8" t="str">
        <f t="shared" si="402"/>
        <v/>
      </c>
      <c r="V59" s="8" t="str">
        <f t="shared" si="402"/>
        <v/>
      </c>
      <c r="W59" s="8" t="str">
        <f t="shared" si="402"/>
        <v/>
      </c>
      <c r="X59" s="8"/>
      <c r="Y59" s="8"/>
      <c r="Z59" s="41" t="str">
        <f t="shared" ref="Z59:AE59" si="403">R59</f>
        <v/>
      </c>
      <c r="AA59" s="8" t="str">
        <f t="shared" si="403"/>
        <v/>
      </c>
      <c r="AB59" s="8" t="str">
        <f t="shared" si="403"/>
        <v/>
      </c>
      <c r="AC59" s="8" t="str">
        <f t="shared" si="403"/>
        <v/>
      </c>
      <c r="AD59" s="8" t="str">
        <f t="shared" si="403"/>
        <v/>
      </c>
      <c r="AE59" s="8" t="str">
        <f t="shared" si="403"/>
        <v/>
      </c>
      <c r="AF59" s="8"/>
      <c r="AG59" s="8"/>
      <c r="AH59" s="41" t="str">
        <f t="shared" ref="AH59:AM59" si="404">Z59</f>
        <v/>
      </c>
      <c r="AI59" s="8" t="str">
        <f t="shared" si="404"/>
        <v/>
      </c>
      <c r="AJ59" s="8" t="str">
        <f t="shared" si="404"/>
        <v/>
      </c>
      <c r="AK59" s="8" t="str">
        <f t="shared" si="404"/>
        <v/>
      </c>
      <c r="AL59" s="8" t="str">
        <f t="shared" si="404"/>
        <v/>
      </c>
      <c r="AM59" s="8" t="str">
        <f t="shared" si="404"/>
        <v/>
      </c>
      <c r="AN59" s="8"/>
      <c r="AO59" s="8"/>
      <c r="AP59" s="41" t="str">
        <f t="shared" ref="AP59:AU59" si="405">AH59</f>
        <v/>
      </c>
      <c r="AQ59" s="8" t="str">
        <f t="shared" si="405"/>
        <v/>
      </c>
      <c r="AR59" s="8" t="str">
        <f t="shared" si="405"/>
        <v/>
      </c>
      <c r="AS59" s="8" t="str">
        <f t="shared" si="405"/>
        <v/>
      </c>
      <c r="AT59" s="8" t="str">
        <f t="shared" si="405"/>
        <v/>
      </c>
      <c r="AU59" s="8" t="str">
        <f t="shared" si="405"/>
        <v/>
      </c>
      <c r="AV59" s="8"/>
      <c r="AW59" s="8"/>
      <c r="AX59" s="41" t="str">
        <f t="shared" ref="AX59:BC59" si="406">AP59</f>
        <v/>
      </c>
      <c r="AY59" s="8" t="str">
        <f t="shared" si="406"/>
        <v/>
      </c>
      <c r="AZ59" s="8" t="str">
        <f t="shared" si="406"/>
        <v/>
      </c>
      <c r="BA59" s="8" t="str">
        <f t="shared" si="406"/>
        <v/>
      </c>
      <c r="BB59" s="8" t="str">
        <f t="shared" si="406"/>
        <v/>
      </c>
      <c r="BC59" s="8" t="str">
        <f t="shared" si="406"/>
        <v/>
      </c>
      <c r="BD59" s="8"/>
      <c r="BE59" s="8"/>
      <c r="BF59" s="41" t="str">
        <f t="shared" ref="BF59:BK59" si="407">AX59</f>
        <v/>
      </c>
      <c r="BG59" s="8" t="str">
        <f t="shared" si="407"/>
        <v/>
      </c>
      <c r="BH59" s="8" t="str">
        <f t="shared" si="407"/>
        <v/>
      </c>
      <c r="BI59" s="8" t="str">
        <f t="shared" si="407"/>
        <v/>
      </c>
      <c r="BJ59" s="8" t="str">
        <f t="shared" si="407"/>
        <v/>
      </c>
      <c r="BK59" s="8" t="str">
        <f t="shared" si="407"/>
        <v/>
      </c>
      <c r="BL59" s="8"/>
      <c r="BM59" s="8"/>
      <c r="BN59" s="41" t="str">
        <f t="shared" ref="BN59:BS59" si="408">BF59</f>
        <v/>
      </c>
      <c r="BO59" s="8" t="str">
        <f t="shared" si="408"/>
        <v/>
      </c>
      <c r="BP59" s="8" t="str">
        <f t="shared" si="408"/>
        <v/>
      </c>
      <c r="BQ59" s="8" t="str">
        <f t="shared" si="408"/>
        <v/>
      </c>
      <c r="BR59" s="8" t="str">
        <f t="shared" si="408"/>
        <v/>
      </c>
      <c r="BS59" s="8" t="str">
        <f t="shared" si="408"/>
        <v/>
      </c>
      <c r="BT59" s="8"/>
      <c r="BU59" s="8"/>
      <c r="BV59" s="41" t="str">
        <f t="shared" ref="BV59:CA59" si="409">BN59</f>
        <v/>
      </c>
      <c r="BW59" s="8" t="str">
        <f t="shared" si="409"/>
        <v/>
      </c>
      <c r="BX59" s="8" t="str">
        <f t="shared" si="409"/>
        <v/>
      </c>
      <c r="BY59" s="8" t="str">
        <f t="shared" si="409"/>
        <v/>
      </c>
      <c r="BZ59" s="8" t="str">
        <f t="shared" si="409"/>
        <v/>
      </c>
      <c r="CA59" s="8" t="str">
        <f t="shared" si="409"/>
        <v/>
      </c>
      <c r="CB59" s="8"/>
      <c r="CC59" s="8"/>
      <c r="CD59" s="41" t="str">
        <f t="shared" ref="CD59:CI59" si="410">BV59</f>
        <v/>
      </c>
      <c r="CE59" s="8" t="str">
        <f t="shared" si="410"/>
        <v/>
      </c>
      <c r="CF59" s="8" t="str">
        <f t="shared" si="410"/>
        <v/>
      </c>
      <c r="CG59" s="8" t="str">
        <f t="shared" si="410"/>
        <v/>
      </c>
      <c r="CH59" s="8" t="str">
        <f t="shared" si="410"/>
        <v/>
      </c>
      <c r="CI59" s="8" t="str">
        <f t="shared" si="410"/>
        <v/>
      </c>
      <c r="CJ59" s="8"/>
      <c r="CK59" s="8"/>
      <c r="CL59" s="41" t="str">
        <f t="shared" ref="CL59:CQ59" si="411">CD59</f>
        <v/>
      </c>
      <c r="CM59" s="8" t="str">
        <f t="shared" si="411"/>
        <v/>
      </c>
      <c r="CN59" s="8" t="str">
        <f t="shared" si="411"/>
        <v/>
      </c>
      <c r="CO59" s="8" t="str">
        <f t="shared" si="411"/>
        <v/>
      </c>
      <c r="CP59" s="8" t="str">
        <f t="shared" si="411"/>
        <v/>
      </c>
      <c r="CQ59" s="8" t="str">
        <f t="shared" si="411"/>
        <v/>
      </c>
      <c r="CR59" s="8"/>
      <c r="CS59" s="8"/>
      <c r="CT59" s="41" t="str">
        <f t="shared" ref="CT59:CY59" si="412">CL59</f>
        <v/>
      </c>
      <c r="CU59" s="8" t="str">
        <f t="shared" si="412"/>
        <v/>
      </c>
      <c r="CV59" s="8" t="str">
        <f t="shared" si="412"/>
        <v/>
      </c>
      <c r="CW59" s="8" t="str">
        <f t="shared" si="412"/>
        <v/>
      </c>
      <c r="CX59" s="8" t="str">
        <f t="shared" si="412"/>
        <v/>
      </c>
      <c r="CY59" s="8" t="str">
        <f t="shared" si="412"/>
        <v/>
      </c>
      <c r="CZ59" s="8"/>
      <c r="DA59" s="8"/>
      <c r="DB59" s="41" t="str">
        <f t="shared" ref="DB59:DG59" si="413">CT59</f>
        <v/>
      </c>
      <c r="DC59" s="8" t="str">
        <f t="shared" si="413"/>
        <v/>
      </c>
      <c r="DD59" s="8" t="str">
        <f t="shared" si="413"/>
        <v/>
      </c>
      <c r="DE59" s="8" t="str">
        <f t="shared" si="413"/>
        <v/>
      </c>
      <c r="DF59" s="8" t="str">
        <f t="shared" si="413"/>
        <v/>
      </c>
      <c r="DG59" s="8" t="str">
        <f t="shared" si="413"/>
        <v/>
      </c>
      <c r="DH59" s="8"/>
      <c r="DI59" s="8"/>
      <c r="DJ59" s="41" t="str">
        <f t="shared" ref="DJ59:DO59" si="414">DB59</f>
        <v/>
      </c>
      <c r="DK59" s="8" t="str">
        <f t="shared" si="414"/>
        <v/>
      </c>
      <c r="DL59" s="8" t="str">
        <f t="shared" si="414"/>
        <v/>
      </c>
      <c r="DM59" s="8" t="str">
        <f t="shared" si="414"/>
        <v/>
      </c>
      <c r="DN59" s="8" t="str">
        <f t="shared" si="414"/>
        <v/>
      </c>
      <c r="DO59" s="8" t="str">
        <f t="shared" si="414"/>
        <v/>
      </c>
      <c r="DP59" s="8"/>
      <c r="DQ59" s="8"/>
      <c r="DR59" s="41" t="str">
        <f t="shared" ref="DR59:DW59" si="415">DJ59</f>
        <v/>
      </c>
      <c r="DS59" s="8" t="str">
        <f t="shared" si="415"/>
        <v/>
      </c>
      <c r="DT59" s="8" t="str">
        <f t="shared" si="415"/>
        <v/>
      </c>
      <c r="DU59" s="8" t="str">
        <f t="shared" si="415"/>
        <v/>
      </c>
      <c r="DV59" s="8" t="str">
        <f t="shared" si="415"/>
        <v/>
      </c>
      <c r="DW59" s="8" t="str">
        <f t="shared" si="415"/>
        <v/>
      </c>
      <c r="DX59" s="8"/>
      <c r="DY59" s="8"/>
      <c r="DZ59" s="41" t="str">
        <f t="shared" ref="DZ59:EE59" si="416">DR59</f>
        <v/>
      </c>
      <c r="EA59" s="8" t="str">
        <f t="shared" si="416"/>
        <v/>
      </c>
      <c r="EB59" s="8" t="str">
        <f t="shared" si="416"/>
        <v/>
      </c>
      <c r="EC59" s="8" t="str">
        <f t="shared" si="416"/>
        <v/>
      </c>
      <c r="ED59" s="8" t="str">
        <f t="shared" si="416"/>
        <v/>
      </c>
      <c r="EE59" s="8" t="str">
        <f t="shared" si="416"/>
        <v/>
      </c>
      <c r="EF59" s="8"/>
      <c r="EG59" s="8"/>
      <c r="EH59" s="41" t="str">
        <f t="shared" ref="EH59:EM59" si="417">DZ59</f>
        <v/>
      </c>
      <c r="EI59" s="8" t="str">
        <f t="shared" si="417"/>
        <v/>
      </c>
      <c r="EJ59" s="8" t="str">
        <f t="shared" si="417"/>
        <v/>
      </c>
      <c r="EK59" s="8" t="str">
        <f t="shared" si="417"/>
        <v/>
      </c>
      <c r="EL59" s="8" t="str">
        <f t="shared" si="417"/>
        <v/>
      </c>
      <c r="EM59" s="8" t="str">
        <f t="shared" si="417"/>
        <v/>
      </c>
      <c r="EN59" s="8"/>
      <c r="EO59" s="8"/>
      <c r="EP59" s="41" t="str">
        <f t="shared" ref="EP59:EU59" si="418">EH59</f>
        <v/>
      </c>
      <c r="EQ59" s="8" t="str">
        <f t="shared" si="418"/>
        <v/>
      </c>
      <c r="ER59" s="8" t="str">
        <f t="shared" si="418"/>
        <v/>
      </c>
      <c r="ES59" s="8" t="str">
        <f t="shared" si="418"/>
        <v/>
      </c>
      <c r="ET59" s="8" t="str">
        <f t="shared" si="418"/>
        <v/>
      </c>
      <c r="EU59" s="8" t="str">
        <f t="shared" si="418"/>
        <v/>
      </c>
      <c r="EV59" s="8"/>
      <c r="EW59" s="8"/>
      <c r="EX59" s="41" t="str">
        <f t="shared" ref="EX59:FC59" si="419">EP59</f>
        <v/>
      </c>
      <c r="EY59" s="8" t="str">
        <f t="shared" si="419"/>
        <v/>
      </c>
      <c r="EZ59" s="8" t="str">
        <f t="shared" si="419"/>
        <v/>
      </c>
      <c r="FA59" s="8" t="str">
        <f t="shared" si="419"/>
        <v/>
      </c>
      <c r="FB59" s="8" t="str">
        <f t="shared" si="419"/>
        <v/>
      </c>
      <c r="FC59" s="8" t="str">
        <f t="shared" si="419"/>
        <v/>
      </c>
      <c r="FD59" s="8"/>
      <c r="FE59" s="8"/>
      <c r="FF59" s="41" t="str">
        <f t="shared" ref="FF59:FK59" si="420">EX59</f>
        <v/>
      </c>
      <c r="FG59" s="8" t="str">
        <f t="shared" si="420"/>
        <v/>
      </c>
      <c r="FH59" s="8" t="str">
        <f t="shared" si="420"/>
        <v/>
      </c>
      <c r="FI59" s="8" t="str">
        <f t="shared" si="420"/>
        <v/>
      </c>
      <c r="FJ59" s="8" t="str">
        <f t="shared" si="420"/>
        <v/>
      </c>
      <c r="FK59" s="8" t="str">
        <f t="shared" si="420"/>
        <v/>
      </c>
      <c r="FL59" s="8"/>
      <c r="FM59" s="8"/>
    </row>
    <row r="60">
      <c r="A60" s="1" t="s">
        <v>81</v>
      </c>
      <c r="B60" s="40"/>
      <c r="C60" s="2"/>
      <c r="D60" s="2"/>
      <c r="E60" s="2"/>
      <c r="F60" s="2"/>
      <c r="G60" s="2"/>
      <c r="H60" s="2"/>
      <c r="I60" s="2"/>
      <c r="J60" s="40"/>
      <c r="K60" s="2"/>
      <c r="L60" s="2"/>
      <c r="M60" s="2"/>
      <c r="N60" s="2"/>
      <c r="O60" s="2"/>
      <c r="P60" s="2"/>
      <c r="Q60" s="2"/>
      <c r="R60" s="40"/>
      <c r="S60" s="2"/>
      <c r="T60" s="2"/>
      <c r="U60" s="2"/>
      <c r="V60" s="2"/>
      <c r="W60" s="2"/>
      <c r="X60" s="2"/>
      <c r="Y60" s="2"/>
      <c r="Z60" s="40"/>
      <c r="AA60" s="2"/>
      <c r="AB60" s="2"/>
      <c r="AC60" s="2"/>
      <c r="AD60" s="2"/>
      <c r="AE60" s="2"/>
      <c r="AF60" s="2"/>
      <c r="AG60" s="2"/>
      <c r="AH60" s="40"/>
      <c r="AI60" s="2"/>
      <c r="AJ60" s="2"/>
      <c r="AK60" s="2"/>
      <c r="AL60" s="2"/>
      <c r="AM60" s="2"/>
      <c r="AN60" s="2"/>
      <c r="AO60" s="2"/>
      <c r="AP60" s="40"/>
      <c r="AQ60" s="2"/>
      <c r="AR60" s="2"/>
      <c r="AS60" s="2"/>
      <c r="AT60" s="2"/>
      <c r="AU60" s="2"/>
      <c r="AV60" s="2"/>
      <c r="AW60" s="2"/>
      <c r="AX60" s="40"/>
      <c r="AY60" s="2"/>
      <c r="AZ60" s="2"/>
      <c r="BA60" s="2"/>
      <c r="BB60" s="2"/>
      <c r="BC60" s="2"/>
      <c r="BD60" s="2"/>
      <c r="BE60" s="2"/>
      <c r="BF60" s="40"/>
      <c r="BG60" s="2"/>
      <c r="BH60" s="2"/>
      <c r="BI60" s="2"/>
      <c r="BJ60" s="2"/>
      <c r="BK60" s="2"/>
      <c r="BL60" s="2"/>
      <c r="BM60" s="2"/>
      <c r="BN60" s="40"/>
      <c r="BO60" s="2"/>
      <c r="BP60" s="2"/>
      <c r="BQ60" s="2"/>
      <c r="BR60" s="2"/>
      <c r="BS60" s="2"/>
      <c r="BT60" s="2"/>
      <c r="BU60" s="2"/>
      <c r="BV60" s="40"/>
      <c r="BW60" s="2"/>
      <c r="BX60" s="2"/>
      <c r="BY60" s="2"/>
      <c r="BZ60" s="2"/>
      <c r="CA60" s="2"/>
      <c r="CB60" s="2"/>
      <c r="CC60" s="2"/>
      <c r="CD60" s="40"/>
      <c r="CE60" s="2"/>
      <c r="CF60" s="2"/>
      <c r="CG60" s="2"/>
      <c r="CH60" s="2"/>
      <c r="CI60" s="2"/>
      <c r="CJ60" s="2"/>
      <c r="CK60" s="2"/>
      <c r="CL60" s="40"/>
      <c r="CM60" s="2"/>
      <c r="CN60" s="2"/>
      <c r="CO60" s="2"/>
      <c r="CP60" s="2"/>
      <c r="CQ60" s="2"/>
      <c r="CR60" s="2"/>
      <c r="CS60" s="2"/>
      <c r="CT60" s="40"/>
      <c r="CU60" s="2"/>
      <c r="CV60" s="2"/>
      <c r="CW60" s="2"/>
      <c r="CX60" s="2"/>
      <c r="CY60" s="2"/>
      <c r="CZ60" s="2"/>
      <c r="DA60" s="2"/>
      <c r="DB60" s="40"/>
      <c r="DC60" s="2"/>
      <c r="DD60" s="2"/>
      <c r="DE60" s="2"/>
      <c r="DF60" s="2"/>
      <c r="DG60" s="2"/>
      <c r="DH60" s="2"/>
      <c r="DI60" s="2"/>
      <c r="DJ60" s="40"/>
      <c r="DK60" s="2"/>
      <c r="DL60" s="2"/>
      <c r="DM60" s="2"/>
      <c r="DN60" s="2"/>
      <c r="DO60" s="2"/>
      <c r="DP60" s="2"/>
      <c r="DQ60" s="2"/>
      <c r="DR60" s="40"/>
      <c r="DS60" s="2"/>
      <c r="DT60" s="2"/>
      <c r="DU60" s="2"/>
      <c r="DV60" s="2"/>
      <c r="DW60" s="2"/>
      <c r="DX60" s="2"/>
      <c r="DY60" s="2"/>
      <c r="DZ60" s="40"/>
      <c r="EA60" s="2"/>
      <c r="EB60" s="2"/>
      <c r="EC60" s="2"/>
      <c r="ED60" s="2"/>
      <c r="EE60" s="2"/>
      <c r="EF60" s="2"/>
      <c r="EG60" s="2"/>
      <c r="EH60" s="40"/>
      <c r="EI60" s="2"/>
      <c r="EJ60" s="2"/>
      <c r="EK60" s="2"/>
      <c r="EL60" s="2"/>
      <c r="EM60" s="2"/>
      <c r="EN60" s="2"/>
      <c r="EO60" s="2"/>
      <c r="EP60" s="40"/>
      <c r="EQ60" s="2"/>
      <c r="ER60" s="2"/>
      <c r="ES60" s="2"/>
      <c r="ET60" s="2"/>
      <c r="EU60" s="2"/>
      <c r="EV60" s="2"/>
      <c r="EW60" s="2"/>
      <c r="EX60" s="40"/>
      <c r="EY60" s="2"/>
      <c r="EZ60" s="2"/>
      <c r="FA60" s="2"/>
      <c r="FB60" s="2"/>
      <c r="FC60" s="2"/>
      <c r="FD60" s="2"/>
      <c r="FE60" s="2"/>
      <c r="FF60" s="40"/>
      <c r="FG60" s="2"/>
      <c r="FH60" s="2"/>
      <c r="FI60" s="2"/>
      <c r="FJ60" s="2"/>
      <c r="FK60" s="2"/>
      <c r="FL60" s="2"/>
      <c r="FM60" s="2"/>
    </row>
    <row r="61">
      <c r="A61" s="42"/>
      <c r="B61" s="41"/>
      <c r="C61" s="8"/>
      <c r="D61" s="8"/>
      <c r="E61" s="8"/>
      <c r="F61" s="8"/>
      <c r="G61" s="8"/>
      <c r="H61" s="8"/>
      <c r="I61" s="8"/>
      <c r="J61" s="41" t="str">
        <f t="shared" ref="J61:O61" si="421">B61</f>
        <v/>
      </c>
      <c r="K61" s="8" t="str">
        <f t="shared" si="421"/>
        <v/>
      </c>
      <c r="L61" s="8" t="str">
        <f t="shared" si="421"/>
        <v/>
      </c>
      <c r="M61" s="8" t="str">
        <f t="shared" si="421"/>
        <v/>
      </c>
      <c r="N61" s="8" t="str">
        <f t="shared" si="421"/>
        <v/>
      </c>
      <c r="O61" s="8" t="str">
        <f t="shared" si="421"/>
        <v/>
      </c>
      <c r="P61" s="8"/>
      <c r="Q61" s="8"/>
      <c r="R61" s="41" t="str">
        <f t="shared" ref="R61:W61" si="422">J61</f>
        <v/>
      </c>
      <c r="S61" s="8" t="str">
        <f t="shared" si="422"/>
        <v/>
      </c>
      <c r="T61" s="8" t="str">
        <f t="shared" si="422"/>
        <v/>
      </c>
      <c r="U61" s="8" t="str">
        <f t="shared" si="422"/>
        <v/>
      </c>
      <c r="V61" s="8" t="str">
        <f t="shared" si="422"/>
        <v/>
      </c>
      <c r="W61" s="8" t="str">
        <f t="shared" si="422"/>
        <v/>
      </c>
      <c r="X61" s="8"/>
      <c r="Y61" s="8"/>
      <c r="Z61" s="41" t="str">
        <f t="shared" ref="Z61:AE61" si="423">R61</f>
        <v/>
      </c>
      <c r="AA61" s="8" t="str">
        <f t="shared" si="423"/>
        <v/>
      </c>
      <c r="AB61" s="8" t="str">
        <f t="shared" si="423"/>
        <v/>
      </c>
      <c r="AC61" s="8" t="str">
        <f t="shared" si="423"/>
        <v/>
      </c>
      <c r="AD61" s="8" t="str">
        <f t="shared" si="423"/>
        <v/>
      </c>
      <c r="AE61" s="8" t="str">
        <f t="shared" si="423"/>
        <v/>
      </c>
      <c r="AF61" s="8"/>
      <c r="AG61" s="8"/>
      <c r="AH61" s="41" t="str">
        <f t="shared" ref="AH61:AM61" si="424">Z61</f>
        <v/>
      </c>
      <c r="AI61" s="8" t="str">
        <f t="shared" si="424"/>
        <v/>
      </c>
      <c r="AJ61" s="8" t="str">
        <f t="shared" si="424"/>
        <v/>
      </c>
      <c r="AK61" s="8" t="str">
        <f t="shared" si="424"/>
        <v/>
      </c>
      <c r="AL61" s="8" t="str">
        <f t="shared" si="424"/>
        <v/>
      </c>
      <c r="AM61" s="8" t="str">
        <f t="shared" si="424"/>
        <v/>
      </c>
      <c r="AN61" s="8"/>
      <c r="AO61" s="8"/>
      <c r="AP61" s="41" t="str">
        <f t="shared" ref="AP61:AU61" si="425">AH61</f>
        <v/>
      </c>
      <c r="AQ61" s="8" t="str">
        <f t="shared" si="425"/>
        <v/>
      </c>
      <c r="AR61" s="8" t="str">
        <f t="shared" si="425"/>
        <v/>
      </c>
      <c r="AS61" s="8" t="str">
        <f t="shared" si="425"/>
        <v/>
      </c>
      <c r="AT61" s="8" t="str">
        <f t="shared" si="425"/>
        <v/>
      </c>
      <c r="AU61" s="8" t="str">
        <f t="shared" si="425"/>
        <v/>
      </c>
      <c r="AV61" s="8"/>
      <c r="AW61" s="8"/>
      <c r="AX61" s="41" t="str">
        <f t="shared" ref="AX61:BC61" si="426">AP61</f>
        <v/>
      </c>
      <c r="AY61" s="8" t="str">
        <f t="shared" si="426"/>
        <v/>
      </c>
      <c r="AZ61" s="8" t="str">
        <f t="shared" si="426"/>
        <v/>
      </c>
      <c r="BA61" s="8" t="str">
        <f t="shared" si="426"/>
        <v/>
      </c>
      <c r="BB61" s="8" t="str">
        <f t="shared" si="426"/>
        <v/>
      </c>
      <c r="BC61" s="8" t="str">
        <f t="shared" si="426"/>
        <v/>
      </c>
      <c r="BD61" s="8"/>
      <c r="BE61" s="8"/>
      <c r="BF61" s="41" t="str">
        <f t="shared" ref="BF61:BK61" si="427">AX61</f>
        <v/>
      </c>
      <c r="BG61" s="8" t="str">
        <f t="shared" si="427"/>
        <v/>
      </c>
      <c r="BH61" s="8" t="str">
        <f t="shared" si="427"/>
        <v/>
      </c>
      <c r="BI61" s="8" t="str">
        <f t="shared" si="427"/>
        <v/>
      </c>
      <c r="BJ61" s="8" t="str">
        <f t="shared" si="427"/>
        <v/>
      </c>
      <c r="BK61" s="8" t="str">
        <f t="shared" si="427"/>
        <v/>
      </c>
      <c r="BL61" s="8"/>
      <c r="BM61" s="8"/>
      <c r="BN61" s="41" t="str">
        <f t="shared" ref="BN61:BS61" si="428">BF61</f>
        <v/>
      </c>
      <c r="BO61" s="8" t="str">
        <f t="shared" si="428"/>
        <v/>
      </c>
      <c r="BP61" s="8" t="str">
        <f t="shared" si="428"/>
        <v/>
      </c>
      <c r="BQ61" s="8" t="str">
        <f t="shared" si="428"/>
        <v/>
      </c>
      <c r="BR61" s="8" t="str">
        <f t="shared" si="428"/>
        <v/>
      </c>
      <c r="BS61" s="8" t="str">
        <f t="shared" si="428"/>
        <v/>
      </c>
      <c r="BT61" s="8"/>
      <c r="BU61" s="8"/>
      <c r="BV61" s="41" t="str">
        <f t="shared" ref="BV61:CA61" si="429">BN61</f>
        <v/>
      </c>
      <c r="BW61" s="8" t="str">
        <f t="shared" si="429"/>
        <v/>
      </c>
      <c r="BX61" s="8" t="str">
        <f t="shared" si="429"/>
        <v/>
      </c>
      <c r="BY61" s="8" t="str">
        <f t="shared" si="429"/>
        <v/>
      </c>
      <c r="BZ61" s="8" t="str">
        <f t="shared" si="429"/>
        <v/>
      </c>
      <c r="CA61" s="8" t="str">
        <f t="shared" si="429"/>
        <v/>
      </c>
      <c r="CB61" s="8"/>
      <c r="CC61" s="8"/>
      <c r="CD61" s="41" t="str">
        <f t="shared" ref="CD61:CI61" si="430">BV61</f>
        <v/>
      </c>
      <c r="CE61" s="8" t="str">
        <f t="shared" si="430"/>
        <v/>
      </c>
      <c r="CF61" s="8" t="str">
        <f t="shared" si="430"/>
        <v/>
      </c>
      <c r="CG61" s="8" t="str">
        <f t="shared" si="430"/>
        <v/>
      </c>
      <c r="CH61" s="8" t="str">
        <f t="shared" si="430"/>
        <v/>
      </c>
      <c r="CI61" s="8" t="str">
        <f t="shared" si="430"/>
        <v/>
      </c>
      <c r="CJ61" s="8"/>
      <c r="CK61" s="8"/>
      <c r="CL61" s="41" t="str">
        <f t="shared" ref="CL61:CQ61" si="431">CD61</f>
        <v/>
      </c>
      <c r="CM61" s="8" t="str">
        <f t="shared" si="431"/>
        <v/>
      </c>
      <c r="CN61" s="8" t="str">
        <f t="shared" si="431"/>
        <v/>
      </c>
      <c r="CO61" s="8" t="str">
        <f t="shared" si="431"/>
        <v/>
      </c>
      <c r="CP61" s="8" t="str">
        <f t="shared" si="431"/>
        <v/>
      </c>
      <c r="CQ61" s="8" t="str">
        <f t="shared" si="431"/>
        <v/>
      </c>
      <c r="CR61" s="8"/>
      <c r="CS61" s="8"/>
      <c r="CT61" s="41" t="str">
        <f t="shared" ref="CT61:CY61" si="432">CL61</f>
        <v/>
      </c>
      <c r="CU61" s="8" t="str">
        <f t="shared" si="432"/>
        <v/>
      </c>
      <c r="CV61" s="8" t="str">
        <f t="shared" si="432"/>
        <v/>
      </c>
      <c r="CW61" s="8" t="str">
        <f t="shared" si="432"/>
        <v/>
      </c>
      <c r="CX61" s="8" t="str">
        <f t="shared" si="432"/>
        <v/>
      </c>
      <c r="CY61" s="8" t="str">
        <f t="shared" si="432"/>
        <v/>
      </c>
      <c r="CZ61" s="8"/>
      <c r="DA61" s="8"/>
      <c r="DB61" s="41" t="str">
        <f t="shared" ref="DB61:DG61" si="433">CT61</f>
        <v/>
      </c>
      <c r="DC61" s="8" t="str">
        <f t="shared" si="433"/>
        <v/>
      </c>
      <c r="DD61" s="8" t="str">
        <f t="shared" si="433"/>
        <v/>
      </c>
      <c r="DE61" s="8" t="str">
        <f t="shared" si="433"/>
        <v/>
      </c>
      <c r="DF61" s="8" t="str">
        <f t="shared" si="433"/>
        <v/>
      </c>
      <c r="DG61" s="8" t="str">
        <f t="shared" si="433"/>
        <v/>
      </c>
      <c r="DH61" s="8"/>
      <c r="DI61" s="8"/>
      <c r="DJ61" s="41" t="str">
        <f t="shared" ref="DJ61:DO61" si="434">DB61</f>
        <v/>
      </c>
      <c r="DK61" s="8" t="str">
        <f t="shared" si="434"/>
        <v/>
      </c>
      <c r="DL61" s="8" t="str">
        <f t="shared" si="434"/>
        <v/>
      </c>
      <c r="DM61" s="8" t="str">
        <f t="shared" si="434"/>
        <v/>
      </c>
      <c r="DN61" s="8" t="str">
        <f t="shared" si="434"/>
        <v/>
      </c>
      <c r="DO61" s="8" t="str">
        <f t="shared" si="434"/>
        <v/>
      </c>
      <c r="DP61" s="8"/>
      <c r="DQ61" s="8"/>
      <c r="DR61" s="41" t="str">
        <f t="shared" ref="DR61:DW61" si="435">DJ61</f>
        <v/>
      </c>
      <c r="DS61" s="8" t="str">
        <f t="shared" si="435"/>
        <v/>
      </c>
      <c r="DT61" s="8" t="str">
        <f t="shared" si="435"/>
        <v/>
      </c>
      <c r="DU61" s="8" t="str">
        <f t="shared" si="435"/>
        <v/>
      </c>
      <c r="DV61" s="8" t="str">
        <f t="shared" si="435"/>
        <v/>
      </c>
      <c r="DW61" s="8" t="str">
        <f t="shared" si="435"/>
        <v/>
      </c>
      <c r="DX61" s="8"/>
      <c r="DY61" s="8"/>
      <c r="DZ61" s="41" t="str">
        <f t="shared" ref="DZ61:EE61" si="436">DR61</f>
        <v/>
      </c>
      <c r="EA61" s="8" t="str">
        <f t="shared" si="436"/>
        <v/>
      </c>
      <c r="EB61" s="8" t="str">
        <f t="shared" si="436"/>
        <v/>
      </c>
      <c r="EC61" s="8" t="str">
        <f t="shared" si="436"/>
        <v/>
      </c>
      <c r="ED61" s="8" t="str">
        <f t="shared" si="436"/>
        <v/>
      </c>
      <c r="EE61" s="8" t="str">
        <f t="shared" si="436"/>
        <v/>
      </c>
      <c r="EF61" s="8"/>
      <c r="EG61" s="8"/>
      <c r="EH61" s="41" t="str">
        <f t="shared" ref="EH61:EM61" si="437">DZ61</f>
        <v/>
      </c>
      <c r="EI61" s="8" t="str">
        <f t="shared" si="437"/>
        <v/>
      </c>
      <c r="EJ61" s="8" t="str">
        <f t="shared" si="437"/>
        <v/>
      </c>
      <c r="EK61" s="8" t="str">
        <f t="shared" si="437"/>
        <v/>
      </c>
      <c r="EL61" s="8" t="str">
        <f t="shared" si="437"/>
        <v/>
      </c>
      <c r="EM61" s="8" t="str">
        <f t="shared" si="437"/>
        <v/>
      </c>
      <c r="EN61" s="8"/>
      <c r="EO61" s="8"/>
      <c r="EP61" s="41" t="str">
        <f t="shared" ref="EP61:EU61" si="438">EH61</f>
        <v/>
      </c>
      <c r="EQ61" s="8" t="str">
        <f t="shared" si="438"/>
        <v/>
      </c>
      <c r="ER61" s="8" t="str">
        <f t="shared" si="438"/>
        <v/>
      </c>
      <c r="ES61" s="8" t="str">
        <f t="shared" si="438"/>
        <v/>
      </c>
      <c r="ET61" s="8" t="str">
        <f t="shared" si="438"/>
        <v/>
      </c>
      <c r="EU61" s="8" t="str">
        <f t="shared" si="438"/>
        <v/>
      </c>
      <c r="EV61" s="8"/>
      <c r="EW61" s="8"/>
      <c r="EX61" s="41" t="str">
        <f t="shared" ref="EX61:FC61" si="439">EP61</f>
        <v/>
      </c>
      <c r="EY61" s="8" t="str">
        <f t="shared" si="439"/>
        <v/>
      </c>
      <c r="EZ61" s="8" t="str">
        <f t="shared" si="439"/>
        <v/>
      </c>
      <c r="FA61" s="8" t="str">
        <f t="shared" si="439"/>
        <v/>
      </c>
      <c r="FB61" s="8" t="str">
        <f t="shared" si="439"/>
        <v/>
      </c>
      <c r="FC61" s="8" t="str">
        <f t="shared" si="439"/>
        <v/>
      </c>
      <c r="FD61" s="8"/>
      <c r="FE61" s="8"/>
      <c r="FF61" s="41" t="str">
        <f t="shared" ref="FF61:FK61" si="440">EX61</f>
        <v/>
      </c>
      <c r="FG61" s="8" t="str">
        <f t="shared" si="440"/>
        <v/>
      </c>
      <c r="FH61" s="8" t="str">
        <f t="shared" si="440"/>
        <v/>
      </c>
      <c r="FI61" s="8" t="str">
        <f t="shared" si="440"/>
        <v/>
      </c>
      <c r="FJ61" s="8" t="str">
        <f t="shared" si="440"/>
        <v/>
      </c>
      <c r="FK61" s="8" t="str">
        <f t="shared" si="440"/>
        <v/>
      </c>
      <c r="FL61" s="8"/>
      <c r="FM61" s="8"/>
    </row>
    <row r="62">
      <c r="A62" s="42"/>
      <c r="B62" s="41"/>
      <c r="C62" s="8"/>
      <c r="D62" s="8"/>
      <c r="E62" s="8"/>
      <c r="F62" s="8"/>
      <c r="G62" s="8"/>
      <c r="H62" s="8"/>
      <c r="I62" s="8"/>
      <c r="J62" s="41" t="str">
        <f t="shared" ref="J62:O62" si="441">B62</f>
        <v/>
      </c>
      <c r="K62" s="8" t="str">
        <f t="shared" si="441"/>
        <v/>
      </c>
      <c r="L62" s="8" t="str">
        <f t="shared" si="441"/>
        <v/>
      </c>
      <c r="M62" s="8" t="str">
        <f t="shared" si="441"/>
        <v/>
      </c>
      <c r="N62" s="8" t="str">
        <f t="shared" si="441"/>
        <v/>
      </c>
      <c r="O62" s="8" t="str">
        <f t="shared" si="441"/>
        <v/>
      </c>
      <c r="P62" s="8"/>
      <c r="Q62" s="8"/>
      <c r="R62" s="41" t="str">
        <f t="shared" ref="R62:W62" si="442">J62</f>
        <v/>
      </c>
      <c r="S62" s="8" t="str">
        <f t="shared" si="442"/>
        <v/>
      </c>
      <c r="T62" s="8" t="str">
        <f t="shared" si="442"/>
        <v/>
      </c>
      <c r="U62" s="8" t="str">
        <f t="shared" si="442"/>
        <v/>
      </c>
      <c r="V62" s="8" t="str">
        <f t="shared" si="442"/>
        <v/>
      </c>
      <c r="W62" s="8" t="str">
        <f t="shared" si="442"/>
        <v/>
      </c>
      <c r="X62" s="8"/>
      <c r="Y62" s="8"/>
      <c r="Z62" s="41" t="str">
        <f t="shared" ref="Z62:AE62" si="443">R62</f>
        <v/>
      </c>
      <c r="AA62" s="8" t="str">
        <f t="shared" si="443"/>
        <v/>
      </c>
      <c r="AB62" s="8" t="str">
        <f t="shared" si="443"/>
        <v/>
      </c>
      <c r="AC62" s="8" t="str">
        <f t="shared" si="443"/>
        <v/>
      </c>
      <c r="AD62" s="8" t="str">
        <f t="shared" si="443"/>
        <v/>
      </c>
      <c r="AE62" s="8" t="str">
        <f t="shared" si="443"/>
        <v/>
      </c>
      <c r="AF62" s="8"/>
      <c r="AG62" s="8"/>
      <c r="AH62" s="41" t="str">
        <f t="shared" ref="AH62:AM62" si="444">Z62</f>
        <v/>
      </c>
      <c r="AI62" s="8" t="str">
        <f t="shared" si="444"/>
        <v/>
      </c>
      <c r="AJ62" s="8" t="str">
        <f t="shared" si="444"/>
        <v/>
      </c>
      <c r="AK62" s="8" t="str">
        <f t="shared" si="444"/>
        <v/>
      </c>
      <c r="AL62" s="8" t="str">
        <f t="shared" si="444"/>
        <v/>
      </c>
      <c r="AM62" s="8" t="str">
        <f t="shared" si="444"/>
        <v/>
      </c>
      <c r="AN62" s="8"/>
      <c r="AO62" s="8"/>
      <c r="AP62" s="41" t="str">
        <f t="shared" ref="AP62:AU62" si="445">AH62</f>
        <v/>
      </c>
      <c r="AQ62" s="8" t="str">
        <f t="shared" si="445"/>
        <v/>
      </c>
      <c r="AR62" s="8" t="str">
        <f t="shared" si="445"/>
        <v/>
      </c>
      <c r="AS62" s="8" t="str">
        <f t="shared" si="445"/>
        <v/>
      </c>
      <c r="AT62" s="8" t="str">
        <f t="shared" si="445"/>
        <v/>
      </c>
      <c r="AU62" s="8" t="str">
        <f t="shared" si="445"/>
        <v/>
      </c>
      <c r="AV62" s="8"/>
      <c r="AW62" s="8"/>
      <c r="AX62" s="41" t="str">
        <f t="shared" ref="AX62:BC62" si="446">AP62</f>
        <v/>
      </c>
      <c r="AY62" s="8" t="str">
        <f t="shared" si="446"/>
        <v/>
      </c>
      <c r="AZ62" s="8" t="str">
        <f t="shared" si="446"/>
        <v/>
      </c>
      <c r="BA62" s="8" t="str">
        <f t="shared" si="446"/>
        <v/>
      </c>
      <c r="BB62" s="8" t="str">
        <f t="shared" si="446"/>
        <v/>
      </c>
      <c r="BC62" s="8" t="str">
        <f t="shared" si="446"/>
        <v/>
      </c>
      <c r="BD62" s="8"/>
      <c r="BE62" s="8"/>
      <c r="BF62" s="41" t="str">
        <f t="shared" ref="BF62:BK62" si="447">AX62</f>
        <v/>
      </c>
      <c r="BG62" s="8" t="str">
        <f t="shared" si="447"/>
        <v/>
      </c>
      <c r="BH62" s="8" t="str">
        <f t="shared" si="447"/>
        <v/>
      </c>
      <c r="BI62" s="8" t="str">
        <f t="shared" si="447"/>
        <v/>
      </c>
      <c r="BJ62" s="8" t="str">
        <f t="shared" si="447"/>
        <v/>
      </c>
      <c r="BK62" s="8" t="str">
        <f t="shared" si="447"/>
        <v/>
      </c>
      <c r="BL62" s="8"/>
      <c r="BM62" s="8"/>
      <c r="BN62" s="41" t="str">
        <f t="shared" ref="BN62:BS62" si="448">BF62</f>
        <v/>
      </c>
      <c r="BO62" s="8" t="str">
        <f t="shared" si="448"/>
        <v/>
      </c>
      <c r="BP62" s="8" t="str">
        <f t="shared" si="448"/>
        <v/>
      </c>
      <c r="BQ62" s="8" t="str">
        <f t="shared" si="448"/>
        <v/>
      </c>
      <c r="BR62" s="8" t="str">
        <f t="shared" si="448"/>
        <v/>
      </c>
      <c r="BS62" s="8" t="str">
        <f t="shared" si="448"/>
        <v/>
      </c>
      <c r="BT62" s="8"/>
      <c r="BU62" s="8"/>
      <c r="BV62" s="41" t="str">
        <f t="shared" ref="BV62:CA62" si="449">BN62</f>
        <v/>
      </c>
      <c r="BW62" s="8" t="str">
        <f t="shared" si="449"/>
        <v/>
      </c>
      <c r="BX62" s="8" t="str">
        <f t="shared" si="449"/>
        <v/>
      </c>
      <c r="BY62" s="8" t="str">
        <f t="shared" si="449"/>
        <v/>
      </c>
      <c r="BZ62" s="8" t="str">
        <f t="shared" si="449"/>
        <v/>
      </c>
      <c r="CA62" s="8" t="str">
        <f t="shared" si="449"/>
        <v/>
      </c>
      <c r="CB62" s="8"/>
      <c r="CC62" s="8"/>
      <c r="CD62" s="41" t="str">
        <f t="shared" ref="CD62:CI62" si="450">BV62</f>
        <v/>
      </c>
      <c r="CE62" s="8" t="str">
        <f t="shared" si="450"/>
        <v/>
      </c>
      <c r="CF62" s="8" t="str">
        <f t="shared" si="450"/>
        <v/>
      </c>
      <c r="CG62" s="8" t="str">
        <f t="shared" si="450"/>
        <v/>
      </c>
      <c r="CH62" s="8" t="str">
        <f t="shared" si="450"/>
        <v/>
      </c>
      <c r="CI62" s="8" t="str">
        <f t="shared" si="450"/>
        <v/>
      </c>
      <c r="CJ62" s="8"/>
      <c r="CK62" s="8"/>
      <c r="CL62" s="41" t="str">
        <f t="shared" ref="CL62:CQ62" si="451">CD62</f>
        <v/>
      </c>
      <c r="CM62" s="8" t="str">
        <f t="shared" si="451"/>
        <v/>
      </c>
      <c r="CN62" s="8" t="str">
        <f t="shared" si="451"/>
        <v/>
      </c>
      <c r="CO62" s="8" t="str">
        <f t="shared" si="451"/>
        <v/>
      </c>
      <c r="CP62" s="8" t="str">
        <f t="shared" si="451"/>
        <v/>
      </c>
      <c r="CQ62" s="8" t="str">
        <f t="shared" si="451"/>
        <v/>
      </c>
      <c r="CR62" s="8"/>
      <c r="CS62" s="8"/>
      <c r="CT62" s="41" t="str">
        <f t="shared" ref="CT62:CY62" si="452">CL62</f>
        <v/>
      </c>
      <c r="CU62" s="8" t="str">
        <f t="shared" si="452"/>
        <v/>
      </c>
      <c r="CV62" s="8" t="str">
        <f t="shared" si="452"/>
        <v/>
      </c>
      <c r="CW62" s="8" t="str">
        <f t="shared" si="452"/>
        <v/>
      </c>
      <c r="CX62" s="8" t="str">
        <f t="shared" si="452"/>
        <v/>
      </c>
      <c r="CY62" s="8" t="str">
        <f t="shared" si="452"/>
        <v/>
      </c>
      <c r="CZ62" s="8"/>
      <c r="DA62" s="8"/>
      <c r="DB62" s="41" t="str">
        <f t="shared" ref="DB62:DG62" si="453">CT62</f>
        <v/>
      </c>
      <c r="DC62" s="8" t="str">
        <f t="shared" si="453"/>
        <v/>
      </c>
      <c r="DD62" s="8" t="str">
        <f t="shared" si="453"/>
        <v/>
      </c>
      <c r="DE62" s="8" t="str">
        <f t="shared" si="453"/>
        <v/>
      </c>
      <c r="DF62" s="8" t="str">
        <f t="shared" si="453"/>
        <v/>
      </c>
      <c r="DG62" s="8" t="str">
        <f t="shared" si="453"/>
        <v/>
      </c>
      <c r="DH62" s="8"/>
      <c r="DI62" s="8"/>
      <c r="DJ62" s="41" t="str">
        <f t="shared" ref="DJ62:DO62" si="454">DB62</f>
        <v/>
      </c>
      <c r="DK62" s="8" t="str">
        <f t="shared" si="454"/>
        <v/>
      </c>
      <c r="DL62" s="8" t="str">
        <f t="shared" si="454"/>
        <v/>
      </c>
      <c r="DM62" s="8" t="str">
        <f t="shared" si="454"/>
        <v/>
      </c>
      <c r="DN62" s="8" t="str">
        <f t="shared" si="454"/>
        <v/>
      </c>
      <c r="DO62" s="8" t="str">
        <f t="shared" si="454"/>
        <v/>
      </c>
      <c r="DP62" s="8"/>
      <c r="DQ62" s="8"/>
      <c r="DR62" s="41" t="str">
        <f t="shared" ref="DR62:DW62" si="455">DJ62</f>
        <v/>
      </c>
      <c r="DS62" s="8" t="str">
        <f t="shared" si="455"/>
        <v/>
      </c>
      <c r="DT62" s="8" t="str">
        <f t="shared" si="455"/>
        <v/>
      </c>
      <c r="DU62" s="8" t="str">
        <f t="shared" si="455"/>
        <v/>
      </c>
      <c r="DV62" s="8" t="str">
        <f t="shared" si="455"/>
        <v/>
      </c>
      <c r="DW62" s="8" t="str">
        <f t="shared" si="455"/>
        <v/>
      </c>
      <c r="DX62" s="8"/>
      <c r="DY62" s="8"/>
      <c r="DZ62" s="41" t="str">
        <f t="shared" ref="DZ62:EE62" si="456">DR62</f>
        <v/>
      </c>
      <c r="EA62" s="8" t="str">
        <f t="shared" si="456"/>
        <v/>
      </c>
      <c r="EB62" s="8" t="str">
        <f t="shared" si="456"/>
        <v/>
      </c>
      <c r="EC62" s="8" t="str">
        <f t="shared" si="456"/>
        <v/>
      </c>
      <c r="ED62" s="8" t="str">
        <f t="shared" si="456"/>
        <v/>
      </c>
      <c r="EE62" s="8" t="str">
        <f t="shared" si="456"/>
        <v/>
      </c>
      <c r="EF62" s="8"/>
      <c r="EG62" s="8"/>
      <c r="EH62" s="41" t="str">
        <f t="shared" ref="EH62:EM62" si="457">DZ62</f>
        <v/>
      </c>
      <c r="EI62" s="8" t="str">
        <f t="shared" si="457"/>
        <v/>
      </c>
      <c r="EJ62" s="8" t="str">
        <f t="shared" si="457"/>
        <v/>
      </c>
      <c r="EK62" s="8" t="str">
        <f t="shared" si="457"/>
        <v/>
      </c>
      <c r="EL62" s="8" t="str">
        <f t="shared" si="457"/>
        <v/>
      </c>
      <c r="EM62" s="8" t="str">
        <f t="shared" si="457"/>
        <v/>
      </c>
      <c r="EN62" s="8"/>
      <c r="EO62" s="8"/>
      <c r="EP62" s="41" t="str">
        <f t="shared" ref="EP62:EU62" si="458">EH62</f>
        <v/>
      </c>
      <c r="EQ62" s="8" t="str">
        <f t="shared" si="458"/>
        <v/>
      </c>
      <c r="ER62" s="8" t="str">
        <f t="shared" si="458"/>
        <v/>
      </c>
      <c r="ES62" s="8" t="str">
        <f t="shared" si="458"/>
        <v/>
      </c>
      <c r="ET62" s="8" t="str">
        <f t="shared" si="458"/>
        <v/>
      </c>
      <c r="EU62" s="8" t="str">
        <f t="shared" si="458"/>
        <v/>
      </c>
      <c r="EV62" s="8"/>
      <c r="EW62" s="8"/>
      <c r="EX62" s="41" t="str">
        <f t="shared" ref="EX62:FC62" si="459">EP62</f>
        <v/>
      </c>
      <c r="EY62" s="8" t="str">
        <f t="shared" si="459"/>
        <v/>
      </c>
      <c r="EZ62" s="8" t="str">
        <f t="shared" si="459"/>
        <v/>
      </c>
      <c r="FA62" s="8" t="str">
        <f t="shared" si="459"/>
        <v/>
      </c>
      <c r="FB62" s="8" t="str">
        <f t="shared" si="459"/>
        <v/>
      </c>
      <c r="FC62" s="8" t="str">
        <f t="shared" si="459"/>
        <v/>
      </c>
      <c r="FD62" s="8"/>
      <c r="FE62" s="8"/>
      <c r="FF62" s="41" t="str">
        <f t="shared" ref="FF62:FK62" si="460">EX62</f>
        <v/>
      </c>
      <c r="FG62" s="8" t="str">
        <f t="shared" si="460"/>
        <v/>
      </c>
      <c r="FH62" s="8" t="str">
        <f t="shared" si="460"/>
        <v/>
      </c>
      <c r="FI62" s="8" t="str">
        <f t="shared" si="460"/>
        <v/>
      </c>
      <c r="FJ62" s="8" t="str">
        <f t="shared" si="460"/>
        <v/>
      </c>
      <c r="FK62" s="8" t="str">
        <f t="shared" si="460"/>
        <v/>
      </c>
      <c r="FL62" s="8"/>
      <c r="FM62" s="8"/>
    </row>
    <row r="63">
      <c r="A63" s="43"/>
      <c r="B63" s="44"/>
      <c r="C63" s="45"/>
      <c r="D63" s="45"/>
      <c r="E63" s="45"/>
      <c r="F63" s="45"/>
      <c r="G63" s="45"/>
      <c r="H63" s="45"/>
      <c r="I63" s="45"/>
      <c r="J63" s="44" t="str">
        <f t="shared" ref="J63:O63" si="461">B63</f>
        <v/>
      </c>
      <c r="K63" s="45" t="str">
        <f t="shared" si="461"/>
        <v/>
      </c>
      <c r="L63" s="45" t="str">
        <f t="shared" si="461"/>
        <v/>
      </c>
      <c r="M63" s="45" t="str">
        <f t="shared" si="461"/>
        <v/>
      </c>
      <c r="N63" s="45" t="str">
        <f t="shared" si="461"/>
        <v/>
      </c>
      <c r="O63" s="45" t="str">
        <f t="shared" si="461"/>
        <v/>
      </c>
      <c r="P63" s="45"/>
      <c r="Q63" s="45"/>
      <c r="R63" s="44" t="str">
        <f t="shared" ref="R63:W63" si="462">J63</f>
        <v/>
      </c>
      <c r="S63" s="45" t="str">
        <f t="shared" si="462"/>
        <v/>
      </c>
      <c r="T63" s="45" t="str">
        <f t="shared" si="462"/>
        <v/>
      </c>
      <c r="U63" s="45" t="str">
        <f t="shared" si="462"/>
        <v/>
      </c>
      <c r="V63" s="45" t="str">
        <f t="shared" si="462"/>
        <v/>
      </c>
      <c r="W63" s="45" t="str">
        <f t="shared" si="462"/>
        <v/>
      </c>
      <c r="X63" s="45"/>
      <c r="Y63" s="45"/>
      <c r="Z63" s="44" t="str">
        <f t="shared" ref="Z63:AE63" si="463">R63</f>
        <v/>
      </c>
      <c r="AA63" s="45" t="str">
        <f t="shared" si="463"/>
        <v/>
      </c>
      <c r="AB63" s="45" t="str">
        <f t="shared" si="463"/>
        <v/>
      </c>
      <c r="AC63" s="45" t="str">
        <f t="shared" si="463"/>
        <v/>
      </c>
      <c r="AD63" s="45" t="str">
        <f t="shared" si="463"/>
        <v/>
      </c>
      <c r="AE63" s="45" t="str">
        <f t="shared" si="463"/>
        <v/>
      </c>
      <c r="AF63" s="45"/>
      <c r="AG63" s="45"/>
      <c r="AH63" s="44" t="str">
        <f t="shared" ref="AH63:AM63" si="464">Z63</f>
        <v/>
      </c>
      <c r="AI63" s="45" t="str">
        <f t="shared" si="464"/>
        <v/>
      </c>
      <c r="AJ63" s="45" t="str">
        <f t="shared" si="464"/>
        <v/>
      </c>
      <c r="AK63" s="45" t="str">
        <f t="shared" si="464"/>
        <v/>
      </c>
      <c r="AL63" s="45" t="str">
        <f t="shared" si="464"/>
        <v/>
      </c>
      <c r="AM63" s="45" t="str">
        <f t="shared" si="464"/>
        <v/>
      </c>
      <c r="AN63" s="45"/>
      <c r="AO63" s="45"/>
      <c r="AP63" s="44" t="str">
        <f t="shared" ref="AP63:AU63" si="465">AH63</f>
        <v/>
      </c>
      <c r="AQ63" s="45" t="str">
        <f t="shared" si="465"/>
        <v/>
      </c>
      <c r="AR63" s="45" t="str">
        <f t="shared" si="465"/>
        <v/>
      </c>
      <c r="AS63" s="45" t="str">
        <f t="shared" si="465"/>
        <v/>
      </c>
      <c r="AT63" s="45" t="str">
        <f t="shared" si="465"/>
        <v/>
      </c>
      <c r="AU63" s="45" t="str">
        <f t="shared" si="465"/>
        <v/>
      </c>
      <c r="AV63" s="45"/>
      <c r="AW63" s="45"/>
      <c r="AX63" s="44" t="str">
        <f t="shared" ref="AX63:BC63" si="466">AP63</f>
        <v/>
      </c>
      <c r="AY63" s="45" t="str">
        <f t="shared" si="466"/>
        <v/>
      </c>
      <c r="AZ63" s="45" t="str">
        <f t="shared" si="466"/>
        <v/>
      </c>
      <c r="BA63" s="45" t="str">
        <f t="shared" si="466"/>
        <v/>
      </c>
      <c r="BB63" s="45" t="str">
        <f t="shared" si="466"/>
        <v/>
      </c>
      <c r="BC63" s="45" t="str">
        <f t="shared" si="466"/>
        <v/>
      </c>
      <c r="BD63" s="45"/>
      <c r="BE63" s="45"/>
      <c r="BF63" s="44" t="str">
        <f t="shared" ref="BF63:BK63" si="467">AX63</f>
        <v/>
      </c>
      <c r="BG63" s="45" t="str">
        <f t="shared" si="467"/>
        <v/>
      </c>
      <c r="BH63" s="45" t="str">
        <f t="shared" si="467"/>
        <v/>
      </c>
      <c r="BI63" s="45" t="str">
        <f t="shared" si="467"/>
        <v/>
      </c>
      <c r="BJ63" s="45" t="str">
        <f t="shared" si="467"/>
        <v/>
      </c>
      <c r="BK63" s="45" t="str">
        <f t="shared" si="467"/>
        <v/>
      </c>
      <c r="BL63" s="45"/>
      <c r="BM63" s="45"/>
      <c r="BN63" s="44" t="str">
        <f t="shared" ref="BN63:BS63" si="468">BF63</f>
        <v/>
      </c>
      <c r="BO63" s="45" t="str">
        <f t="shared" si="468"/>
        <v/>
      </c>
      <c r="BP63" s="45" t="str">
        <f t="shared" si="468"/>
        <v/>
      </c>
      <c r="BQ63" s="45" t="str">
        <f t="shared" si="468"/>
        <v/>
      </c>
      <c r="BR63" s="45" t="str">
        <f t="shared" si="468"/>
        <v/>
      </c>
      <c r="BS63" s="45" t="str">
        <f t="shared" si="468"/>
        <v/>
      </c>
      <c r="BT63" s="45"/>
      <c r="BU63" s="45"/>
      <c r="BV63" s="44" t="str">
        <f t="shared" ref="BV63:CA63" si="469">BN63</f>
        <v/>
      </c>
      <c r="BW63" s="45" t="str">
        <f t="shared" si="469"/>
        <v/>
      </c>
      <c r="BX63" s="45" t="str">
        <f t="shared" si="469"/>
        <v/>
      </c>
      <c r="BY63" s="45" t="str">
        <f t="shared" si="469"/>
        <v/>
      </c>
      <c r="BZ63" s="45" t="str">
        <f t="shared" si="469"/>
        <v/>
      </c>
      <c r="CA63" s="45" t="str">
        <f t="shared" si="469"/>
        <v/>
      </c>
      <c r="CB63" s="45"/>
      <c r="CC63" s="45"/>
      <c r="CD63" s="44" t="str">
        <f t="shared" ref="CD63:CI63" si="470">BV63</f>
        <v/>
      </c>
      <c r="CE63" s="45" t="str">
        <f t="shared" si="470"/>
        <v/>
      </c>
      <c r="CF63" s="45" t="str">
        <f t="shared" si="470"/>
        <v/>
      </c>
      <c r="CG63" s="45" t="str">
        <f t="shared" si="470"/>
        <v/>
      </c>
      <c r="CH63" s="45" t="str">
        <f t="shared" si="470"/>
        <v/>
      </c>
      <c r="CI63" s="45" t="str">
        <f t="shared" si="470"/>
        <v/>
      </c>
      <c r="CJ63" s="45"/>
      <c r="CK63" s="45"/>
      <c r="CL63" s="44" t="str">
        <f t="shared" ref="CL63:CQ63" si="471">CD63</f>
        <v/>
      </c>
      <c r="CM63" s="45" t="str">
        <f t="shared" si="471"/>
        <v/>
      </c>
      <c r="CN63" s="45" t="str">
        <f t="shared" si="471"/>
        <v/>
      </c>
      <c r="CO63" s="45" t="str">
        <f t="shared" si="471"/>
        <v/>
      </c>
      <c r="CP63" s="45" t="str">
        <f t="shared" si="471"/>
        <v/>
      </c>
      <c r="CQ63" s="45" t="str">
        <f t="shared" si="471"/>
        <v/>
      </c>
      <c r="CR63" s="45"/>
      <c r="CS63" s="45"/>
      <c r="CT63" s="44" t="str">
        <f t="shared" ref="CT63:CY63" si="472">CL63</f>
        <v/>
      </c>
      <c r="CU63" s="45" t="str">
        <f t="shared" si="472"/>
        <v/>
      </c>
      <c r="CV63" s="45" t="str">
        <f t="shared" si="472"/>
        <v/>
      </c>
      <c r="CW63" s="45" t="str">
        <f t="shared" si="472"/>
        <v/>
      </c>
      <c r="CX63" s="45" t="str">
        <f t="shared" si="472"/>
        <v/>
      </c>
      <c r="CY63" s="45" t="str">
        <f t="shared" si="472"/>
        <v/>
      </c>
      <c r="CZ63" s="45"/>
      <c r="DA63" s="45"/>
      <c r="DB63" s="44" t="str">
        <f t="shared" ref="DB63:DG63" si="473">CT63</f>
        <v/>
      </c>
      <c r="DC63" s="45" t="str">
        <f t="shared" si="473"/>
        <v/>
      </c>
      <c r="DD63" s="45" t="str">
        <f t="shared" si="473"/>
        <v/>
      </c>
      <c r="DE63" s="45" t="str">
        <f t="shared" si="473"/>
        <v/>
      </c>
      <c r="DF63" s="45" t="str">
        <f t="shared" si="473"/>
        <v/>
      </c>
      <c r="DG63" s="45" t="str">
        <f t="shared" si="473"/>
        <v/>
      </c>
      <c r="DH63" s="45"/>
      <c r="DI63" s="45"/>
      <c r="DJ63" s="44" t="str">
        <f t="shared" ref="DJ63:DO63" si="474">DB63</f>
        <v/>
      </c>
      <c r="DK63" s="45" t="str">
        <f t="shared" si="474"/>
        <v/>
      </c>
      <c r="DL63" s="45" t="str">
        <f t="shared" si="474"/>
        <v/>
      </c>
      <c r="DM63" s="45" t="str">
        <f t="shared" si="474"/>
        <v/>
      </c>
      <c r="DN63" s="45" t="str">
        <f t="shared" si="474"/>
        <v/>
      </c>
      <c r="DO63" s="45" t="str">
        <f t="shared" si="474"/>
        <v/>
      </c>
      <c r="DP63" s="45"/>
      <c r="DQ63" s="45"/>
      <c r="DR63" s="44" t="str">
        <f t="shared" ref="DR63:DW63" si="475">DJ63</f>
        <v/>
      </c>
      <c r="DS63" s="45" t="str">
        <f t="shared" si="475"/>
        <v/>
      </c>
      <c r="DT63" s="45" t="str">
        <f t="shared" si="475"/>
        <v/>
      </c>
      <c r="DU63" s="45" t="str">
        <f t="shared" si="475"/>
        <v/>
      </c>
      <c r="DV63" s="45" t="str">
        <f t="shared" si="475"/>
        <v/>
      </c>
      <c r="DW63" s="45" t="str">
        <f t="shared" si="475"/>
        <v/>
      </c>
      <c r="DX63" s="45"/>
      <c r="DY63" s="45"/>
      <c r="DZ63" s="44" t="str">
        <f t="shared" ref="DZ63:EE63" si="476">DR63</f>
        <v/>
      </c>
      <c r="EA63" s="45" t="str">
        <f t="shared" si="476"/>
        <v/>
      </c>
      <c r="EB63" s="45" t="str">
        <f t="shared" si="476"/>
        <v/>
      </c>
      <c r="EC63" s="45" t="str">
        <f t="shared" si="476"/>
        <v/>
      </c>
      <c r="ED63" s="45" t="str">
        <f t="shared" si="476"/>
        <v/>
      </c>
      <c r="EE63" s="45" t="str">
        <f t="shared" si="476"/>
        <v/>
      </c>
      <c r="EF63" s="45"/>
      <c r="EG63" s="45"/>
      <c r="EH63" s="44" t="str">
        <f t="shared" ref="EH63:EM63" si="477">DZ63</f>
        <v/>
      </c>
      <c r="EI63" s="45" t="str">
        <f t="shared" si="477"/>
        <v/>
      </c>
      <c r="EJ63" s="45" t="str">
        <f t="shared" si="477"/>
        <v/>
      </c>
      <c r="EK63" s="45" t="str">
        <f t="shared" si="477"/>
        <v/>
      </c>
      <c r="EL63" s="45" t="str">
        <f t="shared" si="477"/>
        <v/>
      </c>
      <c r="EM63" s="45" t="str">
        <f t="shared" si="477"/>
        <v/>
      </c>
      <c r="EN63" s="45"/>
      <c r="EO63" s="45"/>
      <c r="EP63" s="44" t="str">
        <f t="shared" ref="EP63:EU63" si="478">EH63</f>
        <v/>
      </c>
      <c r="EQ63" s="45" t="str">
        <f t="shared" si="478"/>
        <v/>
      </c>
      <c r="ER63" s="45" t="str">
        <f t="shared" si="478"/>
        <v/>
      </c>
      <c r="ES63" s="45" t="str">
        <f t="shared" si="478"/>
        <v/>
      </c>
      <c r="ET63" s="45" t="str">
        <f t="shared" si="478"/>
        <v/>
      </c>
      <c r="EU63" s="45" t="str">
        <f t="shared" si="478"/>
        <v/>
      </c>
      <c r="EV63" s="45"/>
      <c r="EW63" s="45"/>
      <c r="EX63" s="44" t="str">
        <f t="shared" ref="EX63:FC63" si="479">EP63</f>
        <v/>
      </c>
      <c r="EY63" s="45" t="str">
        <f t="shared" si="479"/>
        <v/>
      </c>
      <c r="EZ63" s="45" t="str">
        <f t="shared" si="479"/>
        <v/>
      </c>
      <c r="FA63" s="45" t="str">
        <f t="shared" si="479"/>
        <v/>
      </c>
      <c r="FB63" s="45" t="str">
        <f t="shared" si="479"/>
        <v/>
      </c>
      <c r="FC63" s="45" t="str">
        <f t="shared" si="479"/>
        <v/>
      </c>
      <c r="FD63" s="45"/>
      <c r="FE63" s="45"/>
      <c r="FF63" s="44" t="str">
        <f t="shared" ref="FF63:FK63" si="480">EX63</f>
        <v/>
      </c>
      <c r="FG63" s="45" t="str">
        <f t="shared" si="480"/>
        <v/>
      </c>
      <c r="FH63" s="45" t="str">
        <f t="shared" si="480"/>
        <v/>
      </c>
      <c r="FI63" s="45" t="str">
        <f t="shared" si="480"/>
        <v/>
      </c>
      <c r="FJ63" s="45" t="str">
        <f t="shared" si="480"/>
        <v/>
      </c>
      <c r="FK63" s="45" t="str">
        <f t="shared" si="480"/>
        <v/>
      </c>
      <c r="FL63" s="45"/>
      <c r="FM63" s="45"/>
    </row>
  </sheetData>
  <mergeCells count="27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4:FE14"/>
    <mergeCell ref="EX25:FE25"/>
    <mergeCell ref="EX36:FE36"/>
    <mergeCell ref="EX47:FE47"/>
    <mergeCell ref="EX56:FE56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8 A19 A30 A41 A50 A59">
      <formula1>'Quick Setup'!$B$19:$D$26</formula1>
    </dataValidation>
  </dataValidations>
  <drawing r:id="rId1"/>
</worksheet>
</file>